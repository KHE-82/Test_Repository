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C79F30D-5058-49A6-AE8D-22397261DA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minFavAccCAP">Menu!$D$39</definedName>
    <definedName name="TM1AdminFavAccWB">Menu!$F$39</definedName>
    <definedName name="TM1AdminFavAccWS">Menu!$H$39</definedName>
    <definedName name="TM1AdminFavAppCAP">Menu!$D$38</definedName>
    <definedName name="TM1AdminFavAppWB">Menu!$F$38</definedName>
    <definedName name="TM1AdminFavAppWS">Menu!$H$38</definedName>
    <definedName name="TM1AdminFavListCAP">Menu!$D$40</definedName>
    <definedName name="TM1AdminFavListWB">Menu!$F$40</definedName>
    <definedName name="TM1AdminFavListWS">Menu!$H$40</definedName>
    <definedName name="TM1AdminFavProgCAP">Menu!$D$41</definedName>
    <definedName name="TM1AdminFavProgWB">Menu!$F$41</definedName>
    <definedName name="TM1AdminFavProgWS">Menu!$H$41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CAP">Menu!$D$30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3" i="1"/>
  <c r="C6" i="1"/>
  <c r="C5" i="1"/>
  <c r="C7" i="1"/>
  <c r="C26" i="1"/>
  <c r="F38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E38" i="1"/>
  <c r="D38" i="1"/>
  <c r="C38" i="1"/>
  <c r="H33" i="1"/>
  <c r="G33" i="1"/>
  <c r="F33" i="1"/>
  <c r="E33" i="1"/>
  <c r="D33" i="1"/>
  <c r="C33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2" i="1"/>
  <c r="G32" i="1"/>
  <c r="F32" i="1"/>
  <c r="E32" i="1"/>
  <c r="D32" i="1"/>
  <c r="C32" i="1"/>
  <c r="K88" i="1"/>
  <c r="H37" i="1"/>
  <c r="H31" i="1"/>
  <c r="H30" i="1"/>
  <c r="H29" i="1"/>
  <c r="H28" i="1"/>
  <c r="G37" i="1"/>
  <c r="F37" i="1"/>
  <c r="E37" i="1"/>
  <c r="D37" i="1"/>
  <c r="C37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C18" i="1"/>
  <c r="C10" i="1"/>
  <c r="C12" i="1"/>
  <c r="C11" i="1"/>
  <c r="C13" i="1"/>
  <c r="C14" i="1"/>
  <c r="C15" i="1"/>
  <c r="K48" i="1"/>
  <c r="W46" i="1"/>
  <c r="C22" i="1"/>
  <c r="C21" i="1"/>
  <c r="C20" i="1"/>
  <c r="C19" i="1"/>
</calcChain>
</file>

<file path=xl/sharedStrings.xml><?xml version="1.0" encoding="utf-8"?>
<sst xmlns="http://schemas.openxmlformats.org/spreadsheetml/2006/main" count="47" uniqueCount="46">
  <si>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</si>
  <si>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</si>
  <si>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</si>
  <si>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</si>
  <si>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</si>
  <si>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</si>
  <si>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</si>
  <si>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</si>
  <si>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</si>
  <si>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</si>
  <si>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</si>
  <si>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</si>
  <si>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</si>
  <si>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</si>
  <si>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</si>
  <si>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</si>
  <si>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</si>
  <si>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</si>
  <si>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</si>
  <si>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</si>
  <si>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</si>
  <si>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</si>
  <si>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</si>
  <si>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</si>
  <si>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</si>
  <si>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</si>
  <si>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</si>
  <si>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</si>
  <si>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</si>
  <si>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</si>
  <si>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</si>
  <si>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</si>
  <si>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</si>
  <si>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</si>
  <si>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</si>
  <si>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</si>
  <si>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</si>
  <si>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</si>
  <si>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</si>
  <si>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</si>
  <si>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Admin Favourite - Set Application Favourites</t>
  </si>
  <si>
    <t>Admin Favourite - Set Account Favourites</t>
  </si>
  <si>
    <t>Admin Favourite - Favourite List</t>
  </si>
  <si>
    <t>Admin Favourite - Set Default Favourite For Program</t>
  </si>
  <si>
    <t>FAVOURITE MENU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</si>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</sst>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47</xdr:row>
      <xdr:rowOff>55686</xdr:rowOff>
    </xdr:from>
    <xdr:to>
      <xdr:col>22</xdr:col>
      <xdr:colOff>210100</xdr:colOff>
      <xdr:row>47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52</xdr:row>
      <xdr:rowOff>57150</xdr:rowOff>
    </xdr:from>
    <xdr:to>
      <xdr:col>15</xdr:col>
      <xdr:colOff>307716</xdr:colOff>
      <xdr:row>52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52</xdr:row>
      <xdr:rowOff>66675</xdr:rowOff>
    </xdr:from>
    <xdr:to>
      <xdr:col>22</xdr:col>
      <xdr:colOff>285236</xdr:colOff>
      <xdr:row>52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28575</xdr:rowOff>
    </xdr:from>
    <xdr:to>
      <xdr:col>12</xdr:col>
      <xdr:colOff>53340</xdr:colOff>
      <xdr:row>45</xdr:row>
      <xdr:rowOff>478155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52</xdr:row>
      <xdr:rowOff>66675</xdr:rowOff>
    </xdr:from>
    <xdr:to>
      <xdr:col>22</xdr:col>
      <xdr:colOff>285236</xdr:colOff>
      <xdr:row>52</xdr:row>
      <xdr:rowOff>249855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53340</xdr:colOff>
      <xdr:row>53</xdr:row>
      <xdr:rowOff>15240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53</xdr:row>
      <xdr:rowOff>47625</xdr:rowOff>
    </xdr:from>
    <xdr:to>
      <xdr:col>14</xdr:col>
      <xdr:colOff>752475</xdr:colOff>
      <xdr:row>56</xdr:row>
      <xdr:rowOff>0</xdr:rowOff>
    </xdr:to>
    <xdr:sp macro="Sheet1.ExecuteAction_ec95916a_5872_4d1d_8214_971aa3f33937" textlink="TM1HomeAdminGEUSCAP">
      <xdr:nvSpPr>
        <xdr:cNvPr id="2" name="TM1Button_ec95916a_5872_4d1d_8214_971aa3f33937">
          <a:extLst>
            <a:ext uri="{FF2B5EF4-FFF2-40B4-BE49-F238E27FC236}">
              <a16:creationId xmlns:a16="http://schemas.microsoft.com/office/drawing/2014/main" id="{A754675E-86EC-32A5-BB29-B7D19FA570AB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776BFA9-0612-48AD-B2E9-53D5E4F7A07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56</xdr:row>
      <xdr:rowOff>47625</xdr:rowOff>
    </xdr:from>
    <xdr:to>
      <xdr:col>21</xdr:col>
      <xdr:colOff>1038225</xdr:colOff>
      <xdr:row>58</xdr:row>
      <xdr:rowOff>57150</xdr:rowOff>
    </xdr:to>
    <xdr:sp macro="Sheet1.ExecuteAction_5ef6973b_2a91_4b62_bb66_f500b93d5fe9" textlink="">
      <xdr:nvSpPr>
        <xdr:cNvPr id="3" name="TM1Button_5ef6973b_2a91_4b62_bb66_f500b93d5fe9">
          <a:extLst>
            <a:ext uri="{FF2B5EF4-FFF2-40B4-BE49-F238E27FC236}">
              <a16:creationId xmlns:a16="http://schemas.microsoft.com/office/drawing/2014/main" id="{76BF8BD2-458D-BD1B-39D6-E24F8D0B4BF6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Favourite List</a:t>
          </a:r>
        </a:p>
      </xdr:txBody>
    </xdr:sp>
    <xdr:clientData/>
  </xdr:twoCellAnchor>
  <xdr:twoCellAnchor editAs="oneCell">
    <xdr:from>
      <xdr:col>18</xdr:col>
      <xdr:colOff>285750</xdr:colOff>
      <xdr:row>58</xdr:row>
      <xdr:rowOff>104775</xdr:rowOff>
    </xdr:from>
    <xdr:to>
      <xdr:col>21</xdr:col>
      <xdr:colOff>1038225</xdr:colOff>
      <xdr:row>60</xdr:row>
      <xdr:rowOff>114300</xdr:rowOff>
    </xdr:to>
    <xdr:sp macro="Sheet1.ExecuteAction_6dded76d_47e9_40e6_a2b4_e76eabd1b703" textlink="">
      <xdr:nvSpPr>
        <xdr:cNvPr id="4" name="TM1Button_6dded76d_47e9_40e6_a2b4_e76eabd1b703">
          <a:extLst>
            <a:ext uri="{FF2B5EF4-FFF2-40B4-BE49-F238E27FC236}">
              <a16:creationId xmlns:a16="http://schemas.microsoft.com/office/drawing/2014/main" id="{C4F496EF-E6D3-BA14-2AD7-7B04C5E8332C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Account Favourites</a:t>
          </a:r>
        </a:p>
      </xdr:txBody>
    </xdr:sp>
    <xdr:clientData/>
  </xdr:twoCellAnchor>
  <xdr:twoCellAnchor editAs="oneCell">
    <xdr:from>
      <xdr:col>18</xdr:col>
      <xdr:colOff>285750</xdr:colOff>
      <xdr:row>62</xdr:row>
      <xdr:rowOff>85725</xdr:rowOff>
    </xdr:from>
    <xdr:to>
      <xdr:col>21</xdr:col>
      <xdr:colOff>1038225</xdr:colOff>
      <xdr:row>64</xdr:row>
      <xdr:rowOff>152400</xdr:rowOff>
    </xdr:to>
    <xdr:sp macro="Sheet1.ExecuteAction_f2abdb75_af1f_4c87_8d7b_cc0a56c3bc1e" textlink="TM1AdminFavAppCAP">
      <xdr:nvSpPr>
        <xdr:cNvPr id="5" name="TM1Button_f2abdb75_af1f_4c87_8d7b_cc0a56c3bc1e">
          <a:extLst>
            <a:ext uri="{FF2B5EF4-FFF2-40B4-BE49-F238E27FC236}">
              <a16:creationId xmlns:a16="http://schemas.microsoft.com/office/drawing/2014/main" id="{A1C4F1E0-1017-1D50-CD5E-2490EEABE2B6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0D2AC0-DBCF-4F75-A276-5694A88506E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RECALC_0_3140_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60</xdr:row>
      <xdr:rowOff>161925</xdr:rowOff>
    </xdr:from>
    <xdr:to>
      <xdr:col>14</xdr:col>
      <xdr:colOff>752475</xdr:colOff>
      <xdr:row>62</xdr:row>
      <xdr:rowOff>38100</xdr:rowOff>
    </xdr:to>
    <xdr:sp macro="Sheet1.ExecuteAction_14f8369d_1838_46b1_a869_6c3012d53155" textlink="TM1HomeAdminBaseCAP">
      <xdr:nvSpPr>
        <xdr:cNvPr id="6" name="TM1Button_14f8369d_1838_46b1_a869_6c3012d53155">
          <a:extLst>
            <a:ext uri="{FF2B5EF4-FFF2-40B4-BE49-F238E27FC236}">
              <a16:creationId xmlns:a16="http://schemas.microsoft.com/office/drawing/2014/main" id="{A2D3A572-5D91-DFEA-4FF9-2CD0E1BCD7A0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10C903-F182-436D-AF34-7A568973CF3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56</xdr:row>
      <xdr:rowOff>47625</xdr:rowOff>
    </xdr:from>
    <xdr:to>
      <xdr:col>14</xdr:col>
      <xdr:colOff>752475</xdr:colOff>
      <xdr:row>58</xdr:row>
      <xdr:rowOff>57150</xdr:rowOff>
    </xdr:to>
    <xdr:sp macro="Sheet1.ExecuteAction_0a543112_f346_4209_9035_1a5a68c65e3d" textlink="TM1HomeAdminRDSCAP">
      <xdr:nvSpPr>
        <xdr:cNvPr id="7" name="TM1Button_0a543112_f346_4209_9035_1a5a68c65e3d">
          <a:extLst>
            <a:ext uri="{FF2B5EF4-FFF2-40B4-BE49-F238E27FC236}">
              <a16:creationId xmlns:a16="http://schemas.microsoft.com/office/drawing/2014/main" id="{9488180D-26AA-09DE-7C90-09185C5B1B5B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5ED0FF2-2124-4EDE-A0B6-C6D52D8DAB7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85725</xdr:rowOff>
    </xdr:from>
    <xdr:to>
      <xdr:col>14</xdr:col>
      <xdr:colOff>752475</xdr:colOff>
      <xdr:row>64</xdr:row>
      <xdr:rowOff>152400</xdr:rowOff>
    </xdr:to>
    <xdr:sp macro="Sheet1.ExecuteAction_29b83953_9326_4776_aca7_26dbe6d473ce" textlink="TM1HomeAdminFavCAP">
      <xdr:nvSpPr>
        <xdr:cNvPr id="8" name="TM1Button_29b83953_9326_4776_aca7_26dbe6d473ce">
          <a:extLst>
            <a:ext uri="{FF2B5EF4-FFF2-40B4-BE49-F238E27FC236}">
              <a16:creationId xmlns:a16="http://schemas.microsoft.com/office/drawing/2014/main" id="{65C28EBE-3D04-1FCE-4D4D-5B61E1BDAA86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0AD02CA-DCD0-42F1-98F6-96829B17FDA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58</xdr:row>
      <xdr:rowOff>104775</xdr:rowOff>
    </xdr:from>
    <xdr:to>
      <xdr:col>14</xdr:col>
      <xdr:colOff>752475</xdr:colOff>
      <xdr:row>60</xdr:row>
      <xdr:rowOff>114300</xdr:rowOff>
    </xdr:to>
    <xdr:sp macro="Sheet1.ExecuteAction_0c880ec3_52e3_4acb_b528_caa27c69ce0d" textlink="TM1HomeAdminRDSMapCAP">
      <xdr:nvSpPr>
        <xdr:cNvPr id="10" name="TM1Button_0c880ec3_52e3_4acb_b528_caa27c69ce0d">
          <a:extLst>
            <a:ext uri="{FF2B5EF4-FFF2-40B4-BE49-F238E27FC236}">
              <a16:creationId xmlns:a16="http://schemas.microsoft.com/office/drawing/2014/main" id="{DBBEC0FD-45CF-4237-2105-A7631616460C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1DF5F12-E377-453F-87CB-43E10AC899C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RECALC_0_2833_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60</xdr:row>
      <xdr:rowOff>161925</xdr:rowOff>
    </xdr:from>
    <xdr:to>
      <xdr:col>21</xdr:col>
      <xdr:colOff>1038225</xdr:colOff>
      <xdr:row>62</xdr:row>
      <xdr:rowOff>38100</xdr:rowOff>
    </xdr:to>
    <xdr:sp macro="Sheet1.ExecuteAction_5be5e09a_b01a_4998_b822_e38d6f4e92d1" textlink="">
      <xdr:nvSpPr>
        <xdr:cNvPr id="13" name="TM1Button_5be5e09a_b01a_4998_b822_e38d6f4e92d1">
          <a:extLst>
            <a:ext uri="{FF2B5EF4-FFF2-40B4-BE49-F238E27FC236}">
              <a16:creationId xmlns:a16="http://schemas.microsoft.com/office/drawing/2014/main" id="{83A8F7F6-5735-9AFC-AFCA-91E5EE461D6E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Default Account Favourites To Programs</a:t>
          </a:r>
        </a:p>
      </xdr:txBody>
    </xdr:sp>
    <xdr:clientData/>
  </xdr:twoCellAnchor>
  <xdr:twoCellAnchor editAs="oneCell">
    <xdr:from>
      <xdr:col>10</xdr:col>
      <xdr:colOff>123825</xdr:colOff>
      <xdr:row>49</xdr:row>
      <xdr:rowOff>47625</xdr:rowOff>
    </xdr:from>
    <xdr:to>
      <xdr:col>13</xdr:col>
      <xdr:colOff>38100</xdr:colOff>
      <xdr:row>51</xdr:row>
      <xdr:rowOff>85725</xdr:rowOff>
    </xdr:to>
    <xdr:sp macro="Sheet1.ExecuteAction_8551f000_8478_450f_8a92_924732aba9a6" textlink="TM1HomeCAP">
      <xdr:nvSpPr>
        <xdr:cNvPr id="14" name="TM1Button_8551f000_8478_450f_8a92_924732aba9a6">
          <a:extLst>
            <a:ext uri="{FF2B5EF4-FFF2-40B4-BE49-F238E27FC236}">
              <a16:creationId xmlns:a16="http://schemas.microsoft.com/office/drawing/2014/main" id="{93592C40-63AA-E174-B622-5162042A9786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E939F16-4A7C-4D82-97A2-6E961A63132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49</xdr:row>
      <xdr:rowOff>47625</xdr:rowOff>
    </xdr:from>
    <xdr:to>
      <xdr:col>15</xdr:col>
      <xdr:colOff>352425</xdr:colOff>
      <xdr:row>51</xdr:row>
      <xdr:rowOff>85725</xdr:rowOff>
    </xdr:to>
    <xdr:sp macro="Sheet1.ExecuteAction_99dc862f_b11c_4712_9ddd_d054ba1c0a72" textlink="TM1HomeAECAP">
      <xdr:nvSpPr>
        <xdr:cNvPr id="15" name="TM1Button_99dc862f_b11c_4712_9ddd_d054ba1c0a72">
          <a:extLst>
            <a:ext uri="{FF2B5EF4-FFF2-40B4-BE49-F238E27FC236}">
              <a16:creationId xmlns:a16="http://schemas.microsoft.com/office/drawing/2014/main" id="{8ADE2F22-7FC7-6A70-3BA4-7649074F962E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C673A27-6E17-4651-8FBC-F9B8B77AB12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49</xdr:row>
      <xdr:rowOff>38100</xdr:rowOff>
    </xdr:from>
    <xdr:to>
      <xdr:col>19</xdr:col>
      <xdr:colOff>1104900</xdr:colOff>
      <xdr:row>51</xdr:row>
      <xdr:rowOff>76200</xdr:rowOff>
    </xdr:to>
    <xdr:sp macro="Sheet1.ExecuteAction_efcc6b93_016b_47c9_91c0_ca7e38cd4a75" textlink="TM1HomeRepCAP">
      <xdr:nvSpPr>
        <xdr:cNvPr id="16" name="TM1Button_efcc6b93_016b_47c9_91c0_ca7e38cd4a75">
          <a:extLst>
            <a:ext uri="{FF2B5EF4-FFF2-40B4-BE49-F238E27FC236}">
              <a16:creationId xmlns:a16="http://schemas.microsoft.com/office/drawing/2014/main" id="{3A452BCA-E819-72C7-7635-82C7591E0119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5F2E0E9-2D4B-4405-859E-E9945DEB07F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49</xdr:row>
      <xdr:rowOff>38100</xdr:rowOff>
    </xdr:from>
    <xdr:to>
      <xdr:col>22</xdr:col>
      <xdr:colOff>114300</xdr:colOff>
      <xdr:row>51</xdr:row>
      <xdr:rowOff>76200</xdr:rowOff>
    </xdr:to>
    <xdr:sp macro="Sheet1.ExecuteAction_9d31bb63_3711_49b1_866b_e8e9ccdf8dc4" textlink="TM1HomeAdminCAP">
      <xdr:nvSpPr>
        <xdr:cNvPr id="17" name="TM1Button_9d31bb63_3711_49b1_866b_e8e9ccdf8dc4">
          <a:extLst>
            <a:ext uri="{FF2B5EF4-FFF2-40B4-BE49-F238E27FC236}">
              <a16:creationId xmlns:a16="http://schemas.microsoft.com/office/drawing/2014/main" id="{4CC65094-0AF1-5AFB-2DAA-044938371E17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76AA11-0909-4873-B3C9-14EB1C90F7A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53</xdr:row>
      <xdr:rowOff>47625</xdr:rowOff>
    </xdr:from>
    <xdr:to>
      <xdr:col>21</xdr:col>
      <xdr:colOff>1038225</xdr:colOff>
      <xdr:row>56</xdr:row>
      <xdr:rowOff>0</xdr:rowOff>
    </xdr:to>
    <xdr:sp macro="Sheet1.ExecuteAction_6ba5a655_cafc_41c2_83f0_b1edc59a5a72" textlink="">
      <xdr:nvSpPr>
        <xdr:cNvPr id="18" name="TM1Button_6ba5a655_cafc_41c2_83f0_b1edc59a5a72">
          <a:extLst>
            <a:ext uri="{FF2B5EF4-FFF2-40B4-BE49-F238E27FC236}">
              <a16:creationId xmlns:a16="http://schemas.microsoft.com/office/drawing/2014/main" id="{2665CB97-B182-BD83-8E85-45940669FF7D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User Application Favourites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88"/>
  <sheetViews>
    <sheetView showGridLines="0" tabSelected="1" showOutlineSymbols="0" topLeftCell="J46" workbookViewId="0"/>
  </sheetViews>
  <sheetFormatPr defaultRowHeight="15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45</v>
      </c>
      <c r="D2" s="4"/>
    </row>
    <row r="3" spans="2:4" hidden="1" outlineLevel="1" x14ac:dyDescent="0.25">
      <c r="B3" s="2" t="s">
        <v>22</v>
      </c>
      <c r="C3" s="10" t="str">
        <f>_xll.VIEW(db_name&amp;":}ElementAttributes_}Clients","!","!")</f>
        <v>finance_geus:}ElementAttributes_}Clients:1264217196-1217335299</v>
      </c>
      <c r="D3" s="4"/>
    </row>
    <row r="4" spans="2:4" hidden="1" outlineLevel="1" x14ac:dyDescent="0.25">
      <c r="B4" s="2" t="s">
        <v>21</v>
      </c>
      <c r="C4" s="3" t="str">
        <f ca="1">_xll.TM1USER(db_name)</f>
        <v>RECALC_0_100_</v>
      </c>
      <c r="D4" s="4"/>
    </row>
    <row r="5" spans="2:4" hidden="1" outlineLevel="1" x14ac:dyDescent="0.25">
      <c r="B5" s="2" t="s">
        <v>23</v>
      </c>
      <c r="C5" s="3" t="str">
        <f ca="1">_xll.DBR($C$3,$C$4,$B5)</f>
        <v>RECALC_1_101_</v>
      </c>
      <c r="D5" s="4"/>
    </row>
    <row r="6" spans="2:4" hidden="1" outlineLevel="1" x14ac:dyDescent="0.25">
      <c r="B6" s="2" t="s">
        <v>24</v>
      </c>
      <c r="C6" s="3" t="str">
        <f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IF(LEFT($C$4,3)="CAM",$C$6,$C$5)</f>
        <v>RECALC_1_101_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>
        <f>_xll.VIEW(db_name&amp;":}ElementAttributes_variables","!","!")</f>
        <v>finance_geus:}ElementAttributes_variables:1264217196386248994</v>
      </c>
      <c r="D10" s="1"/>
    </row>
    <row r="11" spans="2:4" hidden="1" outlineLevel="1" x14ac:dyDescent="0.25">
      <c r="B11" s="2" t="s">
        <v>8</v>
      </c>
      <c r="C11" s="1" t="str">
        <f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>
        <f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>
        <f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>
        <f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str">
        <f>_xll.VIEW(db_name&amp;":sys_client preference","!","!","!")</f>
        <v>finance_geus:sys_client preference:1264217196282573576</v>
      </c>
      <c r="D18" s="1"/>
    </row>
    <row r="19" spans="2:8" hidden="1" outlineLevel="1" x14ac:dyDescent="0.25">
      <c r="B19" s="2" t="s">
        <v>14</v>
      </c>
      <c r="C19" s="1" t="str">
        <f ca="1">_xll.DBR($C$18,psUser,$B19,"value")</f>
        <v>RECALC_2_103_</v>
      </c>
      <c r="D19" s="1"/>
    </row>
    <row r="20" spans="2:8" hidden="1" outlineLevel="1" x14ac:dyDescent="0.25">
      <c r="B20" s="2" t="s">
        <v>15</v>
      </c>
      <c r="C20" s="1" t="str">
        <f ca="1">_xll.DBR($C$18,psUser,$B20,"value")</f>
        <v>RECALC_2_104_</v>
      </c>
      <c r="D20" s="1"/>
    </row>
    <row r="21" spans="2:8" hidden="1" outlineLevel="1" x14ac:dyDescent="0.25">
      <c r="B21" s="2" t="s">
        <v>16</v>
      </c>
      <c r="C21" s="1" t="str">
        <f ca="1">_xll.DBR($C$18,psUser,$B21,"value")</f>
        <v>RECALC_2_105_</v>
      </c>
      <c r="D21" s="1"/>
    </row>
    <row r="22" spans="2:8" hidden="1" outlineLevel="1" x14ac:dyDescent="0.25">
      <c r="B22" s="2" t="s">
        <v>17</v>
      </c>
      <c r="C22" s="1" t="str">
        <f ca="1">_xll.DBR($C$18,psUser,$B22,"value")</f>
        <v>RECALC_2_188_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str">
        <f>_xll.VIEW(db_name&amp;":sys_application","!","!")</f>
        <v>finance_geus:sys_application:12642171961734941619</v>
      </c>
      <c r="D26" s="12"/>
    </row>
    <row r="27" spans="2:8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8" hidden="1" outlineLevel="1" x14ac:dyDescent="0.25">
      <c r="B28" s="1" t="s">
        <v>25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</row>
    <row r="29" spans="2:8" hidden="1" outlineLevel="1" x14ac:dyDescent="0.25">
      <c r="B29" s="1" t="s">
        <v>26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</row>
    <row r="30" spans="2:8" hidden="1" outlineLevel="1" x14ac:dyDescent="0.25">
      <c r="B30" s="1" t="s">
        <v>27</v>
      </c>
      <c r="C30" s="1" t="str">
        <f ca="1">_xll.DBR($C$26,$B30,C$27)</f>
        <v>RECALC_0_71_</v>
      </c>
      <c r="D30" s="1" t="str">
        <f ca="1">_xll.DBR($C$26,$B30,D$27)</f>
        <v>RECALC_0_70_</v>
      </c>
      <c r="E30" s="1" t="str">
        <f ca="1">_xll.DBR($C$26,$B30,E$27)</f>
        <v>RECALC_0_69_</v>
      </c>
      <c r="F30" s="1" t="str">
        <f ca="1">_xll.DBR($C$26,$B30,F$27)</f>
        <v>RECALC_0_68_</v>
      </c>
      <c r="G30" s="1" t="str">
        <f ca="1">_xll.DBR($C$26,$B30,G$27)</f>
        <v>RECALC_0_67_</v>
      </c>
      <c r="H30" s="1" t="str">
        <f ca="1">_xll.DBR($C$26,$B30,H$27)</f>
        <v>RECALC_0_66_</v>
      </c>
    </row>
    <row r="31" spans="2:8" hidden="1" outlineLevel="1" x14ac:dyDescent="0.25">
      <c r="B31" s="1" t="s">
        <v>28</v>
      </c>
      <c r="C31" s="1" t="str">
        <f ca="1">_xll.DBR($C$26,$B31,C$27)</f>
        <v>RECALC_0_65_</v>
      </c>
      <c r="D31" s="1" t="str">
        <f ca="1">_xll.DBR($C$26,$B31,D$27)</f>
        <v>RECALC_0_64_</v>
      </c>
      <c r="E31" s="1" t="str">
        <f ca="1">_xll.DBR($C$26,$B31,E$27)</f>
        <v>RECALC_0_63_</v>
      </c>
      <c r="F31" s="1" t="str">
        <f ca="1">_xll.DBR($C$26,$B31,F$27)</f>
        <v>RECALC_0_62_</v>
      </c>
      <c r="G31" s="1" t="str">
        <f ca="1">_xll.DBR($C$26,$B31,G$27)</f>
        <v>RECALC_0_61_</v>
      </c>
      <c r="H31" s="1" t="str">
        <f ca="1">_xll.DBR($C$26,$B31,H$27)</f>
        <v>RECALC_0_60_</v>
      </c>
    </row>
    <row r="32" spans="2:8" hidden="1" outlineLevel="1" x14ac:dyDescent="0.25">
      <c r="B32" s="1" t="s">
        <v>34</v>
      </c>
      <c r="C32" s="1" t="str">
        <f ca="1">_xll.DBR($C$26,$B32,C$27)</f>
        <v>RECALC_0_482_</v>
      </c>
      <c r="D32" s="1" t="str">
        <f ca="1">_xll.DBR($C$26,$B32,D$27)</f>
        <v>RECALC_0_481_</v>
      </c>
      <c r="E32" s="1" t="str">
        <f ca="1">_xll.DBR($C$26,$B32,E$27)</f>
        <v>RECALC_0_480_</v>
      </c>
      <c r="F32" s="1" t="str">
        <f ca="1">_xll.DBR($C$26,$B32,F$27)</f>
        <v>RECALC_0_479_</v>
      </c>
      <c r="G32" s="1" t="str">
        <f ca="1">_xll.DBR($C$26,$B32,G$27)</f>
        <v>RECALC_0_478_</v>
      </c>
      <c r="H32" s="1" t="str">
        <f ca="1">_xll.DBR($C$26,$B32,H$27)</f>
        <v>RECALC_0_477_</v>
      </c>
    </row>
    <row r="33" spans="2:23" hidden="1" outlineLevel="1" x14ac:dyDescent="0.25">
      <c r="B33" s="1" t="s">
        <v>39</v>
      </c>
      <c r="C33" s="1" t="str">
        <f ca="1">_xll.DBR($C$26,$B33,C$27)</f>
        <v>RECALC_0_2834_</v>
      </c>
      <c r="D33" s="1" t="str">
        <f ca="1">_xll.DBR($C$26,$B33,D$27)</f>
        <v>RECALC_0_2833_</v>
      </c>
      <c r="E33" s="1" t="str">
        <f ca="1">_xll.DBR($C$26,$B33,E$27)</f>
        <v>RECALC_0_2832_</v>
      </c>
      <c r="F33" s="1" t="str">
        <f ca="1">_xll.DBR($C$26,$B33,F$27)</f>
        <v>RECALC_0_2831_</v>
      </c>
      <c r="G33" s="1" t="str">
        <f ca="1">_xll.DBR($C$26,$B33,G$27)</f>
        <v>RECALC_0_2830_</v>
      </c>
      <c r="H33" s="1" t="str">
        <f ca="1">_xll.DBR($C$26,$B33,H$27)</f>
        <v>RECALC_0_2829_</v>
      </c>
    </row>
    <row r="34" spans="2:23" hidden="1" outlineLevel="1" x14ac:dyDescent="0.25">
      <c r="B34" s="1" t="s">
        <v>35</v>
      </c>
      <c r="C34" s="1" t="str">
        <f ca="1">_xll.DBR($C$26,$B34,C$27)</f>
        <v>RECALC_0_2727_</v>
      </c>
      <c r="D34" s="1" t="str">
        <f ca="1">_xll.DBR($C$26,$B34,D$27)</f>
        <v>RECALC_0_2726_</v>
      </c>
      <c r="E34" s="1" t="str">
        <f ca="1">_xll.DBR($C$26,$B34,E$27)</f>
        <v>RECALC_0_2725_</v>
      </c>
      <c r="F34" s="1" t="str">
        <f ca="1">_xll.DBR($C$26,$B34,F$27)</f>
        <v>RECALC_0_2724_</v>
      </c>
      <c r="G34" s="1" t="str">
        <f ca="1">_xll.DBR($C$26,$B34,G$27)</f>
        <v>RECALC_0_2723_</v>
      </c>
      <c r="H34" s="1" t="str">
        <f ca="1">_xll.DBR($C$26,$B34,H$27)</f>
        <v>RECALC_0_2722_</v>
      </c>
    </row>
    <row r="35" spans="2:23" hidden="1" outlineLevel="1" x14ac:dyDescent="0.25">
      <c r="B35" s="1" t="s">
        <v>36</v>
      </c>
      <c r="C35" s="1" t="str">
        <f ca="1">_xll.DBR($C$26,$B35,C$27)</f>
        <v>RECALC_0_2828_</v>
      </c>
      <c r="D35" s="1" t="str">
        <f ca="1">_xll.DBR($C$26,$B35,D$27)</f>
        <v>RECALC_0_2827_</v>
      </c>
      <c r="E35" s="1" t="str">
        <f ca="1">_xll.DBR($C$26,$B35,E$27)</f>
        <v>RECALC_0_2826_</v>
      </c>
      <c r="F35" s="1" t="str">
        <f ca="1">_xll.DBR($C$26,$B35,F$27)</f>
        <v>RECALC_0_2825_</v>
      </c>
      <c r="G35" s="1" t="str">
        <f ca="1">_xll.DBR($C$26,$B35,G$27)</f>
        <v>RECALC_0_2824_</v>
      </c>
      <c r="H35" s="1" t="str">
        <f ca="1">_xll.DBR($C$26,$B35,H$27)</f>
        <v>RECALC_0_2823_</v>
      </c>
    </row>
    <row r="36" spans="2:23" hidden="1" outlineLevel="1" x14ac:dyDescent="0.25">
      <c r="B36" s="1" t="s">
        <v>37</v>
      </c>
      <c r="C36" s="1" t="str">
        <f ca="1">_xll.DBR($C$26,$B36,C$27)</f>
        <v>RECALC_0_737_</v>
      </c>
      <c r="D36" s="1" t="str">
        <f ca="1">_xll.DBR($C$26,$B36,D$27)</f>
        <v>RECALC_0_736_</v>
      </c>
      <c r="E36" s="1" t="str">
        <f ca="1">_xll.DBR($C$26,$B36,E$27)</f>
        <v>RECALC_0_735_</v>
      </c>
      <c r="F36" s="1" t="str">
        <f ca="1">_xll.DBR($C$26,$B36,F$27)</f>
        <v>RECALC_0_734_</v>
      </c>
      <c r="G36" s="1" t="str">
        <f ca="1">_xll.DBR($C$26,$B36,G$27)</f>
        <v>RECALC_0_733_</v>
      </c>
      <c r="H36" s="1" t="str">
        <f ca="1">_xll.DBR($C$26,$B36,H$27)</f>
        <v>RECALC_0_732_</v>
      </c>
    </row>
    <row r="37" spans="2:23" hidden="1" outlineLevel="1" x14ac:dyDescent="0.25">
      <c r="B37" s="1" t="s">
        <v>29</v>
      </c>
      <c r="C37" s="1" t="str">
        <f ca="1">_xll.DBR($C$26,$B37,C$27)</f>
        <v>RECALC_0_540_</v>
      </c>
      <c r="D37" s="1" t="str">
        <f ca="1">_xll.DBR($C$26,$B37,D$27)</f>
        <v>RECALC_0_539_</v>
      </c>
      <c r="E37" s="1" t="str">
        <f ca="1">_xll.DBR($C$26,$B37,E$27)</f>
        <v>RECALC_0_538_</v>
      </c>
      <c r="F37" s="1" t="str">
        <f ca="1">_xll.DBR($C$26,$B37,F$27)</f>
        <v>RECALC_0_537_</v>
      </c>
      <c r="G37" s="1" t="str">
        <f ca="1">_xll.DBR($C$26,$B37,G$27)</f>
        <v>RECALC_0_536_</v>
      </c>
      <c r="H37" s="1" t="str">
        <f ca="1">_xll.DBR($C$26,$B37,H$27)</f>
        <v>RECALC_0_535_</v>
      </c>
    </row>
    <row r="38" spans="2:23" hidden="1" outlineLevel="1" x14ac:dyDescent="0.25">
      <c r="B38" s="1" t="s">
        <v>40</v>
      </c>
      <c r="C38" s="1" t="str">
        <f ca="1">_xll.DBR($C$26,$B38,C$27)</f>
        <v>RECALC_0_3141_</v>
      </c>
      <c r="D38" s="1" t="str">
        <f ca="1">_xll.DBR($C$26,$B38,D$27)</f>
        <v>RECALC_0_3140_</v>
      </c>
      <c r="E38" s="1" t="str">
        <f ca="1">_xll.DBR($C$26,$B38,E$27)</f>
        <v>RECALC_0_3139_</v>
      </c>
      <c r="F38" s="1" t="str">
        <f ca="1">_xll.DBR($C$26,$B38,F$27)</f>
        <v>RECALC_0_3136_</v>
      </c>
      <c r="G38" s="1" t="str">
        <f ca="1">_xll.DBR($C$26,$B38,G$27)</f>
        <v>RECALC_0_3138_</v>
      </c>
      <c r="H38" s="1" t="str">
        <f ca="1">_xll.DBR($C$26,$B38,H$27)</f>
        <v>RECALC_0_3137_</v>
      </c>
    </row>
    <row r="39" spans="2:23" hidden="1" outlineLevel="1" x14ac:dyDescent="0.25">
      <c r="B39" s="1" t="s">
        <v>41</v>
      </c>
      <c r="C39" s="1" t="str">
        <f ca="1">_xll.DBR($C$26,$B39,C$27)</f>
        <v>RECALC_0_2896_</v>
      </c>
      <c r="D39" s="1" t="str">
        <f ca="1">_xll.DBR($C$26,$B39,D$27)</f>
        <v>RECALC_0_2895_</v>
      </c>
      <c r="E39" s="1" t="str">
        <f ca="1">_xll.DBR($C$26,$B39,E$27)</f>
        <v>RECALC_0_2894_</v>
      </c>
      <c r="F39" s="1" t="str">
        <f ca="1">_xll.DBR($C$26,$B39,F$27)</f>
        <v>RECALC_0_2893_</v>
      </c>
      <c r="G39" s="1" t="str">
        <f ca="1">_xll.DBR($C$26,$B39,G$27)</f>
        <v>RECALC_0_2892_</v>
      </c>
      <c r="H39" s="1" t="str">
        <f ca="1">_xll.DBR($C$26,$B39,H$27)</f>
        <v>RECALC_0_2891_</v>
      </c>
    </row>
    <row r="40" spans="2:23" hidden="1" outlineLevel="1" x14ac:dyDescent="0.25">
      <c r="B40" s="1" t="s">
        <v>42</v>
      </c>
      <c r="C40" s="1" t="str">
        <f ca="1">_xll.DBR($C$26,$B40,C$27)</f>
        <v>RECALC_0_2890_</v>
      </c>
      <c r="D40" s="1" t="str">
        <f ca="1">_xll.DBR($C$26,$B40,D$27)</f>
        <v>RECALC_0_2889_</v>
      </c>
      <c r="E40" s="1" t="str">
        <f ca="1">_xll.DBR($C$26,$B40,E$27)</f>
        <v>RECALC_0_2888_</v>
      </c>
      <c r="F40" s="1" t="str">
        <f ca="1">_xll.DBR($C$26,$B40,F$27)</f>
        <v>RECALC_0_2887_</v>
      </c>
      <c r="G40" s="1" t="str">
        <f ca="1">_xll.DBR($C$26,$B40,G$27)</f>
        <v>RECALC_0_2886_</v>
      </c>
      <c r="H40" s="1" t="str">
        <f ca="1">_xll.DBR($C$26,$B40,H$27)</f>
        <v>RECALC_0_2885_</v>
      </c>
    </row>
    <row r="41" spans="2:23" hidden="1" outlineLevel="1" x14ac:dyDescent="0.25">
      <c r="B41" s="1" t="s">
        <v>43</v>
      </c>
      <c r="C41" s="1" t="str">
        <f ca="1">_xll.DBR($C$26,$B41,C$27)</f>
        <v>RECALC_0_2884_</v>
      </c>
      <c r="D41" s="1" t="str">
        <f ca="1">_xll.DBR($C$26,$B41,D$27)</f>
        <v>RECALC_0_2883_</v>
      </c>
      <c r="E41" s="1" t="str">
        <f ca="1">_xll.DBR($C$26,$B41,E$27)</f>
        <v>RECALC_0_2882_</v>
      </c>
      <c r="F41" s="1" t="str">
        <f ca="1">_xll.DBR($C$26,$B41,F$27)</f>
        <v>RECALC_0_2881_</v>
      </c>
      <c r="G41" s="1" t="str">
        <f ca="1">_xll.DBR($C$26,$B41,G$27)</f>
        <v>RECALC_0_2880_</v>
      </c>
      <c r="H41" s="1" t="str">
        <f ca="1">_xll.DBR($C$26,$B41,H$27)</f>
        <v>RECALC_0_2879_</v>
      </c>
    </row>
    <row r="42" spans="2:23" hidden="1" outlineLevel="1" x14ac:dyDescent="0.25"/>
    <row r="43" spans="2:23" hidden="1" outlineLevel="1" x14ac:dyDescent="0.25"/>
    <row r="44" spans="2:23" hidden="1" outlineLevel="1" x14ac:dyDescent="0.25">
      <c r="F44" s="1"/>
    </row>
    <row r="45" spans="2:23" hidden="1" outlineLevel="1" x14ac:dyDescent="0.25"/>
    <row r="46" spans="2:23" ht="39.75" customHeight="1" collapsed="1" x14ac:dyDescent="0.25"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11" t="str">
        <f ca="1">"Welcome "&amp; psUser</f>
        <v>Welcome RECALC_1_101_</v>
      </c>
    </row>
    <row r="47" spans="2:23" ht="4.5" customHeight="1" x14ac:dyDescent="0.25"/>
    <row r="48" spans="2:23" ht="30" customHeight="1" x14ac:dyDescent="0.25">
      <c r="J48" s="6"/>
      <c r="K48" s="19" t="str">
        <f ca="1">$C$15</f>
        <v>The current scenario is "RECALC_0_230_" for the "RECALC_0_231_" Headline Year. Archive was done for "RECALC_0_484_" on scenario "RECALC_0_483_".</v>
      </c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6"/>
      <c r="W48" s="6"/>
    </row>
    <row r="49" spans="10:23" ht="4.5" customHeight="1" x14ac:dyDescent="0.25"/>
    <row r="53" spans="10:23" ht="24.75" customHeight="1" x14ac:dyDescent="0.25">
      <c r="J53" s="7"/>
      <c r="K53" s="7"/>
      <c r="L53" s="14" t="s">
        <v>38</v>
      </c>
      <c r="M53" s="14"/>
      <c r="N53" s="14"/>
      <c r="O53" s="14"/>
      <c r="P53" s="5"/>
      <c r="R53" s="8"/>
      <c r="S53" s="15" t="s">
        <v>44</v>
      </c>
      <c r="T53" s="15"/>
      <c r="U53" s="15"/>
      <c r="V53" s="15"/>
      <c r="W53" s="8"/>
    </row>
    <row r="54" spans="10:23" ht="4.5" customHeight="1" x14ac:dyDescent="0.25">
      <c r="J54" s="9"/>
      <c r="K54" s="9"/>
      <c r="L54" s="9"/>
      <c r="M54" s="9"/>
      <c r="N54" s="9"/>
      <c r="O54" s="9"/>
      <c r="P54" s="9"/>
      <c r="R54" s="9"/>
      <c r="S54" s="9"/>
      <c r="T54" s="9"/>
      <c r="U54" s="9"/>
      <c r="V54" s="9"/>
      <c r="W54" s="9"/>
    </row>
    <row r="55" spans="10:23" ht="19.5" customHeight="1" x14ac:dyDescent="0.25">
      <c r="J55" s="9"/>
      <c r="K55" s="9"/>
      <c r="L55" s="9"/>
      <c r="M55" s="9"/>
      <c r="N55" s="9"/>
      <c r="O55" s="9"/>
      <c r="P55" s="9"/>
      <c r="R55" s="9"/>
      <c r="S55" s="9"/>
      <c r="T55" s="9"/>
      <c r="U55" s="9"/>
      <c r="V55" s="9"/>
      <c r="W55" s="9"/>
    </row>
    <row r="56" spans="10:23" ht="4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19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4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19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x14ac:dyDescent="0.25">
      <c r="K88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3:O53"/>
    <mergeCell ref="S53:V53"/>
    <mergeCell ref="B1:D1"/>
    <mergeCell ref="B9:D9"/>
    <mergeCell ref="B17:D17"/>
    <mergeCell ref="B25:D25"/>
    <mergeCell ref="K48:U48"/>
  </mergeCells>
  <conditionalFormatting sqref="R53:W53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47" baseType="lpstr">
      <vt:lpstr>Menu</vt:lpstr>
      <vt:lpstr>db_name</vt:lpstr>
      <vt:lpstr>home</vt:lpstr>
      <vt:lpstr>Menu</vt:lpstr>
      <vt:lpstr>psUser</vt:lpstr>
      <vt:lpstr>TM1AdminFavAccCAP</vt:lpstr>
      <vt:lpstr>TM1AdminFavAccWB</vt:lpstr>
      <vt:lpstr>TM1AdminFavAccWS</vt:lpstr>
      <vt:lpstr>TM1AdminFavAppCAP</vt:lpstr>
      <vt:lpstr>TM1AdminFavAppWB</vt:lpstr>
      <vt:lpstr>TM1AdminFavAppWS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2025-08-11T02:59:36Z</dcterms:modified>
</cp:coreProperties>
</file>