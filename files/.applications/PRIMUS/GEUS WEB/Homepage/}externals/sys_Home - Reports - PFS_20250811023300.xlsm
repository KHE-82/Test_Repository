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08E4ED4-9785-4851-A637-A58F23BD96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rng_Start">Menu!#REF!</definedName>
    <definedName name="TM1HomeAdminCAP">Menu!$D$34</definedName>
    <definedName name="TM1HomeAdminWB">Menu!$F$34</definedName>
    <definedName name="TM1HomeAdminWS">Menu!$H$34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Menu!$D$35</definedName>
    <definedName name="TM1HomeUnderWB">Menu!$F$35</definedName>
    <definedName name="TM1HomeUnderWS">Menu!$H$35</definedName>
    <definedName name="TM1HomeWB">Menu!$F$28</definedName>
    <definedName name="TM1HomeWS">Menu!$H$28</definedName>
    <definedName name="TM1REBUILDOPTION">1</definedName>
    <definedName name="TM1RptAEAppropQACAP">Menu!$D$43</definedName>
    <definedName name="TM1RptAEAppropQAWB">Menu!$F$43</definedName>
    <definedName name="TM1RptAEAppropQAWS">Menu!$H$43</definedName>
    <definedName name="TM1RptAMTCAP">Menu!$D$38</definedName>
    <definedName name="TM1RptAMTWB">Menu!$F$38</definedName>
    <definedName name="TM1RptAMTWS">Menu!$H$38</definedName>
    <definedName name="TM1RptAppropOCProgCAP">Menu!$D$44</definedName>
    <definedName name="TM1RptAppropOCProgWB">Menu!$F$44</definedName>
    <definedName name="TM1RptAppropOCProgWS">Menu!$H$44</definedName>
    <definedName name="TM1RptBSMACAP">Menu!$D$37</definedName>
    <definedName name="TM1RptBSMAWB">Menu!$F$37</definedName>
    <definedName name="TM1RptBSMAWS">Menu!$H$37</definedName>
    <definedName name="TM1RptCBSCAP">Menu!$D$41</definedName>
    <definedName name="TM1RptCBSWB">Menu!$F$41</definedName>
    <definedName name="TM1RptCBSWS">Menu!$H$41</definedName>
    <definedName name="TM1RptDetProgMoveCAP">Menu!$D$48</definedName>
    <definedName name="TM1RptDetProgMoveWB">Menu!$F$48</definedName>
    <definedName name="TM1RptDetProgMoveWS">Menu!$H$48</definedName>
    <definedName name="TM1RptEMTCAP">Menu!$D$39</definedName>
    <definedName name="TM1RptEMTWB">Menu!$F$39</definedName>
    <definedName name="TM1RptEMTWS">Menu!$H$39</definedName>
    <definedName name="TM1RptPFSCAP">Menu!$D$36</definedName>
    <definedName name="TM1RptPFSWB">Menu!$F$36</definedName>
    <definedName name="TM1RptPFSWS">Menu!$H$36</definedName>
    <definedName name="TM1RptProgEstCAP">Menu!$D$45</definedName>
    <definedName name="TM1RptProgEstWB">Menu!$F$45</definedName>
    <definedName name="TM1RptProgEstWS">Menu!$H$45</definedName>
    <definedName name="TM1RptProgMoveCAP">Menu!$D$46</definedName>
    <definedName name="TM1RptProgMoveWB">Menu!$F$46</definedName>
    <definedName name="TM1RptProgMoveWS">Menu!$H$46</definedName>
    <definedName name="TM1RptReasonMoveCAP">Menu!$D$47</definedName>
    <definedName name="TM1RptReasonMoveWB">Menu!$F$47</definedName>
    <definedName name="TM1RptReasonMoveWS">Menu!$H$47</definedName>
    <definedName name="TM1RptRECAP">Menu!$D$40</definedName>
    <definedName name="TM1RptREWB">Menu!$F$40</definedName>
    <definedName name="TM1RptREWS">Menu!$H$40</definedName>
    <definedName name="TM1RptSpecAccCAP">Menu!$D$42</definedName>
    <definedName name="TM1RptSpecAccWB">Menu!$F$42</definedName>
    <definedName name="TM1RptSpecAccWS">Menu!$H$42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7" i="1"/>
  <c r="C26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K90" i="1"/>
  <c r="H35" i="1"/>
  <c r="H34" i="1"/>
  <c r="H30" i="1"/>
  <c r="H29" i="1"/>
  <c r="H28" i="1"/>
  <c r="G35" i="1"/>
  <c r="F35" i="1"/>
  <c r="E35" i="1"/>
  <c r="D35" i="1"/>
  <c r="C35" i="1"/>
  <c r="G34" i="1"/>
  <c r="F34" i="1"/>
  <c r="E34" i="1"/>
  <c r="D34" i="1"/>
  <c r="C34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C6" i="1"/>
  <c r="C18" i="1"/>
  <c r="C10" i="1"/>
  <c r="C12" i="1"/>
  <c r="C11" i="1"/>
  <c r="C13" i="1"/>
  <c r="C14" i="1"/>
  <c r="C15" i="1"/>
  <c r="K54" i="1"/>
  <c r="W52" i="1"/>
  <c r="C22" i="1"/>
  <c r="C21" i="1"/>
  <c r="C20" i="1"/>
  <c r="C19" i="1"/>
</calcChain>
</file>

<file path=xl/sharedStrings.xml><?xml version="1.0" encoding="utf-8"?>
<sst xmlns="http://schemas.openxmlformats.org/spreadsheetml/2006/main" count="56" uniqueCount="53">
  <si>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</si>
  <si>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</si>
  <si>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</si>
  <si>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</si>
  <si>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</si>
  <si>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</si>
  <si>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</si>
  <si>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</si>
  <si>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</si>
  <si>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</si>
  <si>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</si>
  <si>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</si>
  <si>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</si>
  <si>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</si>
  <si>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</si>
  <si>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</si>
  <si>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</si>
  <si>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</si>
  <si>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</si>
  <si>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</si>
  <si>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</si>
  <si>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</si>
  <si>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</si>
  <si>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</si>
  <si>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</si>
  <si>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</si>
  <si>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</si>
  <si>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</si>
  <si>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</si>
  <si>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</si>
  <si>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</si>
  <si>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</si>
  <si>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</si>
  <si>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</si>
  <si>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</si>
  <si>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</si>
  <si>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</si>
  <si>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</si>
  <si>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PRIMARY FINANCIAL STATEMENTS MENU</t>
  </si>
  <si>
    <t>Reports - Primary Financial Statements</t>
  </si>
  <si>
    <t>Reports - Balance Sheet By Movement Account</t>
  </si>
  <si>
    <t>Reports - Asset Movement Table</t>
  </si>
  <si>
    <t>Reports - Equity Movement Table</t>
  </si>
  <si>
    <t>Reports - Related Entity Report</t>
  </si>
  <si>
    <t>Reports - Capital Budget Statements</t>
  </si>
  <si>
    <t>Reports - Special Accounts</t>
  </si>
  <si>
    <t>Reports - Annual Estimates Appropriation QA Report</t>
  </si>
  <si>
    <t>Reports - Appropriation By Outcome Program Report</t>
  </si>
  <si>
    <t>Reports - Program Estimates Report</t>
  </si>
  <si>
    <t>Reports - Summary Movement By Program</t>
  </si>
  <si>
    <t>Reports - Summary Movement By Reason Code</t>
  </si>
  <si>
    <t>Reports - Detailed Movement By Program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</si>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</sst>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53</xdr:row>
      <xdr:rowOff>55686</xdr:rowOff>
    </xdr:from>
    <xdr:to>
      <xdr:col>22</xdr:col>
      <xdr:colOff>206290</xdr:colOff>
      <xdr:row>53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58</xdr:row>
      <xdr:rowOff>57150</xdr:rowOff>
    </xdr:from>
    <xdr:to>
      <xdr:col>15</xdr:col>
      <xdr:colOff>307716</xdr:colOff>
      <xdr:row>58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289046</xdr:colOff>
      <xdr:row>58</xdr:row>
      <xdr:rowOff>257475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28575</xdr:rowOff>
    </xdr:from>
    <xdr:to>
      <xdr:col>12</xdr:col>
      <xdr:colOff>57150</xdr:colOff>
      <xdr:row>51</xdr:row>
      <xdr:rowOff>485775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289046</xdr:colOff>
      <xdr:row>58</xdr:row>
      <xdr:rowOff>257475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0</xdr:row>
      <xdr:rowOff>0</xdr:rowOff>
    </xdr:from>
    <xdr:to>
      <xdr:col>26</xdr:col>
      <xdr:colOff>57150</xdr:colOff>
      <xdr:row>58</xdr:row>
      <xdr:rowOff>295276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59</xdr:row>
      <xdr:rowOff>47625</xdr:rowOff>
    </xdr:from>
    <xdr:to>
      <xdr:col>14</xdr:col>
      <xdr:colOff>752475</xdr:colOff>
      <xdr:row>62</xdr:row>
      <xdr:rowOff>0</xdr:rowOff>
    </xdr:to>
    <xdr:sp macro="Sheet1.ExecuteAction_f2d05d4f_2af1_4179_9c4a_3761ac6e9c2f" textlink="TM1HomeRepPFSCAP">
      <xdr:nvSpPr>
        <xdr:cNvPr id="2" name="TM1Button_f2d05d4f_2af1_4179_9c4a_3761ac6e9c2f">
          <a:extLst>
            <a:ext uri="{FF2B5EF4-FFF2-40B4-BE49-F238E27FC236}">
              <a16:creationId xmlns:a16="http://schemas.microsoft.com/office/drawing/2014/main" id="{4E5C4179-3A33-2A7F-12F4-50401B8EAB66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999B6A-C1CB-4C89-A902-4EB89774B12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RECALC_0_3314_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62</xdr:row>
      <xdr:rowOff>47625</xdr:rowOff>
    </xdr:from>
    <xdr:to>
      <xdr:col>21</xdr:col>
      <xdr:colOff>1038225</xdr:colOff>
      <xdr:row>64</xdr:row>
      <xdr:rowOff>57150</xdr:rowOff>
    </xdr:to>
    <xdr:sp macro="Sheet1.ExecuteAction_988c8114_b69d_4ee4_8401_c821b5dd9a62" textlink="TM1RptBSMACAP">
      <xdr:nvSpPr>
        <xdr:cNvPr id="3" name="TM1Button_988c8114_b69d_4ee4_8401_c821b5dd9a62">
          <a:extLst>
            <a:ext uri="{FF2B5EF4-FFF2-40B4-BE49-F238E27FC236}">
              <a16:creationId xmlns:a16="http://schemas.microsoft.com/office/drawing/2014/main" id="{11F942A0-E87D-A9DC-A877-3C8817479151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1A61598-ADE1-4B3A-8CB0-8F1F6C724F9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RECALC_0_3428_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104775</xdr:rowOff>
    </xdr:from>
    <xdr:to>
      <xdr:col>21</xdr:col>
      <xdr:colOff>1038225</xdr:colOff>
      <xdr:row>66</xdr:row>
      <xdr:rowOff>114300</xdr:rowOff>
    </xdr:to>
    <xdr:sp macro="Sheet1.ExecuteAction_2f2e0b9f_e2e6_42a0_8cf2_6bf0fffeaae6" textlink="TM1RptAMTCAP">
      <xdr:nvSpPr>
        <xdr:cNvPr id="4" name="TM1Button_2f2e0b9f_e2e6_42a0_8cf2_6bf0fffeaae6">
          <a:extLst>
            <a:ext uri="{FF2B5EF4-FFF2-40B4-BE49-F238E27FC236}">
              <a16:creationId xmlns:a16="http://schemas.microsoft.com/office/drawing/2014/main" id="{D5F7A575-3664-5FEA-2DC7-40B30623D5CB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9BC5D14-6B01-4A85-8024-2C321860D4ED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RECALC_0_3422_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161925</xdr:rowOff>
    </xdr:from>
    <xdr:to>
      <xdr:col>21</xdr:col>
      <xdr:colOff>1038225</xdr:colOff>
      <xdr:row>68</xdr:row>
      <xdr:rowOff>38100</xdr:rowOff>
    </xdr:to>
    <xdr:sp macro="Sheet1.ExecuteAction_aa91f42d_94a7_4388_94a7_511e6e97e94f" textlink="TM1RptEMTCAP">
      <xdr:nvSpPr>
        <xdr:cNvPr id="5" name="TM1Button_aa91f42d_94a7_4388_94a7_511e6e97e94f">
          <a:extLst>
            <a:ext uri="{FF2B5EF4-FFF2-40B4-BE49-F238E27FC236}">
              <a16:creationId xmlns:a16="http://schemas.microsoft.com/office/drawing/2014/main" id="{428FEBA4-066C-261F-E22B-1720C42E1A95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B920631-A7BB-44E9-8DAE-A9E1E514DE5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RECALC_0_3416_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68</xdr:row>
      <xdr:rowOff>85725</xdr:rowOff>
    </xdr:from>
    <xdr:to>
      <xdr:col>21</xdr:col>
      <xdr:colOff>1038225</xdr:colOff>
      <xdr:row>70</xdr:row>
      <xdr:rowOff>152400</xdr:rowOff>
    </xdr:to>
    <xdr:sp macro="Sheet1.ExecuteAction_f5c6bfc2_21de_4b30_bf00_59bc6b9bf2de" textlink="TM1RptCBSCAP">
      <xdr:nvSpPr>
        <xdr:cNvPr id="6" name="TM1Button_f5c6bfc2_21de_4b30_bf00_59bc6b9bf2de">
          <a:extLst>
            <a:ext uri="{FF2B5EF4-FFF2-40B4-BE49-F238E27FC236}">
              <a16:creationId xmlns:a16="http://schemas.microsoft.com/office/drawing/2014/main" id="{A7D3741F-6F0E-F7CE-9ACF-C0A7A0C59163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BBDB6CE-0B92-45E6-9B13-CDE5D027B6D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RECALC_0_3404_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71</xdr:row>
      <xdr:rowOff>9525</xdr:rowOff>
    </xdr:from>
    <xdr:to>
      <xdr:col>21</xdr:col>
      <xdr:colOff>1038225</xdr:colOff>
      <xdr:row>74</xdr:row>
      <xdr:rowOff>19050</xdr:rowOff>
    </xdr:to>
    <xdr:sp macro="Sheet1.ExecuteAction_57b90032_fd5a_4301_bb3d_2bb7446a1abb" textlink="TM1RptSpecAccCAP">
      <xdr:nvSpPr>
        <xdr:cNvPr id="7" name="TM1Button_57b90032_fd5a_4301_bb3d_2bb7446a1abb">
          <a:extLst>
            <a:ext uri="{FF2B5EF4-FFF2-40B4-BE49-F238E27FC236}">
              <a16:creationId xmlns:a16="http://schemas.microsoft.com/office/drawing/2014/main" id="{46A9A05B-C3D9-A2CF-053B-A4F5DCEE0EFB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4A7605-CF26-4D51-A338-1D85458480B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RECALC_0_3398_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74</xdr:row>
      <xdr:rowOff>66675</xdr:rowOff>
    </xdr:from>
    <xdr:to>
      <xdr:col>21</xdr:col>
      <xdr:colOff>1038225</xdr:colOff>
      <xdr:row>76</xdr:row>
      <xdr:rowOff>133350</xdr:rowOff>
    </xdr:to>
    <xdr:sp macro="Sheet1.ExecuteAction_96afc963_3895_42a3_a274_533e47c0ee0d" textlink="TM1RptRECAP">
      <xdr:nvSpPr>
        <xdr:cNvPr id="8" name="TM1Button_96afc963_3895_42a3_a274_533e47c0ee0d">
          <a:extLst>
            <a:ext uri="{FF2B5EF4-FFF2-40B4-BE49-F238E27FC236}">
              <a16:creationId xmlns:a16="http://schemas.microsoft.com/office/drawing/2014/main" id="{94BA078B-04B5-43C2-C5F8-B7CCFA385696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C884FBD-B711-44F5-89F9-80EB2E4073ED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RECALC_0_3410_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80</xdr:row>
      <xdr:rowOff>47625</xdr:rowOff>
    </xdr:from>
    <xdr:to>
      <xdr:col>21</xdr:col>
      <xdr:colOff>1038225</xdr:colOff>
      <xdr:row>82</xdr:row>
      <xdr:rowOff>114300</xdr:rowOff>
    </xdr:to>
    <xdr:sp macro="Sheet1.ExecuteAction_26278002_0fa4_4902_8b51_bc252fc63c80" textlink="TM1RptAppropOCProgCAP">
      <xdr:nvSpPr>
        <xdr:cNvPr id="10" name="TM1Button_26278002_0fa4_4902_8b51_bc252fc63c80">
          <a:extLst>
            <a:ext uri="{FF2B5EF4-FFF2-40B4-BE49-F238E27FC236}">
              <a16:creationId xmlns:a16="http://schemas.microsoft.com/office/drawing/2014/main" id="{79B0C614-6869-33C5-20D5-A75553DBA8B9}"/>
            </a:ext>
          </a:extLst>
        </xdr:cNvPr>
        <xdr:cNvSpPr txBox="1"/>
      </xdr:nvSpPr>
      <xdr:spPr>
        <a:xfrm>
          <a:off x="6858000" y="48291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A121D7-066F-47C4-BA1F-E5D7A80B707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RECALC_0_2470_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82</xdr:row>
      <xdr:rowOff>161925</xdr:rowOff>
    </xdr:from>
    <xdr:to>
      <xdr:col>21</xdr:col>
      <xdr:colOff>1038225</xdr:colOff>
      <xdr:row>85</xdr:row>
      <xdr:rowOff>47625</xdr:rowOff>
    </xdr:to>
    <xdr:sp macro="Sheet1.ExecuteAction_91522ad4_5760_4aa1_b471_e70db0bb9e8f" textlink="TM1RptProgMoveCAP">
      <xdr:nvSpPr>
        <xdr:cNvPr id="13" name="TM1Button_91522ad4_5760_4aa1_b471_e70db0bb9e8f">
          <a:extLst>
            <a:ext uri="{FF2B5EF4-FFF2-40B4-BE49-F238E27FC236}">
              <a16:creationId xmlns:a16="http://schemas.microsoft.com/office/drawing/2014/main" id="{CB926003-592A-0AA9-7C03-FF85755D9E3D}"/>
            </a:ext>
          </a:extLst>
        </xdr:cNvPr>
        <xdr:cNvSpPr txBox="1"/>
      </xdr:nvSpPr>
      <xdr:spPr>
        <a:xfrm>
          <a:off x="6858000" y="5191125"/>
          <a:ext cx="4695825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7B85A55-7652-48AC-BE98-A6025133154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RECALC_0_2488_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86</xdr:row>
      <xdr:rowOff>28575</xdr:rowOff>
    </xdr:from>
    <xdr:to>
      <xdr:col>21</xdr:col>
      <xdr:colOff>1038225</xdr:colOff>
      <xdr:row>87</xdr:row>
      <xdr:rowOff>152400</xdr:rowOff>
    </xdr:to>
    <xdr:sp macro="Sheet1.ExecuteAction_869f5eb3_1ace_4844_a68b_d98bc477526a" textlink="TM1RptReasonMoveCAP">
      <xdr:nvSpPr>
        <xdr:cNvPr id="14" name="TM1Button_869f5eb3_1ace_4844_a68b_d98bc477526a">
          <a:extLst>
            <a:ext uri="{FF2B5EF4-FFF2-40B4-BE49-F238E27FC236}">
              <a16:creationId xmlns:a16="http://schemas.microsoft.com/office/drawing/2014/main" id="{25E0C5E9-8AD8-EE34-A368-447D3E2D9347}"/>
            </a:ext>
          </a:extLst>
        </xdr:cNvPr>
        <xdr:cNvSpPr txBox="1"/>
      </xdr:nvSpPr>
      <xdr:spPr>
        <a:xfrm>
          <a:off x="6858000" y="55530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276CBA-2AC2-4AF6-B207-7E69C6D4705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RECALC_0_2482_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47625</xdr:rowOff>
    </xdr:from>
    <xdr:to>
      <xdr:col>14</xdr:col>
      <xdr:colOff>752475</xdr:colOff>
      <xdr:row>64</xdr:row>
      <xdr:rowOff>57150</xdr:rowOff>
    </xdr:to>
    <xdr:sp macro="Sheet1.ExecuteAction_82d819da_d5f5_49bd_83f5_b2c9d32f8ceb" textlink="TM1HomeRepOtherCAP">
      <xdr:nvSpPr>
        <xdr:cNvPr id="15" name="TM1Button_82d819da_d5f5_49bd_83f5_b2c9d32f8ceb">
          <a:extLst>
            <a:ext uri="{FF2B5EF4-FFF2-40B4-BE49-F238E27FC236}">
              <a16:creationId xmlns:a16="http://schemas.microsoft.com/office/drawing/2014/main" id="{84698E7B-7A2D-4B02-179A-EDBC4838B2D5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37D831-0120-476F-BD5D-369531E36FF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104775</xdr:rowOff>
    </xdr:from>
    <xdr:to>
      <xdr:col>14</xdr:col>
      <xdr:colOff>752475</xdr:colOff>
      <xdr:row>66</xdr:row>
      <xdr:rowOff>114300</xdr:rowOff>
    </xdr:to>
    <xdr:sp macro="Sheet1.ExecuteAction_8dd1648a_f64a_4bbb_9a14_d6c5a74f1308" textlink="TM1HomeRepAnalyticalCAP">
      <xdr:nvSpPr>
        <xdr:cNvPr id="16" name="TM1Button_8dd1648a_f64a_4bbb_9a14_d6c5a74f1308">
          <a:extLst>
            <a:ext uri="{FF2B5EF4-FFF2-40B4-BE49-F238E27FC236}">
              <a16:creationId xmlns:a16="http://schemas.microsoft.com/office/drawing/2014/main" id="{1A5785D5-ABA1-CC42-1042-33384824FD5E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10F254-446C-4272-B131-0AE80552C8D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77</xdr:row>
      <xdr:rowOff>0</xdr:rowOff>
    </xdr:from>
    <xdr:to>
      <xdr:col>21</xdr:col>
      <xdr:colOff>1038225</xdr:colOff>
      <xdr:row>80</xdr:row>
      <xdr:rowOff>19050</xdr:rowOff>
    </xdr:to>
    <xdr:sp macro="Sheet1.ExecuteAction_3a0dfe91_bc4c_4df2_970f_a2571b26f3d5" textlink="TM1RptAEAppropQACAP">
      <xdr:nvSpPr>
        <xdr:cNvPr id="17" name="TM1Button_3a0dfe91_bc4c_4df2_970f_a2571b26f3d5">
          <a:extLst>
            <a:ext uri="{FF2B5EF4-FFF2-40B4-BE49-F238E27FC236}">
              <a16:creationId xmlns:a16="http://schemas.microsoft.com/office/drawing/2014/main" id="{4B4E6020-61C7-F2D2-EF71-8ED3A12BA362}"/>
            </a:ext>
          </a:extLst>
        </xdr:cNvPr>
        <xdr:cNvSpPr txBox="1"/>
      </xdr:nvSpPr>
      <xdr:spPr>
        <a:xfrm>
          <a:off x="6858000" y="4476750"/>
          <a:ext cx="4695825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ECC32FD-1FD8-4ACC-92D5-D9022C61A4B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RECALC_0_2476_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55</xdr:row>
      <xdr:rowOff>47625</xdr:rowOff>
    </xdr:from>
    <xdr:to>
      <xdr:col>13</xdr:col>
      <xdr:colOff>38100</xdr:colOff>
      <xdr:row>57</xdr:row>
      <xdr:rowOff>85725</xdr:rowOff>
    </xdr:to>
    <xdr:sp macro="Sheet1.ExecuteAction_765b30b2_93dd_40cc_89c7_1c953c309421" textlink="TM1HomeCAP">
      <xdr:nvSpPr>
        <xdr:cNvPr id="18" name="TM1Button_765b30b2_93dd_40cc_89c7_1c953c309421">
          <a:extLst>
            <a:ext uri="{FF2B5EF4-FFF2-40B4-BE49-F238E27FC236}">
              <a16:creationId xmlns:a16="http://schemas.microsoft.com/office/drawing/2014/main" id="{BA87BE2D-DA6A-BC19-A88D-82D4D01C6660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FB441E-ED1F-415F-83F6-A9B40BA82FB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55</xdr:row>
      <xdr:rowOff>47625</xdr:rowOff>
    </xdr:from>
    <xdr:to>
      <xdr:col>15</xdr:col>
      <xdr:colOff>352425</xdr:colOff>
      <xdr:row>57</xdr:row>
      <xdr:rowOff>85725</xdr:rowOff>
    </xdr:to>
    <xdr:sp macro="Sheet1.ExecuteAction_235e0006_79e4_401f_96c6_c81a32298040" textlink="TM1HomeAECAP">
      <xdr:nvSpPr>
        <xdr:cNvPr id="20" name="TM1Button_235e0006_79e4_401f_96c6_c81a32298040">
          <a:extLst>
            <a:ext uri="{FF2B5EF4-FFF2-40B4-BE49-F238E27FC236}">
              <a16:creationId xmlns:a16="http://schemas.microsoft.com/office/drawing/2014/main" id="{2F21460F-CB13-83D8-1361-DB84753EAC9E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37FDD91-3CEF-4EFE-BE3B-C88E56F197F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55</xdr:row>
      <xdr:rowOff>38100</xdr:rowOff>
    </xdr:from>
    <xdr:to>
      <xdr:col>19</xdr:col>
      <xdr:colOff>1104900</xdr:colOff>
      <xdr:row>57</xdr:row>
      <xdr:rowOff>76200</xdr:rowOff>
    </xdr:to>
    <xdr:sp macro="Sheet1.ExecuteAction_a9b5875c_5dec_4b99_badb_d14b3d9f5149" textlink="TM1HomeRepCAP">
      <xdr:nvSpPr>
        <xdr:cNvPr id="22" name="TM1Button_a9b5875c_5dec_4b99_badb_d14b3d9f5149">
          <a:extLst>
            <a:ext uri="{FF2B5EF4-FFF2-40B4-BE49-F238E27FC236}">
              <a16:creationId xmlns:a16="http://schemas.microsoft.com/office/drawing/2014/main" id="{B1CEBE75-0DFB-0811-67F4-78FBE3F863BD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90D62B8-7940-419A-89D7-D4846B2295B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55</xdr:row>
      <xdr:rowOff>38100</xdr:rowOff>
    </xdr:from>
    <xdr:to>
      <xdr:col>22</xdr:col>
      <xdr:colOff>114300</xdr:colOff>
      <xdr:row>57</xdr:row>
      <xdr:rowOff>76200</xdr:rowOff>
    </xdr:to>
    <xdr:sp macro="Sheet1.ExecuteAction_00627116_bb25_43be_b0e2_ebed54e9490d" textlink="TM1HomeAdminCAP">
      <xdr:nvSpPr>
        <xdr:cNvPr id="23" name="TM1Button_00627116_bb25_43be_b0e2_ebed54e9490d">
          <a:extLst>
            <a:ext uri="{FF2B5EF4-FFF2-40B4-BE49-F238E27FC236}">
              <a16:creationId xmlns:a16="http://schemas.microsoft.com/office/drawing/2014/main" id="{FA6554C1-897F-8B51-17D0-1BEBCABF26A1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5B48CEE-FB02-49CE-8A33-06C7D59A2E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59</xdr:row>
      <xdr:rowOff>47625</xdr:rowOff>
    </xdr:from>
    <xdr:to>
      <xdr:col>21</xdr:col>
      <xdr:colOff>1038225</xdr:colOff>
      <xdr:row>62</xdr:row>
      <xdr:rowOff>0</xdr:rowOff>
    </xdr:to>
    <xdr:sp macro="Sheet1.ExecuteAction_0e0c1023_ba40_4867_9ad9_702f05280cbd" textlink="TM1RptPFSCAP">
      <xdr:nvSpPr>
        <xdr:cNvPr id="24" name="TM1Button_0e0c1023_ba40_4867_9ad9_702f05280cbd">
          <a:extLst>
            <a:ext uri="{FF2B5EF4-FFF2-40B4-BE49-F238E27FC236}">
              <a16:creationId xmlns:a16="http://schemas.microsoft.com/office/drawing/2014/main" id="{79F681C9-8332-AA54-9E0A-677772A3591F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ED1AF5-DD1E-4EAD-8692-F03662E01A4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RECALC_0_3380_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showGridLines="0" tabSelected="1" topLeftCell="J52" workbookViewId="0">
      <pane ySplit="8" topLeftCell="A60" activePane="bottomLeft" state="frozen"/>
      <selection activeCell="J52" sqref="J52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2" width="4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52</v>
      </c>
      <c r="D2" s="4"/>
    </row>
    <row r="3" spans="2:4" hidden="1" outlineLevel="1" x14ac:dyDescent="0.25">
      <c r="B3" s="2" t="s">
        <v>22</v>
      </c>
      <c r="C3" s="10" t="str">
        <f>_xll.VIEW(db_name&amp;":}ElementAttributes_}Clients","!","!")</f>
        <v>finance_geus:}ElementAttributes_}Clients:1264217196-1874711132</v>
      </c>
      <c r="D3" s="4"/>
    </row>
    <row r="4" spans="2:4" hidden="1" outlineLevel="1" x14ac:dyDescent="0.25">
      <c r="B4" s="2" t="s">
        <v>21</v>
      </c>
      <c r="C4" s="3" t="str">
        <f ca="1">_xll.TM1USER(db_name)</f>
        <v>RECALC_0_100_</v>
      </c>
      <c r="D4" s="4"/>
    </row>
    <row r="5" spans="2:4" hidden="1" outlineLevel="1" x14ac:dyDescent="0.25">
      <c r="B5" s="2" t="s">
        <v>23</v>
      </c>
      <c r="C5" s="3" t="str">
        <f ca="1">_xll.DBR($C$3,$C$4,$B5)</f>
        <v>RECALC_1_101_</v>
      </c>
      <c r="D5" s="4"/>
    </row>
    <row r="6" spans="2:4" hidden="1" outlineLevel="1" x14ac:dyDescent="0.25">
      <c r="B6" s="2" t="s">
        <v>24</v>
      </c>
      <c r="C6" s="3" t="str">
        <f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$C$5</f>
        <v>RECALC_1_101_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>
        <f>_xll.VIEW(db_name&amp;":}ElementAttributes_variables","!","!")</f>
        <v>finance_geus:}ElementAttributes_variables:1264217196-1045949064</v>
      </c>
      <c r="D10" s="1"/>
    </row>
    <row r="11" spans="2:4" hidden="1" outlineLevel="1" x14ac:dyDescent="0.25">
      <c r="B11" s="2" t="s">
        <v>8</v>
      </c>
      <c r="C11" s="1" t="str">
        <f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>
        <f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>
        <f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>
        <f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13" hidden="1" outlineLevel="1" x14ac:dyDescent="0.25">
      <c r="B17" s="16" t="s">
        <v>13</v>
      </c>
      <c r="C17" s="17"/>
      <c r="D17" s="18"/>
    </row>
    <row r="18" spans="2:13" hidden="1" outlineLevel="1" x14ac:dyDescent="0.25">
      <c r="B18" s="2" t="s">
        <v>7</v>
      </c>
      <c r="C18" s="1" t="str">
        <f>_xll.VIEW(db_name&amp;":sys_client preference","!","!","!")</f>
        <v>finance_geus:sys_client preference:1264217196553581749</v>
      </c>
      <c r="D18" s="1"/>
    </row>
    <row r="19" spans="2:13" hidden="1" outlineLevel="1" x14ac:dyDescent="0.25">
      <c r="B19" s="2" t="s">
        <v>14</v>
      </c>
      <c r="C19" s="1" t="str">
        <f ca="1">_xll.DBR($C$18,psUser,$B19,"value")</f>
        <v>RECALC_2_103_</v>
      </c>
      <c r="D19" s="1"/>
    </row>
    <row r="20" spans="2:13" hidden="1" outlineLevel="1" x14ac:dyDescent="0.25">
      <c r="B20" s="2" t="s">
        <v>15</v>
      </c>
      <c r="C20" s="1" t="str">
        <f ca="1">_xll.DBR($C$18,psUser,$B20,"value")</f>
        <v>RECALC_2_104_</v>
      </c>
      <c r="D20" s="1"/>
    </row>
    <row r="21" spans="2:13" hidden="1" outlineLevel="1" x14ac:dyDescent="0.25">
      <c r="B21" s="2" t="s">
        <v>16</v>
      </c>
      <c r="C21" s="1" t="str">
        <f ca="1">_xll.DBR($C$18,psUser,$B21,"value")</f>
        <v>RECALC_2_105_</v>
      </c>
      <c r="D21" s="1"/>
    </row>
    <row r="22" spans="2:13" hidden="1" outlineLevel="1" x14ac:dyDescent="0.25">
      <c r="B22" s="2" t="s">
        <v>17</v>
      </c>
      <c r="C22" s="1" t="str">
        <f ca="1">_xll.DBR($C$18,psUser,$B22,"value")</f>
        <v>RECALC_2_188_</v>
      </c>
      <c r="D22" s="1"/>
    </row>
    <row r="23" spans="2:13" hidden="1" outlineLevel="1" x14ac:dyDescent="0.25">
      <c r="B23" s="2" t="s">
        <v>20</v>
      </c>
      <c r="C23" s="1" t="s">
        <v>19</v>
      </c>
      <c r="D23" s="1"/>
    </row>
    <row r="24" spans="2:13" hidden="1" outlineLevel="1" x14ac:dyDescent="0.25"/>
    <row r="25" spans="2:13" hidden="1" outlineLevel="1" x14ac:dyDescent="0.25">
      <c r="B25" s="16" t="s">
        <v>18</v>
      </c>
      <c r="C25" s="17"/>
      <c r="D25" s="18"/>
    </row>
    <row r="26" spans="2:13" hidden="1" outlineLevel="1" x14ac:dyDescent="0.25">
      <c r="B26" s="1" t="s">
        <v>2</v>
      </c>
      <c r="C26" s="12" t="str">
        <f>_xll.VIEW(db_name&amp;":sys_application","!","!")</f>
        <v>finance_geus:sys_application:1264217196755418472</v>
      </c>
      <c r="D26" s="12"/>
    </row>
    <row r="27" spans="2:13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13" hidden="1" outlineLevel="1" x14ac:dyDescent="0.25">
      <c r="B28" s="1" t="s">
        <v>25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  <c r="M28" t="s">
        <v>30</v>
      </c>
    </row>
    <row r="29" spans="2:13" hidden="1" outlineLevel="1" x14ac:dyDescent="0.25">
      <c r="B29" s="1" t="s">
        <v>26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  <c r="M29" t="s">
        <v>31</v>
      </c>
    </row>
    <row r="30" spans="2:13" hidden="1" outlineLevel="1" x14ac:dyDescent="0.25">
      <c r="B30" s="1" t="s">
        <v>27</v>
      </c>
      <c r="C30" s="1" t="str">
        <f ca="1">_xll.DBR($C$26,$B30,C$27)</f>
        <v>RECALC_0_71_</v>
      </c>
      <c r="D30" s="1" t="str">
        <f ca="1">_xll.DBR($C$26,$B30,D$27)</f>
        <v>RECALC_0_70_</v>
      </c>
      <c r="E30" s="1" t="str">
        <f ca="1">_xll.DBR($C$26,$B30,E$27)</f>
        <v>RECALC_0_69_</v>
      </c>
      <c r="F30" s="1" t="str">
        <f ca="1">_xll.DBR($C$26,$B30,F$27)</f>
        <v>RECALC_0_68_</v>
      </c>
      <c r="G30" s="1" t="str">
        <f ca="1">_xll.DBR($C$26,$B30,G$27)</f>
        <v>RECALC_0_67_</v>
      </c>
      <c r="H30" s="1" t="str">
        <f ca="1">_xll.DBR($C$26,$B30,H$27)</f>
        <v>RECALC_0_66_</v>
      </c>
    </row>
    <row r="31" spans="2:13" hidden="1" outlineLevel="1" x14ac:dyDescent="0.25">
      <c r="B31" s="1" t="s">
        <v>35</v>
      </c>
      <c r="C31" s="1" t="str">
        <f ca="1">_xll.DBR($C$26,$B31,C$27)</f>
        <v>RECALC_0_3315_</v>
      </c>
      <c r="D31" s="1" t="str">
        <f ca="1">_xll.DBR($C$26,$B31,D$27)</f>
        <v>RECALC_0_3314_</v>
      </c>
      <c r="E31" s="1" t="str">
        <f ca="1">_xll.DBR($C$26,$B31,E$27)</f>
        <v>RECALC_0_3313_</v>
      </c>
      <c r="F31" s="1" t="str">
        <f ca="1">_xll.DBR($C$26,$B31,F$27)</f>
        <v>RECALC_0_3312_</v>
      </c>
      <c r="G31" s="1" t="str">
        <f ca="1">_xll.DBR($C$26,$B31,G$27)</f>
        <v>RECALC_0_3311_</v>
      </c>
      <c r="H31" s="1" t="str">
        <f ca="1">_xll.DBR($C$26,$B31,H$27)</f>
        <v>RECALC_0_3310_</v>
      </c>
    </row>
    <row r="32" spans="2:13" hidden="1" outlineLevel="1" x14ac:dyDescent="0.25">
      <c r="B32" s="1" t="s">
        <v>36</v>
      </c>
      <c r="C32" s="1" t="str">
        <f ca="1">_xll.DBR($C$26,$B32,C$27)</f>
        <v>RECALC_0_59_</v>
      </c>
      <c r="D32" s="1" t="str">
        <f ca="1">_xll.DBR($C$26,$B32,D$27)</f>
        <v>RECALC_0_58_</v>
      </c>
      <c r="E32" s="1" t="str">
        <f ca="1">_xll.DBR($C$26,$B32,E$27)</f>
        <v>RECALC_0_57_</v>
      </c>
      <c r="F32" s="1" t="str">
        <f ca="1">_xll.DBR($C$26,$B32,F$27)</f>
        <v>RECALC_0_56_</v>
      </c>
      <c r="G32" s="1" t="str">
        <f ca="1">_xll.DBR($C$26,$B32,G$27)</f>
        <v>RECALC_0_55_</v>
      </c>
      <c r="H32" s="1" t="str">
        <f ca="1">_xll.DBR($C$26,$B32,H$27)</f>
        <v>RECALC_0_54_</v>
      </c>
    </row>
    <row r="33" spans="2:8" hidden="1" outlineLevel="1" x14ac:dyDescent="0.25">
      <c r="B33" s="1" t="s">
        <v>37</v>
      </c>
      <c r="C33" s="1" t="str">
        <f ca="1">_xll.DBR($C$26,$B33,C$27)</f>
        <v>RECALC_0_53_</v>
      </c>
      <c r="D33" s="1" t="str">
        <f ca="1">_xll.DBR($C$26,$B33,D$27)</f>
        <v>RECALC_0_52_</v>
      </c>
      <c r="E33" s="1" t="str">
        <f ca="1">_xll.DBR($C$26,$B33,E$27)</f>
        <v>RECALC_0_51_</v>
      </c>
      <c r="F33" s="1" t="str">
        <f ca="1">_xll.DBR($C$26,$B33,F$27)</f>
        <v>RECALC_0_50_</v>
      </c>
      <c r="G33" s="1" t="str">
        <f ca="1">_xll.DBR($C$26,$B33,G$27)</f>
        <v>RECALC_0_49_</v>
      </c>
      <c r="H33" s="1" t="str">
        <f ca="1">_xll.DBR($C$26,$B33,H$27)</f>
        <v>RECALC_0_48_</v>
      </c>
    </row>
    <row r="34" spans="2:8" hidden="1" outlineLevel="1" x14ac:dyDescent="0.25">
      <c r="B34" s="1" t="s">
        <v>28</v>
      </c>
      <c r="C34" s="1" t="str">
        <f ca="1">_xll.DBR($C$26,$B34,C$27)</f>
        <v>RECALC_0_65_</v>
      </c>
      <c r="D34" s="1" t="str">
        <f ca="1">_xll.DBR($C$26,$B34,D$27)</f>
        <v>RECALC_0_64_</v>
      </c>
      <c r="E34" s="1" t="str">
        <f ca="1">_xll.DBR($C$26,$B34,E$27)</f>
        <v>RECALC_0_63_</v>
      </c>
      <c r="F34" s="1" t="str">
        <f ca="1">_xll.DBR($C$26,$B34,F$27)</f>
        <v>RECALC_0_62_</v>
      </c>
      <c r="G34" s="1" t="str">
        <f ca="1">_xll.DBR($C$26,$B34,G$27)</f>
        <v>RECALC_0_61_</v>
      </c>
      <c r="H34" s="1" t="str">
        <f ca="1">_xll.DBR($C$26,$B34,H$27)</f>
        <v>RECALC_0_60_</v>
      </c>
    </row>
    <row r="35" spans="2:8" hidden="1" outlineLevel="1" x14ac:dyDescent="0.25">
      <c r="B35" s="1" t="s">
        <v>29</v>
      </c>
      <c r="C35" s="1" t="str">
        <f ca="1">_xll.DBR($C$26,$B35,C$27)</f>
        <v>RECALC_0_540_</v>
      </c>
      <c r="D35" s="1" t="str">
        <f ca="1">_xll.DBR($C$26,$B35,D$27)</f>
        <v>RECALC_0_539_</v>
      </c>
      <c r="E35" s="1" t="str">
        <f ca="1">_xll.DBR($C$26,$B35,E$27)</f>
        <v>RECALC_0_538_</v>
      </c>
      <c r="F35" s="1" t="str">
        <f ca="1">_xll.DBR($C$26,$B35,F$27)</f>
        <v>RECALC_0_537_</v>
      </c>
      <c r="G35" s="1" t="str">
        <f ca="1">_xll.DBR($C$26,$B35,G$27)</f>
        <v>RECALC_0_536_</v>
      </c>
      <c r="H35" s="1" t="str">
        <f ca="1">_xll.DBR($C$26,$B35,H$27)</f>
        <v>RECALC_0_535_</v>
      </c>
    </row>
    <row r="36" spans="2:8" hidden="1" outlineLevel="1" x14ac:dyDescent="0.25">
      <c r="B36" s="1" t="s">
        <v>39</v>
      </c>
      <c r="C36" s="1" t="str">
        <f ca="1">_xll.DBR($C$26,$B36,C$27)</f>
        <v>RECALC_0_3381_</v>
      </c>
      <c r="D36" s="1" t="str">
        <f ca="1">_xll.DBR($C$26,$B36,D$27)</f>
        <v>RECALC_0_3380_</v>
      </c>
      <c r="E36" s="1" t="str">
        <f ca="1">_xll.DBR($C$26,$B36,E$27)</f>
        <v>RECALC_0_3379_</v>
      </c>
      <c r="F36" s="1" t="str">
        <f ca="1">_xll.DBR($C$26,$B36,F$27)</f>
        <v>RECALC_0_3378_</v>
      </c>
      <c r="G36" s="1" t="str">
        <f ca="1">_xll.DBR($C$26,$B36,G$27)</f>
        <v>RECALC_0_3377_</v>
      </c>
      <c r="H36" s="1" t="str">
        <f ca="1">_xll.DBR($C$26,$B36,H$27)</f>
        <v>RECALC_0_3376_</v>
      </c>
    </row>
    <row r="37" spans="2:8" hidden="1" outlineLevel="1" x14ac:dyDescent="0.25">
      <c r="B37" s="1" t="s">
        <v>40</v>
      </c>
      <c r="C37" s="1" t="str">
        <f ca="1">_xll.DBR($C$26,$B37,C$27)</f>
        <v>RECALC_0_3429_</v>
      </c>
      <c r="D37" s="1" t="str">
        <f ca="1">_xll.DBR($C$26,$B37,D$27)</f>
        <v>RECALC_0_3428_</v>
      </c>
      <c r="E37" s="1" t="str">
        <f ca="1">_xll.DBR($C$26,$B37,E$27)</f>
        <v>RECALC_0_3427_</v>
      </c>
      <c r="F37" s="1" t="str">
        <f ca="1">_xll.DBR($C$26,$B37,F$27)</f>
        <v>RECALC_0_3426_</v>
      </c>
      <c r="G37" s="1" t="str">
        <f ca="1">_xll.DBR($C$26,$B37,G$27)</f>
        <v>RECALC_0_3425_</v>
      </c>
      <c r="H37" s="1" t="str">
        <f ca="1">_xll.DBR($C$26,$B37,H$27)</f>
        <v>RECALC_0_3424_</v>
      </c>
    </row>
    <row r="38" spans="2:8" hidden="1" outlineLevel="1" x14ac:dyDescent="0.25">
      <c r="B38" s="1" t="s">
        <v>41</v>
      </c>
      <c r="C38" s="1" t="str">
        <f ca="1">_xll.DBR($C$26,$B38,C$27)</f>
        <v>RECALC_0_3423_</v>
      </c>
      <c r="D38" s="1" t="str">
        <f ca="1">_xll.DBR($C$26,$B38,D$27)</f>
        <v>RECALC_0_3422_</v>
      </c>
      <c r="E38" s="1" t="str">
        <f ca="1">_xll.DBR($C$26,$B38,E$27)</f>
        <v>RECALC_0_3421_</v>
      </c>
      <c r="F38" s="1" t="str">
        <f ca="1">_xll.DBR($C$26,$B38,F$27)</f>
        <v>RECALC_0_3420_</v>
      </c>
      <c r="G38" s="1" t="str">
        <f ca="1">_xll.DBR($C$26,$B38,G$27)</f>
        <v>RECALC_0_3419_</v>
      </c>
      <c r="H38" s="1" t="str">
        <f ca="1">_xll.DBR($C$26,$B38,H$27)</f>
        <v>RECALC_0_3418_</v>
      </c>
    </row>
    <row r="39" spans="2:8" hidden="1" outlineLevel="1" x14ac:dyDescent="0.25">
      <c r="B39" s="1" t="s">
        <v>42</v>
      </c>
      <c r="C39" s="1" t="str">
        <f ca="1">_xll.DBR($C$26,$B39,C$27)</f>
        <v>RECALC_0_3417_</v>
      </c>
      <c r="D39" s="1" t="str">
        <f ca="1">_xll.DBR($C$26,$B39,D$27)</f>
        <v>RECALC_0_3416_</v>
      </c>
      <c r="E39" s="1" t="str">
        <f ca="1">_xll.DBR($C$26,$B39,E$27)</f>
        <v>RECALC_0_3415_</v>
      </c>
      <c r="F39" s="1" t="str">
        <f ca="1">_xll.DBR($C$26,$B39,F$27)</f>
        <v>RECALC_0_3414_</v>
      </c>
      <c r="G39" s="1" t="str">
        <f ca="1">_xll.DBR($C$26,$B39,G$27)</f>
        <v>RECALC_0_3413_</v>
      </c>
      <c r="H39" s="1" t="str">
        <f ca="1">_xll.DBR($C$26,$B39,H$27)</f>
        <v>RECALC_0_3412_</v>
      </c>
    </row>
    <row r="40" spans="2:8" hidden="1" outlineLevel="1" x14ac:dyDescent="0.25">
      <c r="B40" s="1" t="s">
        <v>43</v>
      </c>
      <c r="C40" s="1" t="str">
        <f ca="1">_xll.DBR($C$26,$B40,C$27)</f>
        <v>RECALC_0_3411_</v>
      </c>
      <c r="D40" s="1" t="str">
        <f ca="1">_xll.DBR($C$26,$B40,D$27)</f>
        <v>RECALC_0_3410_</v>
      </c>
      <c r="E40" s="1" t="str">
        <f ca="1">_xll.DBR($C$26,$B40,E$27)</f>
        <v>RECALC_0_3409_</v>
      </c>
      <c r="F40" s="1" t="str">
        <f ca="1">_xll.DBR($C$26,$B40,F$27)</f>
        <v>RECALC_0_3408_</v>
      </c>
      <c r="G40" s="1" t="str">
        <f ca="1">_xll.DBR($C$26,$B40,G$27)</f>
        <v>RECALC_0_3407_</v>
      </c>
      <c r="H40" s="1" t="str">
        <f ca="1">_xll.DBR($C$26,$B40,H$27)</f>
        <v>RECALC_0_3406_</v>
      </c>
    </row>
    <row r="41" spans="2:8" hidden="1" outlineLevel="1" x14ac:dyDescent="0.25">
      <c r="B41" s="1" t="s">
        <v>44</v>
      </c>
      <c r="C41" s="1" t="str">
        <f ca="1">_xll.DBR($C$26,$B41,C$27)</f>
        <v>RECALC_0_3405_</v>
      </c>
      <c r="D41" s="1" t="str">
        <f ca="1">_xll.DBR($C$26,$B41,D$27)</f>
        <v>RECALC_0_3404_</v>
      </c>
      <c r="E41" s="1" t="str">
        <f ca="1">_xll.DBR($C$26,$B41,E$27)</f>
        <v>RECALC_0_3403_</v>
      </c>
      <c r="F41" s="1" t="str">
        <f ca="1">_xll.DBR($C$26,$B41,F$27)</f>
        <v>RECALC_0_3402_</v>
      </c>
      <c r="G41" s="1" t="str">
        <f ca="1">_xll.DBR($C$26,$B41,G$27)</f>
        <v>RECALC_0_3401_</v>
      </c>
      <c r="H41" s="1" t="str">
        <f ca="1">_xll.DBR($C$26,$B41,H$27)</f>
        <v>RECALC_0_3400_</v>
      </c>
    </row>
    <row r="42" spans="2:8" hidden="1" outlineLevel="1" x14ac:dyDescent="0.25">
      <c r="B42" s="1" t="s">
        <v>45</v>
      </c>
      <c r="C42" s="1" t="str">
        <f ca="1">_xll.DBR($C$26,$B42,C$27)</f>
        <v>RECALC_0_3399_</v>
      </c>
      <c r="D42" s="1" t="str">
        <f ca="1">_xll.DBR($C$26,$B42,D$27)</f>
        <v>RECALC_0_3398_</v>
      </c>
      <c r="E42" s="1" t="str">
        <f ca="1">_xll.DBR($C$26,$B42,E$27)</f>
        <v>RECALC_0_3397_</v>
      </c>
      <c r="F42" s="1" t="str">
        <f ca="1">_xll.DBR($C$26,$B42,F$27)</f>
        <v>RECALC_0_3396_</v>
      </c>
      <c r="G42" s="1" t="str">
        <f ca="1">_xll.DBR($C$26,$B42,G$27)</f>
        <v>RECALC_0_3395_</v>
      </c>
      <c r="H42" s="1" t="str">
        <f ca="1">_xll.DBR($C$26,$B42,H$27)</f>
        <v>RECALC_0_3394_</v>
      </c>
    </row>
    <row r="43" spans="2:8" hidden="1" outlineLevel="1" x14ac:dyDescent="0.25">
      <c r="B43" s="1" t="s">
        <v>46</v>
      </c>
      <c r="C43" s="1" t="str">
        <f ca="1">_xll.DBR($C$26,$B43,C$27)</f>
        <v>RECALC_0_2477_</v>
      </c>
      <c r="D43" s="1" t="str">
        <f ca="1">_xll.DBR($C$26,$B43,D$27)</f>
        <v>RECALC_0_2476_</v>
      </c>
      <c r="E43" s="1" t="str">
        <f ca="1">_xll.DBR($C$26,$B43,E$27)</f>
        <v>RECALC_0_2475_</v>
      </c>
      <c r="F43" s="1" t="str">
        <f ca="1">_xll.DBR($C$26,$B43,F$27)</f>
        <v>RECALC_0_2474_</v>
      </c>
      <c r="G43" s="1" t="str">
        <f ca="1">_xll.DBR($C$26,$B43,G$27)</f>
        <v>RECALC_0_2473_</v>
      </c>
      <c r="H43" s="1" t="str">
        <f ca="1">_xll.DBR($C$26,$B43,H$27)</f>
        <v>RECALC_0_2472_</v>
      </c>
    </row>
    <row r="44" spans="2:8" hidden="1" outlineLevel="1" x14ac:dyDescent="0.25">
      <c r="B44" s="1" t="s">
        <v>47</v>
      </c>
      <c r="C44" s="1" t="str">
        <f ca="1">_xll.DBR($C$26,$B44,C$27)</f>
        <v>RECALC_0_2471_</v>
      </c>
      <c r="D44" s="1" t="str">
        <f ca="1">_xll.DBR($C$26,$B44,D$27)</f>
        <v>RECALC_0_2470_</v>
      </c>
      <c r="E44" s="1" t="str">
        <f ca="1">_xll.DBR($C$26,$B44,E$27)</f>
        <v>RECALC_0_2469_</v>
      </c>
      <c r="F44" s="1" t="str">
        <f ca="1">_xll.DBR($C$26,$B44,F$27)</f>
        <v>RECALC_0_2468_</v>
      </c>
      <c r="G44" s="1" t="str">
        <f ca="1">_xll.DBR($C$26,$B44,G$27)</f>
        <v>RECALC_0_2467_</v>
      </c>
      <c r="H44" s="1" t="str">
        <f ca="1">_xll.DBR($C$26,$B44,H$27)</f>
        <v>RECALC_0_2466_</v>
      </c>
    </row>
    <row r="45" spans="2:8" hidden="1" outlineLevel="1" x14ac:dyDescent="0.25">
      <c r="B45" s="1" t="s">
        <v>48</v>
      </c>
      <c r="C45" s="1" t="str">
        <f ca="1">_xll.DBR($C$26,$B45,C$27)</f>
        <v>RECALC_0_3393_</v>
      </c>
      <c r="D45" s="1" t="str">
        <f ca="1">_xll.DBR($C$26,$B45,D$27)</f>
        <v>RECALC_0_3392_</v>
      </c>
      <c r="E45" s="1" t="str">
        <f ca="1">_xll.DBR($C$26,$B45,E$27)</f>
        <v>RECALC_0_3391_</v>
      </c>
      <c r="F45" s="1" t="str">
        <f ca="1">_xll.DBR($C$26,$B45,F$27)</f>
        <v>RECALC_0_3390_</v>
      </c>
      <c r="G45" s="1" t="str">
        <f ca="1">_xll.DBR($C$26,$B45,G$27)</f>
        <v>RECALC_0_3389_</v>
      </c>
      <c r="H45" s="1" t="str">
        <f ca="1">_xll.DBR($C$26,$B45,H$27)</f>
        <v>RECALC_0_3388_</v>
      </c>
    </row>
    <row r="46" spans="2:8" hidden="1" outlineLevel="1" x14ac:dyDescent="0.25">
      <c r="B46" s="1" t="s">
        <v>49</v>
      </c>
      <c r="C46" s="1" t="str">
        <f ca="1">_xll.DBR($C$26,$B46,C$27)</f>
        <v>RECALC_0_2489_</v>
      </c>
      <c r="D46" s="1" t="str">
        <f ca="1">_xll.DBR($C$26,$B46,D$27)</f>
        <v>RECALC_0_2488_</v>
      </c>
      <c r="E46" s="1" t="str">
        <f ca="1">_xll.DBR($C$26,$B46,E$27)</f>
        <v>RECALC_0_2487_</v>
      </c>
      <c r="F46" s="1" t="str">
        <f ca="1">_xll.DBR($C$26,$B46,F$27)</f>
        <v>RECALC_0_2486_</v>
      </c>
      <c r="G46" s="1" t="str">
        <f ca="1">_xll.DBR($C$26,$B46,G$27)</f>
        <v>RECALC_0_2485_</v>
      </c>
      <c r="H46" s="1" t="str">
        <f ca="1">_xll.DBR($C$26,$B46,H$27)</f>
        <v>RECALC_0_2484_</v>
      </c>
    </row>
    <row r="47" spans="2:8" hidden="1" outlineLevel="1" x14ac:dyDescent="0.25">
      <c r="B47" s="1" t="s">
        <v>50</v>
      </c>
      <c r="C47" s="1" t="str">
        <f ca="1">_xll.DBR($C$26,$B47,C$27)</f>
        <v>RECALC_0_2483_</v>
      </c>
      <c r="D47" s="1" t="str">
        <f ca="1">_xll.DBR($C$26,$B47,D$27)</f>
        <v>RECALC_0_2482_</v>
      </c>
      <c r="E47" s="1" t="str">
        <f ca="1">_xll.DBR($C$26,$B47,E$27)</f>
        <v>RECALC_0_2481_</v>
      </c>
      <c r="F47" s="1" t="str">
        <f ca="1">_xll.DBR($C$26,$B47,F$27)</f>
        <v>RECALC_0_2480_</v>
      </c>
      <c r="G47" s="1" t="str">
        <f ca="1">_xll.DBR($C$26,$B47,G$27)</f>
        <v>RECALC_0_2479_</v>
      </c>
      <c r="H47" s="1" t="str">
        <f ca="1">_xll.DBR($C$26,$B47,H$27)</f>
        <v>RECALC_0_2478_</v>
      </c>
    </row>
    <row r="48" spans="2:8" hidden="1" outlineLevel="1" x14ac:dyDescent="0.25">
      <c r="B48" s="1" t="s">
        <v>51</v>
      </c>
      <c r="C48" s="1" t="str">
        <f ca="1">_xll.DBR($C$26,$B48,C$27)</f>
        <v>RECALC_0_3387_</v>
      </c>
      <c r="D48" s="1" t="str">
        <f ca="1">_xll.DBR($C$26,$B48,D$27)</f>
        <v>RECALC_0_3386_</v>
      </c>
      <c r="E48" s="1" t="str">
        <f ca="1">_xll.DBR($C$26,$B48,E$27)</f>
        <v>RECALC_0_3385_</v>
      </c>
      <c r="F48" s="1" t="str">
        <f ca="1">_xll.DBR($C$26,$B48,F$27)</f>
        <v>RECALC_0_3384_</v>
      </c>
      <c r="G48" s="1" t="str">
        <f ca="1">_xll.DBR($C$26,$B48,G$27)</f>
        <v>RECALC_0_3383_</v>
      </c>
      <c r="H48" s="1" t="str">
        <f ca="1">_xll.DBR($C$26,$B48,H$27)</f>
        <v>RECALC_0_3382_</v>
      </c>
    </row>
    <row r="49" spans="10:23" hidden="1" outlineLevel="1" x14ac:dyDescent="0.25"/>
    <row r="50" spans="10:23" hidden="1" outlineLevel="1" x14ac:dyDescent="0.25"/>
    <row r="51" spans="10:23" hidden="1" outlineLevel="1" x14ac:dyDescent="0.25"/>
    <row r="52" spans="10:23" ht="39.75" customHeight="1" collapsed="1" x14ac:dyDescent="0.25"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11" t="str">
        <f ca="1">"Welcome "&amp; psUser</f>
        <v>Welcome RECALC_1_101_</v>
      </c>
    </row>
    <row r="53" spans="10:23" ht="4.5" customHeight="1" x14ac:dyDescent="0.25"/>
    <row r="54" spans="10:23" ht="30" customHeight="1" x14ac:dyDescent="0.25">
      <c r="J54" s="6"/>
      <c r="K54" s="19" t="str">
        <f ca="1">$C$15</f>
        <v>The current scenario is "RECALC_0_230_" for the "RECALC_0_231_" Headline Year. Archive was done for "RECALC_0_484_" on scenario "RECALC_0_483_".</v>
      </c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6"/>
      <c r="W54" s="6"/>
    </row>
    <row r="55" spans="10:23" ht="4.5" customHeight="1" x14ac:dyDescent="0.25"/>
    <row r="59" spans="10:23" ht="24.75" customHeight="1" x14ac:dyDescent="0.25">
      <c r="J59" s="7"/>
      <c r="K59" s="7"/>
      <c r="L59" s="14" t="s">
        <v>34</v>
      </c>
      <c r="M59" s="14"/>
      <c r="N59" s="14"/>
      <c r="O59" s="14"/>
      <c r="P59" s="5"/>
      <c r="R59" s="8"/>
      <c r="S59" s="15" t="s">
        <v>38</v>
      </c>
      <c r="T59" s="15"/>
      <c r="U59" s="15"/>
      <c r="V59" s="15"/>
      <c r="W59" s="8"/>
    </row>
    <row r="60" spans="10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x14ac:dyDescent="0.25">
      <c r="K90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9:O59"/>
    <mergeCell ref="S59:V59"/>
    <mergeCell ref="B1:D1"/>
    <mergeCell ref="B9:D9"/>
    <mergeCell ref="B17:D17"/>
    <mergeCell ref="B25:D25"/>
    <mergeCell ref="K54:U54"/>
  </mergeCells>
  <conditionalFormatting sqref="R59:W59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68" baseType="lpstr">
      <vt:lpstr>Menu</vt:lpstr>
      <vt:lpstr>db_name</vt:lpstr>
      <vt:lpstr>home</vt:lpstr>
      <vt:lpstr>Menu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TM1RptAEAppropQACAP</vt:lpstr>
      <vt:lpstr>TM1RptAEAppropQAWB</vt:lpstr>
      <vt:lpstr>TM1RptAEAppropQAWS</vt:lpstr>
      <vt:lpstr>TM1RptAMTCAP</vt:lpstr>
      <vt:lpstr>TM1RptAMTWB</vt:lpstr>
      <vt:lpstr>TM1RptAMTWS</vt:lpstr>
      <vt:lpstr>TM1RptAppropOCProgCAP</vt:lpstr>
      <vt:lpstr>TM1RptAppropOCProgWB</vt:lpstr>
      <vt:lpstr>TM1RptAppropOCProgWS</vt:lpstr>
      <vt:lpstr>TM1RptBSMACAP</vt:lpstr>
      <vt:lpstr>TM1RptBSMAWB</vt:lpstr>
      <vt:lpstr>TM1RptBSMAWS</vt:lpstr>
      <vt:lpstr>TM1RptCBSCAP</vt:lpstr>
      <vt:lpstr>TM1RptCBSWB</vt:lpstr>
      <vt:lpstr>TM1RptCBSWS</vt:lpstr>
      <vt:lpstr>TM1RptDetProgMoveCAP</vt:lpstr>
      <vt:lpstr>TM1RptDetProgMoveWB</vt:lpstr>
      <vt:lpstr>TM1RptDetProgMoveWS</vt:lpstr>
      <vt:lpstr>TM1RptEMTCAP</vt:lpstr>
      <vt:lpstr>TM1RptEMTWB</vt:lpstr>
      <vt:lpstr>TM1RptEMTWS</vt:lpstr>
      <vt:lpstr>TM1RptPFSCAP</vt:lpstr>
      <vt:lpstr>TM1RptPFSWB</vt:lpstr>
      <vt:lpstr>TM1RptPFSWS</vt:lpstr>
      <vt:lpstr>TM1RptProgEstCAP</vt:lpstr>
      <vt:lpstr>TM1RptProgEstWB</vt:lpstr>
      <vt:lpstr>TM1RptProgEstWS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TM1RptRECAP</vt:lpstr>
      <vt:lpstr>TM1RptREWB</vt:lpstr>
      <vt:lpstr>TM1RptREWS</vt:lpstr>
      <vt:lpstr>TM1RptSpecAccCAP</vt:lpstr>
      <vt:lpstr>TM1RptSpecAccWB</vt:lpstr>
      <vt:lpstr>TM1RptSpecAccWS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2025-08-11T02:59:45Z</dcterms:modified>
</cp:coreProperties>
</file>