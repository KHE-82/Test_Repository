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925" codeName="{DD97A8EA-9A9A-E61F-A557-7D5A7D7259C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C1A88B4A-C39E-4403-B396-EC3A7A59DCA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nu" sheetId="1" r:id="rId1"/>
    <sheet name="{PL}PickLst" sheetId="3" state="hidden" r:id="rId2"/>
  </sheets>
  <definedNames>
    <definedName name="db_name">Menu!$C$2</definedName>
    <definedName name="home">Menu!$G$28</definedName>
    <definedName name="Menu">Menu!$G$29</definedName>
    <definedName name="psUser">Menu!$C$7</definedName>
    <definedName name="rng_Start">#REF!</definedName>
    <definedName name="TM1HomeAdminCAP">Menu!$D$35</definedName>
    <definedName name="TM1HomeAdminWB">Menu!$F$35</definedName>
    <definedName name="TM1HomeAdminWS">Menu!$H$35</definedName>
    <definedName name="TM1HomeAEAccVarCAP">Menu!$D$33</definedName>
    <definedName name="TM1HomeAEAccVarWB">Menu!$F$33</definedName>
    <definedName name="TM1HomeAEAccVarWS">Menu!$H$33</definedName>
    <definedName name="TM1HomeAECAP">Menu!$D$29</definedName>
    <definedName name="TM1HomeAECDMCAP">Menu!$D$37</definedName>
    <definedName name="TM1HomeAECDMWB">Menu!$F$37</definedName>
    <definedName name="TM1HomeAECDMWS">Menu!$H$37</definedName>
    <definedName name="TM1HomeAEDataEntryCAP">Menu!$D$30</definedName>
    <definedName name="TM1HomeAEDataEntryWB">Menu!$F$30</definedName>
    <definedName name="TM1HomeAEDataEntryWS">Menu!$H$30</definedName>
    <definedName name="TM1HomeAEFFCAP">Menu!$D$32</definedName>
    <definedName name="TM1HomeAEFFWB">Menu!$F$32</definedName>
    <definedName name="TM1HomeAEFFWS">Menu!$H$32</definedName>
    <definedName name="TM1HomeAEMeasuresCAP">Menu!$D$31</definedName>
    <definedName name="TM1HomeAEMeasuresWB">Menu!$F$31</definedName>
    <definedName name="TM1HomeAEMeasuresWS">Menu!$H$31</definedName>
    <definedName name="TM1HomeAEWB">Menu!$F$29</definedName>
    <definedName name="TM1HomeAEWS">Menu!$H$29</definedName>
    <definedName name="TM1HomeCAP">Menu!$D$28</definedName>
    <definedName name="TM1HomeRepCAP">Menu!$D$34</definedName>
    <definedName name="TM1HomeRepWB">Menu!$F$34</definedName>
    <definedName name="TM1HomeRepWS">Menu!$H$34</definedName>
    <definedName name="TM1HomeUnderCAP">Menu!$D$36</definedName>
    <definedName name="TM1HomeUnderWB">Menu!$F$36</definedName>
    <definedName name="TM1HomeUnderWS">Menu!$H$36</definedName>
    <definedName name="TM1HomeWB">Menu!$F$28</definedName>
    <definedName name="TM1HomeWS">Menu!$H$28</definedName>
    <definedName name="TM1MeasBulkCAP">Menu!$D$40</definedName>
    <definedName name="TM1MeasBulkWB">Menu!$F$40</definedName>
    <definedName name="TM1MeasBulkWS">Menu!$H$40</definedName>
    <definedName name="TM1MeasListCAP">Menu!$D$39</definedName>
    <definedName name="TM1MeasListWB">Menu!$F$39</definedName>
    <definedName name="TM1MeasListWS">Menu!$H$39</definedName>
    <definedName name="TM1MeasUploadCAP">Menu!$D$41</definedName>
    <definedName name="TM1MeasUploadCostingsCAP">Menu!$D$42</definedName>
    <definedName name="TM1MeasUploadCostingsWB">Menu!$F$42</definedName>
    <definedName name="TM1MeasUploadCostingsWS">Menu!$H$42</definedName>
    <definedName name="TM1MeasUploadWB">Menu!$F$41</definedName>
    <definedName name="TM1MeasUploadWS">Menu!$H$41</definedName>
    <definedName name="TM1NewMeas01HeaderCAP">Menu!$D$38</definedName>
    <definedName name="TM1NewMeas01HeaderWB">Menu!$F$38</definedName>
    <definedName name="TM1NewMeas01HeaderWS">Menu!$H$38</definedName>
    <definedName name="TM1OffsetWB">#REF!</definedName>
    <definedName name="TM1OffsetWS">#REF!</definedName>
    <definedName name="TM1REBUILDOPTION">1</definedName>
    <definedName name="TM1RPTDATARNG1" localSheetId="0">#REF!</definedName>
    <definedName name="TM1RPTFMTIDCOL" localSheetId="0">#REF!</definedName>
    <definedName name="TM1RPTFMTRNG" localSheetId="0">#REF!</definedName>
    <definedName name="TM1WB">#REF!</definedName>
    <definedName name="TM1WS">#REF!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" i="1" l="1"/>
  <c r="H37" i="1"/>
  <c r="G37" i="1"/>
  <c r="F37" i="1"/>
  <c r="E37" i="1"/>
  <c r="D37" i="1"/>
  <c r="C37" i="1"/>
  <c r="K85" i="1"/>
  <c r="C10" i="1"/>
  <c r="C12" i="1"/>
  <c r="C11" i="1"/>
  <c r="C13" i="1"/>
  <c r="C14" i="1"/>
  <c r="C15" i="1"/>
  <c r="K51" i="1"/>
  <c r="C4" i="1"/>
  <c r="C7" i="1"/>
  <c r="W49" i="1"/>
  <c r="H42" i="1"/>
  <c r="G42" i="1"/>
  <c r="F42" i="1"/>
  <c r="E42" i="1"/>
  <c r="D42" i="1"/>
  <c r="C42" i="1"/>
  <c r="H41" i="1"/>
  <c r="G41" i="1"/>
  <c r="F41" i="1"/>
  <c r="E41" i="1"/>
  <c r="D41" i="1"/>
  <c r="C41" i="1"/>
  <c r="H40" i="1"/>
  <c r="G40" i="1"/>
  <c r="F40" i="1"/>
  <c r="E40" i="1"/>
  <c r="D40" i="1"/>
  <c r="C40" i="1"/>
  <c r="H39" i="1"/>
  <c r="G39" i="1"/>
  <c r="F39" i="1"/>
  <c r="E39" i="1"/>
  <c r="D39" i="1"/>
  <c r="C39" i="1"/>
  <c r="H38" i="1"/>
  <c r="G38" i="1"/>
  <c r="F38" i="1"/>
  <c r="E38" i="1"/>
  <c r="D38" i="1"/>
  <c r="C38" i="1"/>
  <c r="H36" i="1"/>
  <c r="G36" i="1"/>
  <c r="F36" i="1"/>
  <c r="E36" i="1"/>
  <c r="D36" i="1"/>
  <c r="C36" i="1"/>
  <c r="H35" i="1"/>
  <c r="G35" i="1"/>
  <c r="F35" i="1"/>
  <c r="E35" i="1"/>
  <c r="D35" i="1"/>
  <c r="C35" i="1"/>
  <c r="H34" i="1"/>
  <c r="G34" i="1"/>
  <c r="F34" i="1"/>
  <c r="E34" i="1"/>
  <c r="D34" i="1"/>
  <c r="C34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H30" i="1"/>
  <c r="G30" i="1"/>
  <c r="F30" i="1"/>
  <c r="E30" i="1"/>
  <c r="D30" i="1"/>
  <c r="C30" i="1"/>
  <c r="H29" i="1"/>
  <c r="G29" i="1"/>
  <c r="F29" i="1"/>
  <c r="E29" i="1"/>
  <c r="D29" i="1"/>
  <c r="C29" i="1"/>
  <c r="H28" i="1"/>
  <c r="G28" i="1"/>
  <c r="F28" i="1"/>
  <c r="E28" i="1"/>
  <c r="D28" i="1"/>
  <c r="C28" i="1"/>
  <c r="C18" i="1"/>
  <c r="C22" i="1"/>
  <c r="C21" i="1"/>
  <c r="C20" i="1"/>
  <c r="C19" i="1"/>
  <c r="C3" i="1"/>
  <c r="C6" i="1"/>
  <c r="C5" i="1"/>
</calcChain>
</file>

<file path=xl/sharedStrings.xml><?xml version="1.0" encoding="utf-8"?>
<sst xmlns="http://schemas.openxmlformats.org/spreadsheetml/2006/main" count="57" uniqueCount="51">
  <si>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</si>
  <si>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</si>
  <si>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</si>
  <si>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</si>
  <si>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</si>
  <si>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</si>
  <si>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</si>
  <si>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</si>
  <si>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</si>
  <si>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</si>
  <si>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</si>
  <si>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</si>
  <si>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</si>
  <si>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Message</t>
  </si>
  <si>
    <t>Client Preference</t>
  </si>
  <si>
    <t>geus hl year</t>
  </si>
  <si>
    <t>geus scenario</t>
  </si>
  <si>
    <t>geus adj</t>
  </si>
  <si>
    <t>geus programme</t>
  </si>
  <si>
    <t>Client Preference Measure</t>
  </si>
  <si>
    <t>favapp_application</t>
  </si>
  <si>
    <t>sys_application</t>
  </si>
  <si>
    <t>Slice View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</si>
  <si>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</si>
  <si>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</si>
  <si>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</si>
  <si>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</si>
  <si>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</si>
  <si>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</si>
  <si>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</si>
  <si>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</si>
  <si>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</si>
  <si>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Homepage - Annual Estimates - Measures</t>
  </si>
  <si>
    <t>Homepage - Annual Estimates - Flatfile Creation</t>
  </si>
  <si>
    <t>Homepage - Annual Estimates - Account Variation</t>
  </si>
  <si>
    <t>Worksheet description</t>
  </si>
  <si>
    <t>Homepage - Reports</t>
  </si>
  <si>
    <t>Homepage - Administration</t>
  </si>
  <si>
    <t>Homepage - Under Construction</t>
  </si>
  <si>
    <t>Measures - New Measure 01 - Header Details</t>
  </si>
  <si>
    <t>Measures - Measure List</t>
  </si>
  <si>
    <t>Measures - Bulk Process</t>
  </si>
  <si>
    <t>Measures - Upload Measures</t>
  </si>
  <si>
    <t>Measures - Upload Costings</t>
  </si>
  <si>
    <t>ANNUAL ESTIMATES</t>
  </si>
  <si>
    <t>MEASURES MENU</t>
  </si>
  <si>
    <t>Navigate to the adjustment list</t>
  </si>
  <si>
    <t>Data Entry - New Adj 01 - Header Details</t>
  </si>
  <si>
    <t>Navigate to the Primary Financial Statements</t>
  </si>
  <si>
    <t>Homepage - Annual Estimates - CDM Extract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</si>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</sst>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sz val="11"/>
      <color theme="0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"/>
      <family val="2"/>
    </font>
    <font>
      <sz val="8"/>
      <color rgb="FF333399"/>
      <name val="Verdana"/>
      <family val="2"/>
    </font>
    <font>
      <sz val="11"/>
      <color theme="8" tint="-0.4999542222357860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426A"/>
        <bgColor indexed="64"/>
      </patternFill>
    </fill>
    <fill>
      <patternFill patternType="solid">
        <fgColor rgb="FF1F7DBE"/>
        <bgColor indexed="64"/>
      </patternFill>
    </fill>
    <fill>
      <patternFill patternType="solid">
        <fgColor rgb="FF535354"/>
        <bgColor indexed="64"/>
      </patternFill>
    </fill>
    <fill>
      <patternFill patternType="solid">
        <fgColor theme="0" tint="-4.9958800012207406E-2"/>
        <bgColor indexed="64"/>
      </patternFill>
    </fill>
    <fill>
      <patternFill patternType="solid">
        <fgColor theme="0" tint="-0.14996795556505021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8" fillId="0" borderId="0">
      <protection locked="0"/>
    </xf>
  </cellStyleXfs>
  <cellXfs count="20">
    <xf numFmtId="0" fontId="0" fillId="0" borderId="0" xfId="0"/>
    <xf numFmtId="0" fontId="0" fillId="0" borderId="1" xfId="0" applyBorder="1"/>
    <xf numFmtId="0" fontId="2" fillId="0" borderId="1" xfId="0" applyFont="1" applyBorder="1"/>
    <xf numFmtId="0" fontId="0" fillId="0" borderId="1" xfId="0" applyBorder="1" applyAlignment="1">
      <alignment horizontal="center"/>
    </xf>
    <xf numFmtId="0" fontId="0" fillId="0" borderId="2" xfId="0" applyBorder="1"/>
    <xf numFmtId="0" fontId="3" fillId="2" borderId="0" xfId="0" applyFont="1" applyFill="1" applyAlignment="1">
      <alignment horizontal="right" vertical="center"/>
    </xf>
    <xf numFmtId="0" fontId="5" fillId="3" borderId="0" xfId="0" applyFont="1" applyFill="1" applyAlignment="1">
      <alignment vertical="center"/>
    </xf>
    <xf numFmtId="0" fontId="6" fillId="2" borderId="0" xfId="0" applyFont="1" applyFill="1" applyAlignment="1">
      <alignment horizontal="right" vertical="center"/>
    </xf>
    <xf numFmtId="0" fontId="7" fillId="4" borderId="0" xfId="6" applyFont="1" applyFill="1" applyAlignment="1" applyProtection="1">
      <alignment vertical="center"/>
    </xf>
    <xf numFmtId="0" fontId="0" fillId="5" borderId="0" xfId="0" applyFill="1"/>
    <xf numFmtId="0" fontId="0" fillId="0" borderId="1" xfId="0" applyBorder="1" applyAlignment="1">
      <alignment horizontal="left"/>
    </xf>
    <xf numFmtId="0" fontId="4" fillId="2" borderId="0" xfId="0" applyFont="1" applyFill="1" applyAlignment="1">
      <alignment horizontal="right" vertical="center" indent="1"/>
    </xf>
    <xf numFmtId="0" fontId="0" fillId="0" borderId="3" xfId="0" applyBorder="1"/>
    <xf numFmtId="0" fontId="9" fillId="0" borderId="0" xfId="0" applyFont="1"/>
    <xf numFmtId="0" fontId="7" fillId="2" borderId="0" xfId="0" applyFont="1" applyFill="1" applyAlignment="1">
      <alignment horizontal="left" vertical="center"/>
    </xf>
    <xf numFmtId="0" fontId="7" fillId="4" borderId="0" xfId="6" applyFont="1" applyFill="1" applyAlignment="1" applyProtection="1">
      <alignment horizontal="left" vertical="center"/>
    </xf>
    <xf numFmtId="0" fontId="2" fillId="6" borderId="4" xfId="0" applyFont="1" applyFill="1" applyBorder="1" applyAlignment="1">
      <alignment horizontal="center"/>
    </xf>
    <xf numFmtId="0" fontId="2" fillId="6" borderId="5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5" fillId="3" borderId="0" xfId="0" applyFont="1" applyFill="1" applyAlignment="1">
      <alignment horizontal="left" vertical="center" indent="1"/>
    </xf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Normal 2" xfId="6" xr:uid="{00000000-0005-0000-0000-000006000000}"/>
    <cellStyle name="Percent" xfId="1" xr:uid="{00000000-0005-0000-0000-000001000000}"/>
  </cellStyles>
  <dxfs count="1">
    <dxf>
      <font>
        <color theme="0"/>
      </font>
      <fill>
        <patternFill>
          <bgColor theme="9" tint="-0.4999542222357860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jpe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1236052</xdr:colOff>
      <xdr:row>50</xdr:row>
      <xdr:rowOff>55686</xdr:rowOff>
    </xdr:from>
    <xdr:to>
      <xdr:col>22</xdr:col>
      <xdr:colOff>206290</xdr:colOff>
      <xdr:row>50</xdr:row>
      <xdr:rowOff>340374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53850" y="619125"/>
          <a:ext cx="285750" cy="285750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</xdr:colOff>
      <xdr:row>55</xdr:row>
      <xdr:rowOff>57150</xdr:rowOff>
    </xdr:from>
    <xdr:to>
      <xdr:col>15</xdr:col>
      <xdr:colOff>307716</xdr:colOff>
      <xdr:row>55</xdr:row>
      <xdr:rowOff>247650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62625" y="1600200"/>
          <a:ext cx="238125" cy="190500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55</xdr:row>
      <xdr:rowOff>66675</xdr:rowOff>
    </xdr:from>
    <xdr:to>
      <xdr:col>22</xdr:col>
      <xdr:colOff>289046</xdr:colOff>
      <xdr:row>55</xdr:row>
      <xdr:rowOff>246045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877675" y="1609725"/>
          <a:ext cx="238125" cy="1809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48</xdr:row>
      <xdr:rowOff>28575</xdr:rowOff>
    </xdr:from>
    <xdr:to>
      <xdr:col>12</xdr:col>
      <xdr:colOff>53340</xdr:colOff>
      <xdr:row>48</xdr:row>
      <xdr:rowOff>474345</xdr:rowOff>
    </xdr:to>
    <xdr:pic>
      <xdr:nvPicPr>
        <xdr:cNvPr id="21" name="Picture 3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28575"/>
          <a:ext cx="1809750" cy="447675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55</xdr:row>
      <xdr:rowOff>66675</xdr:rowOff>
    </xdr:from>
    <xdr:to>
      <xdr:col>22</xdr:col>
      <xdr:colOff>289046</xdr:colOff>
      <xdr:row>55</xdr:row>
      <xdr:rowOff>246045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877675" y="1609725"/>
          <a:ext cx="238125" cy="180975"/>
        </a:xfrm>
        <a:prstGeom prst="rect">
          <a:avLst/>
        </a:prstGeom>
      </xdr:spPr>
    </xdr:pic>
    <xdr:clientData/>
  </xdr:twoCellAnchor>
  <xdr:twoCellAnchor editAs="oneCell">
    <xdr:from>
      <xdr:col>23</xdr:col>
      <xdr:colOff>28575</xdr:colOff>
      <xdr:row>0</xdr:row>
      <xdr:rowOff>0</xdr:rowOff>
    </xdr:from>
    <xdr:to>
      <xdr:col>26</xdr:col>
      <xdr:colOff>55245</xdr:colOff>
      <xdr:row>56</xdr:row>
      <xdr:rowOff>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239625" y="0"/>
          <a:ext cx="1857375" cy="185737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56</xdr:row>
      <xdr:rowOff>47625</xdr:rowOff>
    </xdr:from>
    <xdr:to>
      <xdr:col>14</xdr:col>
      <xdr:colOff>752475</xdr:colOff>
      <xdr:row>59</xdr:row>
      <xdr:rowOff>0</xdr:rowOff>
    </xdr:to>
    <xdr:sp macro="Sheet1.ExecuteAction_b10f447b_cd27_46bf_9585_8c007fa1573a" textlink="TM1HomeAEDataEntryCAP">
      <xdr:nvSpPr>
        <xdr:cNvPr id="2" name="TM1Button_b10f447b_cd27_46bf_9585_8c007fa1573a">
          <a:extLst>
            <a:ext uri="{FF2B5EF4-FFF2-40B4-BE49-F238E27FC236}">
              <a16:creationId xmlns:a16="http://schemas.microsoft.com/office/drawing/2014/main" id="{111D2133-4E07-BCFA-7F1B-6321F2DB47B6}"/>
            </a:ext>
          </a:extLst>
        </xdr:cNvPr>
        <xdr:cNvSpPr txBox="1"/>
      </xdr:nvSpPr>
      <xdr:spPr>
        <a:xfrm>
          <a:off x="438150" y="1905000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B69E432-A459-4218-9A3B-19B93261F3A0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RECALC_0_224_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59</xdr:row>
      <xdr:rowOff>47625</xdr:rowOff>
    </xdr:from>
    <xdr:to>
      <xdr:col>21</xdr:col>
      <xdr:colOff>1038225</xdr:colOff>
      <xdr:row>61</xdr:row>
      <xdr:rowOff>57150</xdr:rowOff>
    </xdr:to>
    <xdr:sp macro="Sheet1.ExecuteAction_45333d11_3431_4ca6_8955_b8c984ff0938" textlink="">
      <xdr:nvSpPr>
        <xdr:cNvPr id="3" name="TM1Button_45333d11_3431_4ca6_8955_b8c984ff0938">
          <a:extLst>
            <a:ext uri="{FF2B5EF4-FFF2-40B4-BE49-F238E27FC236}">
              <a16:creationId xmlns:a16="http://schemas.microsoft.com/office/drawing/2014/main" id="{1439B9BB-6BBE-5E02-1C1A-AF55AB18D49D}"/>
            </a:ext>
          </a:extLst>
        </xdr:cNvPr>
        <xdr:cNvSpPr txBox="1"/>
      </xdr:nvSpPr>
      <xdr:spPr>
        <a:xfrm>
          <a:off x="6858000" y="2266950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Measure List</a:t>
          </a:r>
        </a:p>
      </xdr:txBody>
    </xdr:sp>
    <xdr:clientData/>
  </xdr:twoCellAnchor>
  <xdr:twoCellAnchor editAs="oneCell">
    <xdr:from>
      <xdr:col>18</xdr:col>
      <xdr:colOff>285750</xdr:colOff>
      <xdr:row>61</xdr:row>
      <xdr:rowOff>104775</xdr:rowOff>
    </xdr:from>
    <xdr:to>
      <xdr:col>21</xdr:col>
      <xdr:colOff>1038225</xdr:colOff>
      <xdr:row>63</xdr:row>
      <xdr:rowOff>114300</xdr:rowOff>
    </xdr:to>
    <xdr:sp macro="Sheet1.ExecuteAction_00d0823f_b23b_4ac5_953d_7c2652c77cb3" textlink="">
      <xdr:nvSpPr>
        <xdr:cNvPr id="4" name="TM1Button_00d0823f_b23b_4ac5_953d_7c2652c77cb3">
          <a:extLst>
            <a:ext uri="{FF2B5EF4-FFF2-40B4-BE49-F238E27FC236}">
              <a16:creationId xmlns:a16="http://schemas.microsoft.com/office/drawing/2014/main" id="{BEF0E571-64B8-E06B-5608-86AA48516952}"/>
            </a:ext>
          </a:extLst>
        </xdr:cNvPr>
        <xdr:cNvSpPr txBox="1"/>
      </xdr:nvSpPr>
      <xdr:spPr>
        <a:xfrm>
          <a:off x="6858000" y="2628900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Measure Bulk Process</a:t>
          </a:r>
        </a:p>
      </xdr:txBody>
    </xdr:sp>
    <xdr:clientData/>
  </xdr:twoCellAnchor>
  <xdr:twoCellAnchor editAs="oneCell">
    <xdr:from>
      <xdr:col>18</xdr:col>
      <xdr:colOff>285750</xdr:colOff>
      <xdr:row>63</xdr:row>
      <xdr:rowOff>161925</xdr:rowOff>
    </xdr:from>
    <xdr:to>
      <xdr:col>21</xdr:col>
      <xdr:colOff>1038225</xdr:colOff>
      <xdr:row>65</xdr:row>
      <xdr:rowOff>38100</xdr:rowOff>
    </xdr:to>
    <xdr:sp macro="Sheet1.ExecuteAction_b5839af2_b61d_46cc_9860_245bf7231f5f" textlink="">
      <xdr:nvSpPr>
        <xdr:cNvPr id="5" name="TM1Button_b5839af2_b61d_46cc_9860_245bf7231f5f">
          <a:extLst>
            <a:ext uri="{FF2B5EF4-FFF2-40B4-BE49-F238E27FC236}">
              <a16:creationId xmlns:a16="http://schemas.microsoft.com/office/drawing/2014/main" id="{AAFA912A-683C-ACC6-993E-E5E31FBA618A}"/>
            </a:ext>
          </a:extLst>
        </xdr:cNvPr>
        <xdr:cNvSpPr txBox="1"/>
      </xdr:nvSpPr>
      <xdr:spPr>
        <a:xfrm>
          <a:off x="6858000" y="2990850"/>
          <a:ext cx="4695825" cy="30480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Load Costings File</a:t>
          </a:r>
        </a:p>
      </xdr:txBody>
    </xdr:sp>
    <xdr:clientData/>
  </xdr:twoCellAnchor>
  <xdr:twoCellAnchor editAs="oneCell">
    <xdr:from>
      <xdr:col>18</xdr:col>
      <xdr:colOff>285750</xdr:colOff>
      <xdr:row>65</xdr:row>
      <xdr:rowOff>85725</xdr:rowOff>
    </xdr:from>
    <xdr:to>
      <xdr:col>21</xdr:col>
      <xdr:colOff>1038225</xdr:colOff>
      <xdr:row>67</xdr:row>
      <xdr:rowOff>152400</xdr:rowOff>
    </xdr:to>
    <xdr:sp macro="Sheet1.ExecuteAction_aa633c79_bee2_478d_bc1d_c4d6eb33f3e0" textlink="">
      <xdr:nvSpPr>
        <xdr:cNvPr id="6" name="TM1Button_aa633c79_bee2_478d_bc1d_c4d6eb33f3e0">
          <a:extLst>
            <a:ext uri="{FF2B5EF4-FFF2-40B4-BE49-F238E27FC236}">
              <a16:creationId xmlns:a16="http://schemas.microsoft.com/office/drawing/2014/main" id="{5CA21A2A-1091-48A8-ADC7-1E53F8C8F6DB}"/>
            </a:ext>
          </a:extLst>
        </xdr:cNvPr>
        <xdr:cNvSpPr txBox="1"/>
      </xdr:nvSpPr>
      <xdr:spPr>
        <a:xfrm>
          <a:off x="6858000" y="3343275"/>
          <a:ext cx="4695825" cy="30480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Upload Measures For Creation</a:t>
          </a:r>
        </a:p>
      </xdr:txBody>
    </xdr:sp>
    <xdr:clientData/>
  </xdr:twoCellAnchor>
  <xdr:twoCellAnchor editAs="oneCell">
    <xdr:from>
      <xdr:col>11</xdr:col>
      <xdr:colOff>0</xdr:colOff>
      <xdr:row>65</xdr:row>
      <xdr:rowOff>114300</xdr:rowOff>
    </xdr:from>
    <xdr:to>
      <xdr:col>14</xdr:col>
      <xdr:colOff>752475</xdr:colOff>
      <xdr:row>68</xdr:row>
      <xdr:rowOff>9525</xdr:rowOff>
    </xdr:to>
    <xdr:sp macro="Sheet1.ExecuteAction_47a75084_1742_41a7_80d0_6c3aa0fa10d7" textlink="TM1HomeAECDMCAP">
      <xdr:nvSpPr>
        <xdr:cNvPr id="7" name="TM1Button_47a75084_1742_41a7_80d0_6c3aa0fa10d7">
          <a:extLst>
            <a:ext uri="{FF2B5EF4-FFF2-40B4-BE49-F238E27FC236}">
              <a16:creationId xmlns:a16="http://schemas.microsoft.com/office/drawing/2014/main" id="{8EAC20BF-E76F-F969-5379-875DE7FD42A6}"/>
            </a:ext>
          </a:extLst>
        </xdr:cNvPr>
        <xdr:cNvSpPr txBox="1"/>
      </xdr:nvSpPr>
      <xdr:spPr>
        <a:xfrm>
          <a:off x="438150" y="3371850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7335DD8-73FC-437E-B0F4-E37670CA3BDA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RECALC_0_3272_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59</xdr:row>
      <xdr:rowOff>47625</xdr:rowOff>
    </xdr:from>
    <xdr:to>
      <xdr:col>14</xdr:col>
      <xdr:colOff>752475</xdr:colOff>
      <xdr:row>61</xdr:row>
      <xdr:rowOff>57150</xdr:rowOff>
    </xdr:to>
    <xdr:sp macro="Sheet1.ExecuteAction_16335f18_8a8b_4587_91c8_a71677cd5d94" textlink="TM1HomeAEMeasuresCAP">
      <xdr:nvSpPr>
        <xdr:cNvPr id="8" name="TM1Button_16335f18_8a8b_4587_91c8_a71677cd5d94">
          <a:extLst>
            <a:ext uri="{FF2B5EF4-FFF2-40B4-BE49-F238E27FC236}">
              <a16:creationId xmlns:a16="http://schemas.microsoft.com/office/drawing/2014/main" id="{65C503F0-1516-078B-2EE2-C014BD67F263}"/>
            </a:ext>
          </a:extLst>
        </xdr:cNvPr>
        <xdr:cNvSpPr txBox="1"/>
      </xdr:nvSpPr>
      <xdr:spPr>
        <a:xfrm>
          <a:off x="438150" y="2266950"/>
          <a:ext cx="4695825" cy="314325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F3F1BE8-A7CC-46C4-A983-6EA9F84A6516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RECALC_0_958_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61</xdr:row>
      <xdr:rowOff>104775</xdr:rowOff>
    </xdr:from>
    <xdr:to>
      <xdr:col>14</xdr:col>
      <xdr:colOff>752475</xdr:colOff>
      <xdr:row>63</xdr:row>
      <xdr:rowOff>114300</xdr:rowOff>
    </xdr:to>
    <xdr:sp macro="Sheet1.ExecuteAction_29fb9392_7b96_4d6c_9cf9_319197990292" textlink="TM1HomeAEFFCAP">
      <xdr:nvSpPr>
        <xdr:cNvPr id="10" name="TM1Button_29fb9392_7b96_4d6c_9cf9_319197990292">
          <a:extLst>
            <a:ext uri="{FF2B5EF4-FFF2-40B4-BE49-F238E27FC236}">
              <a16:creationId xmlns:a16="http://schemas.microsoft.com/office/drawing/2014/main" id="{A5FE6BEF-6EDD-F4D3-4C23-D74BB7B96A53}"/>
            </a:ext>
          </a:extLst>
        </xdr:cNvPr>
        <xdr:cNvSpPr txBox="1"/>
      </xdr:nvSpPr>
      <xdr:spPr>
        <a:xfrm>
          <a:off x="438150" y="2628900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B79296D7-73CF-49C9-9EE4-1403F00AD364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RECALC_0_1007_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63</xdr:row>
      <xdr:rowOff>161925</xdr:rowOff>
    </xdr:from>
    <xdr:to>
      <xdr:col>14</xdr:col>
      <xdr:colOff>752475</xdr:colOff>
      <xdr:row>65</xdr:row>
      <xdr:rowOff>38100</xdr:rowOff>
    </xdr:to>
    <xdr:sp macro="Sheet1.ExecuteAction_b1f6856d_22ee_408b_8d98_9b38985ce51a" textlink="TM1HomeAEAccVarCAP">
      <xdr:nvSpPr>
        <xdr:cNvPr id="13" name="TM1Button_b1f6856d_22ee_408b_8d98_9b38985ce51a">
          <a:extLst>
            <a:ext uri="{FF2B5EF4-FFF2-40B4-BE49-F238E27FC236}">
              <a16:creationId xmlns:a16="http://schemas.microsoft.com/office/drawing/2014/main" id="{FA3C73BC-6786-7E33-C8E6-73A3581F9A81}"/>
            </a:ext>
          </a:extLst>
        </xdr:cNvPr>
        <xdr:cNvSpPr txBox="1"/>
      </xdr:nvSpPr>
      <xdr:spPr>
        <a:xfrm>
          <a:off x="438150" y="2990850"/>
          <a:ext cx="4695825" cy="3048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6ED84BD-836A-44F5-9638-66EA4C6B77AE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RECALC_0_874_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123825</xdr:colOff>
      <xdr:row>52</xdr:row>
      <xdr:rowOff>47625</xdr:rowOff>
    </xdr:from>
    <xdr:to>
      <xdr:col>13</xdr:col>
      <xdr:colOff>38100</xdr:colOff>
      <xdr:row>54</xdr:row>
      <xdr:rowOff>85725</xdr:rowOff>
    </xdr:to>
    <xdr:sp macro="Sheet1.ExecuteAction_0cce679c_0060_4e77_a908_ba279784af53" textlink="TM1HomeCAP">
      <xdr:nvSpPr>
        <xdr:cNvPr id="14" name="TM1Button_0cce679c_0060_4e77_a908_ba279784af53">
          <a:extLst>
            <a:ext uri="{FF2B5EF4-FFF2-40B4-BE49-F238E27FC236}">
              <a16:creationId xmlns:a16="http://schemas.microsoft.com/office/drawing/2014/main" id="{12F0B5C6-0AD8-41FA-45CE-6D58B5CFA90E}"/>
            </a:ext>
          </a:extLst>
        </xdr:cNvPr>
        <xdr:cNvSpPr txBox="1"/>
      </xdr:nvSpPr>
      <xdr:spPr>
        <a:xfrm>
          <a:off x="180975" y="1047750"/>
          <a:ext cx="2924175" cy="4000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A184C83-2DDF-4498-A6A7-25F05AB8CC6B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57150</xdr:colOff>
      <xdr:row>52</xdr:row>
      <xdr:rowOff>47625</xdr:rowOff>
    </xdr:from>
    <xdr:to>
      <xdr:col>15</xdr:col>
      <xdr:colOff>352425</xdr:colOff>
      <xdr:row>54</xdr:row>
      <xdr:rowOff>85725</xdr:rowOff>
    </xdr:to>
    <xdr:sp macro="Sheet1.ExecuteAction_af2f10d6_ec06_42fa_b3c7_a9b376460d0d" textlink="TM1HomeAECAP">
      <xdr:nvSpPr>
        <xdr:cNvPr id="15" name="TM1Button_af2f10d6_ec06_42fa_b3c7_a9b376460d0d">
          <a:extLst>
            <a:ext uri="{FF2B5EF4-FFF2-40B4-BE49-F238E27FC236}">
              <a16:creationId xmlns:a16="http://schemas.microsoft.com/office/drawing/2014/main" id="{BA913B7F-A55B-3292-DAE1-1A7A98B38798}"/>
            </a:ext>
          </a:extLst>
        </xdr:cNvPr>
        <xdr:cNvSpPr txBox="1"/>
      </xdr:nvSpPr>
      <xdr:spPr>
        <a:xfrm>
          <a:off x="3124200" y="1047750"/>
          <a:ext cx="2924175" cy="400050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60E5346-91CE-44E6-AB40-9CD5746C9842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RECALC_0_76_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371475</xdr:colOff>
      <xdr:row>52</xdr:row>
      <xdr:rowOff>38100</xdr:rowOff>
    </xdr:from>
    <xdr:to>
      <xdr:col>19</xdr:col>
      <xdr:colOff>1104900</xdr:colOff>
      <xdr:row>54</xdr:row>
      <xdr:rowOff>76200</xdr:rowOff>
    </xdr:to>
    <xdr:sp macro="Sheet1.ExecuteAction_82a3ac02_94d3_4675_ba61_6a7a7803607b" textlink="TM1HomeRepCAP">
      <xdr:nvSpPr>
        <xdr:cNvPr id="16" name="TM1Button_82a3ac02_94d3_4675_ba61_6a7a7803607b">
          <a:extLst>
            <a:ext uri="{FF2B5EF4-FFF2-40B4-BE49-F238E27FC236}">
              <a16:creationId xmlns:a16="http://schemas.microsoft.com/office/drawing/2014/main" id="{CA3E4519-8B55-9795-AB01-E3A4A36ED6FC}"/>
            </a:ext>
          </a:extLst>
        </xdr:cNvPr>
        <xdr:cNvSpPr txBox="1"/>
      </xdr:nvSpPr>
      <xdr:spPr>
        <a:xfrm>
          <a:off x="6067425" y="1038225"/>
          <a:ext cx="2924175" cy="4000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940F06A-6B54-4512-BC18-786BB82A6519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RECALC_0_70_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19</xdr:col>
      <xdr:colOff>1133475</xdr:colOff>
      <xdr:row>52</xdr:row>
      <xdr:rowOff>38100</xdr:rowOff>
    </xdr:from>
    <xdr:to>
      <xdr:col>22</xdr:col>
      <xdr:colOff>114300</xdr:colOff>
      <xdr:row>54</xdr:row>
      <xdr:rowOff>76200</xdr:rowOff>
    </xdr:to>
    <xdr:sp macro="Sheet1.ExecuteAction_52451717_c6fe_40a2_b9ca_2f5f7c18cb94" textlink="TM1HomeAdminCAP">
      <xdr:nvSpPr>
        <xdr:cNvPr id="17" name="TM1Button_52451717_c6fe_40a2_b9ca_2f5f7c18cb94">
          <a:extLst>
            <a:ext uri="{FF2B5EF4-FFF2-40B4-BE49-F238E27FC236}">
              <a16:creationId xmlns:a16="http://schemas.microsoft.com/office/drawing/2014/main" id="{8B9A253A-D0C8-0EF2-AF0D-DD704FB86389}"/>
            </a:ext>
          </a:extLst>
        </xdr:cNvPr>
        <xdr:cNvSpPr txBox="1"/>
      </xdr:nvSpPr>
      <xdr:spPr>
        <a:xfrm>
          <a:off x="9020175" y="1038225"/>
          <a:ext cx="2924175" cy="4000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1E68E49-1792-4882-BAD1-415A165112B2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RECALC_0_64_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56</xdr:row>
      <xdr:rowOff>47625</xdr:rowOff>
    </xdr:from>
    <xdr:to>
      <xdr:col>21</xdr:col>
      <xdr:colOff>1038225</xdr:colOff>
      <xdr:row>59</xdr:row>
      <xdr:rowOff>0</xdr:rowOff>
    </xdr:to>
    <xdr:sp macro="Sheet1.ExecuteAction_71885dbf_28e5_47f9_81bd_a5db08bea78f" textlink="">
      <xdr:nvSpPr>
        <xdr:cNvPr id="18" name="TM1Button_71885dbf_28e5_47f9_81bd_a5db08bea78f">
          <a:extLst>
            <a:ext uri="{FF2B5EF4-FFF2-40B4-BE49-F238E27FC236}">
              <a16:creationId xmlns:a16="http://schemas.microsoft.com/office/drawing/2014/main" id="{573D7FC3-166C-715D-7A30-5EA1939F67FE}"/>
            </a:ext>
          </a:extLst>
        </xdr:cNvPr>
        <xdr:cNvSpPr txBox="1"/>
      </xdr:nvSpPr>
      <xdr:spPr>
        <a:xfrm>
          <a:off x="6858000" y="1905000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Create New Measure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EFCA4-A2A2-4967-A916-C33A6C7354C5}">
  <sheetPr codeName="Sheet1"/>
  <dimension ref="A1:W85"/>
  <sheetViews>
    <sheetView showGridLines="0" tabSelected="1" topLeftCell="J49" workbookViewId="0"/>
  </sheetViews>
  <sheetFormatPr defaultRowHeight="14.45" customHeight="1" outlineLevelRow="1" outlineLevelCol="1" x14ac:dyDescent="0.25"/>
  <cols>
    <col min="1" max="1" width="5.7109375" hidden="1" customWidth="1" outlineLevel="1"/>
    <col min="2" max="4" width="20.28515625" hidden="1" customWidth="1" outlineLevel="1"/>
    <col min="5" max="5" width="24.42578125" hidden="1" customWidth="1" outlineLevel="1"/>
    <col min="6" max="6" width="21.7109375" hidden="1" customWidth="1" outlineLevel="1"/>
    <col min="7" max="7" width="20.140625" hidden="1" customWidth="1" outlineLevel="1"/>
    <col min="8" max="8" width="13.42578125" hidden="1" customWidth="1" outlineLevel="1"/>
    <col min="9" max="9" width="12.42578125" hidden="1" customWidth="1" outlineLevel="1"/>
    <col min="10" max="10" width="0.85546875" customWidth="1" collapsed="1"/>
    <col min="11" max="11" width="5.7109375" customWidth="1"/>
    <col min="12" max="15" width="19.7109375" customWidth="1"/>
    <col min="16" max="16" width="5.7109375" customWidth="1"/>
    <col min="17" max="17" width="1.7109375" customWidth="1"/>
    <col min="18" max="18" width="5.7109375" customWidth="1"/>
    <col min="19" max="22" width="19.7109375" customWidth="1"/>
    <col min="23" max="23" width="5.7109375" customWidth="1"/>
  </cols>
  <sheetData>
    <row r="1" spans="2:4" ht="14.45" hidden="1" customHeight="1" outlineLevel="1" x14ac:dyDescent="0.25">
      <c r="B1" s="16" t="s">
        <v>0</v>
      </c>
      <c r="C1" s="17"/>
      <c r="D1" s="18"/>
    </row>
    <row r="2" spans="2:4" ht="14.45" hidden="1" customHeight="1" outlineLevel="1" x14ac:dyDescent="0.25">
      <c r="B2" s="2" t="s">
        <v>1</v>
      </c>
      <c r="C2" s="3" t="s">
        <v>50</v>
      </c>
      <c r="D2" s="4"/>
    </row>
    <row r="3" spans="2:4" ht="14.45" hidden="1" customHeight="1" outlineLevel="1" x14ac:dyDescent="0.25">
      <c r="B3" s="2" t="s">
        <v>2</v>
      </c>
      <c r="C3" s="10" t="str">
        <f>_xll.VIEW((db_name&amp;":}ElementAttributes_}Clients"),"!","!")</f>
        <v>finance_geus:}ElementAttributes_}Clients:1264217196-1502736443</v>
      </c>
      <c r="D3" s="4"/>
    </row>
    <row r="4" spans="2:4" ht="14.45" hidden="1" customHeight="1" outlineLevel="1" x14ac:dyDescent="0.25">
      <c r="B4" s="2" t="s">
        <v>3</v>
      </c>
      <c r="C4" s="3" t="str">
        <f ca="1">_xll.TM1USER(db_name)</f>
        <v>RECALC_0_100_</v>
      </c>
      <c r="D4" s="4"/>
    </row>
    <row r="5" spans="2:4" ht="14.45" hidden="1" customHeight="1" outlineLevel="1" x14ac:dyDescent="0.25">
      <c r="B5" s="2" t="s">
        <v>4</v>
      </c>
      <c r="C5" s="3" t="str">
        <f ca="1">_xll.DBR($C$3,$C$4,$B5)</f>
        <v>RECALC_1_101_</v>
      </c>
      <c r="D5" s="4"/>
    </row>
    <row r="6" spans="2:4" ht="14.45" hidden="1" customHeight="1" outlineLevel="1" x14ac:dyDescent="0.25">
      <c r="B6" s="2" t="s">
        <v>5</v>
      </c>
      <c r="C6" s="3" t="str">
        <f ca="1">_xll.DBR($C$3,$C$4,$B6)</f>
        <v>RECALC_1_232_</v>
      </c>
      <c r="D6" s="4"/>
    </row>
    <row r="7" spans="2:4" ht="14.45" hidden="1" customHeight="1" outlineLevel="1" x14ac:dyDescent="0.25">
      <c r="B7" s="2" t="s">
        <v>6</v>
      </c>
      <c r="C7" s="3" t="str">
        <f ca="1">IF((LEFT($C$4,6)="CAM_AD"),$C$5,$C$4)</f>
        <v>RECALC_0_100_</v>
      </c>
      <c r="D7" s="1"/>
    </row>
    <row r="8" spans="2:4" ht="14.45" hidden="1" customHeight="1" outlineLevel="1" x14ac:dyDescent="0.25"/>
    <row r="9" spans="2:4" ht="14.45" hidden="1" customHeight="1" outlineLevel="1" x14ac:dyDescent="0.25">
      <c r="B9" s="16" t="s">
        <v>7</v>
      </c>
      <c r="C9" s="17"/>
      <c r="D9" s="18"/>
    </row>
    <row r="10" spans="2:4" ht="14.45" hidden="1" customHeight="1" outlineLevel="1" x14ac:dyDescent="0.25">
      <c r="B10" s="2" t="s">
        <v>8</v>
      </c>
      <c r="C10" s="1" t="str">
        <f>_xll.VIEW((db_name&amp;":}ElementAttributes_variables"),"!","!")</f>
        <v>finance_geus:}ElementAttributes_variables:1264217196840297542</v>
      </c>
      <c r="D10" s="1"/>
    </row>
    <row r="11" spans="2:4" ht="14.45" hidden="1" customHeight="1" outlineLevel="1" x14ac:dyDescent="0.25">
      <c r="B11" s="2" t="s">
        <v>9</v>
      </c>
      <c r="C11" s="1" t="str">
        <f ca="1">_xll.DBR($C$10,$B11,"value")</f>
        <v>RECALC_0_231_</v>
      </c>
      <c r="D11" s="1"/>
    </row>
    <row r="12" spans="2:4" ht="14.45" hidden="1" customHeight="1" outlineLevel="1" x14ac:dyDescent="0.25">
      <c r="B12" s="2" t="s">
        <v>10</v>
      </c>
      <c r="C12" s="1" t="str">
        <f ca="1">_xll.DBR($C$10,$B12,"value")</f>
        <v>RECALC_0_230_</v>
      </c>
      <c r="D12" s="1"/>
    </row>
    <row r="13" spans="2:4" ht="14.45" hidden="1" customHeight="1" outlineLevel="1" x14ac:dyDescent="0.25">
      <c r="B13" s="2" t="s">
        <v>11</v>
      </c>
      <c r="C13" s="1" t="str">
        <f ca="1">_xll.DBR($C$10,$B13,"value")</f>
        <v>RECALC_0_484_</v>
      </c>
      <c r="D13" s="1"/>
    </row>
    <row r="14" spans="2:4" ht="14.45" hidden="1" customHeight="1" outlineLevel="1" x14ac:dyDescent="0.25">
      <c r="B14" s="2" t="s">
        <v>12</v>
      </c>
      <c r="C14" s="1" t="str">
        <f ca="1">_xll.DBR($C$10,$B14,"value")</f>
        <v>RECALC_0_483_</v>
      </c>
      <c r="D14" s="1"/>
    </row>
    <row r="15" spans="2:4" ht="14.45" hidden="1" customHeight="1" outlineLevel="1" x14ac:dyDescent="0.25">
      <c r="B15" s="2" t="s">
        <v>13</v>
      </c>
      <c r="C15" s="1" t="str">
        <f ca="1">("The current scenario is """&amp;($C$12&amp;(""" for the """&amp;($C$11&amp;(""" Headline Year. Archive was done for """&amp;($C$13&amp;(""" on scenario """&amp;($C$14&amp;"""."))))))))</f>
        <v>The current scenario is "RECALC_0_230_" for the "RECALC_0_231_" Headline Year. Archive was done for "RECALC_0_484_" on scenario "RECALC_0_483_".</v>
      </c>
      <c r="D15" s="1"/>
    </row>
    <row r="16" spans="2:4" ht="14.45" hidden="1" customHeight="1" outlineLevel="1" x14ac:dyDescent="0.25"/>
    <row r="17" spans="2:13" ht="14.45" hidden="1" customHeight="1" outlineLevel="1" x14ac:dyDescent="0.25">
      <c r="B17" s="16" t="s">
        <v>14</v>
      </c>
      <c r="C17" s="17"/>
      <c r="D17" s="18"/>
    </row>
    <row r="18" spans="2:13" ht="14.45" hidden="1" customHeight="1" outlineLevel="1" x14ac:dyDescent="0.25">
      <c r="B18" s="2" t="s">
        <v>8</v>
      </c>
      <c r="C18" s="1" t="str">
        <f>_xll.VIEW((db_name&amp;":sys_client preference"),"!","!","!")</f>
        <v>finance_geus:sys_client preference:1264217196-230962696</v>
      </c>
      <c r="D18" s="1"/>
    </row>
    <row r="19" spans="2:13" ht="14.45" hidden="1" customHeight="1" outlineLevel="1" x14ac:dyDescent="0.25">
      <c r="B19" s="2" t="s">
        <v>15</v>
      </c>
      <c r="C19" s="1" t="str">
        <f ca="1">_xll.DBR($C$18,psUser,$B19,"value")</f>
        <v>RECALC_1_416_</v>
      </c>
      <c r="D19" s="1"/>
    </row>
    <row r="20" spans="2:13" ht="14.45" hidden="1" customHeight="1" outlineLevel="1" x14ac:dyDescent="0.25">
      <c r="B20" s="2" t="s">
        <v>16</v>
      </c>
      <c r="C20" s="1" t="str">
        <f ca="1">_xll.DBR($C$18,psUser,$B20,"value")</f>
        <v>RECALC_1_414_</v>
      </c>
      <c r="D20" s="1"/>
    </row>
    <row r="21" spans="2:13" ht="14.45" hidden="1" customHeight="1" outlineLevel="1" x14ac:dyDescent="0.25">
      <c r="B21" s="2" t="s">
        <v>17</v>
      </c>
      <c r="C21" s="1" t="str">
        <f ca="1">_xll.DBR($C$18,psUser,$B21,"value")</f>
        <v>RECALC_1_412_</v>
      </c>
      <c r="D21" s="1"/>
    </row>
    <row r="22" spans="2:13" ht="14.45" hidden="1" customHeight="1" outlineLevel="1" x14ac:dyDescent="0.25">
      <c r="B22" s="2" t="s">
        <v>18</v>
      </c>
      <c r="C22" s="1" t="str">
        <f ca="1">_xll.DBR($C$18,psUser,$B22,"value")</f>
        <v>RECALC_1_493_</v>
      </c>
      <c r="D22" s="1"/>
    </row>
    <row r="23" spans="2:13" ht="14.45" hidden="1" customHeight="1" outlineLevel="1" x14ac:dyDescent="0.25">
      <c r="B23" s="2" t="s">
        <v>19</v>
      </c>
      <c r="C23" s="1" t="s">
        <v>20</v>
      </c>
      <c r="D23" s="1"/>
    </row>
    <row r="24" spans="2:13" ht="14.45" hidden="1" customHeight="1" outlineLevel="1" x14ac:dyDescent="0.25"/>
    <row r="25" spans="2:13" ht="14.45" hidden="1" customHeight="1" outlineLevel="1" x14ac:dyDescent="0.25">
      <c r="B25" s="16" t="s">
        <v>21</v>
      </c>
      <c r="C25" s="17"/>
      <c r="D25" s="18"/>
    </row>
    <row r="26" spans="2:13" ht="14.45" hidden="1" customHeight="1" outlineLevel="1" x14ac:dyDescent="0.25">
      <c r="B26" s="1" t="s">
        <v>22</v>
      </c>
      <c r="C26" s="12" t="str">
        <f>_xll.VIEW((db_name&amp;":sys_application"),"!","!")</f>
        <v>finance_geus:sys_application:1264217196-1233550308</v>
      </c>
      <c r="D26" s="12"/>
    </row>
    <row r="27" spans="2:13" ht="14.45" hidden="1" customHeight="1" outlineLevel="1" x14ac:dyDescent="0.25">
      <c r="C27" s="12" t="s">
        <v>23</v>
      </c>
      <c r="D27" s="12" t="s">
        <v>24</v>
      </c>
      <c r="E27" s="12" t="s">
        <v>25</v>
      </c>
      <c r="F27" s="12" t="s">
        <v>26</v>
      </c>
      <c r="G27" s="12" t="s">
        <v>27</v>
      </c>
      <c r="H27" s="12" t="s">
        <v>28</v>
      </c>
    </row>
    <row r="28" spans="2:13" ht="14.45" hidden="1" customHeight="1" outlineLevel="1" x14ac:dyDescent="0.25">
      <c r="B28" s="1" t="s">
        <v>29</v>
      </c>
      <c r="C28" s="1" t="str">
        <f ca="1">_xll.DBR($C$26,$B28,C$27)</f>
        <v>RECALC_0_83_</v>
      </c>
      <c r="D28" s="1" t="str">
        <f ca="1">_xll.DBR($C$26,$B28,D$27)</f>
        <v>RECALC_0_82_</v>
      </c>
      <c r="E28" s="1" t="str">
        <f ca="1">_xll.DBR($C$26,$B28,E$27)</f>
        <v>RECALC_0_81_</v>
      </c>
      <c r="F28" s="1" t="str">
        <f ca="1">_xll.DBR($C$26,$B28,F$27)</f>
        <v>RECALC_0_80_</v>
      </c>
      <c r="G28" s="1" t="str">
        <f ca="1">_xll.DBR($C$26,$B28,G$27)</f>
        <v>RECALC_0_79_</v>
      </c>
      <c r="H28" s="1" t="str">
        <f ca="1">_xll.DBR($C$26,$B28,H$27)</f>
        <v>RECALC_0_78_</v>
      </c>
      <c r="M28" t="s">
        <v>24</v>
      </c>
    </row>
    <row r="29" spans="2:13" ht="14.45" hidden="1" customHeight="1" outlineLevel="1" x14ac:dyDescent="0.25">
      <c r="B29" s="1" t="s">
        <v>30</v>
      </c>
      <c r="C29" s="1" t="str">
        <f ca="1">_xll.DBR($C$26,$B29,C$27)</f>
        <v>RECALC_0_77_</v>
      </c>
      <c r="D29" s="1" t="str">
        <f ca="1">_xll.DBR($C$26,$B29,D$27)</f>
        <v>RECALC_0_76_</v>
      </c>
      <c r="E29" s="1" t="str">
        <f ca="1">_xll.DBR($C$26,$B29,E$27)</f>
        <v>RECALC_0_75_</v>
      </c>
      <c r="F29" s="1" t="str">
        <f ca="1">_xll.DBR($C$26,$B29,F$27)</f>
        <v>RECALC_0_74_</v>
      </c>
      <c r="G29" s="1" t="str">
        <f ca="1">_xll.DBR($C$26,$B29,G$27)</f>
        <v>RECALC_0_73_</v>
      </c>
      <c r="H29" s="1" t="str">
        <f ca="1">_xll.DBR($C$26,$B29,H$27)</f>
        <v>RECALC_0_72_</v>
      </c>
      <c r="M29" t="s">
        <v>25</v>
      </c>
    </row>
    <row r="30" spans="2:13" ht="14.45" hidden="1" customHeight="1" outlineLevel="1" x14ac:dyDescent="0.25">
      <c r="B30" s="1" t="s">
        <v>31</v>
      </c>
      <c r="C30" s="1" t="str">
        <f ca="1">_xll.DBR($C$26,$B30,C$27)</f>
        <v>RECALC_0_225_</v>
      </c>
      <c r="D30" s="1" t="str">
        <f ca="1">_xll.DBR($C$26,$B30,D$27)</f>
        <v>RECALC_0_224_</v>
      </c>
      <c r="E30" s="1" t="str">
        <f ca="1">_xll.DBR($C$26,$B30,E$27)</f>
        <v>RECALC_0_223_</v>
      </c>
      <c r="F30" s="1" t="str">
        <f ca="1">_xll.DBR($C$26,$B30,F$27)</f>
        <v>RECALC_0_222_</v>
      </c>
      <c r="G30" s="1" t="str">
        <f ca="1">_xll.DBR($C$26,$B30,G$27)</f>
        <v>RECALC_0_221_</v>
      </c>
      <c r="H30" s="1" t="str">
        <f ca="1">_xll.DBR($C$26,$B30,H$27)</f>
        <v>RECALC_0_220_</v>
      </c>
      <c r="M30" t="s">
        <v>26</v>
      </c>
    </row>
    <row r="31" spans="2:13" ht="14.45" hidden="1" customHeight="1" outlineLevel="1" x14ac:dyDescent="0.25">
      <c r="B31" s="1" t="s">
        <v>32</v>
      </c>
      <c r="C31" s="1" t="str">
        <f ca="1">_xll.DBR($C$26,$B31,C$27)</f>
        <v>RECALC_0_959_</v>
      </c>
      <c r="D31" s="1" t="str">
        <f ca="1">_xll.DBR($C$26,$B31,D$27)</f>
        <v>RECALC_0_958_</v>
      </c>
      <c r="E31" s="1" t="str">
        <f ca="1">_xll.DBR($C$26,$B31,E$27)</f>
        <v>RECALC_0_957_</v>
      </c>
      <c r="F31" s="1" t="str">
        <f ca="1">_xll.DBR($C$26,$B31,F$27)</f>
        <v>RECALC_0_956_</v>
      </c>
      <c r="G31" s="1" t="str">
        <f ca="1">_xll.DBR($C$26,$B31,G$27)</f>
        <v>RECALC_0_955_</v>
      </c>
      <c r="H31" s="1" t="str">
        <f ca="1">_xll.DBR($C$26,$B31,H$27)</f>
        <v>RECALC_0_954_</v>
      </c>
      <c r="M31" t="s">
        <v>27</v>
      </c>
    </row>
    <row r="32" spans="2:13" ht="14.45" hidden="1" customHeight="1" outlineLevel="1" x14ac:dyDescent="0.25">
      <c r="B32" s="1" t="s">
        <v>33</v>
      </c>
      <c r="C32" s="1" t="str">
        <f ca="1">_xll.DBR($C$26,$B32,C$27)</f>
        <v>RECALC_0_1008_</v>
      </c>
      <c r="D32" s="1" t="str">
        <f ca="1">_xll.DBR($C$26,$B32,D$27)</f>
        <v>RECALC_0_1007_</v>
      </c>
      <c r="E32" s="1" t="str">
        <f ca="1">_xll.DBR($C$26,$B32,E$27)</f>
        <v>RECALC_0_1006_</v>
      </c>
      <c r="F32" s="1" t="str">
        <f ca="1">_xll.DBR($C$26,$B32,F$27)</f>
        <v>RECALC_0_1005_</v>
      </c>
      <c r="G32" s="1" t="str">
        <f ca="1">_xll.DBR($C$26,$B32,G$27)</f>
        <v>RECALC_0_1004_</v>
      </c>
      <c r="H32" s="1" t="str">
        <f ca="1">_xll.DBR($C$26,$B32,H$27)</f>
        <v>RECALC_0_1003_</v>
      </c>
      <c r="M32" t="s">
        <v>28</v>
      </c>
    </row>
    <row r="33" spans="2:13" ht="14.45" hidden="1" customHeight="1" outlineLevel="1" x14ac:dyDescent="0.25">
      <c r="B33" s="1" t="s">
        <v>34</v>
      </c>
      <c r="C33" s="1" t="str">
        <f ca="1">_xll.DBR($C$26,$B33,C$27)</f>
        <v>RECALC_0_875_</v>
      </c>
      <c r="D33" s="1" t="str">
        <f ca="1">_xll.DBR($C$26,$B33,D$27)</f>
        <v>RECALC_0_874_</v>
      </c>
      <c r="E33" s="1" t="str">
        <f ca="1">_xll.DBR($C$26,$B33,E$27)</f>
        <v>RECALC_0_873_</v>
      </c>
      <c r="F33" s="1" t="str">
        <f ca="1">_xll.DBR($C$26,$B33,F$27)</f>
        <v>RECALC_0_872_</v>
      </c>
      <c r="G33" s="1" t="str">
        <f ca="1">_xll.DBR($C$26,$B33,G$27)</f>
        <v>RECALC_0_871_</v>
      </c>
      <c r="H33" s="1" t="str">
        <f ca="1">_xll.DBR($C$26,$B33,H$27)</f>
        <v>RECALC_0_870_</v>
      </c>
      <c r="M33" t="s">
        <v>35</v>
      </c>
    </row>
    <row r="34" spans="2:13" ht="14.45" hidden="1" customHeight="1" outlineLevel="1" x14ac:dyDescent="0.25">
      <c r="B34" s="1" t="s">
        <v>36</v>
      </c>
      <c r="C34" s="1" t="str">
        <f ca="1">_xll.DBR($C$26,$B34,C$27)</f>
        <v>RECALC_0_71_</v>
      </c>
      <c r="D34" s="1" t="str">
        <f ca="1">_xll.DBR($C$26,$B34,D$27)</f>
        <v>RECALC_0_70_</v>
      </c>
      <c r="E34" s="1" t="str">
        <f ca="1">_xll.DBR($C$26,$B34,E$27)</f>
        <v>RECALC_0_69_</v>
      </c>
      <c r="F34" s="1" t="str">
        <f ca="1">_xll.DBR($C$26,$B34,F$27)</f>
        <v>RECALC_0_68_</v>
      </c>
      <c r="G34" s="1" t="str">
        <f ca="1">_xll.DBR($C$26,$B34,G$27)</f>
        <v>RECALC_0_67_</v>
      </c>
      <c r="H34" s="1" t="str">
        <f ca="1">_xll.DBR($C$26,$B34,H$27)</f>
        <v>RECALC_0_66_</v>
      </c>
    </row>
    <row r="35" spans="2:13" ht="14.45" hidden="1" customHeight="1" outlineLevel="1" x14ac:dyDescent="0.25">
      <c r="B35" s="1" t="s">
        <v>37</v>
      </c>
      <c r="C35" s="1" t="str">
        <f ca="1">_xll.DBR($C$26,$B35,C$27)</f>
        <v>RECALC_0_65_</v>
      </c>
      <c r="D35" s="1" t="str">
        <f ca="1">_xll.DBR($C$26,$B35,D$27)</f>
        <v>RECALC_0_64_</v>
      </c>
      <c r="E35" s="1" t="str">
        <f ca="1">_xll.DBR($C$26,$B35,E$27)</f>
        <v>RECALC_0_63_</v>
      </c>
      <c r="F35" s="1" t="str">
        <f ca="1">_xll.DBR($C$26,$B35,F$27)</f>
        <v>RECALC_0_62_</v>
      </c>
      <c r="G35" s="1" t="str">
        <f ca="1">_xll.DBR($C$26,$B35,G$27)</f>
        <v>RECALC_0_61_</v>
      </c>
      <c r="H35" s="1" t="str">
        <f ca="1">_xll.DBR($C$26,$B35,H$27)</f>
        <v>RECALC_0_60_</v>
      </c>
    </row>
    <row r="36" spans="2:13" ht="14.45" hidden="1" customHeight="1" outlineLevel="1" x14ac:dyDescent="0.25">
      <c r="B36" s="1" t="s">
        <v>38</v>
      </c>
      <c r="C36" s="1" t="str">
        <f ca="1">_xll.DBR($C$26,$B36,C$27)</f>
        <v>RECALC_0_540_</v>
      </c>
      <c r="D36" s="1" t="str">
        <f ca="1">_xll.DBR($C$26,$B36,D$27)</f>
        <v>RECALC_0_539_</v>
      </c>
      <c r="E36" s="1" t="str">
        <f ca="1">_xll.DBR($C$26,$B36,E$27)</f>
        <v>RECALC_0_538_</v>
      </c>
      <c r="F36" s="1" t="str">
        <f ca="1">_xll.DBR($C$26,$B36,F$27)</f>
        <v>RECALC_0_537_</v>
      </c>
      <c r="G36" s="1" t="str">
        <f ca="1">_xll.DBR($C$26,$B36,G$27)</f>
        <v>RECALC_0_536_</v>
      </c>
      <c r="H36" s="1" t="str">
        <f ca="1">_xll.DBR($C$26,$B36,H$27)</f>
        <v>RECALC_0_535_</v>
      </c>
    </row>
    <row r="37" spans="2:13" ht="14.45" hidden="1" customHeight="1" outlineLevel="1" x14ac:dyDescent="0.25">
      <c r="B37" s="1" t="s">
        <v>49</v>
      </c>
      <c r="C37" s="1" t="str">
        <f ca="1">_xll.DBR($C$26,$B37,C$27)</f>
        <v>RECALC_0_3273_</v>
      </c>
      <c r="D37" s="1" t="str">
        <f ca="1">_xll.DBR($C$26,$B37,D$27)</f>
        <v>RECALC_0_3272_</v>
      </c>
      <c r="E37" s="1" t="str">
        <f ca="1">_xll.DBR($C$26,$B37,E$27)</f>
        <v>RECALC_0_3271_</v>
      </c>
      <c r="F37" s="1" t="str">
        <f ca="1">_xll.DBR($C$26,$B37,F$27)</f>
        <v>RECALC_0_3270_</v>
      </c>
      <c r="G37" s="1" t="str">
        <f ca="1">_xll.DBR($C$26,$B37,G$27)</f>
        <v>RECALC_0_3269_</v>
      </c>
      <c r="H37" s="1" t="str">
        <f ca="1">_xll.DBR($C$26,$B37,H$27)</f>
        <v>RECALC_0_3268_</v>
      </c>
    </row>
    <row r="38" spans="2:13" ht="14.45" hidden="1" customHeight="1" outlineLevel="1" x14ac:dyDescent="0.25">
      <c r="B38" s="1" t="s">
        <v>39</v>
      </c>
      <c r="C38" s="1" t="str">
        <f ca="1">_xll.DBR($C$26,$B38,C$27)</f>
        <v>RECALC_0_953_</v>
      </c>
      <c r="D38" s="1" t="str">
        <f ca="1">_xll.DBR($C$26,$B38,D$27)</f>
        <v>RECALC_0_952_</v>
      </c>
      <c r="E38" s="1" t="str">
        <f ca="1">_xll.DBR($C$26,$B38,E$27)</f>
        <v>RECALC_0_951_</v>
      </c>
      <c r="F38" s="1" t="str">
        <f ca="1">_xll.DBR($C$26,$B38,F$27)</f>
        <v>RECALC_0_950_</v>
      </c>
      <c r="G38" s="1" t="str">
        <f ca="1">_xll.DBR($C$26,$B38,G$27)</f>
        <v>RECALC_0_949_</v>
      </c>
      <c r="H38" s="1" t="str">
        <f ca="1">_xll.DBR($C$26,$B38,H$27)</f>
        <v>RECALC_0_948_</v>
      </c>
    </row>
    <row r="39" spans="2:13" ht="14.45" hidden="1" customHeight="1" outlineLevel="1" x14ac:dyDescent="0.25">
      <c r="B39" s="1" t="s">
        <v>40</v>
      </c>
      <c r="C39" s="1" t="str">
        <f ca="1">_xll.DBR($C$26,$B39,C$27)</f>
        <v>RECALC_0_929_</v>
      </c>
      <c r="D39" s="1" t="str">
        <f ca="1">_xll.DBR($C$26,$B39,D$27)</f>
        <v>RECALC_0_928_</v>
      </c>
      <c r="E39" s="1" t="str">
        <f ca="1">_xll.DBR($C$26,$B39,E$27)</f>
        <v>RECALC_0_927_</v>
      </c>
      <c r="F39" s="1" t="str">
        <f ca="1">_xll.DBR($C$26,$B39,F$27)</f>
        <v>RECALC_0_926_</v>
      </c>
      <c r="G39" s="1" t="str">
        <f ca="1">_xll.DBR($C$26,$B39,G$27)</f>
        <v>RECALC_0_925_</v>
      </c>
      <c r="H39" s="1" t="str">
        <f ca="1">_xll.DBR($C$26,$B39,H$27)</f>
        <v>RECALC_0_924_</v>
      </c>
    </row>
    <row r="40" spans="2:13" ht="14.45" hidden="1" customHeight="1" outlineLevel="1" x14ac:dyDescent="0.25">
      <c r="B40" s="1" t="s">
        <v>41</v>
      </c>
      <c r="C40" s="1" t="str">
        <f ca="1">_xll.DBR($C$26,$B40,C$27)</f>
        <v>RECALC_0_1096_</v>
      </c>
      <c r="D40" s="1" t="str">
        <f ca="1">_xll.DBR($C$26,$B40,D$27)</f>
        <v>RECALC_0_1095_</v>
      </c>
      <c r="E40" s="1" t="str">
        <f ca="1">_xll.DBR($C$26,$B40,E$27)</f>
        <v>RECALC_0_1094_</v>
      </c>
      <c r="F40" s="1" t="str">
        <f ca="1">_xll.DBR($C$26,$B40,F$27)</f>
        <v>RECALC_0_1093_</v>
      </c>
      <c r="G40" s="1" t="str">
        <f ca="1">_xll.DBR($C$26,$B40,G$27)</f>
        <v>RECALC_0_1092_</v>
      </c>
      <c r="H40" s="1" t="str">
        <f ca="1">_xll.DBR($C$26,$B40,H$27)</f>
        <v>RECALC_0_1091_</v>
      </c>
    </row>
    <row r="41" spans="2:13" ht="14.45" hidden="1" customHeight="1" outlineLevel="1" x14ac:dyDescent="0.25">
      <c r="B41" s="1" t="s">
        <v>42</v>
      </c>
      <c r="C41" s="1" t="str">
        <f ca="1">_xll.DBR($C$26,$B41,C$27)</f>
        <v>RECALC_0_1090_</v>
      </c>
      <c r="D41" s="1" t="str">
        <f ca="1">_xll.DBR($C$26,$B41,D$27)</f>
        <v>RECALC_0_1089_</v>
      </c>
      <c r="E41" s="1" t="str">
        <f ca="1">_xll.DBR($C$26,$B41,E$27)</f>
        <v>RECALC_0_1088_</v>
      </c>
      <c r="F41" s="1" t="str">
        <f ca="1">_xll.DBR($C$26,$B41,F$27)</f>
        <v>RECALC_0_1087_</v>
      </c>
      <c r="G41" s="1" t="str">
        <f ca="1">_xll.DBR($C$26,$B41,G$27)</f>
        <v>RECALC_0_1086_</v>
      </c>
      <c r="H41" s="1" t="str">
        <f ca="1">_xll.DBR($C$26,$B41,H$27)</f>
        <v>RECALC_0_1085_</v>
      </c>
    </row>
    <row r="42" spans="2:13" ht="14.45" hidden="1" customHeight="1" outlineLevel="1" x14ac:dyDescent="0.25">
      <c r="B42" s="1" t="s">
        <v>43</v>
      </c>
      <c r="C42" s="1" t="str">
        <f ca="1">_xll.DBR($C$26,$B42,C$27)</f>
        <v>RECALC_0_1078_</v>
      </c>
      <c r="D42" s="1" t="str">
        <f ca="1">_xll.DBR($C$26,$B42,D$27)</f>
        <v>RECALC_0_1077_</v>
      </c>
      <c r="E42" s="1" t="str">
        <f ca="1">_xll.DBR($C$26,$B42,E$27)</f>
        <v>RECALC_0_1076_</v>
      </c>
      <c r="F42" s="1" t="str">
        <f ca="1">_xll.DBR($C$26,$B42,F$27)</f>
        <v>RECALC_0_1075_</v>
      </c>
      <c r="G42" s="1" t="str">
        <f ca="1">_xll.DBR($C$26,$B42,G$27)</f>
        <v>RECALC_0_1074_</v>
      </c>
      <c r="H42" s="1" t="str">
        <f ca="1">_xll.DBR($C$26,$B42,H$27)</f>
        <v>RECALC_0_1073_</v>
      </c>
    </row>
    <row r="43" spans="2:13" ht="14.45" hidden="1" customHeight="1" outlineLevel="1" x14ac:dyDescent="0.25"/>
    <row r="44" spans="2:13" ht="14.45" hidden="1" customHeight="1" outlineLevel="1" x14ac:dyDescent="0.25"/>
    <row r="45" spans="2:13" ht="14.45" hidden="1" customHeight="1" outlineLevel="1" x14ac:dyDescent="0.25"/>
    <row r="46" spans="2:13" ht="14.45" hidden="1" customHeight="1" outlineLevel="1" x14ac:dyDescent="0.25"/>
    <row r="47" spans="2:13" ht="14.45" hidden="1" customHeight="1" outlineLevel="1" x14ac:dyDescent="0.25"/>
    <row r="48" spans="2:13" ht="14.45" hidden="1" customHeight="1" outlineLevel="1" x14ac:dyDescent="0.25"/>
    <row r="49" spans="10:23" ht="39.75" customHeight="1" collapsed="1" x14ac:dyDescent="0.25"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11" t="str">
        <f ca="1">("Welcome "&amp;psUser)</f>
        <v>Welcome RECALC_0_100_</v>
      </c>
    </row>
    <row r="50" spans="10:23" ht="4.5" customHeight="1" x14ac:dyDescent="0.25"/>
    <row r="51" spans="10:23" ht="30" customHeight="1" x14ac:dyDescent="0.25">
      <c r="J51" s="6"/>
      <c r="K51" s="19" t="str">
        <f ca="1">$C$15</f>
        <v>The current scenario is "RECALC_0_230_" for the "RECALC_0_231_" Headline Year. Archive was done for "RECALC_0_484_" on scenario "RECALC_0_483_".</v>
      </c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6"/>
      <c r="W51" s="6"/>
    </row>
    <row r="52" spans="10:23" ht="4.5" customHeight="1" x14ac:dyDescent="0.25"/>
    <row r="56" spans="10:23" ht="24.75" customHeight="1" x14ac:dyDescent="0.25">
      <c r="J56" s="7"/>
      <c r="K56" s="7"/>
      <c r="L56" s="14" t="s">
        <v>44</v>
      </c>
      <c r="M56" s="14"/>
      <c r="N56" s="14"/>
      <c r="O56" s="14"/>
      <c r="P56" s="5"/>
      <c r="R56" s="8"/>
      <c r="S56" s="15" t="s">
        <v>45</v>
      </c>
      <c r="T56" s="15"/>
      <c r="U56" s="15"/>
      <c r="V56" s="15"/>
      <c r="W56" s="8"/>
    </row>
    <row r="57" spans="10:23" ht="4.5" customHeight="1" x14ac:dyDescent="0.25">
      <c r="J57" s="9"/>
      <c r="K57" s="9"/>
      <c r="L57" s="9"/>
      <c r="M57" s="9"/>
      <c r="N57" s="9"/>
      <c r="O57" s="9"/>
      <c r="P57" s="9"/>
      <c r="R57" s="9"/>
      <c r="S57" s="9"/>
      <c r="T57" s="9"/>
      <c r="U57" s="9"/>
      <c r="V57" s="9"/>
      <c r="W57" s="9"/>
    </row>
    <row r="58" spans="10:23" ht="19.5" customHeight="1" x14ac:dyDescent="0.25">
      <c r="J58" s="9"/>
      <c r="K58" s="9"/>
      <c r="L58" s="9"/>
      <c r="M58" s="9"/>
      <c r="N58" s="9"/>
      <c r="O58" s="9"/>
      <c r="P58" s="9"/>
      <c r="R58" s="9"/>
      <c r="S58" s="9"/>
      <c r="T58" s="9"/>
      <c r="U58" s="9"/>
      <c r="V58" s="9"/>
      <c r="W58" s="9"/>
    </row>
    <row r="59" spans="10:23" ht="4.5" customHeight="1" x14ac:dyDescent="0.25">
      <c r="J59" s="9"/>
      <c r="K59" s="9"/>
      <c r="L59" s="9"/>
      <c r="M59" s="9"/>
      <c r="N59" s="9"/>
      <c r="O59" s="9"/>
      <c r="P59" s="9"/>
      <c r="R59" s="9"/>
      <c r="S59" s="9"/>
      <c r="T59" s="9"/>
      <c r="U59" s="9"/>
      <c r="V59" s="9"/>
      <c r="W59" s="9"/>
    </row>
    <row r="60" spans="10:23" ht="19.5" customHeight="1" x14ac:dyDescent="0.25">
      <c r="J60" s="9"/>
      <c r="K60" s="9"/>
      <c r="L60" s="9"/>
      <c r="M60" s="9"/>
      <c r="N60" s="9"/>
      <c r="O60" s="9"/>
      <c r="P60" s="9"/>
      <c r="R60" s="9"/>
      <c r="S60" s="9"/>
      <c r="T60" s="9"/>
      <c r="U60" s="9"/>
      <c r="V60" s="9"/>
      <c r="W60" s="9"/>
    </row>
    <row r="61" spans="10:23" ht="4.5" customHeight="1" x14ac:dyDescent="0.25">
      <c r="J61" s="9"/>
      <c r="K61" s="9"/>
      <c r="L61" s="9"/>
      <c r="M61" s="9"/>
      <c r="N61" s="9"/>
      <c r="O61" s="9"/>
      <c r="P61" s="9"/>
      <c r="R61" s="9"/>
      <c r="S61" s="9"/>
      <c r="T61" s="9"/>
      <c r="U61" s="9"/>
      <c r="V61" s="9"/>
      <c r="W61" s="9"/>
    </row>
    <row r="62" spans="10:23" ht="19.5" customHeight="1" x14ac:dyDescent="0.25">
      <c r="J62" s="9"/>
      <c r="K62" s="9"/>
      <c r="L62" s="9"/>
      <c r="M62" s="9"/>
      <c r="N62" s="9"/>
      <c r="O62" s="9"/>
      <c r="P62" s="9"/>
      <c r="R62" s="9"/>
      <c r="S62" s="9"/>
      <c r="T62" s="9"/>
      <c r="U62" s="9"/>
      <c r="V62" s="9"/>
      <c r="W62" s="9"/>
    </row>
    <row r="63" spans="10:23" ht="4.5" customHeight="1" x14ac:dyDescent="0.25">
      <c r="J63" s="9"/>
      <c r="K63" s="9"/>
      <c r="L63" s="9"/>
      <c r="M63" s="9"/>
      <c r="N63" s="9"/>
      <c r="O63" s="9"/>
      <c r="P63" s="9"/>
      <c r="R63" s="9"/>
      <c r="S63" s="9"/>
      <c r="T63" s="9"/>
      <c r="U63" s="9"/>
      <c r="V63" s="9"/>
      <c r="W63" s="9"/>
    </row>
    <row r="64" spans="10:23" ht="19.5" customHeight="1" x14ac:dyDescent="0.25">
      <c r="J64" s="9"/>
      <c r="K64" s="9"/>
      <c r="L64" s="9"/>
      <c r="M64" s="9"/>
      <c r="N64" s="9"/>
      <c r="O64" s="9"/>
      <c r="P64" s="9"/>
      <c r="R64" s="9"/>
      <c r="S64" s="9"/>
      <c r="T64" s="9"/>
      <c r="U64" s="9"/>
      <c r="V64" s="9"/>
      <c r="W64" s="9"/>
    </row>
    <row r="65" spans="10:23" ht="14.45" customHeight="1" x14ac:dyDescent="0.25">
      <c r="J65" s="9"/>
      <c r="K65" s="9"/>
      <c r="L65" s="9"/>
      <c r="M65" s="9"/>
      <c r="N65" s="9"/>
      <c r="O65" s="9"/>
      <c r="P65" s="9"/>
      <c r="R65" s="9"/>
      <c r="S65" s="9"/>
      <c r="T65" s="9"/>
      <c r="U65" s="9"/>
      <c r="V65" s="9"/>
      <c r="W65" s="9"/>
    </row>
    <row r="66" spans="10:23" ht="14.45" customHeight="1" x14ac:dyDescent="0.25">
      <c r="J66" s="9"/>
      <c r="K66" s="9"/>
      <c r="L66" s="9"/>
      <c r="M66" s="9"/>
      <c r="N66" s="9"/>
      <c r="O66" s="9"/>
      <c r="P66" s="9"/>
      <c r="R66" s="9"/>
      <c r="S66" s="9"/>
      <c r="T66" s="9"/>
      <c r="U66" s="9"/>
      <c r="V66" s="9"/>
      <c r="W66" s="9"/>
    </row>
    <row r="67" spans="10:23" ht="4.5" customHeight="1" x14ac:dyDescent="0.25">
      <c r="J67" s="9"/>
      <c r="K67" s="9"/>
      <c r="L67" s="9"/>
      <c r="M67" s="9"/>
      <c r="N67" s="9"/>
      <c r="O67" s="9"/>
      <c r="P67" s="9"/>
      <c r="R67" s="9"/>
      <c r="S67" s="9"/>
      <c r="T67" s="9"/>
      <c r="U67" s="9"/>
      <c r="V67" s="9"/>
      <c r="W67" s="9"/>
    </row>
    <row r="68" spans="10:23" ht="14.45" customHeight="1" x14ac:dyDescent="0.25">
      <c r="J68" s="9"/>
      <c r="K68" s="9"/>
      <c r="L68" s="9"/>
      <c r="M68" s="9"/>
      <c r="N68" s="9"/>
      <c r="O68" s="9"/>
      <c r="P68" s="9"/>
      <c r="R68" s="9"/>
      <c r="S68" s="9"/>
      <c r="T68" s="9"/>
      <c r="U68" s="9"/>
      <c r="V68" s="9"/>
      <c r="W68" s="9"/>
    </row>
    <row r="69" spans="10:23" ht="4.5" customHeight="1" x14ac:dyDescent="0.25">
      <c r="J69" s="9"/>
      <c r="K69" s="9"/>
      <c r="L69" s="9"/>
      <c r="M69" s="9"/>
      <c r="N69" s="9"/>
      <c r="O69" s="9"/>
      <c r="P69" s="9"/>
      <c r="R69" s="9"/>
      <c r="S69" s="9"/>
      <c r="T69" s="9"/>
      <c r="U69" s="9"/>
      <c r="V69" s="9"/>
      <c r="W69" s="9"/>
    </row>
    <row r="70" spans="10:23" ht="14.45" customHeight="1" x14ac:dyDescent="0.25">
      <c r="J70" s="9"/>
      <c r="K70" s="9"/>
      <c r="L70" s="9"/>
      <c r="M70" s="9"/>
      <c r="N70" s="9"/>
      <c r="O70" s="9"/>
      <c r="P70" s="9"/>
      <c r="R70" s="9"/>
      <c r="S70" s="9"/>
      <c r="T70" s="9"/>
      <c r="U70" s="9"/>
      <c r="V70" s="9"/>
      <c r="W70" s="9"/>
    </row>
    <row r="71" spans="10:23" ht="4.5" customHeight="1" x14ac:dyDescent="0.25">
      <c r="J71" s="9"/>
      <c r="K71" s="9"/>
      <c r="L71" s="9"/>
      <c r="M71" s="9"/>
      <c r="N71" s="9"/>
      <c r="O71" s="9"/>
      <c r="P71" s="9"/>
      <c r="R71" s="9"/>
      <c r="S71" s="9"/>
      <c r="T71" s="9"/>
      <c r="U71" s="9"/>
      <c r="V71" s="9"/>
      <c r="W71" s="9"/>
    </row>
    <row r="72" spans="10:23" ht="14.45" customHeight="1" x14ac:dyDescent="0.25">
      <c r="J72" s="9"/>
      <c r="K72" s="9"/>
      <c r="L72" s="9"/>
      <c r="M72" s="9"/>
      <c r="N72" s="9"/>
      <c r="O72" s="9"/>
      <c r="P72" s="9"/>
      <c r="R72" s="9"/>
      <c r="S72" s="9"/>
      <c r="T72" s="9"/>
      <c r="U72" s="9"/>
      <c r="V72" s="9"/>
      <c r="W72" s="9"/>
    </row>
    <row r="73" spans="10:23" ht="4.5" customHeight="1" x14ac:dyDescent="0.25">
      <c r="J73" s="9"/>
      <c r="K73" s="9"/>
      <c r="L73" s="9"/>
      <c r="M73" s="9"/>
      <c r="N73" s="9"/>
      <c r="O73" s="9"/>
      <c r="P73" s="9"/>
      <c r="R73" s="9"/>
      <c r="S73" s="9"/>
      <c r="T73" s="9"/>
      <c r="U73" s="9"/>
      <c r="V73" s="9"/>
      <c r="W73" s="9"/>
    </row>
    <row r="74" spans="10:23" ht="14.45" customHeight="1" x14ac:dyDescent="0.25">
      <c r="J74" s="9"/>
      <c r="K74" s="9"/>
      <c r="L74" s="9"/>
      <c r="M74" s="9"/>
      <c r="N74" s="9"/>
      <c r="O74" s="9"/>
      <c r="P74" s="9"/>
      <c r="R74" s="9"/>
      <c r="S74" s="9"/>
      <c r="T74" s="9"/>
      <c r="U74" s="9"/>
      <c r="V74" s="9"/>
      <c r="W74" s="9"/>
    </row>
    <row r="75" spans="10:23" ht="4.5" customHeight="1" x14ac:dyDescent="0.25">
      <c r="J75" s="9"/>
      <c r="K75" s="9"/>
      <c r="L75" s="9"/>
      <c r="M75" s="9"/>
      <c r="N75" s="9"/>
      <c r="O75" s="9"/>
      <c r="P75" s="9"/>
      <c r="R75" s="9"/>
      <c r="S75" s="9"/>
      <c r="T75" s="9"/>
      <c r="U75" s="9"/>
      <c r="V75" s="9"/>
      <c r="W75" s="9"/>
    </row>
    <row r="76" spans="10:23" ht="14.45" customHeight="1" x14ac:dyDescent="0.25">
      <c r="J76" s="9"/>
      <c r="K76" s="9"/>
      <c r="L76" s="9"/>
      <c r="M76" s="9"/>
      <c r="N76" s="9"/>
      <c r="O76" s="9"/>
      <c r="P76" s="9"/>
      <c r="R76" s="9"/>
      <c r="S76" s="9"/>
      <c r="T76" s="9"/>
      <c r="U76" s="9"/>
      <c r="V76" s="9"/>
      <c r="W76" s="9"/>
    </row>
    <row r="77" spans="10:23" ht="4.5" customHeight="1" x14ac:dyDescent="0.25">
      <c r="J77" s="9"/>
      <c r="K77" s="9"/>
      <c r="L77" s="9"/>
      <c r="M77" s="9"/>
      <c r="N77" s="9"/>
      <c r="O77" s="9"/>
      <c r="P77" s="9"/>
      <c r="R77" s="9"/>
      <c r="S77" s="9"/>
      <c r="T77" s="9"/>
      <c r="U77" s="9"/>
      <c r="V77" s="9"/>
      <c r="W77" s="9"/>
    </row>
    <row r="78" spans="10:23" ht="14.45" customHeight="1" x14ac:dyDescent="0.25">
      <c r="J78" s="9"/>
      <c r="K78" s="9"/>
      <c r="L78" s="9"/>
      <c r="M78" s="9"/>
      <c r="N78" s="9"/>
      <c r="O78" s="9"/>
      <c r="P78" s="9"/>
      <c r="R78" s="9"/>
      <c r="S78" s="9"/>
      <c r="T78" s="9"/>
      <c r="U78" s="9"/>
      <c r="V78" s="9"/>
      <c r="W78" s="9"/>
    </row>
    <row r="79" spans="10:23" ht="4.5" customHeight="1" x14ac:dyDescent="0.25">
      <c r="J79" s="9"/>
      <c r="K79" s="9"/>
      <c r="L79" s="9"/>
      <c r="M79" s="9"/>
      <c r="N79" s="9"/>
      <c r="O79" s="9"/>
      <c r="P79" s="9"/>
      <c r="R79" s="9"/>
      <c r="S79" s="9"/>
      <c r="T79" s="9"/>
      <c r="U79" s="9"/>
      <c r="V79" s="9"/>
      <c r="W79" s="9"/>
    </row>
    <row r="80" spans="10:23" ht="14.45" customHeight="1" x14ac:dyDescent="0.25">
      <c r="J80" s="9"/>
      <c r="K80" s="9"/>
      <c r="L80" s="9"/>
      <c r="M80" s="9"/>
      <c r="N80" s="9"/>
      <c r="O80" s="9"/>
      <c r="P80" s="9"/>
      <c r="R80" s="9"/>
      <c r="S80" s="9"/>
      <c r="T80" s="9"/>
      <c r="U80" s="9"/>
      <c r="V80" s="9"/>
      <c r="W80" s="9"/>
    </row>
    <row r="81" spans="10:23" ht="4.5" customHeight="1" x14ac:dyDescent="0.25">
      <c r="J81" s="9"/>
      <c r="K81" s="9"/>
      <c r="L81" s="9"/>
      <c r="M81" s="9"/>
      <c r="N81" s="9"/>
      <c r="O81" s="9"/>
      <c r="P81" s="9"/>
      <c r="R81" s="9"/>
      <c r="S81" s="9"/>
      <c r="T81" s="9"/>
      <c r="U81" s="9"/>
      <c r="V81" s="9"/>
      <c r="W81" s="9"/>
    </row>
    <row r="82" spans="10:23" ht="14.45" customHeight="1" x14ac:dyDescent="0.25">
      <c r="J82" s="9"/>
      <c r="K82" s="9"/>
      <c r="L82" s="9"/>
      <c r="M82" s="9"/>
      <c r="N82" s="9"/>
      <c r="O82" s="9"/>
      <c r="P82" s="9"/>
      <c r="R82" s="9"/>
      <c r="S82" s="9"/>
      <c r="T82" s="9"/>
      <c r="U82" s="9"/>
      <c r="V82" s="9"/>
      <c r="W82" s="9"/>
    </row>
    <row r="83" spans="10:23" ht="4.5" customHeight="1" x14ac:dyDescent="0.25">
      <c r="J83" s="9"/>
      <c r="K83" s="9"/>
      <c r="L83" s="9"/>
      <c r="M83" s="9"/>
      <c r="N83" s="9"/>
      <c r="O83" s="9"/>
      <c r="P83" s="9"/>
      <c r="R83" s="9"/>
      <c r="S83" s="9"/>
      <c r="T83" s="9"/>
      <c r="U83" s="9"/>
      <c r="V83" s="9"/>
      <c r="W83" s="9"/>
    </row>
    <row r="84" spans="10:23" ht="14.45" customHeight="1" x14ac:dyDescent="0.25">
      <c r="J84" s="9"/>
      <c r="K84" s="9"/>
      <c r="L84" s="9"/>
      <c r="M84" s="9"/>
      <c r="N84" s="9"/>
      <c r="O84" s="9"/>
      <c r="P84" s="9"/>
      <c r="R84" s="9"/>
      <c r="S84" s="9"/>
      <c r="T84" s="9"/>
      <c r="U84" s="9"/>
      <c r="V84" s="9"/>
      <c r="W84" s="9"/>
    </row>
    <row r="85" spans="10:23" ht="14.45" customHeight="1" x14ac:dyDescent="0.25">
      <c r="K85" s="13" t="str">
        <f ca="1">("© Excelerated Consulting Pty Ltd 2001-"&amp;YEAR(NOW()))</f>
        <v>© Excelerated Consulting Pty Ltd 2001-2025</v>
      </c>
    </row>
  </sheetData>
  <sheetProtection sheet="1" objects="1" scenarios="1"/>
  <mergeCells count="7">
    <mergeCell ref="L56:O56"/>
    <mergeCell ref="S56:V56"/>
    <mergeCell ref="B1:D1"/>
    <mergeCell ref="B9:D9"/>
    <mergeCell ref="B17:D17"/>
    <mergeCell ref="B25:D25"/>
    <mergeCell ref="K51:U51"/>
  </mergeCells>
  <conditionalFormatting sqref="R56:W56">
    <cfRule type="expression" dxfId="0" priority="1">
      <formula>$C$25="gbms-reporting"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5E93B-A736-48F0-AB52-76639E1BC7E5}">
  <sheetPr codeName="Sheet3"/>
  <dimension ref="A1:A3"/>
  <sheetViews>
    <sheetView workbookViewId="0"/>
  </sheetViews>
  <sheetFormatPr defaultRowHeight="14.45" customHeight="1" x14ac:dyDescent="0.25"/>
  <sheetData>
    <row r="1" spans="1:1" ht="14.45" customHeight="1" x14ac:dyDescent="0.25">
      <c r="A1" t="s">
        <v>46</v>
      </c>
    </row>
    <row r="2" spans="1:1" ht="14.45" customHeight="1" x14ac:dyDescent="0.25">
      <c r="A2" t="s">
        <v>47</v>
      </c>
    </row>
    <row r="3" spans="1:1" ht="14.45" customHeight="1" x14ac:dyDescent="0.25">
      <c r="A3" t="s">
        <v>48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Menu</vt:lpstr>
      <vt:lpstr>{PL}PickLst</vt:lpstr>
      <vt:lpstr>db_name</vt:lpstr>
      <vt:lpstr>home</vt:lpstr>
      <vt:lpstr>Menu</vt:lpstr>
      <vt:lpstr>psUser</vt:lpstr>
      <vt:lpstr>TM1HomeAdminCAP</vt:lpstr>
      <vt:lpstr>TM1HomeAdminWB</vt:lpstr>
      <vt:lpstr>TM1HomeAdminWS</vt:lpstr>
      <vt:lpstr>TM1HomeAEAccVarCAP</vt:lpstr>
      <vt:lpstr>TM1HomeAEAccVarWB</vt:lpstr>
      <vt:lpstr>TM1HomeAEAccVarWS</vt:lpstr>
      <vt:lpstr>TM1HomeAECAP</vt:lpstr>
      <vt:lpstr>TM1HomeAECDMCAP</vt:lpstr>
      <vt:lpstr>TM1HomeAECDMWB</vt:lpstr>
      <vt:lpstr>TM1HomeAECDMWS</vt:lpstr>
      <vt:lpstr>TM1HomeAEDataEntryCAP</vt:lpstr>
      <vt:lpstr>TM1HomeAEDataEntryWB</vt:lpstr>
      <vt:lpstr>TM1HomeAEDataEntryWS</vt:lpstr>
      <vt:lpstr>TM1HomeAEFFCAP</vt:lpstr>
      <vt:lpstr>TM1HomeAEFFWB</vt:lpstr>
      <vt:lpstr>TM1HomeAEFFWS</vt:lpstr>
      <vt:lpstr>TM1HomeAEMeasuresCAP</vt:lpstr>
      <vt:lpstr>TM1HomeAEMeasuresWB</vt:lpstr>
      <vt:lpstr>TM1HomeAEMeasuresWS</vt:lpstr>
      <vt:lpstr>TM1HomeAEWB</vt:lpstr>
      <vt:lpstr>TM1HomeAEWS</vt:lpstr>
      <vt:lpstr>TM1HomeCAP</vt:lpstr>
      <vt:lpstr>TM1HomeRepCAP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  <vt:lpstr>TM1MeasBulkCAP</vt:lpstr>
      <vt:lpstr>TM1MeasBulkWB</vt:lpstr>
      <vt:lpstr>TM1MeasBulkWS</vt:lpstr>
      <vt:lpstr>TM1MeasListCAP</vt:lpstr>
      <vt:lpstr>TM1MeasListWB</vt:lpstr>
      <vt:lpstr>TM1MeasListWS</vt:lpstr>
      <vt:lpstr>TM1MeasUploadCAP</vt:lpstr>
      <vt:lpstr>TM1MeasUploadCostingsCAP</vt:lpstr>
      <vt:lpstr>TM1MeasUploadCostingsWB</vt:lpstr>
      <vt:lpstr>TM1MeasUploadCostingsWS</vt:lpstr>
      <vt:lpstr>TM1MeasUploadWB</vt:lpstr>
      <vt:lpstr>TM1MeasUploadWS</vt:lpstr>
      <vt:lpstr>TM1NewMeas01HeaderCAP</vt:lpstr>
      <vt:lpstr>TM1NewMeas01HeaderWB</vt:lpstr>
      <vt:lpstr>TM1NewMeas01HeaderWS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khe</dc:creator>
  <cp:keywords/>
  <dc:description/>
  <cp:lastModifiedBy>Kevin He</cp:lastModifiedBy>
  <dcterms:created xsi:type="dcterms:W3CDTF">2023-04-03T06:11:38Z</dcterms:created>
  <dcterms:modified xsi:type="dcterms:W3CDTF">2025-08-11T02:59:42Z</dcterms:modified>
  <cp:category/>
  <cp:contentStatus/>
</cp:coreProperties>
</file>