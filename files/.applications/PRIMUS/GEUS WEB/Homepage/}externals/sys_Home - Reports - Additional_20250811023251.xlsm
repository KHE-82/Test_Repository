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F20A6B7-5BA7-4A58-B115-F63F3E7DB0E9}" xr6:coauthVersionLast="47" xr6:coauthVersionMax="47" xr10:uidLastSave="{00000000-0000-0000-0000-000000000000}"/>
  <bookViews>
    <workbookView xWindow="-120" yWindow="-120" windowWidth="29040" windowHeight="15840" xr2:uid="{BC266C2D-0680-4645-9C80-2C341E2575D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dRptAllAdjCAP">Menu!$D$39</definedName>
    <definedName name="TM1AddRptAllAdjWB">Menu!$F$39</definedName>
    <definedName name="TM1AddRptAllAdjWS">Menu!$H$39</definedName>
    <definedName name="TM1AddRptCustDetCAP">Menu!$D$37</definedName>
    <definedName name="TM1AddRptCustDetWB">Menu!$F$37</definedName>
    <definedName name="TM1AddRptCustDetWS">Menu!$H$37</definedName>
    <definedName name="TM1AddRptCustNoCAP">Menu!$D$38</definedName>
    <definedName name="TM1AddRptCustNoWB">Menu!$F$38</definedName>
    <definedName name="TM1AddRptCustNoWS">Menu!$H$38</definedName>
    <definedName name="TM1AnalRptARTRecoCAP">Menu!#REF!</definedName>
    <definedName name="TM1AnalRptARTRecoWB">Menu!#REF!</definedName>
    <definedName name="TM1AnalRptARTRecoWS">Menu!#REF!</definedName>
    <definedName name="TM1AnalRptDashboardCAP">Menu!#REF!</definedName>
    <definedName name="TM1AnalRptDashboardWB">Menu!#REF!</definedName>
    <definedName name="TM1AnalRptDashboardWS">Menu!#REF!</definedName>
    <definedName name="TM1AnalRptExportToCSVCAP">Menu!#REF!</definedName>
    <definedName name="TM1AnalRptExportToCSVWB">Menu!#REF!</definedName>
    <definedName name="TM1AnalRptExportToCSVWS">Menu!#REF!</definedName>
    <definedName name="TM1AnalRptRecoCAP">Menu!#REF!</definedName>
    <definedName name="TM1AnalRptRecoWB">Menu!#REF!</definedName>
    <definedName name="TM1AnalRptRecoWS">Menu!#REF!</definedName>
    <definedName name="TM1AnalRptRepAdjRecoCAP">Menu!#REF!</definedName>
    <definedName name="TM1AnalRptRepAdjRecoWB">Menu!#REF!</definedName>
    <definedName name="TM1AnalRptRepAdjRecoWS">Menu!#REF!</definedName>
    <definedName name="TM1AnalRptRepStageMaintCAP">Menu!#REF!</definedName>
    <definedName name="TM1AnalRptRepStageMaintWB">Menu!#REF!</definedName>
    <definedName name="TM1AnalRptRepStageMaintWS">Menu!#REF!</definedName>
    <definedName name="TM1AnalRptScenCompCAP">Menu!#REF!</definedName>
    <definedName name="TM1AnalRptScenCompWB">Menu!#REF!</definedName>
    <definedName name="TM1AnalRptScenCompWS">Menu!#REF!</definedName>
    <definedName name="TM1AnalRptTransCAP">Menu!#REF!</definedName>
    <definedName name="TM1AnalRptTransWB">Menu!#REF!</definedName>
    <definedName name="TM1AnalRptTransWS">Menu!#REF!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4" i="1" a="1"/>
  <c r="C4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3" i="1" a="1"/>
  <c r="C3" i="1"/>
  <c r="C6" i="1" a="1"/>
  <c r="C6" i="1"/>
  <c r="C5" i="1" a="1"/>
  <c r="C5" i="1"/>
  <c r="K85" i="1"/>
  <c r="C15" i="1"/>
  <c r="K49" i="1"/>
  <c r="W4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<sst xmlns="http://schemas.openxmlformats.org/spreadsheetml/2006/main" count="47" uniqueCount="44">
  <si>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</si>
  <si>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</si>
  <si>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</si>
  <si>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</si>
  <si>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</si>
  <si>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</si>
  <si>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</si>
  <si>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</si>
  <si>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</si>
  <si>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</si>
  <si>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</si>
  <si>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</si>
  <si>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</si>
  <si>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</si>
  <si>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</si>
  <si>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</si>
  <si>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</si>
  <si>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</si>
  <si>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</si>
  <si>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</si>
  <si>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</si>
  <si>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</si>
  <si>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</si>
  <si>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</si>
  <si>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</si>
  <si>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</si>
  <si>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</si>
  <si>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</si>
  <si>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</si>
  <si>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</si>
  <si>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</si>
  <si>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</si>
  <si>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</si>
  <si>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</si>
  <si>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</si>
  <si>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</si>
  <si>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</si>
  <si>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</si>
  <si>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Homepage - Reports - Additional</t>
  </si>
  <si>
    <t>ADDITIONAL REPORTS MENU (CUSTOM)</t>
  </si>
  <si>
    <t>Additional Reports - Customer Details Report</t>
  </si>
  <si>
    <t>Additional Reports - Customer Number Report</t>
  </si>
  <si>
    <t>Additional Reports - All Adjustments By Headline Year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</si>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</sst>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A2B67CD9-5582-4426-A06D-CD56C372B898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48</xdr:row>
      <xdr:rowOff>55686</xdr:rowOff>
    </xdr:from>
    <xdr:to>
      <xdr:col>22</xdr:col>
      <xdr:colOff>206290</xdr:colOff>
      <xdr:row>48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53</xdr:row>
      <xdr:rowOff>57150</xdr:rowOff>
    </xdr:from>
    <xdr:to>
      <xdr:col>15</xdr:col>
      <xdr:colOff>307716</xdr:colOff>
      <xdr:row>53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53</xdr:row>
      <xdr:rowOff>66675</xdr:rowOff>
    </xdr:from>
    <xdr:to>
      <xdr:col>22</xdr:col>
      <xdr:colOff>289046</xdr:colOff>
      <xdr:row>53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28575</xdr:rowOff>
    </xdr:from>
    <xdr:to>
      <xdr:col>12</xdr:col>
      <xdr:colOff>57150</xdr:colOff>
      <xdr:row>46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53</xdr:row>
      <xdr:rowOff>66675</xdr:rowOff>
    </xdr:from>
    <xdr:to>
      <xdr:col>22</xdr:col>
      <xdr:colOff>289046</xdr:colOff>
      <xdr:row>53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53</xdr:row>
      <xdr:rowOff>283846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54</xdr:row>
      <xdr:rowOff>47625</xdr:rowOff>
    </xdr:from>
    <xdr:to>
      <xdr:col>14</xdr:col>
      <xdr:colOff>752475</xdr:colOff>
      <xdr:row>57</xdr:row>
      <xdr:rowOff>0</xdr:rowOff>
    </xdr:to>
    <xdr:sp macro="Sheet1.ExecuteAction_e1743ae3_f8f1_4fea_a1cb_4555d2429027" textlink="TM1HomeRepPFSCAP">
      <xdr:nvSpPr>
        <xdr:cNvPr id="2" name="TM1Button_e1743ae3_f8f1_4fea_a1cb_4555d2429027">
          <a:extLst>
            <a:ext uri="{FF2B5EF4-FFF2-40B4-BE49-F238E27FC236}">
              <a16:creationId xmlns:a16="http://schemas.microsoft.com/office/drawing/2014/main" id="{593BDF77-728E-1691-183E-EC1FA856C600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81FFD66-0DAD-493A-947A-9A0F2CC4146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RECALC_0_3314_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57</xdr:row>
      <xdr:rowOff>47625</xdr:rowOff>
    </xdr:from>
    <xdr:to>
      <xdr:col>21</xdr:col>
      <xdr:colOff>1038225</xdr:colOff>
      <xdr:row>59</xdr:row>
      <xdr:rowOff>57150</xdr:rowOff>
    </xdr:to>
    <xdr:sp macro="Sheet1.ExecuteAction_eec519dc_a486_41c6_9367_a8bfd0076f5c" textlink="">
      <xdr:nvSpPr>
        <xdr:cNvPr id="3" name="TM1Button_eec519dc_a486_41c6_9367_a8bfd0076f5c">
          <a:extLst>
            <a:ext uri="{FF2B5EF4-FFF2-40B4-BE49-F238E27FC236}">
              <a16:creationId xmlns:a16="http://schemas.microsoft.com/office/drawing/2014/main" id="{D3750DA7-00F7-AB4A-23C8-E9552675DCF6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Numbers Report</a:t>
          </a:r>
        </a:p>
      </xdr:txBody>
    </xdr:sp>
    <xdr:clientData/>
  </xdr:twoCellAnchor>
  <xdr:twoCellAnchor editAs="oneCell">
    <xdr:from>
      <xdr:col>18</xdr:col>
      <xdr:colOff>285750</xdr:colOff>
      <xdr:row>59</xdr:row>
      <xdr:rowOff>104775</xdr:rowOff>
    </xdr:from>
    <xdr:to>
      <xdr:col>21</xdr:col>
      <xdr:colOff>1038225</xdr:colOff>
      <xdr:row>61</xdr:row>
      <xdr:rowOff>114300</xdr:rowOff>
    </xdr:to>
    <xdr:sp macro="Sheet1.ExecuteAction_64eef851_ec66_4215_9320_f93137f06ce0" textlink="">
      <xdr:nvSpPr>
        <xdr:cNvPr id="4" name="TM1Button_64eef851_ec66_4215_9320_f93137f06ce0">
          <a:extLst>
            <a:ext uri="{FF2B5EF4-FFF2-40B4-BE49-F238E27FC236}">
              <a16:creationId xmlns:a16="http://schemas.microsoft.com/office/drawing/2014/main" id="{9010B080-171F-298A-1D6C-507782FD1376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All Adjustments By Headline Year By Program</a:t>
          </a:r>
        </a:p>
      </xdr:txBody>
    </xdr:sp>
    <xdr:clientData/>
  </xdr:twoCellAnchor>
  <xdr:twoCellAnchor editAs="oneCell">
    <xdr:from>
      <xdr:col>11</xdr:col>
      <xdr:colOff>0</xdr:colOff>
      <xdr:row>57</xdr:row>
      <xdr:rowOff>47625</xdr:rowOff>
    </xdr:from>
    <xdr:to>
      <xdr:col>14</xdr:col>
      <xdr:colOff>752475</xdr:colOff>
      <xdr:row>59</xdr:row>
      <xdr:rowOff>57150</xdr:rowOff>
    </xdr:to>
    <xdr:sp macro="Sheet1.ExecuteAction_64a5c94e_310a_4c2b_9525_06321db34d96" textlink="TM1HomeRepOtherCAP">
      <xdr:nvSpPr>
        <xdr:cNvPr id="5" name="TM1Button_64a5c94e_310a_4c2b_9525_06321db34d96">
          <a:extLst>
            <a:ext uri="{FF2B5EF4-FFF2-40B4-BE49-F238E27FC236}">
              <a16:creationId xmlns:a16="http://schemas.microsoft.com/office/drawing/2014/main" id="{B161DF3D-2E64-896E-F311-A727A7C6E9C2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1133FB-F976-4AAB-9C6D-0E2472E5DF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59</xdr:row>
      <xdr:rowOff>104775</xdr:rowOff>
    </xdr:from>
    <xdr:to>
      <xdr:col>14</xdr:col>
      <xdr:colOff>752475</xdr:colOff>
      <xdr:row>61</xdr:row>
      <xdr:rowOff>114300</xdr:rowOff>
    </xdr:to>
    <xdr:sp macro="Sheet1.ExecuteAction_ee1633f7_213a_47ca_9eb0_58c31da04ae7" textlink="TM1HomeRepAnalyticalCAP">
      <xdr:nvSpPr>
        <xdr:cNvPr id="6" name="TM1Button_ee1633f7_213a_47ca_9eb0_58c31da04ae7">
          <a:extLst>
            <a:ext uri="{FF2B5EF4-FFF2-40B4-BE49-F238E27FC236}">
              <a16:creationId xmlns:a16="http://schemas.microsoft.com/office/drawing/2014/main" id="{5999B352-627C-CDBC-7FDB-1EB745117F92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935F38-703D-4828-9643-3B5C7D4FAD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61</xdr:row>
      <xdr:rowOff>161925</xdr:rowOff>
    </xdr:from>
    <xdr:to>
      <xdr:col>14</xdr:col>
      <xdr:colOff>752475</xdr:colOff>
      <xdr:row>63</xdr:row>
      <xdr:rowOff>38100</xdr:rowOff>
    </xdr:to>
    <xdr:sp macro="Sheet1.ExecuteAction_37f3ee22_3c46_4f6a_978b_362f4707af60" textlink="TM1HomeRepAdditionalCAP">
      <xdr:nvSpPr>
        <xdr:cNvPr id="7" name="TM1Button_37f3ee22_3c46_4f6a_978b_362f4707af60">
          <a:extLst>
            <a:ext uri="{FF2B5EF4-FFF2-40B4-BE49-F238E27FC236}">
              <a16:creationId xmlns:a16="http://schemas.microsoft.com/office/drawing/2014/main" id="{5C882481-539F-B8BF-0FAE-4B2861EE9821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32618E-65B7-4B28-91DD-206F8C6A6C6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50</xdr:row>
      <xdr:rowOff>47625</xdr:rowOff>
    </xdr:from>
    <xdr:to>
      <xdr:col>13</xdr:col>
      <xdr:colOff>38100</xdr:colOff>
      <xdr:row>52</xdr:row>
      <xdr:rowOff>85725</xdr:rowOff>
    </xdr:to>
    <xdr:sp macro="Sheet1.ExecuteAction_54815c5d_8fff_419d_89ad_1291d3f0a55f" textlink="TM1HomeCAP">
      <xdr:nvSpPr>
        <xdr:cNvPr id="8" name="TM1Button_54815c5d_8fff_419d_89ad_1291d3f0a55f">
          <a:extLst>
            <a:ext uri="{FF2B5EF4-FFF2-40B4-BE49-F238E27FC236}">
              <a16:creationId xmlns:a16="http://schemas.microsoft.com/office/drawing/2014/main" id="{AD19E017-C7B0-1DA1-2CCC-28DC2933F804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CA70DA-1472-4DC8-B6A3-7B6087CEBF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50</xdr:row>
      <xdr:rowOff>47625</xdr:rowOff>
    </xdr:from>
    <xdr:to>
      <xdr:col>15</xdr:col>
      <xdr:colOff>352425</xdr:colOff>
      <xdr:row>52</xdr:row>
      <xdr:rowOff>85725</xdr:rowOff>
    </xdr:to>
    <xdr:sp macro="Sheet1.ExecuteAction_c3bb4898_1d9e_4c8d_aed2_63ee085bd29e" textlink="TM1HomeAECAP">
      <xdr:nvSpPr>
        <xdr:cNvPr id="10" name="TM1Button_c3bb4898_1d9e_4c8d_aed2_63ee085bd29e">
          <a:extLst>
            <a:ext uri="{FF2B5EF4-FFF2-40B4-BE49-F238E27FC236}">
              <a16:creationId xmlns:a16="http://schemas.microsoft.com/office/drawing/2014/main" id="{1AAB617B-E224-459E-176E-57E2D4626EBB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A5C557F-FE50-4468-A9DB-58415724393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50</xdr:row>
      <xdr:rowOff>38100</xdr:rowOff>
    </xdr:from>
    <xdr:to>
      <xdr:col>19</xdr:col>
      <xdr:colOff>1104900</xdr:colOff>
      <xdr:row>52</xdr:row>
      <xdr:rowOff>76200</xdr:rowOff>
    </xdr:to>
    <xdr:sp macro="Sheet1.ExecuteAction_bf0c253b_4329_43df_b9ef_a9d4f45f199a" textlink="TM1HomeRepCAP">
      <xdr:nvSpPr>
        <xdr:cNvPr id="13" name="TM1Button_bf0c253b_4329_43df_b9ef_a9d4f45f199a">
          <a:extLst>
            <a:ext uri="{FF2B5EF4-FFF2-40B4-BE49-F238E27FC236}">
              <a16:creationId xmlns:a16="http://schemas.microsoft.com/office/drawing/2014/main" id="{EC8FCA19-E171-532C-63BA-EB5DBCC0B1E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ECF7849-3E62-4088-8499-CACACB4BC27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50</xdr:row>
      <xdr:rowOff>38100</xdr:rowOff>
    </xdr:from>
    <xdr:to>
      <xdr:col>22</xdr:col>
      <xdr:colOff>114300</xdr:colOff>
      <xdr:row>52</xdr:row>
      <xdr:rowOff>76200</xdr:rowOff>
    </xdr:to>
    <xdr:sp macro="Sheet1.ExecuteAction_57d88e2b_49e4_4fbb_ae86_475e54fe574e" textlink="TM1HomeAdminCAP">
      <xdr:nvSpPr>
        <xdr:cNvPr id="14" name="TM1Button_57d88e2b_49e4_4fbb_ae86_475e54fe574e">
          <a:extLst>
            <a:ext uri="{FF2B5EF4-FFF2-40B4-BE49-F238E27FC236}">
              <a16:creationId xmlns:a16="http://schemas.microsoft.com/office/drawing/2014/main" id="{A109D0EC-AF00-A075-4803-7E9EF8F5CA83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F018D27-25A8-48F3-805E-4B83660BB6C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54</xdr:row>
      <xdr:rowOff>47625</xdr:rowOff>
    </xdr:from>
    <xdr:to>
      <xdr:col>21</xdr:col>
      <xdr:colOff>1038225</xdr:colOff>
      <xdr:row>57</xdr:row>
      <xdr:rowOff>0</xdr:rowOff>
    </xdr:to>
    <xdr:sp macro="Sheet1.ExecuteAction_0f34709d_f1d2_45ac_80dd_546192c4641a" textlink="">
      <xdr:nvSpPr>
        <xdr:cNvPr id="15" name="TM1Button_0f34709d_f1d2_45ac_80dd_546192c4641a">
          <a:extLst>
            <a:ext uri="{FF2B5EF4-FFF2-40B4-BE49-F238E27FC236}">
              <a16:creationId xmlns:a16="http://schemas.microsoft.com/office/drawing/2014/main" id="{3C04D25F-CC51-3207-8B77-13AED5E4653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Details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W85"/>
  <sheetViews>
    <sheetView showGridLines="0" showRowColHeaders="0" tabSelected="1" showOutlineSymbols="0" topLeftCell="J47" workbookViewId="0"/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43</v>
      </c>
      <c r="D2" s="4"/>
    </row>
    <row r="3" spans="2:4" hidden="1" outlineLevel="1" x14ac:dyDescent="0.25">
      <c r="B3" s="2" t="s">
        <v>22</v>
      </c>
      <c r="C3" s="10" t="str" cm="1">
        <f t="array" ref="C3">_xll.VIEW(db_name&amp;":}ElementAttributes_}Clients","!","!")</f>
        <v>finance_geus:}ElementAttributes_}Clients:1264217196224928778</v>
      </c>
      <c r="D3" s="4"/>
    </row>
    <row r="4" spans="2:4" hidden="1" outlineLevel="1" x14ac:dyDescent="0.25">
      <c r="B4" s="2" t="s">
        <v>21</v>
      </c>
      <c r="C4" s="3" t="str" cm="1">
        <f t="array" aca="1" ref="C4" ca="1">_xll.TM1USER(db_name)</f>
        <v>RECALC_0_100_</v>
      </c>
      <c r="D4" s="4"/>
    </row>
    <row r="5" spans="2:4" hidden="1" outlineLevel="1" x14ac:dyDescent="0.25">
      <c r="B5" s="2" t="s">
        <v>23</v>
      </c>
      <c r="C5" s="3" t="str" cm="1">
        <f t="array" aca="1" ref="C5" ca="1">_xll.DBR($C$3,$C$4,$B5)</f>
        <v>RECALC_1_101_</v>
      </c>
      <c r="D5" s="4"/>
    </row>
    <row r="6" spans="2:4" hidden="1" outlineLevel="1" x14ac:dyDescent="0.25">
      <c r="B6" s="2" t="s">
        <v>24</v>
      </c>
      <c r="C6" s="3" t="str" cm="1">
        <f t="array" aca="1" ref="C6"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IF(LEFT($C$4,6)="CAM_AD",$C$5,$C$4)</f>
        <v>RECALC_0_100_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 cm="1">
        <f t="array" ref="C10">_xll.VIEW(db_name&amp;":}ElementAttributes_variables","!","!")</f>
        <v>finance_geus:}ElementAttributes_variables:12642171961455389041</v>
      </c>
      <c r="D10" s="1"/>
    </row>
    <row r="11" spans="2:4" hidden="1" outlineLevel="1" x14ac:dyDescent="0.25">
      <c r="B11" s="2" t="s">
        <v>8</v>
      </c>
      <c r="C11" s="1" t="str" cm="1">
        <f t="array" aca="1" ref="C11"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 cm="1">
        <f t="array" aca="1" ref="C12"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 cm="1">
        <f t="array" aca="1" ref="C13"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 cm="1">
        <f t="array" aca="1" ref="C14"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str" cm="1">
        <f t="array" ref="C18">_xll.VIEW(db_name&amp;":sys_client preference","!","!","!")</f>
        <v>finance_geus:sys_client preference:1264217196532779762</v>
      </c>
      <c r="D18" s="1"/>
    </row>
    <row r="19" spans="2:13" hidden="1" outlineLevel="1" x14ac:dyDescent="0.25">
      <c r="B19" s="2" t="s">
        <v>14</v>
      </c>
      <c r="C19" s="1" t="str" cm="1">
        <f t="array" aca="1" ref="C19" ca="1">_xll.DBR($C$18,psUser,$B19,"value")</f>
        <v>RECALC_1_416_</v>
      </c>
      <c r="D19" s="1"/>
    </row>
    <row r="20" spans="2:13" hidden="1" outlineLevel="1" x14ac:dyDescent="0.25">
      <c r="B20" s="2" t="s">
        <v>15</v>
      </c>
      <c r="C20" s="1" t="str" cm="1">
        <f t="array" aca="1" ref="C20" ca="1">_xll.DBR($C$18,psUser,$B20,"value")</f>
        <v>RECALC_1_414_</v>
      </c>
      <c r="D20" s="1"/>
    </row>
    <row r="21" spans="2:13" hidden="1" outlineLevel="1" x14ac:dyDescent="0.25">
      <c r="B21" s="2" t="s">
        <v>16</v>
      </c>
      <c r="C21" s="1" t="str" cm="1">
        <f t="array" aca="1" ref="C21" ca="1">_xll.DBR($C$18,psUser,$B21,"value")</f>
        <v>RECALC_1_412_</v>
      </c>
      <c r="D21" s="1"/>
    </row>
    <row r="22" spans="2:13" hidden="1" outlineLevel="1" x14ac:dyDescent="0.25">
      <c r="B22" s="2" t="s">
        <v>17</v>
      </c>
      <c r="C22" s="1" t="str" cm="1">
        <f t="array" aca="1" ref="C22" ca="1">_xll.DBR($C$18,psUser,$B22,"value")</f>
        <v>RECALC_1_493_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str">
        <f>_xll.VIEW(db_name&amp;":sys_application","!","!")</f>
        <v>finance_geus:sys_application:12642171961637355947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str" cm="1">
        <f t="array" aca="1" ref="C28" ca="1">_xll.DBR($C$26,$B28,C$27)</f>
        <v>RECALC_0_83_</v>
      </c>
      <c r="D28" s="1" t="str" cm="1">
        <f t="array" aca="1" ref="D28" ca="1">_xll.DBR($C$26,$B28,D$27)</f>
        <v>RECALC_0_82_</v>
      </c>
      <c r="E28" s="1" t="str" cm="1">
        <f t="array" aca="1" ref="E28" ca="1">_xll.DBR($C$26,$B28,E$27)</f>
        <v>RECALC_0_81_</v>
      </c>
      <c r="F28" s="1" t="str" cm="1">
        <f t="array" aca="1" ref="F28" ca="1">_xll.DBR($C$26,$B28,F$27)</f>
        <v>RECALC_0_80_</v>
      </c>
      <c r="G28" s="1" t="str" cm="1">
        <f t="array" aca="1" ref="G28" ca="1">_xll.DBR($C$26,$B28,G$27)</f>
        <v>RECALC_0_79_</v>
      </c>
      <c r="H28" s="1" t="str" cm="1">
        <f t="array" aca="1" ref="H28" ca="1">_xll.DBR($C$26,$B28,H$27)</f>
        <v>RECALC_0_78_</v>
      </c>
      <c r="M28" t="s">
        <v>30</v>
      </c>
    </row>
    <row r="29" spans="2:13" hidden="1" outlineLevel="1" x14ac:dyDescent="0.25">
      <c r="B29" s="1" t="s">
        <v>26</v>
      </c>
      <c r="C29" s="1" t="str" cm="1">
        <f t="array" aca="1" ref="C29" ca="1">_xll.DBR($C$26,$B29,C$27)</f>
        <v>RECALC_0_77_</v>
      </c>
      <c r="D29" s="1" t="str" cm="1">
        <f t="array" aca="1" ref="D29" ca="1">_xll.DBR($C$26,$B29,D$27)</f>
        <v>RECALC_0_76_</v>
      </c>
      <c r="E29" s="1" t="str" cm="1">
        <f t="array" aca="1" ref="E29" ca="1">_xll.DBR($C$26,$B29,E$27)</f>
        <v>RECALC_0_75_</v>
      </c>
      <c r="F29" s="1" t="str" cm="1">
        <f t="array" aca="1" ref="F29" ca="1">_xll.DBR($C$26,$B29,F$27)</f>
        <v>RECALC_0_74_</v>
      </c>
      <c r="G29" s="1" t="str" cm="1">
        <f t="array" aca="1" ref="G29" ca="1">_xll.DBR($C$26,$B29,G$27)</f>
        <v>RECALC_0_73_</v>
      </c>
      <c r="H29" s="1" t="str" cm="1">
        <f t="array" aca="1" ref="H29" ca="1">_xll.DBR($C$26,$B29,H$27)</f>
        <v>RECALC_0_72_</v>
      </c>
      <c r="M29" t="s">
        <v>31</v>
      </c>
    </row>
    <row r="30" spans="2:13" hidden="1" outlineLevel="1" x14ac:dyDescent="0.25">
      <c r="B30" s="1" t="s">
        <v>27</v>
      </c>
      <c r="C30" s="1" t="str" cm="1">
        <f t="array" aca="1" ref="C30" ca="1">_xll.DBR($C$26,$B30,C$27)</f>
        <v>RECALC_0_71_</v>
      </c>
      <c r="D30" s="1" t="str" cm="1">
        <f t="array" aca="1" ref="D30" ca="1">_xll.DBR($C$26,$B30,D$27)</f>
        <v>RECALC_0_70_</v>
      </c>
      <c r="E30" s="1" t="str" cm="1">
        <f t="array" aca="1" ref="E30" ca="1">_xll.DBR($C$26,$B30,E$27)</f>
        <v>RECALC_0_69_</v>
      </c>
      <c r="F30" s="1" t="str" cm="1">
        <f t="array" aca="1" ref="F30" ca="1">_xll.DBR($C$26,$B30,F$27)</f>
        <v>RECALC_0_68_</v>
      </c>
      <c r="G30" s="1" t="str" cm="1">
        <f t="array" aca="1" ref="G30" ca="1">_xll.DBR($C$26,$B30,G$27)</f>
        <v>RECALC_0_67_</v>
      </c>
      <c r="H30" s="1" t="str" cm="1">
        <f t="array" aca="1" ref="H30" ca="1">_xll.DBR($C$26,$B30,H$27)</f>
        <v>RECALC_0_66_</v>
      </c>
    </row>
    <row r="31" spans="2:13" hidden="1" outlineLevel="1" x14ac:dyDescent="0.25">
      <c r="B31" s="1" t="s">
        <v>35</v>
      </c>
      <c r="C31" s="1" t="str" cm="1">
        <f t="array" aca="1" ref="C31" ca="1">_xll.DBR($C$26,$B31,C$27)</f>
        <v>RECALC_0_3315_</v>
      </c>
      <c r="D31" s="1" t="str" cm="1">
        <f t="array" aca="1" ref="D31" ca="1">_xll.DBR($C$26,$B31,D$27)</f>
        <v>RECALC_0_3314_</v>
      </c>
      <c r="E31" s="1" t="str" cm="1">
        <f t="array" aca="1" ref="E31" ca="1">_xll.DBR($C$26,$B31,E$27)</f>
        <v>RECALC_0_3313_</v>
      </c>
      <c r="F31" s="1" t="str" cm="1">
        <f t="array" aca="1" ref="F31" ca="1">_xll.DBR($C$26,$B31,F$27)</f>
        <v>RECALC_0_3312_</v>
      </c>
      <c r="G31" s="1" t="str" cm="1">
        <f t="array" aca="1" ref="G31" ca="1">_xll.DBR($C$26,$B31,G$27)</f>
        <v>RECALC_0_3311_</v>
      </c>
      <c r="H31" s="1" t="str" cm="1">
        <f t="array" aca="1" ref="H31" ca="1">_xll.DBR($C$26,$B31,H$27)</f>
        <v>RECALC_0_3310_</v>
      </c>
    </row>
    <row r="32" spans="2:13" hidden="1" outlineLevel="1" x14ac:dyDescent="0.25">
      <c r="B32" s="1" t="s">
        <v>36</v>
      </c>
      <c r="C32" s="1" t="str" cm="1">
        <f t="array" aca="1" ref="C32" ca="1">_xll.DBR($C$26,$B32,C$27)</f>
        <v>RECALC_0_59_</v>
      </c>
      <c r="D32" s="1" t="str" cm="1">
        <f t="array" aca="1" ref="D32" ca="1">_xll.DBR($C$26,$B32,D$27)</f>
        <v>RECALC_0_58_</v>
      </c>
      <c r="E32" s="1" t="str" cm="1">
        <f t="array" aca="1" ref="E32" ca="1">_xll.DBR($C$26,$B32,E$27)</f>
        <v>RECALC_0_57_</v>
      </c>
      <c r="F32" s="1" t="str" cm="1">
        <f t="array" aca="1" ref="F32" ca="1">_xll.DBR($C$26,$B32,F$27)</f>
        <v>RECALC_0_56_</v>
      </c>
      <c r="G32" s="1" t="str" cm="1">
        <f t="array" aca="1" ref="G32" ca="1">_xll.DBR($C$26,$B32,G$27)</f>
        <v>RECALC_0_55_</v>
      </c>
      <c r="H32" s="1" t="str" cm="1">
        <f t="array" aca="1" ref="H32" ca="1">_xll.DBR($C$26,$B32,H$27)</f>
        <v>RECALC_0_54_</v>
      </c>
    </row>
    <row r="33" spans="2:23" hidden="1" outlineLevel="1" x14ac:dyDescent="0.25">
      <c r="B33" s="1" t="s">
        <v>37</v>
      </c>
      <c r="C33" s="1" t="str" cm="1">
        <f t="array" aca="1" ref="C33" ca="1">_xll.DBR($C$26,$B33,C$27)</f>
        <v>RECALC_0_53_</v>
      </c>
      <c r="D33" s="1" t="str" cm="1">
        <f t="array" aca="1" ref="D33" ca="1">_xll.DBR($C$26,$B33,D$27)</f>
        <v>RECALC_0_52_</v>
      </c>
      <c r="E33" s="1" t="str" cm="1">
        <f t="array" aca="1" ref="E33" ca="1">_xll.DBR($C$26,$B33,E$27)</f>
        <v>RECALC_0_51_</v>
      </c>
      <c r="F33" s="1" t="str" cm="1">
        <f t="array" aca="1" ref="F33" ca="1">_xll.DBR($C$26,$B33,F$27)</f>
        <v>RECALC_0_50_</v>
      </c>
      <c r="G33" s="1" t="str" cm="1">
        <f t="array" aca="1" ref="G33" ca="1">_xll.DBR($C$26,$B33,G$27)</f>
        <v>RECALC_0_49_</v>
      </c>
      <c r="H33" s="1" t="str" cm="1">
        <f t="array" aca="1" ref="H33" ca="1">_xll.DBR($C$26,$B33,H$27)</f>
        <v>RECALC_0_48_</v>
      </c>
    </row>
    <row r="34" spans="2:23" hidden="1" outlineLevel="1" x14ac:dyDescent="0.25">
      <c r="B34" s="1" t="s">
        <v>38</v>
      </c>
      <c r="C34" s="1" t="str" cm="1">
        <f t="array" aca="1" ref="C34" ca="1">_xll.DBR($C$26,$B34,C$27)</f>
        <v>RECALC_0_22_</v>
      </c>
      <c r="D34" s="1" t="str" cm="1">
        <f t="array" aca="1" ref="D34" ca="1">_xll.DBR($C$26,$B34,D$27)</f>
        <v>RECALC_0_21_</v>
      </c>
      <c r="E34" s="1" t="str" cm="1">
        <f t="array" aca="1" ref="E34" ca="1">_xll.DBR($C$26,$B34,E$27)</f>
        <v>RECALC_0_20_</v>
      </c>
      <c r="F34" s="1" t="str" cm="1">
        <f t="array" aca="1" ref="F34" ca="1">_xll.DBR($C$26,$B34,F$27)</f>
        <v>RECALC_0_19_</v>
      </c>
      <c r="G34" s="1" t="str" cm="1">
        <f t="array" aca="1" ref="G34" ca="1">_xll.DBR($C$26,$B34,G$27)</f>
        <v>RECALC_0_18_</v>
      </c>
      <c r="H34" s="1" t="str" cm="1">
        <f t="array" aca="1" ref="H34" ca="1">_xll.DBR($C$26,$B34,H$27)</f>
        <v>RECALC_0_17_</v>
      </c>
    </row>
    <row r="35" spans="2:23" hidden="1" outlineLevel="1" x14ac:dyDescent="0.25">
      <c r="B35" s="1" t="s">
        <v>28</v>
      </c>
      <c r="C35" s="1" t="str" cm="1">
        <f t="array" aca="1" ref="C35" ca="1">_xll.DBR($C$26,$B35,C$27)</f>
        <v>RECALC_0_65_</v>
      </c>
      <c r="D35" s="1" t="str" cm="1">
        <f t="array" aca="1" ref="D35" ca="1">_xll.DBR($C$26,$B35,D$27)</f>
        <v>RECALC_0_64_</v>
      </c>
      <c r="E35" s="1" t="str" cm="1">
        <f t="array" aca="1" ref="E35" ca="1">_xll.DBR($C$26,$B35,E$27)</f>
        <v>RECALC_0_63_</v>
      </c>
      <c r="F35" s="1" t="str" cm="1">
        <f t="array" aca="1" ref="F35" ca="1">_xll.DBR($C$26,$B35,F$27)</f>
        <v>RECALC_0_62_</v>
      </c>
      <c r="G35" s="1" t="str" cm="1">
        <f t="array" aca="1" ref="G35" ca="1">_xll.DBR($C$26,$B35,G$27)</f>
        <v>RECALC_0_61_</v>
      </c>
      <c r="H35" s="1" t="str" cm="1">
        <f t="array" aca="1" ref="H35" ca="1">_xll.DBR($C$26,$B35,H$27)</f>
        <v>RECALC_0_60_</v>
      </c>
    </row>
    <row r="36" spans="2:23" hidden="1" outlineLevel="1" x14ac:dyDescent="0.25">
      <c r="B36" s="1" t="s">
        <v>29</v>
      </c>
      <c r="C36" s="1" t="str" cm="1">
        <f t="array" aca="1" ref="C36" ca="1">_xll.DBR($C$26,$B36,C$27)</f>
        <v>RECALC_0_540_</v>
      </c>
      <c r="D36" s="1" t="str" cm="1">
        <f t="array" aca="1" ref="D36" ca="1">_xll.DBR($C$26,$B36,D$27)</f>
        <v>RECALC_0_539_</v>
      </c>
      <c r="E36" s="1" t="str" cm="1">
        <f t="array" aca="1" ref="E36" ca="1">_xll.DBR($C$26,$B36,E$27)</f>
        <v>RECALC_0_538_</v>
      </c>
      <c r="F36" s="1" t="str" cm="1">
        <f t="array" aca="1" ref="F36" ca="1">_xll.DBR($C$26,$B36,F$27)</f>
        <v>RECALC_0_537_</v>
      </c>
      <c r="G36" s="1" t="str" cm="1">
        <f t="array" aca="1" ref="G36" ca="1">_xll.DBR($C$26,$B36,G$27)</f>
        <v>RECALC_0_536_</v>
      </c>
      <c r="H36" s="1" t="str" cm="1">
        <f t="array" aca="1" ref="H36" ca="1">_xll.DBR($C$26,$B36,H$27)</f>
        <v>RECALC_0_535_</v>
      </c>
    </row>
    <row r="37" spans="2:23" hidden="1" outlineLevel="1" x14ac:dyDescent="0.25">
      <c r="B37" s="1" t="s">
        <v>40</v>
      </c>
      <c r="C37" s="1" t="str" cm="1">
        <f t="array" aca="1" ref="C37" ca="1">_xll.DBR($C$26,$B37,C$27)</f>
        <v>RECALC_0_3309_</v>
      </c>
      <c r="D37" s="1" t="str" cm="1">
        <f t="array" aca="1" ref="D37" ca="1">_xll.DBR($C$26,$B37,D$27)</f>
        <v>RECALC_0_3308_</v>
      </c>
      <c r="E37" s="1" t="str" cm="1">
        <f t="array" aca="1" ref="E37" ca="1">_xll.DBR($C$26,$B37,E$27)</f>
        <v>RECALC_0_3307_</v>
      </c>
      <c r="F37" s="1" t="str" cm="1">
        <f t="array" aca="1" ref="F37" ca="1">_xll.DBR($C$26,$B37,F$27)</f>
        <v>RECALC_0_3306_</v>
      </c>
      <c r="G37" s="1" t="str" cm="1">
        <f t="array" aca="1" ref="G37" ca="1">_xll.DBR($C$26,$B37,G$27)</f>
        <v>RECALC_0_3305_</v>
      </c>
      <c r="H37" s="1" t="str" cm="1">
        <f t="array" aca="1" ref="H37" ca="1">_xll.DBR($C$26,$B37,H$27)</f>
        <v>RECALC_0_3304_</v>
      </c>
    </row>
    <row r="38" spans="2:23" hidden="1" outlineLevel="1" x14ac:dyDescent="0.25">
      <c r="B38" s="1" t="s">
        <v>41</v>
      </c>
      <c r="C38" s="1" t="str" cm="1">
        <f t="array" aca="1" ref="C38" ca="1">_xll.DBR($C$26,$B38,C$27)</f>
        <v>RECALC_0_3303_</v>
      </c>
      <c r="D38" s="1" t="str" cm="1">
        <f t="array" aca="1" ref="D38" ca="1">_xll.DBR($C$26,$B38,D$27)</f>
        <v>RECALC_0_3302_</v>
      </c>
      <c r="E38" s="1" t="str" cm="1">
        <f t="array" aca="1" ref="E38" ca="1">_xll.DBR($C$26,$B38,E$27)</f>
        <v>RECALC_0_3301_</v>
      </c>
      <c r="F38" s="1" t="str" cm="1">
        <f t="array" aca="1" ref="F38" ca="1">_xll.DBR($C$26,$B38,F$27)</f>
        <v>RECALC_0_3300_</v>
      </c>
      <c r="G38" s="1" t="str" cm="1">
        <f t="array" aca="1" ref="G38" ca="1">_xll.DBR($C$26,$B38,G$27)</f>
        <v>RECALC_0_3299_</v>
      </c>
      <c r="H38" s="1" t="str" cm="1">
        <f t="array" aca="1" ref="H38" ca="1">_xll.DBR($C$26,$B38,H$27)</f>
        <v>RECALC_0_3298_</v>
      </c>
    </row>
    <row r="39" spans="2:23" hidden="1" outlineLevel="1" x14ac:dyDescent="0.25">
      <c r="B39" s="1" t="s">
        <v>42</v>
      </c>
      <c r="C39" s="1" t="str" cm="1">
        <f t="array" aca="1" ref="C39" ca="1">_xll.DBR($C$26,$B39,C$27)</f>
        <v>RECALC_0_3297_</v>
      </c>
      <c r="D39" s="1" t="str" cm="1">
        <f t="array" aca="1" ref="D39" ca="1">_xll.DBR($C$26,$B39,D$27)</f>
        <v>RECALC_0_3296_</v>
      </c>
      <c r="E39" s="1" t="str" cm="1">
        <f t="array" aca="1" ref="E39" ca="1">_xll.DBR($C$26,$B39,E$27)</f>
        <v>RECALC_0_3295_</v>
      </c>
      <c r="F39" s="1" t="str" cm="1">
        <f t="array" aca="1" ref="F39" ca="1">_xll.DBR($C$26,$B39,F$27)</f>
        <v>RECALC_0_3294_</v>
      </c>
      <c r="G39" s="1" t="str" cm="1">
        <f t="array" aca="1" ref="G39" ca="1">_xll.DBR($C$26,$B39,G$27)</f>
        <v>RECALC_0_3293_</v>
      </c>
      <c r="H39" s="1" t="str" cm="1">
        <f t="array" aca="1" ref="H39" ca="1">_xll.DBR($C$26,$B39,H$27)</f>
        <v>RECALC_0_3292_</v>
      </c>
    </row>
    <row r="40" spans="2:23" hidden="1" outlineLevel="1" x14ac:dyDescent="0.25"/>
    <row r="41" spans="2:23" hidden="1" outlineLevel="1" x14ac:dyDescent="0.25"/>
    <row r="42" spans="2:23" hidden="1" outlineLevel="1" x14ac:dyDescent="0.25"/>
    <row r="43" spans="2:23" hidden="1" outlineLevel="1" x14ac:dyDescent="0.25"/>
    <row r="44" spans="2:23" hidden="1" outlineLevel="1" x14ac:dyDescent="0.25"/>
    <row r="45" spans="2:23" hidden="1" outlineLevel="1" x14ac:dyDescent="0.25"/>
    <row r="46" spans="2:23" hidden="1" outlineLevel="1" x14ac:dyDescent="0.25"/>
    <row r="47" spans="2:23" ht="39.75" customHeight="1" collapsed="1" x14ac:dyDescent="0.25"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11" t="str">
        <f ca="1">"Welcome "&amp; psUser</f>
        <v>Welcome RECALC_0_100_</v>
      </c>
    </row>
    <row r="48" spans="2:23" ht="4.5" customHeight="1" x14ac:dyDescent="0.25"/>
    <row r="49" spans="10:23" ht="30" customHeight="1" x14ac:dyDescent="0.25">
      <c r="J49" s="6"/>
      <c r="K49" s="19" t="str">
        <f ca="1">$C$15</f>
        <v>The current scenario is "RECALC_0_230_" for the "RECALC_0_231_" Headline Year. Archive was done for "RECALC_0_484_" on scenario "RECALC_0_483_".</v>
      </c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6"/>
      <c r="W49" s="6"/>
    </row>
    <row r="50" spans="10:23" ht="4.5" customHeight="1" x14ac:dyDescent="0.25"/>
    <row r="54" spans="10:23" ht="24.75" customHeight="1" x14ac:dyDescent="0.25">
      <c r="J54" s="7"/>
      <c r="K54" s="7"/>
      <c r="L54" s="14" t="s">
        <v>34</v>
      </c>
      <c r="M54" s="14"/>
      <c r="N54" s="14"/>
      <c r="O54" s="14"/>
      <c r="P54" s="5"/>
      <c r="R54" s="8"/>
      <c r="S54" s="15" t="s">
        <v>39</v>
      </c>
      <c r="T54" s="15"/>
      <c r="U54" s="15"/>
      <c r="V54" s="15"/>
      <c r="W54" s="8"/>
    </row>
    <row r="55" spans="10:23" ht="4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19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4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19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4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9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4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19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4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4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K85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4:O54"/>
    <mergeCell ref="S54:V54"/>
    <mergeCell ref="B1:D1"/>
    <mergeCell ref="B9:D9"/>
    <mergeCell ref="B17:D17"/>
    <mergeCell ref="B25:D25"/>
    <mergeCell ref="K49:U49"/>
  </mergeCells>
  <conditionalFormatting sqref="R54:W54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Menu</vt:lpstr>
      <vt:lpstr>db_name</vt:lpstr>
      <vt:lpstr>home</vt:lpstr>
      <vt:lpstr>Menu</vt:lpstr>
      <vt:lpstr>psUser</vt:lpstr>
      <vt:lpstr>TM1AddRptAllAdjCAP</vt:lpstr>
      <vt:lpstr>TM1AddRptAllAdjWB</vt:lpstr>
      <vt:lpstr>TM1AddRptAllAdjWS</vt:lpstr>
      <vt:lpstr>TM1AddRptCustDetCAP</vt:lpstr>
      <vt:lpstr>TM1AddRptCustDetWB</vt:lpstr>
      <vt:lpstr>TM1AddRptCustDetWS</vt:lpstr>
      <vt:lpstr>TM1AddRptCustNoCAP</vt:lpstr>
      <vt:lpstr>TM1AddRptCustNoWB</vt:lpstr>
      <vt:lpstr>TM1AddRptCustNoWS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2025-08-11T02:59:43Z</dcterms:modified>
</cp:coreProperties>
</file>