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99868E3-E6AA-4A91-BF14-24EA5D646F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BulkProcessCAP">Menu!$D$40</definedName>
    <definedName name="TM1BulkProcessWB">Menu!$F$40</definedName>
    <definedName name="TM1BulkProcessWS">Menu!$H$40</definedName>
    <definedName name="TM1FFExtractCAP">Menu!$D$39</definedName>
    <definedName name="TM1FFExtractWB">Menu!$F$39</definedName>
    <definedName name="TM1FFExtractWS">Menu!$H$39</definedName>
    <definedName name="TM1FFSetSaveLocCAP">Menu!$D$38</definedName>
    <definedName name="TM1FFSetSaveLocWB">Menu!$F$38</definedName>
    <definedName name="TM1FFSetSaveLocWS">Menu!$H$38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80" i="1"/>
  <c r="C10" i="1"/>
  <c r="C12" i="1"/>
  <c r="C11" i="1"/>
  <c r="C13" i="1"/>
  <c r="C14" i="1"/>
  <c r="C15" i="1"/>
  <c r="K46" i="1"/>
  <c r="C4" i="1"/>
  <c r="C7" i="1"/>
  <c r="W44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<sst xmlns="http://schemas.openxmlformats.org/spreadsheetml/2006/main" count="55" uniqueCount="49">
  <si>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</si>
  <si>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</si>
  <si>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</si>
  <si>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</si>
  <si>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</si>
  <si>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</si>
  <si>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</si>
  <si>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</si>
  <si>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</si>
  <si>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</si>
  <si>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</si>
  <si>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</si>
  <si>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</si>
  <si>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</si>
  <si>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</si>
  <si>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</si>
  <si>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</si>
  <si>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</si>
  <si>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</si>
  <si>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</si>
  <si>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</si>
  <si>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</si>
  <si>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</si>
  <si>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</si>
  <si>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</si>
  <si>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</si>
  <si>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</si>
  <si>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</si>
  <si>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</si>
  <si>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</si>
  <si>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</si>
  <si>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</si>
  <si>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</si>
  <si>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</si>
  <si>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</si>
  <si>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</si>
  <si>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</si>
  <si>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</si>
  <si>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</si>
  <si>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FlatFile - Set Save Location</t>
  </si>
  <si>
    <t>FlatFile - Prepare Extracts</t>
  </si>
  <si>
    <t>Adjustment - Bulk Process</t>
  </si>
  <si>
    <t>ANNUAL ESTIMATES</t>
  </si>
  <si>
    <t>FLAT FILE CREATION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</si>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</sst>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45</xdr:row>
      <xdr:rowOff>55686</xdr:rowOff>
    </xdr:from>
    <xdr:to>
      <xdr:col>22</xdr:col>
      <xdr:colOff>206290</xdr:colOff>
      <xdr:row>45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50</xdr:row>
      <xdr:rowOff>57150</xdr:rowOff>
    </xdr:from>
    <xdr:to>
      <xdr:col>15</xdr:col>
      <xdr:colOff>307716</xdr:colOff>
      <xdr:row>50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50</xdr:row>
      <xdr:rowOff>66675</xdr:rowOff>
    </xdr:from>
    <xdr:to>
      <xdr:col>22</xdr:col>
      <xdr:colOff>289046</xdr:colOff>
      <xdr:row>50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28575</xdr:rowOff>
    </xdr:from>
    <xdr:to>
      <xdr:col>12</xdr:col>
      <xdr:colOff>57150</xdr:colOff>
      <xdr:row>43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50</xdr:row>
      <xdr:rowOff>66675</xdr:rowOff>
    </xdr:from>
    <xdr:to>
      <xdr:col>22</xdr:col>
      <xdr:colOff>289046</xdr:colOff>
      <xdr:row>50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51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47625</xdr:rowOff>
    </xdr:from>
    <xdr:to>
      <xdr:col>14</xdr:col>
      <xdr:colOff>752475</xdr:colOff>
      <xdr:row>54</xdr:row>
      <xdr:rowOff>0</xdr:rowOff>
    </xdr:to>
    <xdr:sp macro="Sheet1.ExecuteAction_dbc64219_02e7_4d35_8121_f0f4986f16ad" textlink="TM1HomeAEDataEntryCAP">
      <xdr:nvSpPr>
        <xdr:cNvPr id="2" name="TM1Button_dbc64219_02e7_4d35_8121_f0f4986f16ad">
          <a:extLst>
            <a:ext uri="{FF2B5EF4-FFF2-40B4-BE49-F238E27FC236}">
              <a16:creationId xmlns:a16="http://schemas.microsoft.com/office/drawing/2014/main" id="{297CC6A3-1D16-1F12-08DD-AB5E682BE778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10FF78-8FDD-450A-989D-3B8476BB862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54</xdr:row>
      <xdr:rowOff>47625</xdr:rowOff>
    </xdr:from>
    <xdr:to>
      <xdr:col>21</xdr:col>
      <xdr:colOff>1038225</xdr:colOff>
      <xdr:row>56</xdr:row>
      <xdr:rowOff>57150</xdr:rowOff>
    </xdr:to>
    <xdr:sp macro="Sheet1.ExecuteAction_bedca0a1_c36d_4050_b0b1_97728d00e96f" textlink="">
      <xdr:nvSpPr>
        <xdr:cNvPr id="3" name="TM1Button_bedca0a1_c36d_4050_b0b1_97728d00e96f">
          <a:extLst>
            <a:ext uri="{FF2B5EF4-FFF2-40B4-BE49-F238E27FC236}">
              <a16:creationId xmlns:a16="http://schemas.microsoft.com/office/drawing/2014/main" id="{C947D9FA-0F60-E5F5-47B8-20F610462FAB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 - Flat File Creation</a:t>
          </a:r>
        </a:p>
      </xdr:txBody>
    </xdr:sp>
    <xdr:clientData/>
  </xdr:twoCellAnchor>
  <xdr:twoCellAnchor editAs="oneCell">
    <xdr:from>
      <xdr:col>18</xdr:col>
      <xdr:colOff>285750</xdr:colOff>
      <xdr:row>56</xdr:row>
      <xdr:rowOff>104775</xdr:rowOff>
    </xdr:from>
    <xdr:to>
      <xdr:col>21</xdr:col>
      <xdr:colOff>1038225</xdr:colOff>
      <xdr:row>58</xdr:row>
      <xdr:rowOff>114300</xdr:rowOff>
    </xdr:to>
    <xdr:sp macro="Sheet1.ExecuteAction_003c45e5_904a_4d1f_9f7f_c9d9d2978a20" textlink="">
      <xdr:nvSpPr>
        <xdr:cNvPr id="4" name="TM1Button_003c45e5_904a_4d1f_9f7f_c9d9d2978a20">
          <a:extLst>
            <a:ext uri="{FF2B5EF4-FFF2-40B4-BE49-F238E27FC236}">
              <a16:creationId xmlns:a16="http://schemas.microsoft.com/office/drawing/2014/main" id="{170D4AFD-73C8-0801-E352-218D5ACA5212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Prepare CBMS Extracts By Program</a:t>
          </a:r>
        </a:p>
      </xdr:txBody>
    </xdr:sp>
    <xdr:clientData/>
  </xdr:twoCellAnchor>
  <xdr:twoCellAnchor editAs="oneCell">
    <xdr:from>
      <xdr:col>11</xdr:col>
      <xdr:colOff>0</xdr:colOff>
      <xdr:row>60</xdr:row>
      <xdr:rowOff>123825</xdr:rowOff>
    </xdr:from>
    <xdr:to>
      <xdr:col>14</xdr:col>
      <xdr:colOff>752475</xdr:colOff>
      <xdr:row>63</xdr:row>
      <xdr:rowOff>19050</xdr:rowOff>
    </xdr:to>
    <xdr:sp macro="Sheet1.ExecuteAction_d6a7cf11_7d71_43e5_a611_cdd058daff2d" textlink="TM1HomeAECDMCAP">
      <xdr:nvSpPr>
        <xdr:cNvPr id="5" name="TM1Button_d6a7cf11_7d71_43e5_a611_cdd058daff2d">
          <a:extLst>
            <a:ext uri="{FF2B5EF4-FFF2-40B4-BE49-F238E27FC236}">
              <a16:creationId xmlns:a16="http://schemas.microsoft.com/office/drawing/2014/main" id="{2CF64EE2-0B8D-BB4F-C230-F3E15F63EF6E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2CCC21-F8AB-4E9A-854F-C007D17F44D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54</xdr:row>
      <xdr:rowOff>47625</xdr:rowOff>
    </xdr:from>
    <xdr:to>
      <xdr:col>14</xdr:col>
      <xdr:colOff>752475</xdr:colOff>
      <xdr:row>56</xdr:row>
      <xdr:rowOff>57150</xdr:rowOff>
    </xdr:to>
    <xdr:sp macro="Sheet1.ExecuteAction_9e930d98_53b7_4808_98b5_f38f0afb880a" textlink="TM1HomeAEMeasuresCAP">
      <xdr:nvSpPr>
        <xdr:cNvPr id="6" name="TM1Button_9e930d98_53b7_4808_98b5_f38f0afb880a">
          <a:extLst>
            <a:ext uri="{FF2B5EF4-FFF2-40B4-BE49-F238E27FC236}">
              <a16:creationId xmlns:a16="http://schemas.microsoft.com/office/drawing/2014/main" id="{696BDEDE-DC5C-D401-4627-1C385367B784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ACCF5FE-2033-4BB7-A72C-EADC4BEE3B4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56</xdr:row>
      <xdr:rowOff>104775</xdr:rowOff>
    </xdr:from>
    <xdr:to>
      <xdr:col>14</xdr:col>
      <xdr:colOff>752475</xdr:colOff>
      <xdr:row>58</xdr:row>
      <xdr:rowOff>114300</xdr:rowOff>
    </xdr:to>
    <xdr:sp macro="Sheet1.ExecuteAction_99cd1dad_85f2_4b6a_a598_0093347841b8" textlink="TM1HomeAEFFCAP">
      <xdr:nvSpPr>
        <xdr:cNvPr id="7" name="TM1Button_99cd1dad_85f2_4b6a_a598_0093347841b8">
          <a:extLst>
            <a:ext uri="{FF2B5EF4-FFF2-40B4-BE49-F238E27FC236}">
              <a16:creationId xmlns:a16="http://schemas.microsoft.com/office/drawing/2014/main" id="{56B932D5-C17A-6B57-82F1-4F2176FE3D7B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98D384-14E4-4C87-B8DD-555738339E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161925</xdr:rowOff>
    </xdr:from>
    <xdr:to>
      <xdr:col>14</xdr:col>
      <xdr:colOff>752475</xdr:colOff>
      <xdr:row>60</xdr:row>
      <xdr:rowOff>38100</xdr:rowOff>
    </xdr:to>
    <xdr:sp macro="Sheet1.ExecuteAction_0e86c3d4_a58a_4a0d_b675_655cf8c87f4d" textlink="TM1HomeAEAccVarCAP">
      <xdr:nvSpPr>
        <xdr:cNvPr id="8" name="TM1Button_0e86c3d4_a58a_4a0d_b675_655cf8c87f4d">
          <a:extLst>
            <a:ext uri="{FF2B5EF4-FFF2-40B4-BE49-F238E27FC236}">
              <a16:creationId xmlns:a16="http://schemas.microsoft.com/office/drawing/2014/main" id="{553CAF05-55C7-4BA9-65E6-0A334635C2DB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C72D5EC-E3CA-4FE3-A38E-AD0761B39A4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47</xdr:row>
      <xdr:rowOff>47625</xdr:rowOff>
    </xdr:from>
    <xdr:to>
      <xdr:col>13</xdr:col>
      <xdr:colOff>38100</xdr:colOff>
      <xdr:row>49</xdr:row>
      <xdr:rowOff>85725</xdr:rowOff>
    </xdr:to>
    <xdr:sp macro="Sheet1.ExecuteAction_1128078e_028a_4c78_be56_03c56c5a87c3" textlink="TM1HomeCAP">
      <xdr:nvSpPr>
        <xdr:cNvPr id="10" name="TM1Button_1128078e_028a_4c78_be56_03c56c5a87c3">
          <a:extLst>
            <a:ext uri="{FF2B5EF4-FFF2-40B4-BE49-F238E27FC236}">
              <a16:creationId xmlns:a16="http://schemas.microsoft.com/office/drawing/2014/main" id="{D151FBDB-7F5A-CB65-D5F5-089F1E1AFA9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8BEA58A-0306-4859-99B8-8B418CBE432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47</xdr:row>
      <xdr:rowOff>47625</xdr:rowOff>
    </xdr:from>
    <xdr:to>
      <xdr:col>15</xdr:col>
      <xdr:colOff>352425</xdr:colOff>
      <xdr:row>49</xdr:row>
      <xdr:rowOff>85725</xdr:rowOff>
    </xdr:to>
    <xdr:sp macro="Sheet1.ExecuteAction_3a686beb_acaf_44ba_80e1_a99b2adf4944" textlink="TM1HomeAECAP">
      <xdr:nvSpPr>
        <xdr:cNvPr id="13" name="TM1Button_3a686beb_acaf_44ba_80e1_a99b2adf4944">
          <a:extLst>
            <a:ext uri="{FF2B5EF4-FFF2-40B4-BE49-F238E27FC236}">
              <a16:creationId xmlns:a16="http://schemas.microsoft.com/office/drawing/2014/main" id="{1DB0A28C-7215-914E-B62F-2D112C13A7B8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CBD3B60-FF3D-46DA-B810-00E9A3951F9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47</xdr:row>
      <xdr:rowOff>38100</xdr:rowOff>
    </xdr:from>
    <xdr:to>
      <xdr:col>19</xdr:col>
      <xdr:colOff>1104900</xdr:colOff>
      <xdr:row>49</xdr:row>
      <xdr:rowOff>76200</xdr:rowOff>
    </xdr:to>
    <xdr:sp macro="Sheet1.ExecuteAction_574cddf0_0a79_4e94_999e_acb4f840be7b" textlink="TM1HomeRepCAP">
      <xdr:nvSpPr>
        <xdr:cNvPr id="14" name="TM1Button_574cddf0_0a79_4e94_999e_acb4f840be7b">
          <a:extLst>
            <a:ext uri="{FF2B5EF4-FFF2-40B4-BE49-F238E27FC236}">
              <a16:creationId xmlns:a16="http://schemas.microsoft.com/office/drawing/2014/main" id="{559D6EC5-F6F0-ECD7-2CB5-DD0CD967D746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1B29ED-7780-4C2D-831A-1CF4899DD6F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47</xdr:row>
      <xdr:rowOff>38100</xdr:rowOff>
    </xdr:from>
    <xdr:to>
      <xdr:col>22</xdr:col>
      <xdr:colOff>114300</xdr:colOff>
      <xdr:row>49</xdr:row>
      <xdr:rowOff>76200</xdr:rowOff>
    </xdr:to>
    <xdr:sp macro="Sheet1.ExecuteAction_6921c106_886c_45e0_86aa_ae0cc8d34d93" textlink="TM1HomeAdminCAP">
      <xdr:nvSpPr>
        <xdr:cNvPr id="15" name="TM1Button_6921c106_886c_45e0_86aa_ae0cc8d34d93">
          <a:extLst>
            <a:ext uri="{FF2B5EF4-FFF2-40B4-BE49-F238E27FC236}">
              <a16:creationId xmlns:a16="http://schemas.microsoft.com/office/drawing/2014/main" id="{0B4CD0A6-E121-4BB9-0D2D-BBDCE550736A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6DD13C9-44D1-48DF-8EBB-FD22507D71B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51</xdr:row>
      <xdr:rowOff>47625</xdr:rowOff>
    </xdr:from>
    <xdr:to>
      <xdr:col>21</xdr:col>
      <xdr:colOff>1038225</xdr:colOff>
      <xdr:row>54</xdr:row>
      <xdr:rowOff>0</xdr:rowOff>
    </xdr:to>
    <xdr:sp macro="Sheet1.ExecuteAction_f702a8af_ad68_4a2f_9f25_5334d248dae7" textlink="">
      <xdr:nvSpPr>
        <xdr:cNvPr id="16" name="TM1Button_f702a8af_ad68_4a2f_9f25_5334d248dae7">
          <a:extLst>
            <a:ext uri="{FF2B5EF4-FFF2-40B4-BE49-F238E27FC236}">
              <a16:creationId xmlns:a16="http://schemas.microsoft.com/office/drawing/2014/main" id="{CF1CAFC5-3EE3-17AD-4F86-FD060248AAEC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Export/Flatfile Save 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80"/>
  <sheetViews>
    <sheetView showGridLines="0" tabSelected="1" topLeftCell="J44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34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48</v>
      </c>
      <c r="D2" s="4"/>
    </row>
    <row r="3" spans="2:4" ht="14.45" hidden="1" customHeight="1" outlineLevel="1" x14ac:dyDescent="0.25">
      <c r="B3" s="2" t="s">
        <v>2</v>
      </c>
      <c r="C3" s="10" t="str">
        <f>_xll.VIEW((db_name&amp;":}ElementAttributes_}Clients"),"!","!")</f>
        <v>finance_geus:}ElementAttributes_}Clients:1264217196-1273285857</v>
      </c>
      <c r="D3" s="4"/>
    </row>
    <row r="4" spans="2:4" ht="14.45" hidden="1" customHeight="1" outlineLevel="1" x14ac:dyDescent="0.25">
      <c r="B4" s="2" t="s">
        <v>3</v>
      </c>
      <c r="C4" s="3" t="str">
        <f ca="1">_xll.TM1USER(db_name)</f>
        <v>RECALC_0_100_</v>
      </c>
      <c r="D4" s="4"/>
    </row>
    <row r="5" spans="2:4" ht="14.45" hidden="1" customHeight="1" outlineLevel="1" x14ac:dyDescent="0.25">
      <c r="B5" s="2" t="s">
        <v>4</v>
      </c>
      <c r="C5" s="3" t="str">
        <f ca="1">_xll.DBR($C$3,$C$4,$B5)</f>
        <v>RECALC_1_101_</v>
      </c>
      <c r="D5" s="4"/>
    </row>
    <row r="6" spans="2:4" ht="14.45" hidden="1" customHeight="1" outlineLevel="1" x14ac:dyDescent="0.25">
      <c r="B6" s="2" t="s">
        <v>5</v>
      </c>
      <c r="C6" s="3" t="str">
        <f ca="1">_xll.DBR($C$3,$C$4,$B6)</f>
        <v>RECALC_1_232_</v>
      </c>
      <c r="D6" s="4"/>
    </row>
    <row r="7" spans="2:4" ht="14.45" hidden="1" customHeight="1" outlineLevel="1" x14ac:dyDescent="0.25">
      <c r="B7" s="2" t="s">
        <v>6</v>
      </c>
      <c r="C7" s="3" t="str">
        <f ca="1">IF((LEFT($C$4,6)="CAM_AD"),$C$5,$C$4)</f>
        <v>RECALC_0_100_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str">
        <f>_xll.VIEW((db_name&amp;":}ElementAttributes_variables"),"!","!")</f>
        <v>finance_geus:}ElementAttributes_variables:12642171961582783058</v>
      </c>
      <c r="D10" s="1"/>
    </row>
    <row r="11" spans="2:4" ht="14.45" hidden="1" customHeight="1" outlineLevel="1" x14ac:dyDescent="0.25">
      <c r="B11" s="2" t="s">
        <v>9</v>
      </c>
      <c r="C11" s="1" t="str">
        <f ca="1">_xll.DBR($C$10,$B11,"value")</f>
        <v>RECALC_0_231_</v>
      </c>
      <c r="D11" s="1"/>
    </row>
    <row r="12" spans="2:4" ht="14.45" hidden="1" customHeight="1" outlineLevel="1" x14ac:dyDescent="0.25">
      <c r="B12" s="2" t="s">
        <v>10</v>
      </c>
      <c r="C12" s="1" t="str">
        <f ca="1">_xll.DBR($C$10,$B12,"value")</f>
        <v>RECALC_0_230_</v>
      </c>
      <c r="D12" s="1"/>
    </row>
    <row r="13" spans="2:4" ht="14.45" hidden="1" customHeight="1" outlineLevel="1" x14ac:dyDescent="0.25">
      <c r="B13" s="2" t="s">
        <v>11</v>
      </c>
      <c r="C13" s="1" t="str">
        <f ca="1">_xll.DBR($C$10,$B13,"value")</f>
        <v>RECALC_0_484_</v>
      </c>
      <c r="D13" s="1"/>
    </row>
    <row r="14" spans="2:4" ht="14.45" hidden="1" customHeight="1" outlineLevel="1" x14ac:dyDescent="0.25">
      <c r="B14" s="2" t="s">
        <v>12</v>
      </c>
      <c r="C14" s="1" t="str">
        <f ca="1">_xll.DBR($C$10,$B14,"value")</f>
        <v>RECALC_0_483_</v>
      </c>
      <c r="D14" s="1"/>
    </row>
    <row r="15" spans="2:4" ht="14.45" hidden="1" customHeight="1" outlineLevel="1" x14ac:dyDescent="0.25">
      <c r="B15" s="2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str">
        <f>_xll.VIEW((db_name&amp;":sys_client preference"),"!","!","!")</f>
        <v>finance_geus:sys_client preference:1264217196-977522611</v>
      </c>
      <c r="D18" s="1"/>
    </row>
    <row r="19" spans="2:13" ht="14.45" hidden="1" customHeight="1" outlineLevel="1" x14ac:dyDescent="0.25">
      <c r="B19" s="2" t="s">
        <v>15</v>
      </c>
      <c r="C19" s="1" t="str">
        <f ca="1">_xll.DBR($C$18,psUser,$B19,"value")</f>
        <v>RECALC_1_416_</v>
      </c>
      <c r="D19" s="1"/>
    </row>
    <row r="20" spans="2:13" ht="14.45" hidden="1" customHeight="1" outlineLevel="1" x14ac:dyDescent="0.25">
      <c r="B20" s="2" t="s">
        <v>16</v>
      </c>
      <c r="C20" s="1" t="str">
        <f ca="1">_xll.DBR($C$18,psUser,$B20,"value")</f>
        <v>RECALC_1_414_</v>
      </c>
      <c r="D20" s="1"/>
    </row>
    <row r="21" spans="2:13" ht="14.45" hidden="1" customHeight="1" outlineLevel="1" x14ac:dyDescent="0.25">
      <c r="B21" s="2" t="s">
        <v>17</v>
      </c>
      <c r="C21" s="1" t="str">
        <f ca="1">_xll.DBR($C$18,psUser,$B21,"value")</f>
        <v>RECALC_1_412_</v>
      </c>
      <c r="D21" s="1"/>
    </row>
    <row r="22" spans="2:13" ht="14.45" hidden="1" customHeight="1" outlineLevel="1" x14ac:dyDescent="0.25">
      <c r="B22" s="2" t="s">
        <v>18</v>
      </c>
      <c r="C22" s="1" t="str">
        <f ca="1">_xll.DBR($C$18,psUser,$B22,"value")</f>
        <v>RECALC_1_493_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str">
        <f>_xll.VIEW((db_name&amp;":sys_application"),"!","!")</f>
        <v>finance_geus:sys_application:1264217196-1759868414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  <c r="M28" t="s">
        <v>24</v>
      </c>
    </row>
    <row r="29" spans="2:13" ht="14.45" hidden="1" customHeight="1" outlineLevel="1" x14ac:dyDescent="0.25">
      <c r="B29" s="1" t="s">
        <v>30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  <c r="M29" t="s">
        <v>25</v>
      </c>
    </row>
    <row r="30" spans="2:13" ht="14.45" hidden="1" customHeight="1" outlineLevel="1" x14ac:dyDescent="0.25">
      <c r="B30" s="1" t="s">
        <v>31</v>
      </c>
      <c r="C30" s="1" t="str">
        <f ca="1">_xll.DBR($C$26,$B30,C$27)</f>
        <v>RECALC_0_225_</v>
      </c>
      <c r="D30" s="1" t="str">
        <f ca="1">_xll.DBR($C$26,$B30,D$27)</f>
        <v>RECALC_0_224_</v>
      </c>
      <c r="E30" s="1" t="str">
        <f ca="1">_xll.DBR($C$26,$B30,E$27)</f>
        <v>RECALC_0_223_</v>
      </c>
      <c r="F30" s="1" t="str">
        <f ca="1">_xll.DBR($C$26,$B30,F$27)</f>
        <v>RECALC_0_222_</v>
      </c>
      <c r="G30" s="1" t="str">
        <f ca="1">_xll.DBR($C$26,$B30,G$27)</f>
        <v>RECALC_0_221_</v>
      </c>
      <c r="H30" s="1" t="str">
        <f ca="1">_xll.DBR($C$26,$B30,H$27)</f>
        <v>RECALC_0_220_</v>
      </c>
      <c r="M30" t="s">
        <v>26</v>
      </c>
    </row>
    <row r="31" spans="2:13" ht="14.45" hidden="1" customHeight="1" outlineLevel="1" x14ac:dyDescent="0.25">
      <c r="B31" s="1" t="s">
        <v>32</v>
      </c>
      <c r="C31" s="1" t="str">
        <f ca="1">_xll.DBR($C$26,$B31,C$27)</f>
        <v>RECALC_0_959_</v>
      </c>
      <c r="D31" s="1" t="str">
        <f ca="1">_xll.DBR($C$26,$B31,D$27)</f>
        <v>RECALC_0_958_</v>
      </c>
      <c r="E31" s="1" t="str">
        <f ca="1">_xll.DBR($C$26,$B31,E$27)</f>
        <v>RECALC_0_957_</v>
      </c>
      <c r="F31" s="1" t="str">
        <f ca="1">_xll.DBR($C$26,$B31,F$27)</f>
        <v>RECALC_0_956_</v>
      </c>
      <c r="G31" s="1" t="str">
        <f ca="1">_xll.DBR($C$26,$B31,G$27)</f>
        <v>RECALC_0_955_</v>
      </c>
      <c r="H31" s="1" t="str">
        <f ca="1">_xll.DBR($C$26,$B31,H$27)</f>
        <v>RECALC_0_954_</v>
      </c>
      <c r="M31" t="s">
        <v>27</v>
      </c>
    </row>
    <row r="32" spans="2:13" ht="14.45" hidden="1" customHeight="1" outlineLevel="1" x14ac:dyDescent="0.25">
      <c r="B32" s="1" t="s">
        <v>33</v>
      </c>
      <c r="C32" s="1" t="str">
        <f ca="1">_xll.DBR($C$26,$B32,C$27)</f>
        <v>RECALC_0_1008_</v>
      </c>
      <c r="D32" s="1" t="str">
        <f ca="1">_xll.DBR($C$26,$B32,D$27)</f>
        <v>RECALC_0_1007_</v>
      </c>
      <c r="E32" s="1" t="str">
        <f ca="1">_xll.DBR($C$26,$B32,E$27)</f>
        <v>RECALC_0_1006_</v>
      </c>
      <c r="F32" s="1" t="str">
        <f ca="1">_xll.DBR($C$26,$B32,F$27)</f>
        <v>RECALC_0_1005_</v>
      </c>
      <c r="G32" s="1" t="str">
        <f ca="1">_xll.DBR($C$26,$B32,G$27)</f>
        <v>RECALC_0_1004_</v>
      </c>
      <c r="H32" s="1" t="str">
        <f ca="1">_xll.DBR($C$26,$B32,H$27)</f>
        <v>RECALC_0_1003_</v>
      </c>
      <c r="M32" t="s">
        <v>28</v>
      </c>
    </row>
    <row r="33" spans="2:23" ht="14.45" hidden="1" customHeight="1" outlineLevel="1" x14ac:dyDescent="0.25">
      <c r="B33" s="1" t="s">
        <v>34</v>
      </c>
      <c r="C33" s="1" t="str">
        <f ca="1">_xll.DBR($C$26,$B33,C$27)</f>
        <v>RECALC_0_875_</v>
      </c>
      <c r="D33" s="1" t="str">
        <f ca="1">_xll.DBR($C$26,$B33,D$27)</f>
        <v>RECALC_0_874_</v>
      </c>
      <c r="E33" s="1" t="str">
        <f ca="1">_xll.DBR($C$26,$B33,E$27)</f>
        <v>RECALC_0_873_</v>
      </c>
      <c r="F33" s="1" t="str">
        <f ca="1">_xll.DBR($C$26,$B33,F$27)</f>
        <v>RECALC_0_872_</v>
      </c>
      <c r="G33" s="1" t="str">
        <f ca="1">_xll.DBR($C$26,$B33,G$27)</f>
        <v>RECALC_0_871_</v>
      </c>
      <c r="H33" s="1" t="str">
        <f ca="1">_xll.DBR($C$26,$B33,H$27)</f>
        <v>RECALC_0_870_</v>
      </c>
      <c r="M33" t="s">
        <v>35</v>
      </c>
    </row>
    <row r="34" spans="2:23" ht="14.45" hidden="1" customHeight="1" outlineLevel="1" x14ac:dyDescent="0.25">
      <c r="B34" s="1" t="s">
        <v>36</v>
      </c>
      <c r="C34" s="1" t="str">
        <f ca="1">_xll.DBR($C$26,$B34,C$27)</f>
        <v>RECALC_0_71_</v>
      </c>
      <c r="D34" s="1" t="str">
        <f ca="1">_xll.DBR($C$26,$B34,D$27)</f>
        <v>RECALC_0_70_</v>
      </c>
      <c r="E34" s="1" t="str">
        <f ca="1">_xll.DBR($C$26,$B34,E$27)</f>
        <v>RECALC_0_69_</v>
      </c>
      <c r="F34" s="1" t="str">
        <f ca="1">_xll.DBR($C$26,$B34,F$27)</f>
        <v>RECALC_0_68_</v>
      </c>
      <c r="G34" s="1" t="str">
        <f ca="1">_xll.DBR($C$26,$B34,G$27)</f>
        <v>RECALC_0_67_</v>
      </c>
      <c r="H34" s="1" t="str">
        <f ca="1">_xll.DBR($C$26,$B34,H$27)</f>
        <v>RECALC_0_66_</v>
      </c>
    </row>
    <row r="35" spans="2:23" ht="14.45" hidden="1" customHeight="1" outlineLevel="1" x14ac:dyDescent="0.25">
      <c r="B35" s="1" t="s">
        <v>37</v>
      </c>
      <c r="C35" s="1" t="str">
        <f ca="1">_xll.DBR($C$26,$B35,C$27)</f>
        <v>RECALC_0_65_</v>
      </c>
      <c r="D35" s="1" t="str">
        <f ca="1">_xll.DBR($C$26,$B35,D$27)</f>
        <v>RECALC_0_64_</v>
      </c>
      <c r="E35" s="1" t="str">
        <f ca="1">_xll.DBR($C$26,$B35,E$27)</f>
        <v>RECALC_0_63_</v>
      </c>
      <c r="F35" s="1" t="str">
        <f ca="1">_xll.DBR($C$26,$B35,F$27)</f>
        <v>RECALC_0_62_</v>
      </c>
      <c r="G35" s="1" t="str">
        <f ca="1">_xll.DBR($C$26,$B35,G$27)</f>
        <v>RECALC_0_61_</v>
      </c>
      <c r="H35" s="1" t="str">
        <f ca="1">_xll.DBR($C$26,$B35,H$27)</f>
        <v>RECALC_0_60_</v>
      </c>
    </row>
    <row r="36" spans="2:23" ht="14.45" hidden="1" customHeight="1" outlineLevel="1" x14ac:dyDescent="0.25">
      <c r="B36" s="1" t="s">
        <v>38</v>
      </c>
      <c r="C36" s="1" t="str">
        <f ca="1">_xll.DBR($C$26,$B36,C$27)</f>
        <v>RECALC_0_540_</v>
      </c>
      <c r="D36" s="1" t="str">
        <f ca="1">_xll.DBR($C$26,$B36,D$27)</f>
        <v>RECALC_0_539_</v>
      </c>
      <c r="E36" s="1" t="str">
        <f ca="1">_xll.DBR($C$26,$B36,E$27)</f>
        <v>RECALC_0_538_</v>
      </c>
      <c r="F36" s="1" t="str">
        <f ca="1">_xll.DBR($C$26,$B36,F$27)</f>
        <v>RECALC_0_537_</v>
      </c>
      <c r="G36" s="1" t="str">
        <f ca="1">_xll.DBR($C$26,$B36,G$27)</f>
        <v>RECALC_0_536_</v>
      </c>
      <c r="H36" s="1" t="str">
        <f ca="1">_xll.DBR($C$26,$B36,H$27)</f>
        <v>RECALC_0_535_</v>
      </c>
    </row>
    <row r="37" spans="2:23" ht="14.45" hidden="1" customHeight="1" outlineLevel="1" x14ac:dyDescent="0.25">
      <c r="B37" s="1" t="s">
        <v>47</v>
      </c>
      <c r="C37" s="1" t="str">
        <f ca="1">_xll.DBR($C$26,$B37,C$27)</f>
        <v>RECALC_0_3273_</v>
      </c>
      <c r="D37" s="1" t="str">
        <f ca="1">_xll.DBR($C$26,$B37,D$27)</f>
        <v>RECALC_0_3272_</v>
      </c>
      <c r="E37" s="1" t="str">
        <f ca="1">_xll.DBR($C$26,$B37,E$27)</f>
        <v>RECALC_0_3271_</v>
      </c>
      <c r="F37" s="1" t="str">
        <f ca="1">_xll.DBR($C$26,$B37,F$27)</f>
        <v>RECALC_0_3270_</v>
      </c>
      <c r="G37" s="1" t="str">
        <f ca="1">_xll.DBR($C$26,$B37,G$27)</f>
        <v>RECALC_0_3269_</v>
      </c>
      <c r="H37" s="1" t="str">
        <f ca="1">_xll.DBR($C$26,$B37,H$27)</f>
        <v>RECALC_0_3268_</v>
      </c>
    </row>
    <row r="38" spans="2:23" ht="14.45" hidden="1" customHeight="1" outlineLevel="1" x14ac:dyDescent="0.25">
      <c r="B38" s="1" t="s">
        <v>39</v>
      </c>
      <c r="C38" s="1" t="str">
        <f ca="1">_xll.DBR($C$26,$B38,C$27)</f>
        <v>RECALC_0_1002_</v>
      </c>
      <c r="D38" s="1" t="str">
        <f ca="1">_xll.DBR($C$26,$B38,D$27)</f>
        <v>RECALC_0_1001_</v>
      </c>
      <c r="E38" s="1" t="str">
        <f ca="1">_xll.DBR($C$26,$B38,E$27)</f>
        <v>RECALC_0_1000_</v>
      </c>
      <c r="F38" s="1" t="str">
        <f ca="1">_xll.DBR($C$26,$B38,F$27)</f>
        <v>RECALC_0_999_</v>
      </c>
      <c r="G38" s="1" t="str">
        <f ca="1">_xll.DBR($C$26,$B38,G$27)</f>
        <v>RECALC_0_998_</v>
      </c>
      <c r="H38" s="1" t="str">
        <f ca="1">_xll.DBR($C$26,$B38,H$27)</f>
        <v>RECALC_0_997_</v>
      </c>
    </row>
    <row r="39" spans="2:23" ht="14.45" hidden="1" customHeight="1" outlineLevel="1" x14ac:dyDescent="0.25">
      <c r="B39" s="1" t="s">
        <v>40</v>
      </c>
      <c r="C39" s="1" t="str">
        <f ca="1">_xll.DBR($C$26,$B39,C$27)</f>
        <v>RECALC_0_996_</v>
      </c>
      <c r="D39" s="1" t="str">
        <f ca="1">_xll.DBR($C$26,$B39,D$27)</f>
        <v>RECALC_0_995_</v>
      </c>
      <c r="E39" s="1" t="str">
        <f ca="1">_xll.DBR($C$26,$B39,E$27)</f>
        <v>RECALC_0_994_</v>
      </c>
      <c r="F39" s="1" t="str">
        <f ca="1">_xll.DBR($C$26,$B39,F$27)</f>
        <v>RECALC_0_993_</v>
      </c>
      <c r="G39" s="1" t="str">
        <f ca="1">_xll.DBR($C$26,$B39,G$27)</f>
        <v>RECALC_0_992_</v>
      </c>
      <c r="H39" s="1" t="str">
        <f ca="1">_xll.DBR($C$26,$B39,H$27)</f>
        <v>RECALC_0_991_</v>
      </c>
    </row>
    <row r="40" spans="2:23" ht="14.45" hidden="1" customHeight="1" outlineLevel="1" x14ac:dyDescent="0.25">
      <c r="B40" s="1" t="s">
        <v>41</v>
      </c>
      <c r="C40" s="1" t="str">
        <f ca="1">_xll.DBR($C$26,$B40,C$27)</f>
        <v>RECALC_0_201_</v>
      </c>
      <c r="D40" s="1" t="str">
        <f ca="1">_xll.DBR($C$26,$B40,D$27)</f>
        <v>RECALC_0_200_</v>
      </c>
      <c r="E40" s="1" t="str">
        <f ca="1">_xll.DBR($C$26,$B40,E$27)</f>
        <v>RECALC_0_199_</v>
      </c>
      <c r="F40" s="1" t="str">
        <f ca="1">_xll.DBR($C$26,$B40,F$27)</f>
        <v>RECALC_0_198_</v>
      </c>
      <c r="G40" s="1" t="str">
        <f ca="1">_xll.DBR($C$26,$B40,G$27)</f>
        <v>RECALC_0_197_</v>
      </c>
      <c r="H40" s="1" t="str">
        <f ca="1">_xll.DBR($C$26,$B40,H$27)</f>
        <v>RECALC_0_196_</v>
      </c>
    </row>
    <row r="41" spans="2:23" ht="14.45" hidden="1" customHeight="1" outlineLevel="1" x14ac:dyDescent="0.25"/>
    <row r="42" spans="2:23" ht="14.45" hidden="1" customHeight="1" outlineLevel="1" x14ac:dyDescent="0.25"/>
    <row r="43" spans="2:23" ht="14.45" hidden="1" customHeight="1" outlineLevel="1" x14ac:dyDescent="0.25"/>
    <row r="44" spans="2:23" ht="39.75" customHeight="1" collapsed="1" x14ac:dyDescent="0.25"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11" t="str">
        <f ca="1">("Welcome "&amp;psUser)</f>
        <v>Welcome RECALC_0_100_</v>
      </c>
    </row>
    <row r="45" spans="2:23" ht="4.5" customHeight="1" x14ac:dyDescent="0.25"/>
    <row r="46" spans="2:23" ht="30" customHeight="1" x14ac:dyDescent="0.25">
      <c r="J46" s="6"/>
      <c r="K46" s="19" t="str">
        <f ca="1">$C$15</f>
        <v>The current scenario is "RECALC_0_230_" for the "RECALC_0_231_" Headline Year. Archive was done for "RECALC_0_484_" on scenario "RECALC_0_483_".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6"/>
      <c r="W46" s="6"/>
    </row>
    <row r="47" spans="2:23" ht="4.5" customHeight="1" x14ac:dyDescent="0.25"/>
    <row r="51" spans="10:23" ht="24.75" customHeight="1" x14ac:dyDescent="0.25">
      <c r="J51" s="7"/>
      <c r="K51" s="7"/>
      <c r="L51" s="14" t="s">
        <v>42</v>
      </c>
      <c r="M51" s="14"/>
      <c r="N51" s="14"/>
      <c r="O51" s="14"/>
      <c r="P51" s="5"/>
      <c r="R51" s="8"/>
      <c r="S51" s="15" t="s">
        <v>43</v>
      </c>
      <c r="T51" s="15"/>
      <c r="U51" s="15"/>
      <c r="V51" s="15"/>
      <c r="W51" s="8"/>
    </row>
    <row r="52" spans="10:23" ht="4.5" customHeight="1" x14ac:dyDescent="0.25">
      <c r="J52" s="9"/>
      <c r="K52" s="9"/>
      <c r="L52" s="9"/>
      <c r="M52" s="9"/>
      <c r="N52" s="9"/>
      <c r="O52" s="9"/>
      <c r="P52" s="9"/>
      <c r="R52" s="9"/>
      <c r="S52" s="9"/>
      <c r="T52" s="9"/>
      <c r="U52" s="9"/>
      <c r="V52" s="9"/>
      <c r="W52" s="9"/>
    </row>
    <row r="53" spans="10:23" ht="19.5" customHeight="1" x14ac:dyDescent="0.25">
      <c r="J53" s="9"/>
      <c r="K53" s="9"/>
      <c r="L53" s="9"/>
      <c r="M53" s="9"/>
      <c r="N53" s="9"/>
      <c r="O53" s="9"/>
      <c r="P53" s="9"/>
      <c r="R53" s="9"/>
      <c r="S53" s="9"/>
      <c r="T53" s="9"/>
      <c r="U53" s="9"/>
      <c r="V53" s="9"/>
      <c r="W53" s="9"/>
    </row>
    <row r="54" spans="10:23" ht="4.5" customHeight="1" x14ac:dyDescent="0.25">
      <c r="J54" s="9"/>
      <c r="K54" s="9"/>
      <c r="L54" s="9"/>
      <c r="M54" s="9"/>
      <c r="N54" s="9"/>
      <c r="O54" s="9"/>
      <c r="P54" s="9"/>
      <c r="R54" s="9"/>
      <c r="S54" s="9"/>
      <c r="T54" s="9"/>
      <c r="U54" s="9"/>
      <c r="V54" s="9"/>
      <c r="W54" s="9"/>
    </row>
    <row r="55" spans="10:23" ht="19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4.4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4.4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4.4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4.4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4.4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4.4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4.4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14.45" customHeight="1" x14ac:dyDescent="0.25">
      <c r="K80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1:O51"/>
    <mergeCell ref="S51:V51"/>
    <mergeCell ref="B1:D1"/>
    <mergeCell ref="B9:D9"/>
    <mergeCell ref="B17:D17"/>
    <mergeCell ref="B25:D25"/>
    <mergeCell ref="K46:U46"/>
  </mergeCells>
  <conditionalFormatting sqref="R51:W5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44</v>
      </c>
    </row>
    <row r="2" spans="1:1" ht="14.45" customHeight="1" x14ac:dyDescent="0.25">
      <c r="A2" t="s">
        <v>45</v>
      </c>
    </row>
    <row r="3" spans="1:1" ht="14.45" customHeight="1" x14ac:dyDescent="0.25">
      <c r="A3" t="s">
        <v>46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TM1BulkProcessCAP</vt:lpstr>
      <vt:lpstr>TM1BulkProcessWB</vt:lpstr>
      <vt:lpstr>TM1BulkProcessWS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2023-04-03T06:18:07Z</dcterms:created>
  <dcterms:modified xsi:type="dcterms:W3CDTF">2025-08-11T02:59:42Z</dcterms:modified>
  <cp:category/>
  <cp:contentStatus/>
</cp:coreProperties>
</file>