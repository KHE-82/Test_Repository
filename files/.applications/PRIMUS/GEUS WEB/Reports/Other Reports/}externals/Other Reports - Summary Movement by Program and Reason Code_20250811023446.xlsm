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4151632E-710A-42B1-AA0B-C92F1B2F1AB4}" xr6:coauthVersionLast="47" xr6:coauthVersionMax="47" xr10:uidLastSave="{00000000-0000-0000-0000-000000000000}"/>
  <bookViews>
    <workbookView xWindow="-120" yWindow="-120" windowWidth="29040" windowHeight="15840" xr2:uid="{4AAE87B4-1697-4EA2-8857-8A2554EC5328}"/>
  </bookViews>
  <sheets>
    <sheet name="report" sheetId="1" r:id="rId1"/>
  </sheets>
  <definedNames>
    <definedName name="Acc_display_list">report!$C$58:$C$59</definedName>
    <definedName name="db_name">report!$C$12</definedName>
    <definedName name="Freeze_HERE">report!$B$111</definedName>
    <definedName name="psApp">report!$C$27</definedName>
    <definedName name="psHLYear">report!$K$100</definedName>
    <definedName name="psProgDimName">report!$C$23</definedName>
    <definedName name="psUser">report!$C$14</definedName>
    <definedName name="Report_type_table">report!$B$41:$E$42</definedName>
    <definedName name="sys_disprep_list">report!$C$54:$C$55</definedName>
    <definedName name="sys_YN_list">report!$C$56:$C$57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3" localSheetId="0">report!$112:$112</definedName>
    <definedName name="TM1RPTFMTIDCOL" localSheetId="0">report!$B$1:$B$8</definedName>
    <definedName name="TM1RPTFMTRNG" localSheetId="0">report!$J$1:$Z$8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/>
  <c r="C21" i="1"/>
  <c r="K100" i="1"/>
  <c r="C22" i="1"/>
  <c r="K101" i="1"/>
  <c r="K102" i="1"/>
  <c r="C67" i="1"/>
  <c r="C68" i="1"/>
  <c r="C69" i="1"/>
  <c r="C71" i="1"/>
  <c r="C72" i="1"/>
  <c r="C73" i="1"/>
  <c r="C74" i="1"/>
  <c r="C75" i="1"/>
  <c r="K104" i="1"/>
  <c r="C77" i="1"/>
  <c r="C78" i="1"/>
  <c r="C37" i="1"/>
  <c r="C70" i="1"/>
  <c r="C23" i="1"/>
  <c r="K103" i="1"/>
  <c r="L19" i="1"/>
  <c r="M20" i="1"/>
  <c r="Z20" i="1" a="1"/>
  <c r="Z20" i="1"/>
  <c r="Z106" i="1"/>
  <c r="Z114" i="1"/>
  <c r="Y20" i="1" a="1"/>
  <c r="Y20" i="1"/>
  <c r="Y106" i="1"/>
  <c r="Y114" i="1"/>
  <c r="X20" i="1" a="1"/>
  <c r="X20" i="1"/>
  <c r="X106" i="1"/>
  <c r="X114" i="1"/>
  <c r="W20" i="1" a="1"/>
  <c r="W20" i="1"/>
  <c r="W106" i="1"/>
  <c r="W114" i="1"/>
  <c r="V20" i="1" a="1"/>
  <c r="V20" i="1"/>
  <c r="V106" i="1"/>
  <c r="V114" i="1"/>
  <c r="U20" i="1" a="1"/>
  <c r="U20" i="1"/>
  <c r="U106" i="1"/>
  <c r="U114" i="1"/>
  <c r="T20" i="1" a="1"/>
  <c r="T20" i="1"/>
  <c r="T106" i="1"/>
  <c r="T114" i="1"/>
  <c r="S20" i="1" a="1"/>
  <c r="S20" i="1"/>
  <c r="S106" i="1"/>
  <c r="S114" i="1"/>
  <c r="R20" i="1" a="1"/>
  <c r="R20" i="1"/>
  <c r="R106" i="1"/>
  <c r="R114" i="1"/>
  <c r="Q20" i="1"/>
  <c r="Q106" i="1"/>
  <c r="Q114" i="1"/>
  <c r="P20" i="1"/>
  <c r="P106" i="1"/>
  <c r="P114" i="1"/>
  <c r="O20" i="1"/>
  <c r="O106" i="1"/>
  <c r="O114" i="1"/>
  <c r="N20" i="1"/>
  <c r="N106" i="1"/>
  <c r="N114" i="1"/>
  <c r="M106" i="1"/>
  <c r="M114" i="1"/>
  <c r="L20" i="1"/>
  <c r="L106" i="1"/>
  <c r="L114" i="1"/>
  <c r="Z110" i="1"/>
  <c r="Y110" i="1"/>
  <c r="X110" i="1"/>
  <c r="W110" i="1"/>
  <c r="V110" i="1"/>
  <c r="U110" i="1"/>
  <c r="T110" i="1"/>
  <c r="S110" i="1"/>
  <c r="R110" i="1"/>
  <c r="Q110" i="1"/>
  <c r="P110" i="1"/>
  <c r="O110" i="1"/>
  <c r="N110" i="1"/>
  <c r="M110" i="1"/>
  <c r="L110" i="1"/>
  <c r="N87" i="1"/>
  <c r="C60" i="1"/>
  <c r="C36" i="1"/>
  <c r="K112" i="1"/>
  <c r="N85" i="1"/>
  <c r="C41" i="1"/>
  <c r="C42" i="1"/>
  <c r="C39" i="1"/>
  <c r="J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D46" i="1"/>
  <c r="P104" i="1"/>
  <c r="C43" i="1"/>
  <c r="N86" i="1"/>
  <c r="C61" i="1"/>
  <c r="C49" i="1"/>
  <c r="Z107" i="1"/>
  <c r="Y107" i="1"/>
  <c r="X107" i="1"/>
  <c r="W107" i="1"/>
  <c r="V107" i="1"/>
  <c r="U107" i="1"/>
  <c r="T107" i="1"/>
  <c r="S107" i="1"/>
  <c r="R107" i="1"/>
  <c r="C26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C13" i="1"/>
  <c r="C14" i="1"/>
  <c r="C15" i="1"/>
  <c r="C17" i="1"/>
  <c r="C16" i="1"/>
  <c r="Q107" i="1"/>
  <c r="P107" i="1"/>
  <c r="O107" i="1"/>
  <c r="N107" i="1"/>
  <c r="M107" i="1"/>
  <c r="L107" i="1"/>
  <c r="B112" i="1"/>
  <c r="B5" i="1"/>
  <c r="B4" i="1"/>
  <c r="B3" i="1"/>
  <c r="B2" i="1"/>
</calcChain>
</file>

<file path=xl/sharedStrings.xml><?xml version="1.0" encoding="utf-8"?>
<sst xmlns="http://schemas.openxmlformats.org/spreadsheetml/2006/main" count="130" uniqueCount="111">
  <si>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</si>
  <si>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</si>
  <si>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</si>
  <si>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</si>
  <si>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</si>
  <si>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</si>
  <si>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</si>
  <si>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</si>
  <si>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</si>
  <si>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</si>
  <si>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</si>
  <si>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id</t>
  </si>
  <si>
    <t>jurisdiction</t>
  </si>
  <si>
    <t>D</t>
  </si>
  <si>
    <t>N</t>
  </si>
  <si>
    <t>[Begin Format Range]</t>
  </si>
  <si>
    <t>[End Format Range]</t>
  </si>
  <si>
    <t>Appropriation Item</t>
  </si>
  <si>
    <t>Programme</t>
  </si>
  <si>
    <t>period</t>
  </si>
  <si>
    <t>Acc MDX</t>
  </si>
  <si>
    <t>{TM1SORT( {TM1FILTERBYLEVEL( {TM1DRILLDOWNMEMBER( {[appropriation item].[200],[300]}, ALL, RECURSIVE )}, 0)}, ASC)}</t>
  </si>
  <si>
    <t>Prog MDX</t>
  </si>
  <si>
    <t>code and description</t>
  </si>
  <si>
    <t>Summary</t>
  </si>
  <si>
    <t>Yes</t>
  </si>
  <si>
    <t>sys_disprep_list</t>
  </si>
  <si>
    <t>Detail</t>
  </si>
  <si>
    <t>No</t>
  </si>
  <si>
    <t>sys_YN_list</t>
  </si>
  <si>
    <t>Acc_Display_list</t>
  </si>
  <si>
    <t>Code and description</t>
  </si>
  <si>
    <t>description</t>
  </si>
  <si>
    <t>Supress Zero Flag</t>
  </si>
  <si>
    <t>Expand Above Flag</t>
  </si>
  <si>
    <t>Approp Item MDX</t>
  </si>
  <si>
    <t>{TM1FILTERBYPATTERN( {TM1SUBSETALL( [appropriation item] )}, "Total approp item")}</t>
  </si>
  <si>
    <t>Report type table for Prog MDX:</t>
  </si>
  <si>
    <t>Report Type table for Approp Item MDX:</t>
  </si>
  <si>
    <t>RB</t>
  </si>
  <si>
    <t>NB</t>
  </si>
  <si>
    <t>FE2</t>
  </si>
  <si>
    <t>$'000</t>
  </si>
  <si>
    <t>FE1</t>
  </si>
  <si>
    <t>FE3</t>
  </si>
  <si>
    <t>Freeze Rows HERE</t>
  </si>
  <si>
    <t>{TM1DRILLDOWNMEMBER( {[account].[9000851].Children}, ALL, RECURSIVE )}</t>
  </si>
  <si>
    <t>Account Display  :</t>
  </si>
  <si>
    <t>Report Type  :</t>
  </si>
  <si>
    <t>System Parameters</t>
  </si>
  <si>
    <t>Dataabase Name</t>
  </si>
  <si>
    <t>}Clients</t>
  </si>
  <si>
    <t>TM1 User</t>
  </si>
  <si>
    <t>}TM1_DefaultDisplayValue</t>
  </si>
  <si>
    <t>GEUS User Name</t>
  </si>
  <si>
    <t>Current User</t>
  </si>
  <si>
    <t xml:space="preserve">System Variables </t>
  </si>
  <si>
    <t>VIEW</t>
  </si>
  <si>
    <t>headline scenario</t>
  </si>
  <si>
    <t>program dimension name</t>
  </si>
  <si>
    <t>Active Form AE Adjustments</t>
  </si>
  <si>
    <t>Active Form View</t>
  </si>
  <si>
    <t>Slice View</t>
  </si>
  <si>
    <t>{TM1DRILLDOWNMEMBER( {TM1FILTERBYPATTERN( {TM1SUBSETALL( [account] )}, "9000851")}, ALL, RECURSIVE )}</t>
  </si>
  <si>
    <t>Report Headers AE Adjustment</t>
  </si>
  <si>
    <t>Summary/Collapse</t>
  </si>
  <si>
    <t>Detail/Expand</t>
  </si>
  <si>
    <t>REPORT PARAMETERS</t>
  </si>
  <si>
    <t>DISPLAY SETTINGS</t>
  </si>
  <si>
    <t>Expand Above:</t>
  </si>
  <si>
    <t>Suppress Zero:</t>
  </si>
  <si>
    <t>Headline Year :</t>
  </si>
  <si>
    <t>Scenario :</t>
  </si>
  <si>
    <t>Program :</t>
  </si>
  <si>
    <t>Status :</t>
  </si>
  <si>
    <t>sys_application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</si>
  <si>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</si>
  <si>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</si>
  <si>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</si>
  <si>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</si>
  <si>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</si>
  <si>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</si>
  <si>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</si>
  <si>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</si>
  <si>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</si>
  <si>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</si>
  <si>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</si>
  <si>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Reports - Special Accounts</t>
  </si>
  <si>
    <t>As at</t>
  </si>
  <si>
    <t>PROGRAM</t>
  </si>
  <si>
    <t>Homepage - Reports - Analytical</t>
  </si>
  <si>
    <t>FE5</t>
  </si>
  <si>
    <t>FE6</t>
  </si>
  <si>
    <t>FE7</t>
  </si>
  <si>
    <t>FE8</t>
  </si>
  <si>
    <t>FE9</t>
  </si>
  <si>
    <t>FE10</t>
  </si>
  <si>
    <t>FE11</t>
  </si>
  <si>
    <t>FE12</t>
  </si>
  <si>
    <t>FE13</t>
  </si>
  <si>
    <t>FE4</t>
  </si>
  <si>
    <t>Reason MDX</t>
  </si>
  <si>
    <t>{TM1SORT( {TM1FILTERBYLEVEL( {TM1DRILLDOWNMEMBER( {[reason].[total reason]}, ALL, RECURSIVE )}, 0)}, ASC)}</t>
  </si>
  <si>
    <t>Account :</t>
  </si>
  <si>
    <t>REASON</t>
  </si>
  <si>
    <t xml:space="preserve">Opening Balance </t>
  </si>
  <si>
    <t>00000</t>
  </si>
  <si>
    <t>Total IDs</t>
  </si>
  <si>
    <t xml:space="preserve">Closing Balance </t>
  </si>
  <si>
    <t>Summary Movement by Program and Reason Code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</si>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</sst>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_);[Red]_(* \(#,##0\);_(* &quot;-&quot;??_);_(@_)"/>
    <numFmt numFmtId="165" formatCode="_(* #,##0.00_);_(* \(#,##0.00\);_(* &quot;-&quot;??_);_(@_)"/>
    <numFmt numFmtId="166" formatCode="&quot;+ &quot;@"/>
    <numFmt numFmtId="167" formatCode="dd\ mmmm\ yyyy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indexed="9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74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59">
    <xf numFmtId="0" fontId="0" fillId="0" borderId="0" xfId="0"/>
    <xf numFmtId="0" fontId="2" fillId="0" borderId="0" xfId="0" applyFont="1"/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7" fillId="0" borderId="0" xfId="1" applyFont="1" applyAlignment="1">
      <alignment horizontal="right" indent="2"/>
    </xf>
    <xf numFmtId="0" fontId="7" fillId="0" borderId="0" xfId="1" applyFont="1" applyAlignment="1">
      <alignment horizontal="right" wrapText="1" indent="1"/>
    </xf>
    <xf numFmtId="0" fontId="2" fillId="0" borderId="3" xfId="0" applyFont="1" applyBorder="1" applyAlignment="1">
      <alignment wrapText="1"/>
    </xf>
    <xf numFmtId="0" fontId="2" fillId="0" borderId="4" xfId="0" applyFont="1" applyBorder="1"/>
    <xf numFmtId="0" fontId="2" fillId="0" borderId="5" xfId="0" applyFont="1" applyBorder="1" applyAlignment="1">
      <alignment wrapText="1"/>
    </xf>
    <xf numFmtId="0" fontId="2" fillId="0" borderId="6" xfId="0" applyFont="1" applyBorder="1"/>
    <xf numFmtId="0" fontId="2" fillId="2" borderId="0" xfId="0" applyFont="1" applyFill="1"/>
    <xf numFmtId="0" fontId="2" fillId="0" borderId="0" xfId="0" applyFont="1" applyAlignment="1">
      <alignment vertical="top"/>
    </xf>
    <xf numFmtId="0" fontId="2" fillId="0" borderId="8" xfId="0" applyFont="1" applyBorder="1"/>
    <xf numFmtId="0" fontId="2" fillId="0" borderId="0" xfId="0" applyFont="1" applyAlignment="1">
      <alignment horizontal="center"/>
    </xf>
    <xf numFmtId="0" fontId="0" fillId="3" borderId="0" xfId="0" applyFill="1"/>
    <xf numFmtId="164" fontId="5" fillId="2" borderId="1" xfId="2" applyNumberFormat="1" applyFont="1" applyFill="1" applyBorder="1"/>
    <xf numFmtId="164" fontId="5" fillId="4" borderId="1" xfId="2" applyNumberFormat="1" applyFont="1" applyFill="1" applyBorder="1"/>
    <xf numFmtId="164" fontId="2" fillId="0" borderId="1" xfId="2" applyNumberFormat="1" applyFont="1" applyBorder="1"/>
    <xf numFmtId="0" fontId="5" fillId="2" borderId="1" xfId="0" applyFont="1" applyFill="1" applyBorder="1"/>
    <xf numFmtId="0" fontId="5" fillId="4" borderId="1" xfId="0" applyFont="1" applyFill="1" applyBorder="1"/>
    <xf numFmtId="0" fontId="2" fillId="0" borderId="1" xfId="0" applyFont="1" applyBorder="1"/>
    <xf numFmtId="0" fontId="8" fillId="0" borderId="1" xfId="0" applyFont="1" applyBorder="1"/>
    <xf numFmtId="0" fontId="2" fillId="0" borderId="1" xfId="0" applyFont="1" applyBorder="1" applyAlignment="1">
      <alignment wrapText="1"/>
    </xf>
    <xf numFmtId="0" fontId="10" fillId="0" borderId="0" xfId="0" applyFont="1"/>
    <xf numFmtId="0" fontId="10" fillId="0" borderId="1" xfId="0" applyFont="1" applyBorder="1"/>
    <xf numFmtId="0" fontId="0" fillId="0" borderId="1" xfId="0" applyBorder="1"/>
    <xf numFmtId="0" fontId="5" fillId="0" borderId="1" xfId="0" applyFont="1" applyBorder="1" applyAlignment="1">
      <alignment wrapText="1"/>
    </xf>
    <xf numFmtId="0" fontId="2" fillId="0" borderId="1" xfId="0" applyFont="1" applyBorder="1" applyAlignment="1">
      <alignment vertical="top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left" indent="1"/>
    </xf>
    <xf numFmtId="0" fontId="11" fillId="0" borderId="0" xfId="0" applyFont="1" applyAlignment="1" applyProtection="1">
      <alignment horizontal="center" vertical="center" wrapText="1"/>
      <protection locked="0"/>
    </xf>
    <xf numFmtId="0" fontId="12" fillId="6" borderId="0" xfId="0" applyFont="1" applyFill="1" applyAlignment="1">
      <alignment vertical="center" wrapText="1"/>
    </xf>
    <xf numFmtId="0" fontId="3" fillId="6" borderId="0" xfId="0" applyFont="1" applyFill="1" applyAlignment="1">
      <alignment horizontal="right" vertical="center"/>
    </xf>
    <xf numFmtId="0" fontId="9" fillId="7" borderId="2" xfId="0" applyFont="1" applyFill="1" applyBorder="1" applyAlignment="1">
      <alignment wrapText="1"/>
    </xf>
    <xf numFmtId="0" fontId="10" fillId="0" borderId="0" xfId="0" applyFont="1" applyAlignment="1">
      <alignment horizontal="right" indent="1"/>
    </xf>
    <xf numFmtId="0" fontId="11" fillId="0" borderId="1" xfId="0" applyFont="1" applyBorder="1" applyAlignment="1" applyProtection="1">
      <alignment horizontal="left" vertical="center" indent="1"/>
      <protection locked="0"/>
    </xf>
    <xf numFmtId="0" fontId="2" fillId="0" borderId="7" xfId="0" applyFont="1" applyBorder="1" applyAlignment="1">
      <alignment wrapText="1"/>
    </xf>
    <xf numFmtId="0" fontId="10" fillId="0" borderId="0" xfId="0" applyFont="1" applyAlignment="1">
      <alignment horizontal="right"/>
    </xf>
    <xf numFmtId="0" fontId="9" fillId="5" borderId="0" xfId="0" applyFont="1" applyFill="1" applyAlignment="1">
      <alignment horizontal="left"/>
    </xf>
    <xf numFmtId="0" fontId="9" fillId="5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9" fillId="6" borderId="0" xfId="0" applyFont="1" applyFill="1" applyAlignment="1">
      <alignment horizontal="center"/>
    </xf>
    <xf numFmtId="166" fontId="8" fillId="0" borderId="1" xfId="0" applyNumberFormat="1" applyFont="1" applyBorder="1"/>
    <xf numFmtId="49" fontId="8" fillId="0" borderId="1" xfId="0" applyNumberFormat="1" applyFont="1" applyBorder="1"/>
    <xf numFmtId="49" fontId="8" fillId="0" borderId="0" xfId="0" applyNumberFormat="1" applyFont="1" applyAlignment="1">
      <alignment horizontal="right"/>
    </xf>
    <xf numFmtId="0" fontId="2" fillId="0" borderId="0" xfId="0" quotePrefix="1" applyFont="1"/>
    <xf numFmtId="164" fontId="5" fillId="0" borderId="1" xfId="2" applyNumberFormat="1" applyFont="1" applyBorder="1"/>
    <xf numFmtId="0" fontId="10" fillId="2" borderId="1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167" fontId="10" fillId="0" borderId="0" xfId="0" applyNumberFormat="1" applyFont="1" applyAlignment="1">
      <alignment horizontal="left" indent="1"/>
    </xf>
    <xf numFmtId="0" fontId="9" fillId="7" borderId="2" xfId="0" applyFont="1" applyFill="1" applyBorder="1" applyAlignment="1">
      <alignment horizontal="center" wrapText="1"/>
    </xf>
    <xf numFmtId="0" fontId="9" fillId="7" borderId="0" xfId="0" applyFont="1" applyFill="1" applyAlignment="1">
      <alignment horizontal="center" wrapText="1"/>
    </xf>
    <xf numFmtId="0" fontId="10" fillId="2" borderId="9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10" fillId="2" borderId="11" xfId="0" applyFont="1" applyFill="1" applyBorder="1" applyAlignment="1">
      <alignment horizontal="center"/>
    </xf>
    <xf numFmtId="0" fontId="2" fillId="0" borderId="1" xfId="0" applyFont="1" applyBorder="1"/>
  </cellXfs>
  <cellStyles count="3">
    <cellStyle name="Comma 4" xfId="2" xr:uid="{3C456B04-2302-47A1-81B2-CED617570B80}"/>
    <cellStyle name="Normal" xfId="0" builtinId="0"/>
    <cellStyle name="Normal 3" xfId="1" xr:uid="{D6D312E5-FD04-4555-A282-623E66EC5C77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74"/>
      <color rgb="FFCCE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93</xdr:row>
      <xdr:rowOff>28575</xdr:rowOff>
    </xdr:from>
    <xdr:to>
      <xdr:col>9</xdr:col>
      <xdr:colOff>1790700</xdr:colOff>
      <xdr:row>93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45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704850</xdr:colOff>
      <xdr:row>95</xdr:row>
      <xdr:rowOff>9525</xdr:rowOff>
    </xdr:from>
    <xdr:to>
      <xdr:col>9</xdr:col>
      <xdr:colOff>1847850</xdr:colOff>
      <xdr:row>95</xdr:row>
      <xdr:rowOff>257175</xdr:rowOff>
    </xdr:to>
    <xdr:sp macro="Sheet1.ExecuteAction_2f856cd9_9b0a_414d_b3c6_32bc5a696883" textlink="TM1HomeRepCAP">
      <xdr:nvSpPr>
        <xdr:cNvPr id="3" name="TM1Button_2f856cd9_9b0a_414d_b3c6_32bc5a696883">
          <a:extLst>
            <a:ext uri="{FF2B5EF4-FFF2-40B4-BE49-F238E27FC236}">
              <a16:creationId xmlns:a16="http://schemas.microsoft.com/office/drawing/2014/main" id="{4BE69456-7A51-4D7E-66DB-77EB183B358E}"/>
            </a:ext>
          </a:extLst>
        </xdr:cNvPr>
        <xdr:cNvSpPr txBox="1"/>
      </xdr:nvSpPr>
      <xdr:spPr>
        <a:xfrm>
          <a:off x="762000" y="571500"/>
          <a:ext cx="1143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ACE865B-1DC4-47C1-ADEE-F6C5D122125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28575</xdr:colOff>
      <xdr:row>95</xdr:row>
      <xdr:rowOff>9525</xdr:rowOff>
    </xdr:from>
    <xdr:to>
      <xdr:col>9</xdr:col>
      <xdr:colOff>685800</xdr:colOff>
      <xdr:row>95</xdr:row>
      <xdr:rowOff>257175</xdr:rowOff>
    </xdr:to>
    <xdr:sp macro="Sheet1.ExecuteAction_1109fbed_ce34_4537_b039_ea888693214e" textlink="TM1HomeCAP">
      <xdr:nvSpPr>
        <xdr:cNvPr id="4" name="TM1Button_1109fbed_ce34_4537_b039_ea888693214e">
          <a:extLst>
            <a:ext uri="{FF2B5EF4-FFF2-40B4-BE49-F238E27FC236}">
              <a16:creationId xmlns:a16="http://schemas.microsoft.com/office/drawing/2014/main" id="{9A3AE835-CF83-CAB6-4B44-7DE8F4FD2DE5}"/>
            </a:ext>
          </a:extLst>
        </xdr:cNvPr>
        <xdr:cNvSpPr txBox="1"/>
      </xdr:nvSpPr>
      <xdr:spPr>
        <a:xfrm>
          <a:off x="85725" y="571500"/>
          <a:ext cx="657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7F53549-52DE-41F9-9968-5FF385DEB14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2095500</xdr:colOff>
      <xdr:row>95</xdr:row>
      <xdr:rowOff>9525</xdr:rowOff>
    </xdr:from>
    <xdr:to>
      <xdr:col>10</xdr:col>
      <xdr:colOff>2628900</xdr:colOff>
      <xdr:row>95</xdr:row>
      <xdr:rowOff>257175</xdr:rowOff>
    </xdr:to>
    <xdr:sp macro="Sheet1.ExecuteAction_9723bd19_a930_4bfe_9bfa_c8b8dd377edd" textlink="">
      <xdr:nvSpPr>
        <xdr:cNvPr id="5" name="TM1Button_9723bd19_a930_4bfe_9bfa_c8b8dd377edd">
          <a:extLst>
            <a:ext uri="{FF2B5EF4-FFF2-40B4-BE49-F238E27FC236}">
              <a16:creationId xmlns:a16="http://schemas.microsoft.com/office/drawing/2014/main" id="{659B1948-3921-81EA-DF95-A197FEFCE09F}"/>
            </a:ext>
          </a:extLst>
        </xdr:cNvPr>
        <xdr:cNvSpPr txBox="1"/>
      </xdr:nvSpPr>
      <xdr:spPr>
        <a:xfrm>
          <a:off x="4867275" y="571500"/>
          <a:ext cx="53340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21</xdr:col>
      <xdr:colOff>714375</xdr:colOff>
      <xdr:row>94</xdr:row>
      <xdr:rowOff>38100</xdr:rowOff>
    </xdr:from>
    <xdr:to>
      <xdr:col>21</xdr:col>
      <xdr:colOff>990600</xdr:colOff>
      <xdr:row>95</xdr:row>
      <xdr:rowOff>266700</xdr:rowOff>
    </xdr:to>
    <xdr:sp macro="Sheet1.ExecuteAction_d4b56a81_3ae7_4696_9d33_6389f0d44bc1" textlink="">
      <xdr:nvSpPr>
        <xdr:cNvPr id="6" name="TM1Button_d4b56a81_3ae7_4696_9d33_6389f0d44bc1">
          <a:extLst>
            <a:ext uri="{FF2B5EF4-FFF2-40B4-BE49-F238E27FC236}">
              <a16:creationId xmlns:a16="http://schemas.microsoft.com/office/drawing/2014/main" id="{07E815B8-E0B1-1799-BA18-836097723E0E}"/>
            </a:ext>
          </a:extLst>
        </xdr:cNvPr>
        <xdr:cNvSpPr txBox="1"/>
      </xdr:nvSpPr>
      <xdr:spPr>
        <a:xfrm>
          <a:off x="16678275" y="542925"/>
          <a:ext cx="276225" cy="2857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1857375</xdr:colOff>
      <xdr:row>95</xdr:row>
      <xdr:rowOff>9525</xdr:rowOff>
    </xdr:from>
    <xdr:to>
      <xdr:col>10</xdr:col>
      <xdr:colOff>495300</xdr:colOff>
      <xdr:row>95</xdr:row>
      <xdr:rowOff>257175</xdr:rowOff>
    </xdr:to>
    <xdr:sp macro="Sheet1.ExecuteAction_04ef32e0_a5e7_4e7e_b294_ab7aa2aae8c4" textlink="TM1HomeRepOtherCAP">
      <xdr:nvSpPr>
        <xdr:cNvPr id="7" name="TM1Button_04ef32e0_a5e7_4e7e_b294_ab7aa2aae8c4">
          <a:extLst>
            <a:ext uri="{FF2B5EF4-FFF2-40B4-BE49-F238E27FC236}">
              <a16:creationId xmlns:a16="http://schemas.microsoft.com/office/drawing/2014/main" id="{EF4A5FB7-9E40-5FA3-89B2-394E76CB5D86}"/>
            </a:ext>
          </a:extLst>
        </xdr:cNvPr>
        <xdr:cNvSpPr txBox="1"/>
      </xdr:nvSpPr>
      <xdr:spPr>
        <a:xfrm>
          <a:off x="191452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AD5CCE4-B197-4218-BC5B-3CF3522B9BA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514350</xdr:colOff>
      <xdr:row>95</xdr:row>
      <xdr:rowOff>9525</xdr:rowOff>
    </xdr:from>
    <xdr:to>
      <xdr:col>10</xdr:col>
      <xdr:colOff>2076450</xdr:colOff>
      <xdr:row>95</xdr:row>
      <xdr:rowOff>257175</xdr:rowOff>
    </xdr:to>
    <xdr:sp macro="Sheet1.ExecuteAction_a52621bb_8672_433e_97e0_3980f957427f" textlink="TM1HomeRepAnalyticalCAP">
      <xdr:nvSpPr>
        <xdr:cNvPr id="8" name="TM1Button_a52621bb_8672_433e_97e0_3980f957427f">
          <a:extLst>
            <a:ext uri="{FF2B5EF4-FFF2-40B4-BE49-F238E27FC236}">
              <a16:creationId xmlns:a16="http://schemas.microsoft.com/office/drawing/2014/main" id="{5F3F8D43-F825-6256-E677-B99040CE3EB4}"/>
            </a:ext>
          </a:extLst>
        </xdr:cNvPr>
        <xdr:cNvSpPr txBox="1"/>
      </xdr:nvSpPr>
      <xdr:spPr>
        <a:xfrm>
          <a:off x="3286125" y="571500"/>
          <a:ext cx="1562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AA853D4-2682-4AA9-9F11-0FA82B29154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CD2CA-ED33-4DB3-A7E7-169F8573C526}">
  <sheetPr codeName="Sheet1">
    <outlinePr showOutlineSymbols="0"/>
    <pageSetUpPr fitToPage="1"/>
  </sheetPr>
  <dimension ref="A1:Z115"/>
  <sheetViews>
    <sheetView showGridLines="0" showRowColHeaders="0" tabSelected="1" showOutlineSymbols="0" topLeftCell="A94" zoomScaleNormal="100" workbookViewId="0">
      <pane xSplit="11" ySplit="16" topLeftCell="L110" activePane="bottomRight" state="frozen"/>
      <selection activeCell="I94" sqref="I94"/>
      <selection pane="topRight" activeCell="L94" sqref="L94"/>
      <selection pane="bottomLeft" activeCell="I110" sqref="I110"/>
      <selection pane="bottomRight"/>
    </sheetView>
  </sheetViews>
  <sheetFormatPr defaultColWidth="8.85546875" defaultRowHeight="12" outlineLevelRow="1" outlineLevelCol="1" x14ac:dyDescent="0.2"/>
  <cols>
    <col min="1" max="1" width="2.28515625" style="1" hidden="1" customWidth="1" outlineLevel="1"/>
    <col min="2" max="8" width="20.85546875" style="1" hidden="1" customWidth="1" outlineLevel="1"/>
    <col min="9" max="9" width="0.85546875" style="1" customWidth="1" collapsed="1"/>
    <col min="10" max="10" width="40.7109375" style="4" customWidth="1"/>
    <col min="11" max="11" width="40.7109375" style="1" customWidth="1"/>
    <col min="12" max="26" width="15.7109375" style="1" customWidth="1"/>
    <col min="27" max="16384" width="8.85546875" style="1"/>
  </cols>
  <sheetData>
    <row r="1" spans="2:26" hidden="1" outlineLevel="1" x14ac:dyDescent="0.2">
      <c r="B1" s="1" t="s">
        <v>15</v>
      </c>
    </row>
    <row r="2" spans="2:26" hidden="1" outlineLevel="1" x14ac:dyDescent="0.2">
      <c r="B2" s="1">
        <f>0</f>
        <v>0</v>
      </c>
      <c r="J2" s="20"/>
      <c r="K2" s="20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3" spans="2:26" hidden="1" outlineLevel="1" x14ac:dyDescent="0.2">
      <c r="B3" s="1">
        <f>1</f>
        <v>1</v>
      </c>
      <c r="J3" s="21"/>
      <c r="K3" s="21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2:26" hidden="1" outlineLevel="1" x14ac:dyDescent="0.2">
      <c r="B4" s="1">
        <f>2</f>
        <v>2</v>
      </c>
      <c r="J4" s="22"/>
      <c r="K4" s="22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</row>
    <row r="5" spans="2:26" hidden="1" outlineLevel="1" x14ac:dyDescent="0.2">
      <c r="B5" s="1">
        <f>3</f>
        <v>3</v>
      </c>
      <c r="J5" s="22"/>
      <c r="K5" s="22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</row>
    <row r="6" spans="2:26" hidden="1" outlineLevel="1" x14ac:dyDescent="0.2">
      <c r="B6" s="1" t="s">
        <v>13</v>
      </c>
      <c r="J6" s="22"/>
      <c r="K6" s="22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</row>
    <row r="7" spans="2:26" hidden="1" outlineLevel="1" x14ac:dyDescent="0.2">
      <c r="B7" s="1" t="s">
        <v>14</v>
      </c>
      <c r="J7" s="23"/>
      <c r="K7" s="23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</row>
    <row r="8" spans="2:26" hidden="1" outlineLevel="1" x14ac:dyDescent="0.2">
      <c r="B8" s="1" t="s">
        <v>16</v>
      </c>
    </row>
    <row r="9" spans="2:26" hidden="1" outlineLevel="1" x14ac:dyDescent="0.2"/>
    <row r="10" spans="2:26" hidden="1" outlineLevel="1" x14ac:dyDescent="0.2"/>
    <row r="11" spans="2:26" ht="15" hidden="1" outlineLevel="1" x14ac:dyDescent="0.25">
      <c r="B11" s="49" t="s">
        <v>49</v>
      </c>
      <c r="C11" s="49"/>
    </row>
    <row r="12" spans="2:26" hidden="1" outlineLevel="1" x14ac:dyDescent="0.2">
      <c r="B12" s="22" t="s">
        <v>50</v>
      </c>
      <c r="C12" s="22" t="s">
        <v>110</v>
      </c>
    </row>
    <row r="13" spans="2:26" hidden="1" outlineLevel="1" x14ac:dyDescent="0.2">
      <c r="B13" s="22" t="s">
        <v>51</v>
      </c>
      <c r="C13" s="22" t="str">
        <f>_xll.VIEW(db_name&amp;":}ElementAttributes_}Clients","!","!")</f>
        <v>finance_geus:}ElementAttributes_}Clients:1264217196-561079330</v>
      </c>
    </row>
    <row r="14" spans="2:26" hidden="1" outlineLevel="1" x14ac:dyDescent="0.2">
      <c r="B14" s="22" t="s">
        <v>52</v>
      </c>
      <c r="C14" s="22" t="str">
        <f ca="1">_xll.TM1USER(db_name)</f>
        <v>RECALC_0_100_</v>
      </c>
    </row>
    <row r="15" spans="2:26" hidden="1" outlineLevel="1" x14ac:dyDescent="0.2">
      <c r="B15" s="22" t="s">
        <v>53</v>
      </c>
      <c r="C15" s="22" t="str">
        <f ca="1">_xll.DBR($C$13,$C$14,$B15)</f>
        <v>RECALC_1_101_</v>
      </c>
    </row>
    <row r="16" spans="2:26" hidden="1" outlineLevel="1" x14ac:dyDescent="0.2">
      <c r="B16" s="22" t="s">
        <v>54</v>
      </c>
      <c r="C16" s="22" t="str">
        <f ca="1">_xll.DBR($C$13,$C$14,$B16)</f>
        <v>RECALC_1_232_</v>
      </c>
    </row>
    <row r="17" spans="2:26" hidden="1" outlineLevel="1" x14ac:dyDescent="0.2">
      <c r="B17" s="22" t="s">
        <v>55</v>
      </c>
      <c r="C17" s="22" t="str">
        <f ca="1">IF(LEFT($C$15,6)="CAM_AD",$C$16,$C$15)</f>
        <v>RECALC_1_101_</v>
      </c>
    </row>
    <row r="18" spans="2:26" ht="12.75" hidden="1" outlineLevel="1" thickBot="1" x14ac:dyDescent="0.25"/>
    <row r="19" spans="2:26" ht="15" hidden="1" outlineLevel="1" x14ac:dyDescent="0.25">
      <c r="B19" s="50" t="s">
        <v>56</v>
      </c>
      <c r="C19" s="51"/>
      <c r="L19" s="15" t="str">
        <f ca="1">RIGHT(psHLYear,9)</f>
        <v>LC_1_234_</v>
      </c>
      <c r="M19" s="15"/>
      <c r="N19" s="15"/>
      <c r="O19" s="15"/>
      <c r="P19" s="15"/>
      <c r="Q19" s="15"/>
    </row>
    <row r="20" spans="2:26" ht="15" hidden="1" outlineLevel="1" x14ac:dyDescent="0.25">
      <c r="B20" s="27" t="s">
        <v>57</v>
      </c>
      <c r="C20" s="27" t="str">
        <f>_xll.VIEW(db_name&amp;":}ElementAttributes_variables","!","!")</f>
        <v>finance_geus:}ElementAttributes_variables:1264217196-1397567925</v>
      </c>
      <c r="L20" s="15" t="e">
        <f ca="1">_xll.DIMNM(db_name&amp;":period",_xll.DIMIX(db_name&amp;":period",$L$19)+L21)</f>
        <v>#VALUE!</v>
      </c>
      <c r="M20" s="15" t="e">
        <f ca="1">_xll.DIMNM(db_name&amp;":period",_xll.DIMIX(db_name&amp;":period",$L$19)+M21)</f>
        <v>#VALUE!</v>
      </c>
      <c r="N20" s="15" t="e">
        <f ca="1">_xll.DIMNM(db_name&amp;":period",_xll.DIMIX(db_name&amp;":period",$L$19)+N21)</f>
        <v>#VALUE!</v>
      </c>
      <c r="O20" s="15" t="e">
        <f ca="1">_xll.DIMNM(db_name&amp;":period",_xll.DIMIX(db_name&amp;":period",$L$19)+O21)</f>
        <v>#VALUE!</v>
      </c>
      <c r="P20" s="15" t="e">
        <f ca="1">_xll.DIMNM(db_name&amp;":period",_xll.DIMIX(db_name&amp;":period",$L$19)+P21)</f>
        <v>#VALUE!</v>
      </c>
      <c r="Q20" s="15" t="e">
        <f ca="1">_xll.DIMNM(db_name&amp;":period",_xll.DIMIX(db_name&amp;":period",$L$19)+Q21)</f>
        <v>#VALUE!</v>
      </c>
      <c r="R20" s="42" t="e">
        <f t="array" aca="1" ref="R20" ca="1">_xll.DIMNM(db_name&amp;":period",_xll.DIMIX(db_name&amp;":period",$M$20)+R$21)</f>
        <v>#VALUE!</v>
      </c>
      <c r="S20" s="42" t="e">
        <f t="array" aca="1" ref="S20" ca="1">_xll.DIMNM(db_name&amp;":period",_xll.DIMIX(db_name&amp;":period",$M$20)+S$21)</f>
        <v>#VALUE!</v>
      </c>
      <c r="T20" s="42" t="e">
        <f t="array" aca="1" ref="T20" ca="1">_xll.DIMNM(db_name&amp;":period",_xll.DIMIX(db_name&amp;":period",$M$20)+T$21)</f>
        <v>#VALUE!</v>
      </c>
      <c r="U20" s="42" t="e">
        <f t="array" aca="1" ref="U20" ca="1">_xll.DIMNM(db_name&amp;":period",_xll.DIMIX(db_name&amp;":period",$M$20)+U$21)</f>
        <v>#VALUE!</v>
      </c>
      <c r="V20" s="42" t="e">
        <f t="array" aca="1" ref="V20" ca="1">_xll.DIMNM(db_name&amp;":period",_xll.DIMIX(db_name&amp;":period",$M$20)+V$21)</f>
        <v>#VALUE!</v>
      </c>
      <c r="W20" s="42" t="e">
        <f t="array" aca="1" ref="W20" ca="1">_xll.DIMNM(db_name&amp;":period",_xll.DIMIX(db_name&amp;":period",$M$20)+W$21)</f>
        <v>#VALUE!</v>
      </c>
      <c r="X20" s="42" t="e">
        <f t="array" aca="1" ref="X20" ca="1">_xll.DIMNM(db_name&amp;":period",_xll.DIMIX(db_name&amp;":period",$M$20)+X$21)</f>
        <v>#VALUE!</v>
      </c>
      <c r="Y20" s="42" t="e">
        <f t="array" aca="1" ref="Y20" ca="1">_xll.DIMNM(db_name&amp;":period",_xll.DIMIX(db_name&amp;":period",$M$20)+Y$21)</f>
        <v>#VALUE!</v>
      </c>
      <c r="Z20" s="42" t="e">
        <f t="array" aca="1" ref="Z20" ca="1">_xll.DIMNM(db_name&amp;":period",_xll.DIMIX(db_name&amp;":period",$M$20)+Z$21)</f>
        <v>#VALUE!</v>
      </c>
    </row>
    <row r="21" spans="2:26" ht="15" hidden="1" outlineLevel="1" x14ac:dyDescent="0.25">
      <c r="B21" s="27" t="s">
        <v>0</v>
      </c>
      <c r="C21" s="27" t="str">
        <f ca="1">_xll.DBR($C$20,$B21,"value")</f>
        <v>RECALC_0_231_</v>
      </c>
      <c r="L21" s="15">
        <v>-1</v>
      </c>
      <c r="M21" s="15">
        <v>0</v>
      </c>
      <c r="N21" s="15">
        <v>1</v>
      </c>
      <c r="O21" s="15">
        <v>2</v>
      </c>
      <c r="P21" s="15">
        <v>3</v>
      </c>
      <c r="Q21" s="15">
        <v>4</v>
      </c>
      <c r="R21" s="42">
        <v>5</v>
      </c>
      <c r="S21" s="42">
        <v>6</v>
      </c>
      <c r="T21" s="42">
        <v>7</v>
      </c>
      <c r="U21" s="42">
        <v>8</v>
      </c>
      <c r="V21" s="42">
        <v>9</v>
      </c>
      <c r="W21" s="42">
        <v>10</v>
      </c>
      <c r="X21" s="42">
        <v>11</v>
      </c>
      <c r="Y21" s="42">
        <v>12</v>
      </c>
      <c r="Z21" s="42">
        <v>13</v>
      </c>
    </row>
    <row r="22" spans="2:26" ht="15" hidden="1" outlineLevel="1" x14ac:dyDescent="0.25">
      <c r="B22" s="27" t="s">
        <v>58</v>
      </c>
      <c r="C22" s="27" t="str">
        <f ca="1">_xll.DBR($C$20,$B22,"value")</f>
        <v>RECALC_0_230_</v>
      </c>
      <c r="J22" s="1"/>
      <c r="L22" s="43" t="s">
        <v>39</v>
      </c>
      <c r="M22" s="43" t="s">
        <v>40</v>
      </c>
      <c r="N22" s="43" t="s">
        <v>43</v>
      </c>
      <c r="O22" s="43" t="s">
        <v>41</v>
      </c>
      <c r="P22" s="43" t="s">
        <v>44</v>
      </c>
      <c r="Q22" s="43" t="s">
        <v>100</v>
      </c>
      <c r="R22" s="43" t="s">
        <v>91</v>
      </c>
      <c r="S22" s="43" t="s">
        <v>92</v>
      </c>
      <c r="T22" s="43" t="s">
        <v>93</v>
      </c>
      <c r="U22" s="43" t="s">
        <v>94</v>
      </c>
      <c r="V22" s="43" t="s">
        <v>95</v>
      </c>
      <c r="W22" s="43" t="s">
        <v>96</v>
      </c>
      <c r="X22" s="43" t="s">
        <v>97</v>
      </c>
      <c r="Y22" s="43" t="s">
        <v>98</v>
      </c>
      <c r="Z22" s="43" t="s">
        <v>99</v>
      </c>
    </row>
    <row r="23" spans="2:26" ht="15" hidden="1" outlineLevel="1" x14ac:dyDescent="0.25">
      <c r="B23" s="27" t="s">
        <v>59</v>
      </c>
      <c r="C23" s="27" t="str">
        <f ca="1">_xll.DBR($C$20,$B23,"value")</f>
        <v>RECALC_0_782_</v>
      </c>
    </row>
    <row r="24" spans="2:26" hidden="1" outlineLevel="1" x14ac:dyDescent="0.2">
      <c r="J24" s="1"/>
    </row>
    <row r="25" spans="2:26" ht="15" hidden="1" outlineLevel="1" x14ac:dyDescent="0.25">
      <c r="B25" s="55" t="s">
        <v>75</v>
      </c>
      <c r="C25" s="56"/>
      <c r="D25" s="57"/>
      <c r="E25"/>
      <c r="F25"/>
      <c r="G25"/>
      <c r="H25"/>
      <c r="J25" s="1"/>
    </row>
    <row r="26" spans="2:26" ht="15" hidden="1" outlineLevel="1" x14ac:dyDescent="0.25">
      <c r="B26" s="26" t="s">
        <v>62</v>
      </c>
      <c r="C26" s="27" t="str">
        <f>_xll.VIEW(db_name&amp;":sys_application","!","!")</f>
        <v>finance_geus:sys_application:1264217196-226726710</v>
      </c>
      <c r="D26" s="27"/>
      <c r="E26"/>
      <c r="F26"/>
      <c r="G26"/>
      <c r="H26"/>
      <c r="J26" s="1"/>
    </row>
    <row r="27" spans="2:26" ht="15" hidden="1" outlineLevel="1" x14ac:dyDescent="0.25">
      <c r="B27" s="26" t="s">
        <v>76</v>
      </c>
      <c r="C27" t="s">
        <v>87</v>
      </c>
      <c r="D27" s="27"/>
      <c r="E27"/>
      <c r="F27"/>
      <c r="G27"/>
      <c r="H27"/>
      <c r="J27" s="1"/>
    </row>
    <row r="28" spans="2:26" ht="15" hidden="1" outlineLevel="1" x14ac:dyDescent="0.25">
      <c r="B28" s="27"/>
      <c r="C28" s="26" t="s">
        <v>77</v>
      </c>
      <c r="D28" s="26" t="s">
        <v>78</v>
      </c>
      <c r="E28" s="26" t="s">
        <v>79</v>
      </c>
      <c r="F28" s="26" t="s">
        <v>80</v>
      </c>
      <c r="G28" s="26" t="s">
        <v>81</v>
      </c>
      <c r="H28" s="26" t="s">
        <v>82</v>
      </c>
      <c r="J28" s="1"/>
    </row>
    <row r="29" spans="2:26" ht="15" hidden="1" outlineLevel="1" x14ac:dyDescent="0.25">
      <c r="B29" s="27" t="s">
        <v>83</v>
      </c>
      <c r="C29" s="27" t="str">
        <f ca="1">_xll.DBR($C$26,$B29,C$28)</f>
        <v>RECALC_0_83_</v>
      </c>
      <c r="D29" s="27" t="str">
        <f ca="1">_xll.DBR($C$26,$B29,D$28)</f>
        <v>RECALC_0_82_</v>
      </c>
      <c r="E29" s="27" t="str">
        <f ca="1">_xll.DBR($C$26,$B29,E$28)</f>
        <v>RECALC_0_81_</v>
      </c>
      <c r="F29" s="27" t="str">
        <f ca="1">_xll.DBR($C$26,$B29,F$28)</f>
        <v>RECALC_0_80_</v>
      </c>
      <c r="G29" s="27" t="str">
        <f ca="1">_xll.DBR($C$26,$B29,G$28)</f>
        <v>RECALC_0_79_</v>
      </c>
      <c r="H29" s="27" t="str">
        <f ca="1">_xll.DBR($C$26,$B29,H$28)</f>
        <v>RECALC_0_78_</v>
      </c>
      <c r="J29" s="1"/>
    </row>
    <row r="30" spans="2:26" ht="15" hidden="1" outlineLevel="1" x14ac:dyDescent="0.25">
      <c r="B30" s="27" t="s">
        <v>84</v>
      </c>
      <c r="C30" s="27" t="str">
        <f ca="1">_xll.DBR($C$26,$B30,C$28)</f>
        <v>RECALC_0_77_</v>
      </c>
      <c r="D30" s="27" t="str">
        <f ca="1">_xll.DBR($C$26,$B30,D$28)</f>
        <v>RECALC_0_76_</v>
      </c>
      <c r="E30" s="27" t="str">
        <f ca="1">_xll.DBR($C$26,$B30,E$28)</f>
        <v>RECALC_0_75_</v>
      </c>
      <c r="F30" s="27" t="str">
        <f ca="1">_xll.DBR($C$26,$B30,F$28)</f>
        <v>RECALC_0_74_</v>
      </c>
      <c r="G30" s="27" t="str">
        <f ca="1">_xll.DBR($C$26,$B30,G$28)</f>
        <v>RECALC_0_73_</v>
      </c>
      <c r="H30" s="27" t="str">
        <f ca="1">_xll.DBR($C$26,$B30,H$28)</f>
        <v>RECALC_0_72_</v>
      </c>
      <c r="J30" s="1"/>
    </row>
    <row r="31" spans="2:26" ht="15" hidden="1" outlineLevel="1" x14ac:dyDescent="0.25">
      <c r="B31" s="27" t="s">
        <v>85</v>
      </c>
      <c r="C31" s="27" t="str">
        <f ca="1">_xll.DBR($C$26,$B31,C$28)</f>
        <v>RECALC_0_71_</v>
      </c>
      <c r="D31" s="27" t="str">
        <f ca="1">_xll.DBR($C$26,$B31,D$28)</f>
        <v>RECALC_0_70_</v>
      </c>
      <c r="E31" s="27" t="str">
        <f ca="1">_xll.DBR($C$26,$B31,E$28)</f>
        <v>RECALC_0_69_</v>
      </c>
      <c r="F31" s="27" t="str">
        <f ca="1">_xll.DBR($C$26,$B31,F$28)</f>
        <v>RECALC_0_68_</v>
      </c>
      <c r="G31" s="27" t="str">
        <f ca="1">_xll.DBR($C$26,$B31,G$28)</f>
        <v>RECALC_0_67_</v>
      </c>
      <c r="H31" s="27" t="str">
        <f ca="1">_xll.DBR($C$26,$B31,H$28)</f>
        <v>RECALC_0_66_</v>
      </c>
      <c r="J31" s="1"/>
    </row>
    <row r="32" spans="2:26" ht="15" hidden="1" outlineLevel="1" x14ac:dyDescent="0.25">
      <c r="B32" s="27" t="s">
        <v>86</v>
      </c>
      <c r="C32" s="27" t="str">
        <f ca="1">_xll.DBR($C$26,$B32,C$28)</f>
        <v>RECALC_0_59_</v>
      </c>
      <c r="D32" s="27" t="str">
        <f ca="1">_xll.DBR($C$26,$B32,D$28)</f>
        <v>RECALC_0_58_</v>
      </c>
      <c r="E32" s="27" t="str">
        <f ca="1">_xll.DBR($C$26,$B32,E$28)</f>
        <v>RECALC_0_57_</v>
      </c>
      <c r="F32" s="27" t="str">
        <f ca="1">_xll.DBR($C$26,$B32,F$28)</f>
        <v>RECALC_0_56_</v>
      </c>
      <c r="G32" s="27" t="str">
        <f ca="1">_xll.DBR($C$26,$B32,G$28)</f>
        <v>RECALC_0_55_</v>
      </c>
      <c r="H32" s="27" t="str">
        <f ca="1">_xll.DBR($C$26,$B32,H$28)</f>
        <v>RECALC_0_54_</v>
      </c>
      <c r="J32" s="1"/>
    </row>
    <row r="33" spans="2:10" ht="15" hidden="1" outlineLevel="1" x14ac:dyDescent="0.25">
      <c r="B33" s="27" t="s">
        <v>90</v>
      </c>
      <c r="C33" s="27" t="str">
        <f ca="1">_xll.DBR($C$26,$B33,C$28)</f>
        <v>RECALC_0_53_</v>
      </c>
      <c r="D33" s="27" t="str">
        <f ca="1">_xll.DBR($C$26,$B33,D$28)</f>
        <v>RECALC_0_52_</v>
      </c>
      <c r="E33" s="27" t="str">
        <f ca="1">_xll.DBR($C$26,$B33,E$28)</f>
        <v>RECALC_0_51_</v>
      </c>
      <c r="F33" s="27" t="str">
        <f ca="1">_xll.DBR($C$26,$B33,F$28)</f>
        <v>RECALC_0_50_</v>
      </c>
      <c r="G33" s="27" t="str">
        <f ca="1">_xll.DBR($C$26,$B33,G$28)</f>
        <v>RECALC_0_49_</v>
      </c>
      <c r="H33" s="27" t="str">
        <f ca="1">_xll.DBR($C$26,$B33,H$28)</f>
        <v>RECALC_0_48_</v>
      </c>
      <c r="J33" s="1"/>
    </row>
    <row r="34" spans="2:10" hidden="1" outlineLevel="1" x14ac:dyDescent="0.2">
      <c r="J34" s="1"/>
    </row>
    <row r="35" spans="2:10" ht="15" hidden="1" outlineLevel="1" x14ac:dyDescent="0.25">
      <c r="B35" s="49" t="s">
        <v>60</v>
      </c>
      <c r="C35" s="49"/>
    </row>
    <row r="36" spans="2:10" hidden="1" outlineLevel="1" x14ac:dyDescent="0.2">
      <c r="B36" s="1" t="s">
        <v>61</v>
      </c>
      <c r="C36" s="1" t="str">
        <f ca="1">_xll.TM1RPTVIEW(db_name&amp;":AE adjustments:3",$C$60, _xll.TM1RPTTITLE(db_name&amp;":headline year",$K$100), _xll.TM1RPTTITLE(db_name&amp;":scenario",$K$101), _xll.TM1RPTTITLE(db_name&amp;":status",$K$102), _xll.TM1RPTTITLE(db_name&amp;":outcome",$C$67), _xll.TM1RPTTITLE(db_name&amp;":related entity",$C$68), _xll.TM1RPTTITLE(db_name&amp;":function",$C$69), _xll.TM1RPTTITLE(db_name&amp;":appropriation item",$C$75), _xll.TM1RPTTITLE(db_name&amp;":spp",$C$71), _xll.TM1RPTTITLE(db_name&amp;":measure code",$C$72), _xll.TM1RPTTITLE(db_name&amp;":appropriation type",$C$73),_xll.TM1RPTTITLE(db_name&amp;":account",$K$104), _xll.TM1RPTTITLE(db_name&amp;":movement account",$C$74), _xll.TM1RPTTITLE(db_name&amp;":id",$C$77), _xll.TM1RPTTITLE(db_name&amp;":jurisdiction",$C$78),TM1RPTFMTRNG,TM1RPTFMTIDCOL)</f>
        <v>finance_geus:AE adjustments:3</v>
      </c>
    </row>
    <row r="37" spans="2:10" hidden="1" outlineLevel="1" x14ac:dyDescent="0.2">
      <c r="B37" s="1" t="s">
        <v>62</v>
      </c>
      <c r="C37" s="1" t="str">
        <f ca="1">_xll.VIEW(db_name&amp;": AE adjustments",$K$100,$K$101,$K$102,$C$67,$C$68,$C$69,"!",$C$71,$C$72,$C$73,$C$74,$C$75,"!",$K$104,$C$77,$C$78,"!")</f>
        <v>finance_geus: AE adjustments:1264217196-1564344809</v>
      </c>
    </row>
    <row r="38" spans="2:10" hidden="1" outlineLevel="1" x14ac:dyDescent="0.2"/>
    <row r="39" spans="2:10" hidden="1" outlineLevel="1" x14ac:dyDescent="0.2">
      <c r="B39" s="28" t="s">
        <v>22</v>
      </c>
      <c r="C39" s="22" t="str">
        <f ca="1">IF(N85="Collapse",C41,C42)</f>
        <v>{TM1SORTBYINDEX( {TM1FILTERBYLEVEL( {TM1DRILLDOWNMEMBER( {[RECALC_0_782_].[RECALC_1_2432_]}, ALL, RECURSIVE )}, 0,4)}, DESC)}</v>
      </c>
      <c r="D39" s="22"/>
      <c r="E39" s="22"/>
    </row>
    <row r="40" spans="2:10" ht="24" hidden="1" outlineLevel="1" x14ac:dyDescent="0.2">
      <c r="B40" s="28" t="s">
        <v>37</v>
      </c>
      <c r="C40" s="29"/>
      <c r="D40" s="22"/>
      <c r="E40" s="22"/>
    </row>
    <row r="41" spans="2:10" hidden="1" outlineLevel="1" x14ac:dyDescent="0.2">
      <c r="B41" s="28" t="s">
        <v>65</v>
      </c>
      <c r="C41" s="29" t="str">
        <f ca="1">"{HIERARCHIZE ({["&amp; psProgDimName &amp; "].["&amp;$K$103&amp;"]})}"</f>
        <v>{HIERARCHIZE ({[RECALC_0_782_].[RECALC_1_2432_]})}</v>
      </c>
      <c r="D41" s="22"/>
      <c r="E41" s="22"/>
    </row>
    <row r="42" spans="2:10" hidden="1" outlineLevel="1" x14ac:dyDescent="0.2">
      <c r="B42" s="22" t="s">
        <v>66</v>
      </c>
      <c r="C42" s="29" t="str">
        <f ca="1">"{TM1SORTBYINDEX( {TM1FILTERBYLEVEL( {TM1DRILLDOWNMEMBER( {["&amp; psProgDimName &amp; "].["&amp;$K$103&amp;"]}, ALL, RECURSIVE )}, 0,4)}, DESC)}"</f>
        <v>{TM1SORTBYINDEX( {TM1FILTERBYLEVEL( {TM1DRILLDOWNMEMBER( {[RECALC_0_782_].[RECALC_1_2432_]}, ALL, RECURSIVE )}, 0,4)}, DESC)}</v>
      </c>
      <c r="D42" s="22"/>
      <c r="E42" s="22"/>
    </row>
    <row r="43" spans="2:10" hidden="1" outlineLevel="1" x14ac:dyDescent="0.2">
      <c r="B43" s="28" t="s">
        <v>35</v>
      </c>
      <c r="C43" s="29" t="str">
        <f ca="1">IF(N85="Collapse",C45,C46)</f>
        <v>{TM1SORT( {TM1FILTERBYLEVEL( {TM1DRILLDOWNMEMBER( {[appropriation item].[200],[300]}, ALL, RECURSIVE )}, 0)}, ASC)}</v>
      </c>
      <c r="D43" s="22"/>
      <c r="E43" s="22"/>
    </row>
    <row r="44" spans="2:10" ht="24" hidden="1" outlineLevel="1" x14ac:dyDescent="0.2">
      <c r="B44" s="28" t="s">
        <v>38</v>
      </c>
      <c r="C44" s="29"/>
      <c r="D44" s="22"/>
      <c r="E44" s="22"/>
    </row>
    <row r="45" spans="2:10" hidden="1" outlineLevel="1" x14ac:dyDescent="0.2">
      <c r="B45" s="28" t="s">
        <v>65</v>
      </c>
      <c r="C45" s="29" t="s">
        <v>36</v>
      </c>
      <c r="D45" s="22"/>
      <c r="E45" s="22"/>
    </row>
    <row r="46" spans="2:10" hidden="1" outlineLevel="1" x14ac:dyDescent="0.2">
      <c r="B46" s="22" t="s">
        <v>66</v>
      </c>
      <c r="C46" s="22" t="s">
        <v>21</v>
      </c>
      <c r="D46" s="22" t="str">
        <f ca="1">"{TM1SORT( {TM1FILTERBYLEVEL( {TM1DRILLDOWNMEMBER( {[appropriation item].["&amp;$C$75&amp;"]}, ALL, RECURSIVE )}, 0)}, ASC)}"</f>
        <v>{TM1SORT( {TM1FILTERBYLEVEL( {TM1DRILLDOWNMEMBER( {[appropriation item].[RECALC_0_2442_]}, ALL, RECURSIVE )}, 0)}, ASC)}</v>
      </c>
      <c r="E46" s="22"/>
    </row>
    <row r="47" spans="2:10" hidden="1" outlineLevel="1" x14ac:dyDescent="0.2">
      <c r="B47" s="28"/>
      <c r="C47" s="22">
        <v>9000851</v>
      </c>
      <c r="D47" s="22"/>
      <c r="E47" s="22"/>
    </row>
    <row r="48" spans="2:10" hidden="1" outlineLevel="1" x14ac:dyDescent="0.2">
      <c r="B48" s="28" t="s">
        <v>20</v>
      </c>
      <c r="C48" s="22" t="s">
        <v>63</v>
      </c>
      <c r="D48" s="22"/>
      <c r="E48" s="22"/>
    </row>
    <row r="49" spans="2:10" hidden="1" outlineLevel="1" x14ac:dyDescent="0.2">
      <c r="B49" s="24"/>
      <c r="C49" s="22" t="str">
        <f>"{TM1DRILLDOWNMEMBER( {[account].["&amp;C47&amp;"].Children}, ALL, RECURSIVE )}"</f>
        <v>{TM1DRILLDOWNMEMBER( {[account].[9000851].Children}, ALL, RECURSIVE )}</v>
      </c>
      <c r="D49" s="22"/>
      <c r="E49" s="22"/>
    </row>
    <row r="50" spans="2:10" hidden="1" outlineLevel="1" x14ac:dyDescent="0.2">
      <c r="B50" s="24" t="s">
        <v>101</v>
      </c>
      <c r="C50" s="22" t="s">
        <v>102</v>
      </c>
      <c r="D50" s="22"/>
      <c r="E50" s="22"/>
    </row>
    <row r="51" spans="2:10" hidden="1" outlineLevel="1" x14ac:dyDescent="0.2">
      <c r="B51" s="4"/>
    </row>
    <row r="52" spans="2:10" hidden="1" outlineLevel="1" x14ac:dyDescent="0.2">
      <c r="J52" s="1"/>
    </row>
    <row r="53" spans="2:10" ht="12.75" hidden="1" outlineLevel="1" thickBot="1" x14ac:dyDescent="0.25">
      <c r="J53" s="1"/>
    </row>
    <row r="54" spans="2:10" hidden="1" outlineLevel="1" x14ac:dyDescent="0.2">
      <c r="B54" s="8" t="s">
        <v>26</v>
      </c>
      <c r="C54" s="9" t="s">
        <v>24</v>
      </c>
      <c r="J54" s="1"/>
    </row>
    <row r="55" spans="2:10" ht="12.75" hidden="1" outlineLevel="1" thickBot="1" x14ac:dyDescent="0.25">
      <c r="B55" s="10"/>
      <c r="C55" s="11" t="s">
        <v>27</v>
      </c>
      <c r="J55" s="1"/>
    </row>
    <row r="56" spans="2:10" hidden="1" outlineLevel="1" x14ac:dyDescent="0.2">
      <c r="B56" s="8" t="s">
        <v>29</v>
      </c>
      <c r="C56" s="9" t="s">
        <v>25</v>
      </c>
      <c r="J56" s="1"/>
    </row>
    <row r="57" spans="2:10" ht="12.75" hidden="1" outlineLevel="1" thickBot="1" x14ac:dyDescent="0.25">
      <c r="B57" s="10"/>
      <c r="C57" s="11" t="s">
        <v>28</v>
      </c>
      <c r="J57" s="1"/>
    </row>
    <row r="58" spans="2:10" hidden="1" outlineLevel="1" x14ac:dyDescent="0.2">
      <c r="B58" s="8" t="s">
        <v>30</v>
      </c>
      <c r="C58" s="9" t="s">
        <v>31</v>
      </c>
      <c r="J58" s="1"/>
    </row>
    <row r="59" spans="2:10" hidden="1" outlineLevel="1" x14ac:dyDescent="0.2">
      <c r="B59" s="38"/>
      <c r="C59" s="14" t="s">
        <v>32</v>
      </c>
      <c r="J59" s="1"/>
    </row>
    <row r="60" spans="2:10" ht="15" hidden="1" outlineLevel="1" x14ac:dyDescent="0.25">
      <c r="B60" s="22" t="s">
        <v>33</v>
      </c>
      <c r="C60" s="27">
        <f ca="1">IF($N$87="Yes",1,0)</f>
        <v>0</v>
      </c>
      <c r="J60" s="1"/>
    </row>
    <row r="61" spans="2:10" ht="15" hidden="1" outlineLevel="1" x14ac:dyDescent="0.25">
      <c r="B61" s="22" t="s">
        <v>34</v>
      </c>
      <c r="C61" s="27">
        <f ca="1">IF($N$86="Yes",1,0)</f>
        <v>0</v>
      </c>
      <c r="J61" s="1"/>
    </row>
    <row r="62" spans="2:10" hidden="1" outlineLevel="1" x14ac:dyDescent="0.2">
      <c r="J62" s="1"/>
    </row>
    <row r="63" spans="2:10" ht="15" hidden="1" outlineLevel="1" x14ac:dyDescent="0.25">
      <c r="B63" s="49" t="s">
        <v>64</v>
      </c>
      <c r="C63" s="49"/>
      <c r="J63" s="1"/>
    </row>
    <row r="64" spans="2:10" hidden="1" outlineLevel="1" x14ac:dyDescent="0.2">
      <c r="B64" s="5" t="s">
        <v>0</v>
      </c>
      <c r="J64" s="1"/>
    </row>
    <row r="65" spans="2:11" hidden="1" outlineLevel="1" x14ac:dyDescent="0.2">
      <c r="B65" s="5" t="s">
        <v>1</v>
      </c>
      <c r="J65" s="1"/>
    </row>
    <row r="66" spans="2:11" hidden="1" outlineLevel="1" x14ac:dyDescent="0.2">
      <c r="B66" s="5" t="s">
        <v>2</v>
      </c>
      <c r="J66" s="1"/>
    </row>
    <row r="67" spans="2:11" hidden="1" outlineLevel="1" x14ac:dyDescent="0.2">
      <c r="B67" s="5" t="s">
        <v>3</v>
      </c>
      <c r="C67" s="1" t="str">
        <f ca="1">_xll.SUBNM(db_name&amp;":outcome","","Total outcomes")</f>
        <v>RECALC_0_1_</v>
      </c>
      <c r="J67" s="1"/>
    </row>
    <row r="68" spans="2:11" hidden="1" outlineLevel="1" x14ac:dyDescent="0.2">
      <c r="B68" s="5" t="s">
        <v>4</v>
      </c>
      <c r="C68" s="1" t="str">
        <f ca="1">_xll.SUBNM(db_name&amp;":related entity","","Total related entity","code and description")</f>
        <v>RECALC_0_2446_</v>
      </c>
      <c r="J68" s="5"/>
    </row>
    <row r="69" spans="2:11" hidden="1" outlineLevel="1" x14ac:dyDescent="0.2">
      <c r="B69" s="5" t="s">
        <v>5</v>
      </c>
      <c r="C69" s="1" t="str">
        <f ca="1">_xll.SUBNM(db_name&amp;":function","","Total functions")</f>
        <v>RECALC_0_3_</v>
      </c>
      <c r="J69" s="5"/>
    </row>
    <row r="70" spans="2:11" hidden="1" outlineLevel="1" x14ac:dyDescent="0.2">
      <c r="B70" s="5" t="s">
        <v>6</v>
      </c>
      <c r="C70" s="1" t="str">
        <f ca="1">_xll.SUBNM(db_name&amp;":reason","","Total reason")</f>
        <v>RECALC_0_4_</v>
      </c>
      <c r="J70" s="1"/>
    </row>
    <row r="71" spans="2:11" hidden="1" outlineLevel="1" x14ac:dyDescent="0.2">
      <c r="B71" s="5" t="s">
        <v>7</v>
      </c>
      <c r="C71" s="1" t="str">
        <f ca="1">_xll.SUBNM(db_name&amp;":spp","","Total SPP")</f>
        <v>RECALC_0_5_</v>
      </c>
      <c r="J71" s="1"/>
    </row>
    <row r="72" spans="2:11" hidden="1" outlineLevel="1" x14ac:dyDescent="0.2">
      <c r="B72" s="5" t="s">
        <v>8</v>
      </c>
      <c r="C72" s="1" t="str">
        <f ca="1">_xll.SUBNM(db_name&amp;":measure code","","Total Measures","CBMS")</f>
        <v>RECALC_0_550_</v>
      </c>
      <c r="J72" s="1"/>
    </row>
    <row r="73" spans="2:11" hidden="1" outlineLevel="1" x14ac:dyDescent="0.2">
      <c r="B73" s="5" t="s">
        <v>9</v>
      </c>
      <c r="C73" s="1" t="str">
        <f ca="1">_xll.SUBNM(db_name&amp;":appropriation type","","Total approp types")</f>
        <v>RECALC_0_7_</v>
      </c>
      <c r="J73" s="1"/>
    </row>
    <row r="74" spans="2:11" hidden="1" outlineLevel="1" x14ac:dyDescent="0.2">
      <c r="B74" s="5" t="s">
        <v>10</v>
      </c>
      <c r="C74" s="1" t="str">
        <f ca="1">_xll.SUBNM(db_name&amp;":movement account","","Total movement","code and description")</f>
        <v>RECALC_0_332_</v>
      </c>
      <c r="J74" s="1"/>
      <c r="K74" s="13"/>
    </row>
    <row r="75" spans="2:11" ht="15" hidden="1" outlineLevel="1" x14ac:dyDescent="0.2">
      <c r="B75" s="5" t="s">
        <v>17</v>
      </c>
      <c r="C75" s="37" t="str">
        <f ca="1">_xll.SUBNM(db_name&amp;": appropriation item","","Total approp item")</f>
        <v>RECALC_0_2442_</v>
      </c>
      <c r="J75" s="1"/>
    </row>
    <row r="76" spans="2:11" hidden="1" outlineLevel="1" x14ac:dyDescent="0.2">
      <c r="B76" s="5" t="s">
        <v>18</v>
      </c>
      <c r="C76" s="12"/>
      <c r="J76" s="1"/>
    </row>
    <row r="77" spans="2:11" hidden="1" outlineLevel="1" x14ac:dyDescent="0.2">
      <c r="B77" s="5" t="s">
        <v>11</v>
      </c>
      <c r="C77" s="1" t="str">
        <f ca="1">_xll.SUBNM(db_name&amp;":id","","New Adjustments")</f>
        <v>RECALC_0_98_</v>
      </c>
      <c r="D77" s="47" t="s">
        <v>106</v>
      </c>
      <c r="E77" s="1" t="s">
        <v>107</v>
      </c>
      <c r="J77" s="1"/>
    </row>
    <row r="78" spans="2:11" hidden="1" outlineLevel="1" x14ac:dyDescent="0.2">
      <c r="B78" s="5" t="s">
        <v>12</v>
      </c>
      <c r="C78" s="1" t="str">
        <f ca="1">_xll.SUBNM(db_name&amp;":jurisdiction","","Total jurisdictions")</f>
        <v>RECALC_0_12_</v>
      </c>
      <c r="J78" s="1"/>
    </row>
    <row r="79" spans="2:11" hidden="1" outlineLevel="1" x14ac:dyDescent="0.2">
      <c r="B79" s="5" t="s">
        <v>19</v>
      </c>
      <c r="C79" s="12"/>
      <c r="J79" s="1"/>
    </row>
    <row r="80" spans="2:11" hidden="1" outlineLevel="1" x14ac:dyDescent="0.2">
      <c r="B80" s="5"/>
      <c r="C80" s="12"/>
      <c r="J80" s="1"/>
    </row>
    <row r="81" spans="2:26" hidden="1" outlineLevel="1" x14ac:dyDescent="0.2">
      <c r="B81" s="5"/>
      <c r="C81" s="12"/>
      <c r="J81" s="1"/>
    </row>
    <row r="82" spans="2:26" hidden="1" outlineLevel="1" x14ac:dyDescent="0.2">
      <c r="J82" s="1"/>
    </row>
    <row r="83" spans="2:26" ht="12.75" hidden="1" outlineLevel="1" x14ac:dyDescent="0.2">
      <c r="B83" s="6" t="s">
        <v>47</v>
      </c>
      <c r="C83" s="58" t="s">
        <v>23</v>
      </c>
      <c r="D83" s="58"/>
      <c r="J83" s="1"/>
      <c r="M83" s="1" t="s">
        <v>46</v>
      </c>
    </row>
    <row r="84" spans="2:26" ht="15" hidden="1" outlineLevel="1" x14ac:dyDescent="0.25">
      <c r="J84" s="1"/>
      <c r="M84" s="53" t="s">
        <v>68</v>
      </c>
      <c r="N84" s="54"/>
    </row>
    <row r="85" spans="2:26" ht="15" hidden="1" outlineLevel="1" x14ac:dyDescent="0.25">
      <c r="J85" s="1"/>
      <c r="M85" s="36" t="s">
        <v>48</v>
      </c>
      <c r="N85" s="30" t="str">
        <f ca="1">_xll.SUBNM(db_name&amp;":sys_ReportDisplay","","Collapse")</f>
        <v>RECALC_0_723_</v>
      </c>
    </row>
    <row r="86" spans="2:26" ht="15" hidden="1" outlineLevel="1" x14ac:dyDescent="0.25">
      <c r="J86" s="1"/>
      <c r="M86" s="36" t="s">
        <v>69</v>
      </c>
      <c r="N86" s="30" t="str">
        <f ca="1">_xll.SUBNM(db_name&amp;":sys_YesNo","","Yes")</f>
        <v>RECALC_0_134_</v>
      </c>
    </row>
    <row r="87" spans="2:26" ht="15" hidden="1" outlineLevel="1" x14ac:dyDescent="0.25">
      <c r="J87" s="1"/>
      <c r="M87" s="36" t="s">
        <v>70</v>
      </c>
      <c r="N87" s="30" t="str">
        <f ca="1">_xll.SUBNM(db_name&amp;":sys_YesNo","","Yes")</f>
        <v>RECALC_0_134_</v>
      </c>
    </row>
    <row r="88" spans="2:26" hidden="1" outlineLevel="1" x14ac:dyDescent="0.2">
      <c r="J88" s="1"/>
    </row>
    <row r="89" spans="2:26" hidden="1" outlineLevel="1" x14ac:dyDescent="0.2">
      <c r="J89" s="1"/>
    </row>
    <row r="90" spans="2:26" hidden="1" outlineLevel="1" x14ac:dyDescent="0.2">
      <c r="J90" s="1"/>
    </row>
    <row r="91" spans="2:26" hidden="1" outlineLevel="1" x14ac:dyDescent="0.2">
      <c r="J91" s="1"/>
    </row>
    <row r="92" spans="2:26" hidden="1" outlineLevel="1" x14ac:dyDescent="0.2"/>
    <row r="93" spans="2:26" hidden="1" outlineLevel="1" x14ac:dyDescent="0.2"/>
    <row r="94" spans="2:26" ht="40.15" customHeight="1" collapsed="1" x14ac:dyDescent="0.2"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 t="s">
        <v>109</v>
      </c>
      <c r="W94" s="34"/>
      <c r="X94" s="34"/>
      <c r="Y94" s="34"/>
      <c r="Z94" s="34"/>
    </row>
    <row r="95" spans="2:26" customFormat="1" ht="4.5" customHeight="1" x14ac:dyDescent="0.25"/>
    <row r="96" spans="2:26" customFormat="1" ht="24" customHeight="1" x14ac:dyDescent="0.25">
      <c r="J96" s="25"/>
    </row>
    <row r="97" spans="2:26" ht="1.5" customHeight="1" x14ac:dyDescent="0.2"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</row>
    <row r="98" spans="2:26" ht="4.5" customHeight="1" x14ac:dyDescent="0.2">
      <c r="J98" s="1"/>
    </row>
    <row r="99" spans="2:26" ht="15" x14ac:dyDescent="0.25">
      <c r="J99" s="1"/>
      <c r="K99" s="35" t="s">
        <v>67</v>
      </c>
    </row>
    <row r="100" spans="2:26" ht="15" x14ac:dyDescent="0.25">
      <c r="J100" s="36" t="s">
        <v>71</v>
      </c>
      <c r="K100" s="37" t="str">
        <f ca="1">_xll.SUBNM(db_name&amp;":headline year","",$C$21)</f>
        <v>RECALC_1_234_</v>
      </c>
    </row>
    <row r="101" spans="2:26" ht="15" x14ac:dyDescent="0.25">
      <c r="J101" s="36" t="s">
        <v>72</v>
      </c>
      <c r="K101" s="37" t="str">
        <f ca="1">_xll.SUBNM(db_name&amp;":scenario","",$C$22)</f>
        <v>RECALC_1_548_</v>
      </c>
    </row>
    <row r="102" spans="2:26" ht="15" x14ac:dyDescent="0.25">
      <c r="J102" s="36" t="s">
        <v>74</v>
      </c>
      <c r="K102" s="37" t="str">
        <f ca="1">_xll.SUBNM(db_name&amp;":status","","Total approved")</f>
        <v>RECALC_0_92_</v>
      </c>
    </row>
    <row r="103" spans="2:26" ht="15" customHeight="1" x14ac:dyDescent="0.25">
      <c r="J103" s="36" t="s">
        <v>73</v>
      </c>
      <c r="K103" s="37" t="str">
        <f ca="1">_xll.SUBNM(db_name&amp;":"&amp; psProgDimName,"","Administered Programmes","code and description")</f>
        <v>RECALC_1_2432_</v>
      </c>
      <c r="O103" s="39"/>
      <c r="P103" s="52"/>
      <c r="Q103" s="52"/>
    </row>
    <row r="104" spans="2:26" ht="15" customHeight="1" x14ac:dyDescent="0.25">
      <c r="J104" s="36" t="s">
        <v>103</v>
      </c>
      <c r="K104" s="37" t="str">
        <f ca="1">_xll.SUBNM(db_name&amp;": account","","2000000","code and description")</f>
        <v>RECALC_0_2449_</v>
      </c>
      <c r="O104" s="39" t="s">
        <v>88</v>
      </c>
      <c r="P104" s="52">
        <f ca="1">NOW()</f>
        <v>45880.54090266204</v>
      </c>
      <c r="Q104" s="52"/>
    </row>
    <row r="105" spans="2:26" ht="4.5" customHeight="1" x14ac:dyDescent="0.2">
      <c r="J105" s="7"/>
      <c r="K105" s="31"/>
      <c r="L105" s="32"/>
      <c r="M105" s="2"/>
      <c r="N105" s="2"/>
    </row>
    <row r="106" spans="2:26" customFormat="1" ht="15" x14ac:dyDescent="0.25">
      <c r="J106" s="40"/>
      <c r="K106" s="40"/>
      <c r="L106" s="41" t="e">
        <f t="shared" ref="L106:Q106" ca="1" si="0">+L20</f>
        <v>#VALUE!</v>
      </c>
      <c r="M106" s="41" t="e">
        <f t="shared" ca="1" si="0"/>
        <v>#VALUE!</v>
      </c>
      <c r="N106" s="41" t="e">
        <f t="shared" ca="1" si="0"/>
        <v>#VALUE!</v>
      </c>
      <c r="O106" s="41" t="e">
        <f t="shared" ca="1" si="0"/>
        <v>#VALUE!</v>
      </c>
      <c r="P106" s="41" t="e">
        <f t="shared" ca="1" si="0"/>
        <v>#VALUE!</v>
      </c>
      <c r="Q106" s="41" t="e">
        <f t="shared" ca="1" si="0"/>
        <v>#VALUE!</v>
      </c>
      <c r="R106" s="41" t="e">
        <f t="shared" ref="R106:Z106" ca="1" si="1">+R20</f>
        <v>#VALUE!</v>
      </c>
      <c r="S106" s="41" t="e">
        <f t="shared" ca="1" si="1"/>
        <v>#VALUE!</v>
      </c>
      <c r="T106" s="41" t="e">
        <f t="shared" ca="1" si="1"/>
        <v>#VALUE!</v>
      </c>
      <c r="U106" s="41" t="e">
        <f t="shared" ca="1" si="1"/>
        <v>#VALUE!</v>
      </c>
      <c r="V106" s="41" t="e">
        <f t="shared" ca="1" si="1"/>
        <v>#VALUE!</v>
      </c>
      <c r="W106" s="41" t="e">
        <f t="shared" ca="1" si="1"/>
        <v>#VALUE!</v>
      </c>
      <c r="X106" s="41" t="e">
        <f t="shared" ca="1" si="1"/>
        <v>#VALUE!</v>
      </c>
      <c r="Y106" s="41" t="e">
        <f t="shared" ca="1" si="1"/>
        <v>#VALUE!</v>
      </c>
      <c r="Z106" s="41" t="e">
        <f t="shared" ca="1" si="1"/>
        <v>#VALUE!</v>
      </c>
    </row>
    <row r="107" spans="2:26" customFormat="1" ht="15" x14ac:dyDescent="0.25">
      <c r="J107" s="40"/>
      <c r="K107" s="40"/>
      <c r="L107" s="41" t="str">
        <f t="shared" ref="L107:Q107" si="2">+L22</f>
        <v>RB</v>
      </c>
      <c r="M107" s="41" t="str">
        <f t="shared" si="2"/>
        <v>NB</v>
      </c>
      <c r="N107" s="41" t="str">
        <f t="shared" si="2"/>
        <v>FE1</v>
      </c>
      <c r="O107" s="41" t="str">
        <f t="shared" si="2"/>
        <v>FE2</v>
      </c>
      <c r="P107" s="41" t="str">
        <f t="shared" si="2"/>
        <v>FE3</v>
      </c>
      <c r="Q107" s="41" t="str">
        <f t="shared" si="2"/>
        <v>FE4</v>
      </c>
      <c r="R107" s="41" t="str">
        <f t="shared" ref="R107:Z107" si="3">+R22</f>
        <v>FE5</v>
      </c>
      <c r="S107" s="41" t="str">
        <f t="shared" si="3"/>
        <v>FE6</v>
      </c>
      <c r="T107" s="41" t="str">
        <f t="shared" si="3"/>
        <v>FE7</v>
      </c>
      <c r="U107" s="41" t="str">
        <f t="shared" si="3"/>
        <v>FE8</v>
      </c>
      <c r="V107" s="41" t="str">
        <f t="shared" si="3"/>
        <v>FE9</v>
      </c>
      <c r="W107" s="41" t="str">
        <f t="shared" si="3"/>
        <v>FE10</v>
      </c>
      <c r="X107" s="41" t="str">
        <f t="shared" si="3"/>
        <v>FE11</v>
      </c>
      <c r="Y107" s="41" t="str">
        <f t="shared" si="3"/>
        <v>FE12</v>
      </c>
      <c r="Z107" s="41" t="str">
        <f t="shared" si="3"/>
        <v>FE13</v>
      </c>
    </row>
    <row r="108" spans="2:26" customFormat="1" ht="15" x14ac:dyDescent="0.25">
      <c r="J108" s="40" t="s">
        <v>89</v>
      </c>
      <c r="K108" s="40" t="s">
        <v>104</v>
      </c>
      <c r="L108" s="41" t="s">
        <v>42</v>
      </c>
      <c r="M108" s="41" t="s">
        <v>42</v>
      </c>
      <c r="N108" s="41" t="s">
        <v>42</v>
      </c>
      <c r="O108" s="41" t="s">
        <v>42</v>
      </c>
      <c r="P108" s="41" t="s">
        <v>42</v>
      </c>
      <c r="Q108" s="41" t="s">
        <v>42</v>
      </c>
      <c r="R108" s="41" t="s">
        <v>42</v>
      </c>
      <c r="S108" s="41" t="s">
        <v>42</v>
      </c>
      <c r="T108" s="41" t="s">
        <v>42</v>
      </c>
      <c r="U108" s="41" t="s">
        <v>42</v>
      </c>
      <c r="V108" s="41" t="s">
        <v>42</v>
      </c>
      <c r="W108" s="41" t="s">
        <v>42</v>
      </c>
      <c r="X108" s="41" t="s">
        <v>42</v>
      </c>
      <c r="Y108" s="41" t="s">
        <v>42</v>
      </c>
      <c r="Z108" s="41" t="s">
        <v>42</v>
      </c>
    </row>
    <row r="109" spans="2:26" ht="4.5" customHeight="1" x14ac:dyDescent="0.25">
      <c r="B109" s="16" t="s">
        <v>45</v>
      </c>
      <c r="C109"/>
      <c r="D109"/>
      <c r="E109"/>
      <c r="F109"/>
      <c r="G109"/>
      <c r="H109"/>
      <c r="I109"/>
      <c r="L109" s="3"/>
      <c r="M109" s="3"/>
      <c r="N109" s="3"/>
      <c r="O109" s="3"/>
      <c r="P109" s="3"/>
      <c r="Q109" s="3"/>
    </row>
    <row r="110" spans="2:26" ht="19.5" customHeight="1" x14ac:dyDescent="0.25">
      <c r="B110" s="16"/>
      <c r="C110"/>
      <c r="D110"/>
      <c r="E110"/>
      <c r="F110"/>
      <c r="G110"/>
      <c r="H110"/>
      <c r="I110"/>
      <c r="K110" s="46" t="s">
        <v>105</v>
      </c>
      <c r="L110" s="48" t="e">
        <f ca="1">_xll.DBRW($C$37,$K$100,$K$101,$K$102,$C$67,$C$68,$C$69,$C$70,$C$71,$C$72,$C$73,$C$74,$C$75,$K103,$K$104,$D$77,$C$78,L$106)</f>
        <v>#VALUE!</v>
      </c>
      <c r="M110" s="48" t="e">
        <f ca="1">_xll.DBRW($C$37,$K$100,$K$101,$K$102,$C$67,$C$68,$C$69,$C$70,$C$71,$C$72,$C$73,$C$74,$C$75,$K103,$K$104,$D$77,$C$78,M$106)</f>
        <v>#VALUE!</v>
      </c>
      <c r="N110" s="48" t="e">
        <f ca="1">_xll.DBRW($C$37,$K$100,$K$101,$K$102,$C$67,$C$68,$C$69,$C$70,$C$71,$C$72,$C$73,$C$74,$C$75,$K103,$K$104,$D$77,$C$78,N$106)</f>
        <v>#VALUE!</v>
      </c>
      <c r="O110" s="48" t="e">
        <f ca="1">_xll.DBRW($C$37,$K$100,$K$101,$K$102,$C$67,$C$68,$C$69,$C$70,$C$71,$C$72,$C$73,$C$74,$C$75,$K103,$K$104,$D$77,$C$78,O$106)</f>
        <v>#VALUE!</v>
      </c>
      <c r="P110" s="48" t="e">
        <f ca="1">_xll.DBRW($C$37,$K$100,$K$101,$K$102,$C$67,$C$68,$C$69,$C$70,$C$71,$C$72,$C$73,$C$74,$C$75,$K103,$K$104,$D$77,$C$78,P$106)</f>
        <v>#VALUE!</v>
      </c>
      <c r="Q110" s="48" t="e">
        <f ca="1">_xll.DBRW($C$37,$K$100,$K$101,$K$102,$C$67,$C$68,$C$69,$C$70,$C$71,$C$72,$C$73,$C$74,$C$75,$K103,$K$104,$D$77,$C$78,Q$106)</f>
        <v>#VALUE!</v>
      </c>
      <c r="R110" s="48" t="e">
        <f ca="1">_xll.DBRW($C$37,$K$100,$K$101,$K$102,$C$67,$C$68,$C$69,$C$70,$C$71,$C$72,$C$73,$C$74,$C$75,$K103,$K$104,$D$77,$C$78,R$106)</f>
        <v>#VALUE!</v>
      </c>
      <c r="S110" s="48" t="e">
        <f ca="1">_xll.DBRW($C$37,$K$100,$K$101,$K$102,$C$67,$C$68,$C$69,$C$70,$C$71,$C$72,$C$73,$C$74,$C$75,$K103,$K$104,$D$77,$C$78,S$106)</f>
        <v>#VALUE!</v>
      </c>
      <c r="T110" s="48" t="e">
        <f ca="1">_xll.DBRW($C$37,$K$100,$K$101,$K$102,$C$67,$C$68,$C$69,$C$70,$C$71,$C$72,$C$73,$C$74,$C$75,$K103,$K$104,$D$77,$C$78,T$106)</f>
        <v>#VALUE!</v>
      </c>
      <c r="U110" s="48" t="e">
        <f ca="1">_xll.DBRW($C$37,$K$100,$K$101,$K$102,$C$67,$C$68,$C$69,$C$70,$C$71,$C$72,$C$73,$C$74,$C$75,$K103,$K$104,$D$77,$C$78,U$106)</f>
        <v>#VALUE!</v>
      </c>
      <c r="V110" s="48" t="e">
        <f ca="1">_xll.DBRW($C$37,$K$100,$K$101,$K$102,$C$67,$C$68,$C$69,$C$70,$C$71,$C$72,$C$73,$C$74,$C$75,$K103,$K$104,$D$77,$C$78,V$106)</f>
        <v>#VALUE!</v>
      </c>
      <c r="W110" s="48" t="e">
        <f ca="1">_xll.DBRW($C$37,$K$100,$K$101,$K$102,$C$67,$C$68,$C$69,$C$70,$C$71,$C$72,$C$73,$C$74,$C$75,$K103,$K$104,$D$77,$C$78,W$106)</f>
        <v>#VALUE!</v>
      </c>
      <c r="X110" s="48" t="e">
        <f ca="1">_xll.DBRW($C$37,$K$100,$K$101,$K$102,$C$67,$C$68,$C$69,$C$70,$C$71,$C$72,$C$73,$C$74,$C$75,$K103,$K$104,$D$77,$C$78,X$106)</f>
        <v>#VALUE!</v>
      </c>
      <c r="Y110" s="48" t="e">
        <f ca="1">_xll.DBRW($C$37,$K$100,$K$101,$K$102,$C$67,$C$68,$C$69,$C$70,$C$71,$C$72,$C$73,$C$74,$C$75,$K103,$K$104,$D$77,$C$78,Y$106)</f>
        <v>#VALUE!</v>
      </c>
      <c r="Z110" s="48" t="e">
        <f ca="1">_xll.DBRW($C$37,$K$100,$K$101,$K$102,$C$67,$C$68,$C$69,$C$70,$C$71,$C$72,$C$73,$C$74,$C$75,$K103,$K$104,$D$77,$C$78,Z$106)</f>
        <v>#VALUE!</v>
      </c>
    </row>
    <row r="111" spans="2:26" ht="4.5" customHeight="1" x14ac:dyDescent="0.25">
      <c r="B111" s="16" t="s">
        <v>45</v>
      </c>
      <c r="C111"/>
      <c r="D111"/>
      <c r="E111"/>
      <c r="F111"/>
      <c r="G111"/>
      <c r="H111"/>
      <c r="I111"/>
      <c r="L111" s="3"/>
      <c r="M111" s="3"/>
      <c r="N111" s="3"/>
      <c r="O111" s="3"/>
      <c r="P111" s="3"/>
      <c r="Q111" s="3"/>
    </row>
    <row r="112" spans="2:26" x14ac:dyDescent="0.2">
      <c r="B112" s="1" t="e">
        <f>IF(_xll.TM1RPTELISCONSOLIDATED(#REF!,#REF!),IF(_xll.TM1RPTELLEV(#REF!,#REF!)&lt;=3,_xll.TM1RPTELLEV(#REF!,#REF!),"D"),"N")</f>
        <v>#VALUE!</v>
      </c>
      <c r="J112" s="44" t="str">
        <f ca="1">_xll.TM1RPTROW($C$36,db_name&amp;":"&amp; psProgDimName,"",,"code and description",0,C39)</f>
        <v>pending__Other Reports - Summary Movement by Program and Reason Code_20250811023446.xlsm:report:TM1RPTDATARNG:3</v>
      </c>
      <c r="K112" s="45" t="str">
        <f ca="1">_xll.TM1RPTROW($C$36,db_name&amp;":reason","",,"CBMS code and description",,$C$50)</f>
        <v>pending__Other Reports - Summary Movement by Program and Reason Code_20250811023446.xlsm:report:TM1RPTDATARNG:3</v>
      </c>
      <c r="L112" s="19" t="e">
        <f ca="1">_xll.DBRW($C$36,$K$100,$K$101,$K$102,$C$67,$C$68,$C$69,$K112,$C$71,$C$72,$C$73,$C$74,$C$75,$J112,$K$104,$C$77,$C$78,L$106)</f>
        <v>#VALUE!</v>
      </c>
      <c r="M112" s="19" t="e">
        <f ca="1">_xll.DBRW($C$36,$K$100,$K$101,$K$102,$C$67,$C$68,$C$69,$K112,$C$71,$C$72,$C$73,$C$74,$C$75,$J112,$K$104,$C$77,$C$78,M$106)</f>
        <v>#VALUE!</v>
      </c>
      <c r="N112" s="19" t="e">
        <f ca="1">_xll.DBRW($C$36,$K$100,$K$101,$K$102,$C$67,$C$68,$C$69,$K112,$C$71,$C$72,$C$73,$C$74,$C$75,$J112,$K$104,$C$77,$C$78,N$106)</f>
        <v>#VALUE!</v>
      </c>
      <c r="O112" s="19" t="e">
        <f ca="1">_xll.DBRW($C$36,$K$100,$K$101,$K$102,$C$67,$C$68,$C$69,$K112,$C$71,$C$72,$C$73,$C$74,$C$75,$J112,$K$104,$C$77,$C$78,O$106)</f>
        <v>#VALUE!</v>
      </c>
      <c r="P112" s="19" t="e">
        <f ca="1">_xll.DBRW($C$36,$K$100,$K$101,$K$102,$C$67,$C$68,$C$69,$K112,$C$71,$C$72,$C$73,$C$74,$C$75,$J112,$K$104,$C$77,$C$78,P$106)</f>
        <v>#VALUE!</v>
      </c>
      <c r="Q112" s="19" t="e">
        <f ca="1">_xll.DBRW($C$36,$K$100,$K$101,$K$102,$C$67,$C$68,$C$69,$K112,$C$71,$C$72,$C$73,$C$74,$C$75,$J112,$K$104,$C$77,$C$78,Q$106)</f>
        <v>#VALUE!</v>
      </c>
      <c r="R112" s="19" t="e">
        <f ca="1">_xll.DBRW($C$36,$K$100,$K$101,$K$102,$C$67,$C$68,$C$69,$K112,$C$71,$C$72,$C$73,$C$74,$C$75,$J112,$K$104,$C$77,$C$78,R$106)</f>
        <v>#VALUE!</v>
      </c>
      <c r="S112" s="19" t="e">
        <f ca="1">_xll.DBRW($C$36,$K$100,$K$101,$K$102,$C$67,$C$68,$C$69,$K112,$C$71,$C$72,$C$73,$C$74,$C$75,$J112,$K$104,$C$77,$C$78,S$106)</f>
        <v>#VALUE!</v>
      </c>
      <c r="T112" s="19" t="e">
        <f ca="1">_xll.DBRW($C$36,$K$100,$K$101,$K$102,$C$67,$C$68,$C$69,$K112,$C$71,$C$72,$C$73,$C$74,$C$75,$J112,$K$104,$C$77,$C$78,T$106)</f>
        <v>#VALUE!</v>
      </c>
      <c r="U112" s="19" t="e">
        <f ca="1">_xll.DBRW($C$36,$K$100,$K$101,$K$102,$C$67,$C$68,$C$69,$K112,$C$71,$C$72,$C$73,$C$74,$C$75,$J112,$K$104,$C$77,$C$78,U$106)</f>
        <v>#VALUE!</v>
      </c>
      <c r="V112" s="19" t="e">
        <f ca="1">_xll.DBRW($C$36,$K$100,$K$101,$K$102,$C$67,$C$68,$C$69,$K112,$C$71,$C$72,$C$73,$C$74,$C$75,$J112,$K$104,$C$77,$C$78,V$106)</f>
        <v>#VALUE!</v>
      </c>
      <c r="W112" s="19" t="e">
        <f ca="1">_xll.DBRW($C$36,$K$100,$K$101,$K$102,$C$67,$C$68,$C$69,$K112,$C$71,$C$72,$C$73,$C$74,$C$75,$J112,$K$104,$C$77,$C$78,W$106)</f>
        <v>#VALUE!</v>
      </c>
      <c r="X112" s="19" t="e">
        <f ca="1">_xll.DBRW($C$36,$K$100,$K$101,$K$102,$C$67,$C$68,$C$69,$K112,$C$71,$C$72,$C$73,$C$74,$C$75,$J112,$K$104,$C$77,$C$78,X$106)</f>
        <v>#VALUE!</v>
      </c>
      <c r="Y112" s="19" t="e">
        <f ca="1">_xll.DBRW($C$36,$K$100,$K$101,$K$102,$C$67,$C$68,$C$69,$K112,$C$71,$C$72,$C$73,$C$74,$C$75,$J112,$K$104,$C$77,$C$78,Y$106)</f>
        <v>#VALUE!</v>
      </c>
      <c r="Z112" s="19" t="e">
        <f ca="1">_xll.DBRW($C$36,$K$100,$K$101,$K$102,$C$67,$C$68,$C$69,$K112,$C$71,$C$72,$C$73,$C$74,$C$75,$J112,$K$104,$C$77,$C$78,Z$106)</f>
        <v>#VALUE!</v>
      </c>
    </row>
    <row r="113" spans="2:26" ht="4.5" customHeight="1" x14ac:dyDescent="0.25">
      <c r="B113" s="16"/>
      <c r="C113"/>
      <c r="D113"/>
      <c r="E113"/>
      <c r="F113"/>
      <c r="G113"/>
      <c r="H113"/>
      <c r="I113"/>
      <c r="L113" s="3"/>
      <c r="M113" s="3"/>
      <c r="N113" s="3"/>
      <c r="O113" s="3"/>
      <c r="P113" s="3"/>
      <c r="Q113" s="3"/>
    </row>
    <row r="114" spans="2:26" ht="19.5" customHeight="1" x14ac:dyDescent="0.25">
      <c r="B114" s="16"/>
      <c r="C114"/>
      <c r="D114"/>
      <c r="E114"/>
      <c r="F114"/>
      <c r="G114"/>
      <c r="H114"/>
      <c r="I114"/>
      <c r="K114" s="46" t="s">
        <v>108</v>
      </c>
      <c r="L114" s="48" t="e">
        <f ca="1">_xll.DBRW($C$37,$K$100,$K$101,$K$102,$C$67,$C$68,$C$69,$C$70,$C$71,$C$72,$C$73,$C$74,$C$75,$K$103,$K$104,$E$77,$C$78,L$106)</f>
        <v>#VALUE!</v>
      </c>
      <c r="M114" s="48" t="e">
        <f ca="1">_xll.DBRW($C$37,$K$100,$K$101,$K$102,$C$67,$C$68,$C$69,$C$70,$C$71,$C$72,$C$73,$C$74,$C$75,$K$103,$K$104,$E$77,$C$78,M$106)</f>
        <v>#VALUE!</v>
      </c>
      <c r="N114" s="48" t="e">
        <f ca="1">_xll.DBRW($C$37,$K$100,$K$101,$K$102,$C$67,$C$68,$C$69,$C$70,$C$71,$C$72,$C$73,$C$74,$C$75,$K$103,$K$104,$E$77,$C$78,N$106)</f>
        <v>#VALUE!</v>
      </c>
      <c r="O114" s="48" t="e">
        <f ca="1">_xll.DBRW($C$37,$K$100,$K$101,$K$102,$C$67,$C$68,$C$69,$C$70,$C$71,$C$72,$C$73,$C$74,$C$75,$K$103,$K$104,$E$77,$C$78,O$106)</f>
        <v>#VALUE!</v>
      </c>
      <c r="P114" s="48" t="e">
        <f ca="1">_xll.DBRW($C$37,$K$100,$K$101,$K$102,$C$67,$C$68,$C$69,$C$70,$C$71,$C$72,$C$73,$C$74,$C$75,$K$103,$K$104,$E$77,$C$78,P$106)</f>
        <v>#VALUE!</v>
      </c>
      <c r="Q114" s="48" t="e">
        <f ca="1">_xll.DBRW($C$37,$K$100,$K$101,$K$102,$C$67,$C$68,$C$69,$C$70,$C$71,$C$72,$C$73,$C$74,$C$75,$K$103,$K$104,$E$77,$C$78,Q$106)</f>
        <v>#VALUE!</v>
      </c>
      <c r="R114" s="48" t="e">
        <f ca="1">_xll.DBRW($C$37,$K$100,$K$101,$K$102,$C$67,$C$68,$C$69,$C$70,$C$71,$C$72,$C$73,$C$74,$C$75,$K$103,$K$104,$E$77,$C$78,R$106)</f>
        <v>#VALUE!</v>
      </c>
      <c r="S114" s="48" t="e">
        <f ca="1">_xll.DBRW($C$37,$K$100,$K$101,$K$102,$C$67,$C$68,$C$69,$C$70,$C$71,$C$72,$C$73,$C$74,$C$75,$K$103,$K$104,$E$77,$C$78,S$106)</f>
        <v>#VALUE!</v>
      </c>
      <c r="T114" s="48" t="e">
        <f ca="1">_xll.DBRW($C$37,$K$100,$K$101,$K$102,$C$67,$C$68,$C$69,$C$70,$C$71,$C$72,$C$73,$C$74,$C$75,$K$103,$K$104,$E$77,$C$78,T$106)</f>
        <v>#VALUE!</v>
      </c>
      <c r="U114" s="48" t="e">
        <f ca="1">_xll.DBRW($C$37,$K$100,$K$101,$K$102,$C$67,$C$68,$C$69,$C$70,$C$71,$C$72,$C$73,$C$74,$C$75,$K$103,$K$104,$E$77,$C$78,U$106)</f>
        <v>#VALUE!</v>
      </c>
      <c r="V114" s="48" t="e">
        <f ca="1">_xll.DBRW($C$37,$K$100,$K$101,$K$102,$C$67,$C$68,$C$69,$C$70,$C$71,$C$72,$C$73,$C$74,$C$75,$K$103,$K$104,$E$77,$C$78,V$106)</f>
        <v>#VALUE!</v>
      </c>
      <c r="W114" s="48" t="e">
        <f ca="1">_xll.DBRW($C$37,$K$100,$K$101,$K$102,$C$67,$C$68,$C$69,$C$70,$C$71,$C$72,$C$73,$C$74,$C$75,$K$103,$K$104,$E$77,$C$78,W$106)</f>
        <v>#VALUE!</v>
      </c>
      <c r="X114" s="48" t="e">
        <f ca="1">_xll.DBRW($C$37,$K$100,$K$101,$K$102,$C$67,$C$68,$C$69,$C$70,$C$71,$C$72,$C$73,$C$74,$C$75,$K$103,$K$104,$E$77,$C$78,X$106)</f>
        <v>#VALUE!</v>
      </c>
      <c r="Y114" s="48" t="e">
        <f ca="1">_xll.DBRW($C$37,$K$100,$K$101,$K$102,$C$67,$C$68,$C$69,$C$70,$C$71,$C$72,$C$73,$C$74,$C$75,$K$103,$K$104,$E$77,$C$78,Y$106)</f>
        <v>#VALUE!</v>
      </c>
      <c r="Z114" s="48" t="e">
        <f ca="1">_xll.DBRW($C$37,$K$100,$K$101,$K$102,$C$67,$C$68,$C$69,$C$70,$C$71,$C$72,$C$73,$C$74,$C$75,$K$103,$K$104,$E$77,$C$78,Z$106)</f>
        <v>#VALUE!</v>
      </c>
    </row>
    <row r="115" spans="2:26" ht="4.5" customHeight="1" x14ac:dyDescent="0.25">
      <c r="B115" s="16"/>
      <c r="C115"/>
      <c r="D115"/>
      <c r="E115"/>
      <c r="F115"/>
      <c r="G115"/>
      <c r="H115"/>
      <c r="I115"/>
      <c r="L115" s="3"/>
      <c r="M115" s="3"/>
      <c r="N115" s="3"/>
      <c r="O115" s="3"/>
      <c r="P115" s="3"/>
      <c r="Q115" s="3"/>
    </row>
  </sheetData>
  <sheetProtection sheet="1" objects="1" scenarios="1"/>
  <mergeCells count="9">
    <mergeCell ref="B11:C11"/>
    <mergeCell ref="B19:C19"/>
    <mergeCell ref="B35:C35"/>
    <mergeCell ref="B63:C63"/>
    <mergeCell ref="P104:Q104"/>
    <mergeCell ref="P103:Q103"/>
    <mergeCell ref="M84:N84"/>
    <mergeCell ref="B25:D25"/>
    <mergeCell ref="C83:D83"/>
  </mergeCells>
  <dataValidations disablePrompts="1" count="1">
    <dataValidation type="list" allowBlank="1" showInputMessage="1" showErrorMessage="1" sqref="C83:D83" xr:uid="{44DA7C18-A966-49B2-B1F3-A38DA421908D}">
      <formula1>Acc_display_list</formula1>
    </dataValidation>
  </dataValidation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report</vt:lpstr>
      <vt:lpstr>Acc_display_list</vt:lpstr>
      <vt:lpstr>db_name</vt:lpstr>
      <vt:lpstr>Freeze_HERE</vt:lpstr>
      <vt:lpstr>psApp</vt:lpstr>
      <vt:lpstr>psHLYear</vt:lpstr>
      <vt:lpstr>psProgDimName</vt:lpstr>
      <vt:lpstr>psUser</vt:lpstr>
      <vt:lpstr>Report_type_table</vt:lpstr>
      <vt:lpstr>sys_disprep_list</vt:lpstr>
      <vt:lpstr>sys_YN_list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report!TM1RPTDATARNG3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cp:lastPrinted>2019-09-11T02:46:54Z</cp:lastPrinted>
  <dcterms:created xsi:type="dcterms:W3CDTF">2019-03-07T00:10:17Z</dcterms:created>
  <dcterms:modified xsi:type="dcterms:W3CDTF">2025-08-11T02:58:54Z</dcterms:modified>
</cp:coreProperties>
</file>