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}externals\"/>
    </mc:Choice>
  </mc:AlternateContent>
  <xr:revisionPtr revIDLastSave="0" documentId="8_{510C06FD-6684-417E-8CA8-E0C0F83C67C5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favourite list" sheetId="1" r:id="rId1"/>
  </sheets>
  <definedNames>
    <definedName name="db_name">'favourite list'!$C$11</definedName>
    <definedName name="psApp">'favourite list'!$C$29</definedName>
    <definedName name="psUser">'favourite list'!$C$13</definedName>
    <definedName name="TM1AdminFavAccCAP">'favourite list'!$D$35</definedName>
    <definedName name="TM1AdminFavAccWB">'favourite list'!$F$35</definedName>
    <definedName name="TM1AdminFavAccWS">'favourite list'!$H$35</definedName>
    <definedName name="TM1AdminFavListCAP">'favourite list'!$D$36</definedName>
    <definedName name="TM1AdminFavListWB">'favourite list'!$F$36</definedName>
    <definedName name="TM1AdminFavListWS">'favourite list'!$H$36</definedName>
    <definedName name="TM1AdminFavProgCAP">'favourite list'!$D$37</definedName>
    <definedName name="TM1AdminFavProgWB">'favourite list'!$F$37</definedName>
    <definedName name="TM1AdminFavProgWS">'favourite list'!$H$37</definedName>
    <definedName name="TM1HomeAdminFavCAP">'favourite list'!$D$34</definedName>
    <definedName name="TM1HomeAdminFavWB">'favourite list'!$F$34</definedName>
    <definedName name="TM1HomeAdminFavWS">'favourite list'!$H$34</definedName>
    <definedName name="TM1HomeAECAP">'favourite list'!$D$32</definedName>
    <definedName name="TM1HomeAEDataEntryCAP">'favourite list'!$D$33</definedName>
    <definedName name="TM1HomeAEDataEntryWB">'favourite list'!$F$33</definedName>
    <definedName name="TM1HomeAEDataEntryWS">'favourite list'!$H$33</definedName>
    <definedName name="TM1HomeAEWB">'favourite list'!$F$32</definedName>
    <definedName name="TM1HomeAEWS">'favourite list'!$H$32</definedName>
    <definedName name="TM1HomeCAP">'favourite list'!$D$31</definedName>
    <definedName name="TM1HomeWB">'favourite list'!$F$31</definedName>
    <definedName name="TM1HomeWS">'favourite list'!$H$31</definedName>
    <definedName name="TM1REBUILDOPTION">1</definedName>
    <definedName name="TM1RPTDATARNG2" localSheetId="0">'favourite list'!$56:$56</definedName>
    <definedName name="TM1RPTFMTIDCOL" localSheetId="0">'favourite list'!$A$1:$A$8</definedName>
    <definedName name="TM1RPTFMTRNG" localSheetId="0">'favourite list'!$J$1:$M$8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0" i="1" l="1" a="1"/>
  <c r="C40" i="1"/>
  <c r="C42" i="1"/>
  <c r="J56" i="1" a="1"/>
  <c r="J56" i="1"/>
  <c r="L56" i="1" a="1"/>
  <c r="L56" i="1"/>
  <c r="C28" i="1" a="1"/>
  <c r="C28" i="1"/>
  <c r="A56" i="1" a="1"/>
  <c r="A56" i="1"/>
  <c r="M56" i="1" a="1"/>
  <c r="M56" i="1"/>
  <c r="K56" i="1" a="1"/>
  <c r="K56" i="1"/>
  <c r="C41" i="1" a="1"/>
  <c r="C41" i="1"/>
  <c r="H37" i="1" a="1"/>
  <c r="H37" i="1"/>
  <c r="G37" i="1" a="1"/>
  <c r="G37" i="1"/>
  <c r="F37" i="1" a="1"/>
  <c r="F37" i="1"/>
  <c r="E37" i="1" a="1"/>
  <c r="E37" i="1"/>
  <c r="D37" i="1" a="1"/>
  <c r="D37" i="1"/>
  <c r="C37" i="1" a="1"/>
  <c r="C37" i="1"/>
  <c r="H36" i="1" a="1"/>
  <c r="H36" i="1"/>
  <c r="G36" i="1" a="1"/>
  <c r="G36" i="1"/>
  <c r="F36" i="1" a="1"/>
  <c r="F36" i="1"/>
  <c r="E36" i="1" a="1"/>
  <c r="E36" i="1"/>
  <c r="D36" i="1" a="1"/>
  <c r="D36" i="1"/>
  <c r="C36" i="1" a="1"/>
  <c r="C36" i="1"/>
  <c r="H35" i="1" a="1"/>
  <c r="H35" i="1"/>
  <c r="G35" i="1" a="1"/>
  <c r="G35" i="1"/>
  <c r="F35" i="1" a="1"/>
  <c r="F35" i="1"/>
  <c r="E35" i="1" a="1"/>
  <c r="E35" i="1"/>
  <c r="D35" i="1" a="1"/>
  <c r="D35" i="1"/>
  <c r="C35" i="1" a="1"/>
  <c r="C35" i="1"/>
  <c r="H34" i="1" a="1"/>
  <c r="H34" i="1"/>
  <c r="G34" i="1" a="1"/>
  <c r="G34" i="1"/>
  <c r="F34" i="1" a="1"/>
  <c r="F34" i="1"/>
  <c r="E34" i="1" a="1"/>
  <c r="E34" i="1"/>
  <c r="D34" i="1" a="1"/>
  <c r="D34" i="1"/>
  <c r="C34" i="1" a="1"/>
  <c r="C34" i="1"/>
  <c r="H33" i="1" a="1"/>
  <c r="H33" i="1"/>
  <c r="G33" i="1" a="1"/>
  <c r="G33" i="1"/>
  <c r="F33" i="1" a="1"/>
  <c r="F33" i="1"/>
  <c r="E33" i="1" a="1"/>
  <c r="E33" i="1"/>
  <c r="D33" i="1" a="1"/>
  <c r="D33" i="1"/>
  <c r="C33" i="1" a="1"/>
  <c r="C33" i="1"/>
  <c r="H32" i="1" a="1"/>
  <c r="H32" i="1"/>
  <c r="G32" i="1" a="1"/>
  <c r="G32" i="1"/>
  <c r="F32" i="1" a="1"/>
  <c r="F32" i="1"/>
  <c r="E32" i="1" a="1"/>
  <c r="E32" i="1"/>
  <c r="D32" i="1" a="1"/>
  <c r="D32" i="1"/>
  <c r="C32" i="1" a="1"/>
  <c r="C32" i="1"/>
  <c r="H31" i="1" a="1"/>
  <c r="H31" i="1"/>
  <c r="G31" i="1" a="1"/>
  <c r="G31" i="1"/>
  <c r="F31" i="1" a="1"/>
  <c r="F31" i="1"/>
  <c r="E31" i="1" a="1"/>
  <c r="E31" i="1"/>
  <c r="D31" i="1" a="1"/>
  <c r="D31" i="1"/>
  <c r="C31" i="1" a="1"/>
  <c r="C31" i="1"/>
  <c r="C19" i="1" a="1"/>
  <c r="C19" i="1"/>
  <c r="C25" i="1" a="1"/>
  <c r="C25" i="1"/>
  <c r="C24" i="1" a="1"/>
  <c r="C24" i="1"/>
  <c r="C23" i="1" a="1"/>
  <c r="C23" i="1"/>
  <c r="C22" i="1" a="1"/>
  <c r="C22" i="1"/>
  <c r="C21" i="1" a="1"/>
  <c r="C21" i="1"/>
  <c r="C20" i="1" a="1"/>
  <c r="C20" i="1"/>
  <c r="C12" i="1" a="1"/>
  <c r="C12" i="1"/>
  <c r="C13" i="1" a="1"/>
  <c r="C13" i="1"/>
  <c r="C15" i="1" a="1"/>
  <c r="C15" i="1"/>
  <c r="C14" i="1" a="1"/>
  <c r="C14" i="1"/>
  <c r="C16" i="1"/>
  <c r="A5" i="1"/>
  <c r="A4" i="1"/>
  <c r="A3" i="1"/>
  <c r="A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<sst xmlns="http://schemas.openxmlformats.org/spreadsheetml/2006/main" count="53" uniqueCount="52">
  <si>
    <t>code and description</t>
  </si>
  <si>
    <t>D</t>
  </si>
  <si>
    <t>N</t>
  </si>
  <si>
    <t>[Begin Format Range]</t>
  </si>
  <si>
    <t>[End Format Range]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</si>
  <si>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</si>
  <si>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</si>
  <si>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</si>
  <si>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</si>
  <si>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</si>
  <si>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</si>
  <si>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</si>
  <si>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</si>
  <si>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</si>
  <si>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</si>
  <si>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</si>
  <si>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No MA</t>
  </si>
  <si>
    <t>No RE</t>
  </si>
  <si>
    <t>No Jur</t>
  </si>
  <si>
    <t>No SPP</t>
  </si>
  <si>
    <t>sys_application MDX</t>
  </si>
  <si>
    <t>Slice View (sys_application)</t>
  </si>
  <si>
    <t>Current Workbook</t>
  </si>
  <si>
    <t>Admin Favourite - Set Account Favourites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</si>
  <si>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</si>
  <si>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</si>
  <si>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</si>
  <si>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</si>
  <si>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</si>
  <si>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</si>
  <si>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</si>
  <si>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</si>
  <si>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</si>
  <si>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Annual Estimates - Data Entry</t>
  </si>
  <si>
    <t>Homepage - Administration - Favourites</t>
  </si>
  <si>
    <t>Admin Favourite - Favourite List</t>
  </si>
  <si>
    <t>}ElementAttributes_favourites_id</t>
  </si>
  <si>
    <t>Active Form View</t>
  </si>
  <si>
    <t>Slice View</t>
  </si>
  <si>
    <t>Favourites ID MDX</t>
  </si>
  <si>
    <t>Code and Description</t>
  </si>
  <si>
    <t>Favourite ID</t>
  </si>
  <si>
    <t>Note : This screen list all the available Favourites in GEUS. This is a copy of the }ElementAttributes_favourites_id cube.</t>
  </si>
  <si>
    <t>Title</t>
  </si>
  <si>
    <t>title</t>
  </si>
  <si>
    <t>Favourite List</t>
  </si>
  <si>
    <t>Admin Favourite - Set Default Favourite For Program</t>
  </si>
  <si>
    <t>use program details</t>
  </si>
  <si>
    <t>USE ID Details Approp</t>
  </si>
  <si>
    <t xml:space="preserve">Note : The Use ID Details Flag will only look at the ACCOUNTS. And use the Appropriation Item from the ID Details. </t>
  </si>
  <si>
    <t>Note : Title and USE ID Details Approp is only EDITABLE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</si>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</sst>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18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3" fillId="2" borderId="0" xfId="0" applyFont="1" applyFill="1" applyAlignment="1">
      <alignment horizontal="center"/>
    </xf>
    <xf numFmtId="0" fontId="2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2" fillId="3" borderId="5" xfId="0" applyFont="1" applyFill="1" applyBorder="1"/>
    <xf numFmtId="0" fontId="2" fillId="3" borderId="6" xfId="0" applyFont="1" applyFill="1" applyBorder="1"/>
    <xf numFmtId="0" fontId="4" fillId="0" borderId="4" xfId="0" applyFont="1" applyBorder="1" applyAlignment="1">
      <alignment vertical="top" wrapText="1"/>
    </xf>
    <xf numFmtId="0" fontId="5" fillId="3" borderId="4" xfId="0" applyFont="1" applyFill="1" applyBorder="1" applyAlignment="1">
      <alignment horizontal="center" vertical="top"/>
    </xf>
    <xf numFmtId="49" fontId="5" fillId="3" borderId="4" xfId="0" applyNumberFormat="1" applyFont="1" applyFill="1" applyBorder="1" applyAlignment="1">
      <alignment horizontal="center" vertical="top"/>
    </xf>
    <xf numFmtId="0" fontId="6" fillId="4" borderId="0" xfId="0" applyFont="1" applyFill="1" applyAlignment="1">
      <alignment horizontal="right" vertical="center"/>
    </xf>
    <xf numFmtId="0" fontId="7" fillId="0" borderId="0" xfId="0" applyFont="1"/>
    <xf numFmtId="0" fontId="4" fillId="3" borderId="4" xfId="0" applyFont="1" applyFill="1" applyBorder="1" applyAlignment="1">
      <alignment vertical="top" wrapText="1"/>
    </xf>
    <xf numFmtId="0" fontId="1" fillId="4" borderId="0" xfId="0" applyFont="1" applyFill="1" applyAlignment="1">
      <alignment horizontal="center" vertical="center"/>
    </xf>
    <xf numFmtId="0" fontId="4" fillId="0" borderId="4" xfId="0" applyFont="1" applyBorder="1" applyAlignment="1">
      <alignment horizontal="center" vertical="top" wrapText="1"/>
    </xf>
    <xf numFmtId="0" fontId="1" fillId="4" borderId="0" xfId="0" applyFont="1" applyFill="1" applyAlignment="1">
      <alignment horizontal="center" vertical="center" wrapText="1"/>
    </xf>
    <xf numFmtId="0" fontId="4" fillId="0" borderId="4" xfId="0" applyFont="1" applyBorder="1" applyAlignment="1" applyProtection="1">
      <alignment horizontal="center" vertical="top" wrapText="1"/>
      <protection locked="0"/>
    </xf>
    <xf numFmtId="0" fontId="4" fillId="0" borderId="4" xfId="0" applyFont="1" applyBorder="1" applyAlignment="1" applyProtection="1">
      <alignment vertical="top" wrapText="1"/>
      <protection locked="0"/>
    </xf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38100</xdr:colOff>
      <xdr:row>45</xdr:row>
      <xdr:rowOff>28575</xdr:rowOff>
    </xdr:from>
    <xdr:to>
      <xdr:col>10</xdr:col>
      <xdr:colOff>931545</xdr:colOff>
      <xdr:row>45</xdr:row>
      <xdr:rowOff>474345</xdr:rowOff>
    </xdr:to>
    <xdr:pic>
      <xdr:nvPicPr>
        <xdr:cNvPr id="6" name="Picture 3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28575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57150</xdr:colOff>
      <xdr:row>47</xdr:row>
      <xdr:rowOff>9525</xdr:rowOff>
    </xdr:from>
    <xdr:to>
      <xdr:col>9</xdr:col>
      <xdr:colOff>695325</xdr:colOff>
      <xdr:row>47</xdr:row>
      <xdr:rowOff>257175</xdr:rowOff>
    </xdr:to>
    <xdr:sp macro="Sheet1.ExecuteAction_aeb81ed8_0bf9_41ad_878b_7952de5928cd" textlink="TM1HomeCAP">
      <xdr:nvSpPr>
        <xdr:cNvPr id="2" name="TM1Button_aeb81ed8_0bf9_41ad_878b_7952de5928cd">
          <a:extLst>
            <a:ext uri="{FF2B5EF4-FFF2-40B4-BE49-F238E27FC236}">
              <a16:creationId xmlns:a16="http://schemas.microsoft.com/office/drawing/2014/main" id="{02EE1525-EA19-1A37-3AAD-CCF52860234B}"/>
            </a:ext>
          </a:extLst>
        </xdr:cNvPr>
        <xdr:cNvSpPr txBox="1"/>
      </xdr:nvSpPr>
      <xdr:spPr>
        <a:xfrm>
          <a:off x="114300" y="571500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0E627FA1-F0F0-4DB4-B2B4-C6B5E25133BF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t>RECALC_0_167_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1019175</xdr:colOff>
      <xdr:row>47</xdr:row>
      <xdr:rowOff>9525</xdr:rowOff>
    </xdr:from>
    <xdr:to>
      <xdr:col>10</xdr:col>
      <xdr:colOff>2085975</xdr:colOff>
      <xdr:row>47</xdr:row>
      <xdr:rowOff>257175</xdr:rowOff>
    </xdr:to>
    <xdr:sp macro="Sheet1.ExecuteAction_596fa7d0_10f0_4541_9a43_36632c0cb996" textlink="">
      <xdr:nvSpPr>
        <xdr:cNvPr id="3" name="TM1Button_596fa7d0_10f0_4541_9a43_36632c0cb996">
          <a:extLst>
            <a:ext uri="{FF2B5EF4-FFF2-40B4-BE49-F238E27FC236}">
              <a16:creationId xmlns:a16="http://schemas.microsoft.com/office/drawing/2014/main" id="{20F24E9B-5808-6AF3-B310-4083E0CC4358}"/>
            </a:ext>
          </a:extLst>
        </xdr:cNvPr>
        <xdr:cNvSpPr txBox="1"/>
      </xdr:nvSpPr>
      <xdr:spPr>
        <a:xfrm>
          <a:off x="1924050" y="571500"/>
          <a:ext cx="10668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View Favourite</a:t>
          </a:r>
        </a:p>
      </xdr:txBody>
    </xdr:sp>
    <xdr:clientData/>
  </xdr:twoCellAnchor>
  <xdr:twoCellAnchor editAs="oneCell">
    <xdr:from>
      <xdr:col>11</xdr:col>
      <xdr:colOff>714375</xdr:colOff>
      <xdr:row>47</xdr:row>
      <xdr:rowOff>9525</xdr:rowOff>
    </xdr:from>
    <xdr:to>
      <xdr:col>11</xdr:col>
      <xdr:colOff>1495425</xdr:colOff>
      <xdr:row>47</xdr:row>
      <xdr:rowOff>257175</xdr:rowOff>
    </xdr:to>
    <xdr:sp macro="Sheet1.ExecuteAction_93e8bd1b_2900_4189_9854_2c6009233d82" textlink="">
      <xdr:nvSpPr>
        <xdr:cNvPr id="4" name="TM1Button_93e8bd1b_2900_4189_9854_2c6009233d82">
          <a:extLst>
            <a:ext uri="{FF2B5EF4-FFF2-40B4-BE49-F238E27FC236}">
              <a16:creationId xmlns:a16="http://schemas.microsoft.com/office/drawing/2014/main" id="{5F9F42A0-7EDB-5420-9B24-72D40753BEF5}"/>
            </a:ext>
          </a:extLst>
        </xdr:cNvPr>
        <xdr:cNvSpPr txBox="1"/>
      </xdr:nvSpPr>
      <xdr:spPr>
        <a:xfrm>
          <a:off x="5000625" y="571500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9</xdr:col>
      <xdr:colOff>714375</xdr:colOff>
      <xdr:row>47</xdr:row>
      <xdr:rowOff>9525</xdr:rowOff>
    </xdr:from>
    <xdr:to>
      <xdr:col>10</xdr:col>
      <xdr:colOff>990600</xdr:colOff>
      <xdr:row>47</xdr:row>
      <xdr:rowOff>257175</xdr:rowOff>
    </xdr:to>
    <xdr:sp macro="Sheet1.ExecuteAction_d9fb9bb1_2d91_48d6_9d02_46449f0515ae" textlink="TM1HomeAdminFavCAP">
      <xdr:nvSpPr>
        <xdr:cNvPr id="5" name="TM1Button_d9fb9bb1_2d91_48d6_9d02_46449f0515ae">
          <a:extLst>
            <a:ext uri="{FF2B5EF4-FFF2-40B4-BE49-F238E27FC236}">
              <a16:creationId xmlns:a16="http://schemas.microsoft.com/office/drawing/2014/main" id="{B732B562-5E29-BB35-0ABC-BC3BD99DC00C}"/>
            </a:ext>
          </a:extLst>
        </xdr:cNvPr>
        <xdr:cNvSpPr txBox="1"/>
      </xdr:nvSpPr>
      <xdr:spPr>
        <a:xfrm>
          <a:off x="771525" y="571500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C57848BA-7A22-4189-BC04-E6E7A41EB263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t>RECALC_0_246_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12</xdr:col>
      <xdr:colOff>4381500</xdr:colOff>
      <xdr:row>46</xdr:row>
      <xdr:rowOff>28575</xdr:rowOff>
    </xdr:from>
    <xdr:to>
      <xdr:col>12</xdr:col>
      <xdr:colOff>4695825</xdr:colOff>
      <xdr:row>47</xdr:row>
      <xdr:rowOff>285750</xdr:rowOff>
    </xdr:to>
    <xdr:sp macro="Sheet1.ExecuteAction_7f0407dd_c4f1_460e_8cf5_ceddf484cce1" textlink="">
      <xdr:nvSpPr>
        <xdr:cNvPr id="7" name="TM1Button_7f0407dd_c4f1_460e_8cf5_ceddf484cce1">
          <a:extLst>
            <a:ext uri="{FF2B5EF4-FFF2-40B4-BE49-F238E27FC236}">
              <a16:creationId xmlns:a16="http://schemas.microsoft.com/office/drawing/2014/main" id="{EE5BA4F5-7960-B5E6-DE8B-80C9A69BD207}"/>
            </a:ext>
          </a:extLst>
        </xdr:cNvPr>
        <xdr:cNvSpPr txBox="1"/>
      </xdr:nvSpPr>
      <xdr:spPr>
        <a:xfrm>
          <a:off x="10201275" y="533400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 </a:t>
          </a:r>
        </a:p>
      </xdr:txBody>
    </xdr:sp>
    <xdr:clientData/>
  </xdr:twoCellAnchor>
  <xdr:twoCellAnchor editAs="oneCell">
    <xdr:from>
      <xdr:col>10</xdr:col>
      <xdr:colOff>2114550</xdr:colOff>
      <xdr:row>47</xdr:row>
      <xdr:rowOff>9525</xdr:rowOff>
    </xdr:from>
    <xdr:to>
      <xdr:col>11</xdr:col>
      <xdr:colOff>657225</xdr:colOff>
      <xdr:row>47</xdr:row>
      <xdr:rowOff>257175</xdr:rowOff>
    </xdr:to>
    <xdr:sp macro="Sheet1.ExecuteAction_c40925e3_91e5_4113_93cb_14dffda5f21d" textlink="">
      <xdr:nvSpPr>
        <xdr:cNvPr id="8" name="TM1Button_c40925e3_91e5_4113_93cb_14dffda5f21d">
          <a:extLst>
            <a:ext uri="{FF2B5EF4-FFF2-40B4-BE49-F238E27FC236}">
              <a16:creationId xmlns:a16="http://schemas.microsoft.com/office/drawing/2014/main" id="{CEB64CB1-3D15-D1DF-2A3C-3DBC0678CCFD}"/>
            </a:ext>
          </a:extLst>
        </xdr:cNvPr>
        <xdr:cNvSpPr txBox="1"/>
      </xdr:nvSpPr>
      <xdr:spPr>
        <a:xfrm>
          <a:off x="3019425" y="571500"/>
          <a:ext cx="19240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Set Default Program Favourite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</sheetPr>
  <dimension ref="A1:M56"/>
  <sheetViews>
    <sheetView showGridLines="0" showRowColHeaders="0" tabSelected="1" showOutlineSymbols="0" topLeftCell="A46" workbookViewId="0">
      <pane ySplit="10" topLeftCell="A56" activePane="bottomLeft" state="frozen"/>
      <selection activeCell="I46" sqref="I46"/>
      <selection pane="bottomLeft"/>
    </sheetView>
  </sheetViews>
  <sheetFormatPr defaultRowHeight="15" outlineLevelRow="1" outlineLevelCol="1" x14ac:dyDescent="0.25"/>
  <cols>
    <col min="1" max="1" width="2.7109375" hidden="1" customWidth="1" outlineLevel="1"/>
    <col min="2" max="8" width="15.7109375" hidden="1" customWidth="1" outlineLevel="1"/>
    <col min="9" max="9" width="0.85546875" customWidth="1" collapsed="1"/>
    <col min="10" max="10" width="12.7109375" customWidth="1"/>
    <col min="11" max="11" width="50.7109375" customWidth="1"/>
    <col min="12" max="12" width="23" customWidth="1"/>
    <col min="13" max="13" width="70.7109375" customWidth="1"/>
  </cols>
  <sheetData>
    <row r="1" spans="1:13" hidden="1" outlineLevel="1" x14ac:dyDescent="0.25">
      <c r="A1" t="s">
        <v>3</v>
      </c>
    </row>
    <row r="2" spans="1:13" hidden="1" outlineLevel="1" x14ac:dyDescent="0.25">
      <c r="A2">
        <f>0</f>
        <v>0</v>
      </c>
      <c r="J2" s="10"/>
      <c r="K2" s="19"/>
      <c r="L2" s="18"/>
      <c r="M2" s="14"/>
    </row>
    <row r="3" spans="1:13" hidden="1" outlineLevel="1" x14ac:dyDescent="0.25">
      <c r="A3">
        <f>1</f>
        <v>1</v>
      </c>
      <c r="J3" s="10"/>
      <c r="K3" s="19"/>
      <c r="L3" s="18"/>
      <c r="M3" s="14"/>
    </row>
    <row r="4" spans="1:13" hidden="1" outlineLevel="1" x14ac:dyDescent="0.25">
      <c r="A4">
        <f>2</f>
        <v>2</v>
      </c>
      <c r="J4" s="10"/>
      <c r="K4" s="19"/>
      <c r="L4" s="18"/>
      <c r="M4" s="14"/>
    </row>
    <row r="5" spans="1:13" hidden="1" outlineLevel="1" x14ac:dyDescent="0.25">
      <c r="A5">
        <f>3</f>
        <v>3</v>
      </c>
      <c r="J5" s="10"/>
      <c r="K5" s="19"/>
      <c r="L5" s="18"/>
      <c r="M5" s="14"/>
    </row>
    <row r="6" spans="1:13" hidden="1" outlineLevel="1" x14ac:dyDescent="0.25">
      <c r="A6" t="s">
        <v>1</v>
      </c>
      <c r="J6" s="10"/>
      <c r="K6" s="19"/>
      <c r="L6" s="18"/>
      <c r="M6" s="14"/>
    </row>
    <row r="7" spans="1:13" hidden="1" outlineLevel="1" x14ac:dyDescent="0.25">
      <c r="A7" t="s">
        <v>2</v>
      </c>
      <c r="J7" s="10"/>
      <c r="K7" s="19"/>
      <c r="L7" s="18"/>
      <c r="M7" s="14"/>
    </row>
    <row r="8" spans="1:13" hidden="1" outlineLevel="1" x14ac:dyDescent="0.25">
      <c r="A8" t="s">
        <v>4</v>
      </c>
    </row>
    <row r="9" spans="1:13" hidden="1" outlineLevel="1" x14ac:dyDescent="0.25"/>
    <row r="10" spans="1:13" hidden="1" outlineLevel="1" x14ac:dyDescent="0.25">
      <c r="B10" s="20" t="s">
        <v>5</v>
      </c>
      <c r="C10" s="21"/>
      <c r="D10" s="22"/>
    </row>
    <row r="11" spans="1:13" hidden="1" outlineLevel="1" x14ac:dyDescent="0.25">
      <c r="B11" s="2" t="s">
        <v>6</v>
      </c>
      <c r="C11" s="3" t="s">
        <v>51</v>
      </c>
      <c r="D11" s="4"/>
    </row>
    <row r="12" spans="1:13" hidden="1" outlineLevel="1" x14ac:dyDescent="0.25">
      <c r="B12" s="2" t="s">
        <v>7</v>
      </c>
      <c r="C12" s="5" t="str" cm="1">
        <f t="array" ref="C12">_xll.VIEW(db_name&amp;":}ElementAttributes_}Clients","!","!")</f>
        <v>finance_geus:}ElementAttributes_}Clients:1264217196129791575</v>
      </c>
      <c r="D12" s="4"/>
    </row>
    <row r="13" spans="1:13" hidden="1" outlineLevel="1" x14ac:dyDescent="0.25">
      <c r="B13" s="2" t="s">
        <v>8</v>
      </c>
      <c r="C13" s="3" t="str" cm="1">
        <f t="array" aca="1" ref="C13" ca="1">_xll.TM1USER(db_name)</f>
        <v>RECALC_0_104_</v>
      </c>
      <c r="D13" s="4"/>
    </row>
    <row r="14" spans="1:13" hidden="1" outlineLevel="1" x14ac:dyDescent="0.25">
      <c r="B14" s="2" t="s">
        <v>9</v>
      </c>
      <c r="C14" s="3" t="str" cm="1">
        <f t="array" aca="1" ref="C14" ca="1">_xll.DBR($C$12,psUser,$B14)</f>
        <v>RECALC_1_113_</v>
      </c>
      <c r="D14" s="4"/>
    </row>
    <row r="15" spans="1:13" hidden="1" outlineLevel="1" x14ac:dyDescent="0.25">
      <c r="B15" s="2" t="s">
        <v>10</v>
      </c>
      <c r="C15" s="3" t="str" cm="1">
        <f t="array" aca="1" ref="C15" ca="1">_xll.DBR($C$12,$C$13,$B15)</f>
        <v>RECALC_1_112_</v>
      </c>
      <c r="D15" s="4"/>
    </row>
    <row r="16" spans="1:13" hidden="1" outlineLevel="1" x14ac:dyDescent="0.25">
      <c r="B16" s="2" t="s">
        <v>11</v>
      </c>
      <c r="C16" s="3" t="str">
        <f ca="1">IF(LEFT($C$13,6)="CAM_AD",$C$14,$C$13)</f>
        <v>RECALC_0_104_</v>
      </c>
      <c r="D16" s="6"/>
    </row>
    <row r="17" spans="2:8" hidden="1" outlineLevel="1" x14ac:dyDescent="0.25"/>
    <row r="18" spans="2:8" hidden="1" outlineLevel="1" x14ac:dyDescent="0.25">
      <c r="B18" s="20" t="s">
        <v>12</v>
      </c>
      <c r="C18" s="21"/>
      <c r="D18" s="22"/>
    </row>
    <row r="19" spans="2:8" hidden="1" outlineLevel="1" x14ac:dyDescent="0.25">
      <c r="B19" s="2" t="s">
        <v>13</v>
      </c>
      <c r="C19" s="6" t="str" cm="1">
        <f t="array" ref="C19">_xll.VIEW(db_name&amp;":}ElementAttributes_variables","!","!")</f>
        <v>finance_geus:}ElementAttributes_variables:1264217196-1976262828</v>
      </c>
      <c r="D19" s="6"/>
    </row>
    <row r="20" spans="2:8" hidden="1" outlineLevel="1" x14ac:dyDescent="0.25">
      <c r="B20" s="2" t="s">
        <v>14</v>
      </c>
      <c r="C20" s="6" t="str" cm="1">
        <f t="array" aca="1" ref="C20" ca="1">_xll.DBR($C$19,$B20,"value")</f>
        <v>RECALC_0_1_</v>
      </c>
      <c r="D20" s="6"/>
    </row>
    <row r="21" spans="2:8" hidden="1" outlineLevel="1" x14ac:dyDescent="0.25">
      <c r="B21" s="2" t="s">
        <v>15</v>
      </c>
      <c r="C21" s="6" t="str" cm="1">
        <f t="array" aca="1" ref="C21" ca="1">_xll.DBR($C$19,$B21,"value")</f>
        <v>RECALC_0_111_</v>
      </c>
      <c r="D21" s="6"/>
    </row>
    <row r="22" spans="2:8" hidden="1" outlineLevel="1" x14ac:dyDescent="0.25">
      <c r="B22" s="2" t="s">
        <v>16</v>
      </c>
      <c r="C22" s="6" t="str" cm="1">
        <f t="array" aca="1" ref="C22" ca="1">_xll.DBR($C$19,$B22,"value")</f>
        <v>RECALC_0_299_</v>
      </c>
      <c r="D22" s="6"/>
    </row>
    <row r="23" spans="2:8" hidden="1" outlineLevel="1" x14ac:dyDescent="0.25">
      <c r="B23" s="2" t="s">
        <v>17</v>
      </c>
      <c r="C23" s="6" t="str" cm="1">
        <f t="array" aca="1" ref="C23" ca="1">_xll.DBR($C$19,$B23,"value")</f>
        <v>RECALC_0_298_</v>
      </c>
      <c r="D23" s="6"/>
    </row>
    <row r="24" spans="2:8" hidden="1" outlineLevel="1" x14ac:dyDescent="0.25">
      <c r="B24" s="2" t="s">
        <v>18</v>
      </c>
      <c r="C24" s="6" t="str" cm="1">
        <f t="array" aca="1" ref="C24" ca="1">_xll.DBR($C$19,$B24,"value")</f>
        <v>RECALC_0_297_</v>
      </c>
      <c r="D24" s="6"/>
    </row>
    <row r="25" spans="2:8" hidden="1" outlineLevel="1" x14ac:dyDescent="0.25">
      <c r="B25" s="2" t="s">
        <v>19</v>
      </c>
      <c r="C25" s="6" t="str" cm="1">
        <f t="array" aca="1" ref="C25" ca="1">_xll.DBR($C$19,$B25,"value")</f>
        <v>RECALC_0_296_</v>
      </c>
      <c r="D25" s="6"/>
    </row>
    <row r="26" spans="2:8" hidden="1" outlineLevel="1" x14ac:dyDescent="0.25"/>
    <row r="27" spans="2:8" hidden="1" outlineLevel="1" x14ac:dyDescent="0.25">
      <c r="B27" s="20" t="s">
        <v>20</v>
      </c>
      <c r="C27" s="21"/>
      <c r="D27" s="22"/>
    </row>
    <row r="28" spans="2:8" hidden="1" outlineLevel="1" x14ac:dyDescent="0.25">
      <c r="B28" s="6" t="s">
        <v>21</v>
      </c>
      <c r="C28" s="6" t="str">
        <f t="array" ref="C28">_xll.VIEW(db_name&amp;":sys_application","!","!")</f>
        <v>finance_geus:sys_application:1264217196211591514</v>
      </c>
    </row>
    <row r="29" spans="2:8" hidden="1" outlineLevel="1" x14ac:dyDescent="0.25">
      <c r="B29" s="6" t="s">
        <v>22</v>
      </c>
      <c r="C29" s="6" t="s">
        <v>35</v>
      </c>
    </row>
    <row r="30" spans="2:8" hidden="1" outlineLevel="1" x14ac:dyDescent="0.25">
      <c r="B30" s="7" t="s">
        <v>24</v>
      </c>
      <c r="C30" s="8" t="s">
        <v>25</v>
      </c>
      <c r="D30" s="8" t="s">
        <v>26</v>
      </c>
      <c r="E30" s="8" t="s">
        <v>27</v>
      </c>
      <c r="F30" s="8" t="s">
        <v>28</v>
      </c>
      <c r="G30" s="8" t="s">
        <v>29</v>
      </c>
      <c r="H30" s="8" t="s">
        <v>30</v>
      </c>
    </row>
    <row r="31" spans="2:8" hidden="1" outlineLevel="1" x14ac:dyDescent="0.25">
      <c r="B31" s="6" t="s">
        <v>31</v>
      </c>
      <c r="C31" s="6" t="str" cm="1">
        <f t="array" aca="1" ref="C31" ca="1">_xll.DBR($C$28,$B31,C$30)</f>
        <v>RECALC_0_132_</v>
      </c>
      <c r="D31" s="6" t="str" cm="1">
        <f t="array" aca="1" ref="D31" ca="1">_xll.DBR($C$28,$B31,D$30)</f>
        <v>RECALC_0_167_</v>
      </c>
      <c r="E31" s="6" t="str" cm="1">
        <f t="array" aca="1" ref="E31" ca="1">_xll.DBR($C$28,$B31,E$30)</f>
        <v>RECALC_0_153_</v>
      </c>
      <c r="F31" s="6" t="str" cm="1">
        <f t="array" aca="1" ref="F31" ca="1">_xll.DBR($C$28,$B31,F$30)</f>
        <v>RECALC_0_133_</v>
      </c>
      <c r="G31" s="6" t="str" cm="1">
        <f t="array" aca="1" ref="G31" ca="1">_xll.DBR($C$28,$B31,G$30)</f>
        <v>RECALC_0_196_</v>
      </c>
      <c r="H31" s="6" t="str" cm="1">
        <f t="array" aca="1" ref="H31" ca="1">_xll.DBR($C$28,$B31,H$30)</f>
        <v>RECALC_0_120_</v>
      </c>
    </row>
    <row r="32" spans="2:8" hidden="1" outlineLevel="1" x14ac:dyDescent="0.25">
      <c r="B32" s="6" t="s">
        <v>32</v>
      </c>
      <c r="C32" s="6" t="str" cm="1">
        <f t="array" aca="1" ref="C32" ca="1">_xll.DBR($C$28,$B32,C$30)</f>
        <v>RECALC_0_135_</v>
      </c>
      <c r="D32" s="6" t="str" cm="1">
        <f t="array" aca="1" ref="D32" ca="1">_xll.DBR($C$28,$B32,D$30)</f>
        <v>RECALC_0_173_</v>
      </c>
      <c r="E32" s="6" t="str" cm="1">
        <f t="array" aca="1" ref="E32" ca="1">_xll.DBR($C$28,$B32,E$30)</f>
        <v>RECALC_0_183_</v>
      </c>
      <c r="F32" s="6" t="str" cm="1">
        <f t="array" aca="1" ref="F32" ca="1">_xll.DBR($C$28,$B32,F$30)</f>
        <v>RECALC_0_187_</v>
      </c>
      <c r="G32" s="6" t="str" cm="1">
        <f t="array" aca="1" ref="G32" ca="1">_xll.DBR($C$28,$B32,G$30)</f>
        <v>RECALC_0_191_</v>
      </c>
      <c r="H32" s="6" t="str" cm="1">
        <f t="array" aca="1" ref="H32" ca="1">_xll.DBR($C$28,$B32,H$30)</f>
        <v>RECALC_0_185_</v>
      </c>
    </row>
    <row r="33" spans="2:13" hidden="1" outlineLevel="1" x14ac:dyDescent="0.25">
      <c r="B33" s="6" t="s">
        <v>33</v>
      </c>
      <c r="C33" s="6" t="str" cm="1">
        <f t="array" aca="1" ref="C33" ca="1">_xll.DBR($C$28,$B33,C$30)</f>
        <v>RECALC_0_213_</v>
      </c>
      <c r="D33" s="6" t="str" cm="1">
        <f t="array" aca="1" ref="D33" ca="1">_xll.DBR($C$28,$B33,D$30)</f>
        <v>RECALC_0_210_</v>
      </c>
      <c r="E33" s="6" t="str" cm="1">
        <f t="array" aca="1" ref="E33" ca="1">_xll.DBR($C$28,$B33,E$30)</f>
        <v>RECALC_0_208_</v>
      </c>
      <c r="F33" s="6" t="str" cm="1">
        <f t="array" aca="1" ref="F33" ca="1">_xll.DBR($C$28,$B33,F$30)</f>
        <v>RECALC_0_207_</v>
      </c>
      <c r="G33" s="6" t="str" cm="1">
        <f t="array" aca="1" ref="G33" ca="1">_xll.DBR($C$28,$B33,G$30)</f>
        <v>RECALC_0_230_</v>
      </c>
      <c r="H33" s="6" t="str" cm="1">
        <f t="array" aca="1" ref="H33" ca="1">_xll.DBR($C$28,$B33,H$30)</f>
        <v>RECALC_0_227_</v>
      </c>
    </row>
    <row r="34" spans="2:13" hidden="1" outlineLevel="1" x14ac:dyDescent="0.25">
      <c r="B34" s="6" t="s">
        <v>34</v>
      </c>
      <c r="C34" s="6" t="str" cm="1">
        <f t="array" aca="1" ref="C34" ca="1">_xll.DBR($C$28,$B34,C$30)</f>
        <v>RECALC_0_247_</v>
      </c>
      <c r="D34" s="6" t="str" cm="1">
        <f t="array" aca="1" ref="D34" ca="1">_xll.DBR($C$28,$B34,D$30)</f>
        <v>RECALC_0_246_</v>
      </c>
      <c r="E34" s="6" t="str" cm="1">
        <f t="array" aca="1" ref="E34" ca="1">_xll.DBR($C$28,$B34,E$30)</f>
        <v>RECALC_0_245_</v>
      </c>
      <c r="F34" s="6" t="str" cm="1">
        <f t="array" aca="1" ref="F34" ca="1">_xll.DBR($C$28,$B34,F$30)</f>
        <v>RECALC_0_244_</v>
      </c>
      <c r="G34" s="6" t="str" cm="1">
        <f t="array" aca="1" ref="G34" ca="1">_xll.DBR($C$28,$B34,G$30)</f>
        <v>RECALC_0_243_</v>
      </c>
      <c r="H34" s="6" t="str" cm="1">
        <f t="array" aca="1" ref="H34" ca="1">_xll.DBR($C$28,$B34,H$30)</f>
        <v>RECALC_0_242_</v>
      </c>
    </row>
    <row r="35" spans="2:13" hidden="1" outlineLevel="1" x14ac:dyDescent="0.25">
      <c r="B35" s="6" t="s">
        <v>23</v>
      </c>
      <c r="C35" s="6" t="str" cm="1">
        <f t="array" aca="1" ref="C35" ca="1">_xll.DBR($C$28,$B35,C$30)</f>
        <v>RECALC_0_295_</v>
      </c>
      <c r="D35" s="6" t="str" cm="1">
        <f t="array" aca="1" ref="D35" ca="1">_xll.DBR($C$28,$B35,D$30)</f>
        <v>RECALC_0_294_</v>
      </c>
      <c r="E35" s="6" t="str" cm="1">
        <f t="array" aca="1" ref="E35" ca="1">_xll.DBR($C$28,$B35,E$30)</f>
        <v>RECALC_0_293_</v>
      </c>
      <c r="F35" s="6" t="str" cm="1">
        <f t="array" aca="1" ref="F35" ca="1">_xll.DBR($C$28,$B35,F$30)</f>
        <v>RECALC_0_292_</v>
      </c>
      <c r="G35" s="6" t="str" cm="1">
        <f t="array" aca="1" ref="G35" ca="1">_xll.DBR($C$28,$B35,G$30)</f>
        <v>RECALC_0_291_</v>
      </c>
      <c r="H35" s="6" t="str" cm="1">
        <f t="array" aca="1" ref="H35" ca="1">_xll.DBR($C$28,$B35,H$30)</f>
        <v>RECALC_0_290_</v>
      </c>
    </row>
    <row r="36" spans="2:13" hidden="1" outlineLevel="1" x14ac:dyDescent="0.25">
      <c r="B36" s="6" t="s">
        <v>35</v>
      </c>
      <c r="C36" s="6" t="str" cm="1">
        <f t="array" aca="1" ref="C36" ca="1">_xll.DBR($C$28,$B36,C$30)</f>
        <v>RECALC_0_289_</v>
      </c>
      <c r="D36" s="6" t="str" cm="1">
        <f t="array" aca="1" ref="D36" ca="1">_xll.DBR($C$28,$B36,D$30)</f>
        <v>RECALC_0_288_</v>
      </c>
      <c r="E36" s="6" t="str" cm="1">
        <f t="array" aca="1" ref="E36" ca="1">_xll.DBR($C$28,$B36,E$30)</f>
        <v>RECALC_0_287_</v>
      </c>
      <c r="F36" s="6" t="str" cm="1">
        <f t="array" aca="1" ref="F36" ca="1">_xll.DBR($C$28,$B36,F$30)</f>
        <v>RECALC_0_286_</v>
      </c>
      <c r="G36" s="6" t="str" cm="1">
        <f t="array" aca="1" ref="G36" ca="1">_xll.DBR($C$28,$B36,G$30)</f>
        <v>RECALC_0_285_</v>
      </c>
      <c r="H36" s="6" t="str" cm="1">
        <f t="array" aca="1" ref="H36" ca="1">_xll.DBR($C$28,$B36,H$30)</f>
        <v>RECALC_0_284_</v>
      </c>
    </row>
    <row r="37" spans="2:13" hidden="1" outlineLevel="1" x14ac:dyDescent="0.25">
      <c r="B37" s="6" t="s">
        <v>46</v>
      </c>
      <c r="C37" s="6" t="str" cm="1">
        <f t="array" aca="1" ref="C37" ca="1">_xll.DBR($C$28,$B37,C$30)</f>
        <v>RECALC_0_283_</v>
      </c>
      <c r="D37" s="6" t="str" cm="1">
        <f t="array" aca="1" ref="D37" ca="1">_xll.DBR($C$28,$B37,D$30)</f>
        <v>RECALC_0_282_</v>
      </c>
      <c r="E37" s="6" t="str" cm="1">
        <f t="array" aca="1" ref="E37" ca="1">_xll.DBR($C$28,$B37,E$30)</f>
        <v>RECALC_0_281_</v>
      </c>
      <c r="F37" s="6" t="str" cm="1">
        <f t="array" aca="1" ref="F37" ca="1">_xll.DBR($C$28,$B37,F$30)</f>
        <v>RECALC_0_280_</v>
      </c>
      <c r="G37" s="6" t="str" cm="1">
        <f t="array" aca="1" ref="G37" ca="1">_xll.DBR($C$28,$B37,G$30)</f>
        <v>RECALC_0_279_</v>
      </c>
      <c r="H37" s="6" t="str" cm="1">
        <f t="array" aca="1" ref="H37" ca="1">_xll.DBR($C$28,$B37,H$30)</f>
        <v>RECALC_0_278_</v>
      </c>
    </row>
    <row r="38" spans="2:13" hidden="1" outlineLevel="1" x14ac:dyDescent="0.25"/>
    <row r="39" spans="2:13" hidden="1" outlineLevel="1" x14ac:dyDescent="0.25">
      <c r="B39" s="20" t="s">
        <v>36</v>
      </c>
      <c r="C39" s="21"/>
      <c r="D39" s="22"/>
    </row>
    <row r="40" spans="2:13" hidden="1" outlineLevel="1" x14ac:dyDescent="0.25">
      <c r="B40" s="6" t="s">
        <v>37</v>
      </c>
      <c r="C40" s="6" t="str">
        <f t="array" ref="C40">_xll.TM1RPTVIEW(db_name&amp;":}ElementAttributes_favourites_id:2", 0,TM1RPTFMTRNG,TM1RPTFMTIDCOL)</f>
        <v>finance_geus:}ElementAttributes_favourites_id:2</v>
      </c>
      <c r="D40" s="6"/>
    </row>
    <row r="41" spans="2:13" hidden="1" outlineLevel="1" x14ac:dyDescent="0.25">
      <c r="B41" s="6" t="s">
        <v>38</v>
      </c>
      <c r="C41" s="6" t="str" cm="1">
        <f t="array" ref="C41">_xll.VIEW(db_name&amp;":}ElementAttributes_favourites_id","!","!")</f>
        <v>finance_geus:}ElementAttributes_favourites_id:12642171961003247064</v>
      </c>
      <c r="D41" s="6"/>
    </row>
    <row r="42" spans="2:13" hidden="1" outlineLevel="1" x14ac:dyDescent="0.25">
      <c r="B42" s="6" t="s">
        <v>39</v>
      </c>
      <c r="C42" s="6" t="str">
        <f>"{TM1FILTERBYLEVEL( {TM1DRILLDOWNMEMBER( {[favourites_id].[Total IDs]}, ALL, RECURSIVE )}, 0)}"</f>
        <v>{TM1FILTERBYLEVEL( {TM1DRILLDOWNMEMBER( {[favourites_id].[Total IDs]}, ALL, RECURSIVE )}, 0)}</v>
      </c>
      <c r="D42" s="6"/>
      <c r="K42" s="1" t="s">
        <v>44</v>
      </c>
      <c r="L42" s="1" t="s">
        <v>47</v>
      </c>
      <c r="M42" s="1" t="s">
        <v>0</v>
      </c>
    </row>
    <row r="43" spans="2:13" hidden="1" outlineLevel="1" x14ac:dyDescent="0.25"/>
    <row r="44" spans="2:13" hidden="1" outlineLevel="1" x14ac:dyDescent="0.25"/>
    <row r="45" spans="2:13" hidden="1" outlineLevel="1" x14ac:dyDescent="0.25"/>
    <row r="46" spans="2:13" ht="39.950000000000003" customHeight="1" collapsed="1" x14ac:dyDescent="0.25">
      <c r="I46" s="12"/>
      <c r="J46" s="12"/>
      <c r="K46" s="12"/>
      <c r="L46" s="12"/>
      <c r="M46" s="12" t="s">
        <v>45</v>
      </c>
    </row>
    <row r="47" spans="2:13" ht="4.5" customHeight="1" x14ac:dyDescent="0.25"/>
    <row r="48" spans="2:13" ht="24" customHeight="1" x14ac:dyDescent="0.25"/>
    <row r="49" spans="1:13" ht="1.5" customHeight="1" x14ac:dyDescent="0.25">
      <c r="I49" s="12"/>
      <c r="J49" s="12"/>
      <c r="K49" s="12"/>
      <c r="L49" s="12"/>
      <c r="M49" s="12"/>
    </row>
    <row r="50" spans="1:13" ht="4.5" customHeight="1" x14ac:dyDescent="0.25"/>
    <row r="51" spans="1:13" x14ac:dyDescent="0.25">
      <c r="J51" s="13" t="s">
        <v>42</v>
      </c>
    </row>
    <row r="52" spans="1:13" x14ac:dyDescent="0.25">
      <c r="J52" s="13" t="s">
        <v>50</v>
      </c>
    </row>
    <row r="53" spans="1:13" x14ac:dyDescent="0.25">
      <c r="J53" s="13" t="s">
        <v>49</v>
      </c>
    </row>
    <row r="54" spans="1:13" ht="4.5" customHeight="1" x14ac:dyDescent="0.25"/>
    <row r="55" spans="1:13" x14ac:dyDescent="0.25">
      <c r="J55" s="15" t="s">
        <v>41</v>
      </c>
      <c r="K55" s="15" t="s">
        <v>43</v>
      </c>
      <c r="L55" s="17" t="s">
        <v>48</v>
      </c>
      <c r="M55" s="15" t="s">
        <v>40</v>
      </c>
    </row>
    <row r="56" spans="1:13" x14ac:dyDescent="0.25">
      <c r="A56" t="e" cm="1">
        <f t="array" aca="1" ref="A56" ca="1">IF(_xll.TM1RPTELISCONSOLIDATED($J$56,$J56),IF(_xll.TM1RPTELLEV($J$56,$J56)&lt;=3,_xll.TM1RPTELLEV($J$56,$J56),"D"),"N")</f>
        <v>#VALUE!</v>
      </c>
      <c r="J56" s="11" t="str">
        <f t="array" aca="1" ref="J56" ca="1">_xll.TM1RPTROW($C$40,db_name&amp;":favourites_id","","","",0,$C$42)</f>
        <v>pending__540121ba-de79-4d0c-a437-c9ce32c4768dsys_Admin - Favourite List.xlsx:favourite list:TM1RPTDATARNG:2</v>
      </c>
      <c r="K56" s="9" t="e" cm="1">
        <f t="array" aca="1" ref="K56" ca="1">_xll.DBRW($C$40,$J56,K$42)</f>
        <v>#VALUE!</v>
      </c>
      <c r="L56" s="16" t="e" cm="1">
        <f t="array" aca="1" ref="L56" ca="1">_xll.DBRW($C$40,$J56,L$42)</f>
        <v>#VALUE!</v>
      </c>
      <c r="M56" s="14" t="e" cm="1">
        <f t="array" aca="1" ref="M56" ca="1">_xll.DBRW($C$40,$J56,M$42)</f>
        <v>#VALUE!</v>
      </c>
    </row>
  </sheetData>
  <mergeCells count="4">
    <mergeCell ref="B10:D10"/>
    <mergeCell ref="B18:D18"/>
    <mergeCell ref="B27:D27"/>
    <mergeCell ref="B39:D39"/>
  </mergeCells>
  <pageMargins left="0.7" right="0.7" top="0.75" bottom="0.75" header="0.3" footer="0.3"/>
  <pageSetup orientation="portrait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27</vt:i4>
      </vt:variant>
    </vt:vector>
  </HeadingPairs>
  <TitlesOfParts>
    <vt:vector size="28" baseType="lpstr">
      <vt:lpstr>favourite list</vt:lpstr>
      <vt:lpstr>db_name</vt:lpstr>
      <vt:lpstr>psApp</vt:lpstr>
      <vt:lpstr>psUser</vt:lpstr>
      <vt:lpstr>TM1AdminFavAccCAP</vt:lpstr>
      <vt:lpstr>TM1AdminFavAccWB</vt:lpstr>
      <vt:lpstr>TM1AdminFavAccWS</vt:lpstr>
      <vt:lpstr>TM1AdminFavListCAP</vt:lpstr>
      <vt:lpstr>TM1AdminFavListWB</vt:lpstr>
      <vt:lpstr>TM1AdminFavListWS</vt:lpstr>
      <vt:lpstr>TM1AdminFavProgCAP</vt:lpstr>
      <vt:lpstr>TM1AdminFavProgWB</vt:lpstr>
      <vt:lpstr>TM1AdminFavProgWS</vt:lpstr>
      <vt:lpstr>TM1HomeAdminFavCAP</vt:lpstr>
      <vt:lpstr>TM1HomeAdminFavWB</vt:lpstr>
      <vt:lpstr>TM1HomeAdminFavWS</vt:lpstr>
      <vt:lpstr>TM1HomeAECAP</vt:lpstr>
      <vt:lpstr>TM1HomeAEDataEntryCAP</vt:lpstr>
      <vt:lpstr>TM1HomeAEDataEntryWB</vt:lpstr>
      <vt:lpstr>TM1HomeAEDataEntryWS</vt:lpstr>
      <vt:lpstr>TM1HomeAEWB</vt:lpstr>
      <vt:lpstr>TM1HomeAEWS</vt:lpstr>
      <vt:lpstr>TM1HomeCAP</vt:lpstr>
      <vt:lpstr>TM1HomeWB</vt:lpstr>
      <vt:lpstr>TM1HomeWS</vt:lpstr>
      <vt:lpstr>'favourite list'!TM1RPTDATARNG2</vt:lpstr>
      <vt:lpstr>'favourite list'!TM1RPTFMTIDCOL</vt:lpstr>
      <vt:lpstr>'favourite list'!TM1RPTFMTRNG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Kevin He</cp:lastModifiedBy>
  <dcterms:created xsi:type="dcterms:W3CDTF">2019-08-30T11:21:42Z</dcterms:created>
  <dcterms:modified xsi:type="dcterms:W3CDTF">2025-08-11T02:28:48Z</dcterms:modified>
</cp:coreProperties>
</file>