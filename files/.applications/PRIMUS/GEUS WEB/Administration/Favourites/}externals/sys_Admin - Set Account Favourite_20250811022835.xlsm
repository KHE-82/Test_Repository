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A2EDBFF1-3ED0-417D-BB2A-1A26A9588571}" xr6:coauthVersionLast="47" xr6:coauthVersionMax="47" xr10:uidLastSave="{00000000-0000-0000-0000-000000000000}"/>
  <bookViews>
    <workbookView xWindow="-120" yWindow="-120" windowWidth="29040" windowHeight="15840" xr2:uid="{F3E37C9C-500D-4983-B37B-8BB49DB062D1}"/>
  </bookViews>
  <sheets>
    <sheet name="favourite" sheetId="1" r:id="rId1"/>
    <sheet name="{PL}PickLst" sheetId="2" state="hidden" r:id="rId2"/>
  </sheets>
  <definedNames>
    <definedName name="db_name">favourite!$C$12</definedName>
    <definedName name="psAcc">favourite!$K$136</definedName>
    <definedName name="psApp">favourite!$C$30</definedName>
    <definedName name="psByPass">favourite!$Q$136</definedName>
    <definedName name="psFavID">favourite!$L$130</definedName>
    <definedName name="psItem">favourite!$P$136</definedName>
    <definedName name="psJur">favourite!$N$136</definedName>
    <definedName name="psMA">favourite!$L$136</definedName>
    <definedName name="psRE">favourite!$M$136</definedName>
    <definedName name="psSPP">favourite!$O$136</definedName>
    <definedName name="psTargetFavID">favourite!$P$130</definedName>
    <definedName name="psUser">favourite!$C$14</definedName>
    <definedName name="TM1AdminFavAccCAP">favourite!$D$36</definedName>
    <definedName name="TM1AdminFavAccWB">favourite!$F$36</definedName>
    <definedName name="TM1AdminFavAccWS">favourite!$H$36</definedName>
    <definedName name="TM1AdminFavListCAP">favourite!$D$37</definedName>
    <definedName name="TM1AdminFavListWB">favourite!$F$37</definedName>
    <definedName name="TM1AdminFavListWS">favourite!$H$37</definedName>
    <definedName name="TM1HomeAdminFavCAP">favourite!$D$35</definedName>
    <definedName name="TM1HomeAdminFavWB">favourite!$F$35</definedName>
    <definedName name="TM1HomeAdminFavWS">favourite!$H$35</definedName>
    <definedName name="TM1HomeAECAP">favourite!$D$33</definedName>
    <definedName name="TM1HomeAEDataEntryCAP">favourite!$D$34</definedName>
    <definedName name="TM1HomeAEDataEntryWB">favourite!$F$34</definedName>
    <definedName name="TM1HomeAEDataEntryWS">favourite!$H$34</definedName>
    <definedName name="TM1HomeAEWB">favourite!$F$33</definedName>
    <definedName name="TM1HomeAEWS">favourite!$H$33</definedName>
    <definedName name="TM1HomeCAP">favourite!$D$32</definedName>
    <definedName name="TM1HomeWB">favourite!$F$32</definedName>
    <definedName name="TM1HomeWS">favourite!$H$32</definedName>
    <definedName name="TM1REBUILDOPTION">1</definedName>
    <definedName name="TM1RPTDATARNG1" localSheetId="0">favourite!$140:$140</definedName>
    <definedName name="TM1RPTFMTIDCOL" localSheetId="0">favourite!$A$1:$A$8</definedName>
    <definedName name="TM1RPTFMTRNG" localSheetId="0">favourite!$K$1:$Q$8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0" i="1" l="1"/>
  <c r="C94" i="1"/>
  <c r="P140" i="1" a="1"/>
  <c r="P140" i="1" s="1"/>
  <c r="O140" i="1" a="1"/>
  <c r="O140" i="1" s="1"/>
  <c r="N140" i="1" a="1"/>
  <c r="N140" i="1" s="1"/>
  <c r="M140" i="1" a="1"/>
  <c r="M140" i="1"/>
  <c r="L140" i="1" a="1"/>
  <c r="L140" i="1" s="1"/>
  <c r="K140" i="1" a="1"/>
  <c r="K140" i="1" s="1"/>
  <c r="P130" i="1"/>
  <c r="C29" i="1"/>
  <c r="A140" i="1" a="1"/>
  <c r="A140" i="1" s="1"/>
  <c r="C112" i="1" a="1"/>
  <c r="C112" i="1"/>
  <c r="L132" i="1" a="1"/>
  <c r="L132" i="1" s="1"/>
  <c r="Q140" i="1" a="1"/>
  <c r="Q140" i="1" s="1"/>
  <c r="C40" i="1" a="1"/>
  <c r="C40" i="1"/>
  <c r="C14" i="1" a="1"/>
  <c r="C14" i="1" s="1"/>
  <c r="Q136" i="1" a="1"/>
  <c r="Q136" i="1" s="1"/>
  <c r="G62" i="1" s="1"/>
  <c r="P136" i="1" a="1"/>
  <c r="P136" i="1" s="1"/>
  <c r="G60" i="1" s="1"/>
  <c r="O136" i="1" a="1"/>
  <c r="O136" i="1" s="1"/>
  <c r="G61" i="1" s="1"/>
  <c r="N136" i="1" a="1"/>
  <c r="N136" i="1" s="1"/>
  <c r="M136" i="1" a="1"/>
  <c r="M136" i="1" s="1"/>
  <c r="L136" i="1" a="1"/>
  <c r="L136" i="1" s="1"/>
  <c r="K136" i="1" a="1"/>
  <c r="K136" i="1" s="1"/>
  <c r="C109" i="1" a="1"/>
  <c r="C109" i="1"/>
  <c r="C108" i="1" a="1"/>
  <c r="C108" i="1"/>
  <c r="C107" i="1" a="1"/>
  <c r="C107" i="1"/>
  <c r="C106" i="1" a="1"/>
  <c r="C106" i="1"/>
  <c r="C105" i="1" a="1"/>
  <c r="C105" i="1"/>
  <c r="C95" i="1" a="1"/>
  <c r="C95" i="1" s="1"/>
  <c r="C79" i="1" a="1"/>
  <c r="C79" i="1"/>
  <c r="C69" i="1" a="1"/>
  <c r="C69" i="1"/>
  <c r="C57" i="1" a="1"/>
  <c r="C57" i="1" s="1"/>
  <c r="C88" i="1" s="1"/>
  <c r="C70" i="1" a="1"/>
  <c r="C70" i="1" s="1"/>
  <c r="H58" i="1" s="1"/>
  <c r="G58" i="1" s="1"/>
  <c r="C61" i="1" s="1" a="1"/>
  <c r="C61" i="1" s="1"/>
  <c r="C20" i="1" a="1"/>
  <c r="C20" i="1"/>
  <c r="C23" i="1" a="1"/>
  <c r="C23" i="1" s="1"/>
  <c r="C91" i="1" a="1"/>
  <c r="C91" i="1" s="1"/>
  <c r="G57" i="1" s="1"/>
  <c r="C89" i="1" a="1"/>
  <c r="C89" i="1" s="1"/>
  <c r="C86" i="1" a="1"/>
  <c r="C86" i="1" s="1"/>
  <c r="C85" i="1" a="1"/>
  <c r="C85" i="1" s="1"/>
  <c r="C87" i="1" a="1"/>
  <c r="C87" i="1" s="1"/>
  <c r="C58" i="1" a="1"/>
  <c r="C58" i="1" s="1"/>
  <c r="C81" i="1" a="1"/>
  <c r="C81" i="1"/>
  <c r="D81" i="1" a="1"/>
  <c r="D81" i="1" s="1"/>
  <c r="C80" i="1" a="1"/>
  <c r="C80" i="1" s="1"/>
  <c r="C76" i="1" a="1"/>
  <c r="C76" i="1" s="1"/>
  <c r="D76" i="1" a="1"/>
  <c r="D76" i="1" s="1"/>
  <c r="C75" i="1" a="1"/>
  <c r="C75" i="1" s="1"/>
  <c r="C74" i="1" a="1"/>
  <c r="C74" i="1" s="1"/>
  <c r="C73" i="1" a="1"/>
  <c r="C73" i="1" s="1"/>
  <c r="G59" i="1" s="1"/>
  <c r="C72" i="1" a="1"/>
  <c r="C72" i="1" s="1"/>
  <c r="D72" i="1" a="1"/>
  <c r="D72" i="1" s="1"/>
  <c r="C71" i="1" a="1"/>
  <c r="C71" i="1" s="1"/>
  <c r="I58" i="1" s="1"/>
  <c r="G63" i="1"/>
  <c r="C26" i="1" a="1"/>
  <c r="C26" i="1" s="1"/>
  <c r="C25" i="1" a="1"/>
  <c r="C25" i="1" s="1"/>
  <c r="H60" i="1"/>
  <c r="I60" i="1" a="1"/>
  <c r="I60" i="1"/>
  <c r="C60" i="1" a="1"/>
  <c r="C60" i="1" s="1"/>
  <c r="C59" i="1" a="1"/>
  <c r="C59" i="1" s="1"/>
  <c r="D54" i="1" a="1"/>
  <c r="D54" i="1" s="1"/>
  <c r="C54" i="1" a="1"/>
  <c r="C54" i="1" s="1"/>
  <c r="D53" i="1" a="1"/>
  <c r="D53" i="1" s="1"/>
  <c r="C53" i="1" a="1"/>
  <c r="C53" i="1"/>
  <c r="D52" i="1" a="1"/>
  <c r="D52" i="1"/>
  <c r="C52" i="1" a="1"/>
  <c r="C52" i="1" s="1"/>
  <c r="D51" i="1" a="1"/>
  <c r="D51" i="1" s="1"/>
  <c r="P137" i="1" s="1"/>
  <c r="C51" i="1" a="1"/>
  <c r="C51" i="1" s="1"/>
  <c r="D50" i="1" a="1"/>
  <c r="D50" i="1" s="1"/>
  <c r="N137" i="1" s="1"/>
  <c r="C50" i="1" a="1"/>
  <c r="C50" i="1" s="1"/>
  <c r="D49" i="1" a="1"/>
  <c r="D49" i="1" s="1"/>
  <c r="M137" i="1" s="1"/>
  <c r="C49" i="1" a="1"/>
  <c r="C49" i="1" s="1"/>
  <c r="D48" i="1" a="1"/>
  <c r="D48" i="1" s="1"/>
  <c r="L137" i="1" s="1"/>
  <c r="C48" i="1" a="1"/>
  <c r="C48" i="1" s="1"/>
  <c r="D47" i="1" a="1"/>
  <c r="D47" i="1" s="1"/>
  <c r="K137" i="1" s="1"/>
  <c r="C47" i="1" a="1"/>
  <c r="C47" i="1"/>
  <c r="D46" i="1" a="1"/>
  <c r="D46" i="1" s="1"/>
  <c r="C46" i="1" a="1"/>
  <c r="C46" i="1" s="1"/>
  <c r="C45" i="1" a="1"/>
  <c r="C45" i="1" s="1"/>
  <c r="C44" i="1" a="1"/>
  <c r="C44" i="1" s="1"/>
  <c r="C43" i="1" a="1"/>
  <c r="C43" i="1"/>
  <c r="C42" i="1" a="1"/>
  <c r="C42" i="1" s="1"/>
  <c r="H37" i="1" a="1"/>
  <c r="H37" i="1" s="1"/>
  <c r="G37" i="1" a="1"/>
  <c r="G37" i="1" s="1"/>
  <c r="F37" i="1" a="1"/>
  <c r="F37" i="1" s="1"/>
  <c r="E37" i="1" a="1"/>
  <c r="E37" i="1" s="1"/>
  <c r="D37" i="1" a="1"/>
  <c r="D37" i="1"/>
  <c r="C37" i="1" a="1"/>
  <c r="C37" i="1"/>
  <c r="H36" i="1" a="1"/>
  <c r="H36" i="1" s="1"/>
  <c r="G36" i="1" a="1"/>
  <c r="G36" i="1" s="1"/>
  <c r="F36" i="1" a="1"/>
  <c r="F36" i="1" s="1"/>
  <c r="E36" i="1" a="1"/>
  <c r="E36" i="1" s="1"/>
  <c r="D36" i="1" a="1"/>
  <c r="D36" i="1" s="1"/>
  <c r="C36" i="1" a="1"/>
  <c r="C36" i="1" s="1"/>
  <c r="H35" i="1" a="1"/>
  <c r="H35" i="1"/>
  <c r="G35" i="1" a="1"/>
  <c r="G35" i="1"/>
  <c r="F35" i="1" a="1"/>
  <c r="F35" i="1"/>
  <c r="E35" i="1" a="1"/>
  <c r="E35" i="1" s="1"/>
  <c r="D35" i="1" a="1"/>
  <c r="D35" i="1"/>
  <c r="C35" i="1" a="1"/>
  <c r="C35" i="1" s="1"/>
  <c r="H34" i="1" a="1"/>
  <c r="H34" i="1" s="1"/>
  <c r="G34" i="1" a="1"/>
  <c r="G34" i="1" s="1"/>
  <c r="F34" i="1" a="1"/>
  <c r="F34" i="1" s="1"/>
  <c r="E34" i="1" a="1"/>
  <c r="E34" i="1" s="1"/>
  <c r="D34" i="1" a="1"/>
  <c r="D34" i="1"/>
  <c r="C34" i="1" a="1"/>
  <c r="C34" i="1" s="1"/>
  <c r="H33" i="1" a="1"/>
  <c r="H33" i="1" s="1"/>
  <c r="G33" i="1" a="1"/>
  <c r="G33" i="1" s="1"/>
  <c r="F33" i="1" a="1"/>
  <c r="F33" i="1" s="1"/>
  <c r="E33" i="1" a="1"/>
  <c r="E33" i="1" s="1"/>
  <c r="D33" i="1" a="1"/>
  <c r="D33" i="1"/>
  <c r="C33" i="1" a="1"/>
  <c r="C33" i="1" s="1"/>
  <c r="H32" i="1" a="1"/>
  <c r="H32" i="1"/>
  <c r="G32" i="1" a="1"/>
  <c r="G32" i="1" s="1"/>
  <c r="F32" i="1" a="1"/>
  <c r="F32" i="1" s="1"/>
  <c r="E32" i="1" a="1"/>
  <c r="E32" i="1" s="1"/>
  <c r="D32" i="1" a="1"/>
  <c r="D32" i="1"/>
  <c r="C32" i="1" a="1"/>
  <c r="C32" i="1" s="1"/>
  <c r="C24" i="1" a="1"/>
  <c r="C24" i="1"/>
  <c r="C22" i="1" a="1"/>
  <c r="C22" i="1"/>
  <c r="C21" i="1" a="1"/>
  <c r="C21" i="1" s="1"/>
  <c r="C13" i="1" a="1"/>
  <c r="C13" i="1"/>
  <c r="C16" i="1" a="1"/>
  <c r="C16" i="1" s="1"/>
  <c r="C15" i="1" a="1"/>
  <c r="C15" i="1" s="1"/>
  <c r="C17" i="1" s="1"/>
  <c r="O137" i="1"/>
  <c r="A5" i="1"/>
  <c r="A4" i="1"/>
  <c r="A3" i="1"/>
  <c r="A2" i="1"/>
  <c r="C66" i="1" l="1" a="1"/>
  <c r="C66" i="1" s="1"/>
  <c r="C63" i="1" a="1"/>
  <c r="C63" i="1" s="1"/>
  <c r="C64" i="1" a="1"/>
  <c r="C64" i="1" s="1"/>
  <c r="C65" i="1" a="1"/>
  <c r="C65" i="1" s="1"/>
  <c r="C90" i="1"/>
  <c r="C62" i="1" a="1"/>
  <c r="C62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<sst xmlns="http://schemas.openxmlformats.org/spreadsheetml/2006/main" count="491" uniqueCount="474">
  <si>
    <t>flag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</si>
  <si>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</si>
  <si>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</si>
  <si>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</si>
  <si>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</si>
  <si>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</si>
  <si>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</si>
  <si>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</si>
  <si>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</si>
  <si>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</si>
  <si>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</si>
  <si>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</si>
  <si>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</si>
  <si>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</si>
  <si>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</si>
  <si>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</si>
  <si>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</si>
  <si>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</si>
  <si>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</si>
  <si>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</si>
  <si>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</si>
  <si>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</si>
  <si>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</si>
  <si>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</si>
  <si>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</si>
  <si>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</si>
  <si>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</si>
  <si>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</si>
  <si>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</si>
  <si>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</si>
  <si>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</si>
  <si>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</si>
  <si>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</si>
  <si>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Admin Favourite - Set Account Favourites</t>
  </si>
  <si>
    <t>Movement Account MDX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</si>
  <si>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</si>
  <si>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</si>
  <si>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</si>
  <si>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</si>
  <si>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SPP MDX</t>
  </si>
  <si>
    <t>{TM1FILTERBYLEVEL( {TM1SUBSETALL( [spp] )}, 0)}</t>
  </si>
  <si>
    <t>sys_favourite template</t>
  </si>
  <si>
    <t>Active Form View</t>
  </si>
  <si>
    <t>Slice View</t>
  </si>
  <si>
    <t>Account MDX</t>
  </si>
  <si>
    <t>{TM1FILTERBYLEVEL( {TM1SUBSETALL( [account] )}, 0)}</t>
  </si>
  <si>
    <t>Appropriation Item MDX</t>
  </si>
  <si>
    <t>{TM1FILTERBYLEVEL( {TM1SUBSETALL( [appropriation item] )}, 0)}</t>
  </si>
  <si>
    <t>}ElementAttributes_account</t>
  </si>
  <si>
    <t>Account View</t>
  </si>
  <si>
    <t>movement account required</t>
  </si>
  <si>
    <t>related entity enabled</t>
  </si>
  <si>
    <t>assumed related entity</t>
  </si>
  <si>
    <t>jurisdiction required</t>
  </si>
  <si>
    <t>appropriation type required</t>
  </si>
  <si>
    <t>SPP Required</t>
  </si>
  <si>
    <t>default movement account</t>
  </si>
  <si>
    <t>}Element Attributes</t>
  </si>
  <si>
    <t>Reason Code</t>
  </si>
  <si>
    <t>Measure Code</t>
  </si>
  <si>
    <t>programme</t>
  </si>
  <si>
    <t>appropriation item</t>
  </si>
  <si>
    <t>related entity</t>
  </si>
  <si>
    <t>favourite id</t>
  </si>
  <si>
    <t>Account</t>
  </si>
  <si>
    <t>Movement Account</t>
  </si>
  <si>
    <t>Related Entity</t>
  </si>
  <si>
    <t>Jurisdiction</t>
  </si>
  <si>
    <t>SPP</t>
  </si>
  <si>
    <t>Appropriation Item</t>
  </si>
  <si>
    <t>Measure</t>
  </si>
  <si>
    <t>Flag</t>
  </si>
  <si>
    <t>Change to '0' to remove the account</t>
  </si>
  <si>
    <t>Favourite ID :</t>
  </si>
  <si>
    <t>Favourite ID Description :</t>
  </si>
  <si>
    <t>Set Account Favourites</t>
  </si>
  <si>
    <t xml:space="preserve">Note : This screen is use to manage the list of accounts associated to a Favourite. </t>
  </si>
  <si>
    <t>Homepage - Administration - Favourites</t>
  </si>
  <si>
    <t>Admin Favourite - Favourite List</t>
  </si>
  <si>
    <t>Title</t>
  </si>
  <si>
    <t>Target Favourite ID :</t>
  </si>
  <si>
    <t>COPY FAVOURITES PARAMETERS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</si>
  <si>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</si>
  <si>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</si>
  <si>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</si>
  <si>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</si>
  <si>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</si>
  <si>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</si>
  <si>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</si>
  <si>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</si>
  <si>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</si>
  <si>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</si>
  <si>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</si>
  <si>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</si>
  <si>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</si>
  <si>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</si>
  <si>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adj_bypass account validation</t>
  </si>
  <si>
    <t>adj_favourite id</t>
  </si>
  <si>
    <t>A007-00020-05004</t>
  </si>
  <si>
    <t>A009-00013-05006 - GST Increase to Appropriations</t>
  </si>
  <si>
    <t>A010-00014-01436 - Nil Approp Impact</t>
  </si>
  <si>
    <t>A100-10000-04200 - ANTSFAA s233 CCB</t>
  </si>
  <si>
    <t>A100-10000-04201 - ANTSFAA s233 CCR</t>
  </si>
  <si>
    <t>A100-10000-04271 - Special Appropriation - A New Tax System (Family Assistance) (Administration) Act 1999 - s233 Child Care Subsidy</t>
  </si>
  <si>
    <t>A100-10022-04062 - AustEducAct s126</t>
  </si>
  <si>
    <t>A100-10105-04073 - HigherEd s238-12 Edu</t>
  </si>
  <si>
    <t>A100-10196-04061 - SchoolAssis2008 s167</t>
  </si>
  <si>
    <t>A100-10256-04107 - TradeSuppLoan s104</t>
  </si>
  <si>
    <t>A100-10262-04247 - VETStudentLoans s115</t>
  </si>
  <si>
    <t>A200-20061-04076 - SOETM DEEWR</t>
  </si>
  <si>
    <t>A200-20132-04183 - GwthFund SpAcct 2015</t>
  </si>
  <si>
    <t>A200-20162-04066 - NYARS SpAcct 2006</t>
  </si>
  <si>
    <t>A300-30029-04202 - EYQF SpAcct</t>
  </si>
  <si>
    <t>A300-30031-04035 - EIF Education SpAcct</t>
  </si>
  <si>
    <t>A300-30032-04031 - EIF Research SpAcct</t>
  </si>
  <si>
    <t>A300-30056-04047 - OSTuition Fund</t>
  </si>
  <si>
    <t>A300-30081-04106 - Studentdent SpAcct</t>
  </si>
  <si>
    <t>1038 - Coal Mining Industry (Long Service Leave) Payroll Levy Act 1992</t>
  </si>
  <si>
    <t>1039</t>
  </si>
  <si>
    <t>1070 - Australian International Education Foundation International Marketing Account</t>
  </si>
  <si>
    <t>1078 - ARC Research Endowment Account - - s21 FMA Act [s62 Australian Research Council Act 2001]</t>
  </si>
  <si>
    <t>1085 - Book Industry - Education Textbook Subsidy Scheme</t>
  </si>
  <si>
    <t>1097 - COMCARE special public money</t>
  </si>
  <si>
    <t>1128 - Federation Fund Account - DEST</t>
  </si>
  <si>
    <t>1139 - Higher Education (HECS) Account</t>
  </si>
  <si>
    <t>1171 - National Science and Technology Centre Account - - s20 FMA Act - - Questacon</t>
  </si>
  <si>
    <t>1173 - National Youth Affairs Research Scheme Account - DEST</t>
  </si>
  <si>
    <t>1208 - Other Trust Moneys Account - DEST</t>
  </si>
  <si>
    <t>1296 - Services for Other Governments and Non-Agency Bodies - DEST</t>
  </si>
  <si>
    <t>1313 - Special Acc - Super Paymts for Aboriginal Tutor Assistance Sch Tutors</t>
  </si>
  <si>
    <t>1314 - Special Public Monies</t>
  </si>
  <si>
    <t>1319 - Students (Financial Supplement) Account</t>
  </si>
  <si>
    <t>1322 - Superannuation Productivity Benefits ATAS Tutors Account</t>
  </si>
  <si>
    <t>1331 - Unallocated - Special Account</t>
  </si>
  <si>
    <t>1350 - ABSTUDY - Secondary</t>
  </si>
  <si>
    <t>1351 - ABSTUDY - Tertiary</t>
  </si>
  <si>
    <t>1352 - ABSTUDY Student Financial Supplement Loans</t>
  </si>
  <si>
    <t>1355 - Assistance for Isolated Children</t>
  </si>
  <si>
    <t>1365 - Coal Mining Industry (long service leave Funding (Act) 1992</t>
  </si>
  <si>
    <t>1373 - Framework for Open Learning</t>
  </si>
  <si>
    <t>1376 - Grants to foster Literacy and Numeracy - Government</t>
  </si>
  <si>
    <t>1379 - Higher Ed Fund Act - Australian Education International</t>
  </si>
  <si>
    <t>1380 - Higher Ed Fund Act - Inst Grants Scheme (research quantum)</t>
  </si>
  <si>
    <t>1381 - Higher Ed Fund Act - Systemic Infrastructure Initiative</t>
  </si>
  <si>
    <t>1382 - Higher Education Funding Act - Regional Protection Fund</t>
  </si>
  <si>
    <t>1383 - Higher Education Funding Act 1988 and Higher Education Support Act 2003</t>
  </si>
  <si>
    <t>1385 - Indigenous Education (Targeted Assistance) Act 2000</t>
  </si>
  <si>
    <t>1386 - Indigenous Education Strategic Initiatives</t>
  </si>
  <si>
    <t>1413 - Social Security (Administration) Act 1999</t>
  </si>
  <si>
    <t>1415 - States Grants -  SAISO - Government</t>
  </si>
  <si>
    <t>1416 - States Grants - Capital - Government</t>
  </si>
  <si>
    <t>1417 - States Grants - Capital - Non-Government</t>
  </si>
  <si>
    <t>1418 - States Grants - Country Areas - Government</t>
  </si>
  <si>
    <t>1419 - States Grants - Country Areas - Non-Government</t>
  </si>
  <si>
    <t>1420 - States Grants - ESL New Arrivals - Government</t>
  </si>
  <si>
    <t>1421 - States Grants - ESL New Arrivals - Non-Government</t>
  </si>
  <si>
    <t>1422 - States Grants - Languages other than English - Government</t>
  </si>
  <si>
    <t>1423 - States Grants - Languages other than English - Non-Government</t>
  </si>
  <si>
    <t>1424 - States Grants - Recurrent - Government</t>
  </si>
  <si>
    <t>1425 - States Grants - Recurrent - Non-Government</t>
  </si>
  <si>
    <t>1426 - States Grants - SAISO - Non-Government</t>
  </si>
  <si>
    <t>1427 - States Grants - Special Education for Non-Gov Grants</t>
  </si>
  <si>
    <t>1431 - Superannuation Payments for former Commissioners</t>
  </si>
  <si>
    <t>1436 - Unallocated - Special Appropriation</t>
  </si>
  <si>
    <t>1438 - Vocational Education and Training - Funding</t>
  </si>
  <si>
    <t>1439 - Vocational Education and Training - National Programmes</t>
  </si>
  <si>
    <t>1468 - Remuneration and Allowances Act 1990</t>
  </si>
  <si>
    <t>1470 - Remuneration Tribunal Act 1973 - - s7(13) Remuneration (including salary) or allowances</t>
  </si>
  <si>
    <t>1629 - Judicial and Statutory Officers (Remuneration and Allowances) Act 1984</t>
  </si>
  <si>
    <t>1633 - States Grants (Advanced Education) Act 1976</t>
  </si>
  <si>
    <t>1725 - Air Passenger Ticket Levy (Collection) Act 2001 - - s22(5) payments relating to the Special Employee Entitlements Scheme for Ansett Group Employees</t>
  </si>
  <si>
    <t>1843 - Higher Education Funding Act 1988 and Higher Education Support Act 2003 -- unallocated--LrnSch_HE</t>
  </si>
  <si>
    <t>1844 - Higher Education Support Act 2003 -- Learning Scholarships (Higher Ed)</t>
  </si>
  <si>
    <t>1845 - Higher Education Funding Act 1988 -- Learning Scholarships (Higher Ed)</t>
  </si>
  <si>
    <t>1846 - Higher Education Funding Act 1988 and Higher Education Support Act 2003 -- unallocated--ResTrn_HE</t>
  </si>
  <si>
    <t>1847 - Higher Education Support Act 2003 -- Research Training (Higher Ed)</t>
  </si>
  <si>
    <t>1848 - Higher Education Funding Act 1988 -- Research Training (Higher Ed)</t>
  </si>
  <si>
    <t>1849 - Higher Education Funding Act 1988 and Higher Education Support Act 2003 -- unallocated--TrnsFund_HE</t>
  </si>
  <si>
    <t>1850 - Higher Education Support Act 2003 -- Transition Fund (Higher Ed)</t>
  </si>
  <si>
    <t>1851 - Higher Education Funding Act 1988 -- Transition Fund (Higher Ed)</t>
  </si>
  <si>
    <t>1852 - Higher Education Funding Act 1988 and Higher Education Support Act 2003 -- unallocated--Enbl_Ldng_HE</t>
  </si>
  <si>
    <t>1853 - Higher Education Support Act 2003 -- Enabling Loading (Higher Ed)</t>
  </si>
  <si>
    <t>1854 - Higher Education Funding Act 1988 -- Enabling Loading (Higher Ed)</t>
  </si>
  <si>
    <t>1855 - Higher Education Funding Act 1988 and Higher Education Support Act 2003 -- unallocated--IndSprtFndHE</t>
  </si>
  <si>
    <t>1856 - Higher Education Support Act 2003 -- Indigenous Support Fund (Higher Ed)</t>
  </si>
  <si>
    <t>1857 - Higher Education Funding Act 1988 -- Indigenous Support Fund (Higher Ed)</t>
  </si>
  <si>
    <t>1858 - Higher Education Funding Act 1988 and Higher Education Support Act 2003 -- unallocated--Nat_Inst_HE</t>
  </si>
  <si>
    <t>1859 - Higher Education Support Act 2003 -- National Institutes (Higher Ed)</t>
  </si>
  <si>
    <t>1860 - Higher Education Funding Act 1988 -- National Institutes (Higher Ed)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</si>
  <si>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</si>
  <si>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</si>
  <si>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</si>
  <si>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</si>
  <si>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</si>
  <si>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</si>
  <si>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</si>
  <si>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</si>
  <si>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</si>
  <si>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</si>
  <si>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</si>
  <si>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</si>
  <si>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</si>
  <si>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</si>
  <si>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</si>
  <si>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</si>
  <si>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</si>
  <si>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</si>
  <si>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</si>
  <si>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</si>
  <si>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</si>
  <si>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</si>
  <si>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</si>
  <si>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</si>
  <si>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</si>
  <si>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</si>
  <si>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</si>
  <si>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</si>
  <si>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</si>
  <si>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</si>
  <si>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</si>
  <si>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</si>
  <si>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</si>
  <si>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</si>
  <si>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</si>
  <si>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</si>
  <si>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</si>
  <si>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</si>
  <si>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</si>
  <si>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</si>
  <si>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</si>
  <si>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</si>
  <si>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</si>
  <si>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</si>
  <si>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</si>
  <si>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</si>
  <si>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</si>
  <si>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</si>
  <si>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</si>
  <si>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</si>
  <si>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</si>
  <si>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</si>
  <si>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</si>
  <si>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</si>
  <si>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</si>
  <si>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</si>
  <si>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</si>
  <si>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</si>
  <si>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</si>
  <si>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</si>
  <si>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</si>
  <si>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</si>
  <si>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</si>
  <si>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</si>
  <si>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</si>
  <si>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</si>
  <si>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</si>
  <si>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</si>
  <si>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</si>
  <si>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</si>
  <si>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</si>
  <si>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</si>
  <si>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</si>
  <si>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</si>
  <si>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</si>
  <si>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</si>
  <si>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</si>
  <si>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</si>
  <si>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</si>
  <si>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</si>
  <si>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</si>
  <si>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</si>
  <si>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</si>
  <si>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</si>
  <si>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</si>
  <si>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</si>
  <si>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</si>
  <si>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</si>
  <si>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</si>
  <si>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</si>
  <si>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</si>
  <si>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</si>
  <si>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</si>
  <si>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</si>
  <si>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</si>
  <si>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</si>
  <si>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</si>
  <si>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</si>
  <si>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</si>
  <si>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</si>
  <si>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</si>
  <si>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</si>
  <si>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</si>
  <si>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</si>
  <si>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</si>
  <si>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</si>
  <si>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</si>
  <si>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</si>
  <si>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</si>
  <si>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</si>
  <si>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</si>
  <si>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</si>
  <si>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</si>
  <si>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</si>
  <si>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</si>
  <si>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</si>
  <si>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</si>
  <si>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</si>
  <si>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</si>
  <si>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</si>
  <si>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</si>
  <si>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</si>
  <si>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</si>
  <si>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</si>
  <si>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</si>
  <si>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</si>
  <si>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</si>
  <si>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</si>
  <si>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</si>
  <si>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</si>
  <si>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</si>
  <si>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</si>
  <si>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</si>
  <si>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</si>
  <si>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</si>
  <si>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</si>
  <si>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</si>
  <si>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</si>
  <si>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</si>
  <si>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</si>
  <si>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</si>
  <si>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</si>
  <si>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</si>
  <si>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</si>
  <si>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</si>
  <si>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</si>
  <si>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</si>
  <si>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</si>
  <si>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</si>
  <si>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</si>
  <si>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</si>
  <si>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</si>
  <si>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</si>
  <si>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</si>
  <si>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</si>
  <si>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</si>
  <si>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</si>
  <si>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</si>
  <si>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</si>
  <si>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</si>
  <si>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</si>
  <si>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</si>
  <si>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</si>
  <si>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</si>
  <si>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</si>
  <si>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</si>
  <si>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</si>
  <si>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</si>
  <si>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</si>
  <si>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</si>
  <si>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</si>
  <si>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</si>
  <si>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</si>
  <si>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</si>
  <si>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</si>
  <si>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</si>
  <si>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</si>
  <si>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</si>
  <si>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</si>
  <si>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</si>
  <si>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</si>
  <si>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</si>
  <si>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</si>
  <si>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</si>
  <si>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</si>
  <si>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</si>
  <si>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</si>
  <si>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</si>
  <si>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</si>
  <si>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</si>
  <si>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</si>
  <si>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</si>
  <si>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</si>
  <si>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</si>
  <si>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</si>
  <si>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</si>
  <si>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</si>
  <si>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</si>
  <si>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</si>
  <si>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</si>
  <si>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</si>
  <si>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</si>
  <si>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</si>
  <si>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</si>
  <si>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</si>
  <si>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</si>
  <si>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</si>
  <si>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</si>
  <si>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</si>
  <si>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</si>
  <si>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</si>
  <si>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</si>
  <si>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4183 - Growth Fund Skills and Training Special Account 2015 - - s78 PGPA Act Det 2015/04</t>
  </si>
  <si>
    <t>4247 - VET Student Loans Act 2016 - - s115 payments to course providers for VET student loans</t>
  </si>
  <si>
    <t>OVERRIDE</t>
  </si>
  <si>
    <t>Send to Client Preference (For Default Values In Adding Accounts)</t>
  </si>
  <si>
    <t>Account Principal Name</t>
  </si>
  <si>
    <t>Movement Account Principal Name</t>
  </si>
  <si>
    <t>DBSS (adj_account)</t>
  </si>
  <si>
    <t>DBSS(adj_movement account)</t>
  </si>
  <si>
    <t>DBSS(adj_related entity)</t>
  </si>
  <si>
    <t>DBSS(adj_jurisdiction)</t>
  </si>
  <si>
    <t>DBSS(adj_appropriation item)</t>
  </si>
  <si>
    <t>DBSS(adj_spp)</t>
  </si>
  <si>
    <t>DBSS(adj_bypass account validation)</t>
  </si>
  <si>
    <t>DBSS(adj_favourite id)</t>
  </si>
  <si>
    <t>Identify Default Values To Send</t>
  </si>
  <si>
    <t>Account By Pass</t>
  </si>
  <si>
    <t>Favourite ID</t>
  </si>
  <si>
    <t>}ElementAttributes_movement account</t>
  </si>
  <si>
    <t>MA View</t>
  </si>
  <si>
    <t>sys_account movement account mapping</t>
  </si>
  <si>
    <t>This cube is used to identify if there are any movement account restrictions</t>
  </si>
  <si>
    <t>Cube View</t>
  </si>
  <si>
    <t>Count of Mapping</t>
  </si>
  <si>
    <t>Movement Account Subset</t>
  </si>
  <si>
    <t>Movement Account Subset First Element</t>
  </si>
  <si>
    <t>Default Movement Account Element</t>
  </si>
  <si>
    <t>Movement Account Num+Desc Attribute</t>
  </si>
  <si>
    <t>Note : Create a New Favourite : Select a Favourite ID (with no description), Click Refresh, choose Clear mappings to remove any existing accounts, add a new favourite ID description, then add new accounts to it.</t>
  </si>
  <si>
    <t>Note : Copy an existing favourite: Select a favourite ID (with a description), click Refresh to review the mapped accounts, Select a favourite ID with description, click Copy Favourites , Refresh, then edit the favourite ID Description &amp; add any new accounts required.</t>
  </si>
  <si>
    <t>Note : Edit an exiting Favourite: Select aFavourite ID (with a description), click Refresh to review mapped accounts, click Clear Mappings to remove map[ped accounts AND/OR select new accounts as required, then click Add Account.</t>
  </si>
  <si>
    <t>FAVOURITE SELECTION</t>
  </si>
  <si>
    <t>Note: Only n level accounts can be selected.</t>
  </si>
  <si>
    <t>-</t>
  </si>
  <si>
    <t>A001-00001-05000 - Appropriation Act (No. 1) - Operating</t>
  </si>
  <si>
    <t>A001-00001-05001 - Appropriation Act (No. 1) - Departmental Capital Budget</t>
  </si>
  <si>
    <t>A001-00002-05000 - Appropriation Act (No. 3) - Operating</t>
  </si>
  <si>
    <t>A001-00002-05001 - Appropriation Act (No. 3) - Departmental Capital Budget</t>
  </si>
  <si>
    <t>A001-00003-05000 - Appropriation Act (No. 5) - Operating</t>
  </si>
  <si>
    <t>A001-00003-05001 - Appropriation Act (No. 5) - Departmental Capital Budget</t>
  </si>
  <si>
    <t>A001-00004-05000 - Appropriation Act (No. 7) - Operating</t>
  </si>
  <si>
    <t>A001-00004-05001 - Appropriation Act (No. 7) - Departmental Capital Budget</t>
  </si>
  <si>
    <t>A001-00016-05000 - Supply Act (No. 1) - Operating</t>
  </si>
  <si>
    <t>A001-00016-05001 - Supply Act (No. 1) - Departmental Capital Budget</t>
  </si>
  <si>
    <t>A002-00005-05002 - Appropriation Act (No. 2) - SPP</t>
  </si>
  <si>
    <t>A002-00005-05003 - Appropriation Act (No. 2) - New Administered Outcomes</t>
  </si>
  <si>
    <t>A002-00005-05004 - Appropriation Act (No. 2) - Equity Injections</t>
  </si>
  <si>
    <t>A002-00005-05005 - Appropriation Act (No. 2) - Admin Assets and Liabilities</t>
  </si>
  <si>
    <t>A002-00005-05007 - Appropriation Act (No. 2) - Loan</t>
  </si>
  <si>
    <t>A002-00006-05002 - Appropriation Act (No. 4) - SPP</t>
  </si>
  <si>
    <t>A002-00006-05003 - Appropriation Act (No. 4) - New Administered Outcomes</t>
  </si>
  <si>
    <t>A002-00006-05004 - Appropriation Act (No. 4) - Equity Injections</t>
  </si>
  <si>
    <t>A002-00006-05005 - Appropriation Act (No. 4) - Admin Assets and Liabilities</t>
  </si>
  <si>
    <t>A002-00006-05007 - Appropriation Act (No. 4) - Loan</t>
  </si>
  <si>
    <t>A002-00007-05002 - Appropriation Act (No. 6) - SPP</t>
  </si>
  <si>
    <t>A002-00007-05003 - Appropriation Act (No. 6) - New Administered Outcomes</t>
  </si>
  <si>
    <t>A002-00007-05004 - Appropriation Act (No. 6) - Equity Injections</t>
  </si>
  <si>
    <t>A002-00007-05005 - Appropriation Act (No. 6) - Admin Assets and Liabilities</t>
  </si>
  <si>
    <t>A002-00007-05007 - Appropriation Act (No. 6) - Loan</t>
  </si>
  <si>
    <t>A002-00008-05002 - Appropriation Act (No. 8) - SPP</t>
  </si>
  <si>
    <t>A002-00008-05003 - Appropriation Act (No. 8) - New Administered Outcomes</t>
  </si>
  <si>
    <t>A002-00008-05004 - Appropriation Act (No. 8) - Equity Injections</t>
  </si>
  <si>
    <t>A002-00008-05005 - Appropriation Act (No. 8) - Admin Assets and Liabilities</t>
  </si>
  <si>
    <t>A002-00008-05007 - Appropriation Act (No. 8) - Loan</t>
  </si>
  <si>
    <t>A002-00017-05002 - Supply Act (No. 2) - SPP</t>
  </si>
  <si>
    <t>A002-00017-05003 - Supply Act (No. 2) - New Administered Outcomes</t>
  </si>
  <si>
    <t>A002-00017-05004 - Supply Act (No. 2) - Equity Injections</t>
  </si>
  <si>
    <t>A002-00017-05005 - Supply Act (No. 2) - Admin Assets and Liabilities</t>
  </si>
  <si>
    <t>A002-00017-05007 - Supply Act (No. 2) - Loan</t>
  </si>
  <si>
    <t>A006-00019-05000</t>
  </si>
  <si>
    <t>A006-00019-05001</t>
  </si>
  <si>
    <t>A007-00020-05002</t>
  </si>
  <si>
    <t>finance_geus</t>
  </si>
  <si>
    <t>{FILTER( {TM1FILTERBYLEVEL( {TM1SUBSETALL( [movement account] )}, 0)}, [movement account].CurrentMember.Properties("&amp;"""editable"""&amp;") = "")}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</si>
</sst>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3" fillId="0" borderId="5" xfId="0" applyFont="1" applyBorder="1" applyProtection="1">
      <protection locked="0"/>
    </xf>
    <xf numFmtId="0" fontId="4" fillId="0" borderId="5" xfId="0" applyFont="1" applyBorder="1"/>
    <xf numFmtId="0" fontId="3" fillId="0" borderId="5" xfId="0" applyFont="1" applyBorder="1"/>
    <xf numFmtId="49" fontId="3" fillId="0" borderId="5" xfId="0" applyNumberFormat="1" applyFont="1" applyBorder="1"/>
    <xf numFmtId="0" fontId="2" fillId="0" borderId="7" xfId="0" applyFont="1" applyBorder="1"/>
    <xf numFmtId="0" fontId="3" fillId="0" borderId="7" xfId="0" applyFont="1" applyBorder="1" applyProtection="1">
      <protection locked="0"/>
    </xf>
    <xf numFmtId="0" fontId="0" fillId="0" borderId="1" xfId="0" applyBorder="1"/>
    <xf numFmtId="0" fontId="0" fillId="0" borderId="6" xfId="0" applyBorder="1"/>
    <xf numFmtId="0" fontId="1" fillId="3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3" borderId="0" xfId="0" applyFont="1" applyFill="1" applyAlignment="1">
      <alignment horizontal="right" vertical="center"/>
    </xf>
    <xf numFmtId="49" fontId="3" fillId="0" borderId="5" xfId="0" applyNumberFormat="1" applyFont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quotePrefix="1" applyBorder="1"/>
    <xf numFmtId="0" fontId="0" fillId="6" borderId="5" xfId="0" applyFill="1" applyBorder="1"/>
    <xf numFmtId="0" fontId="2" fillId="2" borderId="0" xfId="0" applyFont="1" applyFill="1"/>
    <xf numFmtId="0" fontId="9" fillId="0" borderId="0" xfId="0" applyFont="1" applyAlignment="1">
      <alignment vertical="top" wrapText="1"/>
    </xf>
    <xf numFmtId="0" fontId="10" fillId="4" borderId="8" xfId="0" applyFont="1" applyFill="1" applyBorder="1" applyAlignment="1">
      <alignment horizontal="center"/>
    </xf>
    <xf numFmtId="0" fontId="1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3" fillId="4" borderId="8" xfId="0" applyFont="1" applyFill="1" applyBorder="1" applyProtection="1">
      <protection locked="0"/>
    </xf>
    <xf numFmtId="0" fontId="3" fillId="4" borderId="8" xfId="0" applyFont="1" applyFill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0" fillId="0" borderId="5" xfId="0" applyBorder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118</xdr:row>
      <xdr:rowOff>19050</xdr:rowOff>
    </xdr:from>
    <xdr:to>
      <xdr:col>10</xdr:col>
      <xdr:colOff>1769745</xdr:colOff>
      <xdr:row>118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</xdr:colOff>
      <xdr:row>120</xdr:row>
      <xdr:rowOff>28575</xdr:rowOff>
    </xdr:from>
    <xdr:to>
      <xdr:col>10</xdr:col>
      <xdr:colOff>695325</xdr:colOff>
      <xdr:row>120</xdr:row>
      <xdr:rowOff>276225</xdr:rowOff>
    </xdr:to>
    <xdr:sp macro="Sheet1.ExecuteAction_3d089aeb_4542_40c9_9207_bf553f42ee1c" textlink="TM1HomeCAP">
      <xdr:nvSpPr>
        <xdr:cNvPr id="3" name="TM1Button_3d089aeb_4542_40c9_9207_bf553f42ee1c">
          <a:extLst>
            <a:ext uri="{FF2B5EF4-FFF2-40B4-BE49-F238E27FC236}">
              <a16:creationId xmlns:a16="http://schemas.microsoft.com/office/drawing/2014/main" id="{D16C2296-C75B-202B-93FD-4E68147CA00E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9D9496A-8D1E-493D-B935-A6D2DA21B4A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1866900</xdr:colOff>
      <xdr:row>120</xdr:row>
      <xdr:rowOff>28575</xdr:rowOff>
    </xdr:from>
    <xdr:to>
      <xdr:col>10</xdr:col>
      <xdr:colOff>2933700</xdr:colOff>
      <xdr:row>120</xdr:row>
      <xdr:rowOff>276225</xdr:rowOff>
    </xdr:to>
    <xdr:sp macro="Sheet1.ExecuteAction_f81a5673_ec16_4c5a_afc2_a59d59a3340c" textlink="TM1AdminFavListCAP">
      <xdr:nvSpPr>
        <xdr:cNvPr id="4" name="TM1Button_f81a5673_ec16_4c5a_afc2_a59d59a3340c">
          <a:extLst>
            <a:ext uri="{FF2B5EF4-FFF2-40B4-BE49-F238E27FC236}">
              <a16:creationId xmlns:a16="http://schemas.microsoft.com/office/drawing/2014/main" id="{4D974E09-D9D9-4080-CB1D-D962CD800499}"/>
            </a:ext>
          </a:extLst>
        </xdr:cNvPr>
        <xdr:cNvSpPr txBox="1"/>
      </xdr:nvSpPr>
      <xdr:spPr>
        <a:xfrm>
          <a:off x="1924050" y="59055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B1FBAB9-C0BD-4180-B6A1-7C5BD41111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1895475</xdr:colOff>
      <xdr:row>120</xdr:row>
      <xdr:rowOff>28575</xdr:rowOff>
    </xdr:from>
    <xdr:to>
      <xdr:col>11</xdr:col>
      <xdr:colOff>2676525</xdr:colOff>
      <xdr:row>120</xdr:row>
      <xdr:rowOff>276225</xdr:rowOff>
    </xdr:to>
    <xdr:sp macro="Sheet1.ExecuteAction_fd9ea361_2d0d_44cb_8a0f_44a3d43fe2e8" textlink="">
      <xdr:nvSpPr>
        <xdr:cNvPr id="5" name="TM1Button_fd9ea361_2d0d_44cb_8a0f_44a3d43fe2e8">
          <a:extLst>
            <a:ext uri="{FF2B5EF4-FFF2-40B4-BE49-F238E27FC236}">
              <a16:creationId xmlns:a16="http://schemas.microsoft.com/office/drawing/2014/main" id="{4C4C5494-F953-6964-7BB8-276EDC3AED7E}"/>
            </a:ext>
          </a:extLst>
        </xdr:cNvPr>
        <xdr:cNvSpPr txBox="1"/>
      </xdr:nvSpPr>
      <xdr:spPr>
        <a:xfrm>
          <a:off x="533400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714375</xdr:colOff>
      <xdr:row>120</xdr:row>
      <xdr:rowOff>28575</xdr:rowOff>
    </xdr:from>
    <xdr:to>
      <xdr:col>10</xdr:col>
      <xdr:colOff>1838325</xdr:colOff>
      <xdr:row>120</xdr:row>
      <xdr:rowOff>276225</xdr:rowOff>
    </xdr:to>
    <xdr:sp macro="Sheet1.ExecuteAction_4a81233d_68f2_4d58_af41_438041054d3c" textlink="TM1HomeAdminFavCAP">
      <xdr:nvSpPr>
        <xdr:cNvPr id="6" name="TM1Button_4a81233d_68f2_4d58_af41_438041054d3c">
          <a:extLst>
            <a:ext uri="{FF2B5EF4-FFF2-40B4-BE49-F238E27FC236}">
              <a16:creationId xmlns:a16="http://schemas.microsoft.com/office/drawing/2014/main" id="{20EA6C79-A760-3FE1-42BD-16012CF09CC4}"/>
            </a:ext>
          </a:extLst>
        </xdr:cNvPr>
        <xdr:cNvSpPr txBox="1"/>
      </xdr:nvSpPr>
      <xdr:spPr>
        <a:xfrm>
          <a:off x="771525" y="5905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0E9FDF-1345-4805-A965-B800F331498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581025</xdr:colOff>
      <xdr:row>119</xdr:row>
      <xdr:rowOff>38100</xdr:rowOff>
    </xdr:from>
    <xdr:to>
      <xdr:col>17</xdr:col>
      <xdr:colOff>0</xdr:colOff>
      <xdr:row>120</xdr:row>
      <xdr:rowOff>295275</xdr:rowOff>
    </xdr:to>
    <xdr:sp macro="Sheet1.ExecuteAction_02143c58_6010_47f4_a0cb_adfe1bac88bd" textlink="">
      <xdr:nvSpPr>
        <xdr:cNvPr id="7" name="TM1Button_02143c58_6010_47f4_a0cb_adfe1bac88bd">
          <a:extLst>
            <a:ext uri="{FF2B5EF4-FFF2-40B4-BE49-F238E27FC236}">
              <a16:creationId xmlns:a16="http://schemas.microsoft.com/office/drawing/2014/main" id="{A887C352-88A4-C4E7-6647-826F60170518}"/>
            </a:ext>
          </a:extLst>
        </xdr:cNvPr>
        <xdr:cNvSpPr txBox="1"/>
      </xdr:nvSpPr>
      <xdr:spPr>
        <a:xfrm>
          <a:off x="149256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2962275</xdr:colOff>
      <xdr:row>120</xdr:row>
      <xdr:rowOff>28575</xdr:rowOff>
    </xdr:from>
    <xdr:to>
      <xdr:col>11</xdr:col>
      <xdr:colOff>714375</xdr:colOff>
      <xdr:row>120</xdr:row>
      <xdr:rowOff>276225</xdr:rowOff>
    </xdr:to>
    <xdr:sp macro="Sheet1.ExecuteAction_0083242f_c57f_490e_979c_9d3031660240" textlink="">
      <xdr:nvSpPr>
        <xdr:cNvPr id="8" name="TM1Button_0083242f_c57f_490e_979c_9d3031660240">
          <a:extLst>
            <a:ext uri="{FF2B5EF4-FFF2-40B4-BE49-F238E27FC236}">
              <a16:creationId xmlns:a16="http://schemas.microsoft.com/office/drawing/2014/main" id="{82E0573B-2214-9455-5789-17AAD51E5397}"/>
            </a:ext>
          </a:extLst>
        </xdr:cNvPr>
        <xdr:cNvSpPr txBox="1"/>
      </xdr:nvSpPr>
      <xdr:spPr>
        <a:xfrm>
          <a:off x="3019425" y="590550"/>
          <a:ext cx="11334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Mappings</a:t>
          </a:r>
        </a:p>
      </xdr:txBody>
    </xdr:sp>
    <xdr:clientData/>
  </xdr:twoCellAnchor>
  <xdr:twoCellAnchor editAs="oneCell">
    <xdr:from>
      <xdr:col>11</xdr:col>
      <xdr:colOff>733425</xdr:colOff>
      <xdr:row>120</xdr:row>
      <xdr:rowOff>28575</xdr:rowOff>
    </xdr:from>
    <xdr:to>
      <xdr:col>11</xdr:col>
      <xdr:colOff>1866900</xdr:colOff>
      <xdr:row>120</xdr:row>
      <xdr:rowOff>276225</xdr:rowOff>
    </xdr:to>
    <xdr:sp macro="Sheet1.ExecuteAction_e5d97741_0d28_4b6e_a8c7_3362937d6b17" textlink="">
      <xdr:nvSpPr>
        <xdr:cNvPr id="9" name="TM1Button_e5d97741_0d28_4b6e_a8c7_3362937d6b17">
          <a:extLst>
            <a:ext uri="{FF2B5EF4-FFF2-40B4-BE49-F238E27FC236}">
              <a16:creationId xmlns:a16="http://schemas.microsoft.com/office/drawing/2014/main" id="{138322E6-439E-91B8-4C8B-5E24031AAB98}"/>
            </a:ext>
          </a:extLst>
        </xdr:cNvPr>
        <xdr:cNvSpPr txBox="1"/>
      </xdr:nvSpPr>
      <xdr:spPr>
        <a:xfrm>
          <a:off x="4171950" y="590550"/>
          <a:ext cx="11334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Favourites</a:t>
          </a:r>
        </a:p>
      </xdr:txBody>
    </xdr:sp>
    <xdr:clientData/>
  </xdr:twoCellAnchor>
  <xdr:twoCellAnchor editAs="oneCell">
    <xdr:from>
      <xdr:col>17</xdr:col>
      <xdr:colOff>466725</xdr:colOff>
      <xdr:row>134</xdr:row>
      <xdr:rowOff>114300</xdr:rowOff>
    </xdr:from>
    <xdr:to>
      <xdr:col>19</xdr:col>
      <xdr:colOff>495300</xdr:colOff>
      <xdr:row>135</xdr:row>
      <xdr:rowOff>171450</xdr:rowOff>
    </xdr:to>
    <xdr:sp macro="Sheet1.ExecuteAction_7fbf19ce_1afd_4ee4_b147_6cf40128b650" textlink="">
      <xdr:nvSpPr>
        <xdr:cNvPr id="10" name="TM1Button_7fbf19ce_1afd_4ee4_b147_6cf40128b650">
          <a:extLst>
            <a:ext uri="{FF2B5EF4-FFF2-40B4-BE49-F238E27FC236}">
              <a16:creationId xmlns:a16="http://schemas.microsoft.com/office/drawing/2014/main" id="{100C2393-2331-971A-BE71-8EC895BD1234}"/>
            </a:ext>
          </a:extLst>
        </xdr:cNvPr>
        <xdr:cNvSpPr txBox="1"/>
      </xdr:nvSpPr>
      <xdr:spPr>
        <a:xfrm>
          <a:off x="15706725" y="2771775"/>
          <a:ext cx="12477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Account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BD89-C2AC-4168-B565-A01B8C8A62DD}">
  <sheetPr codeName="Sheet1">
    <outlinePr showOutlineSymbols="0"/>
  </sheetPr>
  <dimension ref="A1:R140"/>
  <sheetViews>
    <sheetView showGridLines="0" showRowColHeaders="0" tabSelected="1" showOutlineSymbols="0" topLeftCell="A119" workbookViewId="0">
      <pane ySplit="21" topLeftCell="A140" activePane="bottomLeft" state="frozen"/>
      <selection activeCell="J119" sqref="J119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2.5703125" hidden="1" customWidth="1" outlineLevel="1"/>
    <col min="3" max="4" width="21" hidden="1" customWidth="1" outlineLevel="1"/>
    <col min="5" max="5" width="20.5703125" hidden="1" customWidth="1" outlineLevel="1"/>
    <col min="6" max="6" width="25.7109375" hidden="1" customWidth="1" outlineLevel="1"/>
    <col min="7" max="7" width="17.42578125" hidden="1" customWidth="1" outlineLevel="1"/>
    <col min="8" max="9" width="14.28515625" hidden="1" customWidth="1" outlineLevel="1"/>
    <col min="10" max="10" width="0.85546875" customWidth="1" collapsed="1"/>
    <col min="11" max="12" width="50.7109375" customWidth="1"/>
    <col min="13" max="15" width="20.7109375" customWidth="1"/>
    <col min="16" max="16" width="50.7109375" customWidth="1"/>
    <col min="17" max="17" width="13.42578125" customWidth="1"/>
  </cols>
  <sheetData>
    <row r="1" spans="1:17" hidden="1" outlineLevel="1" x14ac:dyDescent="0.25">
      <c r="A1" t="s">
        <v>3</v>
      </c>
    </row>
    <row r="2" spans="1:17" hidden="1" outlineLevel="1" x14ac:dyDescent="0.25">
      <c r="A2">
        <f>0</f>
        <v>0</v>
      </c>
      <c r="K2" s="9"/>
      <c r="L2" s="10"/>
      <c r="M2" s="10"/>
      <c r="N2" s="17"/>
      <c r="O2" s="17"/>
      <c r="P2" s="10"/>
      <c r="Q2" s="34"/>
    </row>
    <row r="3" spans="1:17" hidden="1" outlineLevel="1" x14ac:dyDescent="0.25">
      <c r="A3">
        <f>1</f>
        <v>1</v>
      </c>
      <c r="K3" s="10"/>
      <c r="L3" s="10"/>
      <c r="M3" s="10"/>
      <c r="N3" s="17"/>
      <c r="O3" s="17"/>
      <c r="P3" s="10"/>
      <c r="Q3" s="34"/>
    </row>
    <row r="4" spans="1:17" hidden="1" outlineLevel="1" x14ac:dyDescent="0.25">
      <c r="A4">
        <f>2</f>
        <v>2</v>
      </c>
      <c r="K4" s="10"/>
      <c r="L4" s="10"/>
      <c r="M4" s="10"/>
      <c r="N4" s="17"/>
      <c r="O4" s="17"/>
      <c r="P4" s="10"/>
      <c r="Q4" s="34"/>
    </row>
    <row r="5" spans="1:17" hidden="1" outlineLevel="1" x14ac:dyDescent="0.25">
      <c r="A5">
        <f>3</f>
        <v>3</v>
      </c>
      <c r="K5" s="10"/>
      <c r="L5" s="10"/>
      <c r="M5" s="10"/>
      <c r="N5" s="17"/>
      <c r="O5" s="17"/>
      <c r="P5" s="10"/>
      <c r="Q5" s="34"/>
    </row>
    <row r="6" spans="1:17" hidden="1" outlineLevel="1" x14ac:dyDescent="0.25">
      <c r="A6" t="s">
        <v>1</v>
      </c>
      <c r="K6" s="10"/>
      <c r="L6" s="10"/>
      <c r="M6" s="10"/>
      <c r="N6" s="17"/>
      <c r="O6" s="17"/>
      <c r="P6" s="10"/>
      <c r="Q6" s="34"/>
    </row>
    <row r="7" spans="1:17" hidden="1" outlineLevel="1" x14ac:dyDescent="0.25">
      <c r="A7" t="s">
        <v>2</v>
      </c>
      <c r="K7" s="10"/>
      <c r="L7" s="10"/>
      <c r="M7" s="10"/>
      <c r="N7" s="17"/>
      <c r="O7" s="17"/>
      <c r="P7" s="10"/>
      <c r="Q7" s="34"/>
    </row>
    <row r="8" spans="1:17" hidden="1" outlineLevel="1" x14ac:dyDescent="0.25">
      <c r="A8" t="s">
        <v>4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37" t="s">
        <v>5</v>
      </c>
      <c r="C11" s="38"/>
      <c r="D11" s="39"/>
    </row>
    <row r="12" spans="1:17" hidden="1" outlineLevel="1" x14ac:dyDescent="0.25">
      <c r="B12" s="1" t="s">
        <v>6</v>
      </c>
      <c r="C12" s="2" t="s">
        <v>472</v>
      </c>
      <c r="D12" s="3"/>
    </row>
    <row r="13" spans="1:17" hidden="1" outlineLevel="1" x14ac:dyDescent="0.25">
      <c r="B13" s="1" t="s">
        <v>7</v>
      </c>
      <c r="C13" s="4" t="str" cm="1">
        <f t="array" ref="C13">_xll.VIEW(db_name&amp;":}ElementAttributes_}Clients","!","!")</f>
        <v>finance_geus:}ElementAttributes_}Clients:1264217196365279079</v>
      </c>
      <c r="D13" s="3"/>
    </row>
    <row r="14" spans="1:17" hidden="1" outlineLevel="1" x14ac:dyDescent="0.25">
      <c r="B14" s="1" t="s">
        <v>8</v>
      </c>
      <c r="C14" s="2" t="e" cm="1">
        <f t="array" aca="1" ref="C14" ca="1">_xll.TM1USER(db_name)</f>
        <v>#NAME?</v>
      </c>
      <c r="D14" s="3"/>
    </row>
    <row r="15" spans="1:17" hidden="1" outlineLevel="1" x14ac:dyDescent="0.25">
      <c r="B15" s="1" t="s">
        <v>9</v>
      </c>
      <c r="C15" s="2" t="e" cm="1">
        <f t="array" aca="1" ref="C15" ca="1">_xll.DBR($C$13,$C$14,$B15)</f>
        <v>#NAME?</v>
      </c>
      <c r="D15" s="3"/>
    </row>
    <row r="16" spans="1:17" hidden="1" outlineLevel="1" x14ac:dyDescent="0.25">
      <c r="B16" s="1" t="s">
        <v>10</v>
      </c>
      <c r="C16" s="2" t="e" cm="1">
        <f t="array" aca="1" ref="C16" ca="1">_xll.DBR($C$13,$C$14,$B16)</f>
        <v>#NAME?</v>
      </c>
      <c r="D16" s="3"/>
    </row>
    <row r="17" spans="2:9" hidden="1" outlineLevel="1" x14ac:dyDescent="0.25">
      <c r="B17" s="1" t="s">
        <v>11</v>
      </c>
      <c r="C17" s="2" t="e">
        <f ca="1">IF(LEFT($C$15,6)="CAM_AD",$C$16,$C$15)</f>
        <v>#NAME?</v>
      </c>
      <c r="D17" s="5"/>
    </row>
    <row r="18" spans="2:9" hidden="1" outlineLevel="1" x14ac:dyDescent="0.25"/>
    <row r="19" spans="2:9" hidden="1" outlineLevel="1" x14ac:dyDescent="0.25">
      <c r="B19" s="37" t="s">
        <v>12</v>
      </c>
      <c r="C19" s="38"/>
      <c r="D19" s="39"/>
    </row>
    <row r="20" spans="2:9" hidden="1" outlineLevel="1" x14ac:dyDescent="0.25">
      <c r="B20" s="1" t="s">
        <v>13</v>
      </c>
      <c r="C20" s="5" t="str" cm="1">
        <f t="array" ref="C20">_xll.VIEW(db_name&amp;":}ElementAttributes_variables","!","!")</f>
        <v>finance_geus:}ElementAttributes_variables:1264217196-1602250033</v>
      </c>
      <c r="D20" s="5"/>
    </row>
    <row r="21" spans="2:9" hidden="1" outlineLevel="1" x14ac:dyDescent="0.25">
      <c r="B21" s="1" t="s">
        <v>14</v>
      </c>
      <c r="C21" s="5" t="e" cm="1">
        <f t="array" aca="1" ref="C21" ca="1">_xll.DBR($C$20,$B21,"value")</f>
        <v>#NAME?</v>
      </c>
      <c r="D21" s="5"/>
    </row>
    <row r="22" spans="2:9" hidden="1" outlineLevel="1" x14ac:dyDescent="0.25">
      <c r="B22" s="1" t="s">
        <v>15</v>
      </c>
      <c r="C22" s="5" t="e" cm="1">
        <f t="array" aca="1" ref="C22" ca="1">_xll.DBR($C$20,$B22,"value")</f>
        <v>#NAME?</v>
      </c>
      <c r="D22" s="5"/>
    </row>
    <row r="23" spans="2:9" hidden="1" outlineLevel="1" x14ac:dyDescent="0.25">
      <c r="B23" s="1" t="s">
        <v>16</v>
      </c>
      <c r="C23" s="5" t="e" cm="1">
        <f t="array" aca="1" ref="C23" ca="1">_xll.DBR($C$20,$B23,"value")</f>
        <v>#NAME?</v>
      </c>
      <c r="D23" s="5"/>
    </row>
    <row r="24" spans="2:9" hidden="1" outlineLevel="1" x14ac:dyDescent="0.25">
      <c r="B24" s="1" t="s">
        <v>17</v>
      </c>
      <c r="C24" s="5" t="e" cm="1">
        <f t="array" aca="1" ref="C24" ca="1">_xll.DBR($C$20,$B24,"value")</f>
        <v>#NAME?</v>
      </c>
      <c r="D24" s="5"/>
    </row>
    <row r="25" spans="2:9" hidden="1" outlineLevel="1" x14ac:dyDescent="0.25">
      <c r="B25" s="1" t="s">
        <v>18</v>
      </c>
      <c r="C25" s="5" t="e" cm="1">
        <f t="array" aca="1" ref="C25" ca="1">_xll.DBR($C$20,$B25,"value")</f>
        <v>#NAME?</v>
      </c>
      <c r="D25" s="5"/>
    </row>
    <row r="26" spans="2:9" hidden="1" outlineLevel="1" x14ac:dyDescent="0.25">
      <c r="B26" s="1" t="s">
        <v>19</v>
      </c>
      <c r="C26" s="5" t="e" cm="1">
        <f t="array" aca="1" ref="C26" ca="1">_xll.DBR($C$20,$B26,"value")</f>
        <v>#NAME?</v>
      </c>
      <c r="D26" s="5"/>
    </row>
    <row r="27" spans="2:9" hidden="1" outlineLevel="1" x14ac:dyDescent="0.25"/>
    <row r="28" spans="2:9" hidden="1" outlineLevel="1" x14ac:dyDescent="0.25">
      <c r="B28" s="37" t="s">
        <v>20</v>
      </c>
      <c r="C28" s="38"/>
      <c r="D28" s="39"/>
    </row>
    <row r="29" spans="2:9" hidden="1" outlineLevel="1" x14ac:dyDescent="0.25">
      <c r="B29" s="5" t="s">
        <v>21</v>
      </c>
      <c r="C29" s="5" t="str">
        <f>_xll.VIEW(db_name&amp;":sys_application","!","!")</f>
        <v>finance_geus:sys_application:1264217196197470956</v>
      </c>
    </row>
    <row r="30" spans="2:9" hidden="1" outlineLevel="1" x14ac:dyDescent="0.25">
      <c r="B30" s="5" t="s">
        <v>22</v>
      </c>
      <c r="C30" s="5" t="s">
        <v>33</v>
      </c>
    </row>
    <row r="31" spans="2:9" hidden="1" outlineLevel="1" x14ac:dyDescent="0.25">
      <c r="B31" s="6" t="s">
        <v>23</v>
      </c>
      <c r="C31" s="7" t="s">
        <v>24</v>
      </c>
      <c r="D31" s="7" t="s">
        <v>25</v>
      </c>
      <c r="E31" s="7" t="s">
        <v>26</v>
      </c>
      <c r="F31" s="7" t="s">
        <v>27</v>
      </c>
      <c r="G31" s="7" t="s">
        <v>28</v>
      </c>
      <c r="H31" s="7" t="s">
        <v>29</v>
      </c>
      <c r="I31" s="27"/>
    </row>
    <row r="32" spans="2:9" hidden="1" outlineLevel="1" x14ac:dyDescent="0.25">
      <c r="B32" s="5" t="s">
        <v>30</v>
      </c>
      <c r="C32" s="5" t="e" cm="1">
        <f t="array" aca="1" ref="C32" ca="1">_xll.DBR($C$29,$B32,C$31)</f>
        <v>#NAME?</v>
      </c>
      <c r="D32" s="5" t="e" cm="1">
        <f t="array" aca="1" ref="D32" ca="1">_xll.DBR($C$29,$B32,D$31)</f>
        <v>#NAME?</v>
      </c>
      <c r="E32" s="5" t="e" cm="1">
        <f t="array" aca="1" ref="E32" ca="1">_xll.DBR($C$29,$B32,E$31)</f>
        <v>#NAME?</v>
      </c>
      <c r="F32" s="5" t="e" cm="1">
        <f t="array" aca="1" ref="F32" ca="1">_xll.DBR($C$29,$B32,F$31)</f>
        <v>#NAME?</v>
      </c>
      <c r="G32" s="5" t="e" cm="1">
        <f t="array" aca="1" ref="G32" ca="1">_xll.DBR($C$29,$B32,G$31)</f>
        <v>#NAME?</v>
      </c>
      <c r="H32" s="5" t="e" cm="1">
        <f t="array" aca="1" ref="H32" ca="1">_xll.DBR($C$29,$B32,H$31)</f>
        <v>#NAME?</v>
      </c>
    </row>
    <row r="33" spans="2:8" hidden="1" outlineLevel="1" x14ac:dyDescent="0.25">
      <c r="B33" s="5" t="s">
        <v>31</v>
      </c>
      <c r="C33" s="5" t="e" cm="1">
        <f t="array" aca="1" ref="C33" ca="1">_xll.DBR($C$29,$B33,C$31)</f>
        <v>#NAME?</v>
      </c>
      <c r="D33" s="5" t="e" cm="1">
        <f t="array" aca="1" ref="D33" ca="1">_xll.DBR($C$29,$B33,D$31)</f>
        <v>#NAME?</v>
      </c>
      <c r="E33" s="5" t="e" cm="1">
        <f t="array" aca="1" ref="E33" ca="1">_xll.DBR($C$29,$B33,E$31)</f>
        <v>#NAME?</v>
      </c>
      <c r="F33" s="5" t="e" cm="1">
        <f t="array" aca="1" ref="F33" ca="1">_xll.DBR($C$29,$B33,F$31)</f>
        <v>#NAME?</v>
      </c>
      <c r="G33" s="5" t="e" cm="1">
        <f t="array" aca="1" ref="G33" ca="1">_xll.DBR($C$29,$B33,G$31)</f>
        <v>#NAME?</v>
      </c>
      <c r="H33" s="5" t="e" cm="1">
        <f t="array" aca="1" ref="H33" ca="1">_xll.DBR($C$29,$B33,H$31)</f>
        <v>#NAME?</v>
      </c>
    </row>
    <row r="34" spans="2:8" hidden="1" outlineLevel="1" x14ac:dyDescent="0.25">
      <c r="B34" s="5" t="s">
        <v>32</v>
      </c>
      <c r="C34" s="5" t="e" cm="1">
        <f t="array" aca="1" ref="C34" ca="1">_xll.DBR($C$29,$B34,C$31)</f>
        <v>#NAME?</v>
      </c>
      <c r="D34" s="5" t="e" cm="1">
        <f t="array" aca="1" ref="D34" ca="1">_xll.DBR($C$29,$B34,D$31)</f>
        <v>#NAME?</v>
      </c>
      <c r="E34" s="5" t="e" cm="1">
        <f t="array" aca="1" ref="E34" ca="1">_xll.DBR($C$29,$B34,E$31)</f>
        <v>#NAME?</v>
      </c>
      <c r="F34" s="5" t="e" cm="1">
        <f t="array" aca="1" ref="F34" ca="1">_xll.DBR($C$29,$B34,F$31)</f>
        <v>#NAME?</v>
      </c>
      <c r="G34" s="5" t="e" cm="1">
        <f t="array" aca="1" ref="G34" ca="1">_xll.DBR($C$29,$B34,G$31)</f>
        <v>#NAME?</v>
      </c>
      <c r="H34" s="5" t="e" cm="1">
        <f t="array" aca="1" ref="H34" ca="1">_xll.DBR($C$29,$B34,H$31)</f>
        <v>#NAME?</v>
      </c>
    </row>
    <row r="35" spans="2:8" hidden="1" outlineLevel="1" x14ac:dyDescent="0.25">
      <c r="B35" s="5" t="s">
        <v>77</v>
      </c>
      <c r="C35" s="5" t="e" cm="1">
        <f t="array" aca="1" ref="C35" ca="1">_xll.DBR($C$29,$B35,C$31)</f>
        <v>#NAME?</v>
      </c>
      <c r="D35" s="5" t="e" cm="1">
        <f t="array" aca="1" ref="D35" ca="1">_xll.DBR($C$29,$B35,D$31)</f>
        <v>#NAME?</v>
      </c>
      <c r="E35" s="5" t="e" cm="1">
        <f t="array" aca="1" ref="E35" ca="1">_xll.DBR($C$29,$B35,E$31)</f>
        <v>#NAME?</v>
      </c>
      <c r="F35" s="5" t="e" cm="1">
        <f t="array" aca="1" ref="F35" ca="1">_xll.DBR($C$29,$B35,F$31)</f>
        <v>#NAME?</v>
      </c>
      <c r="G35" s="5" t="e" cm="1">
        <f t="array" aca="1" ref="G35" ca="1">_xll.DBR($C$29,$B35,G$31)</f>
        <v>#NAME?</v>
      </c>
      <c r="H35" s="5" t="e" cm="1">
        <f t="array" aca="1" ref="H35" ca="1">_xll.DBR($C$29,$B35,H$31)</f>
        <v>#NAME?</v>
      </c>
    </row>
    <row r="36" spans="2:8" hidden="1" outlineLevel="1" x14ac:dyDescent="0.25">
      <c r="B36" s="5" t="s">
        <v>33</v>
      </c>
      <c r="C36" s="5" t="e" cm="1">
        <f t="array" aca="1" ref="C36" ca="1">_xll.DBR($C$29,$B36,C$31)</f>
        <v>#NAME?</v>
      </c>
      <c r="D36" s="5" t="e" cm="1">
        <f t="array" aca="1" ref="D36" ca="1">_xll.DBR($C$29,$B36,D$31)</f>
        <v>#NAME?</v>
      </c>
      <c r="E36" s="5" t="e" cm="1">
        <f t="array" aca="1" ref="E36" ca="1">_xll.DBR($C$29,$B36,E$31)</f>
        <v>#NAME?</v>
      </c>
      <c r="F36" s="5" t="e" cm="1">
        <f t="array" aca="1" ref="F36" ca="1">_xll.DBR($C$29,$B36,F$31)</f>
        <v>#NAME?</v>
      </c>
      <c r="G36" s="5" t="e" cm="1">
        <f t="array" aca="1" ref="G36" ca="1">_xll.DBR($C$29,$B36,G$31)</f>
        <v>#NAME?</v>
      </c>
      <c r="H36" s="5" t="e" cm="1">
        <f t="array" aca="1" ref="H36" ca="1">_xll.DBR($C$29,$B36,H$31)</f>
        <v>#NAME?</v>
      </c>
    </row>
    <row r="37" spans="2:8" hidden="1" outlineLevel="1" x14ac:dyDescent="0.25">
      <c r="B37" s="5" t="s">
        <v>78</v>
      </c>
      <c r="C37" s="5" t="e" cm="1">
        <f t="array" aca="1" ref="C37" ca="1">_xll.DBR($C$29,$B37,C$31)</f>
        <v>#NAME?</v>
      </c>
      <c r="D37" s="5" t="e" cm="1">
        <f t="array" aca="1" ref="D37" ca="1">_xll.DBR($C$29,$B37,D$31)</f>
        <v>#NAME?</v>
      </c>
      <c r="E37" s="5" t="e" cm="1">
        <f t="array" aca="1" ref="E37" ca="1">_xll.DBR($C$29,$B37,E$31)</f>
        <v>#NAME?</v>
      </c>
      <c r="F37" s="5" t="e" cm="1">
        <f t="array" aca="1" ref="F37" ca="1">_xll.DBR($C$29,$B37,F$31)</f>
        <v>#NAME?</v>
      </c>
      <c r="G37" s="5" t="e" cm="1">
        <f t="array" aca="1" ref="G37" ca="1">_xll.DBR($C$29,$B37,G$31)</f>
        <v>#NAME?</v>
      </c>
      <c r="H37" s="5" t="e" cm="1">
        <f t="array" aca="1" ref="H37" ca="1">_xll.DBR($C$29,$B37,H$31)</f>
        <v>#NAME?</v>
      </c>
    </row>
    <row r="38" spans="2:8" hidden="1" outlineLevel="1" x14ac:dyDescent="0.25"/>
    <row r="39" spans="2:8" hidden="1" outlineLevel="1" x14ac:dyDescent="0.25">
      <c r="B39" s="37" t="s">
        <v>82</v>
      </c>
      <c r="C39" s="38"/>
      <c r="D39" s="39"/>
    </row>
    <row r="40" spans="2:8" hidden="1" outlineLevel="1" x14ac:dyDescent="0.25">
      <c r="B40" s="1" t="s">
        <v>13</v>
      </c>
      <c r="C40" s="5" t="str" cm="1">
        <f t="array" ref="C40">_xll.VIEW(db_name&amp;":sys_client preference","!","!","!")</f>
        <v>finance_geus:sys_client preference:12642171961182752898</v>
      </c>
      <c r="D40" s="5"/>
    </row>
    <row r="41" spans="2:8" hidden="1" outlineLevel="1" x14ac:dyDescent="0.25">
      <c r="B41" s="1"/>
      <c r="C41" s="24" t="s">
        <v>83</v>
      </c>
      <c r="D41" s="24" t="s">
        <v>84</v>
      </c>
    </row>
    <row r="42" spans="2:8" hidden="1" outlineLevel="1" x14ac:dyDescent="0.25">
      <c r="B42" s="1" t="s">
        <v>85</v>
      </c>
      <c r="C42" s="5" t="e" cm="1">
        <f t="array" aca="1" ref="C42" ca="1">_xll.SUBNM(db_name&amp;":sys_client preference measure","","value")</f>
        <v>#NAME?</v>
      </c>
      <c r="D42" s="24"/>
    </row>
    <row r="43" spans="2:8" hidden="1" outlineLevel="1" x14ac:dyDescent="0.25">
      <c r="B43" s="1" t="s">
        <v>86</v>
      </c>
      <c r="C43" s="5" t="e" cm="1">
        <f t="array" aca="1" ref="C43" ca="1">_xll.DBR($C$40,psUser,$B43,C$41)</f>
        <v>#NAME?</v>
      </c>
      <c r="D43" s="5"/>
    </row>
    <row r="44" spans="2:8" hidden="1" outlineLevel="1" x14ac:dyDescent="0.25">
      <c r="B44" s="1" t="s">
        <v>87</v>
      </c>
      <c r="C44" s="5" t="e" cm="1">
        <f t="array" aca="1" ref="C44" ca="1">_xll.DBR($C$40,psUser,$B44,C$41)</f>
        <v>#NAME?</v>
      </c>
      <c r="D44" s="5"/>
    </row>
    <row r="45" spans="2:8" hidden="1" outlineLevel="1" x14ac:dyDescent="0.25">
      <c r="B45" s="1" t="s">
        <v>88</v>
      </c>
      <c r="C45" s="5" t="e" cm="1">
        <f t="array" aca="1" ref="C45" ca="1">_xll.DBR($C$40,psUser,$B45,C$41)</f>
        <v>#NAME?</v>
      </c>
      <c r="D45" s="5"/>
    </row>
    <row r="46" spans="2:8" hidden="1" outlineLevel="1" x14ac:dyDescent="0.25">
      <c r="B46" s="1" t="s">
        <v>89</v>
      </c>
      <c r="C46" s="5" t="e" cm="1">
        <f t="array" aca="1" ref="C46" ca="1">_xll.DBR($C$40,psUser,$B46,C$41)</f>
        <v>#NAME?</v>
      </c>
      <c r="D46" s="5" t="e" cm="1">
        <f t="array" aca="1" ref="D46" ca="1">_xll.DBR($C$40,psUser,$B46,D$41)</f>
        <v>#NAME?</v>
      </c>
    </row>
    <row r="47" spans="2:8" hidden="1" outlineLevel="1" x14ac:dyDescent="0.25">
      <c r="B47" s="1" t="s">
        <v>90</v>
      </c>
      <c r="C47" s="5" t="e" cm="1">
        <f t="array" aca="1" ref="C47" ca="1">_xll.DBR($C$40,psUser,$B47,C$41)</f>
        <v>#NAME?</v>
      </c>
      <c r="D47" s="5" t="e" cm="1">
        <f t="array" aca="1" ref="D47" ca="1">_xll.DBR($C$40,psUser,$B47,D$41)</f>
        <v>#NAME?</v>
      </c>
    </row>
    <row r="48" spans="2:8" hidden="1" outlineLevel="1" x14ac:dyDescent="0.25">
      <c r="B48" s="1" t="s">
        <v>91</v>
      </c>
      <c r="C48" s="5" t="e" cm="1">
        <f t="array" aca="1" ref="C48" ca="1">_xll.DBR($C$40,psUser,$B48,C$41)</f>
        <v>#NAME?</v>
      </c>
      <c r="D48" s="5" t="e" cm="1">
        <f t="array" aca="1" ref="D48" ca="1">_xll.DBR($C$40,psUser,$B48,D$41)</f>
        <v>#NAME?</v>
      </c>
    </row>
    <row r="49" spans="2:9" hidden="1" outlineLevel="1" x14ac:dyDescent="0.25">
      <c r="B49" s="1" t="s">
        <v>92</v>
      </c>
      <c r="C49" s="5" t="e" cm="1">
        <f t="array" aca="1" ref="C49" ca="1">_xll.DBR($C$40,psUser,$B49,C$41)</f>
        <v>#NAME?</v>
      </c>
      <c r="D49" s="5" t="e" cm="1">
        <f t="array" aca="1" ref="D49" ca="1">_xll.DBR($C$40,psUser,$B49,D$41)</f>
        <v>#NAME?</v>
      </c>
    </row>
    <row r="50" spans="2:9" hidden="1" outlineLevel="1" x14ac:dyDescent="0.25">
      <c r="B50" s="1" t="s">
        <v>93</v>
      </c>
      <c r="C50" s="5" t="e" cm="1">
        <f t="array" aca="1" ref="C50" ca="1">_xll.DBR($C$40,psUser,$B50,C$41)</f>
        <v>#NAME?</v>
      </c>
      <c r="D50" s="5" t="e" cm="1">
        <f t="array" aca="1" ref="D50" ca="1">_xll.DBR($C$40,psUser,$B50,D$41)</f>
        <v>#NAME?</v>
      </c>
    </row>
    <row r="51" spans="2:9" hidden="1" outlineLevel="1" x14ac:dyDescent="0.25">
      <c r="B51" s="1" t="s">
        <v>94</v>
      </c>
      <c r="C51" s="5" t="e" cm="1">
        <f t="array" aca="1" ref="C51" ca="1">_xll.DBR($C$40,psUser,$B51,C$41)</f>
        <v>#NAME?</v>
      </c>
      <c r="D51" s="5" t="e" cm="1">
        <f t="array" aca="1" ref="D51" ca="1">_xll.DBR($C$40,psUser,$B51,D$41)</f>
        <v>#NAME?</v>
      </c>
    </row>
    <row r="52" spans="2:9" hidden="1" outlineLevel="1" x14ac:dyDescent="0.25">
      <c r="B52" s="1" t="s">
        <v>95</v>
      </c>
      <c r="C52" s="5" t="e" cm="1">
        <f t="array" aca="1" ref="C52" ca="1">_xll.DBR($C$40,psUser,$B52,C$41)</f>
        <v>#NAME?</v>
      </c>
      <c r="D52" s="5" t="e" cm="1">
        <f t="array" aca="1" ref="D52" ca="1">_xll.DBR($C$40,psUser,$B52,D$41)</f>
        <v>#NAME?</v>
      </c>
    </row>
    <row r="53" spans="2:9" hidden="1" outlineLevel="1" x14ac:dyDescent="0.25">
      <c r="B53" s="1" t="s">
        <v>96</v>
      </c>
      <c r="C53" s="5" t="e" cm="1">
        <f t="array" aca="1" ref="C53" ca="1">_xll.DBR($C$40,psUser,$B53,C$41)</f>
        <v>#NAME?</v>
      </c>
      <c r="D53" s="5" t="e" cm="1">
        <f t="array" aca="1" ref="D53" ca="1">_xll.DBR($C$40,psUser,$B53,D$41)</f>
        <v>#NAME?</v>
      </c>
    </row>
    <row r="54" spans="2:9" hidden="1" outlineLevel="1" x14ac:dyDescent="0.25">
      <c r="B54" s="1" t="s">
        <v>97</v>
      </c>
      <c r="C54" s="5" t="e" cm="1">
        <f t="array" aca="1" ref="C54" ca="1">_xll.DBR($C$40,psUser,$B54,C$41)</f>
        <v>#NAME?</v>
      </c>
      <c r="D54" s="5" t="e" cm="1">
        <f t="array" aca="1" ref="D54" ca="1">_xll.DBR($C$40,psUser,$B54,D$41)</f>
        <v>#NAME?</v>
      </c>
    </row>
    <row r="55" spans="2:9" hidden="1" outlineLevel="1" x14ac:dyDescent="0.25"/>
    <row r="56" spans="2:9" hidden="1" outlineLevel="1" x14ac:dyDescent="0.25">
      <c r="B56" s="40" t="s">
        <v>404</v>
      </c>
      <c r="C56" s="41"/>
      <c r="D56" s="42"/>
      <c r="F56" s="40" t="s">
        <v>415</v>
      </c>
      <c r="G56" s="41"/>
      <c r="H56" s="42"/>
    </row>
    <row r="57" spans="2:9" hidden="1" outlineLevel="1" x14ac:dyDescent="0.25">
      <c r="B57" s="5" t="s">
        <v>405</v>
      </c>
      <c r="C57" s="25" t="e" cm="1">
        <f t="array" aca="1" ref="C57" ca="1">_xll.DIMNM(db_name&amp;":account",_xll.DIMIX(db_name&amp;":account",psAcc))</f>
        <v>#NAME?</v>
      </c>
      <c r="D57" s="5"/>
      <c r="F57" s="5" t="s">
        <v>65</v>
      </c>
      <c r="G57" s="5" t="e">
        <f ca="1">$C$91</f>
        <v>#NAME?</v>
      </c>
      <c r="H57" s="5"/>
    </row>
    <row r="58" spans="2:9" hidden="1" outlineLevel="1" x14ac:dyDescent="0.25">
      <c r="B58" s="5" t="s">
        <v>406</v>
      </c>
      <c r="C58" s="5" t="e" cm="1">
        <f t="array" aca="1" ref="C58" ca="1">_xll.DIMNM(db_name&amp;":movement account",_xll.DIMIX(db_name&amp;":movement account",psMA))</f>
        <v>#NAME?</v>
      </c>
      <c r="D58" s="5"/>
      <c r="F58" s="5" t="s">
        <v>66</v>
      </c>
      <c r="G58" s="5" t="e">
        <f ca="1">H58</f>
        <v>#NAME?</v>
      </c>
      <c r="H58" s="5" t="e">
        <f ca="1">IF($C$70="",IF($C$71="",$C$24,IF(psRE="",$D$72,IF(psRE=$D$72,$D$72,""))),IF($C$80="",$C$24,IF(OR(psRE="",psRE=$D$81),$D$81,"")))</f>
        <v>#NAME?</v>
      </c>
      <c r="I58" t="e">
        <f ca="1">IF($C$71="",$C$24,IF(OR(psRE="",psRE=$D$81),$D$81,""))</f>
        <v>#NAME?</v>
      </c>
    </row>
    <row r="59" spans="2:9" hidden="1" outlineLevel="1" x14ac:dyDescent="0.25">
      <c r="B59" s="5" t="s">
        <v>407</v>
      </c>
      <c r="C59" s="5" t="e" cm="1">
        <f t="array" aca="1" ref="C59" ca="1">_xll.DBSS($C$57,$C$40,psUser,$B47,C$41)</f>
        <v>#NAME?</v>
      </c>
      <c r="D59" s="5"/>
      <c r="F59" s="5" t="s">
        <v>67</v>
      </c>
      <c r="G59" s="5" t="e">
        <f ca="1">IF($C$73="",$C$25,"")</f>
        <v>#NAME?</v>
      </c>
      <c r="H59" s="5"/>
    </row>
    <row r="60" spans="2:9" hidden="1" outlineLevel="1" x14ac:dyDescent="0.25">
      <c r="B60" s="5" t="s">
        <v>408</v>
      </c>
      <c r="C60" s="5" t="e" cm="1">
        <f t="array" aca="1" ref="C60" ca="1">_xll.DBSS($G$57,$C$40,psUser,$B48,C$41)</f>
        <v>#NAME?</v>
      </c>
      <c r="D60" s="5"/>
      <c r="F60" s="5" t="s">
        <v>69</v>
      </c>
      <c r="G60" s="5" t="e">
        <f ca="1">IF(psItem="",$H$60,psItem)</f>
        <v>#NAME?</v>
      </c>
      <c r="H60" s="5" t="str">
        <f>"A001-00001-05000"</f>
        <v>A001-00001-05000</v>
      </c>
      <c r="I60" t="e" cm="1">
        <f t="array" aca="1" ref="I60" ca="1">_xll.DBR($C$108,$H$60,"code and description")</f>
        <v>#NAME?</v>
      </c>
    </row>
    <row r="61" spans="2:9" hidden="1" outlineLevel="1" x14ac:dyDescent="0.25">
      <c r="B61" s="5" t="s">
        <v>409</v>
      </c>
      <c r="C61" s="5" t="e" cm="1">
        <f t="array" aca="1" ref="C61" ca="1">IF($G$58="","",_xll.DBSS($G$58,$C$40,psUser,$B49,C$41))</f>
        <v>#NAME?</v>
      </c>
      <c r="D61" s="5"/>
      <c r="F61" s="5" t="s">
        <v>68</v>
      </c>
      <c r="G61" s="5" t="e">
        <f ca="1">IF(psSPP = "",IF($C$75="",$C$26,""),psSPP)</f>
        <v>#NAME?</v>
      </c>
      <c r="H61" s="5"/>
    </row>
    <row r="62" spans="2:9" hidden="1" outlineLevel="1" x14ac:dyDescent="0.25">
      <c r="B62" s="5" t="s">
        <v>410</v>
      </c>
      <c r="C62" s="5" t="e" cm="1">
        <f t="array" aca="1" ref="C62" ca="1">IF(psAcc&lt;&gt;"",_xll.DBSS($G$59,$C$40,psUser,$B50,C$41),"")</f>
        <v>#NAME?</v>
      </c>
      <c r="D62" s="5"/>
      <c r="F62" s="5" t="s">
        <v>416</v>
      </c>
      <c r="G62" s="5" t="e">
        <f ca="1">IF(psByPass= "","N",psByPass)</f>
        <v>#NAME?</v>
      </c>
      <c r="H62" s="5"/>
    </row>
    <row r="63" spans="2:9" hidden="1" outlineLevel="1" x14ac:dyDescent="0.25">
      <c r="B63" s="5" t="s">
        <v>411</v>
      </c>
      <c r="C63" s="5" t="e" cm="1">
        <f t="array" aca="1" ref="C63" ca="1">IF(psAcc&lt;&gt;"",_xll.DBSS($G$60,$C$40,psUser,$B51,C$41),"")</f>
        <v>#NAME?</v>
      </c>
      <c r="D63" s="5"/>
      <c r="F63" s="5" t="s">
        <v>417</v>
      </c>
      <c r="G63" s="5" t="e">
        <f ca="1">IF(psFavID= "","",psFavID)</f>
        <v>#NAME?</v>
      </c>
      <c r="H63" s="5"/>
    </row>
    <row r="64" spans="2:9" hidden="1" outlineLevel="1" x14ac:dyDescent="0.25">
      <c r="B64" s="5" t="s">
        <v>412</v>
      </c>
      <c r="C64" s="5" t="e" cm="1">
        <f t="array" aca="1" ref="C64" ca="1">IF(psAcc&lt;&gt;"",_xll.DBSS($G$61,$C$40,psUser,$B52,C$41),"")</f>
        <v>#NAME?</v>
      </c>
      <c r="D64" s="5"/>
    </row>
    <row r="65" spans="2:4" hidden="1" outlineLevel="1" x14ac:dyDescent="0.25">
      <c r="B65" s="5" t="s">
        <v>413</v>
      </c>
      <c r="C65" s="5" t="e" cm="1">
        <f t="array" aca="1" ref="C65" ca="1">IF(psAcc&lt;&gt;"",_xll.DBSS($G$62,$C$40,psUser,$B53,C$41),"")</f>
        <v>#NAME?</v>
      </c>
      <c r="D65" s="5"/>
    </row>
    <row r="66" spans="2:4" hidden="1" outlineLevel="1" x14ac:dyDescent="0.25">
      <c r="B66" s="5" t="s">
        <v>414</v>
      </c>
      <c r="C66" s="5" t="e" cm="1">
        <f t="array" aca="1" ref="C66" ca="1">IF(psAcc&lt;&gt;"",_xll.DBSS($G$63,$C$40,psUser,$B54,C$41),"")</f>
        <v>#NAME?</v>
      </c>
      <c r="D66" s="5"/>
    </row>
    <row r="67" spans="2:4" hidden="1" outlineLevel="1" x14ac:dyDescent="0.25"/>
    <row r="68" spans="2:4" hidden="1" outlineLevel="1" x14ac:dyDescent="0.25">
      <c r="B68" s="37" t="s">
        <v>48</v>
      </c>
      <c r="C68" s="38"/>
      <c r="D68" s="39"/>
    </row>
    <row r="69" spans="2:4" hidden="1" outlineLevel="1" x14ac:dyDescent="0.25">
      <c r="B69" s="5" t="s">
        <v>49</v>
      </c>
      <c r="C69" s="5" t="str" cm="1">
        <f t="array" ref="C69">_xll.VIEW(db_name&amp;":}ElementAttributes_account","!","!")</f>
        <v>finance_geus:}ElementAttributes_account:1264217196-1816325069</v>
      </c>
      <c r="D69" s="5"/>
    </row>
    <row r="70" spans="2:4" hidden="1" outlineLevel="1" x14ac:dyDescent="0.25">
      <c r="B70" s="5" t="s">
        <v>50</v>
      </c>
      <c r="C70" s="5" t="e" cm="1">
        <f t="array" aca="1" ref="C70" ca="1">_xll.DBR($C$69,$C$57,$B70)</f>
        <v>#NAME?</v>
      </c>
      <c r="D70" s="5"/>
    </row>
    <row r="71" spans="2:4" hidden="1" outlineLevel="1" x14ac:dyDescent="0.25">
      <c r="B71" s="5" t="s">
        <v>51</v>
      </c>
      <c r="C71" s="5" t="e" cm="1">
        <f t="array" aca="1" ref="C71" ca="1">_xll.DBR($C$69,$C$57,$B71)</f>
        <v>#NAME?</v>
      </c>
      <c r="D71" s="5"/>
    </row>
    <row r="72" spans="2:4" hidden="1" outlineLevel="1" x14ac:dyDescent="0.25">
      <c r="B72" s="5" t="s">
        <v>52</v>
      </c>
      <c r="C72" s="5" t="e" cm="1">
        <f t="array" aca="1" ref="C72" ca="1">_xll.DBR($C$69,$C$57,$B72)</f>
        <v>#NAME?</v>
      </c>
      <c r="D72" s="5" t="e" cm="1">
        <f t="array" aca="1" ref="D72" ca="1">_xll.DBR($C$109,$C72,"code and description")</f>
        <v>#NAME?</v>
      </c>
    </row>
    <row r="73" spans="2:4" hidden="1" outlineLevel="1" x14ac:dyDescent="0.25">
      <c r="B73" s="5" t="s">
        <v>53</v>
      </c>
      <c r="C73" s="5" t="e" cm="1">
        <f t="array" aca="1" ref="C73" ca="1">_xll.DBR($C$69,$C$57,$B73)</f>
        <v>#NAME?</v>
      </c>
      <c r="D73" s="5"/>
    </row>
    <row r="74" spans="2:4" hidden="1" outlineLevel="1" x14ac:dyDescent="0.25">
      <c r="B74" s="5" t="s">
        <v>54</v>
      </c>
      <c r="C74" s="5" t="e" cm="1">
        <f t="array" aca="1" ref="C74" ca="1">_xll.DBR($C$69,$C$57,$B74)</f>
        <v>#NAME?</v>
      </c>
      <c r="D74" s="5"/>
    </row>
    <row r="75" spans="2:4" hidden="1" outlineLevel="1" x14ac:dyDescent="0.25">
      <c r="B75" s="5" t="s">
        <v>55</v>
      </c>
      <c r="C75" s="5" t="e" cm="1">
        <f t="array" aca="1" ref="C75" ca="1">_xll.DBR($C$69,$C$57,$B75)</f>
        <v>#NAME?</v>
      </c>
      <c r="D75" s="5"/>
    </row>
    <row r="76" spans="2:4" hidden="1" outlineLevel="1" x14ac:dyDescent="0.25">
      <c r="B76" s="5" t="s">
        <v>56</v>
      </c>
      <c r="C76" s="5" t="e" cm="1">
        <f t="array" aca="1" ref="C76" ca="1">_xll.DBR($C$69,$C$57,$B76)</f>
        <v>#NAME?</v>
      </c>
      <c r="D76" s="5" t="e" cm="1">
        <f t="array" aca="1" ref="D76" ca="1">_xll.DBR($C$79,$C76,"code and description")</f>
        <v>#NAME?</v>
      </c>
    </row>
    <row r="77" spans="2:4" hidden="1" outlineLevel="1" x14ac:dyDescent="0.25"/>
    <row r="78" spans="2:4" hidden="1" outlineLevel="1" x14ac:dyDescent="0.25">
      <c r="B78" s="37" t="s">
        <v>418</v>
      </c>
      <c r="C78" s="38"/>
      <c r="D78" s="39"/>
    </row>
    <row r="79" spans="2:4" hidden="1" outlineLevel="1" x14ac:dyDescent="0.25">
      <c r="B79" s="5" t="s">
        <v>419</v>
      </c>
      <c r="C79" s="5" t="str" cm="1">
        <f t="array" ref="C79">_xll.VIEW(db_name&amp;":}ElementAttributes_movement account","!","!")</f>
        <v>finance_geus:}ElementAttributes_movement account:1264217196-1072726018</v>
      </c>
    </row>
    <row r="80" spans="2:4" hidden="1" outlineLevel="1" x14ac:dyDescent="0.25">
      <c r="B80" s="5" t="s">
        <v>51</v>
      </c>
      <c r="C80" s="5" t="e" cm="1">
        <f t="array" aca="1" ref="C80" ca="1">_xll.DBR($C$79,$C$58,$B80)</f>
        <v>#NAME?</v>
      </c>
    </row>
    <row r="81" spans="2:4" hidden="1" outlineLevel="1" x14ac:dyDescent="0.25">
      <c r="B81" s="5" t="s">
        <v>52</v>
      </c>
      <c r="C81" s="5" t="e" cm="1">
        <f t="array" aca="1" ref="C81" ca="1">_xll.DBR($C$79,$C$58,$B81)</f>
        <v>#NAME?</v>
      </c>
      <c r="D81" s="5" t="e" cm="1">
        <f t="array" aca="1" ref="D81" ca="1">_xll.DBR($C$109,$C$81,"code and description")</f>
        <v>#NAME?</v>
      </c>
    </row>
    <row r="82" spans="2:4" hidden="1" outlineLevel="1" x14ac:dyDescent="0.25"/>
    <row r="83" spans="2:4" hidden="1" outlineLevel="1" x14ac:dyDescent="0.25">
      <c r="B83" s="40" t="s">
        <v>420</v>
      </c>
      <c r="C83" s="41"/>
      <c r="D83" s="42"/>
    </row>
    <row r="84" spans="2:4" hidden="1" outlineLevel="1" x14ac:dyDescent="0.25">
      <c r="B84" s="43" t="s">
        <v>421</v>
      </c>
      <c r="C84" s="44"/>
      <c r="D84" s="44"/>
    </row>
    <row r="85" spans="2:4" hidden="1" outlineLevel="1" x14ac:dyDescent="0.25">
      <c r="B85" s="1" t="s">
        <v>422</v>
      </c>
      <c r="C85" s="5" t="e" cm="1">
        <f t="array" aca="1" ref="C85" ca="1">_xll.VIEW(db_name&amp;":sys_movement account mapping","!","!",$C$86)</f>
        <v>#NAME?</v>
      </c>
      <c r="D85" s="5"/>
    </row>
    <row r="86" spans="2:4" hidden="1" outlineLevel="1" x14ac:dyDescent="0.25">
      <c r="B86" s="5" t="s">
        <v>70</v>
      </c>
      <c r="C86" s="5" t="e" cm="1">
        <f t="array" aca="1" ref="C86" ca="1">_xll.SUBNM(db_name&amp;":sys_mapping measure","","flag")</f>
        <v>#NAME?</v>
      </c>
      <c r="D86" s="5"/>
    </row>
    <row r="87" spans="2:4" hidden="1" outlineLevel="1" x14ac:dyDescent="0.25">
      <c r="B87" s="5" t="s">
        <v>423</v>
      </c>
      <c r="C87" s="5" t="e" cm="1">
        <f t="array" aca="1" ref="C87" ca="1">_xll.DBR($C$85,psAcc,"Total movement",$C$86)</f>
        <v>#NAME?</v>
      </c>
      <c r="D87" s="5"/>
    </row>
    <row r="88" spans="2:4" hidden="1" outlineLevel="1" x14ac:dyDescent="0.25">
      <c r="B88" s="5" t="s">
        <v>424</v>
      </c>
      <c r="C88" s="5" t="e">
        <f ca="1">"sys_"&amp;$C$57</f>
        <v>#NAME?</v>
      </c>
      <c r="D88" s="5"/>
    </row>
    <row r="89" spans="2:4" hidden="1" outlineLevel="1" x14ac:dyDescent="0.25">
      <c r="B89" s="5" t="s">
        <v>425</v>
      </c>
      <c r="C89" s="5" t="e" cm="1">
        <f t="array" aca="1" ref="C89" ca="1">_xll.SUBNM(db_name&amp;":}movement account mapping",$C$88,1)</f>
        <v>#NAME?</v>
      </c>
      <c r="D89" s="5"/>
    </row>
    <row r="90" spans="2:4" hidden="1" outlineLevel="1" x14ac:dyDescent="0.25">
      <c r="B90" s="5" t="s">
        <v>426</v>
      </c>
      <c r="C90" s="5" t="e">
        <f ca="1">IF(psAcc="","",IF($C$70="",$C$23,IF(OR(psMA="",psMA=$C$23),#REF!,psMA)))</f>
        <v>#NAME?</v>
      </c>
      <c r="D90" s="5"/>
    </row>
    <row r="91" spans="2:4" hidden="1" outlineLevel="1" x14ac:dyDescent="0.25">
      <c r="B91" s="5" t="s">
        <v>427</v>
      </c>
      <c r="C91" s="26" t="e" cm="1">
        <f t="array" aca="1" ref="C91" ca="1">_xll.DBR($C$79,$C$90,"code and description")</f>
        <v>#NAME?</v>
      </c>
      <c r="D91" s="5"/>
    </row>
    <row r="92" spans="2:4" hidden="1" outlineLevel="1" x14ac:dyDescent="0.25"/>
    <row r="93" spans="2:4" hidden="1" outlineLevel="1" x14ac:dyDescent="0.25">
      <c r="B93" s="37" t="s">
        <v>41</v>
      </c>
      <c r="C93" s="38"/>
      <c r="D93" s="39"/>
    </row>
    <row r="94" spans="2:4" hidden="1" outlineLevel="1" x14ac:dyDescent="0.25">
      <c r="B94" s="5" t="s">
        <v>42</v>
      </c>
      <c r="C94" s="5" t="e">
        <f ca="1">_xll.TM1RPTVIEW(db_name&amp;":sys_favourite template:1", 1, _xll.TM1RPTTITLE(db_name&amp;":favourites_id",$L$130),TM1RPTFMTRNG,TM1RPTFMTIDCOL)</f>
        <v>#NAME?</v>
      </c>
      <c r="D94" s="5"/>
    </row>
    <row r="95" spans="2:4" hidden="1" outlineLevel="1" x14ac:dyDescent="0.25">
      <c r="B95" s="5" t="s">
        <v>43</v>
      </c>
      <c r="C95" s="5" t="e" cm="1">
        <f t="array" aca="1" ref="C95" ca="1">_xll.VIEW(db_name&amp;":sys_favourite template",$L$130,"!","!","!","!","!","!","!")</f>
        <v>#NAME?</v>
      </c>
      <c r="D95" s="5"/>
    </row>
    <row r="96" spans="2:4" hidden="1" outlineLevel="1" x14ac:dyDescent="0.25">
      <c r="B96" s="12" t="s">
        <v>44</v>
      </c>
      <c r="C96" s="13" t="s">
        <v>45</v>
      </c>
    </row>
    <row r="97" spans="2:3" hidden="1" outlineLevel="1" x14ac:dyDescent="0.25">
      <c r="B97" s="1" t="s">
        <v>34</v>
      </c>
      <c r="C97" s="8" t="s">
        <v>473</v>
      </c>
    </row>
    <row r="98" spans="2:3" hidden="1" outlineLevel="1" x14ac:dyDescent="0.25">
      <c r="B98" s="1" t="s">
        <v>35</v>
      </c>
      <c r="C98" s="8" t="s">
        <v>36</v>
      </c>
    </row>
    <row r="99" spans="2:3" hidden="1" outlineLevel="1" x14ac:dyDescent="0.25">
      <c r="B99" s="1" t="s">
        <v>37</v>
      </c>
      <c r="C99" s="8" t="s">
        <v>38</v>
      </c>
    </row>
    <row r="100" spans="2:3" hidden="1" outlineLevel="1" x14ac:dyDescent="0.25">
      <c r="B100" s="1" t="s">
        <v>39</v>
      </c>
      <c r="C100" s="8" t="s">
        <v>40</v>
      </c>
    </row>
    <row r="101" spans="2:3" hidden="1" outlineLevel="1" x14ac:dyDescent="0.25">
      <c r="B101" s="1" t="s">
        <v>46</v>
      </c>
      <c r="C101" s="8" t="s">
        <v>47</v>
      </c>
    </row>
    <row r="102" spans="2:3" hidden="1" outlineLevel="1" x14ac:dyDescent="0.25">
      <c r="B102" s="1" t="s">
        <v>70</v>
      </c>
      <c r="C102" s="8" t="s">
        <v>0</v>
      </c>
    </row>
    <row r="103" spans="2:3" hidden="1" outlineLevel="1" x14ac:dyDescent="0.25"/>
    <row r="104" spans="2:3" hidden="1" outlineLevel="1" x14ac:dyDescent="0.25">
      <c r="B104" s="37" t="s">
        <v>57</v>
      </c>
      <c r="C104" s="38"/>
    </row>
    <row r="105" spans="2:3" hidden="1" outlineLevel="1" x14ac:dyDescent="0.25">
      <c r="B105" s="5" t="s">
        <v>58</v>
      </c>
      <c r="C105" s="5" t="str" cm="1">
        <f t="array" ref="C105">_xll.VIEW(db_name&amp;":}ElementAttributes_reason","!","!")</f>
        <v>finance_geus:}ElementAttributes_reason:1264217196-323647777</v>
      </c>
    </row>
    <row r="106" spans="2:3" hidden="1" outlineLevel="1" x14ac:dyDescent="0.25">
      <c r="B106" s="5" t="s">
        <v>59</v>
      </c>
      <c r="C106" s="5" t="str" cm="1">
        <f t="array" ref="C106">_xll.VIEW(db_name&amp;":}ElementAttributes_measure code","!","!")</f>
        <v>finance_geus:}ElementAttributes_measure code:12642171961875365718</v>
      </c>
    </row>
    <row r="107" spans="2:3" hidden="1" outlineLevel="1" x14ac:dyDescent="0.25">
      <c r="B107" s="5" t="s">
        <v>60</v>
      </c>
      <c r="C107" s="5" t="str" cm="1">
        <f t="array" ref="C107">_xll.VIEW(db_name&amp;":}ElementAttributes_programme","!","!")</f>
        <v>finance_geus:}ElementAttributes_programme:1264217196-246165761</v>
      </c>
    </row>
    <row r="108" spans="2:3" hidden="1" outlineLevel="1" x14ac:dyDescent="0.25">
      <c r="B108" s="5" t="s">
        <v>61</v>
      </c>
      <c r="C108" s="5" t="str" cm="1">
        <f t="array" ref="C108">_xll.VIEW(db_name&amp;":}ElementAttributes_appropriation item","!","!")</f>
        <v>finance_geus:}ElementAttributes_appropriation item:1264217196-1219164349</v>
      </c>
    </row>
    <row r="109" spans="2:3" hidden="1" outlineLevel="1" x14ac:dyDescent="0.25">
      <c r="B109" s="14" t="s">
        <v>62</v>
      </c>
      <c r="C109" s="15" t="str" cm="1">
        <f t="array" ref="C109">_xll.VIEW(db_name&amp;":}ElementAttributes_related entity","!","!")</f>
        <v>finance_geus:}ElementAttributes_related entity:1264217196-1992875119</v>
      </c>
    </row>
    <row r="110" spans="2:3" hidden="1" outlineLevel="1" x14ac:dyDescent="0.25"/>
    <row r="111" spans="2:3" hidden="1" outlineLevel="1" x14ac:dyDescent="0.25">
      <c r="B111" s="37" t="s">
        <v>57</v>
      </c>
      <c r="C111" s="38"/>
    </row>
    <row r="112" spans="2:3" hidden="1" outlineLevel="1" x14ac:dyDescent="0.25">
      <c r="B112" s="5" t="s">
        <v>63</v>
      </c>
      <c r="C112" s="5" t="str" cm="1">
        <f t="array" ref="C112">_xll.VIEW(db_name&amp;":}ElementAttributes_favourites_id","!","!")</f>
        <v>finance_geus:}ElementAttributes_favourites_id:1264217196-1689536707</v>
      </c>
    </row>
    <row r="113" spans="2:17" hidden="1" outlineLevel="1" x14ac:dyDescent="0.25">
      <c r="B113" t="s">
        <v>79</v>
      </c>
    </row>
    <row r="114" spans="2:17" hidden="1" outlineLevel="1" x14ac:dyDescent="0.25"/>
    <row r="115" spans="2:17" hidden="1" outlineLevel="1" x14ac:dyDescent="0.25"/>
    <row r="116" spans="2:17" hidden="1" outlineLevel="1" x14ac:dyDescent="0.25"/>
    <row r="117" spans="2:17" hidden="1" outlineLevel="1" x14ac:dyDescent="0.25"/>
    <row r="118" spans="2:17" hidden="1" outlineLevel="1" x14ac:dyDescent="0.25"/>
    <row r="119" spans="2:17" ht="39.950000000000003" customHeight="1" collapsed="1" x14ac:dyDescent="0.25">
      <c r="J119" s="20"/>
      <c r="K119" s="20"/>
      <c r="L119" s="20"/>
      <c r="M119" s="20"/>
      <c r="N119" s="20"/>
      <c r="O119" s="20"/>
      <c r="P119" s="20"/>
      <c r="Q119" s="20" t="s">
        <v>75</v>
      </c>
    </row>
    <row r="120" spans="2:17" ht="4.5" customHeight="1" x14ac:dyDescent="0.25"/>
    <row r="121" spans="2:17" ht="24" customHeight="1" x14ac:dyDescent="0.25"/>
    <row r="122" spans="2:17" ht="1.5" customHeight="1" x14ac:dyDescent="0.25">
      <c r="J122" s="20"/>
      <c r="K122" s="20"/>
      <c r="L122" s="20"/>
      <c r="M122" s="20"/>
      <c r="N122" s="20"/>
      <c r="O122" s="20"/>
      <c r="P122" s="20"/>
      <c r="Q122" s="20"/>
    </row>
    <row r="123" spans="2:17" ht="4.5" customHeight="1" x14ac:dyDescent="0.25"/>
    <row r="124" spans="2:17" x14ac:dyDescent="0.25">
      <c r="K124" s="35" t="s">
        <v>76</v>
      </c>
      <c r="L124" s="35"/>
      <c r="M124" s="35"/>
      <c r="N124" s="35"/>
      <c r="O124" s="35"/>
      <c r="P124" s="35"/>
      <c r="Q124" s="35"/>
    </row>
    <row r="125" spans="2:17" x14ac:dyDescent="0.25">
      <c r="K125" s="35" t="s">
        <v>428</v>
      </c>
      <c r="L125" s="35"/>
      <c r="M125" s="35"/>
      <c r="N125" s="35"/>
      <c r="O125" s="35"/>
      <c r="P125" s="35"/>
      <c r="Q125" s="35"/>
    </row>
    <row r="126" spans="2:17" x14ac:dyDescent="0.25">
      <c r="K126" s="35" t="s">
        <v>429</v>
      </c>
      <c r="L126" s="35"/>
      <c r="M126" s="35"/>
      <c r="N126" s="35"/>
      <c r="O126" s="35"/>
      <c r="P126" s="35"/>
      <c r="Q126" s="35"/>
    </row>
    <row r="127" spans="2:17" x14ac:dyDescent="0.25">
      <c r="K127" s="35" t="s">
        <v>430</v>
      </c>
      <c r="L127" s="35"/>
      <c r="M127" s="35"/>
      <c r="N127" s="35"/>
      <c r="O127" s="35"/>
      <c r="P127" s="35"/>
      <c r="Q127" s="35"/>
    </row>
    <row r="128" spans="2:17" ht="4.5" customHeight="1" x14ac:dyDescent="0.25"/>
    <row r="129" spans="1:18" ht="15.75" thickBot="1" x14ac:dyDescent="0.3">
      <c r="L129" s="22" t="s">
        <v>431</v>
      </c>
      <c r="P129" s="22" t="s">
        <v>81</v>
      </c>
    </row>
    <row r="130" spans="1:18" ht="15.75" thickBot="1" x14ac:dyDescent="0.3">
      <c r="K130" s="18" t="s">
        <v>73</v>
      </c>
      <c r="L130" s="29" t="e">
        <f ca="1">_xll.SUBNM(db_name&amp;":favourites_id","sys_all-n","","code and description")</f>
        <v>#NAME?</v>
      </c>
      <c r="O130" s="18" t="s">
        <v>80</v>
      </c>
      <c r="P130" s="23" t="e">
        <f ca="1">_xll.SUBNM(db_name&amp;":favourites_id","sys_all-n","","code and description")</f>
        <v>#NAME?</v>
      </c>
    </row>
    <row r="131" spans="1:18" ht="4.5" customHeight="1" x14ac:dyDescent="0.25">
      <c r="K131" s="18"/>
      <c r="L131" s="19"/>
    </row>
    <row r="132" spans="1:18" x14ac:dyDescent="0.25">
      <c r="K132" s="18" t="s">
        <v>74</v>
      </c>
      <c r="L132" s="36" t="e" cm="1">
        <f t="array" aca="1" ref="L132" ca="1">_xll.DBR($C$112,$L$130,$B$113)</f>
        <v>#NAME?</v>
      </c>
      <c r="M132" s="36"/>
      <c r="N132" s="36"/>
      <c r="O132" s="36"/>
    </row>
    <row r="133" spans="1:18" ht="4.5" customHeight="1" x14ac:dyDescent="0.25"/>
    <row r="134" spans="1:18" x14ac:dyDescent="0.25">
      <c r="K134" s="35" t="s">
        <v>432</v>
      </c>
      <c r="L134" s="35"/>
      <c r="M134" s="35"/>
      <c r="N134" s="35"/>
      <c r="O134" s="35"/>
      <c r="P134" s="35"/>
      <c r="Q134" s="35"/>
    </row>
    <row r="135" spans="1:18" x14ac:dyDescent="0.25">
      <c r="K135" s="16" t="s">
        <v>64</v>
      </c>
      <c r="L135" s="16" t="s">
        <v>65</v>
      </c>
      <c r="M135" s="16" t="s">
        <v>66</v>
      </c>
      <c r="N135" s="16" t="s">
        <v>67</v>
      </c>
      <c r="O135" s="16" t="s">
        <v>68</v>
      </c>
      <c r="P135" s="16" t="s">
        <v>69</v>
      </c>
      <c r="Q135" s="16" t="s">
        <v>403</v>
      </c>
    </row>
    <row r="136" spans="1:18" x14ac:dyDescent="0.25">
      <c r="K136" s="32" t="e" cm="1">
        <f t="array" aca="1" ref="K136" ca="1">_xll.SUBNM(db_name&amp;":account","","4100001","code and description")</f>
        <v>#NAME?</v>
      </c>
      <c r="L136" s="32" t="e" cm="1">
        <f t="array" aca="1" ref="L136" ca="1">_xll.DBR($C$40,$C$14,$B$48,$C$41)</f>
        <v>#NAME?</v>
      </c>
      <c r="M136" s="32" t="e" cm="1">
        <f t="array" aca="1" ref="M136" ca="1">_xll.DBR($C$40,$C$14,$B$49,$C$41)</f>
        <v>#NAME?</v>
      </c>
      <c r="N136" s="33" t="e" cm="1">
        <f t="array" aca="1" ref="N136" ca="1">_xll.DBR($C$40,$C$14,$B$50,$C$41)</f>
        <v>#NAME?</v>
      </c>
      <c r="O136" s="33" t="e" cm="1">
        <f t="array" aca="1" ref="O136" ca="1">_xll.DBR($C$40,$C$14,$B$52,$C$41)</f>
        <v>#NAME?</v>
      </c>
      <c r="P136" s="32" t="e" cm="1">
        <f t="array" aca="1" ref="P136" ca="1">_xll.DBR($C$40,$C$14,$B$51,$C$41)</f>
        <v>#NAME?</v>
      </c>
      <c r="Q136" s="33" t="e" cm="1">
        <f t="array" aca="1" ref="Q136" ca="1">_xll.DBR($C$40,$C$14,$B$53,$C$41)</f>
        <v>#NAME?</v>
      </c>
    </row>
    <row r="137" spans="1:18" ht="30" customHeight="1" x14ac:dyDescent="0.25">
      <c r="K137" s="30" t="e">
        <f ca="1">$D$47</f>
        <v>#NAME?</v>
      </c>
      <c r="L137" s="30" t="e">
        <f ca="1">$D$48</f>
        <v>#NAME?</v>
      </c>
      <c r="M137" s="30" t="e">
        <f ca="1">$D$49</f>
        <v>#NAME?</v>
      </c>
      <c r="N137" s="30" t="e">
        <f ca="1">$D$50</f>
        <v>#NAME?</v>
      </c>
      <c r="O137" s="30" t="e">
        <f ca="1">$D$52</f>
        <v>#NAME?</v>
      </c>
      <c r="P137" s="30" t="e">
        <f ca="1">$D$51</f>
        <v>#NAME?</v>
      </c>
      <c r="Q137" s="28"/>
    </row>
    <row r="138" spans="1:18" ht="4.5" customHeight="1" x14ac:dyDescent="0.25">
      <c r="K138" s="28"/>
      <c r="L138" s="28"/>
      <c r="M138" s="28"/>
      <c r="N138" s="28"/>
      <c r="O138" s="28"/>
      <c r="P138" s="28"/>
      <c r="Q138" s="28"/>
    </row>
    <row r="139" spans="1:18" x14ac:dyDescent="0.25">
      <c r="K139" s="16" t="s">
        <v>64</v>
      </c>
      <c r="L139" s="16" t="s">
        <v>65</v>
      </c>
      <c r="M139" s="16" t="s">
        <v>66</v>
      </c>
      <c r="N139" s="16" t="s">
        <v>67</v>
      </c>
      <c r="O139" s="16" t="s">
        <v>68</v>
      </c>
      <c r="P139" s="16" t="s">
        <v>69</v>
      </c>
      <c r="Q139" s="16" t="s">
        <v>71</v>
      </c>
      <c r="R139" s="31" t="s">
        <v>72</v>
      </c>
    </row>
    <row r="140" spans="1:18" x14ac:dyDescent="0.25">
      <c r="A140" t="e" cm="1">
        <f t="array" aca="1" ref="A140" ca="1">IF(_xll.TM1RPTELISCONSOLIDATED($P$140,$P140),IF(_xll.TM1RPTELLEV($P$140,$P140)&lt;=3,_xll.TM1RPTELLEV($P$140,$P140),"D"),"N")</f>
        <v>#NAME?</v>
      </c>
      <c r="K140" s="11" t="e" cm="1">
        <f t="array" aca="1" ref="K140" ca="1">_xll.TM1RPTROW($C$94,db_name&amp;":account","","","code and description",0,$C$96)</f>
        <v>#NAME?</v>
      </c>
      <c r="L140" s="11" t="e" cm="1">
        <f t="array" aca="1" ref="L140" ca="1">_xll.TM1RPTROW($C$94,db_name&amp;":movement account","","","code and description",0,$C$97)</f>
        <v>#NAME?</v>
      </c>
      <c r="M140" s="11" t="e" cm="1">
        <f t="array" aca="1" ref="M140" ca="1">_xll.TM1RPTROW($C$94,db_name&amp;":related entity","","","code and description",0,$C$98)</f>
        <v>#NAME?</v>
      </c>
      <c r="N140" s="21" t="e" cm="1">
        <f t="array" aca="1" ref="N140" ca="1">_xll.TM1RPTROW($C$94,db_name&amp;":jurisdiction","","","",0,$C$99)</f>
        <v>#NAME?</v>
      </c>
      <c r="O140" s="21" t="e" cm="1">
        <f t="array" aca="1" ref="O140" ca="1">_xll.TM1RPTROW($C$94,db_name&amp;":spp","","","code and description",0,$C$100)</f>
        <v>#NAME?</v>
      </c>
      <c r="P140" s="11" t="e" cm="1">
        <f t="array" aca="1" ref="P140" ca="1">_xll.TM1RPTROW($C$94,db_name&amp;":appropriation item","","","code and description",0,$C$101)</f>
        <v>#NAME?</v>
      </c>
      <c r="Q140" s="17" t="e" cm="1">
        <f t="array" aca="1" ref="Q140" ca="1">_xll.DBRW($C$94,$L$130,$K140,$L140,$N140,$M140,$O140,$P140,C$102)</f>
        <v>#NAME?</v>
      </c>
    </row>
  </sheetData>
  <sheetProtection sheet="1" objects="1" scenarios="1"/>
  <mergeCells count="19">
    <mergeCell ref="B104:C104"/>
    <mergeCell ref="B111:C111"/>
    <mergeCell ref="B39:D39"/>
    <mergeCell ref="B56:D56"/>
    <mergeCell ref="F56:H56"/>
    <mergeCell ref="B78:D78"/>
    <mergeCell ref="B83:D83"/>
    <mergeCell ref="B84:D84"/>
    <mergeCell ref="B11:D11"/>
    <mergeCell ref="B19:D19"/>
    <mergeCell ref="B28:D28"/>
    <mergeCell ref="B93:D93"/>
    <mergeCell ref="B68:D68"/>
    <mergeCell ref="K125:Q125"/>
    <mergeCell ref="K124:Q124"/>
    <mergeCell ref="K126:Q126"/>
    <mergeCell ref="K127:Q127"/>
    <mergeCell ref="K134:Q134"/>
    <mergeCell ref="L132:O132"/>
  </mergeCells>
  <conditionalFormatting sqref="K2:P7">
    <cfRule type="cellIs" dxfId="1" priority="3" operator="notEqual">
      <formula>"asveg"</formula>
    </cfRule>
  </conditionalFormatting>
  <conditionalFormatting sqref="K140:P140">
    <cfRule type="cellIs" dxfId="0" priority="1" operator="notEqual">
      <formula>"asveg"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8D3DE-D0D6-47DE-A295-A6B7F8531D2E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433</v>
      </c>
    </row>
    <row r="2" spans="1:1" x14ac:dyDescent="0.25">
      <c r="A2" t="s">
        <v>434</v>
      </c>
    </row>
    <row r="3" spans="1:1" x14ac:dyDescent="0.25">
      <c r="A3" t="s">
        <v>435</v>
      </c>
    </row>
    <row r="4" spans="1:1" x14ac:dyDescent="0.25">
      <c r="A4" t="s">
        <v>436</v>
      </c>
    </row>
    <row r="5" spans="1:1" x14ac:dyDescent="0.25">
      <c r="A5" t="s">
        <v>437</v>
      </c>
    </row>
    <row r="6" spans="1:1" x14ac:dyDescent="0.25">
      <c r="A6" t="s">
        <v>438</v>
      </c>
    </row>
    <row r="7" spans="1:1" x14ac:dyDescent="0.25">
      <c r="A7" t="s">
        <v>439</v>
      </c>
    </row>
    <row r="8" spans="1:1" x14ac:dyDescent="0.25">
      <c r="A8" t="s">
        <v>440</v>
      </c>
    </row>
    <row r="9" spans="1:1" x14ac:dyDescent="0.25">
      <c r="A9" t="s">
        <v>441</v>
      </c>
    </row>
    <row r="10" spans="1:1" x14ac:dyDescent="0.25">
      <c r="A10" t="s">
        <v>442</v>
      </c>
    </row>
    <row r="11" spans="1:1" x14ac:dyDescent="0.25">
      <c r="A11" t="s">
        <v>443</v>
      </c>
    </row>
    <row r="12" spans="1:1" x14ac:dyDescent="0.25">
      <c r="A12" t="s">
        <v>444</v>
      </c>
    </row>
    <row r="13" spans="1:1" x14ac:dyDescent="0.25">
      <c r="A13" t="s">
        <v>445</v>
      </c>
    </row>
    <row r="14" spans="1:1" x14ac:dyDescent="0.25">
      <c r="A14" t="s">
        <v>446</v>
      </c>
    </row>
    <row r="15" spans="1:1" x14ac:dyDescent="0.25">
      <c r="A15" t="s">
        <v>447</v>
      </c>
    </row>
    <row r="16" spans="1:1" x14ac:dyDescent="0.25">
      <c r="A16" t="s">
        <v>448</v>
      </c>
    </row>
    <row r="17" spans="1:1" x14ac:dyDescent="0.25">
      <c r="A17" t="s">
        <v>449</v>
      </c>
    </row>
    <row r="18" spans="1:1" x14ac:dyDescent="0.25">
      <c r="A18" t="s">
        <v>450</v>
      </c>
    </row>
    <row r="19" spans="1:1" x14ac:dyDescent="0.25">
      <c r="A19" t="s">
        <v>451</v>
      </c>
    </row>
    <row r="20" spans="1:1" x14ac:dyDescent="0.25">
      <c r="A20" t="s">
        <v>452</v>
      </c>
    </row>
    <row r="21" spans="1:1" x14ac:dyDescent="0.25">
      <c r="A21" t="s">
        <v>453</v>
      </c>
    </row>
    <row r="22" spans="1:1" x14ac:dyDescent="0.25">
      <c r="A22" t="s">
        <v>454</v>
      </c>
    </row>
    <row r="23" spans="1:1" x14ac:dyDescent="0.25">
      <c r="A23" t="s">
        <v>455</v>
      </c>
    </row>
    <row r="24" spans="1:1" x14ac:dyDescent="0.25">
      <c r="A24" t="s">
        <v>456</v>
      </c>
    </row>
    <row r="25" spans="1:1" x14ac:dyDescent="0.25">
      <c r="A25" t="s">
        <v>457</v>
      </c>
    </row>
    <row r="26" spans="1:1" x14ac:dyDescent="0.25">
      <c r="A26" t="s">
        <v>458</v>
      </c>
    </row>
    <row r="27" spans="1:1" x14ac:dyDescent="0.25">
      <c r="A27" t="s">
        <v>459</v>
      </c>
    </row>
    <row r="28" spans="1:1" x14ac:dyDescent="0.25">
      <c r="A28" t="s">
        <v>460</v>
      </c>
    </row>
    <row r="29" spans="1:1" x14ac:dyDescent="0.25">
      <c r="A29" t="s">
        <v>461</v>
      </c>
    </row>
    <row r="30" spans="1:1" x14ac:dyDescent="0.25">
      <c r="A30" t="s">
        <v>462</v>
      </c>
    </row>
    <row r="31" spans="1:1" x14ac:dyDescent="0.25">
      <c r="A31" t="s">
        <v>463</v>
      </c>
    </row>
    <row r="32" spans="1:1" x14ac:dyDescent="0.25">
      <c r="A32" t="s">
        <v>464</v>
      </c>
    </row>
    <row r="33" spans="1:1" x14ac:dyDescent="0.25">
      <c r="A33" t="s">
        <v>465</v>
      </c>
    </row>
    <row r="34" spans="1:1" x14ac:dyDescent="0.25">
      <c r="A34" t="s">
        <v>466</v>
      </c>
    </row>
    <row r="35" spans="1:1" x14ac:dyDescent="0.25">
      <c r="A35" t="s">
        <v>467</v>
      </c>
    </row>
    <row r="36" spans="1:1" x14ac:dyDescent="0.25">
      <c r="A36" t="s">
        <v>468</v>
      </c>
    </row>
    <row r="37" spans="1:1" x14ac:dyDescent="0.25">
      <c r="A37" t="s">
        <v>469</v>
      </c>
    </row>
    <row r="38" spans="1:1" x14ac:dyDescent="0.25">
      <c r="A38" t="s">
        <v>470</v>
      </c>
    </row>
    <row r="39" spans="1:1" x14ac:dyDescent="0.25">
      <c r="A39" t="s">
        <v>471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t="s">
        <v>122</v>
      </c>
    </row>
    <row r="65" spans="1:1" x14ac:dyDescent="0.25">
      <c r="A65" t="s">
        <v>123</v>
      </c>
    </row>
    <row r="66" spans="1:1" x14ac:dyDescent="0.25">
      <c r="A66" t="s">
        <v>124</v>
      </c>
    </row>
    <row r="67" spans="1:1" x14ac:dyDescent="0.25">
      <c r="A67" t="s">
        <v>125</v>
      </c>
    </row>
    <row r="68" spans="1:1" x14ac:dyDescent="0.25">
      <c r="A68" t="s">
        <v>126</v>
      </c>
    </row>
    <row r="69" spans="1:1" x14ac:dyDescent="0.25">
      <c r="A69" t="s">
        <v>127</v>
      </c>
    </row>
    <row r="70" spans="1:1" x14ac:dyDescent="0.25">
      <c r="A70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136</v>
      </c>
    </row>
    <row r="79" spans="1:1" x14ac:dyDescent="0.25">
      <c r="A79" t="s">
        <v>137</v>
      </c>
    </row>
    <row r="80" spans="1:1" x14ac:dyDescent="0.25">
      <c r="A80" t="s">
        <v>138</v>
      </c>
    </row>
    <row r="81" spans="1:1" x14ac:dyDescent="0.25">
      <c r="A81" t="s">
        <v>139</v>
      </c>
    </row>
    <row r="82" spans="1:1" x14ac:dyDescent="0.25">
      <c r="A82" t="s">
        <v>140</v>
      </c>
    </row>
    <row r="83" spans="1:1" x14ac:dyDescent="0.25">
      <c r="A83" t="s">
        <v>141</v>
      </c>
    </row>
    <row r="84" spans="1:1" x14ac:dyDescent="0.25">
      <c r="A84" t="s">
        <v>142</v>
      </c>
    </row>
    <row r="85" spans="1:1" x14ac:dyDescent="0.25">
      <c r="A85" t="s">
        <v>143</v>
      </c>
    </row>
    <row r="86" spans="1:1" x14ac:dyDescent="0.25">
      <c r="A86" t="s">
        <v>144</v>
      </c>
    </row>
    <row r="87" spans="1:1" x14ac:dyDescent="0.25">
      <c r="A87" t="s">
        <v>145</v>
      </c>
    </row>
    <row r="88" spans="1:1" x14ac:dyDescent="0.25">
      <c r="A88" t="s">
        <v>146</v>
      </c>
    </row>
    <row r="89" spans="1:1" x14ac:dyDescent="0.25">
      <c r="A89" t="s">
        <v>147</v>
      </c>
    </row>
    <row r="90" spans="1:1" x14ac:dyDescent="0.25">
      <c r="A90" t="s">
        <v>148</v>
      </c>
    </row>
    <row r="91" spans="1:1" x14ac:dyDescent="0.25">
      <c r="A91" t="s">
        <v>149</v>
      </c>
    </row>
    <row r="92" spans="1:1" x14ac:dyDescent="0.25">
      <c r="A92" t="s">
        <v>150</v>
      </c>
    </row>
    <row r="93" spans="1:1" x14ac:dyDescent="0.25">
      <c r="A93" t="s">
        <v>151</v>
      </c>
    </row>
    <row r="94" spans="1:1" x14ac:dyDescent="0.25">
      <c r="A94" t="s">
        <v>152</v>
      </c>
    </row>
    <row r="95" spans="1:1" x14ac:dyDescent="0.25">
      <c r="A95" t="s">
        <v>153</v>
      </c>
    </row>
    <row r="96" spans="1:1" x14ac:dyDescent="0.25">
      <c r="A96" t="s">
        <v>154</v>
      </c>
    </row>
    <row r="97" spans="1:1" x14ac:dyDescent="0.25">
      <c r="A97" t="s">
        <v>155</v>
      </c>
    </row>
    <row r="98" spans="1:1" x14ac:dyDescent="0.25">
      <c r="A98" t="s">
        <v>156</v>
      </c>
    </row>
    <row r="99" spans="1:1" x14ac:dyDescent="0.25">
      <c r="A99" t="s">
        <v>157</v>
      </c>
    </row>
    <row r="100" spans="1:1" x14ac:dyDescent="0.25">
      <c r="A100" t="s">
        <v>158</v>
      </c>
    </row>
    <row r="101" spans="1:1" x14ac:dyDescent="0.25">
      <c r="A101" t="s">
        <v>159</v>
      </c>
    </row>
    <row r="102" spans="1:1" x14ac:dyDescent="0.25">
      <c r="A102" t="s">
        <v>160</v>
      </c>
    </row>
    <row r="103" spans="1:1" x14ac:dyDescent="0.25">
      <c r="A103" t="s">
        <v>161</v>
      </c>
    </row>
    <row r="104" spans="1:1" x14ac:dyDescent="0.25">
      <c r="A104" t="s">
        <v>162</v>
      </c>
    </row>
    <row r="105" spans="1:1" x14ac:dyDescent="0.25">
      <c r="A105" t="s">
        <v>163</v>
      </c>
    </row>
    <row r="106" spans="1:1" x14ac:dyDescent="0.25">
      <c r="A106" t="s">
        <v>164</v>
      </c>
    </row>
    <row r="107" spans="1:1" x14ac:dyDescent="0.25">
      <c r="A107" t="s">
        <v>165</v>
      </c>
    </row>
    <row r="108" spans="1:1" x14ac:dyDescent="0.25">
      <c r="A108" t="s">
        <v>166</v>
      </c>
    </row>
    <row r="109" spans="1:1" x14ac:dyDescent="0.25">
      <c r="A109" t="s">
        <v>167</v>
      </c>
    </row>
    <row r="110" spans="1:1" x14ac:dyDescent="0.25">
      <c r="A110" t="s">
        <v>168</v>
      </c>
    </row>
    <row r="111" spans="1:1" x14ac:dyDescent="0.25">
      <c r="A111" t="s">
        <v>169</v>
      </c>
    </row>
    <row r="112" spans="1:1" x14ac:dyDescent="0.25">
      <c r="A112" t="s">
        <v>170</v>
      </c>
    </row>
    <row r="113" spans="1:1" x14ac:dyDescent="0.25">
      <c r="A113" t="s">
        <v>171</v>
      </c>
    </row>
    <row r="114" spans="1:1" x14ac:dyDescent="0.25">
      <c r="A114" t="s">
        <v>172</v>
      </c>
    </row>
    <row r="115" spans="1:1" x14ac:dyDescent="0.25">
      <c r="A115" t="s">
        <v>173</v>
      </c>
    </row>
    <row r="116" spans="1:1" x14ac:dyDescent="0.25">
      <c r="A116" t="s">
        <v>174</v>
      </c>
    </row>
    <row r="117" spans="1:1" x14ac:dyDescent="0.25">
      <c r="A117" t="s">
        <v>175</v>
      </c>
    </row>
    <row r="118" spans="1:1" x14ac:dyDescent="0.25">
      <c r="A118" t="s">
        <v>176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 t="s">
        <v>180</v>
      </c>
    </row>
    <row r="123" spans="1:1" x14ac:dyDescent="0.25">
      <c r="A123" t="s">
        <v>181</v>
      </c>
    </row>
    <row r="124" spans="1:1" x14ac:dyDescent="0.25">
      <c r="A124" t="s">
        <v>182</v>
      </c>
    </row>
    <row r="125" spans="1:1" x14ac:dyDescent="0.25">
      <c r="A125" t="s">
        <v>183</v>
      </c>
    </row>
    <row r="126" spans="1:1" x14ac:dyDescent="0.25">
      <c r="A126" t="s">
        <v>184</v>
      </c>
    </row>
    <row r="127" spans="1:1" x14ac:dyDescent="0.25">
      <c r="A127" t="s">
        <v>185</v>
      </c>
    </row>
    <row r="128" spans="1:1" x14ac:dyDescent="0.25">
      <c r="A128" t="s">
        <v>186</v>
      </c>
    </row>
    <row r="129" spans="1:1" x14ac:dyDescent="0.25">
      <c r="A129" t="s">
        <v>187</v>
      </c>
    </row>
    <row r="130" spans="1:1" x14ac:dyDescent="0.25">
      <c r="A130" t="s">
        <v>188</v>
      </c>
    </row>
    <row r="131" spans="1:1" x14ac:dyDescent="0.25">
      <c r="A131" t="s">
        <v>189</v>
      </c>
    </row>
    <row r="132" spans="1:1" x14ac:dyDescent="0.25">
      <c r="A132" t="s">
        <v>190</v>
      </c>
    </row>
    <row r="133" spans="1:1" x14ac:dyDescent="0.25">
      <c r="A133" t="s">
        <v>191</v>
      </c>
    </row>
    <row r="134" spans="1:1" x14ac:dyDescent="0.25">
      <c r="A134" t="s">
        <v>192</v>
      </c>
    </row>
    <row r="135" spans="1:1" x14ac:dyDescent="0.25">
      <c r="A135" t="s">
        <v>193</v>
      </c>
    </row>
    <row r="136" spans="1:1" x14ac:dyDescent="0.25">
      <c r="A136" t="s">
        <v>194</v>
      </c>
    </row>
    <row r="137" spans="1:1" x14ac:dyDescent="0.25">
      <c r="A137" t="s">
        <v>195</v>
      </c>
    </row>
    <row r="138" spans="1:1" x14ac:dyDescent="0.25">
      <c r="A138" t="s">
        <v>196</v>
      </c>
    </row>
    <row r="139" spans="1:1" x14ac:dyDescent="0.25">
      <c r="A139" t="s">
        <v>197</v>
      </c>
    </row>
    <row r="140" spans="1:1" x14ac:dyDescent="0.25">
      <c r="A140" t="s">
        <v>198</v>
      </c>
    </row>
    <row r="141" spans="1:1" x14ac:dyDescent="0.25">
      <c r="A141" t="s">
        <v>199</v>
      </c>
    </row>
    <row r="142" spans="1:1" x14ac:dyDescent="0.25">
      <c r="A142" t="s">
        <v>200</v>
      </c>
    </row>
    <row r="143" spans="1:1" x14ac:dyDescent="0.25">
      <c r="A143" t="s">
        <v>201</v>
      </c>
    </row>
    <row r="144" spans="1:1" x14ac:dyDescent="0.25">
      <c r="A144" t="s">
        <v>202</v>
      </c>
    </row>
    <row r="145" spans="1:1" x14ac:dyDescent="0.25">
      <c r="A145" t="s">
        <v>203</v>
      </c>
    </row>
    <row r="146" spans="1:1" x14ac:dyDescent="0.25">
      <c r="A146" t="s">
        <v>204</v>
      </c>
    </row>
    <row r="147" spans="1:1" x14ac:dyDescent="0.25">
      <c r="A147" t="s">
        <v>205</v>
      </c>
    </row>
    <row r="148" spans="1:1" x14ac:dyDescent="0.25">
      <c r="A148" t="s">
        <v>206</v>
      </c>
    </row>
    <row r="149" spans="1:1" x14ac:dyDescent="0.25">
      <c r="A149" t="s">
        <v>207</v>
      </c>
    </row>
    <row r="150" spans="1:1" x14ac:dyDescent="0.25">
      <c r="A150" t="s">
        <v>208</v>
      </c>
    </row>
    <row r="151" spans="1:1" x14ac:dyDescent="0.25">
      <c r="A151" t="s">
        <v>209</v>
      </c>
    </row>
    <row r="152" spans="1:1" x14ac:dyDescent="0.25">
      <c r="A152" t="s">
        <v>210</v>
      </c>
    </row>
    <row r="153" spans="1:1" x14ac:dyDescent="0.25">
      <c r="A153" t="s">
        <v>211</v>
      </c>
    </row>
    <row r="154" spans="1:1" x14ac:dyDescent="0.25">
      <c r="A154" t="s">
        <v>212</v>
      </c>
    </row>
    <row r="155" spans="1:1" x14ac:dyDescent="0.25">
      <c r="A155" t="s">
        <v>213</v>
      </c>
    </row>
    <row r="156" spans="1:1" x14ac:dyDescent="0.25">
      <c r="A156" t="s">
        <v>214</v>
      </c>
    </row>
    <row r="157" spans="1:1" x14ac:dyDescent="0.25">
      <c r="A157" t="s">
        <v>215</v>
      </c>
    </row>
    <row r="158" spans="1:1" x14ac:dyDescent="0.25">
      <c r="A158" t="s">
        <v>216</v>
      </c>
    </row>
    <row r="159" spans="1:1" x14ac:dyDescent="0.25">
      <c r="A159" t="s">
        <v>217</v>
      </c>
    </row>
    <row r="160" spans="1:1" x14ac:dyDescent="0.25">
      <c r="A160" t="s">
        <v>218</v>
      </c>
    </row>
    <row r="161" spans="1:1" x14ac:dyDescent="0.25">
      <c r="A161" t="s">
        <v>219</v>
      </c>
    </row>
    <row r="162" spans="1:1" x14ac:dyDescent="0.25">
      <c r="A162" t="s">
        <v>220</v>
      </c>
    </row>
    <row r="163" spans="1:1" x14ac:dyDescent="0.25">
      <c r="A163" t="s">
        <v>221</v>
      </c>
    </row>
    <row r="164" spans="1:1" x14ac:dyDescent="0.25">
      <c r="A164" t="s">
        <v>222</v>
      </c>
    </row>
    <row r="165" spans="1:1" x14ac:dyDescent="0.25">
      <c r="A165" t="s">
        <v>223</v>
      </c>
    </row>
    <row r="166" spans="1:1" x14ac:dyDescent="0.25">
      <c r="A166" t="s">
        <v>224</v>
      </c>
    </row>
    <row r="167" spans="1:1" x14ac:dyDescent="0.25">
      <c r="A167" t="s">
        <v>225</v>
      </c>
    </row>
    <row r="168" spans="1:1" x14ac:dyDescent="0.25">
      <c r="A168" t="s">
        <v>226</v>
      </c>
    </row>
    <row r="169" spans="1:1" x14ac:dyDescent="0.25">
      <c r="A169" t="s">
        <v>227</v>
      </c>
    </row>
    <row r="170" spans="1:1" x14ac:dyDescent="0.25">
      <c r="A170" t="s">
        <v>228</v>
      </c>
    </row>
    <row r="171" spans="1:1" x14ac:dyDescent="0.25">
      <c r="A171" t="s">
        <v>229</v>
      </c>
    </row>
    <row r="172" spans="1:1" x14ac:dyDescent="0.25">
      <c r="A172" t="s">
        <v>230</v>
      </c>
    </row>
    <row r="173" spans="1:1" x14ac:dyDescent="0.25">
      <c r="A173" t="s">
        <v>231</v>
      </c>
    </row>
    <row r="174" spans="1:1" x14ac:dyDescent="0.25">
      <c r="A174" t="s">
        <v>232</v>
      </c>
    </row>
    <row r="175" spans="1:1" x14ac:dyDescent="0.25">
      <c r="A175" t="s">
        <v>233</v>
      </c>
    </row>
    <row r="176" spans="1:1" x14ac:dyDescent="0.25">
      <c r="A176" t="s">
        <v>234</v>
      </c>
    </row>
    <row r="177" spans="1:1" x14ac:dyDescent="0.25">
      <c r="A177" t="s">
        <v>235</v>
      </c>
    </row>
    <row r="178" spans="1:1" x14ac:dyDescent="0.25">
      <c r="A178" t="s">
        <v>236</v>
      </c>
    </row>
    <row r="179" spans="1:1" x14ac:dyDescent="0.25">
      <c r="A179" t="s">
        <v>237</v>
      </c>
    </row>
    <row r="180" spans="1:1" x14ac:dyDescent="0.25">
      <c r="A180" t="s">
        <v>238</v>
      </c>
    </row>
    <row r="181" spans="1:1" x14ac:dyDescent="0.25">
      <c r="A181" t="s">
        <v>239</v>
      </c>
    </row>
    <row r="182" spans="1:1" x14ac:dyDescent="0.25">
      <c r="A182" t="s">
        <v>240</v>
      </c>
    </row>
    <row r="183" spans="1:1" x14ac:dyDescent="0.25">
      <c r="A183" t="s">
        <v>241</v>
      </c>
    </row>
    <row r="184" spans="1:1" x14ac:dyDescent="0.25">
      <c r="A184" t="s">
        <v>242</v>
      </c>
    </row>
    <row r="185" spans="1:1" x14ac:dyDescent="0.25">
      <c r="A185" t="s">
        <v>243</v>
      </c>
    </row>
    <row r="186" spans="1:1" x14ac:dyDescent="0.25">
      <c r="A186" t="s">
        <v>244</v>
      </c>
    </row>
    <row r="187" spans="1:1" x14ac:dyDescent="0.25">
      <c r="A187" t="s">
        <v>245</v>
      </c>
    </row>
    <row r="188" spans="1:1" x14ac:dyDescent="0.25">
      <c r="A188" t="s">
        <v>246</v>
      </c>
    </row>
    <row r="189" spans="1:1" x14ac:dyDescent="0.25">
      <c r="A189" t="s">
        <v>247</v>
      </c>
    </row>
    <row r="190" spans="1:1" x14ac:dyDescent="0.25">
      <c r="A190" t="s">
        <v>248</v>
      </c>
    </row>
    <row r="191" spans="1:1" x14ac:dyDescent="0.25">
      <c r="A191" t="s">
        <v>249</v>
      </c>
    </row>
    <row r="192" spans="1:1" x14ac:dyDescent="0.25">
      <c r="A192" t="s">
        <v>250</v>
      </c>
    </row>
    <row r="193" spans="1:1" x14ac:dyDescent="0.25">
      <c r="A193" t="s">
        <v>251</v>
      </c>
    </row>
    <row r="194" spans="1:1" x14ac:dyDescent="0.25">
      <c r="A194" t="s">
        <v>252</v>
      </c>
    </row>
    <row r="195" spans="1:1" x14ac:dyDescent="0.25">
      <c r="A195" t="s">
        <v>253</v>
      </c>
    </row>
    <row r="196" spans="1:1" x14ac:dyDescent="0.25">
      <c r="A196" t="s">
        <v>254</v>
      </c>
    </row>
    <row r="197" spans="1:1" x14ac:dyDescent="0.25">
      <c r="A197" t="s">
        <v>255</v>
      </c>
    </row>
    <row r="198" spans="1:1" x14ac:dyDescent="0.25">
      <c r="A198" t="s">
        <v>256</v>
      </c>
    </row>
    <row r="199" spans="1:1" x14ac:dyDescent="0.25">
      <c r="A199" t="s">
        <v>257</v>
      </c>
    </row>
    <row r="200" spans="1:1" x14ac:dyDescent="0.25">
      <c r="A200" t="s">
        <v>258</v>
      </c>
    </row>
    <row r="201" spans="1:1" x14ac:dyDescent="0.25">
      <c r="A201" t="s">
        <v>259</v>
      </c>
    </row>
    <row r="202" spans="1:1" x14ac:dyDescent="0.25">
      <c r="A202" t="s">
        <v>260</v>
      </c>
    </row>
    <row r="203" spans="1:1" x14ac:dyDescent="0.25">
      <c r="A203" t="s">
        <v>261</v>
      </c>
    </row>
    <row r="204" spans="1:1" x14ac:dyDescent="0.25">
      <c r="A204" t="s">
        <v>262</v>
      </c>
    </row>
    <row r="205" spans="1:1" x14ac:dyDescent="0.25">
      <c r="A205" t="s">
        <v>263</v>
      </c>
    </row>
    <row r="206" spans="1:1" x14ac:dyDescent="0.25">
      <c r="A206" t="s">
        <v>264</v>
      </c>
    </row>
    <row r="207" spans="1:1" x14ac:dyDescent="0.25">
      <c r="A207" t="s">
        <v>265</v>
      </c>
    </row>
    <row r="208" spans="1:1" x14ac:dyDescent="0.25">
      <c r="A208" t="s">
        <v>266</v>
      </c>
    </row>
    <row r="209" spans="1:1" x14ac:dyDescent="0.25">
      <c r="A209" t="s">
        <v>267</v>
      </c>
    </row>
    <row r="210" spans="1:1" x14ac:dyDescent="0.25">
      <c r="A210" t="s">
        <v>268</v>
      </c>
    </row>
    <row r="211" spans="1:1" x14ac:dyDescent="0.25">
      <c r="A211" t="s">
        <v>269</v>
      </c>
    </row>
    <row r="212" spans="1:1" x14ac:dyDescent="0.25">
      <c r="A212" t="s">
        <v>270</v>
      </c>
    </row>
    <row r="213" spans="1:1" x14ac:dyDescent="0.25">
      <c r="A213" t="s">
        <v>271</v>
      </c>
    </row>
    <row r="214" spans="1:1" x14ac:dyDescent="0.25">
      <c r="A214" t="s">
        <v>272</v>
      </c>
    </row>
    <row r="215" spans="1:1" x14ac:dyDescent="0.25">
      <c r="A215" t="s">
        <v>273</v>
      </c>
    </row>
    <row r="216" spans="1:1" x14ac:dyDescent="0.25">
      <c r="A216" t="s">
        <v>274</v>
      </c>
    </row>
    <row r="217" spans="1:1" x14ac:dyDescent="0.25">
      <c r="A217" t="s">
        <v>275</v>
      </c>
    </row>
    <row r="218" spans="1:1" x14ac:dyDescent="0.25">
      <c r="A218" t="s">
        <v>276</v>
      </c>
    </row>
    <row r="219" spans="1:1" x14ac:dyDescent="0.25">
      <c r="A219" t="s">
        <v>277</v>
      </c>
    </row>
    <row r="220" spans="1:1" x14ac:dyDescent="0.25">
      <c r="A220" t="s">
        <v>278</v>
      </c>
    </row>
    <row r="221" spans="1:1" x14ac:dyDescent="0.25">
      <c r="A221" t="s">
        <v>279</v>
      </c>
    </row>
    <row r="222" spans="1:1" x14ac:dyDescent="0.25">
      <c r="A222" t="s">
        <v>280</v>
      </c>
    </row>
    <row r="223" spans="1:1" x14ac:dyDescent="0.25">
      <c r="A223" t="s">
        <v>281</v>
      </c>
    </row>
    <row r="224" spans="1:1" x14ac:dyDescent="0.25">
      <c r="A224" t="s">
        <v>282</v>
      </c>
    </row>
    <row r="225" spans="1:1" x14ac:dyDescent="0.25">
      <c r="A225" t="s">
        <v>283</v>
      </c>
    </row>
    <row r="226" spans="1:1" x14ac:dyDescent="0.25">
      <c r="A226" t="s">
        <v>284</v>
      </c>
    </row>
    <row r="227" spans="1:1" x14ac:dyDescent="0.25">
      <c r="A227" t="s">
        <v>285</v>
      </c>
    </row>
    <row r="228" spans="1:1" x14ac:dyDescent="0.25">
      <c r="A228" t="s">
        <v>286</v>
      </c>
    </row>
    <row r="229" spans="1:1" x14ac:dyDescent="0.25">
      <c r="A229" t="s">
        <v>287</v>
      </c>
    </row>
    <row r="230" spans="1:1" x14ac:dyDescent="0.25">
      <c r="A230" t="s">
        <v>288</v>
      </c>
    </row>
    <row r="231" spans="1:1" x14ac:dyDescent="0.25">
      <c r="A231" t="s">
        <v>289</v>
      </c>
    </row>
    <row r="232" spans="1:1" x14ac:dyDescent="0.25">
      <c r="A232" t="s">
        <v>290</v>
      </c>
    </row>
    <row r="233" spans="1:1" x14ac:dyDescent="0.25">
      <c r="A233" t="s">
        <v>291</v>
      </c>
    </row>
    <row r="234" spans="1:1" x14ac:dyDescent="0.25">
      <c r="A234" t="s">
        <v>292</v>
      </c>
    </row>
    <row r="235" spans="1:1" x14ac:dyDescent="0.25">
      <c r="A235" t="s">
        <v>293</v>
      </c>
    </row>
    <row r="236" spans="1:1" x14ac:dyDescent="0.25">
      <c r="A236" t="s">
        <v>294</v>
      </c>
    </row>
    <row r="237" spans="1:1" x14ac:dyDescent="0.25">
      <c r="A237" t="s">
        <v>295</v>
      </c>
    </row>
    <row r="238" spans="1:1" x14ac:dyDescent="0.25">
      <c r="A238" t="s">
        <v>296</v>
      </c>
    </row>
    <row r="239" spans="1:1" x14ac:dyDescent="0.25">
      <c r="A239" t="s">
        <v>297</v>
      </c>
    </row>
    <row r="240" spans="1:1" x14ac:dyDescent="0.25">
      <c r="A240" t="s">
        <v>298</v>
      </c>
    </row>
    <row r="241" spans="1:1" x14ac:dyDescent="0.25">
      <c r="A241" t="s">
        <v>299</v>
      </c>
    </row>
    <row r="242" spans="1:1" x14ac:dyDescent="0.25">
      <c r="A242" t="s">
        <v>300</v>
      </c>
    </row>
    <row r="243" spans="1:1" x14ac:dyDescent="0.25">
      <c r="A243" t="s">
        <v>301</v>
      </c>
    </row>
    <row r="244" spans="1:1" x14ac:dyDescent="0.25">
      <c r="A244" t="s">
        <v>302</v>
      </c>
    </row>
    <row r="245" spans="1:1" x14ac:dyDescent="0.25">
      <c r="A245" t="s">
        <v>303</v>
      </c>
    </row>
    <row r="246" spans="1:1" x14ac:dyDescent="0.25">
      <c r="A246" t="s">
        <v>304</v>
      </c>
    </row>
    <row r="247" spans="1:1" x14ac:dyDescent="0.25">
      <c r="A247" t="s">
        <v>305</v>
      </c>
    </row>
    <row r="248" spans="1:1" x14ac:dyDescent="0.25">
      <c r="A248" t="s">
        <v>306</v>
      </c>
    </row>
    <row r="249" spans="1:1" x14ac:dyDescent="0.25">
      <c r="A249" t="s">
        <v>307</v>
      </c>
    </row>
    <row r="250" spans="1:1" x14ac:dyDescent="0.25">
      <c r="A250" t="s">
        <v>308</v>
      </c>
    </row>
    <row r="251" spans="1:1" x14ac:dyDescent="0.25">
      <c r="A251" t="s">
        <v>309</v>
      </c>
    </row>
    <row r="252" spans="1:1" x14ac:dyDescent="0.25">
      <c r="A252" t="s">
        <v>310</v>
      </c>
    </row>
    <row r="253" spans="1:1" x14ac:dyDescent="0.25">
      <c r="A253" t="s">
        <v>311</v>
      </c>
    </row>
    <row r="254" spans="1:1" x14ac:dyDescent="0.25">
      <c r="A254" t="s">
        <v>312</v>
      </c>
    </row>
    <row r="255" spans="1:1" x14ac:dyDescent="0.25">
      <c r="A255" t="s">
        <v>313</v>
      </c>
    </row>
    <row r="256" spans="1:1" x14ac:dyDescent="0.25">
      <c r="A256" t="s">
        <v>314</v>
      </c>
    </row>
    <row r="257" spans="1:1" x14ac:dyDescent="0.25">
      <c r="A257" t="s">
        <v>315</v>
      </c>
    </row>
    <row r="258" spans="1:1" x14ac:dyDescent="0.25">
      <c r="A258" t="s">
        <v>316</v>
      </c>
    </row>
    <row r="259" spans="1:1" x14ac:dyDescent="0.25">
      <c r="A259" t="s">
        <v>317</v>
      </c>
    </row>
    <row r="260" spans="1:1" x14ac:dyDescent="0.25">
      <c r="A260" t="s">
        <v>318</v>
      </c>
    </row>
    <row r="261" spans="1:1" x14ac:dyDescent="0.25">
      <c r="A261" t="s">
        <v>319</v>
      </c>
    </row>
    <row r="262" spans="1:1" x14ac:dyDescent="0.25">
      <c r="A262" t="s">
        <v>320</v>
      </c>
    </row>
    <row r="263" spans="1:1" x14ac:dyDescent="0.25">
      <c r="A263" t="s">
        <v>321</v>
      </c>
    </row>
    <row r="264" spans="1:1" x14ac:dyDescent="0.25">
      <c r="A264" t="s">
        <v>322</v>
      </c>
    </row>
    <row r="265" spans="1:1" x14ac:dyDescent="0.25">
      <c r="A265" t="s">
        <v>323</v>
      </c>
    </row>
    <row r="266" spans="1:1" x14ac:dyDescent="0.25">
      <c r="A266" t="s">
        <v>324</v>
      </c>
    </row>
    <row r="267" spans="1:1" x14ac:dyDescent="0.25">
      <c r="A267" t="s">
        <v>325</v>
      </c>
    </row>
    <row r="268" spans="1:1" x14ac:dyDescent="0.25">
      <c r="A268" t="s">
        <v>326</v>
      </c>
    </row>
    <row r="269" spans="1:1" x14ac:dyDescent="0.25">
      <c r="A269" t="s">
        <v>327</v>
      </c>
    </row>
    <row r="270" spans="1:1" x14ac:dyDescent="0.25">
      <c r="A270" t="s">
        <v>328</v>
      </c>
    </row>
    <row r="271" spans="1:1" x14ac:dyDescent="0.25">
      <c r="A271" t="s">
        <v>329</v>
      </c>
    </row>
    <row r="272" spans="1:1" x14ac:dyDescent="0.25">
      <c r="A272" t="s">
        <v>330</v>
      </c>
    </row>
    <row r="273" spans="1:1" x14ac:dyDescent="0.25">
      <c r="A273" t="s">
        <v>331</v>
      </c>
    </row>
    <row r="274" spans="1:1" x14ac:dyDescent="0.25">
      <c r="A274" t="s">
        <v>332</v>
      </c>
    </row>
    <row r="275" spans="1:1" x14ac:dyDescent="0.25">
      <c r="A275" t="s">
        <v>333</v>
      </c>
    </row>
    <row r="276" spans="1:1" x14ac:dyDescent="0.25">
      <c r="A276" t="s">
        <v>334</v>
      </c>
    </row>
    <row r="277" spans="1:1" x14ac:dyDescent="0.25">
      <c r="A277" t="s">
        <v>335</v>
      </c>
    </row>
    <row r="278" spans="1:1" x14ac:dyDescent="0.25">
      <c r="A278" t="s">
        <v>336</v>
      </c>
    </row>
    <row r="279" spans="1:1" x14ac:dyDescent="0.25">
      <c r="A279" t="s">
        <v>337</v>
      </c>
    </row>
    <row r="280" spans="1:1" x14ac:dyDescent="0.25">
      <c r="A280" t="s">
        <v>338</v>
      </c>
    </row>
    <row r="281" spans="1:1" x14ac:dyDescent="0.25">
      <c r="A281" t="s">
        <v>339</v>
      </c>
    </row>
    <row r="282" spans="1:1" x14ac:dyDescent="0.25">
      <c r="A282" t="s">
        <v>340</v>
      </c>
    </row>
    <row r="283" spans="1:1" x14ac:dyDescent="0.25">
      <c r="A283" t="s">
        <v>341</v>
      </c>
    </row>
    <row r="284" spans="1:1" x14ac:dyDescent="0.25">
      <c r="A284" t="s">
        <v>342</v>
      </c>
    </row>
    <row r="285" spans="1:1" x14ac:dyDescent="0.25">
      <c r="A285" t="s">
        <v>343</v>
      </c>
    </row>
    <row r="286" spans="1:1" x14ac:dyDescent="0.25">
      <c r="A286" t="s">
        <v>344</v>
      </c>
    </row>
    <row r="287" spans="1:1" x14ac:dyDescent="0.25">
      <c r="A287" t="s">
        <v>345</v>
      </c>
    </row>
    <row r="288" spans="1:1" x14ac:dyDescent="0.25">
      <c r="A288" t="s">
        <v>346</v>
      </c>
    </row>
    <row r="289" spans="1:1" x14ac:dyDescent="0.25">
      <c r="A289" t="s">
        <v>347</v>
      </c>
    </row>
    <row r="290" spans="1:1" x14ac:dyDescent="0.25">
      <c r="A290" t="s">
        <v>348</v>
      </c>
    </row>
    <row r="291" spans="1:1" x14ac:dyDescent="0.25">
      <c r="A291" t="s">
        <v>349</v>
      </c>
    </row>
    <row r="292" spans="1:1" x14ac:dyDescent="0.25">
      <c r="A292" t="s">
        <v>350</v>
      </c>
    </row>
    <row r="293" spans="1:1" x14ac:dyDescent="0.25">
      <c r="A293" t="s">
        <v>351</v>
      </c>
    </row>
    <row r="294" spans="1:1" x14ac:dyDescent="0.25">
      <c r="A294" t="s">
        <v>352</v>
      </c>
    </row>
    <row r="295" spans="1:1" x14ac:dyDescent="0.25">
      <c r="A295" t="s">
        <v>353</v>
      </c>
    </row>
    <row r="296" spans="1:1" x14ac:dyDescent="0.25">
      <c r="A296" t="s">
        <v>354</v>
      </c>
    </row>
    <row r="297" spans="1:1" x14ac:dyDescent="0.25">
      <c r="A297" t="s">
        <v>355</v>
      </c>
    </row>
    <row r="298" spans="1:1" x14ac:dyDescent="0.25">
      <c r="A298" t="s">
        <v>356</v>
      </c>
    </row>
    <row r="299" spans="1:1" x14ac:dyDescent="0.25">
      <c r="A299" t="s">
        <v>357</v>
      </c>
    </row>
    <row r="300" spans="1:1" x14ac:dyDescent="0.25">
      <c r="A300" t="s">
        <v>358</v>
      </c>
    </row>
    <row r="301" spans="1:1" x14ac:dyDescent="0.25">
      <c r="A301" t="s">
        <v>359</v>
      </c>
    </row>
    <row r="302" spans="1:1" x14ac:dyDescent="0.25">
      <c r="A302" t="s">
        <v>360</v>
      </c>
    </row>
    <row r="303" spans="1:1" x14ac:dyDescent="0.25">
      <c r="A303" t="s">
        <v>361</v>
      </c>
    </row>
    <row r="304" spans="1:1" x14ac:dyDescent="0.25">
      <c r="A304" t="s">
        <v>362</v>
      </c>
    </row>
    <row r="305" spans="1:1" x14ac:dyDescent="0.25">
      <c r="A305" t="s">
        <v>363</v>
      </c>
    </row>
    <row r="306" spans="1:1" x14ac:dyDescent="0.25">
      <c r="A306" t="s">
        <v>364</v>
      </c>
    </row>
    <row r="307" spans="1:1" x14ac:dyDescent="0.25">
      <c r="A307" t="s">
        <v>365</v>
      </c>
    </row>
    <row r="308" spans="1:1" x14ac:dyDescent="0.25">
      <c r="A308" t="s">
        <v>366</v>
      </c>
    </row>
    <row r="309" spans="1:1" x14ac:dyDescent="0.25">
      <c r="A309" t="s">
        <v>367</v>
      </c>
    </row>
    <row r="310" spans="1:1" x14ac:dyDescent="0.25">
      <c r="A310" t="s">
        <v>368</v>
      </c>
    </row>
    <row r="311" spans="1:1" x14ac:dyDescent="0.25">
      <c r="A311" t="s">
        <v>369</v>
      </c>
    </row>
    <row r="312" spans="1:1" x14ac:dyDescent="0.25">
      <c r="A312" t="s">
        <v>370</v>
      </c>
    </row>
    <row r="313" spans="1:1" x14ac:dyDescent="0.25">
      <c r="A313" t="s">
        <v>371</v>
      </c>
    </row>
    <row r="314" spans="1:1" x14ac:dyDescent="0.25">
      <c r="A314" t="s">
        <v>372</v>
      </c>
    </row>
    <row r="315" spans="1:1" x14ac:dyDescent="0.25">
      <c r="A315" t="s">
        <v>373</v>
      </c>
    </row>
    <row r="316" spans="1:1" x14ac:dyDescent="0.25">
      <c r="A316" t="s">
        <v>374</v>
      </c>
    </row>
    <row r="317" spans="1:1" x14ac:dyDescent="0.25">
      <c r="A317" t="s">
        <v>375</v>
      </c>
    </row>
    <row r="318" spans="1:1" x14ac:dyDescent="0.25">
      <c r="A318" t="s">
        <v>376</v>
      </c>
    </row>
    <row r="319" spans="1:1" x14ac:dyDescent="0.25">
      <c r="A319" t="s">
        <v>377</v>
      </c>
    </row>
    <row r="320" spans="1:1" x14ac:dyDescent="0.25">
      <c r="A320" t="s">
        <v>378</v>
      </c>
    </row>
    <row r="321" spans="1:1" x14ac:dyDescent="0.25">
      <c r="A321" t="s">
        <v>379</v>
      </c>
    </row>
    <row r="322" spans="1:1" x14ac:dyDescent="0.25">
      <c r="A322" t="s">
        <v>380</v>
      </c>
    </row>
    <row r="323" spans="1:1" x14ac:dyDescent="0.25">
      <c r="A323" t="s">
        <v>381</v>
      </c>
    </row>
    <row r="324" spans="1:1" x14ac:dyDescent="0.25">
      <c r="A324" t="s">
        <v>382</v>
      </c>
    </row>
    <row r="325" spans="1:1" x14ac:dyDescent="0.25">
      <c r="A325" t="s">
        <v>383</v>
      </c>
    </row>
    <row r="326" spans="1:1" x14ac:dyDescent="0.25">
      <c r="A326" t="s">
        <v>384</v>
      </c>
    </row>
    <row r="327" spans="1:1" x14ac:dyDescent="0.25">
      <c r="A327" t="s">
        <v>385</v>
      </c>
    </row>
    <row r="328" spans="1:1" x14ac:dyDescent="0.25">
      <c r="A328" t="s">
        <v>386</v>
      </c>
    </row>
    <row r="329" spans="1:1" x14ac:dyDescent="0.25">
      <c r="A329" t="s">
        <v>387</v>
      </c>
    </row>
    <row r="330" spans="1:1" x14ac:dyDescent="0.25">
      <c r="A330" t="s">
        <v>388</v>
      </c>
    </row>
    <row r="331" spans="1:1" x14ac:dyDescent="0.25">
      <c r="A331" t="s">
        <v>389</v>
      </c>
    </row>
    <row r="332" spans="1:1" x14ac:dyDescent="0.25">
      <c r="A332" t="s">
        <v>390</v>
      </c>
    </row>
    <row r="333" spans="1:1" x14ac:dyDescent="0.25">
      <c r="A333" t="s">
        <v>391</v>
      </c>
    </row>
    <row r="334" spans="1:1" x14ac:dyDescent="0.25">
      <c r="A334" t="s">
        <v>392</v>
      </c>
    </row>
    <row r="335" spans="1:1" x14ac:dyDescent="0.25">
      <c r="A335" t="s">
        <v>393</v>
      </c>
    </row>
    <row r="336" spans="1:1" x14ac:dyDescent="0.25">
      <c r="A336" t="s">
        <v>394</v>
      </c>
    </row>
    <row r="337" spans="1:1" x14ac:dyDescent="0.25">
      <c r="A337" t="s">
        <v>395</v>
      </c>
    </row>
    <row r="338" spans="1:1" x14ac:dyDescent="0.25">
      <c r="A338" t="s">
        <v>396</v>
      </c>
    </row>
    <row r="339" spans="1:1" x14ac:dyDescent="0.25">
      <c r="A339" t="s">
        <v>397</v>
      </c>
    </row>
    <row r="340" spans="1:1" x14ac:dyDescent="0.25">
      <c r="A340" t="s">
        <v>398</v>
      </c>
    </row>
    <row r="341" spans="1:1" x14ac:dyDescent="0.25">
      <c r="A341" t="s">
        <v>399</v>
      </c>
    </row>
    <row r="342" spans="1:1" x14ac:dyDescent="0.25">
      <c r="A342" t="s">
        <v>400</v>
      </c>
    </row>
    <row r="343" spans="1:1" x14ac:dyDescent="0.25">
      <c r="A343" t="s">
        <v>401</v>
      </c>
    </row>
    <row r="344" spans="1:1" x14ac:dyDescent="0.25">
      <c r="A344" t="s">
        <v>402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favourite</vt:lpstr>
      <vt:lpstr>{PL}PickLst</vt:lpstr>
      <vt:lpstr>db_name</vt:lpstr>
      <vt:lpstr>psAcc</vt:lpstr>
      <vt:lpstr>psApp</vt:lpstr>
      <vt:lpstr>psByPass</vt:lpstr>
      <vt:lpstr>psFavID</vt:lpstr>
      <vt:lpstr>psItem</vt:lpstr>
      <vt:lpstr>psJur</vt:lpstr>
      <vt:lpstr>psMA</vt:lpstr>
      <vt:lpstr>psRE</vt:lpstr>
      <vt:lpstr>psSPP</vt:lpstr>
      <vt:lpstr>psTargetFavID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favourite!TM1RPTDATARNG1</vt:lpstr>
      <vt:lpstr>favourite!TM1RPTFMTIDCOL</vt:lpstr>
      <vt:lpstr>favourite!TM1RPTFMTRNG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2019-08-30T09:55:44Z</dcterms:created>
  <dcterms:modified xsi:type="dcterms:W3CDTF">2025-08-16T23:36:52Z</dcterms:modified>
</cp:coreProperties>
</file>