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EDCBD3F-015B-491A-A6F1-1B633B58D882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RDS!$L$60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RDS!$61:$61</definedName>
    <definedName name="TM1RPTFMTIDCOL" localSheetId="0">RDS!$A$1:$A$8</definedName>
    <definedName name="TM1RPTFMTRNG" localSheetId="0">RDS!$J$1:$R$8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1" i="1"/>
  <c r="C28" i="1"/>
  <c r="N61" i="1"/>
  <c r="L57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C40" i="1"/>
  <c r="C20" i="1"/>
  <c r="C25" i="1"/>
  <c r="C24" i="1"/>
  <c r="C23" i="1"/>
  <c r="C22" i="1"/>
  <c r="C21" i="1"/>
  <c r="C13" i="1"/>
  <c r="C14" i="1"/>
  <c r="C15" i="1"/>
  <c r="C17" i="1"/>
  <c r="C16" i="1"/>
  <c r="R61" i="1"/>
  <c r="Q61" i="1"/>
  <c r="P61" i="1"/>
  <c r="O61" i="1"/>
  <c r="M61" i="1"/>
  <c r="L61" i="1"/>
  <c r="A61" i="1"/>
  <c r="A5" i="1"/>
  <c r="A4" i="1"/>
  <c r="A3" i="1"/>
  <c r="A2" i="1"/>
</calcChain>
</file>

<file path=xl/sharedStrings.xml><?xml version="1.0" encoding="utf-8"?>
<sst xmlns="http://schemas.openxmlformats.org/spreadsheetml/2006/main" count="67" uniqueCount="65">
  <si>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</si>
  <si>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</si>
  <si>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</si>
  <si>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</si>
  <si>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</si>
  <si>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</si>
  <si>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</si>
  <si>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</si>
  <si>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</si>
  <si>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</si>
  <si>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</si>
  <si>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</si>
  <si>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</si>
  <si>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</si>
  <si>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</si>
  <si>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</si>
  <si>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</si>
  <si>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</si>
  <si>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</si>
  <si>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</si>
  <si>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</si>
  <si>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</si>
  <si>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</si>
  <si>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</si>
  <si>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</si>
  <si>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</si>
  <si>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</si>
  <si>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</si>
  <si>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</si>
  <si>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</si>
  <si>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</si>
  <si>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</si>
  <si>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</si>
  <si>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</si>
  <si>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</si>
  <si>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</si>
  <si>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</si>
  <si>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</si>
  <si>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</si>
  <si>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</si>
  <si>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</si>
  <si>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</si>
  <si>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</si>
  <si>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</si>
  <si>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</si>
  <si>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</si>
  <si>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</si>
  <si>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Administration RDS - Appropriation Item</t>
  </si>
  <si>
    <t>Appropriation Item  :</t>
  </si>
  <si>
    <t>Appropriation Item</t>
  </si>
  <si>
    <t>{TM1SUBSETALL( [appropriation item] )}</t>
  </si>
  <si>
    <t>default approp item</t>
  </si>
  <si>
    <t>CBMS-R Approp Item Mapping</t>
  </si>
  <si>
    <t>CBMS-R Approp Type Mapping</t>
  </si>
  <si>
    <t>CBMS</t>
  </si>
  <si>
    <t>Admin RDS - Appropriation Item</t>
  </si>
  <si>
    <t>Default Approp Item</t>
  </si>
  <si>
    <t>No</t>
  </si>
  <si>
    <t>Note : This screen is used to manage the Appropriation Item attribute cube which is required for GEUS.</t>
  </si>
  <si>
    <t>CBMS (ALIAS)</t>
  </si>
  <si>
    <t>CBMS-R Appropriation Item codes all start with A###*.</t>
  </si>
  <si>
    <t>disabled</t>
  </si>
  <si>
    <t>Note : To search for a single appropriation item, select an Appropriation Item, Set Filter to Yes and Click Refresh.</t>
  </si>
  <si>
    <t>Disabled (Y)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</si>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</sst>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center" wrapText="1"/>
    </xf>
    <xf numFmtId="0" fontId="6" fillId="5" borderId="0" xfId="0" applyFont="1" applyFill="1" applyAlignment="1">
      <alignment horizontal="right" vertical="center" wrapText="1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  <xf numFmtId="0" fontId="5" fillId="6" borderId="4" xfId="0" applyFont="1" applyFill="1" applyBorder="1" applyAlignment="1">
      <alignment vertical="top"/>
    </xf>
    <xf numFmtId="0" fontId="0" fillId="0" borderId="0" xfId="0" applyAlignment="1">
      <alignment vertical="top"/>
    </xf>
    <xf numFmtId="0" fontId="5" fillId="6" borderId="4" xfId="0" applyFont="1" applyFill="1" applyBorder="1" applyAlignment="1" applyProtection="1">
      <alignment vertical="top"/>
      <protection locked="0"/>
    </xf>
    <xf numFmtId="0" fontId="5" fillId="6" borderId="4" xfId="0" applyFont="1" applyFill="1" applyBorder="1" applyAlignment="1" applyProtection="1">
      <alignment vertical="top" wrapText="1"/>
      <protection locked="0"/>
    </xf>
    <xf numFmtId="0" fontId="5" fillId="6" borderId="4" xfId="0" applyFont="1" applyFill="1" applyBorder="1" applyAlignment="1" applyProtection="1">
      <alignment horizontal="center" vertical="top" wrapText="1"/>
      <protection locked="0"/>
    </xf>
    <xf numFmtId="0" fontId="5" fillId="6" borderId="4" xfId="0" applyFont="1" applyFill="1" applyBorder="1" applyAlignment="1" applyProtection="1">
      <alignment horizontal="center" vertical="top"/>
      <protection locked="0"/>
    </xf>
    <xf numFmtId="0" fontId="5" fillId="0" borderId="4" xfId="0" applyFont="1" applyBorder="1" applyAlignment="1">
      <alignment vertical="top"/>
    </xf>
    <xf numFmtId="0" fontId="5" fillId="0" borderId="4" xfId="0" applyFont="1" applyBorder="1" applyAlignment="1" applyProtection="1">
      <alignment vertical="top"/>
      <protection locked="0"/>
    </xf>
    <xf numFmtId="0" fontId="5" fillId="0" borderId="4" xfId="0" applyFont="1" applyBorder="1" applyAlignment="1" applyProtection="1">
      <alignment vertical="top" wrapText="1"/>
      <protection locked="0"/>
    </xf>
    <xf numFmtId="0" fontId="5" fillId="0" borderId="4" xfId="0" applyFont="1" applyBorder="1" applyAlignment="1" applyProtection="1">
      <alignment horizontal="center" vertical="top" wrapText="1"/>
      <protection locked="0"/>
    </xf>
    <xf numFmtId="0" fontId="5" fillId="0" borderId="4" xfId="0" applyFont="1" applyBorder="1" applyAlignment="1" applyProtection="1">
      <alignment horizontal="center" vertical="top"/>
      <protection locked="0"/>
    </xf>
    <xf numFmtId="0" fontId="4" fillId="0" borderId="4" xfId="0" applyFont="1" applyBorder="1" applyAlignment="1">
      <alignment vertical="top"/>
    </xf>
    <xf numFmtId="0" fontId="4" fillId="0" borderId="4" xfId="0" applyFont="1" applyBorder="1" applyAlignment="1" applyProtection="1">
      <alignment vertical="top" wrapText="1"/>
      <protection locked="0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horizontal="center" vertical="top"/>
      <protection locked="0"/>
    </xf>
    <xf numFmtId="164" fontId="5" fillId="6" borderId="4" xfId="0" applyNumberFormat="1" applyFont="1" applyFill="1" applyBorder="1" applyAlignment="1">
      <alignment vertical="top"/>
    </xf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28575</xdr:rowOff>
    </xdr:from>
    <xdr:to>
      <xdr:col>11</xdr:col>
      <xdr:colOff>19050</xdr:colOff>
      <xdr:row>47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45c38036_cdb4_41e8_af20_6767df4a91c9" textlink="TM1HomeCAP">
      <xdr:nvSpPr>
        <xdr:cNvPr id="3" name="TM1Button_45c38036_cdb4_41e8_af20_6767df4a91c9">
          <a:extLst>
            <a:ext uri="{FF2B5EF4-FFF2-40B4-BE49-F238E27FC236}">
              <a16:creationId xmlns:a16="http://schemas.microsoft.com/office/drawing/2014/main" id="{28F9A83A-1F6E-B3E7-51CA-7A63A3E7A774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3258CB-C4D7-4C15-83D6-84C370DF01D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d38b1851_8c32_4fdc_8486_7e599d4ebdd7" textlink="TM1HomeAdminCAP">
      <xdr:nvSpPr>
        <xdr:cNvPr id="4" name="TM1Button_d38b1851_8c32_4fdc_8486_7e599d4ebdd7">
          <a:extLst>
            <a:ext uri="{FF2B5EF4-FFF2-40B4-BE49-F238E27FC236}">
              <a16:creationId xmlns:a16="http://schemas.microsoft.com/office/drawing/2014/main" id="{CFD96868-5B2F-DC93-89D1-507E3F5BA016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66CB5B2-1C7F-47CA-99D3-1733CDDC269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b651788f_74aa_445f_804d_cbf799b1017c" textlink="TM1HomeAdminRDSCAP">
      <xdr:nvSpPr>
        <xdr:cNvPr id="5" name="TM1Button_b651788f_74aa_445f_804d_cbf799b1017c">
          <a:extLst>
            <a:ext uri="{FF2B5EF4-FFF2-40B4-BE49-F238E27FC236}">
              <a16:creationId xmlns:a16="http://schemas.microsoft.com/office/drawing/2014/main" id="{D04DA686-C70F-37C4-CD74-446DF96B0B96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491F30-6F9E-4EC8-8C9C-C40B1D3209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1724025</xdr:colOff>
      <xdr:row>48</xdr:row>
      <xdr:rowOff>28575</xdr:rowOff>
    </xdr:from>
    <xdr:to>
      <xdr:col>17</xdr:col>
      <xdr:colOff>2038350</xdr:colOff>
      <xdr:row>49</xdr:row>
      <xdr:rowOff>285750</xdr:rowOff>
    </xdr:to>
    <xdr:sp macro="Sheet1.ExecuteAction_f981f722_6b2f_4fa7_a1c8_27d7fbf766fe" textlink="">
      <xdr:nvSpPr>
        <xdr:cNvPr id="6" name="TM1Button_f981f722_6b2f_4fa7_a1c8_27d7fbf766fe">
          <a:extLst>
            <a:ext uri="{FF2B5EF4-FFF2-40B4-BE49-F238E27FC236}">
              <a16:creationId xmlns:a16="http://schemas.microsoft.com/office/drawing/2014/main" id="{81657AF9-2948-0D39-7621-08147929F253}"/>
            </a:ext>
          </a:extLst>
        </xdr:cNvPr>
        <xdr:cNvSpPr txBox="1"/>
      </xdr:nvSpPr>
      <xdr:spPr>
        <a:xfrm>
          <a:off x="135826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8cee5f4e_0639_42f7_8931_9122f47b2bd3" textlink="">
      <xdr:nvSpPr>
        <xdr:cNvPr id="7" name="TM1Button_8cee5f4e_0639_42f7_8931_9122f47b2bd3">
          <a:extLst>
            <a:ext uri="{FF2B5EF4-FFF2-40B4-BE49-F238E27FC236}">
              <a16:creationId xmlns:a16="http://schemas.microsoft.com/office/drawing/2014/main" id="{EAB4D069-F4EE-6C96-53EC-56AD78EE4A13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R61"/>
  <sheetViews>
    <sheetView showGridLines="0" showRowColHeaders="0" tabSelected="1" showOutlineSymbols="0" topLeftCell="A48" workbookViewId="0">
      <pane ySplit="13" topLeftCell="A61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6.7109375" customWidth="1"/>
    <col min="13" max="13" width="67.7109375" style="15" customWidth="1"/>
    <col min="14" max="14" width="15.7109375" style="15" customWidth="1"/>
    <col min="15" max="15" width="15.7109375" hidden="1" customWidth="1"/>
    <col min="16" max="16" width="25.5703125" hidden="1" customWidth="1"/>
    <col min="17" max="17" width="19.7109375" hidden="1" customWidth="1"/>
    <col min="18" max="18" width="30.7109375" customWidth="1"/>
  </cols>
  <sheetData>
    <row r="1" spans="1:18" hidden="1" outlineLevel="1" x14ac:dyDescent="0.25">
      <c r="A1" t="s">
        <v>4</v>
      </c>
    </row>
    <row r="2" spans="1:18" hidden="1" outlineLevel="1" x14ac:dyDescent="0.25">
      <c r="A2">
        <f>0</f>
        <v>0</v>
      </c>
      <c r="J2" s="21"/>
      <c r="K2" s="22"/>
      <c r="L2" s="23"/>
      <c r="M2" s="24"/>
      <c r="N2" s="25"/>
      <c r="O2" s="26"/>
      <c r="P2" s="26"/>
      <c r="Q2" s="26"/>
      <c r="R2" s="26"/>
    </row>
    <row r="3" spans="1:18" hidden="1" outlineLevel="1" x14ac:dyDescent="0.25">
      <c r="A3">
        <f>1</f>
        <v>1</v>
      </c>
      <c r="J3" s="27"/>
      <c r="K3" s="22"/>
      <c r="L3" s="28"/>
      <c r="M3" s="29"/>
      <c r="N3" s="30"/>
      <c r="O3" s="31"/>
      <c r="P3" s="31"/>
      <c r="Q3" s="31"/>
      <c r="R3" s="31"/>
    </row>
    <row r="4" spans="1:18" hidden="1" outlineLevel="1" x14ac:dyDescent="0.25">
      <c r="A4">
        <f>2</f>
        <v>2</v>
      </c>
      <c r="J4" s="27"/>
      <c r="K4" s="22"/>
      <c r="L4" s="28"/>
      <c r="M4" s="29"/>
      <c r="N4" s="30"/>
      <c r="O4" s="31"/>
      <c r="P4" s="31"/>
      <c r="Q4" s="31"/>
      <c r="R4" s="31"/>
    </row>
    <row r="5" spans="1:18" hidden="1" outlineLevel="1" x14ac:dyDescent="0.25">
      <c r="A5">
        <f>3</f>
        <v>3</v>
      </c>
      <c r="J5" s="27"/>
      <c r="K5" s="22"/>
      <c r="L5" s="28"/>
      <c r="M5" s="29"/>
      <c r="N5" s="30"/>
      <c r="O5" s="31"/>
      <c r="P5" s="31"/>
      <c r="Q5" s="31"/>
      <c r="R5" s="31"/>
    </row>
    <row r="6" spans="1:18" hidden="1" outlineLevel="1" x14ac:dyDescent="0.25">
      <c r="A6" t="s">
        <v>2</v>
      </c>
      <c r="J6" s="27"/>
      <c r="K6" s="22"/>
      <c r="L6" s="28"/>
      <c r="M6" s="29"/>
      <c r="N6" s="30"/>
      <c r="O6" s="31"/>
      <c r="P6" s="31"/>
      <c r="Q6" s="31"/>
      <c r="R6" s="31"/>
    </row>
    <row r="7" spans="1:18" hidden="1" outlineLevel="1" x14ac:dyDescent="0.25">
      <c r="A7" t="s">
        <v>3</v>
      </c>
      <c r="J7" s="32"/>
      <c r="K7" s="22"/>
      <c r="L7" s="33"/>
      <c r="M7" s="33"/>
      <c r="N7" s="34"/>
      <c r="O7" s="35"/>
      <c r="P7" s="35"/>
      <c r="Q7" s="35"/>
      <c r="R7" s="35"/>
    </row>
    <row r="8" spans="1:18" hidden="1" outlineLevel="1" x14ac:dyDescent="0.25">
      <c r="A8" t="s">
        <v>5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8" t="s">
        <v>6</v>
      </c>
      <c r="C11" s="39"/>
      <c r="D11" s="40"/>
    </row>
    <row r="12" spans="1:18" hidden="1" outlineLevel="1" x14ac:dyDescent="0.25">
      <c r="B12" s="3" t="s">
        <v>7</v>
      </c>
      <c r="C12" s="4" t="s">
        <v>64</v>
      </c>
      <c r="D12" s="5"/>
    </row>
    <row r="13" spans="1:18" hidden="1" outlineLevel="1" x14ac:dyDescent="0.25">
      <c r="B13" s="3" t="s">
        <v>8</v>
      </c>
      <c r="C13" s="6" t="str">
        <f>_xll.VIEW(db_name&amp;":}ElementAttributes_}Clients","!","!")</f>
        <v>finance_geus:}ElementAttributes_}Clients:12642171961075865240</v>
      </c>
      <c r="D13" s="5"/>
    </row>
    <row r="14" spans="1:18" hidden="1" outlineLevel="1" x14ac:dyDescent="0.25">
      <c r="B14" s="3" t="s">
        <v>9</v>
      </c>
      <c r="C14" s="4" t="str">
        <f ca="1">_xll.TM1USER(db_name)</f>
        <v>RECALC_0_100_</v>
      </c>
      <c r="D14" s="5"/>
    </row>
    <row r="15" spans="1:18" hidden="1" outlineLevel="1" x14ac:dyDescent="0.25">
      <c r="B15" s="3" t="s">
        <v>10</v>
      </c>
      <c r="C15" s="4" t="str">
        <f ca="1">_xll.DBR($C$13,$C$14,$B15)</f>
        <v>RECALC_1_101_</v>
      </c>
      <c r="D15" s="5"/>
    </row>
    <row r="16" spans="1:18" hidden="1" outlineLevel="1" x14ac:dyDescent="0.25">
      <c r="B16" s="3" t="s">
        <v>11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12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38" t="s">
        <v>13</v>
      </c>
      <c r="C19" s="39"/>
      <c r="D19" s="40"/>
    </row>
    <row r="20" spans="2:8" hidden="1" outlineLevel="1" x14ac:dyDescent="0.25">
      <c r="B20" s="3" t="s">
        <v>14</v>
      </c>
      <c r="C20" s="7" t="str">
        <f>_xll.VIEW(db_name&amp;":}ElementAttributes_variables","!","!")</f>
        <v>finance_geus:}ElementAttributes_variables:1264217196-1084961018</v>
      </c>
      <c r="D20" s="7"/>
    </row>
    <row r="21" spans="2:8" hidden="1" outlineLevel="1" x14ac:dyDescent="0.25">
      <c r="B21" s="3" t="s">
        <v>15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16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17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18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19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38" t="s">
        <v>28</v>
      </c>
      <c r="C27" s="39"/>
      <c r="D27" s="40"/>
    </row>
    <row r="28" spans="2:8" hidden="1" outlineLevel="1" x14ac:dyDescent="0.25">
      <c r="B28" s="3" t="s">
        <v>29</v>
      </c>
      <c r="C28" s="7" t="str">
        <f>_xll.VIEW(db_name&amp;":sys_application","!","!")</f>
        <v>finance_geus:sys_application:12642171961748833666</v>
      </c>
      <c r="D28" s="7"/>
    </row>
    <row r="29" spans="2:8" hidden="1" outlineLevel="1" x14ac:dyDescent="0.25">
      <c r="B29" s="3" t="s">
        <v>30</v>
      </c>
      <c r="C29" t="s">
        <v>55</v>
      </c>
      <c r="D29" s="7"/>
    </row>
    <row r="30" spans="2:8" hidden="1" outlineLevel="1" x14ac:dyDescent="0.25">
      <c r="B30" s="7"/>
      <c r="C30" s="3" t="s">
        <v>31</v>
      </c>
      <c r="D30" s="3" t="s">
        <v>32</v>
      </c>
      <c r="E30" s="3" t="s">
        <v>33</v>
      </c>
      <c r="F30" s="3" t="s">
        <v>34</v>
      </c>
      <c r="G30" s="3" t="s">
        <v>35</v>
      </c>
      <c r="H30" s="3" t="s">
        <v>36</v>
      </c>
    </row>
    <row r="31" spans="2:8" hidden="1" outlineLevel="1" x14ac:dyDescent="0.25">
      <c r="B31" s="7" t="s">
        <v>37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38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8" hidden="1" outlineLevel="1" x14ac:dyDescent="0.25">
      <c r="B33" s="7" t="s">
        <v>39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8" hidden="1" outlineLevel="1" x14ac:dyDescent="0.25">
      <c r="B34" s="7" t="s">
        <v>40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8" hidden="1" outlineLevel="1" x14ac:dyDescent="0.25">
      <c r="B35" s="7" t="s">
        <v>41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8" hidden="1" outlineLevel="1" x14ac:dyDescent="0.25">
      <c r="B36" s="12" t="s">
        <v>43</v>
      </c>
      <c r="C36" s="13" t="s">
        <v>42</v>
      </c>
    </row>
    <row r="37" spans="2:18" ht="14.45" hidden="1" customHeight="1" outlineLevel="1" x14ac:dyDescent="0.25"/>
    <row r="38" spans="2:18" hidden="1" outlineLevel="1" x14ac:dyDescent="0.25">
      <c r="B38" s="38" t="s">
        <v>46</v>
      </c>
      <c r="C38" s="39"/>
      <c r="D38" s="40"/>
    </row>
    <row r="39" spans="2:18" hidden="1" outlineLevel="1" x14ac:dyDescent="0.25">
      <c r="B39" s="3" t="s">
        <v>20</v>
      </c>
      <c r="C39" s="7" t="str">
        <f>_xll.TM1RPTVIEW(db_name&amp;":}ElementAttributes_appropriation item:1", 0,TM1RPTFMTRNG,TM1RPTFMTIDCOL)</f>
        <v>finance_geus:}ElementAttributes_appropriation item:1</v>
      </c>
    </row>
    <row r="40" spans="2:18" hidden="1" outlineLevel="1" x14ac:dyDescent="0.25">
      <c r="B40" s="3" t="s">
        <v>21</v>
      </c>
      <c r="C40" s="7" t="str">
        <f>_xll.VIEW(db_name&amp;":}ElementAttributes_appropriation item","!","!")</f>
        <v>finance_geus:}ElementAttributes_appropriation item:1264217196-1260724668</v>
      </c>
    </row>
    <row r="41" spans="2:18" hidden="1" outlineLevel="1" x14ac:dyDescent="0.25">
      <c r="B41" s="3" t="s">
        <v>22</v>
      </c>
      <c r="C41" s="7" t="str">
        <f>IF($L$58="No",$C$42,$C$43)</f>
        <v>{TM1SUBSETALL( [appropriation item] )}</v>
      </c>
      <c r="D41" s="5"/>
    </row>
    <row r="42" spans="2:18" hidden="1" outlineLevel="1" x14ac:dyDescent="0.25">
      <c r="B42" s="3" t="s">
        <v>25</v>
      </c>
      <c r="C42" s="7" t="s">
        <v>50</v>
      </c>
    </row>
    <row r="43" spans="2:18" hidden="1" outlineLevel="1" x14ac:dyDescent="0.25">
      <c r="B43" s="3" t="s">
        <v>26</v>
      </c>
      <c r="C43" s="7" t="str">
        <f ca="1">"{TM1DRILLDOWNMEMBER( {[appropriation item].[" &amp; $L$57 &amp; "]}, ALL, RECURSIVE )}"</f>
        <v>{TM1DRILLDOWNMEMBER( {[appropriation item].[RECALC_0_740_]}, ALL, RECURSIVE )}</v>
      </c>
    </row>
    <row r="44" spans="2:18" hidden="1" outlineLevel="1" x14ac:dyDescent="0.25"/>
    <row r="45" spans="2:18" hidden="1" outlineLevel="1" x14ac:dyDescent="0.25">
      <c r="J45" s="1" t="s">
        <v>27</v>
      </c>
      <c r="L45" s="2" t="s">
        <v>0</v>
      </c>
      <c r="M45" s="16" t="s">
        <v>1</v>
      </c>
      <c r="N45" s="16" t="s">
        <v>61</v>
      </c>
      <c r="O45" s="2" t="s">
        <v>51</v>
      </c>
      <c r="P45" s="2" t="s">
        <v>52</v>
      </c>
      <c r="Q45" s="2" t="s">
        <v>53</v>
      </c>
      <c r="R45" s="2" t="s">
        <v>54</v>
      </c>
    </row>
    <row r="46" spans="2:18" hidden="1" outlineLevel="1" x14ac:dyDescent="0.25"/>
    <row r="47" spans="2:18" hidden="1" outlineLevel="1" x14ac:dyDescent="0.25"/>
    <row r="48" spans="2:18" ht="39.75" customHeight="1" collapsed="1" x14ac:dyDescent="0.25">
      <c r="I48" s="14"/>
      <c r="J48" s="14"/>
      <c r="K48" s="14"/>
      <c r="L48" s="14"/>
      <c r="M48" s="14"/>
      <c r="N48" s="14"/>
      <c r="O48" s="14"/>
      <c r="P48" s="14"/>
      <c r="Q48" s="14"/>
      <c r="R48" s="14" t="s">
        <v>47</v>
      </c>
    </row>
    <row r="49" spans="1:18" ht="4.5" customHeight="1" x14ac:dyDescent="0.25"/>
    <row r="50" spans="1:18" ht="24" customHeight="1" x14ac:dyDescent="0.25">
      <c r="J50" s="1"/>
    </row>
    <row r="51" spans="1:18" ht="1.5" customHeight="1" x14ac:dyDescent="0.25">
      <c r="I51" s="14"/>
      <c r="J51" s="14"/>
      <c r="K51" s="14"/>
      <c r="L51" s="14"/>
      <c r="M51" s="17"/>
      <c r="N51" s="17"/>
      <c r="O51" s="14"/>
      <c r="P51" s="14"/>
      <c r="Q51" s="14"/>
      <c r="R51" s="14"/>
    </row>
    <row r="52" spans="1:18" x14ac:dyDescent="0.25">
      <c r="J52" s="37" t="s">
        <v>58</v>
      </c>
      <c r="K52" s="37"/>
      <c r="L52" s="37"/>
      <c r="M52" s="37"/>
      <c r="N52" s="20"/>
    </row>
    <row r="53" spans="1:18" x14ac:dyDescent="0.25">
      <c r="J53" s="37" t="s">
        <v>60</v>
      </c>
      <c r="K53" s="37"/>
      <c r="L53" s="37"/>
      <c r="M53" s="37"/>
    </row>
    <row r="54" spans="1:18" x14ac:dyDescent="0.25">
      <c r="J54" s="37" t="s">
        <v>62</v>
      </c>
      <c r="K54" s="37"/>
      <c r="L54" s="37"/>
      <c r="M54" s="37"/>
    </row>
    <row r="55" spans="1:18" ht="5.0999999999999996" customHeight="1" x14ac:dyDescent="0.25"/>
    <row r="56" spans="1:18" x14ac:dyDescent="0.25">
      <c r="L56" s="9" t="s">
        <v>24</v>
      </c>
    </row>
    <row r="57" spans="1:18" x14ac:dyDescent="0.25">
      <c r="J57" s="8" t="s">
        <v>48</v>
      </c>
      <c r="L57" s="18" t="str">
        <f ca="1">_xll.SUBNM(db_name&amp;":appropriation item","","Total approp item","code and description")</f>
        <v>RECALC_0_740_</v>
      </c>
    </row>
    <row r="58" spans="1:18" x14ac:dyDescent="0.25">
      <c r="J58" s="8" t="s">
        <v>23</v>
      </c>
      <c r="L58" s="19" t="s">
        <v>57</v>
      </c>
    </row>
    <row r="59" spans="1:18" ht="5.0999999999999996" customHeight="1" x14ac:dyDescent="0.25"/>
    <row r="60" spans="1:18" ht="30" x14ac:dyDescent="0.25">
      <c r="J60" s="10" t="s">
        <v>49</v>
      </c>
      <c r="L60" s="11" t="s">
        <v>44</v>
      </c>
      <c r="M60" s="11" t="s">
        <v>45</v>
      </c>
      <c r="N60" s="11" t="s">
        <v>63</v>
      </c>
      <c r="O60" s="11" t="s">
        <v>56</v>
      </c>
      <c r="P60" s="11" t="s">
        <v>52</v>
      </c>
      <c r="Q60" s="11" t="s">
        <v>53</v>
      </c>
      <c r="R60" s="11" t="s">
        <v>59</v>
      </c>
    </row>
    <row r="61" spans="1:18" ht="30" customHeight="1" x14ac:dyDescent="0.25">
      <c r="A61" t="e">
        <f ca="1">IF(_xll.TM1RPTELISCONSOLIDATED($J$61,$J61),IF(_xll.TM1RPTELLEV($J$61,$J61)&lt;=3,_xll.TM1RPTELLEV($J$61,$J61),"D"),"N")</f>
        <v>#VALUE!</v>
      </c>
      <c r="J61" s="36" t="str">
        <f ca="1">_xll.TM1RPTROW($C$39,db_name&amp;":appropriation item","","","",0,$C$41)</f>
        <v>pending__sys_Admin - RDS - Appropriation Item_20250811022914.xlsm:RDS:TM1RPTDATARNG:1</v>
      </c>
      <c r="K61" s="22"/>
      <c r="L61" s="23" t="e">
        <f ca="1">_xll.DBRW($C$39,$J61,L$45)</f>
        <v>#VALUE!</v>
      </c>
      <c r="M61" s="24" t="e">
        <f ca="1">_xll.DBRW($C$39,$J61,M$45)</f>
        <v>#VALUE!</v>
      </c>
      <c r="N61" s="25" t="e">
        <f ca="1">_xll.DBRW($C$39,$J61,N$45)</f>
        <v>#VALUE!</v>
      </c>
      <c r="O61" s="26" t="e">
        <f ca="1">_xll.DBRW($C$39,$J61,O$45)</f>
        <v>#VALUE!</v>
      </c>
      <c r="P61" s="26" t="e">
        <f ca="1">_xll.DBRW($C$39,$J61,P$45)</f>
        <v>#VALUE!</v>
      </c>
      <c r="Q61" s="26" t="e">
        <f ca="1">_xll.DBRW($C$39,$J61,Q$45)</f>
        <v>#VALUE!</v>
      </c>
      <c r="R61" s="26" t="e">
        <f ca="1">_xll.DBRW($C$39,$J61,R$45)</f>
        <v>#VALUE!</v>
      </c>
    </row>
  </sheetData>
  <sheetProtection sheet="1" objects="1" scenarios="1"/>
  <mergeCells count="7">
    <mergeCell ref="J53:M53"/>
    <mergeCell ref="J54:M54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8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2025-08-11T02:59:21Z</dcterms:modified>
</cp:coreProperties>
</file>