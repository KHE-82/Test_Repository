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}externals\"/>
    </mc:Choice>
  </mc:AlternateContent>
  <xr:revisionPtr revIDLastSave="0" documentId="8_{E8A01EC1-E281-4F2A-A1BA-8400DC761712}" xr6:coauthVersionLast="47" xr6:coauthVersionMax="47" xr10:uidLastSave="{00000000-0000-0000-0000-000000000000}"/>
  <bookViews>
    <workbookView xWindow="-120" yWindow="-120" windowWidth="29040" windowHeight="15840" xr2:uid="{7AC5B7A1-C614-4FB4-8672-FADC5619ADB6}"/>
  </bookViews>
  <sheets>
    <sheet name="RDS" sheetId="1" r:id="rId1"/>
  </sheets>
  <definedNames>
    <definedName name="db_name">RDS!$C$12</definedName>
    <definedName name="Freeze_here">RDS!$L$61</definedName>
    <definedName name="psApp">RDS!$C$29</definedName>
    <definedName name="psUser">RDS!$C$14</definedName>
    <definedName name="TM1HomeAdminCAP">RDS!$D$34</definedName>
    <definedName name="TM1HomeAdminRDSCAP">RDS!$D$35</definedName>
    <definedName name="TM1HomeAdminRDSWB">RDS!$F$35</definedName>
    <definedName name="TM1HomeAdminRDSWS">RDS!$H$35</definedName>
    <definedName name="TM1HomeAdminWB">RDS!$F$34</definedName>
    <definedName name="TM1HomeAdminWS">RDS!$H$34</definedName>
    <definedName name="TM1HomeAECAP">RDS!$D$32</definedName>
    <definedName name="TM1HomeAEWB">RDS!$F$32</definedName>
    <definedName name="TM1HomeAEWS">RDS!$H$32</definedName>
    <definedName name="TM1HomeCAP">RDS!$D$31</definedName>
    <definedName name="TM1HomeRepCAP">RDS!$D$33</definedName>
    <definedName name="TM1HomeRepWB">RDS!$F$33</definedName>
    <definedName name="TM1HomeRepWS">RDS!$H$33</definedName>
    <definedName name="TM1HomeWB">RDS!$F$31</definedName>
    <definedName name="TM1HomeWS">RDS!$H$31</definedName>
    <definedName name="TM1REBUILDOPTION">1</definedName>
    <definedName name="TM1RPTDATARNG1" localSheetId="0">RDS!$62:$62</definedName>
    <definedName name="TM1RPTFMTIDCOL" localSheetId="0">RDS!$A$1:$A$8</definedName>
    <definedName name="TM1RPTFMTRNG" localSheetId="0">RDS!$J$1:$U$8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9" i="1" l="1"/>
  <c r="C41" i="1"/>
  <c r="J62" i="1"/>
  <c r="C28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L58" i="1"/>
  <c r="C43" i="1"/>
  <c r="T62" i="1"/>
  <c r="S62" i="1"/>
  <c r="R62" i="1"/>
  <c r="Q62" i="1"/>
  <c r="P62" i="1"/>
  <c r="O62" i="1"/>
  <c r="N62" i="1"/>
  <c r="U62" i="1"/>
  <c r="M62" i="1"/>
  <c r="L62" i="1"/>
  <c r="C20" i="1"/>
  <c r="C25" i="1"/>
  <c r="C40" i="1"/>
  <c r="C24" i="1"/>
  <c r="C23" i="1"/>
  <c r="C22" i="1"/>
  <c r="C21" i="1"/>
  <c r="C13" i="1"/>
  <c r="C14" i="1"/>
  <c r="C15" i="1"/>
  <c r="C17" i="1"/>
  <c r="C16" i="1"/>
  <c r="A62" i="1"/>
  <c r="A5" i="1"/>
  <c r="A4" i="1"/>
  <c r="A3" i="1"/>
  <c r="A2" i="1"/>
</calcChain>
</file>

<file path=xl/sharedStrings.xml><?xml version="1.0" encoding="utf-8"?>
<sst xmlns="http://schemas.openxmlformats.org/spreadsheetml/2006/main" count="74" uniqueCount="73">
  <si>
    <t>description</t>
  </si>
  <si>
    <t>code and description</t>
  </si>
  <si>
    <t>DR/CR</t>
  </si>
  <si>
    <t>related entity enabled</t>
  </si>
  <si>
    <t>assumed related entity</t>
  </si>
  <si>
    <t>appropriation type required</t>
  </si>
  <si>
    <t>cash flow map</t>
  </si>
  <si>
    <t>flat file</t>
  </si>
  <si>
    <t>disabled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</si>
  <si>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</si>
  <si>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</si>
  <si>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</si>
  <si>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</si>
  <si>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</si>
  <si>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</si>
  <si>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</si>
  <si>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</si>
  <si>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</si>
  <si>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</si>
  <si>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</si>
  <si>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</si>
  <si>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</si>
  <si>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</si>
  <si>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</si>
  <si>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</si>
  <si>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</si>
  <si>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</si>
  <si>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Active Form</t>
  </si>
  <si>
    <t>Slice</t>
  </si>
  <si>
    <t>Dimension MDX To Use</t>
  </si>
  <si>
    <t>Filter :</t>
  </si>
  <si>
    <t>REPORT PARAMETERS</t>
  </si>
  <si>
    <t>All MDX</t>
  </si>
  <si>
    <t>Filter MDX</t>
  </si>
  <si>
    <t>Attribute Fields</t>
  </si>
  <si>
    <t>Assumed Related Entity</t>
  </si>
  <si>
    <t>Cash Flow Map</t>
  </si>
  <si>
    <t>Disabled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</si>
  <si>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</si>
  <si>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</si>
  <si>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</si>
  <si>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</si>
  <si>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</si>
  <si>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</si>
  <si>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</si>
  <si>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</si>
  <si>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</si>
  <si>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</si>
  <si>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</si>
  <si>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</si>
  <si>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</si>
  <si>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</si>
  <si>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=DBR($C$28,$B35,C$30)</t>
  </si>
  <si>
    <t>Application Formula (DO NOT DELETE)</t>
  </si>
  <si>
    <t>Description (ALIAS)</t>
  </si>
  <si>
    <t>Code and Description (ALIAS)</t>
  </si>
  <si>
    <t>{TM1SUBSETALL( [movement account] )}</t>
  </si>
  <si>
    <t>Administration RDS - Movement Account Attributes</t>
  </si>
  <si>
    <t>}ElementAttributes_</t>
  </si>
  <si>
    <t>Movement Account :</t>
  </si>
  <si>
    <t>Editable</t>
  </si>
  <si>
    <t>No</t>
  </si>
  <si>
    <t>Movement Account</t>
  </si>
  <si>
    <t>Note : This screen is used to manage the Movement Account attribute cube which is required for GEUS.</t>
  </si>
  <si>
    <t>Admin RDS - Movement Account</t>
  </si>
  <si>
    <t>Flat File : Leave BLANK to be generated during flat file creations.</t>
  </si>
  <si>
    <t>Cash Flow Map : Should match the same cash flow mapped in the AE cash flow derivation weighting cube.</t>
  </si>
  <si>
    <t>Flat File (N)</t>
  </si>
  <si>
    <t>Editable (N)</t>
  </si>
  <si>
    <t>Appropriation Type
 Required (Y)</t>
  </si>
  <si>
    <t>Editable : Leave BLANK to allow data entry on that account. Usually movement account with N are rule driven and can not be edited.</t>
  </si>
  <si>
    <t>Related Entity Enabled (Y)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</si>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</sst>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1" fillId="4" borderId="4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6" borderId="4" xfId="0" applyFont="1" applyFill="1" applyBorder="1"/>
    <xf numFmtId="0" fontId="5" fillId="0" borderId="4" xfId="0" applyFont="1" applyBorder="1"/>
    <xf numFmtId="0" fontId="0" fillId="6" borderId="4" xfId="0" applyFill="1" applyBorder="1"/>
    <xf numFmtId="0" fontId="0" fillId="6" borderId="4" xfId="0" quotePrefix="1" applyFill="1" applyBorder="1"/>
    <xf numFmtId="0" fontId="6" fillId="5" borderId="0" xfId="0" applyFont="1" applyFill="1" applyAlignment="1">
      <alignment horizontal="right" vertical="center"/>
    </xf>
    <xf numFmtId="0" fontId="0" fillId="0" borderId="0" xfId="0" applyAlignment="1">
      <alignment horizontal="center"/>
    </xf>
    <xf numFmtId="0" fontId="6" fillId="5" borderId="0" xfId="0" applyFont="1" applyFill="1" applyAlignment="1">
      <alignment horizontal="center" vertical="center"/>
    </xf>
    <xf numFmtId="0" fontId="5" fillId="6" borderId="4" xfId="0" applyFont="1" applyFill="1" applyBorder="1" applyProtection="1">
      <protection locked="0"/>
    </xf>
    <xf numFmtId="0" fontId="5" fillId="6" borderId="4" xfId="0" applyFont="1" applyFill="1" applyBorder="1" applyAlignment="1" applyProtection="1">
      <alignment horizontal="center"/>
      <protection locked="0"/>
    </xf>
    <xf numFmtId="0" fontId="5" fillId="0" borderId="4" xfId="0" applyFont="1" applyBorder="1" applyProtection="1"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4" fillId="0" borderId="4" xfId="0" applyFont="1" applyBorder="1" applyProtection="1"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left" indent="1"/>
      <protection locked="0"/>
    </xf>
    <xf numFmtId="0" fontId="4" fillId="0" borderId="4" xfId="0" applyFont="1" applyBorder="1"/>
    <xf numFmtId="0" fontId="7" fillId="0" borderId="0" xfId="0" applyFont="1"/>
    <xf numFmtId="164" fontId="5" fillId="6" borderId="4" xfId="0" applyNumberFormat="1" applyFont="1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47</xdr:row>
      <xdr:rowOff>28575</xdr:rowOff>
    </xdr:from>
    <xdr:to>
      <xdr:col>10</xdr:col>
      <xdr:colOff>19050</xdr:colOff>
      <xdr:row>47</xdr:row>
      <xdr:rowOff>478155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0</xdr:colOff>
      <xdr:row>49</xdr:row>
      <xdr:rowOff>0</xdr:rowOff>
    </xdr:from>
    <xdr:to>
      <xdr:col>9</xdr:col>
      <xdr:colOff>638175</xdr:colOff>
      <xdr:row>49</xdr:row>
      <xdr:rowOff>247650</xdr:rowOff>
    </xdr:to>
    <xdr:sp macro="Sheet1.ExecuteAction_eaeb5483_ffaf_4570_a835_7157d9a63651" textlink="TM1HomeCAP">
      <xdr:nvSpPr>
        <xdr:cNvPr id="3" name="TM1Button_eaeb5483_ffaf_4570_a835_7157d9a63651">
          <a:extLst>
            <a:ext uri="{FF2B5EF4-FFF2-40B4-BE49-F238E27FC236}">
              <a16:creationId xmlns:a16="http://schemas.microsoft.com/office/drawing/2014/main" id="{7939A4A0-ABCF-3B28-F8B1-6AEE7649A228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4962E9-DACE-44FE-AAF3-AF232B29BA5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t>RECALC_0_167_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49</xdr:row>
      <xdr:rowOff>0</xdr:rowOff>
    </xdr:from>
    <xdr:to>
      <xdr:col>10</xdr:col>
      <xdr:colOff>19050</xdr:colOff>
      <xdr:row>49</xdr:row>
      <xdr:rowOff>247650</xdr:rowOff>
    </xdr:to>
    <xdr:sp macro="Sheet1.ExecuteAction_a7a94759_e9f4_4c98_9dce_eea5a2eee3ce" textlink="TM1HomeAdminCAP">
      <xdr:nvSpPr>
        <xdr:cNvPr id="4" name="TM1Button_a7a94759_e9f4_4c98_9dce_eea5a2eee3ce">
          <a:extLst>
            <a:ext uri="{FF2B5EF4-FFF2-40B4-BE49-F238E27FC236}">
              <a16:creationId xmlns:a16="http://schemas.microsoft.com/office/drawing/2014/main" id="{0EF49D07-23E0-1908-6F65-CB4D097245FC}"/>
            </a:ext>
          </a:extLst>
        </xdr:cNvPr>
        <xdr:cNvSpPr txBox="1"/>
      </xdr:nvSpPr>
      <xdr:spPr>
        <a:xfrm>
          <a:off x="7334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7EE407F-6387-4A38-A1B9-7360EB2B1B7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t>RECALC_0_148_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38100</xdr:colOff>
      <xdr:row>49</xdr:row>
      <xdr:rowOff>0</xdr:rowOff>
    </xdr:from>
    <xdr:to>
      <xdr:col>11</xdr:col>
      <xdr:colOff>1533525</xdr:colOff>
      <xdr:row>49</xdr:row>
      <xdr:rowOff>247650</xdr:rowOff>
    </xdr:to>
    <xdr:sp macro="Sheet1.ExecuteAction_45c43e4a_0778_4cc8_9ac3_47d683fc4918" textlink="TM1HomeAdminRDSCAP">
      <xdr:nvSpPr>
        <xdr:cNvPr id="5" name="TM1Button_45c43e4a_0778_4cc8_9ac3_47d683fc4918">
          <a:extLst>
            <a:ext uri="{FF2B5EF4-FFF2-40B4-BE49-F238E27FC236}">
              <a16:creationId xmlns:a16="http://schemas.microsoft.com/office/drawing/2014/main" id="{75073460-526F-9A3D-F4EA-F1D1FE386BF4}"/>
            </a:ext>
          </a:extLst>
        </xdr:cNvPr>
        <xdr:cNvSpPr txBox="1"/>
      </xdr:nvSpPr>
      <xdr:spPr>
        <a:xfrm>
          <a:off x="1933575" y="561975"/>
          <a:ext cx="1495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F9B35FB-E927-4FB5-9BAF-932FA7BB49A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t>RECALC_0_169_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276225</xdr:colOff>
      <xdr:row>48</xdr:row>
      <xdr:rowOff>28575</xdr:rowOff>
    </xdr:from>
    <xdr:to>
      <xdr:col>20</xdr:col>
      <xdr:colOff>590550</xdr:colOff>
      <xdr:row>49</xdr:row>
      <xdr:rowOff>285750</xdr:rowOff>
    </xdr:to>
    <xdr:sp macro="Sheet1.ExecuteAction_80210c85_063b_4f2a_93f1_6d486ef7a8b2" textlink="">
      <xdr:nvSpPr>
        <xdr:cNvPr id="6" name="TM1Button_80210c85_063b_4f2a_93f1_6d486ef7a8b2">
          <a:extLst>
            <a:ext uri="{FF2B5EF4-FFF2-40B4-BE49-F238E27FC236}">
              <a16:creationId xmlns:a16="http://schemas.microsoft.com/office/drawing/2014/main" id="{37B84BFC-B215-EC6F-F5C2-1342B7AC0BE6}"/>
            </a:ext>
          </a:extLst>
        </xdr:cNvPr>
        <xdr:cNvSpPr txBox="1"/>
      </xdr:nvSpPr>
      <xdr:spPr>
        <a:xfrm>
          <a:off x="1650682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 </a:t>
          </a:r>
        </a:p>
      </xdr:txBody>
    </xdr:sp>
    <xdr:clientData/>
  </xdr:twoCellAnchor>
  <xdr:twoCellAnchor editAs="oneCell">
    <xdr:from>
      <xdr:col>11</xdr:col>
      <xdr:colOff>1562100</xdr:colOff>
      <xdr:row>49</xdr:row>
      <xdr:rowOff>0</xdr:rowOff>
    </xdr:from>
    <xdr:to>
      <xdr:col>11</xdr:col>
      <xdr:colOff>2343150</xdr:colOff>
      <xdr:row>49</xdr:row>
      <xdr:rowOff>247650</xdr:rowOff>
    </xdr:to>
    <xdr:sp macro="Sheet1.ExecuteAction_a991c55b_eb96_49f1_af32_d612c672ea56" textlink="">
      <xdr:nvSpPr>
        <xdr:cNvPr id="7" name="TM1Button_a991c55b_eb96_49f1_af32_d612c672ea56">
          <a:extLst>
            <a:ext uri="{FF2B5EF4-FFF2-40B4-BE49-F238E27FC236}">
              <a16:creationId xmlns:a16="http://schemas.microsoft.com/office/drawing/2014/main" id="{98F7398F-3319-1C8F-8D1A-7492C162377A}"/>
            </a:ext>
          </a:extLst>
        </xdr:cNvPr>
        <xdr:cNvSpPr txBox="1"/>
      </xdr:nvSpPr>
      <xdr:spPr>
        <a:xfrm>
          <a:off x="3457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DBE9D-B011-4FAC-A11E-C7C913D82F1F}">
  <sheetPr codeName="Sheet1">
    <outlinePr showOutlineSymbols="0"/>
  </sheetPr>
  <dimension ref="A1:U62"/>
  <sheetViews>
    <sheetView showGridLines="0" showRowColHeaders="0" tabSelected="1" showOutlineSymbols="0" topLeftCell="A48" workbookViewId="0">
      <pane ySplit="14" topLeftCell="A62" activePane="bottomLeft" state="frozen"/>
      <selection activeCell="I48" sqref="I48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1.42578125" hidden="1" customWidth="1" outlineLevel="1"/>
    <col min="3" max="8" width="16.140625" hidden="1" customWidth="1" outlineLevel="1"/>
    <col min="9" max="9" width="0.85546875" customWidth="1" collapsed="1"/>
    <col min="10" max="10" width="26.7109375" customWidth="1"/>
    <col min="11" max="11" width="0.85546875" customWidth="1"/>
    <col min="12" max="13" width="60.7109375" customWidth="1"/>
    <col min="14" max="14" width="7.7109375" style="17" customWidth="1"/>
    <col min="15" max="15" width="12.7109375" customWidth="1"/>
    <col min="16" max="17" width="8.7109375" customWidth="1"/>
    <col min="18" max="18" width="14.85546875" customWidth="1"/>
    <col min="19" max="19" width="20.7109375" customWidth="1"/>
    <col min="20" max="20" width="20.140625" customWidth="1"/>
    <col min="21" max="21" width="9.7109375" customWidth="1"/>
  </cols>
  <sheetData>
    <row r="1" spans="1:21" hidden="1" outlineLevel="1" x14ac:dyDescent="0.25">
      <c r="A1" t="s">
        <v>11</v>
      </c>
    </row>
    <row r="2" spans="1:21" hidden="1" outlineLevel="1" x14ac:dyDescent="0.25">
      <c r="A2">
        <f>0</f>
        <v>0</v>
      </c>
      <c r="J2" s="12"/>
      <c r="L2" s="19"/>
      <c r="M2" s="19"/>
      <c r="N2" s="20"/>
      <c r="O2" s="20"/>
      <c r="P2" s="20"/>
      <c r="Q2" s="20"/>
      <c r="R2" s="20"/>
      <c r="S2" s="20"/>
      <c r="T2" s="20"/>
      <c r="U2" s="20"/>
    </row>
    <row r="3" spans="1:21" hidden="1" outlineLevel="1" x14ac:dyDescent="0.25">
      <c r="A3">
        <f>1</f>
        <v>1</v>
      </c>
      <c r="J3" s="13"/>
      <c r="L3" s="21"/>
      <c r="M3" s="21"/>
      <c r="N3" s="22"/>
      <c r="O3" s="22"/>
      <c r="P3" s="22"/>
      <c r="Q3" s="22"/>
      <c r="R3" s="22"/>
      <c r="S3" s="22"/>
      <c r="T3" s="22"/>
      <c r="U3" s="22"/>
    </row>
    <row r="4" spans="1:21" hidden="1" outlineLevel="1" x14ac:dyDescent="0.25">
      <c r="A4">
        <f>2</f>
        <v>2</v>
      </c>
      <c r="J4" s="13"/>
      <c r="L4" s="21"/>
      <c r="M4" s="21"/>
      <c r="N4" s="22"/>
      <c r="O4" s="22"/>
      <c r="P4" s="22"/>
      <c r="Q4" s="22"/>
      <c r="R4" s="22"/>
      <c r="S4" s="22"/>
      <c r="T4" s="22"/>
      <c r="U4" s="22"/>
    </row>
    <row r="5" spans="1:21" hidden="1" outlineLevel="1" x14ac:dyDescent="0.25">
      <c r="A5">
        <f>3</f>
        <v>3</v>
      </c>
      <c r="J5" s="13"/>
      <c r="L5" s="21"/>
      <c r="M5" s="21"/>
      <c r="N5" s="22"/>
      <c r="O5" s="22"/>
      <c r="P5" s="22"/>
      <c r="Q5" s="22"/>
      <c r="R5" s="22"/>
      <c r="S5" s="22"/>
      <c r="T5" s="22"/>
      <c r="U5" s="22"/>
    </row>
    <row r="6" spans="1:21" hidden="1" outlineLevel="1" x14ac:dyDescent="0.25">
      <c r="A6" t="s">
        <v>9</v>
      </c>
      <c r="J6" s="13"/>
      <c r="L6" s="21"/>
      <c r="M6" s="21"/>
      <c r="N6" s="22"/>
      <c r="O6" s="22"/>
      <c r="P6" s="22"/>
      <c r="Q6" s="22"/>
      <c r="R6" s="22"/>
      <c r="S6" s="22"/>
      <c r="T6" s="22"/>
      <c r="U6" s="22"/>
    </row>
    <row r="7" spans="1:21" hidden="1" outlineLevel="1" x14ac:dyDescent="0.25">
      <c r="A7" t="s">
        <v>10</v>
      </c>
      <c r="J7" s="26"/>
      <c r="L7" s="23"/>
      <c r="M7" s="23"/>
      <c r="N7" s="24"/>
      <c r="O7" s="24"/>
      <c r="P7" s="24"/>
      <c r="Q7" s="24"/>
      <c r="R7" s="24"/>
      <c r="S7" s="24"/>
      <c r="T7" s="24"/>
      <c r="U7" s="24"/>
    </row>
    <row r="8" spans="1:21" hidden="1" outlineLevel="1" x14ac:dyDescent="0.25">
      <c r="A8" t="s">
        <v>12</v>
      </c>
    </row>
    <row r="9" spans="1:21" hidden="1" outlineLevel="1" x14ac:dyDescent="0.25"/>
    <row r="10" spans="1:21" hidden="1" outlineLevel="1" x14ac:dyDescent="0.25"/>
    <row r="11" spans="1:21" hidden="1" outlineLevel="1" x14ac:dyDescent="0.25">
      <c r="B11" s="29" t="s">
        <v>13</v>
      </c>
      <c r="C11" s="30"/>
      <c r="D11" s="31"/>
    </row>
    <row r="12" spans="1:21" hidden="1" outlineLevel="1" x14ac:dyDescent="0.25">
      <c r="B12" s="3" t="s">
        <v>14</v>
      </c>
      <c r="C12" s="4" t="s">
        <v>72</v>
      </c>
      <c r="D12" s="5"/>
    </row>
    <row r="13" spans="1:21" hidden="1" outlineLevel="1" x14ac:dyDescent="0.25">
      <c r="B13" s="3" t="s">
        <v>15</v>
      </c>
      <c r="C13" s="6" t="str">
        <f>_xll.VIEW(db_name&amp;":}ElementAttributes_}Clients","!","!")</f>
        <v>finance_geus:}ElementAttributes_}Clients:1264217196-2436967</v>
      </c>
      <c r="D13" s="5"/>
    </row>
    <row r="14" spans="1:21" hidden="1" outlineLevel="1" x14ac:dyDescent="0.25">
      <c r="B14" s="3" t="s">
        <v>16</v>
      </c>
      <c r="C14" s="4" t="str">
        <f ca="1">_xll.TM1USER(db_name)</f>
        <v>RECALC_0_104_</v>
      </c>
      <c r="D14" s="5"/>
    </row>
    <row r="15" spans="1:21" hidden="1" outlineLevel="1" x14ac:dyDescent="0.25">
      <c r="B15" s="3" t="s">
        <v>17</v>
      </c>
      <c r="C15" s="4" t="str">
        <f ca="1">_xll.DBR($C$13,$C$14,$B15)</f>
        <v>RECALC_1_113_</v>
      </c>
      <c r="D15" s="5"/>
    </row>
    <row r="16" spans="1:21" hidden="1" outlineLevel="1" x14ac:dyDescent="0.25">
      <c r="B16" s="3" t="s">
        <v>18</v>
      </c>
      <c r="C16" s="4" t="str">
        <f ca="1">_xll.DBR($C$13,$C$14,$B16)</f>
        <v>RECALC_1_112_</v>
      </c>
      <c r="D16" s="5"/>
    </row>
    <row r="17" spans="2:8" hidden="1" outlineLevel="1" x14ac:dyDescent="0.25">
      <c r="B17" s="3" t="s">
        <v>19</v>
      </c>
      <c r="C17" s="4" t="str">
        <f ca="1">IF(LEFT($C$15,6)="CAM_AD",$C$16,$C$15)</f>
        <v>RECALC_1_113_</v>
      </c>
      <c r="D17" s="7"/>
    </row>
    <row r="18" spans="2:8" hidden="1" outlineLevel="1" x14ac:dyDescent="0.25"/>
    <row r="19" spans="2:8" hidden="1" outlineLevel="1" x14ac:dyDescent="0.25">
      <c r="B19" s="29" t="s">
        <v>20</v>
      </c>
      <c r="C19" s="30"/>
      <c r="D19" s="31"/>
    </row>
    <row r="20" spans="2:8" hidden="1" outlineLevel="1" x14ac:dyDescent="0.25">
      <c r="B20" s="3" t="s">
        <v>21</v>
      </c>
      <c r="C20" s="7" t="str">
        <f>_xll.VIEW(db_name&amp;":}ElementAttributes_variables","!","!")</f>
        <v>finance_geus:}ElementAttributes_variables:1264217196482782753</v>
      </c>
      <c r="D20" s="7"/>
    </row>
    <row r="21" spans="2:8" hidden="1" outlineLevel="1" x14ac:dyDescent="0.25">
      <c r="B21" s="3" t="s">
        <v>22</v>
      </c>
      <c r="C21" s="7" t="str">
        <f ca="1">_xll.DBR($C$20,$B21,"value")</f>
        <v>RECALC_0_1_</v>
      </c>
      <c r="D21" s="7"/>
    </row>
    <row r="22" spans="2:8" hidden="1" outlineLevel="1" x14ac:dyDescent="0.25">
      <c r="B22" s="3" t="s">
        <v>23</v>
      </c>
      <c r="C22" s="7" t="str">
        <f ca="1">_xll.DBR($C$20,$B22,"value")</f>
        <v>RECALC_0_111_</v>
      </c>
      <c r="D22" s="7"/>
    </row>
    <row r="23" spans="2:8" hidden="1" outlineLevel="1" x14ac:dyDescent="0.25">
      <c r="B23" s="3" t="s">
        <v>24</v>
      </c>
      <c r="C23" s="7" t="str">
        <f ca="1">_xll.DBR($C$20,$B23,"value")</f>
        <v>RECALC_0_110_</v>
      </c>
      <c r="D23" s="7"/>
    </row>
    <row r="24" spans="2:8" hidden="1" outlineLevel="1" x14ac:dyDescent="0.25">
      <c r="B24" s="3" t="s">
        <v>25</v>
      </c>
      <c r="C24" s="7" t="str">
        <f ca="1">_xll.DBR($C$20,$B24,"value")</f>
        <v>RECALC_0_109_</v>
      </c>
      <c r="D24" s="7"/>
    </row>
    <row r="25" spans="2:8" hidden="1" outlineLevel="1" x14ac:dyDescent="0.25">
      <c r="B25" s="3" t="s">
        <v>26</v>
      </c>
      <c r="C25" s="7" t="str">
        <f ca="1">_xll.DBR($C$20,$B25,"value")</f>
        <v>RECALC_0_217_</v>
      </c>
      <c r="D25" s="7"/>
    </row>
    <row r="26" spans="2:8" hidden="1" outlineLevel="1" x14ac:dyDescent="0.25"/>
    <row r="27" spans="2:8" hidden="1" outlineLevel="1" x14ac:dyDescent="0.25">
      <c r="B27" s="29" t="s">
        <v>38</v>
      </c>
      <c r="C27" s="30"/>
      <c r="D27" s="31"/>
    </row>
    <row r="28" spans="2:8" hidden="1" outlineLevel="1" x14ac:dyDescent="0.25">
      <c r="B28" s="3" t="s">
        <v>39</v>
      </c>
      <c r="C28" s="7" t="str">
        <f>_xll.VIEW(db_name&amp;":sys_application","!","!")</f>
        <v>finance_geus:sys_application:1264217196-1525983402</v>
      </c>
      <c r="D28" s="7"/>
    </row>
    <row r="29" spans="2:8" hidden="1" outlineLevel="1" x14ac:dyDescent="0.25">
      <c r="B29" s="3" t="s">
        <v>40</v>
      </c>
      <c r="C29" t="s">
        <v>64</v>
      </c>
      <c r="D29" s="7"/>
    </row>
    <row r="30" spans="2:8" hidden="1" outlineLevel="1" x14ac:dyDescent="0.25">
      <c r="B30" s="7"/>
      <c r="C30" s="3" t="s">
        <v>41</v>
      </c>
      <c r="D30" s="3" t="s">
        <v>42</v>
      </c>
      <c r="E30" s="3" t="s">
        <v>43</v>
      </c>
      <c r="F30" s="3" t="s">
        <v>44</v>
      </c>
      <c r="G30" s="3" t="s">
        <v>45</v>
      </c>
      <c r="H30" s="3" t="s">
        <v>46</v>
      </c>
    </row>
    <row r="31" spans="2:8" hidden="1" outlineLevel="1" x14ac:dyDescent="0.25">
      <c r="B31" s="7" t="s">
        <v>47</v>
      </c>
      <c r="C31" s="7" t="str">
        <f ca="1">_xll.DBR($C$28,$B31,C$30)</f>
        <v>RECALC_0_132_</v>
      </c>
      <c r="D31" s="7" t="str">
        <f ca="1">_xll.DBR($C$28,$B31,D$30)</f>
        <v>RECALC_0_167_</v>
      </c>
      <c r="E31" s="7" t="str">
        <f ca="1">_xll.DBR($C$28,$B31,E$30)</f>
        <v>RECALC_0_153_</v>
      </c>
      <c r="F31" s="7" t="str">
        <f ca="1">_xll.DBR($C$28,$B31,F$30)</f>
        <v>RECALC_0_133_</v>
      </c>
      <c r="G31" s="7" t="str">
        <f ca="1">_xll.DBR($C$28,$B31,G$30)</f>
        <v>RECALC_0_196_</v>
      </c>
      <c r="H31" s="7" t="str">
        <f ca="1">_xll.DBR($C$28,$B31,H$30)</f>
        <v>RECALC_0_120_</v>
      </c>
    </row>
    <row r="32" spans="2:8" hidden="1" outlineLevel="1" x14ac:dyDescent="0.25">
      <c r="B32" s="7" t="s">
        <v>48</v>
      </c>
      <c r="C32" s="7" t="str">
        <f ca="1">_xll.DBR($C$28,$B32,C$30)</f>
        <v>RECALC_0_135_</v>
      </c>
      <c r="D32" s="7" t="str">
        <f ca="1">_xll.DBR($C$28,$B32,D$30)</f>
        <v>RECALC_0_173_</v>
      </c>
      <c r="E32" s="7" t="str">
        <f ca="1">_xll.DBR($C$28,$B32,E$30)</f>
        <v>RECALC_0_183_</v>
      </c>
      <c r="F32" s="7" t="str">
        <f ca="1">_xll.DBR($C$28,$B32,F$30)</f>
        <v>RECALC_0_187_</v>
      </c>
      <c r="G32" s="7" t="str">
        <f ca="1">_xll.DBR($C$28,$B32,G$30)</f>
        <v>RECALC_0_191_</v>
      </c>
      <c r="H32" s="7" t="str">
        <f ca="1">_xll.DBR($C$28,$B32,H$30)</f>
        <v>RECALC_0_185_</v>
      </c>
    </row>
    <row r="33" spans="2:21" hidden="1" outlineLevel="1" x14ac:dyDescent="0.25">
      <c r="B33" s="7" t="s">
        <v>49</v>
      </c>
      <c r="C33" s="7" t="str">
        <f ca="1">_xll.DBR($C$28,$B33,C$30)</f>
        <v>RECALC_0_172_</v>
      </c>
      <c r="D33" s="7" t="str">
        <f ca="1">_xll.DBR($C$28,$B33,D$30)</f>
        <v>RECALC_0_130_</v>
      </c>
      <c r="E33" s="7" t="str">
        <f ca="1">_xll.DBR($C$28,$B33,E$30)</f>
        <v>RECALC_0_115_</v>
      </c>
      <c r="F33" s="7" t="str">
        <f ca="1">_xll.DBR($C$28,$B33,F$30)</f>
        <v>RECALC_0_170_</v>
      </c>
      <c r="G33" s="7" t="str">
        <f ca="1">_xll.DBR($C$28,$B33,G$30)</f>
        <v>RECALC_0_160_</v>
      </c>
      <c r="H33" s="7" t="str">
        <f ca="1">_xll.DBR($C$28,$B33,H$30)</f>
        <v>RECALC_0_194_</v>
      </c>
    </row>
    <row r="34" spans="2:21" hidden="1" outlineLevel="1" x14ac:dyDescent="0.25">
      <c r="B34" s="7" t="s">
        <v>50</v>
      </c>
      <c r="C34" s="7" t="str">
        <f ca="1">_xll.DBR($C$28,$B34,C$30)</f>
        <v>RECALC_0_178_</v>
      </c>
      <c r="D34" s="7" t="str">
        <f ca="1">_xll.DBR($C$28,$B34,D$30)</f>
        <v>RECALC_0_148_</v>
      </c>
      <c r="E34" s="7" t="str">
        <f ca="1">_xll.DBR($C$28,$B34,E$30)</f>
        <v>RECALC_0_126_</v>
      </c>
      <c r="F34" s="7" t="str">
        <f ca="1">_xll.DBR($C$28,$B34,F$30)</f>
        <v>RECALC_0_181_</v>
      </c>
      <c r="G34" s="7" t="str">
        <f ca="1">_xll.DBR($C$28,$B34,G$30)</f>
        <v>RECALC_0_166_</v>
      </c>
      <c r="H34" s="7" t="str">
        <f ca="1">_xll.DBR($C$28,$B34,H$30)</f>
        <v>RECALC_0_174_</v>
      </c>
    </row>
    <row r="35" spans="2:21" hidden="1" outlineLevel="1" x14ac:dyDescent="0.25">
      <c r="B35" s="7" t="s">
        <v>51</v>
      </c>
      <c r="C35" s="7" t="str">
        <f ca="1">_xll.DBR($C$28,$B35,C$30)</f>
        <v>RECALC_0_141_</v>
      </c>
      <c r="D35" s="7" t="str">
        <f ca="1">_xll.DBR($C$28,$B35,D$30)</f>
        <v>RECALC_0_169_</v>
      </c>
      <c r="E35" s="7" t="str">
        <f ca="1">_xll.DBR($C$28,$B35,E$30)</f>
        <v>RECALC_0_157_</v>
      </c>
      <c r="F35" s="7" t="str">
        <f ca="1">_xll.DBR($C$28,$B35,F$30)</f>
        <v>RECALC_0_128_</v>
      </c>
      <c r="G35" s="7" t="str">
        <f ca="1">_xll.DBR($C$28,$B35,G$30)</f>
        <v>RECALC_0_122_</v>
      </c>
      <c r="H35" s="7" t="str">
        <f ca="1">_xll.DBR($C$28,$B35,H$30)</f>
        <v>RECALC_0_159_</v>
      </c>
    </row>
    <row r="36" spans="2:21" hidden="1" outlineLevel="1" x14ac:dyDescent="0.25">
      <c r="B36" s="14" t="s">
        <v>53</v>
      </c>
      <c r="C36" s="15" t="s">
        <v>52</v>
      </c>
    </row>
    <row r="37" spans="2:21" ht="17.25" hidden="1" customHeight="1" outlineLevel="1" x14ac:dyDescent="0.25"/>
    <row r="38" spans="2:21" hidden="1" outlineLevel="1" x14ac:dyDescent="0.25">
      <c r="B38" s="29" t="s">
        <v>58</v>
      </c>
      <c r="C38" s="30"/>
      <c r="D38" s="31"/>
    </row>
    <row r="39" spans="2:21" hidden="1" outlineLevel="1" x14ac:dyDescent="0.25">
      <c r="B39" s="3" t="s">
        <v>27</v>
      </c>
      <c r="C39" s="7" t="str">
        <f>_xll.TM1RPTVIEW(db_name&amp;":}ElementAttributes_movement account:1", 0,TM1RPTFMTRNG,TM1RPTFMTIDCOL)</f>
        <v>finance_geus:}ElementAttributes_movement account:1</v>
      </c>
    </row>
    <row r="40" spans="2:21" hidden="1" outlineLevel="1" x14ac:dyDescent="0.25">
      <c r="B40" s="3" t="s">
        <v>28</v>
      </c>
      <c r="C40" s="7" t="str">
        <f>_xll.VIEW(db_name&amp;":}ElementAttributes_movement account","!","!")</f>
        <v>finance_geus:}ElementAttributes_movement account:12642171961427373126</v>
      </c>
    </row>
    <row r="41" spans="2:21" hidden="1" outlineLevel="1" x14ac:dyDescent="0.25">
      <c r="B41" s="3" t="s">
        <v>29</v>
      </c>
      <c r="C41" s="7" t="str">
        <f>IF($L$59="No",$C$42,$C$43)</f>
        <v>{TM1SUBSETALL( [movement account] )}</v>
      </c>
      <c r="D41" s="5"/>
    </row>
    <row r="42" spans="2:21" hidden="1" outlineLevel="1" x14ac:dyDescent="0.25">
      <c r="B42" s="3" t="s">
        <v>32</v>
      </c>
      <c r="C42" s="7" t="s">
        <v>56</v>
      </c>
    </row>
    <row r="43" spans="2:21" hidden="1" outlineLevel="1" x14ac:dyDescent="0.25">
      <c r="B43" s="3" t="s">
        <v>33</v>
      </c>
      <c r="C43" s="7" t="str">
        <f ca="1">"{TM1DRILLDOWNMEMBER( {[movement account].[" &amp; $L$58 &amp; "]}, ALL, RECURSIVE )}"</f>
        <v>{TM1DRILLDOWNMEMBER( {[movement account].[RECALC_0_649_]}, ALL, RECURSIVE )}</v>
      </c>
    </row>
    <row r="44" spans="2:21" hidden="1" outlineLevel="1" x14ac:dyDescent="0.25"/>
    <row r="45" spans="2:21" hidden="1" outlineLevel="1" x14ac:dyDescent="0.25">
      <c r="J45" s="1" t="s">
        <v>34</v>
      </c>
      <c r="L45" s="2" t="s">
        <v>0</v>
      </c>
      <c r="M45" s="2" t="s">
        <v>1</v>
      </c>
      <c r="N45" s="2" t="s">
        <v>2</v>
      </c>
      <c r="O45" s="2" t="s">
        <v>6</v>
      </c>
      <c r="P45" s="2" t="s">
        <v>7</v>
      </c>
      <c r="Q45" s="2" t="s">
        <v>60</v>
      </c>
      <c r="R45" s="2" t="s">
        <v>3</v>
      </c>
      <c r="S45" s="2" t="s">
        <v>4</v>
      </c>
      <c r="T45" s="2" t="s">
        <v>5</v>
      </c>
      <c r="U45" s="2" t="s">
        <v>8</v>
      </c>
    </row>
    <row r="46" spans="2:21" hidden="1" outlineLevel="1" x14ac:dyDescent="0.25"/>
    <row r="47" spans="2:21" hidden="1" outlineLevel="1" x14ac:dyDescent="0.25"/>
    <row r="48" spans="2:21" ht="39.75" customHeight="1" collapsed="1" x14ac:dyDescent="0.25">
      <c r="I48" s="16"/>
      <c r="J48" s="16"/>
      <c r="K48" s="16"/>
      <c r="L48" s="16"/>
      <c r="M48" s="16"/>
      <c r="N48" s="18"/>
      <c r="O48" s="16"/>
      <c r="P48" s="16"/>
      <c r="Q48" s="16"/>
      <c r="R48" s="16"/>
      <c r="S48" s="16"/>
      <c r="T48" s="16"/>
      <c r="U48" s="16" t="s">
        <v>57</v>
      </c>
    </row>
    <row r="49" spans="1:21" ht="4.5" customHeight="1" x14ac:dyDescent="0.25"/>
    <row r="50" spans="1:21" ht="24" customHeight="1" x14ac:dyDescent="0.25">
      <c r="J50" s="1"/>
    </row>
    <row r="51" spans="1:21" ht="1.5" customHeight="1" x14ac:dyDescent="0.25">
      <c r="I51" s="16"/>
      <c r="J51" s="16"/>
      <c r="K51" s="16"/>
      <c r="L51" s="16"/>
      <c r="M51" s="16"/>
      <c r="N51" s="18"/>
      <c r="O51" s="16"/>
      <c r="P51" s="16"/>
      <c r="Q51" s="16"/>
      <c r="R51" s="16"/>
      <c r="S51" s="16"/>
      <c r="T51" s="16"/>
      <c r="U51" s="16"/>
    </row>
    <row r="52" spans="1:21" x14ac:dyDescent="0.25">
      <c r="J52" s="33" t="s">
        <v>63</v>
      </c>
      <c r="K52" s="33"/>
      <c r="L52" s="33"/>
      <c r="M52" s="33"/>
    </row>
    <row r="53" spans="1:21" x14ac:dyDescent="0.25">
      <c r="J53" s="27" t="s">
        <v>65</v>
      </c>
    </row>
    <row r="54" spans="1:21" x14ac:dyDescent="0.25">
      <c r="J54" s="27" t="s">
        <v>66</v>
      </c>
    </row>
    <row r="55" spans="1:21" x14ac:dyDescent="0.25">
      <c r="J55" s="27" t="s">
        <v>70</v>
      </c>
    </row>
    <row r="56" spans="1:21" ht="5.0999999999999996" customHeight="1" x14ac:dyDescent="0.25"/>
    <row r="57" spans="1:21" x14ac:dyDescent="0.25">
      <c r="L57" s="9" t="s">
        <v>31</v>
      </c>
    </row>
    <row r="58" spans="1:21" x14ac:dyDescent="0.25">
      <c r="J58" s="8" t="s">
        <v>59</v>
      </c>
      <c r="L58" s="32" t="str">
        <f ca="1">_xll.SUBNM(db_name&amp;":movement account","","7121","code and description")</f>
        <v>RECALC_0_649_</v>
      </c>
      <c r="M58" s="32"/>
    </row>
    <row r="59" spans="1:21" x14ac:dyDescent="0.25">
      <c r="J59" s="8" t="s">
        <v>30</v>
      </c>
      <c r="L59" s="25" t="s">
        <v>61</v>
      </c>
    </row>
    <row r="60" spans="1:21" ht="5.0999999999999996" customHeight="1" x14ac:dyDescent="0.25"/>
    <row r="61" spans="1:21" ht="30" x14ac:dyDescent="0.25">
      <c r="J61" s="10" t="s">
        <v>62</v>
      </c>
      <c r="L61" s="11" t="s">
        <v>54</v>
      </c>
      <c r="M61" s="11" t="s">
        <v>55</v>
      </c>
      <c r="N61" s="11" t="s">
        <v>2</v>
      </c>
      <c r="O61" s="11" t="s">
        <v>36</v>
      </c>
      <c r="P61" s="11" t="s">
        <v>67</v>
      </c>
      <c r="Q61" s="11" t="s">
        <v>68</v>
      </c>
      <c r="R61" s="11" t="s">
        <v>71</v>
      </c>
      <c r="S61" s="11" t="s">
        <v>35</v>
      </c>
      <c r="T61" s="11" t="s">
        <v>69</v>
      </c>
      <c r="U61" s="11" t="s">
        <v>37</v>
      </c>
    </row>
    <row r="62" spans="1:21" x14ac:dyDescent="0.25">
      <c r="A62" t="e">
        <f ca="1">IF(_xll.TM1RPTELISCONSOLIDATED($J$62,$J62),IF(_xll.TM1RPTELLEV($J$62,$J62)&lt;=3,_xll.TM1RPTELLEV($J$62,$J62),"D"),"N")</f>
        <v>#VALUE!</v>
      </c>
      <c r="J62" s="28" t="str">
        <f ca="1">_xll.TM1RPTROW($C$39,db_name&amp;":movement account","","","",0,$C$41)</f>
        <v>pending__ab0780c9-b0bd-421b-a519-2305b843177fsys_Admin - RDS - Movement Account.xlsx:RDS:TM1RPTDATARNG:1</v>
      </c>
      <c r="L62" s="19" t="e">
        <f ca="1">_xll.DBRW($C$39,$J62,L$45)</f>
        <v>#VALUE!</v>
      </c>
      <c r="M62" s="19" t="e">
        <f ca="1">_xll.DBRW($C$39,$J62,M$45)</f>
        <v>#VALUE!</v>
      </c>
      <c r="N62" s="20" t="e">
        <f ca="1">_xll.DBRW($C$39,$J62,N$45)</f>
        <v>#VALUE!</v>
      </c>
      <c r="O62" s="20" t="e">
        <f ca="1">_xll.DBRW($C$39,$J62,O$45)</f>
        <v>#VALUE!</v>
      </c>
      <c r="P62" s="20" t="e">
        <f ca="1">_xll.DBRW($C$39,$J62,P$45)</f>
        <v>#VALUE!</v>
      </c>
      <c r="Q62" s="20" t="e">
        <f ca="1">_xll.DBRW($C$39,$J62,Q$45)</f>
        <v>#VALUE!</v>
      </c>
      <c r="R62" s="20" t="e">
        <f ca="1">_xll.DBRW($C$39,$J62,R$45)</f>
        <v>#VALUE!</v>
      </c>
      <c r="S62" s="20" t="e">
        <f ca="1">_xll.DBRW($C$39,$J62,S$45)</f>
        <v>#VALUE!</v>
      </c>
      <c r="T62" s="20" t="e">
        <f ca="1">_xll.DBRW($C$39,$J62,T$45)</f>
        <v>#VALUE!</v>
      </c>
      <c r="U62" s="20" t="e">
        <f ca="1">_xll.DBRW($C$39,$J62,U$45)</f>
        <v>#VALUE!</v>
      </c>
    </row>
  </sheetData>
  <mergeCells count="6">
    <mergeCell ref="B11:D11"/>
    <mergeCell ref="B19:D19"/>
    <mergeCell ref="B38:D38"/>
    <mergeCell ref="L58:M58"/>
    <mergeCell ref="B27:D27"/>
    <mergeCell ref="J52:M52"/>
  </mergeCells>
  <dataValidations count="1">
    <dataValidation type="list" allowBlank="1" showInputMessage="1" showErrorMessage="1" sqref="L59" xr:uid="{FAA0BFAE-9788-4D75-B3EC-011198533F1C}">
      <formula1>"Yes,No"</formula1>
    </dataValidation>
  </dataValidation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22</vt:i4>
      </vt:variant>
    </vt:vector>
  </HeadingPairs>
  <TitlesOfParts>
    <vt:vector size="23" baseType="lpstr">
      <vt:lpstr>RDS</vt:lpstr>
      <vt:lpstr>db_name</vt:lpstr>
      <vt:lpstr>Freeze_here</vt:lpstr>
      <vt:lpstr>psApp</vt:lpstr>
      <vt:lpstr>psUser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RDS!TM1RPTDATARNG1</vt:lpstr>
      <vt:lpstr>RDS!TM1RPTFMTIDCOL</vt:lpstr>
      <vt:lpstr>RDS!TM1RPTFMTRNG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2019-04-08T23:13:27Z</dcterms:created>
  <dcterms:modified xsi:type="dcterms:W3CDTF">2025-08-11T02:29:23Z</dcterms:modified>
</cp:coreProperties>
</file>