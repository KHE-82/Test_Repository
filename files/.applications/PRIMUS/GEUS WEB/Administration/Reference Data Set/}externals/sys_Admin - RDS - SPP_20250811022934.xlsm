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F986644-C890-4059-9F79-7F648C0E0025}" xr6:coauthVersionLast="47" xr6:coauthVersionMax="47" xr10:uidLastSave="{00000000-0000-0000-0000-000000000000}"/>
  <bookViews>
    <workbookView xWindow="-12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RDS!$L$59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RDS!$60:$60</definedName>
    <definedName name="TM1RPTFMTIDCOL" localSheetId="0">RDS!$A$1:$A$8</definedName>
    <definedName name="TM1RPTFMTRNG" localSheetId="0">RDS!$J$1:$M$8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" l="1"/>
  <c r="C41" i="1"/>
  <c r="J60" i="1"/>
  <c r="C28" i="1"/>
  <c r="L5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43" i="1"/>
  <c r="M60" i="1"/>
  <c r="L60" i="1"/>
  <c r="C40" i="1"/>
  <c r="C20" i="1"/>
  <c r="C25" i="1"/>
  <c r="C24" i="1"/>
  <c r="C23" i="1"/>
  <c r="C22" i="1"/>
  <c r="C21" i="1"/>
  <c r="C13" i="1"/>
  <c r="C14" i="1"/>
  <c r="C15" i="1"/>
  <c r="C17" i="1"/>
  <c r="C16" i="1"/>
  <c r="A60" i="1"/>
  <c r="A5" i="1"/>
  <c r="A4" i="1"/>
  <c r="A3" i="1"/>
  <c r="A2" i="1"/>
</calcChain>
</file>

<file path=xl/sharedStrings.xml><?xml version="1.0" encoding="utf-8"?>
<sst xmlns="http://schemas.openxmlformats.org/spreadsheetml/2006/main" count="56" uniqueCount="56">
  <si>
    <t>description</t>
  </si>
  <si>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</si>
  <si>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</si>
  <si>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</si>
  <si>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</si>
  <si>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</si>
  <si>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</si>
  <si>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</si>
  <si>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</si>
  <si>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</si>
  <si>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</si>
  <si>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</si>
  <si>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</si>
  <si>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</si>
  <si>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</si>
  <si>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</si>
  <si>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</si>
  <si>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</si>
  <si>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</si>
  <si>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</si>
  <si>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</si>
  <si>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</si>
  <si>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</si>
  <si>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</si>
  <si>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</si>
  <si>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</si>
  <si>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</si>
  <si>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</si>
  <si>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</si>
  <si>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</si>
  <si>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</si>
  <si>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</si>
  <si>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</si>
  <si>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</si>
  <si>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</si>
  <si>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</si>
  <si>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</si>
  <si>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</si>
  <si>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</si>
  <si>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</si>
  <si>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</si>
  <si>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</si>
  <si>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</si>
  <si>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</si>
  <si>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</si>
  <si>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</si>
  <si>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Administration RDS - SPP Attributes</t>
  </si>
  <si>
    <t>{TM1SUBSETALL( [spp] )}</t>
  </si>
  <si>
    <t>spp  :</t>
  </si>
  <si>
    <t>}ElementAttributes</t>
  </si>
  <si>
    <t>SPP</t>
  </si>
  <si>
    <t>No</t>
  </si>
  <si>
    <t>Admin RDS - SPP</t>
  </si>
  <si>
    <t>Note : This screen is used to manage the SPP attribute cube which is required for GEUS.</t>
  </si>
  <si>
    <t>Note : To search for a single SPP, select a SPP, Set Filter to Yes and Click Refresh.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</si>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</sst>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0" borderId="4" xfId="0" applyFont="1" applyBorder="1" applyProtection="1">
      <protection locked="0"/>
    </xf>
    <xf numFmtId="0" fontId="4" fillId="0" borderId="4" xfId="0" applyFont="1" applyBorder="1" applyProtection="1"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4" xfId="0" applyFont="1" applyBorder="1"/>
    <xf numFmtId="164" fontId="5" fillId="6" borderId="4" xfId="0" applyNumberFormat="1" applyFont="1" applyFill="1" applyBorder="1"/>
    <xf numFmtId="0" fontId="7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47</xdr:row>
      <xdr:rowOff>19050</xdr:rowOff>
    </xdr:from>
    <xdr:to>
      <xdr:col>11</xdr:col>
      <xdr:colOff>0</xdr:colOff>
      <xdr:row>47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"/>
          <a:ext cx="1809750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a399e899_87b9_491b_90c8_fc23424ee2a6" textlink="TM1HomeCAP">
      <xdr:nvSpPr>
        <xdr:cNvPr id="3" name="TM1Button_a399e899_87b9_491b_90c8_fc23424ee2a6">
          <a:extLst>
            <a:ext uri="{FF2B5EF4-FFF2-40B4-BE49-F238E27FC236}">
              <a16:creationId xmlns:a16="http://schemas.microsoft.com/office/drawing/2014/main" id="{34DC8654-64E7-E7B3-31B3-88EEB90F372B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2652177-0658-45FD-A76B-41D12191000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11</xdr:col>
      <xdr:colOff>38100</xdr:colOff>
      <xdr:row>49</xdr:row>
      <xdr:rowOff>247650</xdr:rowOff>
    </xdr:to>
    <xdr:sp macro="Sheet1.ExecuteAction_d52a2ca8_796a_401f_a3f9_19abf51172e1" textlink="TM1HomeAdminCAP">
      <xdr:nvSpPr>
        <xdr:cNvPr id="4" name="TM1Button_d52a2ca8_796a_401f_a3f9_19abf51172e1">
          <a:extLst>
            <a:ext uri="{FF2B5EF4-FFF2-40B4-BE49-F238E27FC236}">
              <a16:creationId xmlns:a16="http://schemas.microsoft.com/office/drawing/2014/main" id="{26E9801C-187E-73C6-69C3-4D81D19B5157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9CA424A-E8B2-425F-A1C6-E8177974087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95250</xdr:colOff>
      <xdr:row>49</xdr:row>
      <xdr:rowOff>0</xdr:rowOff>
    </xdr:from>
    <xdr:to>
      <xdr:col>11</xdr:col>
      <xdr:colOff>1590675</xdr:colOff>
      <xdr:row>49</xdr:row>
      <xdr:rowOff>247650</xdr:rowOff>
    </xdr:to>
    <xdr:sp macro="Sheet1.ExecuteAction_220f2647_1066_4825_8147_b7e83846d661" textlink="TM1HomeAdminRDSCAP">
      <xdr:nvSpPr>
        <xdr:cNvPr id="5" name="TM1Button_220f2647_1066_4825_8147_b7e83846d661">
          <a:extLst>
            <a:ext uri="{FF2B5EF4-FFF2-40B4-BE49-F238E27FC236}">
              <a16:creationId xmlns:a16="http://schemas.microsoft.com/office/drawing/2014/main" id="{63128E30-AEAA-8A5F-ABC5-0CD42428298F}"/>
            </a:ext>
          </a:extLst>
        </xdr:cNvPr>
        <xdr:cNvSpPr txBox="1"/>
      </xdr:nvSpPr>
      <xdr:spPr>
        <a:xfrm>
          <a:off x="19431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42D4258-F7EF-4C88-9417-32557BE7622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4057650</xdr:colOff>
      <xdr:row>48</xdr:row>
      <xdr:rowOff>28575</xdr:rowOff>
    </xdr:from>
    <xdr:to>
      <xdr:col>12</xdr:col>
      <xdr:colOff>4371975</xdr:colOff>
      <xdr:row>49</xdr:row>
      <xdr:rowOff>285750</xdr:rowOff>
    </xdr:to>
    <xdr:sp macro="Sheet1.ExecuteAction_bb22decb_e9ef_4702_ba46_6a630108a725" textlink="">
      <xdr:nvSpPr>
        <xdr:cNvPr id="6" name="TM1Button_bb22decb_e9ef_4702_ba46_6a630108a725">
          <a:extLst>
            <a:ext uri="{FF2B5EF4-FFF2-40B4-BE49-F238E27FC236}">
              <a16:creationId xmlns:a16="http://schemas.microsoft.com/office/drawing/2014/main" id="{D099BC3B-2694-C8E0-BE17-580EAADD695A}"/>
            </a:ext>
          </a:extLst>
        </xdr:cNvPr>
        <xdr:cNvSpPr txBox="1"/>
      </xdr:nvSpPr>
      <xdr:spPr>
        <a:xfrm>
          <a:off x="102870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1619250</xdr:colOff>
      <xdr:row>49</xdr:row>
      <xdr:rowOff>0</xdr:rowOff>
    </xdr:from>
    <xdr:to>
      <xdr:col>11</xdr:col>
      <xdr:colOff>2400300</xdr:colOff>
      <xdr:row>49</xdr:row>
      <xdr:rowOff>247650</xdr:rowOff>
    </xdr:to>
    <xdr:sp macro="Sheet1.ExecuteAction_cdffaa35_7b6d_4841_a450_2649074fde22" textlink="">
      <xdr:nvSpPr>
        <xdr:cNvPr id="7" name="TM1Button_cdffaa35_7b6d_4841_a450_2649074fde22">
          <a:extLst>
            <a:ext uri="{FF2B5EF4-FFF2-40B4-BE49-F238E27FC236}">
              <a16:creationId xmlns:a16="http://schemas.microsoft.com/office/drawing/2014/main" id="{EEB4EB27-6EE1-FE7E-2FB9-3B53D5899A40}"/>
            </a:ext>
          </a:extLst>
        </xdr:cNvPr>
        <xdr:cNvSpPr txBox="1"/>
      </xdr:nvSpPr>
      <xdr:spPr>
        <a:xfrm>
          <a:off x="34671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M60"/>
  <sheetViews>
    <sheetView showGridLines="0" showRowColHeaders="0" tabSelected="1" showOutlineSymbols="0" topLeftCell="A48" workbookViewId="0">
      <pane ySplit="12" topLeftCell="A60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" customWidth="1"/>
    <col min="11" max="11" width="0.85546875" customWidth="1"/>
    <col min="12" max="13" width="65.7109375" customWidth="1"/>
  </cols>
  <sheetData>
    <row r="1" spans="1:13" hidden="1" outlineLevel="1" x14ac:dyDescent="0.25">
      <c r="A1" t="s">
        <v>4</v>
      </c>
    </row>
    <row r="2" spans="1:13" hidden="1" outlineLevel="1" x14ac:dyDescent="0.25">
      <c r="A2">
        <f>0</f>
        <v>0</v>
      </c>
      <c r="J2" s="12"/>
      <c r="L2" s="17"/>
      <c r="M2" s="17"/>
    </row>
    <row r="3" spans="1:13" hidden="1" outlineLevel="1" x14ac:dyDescent="0.25">
      <c r="A3">
        <f>1</f>
        <v>1</v>
      </c>
      <c r="J3" s="13"/>
      <c r="L3" s="18"/>
      <c r="M3" s="18"/>
    </row>
    <row r="4" spans="1:13" hidden="1" outlineLevel="1" x14ac:dyDescent="0.25">
      <c r="A4">
        <f>2</f>
        <v>2</v>
      </c>
      <c r="J4" s="13"/>
      <c r="L4" s="18"/>
      <c r="M4" s="18"/>
    </row>
    <row r="5" spans="1:13" hidden="1" outlineLevel="1" x14ac:dyDescent="0.25">
      <c r="A5">
        <f>3</f>
        <v>3</v>
      </c>
      <c r="J5" s="13"/>
      <c r="L5" s="18"/>
      <c r="M5" s="18"/>
    </row>
    <row r="6" spans="1:13" hidden="1" outlineLevel="1" x14ac:dyDescent="0.25">
      <c r="A6" t="s">
        <v>2</v>
      </c>
      <c r="J6" s="13"/>
      <c r="L6" s="18"/>
      <c r="M6" s="18"/>
    </row>
    <row r="7" spans="1:13" hidden="1" outlineLevel="1" x14ac:dyDescent="0.25">
      <c r="A7" t="s">
        <v>3</v>
      </c>
      <c r="J7" s="22"/>
      <c r="L7" s="19"/>
      <c r="M7" s="19"/>
    </row>
    <row r="8" spans="1:13" hidden="1" outlineLevel="1" x14ac:dyDescent="0.25">
      <c r="A8" t="s">
        <v>5</v>
      </c>
    </row>
    <row r="9" spans="1:13" hidden="1" outlineLevel="1" x14ac:dyDescent="0.25"/>
    <row r="10" spans="1:13" hidden="1" outlineLevel="1" x14ac:dyDescent="0.25"/>
    <row r="11" spans="1:13" hidden="1" outlineLevel="1" x14ac:dyDescent="0.25">
      <c r="B11" s="25" t="s">
        <v>6</v>
      </c>
      <c r="C11" s="26"/>
      <c r="D11" s="27"/>
    </row>
    <row r="12" spans="1:13" hidden="1" outlineLevel="1" x14ac:dyDescent="0.25">
      <c r="B12" s="3" t="s">
        <v>7</v>
      </c>
      <c r="C12" s="4" t="s">
        <v>55</v>
      </c>
      <c r="D12" s="5"/>
    </row>
    <row r="13" spans="1:13" hidden="1" outlineLevel="1" x14ac:dyDescent="0.25">
      <c r="B13" s="3" t="s">
        <v>8</v>
      </c>
      <c r="C13" s="6" t="str">
        <f>_xll.VIEW(db_name&amp;":}ElementAttributes_}Clients","!","!")</f>
        <v>finance_geus:}ElementAttributes_}Clients:1264217196456918187</v>
      </c>
      <c r="D13" s="5"/>
    </row>
    <row r="14" spans="1:13" hidden="1" outlineLevel="1" x14ac:dyDescent="0.25">
      <c r="B14" s="3" t="s">
        <v>9</v>
      </c>
      <c r="C14" s="4" t="str">
        <f ca="1">_xll.TM1USER(db_name)</f>
        <v>RECALC_0_100_</v>
      </c>
      <c r="D14" s="5"/>
    </row>
    <row r="15" spans="1:13" hidden="1" outlineLevel="1" x14ac:dyDescent="0.25">
      <c r="B15" s="3" t="s">
        <v>10</v>
      </c>
      <c r="C15" s="4" t="str">
        <f ca="1">_xll.DBR($C$13,$C$14,$B15)</f>
        <v>RECALC_1_101_</v>
      </c>
      <c r="D15" s="5"/>
    </row>
    <row r="16" spans="1:13" hidden="1" outlineLevel="1" x14ac:dyDescent="0.25">
      <c r="B16" s="3" t="s">
        <v>11</v>
      </c>
      <c r="C16" s="4" t="str">
        <f ca="1">_xll.DBR($C$13,$C$14,$B16)</f>
        <v>RECALC_1_232_</v>
      </c>
      <c r="D16" s="5"/>
    </row>
    <row r="17" spans="2:8" hidden="1" outlineLevel="1" x14ac:dyDescent="0.25">
      <c r="B17" s="3" t="s">
        <v>12</v>
      </c>
      <c r="C17" s="4" t="str">
        <f ca="1">IF(LEFT($C$15,6)="CAM_AD",$C$16,$C$15)</f>
        <v>RECALC_1_101_</v>
      </c>
      <c r="D17" s="7"/>
    </row>
    <row r="18" spans="2:8" hidden="1" outlineLevel="1" x14ac:dyDescent="0.25"/>
    <row r="19" spans="2:8" hidden="1" outlineLevel="1" x14ac:dyDescent="0.25">
      <c r="B19" s="25" t="s">
        <v>13</v>
      </c>
      <c r="C19" s="26"/>
      <c r="D19" s="27"/>
    </row>
    <row r="20" spans="2:8" hidden="1" outlineLevel="1" x14ac:dyDescent="0.25">
      <c r="B20" s="3" t="s">
        <v>14</v>
      </c>
      <c r="C20" s="7" t="str">
        <f>_xll.VIEW(db_name&amp;":}ElementAttributes_variables","!","!")</f>
        <v>finance_geus:}ElementAttributes_variables:126421719645754196</v>
      </c>
      <c r="D20" s="7"/>
    </row>
    <row r="21" spans="2:8" hidden="1" outlineLevel="1" x14ac:dyDescent="0.25">
      <c r="B21" s="3" t="s">
        <v>15</v>
      </c>
      <c r="C21" s="7" t="str">
        <f ca="1">_xll.DBR($C$20,$B21,"value")</f>
        <v>RECALC_0_231_</v>
      </c>
      <c r="D21" s="7"/>
    </row>
    <row r="22" spans="2:8" hidden="1" outlineLevel="1" x14ac:dyDescent="0.25">
      <c r="B22" s="3" t="s">
        <v>16</v>
      </c>
      <c r="C22" s="7" t="str">
        <f ca="1">_xll.DBR($C$20,$B22,"value")</f>
        <v>RECALC_0_230_</v>
      </c>
      <c r="D22" s="7"/>
    </row>
    <row r="23" spans="2:8" hidden="1" outlineLevel="1" x14ac:dyDescent="0.25">
      <c r="B23" s="3" t="s">
        <v>17</v>
      </c>
      <c r="C23" s="7" t="str">
        <f ca="1">_xll.DBR($C$20,$B23,"value")</f>
        <v>RECALC_0_484_</v>
      </c>
      <c r="D23" s="7"/>
    </row>
    <row r="24" spans="2:8" hidden="1" outlineLevel="1" x14ac:dyDescent="0.25">
      <c r="B24" s="3" t="s">
        <v>18</v>
      </c>
      <c r="C24" s="7" t="str">
        <f ca="1">_xll.DBR($C$20,$B24,"value")</f>
        <v>RECALC_0_483_</v>
      </c>
      <c r="D24" s="7"/>
    </row>
    <row r="25" spans="2:8" hidden="1" outlineLevel="1" x14ac:dyDescent="0.25">
      <c r="B25" s="3" t="s">
        <v>19</v>
      </c>
      <c r="C25" s="7" t="str">
        <f ca="1">_xll.DBR($C$20,$B25,"value")</f>
        <v>RECALC_0_262_</v>
      </c>
      <c r="D25" s="7"/>
    </row>
    <row r="26" spans="2:8" hidden="1" outlineLevel="1" x14ac:dyDescent="0.25"/>
    <row r="27" spans="2:8" hidden="1" outlineLevel="1" x14ac:dyDescent="0.25">
      <c r="B27" s="25" t="s">
        <v>28</v>
      </c>
      <c r="C27" s="26"/>
      <c r="D27" s="27"/>
    </row>
    <row r="28" spans="2:8" hidden="1" outlineLevel="1" x14ac:dyDescent="0.25">
      <c r="B28" s="3" t="s">
        <v>29</v>
      </c>
      <c r="C28" s="7" t="str">
        <f>_xll.VIEW(db_name&amp;":sys_application","!","!")</f>
        <v>finance_geus:sys_application:12642171961958047243</v>
      </c>
      <c r="D28" s="7"/>
    </row>
    <row r="29" spans="2:8" hidden="1" outlineLevel="1" x14ac:dyDescent="0.25">
      <c r="B29" s="3" t="s">
        <v>30</v>
      </c>
      <c r="C29" t="s">
        <v>52</v>
      </c>
      <c r="D29" s="7"/>
    </row>
    <row r="30" spans="2:8" hidden="1" outlineLevel="1" x14ac:dyDescent="0.25">
      <c r="B30" s="7"/>
      <c r="C30" s="3" t="s">
        <v>31</v>
      </c>
      <c r="D30" s="3" t="s">
        <v>32</v>
      </c>
      <c r="E30" s="3" t="s">
        <v>33</v>
      </c>
      <c r="F30" s="3" t="s">
        <v>34</v>
      </c>
      <c r="G30" s="3" t="s">
        <v>35</v>
      </c>
      <c r="H30" s="3" t="s">
        <v>36</v>
      </c>
    </row>
    <row r="31" spans="2:8" hidden="1" outlineLevel="1" x14ac:dyDescent="0.25">
      <c r="B31" s="7" t="s">
        <v>37</v>
      </c>
      <c r="C31" s="7" t="str">
        <f ca="1">_xll.DBR($C$28,$B31,C$30)</f>
        <v>RECALC_0_83_</v>
      </c>
      <c r="D31" s="7" t="str">
        <f ca="1">_xll.DBR($C$28,$B31,D$30)</f>
        <v>RECALC_0_82_</v>
      </c>
      <c r="E31" s="7" t="str">
        <f ca="1">_xll.DBR($C$28,$B31,E$30)</f>
        <v>RECALC_0_81_</v>
      </c>
      <c r="F31" s="7" t="str">
        <f ca="1">_xll.DBR($C$28,$B31,F$30)</f>
        <v>RECALC_0_80_</v>
      </c>
      <c r="G31" s="7" t="str">
        <f ca="1">_xll.DBR($C$28,$B31,G$30)</f>
        <v>RECALC_0_79_</v>
      </c>
      <c r="H31" s="7" t="str">
        <f ca="1">_xll.DBR($C$28,$B31,H$30)</f>
        <v>RECALC_0_78_</v>
      </c>
    </row>
    <row r="32" spans="2:8" hidden="1" outlineLevel="1" x14ac:dyDescent="0.25">
      <c r="B32" s="7" t="s">
        <v>38</v>
      </c>
      <c r="C32" s="7" t="str">
        <f ca="1">_xll.DBR($C$28,$B32,C$30)</f>
        <v>RECALC_0_77_</v>
      </c>
      <c r="D32" s="7" t="str">
        <f ca="1">_xll.DBR($C$28,$B32,D$30)</f>
        <v>RECALC_0_76_</v>
      </c>
      <c r="E32" s="7" t="str">
        <f ca="1">_xll.DBR($C$28,$B32,E$30)</f>
        <v>RECALC_0_75_</v>
      </c>
      <c r="F32" s="7" t="str">
        <f ca="1">_xll.DBR($C$28,$B32,F$30)</f>
        <v>RECALC_0_74_</v>
      </c>
      <c r="G32" s="7" t="str">
        <f ca="1">_xll.DBR($C$28,$B32,G$30)</f>
        <v>RECALC_0_73_</v>
      </c>
      <c r="H32" s="7" t="str">
        <f ca="1">_xll.DBR($C$28,$B32,H$30)</f>
        <v>RECALC_0_72_</v>
      </c>
    </row>
    <row r="33" spans="2:13" hidden="1" outlineLevel="1" x14ac:dyDescent="0.25">
      <c r="B33" s="7" t="s">
        <v>39</v>
      </c>
      <c r="C33" s="7" t="str">
        <f ca="1">_xll.DBR($C$28,$B33,C$30)</f>
        <v>RECALC_0_71_</v>
      </c>
      <c r="D33" s="7" t="str">
        <f ca="1">_xll.DBR($C$28,$B33,D$30)</f>
        <v>RECALC_0_70_</v>
      </c>
      <c r="E33" s="7" t="str">
        <f ca="1">_xll.DBR($C$28,$B33,E$30)</f>
        <v>RECALC_0_69_</v>
      </c>
      <c r="F33" s="7" t="str">
        <f ca="1">_xll.DBR($C$28,$B33,F$30)</f>
        <v>RECALC_0_68_</v>
      </c>
      <c r="G33" s="7" t="str">
        <f ca="1">_xll.DBR($C$28,$B33,G$30)</f>
        <v>RECALC_0_67_</v>
      </c>
      <c r="H33" s="7" t="str">
        <f ca="1">_xll.DBR($C$28,$B33,H$30)</f>
        <v>RECALC_0_66_</v>
      </c>
    </row>
    <row r="34" spans="2:13" hidden="1" outlineLevel="1" x14ac:dyDescent="0.25">
      <c r="B34" s="7" t="s">
        <v>40</v>
      </c>
      <c r="C34" s="7" t="str">
        <f ca="1">_xll.DBR($C$28,$B34,C$30)</f>
        <v>RECALC_0_65_</v>
      </c>
      <c r="D34" s="7" t="str">
        <f ca="1">_xll.DBR($C$28,$B34,D$30)</f>
        <v>RECALC_0_64_</v>
      </c>
      <c r="E34" s="7" t="str">
        <f ca="1">_xll.DBR($C$28,$B34,E$30)</f>
        <v>RECALC_0_63_</v>
      </c>
      <c r="F34" s="7" t="str">
        <f ca="1">_xll.DBR($C$28,$B34,F$30)</f>
        <v>RECALC_0_62_</v>
      </c>
      <c r="G34" s="7" t="str">
        <f ca="1">_xll.DBR($C$28,$B34,G$30)</f>
        <v>RECALC_0_61_</v>
      </c>
      <c r="H34" s="7" t="str">
        <f ca="1">_xll.DBR($C$28,$B34,H$30)</f>
        <v>RECALC_0_60_</v>
      </c>
    </row>
    <row r="35" spans="2:13" hidden="1" outlineLevel="1" x14ac:dyDescent="0.25">
      <c r="B35" s="7" t="s">
        <v>41</v>
      </c>
      <c r="C35" s="7" t="str">
        <f ca="1">_xll.DBR($C$28,$B35,C$30)</f>
        <v>RECALC_0_482_</v>
      </c>
      <c r="D35" s="7" t="str">
        <f ca="1">_xll.DBR($C$28,$B35,D$30)</f>
        <v>RECALC_0_481_</v>
      </c>
      <c r="E35" s="7" t="str">
        <f ca="1">_xll.DBR($C$28,$B35,E$30)</f>
        <v>RECALC_0_480_</v>
      </c>
      <c r="F35" s="7" t="str">
        <f ca="1">_xll.DBR($C$28,$B35,F$30)</f>
        <v>RECALC_0_479_</v>
      </c>
      <c r="G35" s="7" t="str">
        <f ca="1">_xll.DBR($C$28,$B35,G$30)</f>
        <v>RECALC_0_478_</v>
      </c>
      <c r="H35" s="7" t="str">
        <f ca="1">_xll.DBR($C$28,$B35,H$30)</f>
        <v>RECALC_0_477_</v>
      </c>
    </row>
    <row r="36" spans="2:13" hidden="1" outlineLevel="1" x14ac:dyDescent="0.25">
      <c r="B36" s="14" t="s">
        <v>43</v>
      </c>
      <c r="C36" s="15" t="s">
        <v>42</v>
      </c>
    </row>
    <row r="37" spans="2:13" ht="17.25" hidden="1" customHeight="1" outlineLevel="1" x14ac:dyDescent="0.25"/>
    <row r="38" spans="2:13" hidden="1" outlineLevel="1" x14ac:dyDescent="0.25">
      <c r="B38" s="25" t="s">
        <v>49</v>
      </c>
      <c r="C38" s="26"/>
      <c r="D38" s="27"/>
    </row>
    <row r="39" spans="2:13" hidden="1" outlineLevel="1" x14ac:dyDescent="0.25">
      <c r="B39" s="3" t="s">
        <v>20</v>
      </c>
      <c r="C39" s="7" t="str">
        <f>_xll.TM1RPTVIEW(db_name&amp;":}ElementAttributes_spp:1", 0,TM1RPTFMTRNG,TM1RPTFMTIDCOL)</f>
        <v>finance_geus:}ElementAttributes_spp:1</v>
      </c>
    </row>
    <row r="40" spans="2:13" hidden="1" outlineLevel="1" x14ac:dyDescent="0.25">
      <c r="B40" s="3" t="s">
        <v>21</v>
      </c>
      <c r="C40" s="7" t="str">
        <f>_xll.VIEW(db_name&amp;":}ElementAttributes_spp","!","!")</f>
        <v>finance_geus:}ElementAttributes_spp:12642171962122238308</v>
      </c>
    </row>
    <row r="41" spans="2:13" hidden="1" outlineLevel="1" x14ac:dyDescent="0.25">
      <c r="B41" s="3" t="s">
        <v>22</v>
      </c>
      <c r="C41" s="7" t="str">
        <f>IF($L$57="No",$C$42,$C$43)</f>
        <v>{TM1SUBSETALL( [spp] )}</v>
      </c>
      <c r="D41" s="5"/>
    </row>
    <row r="42" spans="2:13" hidden="1" outlineLevel="1" x14ac:dyDescent="0.25">
      <c r="B42" s="3" t="s">
        <v>25</v>
      </c>
      <c r="C42" s="7" t="s">
        <v>47</v>
      </c>
    </row>
    <row r="43" spans="2:13" hidden="1" outlineLevel="1" x14ac:dyDescent="0.25">
      <c r="B43" s="3" t="s">
        <v>26</v>
      </c>
      <c r="C43" s="7" t="str">
        <f ca="1">"{TM1DRILLDOWNMEMBER( {[spp].[" &amp; $L$56 &amp; "]}, ALL, RECURSIVE )}"</f>
        <v>{TM1DRILLDOWNMEMBER( {[spp].[RECALC_0_3018_]}, ALL, RECURSIVE )}</v>
      </c>
    </row>
    <row r="44" spans="2:13" hidden="1" outlineLevel="1" x14ac:dyDescent="0.25"/>
    <row r="45" spans="2:13" hidden="1" outlineLevel="1" x14ac:dyDescent="0.25">
      <c r="J45" s="1" t="s">
        <v>27</v>
      </c>
      <c r="L45" s="2" t="s">
        <v>0</v>
      </c>
      <c r="M45" s="2" t="s">
        <v>1</v>
      </c>
    </row>
    <row r="46" spans="2:13" hidden="1" outlineLevel="1" x14ac:dyDescent="0.25"/>
    <row r="47" spans="2:13" hidden="1" outlineLevel="1" x14ac:dyDescent="0.25"/>
    <row r="48" spans="2:13" ht="39.75" customHeight="1" collapsed="1" x14ac:dyDescent="0.25">
      <c r="I48" s="16"/>
      <c r="J48" s="16"/>
      <c r="K48" s="16"/>
      <c r="L48" s="16"/>
      <c r="M48" s="16" t="s">
        <v>46</v>
      </c>
    </row>
    <row r="49" spans="1:13" ht="4.5" customHeight="1" x14ac:dyDescent="0.25"/>
    <row r="50" spans="1:13" ht="24" customHeight="1" x14ac:dyDescent="0.25">
      <c r="J50" s="1"/>
    </row>
    <row r="51" spans="1:13" ht="1.5" customHeight="1" x14ac:dyDescent="0.25">
      <c r="I51" s="16"/>
      <c r="J51" s="16"/>
      <c r="K51" s="16"/>
      <c r="L51" s="16"/>
      <c r="M51" s="16"/>
    </row>
    <row r="52" spans="1:13" x14ac:dyDescent="0.25">
      <c r="J52" s="24" t="s">
        <v>53</v>
      </c>
      <c r="K52" s="24"/>
      <c r="L52" s="24"/>
      <c r="M52" s="24"/>
    </row>
    <row r="53" spans="1:13" x14ac:dyDescent="0.25">
      <c r="J53" s="24" t="s">
        <v>54</v>
      </c>
      <c r="K53" s="24"/>
      <c r="L53" s="24"/>
      <c r="M53" s="24"/>
    </row>
    <row r="54" spans="1:13" ht="5.0999999999999996" customHeight="1" x14ac:dyDescent="0.25"/>
    <row r="55" spans="1:13" x14ac:dyDescent="0.25">
      <c r="L55" s="9" t="s">
        <v>24</v>
      </c>
    </row>
    <row r="56" spans="1:13" x14ac:dyDescent="0.25">
      <c r="J56" s="8" t="s">
        <v>48</v>
      </c>
      <c r="L56" s="20" t="str">
        <f ca="1">_xll.SUBNM(db_name&amp;":spp","","Total SPP","code and description")</f>
        <v>RECALC_0_3018_</v>
      </c>
    </row>
    <row r="57" spans="1:13" x14ac:dyDescent="0.25">
      <c r="J57" s="8" t="s">
        <v>23</v>
      </c>
      <c r="L57" s="21" t="s">
        <v>51</v>
      </c>
    </row>
    <row r="58" spans="1:13" ht="5.0999999999999996" customHeight="1" x14ac:dyDescent="0.25"/>
    <row r="59" spans="1:13" x14ac:dyDescent="0.25">
      <c r="J59" s="10" t="s">
        <v>50</v>
      </c>
      <c r="L59" s="11" t="s">
        <v>44</v>
      </c>
      <c r="M59" s="11" t="s">
        <v>45</v>
      </c>
    </row>
    <row r="60" spans="1:13" x14ac:dyDescent="0.25">
      <c r="A60" t="e">
        <f ca="1">IF(_xll.TM1RPTELISCONSOLIDATED($J$60,$J60),IF(_xll.TM1RPTELLEV($J$60,$J60)&lt;=3,_xll.TM1RPTELLEV($J$60,$J60),"D"),"N")</f>
        <v>#VALUE!</v>
      </c>
      <c r="J60" s="23" t="str">
        <f ca="1">_xll.TM1RPTROW($C$39,db_name&amp;":spp","","","",0,$C$41)</f>
        <v>pending__sys_Admin - RDS - SPP_20250811022934.xlsm:RDS:TM1RPTDATARNG:1</v>
      </c>
      <c r="L60" s="17" t="e">
        <f ca="1">_xll.DBRW($C$39,$J60,L$45)</f>
        <v>#VALUE!</v>
      </c>
      <c r="M60" s="17" t="e">
        <f ca="1">_xll.DBRW($C$39,$J60,M$45)</f>
        <v>#VALUE!</v>
      </c>
    </row>
  </sheetData>
  <sheetProtection sheet="1" objects="1" scenarios="1"/>
  <mergeCells count="6">
    <mergeCell ref="J53:M53"/>
    <mergeCell ref="B11:D11"/>
    <mergeCell ref="B19:D19"/>
    <mergeCell ref="B38:D38"/>
    <mergeCell ref="B27:D27"/>
    <mergeCell ref="J52:M52"/>
  </mergeCells>
  <dataValidations count="1">
    <dataValidation type="list" allowBlank="1" showInputMessage="1" showErrorMessage="1" sqref="L57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2019-04-08T23:13:27Z</dcterms:created>
  <dcterms:modified xsi:type="dcterms:W3CDTF">2025-08-11T02:59:28Z</dcterms:modified>
</cp:coreProperties>
</file>