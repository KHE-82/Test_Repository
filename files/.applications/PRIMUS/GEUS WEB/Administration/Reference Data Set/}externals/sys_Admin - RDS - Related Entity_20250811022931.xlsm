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CD79325F-C668-4452-87C8-C97E48FAACF5}" xr6:coauthVersionLast="47" xr6:coauthVersionMax="47" xr10:uidLastSave="{00000000-0000-0000-0000-000000000000}"/>
  <bookViews>
    <workbookView xWindow="-120" yWindow="-120" windowWidth="29040" windowHeight="15840" xr2:uid="{7AC5B7A1-C614-4FB4-8672-FADC5619ADB6}"/>
  </bookViews>
  <sheets>
    <sheet name="RDS" sheetId="1" r:id="rId1"/>
  </sheets>
  <definedNames>
    <definedName name="db_name">RDS!$C$12</definedName>
    <definedName name="Freeze_here">RDS!$L$59</definedName>
    <definedName name="psApp">RDS!$C$29</definedName>
    <definedName name="psUser">RDS!$C$14</definedName>
    <definedName name="TM1HomeAdminCAP">RDS!$D$34</definedName>
    <definedName name="TM1HomeAdminRDSCAP">RDS!$D$35</definedName>
    <definedName name="TM1HomeAdminRDSWB">RDS!$F$35</definedName>
    <definedName name="TM1HomeAdminRDSWS">RDS!$H$35</definedName>
    <definedName name="TM1HomeAdminWB">RDS!$F$34</definedName>
    <definedName name="TM1HomeAdminWS">RDS!$H$34</definedName>
    <definedName name="TM1HomeAECAP">RDS!$D$32</definedName>
    <definedName name="TM1HomeAEWB">RDS!$F$32</definedName>
    <definedName name="TM1HomeAEWS">RDS!$H$32</definedName>
    <definedName name="TM1HomeCAP">RDS!$D$31</definedName>
    <definedName name="TM1HomeRepCAP">RDS!$D$33</definedName>
    <definedName name="TM1HomeRepWB">RDS!$F$33</definedName>
    <definedName name="TM1HomeRepWS">RDS!$H$33</definedName>
    <definedName name="TM1HomeWB">RDS!$F$31</definedName>
    <definedName name="TM1HomeWS">RDS!$H$31</definedName>
    <definedName name="TM1REBUILDOPTION">1</definedName>
    <definedName name="TM1RPTDATARNG1" localSheetId="0">RDS!$60:$60</definedName>
    <definedName name="TM1RPTFMTIDCOL" localSheetId="0">RDS!$A$1:$A$8</definedName>
    <definedName name="TM1RPTFMTRNG" localSheetId="0">RDS!$J$1:$O$8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9" i="1" l="1"/>
  <c r="C41" i="1"/>
  <c r="J60" i="1"/>
  <c r="C28" i="1"/>
  <c r="L56" i="1"/>
  <c r="H35" i="1"/>
  <c r="G35" i="1"/>
  <c r="F35" i="1"/>
  <c r="E35" i="1"/>
  <c r="D35" i="1"/>
  <c r="C35" i="1"/>
  <c r="H34" i="1"/>
  <c r="G34" i="1"/>
  <c r="F34" i="1"/>
  <c r="E34" i="1"/>
  <c r="D34" i="1"/>
  <c r="C34" i="1"/>
  <c r="H33" i="1"/>
  <c r="G33" i="1"/>
  <c r="F33" i="1"/>
  <c r="E33" i="1"/>
  <c r="D33" i="1"/>
  <c r="C33" i="1"/>
  <c r="H32" i="1"/>
  <c r="G32" i="1"/>
  <c r="F32" i="1"/>
  <c r="E32" i="1"/>
  <c r="D32" i="1"/>
  <c r="C32" i="1"/>
  <c r="H31" i="1"/>
  <c r="G31" i="1"/>
  <c r="F31" i="1"/>
  <c r="E31" i="1"/>
  <c r="D31" i="1"/>
  <c r="C31" i="1"/>
  <c r="C43" i="1"/>
  <c r="O60" i="1"/>
  <c r="N60" i="1"/>
  <c r="M60" i="1"/>
  <c r="L60" i="1"/>
  <c r="C40" i="1"/>
  <c r="C20" i="1"/>
  <c r="C25" i="1"/>
  <c r="C24" i="1"/>
  <c r="C23" i="1"/>
  <c r="C22" i="1"/>
  <c r="C21" i="1"/>
  <c r="C13" i="1"/>
  <c r="C14" i="1"/>
  <c r="C15" i="1"/>
  <c r="C17" i="1"/>
  <c r="C16" i="1"/>
  <c r="A60" i="1"/>
  <c r="A5" i="1"/>
  <c r="A4" i="1"/>
  <c r="A3" i="1"/>
  <c r="A2" i="1"/>
</calcChain>
</file>

<file path=xl/sharedStrings.xml><?xml version="1.0" encoding="utf-8"?>
<sst xmlns="http://schemas.openxmlformats.org/spreadsheetml/2006/main" count="60" uniqueCount="59">
  <si>
    <t>description</t>
  </si>
  <si>
    <t>code and description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</si>
  <si>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</si>
  <si>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</si>
  <si>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</si>
  <si>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</si>
  <si>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</si>
  <si>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</si>
  <si>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</si>
  <si>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</si>
  <si>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</si>
  <si>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</si>
  <si>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</si>
  <si>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</si>
  <si>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</si>
  <si>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</si>
  <si>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</si>
  <si>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</si>
  <si>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</si>
  <si>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current budget round</t>
  </si>
  <si>
    <t>Active Form</t>
  </si>
  <si>
    <t>Slice</t>
  </si>
  <si>
    <t>Dimension MDX To Use</t>
  </si>
  <si>
    <t>Filter :</t>
  </si>
  <si>
    <t>No</t>
  </si>
  <si>
    <t>REPORT PARAMETERS</t>
  </si>
  <si>
    <t>All MDX</t>
  </si>
  <si>
    <t>Filter MDX</t>
  </si>
  <si>
    <t>Attribute Fields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</si>
  <si>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</si>
  <si>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</si>
  <si>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</si>
  <si>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</si>
  <si>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</si>
  <si>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</si>
  <si>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</si>
  <si>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</si>
  <si>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</si>
  <si>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</si>
  <si>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</si>
  <si>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</si>
  <si>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</si>
  <si>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Administration - RDS</t>
  </si>
  <si>
    <t>=DBR($C$28,$B35,C$30)</t>
  </si>
  <si>
    <t>Application Formula (DO NOT DELETE)</t>
  </si>
  <si>
    <t>Description (ALIAS)</t>
  </si>
  <si>
    <t>Code and Description (ALIAS)</t>
  </si>
  <si>
    <t>{TM1SUBSETALL( [related entity] )}</t>
  </si>
  <si>
    <t>Administration RDS - Related Entity Attributes</t>
  </si>
  <si>
    <t>}ElementAttributes_</t>
  </si>
  <si>
    <t>Related Entity :</t>
  </si>
  <si>
    <t>MA Related entity template</t>
  </si>
  <si>
    <t>MA_Related Entity Template</t>
  </si>
  <si>
    <t>CBMS</t>
  </si>
  <si>
    <t>Related Entity</t>
  </si>
  <si>
    <t>Admin RDS - Related Entity</t>
  </si>
  <si>
    <t>Note : This screen is used to manage the Related Entity attribute cube which is required for GEUS.</t>
  </si>
  <si>
    <t>Note : To search for a single entity, select a Related Entity, Set Filter to Yes and Click Refresh.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</si>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</sst>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- &quot;@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8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2" fillId="0" borderId="0" xfId="0" applyFont="1"/>
    <xf numFmtId="0" fontId="3" fillId="2" borderId="0" xfId="0" applyFont="1" applyFill="1" applyAlignment="1">
      <alignment horizontal="center"/>
    </xf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2" fillId="0" borderId="0" xfId="0" applyFont="1" applyAlignment="1">
      <alignment horizontal="right" indent="1"/>
    </xf>
    <xf numFmtId="0" fontId="1" fillId="4" borderId="4" xfId="0" applyFont="1" applyFill="1" applyBorder="1" applyAlignment="1">
      <alignment horizontal="center" wrapText="1"/>
    </xf>
    <xf numFmtId="0" fontId="1" fillId="5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 wrapText="1"/>
    </xf>
    <xf numFmtId="0" fontId="5" fillId="6" borderId="4" xfId="0" applyFont="1" applyFill="1" applyBorder="1"/>
    <xf numFmtId="0" fontId="5" fillId="0" borderId="4" xfId="0" applyFont="1" applyBorder="1"/>
    <xf numFmtId="0" fontId="0" fillId="6" borderId="4" xfId="0" applyFill="1" applyBorder="1"/>
    <xf numFmtId="0" fontId="0" fillId="6" borderId="4" xfId="0" quotePrefix="1" applyFill="1" applyBorder="1"/>
    <xf numFmtId="0" fontId="6" fillId="5" borderId="0" xfId="0" applyFont="1" applyFill="1" applyAlignment="1">
      <alignment horizontal="right" vertical="center"/>
    </xf>
    <xf numFmtId="0" fontId="5" fillId="6" borderId="4" xfId="0" applyFont="1" applyFill="1" applyBorder="1" applyProtection="1">
      <protection locked="0"/>
    </xf>
    <xf numFmtId="0" fontId="5" fillId="6" borderId="4" xfId="0" applyFont="1" applyFill="1" applyBorder="1" applyAlignment="1" applyProtection="1">
      <alignment horizontal="center"/>
      <protection locked="0"/>
    </xf>
    <xf numFmtId="0" fontId="5" fillId="0" borderId="4" xfId="0" applyFont="1" applyBorder="1" applyProtection="1">
      <protection locked="0"/>
    </xf>
    <xf numFmtId="0" fontId="5" fillId="0" borderId="4" xfId="0" applyFont="1" applyBorder="1" applyAlignment="1" applyProtection="1">
      <alignment horizontal="center"/>
      <protection locked="0"/>
    </xf>
    <xf numFmtId="0" fontId="4" fillId="0" borderId="4" xfId="0" applyFont="1" applyBorder="1" applyProtection="1">
      <protection locked="0"/>
    </xf>
    <xf numFmtId="0" fontId="4" fillId="0" borderId="4" xfId="0" applyFont="1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left" indent="1"/>
      <protection locked="0"/>
    </xf>
    <xf numFmtId="0" fontId="0" fillId="0" borderId="5" xfId="0" applyBorder="1" applyAlignment="1" applyProtection="1">
      <alignment horizontal="left" indent="1"/>
      <protection locked="0"/>
    </xf>
    <xf numFmtId="0" fontId="4" fillId="0" borderId="4" xfId="0" applyFont="1" applyBorder="1"/>
    <xf numFmtId="164" fontId="5" fillId="6" borderId="4" xfId="0" applyNumberFormat="1" applyFont="1" applyFill="1" applyBorder="1"/>
    <xf numFmtId="0" fontId="7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47</xdr:row>
      <xdr:rowOff>19050</xdr:rowOff>
    </xdr:from>
    <xdr:to>
      <xdr:col>11</xdr:col>
      <xdr:colOff>0</xdr:colOff>
      <xdr:row>47</xdr:row>
      <xdr:rowOff>472440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47625</xdr:colOff>
      <xdr:row>49</xdr:row>
      <xdr:rowOff>0</xdr:rowOff>
    </xdr:from>
    <xdr:to>
      <xdr:col>9</xdr:col>
      <xdr:colOff>628650</xdr:colOff>
      <xdr:row>49</xdr:row>
      <xdr:rowOff>247650</xdr:rowOff>
    </xdr:to>
    <xdr:sp macro="Sheet1.ExecuteAction_dc4eeeef_46e8_4bf6_b527_d6f0d7dbdf14" textlink="TM1HomeCAP">
      <xdr:nvSpPr>
        <xdr:cNvPr id="3" name="TM1Button_dc4eeeef_46e8_4bf6_b527_d6f0d7dbdf14">
          <a:extLst>
            <a:ext uri="{FF2B5EF4-FFF2-40B4-BE49-F238E27FC236}">
              <a16:creationId xmlns:a16="http://schemas.microsoft.com/office/drawing/2014/main" id="{CCB29846-6163-20EA-EA3C-6AE63A5D689A}"/>
            </a:ext>
          </a:extLst>
        </xdr:cNvPr>
        <xdr:cNvSpPr txBox="1"/>
      </xdr:nvSpPr>
      <xdr:spPr>
        <a:xfrm>
          <a:off x="476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66FBBC0-0D7D-4BFA-BC7B-5D2C843A83DE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666750</xdr:colOff>
      <xdr:row>49</xdr:row>
      <xdr:rowOff>0</xdr:rowOff>
    </xdr:from>
    <xdr:to>
      <xdr:col>11</xdr:col>
      <xdr:colOff>0</xdr:colOff>
      <xdr:row>49</xdr:row>
      <xdr:rowOff>247650</xdr:rowOff>
    </xdr:to>
    <xdr:sp macro="Sheet1.ExecuteAction_45095571_0bac_4b6e_8eec_d98f8fd900ed" textlink="TM1HomeAdminCAP">
      <xdr:nvSpPr>
        <xdr:cNvPr id="4" name="TM1Button_45095571_0bac_4b6e_8eec_d98f8fd900ed">
          <a:extLst>
            <a:ext uri="{FF2B5EF4-FFF2-40B4-BE49-F238E27FC236}">
              <a16:creationId xmlns:a16="http://schemas.microsoft.com/office/drawing/2014/main" id="{724A3705-6C77-0517-2454-7225D3D07B1F}"/>
            </a:ext>
          </a:extLst>
        </xdr:cNvPr>
        <xdr:cNvSpPr txBox="1"/>
      </xdr:nvSpPr>
      <xdr:spPr>
        <a:xfrm>
          <a:off x="72390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048D364-B995-4FF3-A41E-EA1388ACCEB0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RECALC_0_64_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57150</xdr:colOff>
      <xdr:row>49</xdr:row>
      <xdr:rowOff>0</xdr:rowOff>
    </xdr:from>
    <xdr:to>
      <xdr:col>11</xdr:col>
      <xdr:colOff>1552575</xdr:colOff>
      <xdr:row>49</xdr:row>
      <xdr:rowOff>247650</xdr:rowOff>
    </xdr:to>
    <xdr:sp macro="Sheet1.ExecuteAction_c75c9612_eb01_490c_b1f1_4a15717bdb08" textlink="TM1HomeAdminRDSCAP">
      <xdr:nvSpPr>
        <xdr:cNvPr id="5" name="TM1Button_c75c9612_eb01_490c_b1f1_4a15717bdb08">
          <a:extLst>
            <a:ext uri="{FF2B5EF4-FFF2-40B4-BE49-F238E27FC236}">
              <a16:creationId xmlns:a16="http://schemas.microsoft.com/office/drawing/2014/main" id="{184586A6-82D5-0D7D-38BF-119259DFF007}"/>
            </a:ext>
          </a:extLst>
        </xdr:cNvPr>
        <xdr:cNvSpPr txBox="1"/>
      </xdr:nvSpPr>
      <xdr:spPr>
        <a:xfrm>
          <a:off x="1905000" y="561975"/>
          <a:ext cx="1495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461A132-C619-4029-B422-F6E40BC22BFF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RECALC_0_481_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14</xdr:col>
      <xdr:colOff>657225</xdr:colOff>
      <xdr:row>48</xdr:row>
      <xdr:rowOff>28575</xdr:rowOff>
    </xdr:from>
    <xdr:to>
      <xdr:col>14</xdr:col>
      <xdr:colOff>971550</xdr:colOff>
      <xdr:row>49</xdr:row>
      <xdr:rowOff>285750</xdr:rowOff>
    </xdr:to>
    <xdr:sp macro="Sheet1.ExecuteAction_614406e9_d500_4cf3_8e85_08fcef6a73e5" textlink="">
      <xdr:nvSpPr>
        <xdr:cNvPr id="6" name="TM1Button_614406e9_d500_4cf3_8e85_08fcef6a73e5">
          <a:extLst>
            <a:ext uri="{FF2B5EF4-FFF2-40B4-BE49-F238E27FC236}">
              <a16:creationId xmlns:a16="http://schemas.microsoft.com/office/drawing/2014/main" id="{C0C7DE1A-C6DF-BCBD-582B-92374F1B4AEA}"/>
            </a:ext>
          </a:extLst>
        </xdr:cNvPr>
        <xdr:cNvSpPr txBox="1"/>
      </xdr:nvSpPr>
      <xdr:spPr>
        <a:xfrm>
          <a:off x="11515725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1581150</xdr:colOff>
      <xdr:row>49</xdr:row>
      <xdr:rowOff>0</xdr:rowOff>
    </xdr:from>
    <xdr:to>
      <xdr:col>11</xdr:col>
      <xdr:colOff>2362200</xdr:colOff>
      <xdr:row>49</xdr:row>
      <xdr:rowOff>247650</xdr:rowOff>
    </xdr:to>
    <xdr:sp macro="Sheet1.ExecuteAction_ad9acd4e_cf87_486e_828f_9ab4c4fe1770" textlink="">
      <xdr:nvSpPr>
        <xdr:cNvPr id="7" name="TM1Button_ad9acd4e_cf87_486e_828f_9ab4c4fe1770">
          <a:extLst>
            <a:ext uri="{FF2B5EF4-FFF2-40B4-BE49-F238E27FC236}">
              <a16:creationId xmlns:a16="http://schemas.microsoft.com/office/drawing/2014/main" id="{376A52FF-5A01-DE14-768D-E8979ABEEEDC}"/>
            </a:ext>
          </a:extLst>
        </xdr:cNvPr>
        <xdr:cNvSpPr txBox="1"/>
      </xdr:nvSpPr>
      <xdr:spPr>
        <a:xfrm>
          <a:off x="342900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DBE9D-B011-4FAC-A11E-C7C913D82F1F}">
  <sheetPr codeName="Sheet1">
    <outlinePr showOutlineSymbols="0"/>
  </sheetPr>
  <dimension ref="A1:O60"/>
  <sheetViews>
    <sheetView showGridLines="0" showRowColHeaders="0" tabSelected="1" showOutlineSymbols="0" topLeftCell="A48" workbookViewId="0">
      <pane ySplit="12" topLeftCell="A60" activePane="bottomLeft" state="frozen"/>
      <selection activeCell="I48" sqref="I48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2" width="31.42578125" hidden="1" customWidth="1" outlineLevel="1"/>
    <col min="3" max="8" width="16.140625" hidden="1" customWidth="1" outlineLevel="1"/>
    <col min="9" max="9" width="0.85546875" customWidth="1" collapsed="1"/>
    <col min="10" max="10" width="26" customWidth="1"/>
    <col min="11" max="11" width="0.85546875" customWidth="1"/>
    <col min="12" max="12" width="60.7109375" customWidth="1"/>
    <col min="13" max="13" width="58.7109375" bestFit="1" customWidth="1"/>
    <col min="14" max="14" width="15.7109375" customWidth="1"/>
    <col min="15" max="15" width="14.7109375" customWidth="1"/>
  </cols>
  <sheetData>
    <row r="1" spans="1:15" hidden="1" outlineLevel="1" x14ac:dyDescent="0.25">
      <c r="A1" t="s">
        <v>4</v>
      </c>
    </row>
    <row r="2" spans="1:15" hidden="1" outlineLevel="1" x14ac:dyDescent="0.25">
      <c r="A2">
        <f>0</f>
        <v>0</v>
      </c>
      <c r="J2" s="12"/>
      <c r="L2" s="17"/>
      <c r="M2" s="17"/>
      <c r="N2" s="18"/>
      <c r="O2" s="18"/>
    </row>
    <row r="3" spans="1:15" hidden="1" outlineLevel="1" x14ac:dyDescent="0.25">
      <c r="A3">
        <f>1</f>
        <v>1</v>
      </c>
      <c r="J3" s="13"/>
      <c r="L3" s="19"/>
      <c r="M3" s="19"/>
      <c r="N3" s="20"/>
      <c r="O3" s="20"/>
    </row>
    <row r="4" spans="1:15" hidden="1" outlineLevel="1" x14ac:dyDescent="0.25">
      <c r="A4">
        <f>2</f>
        <v>2</v>
      </c>
      <c r="J4" s="13"/>
      <c r="L4" s="19"/>
      <c r="M4" s="19"/>
      <c r="N4" s="20"/>
      <c r="O4" s="20"/>
    </row>
    <row r="5" spans="1:15" hidden="1" outlineLevel="1" x14ac:dyDescent="0.25">
      <c r="A5">
        <f>3</f>
        <v>3</v>
      </c>
      <c r="J5" s="13"/>
      <c r="L5" s="19"/>
      <c r="M5" s="19"/>
      <c r="N5" s="20"/>
      <c r="O5" s="20"/>
    </row>
    <row r="6" spans="1:15" hidden="1" outlineLevel="1" x14ac:dyDescent="0.25">
      <c r="A6" t="s">
        <v>2</v>
      </c>
      <c r="J6" s="13"/>
      <c r="L6" s="19"/>
      <c r="M6" s="19"/>
      <c r="N6" s="20"/>
      <c r="O6" s="20"/>
    </row>
    <row r="7" spans="1:15" hidden="1" outlineLevel="1" x14ac:dyDescent="0.25">
      <c r="A7" t="s">
        <v>3</v>
      </c>
      <c r="J7" s="25"/>
      <c r="L7" s="21"/>
      <c r="M7" s="21"/>
      <c r="N7" s="22"/>
      <c r="O7" s="22"/>
    </row>
    <row r="8" spans="1:15" hidden="1" outlineLevel="1" x14ac:dyDescent="0.25">
      <c r="A8" t="s">
        <v>5</v>
      </c>
    </row>
    <row r="9" spans="1:15" hidden="1" outlineLevel="1" x14ac:dyDescent="0.25"/>
    <row r="10" spans="1:15" hidden="1" outlineLevel="1" x14ac:dyDescent="0.25"/>
    <row r="11" spans="1:15" hidden="1" outlineLevel="1" x14ac:dyDescent="0.25">
      <c r="B11" s="28" t="s">
        <v>6</v>
      </c>
      <c r="C11" s="29"/>
      <c r="D11" s="30"/>
    </row>
    <row r="12" spans="1:15" hidden="1" outlineLevel="1" x14ac:dyDescent="0.25">
      <c r="B12" s="3" t="s">
        <v>7</v>
      </c>
      <c r="C12" s="4" t="s">
        <v>58</v>
      </c>
      <c r="D12" s="5"/>
    </row>
    <row r="13" spans="1:15" hidden="1" outlineLevel="1" x14ac:dyDescent="0.25">
      <c r="B13" s="3" t="s">
        <v>8</v>
      </c>
      <c r="C13" s="6" t="str">
        <f>_xll.VIEW(db_name&amp;":}ElementAttributes_}Clients","!","!")</f>
        <v>finance_geus:}ElementAttributes_}Clients:1264217196-986649401</v>
      </c>
      <c r="D13" s="5"/>
    </row>
    <row r="14" spans="1:15" hidden="1" outlineLevel="1" x14ac:dyDescent="0.25">
      <c r="B14" s="3" t="s">
        <v>9</v>
      </c>
      <c r="C14" s="4" t="str">
        <f ca="1">_xll.TM1USER(db_name)</f>
        <v>RECALC_0_100_</v>
      </c>
      <c r="D14" s="5"/>
    </row>
    <row r="15" spans="1:15" hidden="1" outlineLevel="1" x14ac:dyDescent="0.25">
      <c r="B15" s="3" t="s">
        <v>10</v>
      </c>
      <c r="C15" s="4" t="str">
        <f ca="1">_xll.DBR($C$13,$C$14,$B15)</f>
        <v>RECALC_1_101_</v>
      </c>
      <c r="D15" s="5"/>
    </row>
    <row r="16" spans="1:15" hidden="1" outlineLevel="1" x14ac:dyDescent="0.25">
      <c r="B16" s="3" t="s">
        <v>11</v>
      </c>
      <c r="C16" s="4" t="str">
        <f ca="1">_xll.DBR($C$13,$C$14,$B16)</f>
        <v>RECALC_1_232_</v>
      </c>
      <c r="D16" s="5"/>
    </row>
    <row r="17" spans="2:8" hidden="1" outlineLevel="1" x14ac:dyDescent="0.25">
      <c r="B17" s="3" t="s">
        <v>12</v>
      </c>
      <c r="C17" s="4" t="str">
        <f ca="1">IF(LEFT($C$15,6)="CAM_AD",$C$16,$C$15)</f>
        <v>RECALC_1_101_</v>
      </c>
      <c r="D17" s="7"/>
    </row>
    <row r="18" spans="2:8" hidden="1" outlineLevel="1" x14ac:dyDescent="0.25"/>
    <row r="19" spans="2:8" hidden="1" outlineLevel="1" x14ac:dyDescent="0.25">
      <c r="B19" s="28" t="s">
        <v>13</v>
      </c>
      <c r="C19" s="29"/>
      <c r="D19" s="30"/>
    </row>
    <row r="20" spans="2:8" hidden="1" outlineLevel="1" x14ac:dyDescent="0.25">
      <c r="B20" s="3" t="s">
        <v>14</v>
      </c>
      <c r="C20" s="7" t="str">
        <f>_xll.VIEW(db_name&amp;":}ElementAttributes_variables","!","!")</f>
        <v>finance_geus:}ElementAttributes_variables:1264217196-385569766</v>
      </c>
      <c r="D20" s="7"/>
    </row>
    <row r="21" spans="2:8" hidden="1" outlineLevel="1" x14ac:dyDescent="0.25">
      <c r="B21" s="3" t="s">
        <v>15</v>
      </c>
      <c r="C21" s="7" t="str">
        <f ca="1">_xll.DBR($C$20,$B21,"value")</f>
        <v>RECALC_0_231_</v>
      </c>
      <c r="D21" s="7"/>
    </row>
    <row r="22" spans="2:8" hidden="1" outlineLevel="1" x14ac:dyDescent="0.25">
      <c r="B22" s="3" t="s">
        <v>16</v>
      </c>
      <c r="C22" s="7" t="str">
        <f ca="1">_xll.DBR($C$20,$B22,"value")</f>
        <v>RECALC_0_230_</v>
      </c>
      <c r="D22" s="7"/>
    </row>
    <row r="23" spans="2:8" hidden="1" outlineLevel="1" x14ac:dyDescent="0.25">
      <c r="B23" s="3" t="s">
        <v>17</v>
      </c>
      <c r="C23" s="7" t="str">
        <f ca="1">_xll.DBR($C$20,$B23,"value")</f>
        <v>RECALC_0_484_</v>
      </c>
      <c r="D23" s="7"/>
    </row>
    <row r="24" spans="2:8" hidden="1" outlineLevel="1" x14ac:dyDescent="0.25">
      <c r="B24" s="3" t="s">
        <v>18</v>
      </c>
      <c r="C24" s="7" t="str">
        <f ca="1">_xll.DBR($C$20,$B24,"value")</f>
        <v>RECALC_0_483_</v>
      </c>
      <c r="D24" s="7"/>
    </row>
    <row r="25" spans="2:8" hidden="1" outlineLevel="1" x14ac:dyDescent="0.25">
      <c r="B25" s="3" t="s">
        <v>19</v>
      </c>
      <c r="C25" s="7" t="str">
        <f ca="1">_xll.DBR($C$20,$B25,"value")</f>
        <v>RECALC_0_262_</v>
      </c>
      <c r="D25" s="7"/>
    </row>
    <row r="26" spans="2:8" hidden="1" outlineLevel="1" x14ac:dyDescent="0.25"/>
    <row r="27" spans="2:8" hidden="1" outlineLevel="1" x14ac:dyDescent="0.25">
      <c r="B27" s="28" t="s">
        <v>29</v>
      </c>
      <c r="C27" s="29"/>
      <c r="D27" s="30"/>
    </row>
    <row r="28" spans="2:8" hidden="1" outlineLevel="1" x14ac:dyDescent="0.25">
      <c r="B28" s="3" t="s">
        <v>30</v>
      </c>
      <c r="C28" s="7" t="str">
        <f>_xll.VIEW(db_name&amp;":sys_application","!","!")</f>
        <v>finance_geus:sys_application:1264217196-1441007000</v>
      </c>
      <c r="D28" s="7"/>
    </row>
    <row r="29" spans="2:8" hidden="1" outlineLevel="1" x14ac:dyDescent="0.25">
      <c r="B29" s="3" t="s">
        <v>31</v>
      </c>
      <c r="C29" t="s">
        <v>55</v>
      </c>
      <c r="D29" s="7"/>
    </row>
    <row r="30" spans="2:8" hidden="1" outlineLevel="1" x14ac:dyDescent="0.25">
      <c r="B30" s="7"/>
      <c r="C30" s="3" t="s">
        <v>32</v>
      </c>
      <c r="D30" s="3" t="s">
        <v>33</v>
      </c>
      <c r="E30" s="3" t="s">
        <v>34</v>
      </c>
      <c r="F30" s="3" t="s">
        <v>35</v>
      </c>
      <c r="G30" s="3" t="s">
        <v>36</v>
      </c>
      <c r="H30" s="3" t="s">
        <v>37</v>
      </c>
    </row>
    <row r="31" spans="2:8" hidden="1" outlineLevel="1" x14ac:dyDescent="0.25">
      <c r="B31" s="7" t="s">
        <v>38</v>
      </c>
      <c r="C31" s="7" t="str">
        <f ca="1">_xll.DBR($C$28,$B31,C$30)</f>
        <v>RECALC_0_83_</v>
      </c>
      <c r="D31" s="7" t="str">
        <f ca="1">_xll.DBR($C$28,$B31,D$30)</f>
        <v>RECALC_0_82_</v>
      </c>
      <c r="E31" s="7" t="str">
        <f ca="1">_xll.DBR($C$28,$B31,E$30)</f>
        <v>RECALC_0_81_</v>
      </c>
      <c r="F31" s="7" t="str">
        <f ca="1">_xll.DBR($C$28,$B31,F$30)</f>
        <v>RECALC_0_80_</v>
      </c>
      <c r="G31" s="7" t="str">
        <f ca="1">_xll.DBR($C$28,$B31,G$30)</f>
        <v>RECALC_0_79_</v>
      </c>
      <c r="H31" s="7" t="str">
        <f ca="1">_xll.DBR($C$28,$B31,H$30)</f>
        <v>RECALC_0_78_</v>
      </c>
    </row>
    <row r="32" spans="2:8" hidden="1" outlineLevel="1" x14ac:dyDescent="0.25">
      <c r="B32" s="7" t="s">
        <v>39</v>
      </c>
      <c r="C32" s="7" t="str">
        <f ca="1">_xll.DBR($C$28,$B32,C$30)</f>
        <v>RECALC_0_77_</v>
      </c>
      <c r="D32" s="7" t="str">
        <f ca="1">_xll.DBR($C$28,$B32,D$30)</f>
        <v>RECALC_0_76_</v>
      </c>
      <c r="E32" s="7" t="str">
        <f ca="1">_xll.DBR($C$28,$B32,E$30)</f>
        <v>RECALC_0_75_</v>
      </c>
      <c r="F32" s="7" t="str">
        <f ca="1">_xll.DBR($C$28,$B32,F$30)</f>
        <v>RECALC_0_74_</v>
      </c>
      <c r="G32" s="7" t="str">
        <f ca="1">_xll.DBR($C$28,$B32,G$30)</f>
        <v>RECALC_0_73_</v>
      </c>
      <c r="H32" s="7" t="str">
        <f ca="1">_xll.DBR($C$28,$B32,H$30)</f>
        <v>RECALC_0_72_</v>
      </c>
    </row>
    <row r="33" spans="2:15" hidden="1" outlineLevel="1" x14ac:dyDescent="0.25">
      <c r="B33" s="7" t="s">
        <v>40</v>
      </c>
      <c r="C33" s="7" t="str">
        <f ca="1">_xll.DBR($C$28,$B33,C$30)</f>
        <v>RECALC_0_71_</v>
      </c>
      <c r="D33" s="7" t="str">
        <f ca="1">_xll.DBR($C$28,$B33,D$30)</f>
        <v>RECALC_0_70_</v>
      </c>
      <c r="E33" s="7" t="str">
        <f ca="1">_xll.DBR($C$28,$B33,E$30)</f>
        <v>RECALC_0_69_</v>
      </c>
      <c r="F33" s="7" t="str">
        <f ca="1">_xll.DBR($C$28,$B33,F$30)</f>
        <v>RECALC_0_68_</v>
      </c>
      <c r="G33" s="7" t="str">
        <f ca="1">_xll.DBR($C$28,$B33,G$30)</f>
        <v>RECALC_0_67_</v>
      </c>
      <c r="H33" s="7" t="str">
        <f ca="1">_xll.DBR($C$28,$B33,H$30)</f>
        <v>RECALC_0_66_</v>
      </c>
    </row>
    <row r="34" spans="2:15" hidden="1" outlineLevel="1" x14ac:dyDescent="0.25">
      <c r="B34" s="7" t="s">
        <v>41</v>
      </c>
      <c r="C34" s="7" t="str">
        <f ca="1">_xll.DBR($C$28,$B34,C$30)</f>
        <v>RECALC_0_65_</v>
      </c>
      <c r="D34" s="7" t="str">
        <f ca="1">_xll.DBR($C$28,$B34,D$30)</f>
        <v>RECALC_0_64_</v>
      </c>
      <c r="E34" s="7" t="str">
        <f ca="1">_xll.DBR($C$28,$B34,E$30)</f>
        <v>RECALC_0_63_</v>
      </c>
      <c r="F34" s="7" t="str">
        <f ca="1">_xll.DBR($C$28,$B34,F$30)</f>
        <v>RECALC_0_62_</v>
      </c>
      <c r="G34" s="7" t="str">
        <f ca="1">_xll.DBR($C$28,$B34,G$30)</f>
        <v>RECALC_0_61_</v>
      </c>
      <c r="H34" s="7" t="str">
        <f ca="1">_xll.DBR($C$28,$B34,H$30)</f>
        <v>RECALC_0_60_</v>
      </c>
    </row>
    <row r="35" spans="2:15" hidden="1" outlineLevel="1" x14ac:dyDescent="0.25">
      <c r="B35" s="7" t="s">
        <v>42</v>
      </c>
      <c r="C35" s="7" t="str">
        <f ca="1">_xll.DBR($C$28,$B35,C$30)</f>
        <v>RECALC_0_482_</v>
      </c>
      <c r="D35" s="7" t="str">
        <f ca="1">_xll.DBR($C$28,$B35,D$30)</f>
        <v>RECALC_0_481_</v>
      </c>
      <c r="E35" s="7" t="str">
        <f ca="1">_xll.DBR($C$28,$B35,E$30)</f>
        <v>RECALC_0_480_</v>
      </c>
      <c r="F35" s="7" t="str">
        <f ca="1">_xll.DBR($C$28,$B35,F$30)</f>
        <v>RECALC_0_479_</v>
      </c>
      <c r="G35" s="7" t="str">
        <f ca="1">_xll.DBR($C$28,$B35,G$30)</f>
        <v>RECALC_0_478_</v>
      </c>
      <c r="H35" s="7" t="str">
        <f ca="1">_xll.DBR($C$28,$B35,H$30)</f>
        <v>RECALC_0_477_</v>
      </c>
    </row>
    <row r="36" spans="2:15" hidden="1" outlineLevel="1" x14ac:dyDescent="0.25">
      <c r="B36" s="14" t="s">
        <v>44</v>
      </c>
      <c r="C36" s="15" t="s">
        <v>43</v>
      </c>
    </row>
    <row r="37" spans="2:15" ht="17.25" hidden="1" customHeight="1" outlineLevel="1" x14ac:dyDescent="0.25"/>
    <row r="38" spans="2:15" hidden="1" outlineLevel="1" x14ac:dyDescent="0.25">
      <c r="B38" s="28" t="s">
        <v>49</v>
      </c>
      <c r="C38" s="29"/>
      <c r="D38" s="30"/>
    </row>
    <row r="39" spans="2:15" hidden="1" outlineLevel="1" x14ac:dyDescent="0.25">
      <c r="B39" s="3" t="s">
        <v>20</v>
      </c>
      <c r="C39" s="7" t="str">
        <f>_xll.TM1RPTVIEW(db_name&amp;":}ElementAttributes_related entity:1", 0,TM1RPTFMTRNG,TM1RPTFMTIDCOL)</f>
        <v>finance_geus:}ElementAttributes_related entity:1</v>
      </c>
    </row>
    <row r="40" spans="2:15" hidden="1" outlineLevel="1" x14ac:dyDescent="0.25">
      <c r="B40" s="3" t="s">
        <v>21</v>
      </c>
      <c r="C40" s="7" t="str">
        <f>_xll.VIEW(db_name&amp;":}ElementAttributes_related entity","!","!")</f>
        <v>finance_geus:}ElementAttributes_related entity:1264217196-968928618</v>
      </c>
    </row>
    <row r="41" spans="2:15" hidden="1" outlineLevel="1" x14ac:dyDescent="0.25">
      <c r="B41" s="3" t="s">
        <v>22</v>
      </c>
      <c r="C41" s="7" t="str">
        <f>IF($L$57="No",$C$42,$C$43)</f>
        <v>{TM1SUBSETALL( [related entity] )}</v>
      </c>
      <c r="D41" s="5"/>
    </row>
    <row r="42" spans="2:15" hidden="1" outlineLevel="1" x14ac:dyDescent="0.25">
      <c r="B42" s="3" t="s">
        <v>26</v>
      </c>
      <c r="C42" s="7" t="s">
        <v>47</v>
      </c>
    </row>
    <row r="43" spans="2:15" hidden="1" outlineLevel="1" x14ac:dyDescent="0.25">
      <c r="B43" s="3" t="s">
        <v>27</v>
      </c>
      <c r="C43" s="7" t="str">
        <f ca="1">"{TM1DRILLDOWNMEMBER( {[related entity].[" &amp; $L$56 &amp; "]}, ALL, RECURSIVE )}"</f>
        <v>{TM1DRILLDOWNMEMBER( {[related entity].[RECALC_0_2446_]}, ALL, RECURSIVE )}</v>
      </c>
    </row>
    <row r="44" spans="2:15" hidden="1" outlineLevel="1" x14ac:dyDescent="0.25"/>
    <row r="45" spans="2:15" hidden="1" outlineLevel="1" x14ac:dyDescent="0.25">
      <c r="J45" s="1" t="s">
        <v>28</v>
      </c>
      <c r="L45" s="2" t="s">
        <v>0</v>
      </c>
      <c r="M45" s="2" t="s">
        <v>1</v>
      </c>
      <c r="N45" s="2" t="s">
        <v>52</v>
      </c>
      <c r="O45" s="2" t="s">
        <v>53</v>
      </c>
    </row>
    <row r="46" spans="2:15" hidden="1" outlineLevel="1" x14ac:dyDescent="0.25"/>
    <row r="47" spans="2:15" hidden="1" outlineLevel="1" x14ac:dyDescent="0.25"/>
    <row r="48" spans="2:15" ht="39.75" customHeight="1" collapsed="1" x14ac:dyDescent="0.25">
      <c r="I48" s="16"/>
      <c r="J48" s="16"/>
      <c r="K48" s="16"/>
      <c r="L48" s="16"/>
      <c r="M48" s="16"/>
      <c r="N48" s="16"/>
      <c r="O48" s="16" t="s">
        <v>48</v>
      </c>
    </row>
    <row r="49" spans="1:15" ht="4.5" customHeight="1" x14ac:dyDescent="0.25"/>
    <row r="50" spans="1:15" ht="24" customHeight="1" x14ac:dyDescent="0.25">
      <c r="J50" s="1"/>
    </row>
    <row r="51" spans="1:15" ht="1.5" customHeight="1" x14ac:dyDescent="0.25">
      <c r="I51" s="16"/>
      <c r="J51" s="16"/>
      <c r="K51" s="16"/>
      <c r="L51" s="16"/>
      <c r="M51" s="16"/>
      <c r="N51" s="16"/>
      <c r="O51" s="16"/>
    </row>
    <row r="52" spans="1:15" x14ac:dyDescent="0.25">
      <c r="J52" s="27" t="s">
        <v>56</v>
      </c>
      <c r="K52" s="27"/>
      <c r="L52" s="27"/>
      <c r="M52" s="27"/>
    </row>
    <row r="53" spans="1:15" x14ac:dyDescent="0.25">
      <c r="J53" s="27" t="s">
        <v>57</v>
      </c>
      <c r="K53" s="27"/>
      <c r="L53" s="27"/>
      <c r="M53" s="27"/>
    </row>
    <row r="54" spans="1:15" ht="5.0999999999999996" customHeight="1" x14ac:dyDescent="0.25"/>
    <row r="55" spans="1:15" x14ac:dyDescent="0.25">
      <c r="L55" s="9" t="s">
        <v>25</v>
      </c>
    </row>
    <row r="56" spans="1:15" x14ac:dyDescent="0.25">
      <c r="J56" s="8" t="s">
        <v>50</v>
      </c>
      <c r="L56" s="23" t="str">
        <f ca="1">_xll.SUBNM(db_name&amp;":related entity","","Total related entity","code and description")</f>
        <v>RECALC_0_2446_</v>
      </c>
    </row>
    <row r="57" spans="1:15" x14ac:dyDescent="0.25">
      <c r="J57" s="8" t="s">
        <v>23</v>
      </c>
      <c r="L57" s="24" t="s">
        <v>24</v>
      </c>
    </row>
    <row r="58" spans="1:15" ht="5.0999999999999996" customHeight="1" x14ac:dyDescent="0.25"/>
    <row r="59" spans="1:15" ht="30" x14ac:dyDescent="0.25">
      <c r="J59" s="10" t="s">
        <v>54</v>
      </c>
      <c r="L59" s="11" t="s">
        <v>45</v>
      </c>
      <c r="M59" s="11" t="s">
        <v>46</v>
      </c>
      <c r="N59" s="11" t="s">
        <v>51</v>
      </c>
      <c r="O59" s="11" t="s">
        <v>53</v>
      </c>
    </row>
    <row r="60" spans="1:15" x14ac:dyDescent="0.25">
      <c r="A60" t="e">
        <f ca="1">IF(_xll.TM1RPTELISCONSOLIDATED($J$60,$J60),IF(_xll.TM1RPTELLEV($J$60,$J60)&lt;=3,_xll.TM1RPTELLEV($J$60,$J60),"D"),"N")</f>
        <v>#VALUE!</v>
      </c>
      <c r="J60" s="26" t="str">
        <f ca="1">_xll.TM1RPTROW($C$39,db_name&amp;":related entity","","","",0,$C$41)</f>
        <v>pending__sys_Admin - RDS - Related Entity_20250811022931.xlsm:RDS:TM1RPTDATARNG:1</v>
      </c>
      <c r="L60" s="17" t="e">
        <f ca="1">_xll.DBRW($C$39,$J60,L$45)</f>
        <v>#VALUE!</v>
      </c>
      <c r="M60" s="17" t="e">
        <f ca="1">_xll.DBRW($C$39,$J60,M$45)</f>
        <v>#VALUE!</v>
      </c>
      <c r="N60" s="18" t="e">
        <f ca="1">_xll.DBRW($C$39,$J60,N$45)</f>
        <v>#VALUE!</v>
      </c>
      <c r="O60" s="18" t="e">
        <f ca="1">_xll.DBRW($C$39,$J60,O$45)</f>
        <v>#VALUE!</v>
      </c>
    </row>
  </sheetData>
  <sheetProtection sheet="1" objects="1" scenarios="1"/>
  <mergeCells count="6">
    <mergeCell ref="J53:M53"/>
    <mergeCell ref="B11:D11"/>
    <mergeCell ref="B19:D19"/>
    <mergeCell ref="B38:D38"/>
    <mergeCell ref="B27:D27"/>
    <mergeCell ref="J52:M52"/>
  </mergeCells>
  <dataValidations count="1">
    <dataValidation type="list" allowBlank="1" showInputMessage="1" showErrorMessage="1" sqref="L57" xr:uid="{FAA0BFAE-9788-4D75-B3EC-011198533F1C}">
      <formula1>"Yes,No"</formula1>
    </dataValidation>
  </dataValidations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22</vt:i4>
      </vt:variant>
    </vt:vector>
  </HeadingPairs>
  <TitlesOfParts>
    <vt:vector size="23" baseType="lpstr">
      <vt:lpstr>RDS</vt:lpstr>
      <vt:lpstr>db_name</vt:lpstr>
      <vt:lpstr>Freeze_here</vt:lpstr>
      <vt:lpstr>psApp</vt:lpstr>
      <vt:lpstr>psUser</vt:lpstr>
      <vt:lpstr>TM1HomeAdminCAP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TM1HomeWB</vt:lpstr>
      <vt:lpstr>TM1HomeWS</vt:lpstr>
      <vt:lpstr>RDS!TM1RPTDATARNG1</vt:lpstr>
      <vt:lpstr>RDS!TM1RPTFMTIDCOL</vt:lpstr>
      <vt:lpstr>RDS!TM1RPTFMTRNG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2019-04-08T23:13:27Z</dcterms:created>
  <dcterms:modified xsi:type="dcterms:W3CDTF">2025-08-11T02:59:27Z</dcterms:modified>
</cp:coreProperties>
</file>