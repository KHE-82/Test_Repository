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2BB5BFD-72D1-4424-B7DE-435FD14FE3BA}" xr6:coauthVersionLast="47" xr6:coauthVersionMax="47" xr10:uidLastSave="{00000000-0000-0000-0000-000000000000}"/>
  <bookViews>
    <workbookView xWindow="-120" yWindow="-120" windowWidth="29040" windowHeight="15840" xr2:uid="{83410147-1F76-40A2-B161-B5614181CB11}"/>
  </bookViews>
  <sheets>
    <sheet name="meas upload costings" sheetId="1" r:id="rId1"/>
    <sheet name="{PL}PickLst" sheetId="2" state="hidden" r:id="rId2"/>
  </sheets>
  <definedNames>
    <definedName name="db_name">'meas upload costings'!$B$2</definedName>
    <definedName name="psApp">'meas upload costings'!$B$29</definedName>
    <definedName name="psFFType">'meas upload costings'!$B$55</definedName>
    <definedName name="psFileName">'meas upload costings'!$M$73</definedName>
    <definedName name="psHLYear">'meas upload costings'!$B$46</definedName>
    <definedName name="psScenario">'meas upload costings'!$B$47</definedName>
    <definedName name="psSign">'meas upload costings'!#REF!</definedName>
    <definedName name="psUser">'meas upload costings'!$B$4</definedName>
    <definedName name="TM1AdjIDListCAP">'meas upload costings'!#REF!</definedName>
    <definedName name="TM1AdjIDListWB">'meas upload costings'!#REF!</definedName>
    <definedName name="TM1AdjIDListWS">'meas upload costings'!#REF!</definedName>
    <definedName name="TM1HomeAECAP">'meas upload costings'!$C$32</definedName>
    <definedName name="TM1HomeAEDataEntryCAP">'meas upload costings'!$C$33</definedName>
    <definedName name="TM1HomeAEDataEntryWB">'meas upload costings'!$E$33</definedName>
    <definedName name="TM1HomeAEDataEntryWS">'meas upload costings'!$G$33</definedName>
    <definedName name="TM1HomeAEMeasuresCAP">'meas upload costings'!$C$34</definedName>
    <definedName name="TM1HomeAEMeasuresWB">'meas upload costings'!$E$34</definedName>
    <definedName name="TM1HomeAEMeasuresWS">'meas upload costings'!$G$34</definedName>
    <definedName name="TM1HomeAEWB">'meas upload costings'!$E$32</definedName>
    <definedName name="TM1HomeAEWS">'meas upload costings'!$G$32</definedName>
    <definedName name="TM1HomeCAP">'meas upload costings'!$C$31</definedName>
    <definedName name="TM1HomeWB">'meas upload costings'!$E$31</definedName>
    <definedName name="TM1HomeWS">'meas upload costings'!$G$31</definedName>
    <definedName name="TM1MeasBulkCAP">'meas upload costings'!$C$36</definedName>
    <definedName name="TM1MeasBulkWB">'meas upload costings'!$E$36</definedName>
    <definedName name="TM1MeasBulkWS">'meas upload costings'!$G$36</definedName>
    <definedName name="TM1MeasListCAP">'meas upload costings'!$C$35</definedName>
    <definedName name="TM1MeasListWB">'meas upload costings'!$E$35</definedName>
    <definedName name="TM1MeasListWS">'meas upload costings'!$G$35</definedName>
    <definedName name="TM1MeasUploadCAP">'meas upload costings'!$C$37</definedName>
    <definedName name="TM1MeasUploadCostingsCAP">'meas upload costings'!$C$39</definedName>
    <definedName name="TM1MeasUploadCostingsWB">'meas upload costings'!$E$39</definedName>
    <definedName name="TM1MeasUploadCostingsWS">'meas upload costings'!$G$39</definedName>
    <definedName name="TM1MeasUploadCostTempCAP">'meas upload costings'!$C$40</definedName>
    <definedName name="TM1MeasUploadCostTempWB">'meas upload costings'!$E$40</definedName>
    <definedName name="TM1MeasUploadCostTempWS">'meas upload costings'!$G$40</definedName>
    <definedName name="TM1MeasUploadTempCAP">'meas upload costings'!$C$38</definedName>
    <definedName name="TM1MeasUploadTempWB">'meas upload costings'!$E$38</definedName>
    <definedName name="TM1MeasUploadTempWS">'meas upload costings'!$G$38</definedName>
    <definedName name="TM1MeasUploadWB">'meas upload costings'!$E$37</definedName>
    <definedName name="TM1MeasUploadWS">'meas upload costings'!$G$37</definedName>
    <definedName name="TM1NewAdj02DataEntryCAP">'meas upload costings'!#REF!</definedName>
    <definedName name="TM1NewAdj02DataEntryWB">'meas upload costings'!#REF!</definedName>
    <definedName name="TM1NewAdj02DataEntryWS">'meas upload costings'!#REF!</definedName>
    <definedName name="TM1NewAdj03AuthCAP">'meas upload costings'!#REF!</definedName>
    <definedName name="TM1NewAdj03AuthWB">'meas upload costings'!#REF!</definedName>
    <definedName name="TM1NewAdj03AuthWS">'meas upload costings'!#REF!</definedName>
    <definedName name="TM1NewAdj99ValidCAP">'meas upload costings'!#REF!</definedName>
    <definedName name="TM1NewAdj99ValidWB">'meas upload costings'!#REF!</definedName>
    <definedName name="TM1NewAdj99ValidWS">'meas upload costings'!#REF!</definedName>
    <definedName name="TM1UploadAB_Confirm">'meas upload costings'!$B$54</definedName>
    <definedName name="TM1UploadAB_Fail">'meas upload costings'!$B$53</definedName>
    <definedName name="TM1UploadAB_Success">'meas upload costings'!$B$52</definedName>
    <definedName name="TM1UploadTempCAP">'meas upload costings'!#REF!</definedName>
    <definedName name="TM1UploadTempWB">'meas upload costings'!#REF!</definedName>
    <definedName name="TM1UploadTempWS">'meas upload costings'!#REF!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" l="1"/>
  <c r="G40" i="1"/>
  <c r="F40" i="1"/>
  <c r="E40" i="1"/>
  <c r="D40" i="1"/>
  <c r="C40" i="1"/>
  <c r="B40" i="1"/>
  <c r="G39" i="1"/>
  <c r="F39" i="1"/>
  <c r="E39" i="1"/>
  <c r="D39" i="1"/>
  <c r="C39" i="1"/>
  <c r="B39" i="1"/>
  <c r="G38" i="1"/>
  <c r="F38" i="1"/>
  <c r="E38" i="1"/>
  <c r="D38" i="1"/>
  <c r="C38" i="1"/>
  <c r="B38" i="1"/>
  <c r="G37" i="1"/>
  <c r="F37" i="1"/>
  <c r="E37" i="1"/>
  <c r="D37" i="1"/>
  <c r="C37" i="1"/>
  <c r="B37" i="1"/>
  <c r="G36" i="1"/>
  <c r="F36" i="1"/>
  <c r="E36" i="1"/>
  <c r="D36" i="1"/>
  <c r="C36" i="1"/>
  <c r="B36" i="1"/>
  <c r="G35" i="1"/>
  <c r="F35" i="1"/>
  <c r="E35" i="1"/>
  <c r="D35" i="1"/>
  <c r="C35" i="1"/>
  <c r="B35" i="1"/>
  <c r="G34" i="1"/>
  <c r="F34" i="1"/>
  <c r="E34" i="1"/>
  <c r="D34" i="1"/>
  <c r="C34" i="1"/>
  <c r="B34" i="1"/>
  <c r="B43" i="1"/>
  <c r="B4" i="1"/>
  <c r="B49" i="1"/>
  <c r="M75" i="1"/>
  <c r="B10" i="1"/>
  <c r="B15" i="1"/>
  <c r="M71" i="1"/>
  <c r="B19" i="1"/>
  <c r="B21" i="1"/>
  <c r="B11" i="1"/>
  <c r="B13" i="1"/>
  <c r="B25" i="1"/>
  <c r="B22" i="1"/>
  <c r="B14" i="1"/>
  <c r="M82" i="1"/>
  <c r="M81" i="1"/>
  <c r="M80" i="1"/>
  <c r="B45" i="1"/>
  <c r="B3" i="1"/>
  <c r="B5" i="1"/>
  <c r="B6" i="1"/>
  <c r="B46" i="1"/>
  <c r="B47" i="1"/>
  <c r="B48" i="1"/>
  <c r="C49" i="1"/>
  <c r="C48" i="1"/>
  <c r="C47" i="1"/>
  <c r="C46" i="1"/>
  <c r="G33" i="1"/>
  <c r="F33" i="1"/>
  <c r="E33" i="1"/>
  <c r="D33" i="1"/>
  <c r="C33" i="1"/>
  <c r="B33" i="1"/>
  <c r="G32" i="1"/>
  <c r="F32" i="1"/>
  <c r="E32" i="1"/>
  <c r="D32" i="1"/>
  <c r="C32" i="1"/>
  <c r="B32" i="1"/>
  <c r="G31" i="1"/>
  <c r="F31" i="1"/>
  <c r="E31" i="1"/>
  <c r="D31" i="1"/>
  <c r="C31" i="1"/>
  <c r="B31" i="1"/>
  <c r="B12" i="1"/>
  <c r="B7" i="1"/>
</calcChain>
</file>

<file path=xl/sharedStrings.xml><?xml version="1.0" encoding="utf-8"?>
<sst xmlns="http://schemas.openxmlformats.org/spreadsheetml/2006/main" count="82" uniqueCount="79">
  <si>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</si>
  <si>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</si>
  <si>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</si>
  <si>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</si>
  <si>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</si>
  <si>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</si>
  <si>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</si>
  <si>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</si>
  <si>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</si>
  <si>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</si>
  <si>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</si>
  <si>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</si>
  <si>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</si>
  <si>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</si>
  <si>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</si>
  <si>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</si>
  <si>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</si>
  <si>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</si>
  <si>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</si>
  <si>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</si>
  <si>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</si>
  <si>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</si>
  <si>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</si>
  <si>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</si>
  <si>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</si>
  <si>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</si>
  <si>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</si>
  <si>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</si>
  <si>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</si>
  <si>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</si>
  <si>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</si>
  <si>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</si>
  <si>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</si>
  <si>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</si>
  <si>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</si>
  <si>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</si>
  <si>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</si>
  <si>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</si>
  <si>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flatfile upload.csv</t>
  </si>
  <si>
    <t>Data Upload Directory :</t>
  </si>
  <si>
    <t>Upload Validation :</t>
  </si>
  <si>
    <t>Note :</t>
  </si>
  <si>
    <t>The upload process will put you in a queue and may take a few moments to complete.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</si>
  <si>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</si>
  <si>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</si>
  <si>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</si>
  <si>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</si>
  <si>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save location</t>
  </si>
  <si>
    <t>sys_upload directory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</si>
  <si>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</si>
  <si>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</si>
  <si>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</si>
  <si>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</si>
  <si>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</si>
  <si>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</si>
  <si>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</si>
  <si>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</si>
  <si>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</si>
  <si>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</si>
  <si>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</si>
  <si>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Flat file successfully loaded into GBMS.</t>
  </si>
  <si>
    <t>Failure</t>
  </si>
  <si>
    <t>Validation FAILED. Please review exception logs, or ensure the files do not have any commas or dashes as zeroes, or th or file does not exist.</t>
  </si>
  <si>
    <t>Confirmation</t>
  </si>
  <si>
    <t xml:space="preserve">Are you sure you want to upload a flatfile? </t>
  </si>
  <si>
    <t>Action Button Messages and Parameters</t>
  </si>
  <si>
    <t>psFFType</t>
  </si>
  <si>
    <t>Measures - Upload Measures</t>
  </si>
  <si>
    <t>Homepage - Annual Estimates - Measures</t>
  </si>
  <si>
    <t>Measures - Upload Template</t>
  </si>
  <si>
    <t>Measures - Measure List</t>
  </si>
  <si>
    <t>Measures - Bulk Process</t>
  </si>
  <si>
    <t>Note : When upload fails, error log files will also be saved in the same Upload Directory.</t>
  </si>
  <si>
    <t>Load Costings File</t>
  </si>
  <si>
    <t>Costings</t>
  </si>
  <si>
    <t xml:space="preserve">Loading of Costings Files is CUSTOMISED by each Agency. This current template and UPLOAD will need to be updated. </t>
  </si>
  <si>
    <t>Measures - Upload Costings</t>
  </si>
  <si>
    <t>Measures - Upload Costing Template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</si>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</sst>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3" fillId="0" borderId="4" xfId="0" applyFont="1" applyBorder="1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3" fillId="4" borderId="4" xfId="0" applyFont="1" applyFill="1" applyBorder="1" applyAlignment="1">
      <alignment horizontal="left" indent="1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3" xfId="1" xr:uid="{CB5C2425-6732-415A-940C-E939EE54FB2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28575</xdr:rowOff>
    </xdr:from>
    <xdr:to>
      <xdr:col>10</xdr:col>
      <xdr:colOff>1181100</xdr:colOff>
      <xdr:row>65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4543425</xdr:colOff>
      <xdr:row>67</xdr:row>
      <xdr:rowOff>0</xdr:rowOff>
    </xdr:from>
    <xdr:to>
      <xdr:col>12</xdr:col>
      <xdr:colOff>5324475</xdr:colOff>
      <xdr:row>67</xdr:row>
      <xdr:rowOff>247650</xdr:rowOff>
    </xdr:to>
    <xdr:sp macro="Sheet1.ExecuteAction_99eb07f2_d143_4478_aa5e_d855c671305a" textlink="">
      <xdr:nvSpPr>
        <xdr:cNvPr id="3" name="TM1Button_99eb07f2_d143_4478_aa5e_d855c671305a">
          <a:extLst>
            <a:ext uri="{FF2B5EF4-FFF2-40B4-BE49-F238E27FC236}">
              <a16:creationId xmlns:a16="http://schemas.microsoft.com/office/drawing/2014/main" id="{9314417A-C349-7D1D-5090-93D2CAE4CEA0}"/>
            </a:ext>
          </a:extLst>
        </xdr:cNvPr>
        <xdr:cNvSpPr txBox="1"/>
      </xdr:nvSpPr>
      <xdr:spPr>
        <a:xfrm>
          <a:off x="6781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67</xdr:row>
      <xdr:rowOff>0</xdr:rowOff>
    </xdr:from>
    <xdr:to>
      <xdr:col>10</xdr:col>
      <xdr:colOff>1228725</xdr:colOff>
      <xdr:row>67</xdr:row>
      <xdr:rowOff>247650</xdr:rowOff>
    </xdr:to>
    <xdr:sp macro="Sheet1.ExecuteAction_fd95a90f_9de2_4b83_9a27_fe8e17812a65" textlink="TM1HomeAEMeasuresCAP">
      <xdr:nvSpPr>
        <xdr:cNvPr id="4" name="TM1Button_fd95a90f_9de2_4b83_9a27_fe8e17812a65">
          <a:extLst>
            <a:ext uri="{FF2B5EF4-FFF2-40B4-BE49-F238E27FC236}">
              <a16:creationId xmlns:a16="http://schemas.microsoft.com/office/drawing/2014/main" id="{979707E6-10A0-CD88-E348-98282F932B8B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7270F10-607F-4541-99BF-9EE1EC31794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67</xdr:row>
      <xdr:rowOff>0</xdr:rowOff>
    </xdr:from>
    <xdr:to>
      <xdr:col>10</xdr:col>
      <xdr:colOff>66675</xdr:colOff>
      <xdr:row>67</xdr:row>
      <xdr:rowOff>247650</xdr:rowOff>
    </xdr:to>
    <xdr:sp macro="Sheet1.ExecuteAction_cde86a5b_c5a7_4511_8361_4cb1f7a090bb" textlink="TM1HomeCAP">
      <xdr:nvSpPr>
        <xdr:cNvPr id="5" name="TM1Button_cde86a5b_c5a7_4511_8361_4cb1f7a090bb">
          <a:extLst>
            <a:ext uri="{FF2B5EF4-FFF2-40B4-BE49-F238E27FC236}">
              <a16:creationId xmlns:a16="http://schemas.microsoft.com/office/drawing/2014/main" id="{E549CF0D-2E4E-A38C-350A-61370663183A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954D039-73CB-40CE-B8B1-00C655C8E86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67</xdr:row>
      <xdr:rowOff>0</xdr:rowOff>
    </xdr:from>
    <xdr:to>
      <xdr:col>12</xdr:col>
      <xdr:colOff>666750</xdr:colOff>
      <xdr:row>67</xdr:row>
      <xdr:rowOff>247650</xdr:rowOff>
    </xdr:to>
    <xdr:sp macro="Sheet1.ExecuteAction_35df2a69_d3e9_4275_a6c5_fd2758da44d0" textlink="TM1MeasListCAP">
      <xdr:nvSpPr>
        <xdr:cNvPr id="6" name="TM1Button_35df2a69_d3e9_4275_a6c5_fd2758da44d0">
          <a:extLst>
            <a:ext uri="{FF2B5EF4-FFF2-40B4-BE49-F238E27FC236}">
              <a16:creationId xmlns:a16="http://schemas.microsoft.com/office/drawing/2014/main" id="{07EDDFDC-DBFA-30B2-A9AB-67255483E803}"/>
            </a:ext>
          </a:extLst>
        </xdr:cNvPr>
        <xdr:cNvSpPr txBox="1"/>
      </xdr:nvSpPr>
      <xdr:spPr>
        <a:xfrm>
          <a:off x="1924050" y="561975"/>
          <a:ext cx="981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4E8E9C1-82A2-49F5-AB52-754B636840E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66</xdr:row>
      <xdr:rowOff>28575</xdr:rowOff>
    </xdr:from>
    <xdr:to>
      <xdr:col>15</xdr:col>
      <xdr:colOff>0</xdr:colOff>
      <xdr:row>67</xdr:row>
      <xdr:rowOff>285750</xdr:rowOff>
    </xdr:to>
    <xdr:sp macro="Sheet1.ExecuteAction_d86ff59a_bede_458f_8e41_17fa7b2e375e" textlink="">
      <xdr:nvSpPr>
        <xdr:cNvPr id="7" name="TM1Button_d86ff59a_bede_458f_8e41_17fa7b2e375e">
          <a:extLst>
            <a:ext uri="{FF2B5EF4-FFF2-40B4-BE49-F238E27FC236}">
              <a16:creationId xmlns:a16="http://schemas.microsoft.com/office/drawing/2014/main" id="{7A827285-8EC3-F184-2102-B12012E557BA}"/>
            </a:ext>
          </a:extLst>
        </xdr:cNvPr>
        <xdr:cNvSpPr txBox="1"/>
      </xdr:nvSpPr>
      <xdr:spPr>
        <a:xfrm>
          <a:off x="12411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3600450</xdr:colOff>
      <xdr:row>67</xdr:row>
      <xdr:rowOff>0</xdr:rowOff>
    </xdr:from>
    <xdr:to>
      <xdr:col>12</xdr:col>
      <xdr:colOff>4495800</xdr:colOff>
      <xdr:row>67</xdr:row>
      <xdr:rowOff>247650</xdr:rowOff>
    </xdr:to>
    <xdr:sp macro="Sheet1.ExecuteAction_340efd1a_33c3_484a_ad06_52c1d4469ce1" textlink="">
      <xdr:nvSpPr>
        <xdr:cNvPr id="8" name="TM1Button_340efd1a_33c3_484a_ad06_52c1d4469ce1">
          <a:extLst>
            <a:ext uri="{FF2B5EF4-FFF2-40B4-BE49-F238E27FC236}">
              <a16:creationId xmlns:a16="http://schemas.microsoft.com/office/drawing/2014/main" id="{907F8D0A-DCF5-DFE1-D70A-6B8470B9A4C5}"/>
            </a:ext>
          </a:extLst>
        </xdr:cNvPr>
        <xdr:cNvSpPr txBox="1"/>
      </xdr:nvSpPr>
      <xdr:spPr>
        <a:xfrm>
          <a:off x="5838825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2047875</xdr:colOff>
      <xdr:row>67</xdr:row>
      <xdr:rowOff>0</xdr:rowOff>
    </xdr:from>
    <xdr:to>
      <xdr:col>12</xdr:col>
      <xdr:colOff>3571875</xdr:colOff>
      <xdr:row>67</xdr:row>
      <xdr:rowOff>247650</xdr:rowOff>
    </xdr:to>
    <xdr:sp macro="Sheet1.ExecuteAction_de5abd70_7a0d_4602_9143_d826fdcf4592" textlink="">
      <xdr:nvSpPr>
        <xdr:cNvPr id="9" name="TM1Button_de5abd70_7a0d_4602_9143_d826fdcf4592">
          <a:extLst>
            <a:ext uri="{FF2B5EF4-FFF2-40B4-BE49-F238E27FC236}">
              <a16:creationId xmlns:a16="http://schemas.microsoft.com/office/drawing/2014/main" id="{14612F80-E78E-E001-FB8B-27F14DCB6120}"/>
            </a:ext>
          </a:extLst>
        </xdr:cNvPr>
        <xdr:cNvSpPr txBox="1"/>
      </xdr:nvSpPr>
      <xdr:spPr>
        <a:xfrm>
          <a:off x="4286250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Costings Upload Template</a:t>
          </a:r>
        </a:p>
      </xdr:txBody>
    </xdr:sp>
    <xdr:clientData/>
  </xdr:twoCellAnchor>
  <xdr:twoCellAnchor editAs="oneCell">
    <xdr:from>
      <xdr:col>12</xdr:col>
      <xdr:colOff>704850</xdr:colOff>
      <xdr:row>67</xdr:row>
      <xdr:rowOff>0</xdr:rowOff>
    </xdr:from>
    <xdr:to>
      <xdr:col>12</xdr:col>
      <xdr:colOff>2009775</xdr:colOff>
      <xdr:row>67</xdr:row>
      <xdr:rowOff>247650</xdr:rowOff>
    </xdr:to>
    <xdr:sp macro="Sheet1.ExecuteAction_4d95336d_661f_499d_8d5a_10417d8dc49a" textlink="">
      <xdr:nvSpPr>
        <xdr:cNvPr id="10" name="TM1Button_4d95336d_661f_499d_8d5a_10417d8dc49a">
          <a:extLst>
            <a:ext uri="{FF2B5EF4-FFF2-40B4-BE49-F238E27FC236}">
              <a16:creationId xmlns:a16="http://schemas.microsoft.com/office/drawing/2014/main" id="{C322F264-FCEE-FB92-262D-CD15D2D27986}"/>
            </a:ext>
          </a:extLst>
        </xdr:cNvPr>
        <xdr:cNvSpPr txBox="1"/>
      </xdr:nvSpPr>
      <xdr:spPr>
        <a:xfrm>
          <a:off x="2943225" y="561975"/>
          <a:ext cx="1304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Measure Bulk 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EADA1-8F57-4B30-9DDA-F556E24C06F1}">
  <sheetPr codeName="Sheet1">
    <outlinePr showOutlineSymbols="0"/>
    <pageSetUpPr fitToPage="1"/>
  </sheetPr>
  <dimension ref="A1:O85"/>
  <sheetViews>
    <sheetView showGridLines="0" showRowColHeaders="0" tabSelected="1" showOutlineSymbols="0" topLeftCell="I66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idden="1" outlineLevel="1" x14ac:dyDescent="0.25">
      <c r="A1" s="24" t="s">
        <v>0</v>
      </c>
      <c r="B1" s="25"/>
      <c r="C1" s="26"/>
    </row>
    <row r="2" spans="1:3" hidden="1" outlineLevel="1" x14ac:dyDescent="0.25">
      <c r="A2" s="1" t="s">
        <v>1</v>
      </c>
      <c r="B2" s="2" t="s">
        <v>78</v>
      </c>
      <c r="C2" s="3"/>
    </row>
    <row r="3" spans="1:3" hidden="1" outlineLevel="1" x14ac:dyDescent="0.25">
      <c r="A3" s="1" t="s">
        <v>2</v>
      </c>
      <c r="B3" s="4" t="str">
        <f>_xll.VIEW(db_name&amp;":}ElementAttributes_}Clients","!","!")</f>
        <v>finance_geus:}ElementAttributes_}Clients:1264217196-1528675074</v>
      </c>
      <c r="C3" s="3"/>
    </row>
    <row r="4" spans="1:3" hidden="1" outlineLevel="1" x14ac:dyDescent="0.25">
      <c r="A4" s="1" t="s">
        <v>3</v>
      </c>
      <c r="B4" s="2" t="str">
        <f ca="1">_xll.TM1USER(db_name)</f>
        <v>RECALC_0_100_</v>
      </c>
      <c r="C4" s="3"/>
    </row>
    <row r="5" spans="1:3" hidden="1" outlineLevel="1" x14ac:dyDescent="0.25">
      <c r="A5" s="1" t="s">
        <v>4</v>
      </c>
      <c r="B5" s="2" t="str">
        <f ca="1">_xll.DBR($B$3,$B$4,$A5)</f>
        <v>RECALC_1_101_</v>
      </c>
      <c r="C5" s="3"/>
    </row>
    <row r="6" spans="1:3" hidden="1" outlineLevel="1" x14ac:dyDescent="0.25">
      <c r="A6" s="1" t="s">
        <v>5</v>
      </c>
      <c r="B6" s="2" t="str">
        <f ca="1">_xll.DBR($B$3,$B$4,$A6)</f>
        <v>RECALC_1_232_</v>
      </c>
      <c r="C6" s="3"/>
    </row>
    <row r="7" spans="1:3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3" hidden="1" outlineLevel="1" x14ac:dyDescent="0.25"/>
    <row r="9" spans="1:3" hidden="1" outlineLevel="1" x14ac:dyDescent="0.25">
      <c r="A9" s="24" t="s">
        <v>7</v>
      </c>
      <c r="B9" s="25"/>
      <c r="C9" s="26"/>
    </row>
    <row r="10" spans="1:3" hidden="1" outlineLevel="1" x14ac:dyDescent="0.25">
      <c r="A10" s="1" t="s">
        <v>8</v>
      </c>
      <c r="B10" s="5" t="str">
        <f>_xll.VIEW(db_name&amp;":}ElementAttributes_variables","!","!")</f>
        <v>finance_geus:}ElementAttributes_variables:1264217196976980510</v>
      </c>
      <c r="C10" s="5"/>
    </row>
    <row r="11" spans="1:3" hidden="1" outlineLevel="1" x14ac:dyDescent="0.25">
      <c r="A11" s="1" t="s">
        <v>9</v>
      </c>
      <c r="B11" s="5" t="str">
        <f ca="1">_xll.DBR($B$10,$A11,"value")</f>
        <v>RECALC_0_231_</v>
      </c>
      <c r="C11" s="5"/>
    </row>
    <row r="12" spans="1:3" hidden="1" outlineLevel="1" x14ac:dyDescent="0.25">
      <c r="A12" s="1" t="s">
        <v>10</v>
      </c>
      <c r="B12" s="5" t="str">
        <f ca="1">_xll.DBR($B$10,$A12,"value")</f>
        <v>RECALC_0_230_</v>
      </c>
      <c r="C12" s="5"/>
    </row>
    <row r="13" spans="1:3" hidden="1" outlineLevel="1" x14ac:dyDescent="0.25">
      <c r="A13" s="1" t="s">
        <v>54</v>
      </c>
      <c r="B13" s="5" t="str">
        <f ca="1">_xll.DBR($B$10,$A13,"value")</f>
        <v>RECALC_0_262_</v>
      </c>
      <c r="C13" s="5"/>
    </row>
    <row r="14" spans="1:3" hidden="1" outlineLevel="1" x14ac:dyDescent="0.25">
      <c r="A14" s="1" t="s">
        <v>47</v>
      </c>
      <c r="B14" s="5" t="str">
        <f ca="1">_xll.DBR($B$10,$A14,"value")</f>
        <v>RECALC_0_433_</v>
      </c>
      <c r="C14" s="5"/>
    </row>
    <row r="15" spans="1:3" hidden="1" outlineLevel="1" x14ac:dyDescent="0.25">
      <c r="A15" s="1" t="s">
        <v>48</v>
      </c>
      <c r="B15" s="5" t="str">
        <f ca="1">_xll.DBR($B$10,$A15,"value")</f>
        <v>RECALC_0_575_</v>
      </c>
      <c r="C15" s="5"/>
    </row>
    <row r="16" spans="1:3" hidden="1" outlineLevel="1" x14ac:dyDescent="0.25">
      <c r="A16" s="1"/>
      <c r="B16" s="5"/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24" t="s">
        <v>52</v>
      </c>
      <c r="B18" s="25"/>
      <c r="C18" s="26"/>
    </row>
    <row r="19" spans="1:7" hidden="1" outlineLevel="1" x14ac:dyDescent="0.25">
      <c r="A19" s="1" t="s">
        <v>49</v>
      </c>
      <c r="B19" s="5" t="str">
        <f ca="1">_xll.DBR($B$10,$A19,"value")</f>
        <v>RECALC_0_430_</v>
      </c>
      <c r="C19" s="5"/>
    </row>
    <row r="20" spans="1:7" hidden="1" outlineLevel="1" x14ac:dyDescent="0.25">
      <c r="A20" s="1" t="s">
        <v>50</v>
      </c>
      <c r="B20" s="19" t="s">
        <v>56</v>
      </c>
      <c r="C20" s="5"/>
    </row>
    <row r="21" spans="1:7" hidden="1" outlineLevel="1" x14ac:dyDescent="0.25">
      <c r="A21" s="1" t="s">
        <v>51</v>
      </c>
      <c r="B21" s="5" t="str">
        <f ca="1">_xll.DBR($B$10,$A21,"value")</f>
        <v>RECALC_0_429_</v>
      </c>
      <c r="C21" s="5"/>
    </row>
    <row r="22" spans="1:7" hidden="1" outlineLevel="1" x14ac:dyDescent="0.25">
      <c r="A22" s="1" t="s">
        <v>55</v>
      </c>
      <c r="B22" s="5" t="str">
        <f ca="1">$B$20&amp;"/"&amp;$B$21&amp;"/"</f>
        <v>http://localhost:9510//RECALC_0_429_/</v>
      </c>
      <c r="C22" s="5"/>
    </row>
    <row r="23" spans="1:7" hidden="1" outlineLevel="1" x14ac:dyDescent="0.25"/>
    <row r="24" spans="1:7" hidden="1" outlineLevel="1" x14ac:dyDescent="0.25">
      <c r="A24" s="27" t="s">
        <v>57</v>
      </c>
      <c r="B24" s="27"/>
      <c r="C24" s="27"/>
    </row>
    <row r="25" spans="1:7" hidden="1" outlineLevel="1" x14ac:dyDescent="0.25">
      <c r="A25" s="1" t="s">
        <v>53</v>
      </c>
      <c r="B25" s="5" t="str">
        <f ca="1">$B$19&amp;"\"&amp;$B$21&amp;"\"&amp;$B$11&amp;"\"&amp;$B$13&amp;"\"</f>
        <v>RECALC_0_430_\RECALC_0_429_\RECALC_0_231_\RECALC_0_262_\</v>
      </c>
      <c r="C25" s="5"/>
    </row>
    <row r="26" spans="1:7" hidden="1" outlineLevel="1" x14ac:dyDescent="0.25"/>
    <row r="27" spans="1:7" hidden="1" outlineLevel="1" x14ac:dyDescent="0.25">
      <c r="A27" s="24" t="s">
        <v>11</v>
      </c>
      <c r="B27" s="25"/>
      <c r="C27" s="26"/>
    </row>
    <row r="28" spans="1:7" hidden="1" outlineLevel="1" x14ac:dyDescent="0.25">
      <c r="A28" s="5" t="s">
        <v>12</v>
      </c>
      <c r="B28" s="5" t="str">
        <f>_xll.VIEW(db_name&amp;":sys_application","!","!")</f>
        <v>finance_geus:sys_application:1264217196685938212</v>
      </c>
    </row>
    <row r="29" spans="1:7" hidden="1" outlineLevel="1" x14ac:dyDescent="0.25">
      <c r="A29" s="5" t="s">
        <v>13</v>
      </c>
      <c r="B29" t="s">
        <v>67</v>
      </c>
    </row>
    <row r="30" spans="1:7" hidden="1" outlineLevel="1" x14ac:dyDescent="0.25">
      <c r="A30" s="6" t="s">
        <v>14</v>
      </c>
      <c r="B30" s="7" t="s">
        <v>15</v>
      </c>
      <c r="C30" s="7" t="s">
        <v>16</v>
      </c>
      <c r="D30" s="7" t="s">
        <v>17</v>
      </c>
      <c r="E30" s="7" t="s">
        <v>18</v>
      </c>
      <c r="F30" s="7" t="s">
        <v>19</v>
      </c>
      <c r="G30" s="7" t="s">
        <v>20</v>
      </c>
    </row>
    <row r="31" spans="1:7" hidden="1" outlineLevel="1" x14ac:dyDescent="0.25">
      <c r="A31" s="5" t="s">
        <v>21</v>
      </c>
      <c r="B31" s="5" t="str">
        <f ca="1">_xll.DBR($B$28,$A31,B$30)</f>
        <v>RECALC_0_83_</v>
      </c>
      <c r="C31" s="5" t="str">
        <f ca="1">_xll.DBR($B$28,$A31,C$30)</f>
        <v>RECALC_0_82_</v>
      </c>
      <c r="D31" s="5" t="str">
        <f ca="1">_xll.DBR($B$28,$A31,D$30)</f>
        <v>RECALC_0_81_</v>
      </c>
      <c r="E31" s="5" t="str">
        <f ca="1">_xll.DBR($B$28,$A31,E$30)</f>
        <v>RECALC_0_80_</v>
      </c>
      <c r="F31" s="5" t="str">
        <f ca="1">_xll.DBR($B$28,$A31,F$30)</f>
        <v>RECALC_0_79_</v>
      </c>
      <c r="G31" s="5" t="str">
        <f ca="1">_xll.DBR($B$28,$A31,G$30)</f>
        <v>RECALC_0_78_</v>
      </c>
    </row>
    <row r="32" spans="1:7" hidden="1" outlineLevel="1" x14ac:dyDescent="0.25">
      <c r="A32" s="5" t="s">
        <v>22</v>
      </c>
      <c r="B32" s="5" t="str">
        <f ca="1">_xll.DBR($B$28,$A32,B$30)</f>
        <v>RECALC_0_77_</v>
      </c>
      <c r="C32" s="5" t="str">
        <f ca="1">_xll.DBR($B$28,$A32,C$30)</f>
        <v>RECALC_0_76_</v>
      </c>
      <c r="D32" s="5" t="str">
        <f ca="1">_xll.DBR($B$28,$A32,D$30)</f>
        <v>RECALC_0_75_</v>
      </c>
      <c r="E32" s="5" t="str">
        <f ca="1">_xll.DBR($B$28,$A32,E$30)</f>
        <v>RECALC_0_74_</v>
      </c>
      <c r="F32" s="5" t="str">
        <f ca="1">_xll.DBR($B$28,$A32,F$30)</f>
        <v>RECALC_0_73_</v>
      </c>
      <c r="G32" s="5" t="str">
        <f ca="1">_xll.DBR($B$28,$A32,G$30)</f>
        <v>RECALC_0_72_</v>
      </c>
    </row>
    <row r="33" spans="1:7" hidden="1" outlineLevel="1" x14ac:dyDescent="0.25">
      <c r="A33" s="5" t="s">
        <v>23</v>
      </c>
      <c r="B33" s="5" t="str">
        <f ca="1">_xll.DBR($B$28,$A33,B$30)</f>
        <v>RECALC_0_225_</v>
      </c>
      <c r="C33" s="5" t="str">
        <f ca="1">_xll.DBR($B$28,$A33,C$30)</f>
        <v>RECALC_0_224_</v>
      </c>
      <c r="D33" s="5" t="str">
        <f ca="1">_xll.DBR($B$28,$A33,D$30)</f>
        <v>RECALC_0_223_</v>
      </c>
      <c r="E33" s="5" t="str">
        <f ca="1">_xll.DBR($B$28,$A33,E$30)</f>
        <v>RECALC_0_222_</v>
      </c>
      <c r="F33" s="5" t="str">
        <f ca="1">_xll.DBR($B$28,$A33,F$30)</f>
        <v>RECALC_0_221_</v>
      </c>
      <c r="G33" s="5" t="str">
        <f ca="1">_xll.DBR($B$28,$A33,G$30)</f>
        <v>RECALC_0_220_</v>
      </c>
    </row>
    <row r="34" spans="1:7" hidden="1" outlineLevel="1" x14ac:dyDescent="0.25">
      <c r="A34" s="5" t="s">
        <v>68</v>
      </c>
      <c r="B34" s="5" t="str">
        <f ca="1">_xll.DBR($B$28,$A34,B$30)</f>
        <v>RECALC_0_959_</v>
      </c>
      <c r="C34" s="5" t="str">
        <f ca="1">_xll.DBR($B$28,$A34,C$30)</f>
        <v>RECALC_0_958_</v>
      </c>
      <c r="D34" s="5" t="str">
        <f ca="1">_xll.DBR($B$28,$A34,D$30)</f>
        <v>RECALC_0_957_</v>
      </c>
      <c r="E34" s="5" t="str">
        <f ca="1">_xll.DBR($B$28,$A34,E$30)</f>
        <v>RECALC_0_956_</v>
      </c>
      <c r="F34" s="5" t="str">
        <f ca="1">_xll.DBR($B$28,$A34,F$30)</f>
        <v>RECALC_0_955_</v>
      </c>
      <c r="G34" s="5" t="str">
        <f ca="1">_xll.DBR($B$28,$A34,G$30)</f>
        <v>RECALC_0_954_</v>
      </c>
    </row>
    <row r="35" spans="1:7" hidden="1" outlineLevel="1" x14ac:dyDescent="0.25">
      <c r="A35" s="5" t="s">
        <v>70</v>
      </c>
      <c r="B35" s="5" t="str">
        <f ca="1">_xll.DBR($B$28,$A35,B$30)</f>
        <v>RECALC_0_929_</v>
      </c>
      <c r="C35" s="5" t="str">
        <f ca="1">_xll.DBR($B$28,$A35,C$30)</f>
        <v>RECALC_0_928_</v>
      </c>
      <c r="D35" s="5" t="str">
        <f ca="1">_xll.DBR($B$28,$A35,D$30)</f>
        <v>RECALC_0_927_</v>
      </c>
      <c r="E35" s="5" t="str">
        <f ca="1">_xll.DBR($B$28,$A35,E$30)</f>
        <v>RECALC_0_926_</v>
      </c>
      <c r="F35" s="5" t="str">
        <f ca="1">_xll.DBR($B$28,$A35,F$30)</f>
        <v>RECALC_0_925_</v>
      </c>
      <c r="G35" s="5" t="str">
        <f ca="1">_xll.DBR($B$28,$A35,G$30)</f>
        <v>RECALC_0_924_</v>
      </c>
    </row>
    <row r="36" spans="1:7" hidden="1" outlineLevel="1" x14ac:dyDescent="0.25">
      <c r="A36" s="5" t="s">
        <v>71</v>
      </c>
      <c r="B36" s="5" t="str">
        <f ca="1">_xll.DBR($B$28,$A36,B$30)</f>
        <v>RECALC_0_1096_</v>
      </c>
      <c r="C36" s="5" t="str">
        <f ca="1">_xll.DBR($B$28,$A36,C$30)</f>
        <v>RECALC_0_1095_</v>
      </c>
      <c r="D36" s="5" t="str">
        <f ca="1">_xll.DBR($B$28,$A36,D$30)</f>
        <v>RECALC_0_1094_</v>
      </c>
      <c r="E36" s="5" t="str">
        <f ca="1">_xll.DBR($B$28,$A36,E$30)</f>
        <v>RECALC_0_1093_</v>
      </c>
      <c r="F36" s="5" t="str">
        <f ca="1">_xll.DBR($B$28,$A36,F$30)</f>
        <v>RECALC_0_1092_</v>
      </c>
      <c r="G36" s="5" t="str">
        <f ca="1">_xll.DBR($B$28,$A36,G$30)</f>
        <v>RECALC_0_1091_</v>
      </c>
    </row>
    <row r="37" spans="1:7" hidden="1" outlineLevel="1" x14ac:dyDescent="0.25">
      <c r="A37" s="5" t="s">
        <v>67</v>
      </c>
      <c r="B37" s="5" t="str">
        <f ca="1">_xll.DBR($B$28,$A37,B$30)</f>
        <v>RECALC_0_1090_</v>
      </c>
      <c r="C37" s="5" t="str">
        <f ca="1">_xll.DBR($B$28,$A37,C$30)</f>
        <v>RECALC_0_1089_</v>
      </c>
      <c r="D37" s="5" t="str">
        <f ca="1">_xll.DBR($B$28,$A37,D$30)</f>
        <v>RECALC_0_1088_</v>
      </c>
      <c r="E37" s="5" t="str">
        <f ca="1">_xll.DBR($B$28,$A37,E$30)</f>
        <v>RECALC_0_1087_</v>
      </c>
      <c r="F37" s="5" t="str">
        <f ca="1">_xll.DBR($B$28,$A37,F$30)</f>
        <v>RECALC_0_1086_</v>
      </c>
      <c r="G37" s="5" t="str">
        <f ca="1">_xll.DBR($B$28,$A37,G$30)</f>
        <v>RECALC_0_1085_</v>
      </c>
    </row>
    <row r="38" spans="1:7" hidden="1" outlineLevel="1" x14ac:dyDescent="0.25">
      <c r="A38" s="5" t="s">
        <v>69</v>
      </c>
      <c r="B38" s="5" t="str">
        <f ca="1">_xll.DBR($B$28,$A38,B$30)</f>
        <v>RECALC_0_1084_</v>
      </c>
      <c r="C38" s="5" t="str">
        <f ca="1">_xll.DBR($B$28,$A38,C$30)</f>
        <v>RECALC_0_1083_</v>
      </c>
      <c r="D38" s="5" t="str">
        <f ca="1">_xll.DBR($B$28,$A38,D$30)</f>
        <v>RECALC_0_1082_</v>
      </c>
      <c r="E38" s="5" t="str">
        <f ca="1">_xll.DBR($B$28,$A38,E$30)</f>
        <v>RECALC_0_1081_</v>
      </c>
      <c r="F38" s="5" t="str">
        <f ca="1">_xll.DBR($B$28,$A38,F$30)</f>
        <v>RECALC_0_1080_</v>
      </c>
      <c r="G38" s="5" t="str">
        <f ca="1">_xll.DBR($B$28,$A38,G$30)</f>
        <v>RECALC_0_1079_</v>
      </c>
    </row>
    <row r="39" spans="1:7" hidden="1" outlineLevel="1" x14ac:dyDescent="0.25">
      <c r="A39" s="5" t="s">
        <v>76</v>
      </c>
      <c r="B39" s="5" t="str">
        <f ca="1">_xll.DBR($B$28,$A39,B$30)</f>
        <v>RECALC_0_1078_</v>
      </c>
      <c r="C39" s="5" t="str">
        <f ca="1">_xll.DBR($B$28,$A39,C$30)</f>
        <v>RECALC_0_1077_</v>
      </c>
      <c r="D39" s="5" t="str">
        <f ca="1">_xll.DBR($B$28,$A39,D$30)</f>
        <v>RECALC_0_1076_</v>
      </c>
      <c r="E39" s="5" t="str">
        <f ca="1">_xll.DBR($B$28,$A39,E$30)</f>
        <v>RECALC_0_1075_</v>
      </c>
      <c r="F39" s="5" t="str">
        <f ca="1">_xll.DBR($B$28,$A39,F$30)</f>
        <v>RECALC_0_1074_</v>
      </c>
      <c r="G39" s="5" t="str">
        <f ca="1">_xll.DBR($B$28,$A39,G$30)</f>
        <v>RECALC_0_1073_</v>
      </c>
    </row>
    <row r="40" spans="1:7" hidden="1" outlineLevel="1" x14ac:dyDescent="0.25">
      <c r="A40" s="5" t="s">
        <v>77</v>
      </c>
      <c r="B40" s="5" t="str">
        <f ca="1">_xll.DBR($B$28,$A40,B$30)</f>
        <v>RECALC_0_1072_</v>
      </c>
      <c r="C40" s="5" t="str">
        <f ca="1">_xll.DBR($B$28,$A40,C$30)</f>
        <v>RECALC_0_1071_</v>
      </c>
      <c r="D40" s="5" t="str">
        <f ca="1">_xll.DBR($B$28,$A40,D$30)</f>
        <v>RECALC_0_1070_</v>
      </c>
      <c r="E40" s="5" t="str">
        <f ca="1">_xll.DBR($B$28,$A40,E$30)</f>
        <v>RECALC_0_1069_</v>
      </c>
      <c r="F40" s="5" t="str">
        <f ca="1">_xll.DBR($B$28,$A40,F$30)</f>
        <v>RECALC_0_1068_</v>
      </c>
      <c r="G40" s="5" t="str">
        <f ca="1">_xll.DBR($B$28,$A40,G$30)</f>
        <v>RECALC_0_1067_</v>
      </c>
    </row>
    <row r="41" spans="1:7" hidden="1" outlineLevel="1" x14ac:dyDescent="0.25"/>
    <row r="42" spans="1:7" hidden="1" outlineLevel="1" x14ac:dyDescent="0.25">
      <c r="A42" s="24" t="s">
        <v>24</v>
      </c>
      <c r="B42" s="25"/>
      <c r="C42" s="26"/>
    </row>
    <row r="43" spans="1:7" hidden="1" outlineLevel="1" x14ac:dyDescent="0.25">
      <c r="A43" s="1" t="s">
        <v>8</v>
      </c>
      <c r="B43" s="5" t="str">
        <f>_xll.VIEW(db_name&amp;":sys_client preference","!","!","!")</f>
        <v>finance_geus:sys_client preference:1264217196761517304</v>
      </c>
      <c r="C43" s="5"/>
    </row>
    <row r="44" spans="1:7" hidden="1" outlineLevel="1" x14ac:dyDescent="0.25">
      <c r="A44" s="1"/>
      <c r="B44" s="8" t="s">
        <v>25</v>
      </c>
      <c r="C44" s="8" t="s">
        <v>26</v>
      </c>
    </row>
    <row r="45" spans="1:7" hidden="1" outlineLevel="1" x14ac:dyDescent="0.25">
      <c r="A45" s="1" t="s">
        <v>27</v>
      </c>
      <c r="B45" s="5" t="str">
        <f ca="1">_xll.SUBNM(db_name&amp;":sys_client preference measure","","value")</f>
        <v>RECALC_0_189_</v>
      </c>
      <c r="C45" s="8"/>
    </row>
    <row r="46" spans="1:7" hidden="1" outlineLevel="1" x14ac:dyDescent="0.25">
      <c r="A46" s="1" t="s">
        <v>28</v>
      </c>
      <c r="B46" s="5" t="str">
        <f ca="1">_xll.DBR($B$43,psUser,$A46,B$44)</f>
        <v>RECALC_1_416_</v>
      </c>
      <c r="C46" s="5" t="str">
        <f ca="1">_xll.DBR($B$43,psUser,$A46,C$44)</f>
        <v>RECALC_1_415_</v>
      </c>
    </row>
    <row r="47" spans="1:7" hidden="1" outlineLevel="1" x14ac:dyDescent="0.25">
      <c r="A47" s="1" t="s">
        <v>29</v>
      </c>
      <c r="B47" s="5" t="str">
        <f ca="1">_xll.DBR($B$43,psUser,$A47,B$44)</f>
        <v>RECALC_1_414_</v>
      </c>
      <c r="C47" s="5" t="str">
        <f ca="1">_xll.DBR($B$43,psUser,$A47,C$44)</f>
        <v>RECALC_1_413_</v>
      </c>
    </row>
    <row r="48" spans="1:7" hidden="1" outlineLevel="1" x14ac:dyDescent="0.25">
      <c r="A48" s="1" t="s">
        <v>30</v>
      </c>
      <c r="B48" s="5" t="str">
        <f ca="1">_xll.DBR($B$43,psUser,$A48,B$44)</f>
        <v>RECALC_1_412_</v>
      </c>
      <c r="C48" s="5" t="str">
        <f ca="1">_xll.DBR($B$43,psUser,$A48,C$44)</f>
        <v>RECALC_1_411_</v>
      </c>
    </row>
    <row r="49" spans="1:3" hidden="1" outlineLevel="1" x14ac:dyDescent="0.25">
      <c r="A49" s="1" t="s">
        <v>58</v>
      </c>
      <c r="B49" s="5" t="str">
        <f ca="1">_xll.DBR($B$43,psUser,$A49,B$44)</f>
        <v>RECALC_1_410_</v>
      </c>
      <c r="C49" s="5" t="str">
        <f ca="1">_xll.DBR($B$43,psUser,$A49,C$44)</f>
        <v>RECALC_1_409_</v>
      </c>
    </row>
    <row r="50" spans="1:3" hidden="1" outlineLevel="1" x14ac:dyDescent="0.25"/>
    <row r="51" spans="1:3" hidden="1" outlineLevel="1" x14ac:dyDescent="0.25">
      <c r="A51" s="28" t="s">
        <v>65</v>
      </c>
      <c r="B51" s="28"/>
      <c r="C51" s="28"/>
    </row>
    <row r="52" spans="1:3" hidden="1" outlineLevel="1" x14ac:dyDescent="0.25">
      <c r="A52" s="5" t="s">
        <v>59</v>
      </c>
      <c r="B52" s="5" t="s">
        <v>60</v>
      </c>
      <c r="C52" s="5"/>
    </row>
    <row r="53" spans="1:3" hidden="1" outlineLevel="1" x14ac:dyDescent="0.25">
      <c r="A53" s="5" t="s">
        <v>61</v>
      </c>
      <c r="B53" s="5" t="s">
        <v>62</v>
      </c>
      <c r="C53" s="5"/>
    </row>
    <row r="54" spans="1:3" hidden="1" outlineLevel="1" x14ac:dyDescent="0.25">
      <c r="A54" s="5" t="s">
        <v>63</v>
      </c>
      <c r="B54" s="5" t="s">
        <v>64</v>
      </c>
      <c r="C54" s="5"/>
    </row>
    <row r="55" spans="1:3" hidden="1" outlineLevel="1" x14ac:dyDescent="0.25">
      <c r="A55" s="5" t="s">
        <v>66</v>
      </c>
      <c r="B55" s="5" t="s">
        <v>74</v>
      </c>
      <c r="C55" s="5"/>
    </row>
    <row r="56" spans="1:3" hidden="1" outlineLevel="1" x14ac:dyDescent="0.25"/>
    <row r="57" spans="1:3" hidden="1" outlineLevel="1" x14ac:dyDescent="0.25"/>
    <row r="58" spans="1:3" hidden="1" outlineLevel="1" x14ac:dyDescent="0.25"/>
    <row r="59" spans="1:3" hidden="1" outlineLevel="1" x14ac:dyDescent="0.25"/>
    <row r="60" spans="1:3" hidden="1" outlineLevel="1" x14ac:dyDescent="0.25"/>
    <row r="61" spans="1:3" hidden="1" outlineLevel="1" x14ac:dyDescent="0.25"/>
    <row r="62" spans="1:3" hidden="1" outlineLevel="1" x14ac:dyDescent="0.25"/>
    <row r="63" spans="1:3" hidden="1" outlineLevel="1" x14ac:dyDescent="0.25"/>
    <row r="64" spans="1:3" hidden="1" outlineLevel="1" x14ac:dyDescent="0.25"/>
    <row r="65" spans="9:15" hidden="1" outlineLevel="1" x14ac:dyDescent="0.25"/>
    <row r="66" spans="9:15" ht="39.75" customHeight="1" collapsed="1" x14ac:dyDescent="0.25">
      <c r="I66" s="9"/>
      <c r="J66" s="9"/>
      <c r="K66" s="9"/>
      <c r="L66" s="9"/>
      <c r="M66" s="9"/>
      <c r="N66" s="9"/>
      <c r="O66" s="9" t="s">
        <v>73</v>
      </c>
    </row>
    <row r="67" spans="9:15" ht="4.5" customHeight="1" x14ac:dyDescent="0.25"/>
    <row r="68" spans="9:15" ht="24" customHeight="1" x14ac:dyDescent="0.25"/>
    <row r="69" spans="9:15" ht="1.5" customHeight="1" x14ac:dyDescent="0.25">
      <c r="I69" s="9"/>
      <c r="J69" s="9"/>
      <c r="K69" s="9"/>
      <c r="L69" s="9"/>
      <c r="M69" s="9"/>
      <c r="N69" s="9"/>
      <c r="O69" s="9"/>
    </row>
    <row r="70" spans="9:15" ht="5.25" customHeight="1" x14ac:dyDescent="0.25"/>
    <row r="71" spans="9:15" x14ac:dyDescent="0.25">
      <c r="K71" s="11" t="s">
        <v>39</v>
      </c>
      <c r="M71" s="20" t="str">
        <f ca="1">$B$15</f>
        <v>RECALC_0_575_</v>
      </c>
    </row>
    <row r="72" spans="9:15" ht="5.0999999999999996" customHeight="1" x14ac:dyDescent="0.25"/>
    <row r="73" spans="9:15" x14ac:dyDescent="0.25">
      <c r="K73" s="10" t="s">
        <v>37</v>
      </c>
      <c r="M73" s="13" t="s">
        <v>38</v>
      </c>
      <c r="O73" s="21" t="s">
        <v>43</v>
      </c>
    </row>
    <row r="74" spans="9:15" ht="3.75" customHeight="1" x14ac:dyDescent="0.25">
      <c r="K74" s="11"/>
      <c r="M74" s="12"/>
    </row>
    <row r="75" spans="9:15" x14ac:dyDescent="0.25">
      <c r="K75" s="11" t="s">
        <v>40</v>
      </c>
      <c r="M75" s="23" t="str">
        <f ca="1">$B$49</f>
        <v>RECALC_1_410_</v>
      </c>
      <c r="O75" s="22" t="s">
        <v>72</v>
      </c>
    </row>
    <row r="76" spans="9:15" ht="4.5" customHeight="1" x14ac:dyDescent="0.25"/>
    <row r="77" spans="9:15" x14ac:dyDescent="0.25">
      <c r="K77" s="14" t="s">
        <v>41</v>
      </c>
      <c r="M77" s="15" t="s">
        <v>42</v>
      </c>
    </row>
    <row r="78" spans="9:15" ht="5.0999999999999996" customHeight="1" x14ac:dyDescent="0.25"/>
    <row r="79" spans="9:15" x14ac:dyDescent="0.25">
      <c r="K79" s="11" t="s">
        <v>46</v>
      </c>
      <c r="M79" s="16" t="s">
        <v>44</v>
      </c>
    </row>
    <row r="80" spans="9:15" x14ac:dyDescent="0.25">
      <c r="M80" s="17" t="str">
        <f>"- General Format in excel"</f>
        <v>- General Format in excel</v>
      </c>
    </row>
    <row r="81" spans="11:13" x14ac:dyDescent="0.25">
      <c r="M81" s="17" t="str">
        <f>"- No commas (,) to seperate thousands"</f>
        <v>- No commas (,) to seperate thousands</v>
      </c>
    </row>
    <row r="82" spans="11:13" x14ac:dyDescent="0.25">
      <c r="M82" s="17" t="str">
        <f>"- Zeroes are set as 0 not dashes (-)"</f>
        <v>- Zeroes are set as 0 not dashes (-)</v>
      </c>
    </row>
    <row r="83" spans="11:13" x14ac:dyDescent="0.25">
      <c r="M83" s="18" t="s">
        <v>45</v>
      </c>
    </row>
    <row r="84" spans="11:13" ht="4.5" customHeight="1" x14ac:dyDescent="0.25"/>
    <row r="85" spans="11:13" x14ac:dyDescent="0.25">
      <c r="K85" s="14" t="s">
        <v>41</v>
      </c>
      <c r="M85" s="15" t="s">
        <v>75</v>
      </c>
    </row>
  </sheetData>
  <sheetProtection sheet="1" objects="1" scenarios="1"/>
  <mergeCells count="7">
    <mergeCell ref="A18:C18"/>
    <mergeCell ref="A24:C24"/>
    <mergeCell ref="A51:C51"/>
    <mergeCell ref="A1:C1"/>
    <mergeCell ref="A9:C9"/>
    <mergeCell ref="A27:C27"/>
    <mergeCell ref="A42:C42"/>
  </mergeCells>
  <conditionalFormatting sqref="M71">
    <cfRule type="containsText" dxfId="2" priority="2" operator="containsText" text="approve">
      <formula>NOT(ISERROR(SEARCH("approve",M71)))</formula>
    </cfRule>
    <cfRule type="beginsWith" dxfId="1" priority="3" operator="beginsWith" text="un">
      <formula>LEFT(M71,LEN("un"))="un"</formula>
    </cfRule>
  </conditionalFormatting>
  <conditionalFormatting sqref="M75">
    <cfRule type="notContainsText" dxfId="0" priority="1" operator="notContains" text="PASS">
      <formula>ISERROR(SEARCH("PASS",M75))</formula>
    </cfRule>
  </conditionalFormatting>
  <hyperlinks>
    <hyperlink ref="B20" r:id="rId1" xr:uid="{E1093337-6FD9-42BB-863E-EE26F8F60131}"/>
  </hyperlinks>
  <pageMargins left="0.70866141732283472" right="0.70866141732283472" top="0.74803149606299213" bottom="0.74803149606299213" header="0.31496062992125984" footer="0.31496062992125984"/>
  <pageSetup paperSize="9" scale="83" orientation="landscape" horizontalDpi="0" verticalDpi="0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AA12F-8DC7-4BD1-9880-12F5990EA087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31</v>
      </c>
    </row>
    <row r="6" spans="1:1" x14ac:dyDescent="0.25">
      <c r="A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meas upload costings</vt:lpstr>
      <vt:lpstr>{PL}PickLst</vt:lpstr>
      <vt:lpstr>db_name</vt:lpstr>
      <vt:lpstr>psApp</vt:lpstr>
      <vt:lpstr>psFFType</vt:lpstr>
      <vt:lpstr>psFileName</vt:lpstr>
      <vt:lpstr>psHLYear</vt:lpstr>
      <vt:lpstr>psScenario</vt:lpstr>
      <vt:lpstr>psUser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TM1MeasUploadCAP</vt:lpstr>
      <vt:lpstr>TM1MeasUploadCostingsCAP</vt:lpstr>
      <vt:lpstr>TM1MeasUploadCostingsWB</vt:lpstr>
      <vt:lpstr>TM1MeasUploadCostingsWS</vt:lpstr>
      <vt:lpstr>TM1MeasUploadCostTempCAP</vt:lpstr>
      <vt:lpstr>TM1MeasUploadCostTempWB</vt:lpstr>
      <vt:lpstr>TM1MeasUploadCostTempWS</vt:lpstr>
      <vt:lpstr>TM1MeasUploadTempCAP</vt:lpstr>
      <vt:lpstr>TM1MeasUploadTempWB</vt:lpstr>
      <vt:lpstr>TM1MeasUploadTempWS</vt:lpstr>
      <vt:lpstr>TM1MeasUploadWB</vt:lpstr>
      <vt:lpstr>TM1MeasUploadWS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2025-08-11T02:58:19Z</dcterms:modified>
</cp:coreProperties>
</file>