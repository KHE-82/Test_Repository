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489BAD4-36FB-452D-82D0-69B0245C14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rite offs" sheetId="1" r:id="rId1"/>
    <sheet name="{PL}PickLst" sheetId="2" state="hidden" r:id="rId2"/>
  </sheets>
  <definedNames>
    <definedName name="ae_grpadj_pyflag">'write offs'!$R$78</definedName>
    <definedName name="db_name">'write offs'!$C$12</definedName>
    <definedName name="Freeze_Here">'write offs'!$J$138</definedName>
    <definedName name="grp_newadj_ctrltype">'write offs'!$W$123</definedName>
    <definedName name="grp_per_display">'write offs'!$U$134</definedName>
    <definedName name="psAccTemp">'write offs'!$L$134</definedName>
    <definedName name="psAccType">'write offs'!$C$89</definedName>
    <definedName name="psApp">'write offs'!$C$31</definedName>
    <definedName name="psHLYear">'write offs'!$C$56</definedName>
    <definedName name="psID">'write offs'!$C$58</definedName>
    <definedName name="psJur">'write offs'!$P$134</definedName>
    <definedName name="psProg">'write offs'!$J$134</definedName>
    <definedName name="psProgDimName">'write offs'!$C$27</definedName>
    <definedName name="psRE">'write offs'!$N$134</definedName>
    <definedName name="psScenario">'write offs'!$C$57</definedName>
    <definedName name="psUser">'write offs'!$C$14</definedName>
    <definedName name="sys_perdisplay_list">'write offs'!$G$81:$G$82</definedName>
    <definedName name="TargetCells">'write offs'!$B$138</definedName>
    <definedName name="TM1AdjIDListCAP">'write offs'!$D$37</definedName>
    <definedName name="TM1AdjIDListWB">'write offs'!$F$37</definedName>
    <definedName name="TM1GrpEditAdj01CAP">'write offs'!$D$39</definedName>
    <definedName name="TM1GrpEditAdj01WB">'write offs'!$F$39</definedName>
    <definedName name="TM1GrpEditAdj01WS">'write offs'!$H$39</definedName>
    <definedName name="TM1GrpNewAdj01HeaderCAP">'write offs'!$D$40</definedName>
    <definedName name="TM1GrpNewAdj01HeaderWB">'write offs'!$F$40</definedName>
    <definedName name="TM1GrpNewAdj01HeaderWS">'write offs'!$H$40</definedName>
    <definedName name="TM1GrpNewAdj04CBMSViewCAP">'write offs'!$D$41</definedName>
    <definedName name="TM1GrpNewAdj04CBMSViewWB">'write offs'!$F$41</definedName>
    <definedName name="TM1GrpNewAdj04CBMSViewWS">'write offs'!$H$41</definedName>
    <definedName name="TM1GrpNewAdj05AuthCAP">'write offs'!$D$42</definedName>
    <definedName name="TM1GrpNewAdj05AuthWB">'write offs'!$F$42</definedName>
    <definedName name="TM1GrpNewAdj05AuthWS">'write offs'!$H$42</definedName>
    <definedName name="TM1GrpNewAdj06CopyCAP">'write offs'!$D$43</definedName>
    <definedName name="TM1GrpNewAdj06CopyWB">'write offs'!$F$43</definedName>
    <definedName name="TM1GrpNewAdj06CopyWS">'write offs'!$H$43</definedName>
    <definedName name="TM1GrpNewAdj08RecogDataEntryCAP">'write offs'!$D$44</definedName>
    <definedName name="TM1GrpNewAdj08RecogDataEntryWB">'write offs'!$F$44</definedName>
    <definedName name="TM1GrpNewAdj08RecogDataEntryWS">'write offs'!$H$44</definedName>
    <definedName name="TM1GrpNewAdj09CashRecDataEntryCAP">'write offs'!$D$45</definedName>
    <definedName name="TM1GrpNewAdj09CashRecDataEntryWB">'write offs'!$F$45</definedName>
    <definedName name="TM1GrpNewAdj09CashRecDataEntryWS">'write offs'!$H$45</definedName>
    <definedName name="TM1GrpNewAdj10WriteOffDataEntryCAP">'write offs'!$D$46</definedName>
    <definedName name="TM1GrpNewAdj10WriteOffDataEntryWB">'write offs'!$F$46</definedName>
    <definedName name="TM1GrpNewAdj10WriteOffDataEntryWS">'write offs'!$H$46</definedName>
    <definedName name="TM1GrpNewAdj97UploadCAP">'write offs'!$D$48</definedName>
    <definedName name="TM1GrpNewAdj97UploadWB">'write offs'!$F$48</definedName>
    <definedName name="TM1GrpNewAdj97UploadWS">'write offs'!$H$48</definedName>
    <definedName name="TM1GrpNewAdj98AttachCAP">'write offs'!$D$49</definedName>
    <definedName name="TM1GrpNewAdj98AttachWB">'write offs'!$F$49</definedName>
    <definedName name="TM1GrpNewAdj98AttachWS">'write offs'!$H$49</definedName>
    <definedName name="TM1GrpNewAdj99ValidCAP">'write offs'!$D$50</definedName>
    <definedName name="TM1GrpNewAdj99ValidWB">'write offs'!$F$50</definedName>
    <definedName name="TM1GrpNewAdj99ValidWS">'write offs'!$H$50</definedName>
    <definedName name="TM1GrpViewAdj01HeaderCAP">'write offs'!$D$47</definedName>
    <definedName name="TM1GrpViewAdj01HeaderWB">'write offs'!$F$47</definedName>
    <definedName name="TM1GrpViewAdj01HeaderWS">'write offs'!$H$47</definedName>
    <definedName name="TM1HomeAEAccVarCAP">'write offs'!$D$36</definedName>
    <definedName name="TM1HomeAEAccVarWB">'write offs'!$F$36</definedName>
    <definedName name="TM1HomeAEAccVarWS">'write offs'!$H$36</definedName>
    <definedName name="TM1HomeAECAP">'write offs'!$D$34</definedName>
    <definedName name="TM1HomeAEDataEntryCAP">'write offs'!$D$35</definedName>
    <definedName name="TM1HomeAEDataEntryWB">'write offs'!$F$35</definedName>
    <definedName name="TM1HomeAEDataEntryWS">'write offs'!$H$35</definedName>
    <definedName name="TM1HomeAEWB">'write offs'!$F$34</definedName>
    <definedName name="TM1HomeAEWS">'write offs'!$H$34</definedName>
    <definedName name="TM1HomeCAP">'write offs'!$D$33</definedName>
    <definedName name="TM1HomeWB">'write offs'!$F$33</definedName>
    <definedName name="TM1HomeWS">'write offs'!$H$33</definedName>
    <definedName name="TM1IDListWS">'write offs'!$H$37</definedName>
    <definedName name="TM1NewAdj03AuthCAP">'write offs'!$D$38</definedName>
    <definedName name="TM1NewAdj03AuthWB">'write offs'!$F$38</definedName>
    <definedName name="TM1NewAdj03AuthWS">'write offs'!$H$38</definedName>
    <definedName name="TM1REBUILDOPTION">0</definedName>
    <definedName name="TM1RPTDATARNG1" localSheetId="0">'write offs'!$138:$138</definedName>
    <definedName name="TM1RPTFMTIDCOL" localSheetId="0">'write offs'!$A$1:$A$8</definedName>
    <definedName name="TM1RPTFMTRNG" localSheetId="0">'write offs'!$B$1:$AE$8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C25" i="1" a="1"/>
  <c r="C25" i="1"/>
  <c r="G97" i="1"/>
  <c r="C107" i="1" a="1"/>
  <c r="C107" i="1"/>
  <c r="C97" i="1" a="1"/>
  <c r="C97" i="1"/>
  <c r="C24" i="1" a="1"/>
  <c r="C24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<sst xmlns="http://schemas.openxmlformats.org/spreadsheetml/2006/main" count="348" uniqueCount="303">
  <si>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</si>
  <si>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</si>
  <si>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</si>
  <si>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</si>
  <si>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</si>
  <si>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</si>
  <si>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</si>
  <si>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</si>
  <si>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</si>
  <si>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</si>
  <si>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</si>
  <si>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</si>
  <si>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</si>
  <si>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</si>
  <si>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</si>
  <si>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</si>
  <si>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</si>
  <si>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</si>
  <si>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</si>
  <si>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</si>
  <si>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</si>
  <si>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</si>
  <si>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</si>
  <si>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</si>
  <si>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</si>
  <si>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</si>
  <si>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</si>
  <si>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</si>
  <si>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</si>
  <si>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</si>
  <si>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</si>
  <si>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</si>
  <si>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</si>
  <si>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</si>
  <si>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</si>
  <si>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</si>
  <si>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</si>
  <si>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</si>
  <si>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</si>
  <si>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</si>
  <si>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</si>
  <si>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</si>
  <si>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</si>
  <si>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</si>
  <si>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</si>
  <si>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</si>
  <si>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</si>
  <si>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</si>
  <si>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</si>
  <si>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</si>
  <si>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</si>
  <si>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</si>
  <si>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</si>
  <si>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</si>
  <si>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</si>
  <si>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</si>
  <si>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</si>
  <si>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</si>
  <si>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</si>
  <si>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</si>
  <si>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</si>
  <si>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</si>
  <si>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</si>
  <si>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</si>
  <si>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</si>
  <si>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</si>
  <si>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</si>
  <si>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</si>
  <si>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</si>
  <si>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</si>
  <si>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</si>
  <si>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</si>
  <si>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</si>
  <si>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</si>
  <si>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</si>
  <si>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</si>
  <si>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</si>
  <si>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</si>
  <si>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</si>
  <si>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</si>
  <si>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</si>
  <si>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</si>
  <si>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</si>
  <si>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</si>
  <si>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</si>
  <si>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</si>
  <si>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</si>
  <si>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</si>
  <si>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</si>
  <si>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</si>
  <si>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</si>
  <si>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</si>
  <si>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</si>
  <si>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</si>
  <si>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</si>
  <si>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</si>
  <si>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</si>
  <si>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</si>
  <si>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</si>
  <si>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</si>
  <si>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</si>
  <si>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</si>
  <si>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</si>
  <si>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</si>
  <si>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</si>
  <si>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</si>
  <si>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</si>
  <si>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</si>
  <si>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</si>
  <si>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</si>
  <si>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</si>
  <si>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</si>
  <si>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</si>
  <si>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</si>
  <si>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</si>
  <si>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</si>
  <si>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</si>
  <si>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</si>
  <si>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</si>
  <si>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</si>
  <si>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</si>
  <si>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</si>
  <si>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</si>
  <si>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</si>
  <si>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</si>
  <si>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</si>
  <si>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</si>
  <si>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</si>
  <si>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</si>
  <si>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</si>
  <si>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</si>
  <si>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</si>
  <si>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</si>
  <si>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</si>
  <si>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</si>
  <si>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</si>
  <si>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</si>
  <si>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</si>
  <si>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</si>
  <si>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</si>
  <si>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</si>
  <si>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</si>
  <si>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</si>
  <si>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</si>
  <si>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</si>
  <si>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</si>
  <si>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</si>
  <si>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</si>
  <si>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</si>
  <si>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</si>
  <si>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</si>
  <si>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</si>
  <si>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</si>
  <si>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</si>
  <si>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</si>
  <si>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</si>
  <si>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</si>
  <si>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</si>
  <si>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</si>
  <si>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</si>
  <si>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</si>
  <si>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</si>
  <si>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</si>
  <si>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</si>
  <si>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</si>
  <si>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</si>
  <si>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</si>
  <si>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</si>
  <si>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</si>
  <si>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</si>
  <si>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</si>
  <si>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</si>
  <si>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</si>
  <si>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</si>
  <si>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</si>
  <si>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</si>
  <si>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</si>
  <si>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</si>
  <si>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</si>
  <si>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</si>
  <si>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</si>
  <si>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</si>
  <si>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</si>
  <si>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</si>
  <si>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</si>
  <si>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</si>
  <si>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</si>
  <si>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</si>
  <si>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</si>
  <si>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</si>
  <si>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</si>
  <si>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</si>
  <si>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</si>
  <si>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</si>
  <si>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</si>
  <si>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</si>
  <si>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</si>
  <si>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</si>
  <si>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</si>
  <si>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</si>
  <si>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</si>
  <si>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</si>
  <si>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</si>
  <si>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</si>
  <si>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</si>
  <si>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</si>
  <si>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</si>
  <si>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</si>
  <si>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</si>
  <si>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</si>
  <si>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</si>
  <si>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</si>
  <si>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</si>
  <si>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</si>
  <si>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</si>
  <si>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</si>
  <si>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</si>
  <si>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</si>
  <si>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</si>
  <si>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</si>
  <si>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</si>
  <si>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</si>
  <si>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</si>
  <si>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</si>
  <si>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</si>
  <si>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</si>
  <si>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</si>
  <si>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</si>
  <si>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</si>
  <si>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</si>
  <si>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</si>
  <si>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</si>
  <si>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</si>
  <si>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</si>
  <si>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</si>
  <si>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</si>
  <si>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</si>
  <si>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</si>
  <si>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</si>
  <si>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</si>
  <si>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</si>
  <si>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</si>
  <si>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</si>
  <si>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</si>
  <si>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</si>
  <si>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</si>
  <si>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</si>
  <si>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</si>
  <si>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</si>
  <si>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</si>
  <si>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</si>
  <si>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</si>
  <si>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</si>
  <si>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</si>
  <si>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</si>
  <si>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</si>
  <si>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</si>
  <si>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</si>
  <si>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</si>
  <si>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</si>
  <si>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</si>
  <si>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</si>
  <si>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</si>
  <si>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</si>
  <si>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</si>
  <si>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</si>
  <si>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</si>
  <si>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</si>
  <si>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</si>
  <si>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</si>
  <si>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</si>
  <si>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</si>
  <si>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</si>
  <si>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</si>
  <si>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</si>
  <si>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</si>
  <si>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</si>
  <si>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</si>
  <si>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</si>
  <si>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</si>
  <si>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</si>
  <si>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</si>
  <si>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</si>
  <si>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</si>
  <si>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</si>
  <si>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</si>
  <si>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</si>
  <si>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</si>
  <si>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</si>
  <si>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</si>
  <si>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</si>
  <si>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</si>
  <si>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</si>
  <si>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</si>
  <si>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</si>
  <si>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</si>
  <si>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</si>
  <si>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Write Offs</t>
  </si>
  <si>
    <t>Group Data Entry - New Adj 08 - Recognition</t>
  </si>
  <si>
    <t>Group Data Entry - New Adj 09 - Cash Recoveries</t>
  </si>
  <si>
    <t>Group Data Entry - New Adj 10 - Write Offs</t>
  </si>
  <si>
    <t>Group Adjustment - Write Offs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</si>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</sst>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d6b1e9df_44a8_4c90_863a_ddc2f9df87a3" textlink="TM1HomeCAP">
      <xdr:nvSpPr>
        <xdr:cNvPr id="2" name="TM1Button_d6b1e9df_44a8_4c90_863a_ddc2f9df87a3">
          <a:extLst>
            <a:ext uri="{FF2B5EF4-FFF2-40B4-BE49-F238E27FC236}">
              <a16:creationId xmlns:a16="http://schemas.microsoft.com/office/drawing/2014/main" id="{59C79335-5A6F-9B67-595C-BE92017C0DF3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DD562F-8747-4F80-B1F8-7ACFD96EBAE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9f5b67bb_36e9_412a_a501_f6e74c18d29d" textlink="TM1GrpNewAdj99ValidCAP">
      <xdr:nvSpPr>
        <xdr:cNvPr id="3" name="TM1Button_9f5b67bb_36e9_412a_a501_f6e74c18d29d">
          <a:extLst>
            <a:ext uri="{FF2B5EF4-FFF2-40B4-BE49-F238E27FC236}">
              <a16:creationId xmlns:a16="http://schemas.microsoft.com/office/drawing/2014/main" id="{FD61C930-87C6-4626-448A-26B1802DC8C2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2D96C4-5066-4402-98E9-2FF76A8A9F0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8a6c1e3f_562b_4cda_9eab_43aa99e9e5d9" textlink="TM1GrpViewAdj01HeaderCAP">
      <xdr:nvSpPr>
        <xdr:cNvPr id="4" name="TM1Button_8a6c1e3f_562b_4cda_9eab_43aa99e9e5d9">
          <a:extLst>
            <a:ext uri="{FF2B5EF4-FFF2-40B4-BE49-F238E27FC236}">
              <a16:creationId xmlns:a16="http://schemas.microsoft.com/office/drawing/2014/main" id="{4429C767-337F-5750-EEBC-E0C4A60E6492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42D3DE3-263E-4E94-80DC-B05568FE9A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103ad3ce_4811_4fd0_b4f9_3fe565f363ec" textlink="">
      <xdr:nvSpPr>
        <xdr:cNvPr id="5" name="TM1Button_103ad3ce_4811_4fd0_b4f9_3fe565f363ec">
          <a:extLst>
            <a:ext uri="{FF2B5EF4-FFF2-40B4-BE49-F238E27FC236}">
              <a16:creationId xmlns:a16="http://schemas.microsoft.com/office/drawing/2014/main" id="{87C2B4EE-E703-8AB9-8AD7-2E645FA79C1A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Recoveries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26a14afa_f113_4142_b037_24b7c77dbc4d" textlink="">
      <xdr:nvSpPr>
        <xdr:cNvPr id="6" name="TM1Button_26a14afa_f113_4142_b037_24b7c77dbc4d">
          <a:extLst>
            <a:ext uri="{FF2B5EF4-FFF2-40B4-BE49-F238E27FC236}">
              <a16:creationId xmlns:a16="http://schemas.microsoft.com/office/drawing/2014/main" id="{B5F6A776-B9A5-8326-BDEF-691BAA429CE8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9f275600_1650_42c7_8acb_9024399caac4" textlink="">
      <xdr:nvSpPr>
        <xdr:cNvPr id="7" name="TM1Button_9f275600_1650_42c7_8acb_9024399caac4">
          <a:extLst>
            <a:ext uri="{FF2B5EF4-FFF2-40B4-BE49-F238E27FC236}">
              <a16:creationId xmlns:a16="http://schemas.microsoft.com/office/drawing/2014/main" id="{2493C5D0-4E93-A549-43A6-B9C84C87A8E3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96fcdfcd_8147_4fb6_aac1_c3780e863547" textlink="">
      <xdr:nvSpPr>
        <xdr:cNvPr id="8" name="TM1Button_96fcdfcd_8147_4fb6_aac1_c3780e863547">
          <a:extLst>
            <a:ext uri="{FF2B5EF4-FFF2-40B4-BE49-F238E27FC236}">
              <a16:creationId xmlns:a16="http://schemas.microsoft.com/office/drawing/2014/main" id="{E71084EE-BE91-A1E1-9410-15A5DCCB58EF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cf16d71a_f523_4622_a121_acdd09814519" textlink="">
      <xdr:nvSpPr>
        <xdr:cNvPr id="9" name="TM1Button_cf16d71a_f523_4622_a121_acdd09814519">
          <a:extLst>
            <a:ext uri="{FF2B5EF4-FFF2-40B4-BE49-F238E27FC236}">
              <a16:creationId xmlns:a16="http://schemas.microsoft.com/office/drawing/2014/main" id="{43E45A5E-CD0D-3574-76D7-992AB54F73CC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c0ea1753_b75e_42a5_8312_b96dbe067e06" textlink="TM1AdjIDListCAP">
      <xdr:nvSpPr>
        <xdr:cNvPr id="10" name="TM1Button_c0ea1753_b75e_42a5_8312_b96dbe067e06">
          <a:extLst>
            <a:ext uri="{FF2B5EF4-FFF2-40B4-BE49-F238E27FC236}">
              <a16:creationId xmlns:a16="http://schemas.microsoft.com/office/drawing/2014/main" id="{71963B2C-94D4-B282-F0D3-89791BF1468D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57B49A-21C3-4A4E-840A-4EC91D3CE75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75fea635_0121_43dc_abf8_eb37d9cf615f" textlink="TM1GrpNewAdj05AuthCAP">
      <xdr:nvSpPr>
        <xdr:cNvPr id="11" name="TM1Button_75fea635_0121_43dc_abf8_eb37d9cf615f">
          <a:extLst>
            <a:ext uri="{FF2B5EF4-FFF2-40B4-BE49-F238E27FC236}">
              <a16:creationId xmlns:a16="http://schemas.microsoft.com/office/drawing/2014/main" id="{E88C3A42-3089-D6F9-5905-EB80F8ED39AB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20F6B5-E56C-434D-BAF7-A364A76DAD0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f704347d_d26d_4f27_8d34_b352a6ea6185" textlink="">
      <xdr:nvSpPr>
        <xdr:cNvPr id="12" name="TM1Button_f704347d_d26d_4f27_8d34_b352a6ea6185">
          <a:extLst>
            <a:ext uri="{FF2B5EF4-FFF2-40B4-BE49-F238E27FC236}">
              <a16:creationId xmlns:a16="http://schemas.microsoft.com/office/drawing/2014/main" id="{A8395A53-DA1C-75C0-46A7-9F5D088C3537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c1cb08f0_365b_4365_87b5_c2b2eedf45e3" textlink="">
      <xdr:nvSpPr>
        <xdr:cNvPr id="13" name="TM1Button_c1cb08f0_365b_4365_87b5_c2b2eedf45e3">
          <a:extLst>
            <a:ext uri="{FF2B5EF4-FFF2-40B4-BE49-F238E27FC236}">
              <a16:creationId xmlns:a16="http://schemas.microsoft.com/office/drawing/2014/main" id="{D96612FD-2FC0-E655-D50A-728C9181E142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Recognition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810030be_f9d6_4582_9ca3_4411a811a620" textlink="">
      <xdr:nvSpPr>
        <xdr:cNvPr id="14" name="TM1Button_810030be_f9d6_4582_9ca3_4411a811a620">
          <a:extLst>
            <a:ext uri="{FF2B5EF4-FFF2-40B4-BE49-F238E27FC236}">
              <a16:creationId xmlns:a16="http://schemas.microsoft.com/office/drawing/2014/main" id="{16055C4C-4A22-836B-0BE9-C757A54913B3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Write Offs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015cc76f_f652_450c_afae_ddf2444858be" textlink="TM1GrpNewAdj98AttachCAP">
      <xdr:nvSpPr>
        <xdr:cNvPr id="15" name="TM1Button_015cc76f_f652_450c_afae_ddf2444858be">
          <a:extLst>
            <a:ext uri="{FF2B5EF4-FFF2-40B4-BE49-F238E27FC236}">
              <a16:creationId xmlns:a16="http://schemas.microsoft.com/office/drawing/2014/main" id="{230B453D-43B1-BE35-3B81-D9B2A6AA7962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23A256B-B685-4B6C-A6A4-DF60ADA7568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50" t="s">
        <v>86</v>
      </c>
      <c r="C11" s="51"/>
      <c r="D11" s="5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302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str" cm="1">
        <f t="array" ref="C13">_xll.VIEW(db_name&amp;":}ElementAttributes_}Clients","!","!")</f>
        <v>finance_geus:}ElementAttributes_}Clients:1264217196-878686306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str" cm="1">
        <f t="array" aca="1" ref="C14" ca="1">_xll.TM1USER(db_name)</f>
        <v>RECALC_0_100_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str" cm="1">
        <f t="array" aca="1" ref="C15" ca="1">_xll.DBR($C$13,$C$14,$B15)</f>
        <v>RECALC_1_101_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str" cm="1">
        <f t="array" aca="1" ref="C16" ca="1">_xll.DBR($C$13,$C$14,$B16)</f>
        <v>RECALC_1_232_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str">
        <f ca="1">IF(LEFT($C$15,6)="CAM_AD",$C$16,$C$15)</f>
        <v>RECALC_1_101_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50" t="s">
        <v>87</v>
      </c>
      <c r="C19" s="51"/>
      <c r="D19" s="5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str" cm="1">
        <f t="array" ref="C20">_xll.VIEW(db_name&amp;":}ElementAttributes_variables","!","!")</f>
        <v>finance_geus:}ElementAttributes_variables:1264217196-1531437872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str" cm="1">
        <f t="array" aca="1" ref="C21" ca="1">_xll.DBR($C$20,$B21,"value")</f>
        <v>RECALC_0_231_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str" cm="1">
        <f t="array" aca="1" ref="C22" ca="1">_xll.DBR($C$20,$B22,"value")</f>
        <v>RECALC_0_230_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str" cm="1">
        <f t="array" aca="1" ref="C23" ca="1">_xll.DBR($C$20,$B23,"value")</f>
        <v>RECALC_0_229_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str" cm="1">
        <f t="array" aca="1" ref="C24" ca="1">_xll.DBR($C$20,$B24,"value")</f>
        <v>RECALC_0_228_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str" cm="1">
        <f t="array" aca="1" ref="C25" ca="1">_xll.DBR($C$20,$B25,"value")</f>
        <v>RECALC_0_227_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str" cm="1">
        <f t="array" aca="1" ref="C26" ca="1">_xll.DBR($C$20,$B26,"value")</f>
        <v>RECALC_0_226_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132</v>
      </c>
      <c r="C27" s="7" t="str" cm="1">
        <f t="array" aca="1" ref="C27" ca="1">_xll.DBR($C$20,$B27,"value")</f>
        <v>RECALC_0_782_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50" t="s">
        <v>95</v>
      </c>
      <c r="C29" s="51"/>
      <c r="D29" s="5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str">
        <f>_xll.VIEW(db_name&amp;":sys_application","!","!")</f>
        <v>finance_geus:sys_application:12642171961327152469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str" cm="1">
        <f t="array" aca="1" ref="C33" ca="1">_xll.DBR($C$30,$B33,C$32)</f>
        <v>RECALC_0_83_</v>
      </c>
      <c r="D33" s="7" t="str" cm="1">
        <f t="array" aca="1" ref="D33" ca="1">_xll.DBR($C$30,$B33,D$32)</f>
        <v>RECALC_0_82_</v>
      </c>
      <c r="E33" s="7" t="str" cm="1">
        <f t="array" aca="1" ref="E33" ca="1">_xll.DBR($C$30,$B33,E$32)</f>
        <v>RECALC_0_81_</v>
      </c>
      <c r="F33" s="7" t="str" cm="1">
        <f t="array" aca="1" ref="F33" ca="1">_xll.DBR($C$30,$B33,F$32)</f>
        <v>RECALC_0_80_</v>
      </c>
      <c r="G33" s="7" t="str" cm="1">
        <f t="array" aca="1" ref="G33" ca="1">_xll.DBR($C$30,$B33,G$32)</f>
        <v>RECALC_0_79_</v>
      </c>
      <c r="H33" s="7" t="str" cm="1">
        <f t="array" aca="1" ref="H33" ca="1">_xll.DBR($C$30,$B33,H$32)</f>
        <v>RECALC_0_78_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str" cm="1">
        <f t="array" aca="1" ref="C34" ca="1">_xll.DBR($C$30,$B34,C$32)</f>
        <v>RECALC_0_77_</v>
      </c>
      <c r="D34" s="7" t="str" cm="1">
        <f t="array" aca="1" ref="D34" ca="1">_xll.DBR($C$30,$B34,D$32)</f>
        <v>RECALC_0_76_</v>
      </c>
      <c r="E34" s="7" t="str" cm="1">
        <f t="array" aca="1" ref="E34" ca="1">_xll.DBR($C$30,$B34,E$32)</f>
        <v>RECALC_0_75_</v>
      </c>
      <c r="F34" s="7" t="str" cm="1">
        <f t="array" aca="1" ref="F34" ca="1">_xll.DBR($C$30,$B34,F$32)</f>
        <v>RECALC_0_74_</v>
      </c>
      <c r="G34" s="7" t="str" cm="1">
        <f t="array" aca="1" ref="G34" ca="1">_xll.DBR($C$30,$B34,G$32)</f>
        <v>RECALC_0_73_</v>
      </c>
      <c r="H34" s="7" t="str" cm="1">
        <f t="array" aca="1" ref="H34" ca="1">_xll.DBR($C$30,$B34,H$32)</f>
        <v>RECALC_0_72_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str" cm="1">
        <f t="array" aca="1" ref="C35" ca="1">_xll.DBR($C$30,$B35,C$32)</f>
        <v>RECALC_0_225_</v>
      </c>
      <c r="D35" s="7" t="str" cm="1">
        <f t="array" aca="1" ref="D35" ca="1">_xll.DBR($C$30,$B35,D$32)</f>
        <v>RECALC_0_224_</v>
      </c>
      <c r="E35" s="7" t="str" cm="1">
        <f t="array" aca="1" ref="E35" ca="1">_xll.DBR($C$30,$B35,E$32)</f>
        <v>RECALC_0_223_</v>
      </c>
      <c r="F35" s="7" t="str" cm="1">
        <f t="array" aca="1" ref="F35" ca="1">_xll.DBR($C$30,$B35,F$32)</f>
        <v>RECALC_0_222_</v>
      </c>
      <c r="G35" s="7" t="str" cm="1">
        <f t="array" aca="1" ref="G35" ca="1">_xll.DBR($C$30,$B35,G$32)</f>
        <v>RECALC_0_221_</v>
      </c>
      <c r="H35" s="7" t="str" cm="1">
        <f t="array" aca="1" ref="H35" ca="1">_xll.DBR($C$30,$B35,H$32)</f>
        <v>RECALC_0_220_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135</v>
      </c>
      <c r="C36" s="7" t="str" cm="1">
        <f t="array" aca="1" ref="C36" ca="1">_xll.DBR($C$30,$B36,C$32)</f>
        <v>RECALC_0_875_</v>
      </c>
      <c r="D36" s="7" t="str" cm="1">
        <f t="array" aca="1" ref="D36" ca="1">_xll.DBR($C$30,$B36,D$32)</f>
        <v>RECALC_0_874_</v>
      </c>
      <c r="E36" s="7" t="str" cm="1">
        <f t="array" aca="1" ref="E36" ca="1">_xll.DBR($C$30,$B36,E$32)</f>
        <v>RECALC_0_873_</v>
      </c>
      <c r="F36" s="7" t="str" cm="1">
        <f t="array" aca="1" ref="F36" ca="1">_xll.DBR($C$30,$B36,F$32)</f>
        <v>RECALC_0_872_</v>
      </c>
      <c r="G36" s="7" t="str" cm="1">
        <f t="array" aca="1" ref="G36" ca="1">_xll.DBR($C$30,$B36,G$32)</f>
        <v>RECALC_0_871_</v>
      </c>
      <c r="H36" s="7" t="str" cm="1">
        <f t="array" aca="1" ref="H36" ca="1">_xll.DBR($C$30,$B36,H$32)</f>
        <v>RECALC_0_870_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str" cm="1">
        <f t="array" aca="1" ref="C37" ca="1">_xll.DBR($C$30,$B37,C$32)</f>
        <v>RECALC_0_219_</v>
      </c>
      <c r="D37" s="7" t="str" cm="1">
        <f t="array" aca="1" ref="D37" ca="1">_xll.DBR($C$30,$B37,D$32)</f>
        <v>RECALC_0_218_</v>
      </c>
      <c r="E37" s="7" t="str" cm="1">
        <f t="array" aca="1" ref="E37" ca="1">_xll.DBR($C$30,$B37,E$32)</f>
        <v>RECALC_0_217_</v>
      </c>
      <c r="F37" s="7" t="str" cm="1">
        <f t="array" aca="1" ref="F37" ca="1">_xll.DBR($C$30,$B37,F$32)</f>
        <v>RECALC_0_216_</v>
      </c>
      <c r="G37" s="7" t="str" cm="1">
        <f t="array" aca="1" ref="G37" ca="1">_xll.DBR($C$30,$B37,G$32)</f>
        <v>RECALC_0_215_</v>
      </c>
      <c r="H37" s="7" t="str" cm="1">
        <f t="array" aca="1" ref="H37" ca="1">_xll.DBR($C$30,$B37,H$32)</f>
        <v>RECALC_0_214_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str" cm="1">
        <f t="array" aca="1" ref="C38" ca="1">_xll.DBR($C$30,$B38,C$32)</f>
        <v>RECALC_0_2108_</v>
      </c>
      <c r="D38" s="7" t="str" cm="1">
        <f t="array" aca="1" ref="D38" ca="1">_xll.DBR($C$30,$B38,D$32)</f>
        <v>RECALC_0_2107_</v>
      </c>
      <c r="E38" s="7" t="str" cm="1">
        <f t="array" aca="1" ref="E38" ca="1">_xll.DBR($C$30,$B38,E$32)</f>
        <v>RECALC_0_2106_</v>
      </c>
      <c r="F38" s="7" t="str" cm="1">
        <f t="array" aca="1" ref="F38" ca="1">_xll.DBR($C$30,$B38,F$32)</f>
        <v>RECALC_0_2082_</v>
      </c>
      <c r="G38" s="7" t="str" cm="1">
        <f t="array" aca="1" ref="G38" ca="1">_xll.DBR($C$30,$B38,G$32)</f>
        <v>RECALC_0_2105_</v>
      </c>
      <c r="H38" s="7" t="str" cm="1">
        <f t="array" aca="1" ref="H38" ca="1">_xll.DBR($C$30,$B38,H$32)</f>
        <v>RECALC_0_2081_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str" cm="1">
        <f t="array" aca="1" ref="C39" ca="1">_xll.DBR($C$30,$B39,C$32)</f>
        <v>RECALC_0_865_</v>
      </c>
      <c r="D39" s="7" t="str" cm="1">
        <f t="array" aca="1" ref="D39" ca="1">_xll.DBR($C$30,$B39,D$32)</f>
        <v>RECALC_0_864_</v>
      </c>
      <c r="E39" s="7" t="str" cm="1">
        <f t="array" aca="1" ref="E39" ca="1">_xll.DBR($C$30,$B39,E$32)</f>
        <v>RECALC_0_863_</v>
      </c>
      <c r="F39" s="7" t="str" cm="1">
        <f t="array" aca="1" ref="F39" ca="1">_xll.DBR($C$30,$B39,F$32)</f>
        <v>RECALC_0_862_</v>
      </c>
      <c r="G39" s="7" t="str" cm="1">
        <f t="array" aca="1" ref="G39" ca="1">_xll.DBR($C$30,$B39,G$32)</f>
        <v>RECALC_0_861_</v>
      </c>
      <c r="H39" s="7" t="str" cm="1">
        <f t="array" aca="1" ref="H39" ca="1">_xll.DBR($C$30,$B39,H$32)</f>
        <v>RECALC_0_860_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str" cm="1">
        <f t="array" aca="1" ref="C40" ca="1">_xll.DBR($C$30,$B40,C$32)</f>
        <v>RECALC_0_2318_</v>
      </c>
      <c r="D40" s="7" t="str" cm="1">
        <f t="array" aca="1" ref="D40" ca="1">_xll.DBR($C$30,$B40,D$32)</f>
        <v>RECALC_0_2317_</v>
      </c>
      <c r="E40" s="7" t="str" cm="1">
        <f t="array" aca="1" ref="E40" ca="1">_xll.DBR($C$30,$B40,E$32)</f>
        <v>RECALC_0_2316_</v>
      </c>
      <c r="F40" s="7" t="str" cm="1">
        <f t="array" aca="1" ref="F40" ca="1">_xll.DBR($C$30,$B40,F$32)</f>
        <v>RECALC_0_2315_</v>
      </c>
      <c r="G40" s="7" t="str" cm="1">
        <f t="array" aca="1" ref="G40" ca="1">_xll.DBR($C$30,$B40,G$32)</f>
        <v>RECALC_0_2314_</v>
      </c>
      <c r="H40" s="7" t="str" cm="1">
        <f t="array" aca="1" ref="H40" ca="1">_xll.DBR($C$30,$B40,H$32)</f>
        <v>RECALC_0_2313_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str" cm="1">
        <f t="array" aca="1" ref="C41" ca="1">_xll.DBR($C$30,$B41,C$32)</f>
        <v>RECALC_0_2306_</v>
      </c>
      <c r="D41" s="7" t="str" cm="1">
        <f t="array" aca="1" ref="D41" ca="1">_xll.DBR($C$30,$B41,D$32)</f>
        <v>RECALC_0_2305_</v>
      </c>
      <c r="E41" s="7" t="str" cm="1">
        <f t="array" aca="1" ref="E41" ca="1">_xll.DBR($C$30,$B41,E$32)</f>
        <v>RECALC_0_2304_</v>
      </c>
      <c r="F41" s="7" t="str" cm="1">
        <f t="array" aca="1" ref="F41" ca="1">_xll.DBR($C$30,$B41,F$32)</f>
        <v>RECALC_0_2303_</v>
      </c>
      <c r="G41" s="7" t="str" cm="1">
        <f t="array" aca="1" ref="G41" ca="1">_xll.DBR($C$30,$B41,G$32)</f>
        <v>RECALC_0_2302_</v>
      </c>
      <c r="H41" s="7" t="str" cm="1">
        <f t="array" aca="1" ref="H41" ca="1">_xll.DBR($C$30,$B41,H$32)</f>
        <v>RECALC_0_2301_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290</v>
      </c>
      <c r="C42" s="7" t="str" cm="1">
        <f t="array" aca="1" ref="C42" ca="1">_xll.DBR($C$30,$B42,C$32)</f>
        <v>RECALC_0_2213_</v>
      </c>
      <c r="D42" s="7" t="str" cm="1">
        <f t="array" aca="1" ref="D42" ca="1">_xll.DBR($C$30,$B42,D$32)</f>
        <v>RECALC_0_2212_</v>
      </c>
      <c r="E42" s="7" t="str" cm="1">
        <f t="array" aca="1" ref="E42" ca="1">_xll.DBR($C$30,$B42,E$32)</f>
        <v>RECALC_0_2211_</v>
      </c>
      <c r="F42" s="7" t="str" cm="1">
        <f t="array" aca="1" ref="F42" ca="1">_xll.DBR($C$30,$B42,F$32)</f>
        <v>RECALC_0_2209_</v>
      </c>
      <c r="G42" s="7" t="str" cm="1">
        <f t="array" aca="1" ref="G42" ca="1">_xll.DBR($C$30,$B42,G$32)</f>
        <v>RECALC_0_2210_</v>
      </c>
      <c r="H42" s="7" t="str" cm="1">
        <f t="array" aca="1" ref="H42" ca="1">_xll.DBR($C$30,$B42,H$32)</f>
        <v>RECALC_0_2208_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293</v>
      </c>
      <c r="C43" s="7" t="str" cm="1">
        <f t="array" aca="1" ref="C43" ca="1">_xll.DBR($C$30,$B43,C$32)</f>
        <v>RECALC_0_2300_</v>
      </c>
      <c r="D43" s="7" t="str" cm="1">
        <f t="array" aca="1" ref="D43" ca="1">_xll.DBR($C$30,$B43,D$32)</f>
        <v>RECALC_0_2299_</v>
      </c>
      <c r="E43" s="7" t="str" cm="1">
        <f t="array" aca="1" ref="E43" ca="1">_xll.DBR($C$30,$B43,E$32)</f>
        <v>RECALC_0_2298_</v>
      </c>
      <c r="F43" s="7" t="str" cm="1">
        <f t="array" aca="1" ref="F43" ca="1">_xll.DBR($C$30,$B43,F$32)</f>
        <v>RECALC_0_2297_</v>
      </c>
      <c r="G43" s="7" t="str" cm="1">
        <f t="array" aca="1" ref="G43" ca="1">_xll.DBR($C$30,$B43,G$32)</f>
        <v>RECALC_0_2296_</v>
      </c>
      <c r="H43" s="7" t="str" cm="1">
        <f t="array" aca="1" ref="H43" ca="1">_xll.DBR($C$30,$B43,H$32)</f>
        <v>RECALC_0_2295_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298</v>
      </c>
      <c r="C44" s="7" t="str" cm="1">
        <f t="array" aca="1" ref="C44" ca="1">_xll.DBR($C$30,$B44,C$32)</f>
        <v>RECALC_0_858_</v>
      </c>
      <c r="D44" s="7" t="str" cm="1">
        <f t="array" aca="1" ref="D44" ca="1">_xll.DBR($C$30,$B44,D$32)</f>
        <v>RECALC_0_857_</v>
      </c>
      <c r="E44" s="7" t="str" cm="1">
        <f t="array" aca="1" ref="E44" ca="1">_xll.DBR($C$30,$B44,E$32)</f>
        <v>RECALC_0_856_</v>
      </c>
      <c r="F44" s="7" t="str" cm="1">
        <f t="array" aca="1" ref="F44" ca="1">_xll.DBR($C$30,$B44,F$32)</f>
        <v>RECALC_0_853_</v>
      </c>
      <c r="G44" s="7" t="str" cm="1">
        <f t="array" aca="1" ref="G44" ca="1">_xll.DBR($C$30,$B44,G$32)</f>
        <v>RECALC_0_855_</v>
      </c>
      <c r="H44" s="7" t="str" cm="1">
        <f t="array" aca="1" ref="H44" ca="1">_xll.DBR($C$30,$B44,H$32)</f>
        <v>RECALC_0_851_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299</v>
      </c>
      <c r="C45" s="7" t="str" cm="1">
        <f t="array" aca="1" ref="C45" ca="1">_xll.DBR($C$30,$B45,C$32)</f>
        <v>RECALC_0_2349_</v>
      </c>
      <c r="D45" s="7" t="str" cm="1">
        <f t="array" aca="1" ref="D45" ca="1">_xll.DBR($C$30,$B45,D$32)</f>
        <v>RECALC_0_2348_</v>
      </c>
      <c r="E45" s="7" t="str" cm="1">
        <f t="array" aca="1" ref="E45" ca="1">_xll.DBR($C$30,$B45,E$32)</f>
        <v>RECALC_0_2347_</v>
      </c>
      <c r="F45" s="7" t="str" cm="1">
        <f t="array" aca="1" ref="F45" ca="1">_xll.DBR($C$30,$B45,F$32)</f>
        <v>RECALC_0_2346_</v>
      </c>
      <c r="G45" s="7" t="str" cm="1">
        <f t="array" aca="1" ref="G45" ca="1">_xll.DBR($C$30,$B45,G$32)</f>
        <v>RECALC_0_2345_</v>
      </c>
      <c r="H45" s="7" t="str" cm="1">
        <f t="array" aca="1" ref="H45" ca="1">_xll.DBR($C$30,$B45,H$32)</f>
        <v>RECALC_0_2344_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str" cm="1">
        <f t="array" aca="1" ref="C46" ca="1">_xll.DBR($C$30,$B46,C$32)</f>
        <v>RECALC_0_2343_</v>
      </c>
      <c r="D46" s="7" t="str" cm="1">
        <f t="array" aca="1" ref="D46" ca="1">_xll.DBR($C$30,$B46,D$32)</f>
        <v>RECALC_0_2342_</v>
      </c>
      <c r="E46" s="7" t="str" cm="1">
        <f t="array" aca="1" ref="E46" ca="1">_xll.DBR($C$30,$B46,E$32)</f>
        <v>RECALC_0_2341_</v>
      </c>
      <c r="F46" s="7" t="str" cm="1">
        <f t="array" aca="1" ref="F46" ca="1">_xll.DBR($C$30,$B46,F$32)</f>
        <v>RECALC_0_2340_</v>
      </c>
      <c r="G46" s="7" t="str" cm="1">
        <f t="array" aca="1" ref="G46" ca="1">_xll.DBR($C$30,$B46,G$32)</f>
        <v>RECALC_0_2339_</v>
      </c>
      <c r="H46" s="7" t="str" cm="1">
        <f t="array" aca="1" ref="H46" ca="1">_xll.DBR($C$30,$B46,H$32)</f>
        <v>RECALC_0_2338_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114</v>
      </c>
      <c r="C47" s="7" t="str" cm="1">
        <f t="array" aca="1" ref="C47" ca="1">_xll.DBR($C$30,$B47,C$32)</f>
        <v>RECALC_0_29_</v>
      </c>
      <c r="D47" s="7" t="str" cm="1">
        <f t="array" aca="1" ref="D47" ca="1">_xll.DBR($C$30,$B47,D$32)</f>
        <v>RECALC_0_28_</v>
      </c>
      <c r="E47" s="7" t="str" cm="1">
        <f t="array" aca="1" ref="E47" ca="1">_xll.DBR($C$30,$B47,E$32)</f>
        <v>RECALC_0_27_</v>
      </c>
      <c r="F47" s="7" t="str" cm="1">
        <f t="array" aca="1" ref="F47" ca="1">_xll.DBR($C$30,$B47,F$32)</f>
        <v>RECALC_0_26_</v>
      </c>
      <c r="G47" s="7" t="str" cm="1">
        <f t="array" aca="1" ref="G47" ca="1">_xll.DBR($C$30,$B47,G$32)</f>
        <v>RECALC_0_25_</v>
      </c>
      <c r="H47" s="7" t="str" cm="1">
        <f t="array" aca="1" ref="H47" ca="1">_xll.DBR($C$30,$B47,H$32)</f>
        <v>RECALC_0_24_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115</v>
      </c>
      <c r="C48" s="7" t="str" cm="1">
        <f t="array" aca="1" ref="C48" ca="1">_xll.DBR($C$30,$B48,C$32)</f>
        <v>RECALC_0_2294_</v>
      </c>
      <c r="D48" s="7" t="str" cm="1">
        <f t="array" aca="1" ref="D48" ca="1">_xll.DBR($C$30,$B48,D$32)</f>
        <v>RECALC_0_2293_</v>
      </c>
      <c r="E48" s="7" t="str" cm="1">
        <f t="array" aca="1" ref="E48" ca="1">_xll.DBR($C$30,$B48,E$32)</f>
        <v>RECALC_0_2292_</v>
      </c>
      <c r="F48" s="7" t="str" cm="1">
        <f t="array" aca="1" ref="F48" ca="1">_xll.DBR($C$30,$B48,F$32)</f>
        <v>RECALC_0_2291_</v>
      </c>
      <c r="G48" s="7" t="str" cm="1">
        <f t="array" aca="1" ref="G48" ca="1">_xll.DBR($C$30,$B48,G$32)</f>
        <v>RECALC_0_2290_</v>
      </c>
      <c r="H48" s="7" t="str" cm="1">
        <f t="array" aca="1" ref="H48" ca="1">_xll.DBR($C$30,$B48,H$32)</f>
        <v>RECALC_0_2289_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116</v>
      </c>
      <c r="C49" s="7" t="str" cm="1">
        <f t="array" aca="1" ref="C49" ca="1">_xll.DBR($C$30,$B49,C$32)</f>
        <v>RECALC_0_2288_</v>
      </c>
      <c r="D49" s="7" t="str" cm="1">
        <f t="array" aca="1" ref="D49" ca="1">_xll.DBR($C$30,$B49,D$32)</f>
        <v>RECALC_0_2287_</v>
      </c>
      <c r="E49" s="7" t="str" cm="1">
        <f t="array" aca="1" ref="E49" ca="1">_xll.DBR($C$30,$B49,E$32)</f>
        <v>RECALC_0_2286_</v>
      </c>
      <c r="F49" s="7" t="str" cm="1">
        <f t="array" aca="1" ref="F49" ca="1">_xll.DBR($C$30,$B49,F$32)</f>
        <v>RECALC_0_2285_</v>
      </c>
      <c r="G49" s="7" t="str" cm="1">
        <f t="array" aca="1" ref="G49" ca="1">_xll.DBR($C$30,$B49,G$32)</f>
        <v>RECALC_0_2284_</v>
      </c>
      <c r="H49" s="7" t="str" cm="1">
        <f t="array" aca="1" ref="H49" ca="1">_xll.DBR($C$30,$B49,H$32)</f>
        <v>RECALC_0_2283_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117</v>
      </c>
      <c r="C50" s="7" t="str" cm="1">
        <f t="array" aca="1" ref="C50" ca="1">_xll.DBR($C$30,$B50,C$32)</f>
        <v>RECALC_0_2282_</v>
      </c>
      <c r="D50" s="7" t="str" cm="1">
        <f t="array" aca="1" ref="D50" ca="1">_xll.DBR($C$30,$B50,D$32)</f>
        <v>RECALC_0_2281_</v>
      </c>
      <c r="E50" s="7" t="str" cm="1">
        <f t="array" aca="1" ref="E50" ca="1">_xll.DBR($C$30,$B50,E$32)</f>
        <v>RECALC_0_2280_</v>
      </c>
      <c r="F50" s="7" t="str" cm="1">
        <f t="array" aca="1" ref="F50" ca="1">_xll.DBR($C$30,$B50,F$32)</f>
        <v>RECALC_0_2279_</v>
      </c>
      <c r="G50" s="7" t="str" cm="1">
        <f t="array" aca="1" ref="G50" ca="1">_xll.DBR($C$30,$B50,G$32)</f>
        <v>RECALC_0_2278_</v>
      </c>
      <c r="H50" s="7" t="str" cm="1">
        <f t="array" aca="1" ref="H50" ca="1">_xll.DBR($C$30,$B50,H$32)</f>
        <v>RECALC_0_2277_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50" t="s">
        <v>118</v>
      </c>
      <c r="C52" s="51"/>
      <c r="D52" s="5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str" cm="1">
        <f t="array" ref="C53">_xll.VIEW(db_name&amp;":sys_client preference","!","!","!")</f>
        <v>finance_geus:sys_client preference:12642171961033949153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119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120</v>
      </c>
      <c r="C55" s="7" t="str" cm="1">
        <f t="array" aca="1" ref="C55" ca="1">_xll.SUBNM(db_name&amp;":sys_client preference measure","","value")</f>
        <v>RECALC_0_189_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121</v>
      </c>
      <c r="C56" s="7" t="str" cm="1">
        <f t="array" aca="1" ref="C56" ca="1">_xll.DBR($C$53,psUser,$B56,C$54)</f>
        <v>RECALC_1_416_</v>
      </c>
      <c r="D56" s="7" t="str" cm="1">
        <f t="array" aca="1" ref="D56" ca="1">_xll.DBR($C$53,psUser,$B56,D$54)</f>
        <v>RECALC_1_415_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122</v>
      </c>
      <c r="C57" s="7" t="str" cm="1">
        <f t="array" aca="1" ref="C57" ca="1">_xll.DBR($C$53,psUser,$B57,C$54)</f>
        <v>RECALC_1_414_</v>
      </c>
      <c r="D57" s="7" t="str" cm="1">
        <f t="array" aca="1" ref="D57" ca="1">_xll.DBR($C$53,psUser,$B57,D$54)</f>
        <v>RECALC_1_413_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123</v>
      </c>
      <c r="C58" s="7" t="str" cm="1">
        <f t="array" aca="1" ref="C58" ca="1">TRIM(_xll.DBR($C$53,psUser,$B58,C$54))</f>
        <v>RECALC_1_412_</v>
      </c>
      <c r="D58" s="7" t="str" cm="1">
        <f t="array" aca="1" ref="D58" ca="1">_xll.DBR($C$53,psUser,$B58,D$54)</f>
        <v>RECALC_1_411_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124</v>
      </c>
      <c r="C59" s="7" t="str" cm="1">
        <f t="array" aca="1" ref="C59" ca="1">_xll.DBR($C$53,psUser,$B59,C$54)</f>
        <v>RECALC_1_2270_</v>
      </c>
      <c r="D59" s="7" t="str" cm="1">
        <f t="array" aca="1" ref="D59" ca="1">_xll.DBR($C$53,psUser,$B59,D$54)</f>
        <v>RECALC_1_2276_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125</v>
      </c>
      <c r="C60" s="7" t="str" cm="1">
        <f t="array" aca="1" ref="C60" ca="1">_xll.DBR($C$53,psUser,$B60,C$54)</f>
        <v>RECALC_1_2261_</v>
      </c>
      <c r="D60" s="7" t="str" cm="1">
        <f t="array" aca="1" ref="D60" ca="1">_xll.DBR($C$53,psUser,$B60,D$54)</f>
        <v>RECALC_1_2275_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265</v>
      </c>
      <c r="C61" s="7" t="str" cm="1">
        <f t="array" aca="1" ref="C61" ca="1">_xll.DBR($C$53,psUser,$B61,C$54)</f>
        <v>RECALC_1_2260_</v>
      </c>
      <c r="D61" s="7" t="str" cm="1">
        <f t="array" aca="1" ref="D61" ca="1">_xll.DBR($C$53,psUser,$B61,D$54)</f>
        <v>RECALC_1_2274_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266</v>
      </c>
      <c r="C62" s="7" t="str" cm="1">
        <f t="array" aca="1" ref="C62" ca="1">_xll.DBR($C$53,psUser,$B62,C$54)</f>
        <v>RECALC_1_2259_</v>
      </c>
      <c r="D62" s="7" t="str" cm="1">
        <f t="array" aca="1" ref="D62" ca="1">_xll.DBR($C$53,psUser,$B62,D$54)</f>
        <v>RECALC_1_2273_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50" t="s">
        <v>126</v>
      </c>
      <c r="C64" s="51"/>
      <c r="D64" s="5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str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finance_geus:AE group adjustment entry:1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str" cm="1">
        <f t="array" aca="1" ref="C66" ca="1">_xll.VIEW(db_name&amp;":AE group adjustment entry",$C$56,$C$57,$E$81,$C$87,"!","!",$E$83,"!",$E$82,"!","!","!")</f>
        <v>finance_geus:AE group adjustment entry:1264217196866294856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str">
        <f ca="1">"{TM1FILTERBYLEVEL( {TM1DRILLDOWNMEMBER( {[programme].[" &amp; $C$84 &amp; " programmes]}, ALL, RECURSIVE )}, 0)}"</f>
        <v>{TM1FILTERBYLEVEL( {TM1DRILLDOWNMEMBER( {[programme].[RECALC_2_2253_ programmes]}, ALL, RECURSIVE )}, 0)}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50" t="s">
        <v>291</v>
      </c>
      <c r="C72" s="51"/>
      <c r="D72" s="5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str">
        <f ca="1">_xll.SUBNM(db_name&amp;":headline year","",psHLYear)</f>
        <v>RECALC_2_2244_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292</v>
      </c>
      <c r="C74" s="7" t="str">
        <f ca="1">_xll.SUBNM(db_name&amp;":scenario","",psScenario)</f>
        <v>RECALC_2_2243_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str">
        <f ca="1">$C$58</f>
        <v>RECALC_1_412_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46" t="s">
        <v>42</v>
      </c>
      <c r="C79" s="46"/>
      <c r="D79" s="47" t="s">
        <v>43</v>
      </c>
      <c r="E79" s="4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str" cm="1">
        <f t="array" aca="1" ref="C80" ca="1">_xll.VIEW(db_name&amp;":AE id details",$C$56,$C$57,$C$58,"!")</f>
        <v>finance_geus:AE id details:12642171961549351726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str" cm="1">
        <f t="array" aca="1" ref="C81" ca="1">_xll.DBR($C$80,$C$56,$C$57,$C$58,$B81)</f>
        <v>RECALC_2_2086_</v>
      </c>
      <c r="D81" s="7" t="s">
        <v>48</v>
      </c>
      <c r="E81" s="7" t="str" cm="1">
        <f t="array" aca="1" ref="E81" ca="1">_xll.SUBNM(db_name&amp;":status","",$E$86)</f>
        <v>RECALC_3_2251_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str" cm="1">
        <f t="array" aca="1" ref="C82" ca="1">_xll.DBR($C$80,$C$56,$C$57,$C$58,$B82)</f>
        <v>RECALC_2_2085_</v>
      </c>
      <c r="D82" s="7" t="s">
        <v>50</v>
      </c>
      <c r="E82" s="7" t="str">
        <f ca="1">_xll.SUBNM(db_name&amp;":id","",$C$58)</f>
        <v>RECALC_2_2096_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str" cm="1">
        <f t="array" aca="1" ref="C83" ca="1">_xll.DBR($C$80,$C$56,$C$57,$C$58,$B83)</f>
        <v>RECALC_2_2090_</v>
      </c>
      <c r="D83" s="7" t="s">
        <v>52</v>
      </c>
      <c r="E83" s="7" t="str" cm="1">
        <f t="array" aca="1" ref="E83" ca="1">_xll.SUBNM(db_name&amp;":account type","",psAccType)</f>
        <v>RECALC_0_2358_</v>
      </c>
      <c r="P83" s="15" t="s">
        <v>295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str" cm="1">
        <f t="array" aca="1" ref="C84" ca="1">_xll.DBR($C$80,$C$56,$C$57,$C$58,$B84)</f>
        <v>RECALC_2_2253_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str" cm="1">
        <f t="array" aca="1" ref="C85" ca="1">_xll.DBR($C$80,$C$56,$C$57,$C$58,$B85)</f>
        <v>RECALC_2_2109_</v>
      </c>
      <c r="D85" s="7"/>
      <c r="E85" s="7"/>
      <c r="P85" s="42" t="s">
        <v>35</v>
      </c>
      <c r="Q85" s="43"/>
      <c r="R85" s="43" t="e">
        <f ca="1">VLOOKUP(grp_per_display,$P$82:$AA$84,3,FALSE)</f>
        <v>#N/A</v>
      </c>
      <c r="S85" s="43" t="e">
        <f ca="1">VLOOKUP(grp_per_display,$P$82:$AA$84,4,FALSE)</f>
        <v>#N/A</v>
      </c>
      <c r="T85" s="43" t="e">
        <f ca="1">VLOOKUP(grp_per_display,$P$82:$AA$84,5,FALSE)</f>
        <v>#N/A</v>
      </c>
      <c r="U85" s="43" t="e">
        <f ca="1">VLOOKUP(grp_per_display,$P$82:$AA$84,6,FALSE)</f>
        <v>#N/A</v>
      </c>
      <c r="V85" s="43" t="e">
        <f ca="1">VLOOKUP(grp_per_display,$P$82:$AA$84,7,FALSE)</f>
        <v>#N/A</v>
      </c>
      <c r="W85" s="43" t="e">
        <f ca="1">VLOOKUP(grp_per_display,$P$82:$AA$84,8,FALSE)</f>
        <v>#N/A</v>
      </c>
      <c r="X85" s="43" t="e">
        <f ca="1">VLOOKUP(grp_per_display,$P$82:$AA$84,9,FALSE)</f>
        <v>#N/A</v>
      </c>
      <c r="Y85" s="43" t="e">
        <f ca="1">VLOOKUP(grp_per_display,$P$82:$AA$84,10,FALSE)</f>
        <v>#N/A</v>
      </c>
      <c r="Z85" s="43" t="e">
        <f ca="1">VLOOKUP(grp_per_display,$P$82:$AA$84,11,FALSE)</f>
        <v>#N/A</v>
      </c>
      <c r="AA85" s="44" t="e">
        <f ca="1">VLOOKUP(grp_per_display,$P$82:$AA$84,12,FALSE)</f>
        <v>#N/A</v>
      </c>
    </row>
    <row r="86" spans="2:27" customFormat="1" hidden="1" outlineLevel="1" x14ac:dyDescent="0.25">
      <c r="B86" s="6" t="s">
        <v>48</v>
      </c>
      <c r="C86" s="7" t="str" cm="1">
        <f t="array" aca="1" ref="C86" ca="1">_xll.DBR($C$80,$C$56,$C$57,$C$58,$B86)</f>
        <v>RECALC_2_2095_</v>
      </c>
      <c r="D86" s="7"/>
      <c r="E86" s="7" t="str">
        <f ca="1">IF(OR($C$86="draft",LEFT($C$86,2) = "un"),"data",$C$86)</f>
        <v>RECALC_2_2095_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str" cm="1">
        <f t="array" aca="1" ref="C87" ca="1">_xll.DBR($C$80,$C$56,$C$57,$C$58,$B87)</f>
        <v>RECALC_2_2087_</v>
      </c>
      <c r="D87" s="7" t="str" cm="1">
        <f t="array" aca="1" ref="D87" ca="1">_xll.DBRA($C$12&amp;":measure code",$C$87,"CBMS code and description")</f>
        <v>RECALC_3_2272_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str" cm="1">
        <f t="array" aca="1" ref="C88" ca="1">_xll.DBR($C$80,$C$56,$C$57,$C$58,$B88)</f>
        <v>RECALC_2_2088_</v>
      </c>
      <c r="D88" s="7" t="str" cm="1">
        <f t="array" aca="1" ref="D88" ca="1">_xll.DBRA($C$12&amp;":reason",$C$88,"CBMS code and description")</f>
        <v>RECALC_3_2271_</v>
      </c>
      <c r="E88" s="7"/>
      <c r="P88" s="15" t="str">
        <f ca="1">MID($C$56,3,9)</f>
        <v>CALC_1_41</v>
      </c>
      <c r="Q88" s="18"/>
      <c r="R88" s="18" t="e" cm="1">
        <f t="array" aca="1" ref="R88" ca="1">_xll.DIMNM(db_name&amp;":period",_xll.DIMIX(db_name&amp;":period",$P88)+R85)</f>
        <v>#VALUE!</v>
      </c>
      <c r="S88" s="18" t="e" cm="1">
        <f t="array" aca="1" ref="S88" ca="1">_xll.DIMNM(db_name&amp;":period",_xll.DIMIX(db_name&amp;":period",$P88)+S85)</f>
        <v>#VALUE!</v>
      </c>
      <c r="T88" s="18" t="e" cm="1">
        <f t="array" aca="1" ref="T88" ca="1">_xll.DIMNM(db_name&amp;":period",_xll.DIMIX(db_name&amp;":period",$P88)+T85)</f>
        <v>#VALUE!</v>
      </c>
      <c r="U88" s="18" t="e" cm="1">
        <f t="array" aca="1" ref="U88" ca="1">_xll.DIMNM(db_name&amp;":period",_xll.DIMIX(db_name&amp;":period",$P88)+U85)</f>
        <v>#VALUE!</v>
      </c>
      <c r="V88" s="18" t="e" cm="1">
        <f t="array" aca="1" ref="V88" ca="1">_xll.DIMNM(db_name&amp;":period",_xll.DIMIX(db_name&amp;":period",$P88)+V85)</f>
        <v>#VALUE!</v>
      </c>
      <c r="W88" s="18" t="e" cm="1">
        <f t="array" aca="1" ref="W88" ca="1">_xll.DIMNM(db_name&amp;":period",_xll.DIMIX(db_name&amp;":period",$P88)+W85)</f>
        <v>#VALUE!</v>
      </c>
      <c r="X88" s="18" t="e" cm="1">
        <f t="array" aca="1" ref="X88" ca="1">_xll.DIMNM(db_name&amp;":period",_xll.DIMIX(db_name&amp;":period",$P88)+X85)</f>
        <v>#VALUE!</v>
      </c>
      <c r="Y88" s="18" t="e" cm="1">
        <f t="array" aca="1" ref="Y88" ca="1">_xll.DIMNM(db_name&amp;":period",_xll.DIMIX(db_name&amp;":period",$P88)+Y85)</f>
        <v>#VALUE!</v>
      </c>
      <c r="Z88" s="18" t="e" cm="1">
        <f t="array" aca="1" ref="Z88" ca="1">_xll.DIMNM(db_name&amp;":period",_xll.DIMIX(db_name&amp;":period",$P88)+Z85)</f>
        <v>#VALUE!</v>
      </c>
      <c r="AA88" s="19" t="e" cm="1">
        <f t="array" aca="1" ref="AA88" ca="1">_xll.DIMNM(db_name&amp;":period",_xll.DIMIX(db_name&amp;":period",$P88)+AA85)</f>
        <v>#VALUE!</v>
      </c>
    </row>
    <row r="89" spans="2:27" customFormat="1" hidden="1" outlineLevel="1" x14ac:dyDescent="0.25">
      <c r="B89" s="6" t="s">
        <v>57</v>
      </c>
      <c r="C89" s="7" t="s">
        <v>297</v>
      </c>
      <c r="D89" s="7"/>
      <c r="E89" s="7"/>
      <c r="P89" s="40" t="s">
        <v>127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128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46" t="s">
        <v>133</v>
      </c>
      <c r="C92" s="46"/>
    </row>
    <row r="93" spans="2:27" customFormat="1" hidden="1" outlineLevel="1" x14ac:dyDescent="0.25">
      <c r="B93" s="20" t="s">
        <v>134</v>
      </c>
      <c r="C93" t="str">
        <f ca="1">"sys_ae_" &amp;$C$84</f>
        <v>sys_ae_RECALC_2_2253_</v>
      </c>
    </row>
    <row r="94" spans="2:27" customFormat="1" hidden="1" outlineLevel="1" x14ac:dyDescent="0.25"/>
    <row r="95" spans="2:27" customFormat="1" hidden="1" outlineLevel="1" x14ac:dyDescent="0.25">
      <c r="B95" s="50" t="s">
        <v>267</v>
      </c>
      <c r="C95" s="51"/>
      <c r="D95" s="52"/>
      <c r="F95" s="53" t="s">
        <v>269</v>
      </c>
      <c r="G95" s="54"/>
      <c r="H95" s="55"/>
    </row>
    <row r="96" spans="2:27" customFormat="1" hidden="1" outlineLevel="1" x14ac:dyDescent="0.25">
      <c r="B96" s="7" t="s">
        <v>268</v>
      </c>
      <c r="C96" s="7" t="str" cm="1">
        <f t="array" ref="C96">_xll.VIEW(db_name&amp;":}ElementAttributes_account template","!","!")</f>
        <v>finance_geus:}ElementAttributes_account template:12642171961143152164</v>
      </c>
      <c r="D96" s="7"/>
      <c r="F96" t="s">
        <v>67</v>
      </c>
      <c r="G96" t="str">
        <f ca="1">IF($C$97="",$C$24,"")</f>
        <v/>
      </c>
    </row>
    <row r="97" spans="2:7" customFormat="1" hidden="1" outlineLevel="1" x14ac:dyDescent="0.25">
      <c r="B97" s="7" t="s">
        <v>58</v>
      </c>
      <c r="C97" s="7" t="str" cm="1">
        <f t="array" aca="1" ref="C97" ca="1">_xll.DBR($C$96,psAccTemp,$B97)</f>
        <v>RECALC_2_2269_</v>
      </c>
      <c r="D97" s="7"/>
      <c r="F97" t="s">
        <v>68</v>
      </c>
      <c r="G97" t="str">
        <f ca="1">IF($C$98="",$C$25,"")</f>
        <v/>
      </c>
    </row>
    <row r="98" spans="2:7" customFormat="1" hidden="1" outlineLevel="1" x14ac:dyDescent="0.25">
      <c r="B98" s="7" t="s">
        <v>59</v>
      </c>
      <c r="C98" s="7" t="str" cm="1">
        <f t="array" aca="1" ref="C98" ca="1">_xll.DBR($C$96,psAccTemp,$B98)</f>
        <v>RECALC_2_2268_</v>
      </c>
      <c r="D98" s="7"/>
    </row>
    <row r="99" spans="2:7" customFormat="1" hidden="1" outlineLevel="1" x14ac:dyDescent="0.25"/>
    <row r="100" spans="2:7" customFormat="1" hidden="1" outlineLevel="1" x14ac:dyDescent="0.25">
      <c r="B100" s="53" t="s">
        <v>270</v>
      </c>
      <c r="C100" s="54"/>
      <c r="D100" s="55"/>
    </row>
    <row r="101" spans="2:7" customFormat="1" hidden="1" outlineLevel="1" x14ac:dyDescent="0.25">
      <c r="B101" s="7" t="s">
        <v>271</v>
      </c>
      <c r="C101" t="e" cm="1">
        <f t="array" aca="1" ref="C101" ca="1">_xll.DIMNM(db_name&amp;":"&amp; psProgDimName,_xll.DIMIX(db_name&amp;":"&amp;psProgDimName,psProg))</f>
        <v>#VALUE!</v>
      </c>
    </row>
    <row r="102" spans="2:7" customFormat="1" hidden="1" outlineLevel="1" x14ac:dyDescent="0.25">
      <c r="B102" s="7" t="s">
        <v>272</v>
      </c>
      <c r="C102" t="e">
        <f ca="1">"sys_" &amp;$C$101</f>
        <v>#VALUE!</v>
      </c>
    </row>
    <row r="103" spans="2:7" customFormat="1" hidden="1" outlineLevel="1" x14ac:dyDescent="0.25">
      <c r="B103" s="7" t="s">
        <v>273</v>
      </c>
      <c r="C103" t="e">
        <f ca="1">$C$113</f>
        <v>#VALUE!</v>
      </c>
    </row>
    <row r="104" spans="2:7" customFormat="1" hidden="1" outlineLevel="1" x14ac:dyDescent="0.25">
      <c r="B104" s="7" t="s">
        <v>294</v>
      </c>
      <c r="C104" t="str" cm="1">
        <f t="array" aca="1" ref="C104" ca="1">_xll.DBSS($C$101,$C$53,psUser,$B$59,C$54)</f>
        <v>RECALC_1_2270_</v>
      </c>
    </row>
    <row r="105" spans="2:7" customFormat="1" hidden="1" outlineLevel="1" x14ac:dyDescent="0.25">
      <c r="B105" s="7" t="s">
        <v>278</v>
      </c>
      <c r="C105" t="str" cm="1">
        <f t="array" aca="1" ref="C105" ca="1">IF(psAccTemp="",_xll.DBSS($C$103,$C$53,psUser,$B$60,C$54),"")</f>
        <v/>
      </c>
    </row>
    <row r="106" spans="2:7" customFormat="1" hidden="1" outlineLevel="1" x14ac:dyDescent="0.25">
      <c r="B106" s="7" t="s">
        <v>280</v>
      </c>
      <c r="C106" t="str" cm="1">
        <f t="array" aca="1" ref="C106" ca="1">IF(psRE="",_xll.DBSS($G$96,$C$53,psUser,$B$61,C$54),"")</f>
        <v/>
      </c>
    </row>
    <row r="107" spans="2:7" customFormat="1" hidden="1" outlineLevel="1" x14ac:dyDescent="0.25">
      <c r="B107" s="7" t="s">
        <v>279</v>
      </c>
      <c r="C107" t="str" cm="1">
        <f t="array" aca="1" ref="C107" ca="1">IF(psJur="",_xll.DBSS($G$97,$C$53,psUser,$B$62,C$54),"")</f>
        <v/>
      </c>
    </row>
    <row r="108" spans="2:7" customFormat="1" hidden="1" outlineLevel="1" x14ac:dyDescent="0.25"/>
    <row r="109" spans="2:7" customFormat="1" hidden="1" outlineLevel="1" x14ac:dyDescent="0.25">
      <c r="B109" s="53" t="s">
        <v>274</v>
      </c>
      <c r="C109" s="54"/>
      <c r="D109" s="55"/>
    </row>
    <row r="110" spans="2:7" customFormat="1" hidden="1" outlineLevel="1" x14ac:dyDescent="0.25">
      <c r="B110" s="7" t="s">
        <v>275</v>
      </c>
      <c r="C110" s="7" t="str" cm="1">
        <f t="array" aca="1" ref="C110" ca="1">_xll.VIEW(db_name&amp;":AE account template mapping","!","!",$C$111)</f>
        <v>finance_geus:AE account template mapping:1264217196333071065</v>
      </c>
    </row>
    <row r="111" spans="2:7" customFormat="1" hidden="1" outlineLevel="1" x14ac:dyDescent="0.25">
      <c r="B111" s="7" t="s">
        <v>127</v>
      </c>
      <c r="C111" s="7" t="str" cm="1">
        <f t="array" aca="1" ref="C111" ca="1">_xll.SUBNM(db_name&amp;":account template measure","","flag")</f>
        <v>RECALC_0_2266_</v>
      </c>
    </row>
    <row r="112" spans="2:7" customFormat="1" hidden="1" outlineLevel="1" x14ac:dyDescent="0.25">
      <c r="B112" s="7" t="s">
        <v>276</v>
      </c>
      <c r="C112" s="7" t="str" cm="1">
        <f t="array" aca="1" ref="C112" ca="1">_xll.DBR($C$110,"Total account templates",psProg,$C$111)</f>
        <v>RECALC_4_2267_</v>
      </c>
    </row>
    <row r="113" spans="2:27" customFormat="1" hidden="1" outlineLevel="1" x14ac:dyDescent="0.25">
      <c r="B113" s="7" t="s">
        <v>277</v>
      </c>
      <c r="C113" s="7" t="e" cm="1">
        <f t="array" aca="1" ref="C113" ca="1">_xll.SUBNM(db_name&amp;":account template",$C$102,1)</f>
        <v>#VALUE!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301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129</v>
      </c>
      <c r="K123" s="21"/>
      <c r="L123" s="36" t="str">
        <f ca="1">$C$56</f>
        <v>RECALC_1_416_</v>
      </c>
      <c r="N123" s="37" t="s">
        <v>75</v>
      </c>
      <c r="O123" s="21"/>
      <c r="P123" s="45" t="str">
        <f ca="1">$C$57</f>
        <v>RECALC_1_414_</v>
      </c>
      <c r="R123" s="39" t="s">
        <v>76</v>
      </c>
      <c r="S123" s="48" t="str">
        <f ca="1">$C$86</f>
        <v>RECALC_2_2095_</v>
      </c>
      <c r="T123" s="49"/>
      <c r="V123" s="39" t="s">
        <v>74</v>
      </c>
      <c r="W123" s="38" t="str">
        <f ca="1">$C$84</f>
        <v>RECALC_2_2253_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56" t="str">
        <f ca="1">$C$81</f>
        <v>RECALC_2_2086_</v>
      </c>
      <c r="M125" s="57"/>
      <c r="N125" s="57"/>
      <c r="O125" s="57"/>
      <c r="P125" s="58"/>
      <c r="R125" s="39" t="s">
        <v>77</v>
      </c>
      <c r="S125" s="59" t="str">
        <f ca="1">$C$58</f>
        <v>RECALC_1_412_</v>
      </c>
      <c r="T125" s="60"/>
    </row>
    <row r="126" spans="2:27" customFormat="1" ht="3" customHeight="1" x14ac:dyDescent="0.25"/>
    <row r="127" spans="2:27" customFormat="1" x14ac:dyDescent="0.25">
      <c r="J127" s="39" t="s">
        <v>130</v>
      </c>
      <c r="L127" s="61" t="str">
        <f ca="1">$D$87</f>
        <v>RECALC_3_2272_</v>
      </c>
      <c r="M127" s="61"/>
      <c r="N127" s="61"/>
      <c r="R127" s="39" t="s">
        <v>78</v>
      </c>
      <c r="S127" s="61" t="str">
        <f ca="1">$D$88</f>
        <v>RECALC_3_2271_</v>
      </c>
      <c r="T127" s="61"/>
      <c r="U127" s="61"/>
      <c r="V127" s="61"/>
      <c r="W127" s="61"/>
      <c r="X127" s="61"/>
      <c r="Y127" s="6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136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65" t="s">
        <v>131</v>
      </c>
      <c r="V133" s="65"/>
      <c r="W133" s="65"/>
    </row>
    <row r="134" spans="1:27" customFormat="1" x14ac:dyDescent="0.25">
      <c r="D134" t="str" cm="1">
        <f t="array" aca="1" ref="D134" ca="1">_xll.DBRA(db_name&amp;":account template",$L$134,D$133)</f>
        <v>RECALC_2_2264_</v>
      </c>
      <c r="E134" t="str" cm="1">
        <f t="array" aca="1" ref="E134" ca="1">_xll.DBRA(db_name&amp;":account template",$L$134,E$133)</f>
        <v>RECALC_2_2263_</v>
      </c>
      <c r="J134" s="29" t="str" cm="1">
        <f t="array" aca="1" ref="J134" ca="1">_xll.SUBNM(db_name&amp;":"&amp;psProgDimName,$C$93,1,"Code and description")</f>
        <v>RECALC_3_2262_</v>
      </c>
      <c r="L134" s="30" t="str" cm="1">
        <f t="array" aca="1" ref="L134" ca="1">_xll.DBR($C$53,psUser,$B60,C$54)</f>
        <v>RECALC_1_2261_</v>
      </c>
      <c r="N134" s="30" t="str" cm="1">
        <f t="array" aca="1" ref="N134" ca="1">_xll.DBR($C$53,psUser,$B61,C$54)</f>
        <v>RECALC_1_2260_</v>
      </c>
      <c r="P134" s="30" t="str" cm="1">
        <f t="array" aca="1" ref="P134" ca="1">_xll.DBR($C$53,psUser,$B62,C$54)</f>
        <v>RECALC_1_2259_</v>
      </c>
      <c r="T134" s="39" t="s">
        <v>79</v>
      </c>
      <c r="U134" s="62" t="str" cm="1">
        <f t="array" aca="1" ref="U134" ca="1">_xll.SUBNM(db_name&amp;":sys_period display","","Current")</f>
        <v>RECALC_0_2254_</v>
      </c>
      <c r="V134" s="63"/>
      <c r="W134" s="64"/>
    </row>
    <row r="135" spans="1:27" customFormat="1" ht="30" customHeight="1" x14ac:dyDescent="0.25">
      <c r="J135" s="41" t="str">
        <f ca="1">$D$59</f>
        <v>RECALC_1_2276_</v>
      </c>
      <c r="L135" s="41" t="str">
        <f ca="1">$D$60</f>
        <v>RECALC_1_2275_</v>
      </c>
      <c r="N135" s="41" t="str">
        <f ca="1">$D$61</f>
        <v>RECALC_1_2274_</v>
      </c>
      <c r="P135" s="41" t="str">
        <f ca="1">$D$62</f>
        <v>RECALC_1_2273_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296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#VALUE!</v>
      </c>
      <c r="S137" s="26" t="e">
        <f t="shared" ca="1" si="2"/>
        <v>#VALUE!</v>
      </c>
      <c r="T137" s="26" t="e">
        <f t="shared" ca="1" si="2"/>
        <v>#VALUE!</v>
      </c>
      <c r="U137" s="26" t="e">
        <f t="shared" ca="1" si="2"/>
        <v>#VALUE!</v>
      </c>
      <c r="V137" s="26" t="e">
        <f t="shared" ca="1" si="2"/>
        <v>#VALUE!</v>
      </c>
      <c r="W137" s="26" t="e">
        <f t="shared" ca="1" si="2"/>
        <v>#VALUE!</v>
      </c>
      <c r="X137" s="26" t="e">
        <f t="shared" ca="1" si="2"/>
        <v>#VALUE!</v>
      </c>
      <c r="Y137" s="26" t="e">
        <f t="shared" ca="1" si="2"/>
        <v>#VALUE!</v>
      </c>
      <c r="Z137" s="26" t="e">
        <f t="shared" ca="1" si="2"/>
        <v>#VALUE!</v>
      </c>
      <c r="AA137" s="26" t="e">
        <f t="shared" ca="1" si="2"/>
        <v>#VALUE!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#VALUE!</v>
      </c>
      <c r="B138" s="35" t="str" cm="1">
        <f t="array" aca="1" ref="B138" ca="1">_xll.TM1RPTROW($C$65,db_name&amp;":programme","","","",0,$C$67)</f>
        <v>pending__new group adj 10 - write offs data entry_20250811023149.xlsm:write offs:TM1RPTDATARNG:1</v>
      </c>
      <c r="C138" s="35" t="str" cm="1">
        <f t="array" aca="1" ref="C138" ca="1">_xll.TM1RPTROW($C$65,db_name&amp;":account template","","","",0,$C$68)</f>
        <v>pending__new group adj 10 - write offs data entry_20250811023149.xlsm:write offs:TM1RPTDATARNG:1</v>
      </c>
      <c r="D138" s="35" t="str" cm="1">
        <f t="array" aca="1" ref="D138" ca="1">_xll.TM1RPTROW($C$65,db_name&amp;":related entity","","","code and description",0,$C$69)</f>
        <v>pending__new group adj 10 - write offs data entry_20250811023149.xlsm:write offs:TM1RPTDATARNG:1</v>
      </c>
      <c r="E138" s="35" t="str" cm="1">
        <f t="array" aca="1" ref="E138" ca="1">_xll.TM1RPTROW($C$65,db_name&amp;":jurisdiction","","","",0,$C$70)</f>
        <v>pending__new group adj 10 - write offs data entry_20250811023149.xlsm:write offs:TM1RPTDATARNG:1</v>
      </c>
      <c r="F138" s="7" t="e" cm="1">
        <f t="array" aca="1" ref="F138" ca="1">_xll.DBRW($C$65,$C$56,$C$57,$E$81,$D138,$C$87,$B138,$E$83,$C138,$E$82,$E138,C$90,F$137)</f>
        <v>#VALUE!</v>
      </c>
      <c r="G138" s="7" t="e" cm="1">
        <f t="array" aca="1" ref="G138" ca="1">_xll.DBRA(db_name&amp;":programme",$B138,"code and description")</f>
        <v>#VALUE!</v>
      </c>
      <c r="H138" s="7" t="e" cm="1">
        <f t="array" aca="1" ref="H138" ca="1">_xll.DBRA(db_name&amp;":account template",$C138,"title")</f>
        <v>#VALUE!</v>
      </c>
      <c r="J138" s="3" t="e">
        <f ca="1">$G138</f>
        <v>#VALUE!</v>
      </c>
      <c r="K138" s="2"/>
      <c r="L138" s="3" t="e">
        <f ca="1">$H138</f>
        <v>#VALUE!</v>
      </c>
      <c r="M138" s="2"/>
      <c r="N138" s="3" t="str">
        <f ca="1">D138</f>
        <v>pending__new group adj 10 - write offs data entry_20250811023149.xlsm:write offs:TM1RPTDATARNG:1</v>
      </c>
      <c r="O138" s="2"/>
      <c r="P138" s="3" t="str">
        <f ca="1">E138</f>
        <v>pending__new group adj 10 - write offs data entry_20250811023149.xlsm:write offs:TM1RPTDATARNG:1</v>
      </c>
      <c r="Q138" s="2"/>
      <c r="R138" s="4" t="e" cm="1">
        <f t="array" aca="1" ref="R138" ca="1">_xll.DBRW($C$65,$C$56,$C$57,$E$81,$D138,$C$87,$B138,$E$83,$C138,$E$82,$E138,R$137,R$89)</f>
        <v>#VALUE!</v>
      </c>
      <c r="S138" s="4" t="e" cm="1">
        <f t="array" aca="1" ref="S138" ca="1">_xll.DBRW($C$65,$C$56,$C$57,$E$81,$D138,$C$87,$B138,$E$83,$C138,$E$82,$E138,S$137,S$89)</f>
        <v>#VALUE!</v>
      </c>
      <c r="T138" s="4" t="e" cm="1">
        <f t="array" aca="1" ref="T138" ca="1">_xll.DBRW($C$65,$C$56,$C$57,$E$81,$D138,$C$87,$B138,$E$83,$C138,$E$82,$E138,T$137,T$89)</f>
        <v>#VALUE!</v>
      </c>
      <c r="U138" s="4" t="e" cm="1">
        <f t="array" aca="1" ref="U138" ca="1">_xll.DBRW($C$65,$C$56,$C$57,$E$81,$D138,$C$87,$B138,$E$83,$C138,$E$82,$E138,U$137,U$89)</f>
        <v>#VALUE!</v>
      </c>
      <c r="V138" s="4" t="e" cm="1">
        <f t="array" aca="1" ref="V138" ca="1">_xll.DBRW($C$65,$C$56,$C$57,$E$81,$D138,$C$87,$B138,$E$83,$C138,$E$82,$E138,V$137,V$89)</f>
        <v>#VALUE!</v>
      </c>
      <c r="W138" s="4" t="e" cm="1">
        <f t="array" aca="1" ref="W138" ca="1">_xll.DBRW($C$65,$C$56,$C$57,$E$81,$D138,$C$87,$B138,$E$83,$C138,$E$82,$E138,W$137,W$89)</f>
        <v>#VALUE!</v>
      </c>
      <c r="X138" s="4" t="e" cm="1">
        <f t="array" aca="1" ref="X138" ca="1">_xll.DBRW($C$65,$C$56,$C$57,$E$81,$D138,$C$87,$B138,$E$83,$C138,$E$82,$E138,X$137,X$89)</f>
        <v>#VALUE!</v>
      </c>
      <c r="Y138" s="4" t="e" cm="1">
        <f t="array" aca="1" ref="Y138" ca="1">_xll.DBRW($C$65,$C$56,$C$57,$E$81,$D138,$C$87,$B138,$E$83,$C138,$E$82,$E138,Y$137,Y$89)</f>
        <v>#VALUE!</v>
      </c>
      <c r="Z138" s="4" t="e" cm="1">
        <f t="array" aca="1" ref="Z138" ca="1">_xll.DBRW($C$65,$C$56,$C$57,$E$81,$D138,$C$87,$B138,$E$83,$C138,$E$82,$E138,Z$137,Z$89)</f>
        <v>#VALUE!</v>
      </c>
      <c r="AA138" s="4" t="e" cm="1">
        <f t="array" aca="1" ref="AA138" ca="1">_xll.DBRW($C$65,$C$56,$C$57,$E$81,$D138,$C$87,$B138,$E$83,$C138,$E$82,$E138,AA$137,AA$89)</f>
        <v>#VALUE!</v>
      </c>
    </row>
  </sheetData>
  <sheetProtection sheet="1" objects="1" scenarios="1"/>
  <mergeCells count="20">
    <mergeCell ref="L125:P125"/>
    <mergeCell ref="S125:T125"/>
    <mergeCell ref="S127:Y127"/>
    <mergeCell ref="U134:W134"/>
    <mergeCell ref="L127:N127"/>
    <mergeCell ref="U133:W133"/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137</v>
      </c>
    </row>
    <row r="11" spans="1:1" x14ac:dyDescent="0.25">
      <c r="A11" t="s">
        <v>138</v>
      </c>
    </row>
    <row r="12" spans="1:1" x14ac:dyDescent="0.25">
      <c r="A12" t="s">
        <v>139</v>
      </c>
    </row>
    <row r="13" spans="1:1" x14ac:dyDescent="0.25">
      <c r="A13" t="s">
        <v>140</v>
      </c>
    </row>
    <row r="14" spans="1:1" x14ac:dyDescent="0.25">
      <c r="A14" t="s">
        <v>141</v>
      </c>
    </row>
    <row r="15" spans="1:1" x14ac:dyDescent="0.25">
      <c r="A15" t="s">
        <v>142</v>
      </c>
    </row>
    <row r="16" spans="1:1" x14ac:dyDescent="0.25">
      <c r="A16" t="s">
        <v>143</v>
      </c>
    </row>
    <row r="17" spans="1:1" x14ac:dyDescent="0.25">
      <c r="A17" t="s">
        <v>144</v>
      </c>
    </row>
    <row r="18" spans="1:1" x14ac:dyDescent="0.25">
      <c r="A18" t="s">
        <v>145</v>
      </c>
    </row>
    <row r="19" spans="1:1" x14ac:dyDescent="0.25">
      <c r="A19" t="s">
        <v>146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151</v>
      </c>
    </row>
    <row r="25" spans="1:1" x14ac:dyDescent="0.25">
      <c r="A25" t="s">
        <v>152</v>
      </c>
    </row>
    <row r="26" spans="1:1" x14ac:dyDescent="0.25">
      <c r="A26" t="s">
        <v>153</v>
      </c>
    </row>
    <row r="27" spans="1:1" x14ac:dyDescent="0.25">
      <c r="A27" t="s">
        <v>154</v>
      </c>
    </row>
    <row r="28" spans="1:1" x14ac:dyDescent="0.25">
      <c r="A28" t="s">
        <v>155</v>
      </c>
    </row>
    <row r="29" spans="1:1" x14ac:dyDescent="0.25">
      <c r="A29" t="s">
        <v>156</v>
      </c>
    </row>
    <row r="30" spans="1:1" x14ac:dyDescent="0.25">
      <c r="A30" t="s">
        <v>157</v>
      </c>
    </row>
    <row r="31" spans="1:1" x14ac:dyDescent="0.25">
      <c r="A31" t="s">
        <v>158</v>
      </c>
    </row>
    <row r="32" spans="1:1" x14ac:dyDescent="0.25">
      <c r="A32" t="s">
        <v>159</v>
      </c>
    </row>
    <row r="33" spans="1:1" x14ac:dyDescent="0.25">
      <c r="A33" t="s">
        <v>160</v>
      </c>
    </row>
    <row r="34" spans="1:1" x14ac:dyDescent="0.25">
      <c r="A34" t="s">
        <v>161</v>
      </c>
    </row>
    <row r="35" spans="1:1" x14ac:dyDescent="0.25">
      <c r="A35" t="s">
        <v>162</v>
      </c>
    </row>
    <row r="36" spans="1:1" x14ac:dyDescent="0.25">
      <c r="A36" t="s">
        <v>163</v>
      </c>
    </row>
    <row r="37" spans="1:1" x14ac:dyDescent="0.25">
      <c r="A37" t="s">
        <v>164</v>
      </c>
    </row>
    <row r="38" spans="1:1" x14ac:dyDescent="0.25">
      <c r="A38" t="s">
        <v>165</v>
      </c>
    </row>
    <row r="39" spans="1:1" x14ac:dyDescent="0.25">
      <c r="A39" t="s">
        <v>166</v>
      </c>
    </row>
    <row r="40" spans="1:1" x14ac:dyDescent="0.25">
      <c r="A40" t="s">
        <v>167</v>
      </c>
    </row>
    <row r="41" spans="1:1" x14ac:dyDescent="0.25">
      <c r="A41" t="s">
        <v>168</v>
      </c>
    </row>
    <row r="42" spans="1:1" x14ac:dyDescent="0.25">
      <c r="A42" t="s">
        <v>169</v>
      </c>
    </row>
    <row r="43" spans="1:1" x14ac:dyDescent="0.25">
      <c r="A43" t="s">
        <v>170</v>
      </c>
    </row>
    <row r="44" spans="1:1" x14ac:dyDescent="0.25">
      <c r="A44" t="s">
        <v>171</v>
      </c>
    </row>
    <row r="45" spans="1:1" x14ac:dyDescent="0.25">
      <c r="A45" t="s">
        <v>172</v>
      </c>
    </row>
    <row r="46" spans="1:1" x14ac:dyDescent="0.25">
      <c r="A46" t="s">
        <v>173</v>
      </c>
    </row>
    <row r="47" spans="1:1" x14ac:dyDescent="0.25">
      <c r="A47" t="s">
        <v>174</v>
      </c>
    </row>
    <row r="48" spans="1:1" x14ac:dyDescent="0.25">
      <c r="A48" t="s">
        <v>175</v>
      </c>
    </row>
    <row r="49" spans="1:1" x14ac:dyDescent="0.25">
      <c r="A49" t="s">
        <v>176</v>
      </c>
    </row>
    <row r="50" spans="1:1" x14ac:dyDescent="0.25">
      <c r="A50" t="s">
        <v>177</v>
      </c>
    </row>
    <row r="51" spans="1:1" x14ac:dyDescent="0.25">
      <c r="A51" t="s">
        <v>178</v>
      </c>
    </row>
    <row r="52" spans="1:1" x14ac:dyDescent="0.25">
      <c r="A52" t="s">
        <v>179</v>
      </c>
    </row>
    <row r="53" spans="1:1" x14ac:dyDescent="0.25">
      <c r="A53" t="s">
        <v>180</v>
      </c>
    </row>
    <row r="54" spans="1:1" x14ac:dyDescent="0.25">
      <c r="A54" t="s">
        <v>181</v>
      </c>
    </row>
    <row r="55" spans="1:1" x14ac:dyDescent="0.25">
      <c r="A55" t="s">
        <v>182</v>
      </c>
    </row>
    <row r="56" spans="1:1" x14ac:dyDescent="0.25">
      <c r="A56" t="s">
        <v>183</v>
      </c>
    </row>
    <row r="57" spans="1:1" x14ac:dyDescent="0.25">
      <c r="A57" t="s">
        <v>184</v>
      </c>
    </row>
    <row r="58" spans="1:1" x14ac:dyDescent="0.25">
      <c r="A58" t="s">
        <v>185</v>
      </c>
    </row>
    <row r="59" spans="1:1" x14ac:dyDescent="0.25">
      <c r="A59" t="s">
        <v>186</v>
      </c>
    </row>
    <row r="60" spans="1:1" x14ac:dyDescent="0.25">
      <c r="A60" t="s">
        <v>187</v>
      </c>
    </row>
    <row r="61" spans="1:1" x14ac:dyDescent="0.25">
      <c r="A61" t="s">
        <v>188</v>
      </c>
    </row>
    <row r="62" spans="1:1" x14ac:dyDescent="0.25">
      <c r="A62" t="s">
        <v>189</v>
      </c>
    </row>
    <row r="63" spans="1:1" x14ac:dyDescent="0.25">
      <c r="A63" t="s">
        <v>190</v>
      </c>
    </row>
    <row r="64" spans="1:1" x14ac:dyDescent="0.25">
      <c r="A64" t="s">
        <v>191</v>
      </c>
    </row>
    <row r="65" spans="1:1" x14ac:dyDescent="0.25">
      <c r="A65" t="s">
        <v>192</v>
      </c>
    </row>
    <row r="66" spans="1:1" x14ac:dyDescent="0.25">
      <c r="A66" t="s">
        <v>193</v>
      </c>
    </row>
    <row r="67" spans="1:1" x14ac:dyDescent="0.25">
      <c r="A67" t="s">
        <v>194</v>
      </c>
    </row>
    <row r="68" spans="1:1" x14ac:dyDescent="0.25">
      <c r="A68" t="s">
        <v>195</v>
      </c>
    </row>
    <row r="69" spans="1:1" x14ac:dyDescent="0.25">
      <c r="A69" t="s">
        <v>196</v>
      </c>
    </row>
    <row r="70" spans="1:1" x14ac:dyDescent="0.25">
      <c r="A70" t="s">
        <v>197</v>
      </c>
    </row>
    <row r="71" spans="1:1" x14ac:dyDescent="0.25">
      <c r="A71" t="s">
        <v>198</v>
      </c>
    </row>
    <row r="72" spans="1:1" x14ac:dyDescent="0.25">
      <c r="A72" t="s">
        <v>199</v>
      </c>
    </row>
    <row r="73" spans="1:1" x14ac:dyDescent="0.25">
      <c r="A73" t="s">
        <v>200</v>
      </c>
    </row>
    <row r="74" spans="1:1" x14ac:dyDescent="0.25">
      <c r="A74" t="s">
        <v>201</v>
      </c>
    </row>
    <row r="75" spans="1:1" x14ac:dyDescent="0.25">
      <c r="A75" t="s">
        <v>202</v>
      </c>
    </row>
    <row r="76" spans="1:1" x14ac:dyDescent="0.25">
      <c r="A76" t="s">
        <v>203</v>
      </c>
    </row>
    <row r="77" spans="1:1" x14ac:dyDescent="0.25">
      <c r="A77" t="s">
        <v>204</v>
      </c>
    </row>
    <row r="78" spans="1:1" x14ac:dyDescent="0.25">
      <c r="A78" t="s">
        <v>205</v>
      </c>
    </row>
    <row r="79" spans="1:1" x14ac:dyDescent="0.25">
      <c r="A79" t="s">
        <v>206</v>
      </c>
    </row>
    <row r="80" spans="1:1" x14ac:dyDescent="0.25">
      <c r="A80" t="s">
        <v>207</v>
      </c>
    </row>
    <row r="81" spans="1:1" x14ac:dyDescent="0.25">
      <c r="A81" t="s">
        <v>208</v>
      </c>
    </row>
    <row r="82" spans="1:1" x14ac:dyDescent="0.25">
      <c r="A82" t="s">
        <v>209</v>
      </c>
    </row>
    <row r="83" spans="1:1" x14ac:dyDescent="0.25">
      <c r="A83" t="s">
        <v>210</v>
      </c>
    </row>
    <row r="84" spans="1:1" x14ac:dyDescent="0.25">
      <c r="A84" t="s">
        <v>211</v>
      </c>
    </row>
    <row r="85" spans="1:1" x14ac:dyDescent="0.25">
      <c r="A85" t="s">
        <v>212</v>
      </c>
    </row>
    <row r="86" spans="1:1" x14ac:dyDescent="0.25">
      <c r="A86" t="s">
        <v>213</v>
      </c>
    </row>
    <row r="87" spans="1:1" x14ac:dyDescent="0.25">
      <c r="A87" t="s">
        <v>214</v>
      </c>
    </row>
    <row r="88" spans="1:1" x14ac:dyDescent="0.25">
      <c r="A88" t="s">
        <v>215</v>
      </c>
    </row>
    <row r="89" spans="1:1" x14ac:dyDescent="0.25">
      <c r="A89" t="s">
        <v>216</v>
      </c>
    </row>
    <row r="90" spans="1:1" x14ac:dyDescent="0.25">
      <c r="A90" t="s">
        <v>217</v>
      </c>
    </row>
    <row r="91" spans="1:1" x14ac:dyDescent="0.25">
      <c r="A91" t="s">
        <v>218</v>
      </c>
    </row>
    <row r="92" spans="1:1" x14ac:dyDescent="0.25">
      <c r="A92" t="s">
        <v>219</v>
      </c>
    </row>
    <row r="93" spans="1:1" x14ac:dyDescent="0.25">
      <c r="A93" t="s">
        <v>220</v>
      </c>
    </row>
    <row r="94" spans="1:1" x14ac:dyDescent="0.25">
      <c r="A94" t="s">
        <v>221</v>
      </c>
    </row>
    <row r="95" spans="1:1" x14ac:dyDescent="0.25">
      <c r="A95" t="s">
        <v>222</v>
      </c>
    </row>
    <row r="96" spans="1:1" x14ac:dyDescent="0.25">
      <c r="A96" t="s">
        <v>223</v>
      </c>
    </row>
    <row r="97" spans="1:1" x14ac:dyDescent="0.25">
      <c r="A97" t="s">
        <v>224</v>
      </c>
    </row>
    <row r="98" spans="1:1" x14ac:dyDescent="0.25">
      <c r="A98" t="s">
        <v>225</v>
      </c>
    </row>
    <row r="99" spans="1:1" x14ac:dyDescent="0.25">
      <c r="A99" t="s">
        <v>226</v>
      </c>
    </row>
    <row r="100" spans="1:1" x14ac:dyDescent="0.25">
      <c r="A100" t="s">
        <v>227</v>
      </c>
    </row>
    <row r="101" spans="1:1" x14ac:dyDescent="0.25">
      <c r="A101" t="s">
        <v>228</v>
      </c>
    </row>
    <row r="102" spans="1:1" x14ac:dyDescent="0.25">
      <c r="A102" t="s">
        <v>229</v>
      </c>
    </row>
    <row r="103" spans="1:1" x14ac:dyDescent="0.25">
      <c r="A103" t="s">
        <v>230</v>
      </c>
    </row>
    <row r="104" spans="1:1" x14ac:dyDescent="0.25">
      <c r="A104" t="s">
        <v>231</v>
      </c>
    </row>
    <row r="105" spans="1:1" x14ac:dyDescent="0.25">
      <c r="A105" t="s">
        <v>232</v>
      </c>
    </row>
    <row r="106" spans="1:1" x14ac:dyDescent="0.25">
      <c r="A106" t="s">
        <v>233</v>
      </c>
    </row>
    <row r="107" spans="1:1" x14ac:dyDescent="0.25">
      <c r="A107" t="s">
        <v>234</v>
      </c>
    </row>
    <row r="108" spans="1:1" x14ac:dyDescent="0.25">
      <c r="A108" t="s">
        <v>235</v>
      </c>
    </row>
    <row r="109" spans="1:1" x14ac:dyDescent="0.25">
      <c r="A109" t="s">
        <v>236</v>
      </c>
    </row>
    <row r="110" spans="1:1" x14ac:dyDescent="0.25">
      <c r="A110" t="s">
        <v>237</v>
      </c>
    </row>
    <row r="111" spans="1:1" x14ac:dyDescent="0.25">
      <c r="A111" t="s">
        <v>238</v>
      </c>
    </row>
    <row r="112" spans="1:1" x14ac:dyDescent="0.25">
      <c r="A112" t="s">
        <v>239</v>
      </c>
    </row>
    <row r="113" spans="1:1" x14ac:dyDescent="0.25">
      <c r="A113" t="s">
        <v>240</v>
      </c>
    </row>
    <row r="114" spans="1:1" x14ac:dyDescent="0.25">
      <c r="A114" t="s">
        <v>241</v>
      </c>
    </row>
    <row r="115" spans="1:1" x14ac:dyDescent="0.25">
      <c r="A115" t="s">
        <v>242</v>
      </c>
    </row>
    <row r="116" spans="1:1" x14ac:dyDescent="0.25">
      <c r="A116" t="s">
        <v>243</v>
      </c>
    </row>
    <row r="117" spans="1:1" x14ac:dyDescent="0.25">
      <c r="A117" t="s">
        <v>244</v>
      </c>
    </row>
    <row r="118" spans="1:1" x14ac:dyDescent="0.25">
      <c r="A118" t="s">
        <v>245</v>
      </c>
    </row>
    <row r="119" spans="1:1" x14ac:dyDescent="0.25">
      <c r="A119" t="s">
        <v>246</v>
      </c>
    </row>
    <row r="120" spans="1:1" x14ac:dyDescent="0.25">
      <c r="A120" t="s">
        <v>247</v>
      </c>
    </row>
    <row r="121" spans="1:1" x14ac:dyDescent="0.25">
      <c r="A121" t="s">
        <v>248</v>
      </c>
    </row>
    <row r="122" spans="1:1" x14ac:dyDescent="0.25">
      <c r="A122" t="s">
        <v>249</v>
      </c>
    </row>
    <row r="123" spans="1:1" x14ac:dyDescent="0.25">
      <c r="A123" t="s">
        <v>250</v>
      </c>
    </row>
    <row r="124" spans="1:1" x14ac:dyDescent="0.25">
      <c r="A124" t="s">
        <v>251</v>
      </c>
    </row>
    <row r="125" spans="1:1" x14ac:dyDescent="0.25">
      <c r="A125" t="s">
        <v>252</v>
      </c>
    </row>
    <row r="126" spans="1:1" x14ac:dyDescent="0.25">
      <c r="A126" t="s">
        <v>253</v>
      </c>
    </row>
    <row r="127" spans="1:1" x14ac:dyDescent="0.25">
      <c r="A127" t="s">
        <v>254</v>
      </c>
    </row>
    <row r="128" spans="1:1" x14ac:dyDescent="0.25">
      <c r="A128" t="s">
        <v>255</v>
      </c>
    </row>
    <row r="129" spans="1:1" x14ac:dyDescent="0.25">
      <c r="A129" t="s">
        <v>256</v>
      </c>
    </row>
    <row r="130" spans="1:1" x14ac:dyDescent="0.25">
      <c r="A130" t="s">
        <v>257</v>
      </c>
    </row>
    <row r="131" spans="1:1" x14ac:dyDescent="0.25">
      <c r="A131" t="s">
        <v>258</v>
      </c>
    </row>
    <row r="132" spans="1:1" x14ac:dyDescent="0.25">
      <c r="A132" t="s">
        <v>259</v>
      </c>
    </row>
    <row r="133" spans="1:1" x14ac:dyDescent="0.25">
      <c r="A133" t="s">
        <v>260</v>
      </c>
    </row>
    <row r="134" spans="1:1" x14ac:dyDescent="0.25">
      <c r="A134" t="s">
        <v>261</v>
      </c>
    </row>
    <row r="135" spans="1:1" x14ac:dyDescent="0.25">
      <c r="A135" t="s">
        <v>262</v>
      </c>
    </row>
    <row r="136" spans="1:1" x14ac:dyDescent="0.25">
      <c r="A136" t="s">
        <v>263</v>
      </c>
    </row>
    <row r="137" spans="1:1" x14ac:dyDescent="0.25">
      <c r="A137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write offs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TM1GrpNewAdj08RecogDataEntryCAP</vt:lpstr>
      <vt:lpstr>TM1GrpNewAdj08RecogDataEntryWB</vt:lpstr>
      <vt:lpstr>TM1GrpNewAdj08RecogDataEntryWS</vt:lpstr>
      <vt:lpstr>TM1GrpNewAdj09CashRecDataEntryCAP</vt:lpstr>
      <vt:lpstr>TM1GrpNewAdj09CashRecDataEntryWB</vt:lpstr>
      <vt:lpstr>TM1GrpNewAdj09CashRecDataEntryWS</vt:lpstr>
      <vt:lpstr>TM1GrpNewAdj10WriteOffDataEntryCAP</vt:lpstr>
      <vt:lpstr>TM1GrpNewAdj10WriteOffDataEntryWB</vt:lpstr>
      <vt:lpstr>TM1GrpNewAdj10WriteOffDataEntryWS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'write offs'!TM1RPTDATARNG1</vt:lpstr>
      <vt:lpstr>'write offs'!TM1RPTFMTIDCOL</vt:lpstr>
      <vt:lpstr>'write offs'!TM1RPTFMTRNG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2019-08-15T00:28:21Z</dcterms:created>
  <dcterms:modified xsi:type="dcterms:W3CDTF">2025-08-11T02:58:46Z</dcterms:modified>
</cp:coreProperties>
</file>