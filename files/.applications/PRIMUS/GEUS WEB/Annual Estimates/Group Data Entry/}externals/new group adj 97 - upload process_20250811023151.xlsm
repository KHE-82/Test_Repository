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405B0938-5F8A-4590-8C9B-385D2253F3C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upload" sheetId="1" r:id="rId1"/>
    <sheet name="{PL}PickLst" sheetId="2" state="hidden" r:id="rId2"/>
  </sheets>
  <definedNames>
    <definedName name="db_name">upload!$B$2</definedName>
    <definedName name="psApp">upload!$B$29</definedName>
    <definedName name="psFFType">upload!$B$54</definedName>
    <definedName name="psFileName">upload!$M$72</definedName>
    <definedName name="psHLYear">upload!$B$45</definedName>
    <definedName name="psScenario">upload!$B$46</definedName>
    <definedName name="psSign">upload!$M$61</definedName>
    <definedName name="psUser">upload!$B$4</definedName>
    <definedName name="TM1AdjIDListCAP">upload!$C$34</definedName>
    <definedName name="TM1AdjIDListWB">upload!$E$34</definedName>
    <definedName name="TM1AdjIDListWS">upload!$G$34</definedName>
    <definedName name="TM1GrpAdjUploadTempCAP">upload!$C$38</definedName>
    <definedName name="TM1GrpAdjUploadTempWB">upload!$E$38</definedName>
    <definedName name="TM1GrpAdjUploadTempWS">upload!$G$38</definedName>
    <definedName name="TM1GrpNewAdj97UploadCAP">upload!$C$37</definedName>
    <definedName name="TM1GrpNewAdj97UploadWB">upload!$E$37</definedName>
    <definedName name="TM1GrpNewAdj97UploadWS">upload!$G$37</definedName>
    <definedName name="TM1HomeAEAccVarCAP">upload!$C$36</definedName>
    <definedName name="TM1HomeAEAccVarWB">upload!$E$36</definedName>
    <definedName name="TM1HomeAEAccVarWS">upload!$G$36</definedName>
    <definedName name="TM1HomeAECAP">upload!$C$32</definedName>
    <definedName name="TM1HomeAEDataEntryCAP">upload!$C$33</definedName>
    <definedName name="TM1HomeAEDataEntryWB">upload!$E$33</definedName>
    <definedName name="TM1HomeAEDataEntryWS">upload!$G$33</definedName>
    <definedName name="TM1HomeAEWB">upload!$E$32</definedName>
    <definedName name="TM1HomeAEWS">upload!$G$32</definedName>
    <definedName name="TM1HomeCAP">upload!$C$31</definedName>
    <definedName name="TM1HomeWB">upload!$E$31</definedName>
    <definedName name="TM1HomeWS">upload!$G$31</definedName>
    <definedName name="TM1NewAdj02DataEntryCAP">upload!#REF!</definedName>
    <definedName name="TM1NewAdj02DataEntryWB">upload!#REF!</definedName>
    <definedName name="TM1NewAdj02DataEntryWS">upload!#REF!</definedName>
    <definedName name="TM1NewAdj03AuthCAP">upload!#REF!</definedName>
    <definedName name="TM1NewAdj03AuthWB">upload!#REF!</definedName>
    <definedName name="TM1NewAdj03AuthWS">upload!#REF!</definedName>
    <definedName name="TM1NewAdj99ValidCAP">upload!#REF!</definedName>
    <definedName name="TM1NewAdj99ValidWB">upload!#REF!</definedName>
    <definedName name="TM1NewAdj99ValidWS">upload!#REF!</definedName>
    <definedName name="TM1UploadAB_Confirm">upload!$B$53</definedName>
    <definedName name="TM1UploadAB_Fail">upload!$B$52</definedName>
    <definedName name="TM1UploadAB_Success">upload!$B$51</definedName>
    <definedName name="TM1UploadTempCAP">upload!$C$35</definedName>
    <definedName name="TM1UploadTempWB">upload!$E$35</definedName>
    <definedName name="TM1UploadTempWS">upload!$G$35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10" i="1"/>
  <c r="B19" i="1" a="1"/>
  <c r="B19" i="1"/>
  <c r="B21" i="1" a="1"/>
  <c r="B21" i="1"/>
  <c r="B11" i="1" a="1"/>
  <c r="B11" i="1"/>
  <c r="B13" i="1" a="1"/>
  <c r="B13" i="1"/>
  <c r="B25" i="1"/>
  <c r="M86" i="1"/>
  <c r="B16" i="1" a="1"/>
  <c r="B16" i="1"/>
  <c r="B42" i="1" a="1"/>
  <c r="B42" i="1"/>
  <c r="B4" i="1" a="1"/>
  <c r="B4" i="1"/>
  <c r="C48" i="1" a="1"/>
  <c r="C48" i="1"/>
  <c r="B48" i="1" a="1"/>
  <c r="B48" i="1"/>
  <c r="C47" i="1" a="1"/>
  <c r="C47" i="1"/>
  <c r="B47" i="1" a="1"/>
  <c r="B47" i="1"/>
  <c r="C46" i="1" a="1"/>
  <c r="C46" i="1"/>
  <c r="B46" i="1" a="1"/>
  <c r="B46" i="1"/>
  <c r="C45" i="1" a="1"/>
  <c r="C45" i="1"/>
  <c r="B45" i="1" a="1"/>
  <c r="B45" i="1"/>
  <c r="B44" i="1" a="1"/>
  <c r="B44" i="1"/>
  <c r="B28" i="1" a="1"/>
  <c r="B28" i="1"/>
  <c r="G38" i="1" a="1"/>
  <c r="G38" i="1"/>
  <c r="F38" i="1" a="1"/>
  <c r="F38" i="1"/>
  <c r="E38" i="1" a="1"/>
  <c r="E38" i="1"/>
  <c r="D38" i="1" a="1"/>
  <c r="D38" i="1"/>
  <c r="C38" i="1" a="1"/>
  <c r="C38" i="1"/>
  <c r="B38" i="1" a="1"/>
  <c r="B38" i="1"/>
  <c r="G37" i="1" a="1"/>
  <c r="G37" i="1"/>
  <c r="F37" i="1" a="1"/>
  <c r="F37" i="1"/>
  <c r="E37" i="1" a="1"/>
  <c r="E37" i="1"/>
  <c r="D37" i="1" a="1"/>
  <c r="D37" i="1"/>
  <c r="C37" i="1" a="1"/>
  <c r="C37" i="1"/>
  <c r="B37" i="1" a="1"/>
  <c r="B37" i="1"/>
  <c r="G36" i="1" a="1"/>
  <c r="G36" i="1"/>
  <c r="F36" i="1" a="1"/>
  <c r="F36" i="1"/>
  <c r="E36" i="1" a="1"/>
  <c r="E36" i="1"/>
  <c r="D36" i="1" a="1"/>
  <c r="D36" i="1"/>
  <c r="C36" i="1" a="1"/>
  <c r="C36" i="1"/>
  <c r="B36" i="1" a="1"/>
  <c r="B36" i="1"/>
  <c r="G35" i="1" a="1"/>
  <c r="G35" i="1"/>
  <c r="F35" i="1" a="1"/>
  <c r="F35" i="1"/>
  <c r="E35" i="1" a="1"/>
  <c r="E35" i="1"/>
  <c r="D35" i="1" a="1"/>
  <c r="D35" i="1"/>
  <c r="C35" i="1" a="1"/>
  <c r="C35" i="1"/>
  <c r="B35" i="1" a="1"/>
  <c r="B35" i="1"/>
  <c r="G34" i="1" a="1"/>
  <c r="G34" i="1"/>
  <c r="F34" i="1" a="1"/>
  <c r="F34" i="1"/>
  <c r="E34" i="1" a="1"/>
  <c r="E34" i="1"/>
  <c r="D34" i="1" a="1"/>
  <c r="D34" i="1"/>
  <c r="C34" i="1" a="1"/>
  <c r="C34" i="1"/>
  <c r="B34" i="1" a="1"/>
  <c r="B34" i="1"/>
  <c r="G33" i="1" a="1"/>
  <c r="G33" i="1"/>
  <c r="F33" i="1" a="1"/>
  <c r="F33" i="1"/>
  <c r="E33" i="1" a="1"/>
  <c r="E33" i="1"/>
  <c r="D33" i="1" a="1"/>
  <c r="D33" i="1"/>
  <c r="C33" i="1" a="1"/>
  <c r="C33" i="1"/>
  <c r="B33" i="1" a="1"/>
  <c r="B33" i="1"/>
  <c r="G32" i="1" a="1"/>
  <c r="G32" i="1"/>
  <c r="F32" i="1" a="1"/>
  <c r="F32" i="1"/>
  <c r="E32" i="1" a="1"/>
  <c r="E32" i="1"/>
  <c r="D32" i="1" a="1"/>
  <c r="D32" i="1"/>
  <c r="C32" i="1" a="1"/>
  <c r="C32" i="1"/>
  <c r="B32" i="1" a="1"/>
  <c r="B32" i="1"/>
  <c r="G31" i="1" a="1"/>
  <c r="G31" i="1"/>
  <c r="F31" i="1" a="1"/>
  <c r="F31" i="1"/>
  <c r="E31" i="1" a="1"/>
  <c r="E31" i="1"/>
  <c r="D31" i="1" a="1"/>
  <c r="D31" i="1"/>
  <c r="C31" i="1" a="1"/>
  <c r="C31" i="1"/>
  <c r="B31" i="1" a="1"/>
  <c r="B31" i="1"/>
  <c r="B15" i="1" a="1"/>
  <c r="B15" i="1"/>
  <c r="B14" i="1" a="1"/>
  <c r="B14" i="1"/>
  <c r="B12" i="1" a="1"/>
  <c r="B12" i="1"/>
  <c r="B3" i="1" a="1"/>
  <c r="B3" i="1"/>
  <c r="B6" i="1" a="1"/>
  <c r="B6" i="1"/>
  <c r="B5" i="1" a="1"/>
  <c r="B5" i="1"/>
  <c r="M74" i="1"/>
  <c r="M70" i="1"/>
  <c r="M84" i="1"/>
  <c r="B22" i="1"/>
  <c r="M81" i="1"/>
  <c r="M80" i="1"/>
  <c r="M79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<sst xmlns="http://schemas.openxmlformats.org/spreadsheetml/2006/main" count="86" uniqueCount="84">
  <si>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</si>
  <si>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</si>
  <si>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</si>
  <si>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</si>
  <si>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</si>
  <si>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</si>
  <si>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</si>
  <si>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</si>
  <si>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</si>
  <si>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</si>
  <si>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</si>
  <si>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</si>
  <si>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</si>
  <si>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</si>
  <si>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</si>
  <si>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</si>
  <si>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</si>
  <si>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</si>
  <si>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</si>
  <si>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</si>
  <si>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</si>
  <si>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</si>
  <si>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</si>
  <si>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</si>
  <si>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</si>
  <si>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</si>
  <si>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</si>
  <si>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</si>
  <si>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</si>
  <si>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</si>
  <si>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</si>
  <si>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</si>
  <si>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approved non-flat file</t>
  </si>
  <si>
    <t>CBMS</t>
  </si>
  <si>
    <t>sys_adj process</t>
  </si>
  <si>
    <t>Copy</t>
  </si>
  <si>
    <t>Reverse</t>
  </si>
  <si>
    <t>Copy and Reverse</t>
  </si>
  <si>
    <t>Delete</t>
  </si>
  <si>
    <t>Enter File Name :</t>
  </si>
  <si>
    <t>flatfile upload.csv</t>
  </si>
  <si>
    <t>Data Upload Directory :</t>
  </si>
  <si>
    <t>Upload Validation :</t>
  </si>
  <si>
    <t>Note :</t>
  </si>
  <si>
    <t>The upload process will put you in a queue and may take a few moments to complete.</t>
  </si>
  <si>
    <t>Note : When upload fails, error log files will also be saved in the same directory.</t>
  </si>
  <si>
    <t>Note : Add the file extension (*.csv)</t>
  </si>
  <si>
    <t xml:space="preserve">Please ensure the upload file has enforced the following formats : </t>
  </si>
  <si>
    <t>- Store attachments in the location as indicated below</t>
  </si>
  <si>
    <t>General Comments :</t>
  </si>
  <si>
    <t>Attachment File Path :</t>
  </si>
  <si>
    <t>save location</t>
  </si>
  <si>
    <t>sys_upload directory</t>
  </si>
  <si>
    <t>sys_shared directory</t>
  </si>
  <si>
    <t>sys_Web URL</t>
  </si>
  <si>
    <t>sys_Web URL Linked Folder</t>
  </si>
  <si>
    <t>Hyperlink Configuration</t>
  </si>
  <si>
    <t>Full File Path</t>
  </si>
  <si>
    <t>current budget round</t>
  </si>
  <si>
    <t>Hyperlink File Path</t>
  </si>
  <si>
    <t>http://localhost:9510/</t>
  </si>
  <si>
    <t>Attachment Hyperlink Configuration</t>
  </si>
  <si>
    <t>sys_ImpFileValidation</t>
  </si>
  <si>
    <t>Data Entry - New Adj 97 - Upload</t>
  </si>
  <si>
    <t>Natural Sign</t>
  </si>
  <si>
    <t>FF Account Signage :</t>
  </si>
  <si>
    <t>Success</t>
  </si>
  <si>
    <t>Flat file successfully loaded into GBMS.</t>
  </si>
  <si>
    <t>Failure</t>
  </si>
  <si>
    <t>Validation FAILED. Please review exception logs, or ensure the files do not have any commas or dashes as zeroes, or th or file does not exist.</t>
  </si>
  <si>
    <t>Confirmation</t>
  </si>
  <si>
    <t xml:space="preserve">Are you sure you want to upload a flatfile? </t>
  </si>
  <si>
    <t>Data Entry - Upload Template</t>
  </si>
  <si>
    <t>Action Button Messages and Parameters</t>
  </si>
  <si>
    <t>psFFType</t>
  </si>
  <si>
    <t>Upload Group Adj Flatfile Process</t>
  </si>
  <si>
    <t>Account Template</t>
  </si>
  <si>
    <t>Homepage - Annual Estimates - Account Variation</t>
  </si>
  <si>
    <t>Group Data Entry - New Adj 97 - Upload</t>
  </si>
  <si>
    <t>Group Data Entry - Upload Template</t>
  </si>
  <si>
    <t>sys_ImpFileExceptionLogs</t>
  </si>
  <si>
    <t>Exception Log File Path :</t>
  </si>
  <si>
    <t>Note : Check this file path first when an error happens during upload. This identifies issues within the flatfile upload.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</si>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</sst>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9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0" borderId="4" xfId="0" applyFont="1" applyBorder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3" fillId="0" borderId="0" xfId="0" applyFont="1" applyAlignment="1" applyProtection="1">
      <alignment vertical="top" wrapText="1"/>
      <protection locked="0"/>
    </xf>
    <xf numFmtId="0" fontId="5" fillId="0" borderId="0" xfId="0" applyFont="1" applyAlignment="1">
      <alignment horizontal="right" indent="1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3" fillId="0" borderId="4" xfId="0" applyFont="1" applyBorder="1" applyAlignment="1">
      <alignment horizontal="left" indent="1"/>
    </xf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6" xfId="0" applyFont="1" applyFill="1" applyBorder="1"/>
    <xf numFmtId="0" fontId="8" fillId="4" borderId="5" xfId="0" applyFont="1" applyFill="1" applyBorder="1" applyAlignment="1">
      <alignment horizontal="left"/>
    </xf>
    <xf numFmtId="0" fontId="8" fillId="4" borderId="7" xfId="0" quotePrefix="1" applyFont="1" applyFill="1" applyBorder="1" applyAlignment="1">
      <alignment horizontal="left"/>
    </xf>
    <xf numFmtId="0" fontId="9" fillId="0" borderId="4" xfId="2" applyBorder="1"/>
    <xf numFmtId="0" fontId="10" fillId="0" borderId="0" xfId="0" applyFont="1" applyAlignment="1">
      <alignment horizontal="left"/>
    </xf>
    <xf numFmtId="0" fontId="10" fillId="0" borderId="0" xfId="0" applyFont="1"/>
    <xf numFmtId="0" fontId="11" fillId="4" borderId="4" xfId="0" applyFont="1" applyFill="1" applyBorder="1" applyAlignment="1">
      <alignment horizontal="left" indent="1"/>
    </xf>
    <xf numFmtId="0" fontId="3" fillId="4" borderId="4" xfId="0" applyFont="1" applyFill="1" applyBorder="1" applyAlignment="1">
      <alignment horizontal="left" vertical="top" wrapText="1" indent="1"/>
    </xf>
    <xf numFmtId="0" fontId="0" fillId="4" borderId="4" xfId="0" applyFill="1" applyBorder="1" applyAlignment="1">
      <alignment horizontal="left" vertical="top" wrapText="1" indent="1"/>
    </xf>
    <xf numFmtId="0" fontId="6" fillId="0" borderId="0" xfId="0" applyFont="1" applyAlignment="1">
      <alignment horizontal="right" vertical="top" indent="1"/>
    </xf>
    <xf numFmtId="0" fontId="10" fillId="0" borderId="0" xfId="0" applyFont="1" applyAlignment="1">
      <alignment vertical="top" wrapText="1"/>
    </xf>
    <xf numFmtId="0" fontId="3" fillId="0" borderId="4" xfId="0" applyFont="1" applyBorder="1" applyAlignment="1" applyProtection="1">
      <alignment horizontal="left" indent="1"/>
      <protection locked="0"/>
    </xf>
    <xf numFmtId="0" fontId="1" fillId="0" borderId="0" xfId="0" applyFont="1" applyAlignment="1">
      <alignment horizontal="right" vertical="top" indent="1"/>
    </xf>
    <xf numFmtId="0" fontId="2" fillId="3" borderId="0" xfId="0" applyFont="1" applyFill="1" applyAlignment="1">
      <alignment horizontal="right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3" xfId="1" xr:uid="{00000000-0005-0000-0000-000002000000}"/>
  </cellStyles>
  <dxfs count="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3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64</xdr:row>
      <xdr:rowOff>28575</xdr:rowOff>
    </xdr:from>
    <xdr:to>
      <xdr:col>10</xdr:col>
      <xdr:colOff>1181100</xdr:colOff>
      <xdr:row>64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2809875</xdr:colOff>
      <xdr:row>66</xdr:row>
      <xdr:rowOff>0</xdr:rowOff>
    </xdr:from>
    <xdr:to>
      <xdr:col>12</xdr:col>
      <xdr:colOff>3590925</xdr:colOff>
      <xdr:row>66</xdr:row>
      <xdr:rowOff>247650</xdr:rowOff>
    </xdr:to>
    <xdr:sp macro="Sheet1.ExecuteAction_c4737c52_3c57_4a96_b6cc_4cfaf7446721" textlink="">
      <xdr:nvSpPr>
        <xdr:cNvPr id="3" name="TM1Button_c4737c52_3c57_4a96_b6cc_4cfaf7446721">
          <a:extLst>
            <a:ext uri="{FF2B5EF4-FFF2-40B4-BE49-F238E27FC236}">
              <a16:creationId xmlns:a16="http://schemas.microsoft.com/office/drawing/2014/main" id="{2B67AE74-18AB-353E-0A83-C1F5804390F5}"/>
            </a:ext>
          </a:extLst>
        </xdr:cNvPr>
        <xdr:cNvSpPr txBox="1"/>
      </xdr:nvSpPr>
      <xdr:spPr>
        <a:xfrm>
          <a:off x="52482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104775</xdr:colOff>
      <xdr:row>66</xdr:row>
      <xdr:rowOff>0</xdr:rowOff>
    </xdr:from>
    <xdr:to>
      <xdr:col>10</xdr:col>
      <xdr:colOff>1228725</xdr:colOff>
      <xdr:row>66</xdr:row>
      <xdr:rowOff>247650</xdr:rowOff>
    </xdr:to>
    <xdr:sp macro="Sheet1.ExecuteAction_3c99cad2_045a_491d_9dd4_1e6cda32453f" textlink="TM1HomeAEDataEntryCAP">
      <xdr:nvSpPr>
        <xdr:cNvPr id="4" name="TM1Button_3c99cad2_045a_491d_9dd4_1e6cda32453f">
          <a:extLst>
            <a:ext uri="{FF2B5EF4-FFF2-40B4-BE49-F238E27FC236}">
              <a16:creationId xmlns:a16="http://schemas.microsoft.com/office/drawing/2014/main" id="{47D435DC-95E6-3F20-B97B-B2AF189DC0EA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8E1C844-04D8-4668-900A-DF859738C76F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66</xdr:row>
      <xdr:rowOff>0</xdr:rowOff>
    </xdr:from>
    <xdr:to>
      <xdr:col>10</xdr:col>
      <xdr:colOff>66675</xdr:colOff>
      <xdr:row>66</xdr:row>
      <xdr:rowOff>247650</xdr:rowOff>
    </xdr:to>
    <xdr:sp macro="Sheet1.ExecuteAction_cb83d3eb_51cb_42a0_ba7e_49bf25c1d66f" textlink="TM1HomeCAP">
      <xdr:nvSpPr>
        <xdr:cNvPr id="5" name="TM1Button_cb83d3eb_51cb_42a0_ba7e_49bf25c1d66f">
          <a:extLst>
            <a:ext uri="{FF2B5EF4-FFF2-40B4-BE49-F238E27FC236}">
              <a16:creationId xmlns:a16="http://schemas.microsoft.com/office/drawing/2014/main" id="{2597DF6F-7C3D-762D-0A8F-D2477E072962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ABCD7A9-CA5B-4B4B-8649-D328ED723EC4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1257300</xdr:colOff>
      <xdr:row>66</xdr:row>
      <xdr:rowOff>0</xdr:rowOff>
    </xdr:from>
    <xdr:to>
      <xdr:col>12</xdr:col>
      <xdr:colOff>342900</xdr:colOff>
      <xdr:row>66</xdr:row>
      <xdr:rowOff>247650</xdr:rowOff>
    </xdr:to>
    <xdr:sp macro="Sheet1.ExecuteAction_b707a0d6_3ed7_46f9_9d74_5872267be61e" textlink="TM1AdjIDListCAP">
      <xdr:nvSpPr>
        <xdr:cNvPr id="6" name="TM1Button_b707a0d6_3ed7_46f9_9d74_5872267be61e">
          <a:extLst>
            <a:ext uri="{FF2B5EF4-FFF2-40B4-BE49-F238E27FC236}">
              <a16:creationId xmlns:a16="http://schemas.microsoft.com/office/drawing/2014/main" id="{87BEC566-E44A-C386-F3FB-B38372DF31E0}"/>
            </a:ext>
          </a:extLst>
        </xdr:cNvPr>
        <xdr:cNvSpPr txBox="1"/>
      </xdr:nvSpPr>
      <xdr:spPr>
        <a:xfrm>
          <a:off x="1924050" y="561975"/>
          <a:ext cx="857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F0C2B85-CCF8-4837-B658-76B1643E432B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4524375</xdr:colOff>
      <xdr:row>65</xdr:row>
      <xdr:rowOff>28575</xdr:rowOff>
    </xdr:from>
    <xdr:to>
      <xdr:col>15</xdr:col>
      <xdr:colOff>0</xdr:colOff>
      <xdr:row>66</xdr:row>
      <xdr:rowOff>285750</xdr:rowOff>
    </xdr:to>
    <xdr:sp macro="Sheet1.ExecuteAction_0a058350_7e15_457d_a73e_507bbe979366" textlink="">
      <xdr:nvSpPr>
        <xdr:cNvPr id="7" name="TM1Button_0a058350_7e15_457d_a73e_507bbe979366">
          <a:extLst>
            <a:ext uri="{FF2B5EF4-FFF2-40B4-BE49-F238E27FC236}">
              <a16:creationId xmlns:a16="http://schemas.microsoft.com/office/drawing/2014/main" id="{0E7FDE22-948F-5EC3-9CDD-001DA41A76B7}"/>
            </a:ext>
          </a:extLst>
        </xdr:cNvPr>
        <xdr:cNvSpPr txBox="1"/>
      </xdr:nvSpPr>
      <xdr:spPr>
        <a:xfrm>
          <a:off x="126111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1866900</xdr:colOff>
      <xdr:row>66</xdr:row>
      <xdr:rowOff>0</xdr:rowOff>
    </xdr:from>
    <xdr:to>
      <xdr:col>12</xdr:col>
      <xdr:colOff>2762250</xdr:colOff>
      <xdr:row>66</xdr:row>
      <xdr:rowOff>247650</xdr:rowOff>
    </xdr:to>
    <xdr:sp macro="Sheet1.ExecuteAction_df46f1d2_b0f5_4717_9065_b415fc983650" textlink="">
      <xdr:nvSpPr>
        <xdr:cNvPr id="8" name="TM1Button_df46f1d2_b0f5_4717_9065_b415fc983650">
          <a:extLst>
            <a:ext uri="{FF2B5EF4-FFF2-40B4-BE49-F238E27FC236}">
              <a16:creationId xmlns:a16="http://schemas.microsoft.com/office/drawing/2014/main" id="{291B2373-9209-097C-DE1C-7510C49208C7}"/>
            </a:ext>
          </a:extLst>
        </xdr:cNvPr>
        <xdr:cNvSpPr txBox="1"/>
      </xdr:nvSpPr>
      <xdr:spPr>
        <a:xfrm>
          <a:off x="4305300" y="561975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</a:t>
          </a:r>
        </a:p>
      </xdr:txBody>
    </xdr:sp>
    <xdr:clientData/>
  </xdr:twoCellAnchor>
  <xdr:twoCellAnchor editAs="oneCell">
    <xdr:from>
      <xdr:col>12</xdr:col>
      <xdr:colOff>381000</xdr:colOff>
      <xdr:row>66</xdr:row>
      <xdr:rowOff>0</xdr:rowOff>
    </xdr:from>
    <xdr:to>
      <xdr:col>12</xdr:col>
      <xdr:colOff>1838325</xdr:colOff>
      <xdr:row>66</xdr:row>
      <xdr:rowOff>247650</xdr:rowOff>
    </xdr:to>
    <xdr:sp macro="Sheet1.ExecuteAction_a412597f_6958_4ea0_8137_d701ec8891fa" textlink="">
      <xdr:nvSpPr>
        <xdr:cNvPr id="9" name="TM1Button_a412597f_6958_4ea0_8137_d701ec8891fa">
          <a:extLst>
            <a:ext uri="{FF2B5EF4-FFF2-40B4-BE49-F238E27FC236}">
              <a16:creationId xmlns:a16="http://schemas.microsoft.com/office/drawing/2014/main" id="{59A81EC5-7969-3DEB-8FDE-AB601359350F}"/>
            </a:ext>
          </a:extLst>
        </xdr:cNvPr>
        <xdr:cNvSpPr txBox="1"/>
      </xdr:nvSpPr>
      <xdr:spPr>
        <a:xfrm>
          <a:off x="2819400" y="561975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Flatfile Upload Template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87"/>
  <sheetViews>
    <sheetView showGridLines="0" showRowColHeaders="0" tabSelected="1" showOutlineSymbols="0" topLeftCell="I65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5.7109375" customWidth="1"/>
    <col min="12" max="12" width="0.85546875" customWidth="1"/>
    <col min="13" max="13" width="80.7109375" customWidth="1"/>
    <col min="14" max="14" width="4" customWidth="1"/>
    <col min="15" max="15" width="72.5703125" customWidth="1"/>
  </cols>
  <sheetData>
    <row r="1" spans="1:3" hidden="1" outlineLevel="1" x14ac:dyDescent="0.25">
      <c r="A1" s="31" t="s">
        <v>0</v>
      </c>
      <c r="B1" s="32"/>
      <c r="C1" s="33"/>
    </row>
    <row r="2" spans="1:3" hidden="1" outlineLevel="1" x14ac:dyDescent="0.25">
      <c r="A2" s="1" t="s">
        <v>1</v>
      </c>
      <c r="B2" s="2" t="s">
        <v>83</v>
      </c>
      <c r="C2" s="3"/>
    </row>
    <row r="3" spans="1:3" hidden="1" outlineLevel="1" x14ac:dyDescent="0.25">
      <c r="A3" s="1" t="s">
        <v>2</v>
      </c>
      <c r="B3" s="4" t="str" cm="1">
        <f t="array" ref="B3">_xll.VIEW(db_name&amp;":}ElementAttributes_}Clients","!","!")</f>
        <v>finance_geus:}ElementAttributes_}Clients:1264217196-38413909</v>
      </c>
      <c r="C3" s="3"/>
    </row>
    <row r="4" spans="1:3" hidden="1" outlineLevel="1" x14ac:dyDescent="0.25">
      <c r="A4" s="1" t="s">
        <v>3</v>
      </c>
      <c r="B4" s="2" t="str" cm="1">
        <f t="array" aca="1" ref="B4" ca="1">_xll.TM1USER(db_name)</f>
        <v>RECALC_0_100_</v>
      </c>
      <c r="C4" s="3"/>
    </row>
    <row r="5" spans="1:3" hidden="1" outlineLevel="1" x14ac:dyDescent="0.25">
      <c r="A5" s="1" t="s">
        <v>4</v>
      </c>
      <c r="B5" s="2" t="str" cm="1">
        <f t="array" aca="1" ref="B5" ca="1">_xll.DBR($B$3,$B$4,$A5)</f>
        <v>RECALC_1_101_</v>
      </c>
      <c r="C5" s="3"/>
    </row>
    <row r="6" spans="1:3" hidden="1" outlineLevel="1" x14ac:dyDescent="0.25">
      <c r="A6" s="1" t="s">
        <v>5</v>
      </c>
      <c r="B6" s="2" t="str" cm="1">
        <f t="array" aca="1" ref="B6" ca="1">_xll.DBR($B$3,$B$4,$A6)</f>
        <v>RECALC_1_232_</v>
      </c>
      <c r="C6" s="3"/>
    </row>
    <row r="7" spans="1:3" hidden="1" outlineLevel="1" x14ac:dyDescent="0.25">
      <c r="A7" s="1" t="s">
        <v>6</v>
      </c>
      <c r="B7" s="2" t="str">
        <f ca="1">IF(LEFT($B$5,6)="CAM_AD",$B$6,$B$5)</f>
        <v>RECALC_1_101_</v>
      </c>
      <c r="C7" s="5"/>
    </row>
    <row r="8" spans="1:3" hidden="1" outlineLevel="1" x14ac:dyDescent="0.25"/>
    <row r="9" spans="1:3" hidden="1" outlineLevel="1" x14ac:dyDescent="0.25">
      <c r="A9" s="31" t="s">
        <v>7</v>
      </c>
      <c r="B9" s="32"/>
      <c r="C9" s="33"/>
    </row>
    <row r="10" spans="1:3" hidden="1" outlineLevel="1" x14ac:dyDescent="0.25">
      <c r="A10" s="1" t="s">
        <v>8</v>
      </c>
      <c r="B10" s="5" t="str" cm="1">
        <f t="array" ref="B10">_xll.VIEW(db_name&amp;":}ElementAttributes_variables","!","!")</f>
        <v>finance_geus:}ElementAttributes_variables:1264217196-533773893</v>
      </c>
      <c r="C10" s="5"/>
    </row>
    <row r="11" spans="1:3" hidden="1" outlineLevel="1" x14ac:dyDescent="0.25">
      <c r="A11" s="1" t="s">
        <v>9</v>
      </c>
      <c r="B11" s="5" t="str" cm="1">
        <f t="array" aca="1" ref="B11" ca="1">_xll.DBR($B$10,$A11,"value")</f>
        <v>RECALC_0_231_</v>
      </c>
      <c r="C11" s="5"/>
    </row>
    <row r="12" spans="1:3" hidden="1" outlineLevel="1" x14ac:dyDescent="0.25">
      <c r="A12" s="1" t="s">
        <v>10</v>
      </c>
      <c r="B12" s="5" t="str" cm="1">
        <f t="array" aca="1" ref="B12" ca="1">_xll.DBR($B$10,$A12,"value")</f>
        <v>RECALC_0_230_</v>
      </c>
      <c r="C12" s="5"/>
    </row>
    <row r="13" spans="1:3" hidden="1" outlineLevel="1" x14ac:dyDescent="0.25">
      <c r="A13" s="1" t="s">
        <v>58</v>
      </c>
      <c r="B13" s="5" t="str" cm="1">
        <f t="array" aca="1" ref="B13" ca="1">_xll.DBR($B$10,$A13,"value")</f>
        <v>RECALC_0_262_</v>
      </c>
      <c r="C13" s="5"/>
    </row>
    <row r="14" spans="1:3" hidden="1" outlineLevel="1" x14ac:dyDescent="0.25">
      <c r="A14" s="1" t="s">
        <v>51</v>
      </c>
      <c r="B14" s="5" t="str" cm="1">
        <f t="array" aca="1" ref="B14" ca="1">_xll.DBR($B$10,$A14,"value")</f>
        <v>RECALC_0_433_</v>
      </c>
      <c r="C14" s="5"/>
    </row>
    <row r="15" spans="1:3" hidden="1" outlineLevel="1" x14ac:dyDescent="0.25">
      <c r="A15" s="1" t="s">
        <v>52</v>
      </c>
      <c r="B15" s="5" t="str" cm="1">
        <f t="array" aca="1" ref="B15" ca="1">_xll.DBR($B$10,$A15,"value")</f>
        <v>RECALC_0_575_</v>
      </c>
      <c r="C15" s="5"/>
    </row>
    <row r="16" spans="1:3" hidden="1" outlineLevel="1" x14ac:dyDescent="0.25">
      <c r="A16" s="1" t="s">
        <v>80</v>
      </c>
      <c r="B16" s="5" t="str" cm="1">
        <f t="array" aca="1" ref="B16" ca="1">_xll.DBR($B$10,$A16,"value")</f>
        <v>RECALC_0_431_</v>
      </c>
      <c r="C16" s="5"/>
    </row>
    <row r="17" spans="1:7" hidden="1" outlineLevel="1" x14ac:dyDescent="0.25">
      <c r="A17" s="1"/>
      <c r="B17" s="5"/>
      <c r="C17" s="5"/>
    </row>
    <row r="18" spans="1:7" hidden="1" outlineLevel="1" x14ac:dyDescent="0.25">
      <c r="A18" s="31" t="s">
        <v>56</v>
      </c>
      <c r="B18" s="32"/>
      <c r="C18" s="33"/>
    </row>
    <row r="19" spans="1:7" hidden="1" outlineLevel="1" x14ac:dyDescent="0.25">
      <c r="A19" s="1" t="s">
        <v>53</v>
      </c>
      <c r="B19" s="5" t="str" cm="1">
        <f t="array" aca="1" ref="B19" ca="1">_xll.DBR($B$10,$A19,"value")</f>
        <v>RECALC_0_430_</v>
      </c>
      <c r="C19" s="5"/>
    </row>
    <row r="20" spans="1:7" hidden="1" outlineLevel="1" x14ac:dyDescent="0.25">
      <c r="A20" s="1" t="s">
        <v>54</v>
      </c>
      <c r="B20" s="20" t="s">
        <v>60</v>
      </c>
      <c r="C20" s="5"/>
    </row>
    <row r="21" spans="1:7" hidden="1" outlineLevel="1" x14ac:dyDescent="0.25">
      <c r="A21" s="1" t="s">
        <v>55</v>
      </c>
      <c r="B21" s="5" t="str" cm="1">
        <f t="array" aca="1" ref="B21" ca="1">_xll.DBR($B$10,$A21,"value")</f>
        <v>RECALC_0_429_</v>
      </c>
      <c r="C21" s="5"/>
    </row>
    <row r="22" spans="1:7" hidden="1" outlineLevel="1" x14ac:dyDescent="0.25">
      <c r="A22" s="1" t="s">
        <v>59</v>
      </c>
      <c r="B22" s="5" t="str">
        <f ca="1">$B$20&amp;"/"&amp;$B$21&amp;"/"</f>
        <v>http://localhost:9510//RECALC_0_429_/</v>
      </c>
      <c r="C22" s="5"/>
    </row>
    <row r="23" spans="1:7" hidden="1" outlineLevel="1" x14ac:dyDescent="0.25"/>
    <row r="24" spans="1:7" hidden="1" outlineLevel="1" x14ac:dyDescent="0.25">
      <c r="A24" s="34" t="s">
        <v>61</v>
      </c>
      <c r="B24" s="34"/>
      <c r="C24" s="34"/>
    </row>
    <row r="25" spans="1:7" hidden="1" outlineLevel="1" x14ac:dyDescent="0.25">
      <c r="A25" s="1" t="s">
        <v>57</v>
      </c>
      <c r="B25" s="5" t="str">
        <f ca="1">$B$19&amp;"\"&amp;$B$21&amp;"\"&amp;$B$11&amp;"\"&amp;$B$13&amp;"\"</f>
        <v>RECALC_0_430_\RECALC_0_429_\RECALC_0_231_\RECALC_0_262_\</v>
      </c>
      <c r="C25" s="5"/>
    </row>
    <row r="26" spans="1:7" hidden="1" outlineLevel="1" x14ac:dyDescent="0.25"/>
    <row r="27" spans="1:7" hidden="1" outlineLevel="1" x14ac:dyDescent="0.25">
      <c r="A27" s="31" t="s">
        <v>11</v>
      </c>
      <c r="B27" s="32"/>
      <c r="C27" s="33"/>
    </row>
    <row r="28" spans="1:7" hidden="1" outlineLevel="1" x14ac:dyDescent="0.25">
      <c r="A28" s="5" t="s">
        <v>12</v>
      </c>
      <c r="B28" s="5" t="str" cm="1">
        <f t="array" ref="B28">_xll.VIEW(db_name&amp;":sys_application","!","!")</f>
        <v>finance_geus:sys_application:1264217196-897363669</v>
      </c>
    </row>
    <row r="29" spans="1:7" hidden="1" outlineLevel="1" x14ac:dyDescent="0.25">
      <c r="A29" s="5" t="s">
        <v>13</v>
      </c>
      <c r="B29" s="5" t="s">
        <v>63</v>
      </c>
    </row>
    <row r="30" spans="1:7" hidden="1" outlineLevel="1" x14ac:dyDescent="0.25">
      <c r="A30" s="6" t="s">
        <v>14</v>
      </c>
      <c r="B30" s="7" t="s">
        <v>15</v>
      </c>
      <c r="C30" s="7" t="s">
        <v>16</v>
      </c>
      <c r="D30" s="7" t="s">
        <v>17</v>
      </c>
      <c r="E30" s="7" t="s">
        <v>18</v>
      </c>
      <c r="F30" s="7" t="s">
        <v>19</v>
      </c>
      <c r="G30" s="7" t="s">
        <v>20</v>
      </c>
    </row>
    <row r="31" spans="1:7" hidden="1" outlineLevel="1" x14ac:dyDescent="0.25">
      <c r="A31" s="5" t="s">
        <v>21</v>
      </c>
      <c r="B31" s="5" t="str" cm="1">
        <f t="array" aca="1" ref="B31" ca="1">_xll.DBR($B$28,$A31,B$30)</f>
        <v>RECALC_0_83_</v>
      </c>
      <c r="C31" s="5" t="str" cm="1">
        <f t="array" aca="1" ref="C31" ca="1">_xll.DBR($B$28,$A31,C$30)</f>
        <v>RECALC_0_82_</v>
      </c>
      <c r="D31" s="5" t="str" cm="1">
        <f t="array" aca="1" ref="D31" ca="1">_xll.DBR($B$28,$A31,D$30)</f>
        <v>RECALC_0_81_</v>
      </c>
      <c r="E31" s="5" t="str" cm="1">
        <f t="array" aca="1" ref="E31" ca="1">_xll.DBR($B$28,$A31,E$30)</f>
        <v>RECALC_0_80_</v>
      </c>
      <c r="F31" s="5" t="str" cm="1">
        <f t="array" aca="1" ref="F31" ca="1">_xll.DBR($B$28,$A31,F$30)</f>
        <v>RECALC_0_79_</v>
      </c>
      <c r="G31" s="5" t="str" cm="1">
        <f t="array" aca="1" ref="G31" ca="1">_xll.DBR($B$28,$A31,G$30)</f>
        <v>RECALC_0_78_</v>
      </c>
    </row>
    <row r="32" spans="1:7" hidden="1" outlineLevel="1" x14ac:dyDescent="0.25">
      <c r="A32" s="5" t="s">
        <v>22</v>
      </c>
      <c r="B32" s="5" t="str" cm="1">
        <f t="array" aca="1" ref="B32" ca="1">_xll.DBR($B$28,$A32,B$30)</f>
        <v>RECALC_0_77_</v>
      </c>
      <c r="C32" s="5" t="str" cm="1">
        <f t="array" aca="1" ref="C32" ca="1">_xll.DBR($B$28,$A32,C$30)</f>
        <v>RECALC_0_76_</v>
      </c>
      <c r="D32" s="5" t="str" cm="1">
        <f t="array" aca="1" ref="D32" ca="1">_xll.DBR($B$28,$A32,D$30)</f>
        <v>RECALC_0_75_</v>
      </c>
      <c r="E32" s="5" t="str" cm="1">
        <f t="array" aca="1" ref="E32" ca="1">_xll.DBR($B$28,$A32,E$30)</f>
        <v>RECALC_0_74_</v>
      </c>
      <c r="F32" s="5" t="str" cm="1">
        <f t="array" aca="1" ref="F32" ca="1">_xll.DBR($B$28,$A32,F$30)</f>
        <v>RECALC_0_73_</v>
      </c>
      <c r="G32" s="5" t="str" cm="1">
        <f t="array" aca="1" ref="G32" ca="1">_xll.DBR($B$28,$A32,G$30)</f>
        <v>RECALC_0_72_</v>
      </c>
    </row>
    <row r="33" spans="1:7" hidden="1" outlineLevel="1" x14ac:dyDescent="0.25">
      <c r="A33" s="5" t="s">
        <v>23</v>
      </c>
      <c r="B33" s="5" t="str" cm="1">
        <f t="array" aca="1" ref="B33" ca="1">_xll.DBR($B$28,$A33,B$30)</f>
        <v>RECALC_0_225_</v>
      </c>
      <c r="C33" s="5" t="str" cm="1">
        <f t="array" aca="1" ref="C33" ca="1">_xll.DBR($B$28,$A33,C$30)</f>
        <v>RECALC_0_224_</v>
      </c>
      <c r="D33" s="5" t="str" cm="1">
        <f t="array" aca="1" ref="D33" ca="1">_xll.DBR($B$28,$A33,D$30)</f>
        <v>RECALC_0_223_</v>
      </c>
      <c r="E33" s="5" t="str" cm="1">
        <f t="array" aca="1" ref="E33" ca="1">_xll.DBR($B$28,$A33,E$30)</f>
        <v>RECALC_0_222_</v>
      </c>
      <c r="F33" s="5" t="str" cm="1">
        <f t="array" aca="1" ref="F33" ca="1">_xll.DBR($B$28,$A33,F$30)</f>
        <v>RECALC_0_221_</v>
      </c>
      <c r="G33" s="5" t="str" cm="1">
        <f t="array" aca="1" ref="G33" ca="1">_xll.DBR($B$28,$A33,G$30)</f>
        <v>RECALC_0_220_</v>
      </c>
    </row>
    <row r="34" spans="1:7" hidden="1" outlineLevel="1" x14ac:dyDescent="0.25">
      <c r="A34" s="5" t="s">
        <v>24</v>
      </c>
      <c r="B34" s="5" t="str" cm="1">
        <f t="array" aca="1" ref="B34" ca="1">_xll.DBR($B$28,$A34,B$30)</f>
        <v>RECALC_0_219_</v>
      </c>
      <c r="C34" s="5" t="str" cm="1">
        <f t="array" aca="1" ref="C34" ca="1">_xll.DBR($B$28,$A34,C$30)</f>
        <v>RECALC_0_218_</v>
      </c>
      <c r="D34" s="5" t="str" cm="1">
        <f t="array" aca="1" ref="D34" ca="1">_xll.DBR($B$28,$A34,D$30)</f>
        <v>RECALC_0_217_</v>
      </c>
      <c r="E34" s="5" t="str" cm="1">
        <f t="array" aca="1" ref="E34" ca="1">_xll.DBR($B$28,$A34,E$30)</f>
        <v>RECALC_0_216_</v>
      </c>
      <c r="F34" s="5" t="str" cm="1">
        <f t="array" aca="1" ref="F34" ca="1">_xll.DBR($B$28,$A34,F$30)</f>
        <v>RECALC_0_215_</v>
      </c>
      <c r="G34" s="5" t="str" cm="1">
        <f t="array" aca="1" ref="G34" ca="1">_xll.DBR($B$28,$A34,G$30)</f>
        <v>RECALC_0_214_</v>
      </c>
    </row>
    <row r="35" spans="1:7" hidden="1" outlineLevel="1" x14ac:dyDescent="0.25">
      <c r="A35" s="5" t="s">
        <v>72</v>
      </c>
      <c r="B35" s="5" t="str" cm="1">
        <f t="array" aca="1" ref="B35" ca="1">_xll.DBR($B$28,$A35,B$30)</f>
        <v>RECALC_0_428_</v>
      </c>
      <c r="C35" s="5" t="str" cm="1">
        <f t="array" aca="1" ref="C35" ca="1">_xll.DBR($B$28,$A35,C$30)</f>
        <v>RECALC_0_427_</v>
      </c>
      <c r="D35" s="5" t="str" cm="1">
        <f t="array" aca="1" ref="D35" ca="1">_xll.DBR($B$28,$A35,D$30)</f>
        <v>RECALC_0_426_</v>
      </c>
      <c r="E35" s="5" t="str" cm="1">
        <f t="array" aca="1" ref="E35" ca="1">_xll.DBR($B$28,$A35,E$30)</f>
        <v>RECALC_0_425_</v>
      </c>
      <c r="F35" s="5" t="str" cm="1">
        <f t="array" aca="1" ref="F35" ca="1">_xll.DBR($B$28,$A35,F$30)</f>
        <v>RECALC_0_424_</v>
      </c>
      <c r="G35" s="5" t="str" cm="1">
        <f t="array" aca="1" ref="G35" ca="1">_xll.DBR($B$28,$A35,G$30)</f>
        <v>RECALC_0_423_</v>
      </c>
    </row>
    <row r="36" spans="1:7" hidden="1" outlineLevel="1" x14ac:dyDescent="0.25">
      <c r="A36" s="5" t="s">
        <v>77</v>
      </c>
      <c r="B36" s="5" t="str" cm="1">
        <f t="array" aca="1" ref="B36" ca="1">_xll.DBR($B$28,$A36,B$30)</f>
        <v>RECALC_0_875_</v>
      </c>
      <c r="C36" s="5" t="str" cm="1">
        <f t="array" aca="1" ref="C36" ca="1">_xll.DBR($B$28,$A36,C$30)</f>
        <v>RECALC_0_874_</v>
      </c>
      <c r="D36" s="5" t="str" cm="1">
        <f t="array" aca="1" ref="D36" ca="1">_xll.DBR($B$28,$A36,D$30)</f>
        <v>RECALC_0_873_</v>
      </c>
      <c r="E36" s="5" t="str" cm="1">
        <f t="array" aca="1" ref="E36" ca="1">_xll.DBR($B$28,$A36,E$30)</f>
        <v>RECALC_0_872_</v>
      </c>
      <c r="F36" s="5" t="str" cm="1">
        <f t="array" aca="1" ref="F36" ca="1">_xll.DBR($B$28,$A36,F$30)</f>
        <v>RECALC_0_871_</v>
      </c>
      <c r="G36" s="5" t="str" cm="1">
        <f t="array" aca="1" ref="G36" ca="1">_xll.DBR($B$28,$A36,G$30)</f>
        <v>RECALC_0_870_</v>
      </c>
    </row>
    <row r="37" spans="1:7" hidden="1" outlineLevel="1" x14ac:dyDescent="0.25">
      <c r="A37" s="5" t="s">
        <v>78</v>
      </c>
      <c r="B37" s="5" t="str" cm="1">
        <f t="array" aca="1" ref="B37" ca="1">_xll.DBR($B$28,$A37,B$30)</f>
        <v>RECALC_0_2294_</v>
      </c>
      <c r="C37" s="5" t="str" cm="1">
        <f t="array" aca="1" ref="C37" ca="1">_xll.DBR($B$28,$A37,C$30)</f>
        <v>RECALC_0_2293_</v>
      </c>
      <c r="D37" s="5" t="str" cm="1">
        <f t="array" aca="1" ref="D37" ca="1">_xll.DBR($B$28,$A37,D$30)</f>
        <v>RECALC_0_2292_</v>
      </c>
      <c r="E37" s="5" t="str" cm="1">
        <f t="array" aca="1" ref="E37" ca="1">_xll.DBR($B$28,$A37,E$30)</f>
        <v>RECALC_0_2291_</v>
      </c>
      <c r="F37" s="5" t="str" cm="1">
        <f t="array" aca="1" ref="F37" ca="1">_xll.DBR($B$28,$A37,F$30)</f>
        <v>RECALC_0_2290_</v>
      </c>
      <c r="G37" s="5" t="str" cm="1">
        <f t="array" aca="1" ref="G37" ca="1">_xll.DBR($B$28,$A37,G$30)</f>
        <v>RECALC_0_2289_</v>
      </c>
    </row>
    <row r="38" spans="1:7" hidden="1" outlineLevel="1" x14ac:dyDescent="0.25">
      <c r="A38" s="5" t="s">
        <v>79</v>
      </c>
      <c r="B38" s="5" t="str" cm="1">
        <f t="array" aca="1" ref="B38" ca="1">_xll.DBR($B$28,$A38,B$30)</f>
        <v>RECALC_0_2367_</v>
      </c>
      <c r="C38" s="5" t="str" cm="1">
        <f t="array" aca="1" ref="C38" ca="1">_xll.DBR($B$28,$A38,C$30)</f>
        <v>RECALC_0_2366_</v>
      </c>
      <c r="D38" s="5" t="str" cm="1">
        <f t="array" aca="1" ref="D38" ca="1">_xll.DBR($B$28,$A38,D$30)</f>
        <v>RECALC_0_2365_</v>
      </c>
      <c r="E38" s="5" t="str" cm="1">
        <f t="array" aca="1" ref="E38" ca="1">_xll.DBR($B$28,$A38,E$30)</f>
        <v>RECALC_0_2364_</v>
      </c>
      <c r="F38" s="5" t="str" cm="1">
        <f t="array" aca="1" ref="F38" ca="1">_xll.DBR($B$28,$A38,F$30)</f>
        <v>RECALC_0_2363_</v>
      </c>
      <c r="G38" s="5" t="str" cm="1">
        <f t="array" aca="1" ref="G38" ca="1">_xll.DBR($B$28,$A38,G$30)</f>
        <v>RECALC_0_2362_</v>
      </c>
    </row>
    <row r="39" spans="1:7" hidden="1" outlineLevel="1" x14ac:dyDescent="0.25"/>
    <row r="40" spans="1:7" hidden="1" outlineLevel="1" x14ac:dyDescent="0.25"/>
    <row r="41" spans="1:7" hidden="1" outlineLevel="1" x14ac:dyDescent="0.25">
      <c r="A41" s="31" t="s">
        <v>25</v>
      </c>
      <c r="B41" s="32"/>
      <c r="C41" s="33"/>
    </row>
    <row r="42" spans="1:7" hidden="1" outlineLevel="1" x14ac:dyDescent="0.25">
      <c r="A42" s="1" t="s">
        <v>8</v>
      </c>
      <c r="B42" s="5" t="str" cm="1">
        <f t="array" ref="B42">_xll.VIEW(db_name&amp;":sys_client preference","!","!","!")</f>
        <v>finance_geus:sys_client preference:1264217196-719470218</v>
      </c>
      <c r="C42" s="5"/>
    </row>
    <row r="43" spans="1:7" hidden="1" outlineLevel="1" x14ac:dyDescent="0.25">
      <c r="A43" s="1"/>
      <c r="B43" s="8" t="s">
        <v>26</v>
      </c>
      <c r="C43" s="8" t="s">
        <v>27</v>
      </c>
    </row>
    <row r="44" spans="1:7" hidden="1" outlineLevel="1" x14ac:dyDescent="0.25">
      <c r="A44" s="1" t="s">
        <v>28</v>
      </c>
      <c r="B44" s="5" t="str" cm="1">
        <f t="array" aca="1" ref="B44" ca="1">_xll.SUBNM(db_name&amp;":sys_client preference measure","","value")</f>
        <v>RECALC_0_189_</v>
      </c>
      <c r="C44" s="8"/>
    </row>
    <row r="45" spans="1:7" hidden="1" outlineLevel="1" x14ac:dyDescent="0.25">
      <c r="A45" s="1" t="s">
        <v>29</v>
      </c>
      <c r="B45" s="5" t="str" cm="1">
        <f t="array" aca="1" ref="B45" ca="1">_xll.DBR($B$42,psUser,$A45,B$43)</f>
        <v>RECALC_1_416_</v>
      </c>
      <c r="C45" s="5" t="str" cm="1">
        <f t="array" aca="1" ref="C45" ca="1">_xll.DBR($B$42,psUser,$A45,C$43)</f>
        <v>RECALC_1_415_</v>
      </c>
    </row>
    <row r="46" spans="1:7" hidden="1" outlineLevel="1" x14ac:dyDescent="0.25">
      <c r="A46" s="1" t="s">
        <v>30</v>
      </c>
      <c r="B46" s="5" t="str" cm="1">
        <f t="array" aca="1" ref="B46" ca="1">_xll.DBR($B$42,psUser,$A46,B$43)</f>
        <v>RECALC_1_414_</v>
      </c>
      <c r="C46" s="5" t="str" cm="1">
        <f t="array" aca="1" ref="C46" ca="1">_xll.DBR($B$42,psUser,$A46,C$43)</f>
        <v>RECALC_1_413_</v>
      </c>
    </row>
    <row r="47" spans="1:7" hidden="1" outlineLevel="1" x14ac:dyDescent="0.25">
      <c r="A47" s="1" t="s">
        <v>31</v>
      </c>
      <c r="B47" s="5" t="str" cm="1">
        <f t="array" aca="1" ref="B47" ca="1">_xll.DBR($B$42,psUser,$A47,B$43)</f>
        <v>RECALC_1_412_</v>
      </c>
      <c r="C47" s="5" t="str" cm="1">
        <f t="array" aca="1" ref="C47" ca="1">_xll.DBR($B$42,psUser,$A47,C$43)</f>
        <v>RECALC_1_411_</v>
      </c>
    </row>
    <row r="48" spans="1:7" hidden="1" outlineLevel="1" x14ac:dyDescent="0.25">
      <c r="A48" s="1" t="s">
        <v>62</v>
      </c>
      <c r="B48" s="5" t="str" cm="1">
        <f t="array" aca="1" ref="B48" ca="1">_xll.DBR($B$42,psUser,$A48,B$43)</f>
        <v>RECALC_1_410_</v>
      </c>
      <c r="C48" s="5" t="str" cm="1">
        <f t="array" aca="1" ref="C48" ca="1">_xll.DBR($B$42,psUser,$A48,C$43)</f>
        <v>RECALC_1_409_</v>
      </c>
    </row>
    <row r="49" spans="1:13" hidden="1" outlineLevel="1" x14ac:dyDescent="0.25"/>
    <row r="50" spans="1:13" hidden="1" outlineLevel="1" x14ac:dyDescent="0.25">
      <c r="A50" s="35" t="s">
        <v>73</v>
      </c>
      <c r="B50" s="35"/>
      <c r="C50" s="35"/>
    </row>
    <row r="51" spans="1:13" hidden="1" outlineLevel="1" x14ac:dyDescent="0.25">
      <c r="A51" s="5" t="s">
        <v>66</v>
      </c>
      <c r="B51" s="5" t="s">
        <v>67</v>
      </c>
      <c r="C51" s="5"/>
    </row>
    <row r="52" spans="1:13" hidden="1" outlineLevel="1" x14ac:dyDescent="0.25">
      <c r="A52" s="5" t="s">
        <v>68</v>
      </c>
      <c r="B52" s="5" t="s">
        <v>69</v>
      </c>
      <c r="C52" s="5"/>
    </row>
    <row r="53" spans="1:13" hidden="1" outlineLevel="1" x14ac:dyDescent="0.25">
      <c r="A53" s="5" t="s">
        <v>70</v>
      </c>
      <c r="B53" s="5" t="s">
        <v>71</v>
      </c>
      <c r="C53" s="5"/>
    </row>
    <row r="54" spans="1:13" hidden="1" outlineLevel="1" x14ac:dyDescent="0.25">
      <c r="A54" s="5" t="s">
        <v>74</v>
      </c>
      <c r="B54" s="5" t="s">
        <v>76</v>
      </c>
      <c r="C54" s="5"/>
    </row>
    <row r="55" spans="1:13" hidden="1" outlineLevel="1" x14ac:dyDescent="0.25"/>
    <row r="56" spans="1:13" hidden="1" outlineLevel="1" x14ac:dyDescent="0.25"/>
    <row r="57" spans="1:13" hidden="1" outlineLevel="1" x14ac:dyDescent="0.25"/>
    <row r="58" spans="1:13" hidden="1" outlineLevel="1" x14ac:dyDescent="0.25"/>
    <row r="59" spans="1:13" hidden="1" outlineLevel="1" x14ac:dyDescent="0.25"/>
    <row r="60" spans="1:13" hidden="1" outlineLevel="1" x14ac:dyDescent="0.25"/>
    <row r="61" spans="1:13" hidden="1" outlineLevel="1" x14ac:dyDescent="0.25">
      <c r="K61" s="11" t="s">
        <v>65</v>
      </c>
      <c r="M61" s="14" t="s">
        <v>64</v>
      </c>
    </row>
    <row r="62" spans="1:13" hidden="1" outlineLevel="1" x14ac:dyDescent="0.25"/>
    <row r="63" spans="1:13" hidden="1" outlineLevel="1" x14ac:dyDescent="0.25"/>
    <row r="64" spans="1:13" hidden="1" outlineLevel="1" x14ac:dyDescent="0.25"/>
    <row r="65" spans="9:15" ht="39.75" customHeight="1" collapsed="1" x14ac:dyDescent="0.25">
      <c r="I65" s="9"/>
      <c r="J65" s="9"/>
      <c r="K65" s="9"/>
      <c r="L65" s="9"/>
      <c r="M65" s="30" t="s">
        <v>75</v>
      </c>
      <c r="N65" s="30"/>
      <c r="O65" s="30"/>
    </row>
    <row r="66" spans="9:15" ht="4.5" customHeight="1" x14ac:dyDescent="0.25"/>
    <row r="67" spans="9:15" ht="24" customHeight="1" x14ac:dyDescent="0.25"/>
    <row r="68" spans="9:15" ht="1.5" customHeight="1" x14ac:dyDescent="0.25">
      <c r="I68" s="9"/>
      <c r="J68" s="9"/>
      <c r="K68" s="9"/>
      <c r="L68" s="9"/>
      <c r="M68" s="9"/>
      <c r="N68" s="9"/>
      <c r="O68" s="9"/>
    </row>
    <row r="69" spans="9:15" ht="5.25" customHeight="1" x14ac:dyDescent="0.25"/>
    <row r="70" spans="9:15" ht="30" customHeight="1" x14ac:dyDescent="0.25">
      <c r="K70" s="29" t="s">
        <v>41</v>
      </c>
      <c r="M70" s="24" t="str">
        <f ca="1">$B$15</f>
        <v>RECALC_0_575_</v>
      </c>
    </row>
    <row r="71" spans="9:15" ht="5.0999999999999996" customHeight="1" x14ac:dyDescent="0.25"/>
    <row r="72" spans="9:15" x14ac:dyDescent="0.25">
      <c r="K72" s="11" t="s">
        <v>39</v>
      </c>
      <c r="M72" s="28" t="s">
        <v>40</v>
      </c>
      <c r="O72" s="21" t="s">
        <v>46</v>
      </c>
    </row>
    <row r="73" spans="9:15" ht="4.5" customHeight="1" x14ac:dyDescent="0.25">
      <c r="K73" s="12"/>
      <c r="M73" s="13"/>
    </row>
    <row r="74" spans="9:15" x14ac:dyDescent="0.25">
      <c r="K74" s="12" t="s">
        <v>42</v>
      </c>
      <c r="M74" s="23" t="str">
        <f ca="1">$B$48</f>
        <v>RECALC_1_410_</v>
      </c>
      <c r="O74" s="22" t="s">
        <v>45</v>
      </c>
    </row>
    <row r="75" spans="9:15" ht="4.5" customHeight="1" x14ac:dyDescent="0.25"/>
    <row r="76" spans="9:15" x14ac:dyDescent="0.25">
      <c r="K76" s="15" t="s">
        <v>43</v>
      </c>
      <c r="M76" s="16" t="s">
        <v>44</v>
      </c>
    </row>
    <row r="77" spans="9:15" ht="5.0999999999999996" customHeight="1" x14ac:dyDescent="0.25"/>
    <row r="78" spans="9:15" x14ac:dyDescent="0.25">
      <c r="K78" s="12" t="s">
        <v>49</v>
      </c>
      <c r="M78" s="17" t="s">
        <v>47</v>
      </c>
    </row>
    <row r="79" spans="9:15" x14ac:dyDescent="0.25">
      <c r="M79" s="18" t="str">
        <f>"- General Format in excel"</f>
        <v>- General Format in excel</v>
      </c>
    </row>
    <row r="80" spans="9:15" x14ac:dyDescent="0.25">
      <c r="M80" s="18" t="str">
        <f>"- No commas (,) to seperate thousands"</f>
        <v>- No commas (,) to seperate thousands</v>
      </c>
    </row>
    <row r="81" spans="1:15" x14ac:dyDescent="0.25">
      <c r="M81" s="18" t="str">
        <f>"- Zeroes are set as 0 not dashes (-)"</f>
        <v>- Zeroes are set as 0 not dashes (-)</v>
      </c>
    </row>
    <row r="82" spans="1:15" x14ac:dyDescent="0.25">
      <c r="M82" s="19" t="s">
        <v>48</v>
      </c>
    </row>
    <row r="83" spans="1:15" ht="4.5" customHeight="1" x14ac:dyDescent="0.25"/>
    <row r="84" spans="1:15" ht="30" customHeight="1" x14ac:dyDescent="0.25">
      <c r="A84" t="s">
        <v>34</v>
      </c>
      <c r="K84" s="26" t="s">
        <v>50</v>
      </c>
      <c r="M84" s="25" t="str">
        <f ca="1">$B$25</f>
        <v>RECALC_0_430_\RECALC_0_429_\RECALC_0_231_\RECALC_0_262_\</v>
      </c>
    </row>
    <row r="85" spans="1:15" ht="4.5" customHeight="1" x14ac:dyDescent="0.25">
      <c r="M85" s="10"/>
    </row>
    <row r="86" spans="1:15" ht="30" customHeight="1" x14ac:dyDescent="0.25">
      <c r="A86" t="s">
        <v>34</v>
      </c>
      <c r="K86" s="26" t="s">
        <v>81</v>
      </c>
      <c r="M86" s="25" t="str">
        <f ca="1">$B$25</f>
        <v>RECALC_0_430_\RECALC_0_429_\RECALC_0_231_\RECALC_0_262_\</v>
      </c>
      <c r="O86" s="27" t="s">
        <v>82</v>
      </c>
    </row>
    <row r="87" spans="1:15" x14ac:dyDescent="0.25">
      <c r="M87" s="10"/>
    </row>
  </sheetData>
  <sheetProtection sheet="1" objects="1" scenarios="1"/>
  <mergeCells count="8">
    <mergeCell ref="M65:O65"/>
    <mergeCell ref="A18:C18"/>
    <mergeCell ref="A24:C24"/>
    <mergeCell ref="A50:C50"/>
    <mergeCell ref="A1:C1"/>
    <mergeCell ref="A9:C9"/>
    <mergeCell ref="A27:C27"/>
    <mergeCell ref="A41:C41"/>
  </mergeCells>
  <conditionalFormatting sqref="M70">
    <cfRule type="containsText" dxfId="2" priority="2" operator="containsText" text="approve">
      <formula>NOT(ISERROR(SEARCH("approve",M70)))</formula>
    </cfRule>
    <cfRule type="beginsWith" dxfId="1" priority="3" operator="beginsWith" text="un">
      <formula>LEFT(M70,LEN("un"))="un"</formula>
    </cfRule>
  </conditionalFormatting>
  <conditionalFormatting sqref="M74">
    <cfRule type="notContainsText" dxfId="0" priority="1" operator="notContains" text="PASS">
      <formula>ISERROR(SEARCH("PASS",M74))</formula>
    </cfRule>
  </conditionalFormatting>
  <dataValidations count="1">
    <dataValidation type="list" allowBlank="1" showInputMessage="1" showErrorMessage="1" sqref="M61" xr:uid="{00000000-0002-0000-0000-000000000000}">
      <formula1>"Natural Sign,All DR Sign"</formula1>
    </dataValidation>
  </dataValidations>
  <hyperlinks>
    <hyperlink ref="B20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3" orientation="landscape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35</v>
      </c>
    </row>
    <row r="2" spans="1:1" x14ac:dyDescent="0.25">
      <c r="A2" t="s">
        <v>36</v>
      </c>
    </row>
    <row r="3" spans="1:1" x14ac:dyDescent="0.25">
      <c r="A3" t="s">
        <v>37</v>
      </c>
    </row>
    <row r="4" spans="1:1" x14ac:dyDescent="0.25">
      <c r="A4" t="s">
        <v>38</v>
      </c>
    </row>
    <row r="5" spans="1:1" x14ac:dyDescent="0.25">
      <c r="A5" t="s">
        <v>32</v>
      </c>
    </row>
    <row r="6" spans="1:1" x14ac:dyDescent="0.25">
      <c r="A6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upload</vt:lpstr>
      <vt:lpstr>{PL}PickLst</vt:lpstr>
      <vt:lpstr>db_name</vt:lpstr>
      <vt:lpstr>psApp</vt:lpstr>
      <vt:lpstr>psFFType</vt:lpstr>
      <vt:lpstr>psFileName</vt:lpstr>
      <vt:lpstr>psHLYear</vt:lpstr>
      <vt:lpstr>psScenario</vt:lpstr>
      <vt:lpstr>psSign</vt:lpstr>
      <vt:lpstr>psUser</vt:lpstr>
      <vt:lpstr>TM1AdjIDListCAP</vt:lpstr>
      <vt:lpstr>TM1AdjIDListWB</vt:lpstr>
      <vt:lpstr>TM1AdjIDListWS</vt:lpstr>
      <vt:lpstr>TM1GrpAdjUploadTempCAP</vt:lpstr>
      <vt:lpstr>TM1GrpAdjUploadTempWB</vt:lpstr>
      <vt:lpstr>TM1GrpAdjUploadTempWS</vt:lpstr>
      <vt:lpstr>TM1GrpNewAdj97UploadCAP</vt:lpstr>
      <vt:lpstr>TM1GrpNewAdj97UploadWB</vt:lpstr>
      <vt:lpstr>TM1GrpNewAdj97UploadWS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TM1UploadAB_Confirm</vt:lpstr>
      <vt:lpstr>TM1UploadAB_Fail</vt:lpstr>
      <vt:lpstr>TM1UploadAB_Success</vt:lpstr>
      <vt:lpstr>TM1UploadTempCAP</vt:lpstr>
      <vt:lpstr>TM1UploadTempWB</vt:lpstr>
      <vt:lpstr>TM1UploadTempWS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2019-04-29T04:37:36Z</cp:lastPrinted>
  <dcterms:created xsi:type="dcterms:W3CDTF">2019-04-26T07:19:11Z</dcterms:created>
  <dcterms:modified xsi:type="dcterms:W3CDTF">2025-08-11T02:58:47Z</dcterms:modified>
</cp:coreProperties>
</file>