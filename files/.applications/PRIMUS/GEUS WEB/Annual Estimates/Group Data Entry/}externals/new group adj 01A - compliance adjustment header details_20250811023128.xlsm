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F5A21E7-EEB2-4BB1-957B-6285E3E60AA3}" xr6:coauthVersionLast="47" xr6:coauthVersionMax="47" xr10:uidLastSave="{00000000-0000-0000-0000-000000000000}"/>
  <bookViews>
    <workbookView xWindow="-120" yWindow="-120" windowWidth="29040" windowHeight="15840" xr2:uid="{782DB6DE-6A9C-49E6-AA4E-7C567EE8EAE5}"/>
  </bookViews>
  <sheets>
    <sheet name="new group adj" sheetId="1" r:id="rId1"/>
    <sheet name="{AR}01" sheetId="2" state="hidden" r:id="rId2"/>
    <sheet name="{PL}PickLst" sheetId="3" state="hidden" r:id="rId3"/>
  </sheets>
  <definedNames>
    <definedName name="db_name">'new group adj'!$C$12</definedName>
    <definedName name="psApp">'new group adj'!$C$26</definedName>
    <definedName name="psApplyParam">'new group adj'!$C$83</definedName>
    <definedName name="psComments">'new group adj'!$C$84</definedName>
    <definedName name="psControlType">'new group adj'!$C$78</definedName>
    <definedName name="psDesc">'new group adj'!$C$82</definedName>
    <definedName name="psFavID">'new group adj'!#REF!</definedName>
    <definedName name="psFunc">'new group adj'!#REF!</definedName>
    <definedName name="psGroupAdjType">'new group adj'!$C$85</definedName>
    <definedName name="psItem">'new group adj'!#REF!</definedName>
    <definedName name="psMeasCode">'new group adj'!$C$80</definedName>
    <definedName name="psOC">'new group adj'!#REF!</definedName>
    <definedName name="psProg">'new group adj'!#REF!</definedName>
    <definedName name="psReason">'new group adj'!$C$79</definedName>
    <definedName name="psSPP">'new group adj'!#REF!</definedName>
    <definedName name="psTitle">'new group adj'!$C$81</definedName>
    <definedName name="psType">'new group adj'!#REF!</definedName>
    <definedName name="psUser">'new group adj'!$C$17</definedName>
    <definedName name="TM1AdjIDListCAP">'new group adj'!$D$31</definedName>
    <definedName name="TM1AdjIDListWB">'new group adj'!$F$31</definedName>
    <definedName name="TM1AdjIDListWS">'new group adj'!$H$31</definedName>
    <definedName name="TM1GrpNewAdj02ExpDataEntryCAP">'new group adj'!$D$35</definedName>
    <definedName name="TM1GrpNewAdj02ExpDataEntryWB">'new group adj'!$F$35</definedName>
    <definedName name="TM1GrpNewAdj02ExpDataEntryWS">'new group adj'!$H$35</definedName>
    <definedName name="TM1GrpNewAdj08RecogDataEntryCAP">'new group adj'!$D$33</definedName>
    <definedName name="TM1GrpNewAdj08RecogDataEntryWB">'new group adj'!$F$33</definedName>
    <definedName name="TM1GrpNewAdj08RecogDataEntryWS">'new group adj'!$H$33</definedName>
    <definedName name="TM1HomeAEAccVarCAP">'new group adj'!$D$34</definedName>
    <definedName name="TM1HomeAEAccVarWB">'new group adj'!$F$34</definedName>
    <definedName name="TM1HomeAEAccVarWS">'new group adj'!$H$34</definedName>
    <definedName name="TM1HomeAECAP">'new group adj'!$D$29</definedName>
    <definedName name="TM1HomeAEDataEntryCAP">'new group adj'!$D$30</definedName>
    <definedName name="TM1HomeAEDataEntryWB">'new group adj'!$F$30</definedName>
    <definedName name="TM1HomeAEDataEntryWS">'new group adj'!$H$30</definedName>
    <definedName name="TM1HomeAEWB">'new group adj'!$F$29</definedName>
    <definedName name="TM1HomeAEWS">'new group adj'!$H$29</definedName>
    <definedName name="TM1HomeCAP">'new group adj'!$D$28</definedName>
    <definedName name="TM1HomeWB">'new group adj'!$F$28</definedName>
    <definedName name="TM1HomeWS">'new group adj'!$H$28</definedName>
    <definedName name="TM1NewAdj02DataEntryCAP">'new group adj'!$D$32</definedName>
    <definedName name="TM1NewAdj02DataEntryWB">'new group adj'!$F$32</definedName>
    <definedName name="TM1NewAdj02DataEntryWS">'new group adj'!$H$32</definedName>
    <definedName name="TM1REBUILDOPTION">1</definedName>
    <definedName name="TM1RPTDATARNG1" localSheetId="0">'new group adj'!#REF!</definedName>
    <definedName name="TM1RPTFMTIDCOL" localSheetId="0">'new group adj'!$A$1:$A$8</definedName>
    <definedName name="TM1RPTFMTRNG" localSheetId="0">'new group adj'!$K$1:$R$8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2" i="1" a="1"/>
  <c r="C22" i="1"/>
  <c r="C55" i="1"/>
  <c r="C21" i="1" a="1"/>
  <c r="C21" i="1"/>
  <c r="C54" i="1"/>
  <c r="C49" i="1"/>
  <c r="C2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38" i="1" a="1"/>
  <c r="C38" i="1"/>
  <c r="C14" i="1" a="1"/>
  <c r="C14" i="1"/>
  <c r="C41" i="1" a="1"/>
  <c r="C41" i="1"/>
  <c r="Q111" i="1" a="1"/>
  <c r="Q111" i="1"/>
  <c r="C40" i="1" a="1"/>
  <c r="C40" i="1"/>
  <c r="N111" i="1" a="1"/>
  <c r="N111" i="1"/>
  <c r="Q107" i="1" a="1"/>
  <c r="Q107" i="1"/>
  <c r="N107" i="1" a="1"/>
  <c r="N107" i="1"/>
  <c r="Q105" i="1" a="1"/>
  <c r="Q105" i="1"/>
  <c r="N105" i="1" a="1"/>
  <c r="N105" i="1"/>
  <c r="Q103" i="1" a="1"/>
  <c r="Q103" i="1"/>
  <c r="C67" i="1" a="1"/>
  <c r="C67" i="1"/>
  <c r="N101" i="1" a="1"/>
  <c r="N101" i="1"/>
  <c r="C68" i="1" a="1"/>
  <c r="C68" i="1"/>
  <c r="C69" i="1" a="1"/>
  <c r="C69" i="1"/>
  <c r="C74" i="1"/>
  <c r="C75" i="1" a="1"/>
  <c r="C75" i="1"/>
  <c r="N103" i="1" a="1"/>
  <c r="N103" i="1"/>
  <c r="C72" i="1"/>
  <c r="C103" i="1" a="1"/>
  <c r="C103" i="1"/>
  <c r="Q101" i="1" a="1"/>
  <c r="Q101" i="1"/>
  <c r="N99" i="1" a="1"/>
  <c r="N99" i="1"/>
  <c r="P97" i="1" a="1"/>
  <c r="P97" i="1"/>
  <c r="C64" i="1" a="1"/>
  <c r="C64" i="1"/>
  <c r="C50" i="1" a="1"/>
  <c r="C50" i="1"/>
  <c r="C60" i="1" a="1"/>
  <c r="C60" i="1"/>
  <c r="C59" i="1" a="1"/>
  <c r="C59" i="1"/>
  <c r="C52" i="1" a="1"/>
  <c r="C52" i="1"/>
  <c r="C13" i="1" a="1"/>
  <c r="C13" i="1"/>
  <c r="C15" i="1" a="1"/>
  <c r="C15" i="1"/>
  <c r="C17" i="1"/>
  <c r="D46" i="1" a="1"/>
  <c r="D46" i="1"/>
  <c r="C46" i="1" a="1"/>
  <c r="C46" i="1"/>
  <c r="D45" i="1" a="1"/>
  <c r="D45" i="1"/>
  <c r="C45" i="1" a="1"/>
  <c r="C45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6" i="1" a="1"/>
  <c r="C16" i="1"/>
  <c r="C84" i="1"/>
  <c r="N113" i="1"/>
  <c r="N112" i="1"/>
  <c r="G38" i="1"/>
  <c r="C83" i="1"/>
  <c r="C61" i="1"/>
  <c r="C82" i="1"/>
  <c r="C81" i="1"/>
  <c r="C80" i="1"/>
  <c r="C79" i="1"/>
  <c r="C78" i="1"/>
  <c r="N109" i="1"/>
  <c r="N108" i="1"/>
  <c r="R97" i="1"/>
  <c r="C58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<sst xmlns="http://schemas.openxmlformats.org/spreadsheetml/2006/main" count="1393" uniqueCount="1388">
  <si>
    <t>headline year</t>
  </si>
  <si>
    <t>programme code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</si>
  <si>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</si>
  <si>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</si>
  <si>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</si>
  <si>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</si>
  <si>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</si>
  <si>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</si>
  <si>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</si>
  <si>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</si>
  <si>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</si>
  <si>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</si>
  <si>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</si>
  <si>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</si>
  <si>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</si>
  <si>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</si>
  <si>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</si>
  <si>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</si>
  <si>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</si>
  <si>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</si>
  <si>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</si>
  <si>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</si>
  <si>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</si>
  <si>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</si>
  <si>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</si>
  <si>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</si>
  <si>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</si>
  <si>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</si>
  <si>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</si>
  <si>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</si>
  <si>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</si>
  <si>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</si>
  <si>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</si>
  <si>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</si>
  <si>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</si>
  <si>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</si>
  <si>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</si>
  <si>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</si>
  <si>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</si>
  <si>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</si>
  <si>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</si>
  <si>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</si>
  <si>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</si>
  <si>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</si>
  <si>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</si>
  <si>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</si>
  <si>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</si>
  <si>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</si>
  <si>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</si>
  <si>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</si>
  <si>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</si>
  <si>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</si>
  <si>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</si>
  <si>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</si>
  <si>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</si>
  <si>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</si>
  <si>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</si>
  <si>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</si>
  <si>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</si>
  <si>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</si>
  <si>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</si>
  <si>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</si>
  <si>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</si>
  <si>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</si>
  <si>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</si>
  <si>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</si>
  <si>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</si>
  <si>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</si>
  <si>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</si>
  <si>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</si>
  <si>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</si>
  <si>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</si>
  <si>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</si>
  <si>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</si>
  <si>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</si>
  <si>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</si>
  <si>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</si>
  <si>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</si>
  <si>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</si>
  <si>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</si>
  <si>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</si>
  <si>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</si>
  <si>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</si>
  <si>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</si>
  <si>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</si>
  <si>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</si>
  <si>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</si>
  <si>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</si>
  <si>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</si>
  <si>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</si>
  <si>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</si>
  <si>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</si>
  <si>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</si>
  <si>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</si>
  <si>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</si>
  <si>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</si>
  <si>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</si>
  <si>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</si>
  <si>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</si>
  <si>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</si>
  <si>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</si>
  <si>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</si>
  <si>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</si>
  <si>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</si>
  <si>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</si>
  <si>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</si>
  <si>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</si>
  <si>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</si>
  <si>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</si>
  <si>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</si>
  <si>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</si>
  <si>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</si>
  <si>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</si>
  <si>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</si>
  <si>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</si>
  <si>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</si>
  <si>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</si>
  <si>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</si>
  <si>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</si>
  <si>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</si>
  <si>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</si>
  <si>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</si>
  <si>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</si>
  <si>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</si>
  <si>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</si>
  <si>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</si>
  <si>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</si>
  <si>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</si>
  <si>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</si>
  <si>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</si>
  <si>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</si>
  <si>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</si>
  <si>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</si>
  <si>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</si>
  <si>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</si>
  <si>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</si>
  <si>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</si>
  <si>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</si>
  <si>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</si>
  <si>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</si>
  <si>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</si>
  <si>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</si>
  <si>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</si>
  <si>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</si>
  <si>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</si>
  <si>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</si>
  <si>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</si>
  <si>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</si>
  <si>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</si>
  <si>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</si>
  <si>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</si>
  <si>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</si>
  <si>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</si>
  <si>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</si>
  <si>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</si>
  <si>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</si>
  <si>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</si>
  <si>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</si>
  <si>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</si>
  <si>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</si>
  <si>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</si>
  <si>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</si>
  <si>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</si>
  <si>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</si>
  <si>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</si>
  <si>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</si>
  <si>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</si>
  <si>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</si>
  <si>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</si>
  <si>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</si>
  <si>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</si>
  <si>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</si>
  <si>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</si>
  <si>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</si>
  <si>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</si>
  <si>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</si>
  <si>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</si>
  <si>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</si>
  <si>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</si>
  <si>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</si>
  <si>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</si>
  <si>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</si>
  <si>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</si>
  <si>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</si>
  <si>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</si>
  <si>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</si>
  <si>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</si>
  <si>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</si>
  <si>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</si>
  <si>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</si>
  <si>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</si>
  <si>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</si>
  <si>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</si>
  <si>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</si>
  <si>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</si>
  <si>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</si>
  <si>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</si>
  <si>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</si>
  <si>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</si>
  <si>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</si>
  <si>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</si>
  <si>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</si>
  <si>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</si>
  <si>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</si>
  <si>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</si>
  <si>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</si>
  <si>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</si>
  <si>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</si>
  <si>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</si>
  <si>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</si>
  <si>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</si>
  <si>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</si>
  <si>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</si>
  <si>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</si>
  <si>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</si>
  <si>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</si>
  <si>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</si>
  <si>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</si>
  <si>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</si>
  <si>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</si>
  <si>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</si>
  <si>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</si>
  <si>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</si>
  <si>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</si>
  <si>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</si>
  <si>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</si>
  <si>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</si>
  <si>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</si>
  <si>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</si>
  <si>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</si>
  <si>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</si>
  <si>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</si>
  <si>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</si>
  <si>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</si>
  <si>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</si>
  <si>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</si>
  <si>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</si>
  <si>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</si>
  <si>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</si>
  <si>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</si>
  <si>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</si>
  <si>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</si>
  <si>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</si>
  <si>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</si>
  <si>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</si>
  <si>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</si>
  <si>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</si>
  <si>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</si>
  <si>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</si>
  <si>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</si>
  <si>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</si>
  <si>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</si>
  <si>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</si>
  <si>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</si>
  <si>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</si>
  <si>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</si>
  <si>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</si>
  <si>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</si>
  <si>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</si>
  <si>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</si>
  <si>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</si>
  <si>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</si>
  <si>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</si>
  <si>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</si>
  <si>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</si>
  <si>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</si>
  <si>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</si>
  <si>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</si>
  <si>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</si>
  <si>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</si>
  <si>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</si>
  <si>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</si>
  <si>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</si>
  <si>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</si>
  <si>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</si>
  <si>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</si>
  <si>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</si>
  <si>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</si>
  <si>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</si>
  <si>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</si>
  <si>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</si>
  <si>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</si>
  <si>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</si>
  <si>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</si>
  <si>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</si>
  <si>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</si>
  <si>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</si>
  <si>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</si>
  <si>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</si>
  <si>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</si>
  <si>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</si>
  <si>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</si>
  <si>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</si>
  <si>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</si>
  <si>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</si>
  <si>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</si>
  <si>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</si>
  <si>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</si>
  <si>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</si>
  <si>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</si>
  <si>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</si>
  <si>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</si>
  <si>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</si>
  <si>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</si>
  <si>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</si>
  <si>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</si>
  <si>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</si>
  <si>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</si>
  <si>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</si>
  <si>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</si>
  <si>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</si>
  <si>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</si>
  <si>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</si>
  <si>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</si>
  <si>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</si>
  <si>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</si>
  <si>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</si>
  <si>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</si>
  <si>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</si>
  <si>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</si>
  <si>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</si>
  <si>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</si>
  <si>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</si>
  <si>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</si>
  <si>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</si>
  <si>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</si>
  <si>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</si>
  <si>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</si>
  <si>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</si>
  <si>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</si>
  <si>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</si>
  <si>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</si>
  <si>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</si>
  <si>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</si>
  <si>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</si>
  <si>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</si>
  <si>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</si>
  <si>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</si>
  <si>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</si>
  <si>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</si>
  <si>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</si>
  <si>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</si>
  <si>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</si>
  <si>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</si>
  <si>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</si>
  <si>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</si>
  <si>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</si>
  <si>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</si>
  <si>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</si>
  <si>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</si>
  <si>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</si>
  <si>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</si>
  <si>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</si>
  <si>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</si>
  <si>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</si>
  <si>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</si>
  <si>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</si>
  <si>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</si>
  <si>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</si>
  <si>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</si>
  <si>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</si>
  <si>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</si>
  <si>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</si>
  <si>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</si>
  <si>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</si>
  <si>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</si>
  <si>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</si>
  <si>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</si>
  <si>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</si>
  <si>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</si>
  <si>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</si>
  <si>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</si>
  <si>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</si>
  <si>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</si>
  <si>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</si>
  <si>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</si>
  <si>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</si>
  <si>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</si>
  <si>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</si>
  <si>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</si>
  <si>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</si>
  <si>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</si>
  <si>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</si>
  <si>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</si>
  <si>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</si>
  <si>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</si>
  <si>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</si>
  <si>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</si>
  <si>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</si>
  <si>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</si>
  <si>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</si>
  <si>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</si>
  <si>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</si>
  <si>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</si>
  <si>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</si>
  <si>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</si>
  <si>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</si>
  <si>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</si>
  <si>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</si>
  <si>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</si>
  <si>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</si>
  <si>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</si>
  <si>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</si>
  <si>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</si>
  <si>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</si>
  <si>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</si>
  <si>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</si>
  <si>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</si>
  <si>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</si>
  <si>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</si>
  <si>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</si>
  <si>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</si>
  <si>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</si>
  <si>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</si>
  <si>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</si>
  <si>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</si>
  <si>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</si>
  <si>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</si>
  <si>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</si>
  <si>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</si>
  <si>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</si>
  <si>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</si>
  <si>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</si>
  <si>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</si>
  <si>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</si>
  <si>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</si>
  <si>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</si>
  <si>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</si>
  <si>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</si>
  <si>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</si>
  <si>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</si>
  <si>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</si>
  <si>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</si>
  <si>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</si>
  <si>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</si>
  <si>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</si>
  <si>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</si>
  <si>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</si>
  <si>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</si>
  <si>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</si>
  <si>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</si>
  <si>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</si>
  <si>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</si>
  <si>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</si>
  <si>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</si>
  <si>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</si>
  <si>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</si>
  <si>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</si>
  <si>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</si>
  <si>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</si>
  <si>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</si>
  <si>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</si>
  <si>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</si>
  <si>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</si>
  <si>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</si>
  <si>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</si>
  <si>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</si>
  <si>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</si>
  <si>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</si>
  <si>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</si>
  <si>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</si>
  <si>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</si>
  <si>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</si>
  <si>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</si>
  <si>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</si>
  <si>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</si>
  <si>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</si>
  <si>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</si>
  <si>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</si>
  <si>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</si>
  <si>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</si>
  <si>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</si>
  <si>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</si>
  <si>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</si>
  <si>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</si>
  <si>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</si>
  <si>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</si>
  <si>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</si>
  <si>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</si>
  <si>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</si>
  <si>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</si>
  <si>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</si>
  <si>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</si>
  <si>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</si>
  <si>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</si>
  <si>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</si>
  <si>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</si>
  <si>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</si>
  <si>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</si>
  <si>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</si>
  <si>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</si>
  <si>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</si>
  <si>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</si>
  <si>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</si>
  <si>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</si>
  <si>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</si>
  <si>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</si>
  <si>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</si>
  <si>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</si>
  <si>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</si>
  <si>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</si>
  <si>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</si>
  <si>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</si>
  <si>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</si>
  <si>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</si>
  <si>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</si>
  <si>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</si>
  <si>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</si>
  <si>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</si>
  <si>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</si>
  <si>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</si>
  <si>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</si>
  <si>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</si>
  <si>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</si>
  <si>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</si>
  <si>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</si>
  <si>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</si>
  <si>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</si>
  <si>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</si>
  <si>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</si>
  <si>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</si>
  <si>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</si>
  <si>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</si>
  <si>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</si>
  <si>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</si>
  <si>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</si>
  <si>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</si>
  <si>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</si>
  <si>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</si>
  <si>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</si>
  <si>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</si>
  <si>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</si>
  <si>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</si>
  <si>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</si>
  <si>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</si>
  <si>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</si>
  <si>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</si>
  <si>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</si>
  <si>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</si>
  <si>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</si>
  <si>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</si>
  <si>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</si>
  <si>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</si>
  <si>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</si>
  <si>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</si>
  <si>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</si>
  <si>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</si>
  <si>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</si>
  <si>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</si>
  <si>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</si>
  <si>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</si>
  <si>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</si>
  <si>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</si>
  <si>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</si>
  <si>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</si>
  <si>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</si>
  <si>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</si>
  <si>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</si>
  <si>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</si>
  <si>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</si>
  <si>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</si>
  <si>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</si>
  <si>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</si>
  <si>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</si>
  <si>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</si>
  <si>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</si>
  <si>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</si>
  <si>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</si>
  <si>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</si>
  <si>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</si>
  <si>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</si>
  <si>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</si>
  <si>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</si>
  <si>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</si>
  <si>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</si>
  <si>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</si>
  <si>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</si>
  <si>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</si>
  <si>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</si>
  <si>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</si>
  <si>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</si>
  <si>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</si>
  <si>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</si>
  <si>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</si>
  <si>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</si>
  <si>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</si>
  <si>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</si>
  <si>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</si>
  <si>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</si>
  <si>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</si>
  <si>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</si>
  <si>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</si>
  <si>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</si>
  <si>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</si>
  <si>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</si>
  <si>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</si>
  <si>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</si>
  <si>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</si>
  <si>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</si>
  <si>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</si>
  <si>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</si>
  <si>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</si>
  <si>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</si>
  <si>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</si>
  <si>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</si>
  <si>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</si>
  <si>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</si>
  <si>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</si>
  <si>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</si>
  <si>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</si>
  <si>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</si>
  <si>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</si>
  <si>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</si>
  <si>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</si>
  <si>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</si>
  <si>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</si>
  <si>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</si>
  <si>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</si>
  <si>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</si>
  <si>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</si>
  <si>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</si>
  <si>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</si>
  <si>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</si>
  <si>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</si>
  <si>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</si>
  <si>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</si>
  <si>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</si>
  <si>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</si>
  <si>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</si>
  <si>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</si>
  <si>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</si>
  <si>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</si>
  <si>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</si>
  <si>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</si>
  <si>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</si>
  <si>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</si>
  <si>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</si>
  <si>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</si>
  <si>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</si>
  <si>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</si>
  <si>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</si>
  <si>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</si>
  <si>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</si>
  <si>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</si>
  <si>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</si>
  <si>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</si>
  <si>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</si>
  <si>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</si>
  <si>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</si>
  <si>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</si>
  <si>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</si>
  <si>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</si>
  <si>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</si>
  <si>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</si>
  <si>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</si>
  <si>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</si>
  <si>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</si>
  <si>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</si>
  <si>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</si>
  <si>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</si>
  <si>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</si>
  <si>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</si>
  <si>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</si>
  <si>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</si>
  <si>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</si>
  <si>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</si>
  <si>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</si>
  <si>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</si>
  <si>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</si>
  <si>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</si>
  <si>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</si>
  <si>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</si>
  <si>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</si>
  <si>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</si>
  <si>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</si>
  <si>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</si>
  <si>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</si>
  <si>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</si>
  <si>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</si>
  <si>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</si>
  <si>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</si>
  <si>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</si>
  <si>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</si>
  <si>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</si>
  <si>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</si>
  <si>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</si>
  <si>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</si>
  <si>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</si>
  <si>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</si>
  <si>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</si>
  <si>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</si>
  <si>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</si>
  <si>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</si>
  <si>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</si>
  <si>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</si>
  <si>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</si>
  <si>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</si>
  <si>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</si>
  <si>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</si>
  <si>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</si>
  <si>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</si>
  <si>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</si>
  <si>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</si>
  <si>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</si>
  <si>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</si>
  <si>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</si>
  <si>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</si>
  <si>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</si>
  <si>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</si>
  <si>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</si>
  <si>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</si>
  <si>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</si>
  <si>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</si>
  <si>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</si>
  <si>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</si>
  <si>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</si>
  <si>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</si>
  <si>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</si>
  <si>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</si>
  <si>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</si>
  <si>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</si>
  <si>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</si>
  <si>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</si>
  <si>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</si>
  <si>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</si>
  <si>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</si>
  <si>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</si>
  <si>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</si>
  <si>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</si>
  <si>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</si>
  <si>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</si>
  <si>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</si>
  <si>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</si>
  <si>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</si>
  <si>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</si>
  <si>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</si>
  <si>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</si>
  <si>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</si>
  <si>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</si>
  <si>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</si>
  <si>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</si>
  <si>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</si>
  <si>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</si>
  <si>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</si>
  <si>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</si>
  <si>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</si>
  <si>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</si>
  <si>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</si>
  <si>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</si>
  <si>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</si>
  <si>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</si>
  <si>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</si>
  <si>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</si>
  <si>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</si>
  <si>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</si>
  <si>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</si>
  <si>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</si>
  <si>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</si>
  <si>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</si>
  <si>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</si>
  <si>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</si>
  <si>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</si>
  <si>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</si>
  <si>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</si>
  <si>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</si>
  <si>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</si>
  <si>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</si>
  <si>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</si>
  <si>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</si>
  <si>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</si>
  <si>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</si>
  <si>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</si>
  <si>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</si>
  <si>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</si>
  <si>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</si>
  <si>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</si>
  <si>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</si>
  <si>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</si>
  <si>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</si>
  <si>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</si>
  <si>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</si>
  <si>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</si>
  <si>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</si>
  <si>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</si>
  <si>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</si>
  <si>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</si>
  <si>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</si>
  <si>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</si>
  <si>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</si>
  <si>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</si>
  <si>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</si>
  <si>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</si>
  <si>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</si>
  <si>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</si>
  <si>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</si>
  <si>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</si>
  <si>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</si>
  <si>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</si>
  <si>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</si>
  <si>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</si>
  <si>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</si>
  <si>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</si>
  <si>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</si>
  <si>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</si>
  <si>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</si>
  <si>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</si>
  <si>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</si>
  <si>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</si>
  <si>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</si>
  <si>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</si>
  <si>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</si>
  <si>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</si>
  <si>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</si>
  <si>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</si>
  <si>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</si>
  <si>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</si>
  <si>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</si>
  <si>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</si>
  <si>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</si>
  <si>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</si>
  <si>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</si>
  <si>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</si>
  <si>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</si>
  <si>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</si>
  <si>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</si>
  <si>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</si>
  <si>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</si>
  <si>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</si>
  <si>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</si>
  <si>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</si>
  <si>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</si>
  <si>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</si>
  <si>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</si>
  <si>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</si>
  <si>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</si>
  <si>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</si>
  <si>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</si>
  <si>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</si>
  <si>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</si>
  <si>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</si>
  <si>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</si>
  <si>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</si>
  <si>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</si>
  <si>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</si>
  <si>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</si>
  <si>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</si>
  <si>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</si>
  <si>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</si>
  <si>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</si>
  <si>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</si>
  <si>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</si>
  <si>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</si>
  <si>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</si>
  <si>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</si>
  <si>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</si>
  <si>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</si>
  <si>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</si>
  <si>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</si>
  <si>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</si>
  <si>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</si>
  <si>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</si>
  <si>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</si>
  <si>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</si>
  <si>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</si>
  <si>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</si>
  <si>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</si>
  <si>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</si>
  <si>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</si>
  <si>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</si>
  <si>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</si>
  <si>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</si>
  <si>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</si>
  <si>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</si>
  <si>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</si>
  <si>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</si>
  <si>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</si>
  <si>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</si>
  <si>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</si>
  <si>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</si>
  <si>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</si>
  <si>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</si>
  <si>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</si>
  <si>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</si>
  <si>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</si>
  <si>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</si>
  <si>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</si>
  <si>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</si>
  <si>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</si>
  <si>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</si>
  <si>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</si>
  <si>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</si>
  <si>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</si>
  <si>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</si>
  <si>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</si>
  <si>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</si>
  <si>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</si>
  <si>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</si>
  <si>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</si>
  <si>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</si>
  <si>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</si>
  <si>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</si>
  <si>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</si>
  <si>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</si>
  <si>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</si>
  <si>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</si>
  <si>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</si>
  <si>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</si>
  <si>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</si>
  <si>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</si>
  <si>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</si>
  <si>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</si>
  <si>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</si>
  <si>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</si>
  <si>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</si>
  <si>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</si>
  <si>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</si>
  <si>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</si>
  <si>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</si>
  <si>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</si>
  <si>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</si>
  <si>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</si>
  <si>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</si>
  <si>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</si>
  <si>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</si>
  <si>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</si>
  <si>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</si>
  <si>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</si>
  <si>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</si>
  <si>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</si>
  <si>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</si>
  <si>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</si>
  <si>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</si>
  <si>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</si>
  <si>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</si>
  <si>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</si>
  <si>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</si>
  <si>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</si>
  <si>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</si>
  <si>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</si>
  <si>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</si>
  <si>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</si>
  <si>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</si>
  <si>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</si>
  <si>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</si>
  <si>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</si>
  <si>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</si>
  <si>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</si>
  <si>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</si>
  <si>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</si>
  <si>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</si>
  <si>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</si>
  <si>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</si>
  <si>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</si>
  <si>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</si>
  <si>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</si>
  <si>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</si>
  <si>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</si>
  <si>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</si>
  <si>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</si>
  <si>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</si>
  <si>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</si>
  <si>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</si>
  <si>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</si>
  <si>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</si>
  <si>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</si>
  <si>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</si>
  <si>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</si>
  <si>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</si>
  <si>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</si>
  <si>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</si>
  <si>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</si>
  <si>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</si>
  <si>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</si>
  <si>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</si>
  <si>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</si>
  <si>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</si>
  <si>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</si>
  <si>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</si>
  <si>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</si>
  <si>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</si>
  <si>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</si>
  <si>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</si>
  <si>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</si>
  <si>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</si>
  <si>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</si>
  <si>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</si>
  <si>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</si>
  <si>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</si>
  <si>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</si>
  <si>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</si>
  <si>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</si>
  <si>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</si>
  <si>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</si>
  <si>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</si>
  <si>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</si>
  <si>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</si>
  <si>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</si>
  <si>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</si>
  <si>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</si>
  <si>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</si>
  <si>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</si>
  <si>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</si>
  <si>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</si>
  <si>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</si>
  <si>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</si>
  <si>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</si>
  <si>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</si>
  <si>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</si>
  <si>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</si>
  <si>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</si>
  <si>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</si>
  <si>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</si>
  <si>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</si>
  <si>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</si>
  <si>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</si>
  <si>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</si>
  <si>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</si>
  <si>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</si>
  <si>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</si>
  <si>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</si>
  <si>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</si>
  <si>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</si>
  <si>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</si>
  <si>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</si>
  <si>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</si>
  <si>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</si>
  <si>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</si>
  <si>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</si>
  <si>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</si>
  <si>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ID MX</t>
  </si>
  <si>
    <t>Filter Quotes</t>
  </si>
  <si>
    <t>"</t>
  </si>
  <si>
    <t>ID Measure to Filter</t>
  </si>
  <si>
    <t>Programme</t>
  </si>
  <si>
    <t>Zero Suppression</t>
  </si>
  <si>
    <t>TM1RPTFILTER</t>
  </si>
  <si>
    <t>Active Form Filter Count</t>
  </si>
  <si>
    <t>Slice</t>
  </si>
  <si>
    <t>Active Form VIEW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</si>
  <si>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</si>
  <si>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</si>
  <si>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</si>
  <si>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</si>
  <si>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</si>
  <si>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</si>
  <si>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</si>
  <si>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</si>
  <si>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</si>
  <si>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</si>
  <si>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</si>
  <si>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</si>
  <si>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</si>
  <si>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</si>
  <si>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</si>
  <si>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</si>
  <si>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</si>
  <si>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</si>
  <si>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</si>
  <si>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</si>
  <si>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</si>
  <si>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Measure Code :</t>
  </si>
  <si>
    <t>Temporary ID :</t>
  </si>
  <si>
    <t>Values Used For Cube</t>
  </si>
  <si>
    <t>adj_control type</t>
  </si>
  <si>
    <t>adj_reason</t>
  </si>
  <si>
    <t>adj_measure code</t>
  </si>
  <si>
    <t>adj_title</t>
  </si>
  <si>
    <t>adj_description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</si>
  <si>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</si>
  <si>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</si>
  <si>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</si>
  <si>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</si>
  <si>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</si>
  <si>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</si>
  <si>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</si>
  <si>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SPP</t>
  </si>
  <si>
    <t/>
  </si>
  <si>
    <t>Parameters To Send</t>
  </si>
  <si>
    <t>psControlType</t>
  </si>
  <si>
    <t>psReason</t>
  </si>
  <si>
    <t>psMeasCode</t>
  </si>
  <si>
    <t>psTitle</t>
  </si>
  <si>
    <t>psDesc</t>
  </si>
  <si>
    <t>Attribute Cubes</t>
  </si>
  <si>
    <t>Reason Code Attributes</t>
  </si>
  <si>
    <t>reason</t>
  </si>
  <si>
    <t>measure required</t>
  </si>
  <si>
    <t>No Measure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</si>
  <si>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</si>
  <si>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</si>
  <si>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</si>
  <si>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</si>
  <si>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</si>
  <si>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</si>
  <si>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</si>
  <si>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</si>
  <si>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</si>
  <si>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</si>
  <si>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</si>
  <si>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</si>
  <si>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</si>
  <si>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</si>
  <si>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</si>
  <si>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</si>
  <si>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</si>
  <si>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</si>
  <si>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</si>
  <si>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</si>
  <si>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</si>
  <si>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</si>
  <si>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</si>
  <si>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</si>
  <si>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</si>
  <si>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</si>
  <si>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</si>
  <si>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</si>
  <si>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</si>
  <si>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</si>
  <si>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</si>
  <si>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</si>
  <si>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</si>
  <si>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</si>
  <si>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</si>
  <si>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</si>
  <si>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</si>
  <si>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</si>
  <si>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</si>
  <si>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</si>
  <si>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</si>
  <si>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</si>
  <si>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</si>
  <si>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</si>
  <si>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</si>
  <si>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</si>
  <si>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</si>
  <si>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</si>
  <si>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</si>
  <si>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</si>
  <si>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</si>
  <si>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</si>
  <si>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</si>
  <si>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</si>
  <si>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</si>
  <si>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</si>
  <si>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</si>
  <si>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</si>
  <si>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</si>
  <si>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</si>
  <si>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</si>
  <si>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</si>
  <si>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</si>
  <si>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</si>
  <si>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</si>
  <si>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</si>
  <si>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</si>
  <si>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</si>
  <si>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</si>
  <si>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</si>
  <si>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</si>
  <si>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</si>
  <si>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</si>
  <si>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</si>
  <si>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</si>
  <si>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</si>
  <si>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</si>
  <si>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</si>
  <si>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</si>
  <si>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</si>
  <si>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</si>
  <si>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</si>
  <si>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</si>
  <si>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</si>
  <si>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</si>
  <si>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</si>
  <si>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</si>
  <si>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</si>
  <si>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</si>
  <si>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</si>
  <si>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</si>
  <si>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</si>
  <si>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</si>
  <si>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</si>
  <si>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</si>
  <si>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</si>
  <si>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</si>
  <si>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</si>
  <si>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</si>
  <si>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</si>
  <si>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</si>
  <si>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</si>
  <si>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</si>
  <si>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</si>
  <si>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</si>
  <si>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</si>
  <si>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</si>
  <si>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</si>
  <si>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</si>
  <si>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</si>
  <si>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</si>
  <si>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</si>
  <si>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</si>
  <si>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</si>
  <si>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</si>
  <si>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</si>
  <si>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</si>
  <si>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</si>
  <si>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</si>
  <si>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</si>
  <si>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</si>
  <si>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</si>
  <si>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</si>
  <si>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</si>
  <si>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</si>
  <si>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</si>
  <si>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</si>
  <si>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</si>
  <si>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</si>
  <si>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</si>
  <si>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</si>
  <si>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</si>
  <si>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</si>
  <si>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</si>
  <si>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</si>
  <si>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</si>
  <si>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</si>
  <si>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</si>
  <si>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</si>
  <si>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</si>
  <si>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</si>
  <si>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</si>
  <si>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</si>
  <si>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</si>
  <si>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</si>
  <si>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</si>
  <si>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</si>
  <si>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</si>
  <si>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</si>
  <si>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</si>
  <si>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</si>
  <si>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</si>
  <si>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</si>
  <si>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</si>
  <si>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</si>
  <si>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</si>
  <si>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</si>
  <si>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</si>
  <si>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</si>
  <si>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</si>
  <si>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</si>
  <si>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</si>
  <si>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</si>
  <si>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</si>
  <si>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</si>
  <si>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</si>
  <si>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</si>
  <si>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</si>
  <si>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</si>
  <si>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</si>
  <si>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</si>
  <si>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</si>
  <si>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</si>
  <si>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</si>
  <si>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</si>
  <si>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</si>
  <si>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</si>
  <si>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</si>
  <si>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</si>
  <si>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</si>
  <si>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</si>
  <si>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</si>
  <si>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</si>
  <si>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</si>
  <si>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</si>
  <si>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</si>
  <si>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</si>
  <si>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</si>
  <si>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</si>
  <si>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</si>
  <si>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</si>
  <si>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</si>
  <si>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</si>
  <si>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</si>
  <si>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</si>
  <si>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</si>
  <si>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</si>
  <si>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</si>
  <si>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</si>
  <si>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</si>
  <si>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</si>
  <si>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</si>
  <si>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</si>
  <si>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</si>
  <si>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</si>
  <si>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</si>
  <si>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</si>
  <si>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</si>
  <si>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</si>
  <si>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</si>
  <si>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</si>
  <si>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</si>
  <si>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</si>
  <si>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</si>
  <si>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Apply Parameters :</t>
  </si>
  <si>
    <t>psApplyParam</t>
  </si>
  <si>
    <t>Administered</t>
  </si>
  <si>
    <t>Departmental</t>
  </si>
  <si>
    <t>National Partnerships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</si>
  <si>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</si>
  <si>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</si>
  <si>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</si>
  <si>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</si>
  <si>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</si>
  <si>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</si>
  <si>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</si>
  <si>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</si>
  <si>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</si>
  <si>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</si>
  <si>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</si>
  <si>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</si>
  <si>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</si>
  <si>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</si>
  <si>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</si>
  <si>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</si>
  <si>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</si>
  <si>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</si>
  <si>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</si>
  <si>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</si>
  <si>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</si>
  <si>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</si>
  <si>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</si>
  <si>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</si>
  <si>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</si>
  <si>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</si>
  <si>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</si>
  <si>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</si>
  <si>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</si>
  <si>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</si>
  <si>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</si>
  <si>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</si>
  <si>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</si>
  <si>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</si>
  <si>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</si>
  <si>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</si>
  <si>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</si>
  <si>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</si>
  <si>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</si>
  <si>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</si>
  <si>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</si>
  <si>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</si>
  <si>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</si>
  <si>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optional</t>
  </si>
  <si>
    <t>00026 - UNUSED</t>
  </si>
  <si>
    <t>00027 - UNUSED</t>
  </si>
  <si>
    <t>00028 - UNUSED</t>
  </si>
  <si>
    <t>00029 - UNUSED</t>
  </si>
  <si>
    <t>00030 - UNUSED</t>
  </si>
  <si>
    <t>Comments :</t>
  </si>
  <si>
    <t>adj_comments</t>
  </si>
  <si>
    <t>psComments</t>
  </si>
  <si>
    <t>Group Data Entry - New Adj 02 - Expense Data Entry</t>
  </si>
  <si>
    <t>1009 - PDI Changes - Treasury/AOFM only</t>
  </si>
  <si>
    <t>1011 - PSP - changes in rates or beneficiaries</t>
  </si>
  <si>
    <t>1012 - Program Specific - other variations</t>
  </si>
  <si>
    <t>1015 - Application of the efficiency dividend</t>
  </si>
  <si>
    <t>1018 - Movement of Funds - between years</t>
  </si>
  <si>
    <t>1019 - Self balancing transfers</t>
  </si>
  <si>
    <t>1020 - Section 75 transfers between entities</t>
  </si>
  <si>
    <t>1021 - Eliminations - Finance only</t>
  </si>
  <si>
    <t>1022 - Adjustments to opening balances</t>
  </si>
  <si>
    <t>1029 - Variations not elsewhere defined</t>
  </si>
  <si>
    <t>1032 - Central processes - Finance only</t>
  </si>
  <si>
    <t>1033 - Creation of 3rd Forward Year Estimate</t>
  </si>
  <si>
    <t>1034 - Balance Sheet or Related Entity</t>
  </si>
  <si>
    <t>1036 - GST Payments to States - Treasury only</t>
  </si>
  <si>
    <t>1038 - Monthly Actuals</t>
  </si>
  <si>
    <t>1039 - Whole of Government Savings</t>
  </si>
  <si>
    <t>1040 - Actuals</t>
  </si>
  <si>
    <t>1041 - Operating Losses</t>
  </si>
  <si>
    <t>1042 - Taxation Receipts</t>
  </si>
  <si>
    <t>1045 - Interest Equiv Paymts (IEPs) approp</t>
  </si>
  <si>
    <t>1046 - Adjustment copied from previous round</t>
  </si>
  <si>
    <t>Homepage - Annual Estimates - Account Variation</t>
  </si>
  <si>
    <t>psGroupAdjType</t>
  </si>
  <si>
    <t>Create New Group Adjustment - Compliance Debt</t>
  </si>
  <si>
    <t>Group Data Entry - New Adj 01A - Compliance Header Details</t>
  </si>
  <si>
    <t>Group Data Entry - New Adj 08 - Recognition</t>
  </si>
  <si>
    <t>Compliance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</si>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</sst>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4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7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 indent="1"/>
    </xf>
    <xf numFmtId="0" fontId="9" fillId="0" borderId="4" xfId="0" applyFont="1" applyBorder="1" applyAlignment="1" applyProtection="1">
      <alignment horizontal="center"/>
      <protection locked="0"/>
    </xf>
    <xf numFmtId="0" fontId="0" fillId="2" borderId="4" xfId="0" applyFill="1" applyBorder="1"/>
    <xf numFmtId="0" fontId="3" fillId="2" borderId="4" xfId="0" applyFont="1" applyFill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0" fillId="0" borderId="0" xfId="0" applyFont="1" applyAlignment="1">
      <alignment horizontal="right" indent="1"/>
    </xf>
    <xf numFmtId="0" fontId="0" fillId="5" borderId="4" xfId="0" applyFill="1" applyBorder="1"/>
    <xf numFmtId="0" fontId="0" fillId="0" borderId="4" xfId="0" applyBorder="1" applyAlignment="1" applyProtection="1">
      <alignment horizontal="left" vertical="top" indent="1"/>
      <protection locked="0"/>
    </xf>
    <xf numFmtId="0" fontId="8" fillId="0" borderId="7" xfId="0" applyFont="1" applyBorder="1" applyAlignment="1">
      <alignment horizontal="left" vertical="top" indent="1"/>
    </xf>
    <xf numFmtId="0" fontId="8" fillId="0" borderId="0" xfId="0" applyFont="1" applyAlignment="1">
      <alignment horizontal="left" vertical="top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8" fillId="0" borderId="7" xfId="0" applyFont="1" applyBorder="1" applyAlignment="1">
      <alignment horizontal="left" indent="1"/>
    </xf>
    <xf numFmtId="0" fontId="8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91</xdr:row>
      <xdr:rowOff>19050</xdr:rowOff>
    </xdr:from>
    <xdr:to>
      <xdr:col>11</xdr:col>
      <xdr:colOff>741045</xdr:colOff>
      <xdr:row>91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93</xdr:row>
      <xdr:rowOff>0</xdr:rowOff>
    </xdr:from>
    <xdr:to>
      <xdr:col>10</xdr:col>
      <xdr:colOff>685800</xdr:colOff>
      <xdr:row>93</xdr:row>
      <xdr:rowOff>247650</xdr:rowOff>
    </xdr:to>
    <xdr:sp macro="Sheet1.ExecuteAction_764ab2d5_0908_46c2_9cdd_876a2f3f2799" textlink="TM1HomeCAP">
      <xdr:nvSpPr>
        <xdr:cNvPr id="2" name="TM1Button_764ab2d5_0908_46c2_9cdd_876a2f3f2799">
          <a:extLst>
            <a:ext uri="{FF2B5EF4-FFF2-40B4-BE49-F238E27FC236}">
              <a16:creationId xmlns:a16="http://schemas.microsoft.com/office/drawing/2014/main" id="{1195F64B-DFDC-21E2-230F-BF8546CF2DC0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366B72D-DFA2-4FF6-97A3-7F4D9AA5120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93</xdr:row>
      <xdr:rowOff>0</xdr:rowOff>
    </xdr:from>
    <xdr:to>
      <xdr:col>11</xdr:col>
      <xdr:colOff>819150</xdr:colOff>
      <xdr:row>93</xdr:row>
      <xdr:rowOff>247650</xdr:rowOff>
    </xdr:to>
    <xdr:sp macro="Sheet1.ExecuteAction_7d899552_8e26_4031_9111_2896f967ed08" textlink="">
      <xdr:nvSpPr>
        <xdr:cNvPr id="3" name="TM1Button_7d899552_8e26_4031_9111_2896f967ed08">
          <a:extLst>
            <a:ext uri="{FF2B5EF4-FFF2-40B4-BE49-F238E27FC236}">
              <a16:creationId xmlns:a16="http://schemas.microsoft.com/office/drawing/2014/main" id="{87C83DB6-C02C-0605-9A00-061191A1A261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11</xdr:col>
      <xdr:colOff>2828925</xdr:colOff>
      <xdr:row>92</xdr:row>
      <xdr:rowOff>47625</xdr:rowOff>
    </xdr:from>
    <xdr:to>
      <xdr:col>13</xdr:col>
      <xdr:colOff>123825</xdr:colOff>
      <xdr:row>93</xdr:row>
      <xdr:rowOff>247650</xdr:rowOff>
    </xdr:to>
    <xdr:sp macro="Sheet1.ExecuteAction_396778ae_f6dc_4448_83e9_373e47244cbf" textlink="">
      <xdr:nvSpPr>
        <xdr:cNvPr id="4" name="TM1Button_396778ae_f6dc_4448_83e9_373e47244cbf">
          <a:extLst>
            <a:ext uri="{FF2B5EF4-FFF2-40B4-BE49-F238E27FC236}">
              <a16:creationId xmlns:a16="http://schemas.microsoft.com/office/drawing/2014/main" id="{57BD97FF-0B17-52CB-0BA8-6967DF563DD7}"/>
            </a:ext>
          </a:extLst>
        </xdr:cNvPr>
        <xdr:cNvSpPr txBox="1"/>
      </xdr:nvSpPr>
      <xdr:spPr>
        <a:xfrm>
          <a:off x="3914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1000125</xdr:colOff>
      <xdr:row>92</xdr:row>
      <xdr:rowOff>19050</xdr:rowOff>
    </xdr:from>
    <xdr:to>
      <xdr:col>17</xdr:col>
      <xdr:colOff>1314450</xdr:colOff>
      <xdr:row>93</xdr:row>
      <xdr:rowOff>285750</xdr:rowOff>
    </xdr:to>
    <xdr:sp macro="Sheet1.ExecuteAction_cf583167_663a_47d1_9cfe_61cb81ec7d17" textlink="">
      <xdr:nvSpPr>
        <xdr:cNvPr id="5" name="TM1Button_cf583167_663a_47d1_9cfe_61cb81ec7d17">
          <a:extLst>
            <a:ext uri="{FF2B5EF4-FFF2-40B4-BE49-F238E27FC236}">
              <a16:creationId xmlns:a16="http://schemas.microsoft.com/office/drawing/2014/main" id="{C8C1D4C5-E0E6-DFEB-F253-E6135D1D42F0}"/>
            </a:ext>
          </a:extLst>
        </xdr:cNvPr>
        <xdr:cNvSpPr txBox="1"/>
      </xdr:nvSpPr>
      <xdr:spPr>
        <a:xfrm>
          <a:off x="15621000" y="523875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93</xdr:row>
      <xdr:rowOff>0</xdr:rowOff>
    </xdr:from>
    <xdr:to>
      <xdr:col>11</xdr:col>
      <xdr:colOff>1990725</xdr:colOff>
      <xdr:row>93</xdr:row>
      <xdr:rowOff>247650</xdr:rowOff>
    </xdr:to>
    <xdr:sp macro="Sheet1.ExecuteAction_6984de47_f58f_44ea_9133_f25e7f598929" textlink="TM1AdjIDListCAP">
      <xdr:nvSpPr>
        <xdr:cNvPr id="6" name="TM1Button_6984de47_f58f_44ea_9133_f25e7f598929">
          <a:extLst>
            <a:ext uri="{FF2B5EF4-FFF2-40B4-BE49-F238E27FC236}">
              <a16:creationId xmlns:a16="http://schemas.microsoft.com/office/drawing/2014/main" id="{CDA2E2F6-86B6-3A6D-0BBE-822BE334C4E9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AA07B9C-47A3-472E-9451-EFB9AFD8540B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2028825</xdr:colOff>
      <xdr:row>115</xdr:row>
      <xdr:rowOff>123825</xdr:rowOff>
    </xdr:from>
    <xdr:to>
      <xdr:col>13</xdr:col>
      <xdr:colOff>2809875</xdr:colOff>
      <xdr:row>117</xdr:row>
      <xdr:rowOff>133350</xdr:rowOff>
    </xdr:to>
    <xdr:sp macro="Sheet1.ExecuteAction_4e812ec1_19d3_45e5_80cd_0f587e1287c3" textlink="">
      <xdr:nvSpPr>
        <xdr:cNvPr id="7" name="TM1Button_4e812ec1_19d3_45e5_80cd_0f587e1287c3">
          <a:extLst>
            <a:ext uri="{FF2B5EF4-FFF2-40B4-BE49-F238E27FC236}">
              <a16:creationId xmlns:a16="http://schemas.microsoft.com/office/drawing/2014/main" id="{A9EAD09B-A6CC-4377-6162-CEE214A6F476}"/>
            </a:ext>
          </a:extLst>
        </xdr:cNvPr>
        <xdr:cNvSpPr txBox="1"/>
      </xdr:nvSpPr>
      <xdr:spPr>
        <a:xfrm>
          <a:off x="6600825" y="377190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13</xdr:col>
      <xdr:colOff>2895600</xdr:colOff>
      <xdr:row>115</xdr:row>
      <xdr:rowOff>123825</xdr:rowOff>
    </xdr:from>
    <xdr:to>
      <xdr:col>14</xdr:col>
      <xdr:colOff>0</xdr:colOff>
      <xdr:row>117</xdr:row>
      <xdr:rowOff>133350</xdr:rowOff>
    </xdr:to>
    <xdr:sp macro="Sheet1.ExecuteAction_d8223432_eb5f_4a71_aa28_b13725f681d9" textlink="">
      <xdr:nvSpPr>
        <xdr:cNvPr id="8" name="TM1Button_d8223432_eb5f_4a71_aa28_b13725f681d9">
          <a:extLst>
            <a:ext uri="{FF2B5EF4-FFF2-40B4-BE49-F238E27FC236}">
              <a16:creationId xmlns:a16="http://schemas.microsoft.com/office/drawing/2014/main" id="{42655F5A-7CE2-0DEB-50BB-77050D57DD11}"/>
            </a:ext>
          </a:extLst>
        </xdr:cNvPr>
        <xdr:cNvSpPr txBox="1"/>
      </xdr:nvSpPr>
      <xdr:spPr>
        <a:xfrm>
          <a:off x="7467600" y="3771900"/>
          <a:ext cx="72390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2019300</xdr:colOff>
      <xdr:row>93</xdr:row>
      <xdr:rowOff>0</xdr:rowOff>
    </xdr:from>
    <xdr:to>
      <xdr:col>11</xdr:col>
      <xdr:colOff>2800350</xdr:colOff>
      <xdr:row>93</xdr:row>
      <xdr:rowOff>247650</xdr:rowOff>
    </xdr:to>
    <xdr:sp macro="Sheet1.ExecuteAction_b729ce3e_f796_4e6c_a9a7_cb055b7abe35" textlink="">
      <xdr:nvSpPr>
        <xdr:cNvPr id="9" name="TM1Button_b729ce3e_f796_4e6c_a9a7_cb055b7abe35">
          <a:extLst>
            <a:ext uri="{FF2B5EF4-FFF2-40B4-BE49-F238E27FC236}">
              <a16:creationId xmlns:a16="http://schemas.microsoft.com/office/drawing/2014/main" id="{A395507C-03EA-116A-F0FD-7C832479BC5B}"/>
            </a:ext>
          </a:extLst>
        </xdr:cNvPr>
        <xdr:cNvSpPr txBox="1"/>
      </xdr:nvSpPr>
      <xdr:spPr>
        <a:xfrm>
          <a:off x="3105150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</sheetPr>
  <dimension ref="A1:S117"/>
  <sheetViews>
    <sheetView showGridLines="0" showRowColHeaders="0" tabSelected="1" showOutlineSymbols="0" topLeftCell="J92" workbookViewId="0"/>
  </sheetViews>
  <sheetFormatPr defaultRowHeight="15" outlineLevelRow="1" outlineLevelCol="1" x14ac:dyDescent="0.25"/>
  <cols>
    <col min="1" max="1" width="4.5703125" hidden="1" customWidth="1" outlineLevel="1"/>
    <col min="2" max="2" width="39.5703125" hidden="1" customWidth="1" outlineLevel="1"/>
    <col min="3" max="9" width="20.140625" hidden="1" customWidth="1" outlineLevel="1"/>
    <col min="10" max="10" width="0.85546875" customWidth="1" collapsed="1"/>
    <col min="11" max="11" width="15.42578125" customWidth="1"/>
    <col min="12" max="12" width="51.42578125" customWidth="1"/>
    <col min="13" max="13" width="0.85546875" customWidth="1"/>
    <col min="14" max="14" width="54.28515625" customWidth="1"/>
    <col min="15" max="15" width="16.140625" customWidth="1"/>
    <col min="16" max="16" width="31.85546875" customWidth="1"/>
    <col min="17" max="17" width="48.42578125" customWidth="1"/>
    <col min="18" max="18" width="20.7109375" customWidth="1"/>
  </cols>
  <sheetData>
    <row r="1" spans="1:18" hidden="1" outlineLevel="1" x14ac:dyDescent="0.25">
      <c r="A1" t="s">
        <v>1006</v>
      </c>
    </row>
    <row r="2" spans="1:18" hidden="1" outlineLevel="1" x14ac:dyDescent="0.25">
      <c r="A2">
        <f>0</f>
        <v>0</v>
      </c>
      <c r="K2" s="16"/>
      <c r="L2" s="16"/>
      <c r="N2" s="18"/>
      <c r="O2" s="18"/>
      <c r="P2" s="18"/>
      <c r="Q2" s="18"/>
      <c r="R2" s="19"/>
    </row>
    <row r="3" spans="1:18" hidden="1" outlineLevel="1" x14ac:dyDescent="0.25">
      <c r="A3">
        <f>1</f>
        <v>1</v>
      </c>
      <c r="K3" s="16"/>
      <c r="L3" s="16"/>
      <c r="N3" s="18"/>
      <c r="O3" s="18"/>
      <c r="P3" s="18"/>
      <c r="Q3" s="18"/>
      <c r="R3" s="19"/>
    </row>
    <row r="4" spans="1:18" hidden="1" outlineLevel="1" x14ac:dyDescent="0.25">
      <c r="A4">
        <f>2</f>
        <v>2</v>
      </c>
      <c r="K4" s="16"/>
      <c r="L4" s="16"/>
      <c r="N4" s="18"/>
      <c r="O4" s="18"/>
      <c r="P4" s="18"/>
      <c r="Q4" s="18"/>
      <c r="R4" s="19"/>
    </row>
    <row r="5" spans="1:18" hidden="1" outlineLevel="1" x14ac:dyDescent="0.25">
      <c r="A5">
        <f>3</f>
        <v>3</v>
      </c>
      <c r="K5" s="16"/>
      <c r="L5" s="16"/>
      <c r="N5" s="18"/>
      <c r="O5" s="18"/>
      <c r="P5" s="18"/>
      <c r="Q5" s="18"/>
      <c r="R5" s="19"/>
    </row>
    <row r="6" spans="1:18" hidden="1" outlineLevel="1" x14ac:dyDescent="0.25">
      <c r="A6" t="s">
        <v>1004</v>
      </c>
      <c r="K6" s="16"/>
      <c r="L6" s="16"/>
      <c r="N6" s="18"/>
      <c r="O6" s="18"/>
      <c r="P6" s="18"/>
      <c r="Q6" s="18"/>
      <c r="R6" s="19"/>
    </row>
    <row r="7" spans="1:18" hidden="1" outlineLevel="1" x14ac:dyDescent="0.25">
      <c r="A7" t="s">
        <v>1005</v>
      </c>
      <c r="H7" s="6"/>
      <c r="I7" s="6"/>
      <c r="K7" s="10"/>
      <c r="L7" s="17"/>
      <c r="N7" s="17"/>
      <c r="O7" s="20"/>
      <c r="P7" s="17"/>
      <c r="Q7" s="17"/>
      <c r="R7" s="20"/>
    </row>
    <row r="8" spans="1:18" hidden="1" outlineLevel="1" x14ac:dyDescent="0.25">
      <c r="A8" t="s">
        <v>1007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6" t="s">
        <v>1008</v>
      </c>
      <c r="C11" s="27"/>
      <c r="D11" s="28"/>
    </row>
    <row r="12" spans="1:18" hidden="1" outlineLevel="1" x14ac:dyDescent="0.25">
      <c r="B12" s="2" t="s">
        <v>1009</v>
      </c>
      <c r="C12" s="3" t="s">
        <v>1387</v>
      </c>
      <c r="D12" s="4"/>
    </row>
    <row r="13" spans="1:18" hidden="1" outlineLevel="1" x14ac:dyDescent="0.25">
      <c r="B13" s="2" t="s">
        <v>1010</v>
      </c>
      <c r="C13" s="5" t="str" cm="1">
        <f t="array" ref="C13">_xll.VIEW(db_name&amp;":}ElementAttributes_}Clients","!","!")</f>
        <v>finance_geus:}ElementAttributes_}Clients:1264217196-951640666</v>
      </c>
      <c r="D13" s="4"/>
    </row>
    <row r="14" spans="1:18" hidden="1" outlineLevel="1" x14ac:dyDescent="0.25">
      <c r="B14" s="2" t="s">
        <v>1011</v>
      </c>
      <c r="C14" s="3" t="str" cm="1">
        <f t="array" aca="1" ref="C14" ca="1">_xll.TM1USER(db_name)</f>
        <v>RECALC_0_100_</v>
      </c>
      <c r="D14" s="4"/>
    </row>
    <row r="15" spans="1:18" hidden="1" outlineLevel="1" x14ac:dyDescent="0.25">
      <c r="B15" s="2" t="s">
        <v>1012</v>
      </c>
      <c r="C15" s="3" t="str" cm="1">
        <f t="array" aca="1" ref="C15" ca="1">_xll.DBR($C$13,$C$14,$B15)</f>
        <v>RECALC_1_101_</v>
      </c>
      <c r="D15" s="4"/>
    </row>
    <row r="16" spans="1:18" hidden="1" outlineLevel="1" x14ac:dyDescent="0.25">
      <c r="B16" s="2" t="s">
        <v>1013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1014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26" t="s">
        <v>1015</v>
      </c>
      <c r="C19" s="27"/>
      <c r="D19" s="28"/>
    </row>
    <row r="20" spans="2:8" hidden="1" outlineLevel="1" x14ac:dyDescent="0.25">
      <c r="B20" s="2" t="s">
        <v>1016</v>
      </c>
      <c r="C20" s="6" t="str" cm="1">
        <f t="array" ref="C20">_xll.VIEW(db_name&amp;":}ElementAttributes_variables","!","!")</f>
        <v>finance_geus:}ElementAttributes_variables:1264217196-1352897031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1017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/>
    <row r="24" spans="2:8" hidden="1" outlineLevel="1" x14ac:dyDescent="0.25">
      <c r="B24" s="26" t="s">
        <v>1039</v>
      </c>
      <c r="C24" s="27"/>
      <c r="D24" s="28"/>
    </row>
    <row r="25" spans="2:8" hidden="1" outlineLevel="1" x14ac:dyDescent="0.25">
      <c r="B25" s="6" t="s">
        <v>1040</v>
      </c>
      <c r="C25" s="6" t="str">
        <f>_xll.VIEW(db_name&amp;":sys_application","!","!")</f>
        <v>finance_geus:sys_application:12642171961901743460</v>
      </c>
    </row>
    <row r="26" spans="2:8" hidden="1" outlineLevel="1" x14ac:dyDescent="0.25">
      <c r="B26" s="6" t="s">
        <v>1053</v>
      </c>
      <c r="C26" t="s">
        <v>1384</v>
      </c>
    </row>
    <row r="27" spans="2:8" hidden="1" outlineLevel="1" x14ac:dyDescent="0.25">
      <c r="B27" s="8" t="s">
        <v>1043</v>
      </c>
      <c r="C27" s="9" t="s">
        <v>1044</v>
      </c>
      <c r="D27" s="9" t="s">
        <v>1045</v>
      </c>
      <c r="E27" s="9" t="s">
        <v>1046</v>
      </c>
      <c r="F27" s="9" t="s">
        <v>1047</v>
      </c>
      <c r="G27" s="9" t="s">
        <v>1048</v>
      </c>
      <c r="H27" s="9" t="s">
        <v>1049</v>
      </c>
    </row>
    <row r="28" spans="2:8" hidden="1" outlineLevel="1" x14ac:dyDescent="0.25">
      <c r="B28" s="6" t="s">
        <v>1041</v>
      </c>
      <c r="C28" s="6" t="str" cm="1">
        <f t="array" aca="1" ref="C28" ca="1">_xll.DBR($C$25,$B28,C$27)</f>
        <v>RECALC_0_83_</v>
      </c>
      <c r="D28" s="6" t="str" cm="1">
        <f t="array" aca="1" ref="D28" ca="1">_xll.DBR($C$25,$B28,D$27)</f>
        <v>RECALC_0_82_</v>
      </c>
      <c r="E28" s="6" t="str" cm="1">
        <f t="array" aca="1" ref="E28" ca="1">_xll.DBR($C$25,$B28,E$27)</f>
        <v>RECALC_0_81_</v>
      </c>
      <c r="F28" s="6" t="str" cm="1">
        <f t="array" aca="1" ref="F28" ca="1">_xll.DBR($C$25,$B28,F$27)</f>
        <v>RECALC_0_80_</v>
      </c>
      <c r="G28" s="6" t="str" cm="1">
        <f t="array" aca="1" ref="G28" ca="1">_xll.DBR($C$25,$B28,G$27)</f>
        <v>RECALC_0_79_</v>
      </c>
      <c r="H28" s="6" t="str" cm="1">
        <f t="array" aca="1" ref="H28" ca="1">_xll.DBR($C$25,$B28,H$27)</f>
        <v>RECALC_0_78_</v>
      </c>
    </row>
    <row r="29" spans="2:8" hidden="1" outlineLevel="1" x14ac:dyDescent="0.25">
      <c r="B29" s="6" t="s">
        <v>1042</v>
      </c>
      <c r="C29" s="6" t="str" cm="1">
        <f t="array" aca="1" ref="C29" ca="1">_xll.DBR($C$25,$B29,C$27)</f>
        <v>RECALC_0_77_</v>
      </c>
      <c r="D29" s="6" t="str" cm="1">
        <f t="array" aca="1" ref="D29" ca="1">_xll.DBR($C$25,$B29,D$27)</f>
        <v>RECALC_0_76_</v>
      </c>
      <c r="E29" s="6" t="str" cm="1">
        <f t="array" aca="1" ref="E29" ca="1">_xll.DBR($C$25,$B29,E$27)</f>
        <v>RECALC_0_75_</v>
      </c>
      <c r="F29" s="6" t="str" cm="1">
        <f t="array" aca="1" ref="F29" ca="1">_xll.DBR($C$25,$B29,F$27)</f>
        <v>RECALC_0_74_</v>
      </c>
      <c r="G29" s="6" t="str" cm="1">
        <f t="array" aca="1" ref="G29" ca="1">_xll.DBR($C$25,$B29,G$27)</f>
        <v>RECALC_0_73_</v>
      </c>
      <c r="H29" s="6" t="str" cm="1">
        <f t="array" aca="1" ref="H29" ca="1">_xll.DBR($C$25,$B29,H$27)</f>
        <v>RECALC_0_72_</v>
      </c>
    </row>
    <row r="30" spans="2:8" hidden="1" outlineLevel="1" x14ac:dyDescent="0.25">
      <c r="B30" s="6" t="s">
        <v>1052</v>
      </c>
      <c r="C30" s="6" t="str" cm="1">
        <f t="array" aca="1" ref="C30" ca="1">_xll.DBR($C$25,$B30,C$27)</f>
        <v>RECALC_0_225_</v>
      </c>
      <c r="D30" s="6" t="str" cm="1">
        <f t="array" aca="1" ref="D30" ca="1">_xll.DBR($C$25,$B30,D$27)</f>
        <v>RECALC_0_224_</v>
      </c>
      <c r="E30" s="6" t="str" cm="1">
        <f t="array" aca="1" ref="E30" ca="1">_xll.DBR($C$25,$B30,E$27)</f>
        <v>RECALC_0_223_</v>
      </c>
      <c r="F30" s="6" t="str" cm="1">
        <f t="array" aca="1" ref="F30" ca="1">_xll.DBR($C$25,$B30,F$27)</f>
        <v>RECALC_0_222_</v>
      </c>
      <c r="G30" s="6" t="str" cm="1">
        <f t="array" aca="1" ref="G30" ca="1">_xll.DBR($C$25,$B30,G$27)</f>
        <v>RECALC_0_221_</v>
      </c>
      <c r="H30" s="6" t="str" cm="1">
        <f t="array" aca="1" ref="H30" ca="1">_xll.DBR($C$25,$B30,H$27)</f>
        <v>RECALC_0_220_</v>
      </c>
    </row>
    <row r="31" spans="2:8" hidden="1" outlineLevel="1" x14ac:dyDescent="0.25">
      <c r="B31" s="6" t="s">
        <v>1054</v>
      </c>
      <c r="C31" s="6" t="str" cm="1">
        <f t="array" aca="1" ref="C31" ca="1">_xll.DBR($C$25,$B31,C$27)</f>
        <v>RECALC_0_219_</v>
      </c>
      <c r="D31" s="6" t="str" cm="1">
        <f t="array" aca="1" ref="D31" ca="1">_xll.DBR($C$25,$B31,D$27)</f>
        <v>RECALC_0_218_</v>
      </c>
      <c r="E31" s="6" t="str" cm="1">
        <f t="array" aca="1" ref="E31" ca="1">_xll.DBR($C$25,$B31,E$27)</f>
        <v>RECALC_0_217_</v>
      </c>
      <c r="F31" s="6" t="str" cm="1">
        <f t="array" aca="1" ref="F31" ca="1">_xll.DBR($C$25,$B31,F$27)</f>
        <v>RECALC_0_216_</v>
      </c>
      <c r="G31" s="6" t="str" cm="1">
        <f t="array" aca="1" ref="G31" ca="1">_xll.DBR($C$25,$B31,G$27)</f>
        <v>RECALC_0_215_</v>
      </c>
      <c r="H31" s="6" t="str" cm="1">
        <f t="array" aca="1" ref="H31" ca="1">_xll.DBR($C$25,$B31,H$27)</f>
        <v>RECALC_0_214_</v>
      </c>
    </row>
    <row r="32" spans="2:8" hidden="1" outlineLevel="1" x14ac:dyDescent="0.25">
      <c r="B32" s="6" t="s">
        <v>1050</v>
      </c>
      <c r="C32" s="6" t="str" cm="1">
        <f t="array" aca="1" ref="C32" ca="1">_xll.DBR($C$25,$B32,C$27)</f>
        <v>RECALC_0_213_</v>
      </c>
      <c r="D32" s="6" t="str" cm="1">
        <f t="array" aca="1" ref="D32" ca="1">_xll.DBR($C$25,$B32,D$27)</f>
        <v>RECALC_0_212_</v>
      </c>
      <c r="E32" s="6" t="str" cm="1">
        <f t="array" aca="1" ref="E32" ca="1">_xll.DBR($C$25,$B32,E$27)</f>
        <v>RECALC_0_211_</v>
      </c>
      <c r="F32" s="6" t="str" cm="1">
        <f t="array" aca="1" ref="F32" ca="1">_xll.DBR($C$25,$B32,F$27)</f>
        <v>RECALC_0_210_</v>
      </c>
      <c r="G32" s="6" t="str" cm="1">
        <f t="array" aca="1" ref="G32" ca="1">_xll.DBR($C$25,$B32,G$27)</f>
        <v>RECALC_0_209_</v>
      </c>
      <c r="H32" s="6" t="str" cm="1">
        <f t="array" aca="1" ref="H32" ca="1">_xll.DBR($C$25,$B32,H$27)</f>
        <v>RECALC_0_208_</v>
      </c>
    </row>
    <row r="33" spans="2:8" hidden="1" outlineLevel="1" x14ac:dyDescent="0.25">
      <c r="B33" t="s">
        <v>1385</v>
      </c>
      <c r="C33" s="6" t="str" cm="1">
        <f t="array" aca="1" ref="C33" ca="1">_xll.DBR($C$25,$B33,C$27)</f>
        <v>RECALC_0_858_</v>
      </c>
      <c r="D33" s="6" t="str" cm="1">
        <f t="array" aca="1" ref="D33" ca="1">_xll.DBR($C$25,$B33,D$27)</f>
        <v>RECALC_0_857_</v>
      </c>
      <c r="E33" s="6" t="str" cm="1">
        <f t="array" aca="1" ref="E33" ca="1">_xll.DBR($C$25,$B33,E$27)</f>
        <v>RECALC_0_856_</v>
      </c>
      <c r="F33" s="6" t="str" cm="1">
        <f t="array" aca="1" ref="F33" ca="1">_xll.DBR($C$25,$B33,F$27)</f>
        <v>RECALC_0_853_</v>
      </c>
      <c r="G33" s="6" t="str" cm="1">
        <f t="array" aca="1" ref="G33" ca="1">_xll.DBR($C$25,$B33,G$27)</f>
        <v>RECALC_0_855_</v>
      </c>
      <c r="H33" s="6" t="str" cm="1">
        <f t="array" aca="1" ref="H33" ca="1">_xll.DBR($C$25,$B33,H$27)</f>
        <v>RECALC_0_851_</v>
      </c>
    </row>
    <row r="34" spans="2:8" hidden="1" outlineLevel="1" x14ac:dyDescent="0.25">
      <c r="B34" s="6" t="s">
        <v>1381</v>
      </c>
      <c r="C34" s="6" t="str" cm="1">
        <f t="array" aca="1" ref="C34" ca="1">_xll.DBR($C$25,$B34,C$27)</f>
        <v>RECALC_0_875_</v>
      </c>
      <c r="D34" s="6" t="str" cm="1">
        <f t="array" aca="1" ref="D34" ca="1">_xll.DBR($C$25,$B34,D$27)</f>
        <v>RECALC_0_874_</v>
      </c>
      <c r="E34" s="6" t="str" cm="1">
        <f t="array" aca="1" ref="E34" ca="1">_xll.DBR($C$25,$B34,E$27)</f>
        <v>RECALC_0_873_</v>
      </c>
      <c r="F34" s="6" t="str" cm="1">
        <f t="array" aca="1" ref="F34" ca="1">_xll.DBR($C$25,$B34,F$27)</f>
        <v>RECALC_0_872_</v>
      </c>
      <c r="G34" s="6" t="str" cm="1">
        <f t="array" aca="1" ref="G34" ca="1">_xll.DBR($C$25,$B34,G$27)</f>
        <v>RECALC_0_871_</v>
      </c>
      <c r="H34" s="6" t="str" cm="1">
        <f t="array" aca="1" ref="H34" ca="1">_xll.DBR($C$25,$B34,H$27)</f>
        <v>RECALC_0_870_</v>
      </c>
    </row>
    <row r="35" spans="2:8" hidden="1" outlineLevel="1" x14ac:dyDescent="0.25">
      <c r="B35" s="6" t="s">
        <v>1359</v>
      </c>
      <c r="C35" s="6" t="str" cm="1">
        <f t="array" aca="1" ref="C35" ca="1">_xll.DBR($C$25,$B35,C$27)</f>
        <v>RECALC_0_869_</v>
      </c>
      <c r="D35" s="6" t="str" cm="1">
        <f t="array" aca="1" ref="D35" ca="1">_xll.DBR($C$25,$B35,D$27)</f>
        <v>RECALC_0_868_</v>
      </c>
      <c r="E35" s="6" t="str" cm="1">
        <f t="array" aca="1" ref="E35" ca="1">_xll.DBR($C$25,$B35,E$27)</f>
        <v>RECALC_0_867_</v>
      </c>
      <c r="F35" s="6" t="str" cm="1">
        <f t="array" aca="1" ref="F35" ca="1">_xll.DBR($C$25,$B35,F$27)</f>
        <v>RECALC_0_854_</v>
      </c>
      <c r="G35" s="6" t="str" cm="1">
        <f t="array" aca="1" ref="G35" ca="1">_xll.DBR($C$25,$B35,G$27)</f>
        <v>RECALC_0_866_</v>
      </c>
      <c r="H35" s="6" t="str" cm="1">
        <f t="array" aca="1" ref="H35" ca="1">_xll.DBR($C$25,$B35,H$27)</f>
        <v>RECALC_0_852_</v>
      </c>
    </row>
    <row r="36" spans="2:8" hidden="1" outlineLevel="1" x14ac:dyDescent="0.25"/>
    <row r="37" spans="2:8" hidden="1" outlineLevel="1" x14ac:dyDescent="0.25">
      <c r="B37" s="26" t="s">
        <v>1018</v>
      </c>
      <c r="C37" s="27"/>
      <c r="D37" s="28"/>
      <c r="F37" s="26" t="s">
        <v>1057</v>
      </c>
      <c r="G37" s="27"/>
      <c r="H37" s="28"/>
    </row>
    <row r="38" spans="2:8" hidden="1" outlineLevel="1" x14ac:dyDescent="0.25">
      <c r="B38" s="2" t="s">
        <v>1016</v>
      </c>
      <c r="C38" s="6" t="str" cm="1">
        <f t="array" ref="C38">_xll.VIEW(db_name&amp;":sys_client preference","!","!","!")</f>
        <v>finance_geus:sys_client preference:1264217196-11573969</v>
      </c>
      <c r="D38" s="6"/>
      <c r="F38" s="6" t="s">
        <v>1033</v>
      </c>
      <c r="G38" s="6" t="str">
        <f ca="1">"sys_ae_"&amp;$N$99</f>
        <v>sys_ae_RECALC_1_1955_</v>
      </c>
      <c r="H38" s="6"/>
    </row>
    <row r="39" spans="2:8" hidden="1" outlineLevel="1" x14ac:dyDescent="0.25">
      <c r="B39" s="2"/>
      <c r="C39" s="7" t="s">
        <v>1019</v>
      </c>
      <c r="D39" s="7" t="s">
        <v>1020</v>
      </c>
    </row>
    <row r="40" spans="2:8" hidden="1" outlineLevel="1" x14ac:dyDescent="0.25">
      <c r="B40" s="2" t="s">
        <v>1069</v>
      </c>
      <c r="C40" s="6" t="str" cm="1">
        <f t="array" aca="1" ref="C40" ca="1">_xll.SUBNM(db_name&amp;":sys_client preference measure","","value")</f>
        <v>RECALC_0_189_</v>
      </c>
      <c r="D40" s="7"/>
    </row>
    <row r="41" spans="2:8" hidden="1" outlineLevel="1" x14ac:dyDescent="0.25">
      <c r="B41" s="2" t="s">
        <v>1069</v>
      </c>
      <c r="C41" s="6" t="str" cm="1">
        <f t="array" aca="1" ref="C41" ca="1">_xll.SUBNM(db_name&amp;":sys_client preference measure","","validate")</f>
        <v>RECALC_0_793_</v>
      </c>
      <c r="D41" s="7"/>
    </row>
    <row r="42" spans="2:8" hidden="1" outlineLevel="1" x14ac:dyDescent="0.25">
      <c r="B42" s="2" t="s">
        <v>1021</v>
      </c>
      <c r="C42" s="6" t="str" cm="1">
        <f t="array" aca="1" ref="C42" ca="1">_xll.DBR($C$38,psUser,$B42,"value")</f>
        <v>RECALC_2_103_</v>
      </c>
      <c r="D42" s="6" t="str" cm="1">
        <f t="array" aca="1" ref="D42" ca="1">_xll.DBR($C$38,psUser,$B42,"value")</f>
        <v>RECALC_2_103_</v>
      </c>
    </row>
    <row r="43" spans="2:8" hidden="1" outlineLevel="1" x14ac:dyDescent="0.25">
      <c r="B43" s="2" t="s">
        <v>1022</v>
      </c>
      <c r="C43" s="6" t="str" cm="1">
        <f t="array" aca="1" ref="C43" ca="1">_xll.DBR($C$38,psUser,$B43,"value")</f>
        <v>RECALC_2_104_</v>
      </c>
      <c r="D43" s="6" t="str" cm="1">
        <f t="array" aca="1" ref="D43" ca="1">_xll.DBR($C$38,psUser,$B43,"value")</f>
        <v>RECALC_2_104_</v>
      </c>
    </row>
    <row r="44" spans="2:8" hidden="1" outlineLevel="1" x14ac:dyDescent="0.25">
      <c r="B44" s="2" t="s">
        <v>1023</v>
      </c>
      <c r="C44" s="6" t="str" cm="1">
        <f t="array" aca="1" ref="C44" ca="1">_xll.DBR($C$38,psUser,$B44,"value")</f>
        <v>RECALC_2_105_</v>
      </c>
      <c r="D44" s="6" t="str" cm="1">
        <f t="array" aca="1" ref="D44" ca="1">_xll.DBR($C$38,psUser,$B44,"value")</f>
        <v>RECALC_2_105_</v>
      </c>
    </row>
    <row r="45" spans="2:8" hidden="1" outlineLevel="1" x14ac:dyDescent="0.25">
      <c r="B45" s="2" t="s">
        <v>1024</v>
      </c>
      <c r="C45" s="6" t="str" cm="1">
        <f t="array" aca="1" ref="C45" ca="1">_xll.DBR($C$38,psUser,$B45,"value")</f>
        <v>RECALC_2_188_</v>
      </c>
      <c r="D45" s="6" t="str" cm="1">
        <f t="array" aca="1" ref="D45" ca="1">_xll.DBR($C$38,psUser,$B45,"value")</f>
        <v>RECALC_2_188_</v>
      </c>
    </row>
    <row r="46" spans="2:8" hidden="1" outlineLevel="1" x14ac:dyDescent="0.25">
      <c r="B46" s="2" t="s">
        <v>1025</v>
      </c>
      <c r="C46" s="6" t="str" cm="1">
        <f t="array" aca="1" ref="C46" ca="1">_xll.DBR($C$38,psUser,$B46,"value")</f>
        <v>RECALC_2_840_</v>
      </c>
      <c r="D46" s="6" t="str" cm="1">
        <f t="array" aca="1" ref="D46" ca="1">_xll.DBR($C$38,psUser,$B46,"value")</f>
        <v>RECALC_2_840_</v>
      </c>
    </row>
    <row r="47" spans="2:8" hidden="1" outlineLevel="1" x14ac:dyDescent="0.25"/>
    <row r="48" spans="2:8" hidden="1" outlineLevel="1" x14ac:dyDescent="0.25">
      <c r="B48" s="26" t="s">
        <v>1026</v>
      </c>
      <c r="C48" s="27"/>
      <c r="D48" s="28"/>
    </row>
    <row r="49" spans="2:4" hidden="1" outlineLevel="1" x14ac:dyDescent="0.25">
      <c r="B49" s="2" t="s">
        <v>1038</v>
      </c>
      <c r="C49" s="6" t="str">
        <f ca="1">_xll.TM1RPTVIEW(db_name&amp;":AE id details:1", 1, _xll.TM1RPTTITLE(db_name&amp;":headline year",$C$54), _xll.TM1RPTTITLE(db_name&amp;":scenario",$C$55),TM1RPTFMTRNG,TM1RPTFMTIDCOL)</f>
        <v>finance_geus:AE id details:1</v>
      </c>
      <c r="D49" s="6"/>
    </row>
    <row r="50" spans="2:4" hidden="1" outlineLevel="1" x14ac:dyDescent="0.25">
      <c r="B50" s="2" t="s">
        <v>1037</v>
      </c>
      <c r="C50" s="6" t="str" cm="1">
        <f t="array" aca="1" ref="C50" ca="1">_xll.VIEW(db_name&amp;":AE id details",$C$54,$C$55,"!","!")</f>
        <v>finance_geus:AE id details:1264217196-1603459481</v>
      </c>
      <c r="D50" s="6"/>
    </row>
    <row r="51" spans="2:4" hidden="1" outlineLevel="1" x14ac:dyDescent="0.25">
      <c r="B51" s="2" t="s">
        <v>1034</v>
      </c>
      <c r="C51" s="6">
        <v>1</v>
      </c>
      <c r="D51" s="6"/>
    </row>
    <row r="52" spans="2:4" hidden="1" outlineLevel="1" x14ac:dyDescent="0.25">
      <c r="B52" s="2" t="s">
        <v>1035</v>
      </c>
      <c r="C52" s="6" t="str" cm="1">
        <f t="array" ref="C52">_xll.TM1RPTFILTER($C$49,"[id measure].[programme code]","TOPCOUNT",$C$53)</f>
        <v>TopCount(Distinct({  }), 10, ([id measure].[programme code]))</v>
      </c>
      <c r="D52" s="6"/>
    </row>
    <row r="53" spans="2:4" hidden="1" outlineLevel="1" x14ac:dyDescent="0.25">
      <c r="B53" s="2" t="s">
        <v>1036</v>
      </c>
      <c r="C53" s="6">
        <v>10</v>
      </c>
      <c r="D53" s="6"/>
    </row>
    <row r="54" spans="2:4" hidden="1" outlineLevel="1" x14ac:dyDescent="0.25">
      <c r="B54" s="2" t="s">
        <v>1027</v>
      </c>
      <c r="C54" s="6" t="str">
        <f ca="1">_xll.SUBNM(db_name&amp;":headline year","Default",$C$21)</f>
        <v>RECALC_1_621_</v>
      </c>
      <c r="D54" s="6"/>
    </row>
    <row r="55" spans="2:4" hidden="1" outlineLevel="1" x14ac:dyDescent="0.25">
      <c r="B55" s="2" t="s">
        <v>1028</v>
      </c>
      <c r="C55" s="6" t="str">
        <f ca="1">_xll.SUBNM(db_name&amp;":scenario","Default",$C$22)</f>
        <v>RECALC_1_622_</v>
      </c>
      <c r="D55" s="6"/>
    </row>
    <row r="56" spans="2:4" hidden="1" outlineLevel="1" x14ac:dyDescent="0.25">
      <c r="B56" s="2" t="s">
        <v>1032</v>
      </c>
      <c r="C56" s="6" t="s">
        <v>1</v>
      </c>
      <c r="D56" s="6"/>
    </row>
    <row r="57" spans="2:4" hidden="1" outlineLevel="1" x14ac:dyDescent="0.25">
      <c r="B57" s="2" t="s">
        <v>1030</v>
      </c>
      <c r="C57" s="6" t="s">
        <v>1031</v>
      </c>
      <c r="D57" s="6"/>
    </row>
    <row r="58" spans="2:4" hidden="1" outlineLevel="1" x14ac:dyDescent="0.25">
      <c r="B58" s="2" t="s">
        <v>1029</v>
      </c>
      <c r="C58" s="6" t="e">
        <f ca="1">"{TM1SORT({{FILTER( {[id].[Total IDs].Children}, INSTR( [AE id details].([Headline Year].[" &amp; $C$54 &amp;"],[scenario].[" &amp; $C$55 &amp;"],[id measure].[" &amp;$C$56&amp;"]), "  &amp; $C$57 &amp;  $C$59 &amp; $C$57 &amp;  " ) &gt;=1) }}, DESC)}"</f>
        <v>#VALUE!</v>
      </c>
      <c r="D58" s="6"/>
    </row>
    <row r="59" spans="2:4" hidden="1" outlineLevel="1" x14ac:dyDescent="0.25">
      <c r="B59" s="2" t="s">
        <v>1033</v>
      </c>
      <c r="C59" s="6" t="e" cm="1">
        <f t="array" ref="C59">_xll.DIMNM(db_name&amp;":programme",_xll.DIMIX(db_name&amp;":programme",#REF!))</f>
        <v>#VALUE!</v>
      </c>
      <c r="D59" s="6"/>
    </row>
    <row r="60" spans="2:4" hidden="1" outlineLevel="1" x14ac:dyDescent="0.25">
      <c r="B60" s="2" t="s">
        <v>2</v>
      </c>
      <c r="C60" s="6" t="e" cm="1">
        <f t="array" aca="1" ref="C60" ca="1">_xll.DBR($C$50,$C$54,$C$55,$B60,"used")+1</f>
        <v>#VALUE!</v>
      </c>
      <c r="D60" s="6"/>
    </row>
    <row r="61" spans="2:4" hidden="1" outlineLevel="1" x14ac:dyDescent="0.25">
      <c r="B61" s="2" t="s">
        <v>1051</v>
      </c>
      <c r="C61" s="6" t="e">
        <f ca="1">IF(LEN($C$60)=1,"0000"&amp;$C$60,IF(LEN($C$60)=2,"000"&amp;$C$60,IF(LEN($C$60=3),"00"&amp;$C$60,IF(LEN($C$60)=4,"0"&amp;$C$60,$C$60))))</f>
        <v>#VALUE!</v>
      </c>
      <c r="D61" s="6"/>
    </row>
    <row r="62" spans="2:4" hidden="1" outlineLevel="1" x14ac:dyDescent="0.25"/>
    <row r="63" spans="2:4" hidden="1" outlineLevel="1" x14ac:dyDescent="0.25">
      <c r="B63" s="26" t="s">
        <v>1083</v>
      </c>
      <c r="C63" s="27"/>
      <c r="D63" s="28"/>
    </row>
    <row r="64" spans="2:4" hidden="1" outlineLevel="1" x14ac:dyDescent="0.25">
      <c r="B64" s="2" t="s">
        <v>1037</v>
      </c>
      <c r="C64" s="6" t="str" cm="1">
        <f t="array" aca="1" ref="C64" ca="1">_xll.VIEW(db_name&amp;":programme details",$C$21,$C$22,"!","!")</f>
        <v>finance_geus:programme details:1264217196-1884554014</v>
      </c>
      <c r="D64" s="6"/>
    </row>
    <row r="65" spans="2:5" hidden="1" outlineLevel="1" x14ac:dyDescent="0.25"/>
    <row r="66" spans="2:5" hidden="1" outlineLevel="1" x14ac:dyDescent="0.25">
      <c r="B66" s="29" t="s">
        <v>1084</v>
      </c>
      <c r="C66" s="30"/>
    </row>
    <row r="67" spans="2:5" hidden="1" outlineLevel="1" x14ac:dyDescent="0.25">
      <c r="B67" s="6" t="s">
        <v>1085</v>
      </c>
      <c r="C67" s="6" t="str" cm="1">
        <f t="array" ref="C67">_xll.VIEW(db_name&amp;":}ElementAttributes_"&amp; B67,"!","!")</f>
        <v>finance_geus:}ElementAttributes_reason:1264217196-375398276</v>
      </c>
    </row>
    <row r="68" spans="2:5" hidden="1" outlineLevel="1" x14ac:dyDescent="0.25">
      <c r="B68" s="6" t="s">
        <v>1086</v>
      </c>
      <c r="C68" s="6" t="str" cm="1">
        <f t="array" aca="1" ref="C68" ca="1">_xll.DBR($C$67,$N$101,$B68)</f>
        <v>RECALC_2_813_</v>
      </c>
    </row>
    <row r="69" spans="2:5" hidden="1" outlineLevel="1" x14ac:dyDescent="0.25">
      <c r="B69" s="6" t="s">
        <v>1350</v>
      </c>
      <c r="C69" s="6" t="str" cm="1">
        <f t="array" aca="1" ref="C69" ca="1">_xll.DBR($C$67,$N$101,$B69)</f>
        <v>RECALC_2_1959_</v>
      </c>
    </row>
    <row r="70" spans="2:5" hidden="1" outlineLevel="1" x14ac:dyDescent="0.25"/>
    <row r="71" spans="2:5" hidden="1" outlineLevel="1" x14ac:dyDescent="0.25">
      <c r="B71" s="26" t="s">
        <v>1070</v>
      </c>
      <c r="C71" s="27"/>
      <c r="D71" s="28"/>
    </row>
    <row r="72" spans="2:5" hidden="1" outlineLevel="1" x14ac:dyDescent="0.25">
      <c r="B72" s="2" t="s">
        <v>1071</v>
      </c>
      <c r="C72" s="6" t="str">
        <f ca="1">IF($N$101="","",IF(AND($C$68="Y",$N$103&lt;&gt;""),$N$103,"No Measure"))</f>
        <v>No Measure</v>
      </c>
    </row>
    <row r="73" spans="2:5" hidden="1" outlineLevel="1" x14ac:dyDescent="0.25">
      <c r="B73" s="2" t="s">
        <v>1072</v>
      </c>
      <c r="C73" s="6"/>
      <c r="E73" t="s">
        <v>1087</v>
      </c>
    </row>
    <row r="74" spans="2:5" hidden="1" outlineLevel="1" x14ac:dyDescent="0.25">
      <c r="B74" s="2" t="s">
        <v>1073</v>
      </c>
      <c r="C74" s="6" t="str">
        <f ca="1">IF(AND($C$68="Y",$C$69="Y"),"sys_adj all measure code",IF(AND($C$68="Y",$C$69&lt;&gt;"Y"),"sys_adj measure code only",IF(AND($C$68&lt;&gt;"Y",$C$69="Y"),"sys_adj all measure code","sys_adj no measure code")))</f>
        <v>sys_adj no measure code</v>
      </c>
    </row>
    <row r="75" spans="2:5" hidden="1" outlineLevel="1" x14ac:dyDescent="0.25">
      <c r="B75" s="2" t="s">
        <v>1074</v>
      </c>
      <c r="C75" s="6" t="str" cm="1">
        <f t="array" aca="1" ref="C75" ca="1">_xll.SUBNM(db_name&amp;":measure code",$C$74,1)</f>
        <v>RECALC_0_819_</v>
      </c>
    </row>
    <row r="76" spans="2:5" hidden="1" outlineLevel="1" x14ac:dyDescent="0.25"/>
    <row r="77" spans="2:5" hidden="1" outlineLevel="1" x14ac:dyDescent="0.25">
      <c r="B77" s="26" t="s">
        <v>1077</v>
      </c>
      <c r="C77" s="27"/>
      <c r="D77" s="28"/>
    </row>
    <row r="78" spans="2:5" hidden="1" outlineLevel="1" x14ac:dyDescent="0.25">
      <c r="B78" s="6" t="s">
        <v>1078</v>
      </c>
      <c r="C78" s="6" t="str">
        <f ca="1">$N$99</f>
        <v>RECALC_1_1955_</v>
      </c>
    </row>
    <row r="79" spans="2:5" hidden="1" outlineLevel="1" x14ac:dyDescent="0.25">
      <c r="B79" s="6" t="s">
        <v>1079</v>
      </c>
      <c r="C79" s="6" t="str">
        <f ca="1">$N$101</f>
        <v>RECALC_1_812_</v>
      </c>
    </row>
    <row r="80" spans="2:5" hidden="1" outlineLevel="1" x14ac:dyDescent="0.25">
      <c r="B80" s="6" t="s">
        <v>1080</v>
      </c>
      <c r="C80" s="6" t="str">
        <f ca="1">$N$103</f>
        <v>RECALC_1_859_</v>
      </c>
    </row>
    <row r="81" spans="2:18" hidden="1" outlineLevel="1" x14ac:dyDescent="0.25">
      <c r="B81" s="6" t="s">
        <v>1081</v>
      </c>
      <c r="C81" s="6" t="str">
        <f ca="1">$N$105</f>
        <v>RECALC_1_810_</v>
      </c>
    </row>
    <row r="82" spans="2:18" hidden="1" outlineLevel="1" x14ac:dyDescent="0.25">
      <c r="B82" s="6" t="s">
        <v>1082</v>
      </c>
      <c r="C82" s="6" t="str">
        <f ca="1">$N$107</f>
        <v>RECALC_1_808_</v>
      </c>
    </row>
    <row r="83" spans="2:18" hidden="1" outlineLevel="1" x14ac:dyDescent="0.25">
      <c r="B83" s="6" t="s">
        <v>1303</v>
      </c>
      <c r="C83" s="6" t="str">
        <f ca="1">$P$97</f>
        <v>RECALC_0_513_</v>
      </c>
    </row>
    <row r="84" spans="2:18" hidden="1" outlineLevel="1" x14ac:dyDescent="0.25">
      <c r="B84" s="6" t="s">
        <v>1358</v>
      </c>
      <c r="C84" s="6" t="str">
        <f ca="1">$N$111</f>
        <v>RECALC_1_806_</v>
      </c>
    </row>
    <row r="85" spans="2:18" hidden="1" outlineLevel="1" x14ac:dyDescent="0.25">
      <c r="B85" s="6" t="s">
        <v>1382</v>
      </c>
      <c r="C85" s="22" t="s">
        <v>1386</v>
      </c>
    </row>
    <row r="86" spans="2:18" hidden="1" outlineLevel="1" x14ac:dyDescent="0.25"/>
    <row r="87" spans="2:18" hidden="1" outlineLevel="1" x14ac:dyDescent="0.25"/>
    <row r="88" spans="2:18" hidden="1" outlineLevel="1" x14ac:dyDescent="0.25"/>
    <row r="89" spans="2:18" hidden="1" outlineLevel="1" x14ac:dyDescent="0.25"/>
    <row r="90" spans="2:18" hidden="1" outlineLevel="1" x14ac:dyDescent="0.25"/>
    <row r="91" spans="2:18" hidden="1" outlineLevel="1" x14ac:dyDescent="0.25"/>
    <row r="92" spans="2:18" ht="39.75" customHeight="1" collapsed="1" x14ac:dyDescent="0.25">
      <c r="J92" s="11"/>
      <c r="K92" s="11"/>
      <c r="L92" s="11"/>
      <c r="M92" s="11"/>
      <c r="N92" s="11"/>
      <c r="O92" s="11"/>
      <c r="P92" s="11"/>
      <c r="Q92" s="11"/>
      <c r="R92" s="14" t="s">
        <v>1383</v>
      </c>
    </row>
    <row r="93" spans="2:18" ht="4.5" customHeight="1" x14ac:dyDescent="0.25"/>
    <row r="94" spans="2:18" ht="24" customHeight="1" x14ac:dyDescent="0.25"/>
    <row r="95" spans="2:18" ht="2.1" customHeight="1" x14ac:dyDescent="0.25">
      <c r="J95" s="11"/>
      <c r="K95" s="11"/>
      <c r="L95" s="11"/>
      <c r="M95" s="11"/>
      <c r="N95" s="11"/>
      <c r="O95" s="11"/>
      <c r="P95" s="11"/>
      <c r="Q95" s="11"/>
      <c r="R95" s="11"/>
    </row>
    <row r="96" spans="2:18" ht="5.0999999999999996" customHeight="1" x14ac:dyDescent="0.25"/>
    <row r="97" spans="2:19" x14ac:dyDescent="0.25">
      <c r="B97" s="1" t="s">
        <v>1062</v>
      </c>
      <c r="C97" s="1" t="s">
        <v>1068</v>
      </c>
      <c r="O97" s="12" t="s">
        <v>1302</v>
      </c>
      <c r="P97" s="15" t="str" cm="1">
        <f t="array" aca="1" ref="P97" ca="1">_xll.SUBNM(db_name&amp;":sys_YesNo","","No")</f>
        <v>RECALC_0_513_</v>
      </c>
      <c r="Q97" s="12" t="s">
        <v>1061</v>
      </c>
      <c r="R97" s="13" t="e">
        <f ca="1">$C$61</f>
        <v>#VALUE!</v>
      </c>
    </row>
    <row r="98" spans="2:19" ht="5.0999999999999996" customHeight="1" x14ac:dyDescent="0.25">
      <c r="Q98" s="12"/>
      <c r="R98" s="12"/>
      <c r="S98" s="12"/>
    </row>
    <row r="99" spans="2:19" x14ac:dyDescent="0.25">
      <c r="B99" s="6" t="s">
        <v>1063</v>
      </c>
      <c r="C99" s="6"/>
      <c r="L99" s="21" t="s">
        <v>1056</v>
      </c>
      <c r="N99" s="32" t="str" cm="1">
        <f t="array" aca="1" ref="N99" ca="1">_xll.DBR($C$38,$C$14,$B99,$C$40)</f>
        <v>RECALC_1_1955_</v>
      </c>
      <c r="O99" s="33"/>
      <c r="P99" s="34"/>
      <c r="Q99" s="31" t="s">
        <v>1076</v>
      </c>
      <c r="R99" s="31"/>
    </row>
    <row r="100" spans="2:19" ht="5.0999999999999996" customHeight="1" x14ac:dyDescent="0.25"/>
    <row r="101" spans="2:19" x14ac:dyDescent="0.25">
      <c r="B101" s="6" t="s">
        <v>1064</v>
      </c>
      <c r="L101" s="21" t="s">
        <v>1055</v>
      </c>
      <c r="N101" s="32" t="str" cm="1">
        <f t="array" aca="1" ref="N101" ca="1">_xll.DBR($C$38,$C$14,$B101,$C$40)</f>
        <v>RECALC_1_812_</v>
      </c>
      <c r="O101" s="33"/>
      <c r="P101" s="34"/>
      <c r="Q101" s="35" t="str" cm="1">
        <f t="array" aca="1" ref="Q101" ca="1">_xll.DBR($C$38,$C$14,$B101,$C$41)</f>
        <v>RECALC_1_816_</v>
      </c>
      <c r="R101" s="36"/>
      <c r="S101" s="36"/>
    </row>
    <row r="102" spans="2:19" ht="5.0999999999999996" customHeight="1" x14ac:dyDescent="0.25"/>
    <row r="103" spans="2:19" x14ac:dyDescent="0.25">
      <c r="B103" s="6" t="s">
        <v>1065</v>
      </c>
      <c r="C103" s="6" t="str" cm="1">
        <f t="array" aca="1" ref="C103" ca="1">IF($N$103="",_xll.DBSS($C$72,$C$38,$C$14,$B103,$C$40),"")</f>
        <v/>
      </c>
      <c r="L103" s="21" t="s">
        <v>1060</v>
      </c>
      <c r="N103" s="32" t="str" cm="1">
        <f t="array" aca="1" ref="N103" ca="1">_xll.SUBNM(db_name&amp;":measure code",$C$74,$C$75,"CBMS code and description")</f>
        <v>RECALC_1_859_</v>
      </c>
      <c r="O103" s="33"/>
      <c r="P103" s="34"/>
      <c r="Q103" s="35" t="str" cm="1">
        <f t="array" aca="1" ref="Q103" ca="1">_xll.DBR($C$38,$C$14,$B103,$C$41)</f>
        <v>RECALC_1_811_</v>
      </c>
      <c r="R103" s="36"/>
      <c r="S103" s="36"/>
    </row>
    <row r="104" spans="2:19" ht="5.0999999999999996" customHeight="1" x14ac:dyDescent="0.25"/>
    <row r="105" spans="2:19" x14ac:dyDescent="0.25">
      <c r="B105" s="6" t="s">
        <v>1066</v>
      </c>
      <c r="L105" s="21" t="s">
        <v>1058</v>
      </c>
      <c r="N105" s="32" t="str" cm="1">
        <f t="array" aca="1" ref="N105" ca="1">_xll.DBR($C$38,$C$14,$B105,$C$40)</f>
        <v>RECALC_1_810_</v>
      </c>
      <c r="O105" s="33"/>
      <c r="P105" s="34"/>
      <c r="Q105" s="35" t="str" cm="1">
        <f t="array" aca="1" ref="Q105" ca="1">_xll.DBR($C$38,$C$14,$B105,$C$41)</f>
        <v>RECALC_1_809_</v>
      </c>
      <c r="R105" s="36"/>
      <c r="S105" s="36"/>
    </row>
    <row r="106" spans="2:19" ht="5.0999999999999996" customHeight="1" x14ac:dyDescent="0.25"/>
    <row r="107" spans="2:19" x14ac:dyDescent="0.25">
      <c r="B107" s="6" t="s">
        <v>1067</v>
      </c>
      <c r="L107" s="12" t="s">
        <v>1059</v>
      </c>
      <c r="N107" s="23" t="str" cm="1">
        <f t="array" aca="1" ref="N107" ca="1">_xll.DBR($C$38,$C$14,$B107,$C$40)</f>
        <v>RECALC_1_808_</v>
      </c>
      <c r="O107" s="23"/>
      <c r="P107" s="23"/>
      <c r="Q107" s="24" t="str" cm="1">
        <f t="array" aca="1" ref="Q107" ca="1">_xll.DBR($C$38,$C$14,$B107,$C$41)</f>
        <v>RECALC_1_807_</v>
      </c>
      <c r="R107" s="25"/>
      <c r="S107" s="25"/>
    </row>
    <row r="108" spans="2:19" x14ac:dyDescent="0.25">
      <c r="N108" s="23" t="e">
        <f ca="1">_xll.DBR($C$38,$C$14,$B108,$C$40)</f>
        <v>#VALUE!</v>
      </c>
      <c r="O108" s="23"/>
      <c r="P108" s="23"/>
      <c r="Q108" s="24"/>
      <c r="R108" s="25"/>
      <c r="S108" s="25"/>
    </row>
    <row r="109" spans="2:19" x14ac:dyDescent="0.25">
      <c r="L109" s="1"/>
      <c r="M109" s="1"/>
      <c r="N109" s="23" t="e">
        <f ca="1">_xll.DBR($C$38,$C$14,$B109,$C$40)</f>
        <v>#VALUE!</v>
      </c>
      <c r="O109" s="23"/>
      <c r="P109" s="23"/>
      <c r="Q109" s="24"/>
      <c r="R109" s="25"/>
      <c r="S109" s="25"/>
    </row>
    <row r="110" spans="2:19" ht="6" customHeight="1" x14ac:dyDescent="0.25">
      <c r="L110" s="1"/>
      <c r="M110" s="1"/>
    </row>
    <row r="111" spans="2:19" x14ac:dyDescent="0.25">
      <c r="B111" s="6" t="s">
        <v>1357</v>
      </c>
      <c r="L111" s="12" t="s">
        <v>1356</v>
      </c>
      <c r="N111" s="23" t="str" cm="1">
        <f t="array" aca="1" ref="N111" ca="1">_xll.DBR($C$38,$C$14,$B111,$C$40)</f>
        <v>RECALC_1_806_</v>
      </c>
      <c r="O111" s="23"/>
      <c r="P111" s="23"/>
      <c r="Q111" s="24" t="str" cm="1">
        <f t="array" aca="1" ref="Q111" ca="1">_xll.DBR($C$38,$C$14,$B111,$C$41)</f>
        <v>RECALC_1_805_</v>
      </c>
      <c r="R111" s="25"/>
      <c r="S111" s="25"/>
    </row>
    <row r="112" spans="2:19" x14ac:dyDescent="0.25">
      <c r="N112" s="23" t="e">
        <f ca="1">_xll.DBR($C$38,$C$14,$B112,$C$40)</f>
        <v>#VALUE!</v>
      </c>
      <c r="O112" s="23"/>
      <c r="P112" s="23"/>
      <c r="Q112" s="24"/>
      <c r="R112" s="25"/>
      <c r="S112" s="25"/>
    </row>
    <row r="113" spans="12:19" x14ac:dyDescent="0.25">
      <c r="L113" s="1"/>
      <c r="M113" s="1"/>
      <c r="N113" s="23" t="e">
        <f ca="1">_xll.DBR($C$38,$C$14,$B113,$C$40)</f>
        <v>#VALUE!</v>
      </c>
      <c r="O113" s="23"/>
      <c r="P113" s="23"/>
      <c r="Q113" s="24"/>
      <c r="R113" s="25"/>
      <c r="S113" s="25"/>
    </row>
    <row r="114" spans="12:19" ht="5.0999999999999996" customHeight="1" x14ac:dyDescent="0.25">
      <c r="L114" s="1"/>
      <c r="M114" s="1"/>
    </row>
    <row r="115" spans="12:19" x14ac:dyDescent="0.25">
      <c r="L115" s="1"/>
      <c r="M115" s="1"/>
    </row>
    <row r="116" spans="12:19" x14ac:dyDescent="0.25">
      <c r="L116" s="1"/>
      <c r="M116" s="1"/>
    </row>
    <row r="117" spans="12:19" ht="5.0999999999999996" customHeight="1" x14ac:dyDescent="0.25">
      <c r="L117" s="1"/>
      <c r="M117" s="1"/>
    </row>
  </sheetData>
  <sheetProtection sheet="1" objects="1" scenarios="1"/>
  <mergeCells count="22">
    <mergeCell ref="F37:H37"/>
    <mergeCell ref="B11:D11"/>
    <mergeCell ref="B19:D19"/>
    <mergeCell ref="B37:D37"/>
    <mergeCell ref="B48:D48"/>
    <mergeCell ref="B24:D24"/>
    <mergeCell ref="N111:P113"/>
    <mergeCell ref="Q111:S113"/>
    <mergeCell ref="B71:D71"/>
    <mergeCell ref="B63:D63"/>
    <mergeCell ref="B77:D77"/>
    <mergeCell ref="B66:C66"/>
    <mergeCell ref="Q99:R99"/>
    <mergeCell ref="N99:P99"/>
    <mergeCell ref="N101:P101"/>
    <mergeCell ref="N105:P105"/>
    <mergeCell ref="N103:P103"/>
    <mergeCell ref="Q105:S105"/>
    <mergeCell ref="Q103:S103"/>
    <mergeCell ref="Q101:S101"/>
    <mergeCell ref="N107:P109"/>
    <mergeCell ref="Q107:S109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498</v>
      </c>
    </row>
    <row r="513" spans="2:2" x14ac:dyDescent="0.25">
      <c r="B513" t="s">
        <v>499</v>
      </c>
    </row>
    <row r="514" spans="2:2" x14ac:dyDescent="0.25">
      <c r="B514" t="s">
        <v>500</v>
      </c>
    </row>
    <row r="515" spans="2:2" x14ac:dyDescent="0.25">
      <c r="B515" t="s">
        <v>501</v>
      </c>
    </row>
    <row r="516" spans="2:2" x14ac:dyDescent="0.25">
      <c r="B516" t="s">
        <v>502</v>
      </c>
    </row>
    <row r="517" spans="2:2" x14ac:dyDescent="0.25">
      <c r="B517" t="s">
        <v>503</v>
      </c>
    </row>
    <row r="518" spans="2:2" x14ac:dyDescent="0.25">
      <c r="B518" t="s">
        <v>504</v>
      </c>
    </row>
    <row r="519" spans="2:2" x14ac:dyDescent="0.25">
      <c r="B519" t="s">
        <v>505</v>
      </c>
    </row>
    <row r="520" spans="2:2" x14ac:dyDescent="0.25">
      <c r="B520" t="s">
        <v>506</v>
      </c>
    </row>
    <row r="521" spans="2:2" x14ac:dyDescent="0.25">
      <c r="B521" t="s">
        <v>507</v>
      </c>
    </row>
    <row r="522" spans="2:2" x14ac:dyDescent="0.25">
      <c r="B522" t="s">
        <v>508</v>
      </c>
    </row>
    <row r="523" spans="2:2" x14ac:dyDescent="0.25">
      <c r="B523" t="s">
        <v>509</v>
      </c>
    </row>
    <row r="524" spans="2:2" x14ac:dyDescent="0.25">
      <c r="B524" t="s">
        <v>510</v>
      </c>
    </row>
    <row r="525" spans="2:2" x14ac:dyDescent="0.25">
      <c r="B525" t="s">
        <v>511</v>
      </c>
    </row>
    <row r="526" spans="2:2" x14ac:dyDescent="0.25">
      <c r="B526" t="s">
        <v>512</v>
      </c>
    </row>
    <row r="527" spans="2:2" x14ac:dyDescent="0.25">
      <c r="B527" t="s">
        <v>513</v>
      </c>
    </row>
    <row r="528" spans="2:2" x14ac:dyDescent="0.25">
      <c r="B528" t="s">
        <v>514</v>
      </c>
    </row>
    <row r="529" spans="2:2" x14ac:dyDescent="0.25">
      <c r="B529" t="s">
        <v>515</v>
      </c>
    </row>
    <row r="530" spans="2:2" x14ac:dyDescent="0.25">
      <c r="B530" t="s">
        <v>516</v>
      </c>
    </row>
    <row r="531" spans="2:2" x14ac:dyDescent="0.25">
      <c r="B531" t="s">
        <v>517</v>
      </c>
    </row>
    <row r="532" spans="2:2" x14ac:dyDescent="0.25">
      <c r="B532" t="s">
        <v>518</v>
      </c>
    </row>
    <row r="533" spans="2:2" x14ac:dyDescent="0.25">
      <c r="B533" t="s">
        <v>519</v>
      </c>
    </row>
    <row r="534" spans="2:2" x14ac:dyDescent="0.25">
      <c r="B534" t="s">
        <v>520</v>
      </c>
    </row>
    <row r="535" spans="2:2" x14ac:dyDescent="0.25">
      <c r="B535" t="s">
        <v>521</v>
      </c>
    </row>
    <row r="536" spans="2:2" x14ac:dyDescent="0.25">
      <c r="B536" t="s">
        <v>522</v>
      </c>
    </row>
    <row r="537" spans="2:2" x14ac:dyDescent="0.25">
      <c r="B537" t="s">
        <v>523</v>
      </c>
    </row>
    <row r="538" spans="2:2" x14ac:dyDescent="0.25">
      <c r="B538" t="s">
        <v>524</v>
      </c>
    </row>
    <row r="539" spans="2:2" x14ac:dyDescent="0.25">
      <c r="B539" t="s">
        <v>525</v>
      </c>
    </row>
    <row r="540" spans="2:2" x14ac:dyDescent="0.25">
      <c r="B540" t="s">
        <v>526</v>
      </c>
    </row>
    <row r="541" spans="2:2" x14ac:dyDescent="0.25">
      <c r="B541" t="s">
        <v>527</v>
      </c>
    </row>
    <row r="542" spans="2:2" x14ac:dyDescent="0.25">
      <c r="B542" t="s">
        <v>528</v>
      </c>
    </row>
    <row r="543" spans="2:2" x14ac:dyDescent="0.25">
      <c r="B543" t="s">
        <v>529</v>
      </c>
    </row>
    <row r="544" spans="2:2" x14ac:dyDescent="0.25">
      <c r="B544" t="s">
        <v>530</v>
      </c>
    </row>
    <row r="545" spans="2:2" x14ac:dyDescent="0.25">
      <c r="B545" t="s">
        <v>531</v>
      </c>
    </row>
    <row r="546" spans="2:2" x14ac:dyDescent="0.25">
      <c r="B546" t="s">
        <v>532</v>
      </c>
    </row>
    <row r="547" spans="2:2" x14ac:dyDescent="0.25">
      <c r="B547" t="s">
        <v>533</v>
      </c>
    </row>
    <row r="548" spans="2:2" x14ac:dyDescent="0.25">
      <c r="B548" t="s">
        <v>534</v>
      </c>
    </row>
    <row r="549" spans="2:2" x14ac:dyDescent="0.25">
      <c r="B549" t="s">
        <v>535</v>
      </c>
    </row>
    <row r="550" spans="2:2" x14ac:dyDescent="0.25">
      <c r="B550" t="s">
        <v>536</v>
      </c>
    </row>
    <row r="551" spans="2:2" x14ac:dyDescent="0.25">
      <c r="B551" t="s">
        <v>537</v>
      </c>
    </row>
    <row r="552" spans="2:2" x14ac:dyDescent="0.25">
      <c r="B552" t="s">
        <v>538</v>
      </c>
    </row>
    <row r="553" spans="2:2" x14ac:dyDescent="0.25">
      <c r="B553" t="s">
        <v>539</v>
      </c>
    </row>
    <row r="554" spans="2:2" x14ac:dyDescent="0.25">
      <c r="B554" t="s">
        <v>540</v>
      </c>
    </row>
    <row r="555" spans="2:2" x14ac:dyDescent="0.25">
      <c r="B555" t="s">
        <v>541</v>
      </c>
    </row>
    <row r="556" spans="2:2" x14ac:dyDescent="0.25">
      <c r="B556" t="s">
        <v>542</v>
      </c>
    </row>
    <row r="557" spans="2:2" x14ac:dyDescent="0.25">
      <c r="B557" t="s">
        <v>543</v>
      </c>
    </row>
    <row r="558" spans="2:2" x14ac:dyDescent="0.25">
      <c r="B558" t="s">
        <v>544</v>
      </c>
    </row>
    <row r="559" spans="2:2" x14ac:dyDescent="0.25">
      <c r="B559" t="s">
        <v>545</v>
      </c>
    </row>
    <row r="560" spans="2:2" x14ac:dyDescent="0.25">
      <c r="B560" t="s">
        <v>546</v>
      </c>
    </row>
    <row r="561" spans="2:2" x14ac:dyDescent="0.25">
      <c r="B561" t="s">
        <v>547</v>
      </c>
    </row>
    <row r="562" spans="2:2" x14ac:dyDescent="0.25">
      <c r="B562" t="s">
        <v>548</v>
      </c>
    </row>
    <row r="563" spans="2:2" x14ac:dyDescent="0.25">
      <c r="B563" t="s">
        <v>549</v>
      </c>
    </row>
    <row r="564" spans="2:2" x14ac:dyDescent="0.25">
      <c r="B564" t="s">
        <v>550</v>
      </c>
    </row>
    <row r="565" spans="2:2" x14ac:dyDescent="0.25">
      <c r="B565" t="s">
        <v>551</v>
      </c>
    </row>
    <row r="566" spans="2:2" x14ac:dyDescent="0.25">
      <c r="B566" t="s">
        <v>552</v>
      </c>
    </row>
    <row r="567" spans="2:2" x14ac:dyDescent="0.25">
      <c r="B567" t="s">
        <v>553</v>
      </c>
    </row>
    <row r="568" spans="2:2" x14ac:dyDescent="0.25">
      <c r="B568" t="s">
        <v>554</v>
      </c>
    </row>
    <row r="569" spans="2:2" x14ac:dyDescent="0.25">
      <c r="B569" t="s">
        <v>555</v>
      </c>
    </row>
    <row r="570" spans="2:2" x14ac:dyDescent="0.25">
      <c r="B570" t="s">
        <v>556</v>
      </c>
    </row>
    <row r="571" spans="2:2" x14ac:dyDescent="0.25">
      <c r="B571" t="s">
        <v>557</v>
      </c>
    </row>
    <row r="572" spans="2:2" x14ac:dyDescent="0.25">
      <c r="B572" t="s">
        <v>558</v>
      </c>
    </row>
    <row r="573" spans="2:2" x14ac:dyDescent="0.25">
      <c r="B573" t="s">
        <v>559</v>
      </c>
    </row>
    <row r="574" spans="2:2" x14ac:dyDescent="0.25">
      <c r="B574" t="s">
        <v>560</v>
      </c>
    </row>
    <row r="575" spans="2:2" x14ac:dyDescent="0.25">
      <c r="B575" t="s">
        <v>561</v>
      </c>
    </row>
    <row r="576" spans="2:2" x14ac:dyDescent="0.25">
      <c r="B576" t="s">
        <v>562</v>
      </c>
    </row>
    <row r="577" spans="2:2" x14ac:dyDescent="0.25">
      <c r="B577" t="s">
        <v>563</v>
      </c>
    </row>
    <row r="578" spans="2:2" x14ac:dyDescent="0.25">
      <c r="B578" t="s">
        <v>564</v>
      </c>
    </row>
    <row r="579" spans="2:2" x14ac:dyDescent="0.25">
      <c r="B579" t="s">
        <v>565</v>
      </c>
    </row>
    <row r="580" spans="2:2" x14ac:dyDescent="0.25">
      <c r="B580" t="s">
        <v>566</v>
      </c>
    </row>
    <row r="581" spans="2:2" x14ac:dyDescent="0.25">
      <c r="B581" t="s">
        <v>567</v>
      </c>
    </row>
    <row r="582" spans="2:2" x14ac:dyDescent="0.25">
      <c r="B582" t="s">
        <v>568</v>
      </c>
    </row>
    <row r="583" spans="2:2" x14ac:dyDescent="0.25">
      <c r="B583" t="s">
        <v>569</v>
      </c>
    </row>
    <row r="584" spans="2:2" x14ac:dyDescent="0.25">
      <c r="B584" t="s">
        <v>570</v>
      </c>
    </row>
    <row r="585" spans="2:2" x14ac:dyDescent="0.25">
      <c r="B585" t="s">
        <v>571</v>
      </c>
    </row>
    <row r="586" spans="2:2" x14ac:dyDescent="0.25">
      <c r="B586" t="s">
        <v>572</v>
      </c>
    </row>
    <row r="587" spans="2:2" x14ac:dyDescent="0.25">
      <c r="B587" t="s">
        <v>573</v>
      </c>
    </row>
    <row r="588" spans="2:2" x14ac:dyDescent="0.25">
      <c r="B588" t="s">
        <v>574</v>
      </c>
    </row>
    <row r="589" spans="2:2" x14ac:dyDescent="0.25">
      <c r="B589" t="s">
        <v>575</v>
      </c>
    </row>
    <row r="590" spans="2:2" x14ac:dyDescent="0.25">
      <c r="B590" t="s">
        <v>576</v>
      </c>
    </row>
    <row r="591" spans="2:2" x14ac:dyDescent="0.25">
      <c r="B591" t="s">
        <v>577</v>
      </c>
    </row>
    <row r="592" spans="2:2" x14ac:dyDescent="0.25">
      <c r="B592" t="s">
        <v>578</v>
      </c>
    </row>
    <row r="593" spans="2:2" x14ac:dyDescent="0.25">
      <c r="B593" t="s">
        <v>579</v>
      </c>
    </row>
    <row r="594" spans="2:2" x14ac:dyDescent="0.25">
      <c r="B594" t="s">
        <v>580</v>
      </c>
    </row>
    <row r="595" spans="2:2" x14ac:dyDescent="0.25">
      <c r="B595" t="s">
        <v>581</v>
      </c>
    </row>
    <row r="596" spans="2:2" x14ac:dyDescent="0.25">
      <c r="B596" t="s">
        <v>582</v>
      </c>
    </row>
    <row r="597" spans="2:2" x14ac:dyDescent="0.25">
      <c r="B597" t="s">
        <v>583</v>
      </c>
    </row>
    <row r="598" spans="2:2" x14ac:dyDescent="0.25">
      <c r="B598" t="s">
        <v>584</v>
      </c>
    </row>
    <row r="599" spans="2:2" x14ac:dyDescent="0.25">
      <c r="B599" t="s">
        <v>585</v>
      </c>
    </row>
    <row r="600" spans="2:2" x14ac:dyDescent="0.25">
      <c r="B600" t="s">
        <v>586</v>
      </c>
    </row>
    <row r="601" spans="2:2" x14ac:dyDescent="0.25">
      <c r="B601" t="s">
        <v>587</v>
      </c>
    </row>
    <row r="602" spans="2:2" x14ac:dyDescent="0.25">
      <c r="B602" t="s">
        <v>588</v>
      </c>
    </row>
    <row r="603" spans="2:2" x14ac:dyDescent="0.25">
      <c r="B603" t="s">
        <v>589</v>
      </c>
    </row>
    <row r="604" spans="2:2" x14ac:dyDescent="0.25">
      <c r="B604" t="s">
        <v>590</v>
      </c>
    </row>
    <row r="605" spans="2:2" x14ac:dyDescent="0.25">
      <c r="B605" t="s">
        <v>591</v>
      </c>
    </row>
    <row r="606" spans="2:2" x14ac:dyDescent="0.25">
      <c r="B606" t="s">
        <v>592</v>
      </c>
    </row>
    <row r="607" spans="2:2" x14ac:dyDescent="0.25">
      <c r="B607" t="s">
        <v>593</v>
      </c>
    </row>
    <row r="608" spans="2:2" x14ac:dyDescent="0.25">
      <c r="B608" t="s">
        <v>594</v>
      </c>
    </row>
    <row r="609" spans="2:2" x14ac:dyDescent="0.25">
      <c r="B609" t="s">
        <v>595</v>
      </c>
    </row>
    <row r="610" spans="2:2" x14ac:dyDescent="0.25">
      <c r="B610" t="s">
        <v>596</v>
      </c>
    </row>
    <row r="611" spans="2:2" x14ac:dyDescent="0.25">
      <c r="B611" t="s">
        <v>597</v>
      </c>
    </row>
    <row r="612" spans="2:2" x14ac:dyDescent="0.25">
      <c r="B612" t="s">
        <v>598</v>
      </c>
    </row>
    <row r="613" spans="2:2" x14ac:dyDescent="0.25">
      <c r="B613" t="s">
        <v>599</v>
      </c>
    </row>
    <row r="614" spans="2:2" x14ac:dyDescent="0.25">
      <c r="B614" t="s">
        <v>600</v>
      </c>
    </row>
    <row r="615" spans="2:2" x14ac:dyDescent="0.25">
      <c r="B615" t="s">
        <v>601</v>
      </c>
    </row>
    <row r="616" spans="2:2" x14ac:dyDescent="0.25">
      <c r="B616" t="s">
        <v>602</v>
      </c>
    </row>
    <row r="617" spans="2:2" x14ac:dyDescent="0.25">
      <c r="B617" t="s">
        <v>603</v>
      </c>
    </row>
    <row r="618" spans="2:2" x14ac:dyDescent="0.25">
      <c r="B618" t="s">
        <v>604</v>
      </c>
    </row>
    <row r="619" spans="2:2" x14ac:dyDescent="0.25">
      <c r="B619" t="s">
        <v>605</v>
      </c>
    </row>
    <row r="620" spans="2:2" x14ac:dyDescent="0.25">
      <c r="B620" t="s">
        <v>606</v>
      </c>
    </row>
    <row r="621" spans="2:2" x14ac:dyDescent="0.25">
      <c r="B621" t="s">
        <v>607</v>
      </c>
    </row>
    <row r="622" spans="2:2" x14ac:dyDescent="0.25">
      <c r="B622" t="s">
        <v>608</v>
      </c>
    </row>
    <row r="623" spans="2:2" x14ac:dyDescent="0.25">
      <c r="B623" t="s">
        <v>609</v>
      </c>
    </row>
    <row r="624" spans="2:2" x14ac:dyDescent="0.25">
      <c r="B624" t="s">
        <v>610</v>
      </c>
    </row>
    <row r="625" spans="2:2" x14ac:dyDescent="0.25">
      <c r="B625" t="s">
        <v>611</v>
      </c>
    </row>
    <row r="626" spans="2:2" x14ac:dyDescent="0.25">
      <c r="B626" t="s">
        <v>612</v>
      </c>
    </row>
    <row r="627" spans="2:2" x14ac:dyDescent="0.25">
      <c r="B627" t="s">
        <v>613</v>
      </c>
    </row>
    <row r="628" spans="2:2" x14ac:dyDescent="0.25">
      <c r="B628" t="s">
        <v>614</v>
      </c>
    </row>
    <row r="629" spans="2:2" x14ac:dyDescent="0.25">
      <c r="B629" t="s">
        <v>615</v>
      </c>
    </row>
    <row r="630" spans="2:2" x14ac:dyDescent="0.25">
      <c r="B630" t="s">
        <v>616</v>
      </c>
    </row>
    <row r="631" spans="2:2" x14ac:dyDescent="0.25">
      <c r="B631" t="s">
        <v>617</v>
      </c>
    </row>
    <row r="632" spans="2:2" x14ac:dyDescent="0.25">
      <c r="B632" t="s">
        <v>618</v>
      </c>
    </row>
    <row r="633" spans="2:2" x14ac:dyDescent="0.25">
      <c r="B633" t="s">
        <v>619</v>
      </c>
    </row>
    <row r="634" spans="2:2" x14ac:dyDescent="0.25">
      <c r="B634" t="s">
        <v>620</v>
      </c>
    </row>
    <row r="635" spans="2:2" x14ac:dyDescent="0.25">
      <c r="B635" t="s">
        <v>621</v>
      </c>
    </row>
    <row r="636" spans="2:2" x14ac:dyDescent="0.25">
      <c r="B636" t="s">
        <v>622</v>
      </c>
    </row>
    <row r="637" spans="2:2" x14ac:dyDescent="0.25">
      <c r="B637" t="s">
        <v>623</v>
      </c>
    </row>
    <row r="638" spans="2:2" x14ac:dyDescent="0.25">
      <c r="B638" t="s">
        <v>624</v>
      </c>
    </row>
    <row r="639" spans="2:2" x14ac:dyDescent="0.25">
      <c r="B639" t="s">
        <v>625</v>
      </c>
    </row>
    <row r="640" spans="2:2" x14ac:dyDescent="0.25">
      <c r="B640" t="s">
        <v>626</v>
      </c>
    </row>
    <row r="641" spans="2:2" x14ac:dyDescent="0.25">
      <c r="B641" t="s">
        <v>627</v>
      </c>
    </row>
    <row r="642" spans="2:2" x14ac:dyDescent="0.25">
      <c r="B642" t="s">
        <v>628</v>
      </c>
    </row>
    <row r="643" spans="2:2" x14ac:dyDescent="0.25">
      <c r="B643" t="s">
        <v>629</v>
      </c>
    </row>
    <row r="644" spans="2:2" x14ac:dyDescent="0.25">
      <c r="B644" t="s">
        <v>630</v>
      </c>
    </row>
    <row r="645" spans="2:2" x14ac:dyDescent="0.25">
      <c r="B645" t="s">
        <v>631</v>
      </c>
    </row>
    <row r="646" spans="2:2" x14ac:dyDescent="0.25">
      <c r="B646" t="s">
        <v>632</v>
      </c>
    </row>
    <row r="647" spans="2:2" x14ac:dyDescent="0.25">
      <c r="B647" t="s">
        <v>633</v>
      </c>
    </row>
    <row r="648" spans="2:2" x14ac:dyDescent="0.25">
      <c r="B648" t="s">
        <v>634</v>
      </c>
    </row>
    <row r="649" spans="2:2" x14ac:dyDescent="0.25">
      <c r="B649" t="s">
        <v>635</v>
      </c>
    </row>
    <row r="650" spans="2:2" x14ac:dyDescent="0.25">
      <c r="B650" t="s">
        <v>636</v>
      </c>
    </row>
    <row r="651" spans="2:2" x14ac:dyDescent="0.25">
      <c r="B651" t="s">
        <v>637</v>
      </c>
    </row>
    <row r="652" spans="2:2" x14ac:dyDescent="0.25">
      <c r="B652" t="s">
        <v>638</v>
      </c>
    </row>
    <row r="653" spans="2:2" x14ac:dyDescent="0.25">
      <c r="B653" t="s">
        <v>639</v>
      </c>
    </row>
    <row r="654" spans="2:2" x14ac:dyDescent="0.25">
      <c r="B654" t="s">
        <v>640</v>
      </c>
    </row>
    <row r="655" spans="2:2" x14ac:dyDescent="0.25">
      <c r="B655" t="s">
        <v>641</v>
      </c>
    </row>
    <row r="656" spans="2:2" x14ac:dyDescent="0.25">
      <c r="B656" t="s">
        <v>642</v>
      </c>
    </row>
    <row r="657" spans="2:2" x14ac:dyDescent="0.25">
      <c r="B657" t="s">
        <v>643</v>
      </c>
    </row>
    <row r="658" spans="2:2" x14ac:dyDescent="0.25">
      <c r="B658" t="s">
        <v>644</v>
      </c>
    </row>
    <row r="659" spans="2:2" x14ac:dyDescent="0.25">
      <c r="B659" t="s">
        <v>645</v>
      </c>
    </row>
    <row r="660" spans="2:2" x14ac:dyDescent="0.25">
      <c r="B660" t="s">
        <v>646</v>
      </c>
    </row>
    <row r="661" spans="2:2" x14ac:dyDescent="0.25">
      <c r="B661" t="s">
        <v>647</v>
      </c>
    </row>
    <row r="662" spans="2:2" x14ac:dyDescent="0.25">
      <c r="B662" t="s">
        <v>648</v>
      </c>
    </row>
    <row r="663" spans="2:2" x14ac:dyDescent="0.25">
      <c r="B663" t="s">
        <v>649</v>
      </c>
    </row>
    <row r="664" spans="2:2" x14ac:dyDescent="0.25">
      <c r="B664" t="s">
        <v>650</v>
      </c>
    </row>
    <row r="665" spans="2:2" x14ac:dyDescent="0.25">
      <c r="B665" t="s">
        <v>651</v>
      </c>
    </row>
    <row r="666" spans="2:2" x14ac:dyDescent="0.25">
      <c r="B666" t="s">
        <v>652</v>
      </c>
    </row>
    <row r="667" spans="2:2" x14ac:dyDescent="0.25">
      <c r="B667" t="s">
        <v>653</v>
      </c>
    </row>
    <row r="668" spans="2:2" x14ac:dyDescent="0.25">
      <c r="B668" t="s">
        <v>654</v>
      </c>
    </row>
    <row r="669" spans="2:2" x14ac:dyDescent="0.25">
      <c r="B669" t="s">
        <v>655</v>
      </c>
    </row>
    <row r="670" spans="2:2" x14ac:dyDescent="0.25">
      <c r="B670" t="s">
        <v>656</v>
      </c>
    </row>
    <row r="671" spans="2:2" x14ac:dyDescent="0.25">
      <c r="B671" t="s">
        <v>657</v>
      </c>
    </row>
    <row r="672" spans="2:2" x14ac:dyDescent="0.25">
      <c r="B672" t="s">
        <v>658</v>
      </c>
    </row>
    <row r="673" spans="2:2" x14ac:dyDescent="0.25">
      <c r="B673" t="s">
        <v>659</v>
      </c>
    </row>
    <row r="674" spans="2:2" x14ac:dyDescent="0.25">
      <c r="B674" t="s">
        <v>660</v>
      </c>
    </row>
    <row r="675" spans="2:2" x14ac:dyDescent="0.25">
      <c r="B675" t="s">
        <v>661</v>
      </c>
    </row>
    <row r="676" spans="2:2" x14ac:dyDescent="0.25">
      <c r="B676" t="s">
        <v>662</v>
      </c>
    </row>
    <row r="677" spans="2:2" x14ac:dyDescent="0.25">
      <c r="B677" t="s">
        <v>663</v>
      </c>
    </row>
    <row r="678" spans="2:2" x14ac:dyDescent="0.25">
      <c r="B678" t="s">
        <v>664</v>
      </c>
    </row>
    <row r="679" spans="2:2" x14ac:dyDescent="0.25">
      <c r="B679" t="s">
        <v>665</v>
      </c>
    </row>
    <row r="680" spans="2:2" x14ac:dyDescent="0.25">
      <c r="B680" t="s">
        <v>666</v>
      </c>
    </row>
    <row r="681" spans="2:2" x14ac:dyDescent="0.25">
      <c r="B681" t="s">
        <v>667</v>
      </c>
    </row>
    <row r="682" spans="2:2" x14ac:dyDescent="0.25">
      <c r="B682" t="s">
        <v>668</v>
      </c>
    </row>
    <row r="683" spans="2:2" x14ac:dyDescent="0.25">
      <c r="B683" t="s">
        <v>669</v>
      </c>
    </row>
    <row r="684" spans="2:2" x14ac:dyDescent="0.25">
      <c r="B684" t="s">
        <v>670</v>
      </c>
    </row>
    <row r="685" spans="2:2" x14ac:dyDescent="0.25">
      <c r="B685" t="s">
        <v>671</v>
      </c>
    </row>
    <row r="686" spans="2:2" x14ac:dyDescent="0.25">
      <c r="B686" t="s">
        <v>672</v>
      </c>
    </row>
    <row r="687" spans="2:2" x14ac:dyDescent="0.25">
      <c r="B687" t="s">
        <v>673</v>
      </c>
    </row>
    <row r="688" spans="2:2" x14ac:dyDescent="0.25">
      <c r="B688" t="s">
        <v>674</v>
      </c>
    </row>
    <row r="689" spans="2:2" x14ac:dyDescent="0.25">
      <c r="B689" t="s">
        <v>675</v>
      </c>
    </row>
    <row r="690" spans="2:2" x14ac:dyDescent="0.25">
      <c r="B690" t="s">
        <v>676</v>
      </c>
    </row>
    <row r="691" spans="2:2" x14ac:dyDescent="0.25">
      <c r="B691" t="s">
        <v>677</v>
      </c>
    </row>
    <row r="692" spans="2:2" x14ac:dyDescent="0.25">
      <c r="B692" t="s">
        <v>678</v>
      </c>
    </row>
    <row r="693" spans="2:2" x14ac:dyDescent="0.25">
      <c r="B693" t="s">
        <v>679</v>
      </c>
    </row>
    <row r="694" spans="2:2" x14ac:dyDescent="0.25">
      <c r="B694" t="s">
        <v>680</v>
      </c>
    </row>
    <row r="695" spans="2:2" x14ac:dyDescent="0.25">
      <c r="B695" t="s">
        <v>681</v>
      </c>
    </row>
    <row r="696" spans="2:2" x14ac:dyDescent="0.25">
      <c r="B696" t="s">
        <v>682</v>
      </c>
    </row>
    <row r="697" spans="2:2" x14ac:dyDescent="0.25">
      <c r="B697" t="s">
        <v>683</v>
      </c>
    </row>
    <row r="698" spans="2:2" x14ac:dyDescent="0.25">
      <c r="B698" t="s">
        <v>684</v>
      </c>
    </row>
    <row r="699" spans="2:2" x14ac:dyDescent="0.25">
      <c r="B699" t="s">
        <v>685</v>
      </c>
    </row>
    <row r="700" spans="2:2" x14ac:dyDescent="0.25">
      <c r="B700" t="s">
        <v>686</v>
      </c>
    </row>
    <row r="701" spans="2:2" x14ac:dyDescent="0.25">
      <c r="B701" t="s">
        <v>687</v>
      </c>
    </row>
    <row r="702" spans="2:2" x14ac:dyDescent="0.25">
      <c r="B702" t="s">
        <v>688</v>
      </c>
    </row>
    <row r="703" spans="2:2" x14ac:dyDescent="0.25">
      <c r="B703" t="s">
        <v>689</v>
      </c>
    </row>
    <row r="704" spans="2:2" x14ac:dyDescent="0.25">
      <c r="B704" t="s">
        <v>690</v>
      </c>
    </row>
    <row r="705" spans="2:2" x14ac:dyDescent="0.25">
      <c r="B705" t="s">
        <v>691</v>
      </c>
    </row>
    <row r="706" spans="2:2" x14ac:dyDescent="0.25">
      <c r="B706" t="s">
        <v>692</v>
      </c>
    </row>
    <row r="707" spans="2:2" x14ac:dyDescent="0.25">
      <c r="B707" t="s">
        <v>693</v>
      </c>
    </row>
    <row r="708" spans="2:2" x14ac:dyDescent="0.25">
      <c r="B708" t="s">
        <v>694</v>
      </c>
    </row>
    <row r="709" spans="2:2" x14ac:dyDescent="0.25">
      <c r="B709" t="s">
        <v>695</v>
      </c>
    </row>
    <row r="710" spans="2:2" x14ac:dyDescent="0.25">
      <c r="B710" t="s">
        <v>696</v>
      </c>
    </row>
    <row r="711" spans="2:2" x14ac:dyDescent="0.25">
      <c r="B711" t="s">
        <v>697</v>
      </c>
    </row>
    <row r="712" spans="2:2" x14ac:dyDescent="0.25">
      <c r="B712" t="s">
        <v>698</v>
      </c>
    </row>
    <row r="713" spans="2:2" x14ac:dyDescent="0.25">
      <c r="B713" t="s">
        <v>699</v>
      </c>
    </row>
    <row r="714" spans="2:2" x14ac:dyDescent="0.25">
      <c r="B714" t="s">
        <v>700</v>
      </c>
    </row>
    <row r="715" spans="2:2" x14ac:dyDescent="0.25">
      <c r="B715" t="s">
        <v>701</v>
      </c>
    </row>
    <row r="716" spans="2:2" x14ac:dyDescent="0.25">
      <c r="B716" t="s">
        <v>702</v>
      </c>
    </row>
    <row r="717" spans="2:2" x14ac:dyDescent="0.25">
      <c r="B717" t="s">
        <v>703</v>
      </c>
    </row>
    <row r="718" spans="2:2" x14ac:dyDescent="0.25">
      <c r="B718" t="s">
        <v>704</v>
      </c>
    </row>
    <row r="719" spans="2:2" x14ac:dyDescent="0.25">
      <c r="B719" t="s">
        <v>705</v>
      </c>
    </row>
    <row r="720" spans="2:2" x14ac:dyDescent="0.25">
      <c r="B720" t="s">
        <v>706</v>
      </c>
    </row>
    <row r="721" spans="2:2" x14ac:dyDescent="0.25">
      <c r="B721" t="s">
        <v>707</v>
      </c>
    </row>
    <row r="722" spans="2:2" x14ac:dyDescent="0.25">
      <c r="B722" t="s">
        <v>708</v>
      </c>
    </row>
    <row r="723" spans="2:2" x14ac:dyDescent="0.25">
      <c r="B723" t="s">
        <v>709</v>
      </c>
    </row>
    <row r="724" spans="2:2" x14ac:dyDescent="0.25">
      <c r="B724" t="s">
        <v>710</v>
      </c>
    </row>
    <row r="725" spans="2:2" x14ac:dyDescent="0.25">
      <c r="B725" t="s">
        <v>711</v>
      </c>
    </row>
    <row r="726" spans="2:2" x14ac:dyDescent="0.25">
      <c r="B726" t="s">
        <v>712</v>
      </c>
    </row>
    <row r="727" spans="2:2" x14ac:dyDescent="0.25">
      <c r="B727" t="s">
        <v>713</v>
      </c>
    </row>
    <row r="728" spans="2:2" x14ac:dyDescent="0.25">
      <c r="B728" t="s">
        <v>714</v>
      </c>
    </row>
    <row r="729" spans="2:2" x14ac:dyDescent="0.25">
      <c r="B729" t="s">
        <v>715</v>
      </c>
    </row>
    <row r="730" spans="2:2" x14ac:dyDescent="0.25">
      <c r="B730" t="s">
        <v>716</v>
      </c>
    </row>
    <row r="731" spans="2:2" x14ac:dyDescent="0.25">
      <c r="B731" t="s">
        <v>717</v>
      </c>
    </row>
    <row r="732" spans="2:2" x14ac:dyDescent="0.25">
      <c r="B732" t="s">
        <v>718</v>
      </c>
    </row>
    <row r="733" spans="2:2" x14ac:dyDescent="0.25">
      <c r="B733" t="s">
        <v>719</v>
      </c>
    </row>
    <row r="734" spans="2:2" x14ac:dyDescent="0.25">
      <c r="B734" t="s">
        <v>720</v>
      </c>
    </row>
    <row r="735" spans="2:2" x14ac:dyDescent="0.25">
      <c r="B735" t="s">
        <v>721</v>
      </c>
    </row>
    <row r="736" spans="2:2" x14ac:dyDescent="0.25">
      <c r="B736" t="s">
        <v>722</v>
      </c>
    </row>
    <row r="737" spans="2:2" x14ac:dyDescent="0.25">
      <c r="B737" t="s">
        <v>723</v>
      </c>
    </row>
    <row r="738" spans="2:2" x14ac:dyDescent="0.25">
      <c r="B738" t="s">
        <v>724</v>
      </c>
    </row>
    <row r="739" spans="2:2" x14ac:dyDescent="0.25">
      <c r="B739" t="s">
        <v>725</v>
      </c>
    </row>
    <row r="740" spans="2:2" x14ac:dyDescent="0.25">
      <c r="B740" t="s">
        <v>726</v>
      </c>
    </row>
    <row r="741" spans="2:2" x14ac:dyDescent="0.25">
      <c r="B741" t="s">
        <v>727</v>
      </c>
    </row>
    <row r="742" spans="2:2" x14ac:dyDescent="0.25">
      <c r="B742" t="s">
        <v>728</v>
      </c>
    </row>
    <row r="743" spans="2:2" x14ac:dyDescent="0.25">
      <c r="B743" t="s">
        <v>729</v>
      </c>
    </row>
    <row r="744" spans="2:2" x14ac:dyDescent="0.25">
      <c r="B744" t="s">
        <v>730</v>
      </c>
    </row>
    <row r="745" spans="2:2" x14ac:dyDescent="0.25">
      <c r="B745" t="s">
        <v>731</v>
      </c>
    </row>
    <row r="746" spans="2:2" x14ac:dyDescent="0.25">
      <c r="B746" t="s">
        <v>732</v>
      </c>
    </row>
    <row r="747" spans="2:2" x14ac:dyDescent="0.25">
      <c r="B747" t="s">
        <v>733</v>
      </c>
    </row>
    <row r="748" spans="2:2" x14ac:dyDescent="0.25">
      <c r="B748" t="s">
        <v>734</v>
      </c>
    </row>
    <row r="749" spans="2:2" x14ac:dyDescent="0.25">
      <c r="B749" t="s">
        <v>735</v>
      </c>
    </row>
    <row r="750" spans="2:2" x14ac:dyDescent="0.25">
      <c r="B750" t="s">
        <v>736</v>
      </c>
    </row>
    <row r="751" spans="2:2" x14ac:dyDescent="0.25">
      <c r="B751" t="s">
        <v>737</v>
      </c>
    </row>
    <row r="752" spans="2:2" x14ac:dyDescent="0.25">
      <c r="B752" t="s">
        <v>738</v>
      </c>
    </row>
    <row r="753" spans="2:2" x14ac:dyDescent="0.25">
      <c r="B753" t="s">
        <v>739</v>
      </c>
    </row>
    <row r="754" spans="2:2" x14ac:dyDescent="0.25">
      <c r="B754" t="s">
        <v>740</v>
      </c>
    </row>
    <row r="755" spans="2:2" x14ac:dyDescent="0.25">
      <c r="B755" t="s">
        <v>741</v>
      </c>
    </row>
    <row r="756" spans="2:2" x14ac:dyDescent="0.25">
      <c r="B756" t="s">
        <v>742</v>
      </c>
    </row>
    <row r="757" spans="2:2" x14ac:dyDescent="0.25">
      <c r="B757" t="s">
        <v>743</v>
      </c>
    </row>
    <row r="758" spans="2:2" x14ac:dyDescent="0.25">
      <c r="B758" t="s">
        <v>744</v>
      </c>
    </row>
    <row r="759" spans="2:2" x14ac:dyDescent="0.25">
      <c r="B759" t="s">
        <v>745</v>
      </c>
    </row>
    <row r="760" spans="2:2" x14ac:dyDescent="0.25">
      <c r="B760" t="s">
        <v>746</v>
      </c>
    </row>
    <row r="761" spans="2:2" x14ac:dyDescent="0.25">
      <c r="B761" t="s">
        <v>747</v>
      </c>
    </row>
    <row r="762" spans="2:2" x14ac:dyDescent="0.25">
      <c r="B762" t="s">
        <v>748</v>
      </c>
    </row>
    <row r="763" spans="2:2" x14ac:dyDescent="0.25">
      <c r="B763" t="s">
        <v>749</v>
      </c>
    </row>
    <row r="764" spans="2:2" x14ac:dyDescent="0.25">
      <c r="B764" t="s">
        <v>750</v>
      </c>
    </row>
    <row r="765" spans="2:2" x14ac:dyDescent="0.25">
      <c r="B765" t="s">
        <v>751</v>
      </c>
    </row>
    <row r="766" spans="2:2" x14ac:dyDescent="0.25">
      <c r="B766" t="s">
        <v>752</v>
      </c>
    </row>
    <row r="767" spans="2:2" x14ac:dyDescent="0.25">
      <c r="B767" t="s">
        <v>753</v>
      </c>
    </row>
    <row r="768" spans="2:2" x14ac:dyDescent="0.25">
      <c r="B768" t="s">
        <v>754</v>
      </c>
    </row>
    <row r="769" spans="2:2" x14ac:dyDescent="0.25">
      <c r="B769" t="s">
        <v>755</v>
      </c>
    </row>
    <row r="770" spans="2:2" x14ac:dyDescent="0.25">
      <c r="B770" t="s">
        <v>756</v>
      </c>
    </row>
    <row r="771" spans="2:2" x14ac:dyDescent="0.25">
      <c r="B771" t="s">
        <v>757</v>
      </c>
    </row>
    <row r="772" spans="2:2" x14ac:dyDescent="0.25">
      <c r="B772" t="s">
        <v>758</v>
      </c>
    </row>
    <row r="773" spans="2:2" x14ac:dyDescent="0.25">
      <c r="B773" t="s">
        <v>759</v>
      </c>
    </row>
    <row r="774" spans="2:2" x14ac:dyDescent="0.25">
      <c r="B774" t="s">
        <v>760</v>
      </c>
    </row>
    <row r="775" spans="2:2" x14ac:dyDescent="0.25">
      <c r="B775" t="s">
        <v>761</v>
      </c>
    </row>
    <row r="776" spans="2:2" x14ac:dyDescent="0.25">
      <c r="B776" t="s">
        <v>762</v>
      </c>
    </row>
    <row r="777" spans="2:2" x14ac:dyDescent="0.25">
      <c r="B777" t="s">
        <v>763</v>
      </c>
    </row>
    <row r="778" spans="2:2" x14ac:dyDescent="0.25">
      <c r="B778" t="s">
        <v>764</v>
      </c>
    </row>
    <row r="779" spans="2:2" x14ac:dyDescent="0.25">
      <c r="B779" t="s">
        <v>765</v>
      </c>
    </row>
    <row r="780" spans="2:2" x14ac:dyDescent="0.25">
      <c r="B780" t="s">
        <v>766</v>
      </c>
    </row>
    <row r="781" spans="2:2" x14ac:dyDescent="0.25">
      <c r="B781" t="s">
        <v>767</v>
      </c>
    </row>
    <row r="782" spans="2:2" x14ac:dyDescent="0.25">
      <c r="B782" t="s">
        <v>768</v>
      </c>
    </row>
    <row r="783" spans="2:2" x14ac:dyDescent="0.25">
      <c r="B783" t="s">
        <v>769</v>
      </c>
    </row>
    <row r="784" spans="2:2" x14ac:dyDescent="0.25">
      <c r="B784" t="s">
        <v>770</v>
      </c>
    </row>
    <row r="785" spans="2:2" x14ac:dyDescent="0.25">
      <c r="B785" t="s">
        <v>771</v>
      </c>
    </row>
    <row r="786" spans="2:2" x14ac:dyDescent="0.25">
      <c r="B786" t="s">
        <v>772</v>
      </c>
    </row>
    <row r="787" spans="2:2" x14ac:dyDescent="0.25">
      <c r="B787" t="s">
        <v>773</v>
      </c>
    </row>
    <row r="788" spans="2:2" x14ac:dyDescent="0.25">
      <c r="B788" t="s">
        <v>774</v>
      </c>
    </row>
    <row r="789" spans="2:2" x14ac:dyDescent="0.25">
      <c r="B789" t="s">
        <v>775</v>
      </c>
    </row>
    <row r="790" spans="2:2" x14ac:dyDescent="0.25">
      <c r="B790" t="s">
        <v>776</v>
      </c>
    </row>
    <row r="791" spans="2:2" x14ac:dyDescent="0.25">
      <c r="B791" t="s">
        <v>777</v>
      </c>
    </row>
    <row r="792" spans="2:2" x14ac:dyDescent="0.25">
      <c r="B792" t="s">
        <v>778</v>
      </c>
    </row>
    <row r="793" spans="2:2" x14ac:dyDescent="0.25">
      <c r="B793" t="s">
        <v>779</v>
      </c>
    </row>
    <row r="794" spans="2:2" x14ac:dyDescent="0.25">
      <c r="B794" t="s">
        <v>780</v>
      </c>
    </row>
    <row r="795" spans="2:2" x14ac:dyDescent="0.25">
      <c r="B795" t="s">
        <v>781</v>
      </c>
    </row>
    <row r="796" spans="2:2" x14ac:dyDescent="0.25">
      <c r="B796" t="s">
        <v>782</v>
      </c>
    </row>
    <row r="797" spans="2:2" x14ac:dyDescent="0.25">
      <c r="B797" t="s">
        <v>783</v>
      </c>
    </row>
    <row r="798" spans="2:2" x14ac:dyDescent="0.25">
      <c r="B798" t="s">
        <v>784</v>
      </c>
    </row>
    <row r="799" spans="2:2" x14ac:dyDescent="0.25">
      <c r="B799" t="s">
        <v>785</v>
      </c>
    </row>
    <row r="800" spans="2:2" x14ac:dyDescent="0.25">
      <c r="B800" t="s">
        <v>786</v>
      </c>
    </row>
    <row r="801" spans="2:2" x14ac:dyDescent="0.25">
      <c r="B801" t="s">
        <v>787</v>
      </c>
    </row>
    <row r="802" spans="2:2" x14ac:dyDescent="0.25">
      <c r="B802" t="s">
        <v>788</v>
      </c>
    </row>
    <row r="803" spans="2:2" x14ac:dyDescent="0.25">
      <c r="B803" t="s">
        <v>789</v>
      </c>
    </row>
    <row r="804" spans="2:2" x14ac:dyDescent="0.25">
      <c r="B804" t="s">
        <v>790</v>
      </c>
    </row>
    <row r="805" spans="2:2" x14ac:dyDescent="0.25">
      <c r="B805" t="s">
        <v>791</v>
      </c>
    </row>
    <row r="806" spans="2:2" x14ac:dyDescent="0.25">
      <c r="B806" t="s">
        <v>792</v>
      </c>
    </row>
    <row r="807" spans="2:2" x14ac:dyDescent="0.25">
      <c r="B807" t="s">
        <v>793</v>
      </c>
    </row>
    <row r="808" spans="2:2" x14ac:dyDescent="0.25">
      <c r="B808" t="s">
        <v>794</v>
      </c>
    </row>
    <row r="809" spans="2:2" x14ac:dyDescent="0.25">
      <c r="B809" t="s">
        <v>795</v>
      </c>
    </row>
    <row r="810" spans="2:2" x14ac:dyDescent="0.25">
      <c r="B810" t="s">
        <v>796</v>
      </c>
    </row>
    <row r="811" spans="2:2" x14ac:dyDescent="0.25">
      <c r="B811" t="s">
        <v>797</v>
      </c>
    </row>
    <row r="812" spans="2:2" x14ac:dyDescent="0.25">
      <c r="B812" t="s">
        <v>798</v>
      </c>
    </row>
    <row r="813" spans="2:2" x14ac:dyDescent="0.25">
      <c r="B813" t="s">
        <v>799</v>
      </c>
    </row>
    <row r="814" spans="2:2" x14ac:dyDescent="0.25">
      <c r="B814" t="s">
        <v>800</v>
      </c>
    </row>
    <row r="815" spans="2:2" x14ac:dyDescent="0.25">
      <c r="B815" t="s">
        <v>801</v>
      </c>
    </row>
    <row r="816" spans="2:2" x14ac:dyDescent="0.25">
      <c r="B816" t="s">
        <v>802</v>
      </c>
    </row>
    <row r="817" spans="2:2" x14ac:dyDescent="0.25">
      <c r="B817" t="s">
        <v>803</v>
      </c>
    </row>
    <row r="818" spans="2:2" x14ac:dyDescent="0.25">
      <c r="B818" t="s">
        <v>804</v>
      </c>
    </row>
    <row r="819" spans="2:2" x14ac:dyDescent="0.25">
      <c r="B819" t="s">
        <v>805</v>
      </c>
    </row>
    <row r="820" spans="2:2" x14ac:dyDescent="0.25">
      <c r="B820" t="s">
        <v>806</v>
      </c>
    </row>
    <row r="821" spans="2:2" x14ac:dyDescent="0.25">
      <c r="B821" t="s">
        <v>807</v>
      </c>
    </row>
    <row r="822" spans="2:2" x14ac:dyDescent="0.25">
      <c r="B822" t="s">
        <v>808</v>
      </c>
    </row>
    <row r="823" spans="2:2" x14ac:dyDescent="0.25">
      <c r="B823" t="s">
        <v>809</v>
      </c>
    </row>
    <row r="824" spans="2:2" x14ac:dyDescent="0.25">
      <c r="B824" t="s">
        <v>810</v>
      </c>
    </row>
    <row r="825" spans="2:2" x14ac:dyDescent="0.25">
      <c r="B825" t="s">
        <v>811</v>
      </c>
    </row>
    <row r="826" spans="2:2" x14ac:dyDescent="0.25">
      <c r="B826" t="s">
        <v>812</v>
      </c>
    </row>
    <row r="827" spans="2:2" x14ac:dyDescent="0.25">
      <c r="B827" t="s">
        <v>813</v>
      </c>
    </row>
    <row r="828" spans="2:2" x14ac:dyDescent="0.25">
      <c r="B828" t="s">
        <v>814</v>
      </c>
    </row>
    <row r="829" spans="2:2" x14ac:dyDescent="0.25">
      <c r="B829" t="s">
        <v>815</v>
      </c>
    </row>
    <row r="830" spans="2:2" x14ac:dyDescent="0.25">
      <c r="B830" t="s">
        <v>816</v>
      </c>
    </row>
    <row r="831" spans="2:2" x14ac:dyDescent="0.25">
      <c r="B831" t="s">
        <v>817</v>
      </c>
    </row>
    <row r="832" spans="2:2" x14ac:dyDescent="0.25">
      <c r="B832" t="s">
        <v>818</v>
      </c>
    </row>
    <row r="833" spans="2:2" x14ac:dyDescent="0.25">
      <c r="B833" t="s">
        <v>819</v>
      </c>
    </row>
    <row r="834" spans="2:2" x14ac:dyDescent="0.25">
      <c r="B834" t="s">
        <v>820</v>
      </c>
    </row>
    <row r="835" spans="2:2" x14ac:dyDescent="0.25">
      <c r="B835" t="s">
        <v>821</v>
      </c>
    </row>
    <row r="836" spans="2:2" x14ac:dyDescent="0.25">
      <c r="B836" t="s">
        <v>822</v>
      </c>
    </row>
    <row r="837" spans="2:2" x14ac:dyDescent="0.25">
      <c r="B837" t="s">
        <v>823</v>
      </c>
    </row>
    <row r="838" spans="2:2" x14ac:dyDescent="0.25">
      <c r="B838" t="s">
        <v>824</v>
      </c>
    </row>
    <row r="839" spans="2:2" x14ac:dyDescent="0.25">
      <c r="B839" t="s">
        <v>825</v>
      </c>
    </row>
    <row r="840" spans="2:2" x14ac:dyDescent="0.25">
      <c r="B840" t="s">
        <v>826</v>
      </c>
    </row>
    <row r="841" spans="2:2" x14ac:dyDescent="0.25">
      <c r="B841" t="s">
        <v>827</v>
      </c>
    </row>
    <row r="842" spans="2:2" x14ac:dyDescent="0.25">
      <c r="B842" t="s">
        <v>828</v>
      </c>
    </row>
    <row r="843" spans="2:2" x14ac:dyDescent="0.25">
      <c r="B843" t="s">
        <v>829</v>
      </c>
    </row>
    <row r="844" spans="2:2" x14ac:dyDescent="0.25">
      <c r="B844" t="s">
        <v>830</v>
      </c>
    </row>
    <row r="845" spans="2:2" x14ac:dyDescent="0.25">
      <c r="B845" t="s">
        <v>831</v>
      </c>
    </row>
    <row r="846" spans="2:2" x14ac:dyDescent="0.25">
      <c r="B846" t="s">
        <v>832</v>
      </c>
    </row>
    <row r="847" spans="2:2" x14ac:dyDescent="0.25">
      <c r="B847" t="s">
        <v>833</v>
      </c>
    </row>
    <row r="848" spans="2:2" x14ac:dyDescent="0.25">
      <c r="B848" t="s">
        <v>834</v>
      </c>
    </row>
    <row r="849" spans="2:2" x14ac:dyDescent="0.25">
      <c r="B849" t="s">
        <v>835</v>
      </c>
    </row>
    <row r="850" spans="2:2" x14ac:dyDescent="0.25">
      <c r="B850" t="s">
        <v>836</v>
      </c>
    </row>
    <row r="851" spans="2:2" x14ac:dyDescent="0.25">
      <c r="B851" t="s">
        <v>837</v>
      </c>
    </row>
    <row r="852" spans="2:2" x14ac:dyDescent="0.25">
      <c r="B852" t="s">
        <v>838</v>
      </c>
    </row>
    <row r="853" spans="2:2" x14ac:dyDescent="0.25">
      <c r="B853" t="s">
        <v>839</v>
      </c>
    </row>
    <row r="854" spans="2:2" x14ac:dyDescent="0.25">
      <c r="B854" t="s">
        <v>840</v>
      </c>
    </row>
    <row r="855" spans="2:2" x14ac:dyDescent="0.25">
      <c r="B855" t="s">
        <v>841</v>
      </c>
    </row>
    <row r="856" spans="2:2" x14ac:dyDescent="0.25">
      <c r="B856" t="s">
        <v>842</v>
      </c>
    </row>
    <row r="857" spans="2:2" x14ac:dyDescent="0.25">
      <c r="B857" t="s">
        <v>843</v>
      </c>
    </row>
    <row r="858" spans="2:2" x14ac:dyDescent="0.25">
      <c r="B858" t="s">
        <v>844</v>
      </c>
    </row>
    <row r="859" spans="2:2" x14ac:dyDescent="0.25">
      <c r="B859" t="s">
        <v>845</v>
      </c>
    </row>
    <row r="860" spans="2:2" x14ac:dyDescent="0.25">
      <c r="B860" t="s">
        <v>846</v>
      </c>
    </row>
    <row r="861" spans="2:2" x14ac:dyDescent="0.25">
      <c r="B861" t="s">
        <v>847</v>
      </c>
    </row>
    <row r="862" spans="2:2" x14ac:dyDescent="0.25">
      <c r="B862" t="s">
        <v>848</v>
      </c>
    </row>
    <row r="863" spans="2:2" x14ac:dyDescent="0.25">
      <c r="B863" t="s">
        <v>849</v>
      </c>
    </row>
    <row r="864" spans="2:2" x14ac:dyDescent="0.25">
      <c r="B864" t="s">
        <v>850</v>
      </c>
    </row>
    <row r="865" spans="2:2" x14ac:dyDescent="0.25">
      <c r="B865" t="s">
        <v>851</v>
      </c>
    </row>
    <row r="866" spans="2:2" x14ac:dyDescent="0.25">
      <c r="B866" t="s">
        <v>852</v>
      </c>
    </row>
    <row r="867" spans="2:2" x14ac:dyDescent="0.25">
      <c r="B867" t="s">
        <v>853</v>
      </c>
    </row>
    <row r="868" spans="2:2" x14ac:dyDescent="0.25">
      <c r="B868" t="s">
        <v>854</v>
      </c>
    </row>
    <row r="869" spans="2:2" x14ac:dyDescent="0.25">
      <c r="B869" t="s">
        <v>855</v>
      </c>
    </row>
    <row r="870" spans="2:2" x14ac:dyDescent="0.25">
      <c r="B870" t="s">
        <v>856</v>
      </c>
    </row>
    <row r="871" spans="2:2" x14ac:dyDescent="0.25">
      <c r="B871" t="s">
        <v>857</v>
      </c>
    </row>
    <row r="872" spans="2:2" x14ac:dyDescent="0.25">
      <c r="B872" t="s">
        <v>858</v>
      </c>
    </row>
    <row r="873" spans="2:2" x14ac:dyDescent="0.25">
      <c r="B873" t="s">
        <v>859</v>
      </c>
    </row>
    <row r="874" spans="2:2" x14ac:dyDescent="0.25">
      <c r="B874" t="s">
        <v>860</v>
      </c>
    </row>
    <row r="875" spans="2:2" x14ac:dyDescent="0.25">
      <c r="B875" t="s">
        <v>861</v>
      </c>
    </row>
    <row r="876" spans="2:2" x14ac:dyDescent="0.25">
      <c r="B876" t="s">
        <v>862</v>
      </c>
    </row>
    <row r="877" spans="2:2" x14ac:dyDescent="0.25">
      <c r="B877" t="s">
        <v>863</v>
      </c>
    </row>
    <row r="878" spans="2:2" x14ac:dyDescent="0.25">
      <c r="B878" t="s">
        <v>864</v>
      </c>
    </row>
    <row r="879" spans="2:2" x14ac:dyDescent="0.25">
      <c r="B879" t="s">
        <v>865</v>
      </c>
    </row>
    <row r="880" spans="2:2" x14ac:dyDescent="0.25">
      <c r="B880" t="s">
        <v>866</v>
      </c>
    </row>
    <row r="881" spans="2:2" x14ac:dyDescent="0.25">
      <c r="B881" t="s">
        <v>867</v>
      </c>
    </row>
    <row r="882" spans="2:2" x14ac:dyDescent="0.25">
      <c r="B882" t="s">
        <v>868</v>
      </c>
    </row>
    <row r="883" spans="2:2" x14ac:dyDescent="0.25">
      <c r="B883" t="s">
        <v>869</v>
      </c>
    </row>
    <row r="884" spans="2:2" x14ac:dyDescent="0.25">
      <c r="B884" t="s">
        <v>870</v>
      </c>
    </row>
    <row r="885" spans="2:2" x14ac:dyDescent="0.25">
      <c r="B885" t="s">
        <v>871</v>
      </c>
    </row>
    <row r="886" spans="2:2" x14ac:dyDescent="0.25">
      <c r="B886" t="s">
        <v>872</v>
      </c>
    </row>
    <row r="887" spans="2:2" x14ac:dyDescent="0.25">
      <c r="B887" t="s">
        <v>873</v>
      </c>
    </row>
    <row r="888" spans="2:2" x14ac:dyDescent="0.25">
      <c r="B888" t="s">
        <v>874</v>
      </c>
    </row>
    <row r="889" spans="2:2" x14ac:dyDescent="0.25">
      <c r="B889" t="s">
        <v>875</v>
      </c>
    </row>
    <row r="890" spans="2:2" x14ac:dyDescent="0.25">
      <c r="B890" t="s">
        <v>876</v>
      </c>
    </row>
    <row r="891" spans="2:2" x14ac:dyDescent="0.25">
      <c r="B891" t="s">
        <v>877</v>
      </c>
    </row>
    <row r="892" spans="2:2" x14ac:dyDescent="0.25">
      <c r="B892" t="s">
        <v>878</v>
      </c>
    </row>
    <row r="893" spans="2:2" x14ac:dyDescent="0.25">
      <c r="B893" t="s">
        <v>879</v>
      </c>
    </row>
    <row r="894" spans="2:2" x14ac:dyDescent="0.25">
      <c r="B894" t="s">
        <v>880</v>
      </c>
    </row>
    <row r="895" spans="2:2" x14ac:dyDescent="0.25">
      <c r="B895" t="s">
        <v>881</v>
      </c>
    </row>
    <row r="896" spans="2:2" x14ac:dyDescent="0.25">
      <c r="B896" t="s">
        <v>882</v>
      </c>
    </row>
    <row r="897" spans="2:2" x14ac:dyDescent="0.25">
      <c r="B897" t="s">
        <v>883</v>
      </c>
    </row>
    <row r="898" spans="2:2" x14ac:dyDescent="0.25">
      <c r="B898" t="s">
        <v>884</v>
      </c>
    </row>
    <row r="899" spans="2:2" x14ac:dyDescent="0.25">
      <c r="B899" t="s">
        <v>885</v>
      </c>
    </row>
    <row r="900" spans="2:2" x14ac:dyDescent="0.25">
      <c r="B900" t="s">
        <v>886</v>
      </c>
    </row>
    <row r="901" spans="2:2" x14ac:dyDescent="0.25">
      <c r="B901" t="s">
        <v>887</v>
      </c>
    </row>
    <row r="902" spans="2:2" x14ac:dyDescent="0.25">
      <c r="B902" t="s">
        <v>888</v>
      </c>
    </row>
    <row r="903" spans="2:2" x14ac:dyDescent="0.25">
      <c r="B903" t="s">
        <v>889</v>
      </c>
    </row>
    <row r="904" spans="2:2" x14ac:dyDescent="0.25">
      <c r="B904" t="s">
        <v>890</v>
      </c>
    </row>
    <row r="905" spans="2:2" x14ac:dyDescent="0.25">
      <c r="B905" t="s">
        <v>891</v>
      </c>
    </row>
    <row r="906" spans="2:2" x14ac:dyDescent="0.25">
      <c r="B906" t="s">
        <v>892</v>
      </c>
    </row>
    <row r="907" spans="2:2" x14ac:dyDescent="0.25">
      <c r="B907" t="s">
        <v>893</v>
      </c>
    </row>
    <row r="908" spans="2:2" x14ac:dyDescent="0.25">
      <c r="B908" t="s">
        <v>894</v>
      </c>
    </row>
    <row r="909" spans="2:2" x14ac:dyDescent="0.25">
      <c r="B909" t="s">
        <v>895</v>
      </c>
    </row>
    <row r="910" spans="2:2" x14ac:dyDescent="0.25">
      <c r="B910" t="s">
        <v>896</v>
      </c>
    </row>
    <row r="911" spans="2:2" x14ac:dyDescent="0.25">
      <c r="B911" t="s">
        <v>897</v>
      </c>
    </row>
    <row r="912" spans="2:2" x14ac:dyDescent="0.25">
      <c r="B912" t="s">
        <v>898</v>
      </c>
    </row>
    <row r="913" spans="2:2" x14ac:dyDescent="0.25">
      <c r="B913" t="s">
        <v>899</v>
      </c>
    </row>
    <row r="914" spans="2:2" x14ac:dyDescent="0.25">
      <c r="B914" t="s">
        <v>900</v>
      </c>
    </row>
    <row r="915" spans="2:2" x14ac:dyDescent="0.25">
      <c r="B915" t="s">
        <v>901</v>
      </c>
    </row>
    <row r="916" spans="2:2" x14ac:dyDescent="0.25">
      <c r="B916" t="s">
        <v>902</v>
      </c>
    </row>
    <row r="917" spans="2:2" x14ac:dyDescent="0.25">
      <c r="B917" t="s">
        <v>903</v>
      </c>
    </row>
    <row r="918" spans="2:2" x14ac:dyDescent="0.25">
      <c r="B918" t="s">
        <v>904</v>
      </c>
    </row>
    <row r="919" spans="2:2" x14ac:dyDescent="0.25">
      <c r="B919" t="s">
        <v>905</v>
      </c>
    </row>
    <row r="920" spans="2:2" x14ac:dyDescent="0.25">
      <c r="B920" t="s">
        <v>906</v>
      </c>
    </row>
    <row r="921" spans="2:2" x14ac:dyDescent="0.25">
      <c r="B921" t="s">
        <v>907</v>
      </c>
    </row>
    <row r="922" spans="2:2" x14ac:dyDescent="0.25">
      <c r="B922" t="s">
        <v>908</v>
      </c>
    </row>
    <row r="923" spans="2:2" x14ac:dyDescent="0.25">
      <c r="B923" t="s">
        <v>909</v>
      </c>
    </row>
    <row r="924" spans="2:2" x14ac:dyDescent="0.25">
      <c r="B924" t="s">
        <v>910</v>
      </c>
    </row>
    <row r="925" spans="2:2" x14ac:dyDescent="0.25">
      <c r="B925" t="s">
        <v>911</v>
      </c>
    </row>
    <row r="926" spans="2:2" x14ac:dyDescent="0.25">
      <c r="B926" t="s">
        <v>912</v>
      </c>
    </row>
    <row r="927" spans="2:2" x14ac:dyDescent="0.25">
      <c r="B927" t="s">
        <v>913</v>
      </c>
    </row>
    <row r="928" spans="2:2" x14ac:dyDescent="0.25">
      <c r="B928" t="s">
        <v>914</v>
      </c>
    </row>
    <row r="929" spans="2:2" x14ac:dyDescent="0.25">
      <c r="B929" t="s">
        <v>915</v>
      </c>
    </row>
    <row r="930" spans="2:2" x14ac:dyDescent="0.25">
      <c r="B930" t="s">
        <v>916</v>
      </c>
    </row>
    <row r="931" spans="2:2" x14ac:dyDescent="0.25">
      <c r="B931" t="s">
        <v>917</v>
      </c>
    </row>
    <row r="932" spans="2:2" x14ac:dyDescent="0.25">
      <c r="B932" t="s">
        <v>918</v>
      </c>
    </row>
    <row r="933" spans="2:2" x14ac:dyDescent="0.25">
      <c r="B933" t="s">
        <v>919</v>
      </c>
    </row>
    <row r="934" spans="2:2" x14ac:dyDescent="0.25">
      <c r="B934" t="s">
        <v>920</v>
      </c>
    </row>
    <row r="935" spans="2:2" x14ac:dyDescent="0.25">
      <c r="B935" t="s">
        <v>921</v>
      </c>
    </row>
    <row r="936" spans="2:2" x14ac:dyDescent="0.25">
      <c r="B936" t="s">
        <v>922</v>
      </c>
    </row>
    <row r="937" spans="2:2" x14ac:dyDescent="0.25">
      <c r="B937" t="s">
        <v>923</v>
      </c>
    </row>
    <row r="938" spans="2:2" x14ac:dyDescent="0.25">
      <c r="B938" t="s">
        <v>924</v>
      </c>
    </row>
    <row r="939" spans="2:2" x14ac:dyDescent="0.25">
      <c r="B939" t="s">
        <v>925</v>
      </c>
    </row>
    <row r="940" spans="2:2" x14ac:dyDescent="0.25">
      <c r="B940" t="s">
        <v>926</v>
      </c>
    </row>
    <row r="941" spans="2:2" x14ac:dyDescent="0.25">
      <c r="B941" t="s">
        <v>927</v>
      </c>
    </row>
    <row r="942" spans="2:2" x14ac:dyDescent="0.25">
      <c r="B942" t="s">
        <v>928</v>
      </c>
    </row>
    <row r="943" spans="2:2" x14ac:dyDescent="0.25">
      <c r="B943" t="s">
        <v>929</v>
      </c>
    </row>
    <row r="944" spans="2:2" x14ac:dyDescent="0.25">
      <c r="B944" t="s">
        <v>930</v>
      </c>
    </row>
    <row r="945" spans="2:2" x14ac:dyDescent="0.25">
      <c r="B945" t="s">
        <v>931</v>
      </c>
    </row>
    <row r="946" spans="2:2" x14ac:dyDescent="0.25">
      <c r="B946" t="s">
        <v>932</v>
      </c>
    </row>
    <row r="947" spans="2:2" x14ac:dyDescent="0.25">
      <c r="B947" t="s">
        <v>933</v>
      </c>
    </row>
    <row r="948" spans="2:2" x14ac:dyDescent="0.25">
      <c r="B948" t="s">
        <v>934</v>
      </c>
    </row>
    <row r="949" spans="2:2" x14ac:dyDescent="0.25">
      <c r="B949" t="s">
        <v>935</v>
      </c>
    </row>
    <row r="950" spans="2:2" x14ac:dyDescent="0.25">
      <c r="B950" t="s">
        <v>936</v>
      </c>
    </row>
    <row r="951" spans="2:2" x14ac:dyDescent="0.25">
      <c r="B951" t="s">
        <v>937</v>
      </c>
    </row>
    <row r="952" spans="2:2" x14ac:dyDescent="0.25">
      <c r="B952" t="s">
        <v>938</v>
      </c>
    </row>
    <row r="953" spans="2:2" x14ac:dyDescent="0.25">
      <c r="B953" t="s">
        <v>939</v>
      </c>
    </row>
    <row r="954" spans="2:2" x14ac:dyDescent="0.25">
      <c r="B954" t="s">
        <v>940</v>
      </c>
    </row>
    <row r="955" spans="2:2" x14ac:dyDescent="0.25">
      <c r="B955" t="s">
        <v>941</v>
      </c>
    </row>
    <row r="956" spans="2:2" x14ac:dyDescent="0.25">
      <c r="B956" t="s">
        <v>942</v>
      </c>
    </row>
    <row r="957" spans="2:2" x14ac:dyDescent="0.25">
      <c r="B957" t="s">
        <v>943</v>
      </c>
    </row>
    <row r="958" spans="2:2" x14ac:dyDescent="0.25">
      <c r="B958" t="s">
        <v>944</v>
      </c>
    </row>
    <row r="959" spans="2:2" x14ac:dyDescent="0.25">
      <c r="B959" t="s">
        <v>945</v>
      </c>
    </row>
    <row r="960" spans="2:2" x14ac:dyDescent="0.25">
      <c r="B960" t="s">
        <v>946</v>
      </c>
    </row>
    <row r="961" spans="2:2" x14ac:dyDescent="0.25">
      <c r="B961" t="s">
        <v>947</v>
      </c>
    </row>
    <row r="962" spans="2:2" x14ac:dyDescent="0.25">
      <c r="B962" t="s">
        <v>948</v>
      </c>
    </row>
    <row r="963" spans="2:2" x14ac:dyDescent="0.25">
      <c r="B963" t="s">
        <v>949</v>
      </c>
    </row>
    <row r="964" spans="2:2" x14ac:dyDescent="0.25">
      <c r="B964" t="s">
        <v>950</v>
      </c>
    </row>
    <row r="965" spans="2:2" x14ac:dyDescent="0.25">
      <c r="B965" t="s">
        <v>951</v>
      </c>
    </row>
    <row r="966" spans="2:2" x14ac:dyDescent="0.25">
      <c r="B966" t="s">
        <v>952</v>
      </c>
    </row>
    <row r="967" spans="2:2" x14ac:dyDescent="0.25">
      <c r="B967" t="s">
        <v>953</v>
      </c>
    </row>
    <row r="968" spans="2:2" x14ac:dyDescent="0.25">
      <c r="B968" t="s">
        <v>954</v>
      </c>
    </row>
    <row r="969" spans="2:2" x14ac:dyDescent="0.25">
      <c r="B969" t="s">
        <v>955</v>
      </c>
    </row>
    <row r="970" spans="2:2" x14ac:dyDescent="0.25">
      <c r="B970" t="s">
        <v>956</v>
      </c>
    </row>
    <row r="971" spans="2:2" x14ac:dyDescent="0.25">
      <c r="B971" t="s">
        <v>957</v>
      </c>
    </row>
    <row r="972" spans="2:2" x14ac:dyDescent="0.25">
      <c r="B972" t="s">
        <v>958</v>
      </c>
    </row>
    <row r="973" spans="2:2" x14ac:dyDescent="0.25">
      <c r="B973" t="s">
        <v>959</v>
      </c>
    </row>
    <row r="974" spans="2:2" x14ac:dyDescent="0.25">
      <c r="B974" t="s">
        <v>960</v>
      </c>
    </row>
    <row r="975" spans="2:2" x14ac:dyDescent="0.25">
      <c r="B975" t="s">
        <v>961</v>
      </c>
    </row>
    <row r="976" spans="2:2" x14ac:dyDescent="0.25">
      <c r="B976" t="s">
        <v>962</v>
      </c>
    </row>
    <row r="977" spans="2:2" x14ac:dyDescent="0.25">
      <c r="B977" t="s">
        <v>963</v>
      </c>
    </row>
    <row r="978" spans="2:2" x14ac:dyDescent="0.25">
      <c r="B978" t="s">
        <v>964</v>
      </c>
    </row>
    <row r="979" spans="2:2" x14ac:dyDescent="0.25">
      <c r="B979" t="s">
        <v>965</v>
      </c>
    </row>
    <row r="980" spans="2:2" x14ac:dyDescent="0.25">
      <c r="B980" t="s">
        <v>966</v>
      </c>
    </row>
    <row r="981" spans="2:2" x14ac:dyDescent="0.25">
      <c r="B981" t="s">
        <v>967</v>
      </c>
    </row>
    <row r="982" spans="2:2" x14ac:dyDescent="0.25">
      <c r="B982" t="s">
        <v>968</v>
      </c>
    </row>
    <row r="983" spans="2:2" x14ac:dyDescent="0.25">
      <c r="B983" t="s">
        <v>969</v>
      </c>
    </row>
    <row r="984" spans="2:2" x14ac:dyDescent="0.25">
      <c r="B984" t="s">
        <v>970</v>
      </c>
    </row>
    <row r="985" spans="2:2" x14ac:dyDescent="0.25">
      <c r="B985" t="s">
        <v>971</v>
      </c>
    </row>
    <row r="986" spans="2:2" x14ac:dyDescent="0.25">
      <c r="B986" t="s">
        <v>972</v>
      </c>
    </row>
    <row r="987" spans="2:2" x14ac:dyDescent="0.25">
      <c r="B987" t="s">
        <v>973</v>
      </c>
    </row>
    <row r="988" spans="2:2" x14ac:dyDescent="0.25">
      <c r="B988" t="s">
        <v>974</v>
      </c>
    </row>
    <row r="989" spans="2:2" x14ac:dyDescent="0.25">
      <c r="B989" t="s">
        <v>975</v>
      </c>
    </row>
    <row r="990" spans="2:2" x14ac:dyDescent="0.25">
      <c r="B990" t="s">
        <v>976</v>
      </c>
    </row>
    <row r="991" spans="2:2" x14ac:dyDescent="0.25">
      <c r="B991" t="s">
        <v>977</v>
      </c>
    </row>
    <row r="992" spans="2:2" x14ac:dyDescent="0.25">
      <c r="B992" t="s">
        <v>978</v>
      </c>
    </row>
    <row r="993" spans="2:2" x14ac:dyDescent="0.25">
      <c r="B993" t="s">
        <v>979</v>
      </c>
    </row>
    <row r="994" spans="2:2" x14ac:dyDescent="0.25">
      <c r="B994" t="s">
        <v>980</v>
      </c>
    </row>
    <row r="995" spans="2:2" x14ac:dyDescent="0.25">
      <c r="B995" t="s">
        <v>981</v>
      </c>
    </row>
    <row r="996" spans="2:2" x14ac:dyDescent="0.25">
      <c r="B996" t="s">
        <v>982</v>
      </c>
    </row>
    <row r="997" spans="2:2" x14ac:dyDescent="0.25">
      <c r="B997" t="s">
        <v>983</v>
      </c>
    </row>
    <row r="998" spans="2:2" x14ac:dyDescent="0.25">
      <c r="B998" t="s">
        <v>984</v>
      </c>
    </row>
    <row r="999" spans="2:2" x14ac:dyDescent="0.25">
      <c r="B999" t="s">
        <v>985</v>
      </c>
    </row>
    <row r="1000" spans="2:2" x14ac:dyDescent="0.25">
      <c r="B1000" t="s">
        <v>986</v>
      </c>
    </row>
    <row r="1001" spans="2:2" x14ac:dyDescent="0.25">
      <c r="B1001" t="s">
        <v>987</v>
      </c>
    </row>
    <row r="1002" spans="2:2" x14ac:dyDescent="0.25">
      <c r="B1002" t="s">
        <v>988</v>
      </c>
    </row>
    <row r="1003" spans="2:2" x14ac:dyDescent="0.25">
      <c r="B1003" t="s">
        <v>989</v>
      </c>
    </row>
    <row r="1004" spans="2:2" x14ac:dyDescent="0.25">
      <c r="B1004" t="s">
        <v>990</v>
      </c>
    </row>
    <row r="1005" spans="2:2" x14ac:dyDescent="0.25">
      <c r="B1005" t="s">
        <v>991</v>
      </c>
    </row>
    <row r="1006" spans="2:2" x14ac:dyDescent="0.25">
      <c r="B1006" t="s">
        <v>992</v>
      </c>
    </row>
    <row r="1007" spans="2:2" x14ac:dyDescent="0.25">
      <c r="B1007" t="s">
        <v>993</v>
      </c>
    </row>
    <row r="1008" spans="2:2" x14ac:dyDescent="0.25">
      <c r="B1008" t="s">
        <v>994</v>
      </c>
    </row>
    <row r="1009" spans="2:2" x14ac:dyDescent="0.25">
      <c r="B1009" t="s">
        <v>995</v>
      </c>
    </row>
    <row r="1010" spans="2:2" x14ac:dyDescent="0.25">
      <c r="B1010" t="s">
        <v>996</v>
      </c>
    </row>
    <row r="1011" spans="2:2" x14ac:dyDescent="0.25">
      <c r="B1011" t="s">
        <v>997</v>
      </c>
    </row>
    <row r="1012" spans="2:2" x14ac:dyDescent="0.25">
      <c r="B1012" t="s">
        <v>998</v>
      </c>
    </row>
    <row r="1013" spans="2:2" x14ac:dyDescent="0.25">
      <c r="B1013" t="s">
        <v>999</v>
      </c>
    </row>
    <row r="1014" spans="2:2" x14ac:dyDescent="0.25">
      <c r="B1014" t="s">
        <v>1000</v>
      </c>
    </row>
    <row r="1015" spans="2:2" x14ac:dyDescent="0.25">
      <c r="B1015" t="s">
        <v>1001</v>
      </c>
    </row>
    <row r="1016" spans="2:2" x14ac:dyDescent="0.25">
      <c r="B1016" t="s">
        <v>1002</v>
      </c>
    </row>
    <row r="1017" spans="2:2" x14ac:dyDescent="0.25">
      <c r="B1017" t="s">
        <v>1003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1304</v>
      </c>
    </row>
    <row r="2" spans="1:1" x14ac:dyDescent="0.25">
      <c r="A2" t="s">
        <v>1305</v>
      </c>
    </row>
    <row r="3" spans="1:1" x14ac:dyDescent="0.25">
      <c r="A3" t="s">
        <v>1306</v>
      </c>
    </row>
    <row r="4" spans="1:1" x14ac:dyDescent="0.25">
      <c r="A4" t="s">
        <v>1075</v>
      </c>
    </row>
    <row r="5" spans="1:1" x14ac:dyDescent="0.25">
      <c r="A5" t="s">
        <v>1360</v>
      </c>
    </row>
    <row r="6" spans="1:1" x14ac:dyDescent="0.25">
      <c r="A6" t="s">
        <v>1361</v>
      </c>
    </row>
    <row r="7" spans="1:1" x14ac:dyDescent="0.25">
      <c r="A7" t="s">
        <v>1362</v>
      </c>
    </row>
    <row r="8" spans="1:1" x14ac:dyDescent="0.25">
      <c r="A8" t="s">
        <v>1363</v>
      </c>
    </row>
    <row r="9" spans="1:1" x14ac:dyDescent="0.25">
      <c r="A9" t="s">
        <v>1364</v>
      </c>
    </row>
    <row r="10" spans="1:1" x14ac:dyDescent="0.25">
      <c r="A10" t="s">
        <v>1365</v>
      </c>
    </row>
    <row r="11" spans="1:1" x14ac:dyDescent="0.25">
      <c r="A11" t="s">
        <v>1366</v>
      </c>
    </row>
    <row r="12" spans="1:1" x14ac:dyDescent="0.25">
      <c r="A12" t="s">
        <v>1367</v>
      </c>
    </row>
    <row r="13" spans="1:1" x14ac:dyDescent="0.25">
      <c r="A13" t="s">
        <v>1368</v>
      </c>
    </row>
    <row r="14" spans="1:1" x14ac:dyDescent="0.25">
      <c r="A14" t="s">
        <v>1369</v>
      </c>
    </row>
    <row r="15" spans="1:1" x14ac:dyDescent="0.25">
      <c r="A15" t="s">
        <v>1370</v>
      </c>
    </row>
    <row r="16" spans="1:1" x14ac:dyDescent="0.25">
      <c r="A16" t="s">
        <v>1371</v>
      </c>
    </row>
    <row r="17" spans="1:1" x14ac:dyDescent="0.25">
      <c r="A17" t="s">
        <v>1372</v>
      </c>
    </row>
    <row r="18" spans="1:1" x14ac:dyDescent="0.25">
      <c r="A18" t="s">
        <v>1373</v>
      </c>
    </row>
    <row r="19" spans="1:1" x14ac:dyDescent="0.25">
      <c r="A19" t="s">
        <v>1374</v>
      </c>
    </row>
    <row r="20" spans="1:1" x14ac:dyDescent="0.25">
      <c r="A20" t="s">
        <v>1375</v>
      </c>
    </row>
    <row r="21" spans="1:1" x14ac:dyDescent="0.25">
      <c r="A21" t="s">
        <v>1376</v>
      </c>
    </row>
    <row r="22" spans="1:1" x14ac:dyDescent="0.25">
      <c r="A22" t="s">
        <v>1377</v>
      </c>
    </row>
    <row r="23" spans="1:1" x14ac:dyDescent="0.25">
      <c r="A23" t="s">
        <v>1378</v>
      </c>
    </row>
    <row r="24" spans="1:1" x14ac:dyDescent="0.25">
      <c r="A24" t="s">
        <v>1379</v>
      </c>
    </row>
    <row r="25" spans="1:1" x14ac:dyDescent="0.25">
      <c r="A25" t="s">
        <v>1380</v>
      </c>
    </row>
    <row r="26" spans="1:1" x14ac:dyDescent="0.25">
      <c r="A26" t="s">
        <v>1351</v>
      </c>
    </row>
    <row r="27" spans="1:1" x14ac:dyDescent="0.25">
      <c r="A27" t="s">
        <v>1352</v>
      </c>
    </row>
    <row r="28" spans="1:1" x14ac:dyDescent="0.25">
      <c r="A28" t="s">
        <v>1353</v>
      </c>
    </row>
    <row r="29" spans="1:1" x14ac:dyDescent="0.25">
      <c r="A29" t="s">
        <v>1354</v>
      </c>
    </row>
    <row r="30" spans="1:1" x14ac:dyDescent="0.25">
      <c r="A30" t="s">
        <v>1355</v>
      </c>
    </row>
    <row r="31" spans="1:1" x14ac:dyDescent="0.25">
      <c r="A31" t="s">
        <v>1307</v>
      </c>
    </row>
    <row r="32" spans="1:1" x14ac:dyDescent="0.25">
      <c r="A32" t="s">
        <v>1308</v>
      </c>
    </row>
    <row r="33" spans="1:1" x14ac:dyDescent="0.25">
      <c r="A33" t="s">
        <v>1309</v>
      </c>
    </row>
    <row r="34" spans="1:1" x14ac:dyDescent="0.25">
      <c r="A34" t="s">
        <v>1310</v>
      </c>
    </row>
    <row r="35" spans="1:1" x14ac:dyDescent="0.25">
      <c r="A35" t="s">
        <v>1311</v>
      </c>
    </row>
    <row r="36" spans="1:1" x14ac:dyDescent="0.25">
      <c r="A36" t="s">
        <v>1312</v>
      </c>
    </row>
    <row r="37" spans="1:1" x14ac:dyDescent="0.25">
      <c r="A37" t="s">
        <v>1313</v>
      </c>
    </row>
    <row r="38" spans="1:1" x14ac:dyDescent="0.25">
      <c r="A38" t="s">
        <v>1314</v>
      </c>
    </row>
    <row r="39" spans="1:1" x14ac:dyDescent="0.25">
      <c r="A39" t="s">
        <v>1315</v>
      </c>
    </row>
    <row r="40" spans="1:1" x14ac:dyDescent="0.25">
      <c r="A40" t="s">
        <v>1316</v>
      </c>
    </row>
    <row r="41" spans="1:1" x14ac:dyDescent="0.25">
      <c r="A41" t="s">
        <v>1317</v>
      </c>
    </row>
    <row r="42" spans="1:1" x14ac:dyDescent="0.25">
      <c r="A42" t="s">
        <v>1318</v>
      </c>
    </row>
    <row r="43" spans="1:1" x14ac:dyDescent="0.25">
      <c r="A43" t="s">
        <v>1319</v>
      </c>
    </row>
    <row r="44" spans="1:1" x14ac:dyDescent="0.25">
      <c r="A44" t="s">
        <v>1320</v>
      </c>
    </row>
    <row r="45" spans="1:1" x14ac:dyDescent="0.25">
      <c r="A45" t="s">
        <v>1321</v>
      </c>
    </row>
    <row r="46" spans="1:1" x14ac:dyDescent="0.25">
      <c r="A46" t="s">
        <v>1322</v>
      </c>
    </row>
    <row r="47" spans="1:1" x14ac:dyDescent="0.25">
      <c r="A47" t="s">
        <v>1323</v>
      </c>
    </row>
    <row r="48" spans="1:1" x14ac:dyDescent="0.25">
      <c r="A48" t="s">
        <v>1324</v>
      </c>
    </row>
    <row r="49" spans="1:1" x14ac:dyDescent="0.25">
      <c r="A49" t="s">
        <v>1325</v>
      </c>
    </row>
    <row r="50" spans="1:1" x14ac:dyDescent="0.25">
      <c r="A50" t="s">
        <v>1326</v>
      </c>
    </row>
    <row r="51" spans="1:1" x14ac:dyDescent="0.25">
      <c r="A51" t="s">
        <v>1327</v>
      </c>
    </row>
    <row r="52" spans="1:1" x14ac:dyDescent="0.25">
      <c r="A52" t="s">
        <v>1328</v>
      </c>
    </row>
    <row r="53" spans="1:1" x14ac:dyDescent="0.25">
      <c r="A53" t="s">
        <v>1329</v>
      </c>
    </row>
    <row r="54" spans="1:1" x14ac:dyDescent="0.25">
      <c r="A54" t="s">
        <v>1330</v>
      </c>
    </row>
    <row r="55" spans="1:1" x14ac:dyDescent="0.25">
      <c r="A55" t="s">
        <v>1331</v>
      </c>
    </row>
    <row r="56" spans="1:1" x14ac:dyDescent="0.25">
      <c r="A56" t="s">
        <v>1332</v>
      </c>
    </row>
    <row r="57" spans="1:1" x14ac:dyDescent="0.25">
      <c r="A57" t="s">
        <v>1333</v>
      </c>
    </row>
    <row r="58" spans="1:1" x14ac:dyDescent="0.25">
      <c r="A58" t="s">
        <v>1334</v>
      </c>
    </row>
    <row r="59" spans="1:1" x14ac:dyDescent="0.25">
      <c r="A59" t="s">
        <v>1335</v>
      </c>
    </row>
    <row r="60" spans="1:1" x14ac:dyDescent="0.25">
      <c r="A60" t="s">
        <v>1336</v>
      </c>
    </row>
    <row r="61" spans="1:1" x14ac:dyDescent="0.25">
      <c r="A61" t="s">
        <v>1337</v>
      </c>
    </row>
    <row r="62" spans="1:1" x14ac:dyDescent="0.25">
      <c r="A62" t="s">
        <v>1338</v>
      </c>
    </row>
    <row r="63" spans="1:1" x14ac:dyDescent="0.25">
      <c r="A63" t="s">
        <v>1339</v>
      </c>
    </row>
    <row r="64" spans="1:1" x14ac:dyDescent="0.25">
      <c r="A64" t="s">
        <v>1340</v>
      </c>
    </row>
    <row r="65" spans="1:1" x14ac:dyDescent="0.25">
      <c r="A65" t="s">
        <v>1341</v>
      </c>
    </row>
    <row r="66" spans="1:1" x14ac:dyDescent="0.25">
      <c r="A66" t="s">
        <v>1342</v>
      </c>
    </row>
    <row r="67" spans="1:1" x14ac:dyDescent="0.25">
      <c r="A67" t="s">
        <v>1343</v>
      </c>
    </row>
    <row r="68" spans="1:1" x14ac:dyDescent="0.25">
      <c r="A68" t="s">
        <v>1344</v>
      </c>
    </row>
    <row r="69" spans="1:1" x14ac:dyDescent="0.25">
      <c r="A69" t="s">
        <v>1345</v>
      </c>
    </row>
    <row r="70" spans="1:1" x14ac:dyDescent="0.25">
      <c r="A70" t="s">
        <v>1346</v>
      </c>
    </row>
    <row r="71" spans="1:1" x14ac:dyDescent="0.25">
      <c r="A71" t="s">
        <v>1347</v>
      </c>
    </row>
    <row r="72" spans="1:1" x14ac:dyDescent="0.25">
      <c r="A72" t="s">
        <v>1348</v>
      </c>
    </row>
    <row r="73" spans="1:1" x14ac:dyDescent="0.25">
      <c r="A73" t="s">
        <v>1349</v>
      </c>
    </row>
    <row r="74" spans="1:1" x14ac:dyDescent="0.25">
      <c r="A74" t="s">
        <v>1088</v>
      </c>
    </row>
    <row r="75" spans="1:1" x14ac:dyDescent="0.25">
      <c r="A75" t="s">
        <v>1089</v>
      </c>
    </row>
    <row r="76" spans="1:1" x14ac:dyDescent="0.25">
      <c r="A76" t="s">
        <v>1090</v>
      </c>
    </row>
    <row r="77" spans="1:1" x14ac:dyDescent="0.25">
      <c r="A77" t="s">
        <v>1091</v>
      </c>
    </row>
    <row r="78" spans="1:1" x14ac:dyDescent="0.25">
      <c r="A78" t="s">
        <v>1092</v>
      </c>
    </row>
    <row r="79" spans="1:1" x14ac:dyDescent="0.25">
      <c r="A79" t="s">
        <v>1093</v>
      </c>
    </row>
    <row r="80" spans="1:1" x14ac:dyDescent="0.25">
      <c r="A80" t="s">
        <v>1094</v>
      </c>
    </row>
    <row r="81" spans="1:1" x14ac:dyDescent="0.25">
      <c r="A81" t="s">
        <v>1095</v>
      </c>
    </row>
    <row r="82" spans="1:1" x14ac:dyDescent="0.25">
      <c r="A82" t="s">
        <v>1096</v>
      </c>
    </row>
    <row r="83" spans="1:1" x14ac:dyDescent="0.25">
      <c r="A83" t="s">
        <v>1097</v>
      </c>
    </row>
    <row r="84" spans="1:1" x14ac:dyDescent="0.25">
      <c r="A84" t="s">
        <v>1098</v>
      </c>
    </row>
    <row r="85" spans="1:1" x14ac:dyDescent="0.25">
      <c r="A85" t="s">
        <v>1099</v>
      </c>
    </row>
    <row r="86" spans="1:1" x14ac:dyDescent="0.25">
      <c r="A86" t="s">
        <v>1100</v>
      </c>
    </row>
    <row r="87" spans="1:1" x14ac:dyDescent="0.25">
      <c r="A87" t="s">
        <v>1101</v>
      </c>
    </row>
    <row r="88" spans="1:1" x14ac:dyDescent="0.25">
      <c r="A88" t="s">
        <v>1102</v>
      </c>
    </row>
    <row r="89" spans="1:1" x14ac:dyDescent="0.25">
      <c r="A89" t="s">
        <v>1103</v>
      </c>
    </row>
    <row r="90" spans="1:1" x14ac:dyDescent="0.25">
      <c r="A90" t="s">
        <v>1104</v>
      </c>
    </row>
    <row r="91" spans="1:1" x14ac:dyDescent="0.25">
      <c r="A91" t="s">
        <v>1105</v>
      </c>
    </row>
    <row r="92" spans="1:1" x14ac:dyDescent="0.25">
      <c r="A92" t="s">
        <v>1106</v>
      </c>
    </row>
    <row r="93" spans="1:1" x14ac:dyDescent="0.25">
      <c r="A93" t="s">
        <v>1107</v>
      </c>
    </row>
    <row r="94" spans="1:1" x14ac:dyDescent="0.25">
      <c r="A94" t="s">
        <v>1108</v>
      </c>
    </row>
    <row r="95" spans="1:1" x14ac:dyDescent="0.25">
      <c r="A95" t="s">
        <v>1109</v>
      </c>
    </row>
    <row r="96" spans="1:1" x14ac:dyDescent="0.25">
      <c r="A96" t="s">
        <v>1110</v>
      </c>
    </row>
    <row r="97" spans="1:1" x14ac:dyDescent="0.25">
      <c r="A97" t="s">
        <v>1111</v>
      </c>
    </row>
    <row r="98" spans="1:1" x14ac:dyDescent="0.25">
      <c r="A98" t="s">
        <v>1112</v>
      </c>
    </row>
    <row r="99" spans="1:1" x14ac:dyDescent="0.25">
      <c r="A99" t="s">
        <v>1113</v>
      </c>
    </row>
    <row r="100" spans="1:1" x14ac:dyDescent="0.25">
      <c r="A100" t="s">
        <v>1114</v>
      </c>
    </row>
    <row r="101" spans="1:1" x14ac:dyDescent="0.25">
      <c r="A101" t="s">
        <v>1115</v>
      </c>
    </row>
    <row r="102" spans="1:1" x14ac:dyDescent="0.25">
      <c r="A102" t="s">
        <v>1116</v>
      </c>
    </row>
    <row r="103" spans="1:1" x14ac:dyDescent="0.25">
      <c r="A103" t="s">
        <v>1117</v>
      </c>
    </row>
    <row r="104" spans="1:1" x14ac:dyDescent="0.25">
      <c r="A104" t="s">
        <v>1118</v>
      </c>
    </row>
    <row r="105" spans="1:1" x14ac:dyDescent="0.25">
      <c r="A105" t="s">
        <v>1119</v>
      </c>
    </row>
    <row r="106" spans="1:1" x14ac:dyDescent="0.25">
      <c r="A106" t="s">
        <v>1120</v>
      </c>
    </row>
    <row r="107" spans="1:1" x14ac:dyDescent="0.25">
      <c r="A107" t="s">
        <v>1121</v>
      </c>
    </row>
    <row r="108" spans="1:1" x14ac:dyDescent="0.25">
      <c r="A108" t="s">
        <v>1122</v>
      </c>
    </row>
    <row r="109" spans="1:1" x14ac:dyDescent="0.25">
      <c r="A109" t="s">
        <v>1123</v>
      </c>
    </row>
    <row r="110" spans="1:1" x14ac:dyDescent="0.25">
      <c r="A110" t="s">
        <v>1124</v>
      </c>
    </row>
    <row r="111" spans="1:1" x14ac:dyDescent="0.25">
      <c r="A111" t="s">
        <v>1125</v>
      </c>
    </row>
    <row r="112" spans="1:1" x14ac:dyDescent="0.25">
      <c r="A112" t="s">
        <v>1126</v>
      </c>
    </row>
    <row r="113" spans="1:1" x14ac:dyDescent="0.25">
      <c r="A113" t="s">
        <v>1127</v>
      </c>
    </row>
    <row r="114" spans="1:1" x14ac:dyDescent="0.25">
      <c r="A114" t="s">
        <v>1128</v>
      </c>
    </row>
    <row r="115" spans="1:1" x14ac:dyDescent="0.25">
      <c r="A115" t="s">
        <v>1129</v>
      </c>
    </row>
    <row r="116" spans="1:1" x14ac:dyDescent="0.25">
      <c r="A116" t="s">
        <v>1130</v>
      </c>
    </row>
    <row r="117" spans="1:1" x14ac:dyDescent="0.25">
      <c r="A117" t="s">
        <v>1131</v>
      </c>
    </row>
    <row r="118" spans="1:1" x14ac:dyDescent="0.25">
      <c r="A118" t="s">
        <v>1132</v>
      </c>
    </row>
    <row r="119" spans="1:1" x14ac:dyDescent="0.25">
      <c r="A119" t="s">
        <v>1133</v>
      </c>
    </row>
    <row r="120" spans="1:1" x14ac:dyDescent="0.25">
      <c r="A120" t="s">
        <v>1134</v>
      </c>
    </row>
    <row r="121" spans="1:1" x14ac:dyDescent="0.25">
      <c r="A121" t="s">
        <v>1135</v>
      </c>
    </row>
    <row r="122" spans="1:1" x14ac:dyDescent="0.25">
      <c r="A122" t="s">
        <v>1136</v>
      </c>
    </row>
    <row r="123" spans="1:1" x14ac:dyDescent="0.25">
      <c r="A123" t="s">
        <v>1137</v>
      </c>
    </row>
    <row r="124" spans="1:1" x14ac:dyDescent="0.25">
      <c r="A124" t="s">
        <v>1138</v>
      </c>
    </row>
    <row r="125" spans="1:1" x14ac:dyDescent="0.25">
      <c r="A125" t="s">
        <v>1139</v>
      </c>
    </row>
    <row r="126" spans="1:1" x14ac:dyDescent="0.25">
      <c r="A126" t="s">
        <v>1140</v>
      </c>
    </row>
    <row r="127" spans="1:1" x14ac:dyDescent="0.25">
      <c r="A127" t="s">
        <v>1141</v>
      </c>
    </row>
    <row r="128" spans="1:1" x14ac:dyDescent="0.25">
      <c r="A128" t="s">
        <v>1142</v>
      </c>
    </row>
    <row r="129" spans="1:1" x14ac:dyDescent="0.25">
      <c r="A129" t="s">
        <v>1143</v>
      </c>
    </row>
    <row r="130" spans="1:1" x14ac:dyDescent="0.25">
      <c r="A130" t="s">
        <v>1144</v>
      </c>
    </row>
    <row r="131" spans="1:1" x14ac:dyDescent="0.25">
      <c r="A131" t="s">
        <v>1145</v>
      </c>
    </row>
    <row r="132" spans="1:1" x14ac:dyDescent="0.25">
      <c r="A132" t="s">
        <v>1146</v>
      </c>
    </row>
    <row r="133" spans="1:1" x14ac:dyDescent="0.25">
      <c r="A133" t="s">
        <v>1147</v>
      </c>
    </row>
    <row r="134" spans="1:1" x14ac:dyDescent="0.25">
      <c r="A134" t="s">
        <v>1148</v>
      </c>
    </row>
    <row r="135" spans="1:1" x14ac:dyDescent="0.25">
      <c r="A135" t="s">
        <v>1149</v>
      </c>
    </row>
    <row r="136" spans="1:1" x14ac:dyDescent="0.25">
      <c r="A136" t="s">
        <v>1150</v>
      </c>
    </row>
    <row r="137" spans="1:1" x14ac:dyDescent="0.25">
      <c r="A137" t="s">
        <v>1151</v>
      </c>
    </row>
    <row r="138" spans="1:1" x14ac:dyDescent="0.25">
      <c r="A138" t="s">
        <v>1152</v>
      </c>
    </row>
    <row r="139" spans="1:1" x14ac:dyDescent="0.25">
      <c r="A139" t="s">
        <v>1153</v>
      </c>
    </row>
    <row r="140" spans="1:1" x14ac:dyDescent="0.25">
      <c r="A140" t="s">
        <v>1154</v>
      </c>
    </row>
    <row r="141" spans="1:1" x14ac:dyDescent="0.25">
      <c r="A141" t="s">
        <v>1155</v>
      </c>
    </row>
    <row r="142" spans="1:1" x14ac:dyDescent="0.25">
      <c r="A142" t="s">
        <v>1156</v>
      </c>
    </row>
    <row r="143" spans="1:1" x14ac:dyDescent="0.25">
      <c r="A143" t="s">
        <v>1157</v>
      </c>
    </row>
    <row r="144" spans="1:1" x14ac:dyDescent="0.25">
      <c r="A144" t="s">
        <v>1158</v>
      </c>
    </row>
    <row r="145" spans="1:1" x14ac:dyDescent="0.25">
      <c r="A145" t="s">
        <v>1159</v>
      </c>
    </row>
    <row r="146" spans="1:1" x14ac:dyDescent="0.25">
      <c r="A146" t="s">
        <v>1160</v>
      </c>
    </row>
    <row r="147" spans="1:1" x14ac:dyDescent="0.25">
      <c r="A147" t="s">
        <v>1161</v>
      </c>
    </row>
    <row r="148" spans="1:1" x14ac:dyDescent="0.25">
      <c r="A148" t="s">
        <v>1162</v>
      </c>
    </row>
    <row r="149" spans="1:1" x14ac:dyDescent="0.25">
      <c r="A149" t="s">
        <v>1163</v>
      </c>
    </row>
    <row r="150" spans="1:1" x14ac:dyDescent="0.25">
      <c r="A150" t="s">
        <v>1164</v>
      </c>
    </row>
    <row r="151" spans="1:1" x14ac:dyDescent="0.25">
      <c r="A151" t="s">
        <v>1165</v>
      </c>
    </row>
    <row r="152" spans="1:1" x14ac:dyDescent="0.25">
      <c r="A152" t="s">
        <v>1166</v>
      </c>
    </row>
    <row r="153" spans="1:1" x14ac:dyDescent="0.25">
      <c r="A153" t="s">
        <v>1167</v>
      </c>
    </row>
    <row r="154" spans="1:1" x14ac:dyDescent="0.25">
      <c r="A154" t="s">
        <v>1168</v>
      </c>
    </row>
    <row r="155" spans="1:1" x14ac:dyDescent="0.25">
      <c r="A155" t="s">
        <v>1169</v>
      </c>
    </row>
    <row r="156" spans="1:1" x14ac:dyDescent="0.25">
      <c r="A156" t="s">
        <v>1170</v>
      </c>
    </row>
    <row r="157" spans="1:1" x14ac:dyDescent="0.25">
      <c r="A157" t="s">
        <v>1171</v>
      </c>
    </row>
    <row r="158" spans="1:1" x14ac:dyDescent="0.25">
      <c r="A158" t="s">
        <v>1172</v>
      </c>
    </row>
    <row r="159" spans="1:1" x14ac:dyDescent="0.25">
      <c r="A159" t="s">
        <v>1173</v>
      </c>
    </row>
    <row r="160" spans="1:1" x14ac:dyDescent="0.25">
      <c r="A160" t="s">
        <v>1174</v>
      </c>
    </row>
    <row r="161" spans="1:1" x14ac:dyDescent="0.25">
      <c r="A161" t="s">
        <v>1175</v>
      </c>
    </row>
    <row r="162" spans="1:1" x14ac:dyDescent="0.25">
      <c r="A162" t="s">
        <v>1176</v>
      </c>
    </row>
    <row r="163" spans="1:1" x14ac:dyDescent="0.25">
      <c r="A163" t="s">
        <v>1177</v>
      </c>
    </row>
    <row r="164" spans="1:1" x14ac:dyDescent="0.25">
      <c r="A164" t="s">
        <v>1178</v>
      </c>
    </row>
    <row r="165" spans="1:1" x14ac:dyDescent="0.25">
      <c r="A165" t="s">
        <v>1179</v>
      </c>
    </row>
    <row r="166" spans="1:1" x14ac:dyDescent="0.25">
      <c r="A166" t="s">
        <v>1180</v>
      </c>
    </row>
    <row r="167" spans="1:1" x14ac:dyDescent="0.25">
      <c r="A167" t="s">
        <v>1181</v>
      </c>
    </row>
    <row r="168" spans="1:1" x14ac:dyDescent="0.25">
      <c r="A168" t="s">
        <v>1182</v>
      </c>
    </row>
    <row r="169" spans="1:1" x14ac:dyDescent="0.25">
      <c r="A169" t="s">
        <v>1183</v>
      </c>
    </row>
    <row r="170" spans="1:1" x14ac:dyDescent="0.25">
      <c r="A170" t="s">
        <v>1184</v>
      </c>
    </row>
    <row r="171" spans="1:1" x14ac:dyDescent="0.25">
      <c r="A171" t="s">
        <v>1185</v>
      </c>
    </row>
    <row r="172" spans="1:1" x14ac:dyDescent="0.25">
      <c r="A172" t="s">
        <v>1186</v>
      </c>
    </row>
    <row r="173" spans="1:1" x14ac:dyDescent="0.25">
      <c r="A173" t="s">
        <v>1187</v>
      </c>
    </row>
    <row r="174" spans="1:1" x14ac:dyDescent="0.25">
      <c r="A174" t="s">
        <v>1188</v>
      </c>
    </row>
    <row r="175" spans="1:1" x14ac:dyDescent="0.25">
      <c r="A175" t="s">
        <v>1189</v>
      </c>
    </row>
    <row r="176" spans="1:1" x14ac:dyDescent="0.25">
      <c r="A176" t="s">
        <v>1190</v>
      </c>
    </row>
    <row r="177" spans="1:1" x14ac:dyDescent="0.25">
      <c r="A177" t="s">
        <v>1191</v>
      </c>
    </row>
    <row r="178" spans="1:1" x14ac:dyDescent="0.25">
      <c r="A178" t="s">
        <v>1192</v>
      </c>
    </row>
    <row r="179" spans="1:1" x14ac:dyDescent="0.25">
      <c r="A179" t="s">
        <v>1193</v>
      </c>
    </row>
    <row r="180" spans="1:1" x14ac:dyDescent="0.25">
      <c r="A180" t="s">
        <v>1194</v>
      </c>
    </row>
    <row r="181" spans="1:1" x14ac:dyDescent="0.25">
      <c r="A181" t="s">
        <v>1195</v>
      </c>
    </row>
    <row r="182" spans="1:1" x14ac:dyDescent="0.25">
      <c r="A182" t="s">
        <v>1196</v>
      </c>
    </row>
    <row r="183" spans="1:1" x14ac:dyDescent="0.25">
      <c r="A183" t="s">
        <v>1197</v>
      </c>
    </row>
    <row r="184" spans="1:1" x14ac:dyDescent="0.25">
      <c r="A184" t="s">
        <v>1198</v>
      </c>
    </row>
    <row r="185" spans="1:1" x14ac:dyDescent="0.25">
      <c r="A185" t="s">
        <v>1199</v>
      </c>
    </row>
    <row r="186" spans="1:1" x14ac:dyDescent="0.25">
      <c r="A186" t="s">
        <v>1200</v>
      </c>
    </row>
    <row r="187" spans="1:1" x14ac:dyDescent="0.25">
      <c r="A187" t="s">
        <v>1201</v>
      </c>
    </row>
    <row r="188" spans="1:1" x14ac:dyDescent="0.25">
      <c r="A188" t="s">
        <v>1202</v>
      </c>
    </row>
    <row r="189" spans="1:1" x14ac:dyDescent="0.25">
      <c r="A189" t="s">
        <v>1203</v>
      </c>
    </row>
    <row r="190" spans="1:1" x14ac:dyDescent="0.25">
      <c r="A190" t="s">
        <v>1204</v>
      </c>
    </row>
    <row r="191" spans="1:1" x14ac:dyDescent="0.25">
      <c r="A191" t="s">
        <v>1205</v>
      </c>
    </row>
    <row r="192" spans="1:1" x14ac:dyDescent="0.25">
      <c r="A192" t="s">
        <v>1206</v>
      </c>
    </row>
    <row r="193" spans="1:1" x14ac:dyDescent="0.25">
      <c r="A193" t="s">
        <v>1207</v>
      </c>
    </row>
    <row r="194" spans="1:1" x14ac:dyDescent="0.25">
      <c r="A194" t="s">
        <v>1208</v>
      </c>
    </row>
    <row r="195" spans="1:1" x14ac:dyDescent="0.25">
      <c r="A195" t="s">
        <v>1209</v>
      </c>
    </row>
    <row r="196" spans="1:1" x14ac:dyDescent="0.25">
      <c r="A196" t="s">
        <v>1210</v>
      </c>
    </row>
    <row r="197" spans="1:1" x14ac:dyDescent="0.25">
      <c r="A197" t="s">
        <v>1211</v>
      </c>
    </row>
    <row r="198" spans="1:1" x14ac:dyDescent="0.25">
      <c r="A198" t="s">
        <v>1212</v>
      </c>
    </row>
    <row r="199" spans="1:1" x14ac:dyDescent="0.25">
      <c r="A199" t="s">
        <v>1213</v>
      </c>
    </row>
    <row r="200" spans="1:1" x14ac:dyDescent="0.25">
      <c r="A200" t="s">
        <v>1214</v>
      </c>
    </row>
    <row r="201" spans="1:1" x14ac:dyDescent="0.25">
      <c r="A201" t="s">
        <v>1215</v>
      </c>
    </row>
    <row r="202" spans="1:1" x14ac:dyDescent="0.25">
      <c r="A202" t="s">
        <v>1216</v>
      </c>
    </row>
    <row r="203" spans="1:1" x14ac:dyDescent="0.25">
      <c r="A203" t="s">
        <v>1217</v>
      </c>
    </row>
    <row r="204" spans="1:1" x14ac:dyDescent="0.25">
      <c r="A204" t="s">
        <v>1218</v>
      </c>
    </row>
    <row r="205" spans="1:1" x14ac:dyDescent="0.25">
      <c r="A205" t="s">
        <v>1219</v>
      </c>
    </row>
    <row r="206" spans="1:1" x14ac:dyDescent="0.25">
      <c r="A206" t="s">
        <v>1220</v>
      </c>
    </row>
    <row r="207" spans="1:1" x14ac:dyDescent="0.25">
      <c r="A207" t="s">
        <v>1221</v>
      </c>
    </row>
    <row r="208" spans="1:1" x14ac:dyDescent="0.25">
      <c r="A208" t="s">
        <v>1222</v>
      </c>
    </row>
    <row r="209" spans="1:1" x14ac:dyDescent="0.25">
      <c r="A209" t="s">
        <v>1223</v>
      </c>
    </row>
    <row r="210" spans="1:1" x14ac:dyDescent="0.25">
      <c r="A210" t="s">
        <v>1224</v>
      </c>
    </row>
    <row r="211" spans="1:1" x14ac:dyDescent="0.25">
      <c r="A211" t="s">
        <v>1225</v>
      </c>
    </row>
    <row r="212" spans="1:1" x14ac:dyDescent="0.25">
      <c r="A212" t="s">
        <v>1226</v>
      </c>
    </row>
    <row r="213" spans="1:1" x14ac:dyDescent="0.25">
      <c r="A213" t="s">
        <v>1227</v>
      </c>
    </row>
    <row r="214" spans="1:1" x14ac:dyDescent="0.25">
      <c r="A214" t="s">
        <v>1228</v>
      </c>
    </row>
    <row r="215" spans="1:1" x14ac:dyDescent="0.25">
      <c r="A215" t="s">
        <v>1229</v>
      </c>
    </row>
    <row r="216" spans="1:1" x14ac:dyDescent="0.25">
      <c r="A216" t="s">
        <v>1230</v>
      </c>
    </row>
    <row r="217" spans="1:1" x14ac:dyDescent="0.25">
      <c r="A217" t="s">
        <v>1231</v>
      </c>
    </row>
    <row r="218" spans="1:1" x14ac:dyDescent="0.25">
      <c r="A218" t="s">
        <v>1232</v>
      </c>
    </row>
    <row r="219" spans="1:1" x14ac:dyDescent="0.25">
      <c r="A219" t="s">
        <v>1233</v>
      </c>
    </row>
    <row r="220" spans="1:1" x14ac:dyDescent="0.25">
      <c r="A220" t="s">
        <v>1234</v>
      </c>
    </row>
    <row r="221" spans="1:1" x14ac:dyDescent="0.25">
      <c r="A221" t="s">
        <v>1235</v>
      </c>
    </row>
    <row r="222" spans="1:1" x14ac:dyDescent="0.25">
      <c r="A222" t="s">
        <v>1236</v>
      </c>
    </row>
    <row r="223" spans="1:1" x14ac:dyDescent="0.25">
      <c r="A223" t="s">
        <v>1237</v>
      </c>
    </row>
    <row r="224" spans="1:1" x14ac:dyDescent="0.25">
      <c r="A224" t="s">
        <v>1238</v>
      </c>
    </row>
    <row r="225" spans="1:1" x14ac:dyDescent="0.25">
      <c r="A225" t="s">
        <v>1239</v>
      </c>
    </row>
    <row r="226" spans="1:1" x14ac:dyDescent="0.25">
      <c r="A226" t="s">
        <v>1240</v>
      </c>
    </row>
    <row r="227" spans="1:1" x14ac:dyDescent="0.25">
      <c r="A227" t="s">
        <v>1241</v>
      </c>
    </row>
    <row r="228" spans="1:1" x14ac:dyDescent="0.25">
      <c r="A228" t="s">
        <v>1242</v>
      </c>
    </row>
    <row r="229" spans="1:1" x14ac:dyDescent="0.25">
      <c r="A229" t="s">
        <v>1243</v>
      </c>
    </row>
    <row r="230" spans="1:1" x14ac:dyDescent="0.25">
      <c r="A230" t="s">
        <v>1244</v>
      </c>
    </row>
    <row r="231" spans="1:1" x14ac:dyDescent="0.25">
      <c r="A231" t="s">
        <v>1245</v>
      </c>
    </row>
    <row r="232" spans="1:1" x14ac:dyDescent="0.25">
      <c r="A232" t="s">
        <v>1246</v>
      </c>
    </row>
    <row r="233" spans="1:1" x14ac:dyDescent="0.25">
      <c r="A233" t="s">
        <v>1247</v>
      </c>
    </row>
    <row r="234" spans="1:1" x14ac:dyDescent="0.25">
      <c r="A234" t="s">
        <v>1248</v>
      </c>
    </row>
    <row r="235" spans="1:1" x14ac:dyDescent="0.25">
      <c r="A235" t="s">
        <v>1249</v>
      </c>
    </row>
    <row r="236" spans="1:1" x14ac:dyDescent="0.25">
      <c r="A236" t="s">
        <v>1250</v>
      </c>
    </row>
    <row r="237" spans="1:1" x14ac:dyDescent="0.25">
      <c r="A237" t="s">
        <v>1251</v>
      </c>
    </row>
    <row r="238" spans="1:1" x14ac:dyDescent="0.25">
      <c r="A238" t="s">
        <v>1252</v>
      </c>
    </row>
    <row r="239" spans="1:1" x14ac:dyDescent="0.25">
      <c r="A239" t="s">
        <v>1253</v>
      </c>
    </row>
    <row r="240" spans="1:1" x14ac:dyDescent="0.25">
      <c r="A240" t="s">
        <v>1254</v>
      </c>
    </row>
    <row r="241" spans="1:1" x14ac:dyDescent="0.25">
      <c r="A241" t="s">
        <v>1255</v>
      </c>
    </row>
    <row r="242" spans="1:1" x14ac:dyDescent="0.25">
      <c r="A242" t="s">
        <v>1256</v>
      </c>
    </row>
    <row r="243" spans="1:1" x14ac:dyDescent="0.25">
      <c r="A243" t="s">
        <v>1257</v>
      </c>
    </row>
    <row r="244" spans="1:1" x14ac:dyDescent="0.25">
      <c r="A244" t="s">
        <v>1258</v>
      </c>
    </row>
    <row r="245" spans="1:1" x14ac:dyDescent="0.25">
      <c r="A245" t="s">
        <v>1259</v>
      </c>
    </row>
    <row r="246" spans="1:1" x14ac:dyDescent="0.25">
      <c r="A246" t="s">
        <v>1260</v>
      </c>
    </row>
    <row r="247" spans="1:1" x14ac:dyDescent="0.25">
      <c r="A247" t="s">
        <v>1261</v>
      </c>
    </row>
    <row r="248" spans="1:1" x14ac:dyDescent="0.25">
      <c r="A248" t="s">
        <v>1262</v>
      </c>
    </row>
    <row r="249" spans="1:1" x14ac:dyDescent="0.25">
      <c r="A249" t="s">
        <v>1263</v>
      </c>
    </row>
    <row r="250" spans="1:1" x14ac:dyDescent="0.25">
      <c r="A250" t="s">
        <v>1264</v>
      </c>
    </row>
    <row r="251" spans="1:1" x14ac:dyDescent="0.25">
      <c r="A251" t="s">
        <v>1265</v>
      </c>
    </row>
    <row r="252" spans="1:1" x14ac:dyDescent="0.25">
      <c r="A252" t="s">
        <v>1266</v>
      </c>
    </row>
    <row r="253" spans="1:1" x14ac:dyDescent="0.25">
      <c r="A253" t="s">
        <v>1267</v>
      </c>
    </row>
    <row r="254" spans="1:1" x14ac:dyDescent="0.25">
      <c r="A254" t="s">
        <v>1268</v>
      </c>
    </row>
    <row r="255" spans="1:1" x14ac:dyDescent="0.25">
      <c r="A255" t="s">
        <v>1269</v>
      </c>
    </row>
    <row r="256" spans="1:1" x14ac:dyDescent="0.25">
      <c r="A256" t="s">
        <v>1270</v>
      </c>
    </row>
    <row r="257" spans="1:1" x14ac:dyDescent="0.25">
      <c r="A257" t="s">
        <v>1271</v>
      </c>
    </row>
    <row r="258" spans="1:1" x14ac:dyDescent="0.25">
      <c r="A258" t="s">
        <v>1272</v>
      </c>
    </row>
    <row r="259" spans="1:1" x14ac:dyDescent="0.25">
      <c r="A259" t="s">
        <v>1273</v>
      </c>
    </row>
    <row r="260" spans="1:1" x14ac:dyDescent="0.25">
      <c r="A260" t="s">
        <v>1274</v>
      </c>
    </row>
    <row r="261" spans="1:1" x14ac:dyDescent="0.25">
      <c r="A261" t="s">
        <v>1275</v>
      </c>
    </row>
    <row r="262" spans="1:1" x14ac:dyDescent="0.25">
      <c r="A262" t="s">
        <v>1276</v>
      </c>
    </row>
    <row r="263" spans="1:1" x14ac:dyDescent="0.25">
      <c r="A263" t="s">
        <v>1277</v>
      </c>
    </row>
    <row r="264" spans="1:1" x14ac:dyDescent="0.25">
      <c r="A264" t="s">
        <v>1278</v>
      </c>
    </row>
    <row r="265" spans="1:1" x14ac:dyDescent="0.25">
      <c r="A265" t="s">
        <v>1279</v>
      </c>
    </row>
    <row r="266" spans="1:1" x14ac:dyDescent="0.25">
      <c r="A266" t="s">
        <v>1280</v>
      </c>
    </row>
    <row r="267" spans="1:1" x14ac:dyDescent="0.25">
      <c r="A267" t="s">
        <v>1281</v>
      </c>
    </row>
    <row r="268" spans="1:1" x14ac:dyDescent="0.25">
      <c r="A268" t="s">
        <v>1282</v>
      </c>
    </row>
    <row r="269" spans="1:1" x14ac:dyDescent="0.25">
      <c r="A269" t="s">
        <v>1283</v>
      </c>
    </row>
    <row r="270" spans="1:1" x14ac:dyDescent="0.25">
      <c r="A270" t="s">
        <v>1284</v>
      </c>
    </row>
    <row r="271" spans="1:1" x14ac:dyDescent="0.25">
      <c r="A271" t="s">
        <v>1285</v>
      </c>
    </row>
    <row r="272" spans="1:1" x14ac:dyDescent="0.25">
      <c r="A272" t="s">
        <v>1286</v>
      </c>
    </row>
    <row r="273" spans="1:1" x14ac:dyDescent="0.25">
      <c r="A273" t="s">
        <v>1287</v>
      </c>
    </row>
    <row r="274" spans="1:1" x14ac:dyDescent="0.25">
      <c r="A274" t="s">
        <v>1288</v>
      </c>
    </row>
    <row r="275" spans="1:1" x14ac:dyDescent="0.25">
      <c r="A275" t="s">
        <v>1289</v>
      </c>
    </row>
    <row r="276" spans="1:1" x14ac:dyDescent="0.25">
      <c r="A276" t="s">
        <v>1290</v>
      </c>
    </row>
    <row r="277" spans="1:1" x14ac:dyDescent="0.25">
      <c r="A277" t="s">
        <v>1291</v>
      </c>
    </row>
    <row r="278" spans="1:1" x14ac:dyDescent="0.25">
      <c r="A278" t="s">
        <v>1292</v>
      </c>
    </row>
    <row r="279" spans="1:1" x14ac:dyDescent="0.25">
      <c r="A279" t="s">
        <v>1293</v>
      </c>
    </row>
    <row r="280" spans="1:1" x14ac:dyDescent="0.25">
      <c r="A280" t="s">
        <v>1294</v>
      </c>
    </row>
    <row r="281" spans="1:1" x14ac:dyDescent="0.25">
      <c r="A281" t="s">
        <v>1295</v>
      </c>
    </row>
    <row r="282" spans="1:1" x14ac:dyDescent="0.25">
      <c r="A282" t="s">
        <v>1296</v>
      </c>
    </row>
    <row r="283" spans="1:1" x14ac:dyDescent="0.25">
      <c r="A283" t="s">
        <v>1297</v>
      </c>
    </row>
    <row r="284" spans="1:1" x14ac:dyDescent="0.25">
      <c r="A284" t="s">
        <v>1298</v>
      </c>
    </row>
    <row r="285" spans="1:1" x14ac:dyDescent="0.25">
      <c r="A285" t="s">
        <v>1299</v>
      </c>
    </row>
    <row r="286" spans="1:1" x14ac:dyDescent="0.25">
      <c r="A286" t="s">
        <v>1300</v>
      </c>
    </row>
    <row r="287" spans="1:1" x14ac:dyDescent="0.25">
      <c r="A287" t="s">
        <v>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37</vt:i4>
      </vt:variant>
    </vt:vector>
  </HeadingPairs>
  <TitlesOfParts>
    <vt:vector size="40" baseType="lpstr">
      <vt:lpstr>new group adj</vt:lpstr>
      <vt:lpstr>{AR}01</vt:lpstr>
      <vt:lpstr>{PL}PickLst</vt:lpstr>
      <vt:lpstr>db_name</vt:lpstr>
      <vt:lpstr>psApp</vt:lpstr>
      <vt:lpstr>psApplyParam</vt:lpstr>
      <vt:lpstr>psComments</vt:lpstr>
      <vt:lpstr>psControlType</vt:lpstr>
      <vt:lpstr>psDesc</vt:lpstr>
      <vt:lpstr>psGroupAdjType</vt:lpstr>
      <vt:lpstr>psMeasCode</vt:lpstr>
      <vt:lpstr>psReason</vt:lpstr>
      <vt:lpstr>psTitle</vt:lpstr>
      <vt:lpstr>psUser</vt:lpstr>
      <vt:lpstr>TM1AdjIDListCAP</vt:lpstr>
      <vt:lpstr>TM1AdjIDListWB</vt:lpstr>
      <vt:lpstr>TM1AdjIDListWS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'new group adj'!TM1RPTFMTIDCOL</vt:lpstr>
      <vt:lpstr>'new group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2019-04-05T03:30:50Z</dcterms:created>
  <dcterms:modified xsi:type="dcterms:W3CDTF">2025-08-11T02:58:40Z</dcterms:modified>
</cp:coreProperties>
</file>