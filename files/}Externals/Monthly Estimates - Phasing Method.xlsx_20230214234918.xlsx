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activeX/activeX1.xml" ContentType="application/vnd.ms-office.activeX+xml"/>
  <Override PartName="/xl/activeX/activeX2.xml" ContentType="application/vnd.ms-office.activeX+xml"/>
  <Override PartName="/xl/activeX/activeX3.xml" ContentType="application/vnd.ms-office.activeX+xml"/>
  <Override PartName="/xl/activeX/activeX4.xml" ContentType="application/vnd.ms-office.activeX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Excelerated\DCCEEW\1 DCCEEW TECHNICAL\GEUS 2023 TEMPLATES\All 2023 Generic_geus templates\"/>
    </mc:Choice>
  </mc:AlternateContent>
  <xr:revisionPtr revIDLastSave="0" documentId="13_ncr:1_{AD53CBE7-8E9E-4E0D-8367-C3E41A62A60F}" xr6:coauthVersionLast="47" xr6:coauthVersionMax="47" xr10:uidLastSave="{00000000-0000-0000-0000-000000000000}"/>
  <bookViews>
    <workbookView xWindow="57480" yWindow="-1965" windowWidth="29040" windowHeight="15840" xr2:uid="{8AFC5A46-2258-4FFF-8FFA-BC26B5CFF7CE}"/>
  </bookViews>
  <sheets>
    <sheet name="Sheet1" sheetId="1" r:id="rId1"/>
  </sheets>
  <definedNames>
    <definedName name="db_name">Sheet1!$C$11</definedName>
    <definedName name="Freeze_Here">Sheet1!$A$72</definedName>
    <definedName name="RangeName_List">Sheet1!#REF!</definedName>
    <definedName name="TM1MEAccTempCAP">Sheet1!$D$58</definedName>
    <definedName name="TM1MEAccTempWB">Sheet1!$F$58</definedName>
    <definedName name="TM1MEAccTempWS">Sheet1!$H$58</definedName>
    <definedName name="TM1MEBSDataEntryCAP">Sheet1!$D$54</definedName>
    <definedName name="TM1MEBSDataEntryWB">Sheet1!$F$54</definedName>
    <definedName name="TM1MEBSDataEntryWS">Sheet1!$H$54</definedName>
    <definedName name="TM1MECCMapCAP">Sheet1!$D$55</definedName>
    <definedName name="TM1MECCMapWB">Sheet1!$F$55</definedName>
    <definedName name="TM1MECCMapWS">Sheet1!$H$55</definedName>
    <definedName name="TM1MEDataEntryCAP">Sheet1!$D$52</definedName>
    <definedName name="TM1MEDataEntryWB">Sheet1!$F$52</definedName>
    <definedName name="TM1MEDataEntryWS">Sheet1!$H$52</definedName>
    <definedName name="TM1MEGLMapCAP">Sheet1!$D$56</definedName>
    <definedName name="TM1MEGLMapWB">Sheet1!$F$56</definedName>
    <definedName name="TM1MEGLMapWS">Sheet1!$H$56</definedName>
    <definedName name="TM1MEHomeCAP">Sheet1!$D$51</definedName>
    <definedName name="TM1MEHomeWB">Sheet1!$F$51</definedName>
    <definedName name="TM1MEHomeWS">Sheet1!$H$51</definedName>
    <definedName name="TM1MEOSDataEntryCAP">Sheet1!$D$53</definedName>
    <definedName name="TM1MEOSDataEntryWB">Sheet1!$F$53</definedName>
    <definedName name="TM1MEOSDataEntryWS">Sheet1!$H$53</definedName>
    <definedName name="TM1MEPhasingCAP">Sheet1!$D$60</definedName>
    <definedName name="TM1MEPhasingWB">Sheet1!$F$60</definedName>
    <definedName name="TM1MEPhasingWS">Sheet1!$H$60</definedName>
    <definedName name="TM1MESetActualsCAP">Sheet1!$D$59</definedName>
    <definedName name="TM1MESetActualsWB">Sheet1!$F$59</definedName>
    <definedName name="TM1MESetActualsWS">Sheet1!$H$59</definedName>
    <definedName name="TM1MESummaryCAP">Sheet1!$D$57</definedName>
    <definedName name="TM1MESummaryWB">Sheet1!$F$57</definedName>
    <definedName name="TM1MESummaryWS">Sheet1!$H$57</definedName>
    <definedName name="TM1REBUILDOPTION">0</definedName>
    <definedName name="TM1RPTDATARNG1" localSheetId="0">Sheet1!$72:$72</definedName>
    <definedName name="TM1RPTFMTIDCOL" localSheetId="0">Sheet1!$A$1:$A$8</definedName>
    <definedName name="TM1RPTFMTRNG" localSheetId="0">Sheet1!$B$1:$X$8</definedName>
  </definedNames>
  <calcPr calcId="191029" calcMode="manual" calcCompleted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70" i="1" l="1"/>
  <c r="W70" i="1"/>
  <c r="V70" i="1"/>
  <c r="U70" i="1"/>
  <c r="T70" i="1"/>
  <c r="S70" i="1"/>
  <c r="R70" i="1"/>
  <c r="Q70" i="1"/>
  <c r="P70" i="1"/>
  <c r="O70" i="1"/>
  <c r="N70" i="1"/>
  <c r="M70" i="1"/>
  <c r="C37" i="1" a="1"/>
  <c r="C37" i="1"/>
  <c r="C36" i="1" a="1"/>
  <c r="C36" i="1"/>
  <c r="C32" i="1" a="1"/>
  <c r="C32" i="1"/>
  <c r="A5" i="1"/>
  <c r="A4" i="1"/>
  <c r="A3" i="1"/>
  <c r="A2" i="1"/>
  <c r="J72" i="1"/>
  <c r="F72" i="1" a="1"/>
  <c r="F72" i="1"/>
  <c r="M72" i="1" a="1"/>
  <c r="M72" i="1"/>
  <c r="C15" i="1"/>
  <c r="C17" i="1"/>
  <c r="C43" i="1"/>
  <c r="C23" i="1"/>
  <c r="C24" i="1"/>
  <c r="C42" i="1"/>
  <c r="C49" i="1"/>
  <c r="D52" i="1"/>
  <c r="C29" i="1"/>
  <c r="C28" i="1"/>
  <c r="C27" i="1"/>
  <c r="C26" i="1"/>
  <c r="C25" i="1"/>
  <c r="C20" i="1"/>
  <c r="C19" i="1"/>
  <c r="C18" i="1"/>
  <c r="C16" i="1"/>
  <c r="C51" i="1"/>
  <c r="D51" i="1"/>
  <c r="E51" i="1"/>
  <c r="F51" i="1"/>
  <c r="G51" i="1"/>
  <c r="H51" i="1"/>
  <c r="C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12" i="1"/>
  <c r="X72" i="1" a="1"/>
  <c r="X72" i="1"/>
  <c r="W72" i="1" a="1"/>
  <c r="W72" i="1"/>
  <c r="V72" i="1" a="1"/>
  <c r="V72" i="1"/>
  <c r="U72" i="1" a="1"/>
  <c r="U72" i="1"/>
  <c r="T72" i="1" a="1"/>
  <c r="T72" i="1"/>
  <c r="S72" i="1" a="1"/>
  <c r="S72" i="1"/>
  <c r="R72" i="1" a="1"/>
  <c r="R72" i="1"/>
  <c r="Q72" i="1" a="1"/>
  <c r="Q72" i="1"/>
  <c r="P72" i="1" a="1"/>
  <c r="P72" i="1"/>
  <c r="O72" i="1" a="1"/>
  <c r="O72" i="1"/>
  <c r="N72" i="1" a="1"/>
  <c r="N72" i="1"/>
  <c r="K72" i="1" a="1"/>
  <c r="K72" i="1"/>
  <c r="A72" i="1" a="1"/>
  <c r="A7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<sst xmlns="http://schemas.openxmlformats.org/spreadsheetml/2006/main" count="87" uniqueCount="74">
  <si>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</si>
  <si>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</si>
  <si>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</si>
  <si>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</si>
  <si>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</si>
  <si>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</si>
  <si>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</si>
  <si>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</si>
  <si>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</si>
  <si>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Apr</t>
  </si>
  <si>
    <t>May</t>
  </si>
  <si>
    <t>Jun</t>
  </si>
  <si>
    <t>value</t>
  </si>
  <si>
    <t>comment</t>
  </si>
  <si>
    <t>D</t>
  </si>
  <si>
    <t>N</t>
  </si>
  <si>
    <t>[Begin Format Range]</t>
  </si>
  <si>
    <t>[End Format Range]</t>
  </si>
  <si>
    <t>P0</t>
  </si>
  <si>
    <t>AF View</t>
  </si>
  <si>
    <t>Slice View</t>
  </si>
  <si>
    <t>System Variables</t>
  </si>
  <si>
    <t>Database Name</t>
  </si>
  <si>
    <t>Current User</t>
  </si>
  <si>
    <t>}ElementAttributes_variables</t>
  </si>
  <si>
    <t>Cube View</t>
  </si>
  <si>
    <t>headline year</t>
  </si>
  <si>
    <t>headline scenario</t>
  </si>
  <si>
    <t>archive year</t>
  </si>
  <si>
    <t>archive scenario</t>
  </si>
  <si>
    <t>save location</t>
  </si>
  <si>
    <t>ME System Variable</t>
  </si>
  <si>
    <t>ME_headline year</t>
  </si>
  <si>
    <t>ME year</t>
  </si>
  <si>
    <t>ME_period</t>
  </si>
  <si>
    <t>ME_save location</t>
  </si>
  <si>
    <t>ME_Reason Code</t>
  </si>
  <si>
    <t>ME_Journal Title</t>
  </si>
  <si>
    <t>ME Phasing</t>
  </si>
  <si>
    <t>ME - Phasing</t>
  </si>
  <si>
    <t>ME - Set Actual Periods</t>
  </si>
  <si>
    <t>ME - Account Template</t>
  </si>
  <si>
    <t>ME - Summary</t>
  </si>
  <si>
    <t>ME - GL Mapping</t>
  </si>
  <si>
    <t>ME - CC Mapping</t>
  </si>
  <si>
    <t>ME - BS Data Entry</t>
  </si>
  <si>
    <t>ME - OS Data Entry</t>
  </si>
  <si>
    <t>ME - Data Entry</t>
  </si>
  <si>
    <t>ME - Homepage</t>
  </si>
  <si>
    <t>Worksheet</t>
  </si>
  <si>
    <t>Worksheet Name</t>
  </si>
  <si>
    <t>Workbook</t>
  </si>
  <si>
    <t>Workbook Name</t>
  </si>
  <si>
    <t>Caption</t>
  </si>
  <si>
    <t>Caption Name</t>
  </si>
  <si>
    <t>sys_application</t>
  </si>
  <si>
    <t>upload</t>
  </si>
  <si>
    <t>psFFScenario</t>
  </si>
  <si>
    <t>0000B</t>
  </si>
  <si>
    <t>psID</t>
  </si>
  <si>
    <t>psProg</t>
  </si>
  <si>
    <t>psScenario</t>
  </si>
  <si>
    <t>psHLYear</t>
  </si>
  <si>
    <t>Action Button Parameters</t>
  </si>
  <si>
    <t>Monthly Estimates - Phasing</t>
  </si>
  <si>
    <t>Phasing Method</t>
  </si>
  <si>
    <t>Description</t>
  </si>
  <si>
    <t>MDX</t>
  </si>
  <si>
    <t>{TM1FILTERBYLEVEL( {TM1SUBSETALL( [me phasing method] )}, 0)}</t>
  </si>
  <si>
    <t>system</t>
  </si>
  <si>
    <t>Attributes</t>
  </si>
  <si>
    <t>ME phasing method</t>
  </si>
  <si>
    <t>Administered programmes</t>
  </si>
  <si>
    <t>dcceew_geus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</si>
</sst>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.\);_(* &quot;-&quot;??_);_(@_)"/>
  </numFmts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indexed="9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28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00426A"/>
        <bgColor indexed="64"/>
      </patternFill>
    </fill>
    <fill>
      <patternFill patternType="solid">
        <fgColor rgb="FF2C4E7B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4" fillId="0" borderId="0" xfId="0" applyFont="1" applyAlignment="1">
      <alignment horizontal="center"/>
    </xf>
    <xf numFmtId="0" fontId="0" fillId="0" borderId="1" xfId="0" applyBorder="1"/>
    <xf numFmtId="0" fontId="2" fillId="0" borderId="1" xfId="0" applyFont="1" applyBorder="1"/>
    <xf numFmtId="0" fontId="0" fillId="0" borderId="2" xfId="0" applyBorder="1"/>
    <xf numFmtId="0" fontId="0" fillId="0" borderId="1" xfId="0" quotePrefix="1" applyBorder="1"/>
    <xf numFmtId="0" fontId="3" fillId="3" borderId="0" xfId="0" applyFont="1" applyFill="1"/>
    <xf numFmtId="0" fontId="6" fillId="3" borderId="0" xfId="0" applyFont="1" applyFill="1" applyAlignment="1">
      <alignment horizontal="right"/>
    </xf>
    <xf numFmtId="0" fontId="3" fillId="0" borderId="0" xfId="0" applyFont="1"/>
    <xf numFmtId="0" fontId="6" fillId="0" borderId="0" xfId="0" applyFont="1" applyAlignment="1">
      <alignment horizontal="right"/>
    </xf>
    <xf numFmtId="0" fontId="1" fillId="3" borderId="0" xfId="0" applyFont="1" applyFill="1" applyAlignment="1">
      <alignment horizontal="center" wrapText="1"/>
    </xf>
    <xf numFmtId="0" fontId="1" fillId="3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1" fillId="4" borderId="0" xfId="0" applyFont="1" applyFill="1" applyAlignment="1">
      <alignment horizontal="center" vertical="center"/>
    </xf>
    <xf numFmtId="0" fontId="7" fillId="6" borderId="1" xfId="0" applyFont="1" applyFill="1" applyBorder="1"/>
    <xf numFmtId="0" fontId="5" fillId="0" borderId="1" xfId="0" applyFont="1" applyBorder="1" applyProtection="1">
      <protection locked="0"/>
    </xf>
    <xf numFmtId="164" fontId="5" fillId="0" borderId="1" xfId="0" applyNumberFormat="1" applyFont="1" applyBorder="1" applyProtection="1">
      <protection locked="0"/>
    </xf>
    <xf numFmtId="164" fontId="7" fillId="6" borderId="1" xfId="0" applyNumberFormat="1" applyFont="1" applyFill="1" applyBorder="1"/>
    <xf numFmtId="49" fontId="7" fillId="6" borderId="1" xfId="0" applyNumberFormat="1" applyFont="1" applyFill="1" applyBorder="1"/>
    <xf numFmtId="0" fontId="2" fillId="2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</cellXfs>
  <cellStyles count="1">
    <cellStyle name="Normal" xfId="0" builtinId="0"/>
  </cellStyles>
  <dxfs count="1">
    <dxf>
      <font>
        <color theme="1"/>
      </font>
      <fill>
        <patternFill>
          <bgColor theme="0" tint="-0.1499679555650502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DD6E7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activeX/activeX1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4207"/>
  <ax:ocxPr ax:name="_ExtentY" ax:value="741"/>
  <ax:ocxPr ax:name="_StockProps" ax:value="0"/>
  <ax:ocxPr ax:name="ServerName" ax:value="=db_name"/>
  <ax:ocxPr ax:name="ProcessName" ax:value="-- Get Process info from Worksheet --"/>
  <ax:ocxPr ax:name="Name" ax:value=""/>
  <ax:ocxPr ax:name="Type" ax:value=""/>
  <ax:ocxPr ax:name="Value" ax:value=""/>
  <ax:ocxPr ax:name="Prompt" ax:value=""/>
  <ax:ocxPr ax:name="BackColor" ax:value="6963712"/>
  <ax:ocxPr ax:name="ForeColor" ax:value="16777215"/>
  <ax:ocxPr ax:name="Font">
    <ax:font ax:persistence="persistPropertyBag">
      <ax:ocxPr ax:name="Name" ax:value="Calibri"/>
      <ax:ocxPr ax:name="Size" ax:value="9.6"/>
      <ax:ocxPr ax:name="Charset" ax:value="0"/>
      <ax:ocxPr ax:name="Weight" ax:value="700"/>
      <ax:ocxPr ax:name="Underline" ax:value="0"/>
      <ax:ocxPr ax:name="Italic" ax:value="0"/>
      <ax:ocxPr ax:name="Strikethrough" ax:value="0"/>
    </ax:font>
  </ax:ocxPr>
  <ax:ocxPr ax:name="Caption" ax:value="=TM1MEBSDataEntryCAP"/>
  <ax:ocxPr ax:name="UseFormula" ax:value="-1"/>
  <ax:ocxPr ax:name="ProcessNameFormula" ax:value=""/>
  <ax:ocxPr ax:name="ProcessParamFormula" ax:value=""/>
  <ax:ocxPr ax:name="UseImage" ax:value="0"/>
  <ax:ocxPr ax:name="ImageName" ax:value=""/>
  <ax:ocxPr ax:name="AutoRacalc" ax:value="-1"/>
  <ax:ocxPr ax:name="ConfirmMessage" ax:value="Are you sure you want to run this Process?"/>
  <ax:ocxPr ax:name="SuccessMessage" ax:value="Process completed successfully."/>
  <ax:ocxPr ax:name="FailureMessage" ax:value="Process failed."/>
  <ax:ocxPr ax:name="ShowConfirmMessage" ax:value="0"/>
  <ax:ocxPr ax:name="ShowSuccessMessage" ax:value="-1"/>
  <ax:ocxPr ax:name="ShowFailureMessage" ax:value="-1"/>
  <ax:ocxPr ax:name="TargetWorkbookName" ax:value="=TM1MEBSDataEntryWB"/>
  <ax:ocxPr ax:name="TargetWorksheetName" ax:value="=TM1MEBSDataEntryWS"/>
  <ax:ocxPr ax:name="AutoTitles" ax:value="0"/>
  <ax:ocxPr ax:name="ReplaceWindow" ax:value="-1"/>
  <ax:ocxPr ax:name="IsMappingFormula" ax:value="0"/>
  <ax:ocxPr ax:name="TargetTypes" ax:value=""/>
  <ax:ocxPr ax:name="TargetObjects" ax:value=""/>
  <ax:ocxPr ax:name="TargetSubsets" ax:value=""/>
  <ax:ocxPr ax:name="TargetAliases" ax:value=""/>
  <ax:ocxPr ax:name="TargetValues" ax:value=""/>
  <ax:ocxPr ax:name="SourceTypes" ax:value=""/>
  <ax:ocxPr ax:name="SourceObjects" ax:value="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0"/>
  <ax:ocxPr ax:name="DoNavigate" ax:value="-1"/>
  <ax:ocxPr ax:name="UseApporg" ax:value="-1"/>
  <ax:ocxPr ax:name="Version" ax:value="6"/>
  <ax:ocxPr ax:name="PreRecalc" ax:value="1"/>
  <ax:ocxPr ax:name="WorkSheetRecalc" ax:value="2"/>
  <ax:ocxPr ax:name="ProcessRecalc" ax:value="1"/>
  <ax:ocxPr ax:name="DoReCalcOnly" ax:value="0"/>
  <ax:ocxPr ax:name="UseReferenceForServerName" ax:value="-1"/>
  <ax:ocxPr ax:name="ResizeButtonToCaption" ax:value="0"/>
</ax:ocx>
</file>

<file path=xl/activeX/activeX2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4233"/>
  <ax:ocxPr ax:name="_ExtentY" ax:value="741"/>
  <ax:ocxPr ax:name="_StockProps" ax:value="0"/>
  <ax:ocxPr ax:name="ServerName" ax:value="=db_name"/>
  <ax:ocxPr ax:name="ProcessName" ax:value="-- Get Process info from Worksheet --"/>
  <ax:ocxPr ax:name="Name" ax:value=""/>
  <ax:ocxPr ax:name="Type" ax:value=""/>
  <ax:ocxPr ax:name="Value" ax:value=""/>
  <ax:ocxPr ax:name="Prompt" ax:value=""/>
  <ax:ocxPr ax:name="BackColor" ax:value="6963712"/>
  <ax:ocxPr ax:name="ForeColor" ax:value="16777215"/>
  <ax:ocxPr ax:name="Font">
    <ax:font ax:persistence="persistPropertyBag">
      <ax:ocxPr ax:name="Name" ax:value="Calibri"/>
      <ax:ocxPr ax:name="Size" ax:value="9.6"/>
      <ax:ocxPr ax:name="Charset" ax:value="0"/>
      <ax:ocxPr ax:name="Weight" ax:value="700"/>
      <ax:ocxPr ax:name="Underline" ax:value="0"/>
      <ax:ocxPr ax:name="Italic" ax:value="0"/>
      <ax:ocxPr ax:name="Strikethrough" ax:value="0"/>
    </ax:font>
  </ax:ocxPr>
  <ax:ocxPr ax:name="Caption" ax:value="=TM1MEOSDataEntryCAP"/>
  <ax:ocxPr ax:name="UseFormula" ax:value="-1"/>
  <ax:ocxPr ax:name="ProcessNameFormula" ax:value=""/>
  <ax:ocxPr ax:name="ProcessParamFormula" ax:value=""/>
  <ax:ocxPr ax:name="UseImage" ax:value="0"/>
  <ax:ocxPr ax:name="ImageName" ax:value=""/>
  <ax:ocxPr ax:name="AutoRacalc" ax:value="-1"/>
  <ax:ocxPr ax:name="ConfirmMessage" ax:value="Are you sure you want to run this Process?"/>
  <ax:ocxPr ax:name="SuccessMessage" ax:value="Process completed successfully."/>
  <ax:ocxPr ax:name="FailureMessage" ax:value="Process failed."/>
  <ax:ocxPr ax:name="ShowConfirmMessage" ax:value="0"/>
  <ax:ocxPr ax:name="ShowSuccessMessage" ax:value="-1"/>
  <ax:ocxPr ax:name="ShowFailureMessage" ax:value="-1"/>
  <ax:ocxPr ax:name="TargetWorkbookName" ax:value="=TM1MEOSDataEntryWB"/>
  <ax:ocxPr ax:name="TargetWorksheetName" ax:value="=TM1MEOSDataEntryWS"/>
  <ax:ocxPr ax:name="AutoTitles" ax:value="0"/>
  <ax:ocxPr ax:name="ReplaceWindow" ax:value="-1"/>
  <ax:ocxPr ax:name="IsMappingFormula" ax:value="0"/>
  <ax:ocxPr ax:name="TargetTypes" ax:value=""/>
  <ax:ocxPr ax:name="TargetObjects" ax:value=""/>
  <ax:ocxPr ax:name="TargetSubsets" ax:value=""/>
  <ax:ocxPr ax:name="TargetAliases" ax:value=""/>
  <ax:ocxPr ax:name="TargetValues" ax:value=""/>
  <ax:ocxPr ax:name="SourceTypes" ax:value=""/>
  <ax:ocxPr ax:name="SourceObjects" ax:value="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0"/>
  <ax:ocxPr ax:name="DoNavigate" ax:value="-1"/>
  <ax:ocxPr ax:name="UseApporg" ax:value="-1"/>
  <ax:ocxPr ax:name="Version" ax:value="6"/>
  <ax:ocxPr ax:name="PreRecalc" ax:value="1"/>
  <ax:ocxPr ax:name="WorkSheetRecalc" ax:value="2"/>
  <ax:ocxPr ax:name="ProcessRecalc" ax:value="1"/>
  <ax:ocxPr ax:name="DoReCalcOnly" ax:value="0"/>
  <ax:ocxPr ax:name="UseReferenceForServerName" ax:value="-1"/>
  <ax:ocxPr ax:name="ResizeButtonToCaption" ax:value="0"/>
</ax:ocx>
</file>

<file path=xl/activeX/activeX3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1720"/>
  <ax:ocxPr ax:name="_ExtentY" ax:value="741"/>
  <ax:ocxPr ax:name="_StockProps" ax:value="0"/>
  <ax:ocxPr ax:name="ServerName" ax:value="=db_name"/>
  <ax:ocxPr ax:name="ProcessName" ax:value="-- Get Process info from Worksheet --"/>
  <ax:ocxPr ax:name="Name" ax:value=""/>
  <ax:ocxPr ax:name="Type" ax:value=""/>
  <ax:ocxPr ax:name="Value" ax:value=""/>
  <ax:ocxPr ax:name="Prompt" ax:value=""/>
  <ax:ocxPr ax:name="BackColor" ax:value="6963712"/>
  <ax:ocxPr ax:name="ForeColor" ax:value="16777215"/>
  <ax:ocxPr ax:name="Font">
    <ax:font ax:persistence="persistPropertyBag">
      <ax:ocxPr ax:name="Name" ax:value="Calibri"/>
      <ax:ocxPr ax:name="Size" ax:value="9.6"/>
      <ax:ocxPr ax:name="Charset" ax:value="0"/>
      <ax:ocxPr ax:name="Weight" ax:value="700"/>
      <ax:ocxPr ax:name="Underline" ax:value="0"/>
      <ax:ocxPr ax:name="Italic" ax:value="0"/>
      <ax:ocxPr ax:name="Strikethrough" ax:value="0"/>
    </ax:font>
  </ax:ocxPr>
  <ax:ocxPr ax:name="Caption" ax:value="=TM1MEHomeCAP"/>
  <ax:ocxPr ax:name="UseFormula" ax:value="-1"/>
  <ax:ocxPr ax:name="ProcessNameFormula" ax:value=""/>
  <ax:ocxPr ax:name="ProcessParamFormula" ax:value=""/>
  <ax:ocxPr ax:name="UseImage" ax:value="0"/>
  <ax:ocxPr ax:name="ImageName" ax:value=""/>
  <ax:ocxPr ax:name="AutoRacalc" ax:value="-1"/>
  <ax:ocxPr ax:name="ConfirmMessage" ax:value="Are you sure you want to run this Process?"/>
  <ax:ocxPr ax:name="SuccessMessage" ax:value="Process completed successfully."/>
  <ax:ocxPr ax:name="FailureMessage" ax:value="Process failed."/>
  <ax:ocxPr ax:name="ShowConfirmMessage" ax:value="0"/>
  <ax:ocxPr ax:name="ShowSuccessMessage" ax:value="-1"/>
  <ax:ocxPr ax:name="ShowFailureMessage" ax:value="-1"/>
  <ax:ocxPr ax:name="TargetWorkbookName" ax:value="=TM1MEHomeWB"/>
  <ax:ocxPr ax:name="TargetWorksheetName" ax:value="=TM1MEHomeWS"/>
  <ax:ocxPr ax:name="AutoTitles" ax:value="0"/>
  <ax:ocxPr ax:name="ReplaceWindow" ax:value="-1"/>
  <ax:ocxPr ax:name="IsMappingFormula" ax:value="0"/>
  <ax:ocxPr ax:name="TargetTypes" ax:value=""/>
  <ax:ocxPr ax:name="TargetObjects" ax:value=""/>
  <ax:ocxPr ax:name="TargetSubsets" ax:value=""/>
  <ax:ocxPr ax:name="TargetAliases" ax:value=""/>
  <ax:ocxPr ax:name="TargetValues" ax:value=""/>
  <ax:ocxPr ax:name="SourceTypes" ax:value=""/>
  <ax:ocxPr ax:name="SourceObjects" ax:value="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0"/>
  <ax:ocxPr ax:name="DoNavigate" ax:value="-1"/>
  <ax:ocxPr ax:name="UseApporg" ax:value="-1"/>
  <ax:ocxPr ax:name="Version" ax:value="6"/>
  <ax:ocxPr ax:name="PreRecalc" ax:value="1"/>
  <ax:ocxPr ax:name="WorkSheetRecalc" ax:value="2"/>
  <ax:ocxPr ax:name="ProcessRecalc" ax:value="1"/>
  <ax:ocxPr ax:name="DoReCalcOnly" ax:value="0"/>
  <ax:ocxPr ax:name="UseReferenceForServerName" ax:value="-1"/>
  <ax:ocxPr ax:name="ResizeButtonToCaption" ax:value="0"/>
</ax:ocx>
</file>

<file path=xl/activeX/activeX4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1958"/>
  <ax:ocxPr ax:name="_ExtentY" ax:value="714"/>
  <ax:ocxPr ax:name="_StockProps" ax:value="0"/>
  <ax:ocxPr ax:name="ServerName" ax:value="=db_name"/>
  <ax:ocxPr ax:name="ProcessName" ax:value="-- Get Process info from Worksheet --"/>
  <ax:ocxPr ax:name="Name" ax:value=""/>
  <ax:ocxPr ax:name="Type" ax:value=""/>
  <ax:ocxPr ax:name="Value" ax:value=""/>
  <ax:ocxPr ax:name="Prompt" ax:value=""/>
  <ax:ocxPr ax:name="BackColor" ax:value="5991424"/>
  <ax:ocxPr ax:name="ForeColor" ax:value="16777215"/>
  <ax:ocxPr ax:name="Font">
    <ax:font ax:persistence="persistPropertyBag">
      <ax:ocxPr ax:name="Name" ax:value="Calibri"/>
      <ax:ocxPr ax:name="Size" ax:value="9.6"/>
      <ax:ocxPr ax:name="Charset" ax:value="0"/>
      <ax:ocxPr ax:name="Weight" ax:value="700"/>
      <ax:ocxPr ax:name="Underline" ax:value="0"/>
      <ax:ocxPr ax:name="Italic" ax:value="0"/>
      <ax:ocxPr ax:name="Strikethrough" ax:value="0"/>
    </ax:font>
  </ax:ocxPr>
  <ax:ocxPr ax:name="Caption" ax:value="Refresh"/>
  <ax:ocxPr ax:name="UseFormula" ax:value="-1"/>
  <ax:ocxPr ax:name="ProcessNameFormula" ax:value=""/>
  <ax:ocxPr ax:name="ProcessParamFormula" ax:value=""/>
  <ax:ocxPr ax:name="UseImage" ax:value="0"/>
  <ax:ocxPr ax:name="ImageName" ax:value=""/>
  <ax:ocxPr ax:name="AutoRacalc" ax:value="-1"/>
  <ax:ocxPr ax:name="ConfirmMessage" ax:value="Are you sure you want to run this Process?"/>
  <ax:ocxPr ax:name="SuccessMessage" ax:value="Process completed successfully."/>
  <ax:ocxPr ax:name="FailureMessage" ax:value="Process failed."/>
  <ax:ocxPr ax:name="ShowConfirmMessage" ax:value="0"/>
  <ax:ocxPr ax:name="ShowSuccessMessage" ax:value="-1"/>
  <ax:ocxPr ax:name="ShowFailureMessage" ax:value="-1"/>
  <ax:ocxPr ax:name="TargetWorkbookName" ax:value=""/>
  <ax:ocxPr ax:name="TargetWorksheetName" ax:value=""/>
  <ax:ocxPr ax:name="AutoTitles" ax:value="-1"/>
  <ax:ocxPr ax:name="ReplaceWindow" ax:value="0"/>
  <ax:ocxPr ax:name="IsMappingFormula" ax:value="0"/>
  <ax:ocxPr ax:name="TargetTypes" ax:value=""/>
  <ax:ocxPr ax:name="TargetObjects" ax:value=""/>
  <ax:ocxPr ax:name="TargetSubsets" ax:value=""/>
  <ax:ocxPr ax:name="TargetAliases" ax:value=""/>
  <ax:ocxPr ax:name="TargetValues" ax:value=""/>
  <ax:ocxPr ax:name="SourceTypes" ax:value=""/>
  <ax:ocxPr ax:name="SourceObjects" ax:value="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0"/>
  <ax:ocxPr ax:name="DoNavigate" ax:value="0"/>
  <ax:ocxPr ax:name="UseApporg" ax:value="-1"/>
  <ax:ocxPr ax:name="Version" ax:value="6"/>
  <ax:ocxPr ax:name="PreRecalc" ax:value="2"/>
  <ax:ocxPr ax:name="WorkSheetRecalc" ax:value="2"/>
  <ax:ocxPr ax:name="ProcessRecalc" ax:value="1"/>
  <ax:ocxPr ax:name="DoReCalcOnly" ax:value="-1"/>
  <ax:ocxPr ax:name="UseReferenceForServerName" ax:value="-1"/>
  <ax:ocxPr ax:name="ResizeButtonToCaption" ax:value="0"/>
</ax:ocx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2.emf"/><Relationship Id="rId2" Type="http://schemas.openxmlformats.org/officeDocument/2006/relationships/image" Target="../media/image4.emf"/><Relationship Id="rId1" Type="http://schemas.openxmlformats.org/officeDocument/2006/relationships/image" Target="../media/image3.emf"/><Relationship Id="rId4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65</xdr:row>
      <xdr:rowOff>0</xdr:rowOff>
    </xdr:from>
    <xdr:to>
      <xdr:col>10</xdr:col>
      <xdr:colOff>110490</xdr:colOff>
      <xdr:row>66</xdr:row>
      <xdr:rowOff>15240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000000"/>
            </a:clrFrom>
            <a:clrTo>
              <a:srgbClr val="000000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86575" y="11210925"/>
          <a:ext cx="1847850" cy="470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7620</xdr:colOff>
          <xdr:row>67</xdr:row>
          <xdr:rowOff>22860</xdr:rowOff>
        </xdr:from>
        <xdr:to>
          <xdr:col>9</xdr:col>
          <xdr:colOff>632460</xdr:colOff>
          <xdr:row>67</xdr:row>
          <xdr:rowOff>289560</xdr:rowOff>
        </xdr:to>
        <xdr:sp macro="" textlink="">
          <xdr:nvSpPr>
            <xdr:cNvPr id="1025" name="TIButton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335280</xdr:colOff>
          <xdr:row>67</xdr:row>
          <xdr:rowOff>22860</xdr:rowOff>
        </xdr:from>
        <xdr:to>
          <xdr:col>12</xdr:col>
          <xdr:colOff>1036320</xdr:colOff>
          <xdr:row>67</xdr:row>
          <xdr:rowOff>274320</xdr:rowOff>
        </xdr:to>
        <xdr:sp macro="" textlink="">
          <xdr:nvSpPr>
            <xdr:cNvPr id="1026" name="TIButton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647700</xdr:colOff>
          <xdr:row>67</xdr:row>
          <xdr:rowOff>22860</xdr:rowOff>
        </xdr:from>
        <xdr:to>
          <xdr:col>10</xdr:col>
          <xdr:colOff>441960</xdr:colOff>
          <xdr:row>67</xdr:row>
          <xdr:rowOff>289560</xdr:rowOff>
        </xdr:to>
        <xdr:sp macro="" textlink="">
          <xdr:nvSpPr>
            <xdr:cNvPr id="1027" name="TIButton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464820</xdr:colOff>
          <xdr:row>67</xdr:row>
          <xdr:rowOff>22860</xdr:rowOff>
        </xdr:from>
        <xdr:to>
          <xdr:col>12</xdr:col>
          <xdr:colOff>297180</xdr:colOff>
          <xdr:row>67</xdr:row>
          <xdr:rowOff>289560</xdr:rowOff>
        </xdr:to>
        <xdr:sp macro="" textlink="">
          <xdr:nvSpPr>
            <xdr:cNvPr id="1029" name="TIButton4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emf"/><Relationship Id="rId3" Type="http://schemas.openxmlformats.org/officeDocument/2006/relationships/control" Target="../activeX/activeX1.xml"/><Relationship Id="rId7" Type="http://schemas.openxmlformats.org/officeDocument/2006/relationships/control" Target="../activeX/activeX3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6" Type="http://schemas.openxmlformats.org/officeDocument/2006/relationships/image" Target="../media/image2.emf"/><Relationship Id="rId5" Type="http://schemas.openxmlformats.org/officeDocument/2006/relationships/control" Target="../activeX/activeX2.xml"/><Relationship Id="rId10" Type="http://schemas.openxmlformats.org/officeDocument/2006/relationships/image" Target="../media/image4.emf"/><Relationship Id="rId4" Type="http://schemas.openxmlformats.org/officeDocument/2006/relationships/image" Target="../media/image1.emf"/><Relationship Id="rId9" Type="http://schemas.openxmlformats.org/officeDocument/2006/relationships/control" Target="../activeX/activeX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7AE7D-1A65-4310-8397-B51AAED73536}">
  <sheetPr codeName="Sheet1">
    <outlinePr showOutlineSymbols="0"/>
  </sheetPr>
  <dimension ref="A1:X72"/>
  <sheetViews>
    <sheetView showGridLines="0" showRowColHeaders="0" tabSelected="1" showOutlineSymbols="0" workbookViewId="0">
      <pane xSplit="12" ySplit="71" topLeftCell="M72" activePane="bottomRight" state="frozen"/>
      <selection activeCell="I1" sqref="I1"/>
      <selection pane="topRight" activeCell="M1" sqref="M1"/>
      <selection pane="bottomLeft" activeCell="I72" sqref="I72"/>
      <selection pane="bottomRight" activeCell="A72" sqref="A72"/>
    </sheetView>
  </sheetViews>
  <sheetFormatPr defaultRowHeight="14.4" outlineLevelRow="1" outlineLevelCol="1" x14ac:dyDescent="0.3"/>
  <cols>
    <col min="1" max="1" width="3.6640625" hidden="1" customWidth="1" outlineLevel="1"/>
    <col min="2" max="2" width="31.33203125" hidden="1" customWidth="1" outlineLevel="1"/>
    <col min="3" max="3" width="25.6640625" hidden="1" customWidth="1" outlineLevel="1"/>
    <col min="4" max="4" width="9.109375" hidden="1" customWidth="1" outlineLevel="1"/>
    <col min="5" max="5" width="17.33203125" hidden="1" customWidth="1" outlineLevel="1"/>
    <col min="6" max="6" width="9.109375" hidden="1" customWidth="1" outlineLevel="1"/>
    <col min="7" max="7" width="5.6640625" hidden="1" customWidth="1" outlineLevel="1"/>
    <col min="8" max="8" width="9.109375" hidden="1" customWidth="1" outlineLevel="1"/>
    <col min="9" max="9" width="0.88671875" customWidth="1" collapsed="1"/>
    <col min="10" max="10" width="25.33203125" customWidth="1"/>
    <col min="11" max="11" width="23.6640625" customWidth="1"/>
    <col min="12" max="12" width="0.88671875" customWidth="1"/>
    <col min="13" max="24" width="15.6640625" customWidth="1"/>
  </cols>
  <sheetData>
    <row r="1" spans="1:24" ht="3" customHeight="1" x14ac:dyDescent="0.3">
      <c r="A1" t="s">
        <v>16</v>
      </c>
    </row>
    <row r="2" spans="1:24" hidden="1" outlineLevel="1" x14ac:dyDescent="0.3">
      <c r="A2">
        <f>0</f>
        <v>0</v>
      </c>
      <c r="J2" s="14"/>
      <c r="K2" s="15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7"/>
    </row>
    <row r="3" spans="1:24" hidden="1" outlineLevel="1" x14ac:dyDescent="0.3">
      <c r="A3">
        <f>1</f>
        <v>1</v>
      </c>
      <c r="J3" s="14"/>
      <c r="K3" s="15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7"/>
    </row>
    <row r="4" spans="1:24" hidden="1" outlineLevel="1" x14ac:dyDescent="0.3">
      <c r="A4">
        <f>2</f>
        <v>2</v>
      </c>
      <c r="J4" s="14"/>
      <c r="K4" s="15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7"/>
    </row>
    <row r="5" spans="1:24" hidden="1" outlineLevel="1" x14ac:dyDescent="0.3">
      <c r="A5">
        <f>3</f>
        <v>3</v>
      </c>
      <c r="J5" s="14"/>
      <c r="K5" s="15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7"/>
    </row>
    <row r="6" spans="1:24" hidden="1" outlineLevel="1" x14ac:dyDescent="0.3">
      <c r="A6" t="s">
        <v>14</v>
      </c>
      <c r="J6" s="14"/>
      <c r="K6" s="15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7"/>
    </row>
    <row r="7" spans="1:24" hidden="1" outlineLevel="1" x14ac:dyDescent="0.3">
      <c r="A7" t="s">
        <v>15</v>
      </c>
      <c r="J7" s="14"/>
      <c r="K7" s="15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7"/>
    </row>
    <row r="8" spans="1:24" hidden="1" outlineLevel="1" x14ac:dyDescent="0.3">
      <c r="A8" t="s">
        <v>17</v>
      </c>
    </row>
    <row r="9" spans="1:24" hidden="1" outlineLevel="1" x14ac:dyDescent="0.3"/>
    <row r="10" spans="1:24" hidden="1" outlineLevel="1" x14ac:dyDescent="0.3">
      <c r="B10" s="19" t="s">
        <v>21</v>
      </c>
      <c r="C10" s="19"/>
    </row>
    <row r="11" spans="1:24" hidden="1" outlineLevel="1" x14ac:dyDescent="0.3">
      <c r="B11" s="2" t="s">
        <v>22</v>
      </c>
      <c r="C11" s="2" t="s">
        <v>73</v>
      </c>
    </row>
    <row r="12" spans="1:24" hidden="1" outlineLevel="1" x14ac:dyDescent="0.3">
      <c r="B12" s="2" t="s">
        <v>23</v>
      </c>
      <c r="C12" s="2" t="str">
        <f ca="1">_xll.TM1USER(db_name)</f>
        <v/>
      </c>
    </row>
    <row r="13" spans="1:24" hidden="1" outlineLevel="1" x14ac:dyDescent="0.3"/>
    <row r="14" spans="1:24" hidden="1" outlineLevel="1" x14ac:dyDescent="0.3">
      <c r="B14" s="19" t="s">
        <v>24</v>
      </c>
      <c r="C14" s="19"/>
    </row>
    <row r="15" spans="1:24" hidden="1" outlineLevel="1" x14ac:dyDescent="0.3">
      <c r="B15" s="2" t="s">
        <v>25</v>
      </c>
      <c r="C15" s="2" t="str">
        <f ca="1">_xll.VIEW(db_name&amp;":}ElementAttributes_variables","!","!")</f>
        <v>dcceew_geus:}ElementAttributes_variables</v>
      </c>
    </row>
    <row r="16" spans="1:24" hidden="1" outlineLevel="1" x14ac:dyDescent="0.3">
      <c r="B16" s="2" t="s">
        <v>26</v>
      </c>
      <c r="C16" s="2" t="str">
        <f ca="1">_xll.DBR($C$15,$B16,"value")</f>
        <v>*KEY_ERR</v>
      </c>
    </row>
    <row r="17" spans="2:4" hidden="1" outlineLevel="1" x14ac:dyDescent="0.3">
      <c r="B17" s="2" t="s">
        <v>27</v>
      </c>
      <c r="C17" s="2" t="str">
        <f ca="1">_xll.DBR($C$15,$B17,"value")</f>
        <v>*KEY_ERR</v>
      </c>
    </row>
    <row r="18" spans="2:4" hidden="1" outlineLevel="1" x14ac:dyDescent="0.3">
      <c r="B18" s="2" t="s">
        <v>28</v>
      </c>
      <c r="C18" s="2" t="str">
        <f ca="1">_xll.DBR($C$15,$B18,"value")</f>
        <v>*KEY_ERR</v>
      </c>
    </row>
    <row r="19" spans="2:4" hidden="1" outlineLevel="1" x14ac:dyDescent="0.3">
      <c r="B19" s="2" t="s">
        <v>29</v>
      </c>
      <c r="C19" s="2" t="str">
        <f ca="1">_xll.DBR($C$15,$B19,"value")</f>
        <v>*KEY_ERR</v>
      </c>
    </row>
    <row r="20" spans="2:4" hidden="1" outlineLevel="1" x14ac:dyDescent="0.3">
      <c r="B20" s="2" t="s">
        <v>30</v>
      </c>
      <c r="C20" s="2" t="str">
        <f ca="1">_xll.DBR($C$15,$B20,"value")</f>
        <v>*KEY_ERR</v>
      </c>
    </row>
    <row r="21" spans="2:4" hidden="1" outlineLevel="1" x14ac:dyDescent="0.3"/>
    <row r="22" spans="2:4" hidden="1" outlineLevel="1" x14ac:dyDescent="0.3">
      <c r="B22" s="19" t="s">
        <v>31</v>
      </c>
      <c r="C22" s="19"/>
    </row>
    <row r="23" spans="2:4" ht="14.25" hidden="1" customHeight="1" outlineLevel="1" x14ac:dyDescent="0.3">
      <c r="B23" s="2" t="s">
        <v>25</v>
      </c>
      <c r="C23" s="2" t="str">
        <f ca="1">_xll.VIEW(db_name&amp;":sys_ME variable","!","!")</f>
        <v>dcceew_geus:sys_ME variable</v>
      </c>
    </row>
    <row r="24" spans="2:4" hidden="1" outlineLevel="1" x14ac:dyDescent="0.3">
      <c r="B24" s="2" t="s">
        <v>32</v>
      </c>
      <c r="C24" s="2" t="str">
        <f ca="1">_xll.DBR($C$23,$B24,"value")</f>
        <v>*KEY_ERR</v>
      </c>
    </row>
    <row r="25" spans="2:4" hidden="1" outlineLevel="1" x14ac:dyDescent="0.3">
      <c r="B25" s="2" t="s">
        <v>33</v>
      </c>
      <c r="C25" s="2" t="str">
        <f ca="1">_xll.DBR($C$23,$B25,"value")</f>
        <v>*KEY_ERR</v>
      </c>
    </row>
    <row r="26" spans="2:4" hidden="1" outlineLevel="1" x14ac:dyDescent="0.3">
      <c r="B26" s="2" t="s">
        <v>34</v>
      </c>
      <c r="C26" s="2" t="str">
        <f ca="1">_xll.DBR($C$23,$B26,"value")</f>
        <v>*KEY_ERR</v>
      </c>
    </row>
    <row r="27" spans="2:4" hidden="1" outlineLevel="1" x14ac:dyDescent="0.3">
      <c r="B27" s="2" t="s">
        <v>35</v>
      </c>
      <c r="C27" s="2" t="str">
        <f ca="1">_xll.DBR($C$23,$B27,"value")</f>
        <v>*KEY_ERR</v>
      </c>
    </row>
    <row r="28" spans="2:4" hidden="1" outlineLevel="1" x14ac:dyDescent="0.3">
      <c r="B28" s="2" t="s">
        <v>36</v>
      </c>
      <c r="C28" s="2" t="str">
        <f ca="1">_xll.DBR($C$23,$B28,"value")</f>
        <v>*KEY_ERR</v>
      </c>
    </row>
    <row r="29" spans="2:4" hidden="1" outlineLevel="1" x14ac:dyDescent="0.3">
      <c r="B29" s="2" t="s">
        <v>37</v>
      </c>
      <c r="C29" s="2" t="str">
        <f ca="1">_xll.DBR($C$23,$B29,"value")</f>
        <v>*KEY_ERR</v>
      </c>
    </row>
    <row r="30" spans="2:4" hidden="1" outlineLevel="1" x14ac:dyDescent="0.3"/>
    <row r="31" spans="2:4" hidden="1" outlineLevel="1" x14ac:dyDescent="0.3">
      <c r="B31" s="20" t="s">
        <v>70</v>
      </c>
      <c r="C31" s="20"/>
      <c r="D31" s="20"/>
    </row>
    <row r="32" spans="2:4" hidden="1" outlineLevel="1" x14ac:dyDescent="0.3">
      <c r="B32" s="2" t="s">
        <v>71</v>
      </c>
      <c r="C32" s="2" t="str" cm="1">
        <f t="array" aca="1" ref="C32" ca="1">_xll.VIEW(db_name&amp;":}ElementAttributes_"&amp;$B32,"!","!")</f>
        <v>dcceew_geus:}ElementAttributes_ME phasing method</v>
      </c>
      <c r="D32" s="2"/>
    </row>
    <row r="33" spans="2:3" hidden="1" outlineLevel="1" x14ac:dyDescent="0.3"/>
    <row r="34" spans="2:3" hidden="1" outlineLevel="1" x14ac:dyDescent="0.3"/>
    <row r="35" spans="2:3" hidden="1" outlineLevel="1" x14ac:dyDescent="0.3">
      <c r="B35" s="19" t="s">
        <v>38</v>
      </c>
      <c r="C35" s="19"/>
    </row>
    <row r="36" spans="2:3" hidden="1" outlineLevel="1" x14ac:dyDescent="0.3">
      <c r="B36" t="s">
        <v>19</v>
      </c>
      <c r="C36" t="str">
        <f t="array" aca="1" ref="C36" ca="1">_xll.TM1RPTVIEW(db_name&amp;":ME phasing method:1", 0,TM1RPTFMTRNG,TM1RPTFMTIDCOL)</f>
        <v>dcceew_geus:ME phasing method:1</v>
      </c>
    </row>
    <row r="37" spans="2:3" hidden="1" outlineLevel="1" x14ac:dyDescent="0.3">
      <c r="B37" t="s">
        <v>20</v>
      </c>
      <c r="C37" t="str">
        <f t="array" aca="1" ref="C37" ca="1">_xll.VIEW(db_name&amp;":ME phasing method","!","!","!")</f>
        <v>dcceew_geus:ME phasing method</v>
      </c>
    </row>
    <row r="38" spans="2:3" hidden="1" outlineLevel="1" x14ac:dyDescent="0.3">
      <c r="B38" t="s">
        <v>67</v>
      </c>
      <c r="C38" t="s">
        <v>68</v>
      </c>
    </row>
    <row r="39" spans="2:3" hidden="1" outlineLevel="1" x14ac:dyDescent="0.3"/>
    <row r="40" spans="2:3" hidden="1" outlineLevel="1" x14ac:dyDescent="0.3"/>
    <row r="41" spans="2:3" hidden="1" outlineLevel="1" x14ac:dyDescent="0.3">
      <c r="B41" s="19" t="s">
        <v>63</v>
      </c>
      <c r="C41" s="19"/>
    </row>
    <row r="42" spans="2:3" hidden="1" outlineLevel="1" x14ac:dyDescent="0.3">
      <c r="B42" s="2" t="s">
        <v>62</v>
      </c>
      <c r="C42" s="2" t="str">
        <f ca="1">$C$24</f>
        <v>*KEY_ERR</v>
      </c>
    </row>
    <row r="43" spans="2:3" hidden="1" outlineLevel="1" x14ac:dyDescent="0.3">
      <c r="B43" s="2" t="s">
        <v>61</v>
      </c>
      <c r="C43" s="2" t="str">
        <f ca="1">C17</f>
        <v>*KEY_ERR</v>
      </c>
    </row>
    <row r="44" spans="2:3" hidden="1" outlineLevel="1" x14ac:dyDescent="0.3">
      <c r="B44" s="2" t="s">
        <v>60</v>
      </c>
      <c r="C44" s="2" t="s">
        <v>72</v>
      </c>
    </row>
    <row r="45" spans="2:3" hidden="1" outlineLevel="1" x14ac:dyDescent="0.3">
      <c r="B45" s="2" t="s">
        <v>59</v>
      </c>
      <c r="C45" s="5" t="s">
        <v>58</v>
      </c>
    </row>
    <row r="46" spans="2:3" hidden="1" outlineLevel="1" x14ac:dyDescent="0.3">
      <c r="B46" s="2" t="s">
        <v>57</v>
      </c>
      <c r="C46" s="2" t="s">
        <v>56</v>
      </c>
    </row>
    <row r="47" spans="2:3" hidden="1" outlineLevel="1" x14ac:dyDescent="0.3"/>
    <row r="48" spans="2:3" hidden="1" outlineLevel="1" x14ac:dyDescent="0.3">
      <c r="B48" s="19" t="s">
        <v>55</v>
      </c>
      <c r="C48" s="19"/>
    </row>
    <row r="49" spans="2:24" hidden="1" outlineLevel="1" x14ac:dyDescent="0.3">
      <c r="B49" s="4" t="s">
        <v>25</v>
      </c>
      <c r="C49" s="4" t="str">
        <f ca="1">_xll.VIEW(db_name&amp;":sys_application","!","!")</f>
        <v>dcceew_geus:sys_application</v>
      </c>
    </row>
    <row r="50" spans="2:24" hidden="1" outlineLevel="1" x14ac:dyDescent="0.3">
      <c r="B50" s="2"/>
      <c r="C50" s="3" t="s">
        <v>54</v>
      </c>
      <c r="D50" s="3" t="s">
        <v>53</v>
      </c>
      <c r="E50" s="3" t="s">
        <v>52</v>
      </c>
      <c r="F50" s="3" t="s">
        <v>51</v>
      </c>
      <c r="G50" s="3" t="s">
        <v>50</v>
      </c>
      <c r="H50" s="3" t="s">
        <v>49</v>
      </c>
    </row>
    <row r="51" spans="2:24" hidden="1" outlineLevel="1" x14ac:dyDescent="0.3">
      <c r="B51" s="2" t="s">
        <v>48</v>
      </c>
      <c r="C51" s="2" t="str">
        <f ca="1">_xll.DBR($C$49,$B51,C$50)</f>
        <v>*KEY_ERR</v>
      </c>
      <c r="D51" s="2" t="str">
        <f ca="1">_xll.DBR($C$49,$B51,D$50)</f>
        <v>*KEY_ERR</v>
      </c>
      <c r="E51" s="2" t="str">
        <f ca="1">_xll.DBR($C$49,$B51,E$50)</f>
        <v>*KEY_ERR</v>
      </c>
      <c r="F51" s="2" t="str">
        <f ca="1">_xll.DBR($C$49,$B51,F$50)</f>
        <v>*KEY_ERR</v>
      </c>
      <c r="G51" s="2" t="str">
        <f ca="1">_xll.DBR($C$49,$B51,G$50)</f>
        <v>*KEY_ERR</v>
      </c>
      <c r="H51" s="2" t="str">
        <f ca="1">_xll.DBR($C$49,$B51,H$50)</f>
        <v>*KEY_ERR</v>
      </c>
    </row>
    <row r="52" spans="2:24" hidden="1" outlineLevel="1" x14ac:dyDescent="0.3">
      <c r="B52" s="2" t="s">
        <v>47</v>
      </c>
      <c r="C52" s="2" t="str">
        <f ca="1">_xll.DBR($C$49,$B52,C$50)</f>
        <v>*KEY_ERR</v>
      </c>
      <c r="D52" s="2" t="str">
        <f ca="1">_xll.DBR($C$49,$B52,D$50)</f>
        <v>*KEY_ERR</v>
      </c>
      <c r="E52" s="2" t="str">
        <f ca="1">_xll.DBR($C$49,$B52,E$50)</f>
        <v>*KEY_ERR</v>
      </c>
      <c r="F52" s="2" t="str">
        <f ca="1">_xll.DBR($C$49,$B52,F$50)</f>
        <v>*KEY_ERR</v>
      </c>
      <c r="G52" s="2" t="str">
        <f ca="1">_xll.DBR($C$49,$B52,G$50)</f>
        <v>*KEY_ERR</v>
      </c>
      <c r="H52" s="2" t="str">
        <f ca="1">_xll.DBR($C$49,$B52,H$50)</f>
        <v>*KEY_ERR</v>
      </c>
    </row>
    <row r="53" spans="2:24" hidden="1" outlineLevel="1" x14ac:dyDescent="0.3">
      <c r="B53" s="2" t="s">
        <v>46</v>
      </c>
      <c r="C53" s="2" t="str">
        <f ca="1">_xll.DBR($C$49,$B53,C$50)</f>
        <v>*KEY_ERR</v>
      </c>
      <c r="D53" s="2" t="str">
        <f ca="1">_xll.DBR($C$49,$B53,D$50)</f>
        <v>*KEY_ERR</v>
      </c>
      <c r="E53" s="2" t="str">
        <f ca="1">_xll.DBR($C$49,$B53,E$50)</f>
        <v>*KEY_ERR</v>
      </c>
      <c r="F53" s="2" t="str">
        <f ca="1">_xll.DBR($C$49,$B53,F$50)</f>
        <v>*KEY_ERR</v>
      </c>
      <c r="G53" s="2" t="str">
        <f ca="1">_xll.DBR($C$49,$B53,G$50)</f>
        <v>*KEY_ERR</v>
      </c>
      <c r="H53" s="2" t="str">
        <f ca="1">_xll.DBR($C$49,$B53,H$50)</f>
        <v>*KEY_ERR</v>
      </c>
    </row>
    <row r="54" spans="2:24" hidden="1" outlineLevel="1" x14ac:dyDescent="0.3">
      <c r="B54" s="2" t="s">
        <v>45</v>
      </c>
      <c r="C54" s="2" t="str">
        <f ca="1">_xll.DBR($C$49,$B54,C$50)</f>
        <v>*KEY_ERR</v>
      </c>
      <c r="D54" s="2" t="str">
        <f ca="1">_xll.DBR($C$49,$B54,D$50)</f>
        <v>*KEY_ERR</v>
      </c>
      <c r="E54" s="2" t="str">
        <f ca="1">_xll.DBR($C$49,$B54,E$50)</f>
        <v>*KEY_ERR</v>
      </c>
      <c r="F54" s="2" t="str">
        <f ca="1">_xll.DBR($C$49,$B54,F$50)</f>
        <v>*KEY_ERR</v>
      </c>
      <c r="G54" s="2" t="str">
        <f ca="1">_xll.DBR($C$49,$B54,G$50)</f>
        <v>*KEY_ERR</v>
      </c>
      <c r="H54" s="2" t="str">
        <f ca="1">_xll.DBR($C$49,$B54,H$50)</f>
        <v>*KEY_ERR</v>
      </c>
    </row>
    <row r="55" spans="2:24" hidden="1" outlineLevel="1" x14ac:dyDescent="0.3">
      <c r="B55" s="2" t="s">
        <v>44</v>
      </c>
      <c r="C55" s="2" t="str">
        <f ca="1">_xll.DBR($C$49,$B55,C$50)</f>
        <v>*KEY_ERR</v>
      </c>
      <c r="D55" s="2" t="str">
        <f ca="1">_xll.DBR($C$49,$B55,D$50)</f>
        <v>*KEY_ERR</v>
      </c>
      <c r="E55" s="2" t="str">
        <f ca="1">_xll.DBR($C$49,$B55,E$50)</f>
        <v>*KEY_ERR</v>
      </c>
      <c r="F55" s="2" t="str">
        <f ca="1">_xll.DBR($C$49,$B55,F$50)</f>
        <v>*KEY_ERR</v>
      </c>
      <c r="G55" s="2" t="str">
        <f ca="1">_xll.DBR($C$49,$B55,G$50)</f>
        <v>*KEY_ERR</v>
      </c>
      <c r="H55" s="2" t="str">
        <f ca="1">_xll.DBR($C$49,$B55,H$50)</f>
        <v>*KEY_ERR</v>
      </c>
    </row>
    <row r="56" spans="2:24" hidden="1" outlineLevel="1" x14ac:dyDescent="0.3">
      <c r="B56" s="2" t="s">
        <v>43</v>
      </c>
      <c r="C56" s="2" t="str">
        <f ca="1">_xll.DBR($C$49,$B56,C$50)</f>
        <v>*KEY_ERR</v>
      </c>
      <c r="D56" s="2" t="str">
        <f ca="1">_xll.DBR($C$49,$B56,D$50)</f>
        <v>*KEY_ERR</v>
      </c>
      <c r="E56" s="2" t="str">
        <f ca="1">_xll.DBR($C$49,$B56,E$50)</f>
        <v>*KEY_ERR</v>
      </c>
      <c r="F56" s="2" t="str">
        <f ca="1">_xll.DBR($C$49,$B56,F$50)</f>
        <v>*KEY_ERR</v>
      </c>
      <c r="G56" s="2" t="str">
        <f ca="1">_xll.DBR($C$49,$B56,G$50)</f>
        <v>*KEY_ERR</v>
      </c>
      <c r="H56" s="2" t="str">
        <f ca="1">_xll.DBR($C$49,$B56,H$50)</f>
        <v>*KEY_ERR</v>
      </c>
    </row>
    <row r="57" spans="2:24" hidden="1" outlineLevel="1" x14ac:dyDescent="0.3">
      <c r="B57" s="2" t="s">
        <v>42</v>
      </c>
      <c r="C57" s="2" t="str">
        <f ca="1">_xll.DBR($C$49,$B57,C$50)</f>
        <v>*KEY_ERR</v>
      </c>
      <c r="D57" s="2" t="str">
        <f ca="1">_xll.DBR($C$49,$B57,D$50)</f>
        <v>*KEY_ERR</v>
      </c>
      <c r="E57" s="2" t="str">
        <f ca="1">_xll.DBR($C$49,$B57,E$50)</f>
        <v>*KEY_ERR</v>
      </c>
      <c r="F57" s="2" t="str">
        <f ca="1">_xll.DBR($C$49,$B57,F$50)</f>
        <v>*KEY_ERR</v>
      </c>
      <c r="G57" s="2" t="str">
        <f ca="1">_xll.DBR($C$49,$B57,G$50)</f>
        <v>*KEY_ERR</v>
      </c>
      <c r="H57" s="2" t="str">
        <f ca="1">_xll.DBR($C$49,$B57,H$50)</f>
        <v>*KEY_ERR</v>
      </c>
    </row>
    <row r="58" spans="2:24" hidden="1" outlineLevel="1" x14ac:dyDescent="0.3">
      <c r="B58" s="2" t="s">
        <v>41</v>
      </c>
      <c r="C58" s="2" t="str">
        <f ca="1">_xll.DBR($C$49,$B58,C$50)</f>
        <v>*KEY_ERR</v>
      </c>
      <c r="D58" s="2" t="str">
        <f ca="1">_xll.DBR($C$49,$B58,D$50)</f>
        <v>*KEY_ERR</v>
      </c>
      <c r="E58" s="2" t="str">
        <f ca="1">_xll.DBR($C$49,$B58,E$50)</f>
        <v>*KEY_ERR</v>
      </c>
      <c r="F58" s="2" t="str">
        <f ca="1">_xll.DBR($C$49,$B58,F$50)</f>
        <v>*KEY_ERR</v>
      </c>
      <c r="G58" s="2" t="str">
        <f ca="1">_xll.DBR($C$49,$B58,G$50)</f>
        <v>*KEY_ERR</v>
      </c>
      <c r="H58" s="2" t="str">
        <f ca="1">_xll.DBR($C$49,$B58,H$50)</f>
        <v>*KEY_ERR</v>
      </c>
    </row>
    <row r="59" spans="2:24" hidden="1" outlineLevel="1" x14ac:dyDescent="0.3">
      <c r="B59" s="2" t="s">
        <v>40</v>
      </c>
      <c r="C59" s="2" t="str">
        <f ca="1">_xll.DBR($C$49,$B59,C$50)</f>
        <v>*KEY_ERR</v>
      </c>
      <c r="D59" s="2" t="str">
        <f ca="1">_xll.DBR($C$49,$B59,D$50)</f>
        <v>*KEY_ERR</v>
      </c>
      <c r="E59" s="2" t="str">
        <f ca="1">_xll.DBR($C$49,$B59,E$50)</f>
        <v>*KEY_ERR</v>
      </c>
      <c r="F59" s="2" t="str">
        <f ca="1">_xll.DBR($C$49,$B59,F$50)</f>
        <v>*KEY_ERR</v>
      </c>
      <c r="G59" s="2" t="str">
        <f ca="1">_xll.DBR($C$49,$B59,G$50)</f>
        <v>*KEY_ERR</v>
      </c>
      <c r="H59" s="2" t="str">
        <f ca="1">_xll.DBR($C$49,$B59,H$50)</f>
        <v>*KEY_ERR</v>
      </c>
    </row>
    <row r="60" spans="2:24" hidden="1" outlineLevel="1" x14ac:dyDescent="0.3">
      <c r="B60" s="2" t="s">
        <v>39</v>
      </c>
      <c r="C60" s="2" t="str">
        <f ca="1">_xll.DBR($C$49,$B60,C$50)</f>
        <v>*KEY_ERR</v>
      </c>
      <c r="D60" s="2" t="str">
        <f ca="1">_xll.DBR($C$49,$B60,D$50)</f>
        <v>*KEY_ERR</v>
      </c>
      <c r="E60" s="2" t="str">
        <f ca="1">_xll.DBR($C$49,$B60,E$50)</f>
        <v>*KEY_ERR</v>
      </c>
      <c r="F60" s="2" t="str">
        <f ca="1">_xll.DBR($C$49,$B60,F$50)</f>
        <v>*KEY_ERR</v>
      </c>
      <c r="G60" s="2" t="str">
        <f ca="1">_xll.DBR($C$49,$B60,G$50)</f>
        <v>*KEY_ERR</v>
      </c>
      <c r="H60" s="2" t="str">
        <f ca="1">_xll.DBR($C$49,$B60,H$50)</f>
        <v>*KEY_ERR</v>
      </c>
    </row>
    <row r="61" spans="2:24" hidden="1" outlineLevel="1" x14ac:dyDescent="0.3"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</row>
    <row r="62" spans="2:24" hidden="1" outlineLevel="1" x14ac:dyDescent="0.3"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</row>
    <row r="63" spans="2:24" hidden="1" outlineLevel="1" x14ac:dyDescent="0.3">
      <c r="C63" s="1"/>
      <c r="D63" s="1"/>
      <c r="E63" s="1"/>
      <c r="F63" s="1"/>
      <c r="G63" s="1"/>
      <c r="H63" s="1"/>
      <c r="I63" s="1"/>
      <c r="J63" s="1"/>
      <c r="K63" s="12" t="s">
        <v>18</v>
      </c>
      <c r="L63" s="12"/>
      <c r="M63" s="12" t="s">
        <v>0</v>
      </c>
      <c r="N63" s="12" t="s">
        <v>1</v>
      </c>
      <c r="O63" s="12" t="s">
        <v>2</v>
      </c>
      <c r="P63" s="12" t="s">
        <v>3</v>
      </c>
      <c r="Q63" s="12" t="s">
        <v>4</v>
      </c>
      <c r="R63" s="12" t="s">
        <v>5</v>
      </c>
      <c r="S63" s="12" t="s">
        <v>6</v>
      </c>
      <c r="T63" s="12" t="s">
        <v>7</v>
      </c>
      <c r="U63" s="12" t="s">
        <v>8</v>
      </c>
      <c r="V63" s="12" t="s">
        <v>9</v>
      </c>
      <c r="W63" s="12" t="s">
        <v>10</v>
      </c>
      <c r="X63" s="12" t="s">
        <v>11</v>
      </c>
    </row>
    <row r="64" spans="2:24" hidden="1" outlineLevel="1" x14ac:dyDescent="0.3">
      <c r="C64" s="1"/>
      <c r="D64" s="1"/>
      <c r="E64" s="1"/>
      <c r="F64" s="1"/>
      <c r="G64" s="1"/>
      <c r="H64" s="1"/>
      <c r="I64" s="1"/>
      <c r="J64" s="1"/>
      <c r="K64" s="12" t="s">
        <v>13</v>
      </c>
      <c r="L64" s="12"/>
      <c r="M64" s="12" t="s">
        <v>12</v>
      </c>
      <c r="N64" s="12" t="s">
        <v>12</v>
      </c>
      <c r="O64" s="12" t="s">
        <v>12</v>
      </c>
      <c r="P64" s="12" t="s">
        <v>12</v>
      </c>
      <c r="Q64" s="12" t="s">
        <v>12</v>
      </c>
      <c r="R64" s="12" t="s">
        <v>12</v>
      </c>
      <c r="S64" s="12" t="s">
        <v>12</v>
      </c>
      <c r="T64" s="12" t="s">
        <v>12</v>
      </c>
      <c r="U64" s="12" t="s">
        <v>12</v>
      </c>
      <c r="V64" s="12" t="s">
        <v>12</v>
      </c>
      <c r="W64" s="12" t="s">
        <v>12</v>
      </c>
      <c r="X64" s="12" t="s">
        <v>12</v>
      </c>
    </row>
    <row r="65" spans="1:24" hidden="1" outlineLevel="1" x14ac:dyDescent="0.3"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</row>
    <row r="66" spans="1:24" ht="36.6" collapsed="1" x14ac:dyDescent="0.7">
      <c r="I66" s="6"/>
      <c r="J66" s="6"/>
      <c r="K66" s="6"/>
      <c r="L66" s="6"/>
      <c r="M66" s="6"/>
      <c r="N66" s="6"/>
      <c r="O66" s="7"/>
      <c r="P66" s="7"/>
      <c r="Q66" s="7"/>
      <c r="R66" s="7"/>
      <c r="S66" s="7"/>
      <c r="T66" s="7"/>
      <c r="U66" s="7"/>
      <c r="V66" s="7"/>
      <c r="W66" s="7"/>
      <c r="X66" s="7" t="s">
        <v>64</v>
      </c>
    </row>
    <row r="67" spans="1:24" ht="4.2" customHeight="1" x14ac:dyDescent="0.7">
      <c r="I67" s="8"/>
      <c r="J67" s="8"/>
      <c r="K67" s="8"/>
      <c r="L67" s="8"/>
      <c r="M67" s="8"/>
      <c r="N67" s="8"/>
      <c r="O67" s="9"/>
      <c r="P67" s="9"/>
      <c r="Q67" s="9"/>
      <c r="R67" s="9"/>
      <c r="S67" s="9"/>
      <c r="T67" s="9"/>
      <c r="U67" s="9"/>
      <c r="V67" s="9"/>
      <c r="W67" s="9"/>
      <c r="X67" s="9"/>
    </row>
    <row r="68" spans="1:24" ht="24.9" customHeight="1" x14ac:dyDescent="0.7">
      <c r="I68" s="8"/>
      <c r="J68" s="8"/>
      <c r="L68" s="8"/>
      <c r="M68" s="8"/>
      <c r="N68" s="8"/>
      <c r="O68" s="9"/>
      <c r="P68" s="9"/>
      <c r="Q68" s="9"/>
      <c r="R68" s="9"/>
      <c r="S68" s="9"/>
      <c r="T68" s="9"/>
      <c r="U68" s="9"/>
      <c r="V68" s="9"/>
      <c r="W68" s="9"/>
      <c r="X68" s="9"/>
    </row>
    <row r="69" spans="1:24" ht="4.2" customHeight="1" x14ac:dyDescent="0.7">
      <c r="I69" s="8"/>
      <c r="J69" s="8"/>
      <c r="K69" s="8"/>
      <c r="L69" s="8"/>
      <c r="M69" s="8"/>
      <c r="N69" s="8"/>
      <c r="O69" s="9"/>
      <c r="P69" s="9"/>
      <c r="Q69" s="9"/>
      <c r="R69" s="9"/>
      <c r="S69" s="9"/>
      <c r="T69" s="9"/>
      <c r="U69" s="9"/>
      <c r="V69" s="9"/>
      <c r="W69" s="9"/>
      <c r="X69" s="9"/>
    </row>
    <row r="70" spans="1:24" x14ac:dyDescent="0.3">
      <c r="F70" s="13" t="s">
        <v>69</v>
      </c>
      <c r="I70" s="8"/>
      <c r="J70" s="11" t="s">
        <v>65</v>
      </c>
      <c r="K70" s="11" t="s">
        <v>66</v>
      </c>
      <c r="L70" s="8"/>
      <c r="M70" s="10" t="str">
        <f t="shared" ref="M70:X70" ca="1" si="0">M$63 &amp;"  (%)"</f>
        <v>Jul  (%)</v>
      </c>
      <c r="N70" s="10" t="str">
        <f t="shared" ca="1" si="0"/>
        <v>Aug  (%)</v>
      </c>
      <c r="O70" s="10" t="str">
        <f t="shared" ca="1" si="0"/>
        <v>Sep  (%)</v>
      </c>
      <c r="P70" s="10" t="str">
        <f t="shared" ca="1" si="0"/>
        <v>Oct  (%)</v>
      </c>
      <c r="Q70" s="10" t="str">
        <f t="shared" ca="1" si="0"/>
        <v>Nov  (%)</v>
      </c>
      <c r="R70" s="10" t="str">
        <f t="shared" ca="1" si="0"/>
        <v>Dec  (%)</v>
      </c>
      <c r="S70" s="10" t="str">
        <f t="shared" ca="1" si="0"/>
        <v>Jan  (%)</v>
      </c>
      <c r="T70" s="10" t="str">
        <f t="shared" ca="1" si="0"/>
        <v>Feb  (%)</v>
      </c>
      <c r="U70" s="10" t="str">
        <f t="shared" ca="1" si="0"/>
        <v>Mar  (%)</v>
      </c>
      <c r="V70" s="10" t="str">
        <f t="shared" ca="1" si="0"/>
        <v>Apr  (%)</v>
      </c>
      <c r="W70" s="10" t="str">
        <f t="shared" ca="1" si="0"/>
        <v>May  (%)</v>
      </c>
      <c r="X70" s="10" t="str">
        <f t="shared" ca="1" si="0"/>
        <v>Jun  (%)</v>
      </c>
    </row>
    <row r="71" spans="1:24" ht="4.2" customHeight="1" x14ac:dyDescent="0.7">
      <c r="I71" s="8"/>
      <c r="J71" s="8"/>
      <c r="K71" s="8"/>
      <c r="L71" s="8"/>
      <c r="M71" s="8"/>
      <c r="N71" s="8"/>
      <c r="O71" s="9"/>
      <c r="P71" s="9"/>
      <c r="Q71" s="9"/>
      <c r="R71" s="9"/>
      <c r="S71" s="9"/>
      <c r="T71" s="9"/>
      <c r="U71" s="9"/>
      <c r="V71" s="9"/>
      <c r="W71" s="9"/>
      <c r="X71" s="9"/>
    </row>
    <row r="72" spans="1:24" x14ac:dyDescent="0.3">
      <c r="A72" t="str" cm="1">
        <f t="array" aca="1" ref="A72" ca="1">IF(_xll.TM1RPTELISCONSOLIDATED($J$72,$J72),IF(_xll.TM1RPTELLEV($J$72,$J72)&lt;=3,_xll.TM1RPTELLEV($J$72,$J72),"D"),"N")</f>
        <v>N</v>
      </c>
      <c r="F72" t="str" cm="1">
        <f t="array" aca="1" ref="F72" ca="1">_xll.DBR($C$32,$J72,F$70)</f>
        <v>*KEY_ERR</v>
      </c>
      <c r="J72" s="18" t="str">
        <f ca="1">_xll.TM1RPTROW($C$36,db_name&amp;":ME phasing method","","","",0,$C$38)</f>
        <v/>
      </c>
      <c r="K72" s="15" t="str" cm="1">
        <f t="array" aca="1" ref="K72" ca="1">_xll.DBRW($C$36,$J72,K$63,K$64)</f>
        <v/>
      </c>
      <c r="M72" s="16" t="str" cm="1">
        <f t="array" aca="1" ref="M72" ca="1">_xll.DBRW($C$37,$J72,M$63,M$64)</f>
        <v/>
      </c>
      <c r="N72" s="16" t="str" cm="1">
        <f t="array" aca="1" ref="N72" ca="1">_xll.DBRW($C$37,$J72,N$63,N$64)</f>
        <v/>
      </c>
      <c r="O72" s="16" t="str" cm="1">
        <f t="array" aca="1" ref="O72" ca="1">_xll.DBRW($C$37,$J72,O$63,O$64)</f>
        <v/>
      </c>
      <c r="P72" s="16" t="str" cm="1">
        <f t="array" aca="1" ref="P72" ca="1">_xll.DBRW($C$37,$J72,P$63,P$64)</f>
        <v/>
      </c>
      <c r="Q72" s="16" t="str" cm="1">
        <f t="array" aca="1" ref="Q72" ca="1">_xll.DBRW($C$37,$J72,Q$63,Q$64)</f>
        <v/>
      </c>
      <c r="R72" s="16" t="str" cm="1">
        <f t="array" aca="1" ref="R72" ca="1">_xll.DBRW($C$37,$J72,R$63,R$64)</f>
        <v/>
      </c>
      <c r="S72" s="16" t="str" cm="1">
        <f t="array" aca="1" ref="S72" ca="1">_xll.DBRW($C$37,$J72,S$63,S$64)</f>
        <v/>
      </c>
      <c r="T72" s="16" t="str" cm="1">
        <f t="array" aca="1" ref="T72" ca="1">_xll.DBRW($C$37,$J72,T$63,T$64)</f>
        <v/>
      </c>
      <c r="U72" s="16" t="str" cm="1">
        <f t="array" aca="1" ref="U72" ca="1">_xll.DBRW($C$37,$J72,U$63,U$64)</f>
        <v/>
      </c>
      <c r="V72" s="16" t="str" cm="1">
        <f t="array" aca="1" ref="V72" ca="1">_xll.DBRW($C$37,$J72,V$63,V$64)</f>
        <v/>
      </c>
      <c r="W72" s="16" t="str" cm="1">
        <f t="array" aca="1" ref="W72" ca="1">_xll.DBRW($C$37,$J72,W$63,W$64)</f>
        <v/>
      </c>
      <c r="X72" s="17" t="str" cm="1">
        <f t="array" aca="1" ref="X72" ca="1">_xll.DBRW($C$37,$J72,X$63,X$64)</f>
        <v/>
      </c>
    </row>
  </sheetData>
  <sheetProtection sheet="1" objects="1" scenarios="1"/>
  <mergeCells count="7">
    <mergeCell ref="B48:C48"/>
    <mergeCell ref="B31:D31"/>
    <mergeCell ref="B10:C10"/>
    <mergeCell ref="B14:C14"/>
    <mergeCell ref="B22:C22"/>
    <mergeCell ref="B35:C35"/>
    <mergeCell ref="B41:C41"/>
  </mergeCells>
  <conditionalFormatting sqref="J7:K7 M7:X7 J72:K72 M72:X72">
    <cfRule type="expression" dxfId="0" priority="3">
      <formula>$F7="Y"</formula>
    </cfRule>
  </conditionalFormatting>
  <pageMargins left="0.7" right="0.7" top="0.75" bottom="0.75" header="0.3" footer="0.3"/>
  <drawing r:id="rId1"/>
  <legacyDrawing r:id="rId2"/>
  <controls>
    <mc:AlternateContent xmlns:mc="http://schemas.openxmlformats.org/markup-compatibility/2006">
      <mc:Choice Requires="x14">
        <control shapeId="1029" r:id="rId3" name="TIButton4">
          <controlPr defaultSize="0" print="0" autoLine="0" r:id="rId4">
            <anchor moveWithCells="1" sizeWithCells="1">
              <from>
                <xdr:col>10</xdr:col>
                <xdr:colOff>464820</xdr:colOff>
                <xdr:row>67</xdr:row>
                <xdr:rowOff>22860</xdr:rowOff>
              </from>
              <to>
                <xdr:col>12</xdr:col>
                <xdr:colOff>297180</xdr:colOff>
                <xdr:row>67</xdr:row>
                <xdr:rowOff>289560</xdr:rowOff>
              </to>
            </anchor>
          </controlPr>
        </control>
      </mc:Choice>
      <mc:Fallback>
        <control shapeId="1029" r:id="rId3" name="TIButton4"/>
      </mc:Fallback>
    </mc:AlternateContent>
    <mc:AlternateContent xmlns:mc="http://schemas.openxmlformats.org/markup-compatibility/2006">
      <mc:Choice Requires="x14">
        <control shapeId="1027" r:id="rId5" name="TIButton3">
          <controlPr defaultSize="0" print="0" autoLine="0" r:id="rId6">
            <anchor moveWithCells="1" sizeWithCells="1">
              <from>
                <xdr:col>9</xdr:col>
                <xdr:colOff>647700</xdr:colOff>
                <xdr:row>67</xdr:row>
                <xdr:rowOff>22860</xdr:rowOff>
              </from>
              <to>
                <xdr:col>10</xdr:col>
                <xdr:colOff>441960</xdr:colOff>
                <xdr:row>67</xdr:row>
                <xdr:rowOff>289560</xdr:rowOff>
              </to>
            </anchor>
          </controlPr>
        </control>
      </mc:Choice>
      <mc:Fallback>
        <control shapeId="1027" r:id="rId5" name="TIButton3"/>
      </mc:Fallback>
    </mc:AlternateContent>
    <mc:AlternateContent xmlns:mc="http://schemas.openxmlformats.org/markup-compatibility/2006">
      <mc:Choice Requires="x14">
        <control shapeId="1025" r:id="rId7" name="TIButton1">
          <controlPr defaultSize="0" print="0" autoLine="0" r:id="rId8">
            <anchor moveWithCells="1" sizeWithCells="1">
              <from>
                <xdr:col>9</xdr:col>
                <xdr:colOff>7620</xdr:colOff>
                <xdr:row>67</xdr:row>
                <xdr:rowOff>22860</xdr:rowOff>
              </from>
              <to>
                <xdr:col>9</xdr:col>
                <xdr:colOff>632460</xdr:colOff>
                <xdr:row>67</xdr:row>
                <xdr:rowOff>289560</xdr:rowOff>
              </to>
            </anchor>
          </controlPr>
        </control>
      </mc:Choice>
      <mc:Fallback>
        <control shapeId="1025" r:id="rId7" name="TIButton1"/>
      </mc:Fallback>
    </mc:AlternateContent>
    <mc:AlternateContent xmlns:mc="http://schemas.openxmlformats.org/markup-compatibility/2006">
      <mc:Choice Requires="x14">
        <control shapeId="1026" r:id="rId9" name="TIButton2">
          <controlPr defaultSize="0" print="0" autoLine="0" autoPict="0" r:id="rId10">
            <anchor moveWithCells="1" sizeWithCells="1">
              <from>
                <xdr:col>12</xdr:col>
                <xdr:colOff>335280</xdr:colOff>
                <xdr:row>67</xdr:row>
                <xdr:rowOff>22860</xdr:rowOff>
              </from>
              <to>
                <xdr:col>12</xdr:col>
                <xdr:colOff>1036320</xdr:colOff>
                <xdr:row>67</xdr:row>
                <xdr:rowOff>274320</xdr:rowOff>
              </to>
            </anchor>
          </controlPr>
        </control>
      </mc:Choice>
      <mc:Fallback>
        <control shapeId="1026" r:id="rId9" name="TIButton2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35</vt:i4>
      </vt:variant>
    </vt:vector>
  </HeadingPairs>
  <TitlesOfParts>
    <vt:vector size="36" baseType="lpstr">
      <vt:lpstr>Sheet1</vt:lpstr>
      <vt:lpstr>db_name</vt:lpstr>
      <vt:lpstr>Freeze_Here</vt:lpstr>
      <vt:lpstr>TM1MEAccTempCAP</vt:lpstr>
      <vt:lpstr>TM1MEAccTempWB</vt:lpstr>
      <vt:lpstr>TM1MEAccTempWS</vt:lpstr>
      <vt:lpstr>TM1MEBSDataEntryCAP</vt:lpstr>
      <vt:lpstr>TM1MEBSDataEntryWB</vt:lpstr>
      <vt:lpstr>TM1MEBSDataEntryWS</vt:lpstr>
      <vt:lpstr>TM1MECCMapCAP</vt:lpstr>
      <vt:lpstr>TM1MECCMapWB</vt:lpstr>
      <vt:lpstr>TM1MECCMapWS</vt:lpstr>
      <vt:lpstr>TM1MEDataEntryCAP</vt:lpstr>
      <vt:lpstr>TM1MEDataEntryWB</vt:lpstr>
      <vt:lpstr>TM1MEDataEntryWS</vt:lpstr>
      <vt:lpstr>TM1MEGLMapCAP</vt:lpstr>
      <vt:lpstr>TM1MEGLMapWB</vt:lpstr>
      <vt:lpstr>TM1MEGLMapWS</vt:lpstr>
      <vt:lpstr>TM1MEHomeCAP</vt:lpstr>
      <vt:lpstr>TM1MEHomeWB</vt:lpstr>
      <vt:lpstr>TM1MEHomeWS</vt:lpstr>
      <vt:lpstr>TM1MEOSDataEntryCAP</vt:lpstr>
      <vt:lpstr>TM1MEOSDataEntryWB</vt:lpstr>
      <vt:lpstr>TM1MEOSDataEntryWS</vt:lpstr>
      <vt:lpstr>TM1MEPhasingCAP</vt:lpstr>
      <vt:lpstr>TM1MEPhasingWB</vt:lpstr>
      <vt:lpstr>TM1MEPhasingWS</vt:lpstr>
      <vt:lpstr>TM1MESetActualsCAP</vt:lpstr>
      <vt:lpstr>TM1MESetActualsWB</vt:lpstr>
      <vt:lpstr>TM1MESetActualsWS</vt:lpstr>
      <vt:lpstr>TM1MESummaryCAP</vt:lpstr>
      <vt:lpstr>TM1MESummaryWB</vt:lpstr>
      <vt:lpstr>TM1MESummaryWS</vt:lpstr>
      <vt:lpstr>Sheet1!TM1RPTDATARNG1</vt:lpstr>
      <vt:lpstr>Sheet1!TM1RPTFMTIDCOL</vt:lpstr>
      <vt:lpstr>Sheet1!TM1RPTFMTRNG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blooyen</dc:creator>
  <cp:lastModifiedBy>blooyen</cp:lastModifiedBy>
  <dcterms:created xsi:type="dcterms:W3CDTF">2022-04-18T00:48:32Z</dcterms:created>
  <dcterms:modified xsi:type="dcterms:W3CDTF">2023-02-14T22:32:34Z</dcterms:modified>
</cp:coreProperties>
</file>