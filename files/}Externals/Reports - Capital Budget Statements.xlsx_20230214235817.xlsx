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deler1\AppData\Local\Temp\3\"/>
    </mc:Choice>
  </mc:AlternateContent>
  <bookViews>
    <workbookView xWindow="0" yWindow="0" windowWidth="18105" windowHeight="8055"/>
  </bookViews>
  <sheets>
    <sheet name="report" sheetId="1" r:id="rId1"/>
  </sheets>
  <definedNames>
    <definedName name="Account_Disp_List">report!$C$37:$C$38</definedName>
    <definedName name="db_name">report!$C$12</definedName>
    <definedName name="Freeze_HERE">report!$B$89</definedName>
    <definedName name="HLYear_Period_List">report!$N$11:$S$11</definedName>
    <definedName name="psApp">report!$C$27</definedName>
    <definedName name="psProgDimName">report!$C$23</definedName>
    <definedName name="psUser">report!$C$14</definedName>
    <definedName name="sys_YN_list">report!$C$35:$C$36</definedName>
    <definedName name="TM1HomeAECAP">report!$D$30</definedName>
    <definedName name="TM1HomeAEWB">report!$F$30</definedName>
    <definedName name="TM1HomeAEWS">report!$H$30</definedName>
    <definedName name="TM1HomeCAP">report!$D$29</definedName>
    <definedName name="TM1HomeRepAnalyticalCAP">report!$D$33</definedName>
    <definedName name="TM1HomeRepAnalyticalWB">report!$F$33</definedName>
    <definedName name="TM1HomeRepAnalyticalWS">report!$H$33</definedName>
    <definedName name="TM1HomeRepCAP">report!$D$31</definedName>
    <definedName name="TM1HomeRepOtherCAP">report!$D$32</definedName>
    <definedName name="TM1HomeRepOtherWB">report!$F$32</definedName>
    <definedName name="TM1HomeRepOtherWS">report!$H$32</definedName>
    <definedName name="TM1HomeRepWB">report!$F$31</definedName>
    <definedName name="TM1HomeRepWS">report!$H$31</definedName>
    <definedName name="TM1HomeWB">report!$F$29</definedName>
    <definedName name="TM1HomeWS">report!$H$29</definedName>
    <definedName name="TM1REBUILDOPTION">0</definedName>
    <definedName name="TM1RPTDATARNG1" localSheetId="0">report!$91:$91</definedName>
    <definedName name="TM1RPTDATARNGARPT1" localSheetId="0">report!$101:$101</definedName>
    <definedName name="TM1RPTDATARNGARPT2" localSheetId="0">report!$96:$96</definedName>
    <definedName name="TM1RPTDATARNGARPT3" localSheetId="0">report!$106:$106</definedName>
    <definedName name="TM1RPTFMTIDCOL" localSheetId="0">report!$A$1:$A$8</definedName>
    <definedName name="TM1RPTFMTRNG" localSheetId="0">report!$B$1:$S$8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0" i="1" l="1" a="1"/>
  <c r="C20" i="1"/>
  <c r="C21" i="1" a="1"/>
  <c r="C21" i="1"/>
  <c r="K82" i="1" a="1"/>
  <c r="K82" i="1"/>
  <c r="O10" i="1"/>
  <c r="O83" i="1" a="1"/>
  <c r="O83" i="1"/>
  <c r="C72" i="1"/>
  <c r="C44" i="1"/>
  <c r="J106" i="1" a="1"/>
  <c r="J106" i="1"/>
  <c r="C43" i="1"/>
  <c r="J101" i="1" a="1"/>
  <c r="J101" i="1"/>
  <c r="C42" i="1"/>
  <c r="J96" i="1" a="1"/>
  <c r="J96" i="1"/>
  <c r="C63" i="1"/>
  <c r="C62" i="1"/>
  <c r="C23" i="1" a="1"/>
  <c r="C23" i="1"/>
  <c r="K84" i="1" a="1"/>
  <c r="K84" i="1"/>
  <c r="C60" i="1"/>
  <c r="C59" i="1"/>
  <c r="C58" i="1"/>
  <c r="C57" i="1"/>
  <c r="C56" i="1"/>
  <c r="C55" i="1"/>
  <c r="C54" i="1"/>
  <c r="C53" i="1"/>
  <c r="C52" i="1"/>
  <c r="C51" i="1"/>
  <c r="C50" i="1"/>
  <c r="C48" i="1"/>
  <c r="C22" i="1" a="1"/>
  <c r="C22" i="1"/>
  <c r="K83" i="1" a="1"/>
  <c r="K83" i="1"/>
  <c r="C49" i="1"/>
  <c r="C47" i="1"/>
  <c r="C41" i="1"/>
  <c r="S11" i="1" a="1"/>
  <c r="S11" i="1"/>
  <c r="S86" i="1"/>
  <c r="R11" i="1" a="1"/>
  <c r="R11" i="1"/>
  <c r="R86" i="1"/>
  <c r="Q11" i="1" a="1"/>
  <c r="Q11" i="1"/>
  <c r="Q86" i="1"/>
  <c r="P11" i="1" a="1"/>
  <c r="P11" i="1"/>
  <c r="P86" i="1"/>
  <c r="O11" i="1" a="1"/>
  <c r="O11" i="1"/>
  <c r="O86" i="1"/>
  <c r="N11" i="1" a="1"/>
  <c r="N11" i="1"/>
  <c r="N86" i="1"/>
  <c r="S108" i="1" a="1"/>
  <c r="S108" i="1"/>
  <c r="R108" i="1" a="1"/>
  <c r="R108" i="1"/>
  <c r="Q108" i="1" a="1"/>
  <c r="Q108" i="1"/>
  <c r="P108" i="1" a="1"/>
  <c r="P108" i="1"/>
  <c r="O108" i="1" a="1"/>
  <c r="O108" i="1"/>
  <c r="N108" i="1" a="1"/>
  <c r="N108" i="1"/>
  <c r="S106" i="1" a="1"/>
  <c r="S106" i="1"/>
  <c r="R106" i="1" a="1"/>
  <c r="R106" i="1"/>
  <c r="Q106" i="1" a="1"/>
  <c r="Q106" i="1"/>
  <c r="P106" i="1" a="1"/>
  <c r="P106" i="1"/>
  <c r="O106" i="1" a="1"/>
  <c r="O106" i="1"/>
  <c r="N106" i="1" a="1"/>
  <c r="N106" i="1"/>
  <c r="A106" i="1" a="1"/>
  <c r="A106" i="1"/>
  <c r="S103" i="1" a="1"/>
  <c r="S103" i="1"/>
  <c r="R103" i="1" a="1"/>
  <c r="R103" i="1"/>
  <c r="Q103" i="1" a="1"/>
  <c r="Q103" i="1"/>
  <c r="P103" i="1" a="1"/>
  <c r="P103" i="1"/>
  <c r="O103" i="1" a="1"/>
  <c r="O103" i="1"/>
  <c r="N103" i="1" a="1"/>
  <c r="N103" i="1"/>
  <c r="S101" i="1" a="1"/>
  <c r="S101" i="1"/>
  <c r="R101" i="1" a="1"/>
  <c r="R101" i="1"/>
  <c r="Q101" i="1" a="1"/>
  <c r="Q101" i="1"/>
  <c r="P101" i="1" a="1"/>
  <c r="P101" i="1"/>
  <c r="O101" i="1" a="1"/>
  <c r="O101" i="1"/>
  <c r="N101" i="1" a="1"/>
  <c r="N101" i="1"/>
  <c r="A101" i="1" a="1"/>
  <c r="A101" i="1"/>
  <c r="S98" i="1" a="1"/>
  <c r="S98" i="1"/>
  <c r="R98" i="1" a="1"/>
  <c r="R98" i="1"/>
  <c r="Q98" i="1" a="1"/>
  <c r="Q98" i="1"/>
  <c r="P98" i="1" a="1"/>
  <c r="P98" i="1"/>
  <c r="O98" i="1" a="1"/>
  <c r="O98" i="1"/>
  <c r="N98" i="1" a="1"/>
  <c r="N98" i="1"/>
  <c r="S96" i="1" a="1"/>
  <c r="S96" i="1"/>
  <c r="R96" i="1" a="1"/>
  <c r="R96" i="1"/>
  <c r="Q96" i="1" a="1"/>
  <c r="Q96" i="1"/>
  <c r="P96" i="1" a="1"/>
  <c r="P96" i="1"/>
  <c r="O96" i="1" a="1"/>
  <c r="O96" i="1"/>
  <c r="N96" i="1" a="1"/>
  <c r="N96" i="1"/>
  <c r="A96" i="1" a="1"/>
  <c r="A96" i="1"/>
  <c r="S93" i="1" a="1"/>
  <c r="S93" i="1"/>
  <c r="R93" i="1" a="1"/>
  <c r="R93" i="1"/>
  <c r="Q93" i="1" a="1"/>
  <c r="Q93" i="1"/>
  <c r="P93" i="1" a="1"/>
  <c r="P93" i="1"/>
  <c r="O93" i="1" a="1"/>
  <c r="O93" i="1"/>
  <c r="N93" i="1" a="1"/>
  <c r="N93" i="1"/>
  <c r="O82" i="1" a="1"/>
  <c r="O82" i="1"/>
  <c r="C71" i="1"/>
  <c r="J91" i="1" a="1"/>
  <c r="J91" i="1"/>
  <c r="S91" i="1" a="1"/>
  <c r="S91" i="1"/>
  <c r="R91" i="1" a="1"/>
  <c r="R91" i="1"/>
  <c r="Q91" i="1" a="1"/>
  <c r="Q91" i="1"/>
  <c r="P91" i="1" a="1"/>
  <c r="P91" i="1"/>
  <c r="O91" i="1" a="1"/>
  <c r="O91" i="1"/>
  <c r="N91" i="1" a="1"/>
  <c r="N91" i="1"/>
  <c r="A91" i="1" a="1"/>
  <c r="A91" i="1"/>
  <c r="C26" i="1" a="1"/>
  <c r="C26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H30" i="1" a="1"/>
  <c r="H30" i="1"/>
  <c r="G30" i="1" a="1"/>
  <c r="G30" i="1"/>
  <c r="F30" i="1" a="1"/>
  <c r="F30" i="1"/>
  <c r="E30" i="1" a="1"/>
  <c r="E30" i="1"/>
  <c r="D30" i="1" a="1"/>
  <c r="D30" i="1"/>
  <c r="C30" i="1" a="1"/>
  <c r="C30" i="1"/>
  <c r="H29" i="1" a="1"/>
  <c r="H29" i="1"/>
  <c r="G29" i="1" a="1"/>
  <c r="G29" i="1"/>
  <c r="F29" i="1" a="1"/>
  <c r="F29" i="1"/>
  <c r="E29" i="1" a="1"/>
  <c r="E29" i="1"/>
  <c r="D29" i="1" a="1"/>
  <c r="D29" i="1"/>
  <c r="C29" i="1" a="1"/>
  <c r="C29" i="1"/>
  <c r="C13" i="1" a="1"/>
  <c r="C13" i="1"/>
  <c r="C14" i="1" a="1"/>
  <c r="C14" i="1"/>
  <c r="C16" i="1" a="1"/>
  <c r="C16" i="1"/>
  <c r="C15" i="1" a="1"/>
  <c r="C15" i="1"/>
  <c r="R84" i="1"/>
  <c r="C17" i="1"/>
  <c r="Q10" i="1"/>
  <c r="S87" i="1"/>
  <c r="R87" i="1"/>
  <c r="Q87" i="1"/>
  <c r="P87" i="1"/>
  <c r="O87" i="1"/>
  <c r="N87" i="1"/>
  <c r="S10" i="1"/>
  <c r="A5" i="1"/>
  <c r="A4" i="1"/>
  <c r="A3" i="1"/>
  <c r="A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<sst xmlns="http://schemas.openxmlformats.org/spreadsheetml/2006/main" count="117" uniqueCount="105">
  <si>
    <t>headline year</t>
  </si>
  <si>
    <t>scenario</t>
  </si>
  <si>
    <t>status</t>
  </si>
  <si>
    <t>outcome</t>
  </si>
  <si>
    <t>related entity</t>
  </si>
  <si>
    <t>function</t>
  </si>
  <si>
    <t>reason</t>
  </si>
  <si>
    <t>spp</t>
  </si>
  <si>
    <t>measure code</t>
  </si>
  <si>
    <t>appropriation type</t>
  </si>
  <si>
    <t>movement account</t>
  </si>
  <si>
    <t>appropriation item</t>
  </si>
  <si>
    <t>id</t>
  </si>
  <si>
    <t>jurisdiction</t>
  </si>
  <si>
    <t>programme</t>
  </si>
  <si>
    <t>9100000 - Total New Capital Appropriation</t>
  </si>
  <si>
    <t>9200000 - Total Items</t>
  </si>
  <si>
    <t>9300000 - Total Purchases of Non-Financial Assets</t>
  </si>
  <si>
    <t>9400000 - Total cash used to acquire assets</t>
  </si>
  <si>
    <t>D</t>
  </si>
  <si>
    <t>N</t>
  </si>
  <si>
    <t>[Begin Format Range]</t>
  </si>
  <si>
    <t>[End Format Range]</t>
  </si>
  <si>
    <t>System Parameters</t>
  </si>
  <si>
    <t>Dataabase Name</t>
  </si>
  <si>
    <t xml:space="preserve">System Variables </t>
  </si>
  <si>
    <t>headline scenario</t>
  </si>
  <si>
    <t>sys_YN_list</t>
  </si>
  <si>
    <t>Yes</t>
  </si>
  <si>
    <t>No</t>
  </si>
  <si>
    <t>Account_Disp_List</t>
  </si>
  <si>
    <t>Code and description</t>
  </si>
  <si>
    <t>Description</t>
  </si>
  <si>
    <t>Period Variables</t>
  </si>
  <si>
    <t>HLYear:</t>
  </si>
  <si>
    <t>Fin Year:</t>
  </si>
  <si>
    <t>Budget Year:</t>
  </si>
  <si>
    <t>GEUS Period</t>
  </si>
  <si>
    <t>Index</t>
  </si>
  <si>
    <t>Budget period</t>
  </si>
  <si>
    <t>PA</t>
  </si>
  <si>
    <t>RB</t>
  </si>
  <si>
    <t>NB</t>
  </si>
  <si>
    <t>FE1</t>
  </si>
  <si>
    <t>FE2</t>
  </si>
  <si>
    <t>FE3</t>
  </si>
  <si>
    <t>Suppress Zero</t>
  </si>
  <si>
    <t>$'000</t>
  </si>
  <si>
    <t>Freeze Rows HERE</t>
  </si>
  <si>
    <t>Report MDX</t>
  </si>
  <si>
    <t>Expand Above Flag</t>
  </si>
  <si>
    <t>NEW CAPITAL APPROPRIATIONS</t>
  </si>
  <si>
    <t>New Capital  MDX</t>
  </si>
  <si>
    <t>Represnted By MDX</t>
  </si>
  <si>
    <t>Purchases MDX</t>
  </si>
  <si>
    <t>Account</t>
  </si>
  <si>
    <t>See MDX</t>
  </si>
  <si>
    <t>Period</t>
  </si>
  <si>
    <t>See Period variables</t>
  </si>
  <si>
    <t>{TM1FILTERBYLEVEL( {DESCENDANTS(ACCOUNT.[9100000]) }, 0)}</t>
  </si>
  <si>
    <t>{TM1FILTERBYLEVEL( {DESCENDANTS(ACCOUNT.[9200000]) }, 0)}</t>
  </si>
  <si>
    <t>{TM1FILTERBYLEVEL( {DESCENDANTS(ACCOUNT.[9300000]) }, 0)}</t>
  </si>
  <si>
    <t>{TM1FILTERBYLEVEL( {DESCENDANTS(ACCOUNT.[9400000]) }, 0)}</t>
  </si>
  <si>
    <t>REPRESENTED BY</t>
  </si>
  <si>
    <t>PURCHASE OF NON-FINANCIAL ASSETS</t>
  </si>
  <si>
    <t>CASH USED</t>
  </si>
  <si>
    <t xml:space="preserve">Account Display  :  </t>
  </si>
  <si>
    <t>CBMS Capital Budget Statement</t>
  </si>
  <si>
    <t>Cude View</t>
  </si>
  <si>
    <t>AE Adjustments Cube View</t>
  </si>
  <si>
    <t>}Clients</t>
  </si>
  <si>
    <t>TM1 User</t>
  </si>
  <si>
    <t>}TM1_DefaultDisplayValue</t>
  </si>
  <si>
    <t>GEUS User Name</t>
  </si>
  <si>
    <t>Current User</t>
  </si>
  <si>
    <t>VIEW</t>
  </si>
  <si>
    <t>program dimension name</t>
  </si>
  <si>
    <t>sys_application</t>
  </si>
  <si>
    <t>Slice View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</si>
  <si>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</si>
  <si>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</si>
  <si>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</si>
  <si>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</si>
  <si>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</si>
  <si>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</si>
  <si>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</si>
  <si>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</si>
  <si>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</si>
  <si>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</si>
  <si>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Reports - Other</t>
  </si>
  <si>
    <t>Active Form Views and Slices</t>
  </si>
  <si>
    <t>Headline Year :</t>
  </si>
  <si>
    <t>Scenario :</t>
  </si>
  <si>
    <t>Financial Year :</t>
  </si>
  <si>
    <t>Program :</t>
  </si>
  <si>
    <t>DISPLAY SETTINGS</t>
  </si>
  <si>
    <t>Expand Above:</t>
  </si>
  <si>
    <t>Suppress Zero:</t>
  </si>
  <si>
    <t>REPORT PARAMETERS</t>
  </si>
  <si>
    <t>As at</t>
  </si>
  <si>
    <t>ACCOUNT</t>
  </si>
  <si>
    <t>Reports - Capital Budget Statements</t>
  </si>
  <si>
    <t>Homepage - Reports - Analytical</t>
  </si>
  <si>
    <t>=SUBNM(db_name&amp;":period","",$P$11)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</si>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</sst>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-* #,##0_-;[Red]* \(#,##0\)_-;_-* &quot;-&quot;??_-;_-@_-"/>
    <numFmt numFmtId="165" formatCode="dd\ mmmm\ yyyy\ h:mm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0"/>
      <color theme="3" tint="-0.249977111117893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333F48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85">
    <xf numFmtId="0" fontId="0" fillId="0" borderId="0" xfId="0"/>
    <xf numFmtId="0" fontId="3" fillId="0" borderId="0" xfId="0" applyFont="1"/>
    <xf numFmtId="0" fontId="0" fillId="2" borderId="0" xfId="0" applyFill="1"/>
    <xf numFmtId="0" fontId="0" fillId="3" borderId="0" xfId="0" applyFill="1"/>
    <xf numFmtId="0" fontId="5" fillId="2" borderId="0" xfId="0" applyFont="1" applyFill="1"/>
    <xf numFmtId="0" fontId="5" fillId="3" borderId="0" xfId="0" applyFont="1" applyFill="1"/>
    <xf numFmtId="0" fontId="5" fillId="0" borderId="0" xfId="0" applyFont="1"/>
    <xf numFmtId="0" fontId="3" fillId="0" borderId="3" xfId="0" applyFont="1" applyBorder="1"/>
    <xf numFmtId="0" fontId="0" fillId="0" borderId="4" xfId="0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wrapText="1"/>
    </xf>
    <xf numFmtId="0" fontId="3" fillId="4" borderId="7" xfId="0" applyFont="1" applyFill="1" applyBorder="1" applyAlignment="1">
      <alignment horizontal="center" vertical="top" wrapText="1"/>
    </xf>
    <xf numFmtId="0" fontId="0" fillId="5" borderId="7" xfId="0" applyFill="1" applyBorder="1" applyAlignment="1">
      <alignment vertical="top" wrapText="1"/>
    </xf>
    <xf numFmtId="0" fontId="3" fillId="4" borderId="7" xfId="0" applyFont="1" applyFill="1" applyBorder="1" applyAlignment="1">
      <alignment horizontal="right" vertical="top" wrapText="1"/>
    </xf>
    <xf numFmtId="0" fontId="0" fillId="5" borderId="7" xfId="0" applyFill="1" applyBorder="1" applyAlignment="1">
      <alignment horizontal="center" vertical="top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3" fillId="4" borderId="7" xfId="0" applyFont="1" applyFill="1" applyBorder="1" applyAlignment="1">
      <alignment vertical="top" wrapText="1"/>
    </xf>
    <xf numFmtId="0" fontId="0" fillId="0" borderId="7" xfId="0" applyBorder="1" applyAlignment="1">
      <alignment wrapText="1"/>
    </xf>
    <xf numFmtId="0" fontId="7" fillId="0" borderId="0" xfId="1" applyFont="1" applyAlignment="1">
      <alignment vertical="top" wrapText="1"/>
    </xf>
    <xf numFmtId="0" fontId="0" fillId="0" borderId="0" xfId="0" applyAlignment="1" applyProtection="1">
      <alignment horizontal="left" vertical="top" wrapText="1"/>
      <protection locked="0"/>
    </xf>
    <xf numFmtId="0" fontId="0" fillId="6" borderId="0" xfId="0" applyFill="1"/>
    <xf numFmtId="0" fontId="3" fillId="0" borderId="5" xfId="0" applyFont="1" applyBorder="1"/>
    <xf numFmtId="0" fontId="3" fillId="0" borderId="10" xfId="0" applyFont="1" applyBorder="1"/>
    <xf numFmtId="0" fontId="3" fillId="0" borderId="6" xfId="0" applyFont="1" applyBorder="1"/>
    <xf numFmtId="0" fontId="8" fillId="0" borderId="7" xfId="1" applyFont="1" applyBorder="1" applyAlignment="1">
      <alignment horizontal="right" indent="1"/>
    </xf>
    <xf numFmtId="0" fontId="5" fillId="0" borderId="7" xfId="0" applyFont="1" applyBorder="1"/>
    <xf numFmtId="0" fontId="0" fillId="0" borderId="0" xfId="0" applyAlignment="1">
      <alignment vertical="top"/>
    </xf>
    <xf numFmtId="49" fontId="5" fillId="0" borderId="0" xfId="0" applyNumberFormat="1" applyFont="1"/>
    <xf numFmtId="164" fontId="10" fillId="7" borderId="12" xfId="2" applyNumberFormat="1" applyFont="1" applyFill="1" applyBorder="1" applyAlignment="1">
      <alignment vertical="top"/>
    </xf>
    <xf numFmtId="164" fontId="10" fillId="7" borderId="11" xfId="2" applyNumberFormat="1" applyFont="1" applyFill="1" applyBorder="1" applyAlignment="1">
      <alignment vertical="top"/>
    </xf>
    <xf numFmtId="164" fontId="5" fillId="8" borderId="13" xfId="2" applyNumberFormat="1" applyFont="1" applyFill="1" applyBorder="1" applyAlignment="1">
      <alignment vertical="top"/>
    </xf>
    <xf numFmtId="164" fontId="5" fillId="8" borderId="0" xfId="2" applyNumberFormat="1" applyFont="1" applyFill="1" applyAlignment="1">
      <alignment vertical="top"/>
    </xf>
    <xf numFmtId="164" fontId="5" fillId="8" borderId="14" xfId="2" applyNumberFormat="1" applyFont="1" applyFill="1" applyBorder="1" applyAlignment="1">
      <alignment vertical="top"/>
    </xf>
    <xf numFmtId="164" fontId="5" fillId="9" borderId="13" xfId="2" applyNumberFormat="1" applyFont="1" applyFill="1" applyBorder="1" applyAlignment="1">
      <alignment vertical="top"/>
    </xf>
    <xf numFmtId="164" fontId="5" fillId="9" borderId="0" xfId="2" applyNumberFormat="1" applyFont="1" applyFill="1" applyAlignment="1">
      <alignment vertical="top"/>
    </xf>
    <xf numFmtId="164" fontId="5" fillId="9" borderId="14" xfId="2" applyNumberFormat="1" applyFont="1" applyFill="1" applyBorder="1" applyAlignment="1">
      <alignment vertical="top"/>
    </xf>
    <xf numFmtId="164" fontId="5" fillId="0" borderId="13" xfId="2" applyNumberFormat="1" applyFont="1" applyBorder="1" applyAlignment="1">
      <alignment vertical="top"/>
    </xf>
    <xf numFmtId="164" fontId="5" fillId="0" borderId="0" xfId="2" applyNumberFormat="1" applyFont="1" applyAlignment="1">
      <alignment vertical="top"/>
    </xf>
    <xf numFmtId="164" fontId="5" fillId="0" borderId="14" xfId="2" applyNumberFormat="1" applyFont="1" applyBorder="1" applyAlignment="1">
      <alignment vertical="top"/>
    </xf>
    <xf numFmtId="0" fontId="4" fillId="0" borderId="13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0" fillId="0" borderId="13" xfId="0" applyBorder="1"/>
    <xf numFmtId="0" fontId="0" fillId="0" borderId="14" xfId="0" applyBorder="1"/>
    <xf numFmtId="164" fontId="10" fillId="7" borderId="15" xfId="2" applyNumberFormat="1" applyFont="1" applyFill="1" applyBorder="1" applyAlignment="1">
      <alignment vertical="top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3" fillId="0" borderId="7" xfId="0" applyFont="1" applyBorder="1"/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7" xfId="0" applyBorder="1"/>
    <xf numFmtId="0" fontId="9" fillId="0" borderId="0" xfId="0" applyFont="1" applyAlignment="1">
      <alignment vertical="top" wrapText="1"/>
    </xf>
    <xf numFmtId="0" fontId="11" fillId="0" borderId="7" xfId="0" applyFont="1" applyBorder="1" applyAlignment="1">
      <alignment vertical="top"/>
    </xf>
    <xf numFmtId="0" fontId="0" fillId="4" borderId="7" xfId="0" applyFill="1" applyBorder="1"/>
    <xf numFmtId="0" fontId="12" fillId="0" borderId="0" xfId="1" applyFont="1" applyAlignment="1">
      <alignment horizontal="center" wrapText="1"/>
    </xf>
    <xf numFmtId="0" fontId="0" fillId="0" borderId="0" xfId="0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6" fillId="10" borderId="0" xfId="0" applyFont="1" applyFill="1" applyAlignment="1">
      <alignment vertical="center"/>
    </xf>
    <xf numFmtId="0" fontId="6" fillId="10" borderId="0" xfId="0" applyFont="1" applyFill="1" applyAlignment="1">
      <alignment horizontal="right" vertical="center"/>
    </xf>
    <xf numFmtId="0" fontId="0" fillId="10" borderId="0" xfId="0" applyFill="1" applyAlignment="1">
      <alignment wrapText="1"/>
    </xf>
    <xf numFmtId="0" fontId="4" fillId="10" borderId="0" xfId="0" applyFont="1" applyFill="1" applyAlignment="1">
      <alignment horizontal="center" wrapText="1"/>
    </xf>
    <xf numFmtId="0" fontId="3" fillId="0" borderId="0" xfId="0" applyFont="1" applyAlignment="1">
      <alignment horizontal="right" indent="1"/>
    </xf>
    <xf numFmtId="0" fontId="12" fillId="0" borderId="7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right"/>
    </xf>
    <xf numFmtId="0" fontId="0" fillId="0" borderId="0" xfId="0" quotePrefix="1"/>
    <xf numFmtId="0" fontId="2" fillId="10" borderId="0" xfId="0" applyFont="1" applyFill="1" applyAlignment="1">
      <alignment horizontal="left" wrapText="1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2" fillId="11" borderId="13" xfId="0" applyFont="1" applyFill="1" applyBorder="1" applyAlignment="1">
      <alignment horizontal="center" wrapText="1"/>
    </xf>
    <xf numFmtId="0" fontId="2" fillId="11" borderId="0" xfId="0" applyFont="1" applyFill="1" applyAlignment="1">
      <alignment horizontal="center" wrapText="1"/>
    </xf>
    <xf numFmtId="49" fontId="5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9" fillId="7" borderId="11" xfId="0" applyFont="1" applyFill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9" fillId="0" borderId="0" xfId="0" applyFont="1" applyAlignment="1">
      <alignment horizontal="left" vertical="top" wrapText="1"/>
    </xf>
    <xf numFmtId="165" fontId="3" fillId="0" borderId="0" xfId="0" applyNumberFormat="1" applyFont="1" applyAlignment="1">
      <alignment horizontal="left" indent="1"/>
    </xf>
    <xf numFmtId="0" fontId="12" fillId="0" borderId="7" xfId="0" applyFont="1" applyBorder="1" applyAlignment="1" applyProtection="1">
      <alignment horizontal="left" vertical="center" indent="1"/>
      <protection locked="0"/>
    </xf>
  </cellXfs>
  <cellStyles count="3">
    <cellStyle name="Comma 4" xfId="2"/>
    <cellStyle name="Normal" xfId="0" builtinId="0"/>
    <cellStyle name="Normal 3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426A"/>
      <color rgb="FF0042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6" Type="http://schemas.openxmlformats.org/officeDocument/2006/relationships/image" Target="../media/image6.emf"/><Relationship Id="rId5" Type="http://schemas.openxmlformats.org/officeDocument/2006/relationships/image" Target="../media/image1.emf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733425</xdr:colOff>
          <xdr:row>76</xdr:row>
          <xdr:rowOff>38100</xdr:rowOff>
        </xdr:from>
        <xdr:to>
          <xdr:col>19</xdr:col>
          <xdr:colOff>0</xdr:colOff>
          <xdr:row>77</xdr:row>
          <xdr:rowOff>285750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85725</xdr:colOff>
          <xdr:row>77</xdr:row>
          <xdr:rowOff>9525</xdr:rowOff>
        </xdr:from>
        <xdr:to>
          <xdr:col>9</xdr:col>
          <xdr:colOff>723900</xdr:colOff>
          <xdr:row>77</xdr:row>
          <xdr:rowOff>257175</xdr:rowOff>
        </xdr:to>
        <xdr:sp macro="" textlink="">
          <xdr:nvSpPr>
            <xdr:cNvPr id="1029" name="TIButton2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77</xdr:row>
          <xdr:rowOff>9525</xdr:rowOff>
        </xdr:from>
        <xdr:to>
          <xdr:col>14</xdr:col>
          <xdr:colOff>895350</xdr:colOff>
          <xdr:row>77</xdr:row>
          <xdr:rowOff>257175</xdr:rowOff>
        </xdr:to>
        <xdr:sp macro="" textlink="">
          <xdr:nvSpPr>
            <xdr:cNvPr id="1030" name="TIButton3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762000</xdr:colOff>
          <xdr:row>77</xdr:row>
          <xdr:rowOff>9525</xdr:rowOff>
        </xdr:from>
        <xdr:to>
          <xdr:col>10</xdr:col>
          <xdr:colOff>666750</xdr:colOff>
          <xdr:row>77</xdr:row>
          <xdr:rowOff>257175</xdr:rowOff>
        </xdr:to>
        <xdr:sp macro="" textlink="">
          <xdr:nvSpPr>
            <xdr:cNvPr id="1031" name="TIButton1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685800</xdr:colOff>
          <xdr:row>77</xdr:row>
          <xdr:rowOff>9525</xdr:rowOff>
        </xdr:from>
        <xdr:to>
          <xdr:col>11</xdr:col>
          <xdr:colOff>1257300</xdr:colOff>
          <xdr:row>77</xdr:row>
          <xdr:rowOff>257175</xdr:rowOff>
        </xdr:to>
        <xdr:sp macro="" textlink="">
          <xdr:nvSpPr>
            <xdr:cNvPr id="1032" name="TIButton5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9</xdr:col>
      <xdr:colOff>19050</xdr:colOff>
      <xdr:row>75</xdr:row>
      <xdr:rowOff>19050</xdr:rowOff>
    </xdr:from>
    <xdr:to>
      <xdr:col>10</xdr:col>
      <xdr:colOff>632160</xdr:colOff>
      <xdr:row>76</xdr:row>
      <xdr:rowOff>1091</xdr:rowOff>
    </xdr:to>
    <xdr:pic>
      <xdr:nvPicPr>
        <xdr:cNvPr id="9" name="Picture 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9050"/>
          <a:ext cx="1841835" cy="484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1285875</xdr:colOff>
          <xdr:row>77</xdr:row>
          <xdr:rowOff>9525</xdr:rowOff>
        </xdr:from>
        <xdr:to>
          <xdr:col>14</xdr:col>
          <xdr:colOff>95250</xdr:colOff>
          <xdr:row>77</xdr:row>
          <xdr:rowOff>257175</xdr:rowOff>
        </xdr:to>
        <xdr:sp macro="" textlink="">
          <xdr:nvSpPr>
            <xdr:cNvPr id="1033" name="TIButton6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outlinePr showOutlineSymbols="0"/>
    <pageSetUpPr fitToPage="1"/>
  </sheetPr>
  <dimension ref="A1:Y108"/>
  <sheetViews>
    <sheetView showGridLines="0" tabSelected="1" showOutlineSymbols="0" topLeftCell="J76" zoomScaleNormal="100" workbookViewId="0">
      <pane ySplit="13" topLeftCell="A89" activePane="bottomLeft" state="frozen"/>
      <selection activeCell="J76" sqref="J76"/>
      <selection pane="bottomLeft" activeCell="K82" sqref="K82:L82"/>
    </sheetView>
  </sheetViews>
  <sheetFormatPr defaultRowHeight="15" outlineLevelRow="1" outlineLevelCol="1" x14ac:dyDescent="0.25"/>
  <cols>
    <col min="1" max="1" width="5.42578125" hidden="1" customWidth="1" outlineLevel="1"/>
    <col min="2" max="2" width="18.28515625" hidden="1" customWidth="1" outlineLevel="1"/>
    <col min="3" max="3" width="56.5703125" hidden="1" customWidth="1" outlineLevel="1"/>
    <col min="4" max="4" width="33" hidden="1" customWidth="1" outlineLevel="1"/>
    <col min="5" max="5" width="24" hidden="1" customWidth="1" outlineLevel="1"/>
    <col min="6" max="6" width="20.42578125" hidden="1" customWidth="1" outlineLevel="1"/>
    <col min="7" max="7" width="18.7109375" hidden="1" customWidth="1" outlineLevel="1"/>
    <col min="8" max="8" width="21.42578125" hidden="1" customWidth="1" outlineLevel="1"/>
    <col min="9" max="9" width="0.85546875" hidden="1" customWidth="1" outlineLevel="1"/>
    <col min="10" max="10" width="18.42578125" customWidth="1" collapsed="1"/>
    <col min="11" max="11" width="11.7109375" bestFit="1" customWidth="1"/>
    <col min="12" max="12" width="19.7109375" customWidth="1"/>
    <col min="13" max="13" width="5.7109375" customWidth="1"/>
    <col min="14" max="19" width="15.7109375" customWidth="1"/>
  </cols>
  <sheetData>
    <row r="1" spans="1:19" hidden="1" outlineLevel="1" x14ac:dyDescent="0.25">
      <c r="A1" t="s">
        <v>21</v>
      </c>
    </row>
    <row r="2" spans="1:19" hidden="1" outlineLevel="1" x14ac:dyDescent="0.25">
      <c r="A2">
        <f>0</f>
        <v>0</v>
      </c>
      <c r="B2" s="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34"/>
      <c r="O2" s="35"/>
      <c r="P2" s="35"/>
      <c r="Q2" s="35"/>
      <c r="R2" s="35"/>
      <c r="S2" s="36"/>
    </row>
    <row r="3" spans="1:19" hidden="1" outlineLevel="1" x14ac:dyDescent="0.25">
      <c r="A3">
        <f>1</f>
        <v>1</v>
      </c>
      <c r="B3" s="3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37"/>
      <c r="O3" s="38"/>
      <c r="P3" s="38"/>
      <c r="Q3" s="38"/>
      <c r="R3" s="38"/>
      <c r="S3" s="39"/>
    </row>
    <row r="4" spans="1:19" hidden="1" outlineLevel="1" x14ac:dyDescent="0.25">
      <c r="A4">
        <f>2</f>
        <v>2</v>
      </c>
      <c r="B4" s="3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37"/>
      <c r="O4" s="38"/>
      <c r="P4" s="38"/>
      <c r="Q4" s="38"/>
      <c r="R4" s="38"/>
      <c r="S4" s="39"/>
    </row>
    <row r="5" spans="1:19" hidden="1" outlineLevel="1" x14ac:dyDescent="0.25">
      <c r="A5">
        <f>3</f>
        <v>3</v>
      </c>
      <c r="B5" s="3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37"/>
      <c r="O5" s="38"/>
      <c r="P5" s="38"/>
      <c r="Q5" s="38"/>
      <c r="R5" s="38"/>
      <c r="S5" s="39"/>
    </row>
    <row r="6" spans="1:19" hidden="1" outlineLevel="1" x14ac:dyDescent="0.25">
      <c r="A6" t="s">
        <v>19</v>
      </c>
      <c r="B6" s="3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37"/>
      <c r="O6" s="38"/>
      <c r="P6" s="38"/>
      <c r="Q6" s="38"/>
      <c r="R6" s="38"/>
      <c r="S6" s="39"/>
    </row>
    <row r="7" spans="1:19" hidden="1" outlineLevel="1" x14ac:dyDescent="0.25">
      <c r="A7" t="s">
        <v>20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40"/>
      <c r="O7" s="41"/>
      <c r="P7" s="41"/>
      <c r="Q7" s="41"/>
      <c r="R7" s="41"/>
      <c r="S7" s="42"/>
    </row>
    <row r="8" spans="1:19" hidden="1" outlineLevel="1" x14ac:dyDescent="0.25">
      <c r="A8" t="s">
        <v>22</v>
      </c>
    </row>
    <row r="9" spans="1:19" hidden="1" outlineLevel="1" x14ac:dyDescent="0.25"/>
    <row r="10" spans="1:19" ht="60.75" hidden="1" outlineLevel="1" thickBot="1" x14ac:dyDescent="0.3">
      <c r="M10" s="20" t="s">
        <v>33</v>
      </c>
      <c r="N10" s="11" t="s">
        <v>34</v>
      </c>
      <c r="O10" s="12" t="str">
        <f ca="1">RIGHT($K$82,9)</f>
        <v>2025-2026</v>
      </c>
      <c r="P10" s="13" t="s">
        <v>35</v>
      </c>
      <c r="Q10" s="12" t="str">
        <f ca="1">O11</f>
        <v>2025-2026</v>
      </c>
      <c r="R10" s="13" t="s">
        <v>36</v>
      </c>
      <c r="S10" s="14" t="str">
        <f ca="1">HLOOKUP(Q10,N11:S13,3,FALSE)</f>
        <v>RB</v>
      </c>
    </row>
    <row r="11" spans="1:19" ht="45.75" hidden="1" outlineLevel="1" thickBot="1" x14ac:dyDescent="0.3">
      <c r="B11" s="71" t="s">
        <v>23</v>
      </c>
      <c r="C11" s="72"/>
      <c r="M11" s="21" t="s">
        <v>37</v>
      </c>
      <c r="N11" s="9" t="str" cm="1">
        <f t="array" aca="1" ref="N11" ca="1">_xll.DIMNM(db_name&amp;":period",_xll.DIMIX(db_name&amp;":period",$O$10)+N$12)</f>
        <v>2024-2025</v>
      </c>
      <c r="O11" s="9" t="str" cm="1">
        <f t="array" aca="1" ref="O11" ca="1">_xll.DIMNM(db_name&amp;":period",_xll.DIMIX(db_name&amp;":period",$O$10)+O$12)</f>
        <v>2025-2026</v>
      </c>
      <c r="P11" s="9" t="str" cm="1">
        <f t="array" aca="1" ref="P11" ca="1">_xll.DIMNM(db_name&amp;":period",_xll.DIMIX(db_name&amp;":period",$O$10)+P$12)</f>
        <v>2026-2027</v>
      </c>
      <c r="Q11" s="9" t="str" cm="1">
        <f t="array" aca="1" ref="Q11" ca="1">_xll.DIMNM(db_name&amp;":period",_xll.DIMIX(db_name&amp;":period",$O$10)+Q$12)</f>
        <v>2027-2028</v>
      </c>
      <c r="R11" s="9" t="str" cm="1">
        <f t="array" aca="1" ref="R11" ca="1">_xll.DIMNM(db_name&amp;":period",_xll.DIMIX(db_name&amp;":period",$O$10)+R$12)</f>
        <v>2028-2029</v>
      </c>
      <c r="S11" s="9" t="str" cm="1">
        <f t="array" aca="1" ref="S11" ca="1">_xll.DIMNM(db_name&amp;":period",_xll.DIMIX(db_name&amp;":period",$O$10)+S$12)</f>
        <v>2029-2030</v>
      </c>
    </row>
    <row r="12" spans="1:19" ht="30.75" hidden="1" outlineLevel="1" thickBot="1" x14ac:dyDescent="0.3">
      <c r="B12" s="7" t="s">
        <v>24</v>
      </c>
      <c r="C12" s="8" t="s">
        <v>104</v>
      </c>
      <c r="M12" s="21" t="s">
        <v>38</v>
      </c>
      <c r="N12" s="9">
        <v>-1</v>
      </c>
      <c r="O12" s="9">
        <v>0</v>
      </c>
      <c r="P12" s="9">
        <v>1</v>
      </c>
      <c r="Q12" s="9">
        <v>2</v>
      </c>
      <c r="R12" s="9">
        <v>3</v>
      </c>
      <c r="S12" s="9">
        <v>4</v>
      </c>
    </row>
    <row r="13" spans="1:19" ht="60" hidden="1" outlineLevel="1" x14ac:dyDescent="0.25">
      <c r="B13" s="50" t="s">
        <v>70</v>
      </c>
      <c r="C13" s="51" t="str" cm="1">
        <f t="array" aca="1" ref="C13" ca="1">_xll.VIEW(db_name&amp;":}ElementAttributes_}Clients","!","!")</f>
        <v>dcceew_geus:}ElementAttributes_}Clients</v>
      </c>
      <c r="M13" s="21" t="s">
        <v>39</v>
      </c>
      <c r="N13" s="9" t="s">
        <v>40</v>
      </c>
      <c r="O13" s="9" t="s">
        <v>41</v>
      </c>
      <c r="P13" s="9" t="s">
        <v>42</v>
      </c>
      <c r="Q13" s="9" t="s">
        <v>43</v>
      </c>
      <c r="R13" s="9" t="s">
        <v>44</v>
      </c>
      <c r="S13" s="9" t="s">
        <v>45</v>
      </c>
    </row>
    <row r="14" spans="1:19" hidden="1" outlineLevel="1" x14ac:dyDescent="0.25">
      <c r="B14" s="50" t="s">
        <v>71</v>
      </c>
      <c r="C14" s="52" t="str" cm="1">
        <f t="array" aca="1" ref="C14" ca="1">_xll.TM1USER(db_name)</f>
        <v>CAMID("pans:u:kgimena@excelerated.com.au")</v>
      </c>
    </row>
    <row r="15" spans="1:19" hidden="1" outlineLevel="1" x14ac:dyDescent="0.25">
      <c r="B15" s="50" t="s">
        <v>72</v>
      </c>
      <c r="C15" s="52" t="str" cm="1">
        <f t="array" aca="1" ref="C15" ca="1">_xll.DBR($C$13,$C$14,$B15)</f>
        <v>Business Analytics/Khristian Gimena</v>
      </c>
    </row>
    <row r="16" spans="1:19" hidden="1" outlineLevel="1" x14ac:dyDescent="0.25">
      <c r="B16" s="50" t="s">
        <v>73</v>
      </c>
      <c r="C16" s="52" t="str" cm="1">
        <f t="array" aca="1" ref="C16" ca="1">_xll.DBR($C$13,$C$14,$B16)</f>
        <v>Khristian Gimena</v>
      </c>
    </row>
    <row r="17" spans="2:8" hidden="1" outlineLevel="1" x14ac:dyDescent="0.25">
      <c r="B17" s="50" t="s">
        <v>74</v>
      </c>
      <c r="C17" s="52" t="str">
        <f ca="1">IF(LEFT($C$15,6)="CAM_AD",$C$16,$C$15)</f>
        <v>Business Analytics/Khristian Gimena</v>
      </c>
    </row>
    <row r="18" spans="2:8" ht="15.75" hidden="1" outlineLevel="1" thickBot="1" x14ac:dyDescent="0.3"/>
    <row r="19" spans="2:8" ht="15.75" hidden="1" outlineLevel="1" thickBot="1" x14ac:dyDescent="0.3">
      <c r="B19" s="71" t="s">
        <v>25</v>
      </c>
      <c r="C19" s="72"/>
    </row>
    <row r="20" spans="2:8" hidden="1" outlineLevel="1" x14ac:dyDescent="0.25">
      <c r="B20" s="53" t="s">
        <v>75</v>
      </c>
      <c r="C20" s="53" t="str" cm="1">
        <f t="array" aca="1" ref="C20" ca="1">_xll.VIEW(db_name&amp;":}ElementAttributes_variables","!","!")</f>
        <v>dcceew_geus:}ElementAttributes_variables</v>
      </c>
    </row>
    <row r="21" spans="2:8" hidden="1" outlineLevel="1" x14ac:dyDescent="0.25">
      <c r="B21" s="53" t="s">
        <v>0</v>
      </c>
      <c r="C21" s="53" t="str" cm="1">
        <f t="array" aca="1" ref="C21" ca="1">_xll.DBR($C$20,$B21,"value")</f>
        <v>HL2025-2026</v>
      </c>
    </row>
    <row r="22" spans="2:8" hidden="1" outlineLevel="1" x14ac:dyDescent="0.25">
      <c r="B22" s="53" t="s">
        <v>26</v>
      </c>
      <c r="C22" s="53" t="str" cm="1">
        <f t="array" aca="1" ref="C22" ca="1">_xll.DBR($C$20,$B22,"value")</f>
        <v>current</v>
      </c>
    </row>
    <row r="23" spans="2:8" hidden="1" outlineLevel="1" x14ac:dyDescent="0.25">
      <c r="B23" s="53" t="s">
        <v>76</v>
      </c>
      <c r="C23" s="53" t="str" cm="1">
        <f t="array" aca="1" ref="C23" ca="1">_xll.DBR($C$20,$B23,"value")</f>
        <v>programme</v>
      </c>
    </row>
    <row r="24" spans="2:8" hidden="1" outlineLevel="1" x14ac:dyDescent="0.25"/>
    <row r="25" spans="2:8" hidden="1" outlineLevel="1" x14ac:dyDescent="0.25">
      <c r="B25" s="73" t="s">
        <v>77</v>
      </c>
      <c r="C25" s="74"/>
      <c r="D25" s="75"/>
    </row>
    <row r="26" spans="2:8" hidden="1" outlineLevel="1" x14ac:dyDescent="0.25">
      <c r="B26" s="50" t="s">
        <v>78</v>
      </c>
      <c r="C26" s="53" t="str" cm="1">
        <f t="array" aca="1" ref="C26" ca="1">_xll.VIEW(db_name&amp;":sys_application","!","!")</f>
        <v>dcceew_geus:sys_application</v>
      </c>
      <c r="D26" s="53"/>
    </row>
    <row r="27" spans="2:8" hidden="1" outlineLevel="1" x14ac:dyDescent="0.25">
      <c r="B27" s="50" t="s">
        <v>79</v>
      </c>
      <c r="C27" t="s">
        <v>101</v>
      </c>
      <c r="D27" s="53"/>
    </row>
    <row r="28" spans="2:8" hidden="1" outlineLevel="1" x14ac:dyDescent="0.25">
      <c r="B28" s="53"/>
      <c r="C28" s="50" t="s">
        <v>80</v>
      </c>
      <c r="D28" s="50" t="s">
        <v>81</v>
      </c>
      <c r="E28" s="50" t="s">
        <v>82</v>
      </c>
      <c r="F28" s="50" t="s">
        <v>83</v>
      </c>
      <c r="G28" s="50" t="s">
        <v>84</v>
      </c>
      <c r="H28" s="50" t="s">
        <v>85</v>
      </c>
    </row>
    <row r="29" spans="2:8" hidden="1" outlineLevel="1" x14ac:dyDescent="0.25">
      <c r="B29" s="53" t="s">
        <v>86</v>
      </c>
      <c r="C29" s="53" t="str" cm="1">
        <f t="array" aca="1" ref="C29" ca="1">_xll.DBR($C$26,$B29,C$28)</f>
        <v>TM1HomeCAP</v>
      </c>
      <c r="D29" s="53" t="str" cm="1">
        <f t="array" aca="1" ref="D29" ca="1">_xll.DBR($C$26,$B29,D$28)</f>
        <v>Home</v>
      </c>
      <c r="E29" s="53" t="str" cm="1">
        <f t="array" aca="1" ref="E29" ca="1">_xll.DBR($C$26,$B29,E$28)</f>
        <v>TM1HomeWB</v>
      </c>
      <c r="F29" s="53" t="str" cm="1">
        <f t="array" aca="1" ref="F29" ca="1">_xll.DBR($C$26,$B29,F$28)</f>
        <v>PRIMUS\GEUS WEB\Homepage\sys_Home.xlsx</v>
      </c>
      <c r="G29" s="53" t="str" cm="1">
        <f t="array" aca="1" ref="G29" ca="1">_xll.DBR($C$26,$B29,G$28)</f>
        <v>TM1HomeWS</v>
      </c>
      <c r="H29" s="53" t="str" cm="1">
        <f t="array" aca="1" ref="H29" ca="1">_xll.DBR($C$26,$B29,H$28)</f>
        <v>home</v>
      </c>
    </row>
    <row r="30" spans="2:8" hidden="1" outlineLevel="1" x14ac:dyDescent="0.25">
      <c r="B30" s="53" t="s">
        <v>87</v>
      </c>
      <c r="C30" s="53" t="str" cm="1">
        <f t="array" aca="1" ref="C30" ca="1">_xll.DBR($C$26,$B30,C$28)</f>
        <v>TM1HomeAECAP</v>
      </c>
      <c r="D30" s="53" t="str" cm="1">
        <f t="array" aca="1" ref="D30" ca="1">_xll.DBR($C$26,$B30,D$28)</f>
        <v>Annual Estimates</v>
      </c>
      <c r="E30" s="53" t="str" cm="1">
        <f t="array" aca="1" ref="E30" ca="1">_xll.DBR($C$26,$B30,E$28)</f>
        <v>TM1HomeAEWB</v>
      </c>
      <c r="F30" s="53" t="str" cm="1">
        <f t="array" aca="1" ref="F30" ca="1">_xll.DBR($C$26,$B30,F$28)</f>
        <v>PRIMUS\GEUS WEB\Homepage\sys_Home - Annual Estimates - Data Entry.xlsx</v>
      </c>
      <c r="G30" s="53" t="str" cm="1">
        <f t="array" aca="1" ref="G30" ca="1">_xll.DBR($C$26,$B30,G$28)</f>
        <v>TM1HomeAEWS</v>
      </c>
      <c r="H30" s="53" t="str" cm="1">
        <f t="array" aca="1" ref="H30" ca="1">_xll.DBR($C$26,$B30,H$28)</f>
        <v>Menu</v>
      </c>
    </row>
    <row r="31" spans="2:8" hidden="1" outlineLevel="1" x14ac:dyDescent="0.25">
      <c r="B31" s="53" t="s">
        <v>88</v>
      </c>
      <c r="C31" s="53" t="str" cm="1">
        <f t="array" aca="1" ref="C31" ca="1">_xll.DBR($C$26,$B31,C$28)</f>
        <v>TM1HomeRepCAP</v>
      </c>
      <c r="D31" s="53" t="str" cm="1">
        <f t="array" aca="1" ref="D31" ca="1">_xll.DBR($C$26,$B31,D$28)</f>
        <v>Reports</v>
      </c>
      <c r="E31" s="53" t="str" cm="1">
        <f t="array" aca="1" ref="E31" ca="1">_xll.DBR($C$26,$B31,E$28)</f>
        <v>TM1HomeRepWB</v>
      </c>
      <c r="F31" s="53" t="str" cm="1">
        <f t="array" aca="1" ref="F31" ca="1">_xll.DBR($C$26,$B31,F$28)</f>
        <v>PRIMUS\GEUS WEB\Homepage\sys_Home - Reports - PFS.xlsx</v>
      </c>
      <c r="G31" s="53" t="str" cm="1">
        <f t="array" aca="1" ref="G31" ca="1">_xll.DBR($C$26,$B31,G$28)</f>
        <v>TM1HomeRepWS</v>
      </c>
      <c r="H31" s="53" t="str" cm="1">
        <f t="array" aca="1" ref="H31" ca="1">_xll.DBR($C$26,$B31,H$28)</f>
        <v>Menu</v>
      </c>
    </row>
    <row r="32" spans="2:8" hidden="1" outlineLevel="1" x14ac:dyDescent="0.25">
      <c r="B32" s="53" t="s">
        <v>89</v>
      </c>
      <c r="C32" s="53" t="str" cm="1">
        <f t="array" aca="1" ref="C32" ca="1">_xll.DBR($C$26,$B32,C$28)</f>
        <v>TM1HomeRepOtherCAP</v>
      </c>
      <c r="D32" s="53" t="str" cm="1">
        <f t="array" aca="1" ref="D32" ca="1">_xll.DBR($C$26,$B32,D$28)</f>
        <v>Other Reports Menu</v>
      </c>
      <c r="E32" s="53" t="str" cm="1">
        <f t="array" aca="1" ref="E32" ca="1">_xll.DBR($C$26,$B32,E$28)</f>
        <v>TM1HomeRepOtherWB</v>
      </c>
      <c r="F32" s="53" t="str" cm="1">
        <f t="array" aca="1" ref="F32" ca="1">_xll.DBR($C$26,$B32,F$28)</f>
        <v>PRIMUS\GEUS WEB\Homepage\sys_Home - Reports - Other.xlsx</v>
      </c>
      <c r="G32" s="53" t="str" cm="1">
        <f t="array" aca="1" ref="G32" ca="1">_xll.DBR($C$26,$B32,G$28)</f>
        <v>TM1HomeRepOtherWS</v>
      </c>
      <c r="H32" s="53" t="str" cm="1">
        <f t="array" aca="1" ref="H32" ca="1">_xll.DBR($C$26,$B32,H$28)</f>
        <v>Menu</v>
      </c>
    </row>
    <row r="33" spans="2:8" hidden="1" outlineLevel="1" x14ac:dyDescent="0.25">
      <c r="B33" s="53" t="s">
        <v>102</v>
      </c>
      <c r="C33" s="53" t="str" cm="1">
        <f t="array" aca="1" ref="C33" ca="1">_xll.DBR($C$26,$B33,C$28)</f>
        <v>TM1HomeRepAnalyticalCAP</v>
      </c>
      <c r="D33" s="53" t="str" cm="1">
        <f t="array" aca="1" ref="D33" ca="1">_xll.DBR($C$26,$B33,D$28)</f>
        <v>Analytical Reports Menu</v>
      </c>
      <c r="E33" s="53" t="str" cm="1">
        <f t="array" aca="1" ref="E33" ca="1">_xll.DBR($C$26,$B33,E$28)</f>
        <v>TM1HomeRepAnalyticalWB</v>
      </c>
      <c r="F33" s="53" t="str" cm="1">
        <f t="array" aca="1" ref="F33" ca="1">_xll.DBR($C$26,$B33,F$28)</f>
        <v>PRIMUS\GEUS WEB\Homepage\sys_Home - Reports - Analytical.xlsx</v>
      </c>
      <c r="G33" s="53" t="str" cm="1">
        <f t="array" aca="1" ref="G33" ca="1">_xll.DBR($C$26,$B33,G$28)</f>
        <v>TM1HomeRepAnalyticalWS</v>
      </c>
      <c r="H33" s="53" t="str" cm="1">
        <f t="array" aca="1" ref="H33" ca="1">_xll.DBR($C$26,$B33,H$28)</f>
        <v>Menu</v>
      </c>
    </row>
    <row r="34" spans="2:8" hidden="1" outlineLevel="1" x14ac:dyDescent="0.25"/>
    <row r="35" spans="2:8" hidden="1" outlineLevel="1" x14ac:dyDescent="0.25">
      <c r="B35" s="53" t="s">
        <v>27</v>
      </c>
      <c r="C35" s="50" t="s">
        <v>28</v>
      </c>
    </row>
    <row r="36" spans="2:8" hidden="1" outlineLevel="1" x14ac:dyDescent="0.25">
      <c r="B36" s="53"/>
      <c r="C36" s="50" t="s">
        <v>29</v>
      </c>
    </row>
    <row r="37" spans="2:8" hidden="1" outlineLevel="1" x14ac:dyDescent="0.25">
      <c r="B37" s="53" t="s">
        <v>30</v>
      </c>
      <c r="C37" s="53" t="s">
        <v>31</v>
      </c>
    </row>
    <row r="38" spans="2:8" hidden="1" outlineLevel="1" x14ac:dyDescent="0.25">
      <c r="B38" s="53"/>
      <c r="C38" s="53" t="s">
        <v>32</v>
      </c>
    </row>
    <row r="39" spans="2:8" ht="15.75" hidden="1" outlineLevel="1" thickBot="1" x14ac:dyDescent="0.3"/>
    <row r="40" spans="2:8" hidden="1" outlineLevel="1" x14ac:dyDescent="0.25">
      <c r="B40" s="69" t="s">
        <v>90</v>
      </c>
      <c r="C40" s="70"/>
    </row>
    <row r="41" spans="2:8" hidden="1" outlineLevel="1" x14ac:dyDescent="0.25">
      <c r="B41" s="55" t="s">
        <v>15</v>
      </c>
      <c r="C41" s="53" t="str">
        <f ca="1">_xll.TM1RPTVIEW(db_name&amp;":AE adjustments:1",$C$72, _xll.TM1RPTTITLE(db_name&amp;":headline year",$C$48), _xll.TM1RPTTITLE(db_name&amp;":scenario",$C$49), _xll.TM1RPTTITLE(db_name&amp;":status",$C$50), _xll.TM1RPTTITLE(db_name&amp;":outcome",$C$51), _xll.TM1RPTTITLE(db_name&amp;":related entity",$C$52), _xll.TM1RPTTITLE(db_name&amp;":function",$C$53), _xll.TM1RPTTITLE(db_name&amp;":reason",$C$54), _xll.TM1RPTTITLE(db_name&amp;":spp",$C$55), _xll.TM1RPTTITLE(db_name&amp;":measure code",$C$56), _xll.TM1RPTTITLE(db_name&amp;":appropriation type",$C$57), _xll.TM1RPTTITLE(db_name&amp;":movement account",$C$58), _xll.TM1RPTTITLE(db_name&amp;":appropriation item",$C$59), _xll.TM1RPTTITLE(db_name&amp;":programme",$C$60), _xll.TM1RPTTITLE(db_name&amp;":id",$C$62), _xll.TM1RPTTITLE(db_name&amp;":jurisdiction",$C$63),TM1RPTFMTRNG,TM1RPTFMTIDCOL)</f>
        <v>dcceew_geus:AE adjustments:1</v>
      </c>
    </row>
    <row r="42" spans="2:8" ht="15" hidden="1" customHeight="1" outlineLevel="1" x14ac:dyDescent="0.25">
      <c r="B42" s="55" t="s">
        <v>16</v>
      </c>
      <c r="C42" s="53" t="str">
        <f ca="1">_xll.TM1RPTVIEW(db_name&amp;":AE adjustments:ARPT2",$C$72, _xll.TM1RPTTITLE(db_name&amp;":headline year",$C$48), _xll.TM1RPTTITLE(db_name&amp;":scenario",$C$49), _xll.TM1RPTTITLE(db_name&amp;":status",$C$50), _xll.TM1RPTTITLE(db_name&amp;":outcome",$C$51), _xll.TM1RPTTITLE(db_name&amp;":related entity",$C$52), _xll.TM1RPTTITLE(db_name&amp;":function",$C$53), _xll.TM1RPTTITLE(db_name&amp;":reason",$C$54), _xll.TM1RPTTITLE(db_name&amp;":spp",$C$55), _xll.TM1RPTTITLE(db_name&amp;":measure code",$C$56), _xll.TM1RPTTITLE(db_name&amp;":appropriation type",$C$57), _xll.TM1RPTTITLE(db_name&amp;":movement account",$C$58), _xll.TM1RPTTITLE(db_name&amp;":appropriation item",$C$59), _xll.TM1RPTTITLE(db_name&amp;":programme",$C$60), _xll.TM1RPTTITLE(db_name&amp;":id",$C$62), _xll.TM1RPTTITLE(db_name&amp;":jurisdiction",$C$63),TM1RPTFMTRNG,TM1RPTFMTIDCOL)</f>
        <v>dcceew_geus:AE adjustments:ARPT2</v>
      </c>
      <c r="F42" s="54"/>
      <c r="G42" s="54"/>
      <c r="H42" s="54"/>
    </row>
    <row r="43" spans="2:8" hidden="1" outlineLevel="1" x14ac:dyDescent="0.25">
      <c r="B43" s="55" t="s">
        <v>17</v>
      </c>
      <c r="C43" s="53" t="str">
        <f ca="1">_xll.TM1RPTVIEW(db_name&amp;":AE adjustments:ARPT1",$C$72, _xll.TM1RPTTITLE(db_name&amp;":headline year",$C$48), _xll.TM1RPTTITLE(db_name&amp;":scenario",$C$49), _xll.TM1RPTTITLE(db_name&amp;":status",$C$50), _xll.TM1RPTTITLE(db_name&amp;":outcome",$C$51), _xll.TM1RPTTITLE(db_name&amp;":related entity",$C$52), _xll.TM1RPTTITLE(db_name&amp;":function",$C$53), _xll.TM1RPTTITLE(db_name&amp;":reason",$C$54), _xll.TM1RPTTITLE(db_name&amp;":spp",$C$55), _xll.TM1RPTTITLE(db_name&amp;":measure code",$C$56), _xll.TM1RPTTITLE(db_name&amp;":appropriation type",$C$57), _xll.TM1RPTTITLE(db_name&amp;":movement account",$C$58), _xll.TM1RPTTITLE(db_name&amp;":appropriation item",$C$59), _xll.TM1RPTTITLE(db_name&amp;":programme",$C$60), _xll.TM1RPTTITLE(db_name&amp;":id",$C$62), _xll.TM1RPTTITLE(db_name&amp;":jurisdiction",$C$63),TM1RPTFMTRNG,TM1RPTFMTIDCOL)</f>
        <v>dcceew_geus:AE adjustments:ARPT1</v>
      </c>
      <c r="F43" s="54"/>
      <c r="G43" s="54"/>
      <c r="H43" s="54"/>
    </row>
    <row r="44" spans="2:8" ht="15" hidden="1" customHeight="1" outlineLevel="1" x14ac:dyDescent="0.25">
      <c r="B44" s="55" t="s">
        <v>18</v>
      </c>
      <c r="C44" s="53" t="str">
        <f ca="1">_xll.TM1RPTVIEW(db_name&amp;":AE adjustments:ARPT3",$C$72, _xll.TM1RPTTITLE(db_name&amp;":headline year",$C$48), _xll.TM1RPTTITLE(db_name&amp;":scenario",$C$49), _xll.TM1RPTTITLE(db_name&amp;":status",$C$50), _xll.TM1RPTTITLE(db_name&amp;":outcome",$C$51), _xll.TM1RPTTITLE(db_name&amp;":related entity",$C$52), _xll.TM1RPTTITLE(db_name&amp;":function",$C$53), _xll.TM1RPTTITLE(db_name&amp;":reason",$C$54), _xll.TM1RPTTITLE(db_name&amp;":spp",$C$55), _xll.TM1RPTTITLE(db_name&amp;":measure code",$C$56), _xll.TM1RPTTITLE(db_name&amp;":appropriation type",$C$57), _xll.TM1RPTTITLE(db_name&amp;":movement account",$C$58), _xll.TM1RPTTITLE(db_name&amp;":appropriation item",$C$59), _xll.TM1RPTTITLE(db_name&amp;":programme",$C$60), _xll.TM1RPTTITLE(db_name&amp;":id",$C$62), _xll.TM1RPTTITLE(db_name&amp;":jurisdiction",$C$63),TM1RPTFMTRNG,TM1RPTFMTIDCOL)</f>
        <v>dcceew_geus:AE adjustments:ARPT3</v>
      </c>
      <c r="F44" s="54"/>
      <c r="G44" s="54"/>
      <c r="H44" s="54"/>
    </row>
    <row r="45" spans="2:8" ht="15.75" hidden="1" outlineLevel="1" thickBot="1" x14ac:dyDescent="0.3"/>
    <row r="46" spans="2:8" hidden="1" outlineLevel="1" x14ac:dyDescent="0.25">
      <c r="B46" s="69" t="s">
        <v>69</v>
      </c>
      <c r="C46" s="70"/>
    </row>
    <row r="47" spans="2:8" hidden="1" outlineLevel="1" x14ac:dyDescent="0.25">
      <c r="B47" s="53" t="s">
        <v>68</v>
      </c>
      <c r="C47" s="53" t="str">
        <f ca="1">_xll.VIEW(db_name&amp;":AE adjustments",$C$48,$C$49,$C$50,$C$51,$C$52,$C$53,$C$54,$C$55,$C$56,$C$57,$C$58,$C$59,$C$62,"!",$C$60,$C$63,"!")</f>
        <v>dcceew_geus:AE adjustments</v>
      </c>
    </row>
    <row r="48" spans="2:8" hidden="1" outlineLevel="1" x14ac:dyDescent="0.25">
      <c r="B48" s="50" t="s">
        <v>0</v>
      </c>
      <c r="C48" s="53" t="str">
        <f ca="1">+K82</f>
        <v>HL2025-2026</v>
      </c>
    </row>
    <row r="49" spans="2:3" hidden="1" outlineLevel="1" x14ac:dyDescent="0.25">
      <c r="B49" s="50" t="s">
        <v>1</v>
      </c>
      <c r="C49" s="53" t="str">
        <f ca="1">+K83</f>
        <v>current</v>
      </c>
    </row>
    <row r="50" spans="2:3" hidden="1" outlineLevel="1" x14ac:dyDescent="0.25">
      <c r="B50" s="50" t="s">
        <v>2</v>
      </c>
      <c r="C50" s="53" t="str">
        <f ca="1">_xll.SUBNM(db_name&amp;":status","","Total approved")</f>
        <v>Total approved</v>
      </c>
    </row>
    <row r="51" spans="2:3" hidden="1" outlineLevel="1" x14ac:dyDescent="0.25">
      <c r="B51" s="50" t="s">
        <v>3</v>
      </c>
      <c r="C51" s="53" t="str">
        <f ca="1">_xll.SUBNM(db_name&amp;":outcome","","Total outcomes")</f>
        <v>Total outcomes</v>
      </c>
    </row>
    <row r="52" spans="2:3" hidden="1" outlineLevel="1" x14ac:dyDescent="0.25">
      <c r="B52" s="50" t="s">
        <v>4</v>
      </c>
      <c r="C52" s="53" t="str">
        <f ca="1">_xll.SUBNM(db_name&amp;":related entity","","Total related entity","code and description")</f>
        <v>Total related entity</v>
      </c>
    </row>
    <row r="53" spans="2:3" hidden="1" outlineLevel="1" x14ac:dyDescent="0.25">
      <c r="B53" s="50" t="s">
        <v>5</v>
      </c>
      <c r="C53" s="53" t="str">
        <f ca="1">_xll.SUBNM(db_name&amp;":function","","Total functions")</f>
        <v>Total functions</v>
      </c>
    </row>
    <row r="54" spans="2:3" hidden="1" outlineLevel="1" x14ac:dyDescent="0.25">
      <c r="B54" s="50" t="s">
        <v>6</v>
      </c>
      <c r="C54" s="53" t="str">
        <f ca="1">_xll.SUBNM(db_name&amp;":reason","","Total reason")</f>
        <v>Total reason</v>
      </c>
    </row>
    <row r="55" spans="2:3" hidden="1" outlineLevel="1" x14ac:dyDescent="0.25">
      <c r="B55" s="50" t="s">
        <v>7</v>
      </c>
      <c r="C55" s="53" t="str">
        <f ca="1">_xll.SUBNM(db_name&amp;":spp","","Total SPP")</f>
        <v>Total SPP</v>
      </c>
    </row>
    <row r="56" spans="2:3" hidden="1" outlineLevel="1" x14ac:dyDescent="0.25">
      <c r="B56" s="50" t="s">
        <v>8</v>
      </c>
      <c r="C56" s="53" t="str">
        <f ca="1">_xll.SUBNM(db_name&amp;":measure code","","Total Measures","CBMS")</f>
        <v>Total Measures</v>
      </c>
    </row>
    <row r="57" spans="2:3" hidden="1" outlineLevel="1" x14ac:dyDescent="0.25">
      <c r="B57" s="50" t="s">
        <v>9</v>
      </c>
      <c r="C57" s="53" t="str">
        <f ca="1">_xll.SUBNM(db_name&amp;":appropriation type","","Total approp types")</f>
        <v>Total approp types</v>
      </c>
    </row>
    <row r="58" spans="2:3" hidden="1" outlineLevel="1" x14ac:dyDescent="0.25">
      <c r="B58" s="50" t="s">
        <v>10</v>
      </c>
      <c r="C58" s="53" t="str">
        <f ca="1">_xll.SUBNM(db_name&amp;":movement account","","Total movement","code and description")</f>
        <v>Total movement</v>
      </c>
    </row>
    <row r="59" spans="2:3" hidden="1" outlineLevel="1" x14ac:dyDescent="0.25">
      <c r="B59" s="50" t="s">
        <v>11</v>
      </c>
      <c r="C59" s="53" t="str">
        <f ca="1">_xll.SUBNM(db_name&amp;":appropriation item","","Total approp item")</f>
        <v>Total approp item</v>
      </c>
    </row>
    <row r="60" spans="2:3" hidden="1" outlineLevel="1" x14ac:dyDescent="0.25">
      <c r="B60" s="50" t="s">
        <v>14</v>
      </c>
      <c r="C60" s="53" t="str">
        <f ca="1">_xll.SUBNM(db_name&amp;":programme","",$K$84,"code and description")</f>
        <v>Departmental Programmes</v>
      </c>
    </row>
    <row r="61" spans="2:3" hidden="1" outlineLevel="1" x14ac:dyDescent="0.25">
      <c r="B61" s="50" t="s">
        <v>55</v>
      </c>
      <c r="C61" s="56" t="s">
        <v>56</v>
      </c>
    </row>
    <row r="62" spans="2:3" hidden="1" outlineLevel="1" x14ac:dyDescent="0.25">
      <c r="B62" s="50" t="s">
        <v>12</v>
      </c>
      <c r="C62" s="53" t="str">
        <f ca="1">_xll.SUBNM(db_name&amp;":id","","Total IDs")</f>
        <v>Total IDs</v>
      </c>
    </row>
    <row r="63" spans="2:3" hidden="1" outlineLevel="1" x14ac:dyDescent="0.25">
      <c r="B63" s="50" t="s">
        <v>13</v>
      </c>
      <c r="C63" s="53" t="str">
        <f ca="1">_xll.SUBNM(db_name&amp;":jurisdiction","","Total jurisdictions")</f>
        <v>Total jurisdictions</v>
      </c>
    </row>
    <row r="64" spans="2:3" hidden="1" outlineLevel="1" x14ac:dyDescent="0.25">
      <c r="B64" s="50" t="s">
        <v>57</v>
      </c>
      <c r="C64" s="56" t="s">
        <v>58</v>
      </c>
    </row>
    <row r="65" spans="2:25" ht="15.75" hidden="1" outlineLevel="1" thickBot="1" x14ac:dyDescent="0.3"/>
    <row r="66" spans="2:25" ht="15.75" hidden="1" outlineLevel="1" thickBot="1" x14ac:dyDescent="0.3">
      <c r="B66" s="69" t="s">
        <v>49</v>
      </c>
      <c r="C66" s="70"/>
      <c r="J66" s="64" t="s">
        <v>93</v>
      </c>
      <c r="K66" s="84"/>
      <c r="L66" s="84"/>
    </row>
    <row r="67" spans="2:25" hidden="1" outlineLevel="1" x14ac:dyDescent="0.25">
      <c r="B67" s="25" t="s">
        <v>52</v>
      </c>
      <c r="C67" s="30" t="s">
        <v>59</v>
      </c>
    </row>
    <row r="68" spans="2:25" hidden="1" outlineLevel="1" x14ac:dyDescent="0.25">
      <c r="B68" s="26" t="s">
        <v>53</v>
      </c>
      <c r="C68" s="30" t="s">
        <v>60</v>
      </c>
      <c r="K68" s="67" t="s">
        <v>103</v>
      </c>
    </row>
    <row r="69" spans="2:25" ht="15.75" hidden="1" outlineLevel="1" thickBot="1" x14ac:dyDescent="0.3">
      <c r="B69" s="27" t="s">
        <v>54</v>
      </c>
      <c r="C69" s="30" t="s">
        <v>61</v>
      </c>
    </row>
    <row r="70" spans="2:25" ht="15.75" hidden="1" outlineLevel="1" thickBot="1" x14ac:dyDescent="0.3">
      <c r="B70" s="27" t="s">
        <v>54</v>
      </c>
      <c r="C70" s="30" t="s">
        <v>62</v>
      </c>
    </row>
    <row r="71" spans="2:25" hidden="1" outlineLevel="1" x14ac:dyDescent="0.25">
      <c r="B71" s="28" t="s">
        <v>50</v>
      </c>
      <c r="C71" s="29">
        <f ca="1">IF($O$82="Yes",1,0)</f>
        <v>1</v>
      </c>
    </row>
    <row r="72" spans="2:25" hidden="1" outlineLevel="1" x14ac:dyDescent="0.25">
      <c r="B72" s="28" t="s">
        <v>46</v>
      </c>
      <c r="C72" s="29">
        <f ca="1">IF($O$83="Yes",1,0)</f>
        <v>0</v>
      </c>
    </row>
    <row r="73" spans="2:25" hidden="1" outlineLevel="1" x14ac:dyDescent="0.25">
      <c r="B73" s="1"/>
    </row>
    <row r="74" spans="2:25" hidden="1" outlineLevel="1" x14ac:dyDescent="0.25">
      <c r="B74" s="57" t="s">
        <v>66</v>
      </c>
      <c r="C74" s="58" t="s">
        <v>31</v>
      </c>
    </row>
    <row r="75" spans="2:25" hidden="1" outlineLevel="1" x14ac:dyDescent="0.25"/>
    <row r="76" spans="2:25" ht="40.15" customHeight="1" collapsed="1" x14ac:dyDescent="0.25"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1" t="s">
        <v>67</v>
      </c>
    </row>
    <row r="77" spans="2:25" ht="4.5" customHeight="1" x14ac:dyDescent="0.25">
      <c r="M77" s="15"/>
      <c r="N77" s="15"/>
      <c r="O77" s="15"/>
      <c r="P77" s="16"/>
      <c r="Q77" s="17"/>
      <c r="R77" s="17"/>
      <c r="S77" s="17"/>
      <c r="W77" s="17"/>
      <c r="X77" s="17"/>
      <c r="Y77" s="17"/>
    </row>
    <row r="78" spans="2:25" ht="24" customHeight="1" x14ac:dyDescent="0.25">
      <c r="J78" s="1"/>
      <c r="M78" s="48"/>
      <c r="N78" s="48"/>
      <c r="O78" s="48"/>
      <c r="P78" s="19"/>
      <c r="Q78" s="49"/>
      <c r="S78" s="49"/>
      <c r="W78" s="49"/>
      <c r="X78" s="49"/>
      <c r="Y78" s="49"/>
    </row>
    <row r="79" spans="2:25" ht="1.5" customHeight="1" x14ac:dyDescent="0.25"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W79" s="17"/>
      <c r="X79" s="17"/>
      <c r="Y79" s="17"/>
    </row>
    <row r="80" spans="2:25" ht="4.5" customHeight="1" x14ac:dyDescent="0.25">
      <c r="T80" s="19"/>
      <c r="U80" s="19"/>
      <c r="V80" s="19"/>
    </row>
    <row r="81" spans="1:22" x14ac:dyDescent="0.25">
      <c r="K81" s="76" t="s">
        <v>98</v>
      </c>
      <c r="L81" s="77"/>
      <c r="N81" s="76" t="s">
        <v>95</v>
      </c>
      <c r="O81" s="77"/>
      <c r="T81" s="19"/>
      <c r="U81" s="19"/>
      <c r="V81" s="19"/>
    </row>
    <row r="82" spans="1:22" ht="14.45" customHeight="1" x14ac:dyDescent="0.25">
      <c r="J82" s="64" t="s">
        <v>91</v>
      </c>
      <c r="K82" s="84" t="str" cm="1">
        <f t="array" aca="1" ref="K82" ca="1">_xll.SUBNM(db_name&amp;":headline year","",$C$21)</f>
        <v>HL2025-2026</v>
      </c>
      <c r="L82" s="84"/>
      <c r="N82" s="64" t="s">
        <v>96</v>
      </c>
      <c r="O82" s="65" t="str" cm="1">
        <f t="array" aca="1" ref="O82" ca="1">_xll.SUBNM(db_name&amp;":sys_YesNo","","Yes")</f>
        <v>Yes</v>
      </c>
      <c r="T82" s="10"/>
      <c r="U82" s="10"/>
      <c r="V82" s="10"/>
    </row>
    <row r="83" spans="1:22" x14ac:dyDescent="0.25">
      <c r="J83" s="64" t="s">
        <v>92</v>
      </c>
      <c r="K83" s="84" t="str" cm="1">
        <f t="array" aca="1" ref="K83" ca="1">_xll.SUBNM(db_name&amp;":scenario","sys_BudgetRound",$C$22)</f>
        <v>current</v>
      </c>
      <c r="L83" s="84"/>
      <c r="N83" s="64" t="s">
        <v>97</v>
      </c>
      <c r="O83" s="65" t="str" cm="1">
        <f t="array" aca="1" ref="O83" ca="1">_xll.SUBNM(db_name&amp;":sys_YesNo","","No")</f>
        <v>No</v>
      </c>
      <c r="T83" s="10"/>
      <c r="U83" s="10"/>
      <c r="V83" s="10"/>
    </row>
    <row r="84" spans="1:22" ht="15.75" customHeight="1" x14ac:dyDescent="0.25">
      <c r="J84" s="64" t="s">
        <v>94</v>
      </c>
      <c r="K84" s="84" t="str" cm="1">
        <f t="array" aca="1" ref="K84" ca="1">_xll.SUBNM(db_name&amp;":"&amp; psProgDimName,"","Departmental Programmes","code and description")</f>
        <v>Departmental Programmes</v>
      </c>
      <c r="L84" s="84"/>
      <c r="M84" s="59"/>
      <c r="N84" s="59"/>
      <c r="O84" s="59"/>
      <c r="P84" s="59"/>
      <c r="Q84" s="66" t="s">
        <v>99</v>
      </c>
      <c r="R84" s="83">
        <f ca="1">NOW()</f>
        <v>45582.124357754627</v>
      </c>
      <c r="S84" s="83"/>
    </row>
    <row r="85" spans="1:22" ht="4.5" customHeight="1" x14ac:dyDescent="0.25">
      <c r="J85" s="22"/>
      <c r="K85" s="23"/>
      <c r="L85" s="23"/>
      <c r="M85" s="23"/>
      <c r="N85" s="23"/>
      <c r="O85" s="23"/>
      <c r="P85" s="23"/>
      <c r="Q85" s="23"/>
      <c r="R85" s="23"/>
      <c r="S85" s="23"/>
    </row>
    <row r="86" spans="1:22" s="10" customFormat="1" x14ac:dyDescent="0.25">
      <c r="J86" s="62"/>
      <c r="K86" s="62"/>
      <c r="L86" s="62"/>
      <c r="M86" s="62"/>
      <c r="N86" s="63" t="str">
        <f ca="1">+N11</f>
        <v>2024-2025</v>
      </c>
      <c r="O86" s="63" t="str">
        <f t="shared" ref="O86:S86" ca="1" si="0">+O11</f>
        <v>2025-2026</v>
      </c>
      <c r="P86" s="63" t="str">
        <f t="shared" ca="1" si="0"/>
        <v>2026-2027</v>
      </c>
      <c r="Q86" s="63" t="str">
        <f t="shared" ca="1" si="0"/>
        <v>2027-2028</v>
      </c>
      <c r="R86" s="63" t="str">
        <f t="shared" ca="1" si="0"/>
        <v>2028-2029</v>
      </c>
      <c r="S86" s="63" t="str">
        <f t="shared" ca="1" si="0"/>
        <v>2029-2030</v>
      </c>
    </row>
    <row r="87" spans="1:22" s="10" customFormat="1" x14ac:dyDescent="0.25">
      <c r="J87" s="62"/>
      <c r="K87" s="62"/>
      <c r="L87" s="62"/>
      <c r="M87" s="62"/>
      <c r="N87" s="63" t="str">
        <f>+N13</f>
        <v>PA</v>
      </c>
      <c r="O87" s="63" t="str">
        <f t="shared" ref="O87:S87" si="1">+O13</f>
        <v>RB</v>
      </c>
      <c r="P87" s="63" t="str">
        <f t="shared" si="1"/>
        <v>NB</v>
      </c>
      <c r="Q87" s="63" t="str">
        <f t="shared" si="1"/>
        <v>FE1</v>
      </c>
      <c r="R87" s="63" t="str">
        <f t="shared" si="1"/>
        <v>FE2</v>
      </c>
      <c r="S87" s="63" t="str">
        <f t="shared" si="1"/>
        <v>FE3</v>
      </c>
    </row>
    <row r="88" spans="1:22" s="10" customFormat="1" x14ac:dyDescent="0.25">
      <c r="J88" s="68" t="s">
        <v>100</v>
      </c>
      <c r="K88" s="68"/>
      <c r="L88" s="68"/>
      <c r="M88" s="68"/>
      <c r="N88" s="63" t="s">
        <v>47</v>
      </c>
      <c r="O88" s="63" t="s">
        <v>47</v>
      </c>
      <c r="P88" s="63" t="s">
        <v>47</v>
      </c>
      <c r="Q88" s="63" t="s">
        <v>47</v>
      </c>
      <c r="R88" s="63" t="s">
        <v>47</v>
      </c>
      <c r="S88" s="63" t="s">
        <v>47</v>
      </c>
    </row>
    <row r="89" spans="1:22" s="10" customFormat="1" ht="3" customHeight="1" x14ac:dyDescent="0.25">
      <c r="B89" s="24" t="s">
        <v>48</v>
      </c>
      <c r="J89" s="81"/>
      <c r="K89" s="81"/>
      <c r="L89" s="81"/>
      <c r="M89" s="81"/>
      <c r="N89" s="18"/>
      <c r="O89" s="18"/>
      <c r="P89" s="18"/>
      <c r="Q89" s="18"/>
      <c r="R89" s="18"/>
      <c r="S89" s="18"/>
    </row>
    <row r="90" spans="1:22" s="10" customFormat="1" x14ac:dyDescent="0.25">
      <c r="J90" s="82" t="s">
        <v>51</v>
      </c>
      <c r="K90" s="82"/>
      <c r="L90" s="82"/>
      <c r="M90" s="82"/>
      <c r="N90" s="43"/>
      <c r="O90" s="18"/>
      <c r="P90" s="18"/>
      <c r="Q90" s="18"/>
      <c r="R90" s="18"/>
      <c r="S90" s="44"/>
    </row>
    <row r="91" spans="1:22" x14ac:dyDescent="0.25">
      <c r="A91" t="str" cm="1">
        <f t="array" aca="1" ref="A91" ca="1">IF(_xll.TM1RPTELISCONSOLIDATED($J$91,$J91),IF(_xll.TM1RPTELLEV($J$91,$J91)&lt;=3,_xll.TM1RPTELLEV($J$91,$J91),"D"),"N")</f>
        <v>N</v>
      </c>
      <c r="C91" s="6"/>
      <c r="D91" s="6"/>
      <c r="E91" s="6"/>
      <c r="F91" s="6"/>
      <c r="G91" s="6"/>
      <c r="H91" s="6"/>
      <c r="I91" s="6"/>
      <c r="J91" s="31" t="str" cm="1">
        <f t="array" aca="1" ref="J91" ca="1">_xll.TM1RPTROW($C$41,db_name&amp;":account","",,C74,C71,C67)</f>
        <v/>
      </c>
      <c r="K91" s="6"/>
      <c r="L91" s="6"/>
      <c r="M91" s="6"/>
      <c r="N91" s="40" t="str" cm="1">
        <f t="array" aca="1" ref="N91" ca="1">_xll.DBRW($C$41,$C$48,$C$49,$C$50,$C$51,$C$52,$C$53,$C$54,$C$55,$C$56,$C$57,$C$58,$C$59,$C$60,$J91,$C$62,$C$63,N$86)</f>
        <v/>
      </c>
      <c r="O91" s="41" t="str" cm="1">
        <f t="array" aca="1" ref="O91" ca="1">_xll.DBRW($C$41,$C$48,$C$49,$C$50,$C$51,$C$52,$C$53,$C$54,$C$55,$C$56,$C$57,$C$58,$C$59,$C$60,$J91,$C$62,$C$63,O$86)</f>
        <v/>
      </c>
      <c r="P91" s="41" t="str" cm="1">
        <f t="array" aca="1" ref="P91" ca="1">_xll.DBRW($C$41,$C$48,$C$49,$C$50,$C$51,$C$52,$C$53,$C$54,$C$55,$C$56,$C$57,$C$58,$C$59,$C$60,$J91,$C$62,$C$63,P$86)</f>
        <v/>
      </c>
      <c r="Q91" s="41" t="str" cm="1">
        <f t="array" aca="1" ref="Q91" ca="1">_xll.DBRW($C$41,$C$48,$C$49,$C$50,$C$51,$C$52,$C$53,$C$54,$C$55,$C$56,$C$57,$C$58,$C$59,$C$60,$J91,$C$62,$C$63,Q$86)</f>
        <v/>
      </c>
      <c r="R91" s="41" t="str" cm="1">
        <f t="array" aca="1" ref="R91" ca="1">_xll.DBRW($C$41,$C$48,$C$49,$C$50,$C$51,$C$52,$C$53,$C$54,$C$55,$C$56,$C$57,$C$58,$C$59,$C$60,$J91,$C$62,$C$63,R$86)</f>
        <v/>
      </c>
      <c r="S91" s="42" t="str" cm="1">
        <f t="array" aca="1" ref="S91" ca="1">_xll.DBRW($C$41,$C$48,$C$49,$C$50,$C$51,$C$52,$C$53,$C$54,$C$55,$C$56,$C$57,$C$58,$C$59,$C$60,$J91,$C$62,$C$63,S$86)</f>
        <v/>
      </c>
    </row>
    <row r="92" spans="1:22" ht="3" customHeight="1" x14ac:dyDescent="0.25">
      <c r="J92" s="79"/>
      <c r="K92" s="79"/>
      <c r="L92" s="79"/>
      <c r="M92" s="79"/>
    </row>
    <row r="93" spans="1:22" x14ac:dyDescent="0.25">
      <c r="J93" s="80" t="s">
        <v>15</v>
      </c>
      <c r="K93" s="80"/>
      <c r="L93" s="80"/>
      <c r="M93" s="80"/>
      <c r="N93" s="32" cm="1">
        <f t="array" aca="1" ref="N93" ca="1">_xll.DBRW($C$47,$C$48,$C$49,$C$50,$C$51,$C$52,$C$53,$C$54,$C$55,$C$56,$C$57,$C$58,$C$59,$C$60,$J93,$C$62,$C$63,N$86)</f>
        <v>95066</v>
      </c>
      <c r="O93" s="33" cm="1">
        <f t="array" aca="1" ref="O93" ca="1">_xll.DBRW($C$47,$C$48,$C$49,$C$50,$C$51,$C$52,$C$53,$C$54,$C$55,$C$56,$C$57,$C$58,$C$59,$C$60,$J93,$C$62,$C$63,O$86)</f>
        <v>92248</v>
      </c>
      <c r="P93" s="33" cm="1">
        <f t="array" aca="1" ref="P93" ca="1">_xll.DBRW($C$47,$C$48,$C$49,$C$50,$C$51,$C$52,$C$53,$C$54,$C$55,$C$56,$C$57,$C$58,$C$59,$C$60,$J93,$C$62,$C$63,P$86)</f>
        <v>143804</v>
      </c>
      <c r="Q93" s="33" cm="1">
        <f t="array" aca="1" ref="Q93" ca="1">_xll.DBRW($C$47,$C$48,$C$49,$C$50,$C$51,$C$52,$C$53,$C$54,$C$55,$C$56,$C$57,$C$58,$C$59,$C$60,$J93,$C$62,$C$63,Q$86)</f>
        <v>132281</v>
      </c>
      <c r="R93" s="33" cm="1">
        <f t="array" aca="1" ref="R93" ca="1">_xll.DBRW($C$47,$C$48,$C$49,$C$50,$C$51,$C$52,$C$53,$C$54,$C$55,$C$56,$C$57,$C$58,$C$59,$C$60,$J93,$C$62,$C$63,R$86)</f>
        <v>110338</v>
      </c>
      <c r="S93" s="47" cm="1">
        <f t="array" aca="1" ref="S93" ca="1">_xll.DBRW($C$47,$C$48,$C$49,$C$50,$C$51,$C$52,$C$53,$C$54,$C$55,$C$56,$C$57,$C$58,$C$59,$C$60,$J93,$C$62,$C$63,S$86)</f>
        <v>0</v>
      </c>
    </row>
    <row r="94" spans="1:22" ht="3" customHeight="1" x14ac:dyDescent="0.25">
      <c r="J94" s="81"/>
      <c r="K94" s="81"/>
      <c r="L94" s="81"/>
      <c r="M94" s="81"/>
      <c r="N94" s="45"/>
      <c r="S94" s="46"/>
    </row>
    <row r="95" spans="1:22" x14ac:dyDescent="0.25">
      <c r="J95" s="82" t="s">
        <v>63</v>
      </c>
      <c r="K95" s="82"/>
      <c r="L95" s="82"/>
      <c r="M95" s="82"/>
      <c r="N95" s="45"/>
      <c r="S95" s="46"/>
    </row>
    <row r="96" spans="1:22" x14ac:dyDescent="0.25">
      <c r="A96" t="str" cm="1">
        <f t="array" aca="1" ref="A96" ca="1">IF(_xll.TM1RPTELISCONSOLIDATED($J$96,$J96),IF(_xll.TM1RPTELLEV($J$96,$J96)&lt;=3,_xll.TM1RPTELLEV($J$96,$J96),"D"),"N")</f>
        <v>N</v>
      </c>
      <c r="C96" s="6"/>
      <c r="D96" s="6"/>
      <c r="E96" s="6"/>
      <c r="F96" s="6"/>
      <c r="G96" s="6"/>
      <c r="H96" s="6"/>
      <c r="I96" s="6"/>
      <c r="J96" s="31" t="str">
        <f t="array" aca="1" ref="J96" ca="1">_xll.TM1RPTROW($C$42,db_name&amp;":account",,,C74,,C68)</f>
        <v/>
      </c>
      <c r="K96" s="6"/>
      <c r="L96" s="6"/>
      <c r="M96" s="6"/>
      <c r="N96" s="40" t="str" cm="1">
        <f t="array" aca="1" ref="N96" ca="1">_xll.DBRW($C$42,$C$48,$C$49,$C$50,$C$51,$C$52,$C$53,$C$54,$C$55,$C$56,$C$57,$C$58,$C$59,$C$60,$J96,$C$62,$C$63,N$86)</f>
        <v/>
      </c>
      <c r="O96" s="41" t="str" cm="1">
        <f t="array" aca="1" ref="O96" ca="1">_xll.DBRW($C$42,$C$48,$C$49,$C$50,$C$51,$C$52,$C$53,$C$54,$C$55,$C$56,$C$57,$C$58,$C$59,$C$60,$J96,$C$62,$C$63,O$86)</f>
        <v/>
      </c>
      <c r="P96" s="41" t="str" cm="1">
        <f t="array" aca="1" ref="P96" ca="1">_xll.DBRW($C$42,$C$48,$C$49,$C$50,$C$51,$C$52,$C$53,$C$54,$C$55,$C$56,$C$57,$C$58,$C$59,$C$60,$J96,$C$62,$C$63,P$86)</f>
        <v/>
      </c>
      <c r="Q96" s="41" t="str" cm="1">
        <f t="array" aca="1" ref="Q96" ca="1">_xll.DBRW($C$42,$C$48,$C$49,$C$50,$C$51,$C$52,$C$53,$C$54,$C$55,$C$56,$C$57,$C$58,$C$59,$C$60,$J96,$C$62,$C$63,Q$86)</f>
        <v/>
      </c>
      <c r="R96" s="41" t="str" cm="1">
        <f t="array" aca="1" ref="R96" ca="1">_xll.DBRW($C$42,$C$48,$C$49,$C$50,$C$51,$C$52,$C$53,$C$54,$C$55,$C$56,$C$57,$C$58,$C$59,$C$60,$J96,$C$62,$C$63,R$86)</f>
        <v/>
      </c>
      <c r="S96" s="42" t="str" cm="1">
        <f t="array" aca="1" ref="S96" ca="1">_xll.DBRW($C$42,$C$48,$C$49,$C$50,$C$51,$C$52,$C$53,$C$54,$C$55,$C$56,$C$57,$C$58,$C$59,$C$60,$J96,$C$62,$C$63,S$86)</f>
        <v/>
      </c>
    </row>
    <row r="97" spans="1:19" ht="3" customHeight="1" x14ac:dyDescent="0.25">
      <c r="J97" s="79"/>
      <c r="K97" s="79"/>
      <c r="L97" s="79"/>
      <c r="M97" s="79"/>
      <c r="N97" s="45"/>
      <c r="S97" s="46"/>
    </row>
    <row r="98" spans="1:19" x14ac:dyDescent="0.25">
      <c r="J98" s="80" t="s">
        <v>16</v>
      </c>
      <c r="K98" s="80"/>
      <c r="L98" s="80"/>
      <c r="M98" s="80"/>
      <c r="N98" s="32" cm="1">
        <f t="array" aca="1" ref="N98" ca="1">_xll.DBRW($C$47,$C$48,$C$49,$C$50,$C$51,$C$52,$C$53,$C$54,$C$55,$C$56,$C$57,$C$58,$C$59,$C$60,$J98,$C$62,$C$63,N$86)</f>
        <v>95066</v>
      </c>
      <c r="O98" s="33" cm="1">
        <f t="array" aca="1" ref="O98" ca="1">_xll.DBRW($C$47,$C$48,$C$49,$C$50,$C$51,$C$52,$C$53,$C$54,$C$55,$C$56,$C$57,$C$58,$C$59,$C$60,$J98,$C$62,$C$63,O$86)</f>
        <v>92248</v>
      </c>
      <c r="P98" s="33" cm="1">
        <f t="array" aca="1" ref="P98" ca="1">_xll.DBRW($C$47,$C$48,$C$49,$C$50,$C$51,$C$52,$C$53,$C$54,$C$55,$C$56,$C$57,$C$58,$C$59,$C$60,$J98,$C$62,$C$63,P$86)</f>
        <v>143804</v>
      </c>
      <c r="Q98" s="33" cm="1">
        <f t="array" aca="1" ref="Q98" ca="1">_xll.DBRW($C$47,$C$48,$C$49,$C$50,$C$51,$C$52,$C$53,$C$54,$C$55,$C$56,$C$57,$C$58,$C$59,$C$60,$J98,$C$62,$C$63,Q$86)</f>
        <v>132281</v>
      </c>
      <c r="R98" s="33" cm="1">
        <f t="array" aca="1" ref="R98" ca="1">_xll.DBRW($C$47,$C$48,$C$49,$C$50,$C$51,$C$52,$C$53,$C$54,$C$55,$C$56,$C$57,$C$58,$C$59,$C$60,$J98,$C$62,$C$63,R$86)</f>
        <v>110338</v>
      </c>
      <c r="S98" s="47" cm="1">
        <f t="array" aca="1" ref="S98" ca="1">_xll.DBRW($C$47,$C$48,$C$49,$C$50,$C$51,$C$52,$C$53,$C$54,$C$55,$C$56,$C$57,$C$58,$C$59,$C$60,$J98,$C$62,$C$63,S$86)</f>
        <v>0</v>
      </c>
    </row>
    <row r="99" spans="1:19" ht="3" customHeight="1" x14ac:dyDescent="0.25">
      <c r="J99" s="81"/>
      <c r="K99" s="81"/>
      <c r="L99" s="81"/>
      <c r="M99" s="81"/>
      <c r="N99" s="45"/>
      <c r="S99" s="46"/>
    </row>
    <row r="100" spans="1:19" x14ac:dyDescent="0.25">
      <c r="J100" s="82" t="s">
        <v>64</v>
      </c>
      <c r="K100" s="82"/>
      <c r="L100" s="82"/>
      <c r="M100" s="82"/>
      <c r="N100" s="45"/>
      <c r="S100" s="46"/>
    </row>
    <row r="101" spans="1:19" x14ac:dyDescent="0.25">
      <c r="A101" t="str" cm="1">
        <f t="array" aca="1" ref="A101" ca="1">IF(_xll.TM1RPTELISCONSOLIDATED($J$101,$J101),IF(_xll.TM1RPTELLEV($J$101,$J101)&lt;=3,_xll.TM1RPTELLEV($J$101,$J101),"D"),"N")</f>
        <v>N</v>
      </c>
      <c r="C101" s="6"/>
      <c r="D101" s="6"/>
      <c r="E101" s="6"/>
      <c r="F101" s="6"/>
      <c r="G101" s="6"/>
      <c r="H101" s="6"/>
      <c r="I101" s="6"/>
      <c r="J101" s="31" t="str">
        <f t="array" aca="1" ref="J101" ca="1">_xll.TM1RPTROW($C$43,db_name&amp;":account",,,C74,,C69)</f>
        <v/>
      </c>
      <c r="K101" s="6"/>
      <c r="L101" s="6"/>
      <c r="M101" s="6"/>
      <c r="N101" s="40" t="str" cm="1">
        <f t="array" aca="1" ref="N101" ca="1">_xll.DBRW($C$43,$C$48,$C$49,$C$50,$C$51,$C$52,$C$53,$C$54,$C$55,$C$56,$C$57,$C$58,$C$59,$C$60,$J101,$C$62,$C$63,N$86)</f>
        <v/>
      </c>
      <c r="O101" s="41" t="str" cm="1">
        <f t="array" aca="1" ref="O101" ca="1">_xll.DBRW($C$43,$C$48,$C$49,$C$50,$C$51,$C$52,$C$53,$C$54,$C$55,$C$56,$C$57,$C$58,$C$59,$C$60,$J101,$C$62,$C$63,O$86)</f>
        <v/>
      </c>
      <c r="P101" s="41" t="str" cm="1">
        <f t="array" aca="1" ref="P101" ca="1">_xll.DBRW($C$43,$C$48,$C$49,$C$50,$C$51,$C$52,$C$53,$C$54,$C$55,$C$56,$C$57,$C$58,$C$59,$C$60,$J101,$C$62,$C$63,P$86)</f>
        <v/>
      </c>
      <c r="Q101" s="41" t="str" cm="1">
        <f t="array" aca="1" ref="Q101" ca="1">_xll.DBRW($C$43,$C$48,$C$49,$C$50,$C$51,$C$52,$C$53,$C$54,$C$55,$C$56,$C$57,$C$58,$C$59,$C$60,$J101,$C$62,$C$63,Q$86)</f>
        <v/>
      </c>
      <c r="R101" s="41" t="str" cm="1">
        <f t="array" aca="1" ref="R101" ca="1">_xll.DBRW($C$43,$C$48,$C$49,$C$50,$C$51,$C$52,$C$53,$C$54,$C$55,$C$56,$C$57,$C$58,$C$59,$C$60,$J101,$C$62,$C$63,R$86)</f>
        <v/>
      </c>
      <c r="S101" s="42" t="str" cm="1">
        <f t="array" aca="1" ref="S101" ca="1">_xll.DBRW($C$43,$C$48,$C$49,$C$50,$C$51,$C$52,$C$53,$C$54,$C$55,$C$56,$C$57,$C$58,$C$59,$C$60,$J101,$C$62,$C$63,S$86)</f>
        <v/>
      </c>
    </row>
    <row r="102" spans="1:19" ht="3" customHeight="1" x14ac:dyDescent="0.25">
      <c r="J102" s="79"/>
      <c r="K102" s="79"/>
      <c r="L102" s="79"/>
      <c r="M102" s="79"/>
      <c r="N102" s="45"/>
      <c r="S102" s="46"/>
    </row>
    <row r="103" spans="1:19" x14ac:dyDescent="0.25">
      <c r="J103" s="80" t="s">
        <v>17</v>
      </c>
      <c r="K103" s="80"/>
      <c r="L103" s="80"/>
      <c r="M103" s="80"/>
      <c r="N103" s="32" cm="1">
        <f t="array" aca="1" ref="N103" ca="1">_xll.DBRW($C$47,$C$48,$C$49,$C$50,$C$51,$C$52,$C$53,$C$54,$C$55,$C$56,$C$57,$C$58,$C$59,$C$60,$J103,$C$62,$C$63,N$86)</f>
        <v>103883</v>
      </c>
      <c r="O103" s="33" cm="1">
        <f t="array" aca="1" ref="O103" ca="1">_xll.DBRW($C$47,$C$48,$C$49,$C$50,$C$51,$C$52,$C$53,$C$54,$C$55,$C$56,$C$57,$C$58,$C$59,$C$60,$J103,$C$62,$C$63,O$86)</f>
        <v>95928</v>
      </c>
      <c r="P103" s="33" cm="1">
        <f t="array" aca="1" ref="P103" ca="1">_xll.DBRW($C$47,$C$48,$C$49,$C$50,$C$51,$C$52,$C$53,$C$54,$C$55,$C$56,$C$57,$C$58,$C$59,$C$60,$J103,$C$62,$C$63,P$86)</f>
        <v>143804</v>
      </c>
      <c r="Q103" s="33" cm="1">
        <f t="array" aca="1" ref="Q103" ca="1">_xll.DBRW($C$47,$C$48,$C$49,$C$50,$C$51,$C$52,$C$53,$C$54,$C$55,$C$56,$C$57,$C$58,$C$59,$C$60,$J103,$C$62,$C$63,Q$86)</f>
        <v>132281</v>
      </c>
      <c r="R103" s="33" cm="1">
        <f t="array" aca="1" ref="R103" ca="1">_xll.DBRW($C$47,$C$48,$C$49,$C$50,$C$51,$C$52,$C$53,$C$54,$C$55,$C$56,$C$57,$C$58,$C$59,$C$60,$J103,$C$62,$C$63,R$86)</f>
        <v>110338</v>
      </c>
      <c r="S103" s="47" cm="1">
        <f t="array" aca="1" ref="S103" ca="1">_xll.DBRW($C$47,$C$48,$C$49,$C$50,$C$51,$C$52,$C$53,$C$54,$C$55,$C$56,$C$57,$C$58,$C$59,$C$60,$J103,$C$62,$C$63,S$86)</f>
        <v>0</v>
      </c>
    </row>
    <row r="104" spans="1:19" ht="3" customHeight="1" x14ac:dyDescent="0.25">
      <c r="J104" s="79"/>
      <c r="K104" s="79"/>
      <c r="L104" s="79"/>
      <c r="M104" s="79"/>
      <c r="N104" s="45"/>
      <c r="S104" s="46"/>
    </row>
    <row r="105" spans="1:19" x14ac:dyDescent="0.25">
      <c r="J105" s="82" t="s">
        <v>65</v>
      </c>
      <c r="K105" s="82"/>
      <c r="L105" s="82"/>
      <c r="M105" s="82"/>
      <c r="N105" s="45"/>
      <c r="S105" s="46"/>
    </row>
    <row r="106" spans="1:19" x14ac:dyDescent="0.25">
      <c r="A106" t="str" cm="1">
        <f t="array" aca="1" ref="A106" ca="1">IF(_xll.TM1RPTELISCONSOLIDATED($J$106,$J106),IF(_xll.TM1RPTELLEV($J$106,$J106)&lt;=3,_xll.TM1RPTELLEV($J$106,$J106),"D"),"N")</f>
        <v>N</v>
      </c>
      <c r="C106" s="6"/>
      <c r="D106" s="6"/>
      <c r="E106" s="6"/>
      <c r="F106" s="6"/>
      <c r="G106" s="6"/>
      <c r="H106" s="6"/>
      <c r="I106" s="6"/>
      <c r="J106" s="31" t="str">
        <f t="array" aca="1" ref="J106" ca="1">_xll.TM1RPTROW(C44,db_name&amp;":account",,,C74,,C70)</f>
        <v/>
      </c>
      <c r="K106" s="6"/>
      <c r="L106" s="6"/>
      <c r="M106" s="6"/>
      <c r="N106" s="40" t="str" cm="1">
        <f t="array" aca="1" ref="N106" ca="1">_xll.DBRW($C$44,$C$48,$C$49,$C$50,$C$51,$C$52,$C$53,$C$54,$C$55,$C$56,$C$57,$C$58,$C$59,$C$60,$J106,$C$62,$C$63,N$86)</f>
        <v/>
      </c>
      <c r="O106" s="41" t="str" cm="1">
        <f t="array" aca="1" ref="O106" ca="1">_xll.DBRW($C$44,$C$48,$C$49,$C$50,$C$51,$C$52,$C$53,$C$54,$C$55,$C$56,$C$57,$C$58,$C$59,$C$60,$J106,$C$62,$C$63,O$86)</f>
        <v/>
      </c>
      <c r="P106" s="41" t="str" cm="1">
        <f t="array" aca="1" ref="P106" ca="1">_xll.DBRW($C$44,$C$48,$C$49,$C$50,$C$51,$C$52,$C$53,$C$54,$C$55,$C$56,$C$57,$C$58,$C$59,$C$60,$J106,$C$62,$C$63,P$86)</f>
        <v/>
      </c>
      <c r="Q106" s="41" t="str" cm="1">
        <f t="array" aca="1" ref="Q106" ca="1">_xll.DBRW($C$44,$C$48,$C$49,$C$50,$C$51,$C$52,$C$53,$C$54,$C$55,$C$56,$C$57,$C$58,$C$59,$C$60,$J106,$C$62,$C$63,Q$86)</f>
        <v/>
      </c>
      <c r="R106" s="41" t="str" cm="1">
        <f t="array" aca="1" ref="R106" ca="1">_xll.DBRW($C$44,$C$48,$C$49,$C$50,$C$51,$C$52,$C$53,$C$54,$C$55,$C$56,$C$57,$C$58,$C$59,$C$60,$J106,$C$62,$C$63,R$86)</f>
        <v/>
      </c>
      <c r="S106" s="42" t="str" cm="1">
        <f t="array" aca="1" ref="S106" ca="1">_xll.DBRW($C$44,$C$48,$C$49,$C$50,$C$51,$C$52,$C$53,$C$54,$C$55,$C$56,$C$57,$C$58,$C$59,$C$60,$J106,$C$62,$C$63,S$86)</f>
        <v/>
      </c>
    </row>
    <row r="107" spans="1:19" ht="3" customHeight="1" x14ac:dyDescent="0.25">
      <c r="C107" s="6"/>
      <c r="D107" s="6"/>
      <c r="E107" s="6"/>
      <c r="F107" s="6"/>
      <c r="G107" s="6"/>
      <c r="H107" s="6"/>
      <c r="I107" s="6"/>
      <c r="J107" s="78"/>
      <c r="K107" s="79"/>
      <c r="L107" s="79"/>
      <c r="M107" s="79"/>
      <c r="N107" s="45"/>
      <c r="S107" s="46"/>
    </row>
    <row r="108" spans="1:19" x14ac:dyDescent="0.25">
      <c r="J108" s="80" t="s">
        <v>18</v>
      </c>
      <c r="K108" s="80"/>
      <c r="L108" s="80"/>
      <c r="M108" s="80"/>
      <c r="N108" s="32" cm="1">
        <f t="array" aca="1" ref="N108" ca="1">_xll.DBRW($C$47,$C$48,$C$49,$C$50,$C$51,$C$52,$C$53,$C$54,$C$55,$C$56,$C$57,$C$58,$C$59,$C$60,$J108,$C$62,$C$63,N$86)</f>
        <v>0</v>
      </c>
      <c r="O108" s="33" cm="1">
        <f t="array" aca="1" ref="O108" ca="1">_xll.DBRW($C$47,$C$48,$C$49,$C$50,$C$51,$C$52,$C$53,$C$54,$C$55,$C$56,$C$57,$C$58,$C$59,$C$60,$J108,$C$62,$C$63,O$86)</f>
        <v>0</v>
      </c>
      <c r="P108" s="33" cm="1">
        <f t="array" aca="1" ref="P108" ca="1">_xll.DBRW($C$47,$C$48,$C$49,$C$50,$C$51,$C$52,$C$53,$C$54,$C$55,$C$56,$C$57,$C$58,$C$59,$C$60,$J108,$C$62,$C$63,P$86)</f>
        <v>0</v>
      </c>
      <c r="Q108" s="33" cm="1">
        <f t="array" aca="1" ref="Q108" ca="1">_xll.DBRW($C$47,$C$48,$C$49,$C$50,$C$51,$C$52,$C$53,$C$54,$C$55,$C$56,$C$57,$C$58,$C$59,$C$60,$J108,$C$62,$C$63,Q$86)</f>
        <v>0</v>
      </c>
      <c r="R108" s="33" cm="1">
        <f t="array" aca="1" ref="R108" ca="1">_xll.DBRW($C$47,$C$48,$C$49,$C$50,$C$51,$C$52,$C$53,$C$54,$C$55,$C$56,$C$57,$C$58,$C$59,$C$60,$J108,$C$62,$C$63,R$86)</f>
        <v>0</v>
      </c>
      <c r="S108" s="47" cm="1">
        <f t="array" aca="1" ref="S108" ca="1">_xll.DBRW($C$47,$C$48,$C$49,$C$50,$C$51,$C$52,$C$53,$C$54,$C$55,$C$56,$C$57,$C$58,$C$59,$C$60,$J108,$C$62,$C$63,S$86)</f>
        <v>0</v>
      </c>
    </row>
  </sheetData>
  <sheetProtection sheet="1" objects="1" scenarios="1"/>
  <mergeCells count="30">
    <mergeCell ref="R84:S84"/>
    <mergeCell ref="K82:L82"/>
    <mergeCell ref="K83:L83"/>
    <mergeCell ref="K66:L66"/>
    <mergeCell ref="K84:L84"/>
    <mergeCell ref="N81:O81"/>
    <mergeCell ref="J107:M107"/>
    <mergeCell ref="J108:M108"/>
    <mergeCell ref="J89:M89"/>
    <mergeCell ref="J100:M100"/>
    <mergeCell ref="J102:M102"/>
    <mergeCell ref="J103:M103"/>
    <mergeCell ref="J104:M104"/>
    <mergeCell ref="J105:M105"/>
    <mergeCell ref="J95:M95"/>
    <mergeCell ref="J97:M97"/>
    <mergeCell ref="J98:M98"/>
    <mergeCell ref="J99:M99"/>
    <mergeCell ref="J90:M90"/>
    <mergeCell ref="J92:M92"/>
    <mergeCell ref="J93:M93"/>
    <mergeCell ref="J94:M94"/>
    <mergeCell ref="J88:M88"/>
    <mergeCell ref="B46:C46"/>
    <mergeCell ref="B11:C11"/>
    <mergeCell ref="B19:C19"/>
    <mergeCell ref="B66:C66"/>
    <mergeCell ref="B25:D25"/>
    <mergeCell ref="B40:C40"/>
    <mergeCell ref="K81:L81"/>
  </mergeCells>
  <dataValidations disablePrompts="1" count="1">
    <dataValidation type="list" allowBlank="1" showInputMessage="1" showErrorMessage="1" sqref="C74">
      <formula1>Account_Disp_List</formula1>
    </dataValidation>
  </dataValidations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drawing r:id="rId2"/>
  <legacyDrawing r:id="rId3"/>
  <controls>
    <mc:AlternateContent xmlns:mc="http://schemas.openxmlformats.org/markup-compatibility/2006">
      <mc:Choice Requires="x14">
        <control shapeId="1032" r:id="rId4" name="TIButton5">
          <controlPr defaultSize="0" print="0" autoLine="0" autoPict="0" r:id="rId5">
            <anchor moveWithCells="1" sizeWithCells="1">
              <from>
                <xdr:col>10</xdr:col>
                <xdr:colOff>685800</xdr:colOff>
                <xdr:row>77</xdr:row>
                <xdr:rowOff>9525</xdr:rowOff>
              </from>
              <to>
                <xdr:col>11</xdr:col>
                <xdr:colOff>1257300</xdr:colOff>
                <xdr:row>77</xdr:row>
                <xdr:rowOff>257175</xdr:rowOff>
              </to>
            </anchor>
          </controlPr>
        </control>
      </mc:Choice>
      <mc:Fallback>
        <control shapeId="1032" r:id="rId4" name="TIButton5"/>
      </mc:Fallback>
    </mc:AlternateContent>
    <mc:AlternateContent xmlns:mc="http://schemas.openxmlformats.org/markup-compatibility/2006">
      <mc:Choice Requires="x14">
        <control shapeId="1031" r:id="rId6" name="TIButton1">
          <controlPr defaultSize="0" print="0" autoLine="0" autoPict="0" r:id="rId7">
            <anchor moveWithCells="1" sizeWithCells="1">
              <from>
                <xdr:col>9</xdr:col>
                <xdr:colOff>762000</xdr:colOff>
                <xdr:row>77</xdr:row>
                <xdr:rowOff>9525</xdr:rowOff>
              </from>
              <to>
                <xdr:col>10</xdr:col>
                <xdr:colOff>666750</xdr:colOff>
                <xdr:row>77</xdr:row>
                <xdr:rowOff>257175</xdr:rowOff>
              </to>
            </anchor>
          </controlPr>
        </control>
      </mc:Choice>
      <mc:Fallback>
        <control shapeId="1031" r:id="rId6" name="TIButton1"/>
      </mc:Fallback>
    </mc:AlternateContent>
    <mc:AlternateContent xmlns:mc="http://schemas.openxmlformats.org/markup-compatibility/2006">
      <mc:Choice Requires="x14">
        <control shapeId="1030" r:id="rId8" name="TIButton3">
          <controlPr defaultSize="0" print="0" autoLine="0" autoPict="0" r:id="rId9">
            <anchor moveWithCells="1" sizeWithCells="1">
              <from>
                <xdr:col>14</xdr:col>
                <xdr:colOff>123825</xdr:colOff>
                <xdr:row>77</xdr:row>
                <xdr:rowOff>9525</xdr:rowOff>
              </from>
              <to>
                <xdr:col>14</xdr:col>
                <xdr:colOff>895350</xdr:colOff>
                <xdr:row>77</xdr:row>
                <xdr:rowOff>257175</xdr:rowOff>
              </to>
            </anchor>
          </controlPr>
        </control>
      </mc:Choice>
      <mc:Fallback>
        <control shapeId="1030" r:id="rId8" name="TIButton3"/>
      </mc:Fallback>
    </mc:AlternateContent>
    <mc:AlternateContent xmlns:mc="http://schemas.openxmlformats.org/markup-compatibility/2006">
      <mc:Choice Requires="x14">
        <control shapeId="1029" r:id="rId10" name="TIButton2">
          <controlPr defaultSize="0" print="0" autoLine="0" autoPict="0" r:id="rId11">
            <anchor moveWithCells="1" sizeWithCells="1">
              <from>
                <xdr:col>9</xdr:col>
                <xdr:colOff>85725</xdr:colOff>
                <xdr:row>77</xdr:row>
                <xdr:rowOff>9525</xdr:rowOff>
              </from>
              <to>
                <xdr:col>9</xdr:col>
                <xdr:colOff>723900</xdr:colOff>
                <xdr:row>77</xdr:row>
                <xdr:rowOff>257175</xdr:rowOff>
              </to>
            </anchor>
          </controlPr>
        </control>
      </mc:Choice>
      <mc:Fallback>
        <control shapeId="1029" r:id="rId10" name="TIButton2"/>
      </mc:Fallback>
    </mc:AlternateContent>
    <mc:AlternateContent xmlns:mc="http://schemas.openxmlformats.org/markup-compatibility/2006">
      <mc:Choice Requires="x14">
        <control shapeId="1028" r:id="rId12" name="TIButton4">
          <controlPr defaultSize="0" print="0" autoLine="0" autoPict="0" r:id="rId13">
            <anchor moveWithCells="1" sizeWithCells="1">
              <from>
                <xdr:col>18</xdr:col>
                <xdr:colOff>733425</xdr:colOff>
                <xdr:row>76</xdr:row>
                <xdr:rowOff>38100</xdr:rowOff>
              </from>
              <to>
                <xdr:col>19</xdr:col>
                <xdr:colOff>0</xdr:colOff>
                <xdr:row>77</xdr:row>
                <xdr:rowOff>285750</xdr:rowOff>
              </to>
            </anchor>
          </controlPr>
        </control>
      </mc:Choice>
      <mc:Fallback>
        <control shapeId="1028" r:id="rId12" name="TIButton4"/>
      </mc:Fallback>
    </mc:AlternateContent>
    <mc:AlternateContent xmlns:mc="http://schemas.openxmlformats.org/markup-compatibility/2006">
      <mc:Choice Requires="x14">
        <control shapeId="1033" r:id="rId14" name="TIButton6">
          <controlPr defaultSize="0" print="0" autoLine="0" autoPict="0" r:id="rId15">
            <anchor moveWithCells="1" sizeWithCells="1">
              <from>
                <xdr:col>11</xdr:col>
                <xdr:colOff>1285875</xdr:colOff>
                <xdr:row>77</xdr:row>
                <xdr:rowOff>9525</xdr:rowOff>
              </from>
              <to>
                <xdr:col>14</xdr:col>
                <xdr:colOff>95250</xdr:colOff>
                <xdr:row>77</xdr:row>
                <xdr:rowOff>257175</xdr:rowOff>
              </to>
            </anchor>
          </controlPr>
        </control>
      </mc:Choice>
      <mc:Fallback>
        <control shapeId="1033" r:id="rId14" name="TIButton6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report</vt:lpstr>
      <vt:lpstr>Account_Disp_List</vt:lpstr>
      <vt:lpstr>db_name</vt:lpstr>
      <vt:lpstr>Freeze_HERE</vt:lpstr>
      <vt:lpstr>HLYear_Period_List</vt:lpstr>
      <vt:lpstr>psApp</vt:lpstr>
      <vt:lpstr>psProgDimName</vt:lpstr>
      <vt:lpstr>psUser</vt:lpstr>
      <vt:lpstr>sys_YN_list</vt:lpstr>
      <vt:lpstr>TM1HomeAECAP</vt:lpstr>
      <vt:lpstr>TM1HomeAEWB</vt:lpstr>
      <vt:lpstr>TM1HomeAEWS</vt:lpstr>
      <vt:lpstr>TM1HomeCAP</vt:lpstr>
      <vt:lpstr>TM1HomeRepAnalyticalCAP</vt:lpstr>
      <vt:lpstr>TM1HomeRepAnalyticalWB</vt:lpstr>
      <vt:lpstr>TM1HomeRepAnalyticalWS</vt:lpstr>
      <vt:lpstr>TM1HomeRepCAP</vt:lpstr>
      <vt:lpstr>TM1HomeRepOtherCAP</vt:lpstr>
      <vt:lpstr>TM1HomeRepOtherWB</vt:lpstr>
      <vt:lpstr>TM1HomeRepOtherWS</vt:lpstr>
      <vt:lpstr>TM1HomeRepWB</vt:lpstr>
      <vt:lpstr>TM1HomeRepWS</vt:lpstr>
      <vt:lpstr>TM1HomeWB</vt:lpstr>
      <vt:lpstr>TM1HomeWS</vt:lpstr>
      <vt:lpstr>report!TM1RPTDATARNG1</vt:lpstr>
      <vt:lpstr>report!TM1RPTDATARNGARPT1</vt:lpstr>
      <vt:lpstr>report!TM1RPTDATARNGARPT2</vt:lpstr>
      <vt:lpstr>report!TM1RPTDATARNGARPT3</vt:lpstr>
      <vt:lpstr>report!TM1RPTFMTIDCOL</vt:lpstr>
      <vt:lpstr>report!TM1RPTFMTRNG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Looyen</dc:creator>
  <cp:lastModifiedBy>modeler1</cp:lastModifiedBy>
  <cp:lastPrinted>2020-05-19T04:46:44Z</cp:lastPrinted>
  <dcterms:created xsi:type="dcterms:W3CDTF">2019-03-06T05:18:36Z</dcterms:created>
  <dcterms:modified xsi:type="dcterms:W3CDTF">2024-10-17T03:05:08Z</dcterms:modified>
</cp:coreProperties>
</file>