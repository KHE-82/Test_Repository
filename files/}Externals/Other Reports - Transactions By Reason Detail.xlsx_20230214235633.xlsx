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2E1C18DA-B575-4757-A85D-2514F25995A9}" xr6:coauthVersionLast="47" xr6:coauthVersionMax="47" xr10:uidLastSave="{00000000-0000-0000-0000-000000000000}"/>
  <bookViews>
    <workbookView xWindow="57480" yWindow="-1965" windowWidth="29040" windowHeight="15840" xr2:uid="{78B8C818-6103-44F1-B575-3553E9E9F4A1}"/>
  </bookViews>
  <sheets>
    <sheet name="reason all" sheetId="1" r:id="rId1"/>
  </sheets>
  <definedNames>
    <definedName name="db_name">'reason all'!$C$12</definedName>
    <definedName name="psApp">'reason all'!$C$29</definedName>
    <definedName name="psUser">'reason all'!$C$14</definedName>
    <definedName name="TM1GrpViewAdj01HeaderCAP">'reason all'!$D$40</definedName>
    <definedName name="TM1GrpViewAdj01HeaderWB">'reason all'!$F$40</definedName>
    <definedName name="TM1GrpViewAdj01HeaderWS">'reason all'!$H$40</definedName>
    <definedName name="TM1HomeAdminCAP">'reason all'!$D$34</definedName>
    <definedName name="TM1HomeAdminWB">'reason all'!$F$34</definedName>
    <definedName name="TM1HomeAdminWS">'reason all'!$H$34</definedName>
    <definedName name="TM1HomeAECAP">'reason all'!$D$32</definedName>
    <definedName name="TM1HomeAEWB">'reason all'!$F$32</definedName>
    <definedName name="TM1HomeAEWS">'reason all'!$H$32</definedName>
    <definedName name="TM1HomeCAP">'reason all'!$D$31</definedName>
    <definedName name="TM1HomeRepAnalyticalCAP">'reason all'!$D$36</definedName>
    <definedName name="TM1HomeRepAnalyticalWB">'reason all'!$F$36</definedName>
    <definedName name="TM1HomeRepAnalyticalWS">'reason all'!$H$36</definedName>
    <definedName name="TM1HomeRepCAP">'reason all'!$D$33</definedName>
    <definedName name="TM1HomeRepOtherCAP">'reason all'!$D$35</definedName>
    <definedName name="TM1HomeRepOtherWB">'reason all'!$F$35</definedName>
    <definedName name="TM1HomeRepOtherWS">'reason all'!$H$35</definedName>
    <definedName name="TM1HomeRepWB">'reason all'!$F$33</definedName>
    <definedName name="TM1HomeRepWS">'reason all'!$H$33</definedName>
    <definedName name="TM1HomeWB">'reason all'!$F$31</definedName>
    <definedName name="TM1HomeWS">'reason all'!$H$31</definedName>
    <definedName name="TM1OthRprTBalCAP">'reason all'!$D$37</definedName>
    <definedName name="TM1OthRprTBalWB">'reason all'!$F$37</definedName>
    <definedName name="TM1OthRprTBalWS">'reason all'!$H$37</definedName>
    <definedName name="TM1OthRprTxnByReasonCAP">'reason all'!$D$38</definedName>
    <definedName name="TM1OthRprTxnByReasonWB">'reason all'!$F$38</definedName>
    <definedName name="TM1OthRprTxnByReasonWS">'reason all'!$H$38</definedName>
    <definedName name="TM1REBUILDOPTION">0</definedName>
    <definedName name="TM1RPTDATARNG1" localSheetId="0">'reason all'!$79:$79</definedName>
    <definedName name="TM1RPTFMTIDCOL" localSheetId="0">'reason all'!$A$1:$A$8</definedName>
    <definedName name="TM1RPTFMTRNG" localSheetId="0">'reason all'!$B$1:$AC$8</definedName>
    <definedName name="TM1ViewAdj01HeaderCAP">'reason all'!$D$39</definedName>
    <definedName name="TM1ViewAdj01HeaderWB">'reason all'!$F$39</definedName>
    <definedName name="TM1ViewAdj01HeaderWS">'reason all'!$H$39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3" i="1" l="1" a="1"/>
  <c r="C43" i="1"/>
  <c r="V74" i="1" a="1"/>
  <c r="V74" i="1"/>
  <c r="C45" i="1"/>
  <c r="B79" i="1" a="1"/>
  <c r="B79" i="1"/>
  <c r="R79" i="1"/>
  <c r="F79" i="1" a="1"/>
  <c r="F79" i="1"/>
  <c r="Q79" i="1"/>
  <c r="V76" i="1" a="1"/>
  <c r="V76" i="1"/>
  <c r="V75" i="1" a="1"/>
  <c r="V75" i="1"/>
  <c r="V73" i="1" a="1"/>
  <c r="V73" i="1"/>
  <c r="V72" i="1" a="1"/>
  <c r="V72" i="1"/>
  <c r="V71" i="1" a="1"/>
  <c r="V71" i="1"/>
  <c r="C20" i="1" a="1"/>
  <c r="C20" i="1"/>
  <c r="C22" i="1" a="1"/>
  <c r="C22" i="1"/>
  <c r="V70" i="1" a="1"/>
  <c r="V70" i="1"/>
  <c r="C21" i="1" a="1"/>
  <c r="C21" i="1"/>
  <c r="V69" i="1" a="1"/>
  <c r="V69" i="1"/>
  <c r="T59" i="1"/>
  <c r="AC60" i="1" a="1"/>
  <c r="AC60" i="1"/>
  <c r="AB60" i="1" a="1"/>
  <c r="AB60" i="1"/>
  <c r="AA60" i="1" a="1"/>
  <c r="AA60" i="1"/>
  <c r="Z60" i="1" a="1"/>
  <c r="Z60" i="1"/>
  <c r="Y60" i="1" a="1"/>
  <c r="Y60" i="1"/>
  <c r="X60" i="1" a="1"/>
  <c r="X60" i="1"/>
  <c r="W60" i="1" a="1"/>
  <c r="W60" i="1"/>
  <c r="V60" i="1" a="1"/>
  <c r="V60" i="1"/>
  <c r="C52" i="1" a="1"/>
  <c r="C52" i="1"/>
  <c r="C51" i="1" a="1"/>
  <c r="C51" i="1"/>
  <c r="C50" i="1" a="1"/>
  <c r="C50" i="1"/>
  <c r="C49" i="1" a="1"/>
  <c r="C49" i="1"/>
  <c r="C48" i="1" a="1"/>
  <c r="C48" i="1"/>
  <c r="C47" i="1" a="1"/>
  <c r="C47" i="1"/>
  <c r="C44" i="1" a="1"/>
  <c r="C44" i="1"/>
  <c r="C28" i="1" a="1"/>
  <c r="C28" i="1"/>
  <c r="V9" i="1" a="1"/>
  <c r="V9" i="1"/>
  <c r="C79" i="1" a="1"/>
  <c r="C79" i="1"/>
  <c r="T79" i="1"/>
  <c r="AB81" i="1"/>
  <c r="AB76" i="1"/>
  <c r="E79" i="1"/>
  <c r="AC78" i="1"/>
  <c r="AC79" i="1" a="1"/>
  <c r="AC79" i="1"/>
  <c r="AB78" i="1"/>
  <c r="AB79" i="1" a="1"/>
  <c r="AB79" i="1"/>
  <c r="AA78" i="1"/>
  <c r="AA79" i="1" a="1"/>
  <c r="AA79" i="1"/>
  <c r="Z78" i="1"/>
  <c r="Z79" i="1" a="1"/>
  <c r="Z79" i="1"/>
  <c r="Y78" i="1"/>
  <c r="Y79" i="1" a="1"/>
  <c r="Y79" i="1"/>
  <c r="X78" i="1"/>
  <c r="X79" i="1" a="1"/>
  <c r="X79" i="1"/>
  <c r="W78" i="1"/>
  <c r="W79" i="1" a="1"/>
  <c r="W79" i="1"/>
  <c r="V78" i="1"/>
  <c r="V79" i="1" a="1"/>
  <c r="V79" i="1"/>
  <c r="N78" i="1"/>
  <c r="N79" i="1" a="1"/>
  <c r="N79" i="1"/>
  <c r="M78" i="1"/>
  <c r="M79" i="1" a="1"/>
  <c r="M79" i="1"/>
  <c r="L78" i="1"/>
  <c r="L79" i="1" a="1"/>
  <c r="L79" i="1"/>
  <c r="K78" i="1"/>
  <c r="K79" i="1" a="1"/>
  <c r="K79" i="1"/>
  <c r="J78" i="1"/>
  <c r="J79" i="1" a="1"/>
  <c r="J79" i="1"/>
  <c r="I78" i="1"/>
  <c r="I79" i="1" a="1"/>
  <c r="I79" i="1"/>
  <c r="H78" i="1"/>
  <c r="H79" i="1" a="1"/>
  <c r="H79" i="1"/>
  <c r="G78" i="1"/>
  <c r="G79" i="1" a="1"/>
  <c r="G79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C17" i="1"/>
  <c r="S79" i="1"/>
  <c r="A79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<sst xmlns="http://schemas.openxmlformats.org/spreadsheetml/2006/main" count="72" uniqueCount="69">
  <si>
    <t>[Begin Format Range]</t>
  </si>
  <si>
    <t>D</t>
  </si>
  <si>
    <t>N</t>
  </si>
  <si>
    <t>[End Format Range]</t>
  </si>
  <si>
    <t>Current HLYear</t>
  </si>
  <si>
    <t>Active Form View</t>
  </si>
  <si>
    <t>Slice View</t>
  </si>
  <si>
    <t>Year</t>
  </si>
  <si>
    <t>Programme MDX</t>
  </si>
  <si>
    <t>Reason MDX</t>
  </si>
  <si>
    <t>{{ EXCEPT( {TM1SUBSETALL( [reason] )}, { [reason].[sys_Total Reason], [reason].[sys_Policy Decisions], [reason].[sys_Economic Parameters], [reason].[sys_Public Dept Interest], [reason].[sys_Program Specific Parameter Variations], [reason].[sys_Other Variations], [reason].[sys_Actuals], [reason].[sys_Other], [reason].[Total changes in price &amp; wage indices], [reason].[Total Program specific - beneficiary or rate changes], [reason].[Total Program Specific - Other], [reason].[CBMS 1 reason codes] }) }, {[reason].[Total reason]}}</t>
  </si>
  <si>
    <t>Related Entity</t>
  </si>
  <si>
    <t>Function</t>
  </si>
  <si>
    <t>SPP</t>
  </si>
  <si>
    <t>Appropriation Item</t>
  </si>
  <si>
    <t>Jurisdiction</t>
  </si>
  <si>
    <t>Appropriation Type</t>
  </si>
  <si>
    <t>Reason</t>
  </si>
  <si>
    <t>Total Ids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</si>
  <si>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</si>
  <si>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</si>
  <si>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</si>
  <si>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</si>
  <si>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</si>
  <si>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</si>
  <si>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</si>
  <si>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</si>
  <si>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</si>
  <si>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</si>
  <si>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</si>
  <si>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</si>
  <si>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</si>
  <si>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</si>
  <si>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sys_application</t>
  </si>
  <si>
    <t>Current Workbook</t>
  </si>
  <si>
    <t>Other Reports - Transactions By Reason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</si>
  <si>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</si>
  <si>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</si>
  <si>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</si>
  <si>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</si>
  <si>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</si>
  <si>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</si>
  <si>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</si>
  <si>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</si>
  <si>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</si>
  <si>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</si>
  <si>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Reports - Other</t>
  </si>
  <si>
    <t>Other Reports - Trial Balance</t>
  </si>
  <si>
    <t>Data Entry - View Adj 01 - Header Details</t>
  </si>
  <si>
    <t>Group Data Entry - View Adj 01 - Header Details</t>
  </si>
  <si>
    <t>AE Adjustments</t>
  </si>
  <si>
    <t xml:space="preserve">Headline Year : </t>
  </si>
  <si>
    <t xml:space="preserve">Scenario : </t>
  </si>
  <si>
    <t xml:space="preserve">Status : </t>
  </si>
  <si>
    <t xml:space="preserve">Account : </t>
  </si>
  <si>
    <t xml:space="preserve">Movement Account : </t>
  </si>
  <si>
    <t xml:space="preserve">Program : </t>
  </si>
  <si>
    <t xml:space="preserve">Outcome : </t>
  </si>
  <si>
    <t xml:space="preserve">Measure Code : </t>
  </si>
  <si>
    <t>Period</t>
  </si>
  <si>
    <t>GEUS Sub Program</t>
  </si>
  <si>
    <t>Parent Program</t>
  </si>
  <si>
    <t>Transactions By Reason Detail</t>
  </si>
  <si>
    <t>REPORT PARAMETERS</t>
  </si>
  <si>
    <t>Homepage - Reports - Analytical</t>
  </si>
  <si>
    <t>{{[reason].[Total reason]},{TM1FILTERBYLEVEL( {TM1SUBSETALL( [reason] )}, 0)},{[reason].[Total reason]}}</t>
  </si>
  <si>
    <t>As at</t>
  </si>
  <si>
    <t>ID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</si>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</sst>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* \(#,##0\)_-;_-* &quot;-&quot;??_-;_-@_-"/>
    <numFmt numFmtId="166" formatCode="&quot;- &quot;@"/>
    <numFmt numFmtId="167" formatCode="_(* #,##0_);[Red]_(* \(#,##0\);_(* &quot;-&quot;??_);_(@_)"/>
    <numFmt numFmtId="168" formatCode="dd\ mmmm\ yyyy\ h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7">
    <xf numFmtId="0" fontId="0" fillId="0" borderId="0" xfId="0"/>
    <xf numFmtId="0" fontId="2" fillId="0" borderId="1" xfId="0" applyFont="1" applyBorder="1"/>
    <xf numFmtId="165" fontId="4" fillId="0" borderId="0" xfId="1" applyNumberFormat="1" applyFont="1"/>
    <xf numFmtId="0" fontId="0" fillId="0" borderId="1" xfId="0" applyBorder="1"/>
    <xf numFmtId="0" fontId="4" fillId="0" borderId="2" xfId="0" applyFont="1" applyBorder="1"/>
    <xf numFmtId="0" fontId="4" fillId="0" borderId="0" xfId="0" applyFont="1"/>
    <xf numFmtId="0" fontId="4" fillId="0" borderId="0" xfId="0" applyFont="1" applyAlignment="1">
      <alignment horizontal="right" indent="1"/>
    </xf>
    <xf numFmtId="0" fontId="4" fillId="0" borderId="3" xfId="0" applyFont="1" applyBorder="1"/>
    <xf numFmtId="0" fontId="0" fillId="0" borderId="0" xfId="0" quotePrefix="1"/>
    <xf numFmtId="165" fontId="4" fillId="0" borderId="4" xfId="1" applyNumberFormat="1" applyFont="1" applyBorder="1"/>
    <xf numFmtId="0" fontId="0" fillId="0" borderId="4" xfId="0" applyBorder="1"/>
    <xf numFmtId="0" fontId="5" fillId="0" borderId="0" xfId="0" applyFont="1"/>
    <xf numFmtId="0" fontId="6" fillId="3" borderId="0" xfId="0" applyFont="1" applyFill="1"/>
    <xf numFmtId="0" fontId="7" fillId="0" borderId="0" xfId="0" applyFont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9" xfId="0" applyBorder="1"/>
    <xf numFmtId="0" fontId="0" fillId="0" borderId="4" xfId="0" applyBorder="1" applyAlignment="1">
      <alignment horizontal="left"/>
    </xf>
    <xf numFmtId="0" fontId="1" fillId="0" borderId="4" xfId="2" applyBorder="1"/>
    <xf numFmtId="0" fontId="5" fillId="0" borderId="4" xfId="0" applyFont="1" applyBorder="1"/>
    <xf numFmtId="0" fontId="2" fillId="0" borderId="0" xfId="0" applyFont="1" applyAlignment="1">
      <alignment horizontal="right" indent="1"/>
    </xf>
    <xf numFmtId="49" fontId="2" fillId="0" borderId="1" xfId="0" applyNumberFormat="1" applyFont="1" applyBorder="1"/>
    <xf numFmtId="166" fontId="0" fillId="0" borderId="0" xfId="0" applyNumberFormat="1"/>
    <xf numFmtId="0" fontId="8" fillId="4" borderId="0" xfId="0" applyFont="1" applyFill="1" applyAlignment="1">
      <alignment horizontal="center" vertical="center"/>
    </xf>
    <xf numFmtId="167" fontId="3" fillId="2" borderId="4" xfId="1" applyNumberFormat="1" applyFont="1" applyFill="1" applyBorder="1"/>
    <xf numFmtId="167" fontId="2" fillId="2" borderId="4" xfId="1" applyNumberFormat="1" applyFont="1" applyFill="1" applyBorder="1"/>
    <xf numFmtId="167" fontId="4" fillId="0" borderId="0" xfId="1" applyNumberFormat="1" applyFont="1"/>
    <xf numFmtId="167" fontId="0" fillId="0" borderId="0" xfId="1" applyNumberFormat="1" applyFont="1"/>
    <xf numFmtId="167" fontId="4" fillId="0" borderId="4" xfId="1" applyNumberFormat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 indent="1"/>
    </xf>
    <xf numFmtId="0" fontId="4" fillId="2" borderId="1" xfId="0" applyFont="1" applyFill="1" applyBorder="1"/>
    <xf numFmtId="0" fontId="3" fillId="2" borderId="10" xfId="0" applyFont="1" applyFill="1" applyBorder="1"/>
    <xf numFmtId="0" fontId="3" fillId="2" borderId="10" xfId="0" applyFont="1" applyFill="1" applyBorder="1" applyAlignment="1">
      <alignment horizontal="right" indent="1"/>
    </xf>
    <xf numFmtId="0" fontId="4" fillId="2" borderId="10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 indent="1"/>
    </xf>
    <xf numFmtId="0" fontId="2" fillId="0" borderId="4" xfId="0" applyFont="1" applyBorder="1" applyAlignment="1">
      <alignment horizontal="right"/>
    </xf>
    <xf numFmtId="0" fontId="9" fillId="4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left" inden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4" xfId="0" applyFont="1" applyBorder="1" applyAlignment="1">
      <alignment horizontal="left" indent="1"/>
    </xf>
    <xf numFmtId="0" fontId="8" fillId="5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3" xfId="2" xr:uid="{7598E2AA-BAEE-4742-A3EC-CFE3218D42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476250</xdr:colOff>
      <xdr:row>63</xdr:row>
      <xdr:rowOff>0</xdr:rowOff>
    </xdr:from>
    <xdr:ext cx="0" cy="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238625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18</xdr:col>
      <xdr:colOff>0</xdr:colOff>
      <xdr:row>63</xdr:row>
      <xdr:rowOff>0</xdr:rowOff>
    </xdr:from>
    <xdr:ext cx="57150" cy="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762375" y="742950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18</xdr:col>
      <xdr:colOff>485775</xdr:colOff>
      <xdr:row>63</xdr:row>
      <xdr:rowOff>0</xdr:rowOff>
    </xdr:from>
    <xdr:ext cx="0" cy="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248150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18</xdr:col>
      <xdr:colOff>476250</xdr:colOff>
      <xdr:row>63</xdr:row>
      <xdr:rowOff>0</xdr:rowOff>
    </xdr:from>
    <xdr:ext cx="0" cy="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38625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18</xdr:col>
      <xdr:colOff>0</xdr:colOff>
      <xdr:row>63</xdr:row>
      <xdr:rowOff>0</xdr:rowOff>
    </xdr:from>
    <xdr:ext cx="57150" cy="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762375" y="742950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18</xdr:col>
      <xdr:colOff>485775</xdr:colOff>
      <xdr:row>63</xdr:row>
      <xdr:rowOff>0</xdr:rowOff>
    </xdr:from>
    <xdr:ext cx="0" cy="0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48150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11</xdr:col>
      <xdr:colOff>466725</xdr:colOff>
      <xdr:row>63</xdr:row>
      <xdr:rowOff>0</xdr:rowOff>
    </xdr:from>
    <xdr:to>
      <xdr:col>16</xdr:col>
      <xdr:colOff>96338</xdr:colOff>
      <xdr:row>63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742950"/>
          <a:ext cx="14015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16</xdr:col>
      <xdr:colOff>91440</xdr:colOff>
      <xdr:row>63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742950"/>
          <a:ext cx="14287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19</xdr:col>
      <xdr:colOff>476250</xdr:colOff>
      <xdr:row>63</xdr:row>
      <xdr:rowOff>0</xdr:rowOff>
    </xdr:from>
    <xdr:ext cx="0" cy="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91125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0</xdr:colOff>
      <xdr:row>63</xdr:row>
      <xdr:rowOff>0</xdr:rowOff>
    </xdr:from>
    <xdr:ext cx="57150" cy="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714875" y="742950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485775</xdr:colOff>
      <xdr:row>63</xdr:row>
      <xdr:rowOff>0</xdr:rowOff>
    </xdr:from>
    <xdr:ext cx="0" cy="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00650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476250</xdr:colOff>
      <xdr:row>63</xdr:row>
      <xdr:rowOff>0</xdr:rowOff>
    </xdr:from>
    <xdr:ext cx="0" cy="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91125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0</xdr:colOff>
      <xdr:row>63</xdr:row>
      <xdr:rowOff>0</xdr:rowOff>
    </xdr:from>
    <xdr:ext cx="57150" cy="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714875" y="742950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485775</xdr:colOff>
      <xdr:row>63</xdr:row>
      <xdr:rowOff>0</xdr:rowOff>
    </xdr:from>
    <xdr:ext cx="0" cy="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200650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15</xdr:col>
      <xdr:colOff>38100</xdr:colOff>
      <xdr:row>62</xdr:row>
      <xdr:rowOff>28575</xdr:rowOff>
    </xdr:from>
    <xdr:to>
      <xdr:col>16</xdr:col>
      <xdr:colOff>1790700</xdr:colOff>
      <xdr:row>62</xdr:row>
      <xdr:rowOff>474345</xdr:rowOff>
    </xdr:to>
    <xdr:pic>
      <xdr:nvPicPr>
        <xdr:cNvPr id="16" name="Pictur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7620</xdr:colOff>
          <xdr:row>64</xdr:row>
          <xdr:rowOff>0</xdr:rowOff>
        </xdr:from>
        <xdr:to>
          <xdr:col>16</xdr:col>
          <xdr:colOff>647700</xdr:colOff>
          <xdr:row>64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685800</xdr:colOff>
          <xdr:row>64</xdr:row>
          <xdr:rowOff>0</xdr:rowOff>
        </xdr:from>
        <xdr:to>
          <xdr:col>16</xdr:col>
          <xdr:colOff>1508760</xdr:colOff>
          <xdr:row>64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1531620</xdr:colOff>
          <xdr:row>64</xdr:row>
          <xdr:rowOff>0</xdr:rowOff>
        </xdr:from>
        <xdr:to>
          <xdr:col>16</xdr:col>
          <xdr:colOff>2887980</xdr:colOff>
          <xdr:row>64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1135380</xdr:colOff>
          <xdr:row>64</xdr:row>
          <xdr:rowOff>0</xdr:rowOff>
        </xdr:from>
        <xdr:to>
          <xdr:col>17</xdr:col>
          <xdr:colOff>1912620</xdr:colOff>
          <xdr:row>64</xdr:row>
          <xdr:rowOff>251460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518160</xdr:colOff>
          <xdr:row>63</xdr:row>
          <xdr:rowOff>38100</xdr:rowOff>
        </xdr:from>
        <xdr:to>
          <xdr:col>28</xdr:col>
          <xdr:colOff>830580</xdr:colOff>
          <xdr:row>64</xdr:row>
          <xdr:rowOff>297180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2926080</xdr:colOff>
          <xdr:row>64</xdr:row>
          <xdr:rowOff>0</xdr:rowOff>
        </xdr:from>
        <xdr:to>
          <xdr:col>17</xdr:col>
          <xdr:colOff>1097280</xdr:colOff>
          <xdr:row>64</xdr:row>
          <xdr:rowOff>251460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8A4C-05D3-444D-8D56-5E1946B9C96D}">
  <sheetPr codeName="Sheet47">
    <outlinePr showOutlineSymbols="0"/>
    <pageSetUpPr fitToPage="1"/>
  </sheetPr>
  <dimension ref="A1:AD81"/>
  <sheetViews>
    <sheetView showGridLines="0" showRowColHeaders="0" tabSelected="1" showOutlineSymbols="0" topLeftCell="A63" zoomScaleNormal="100" workbookViewId="0">
      <pane ySplit="16" topLeftCell="A79" activePane="bottomLeft" state="frozen"/>
      <selection activeCell="P63" sqref="P63"/>
      <selection pane="bottomLeft"/>
    </sheetView>
  </sheetViews>
  <sheetFormatPr defaultRowHeight="14.4" outlineLevelRow="1" outlineLevelCol="1" x14ac:dyDescent="0.3"/>
  <cols>
    <col min="1" max="1" width="2.6640625" hidden="1" customWidth="1" outlineLevel="1"/>
    <col min="2" max="2" width="37.44140625" hidden="1" customWidth="1" outlineLevel="1"/>
    <col min="3" max="3" width="38.33203125" hidden="1" customWidth="1" outlineLevel="1"/>
    <col min="4" max="4" width="8.44140625" hidden="1" customWidth="1" outlineLevel="1"/>
    <col min="5" max="5" width="17" hidden="1" customWidth="1" outlineLevel="1"/>
    <col min="6" max="6" width="43.5546875" hidden="1" customWidth="1" outlineLevel="1"/>
    <col min="7" max="15" width="20.6640625" hidden="1" customWidth="1" outlineLevel="1"/>
    <col min="16" max="16" width="0.88671875" customWidth="1" collapsed="1"/>
    <col min="17" max="18" width="50.6640625" customWidth="1"/>
    <col min="19" max="19" width="14.33203125" bestFit="1" customWidth="1"/>
    <col min="20" max="20" width="38.33203125" customWidth="1"/>
    <col min="21" max="21" width="0.88671875" customWidth="1"/>
    <col min="22" max="29" width="12.6640625" customWidth="1"/>
  </cols>
  <sheetData>
    <row r="1" spans="1:30" hidden="1" outlineLevel="1" x14ac:dyDescent="0.3">
      <c r="A1" t="s">
        <v>0</v>
      </c>
    </row>
    <row r="2" spans="1:30" hidden="1" outlineLevel="1" x14ac:dyDescent="0.3">
      <c r="A2">
        <f>0</f>
        <v>0</v>
      </c>
      <c r="B2" s="1"/>
      <c r="Q2" s="29"/>
      <c r="R2" s="29"/>
      <c r="S2" s="30"/>
      <c r="T2" s="31"/>
      <c r="U2" s="2"/>
      <c r="V2" s="24"/>
      <c r="W2" s="24"/>
      <c r="X2" s="24"/>
      <c r="Y2" s="24"/>
      <c r="Z2" s="24"/>
      <c r="AA2" s="24"/>
      <c r="AB2" s="24"/>
      <c r="AC2" s="24"/>
      <c r="AD2" s="25"/>
    </row>
    <row r="3" spans="1:30" hidden="1" outlineLevel="1" x14ac:dyDescent="0.3">
      <c r="A3">
        <f>1</f>
        <v>1</v>
      </c>
      <c r="B3" s="3"/>
      <c r="Q3" s="32"/>
      <c r="R3" s="32"/>
      <c r="S3" s="33"/>
      <c r="T3" s="34"/>
      <c r="U3" s="2"/>
      <c r="V3" s="24"/>
      <c r="W3" s="24"/>
      <c r="X3" s="24"/>
      <c r="Y3" s="24"/>
      <c r="Z3" s="24"/>
      <c r="AA3" s="24"/>
      <c r="AB3" s="24"/>
      <c r="AC3" s="24"/>
      <c r="AD3" s="25"/>
    </row>
    <row r="4" spans="1:30" hidden="1" outlineLevel="1" x14ac:dyDescent="0.3">
      <c r="A4">
        <f>2</f>
        <v>2</v>
      </c>
      <c r="B4" s="3"/>
      <c r="Q4" s="4"/>
      <c r="R4" s="5"/>
      <c r="S4" s="6"/>
      <c r="T4" s="7"/>
      <c r="U4" s="2"/>
      <c r="V4" s="26"/>
      <c r="W4" s="26"/>
      <c r="X4" s="26"/>
      <c r="Y4" s="26"/>
      <c r="Z4" s="26"/>
      <c r="AA4" s="26"/>
      <c r="AB4" s="26"/>
      <c r="AC4" s="26"/>
      <c r="AD4" s="27"/>
    </row>
    <row r="5" spans="1:30" hidden="1" outlineLevel="1" x14ac:dyDescent="0.3">
      <c r="A5">
        <f>3</f>
        <v>3</v>
      </c>
      <c r="B5" s="3"/>
      <c r="Q5" s="4"/>
      <c r="R5" s="5"/>
      <c r="S5" s="6"/>
      <c r="T5" s="7"/>
      <c r="U5" s="2"/>
      <c r="V5" s="26"/>
      <c r="W5" s="26"/>
      <c r="X5" s="26"/>
      <c r="Y5" s="26"/>
      <c r="Z5" s="26"/>
      <c r="AA5" s="26"/>
      <c r="AB5" s="26"/>
      <c r="AC5" s="26"/>
      <c r="AD5" s="27"/>
    </row>
    <row r="6" spans="1:30" hidden="1" outlineLevel="1" x14ac:dyDescent="0.3">
      <c r="A6" t="s">
        <v>1</v>
      </c>
      <c r="B6" s="3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4"/>
      <c r="R6" s="5"/>
      <c r="S6" s="6"/>
      <c r="T6" s="7"/>
      <c r="U6" s="2"/>
      <c r="V6" s="26"/>
      <c r="W6" s="26"/>
      <c r="X6" s="26"/>
      <c r="Y6" s="26"/>
      <c r="Z6" s="26"/>
      <c r="AA6" s="26"/>
      <c r="AB6" s="26"/>
      <c r="AC6" s="26"/>
      <c r="AD6" s="27"/>
    </row>
    <row r="7" spans="1:30" hidden="1" outlineLevel="1" x14ac:dyDescent="0.3">
      <c r="A7" t="s">
        <v>2</v>
      </c>
      <c r="B7" s="3"/>
      <c r="Q7" s="35"/>
      <c r="R7" s="35"/>
      <c r="S7" s="36"/>
      <c r="T7" s="35"/>
      <c r="V7" s="28"/>
      <c r="W7" s="28"/>
      <c r="X7" s="28"/>
      <c r="Y7" s="28"/>
      <c r="Z7" s="28"/>
      <c r="AA7" s="28"/>
      <c r="AB7" s="28"/>
      <c r="AC7" s="28"/>
      <c r="AD7" s="28"/>
    </row>
    <row r="8" spans="1:30" hidden="1" outlineLevel="1" x14ac:dyDescent="0.3">
      <c r="A8" t="s">
        <v>3</v>
      </c>
    </row>
    <row r="9" spans="1:30" hidden="1" outlineLevel="1" x14ac:dyDescent="0.3">
      <c r="T9" s="5" t="s">
        <v>4</v>
      </c>
      <c r="U9" s="5"/>
      <c r="V9" s="5" t="str" cm="1">
        <f t="array" aca="1" ref="V9" ca="1">_xll.DBRA(db_name&amp;":variables","headline year","value")</f>
        <v/>
      </c>
    </row>
    <row r="10" spans="1:30" hidden="1" outlineLevel="1" x14ac:dyDescent="0.3">
      <c r="T10" s="5"/>
      <c r="U10" s="5"/>
      <c r="V10" s="5"/>
    </row>
    <row r="11" spans="1:30" hidden="1" outlineLevel="1" x14ac:dyDescent="0.3">
      <c r="B11" s="41" t="s">
        <v>19</v>
      </c>
      <c r="C11" s="42"/>
      <c r="D11" s="43"/>
      <c r="T11" s="5"/>
      <c r="U11" s="5"/>
      <c r="V11" s="5"/>
    </row>
    <row r="12" spans="1:30" hidden="1" outlineLevel="1" x14ac:dyDescent="0.3">
      <c r="B12" s="14" t="s">
        <v>20</v>
      </c>
      <c r="C12" s="15" t="s">
        <v>68</v>
      </c>
      <c r="D12" s="16"/>
      <c r="T12" s="5"/>
      <c r="U12" s="5"/>
      <c r="V12" s="5"/>
    </row>
    <row r="13" spans="1:30" hidden="1" outlineLevel="1" x14ac:dyDescent="0.3">
      <c r="B13" s="14" t="s">
        <v>21</v>
      </c>
      <c r="C13" s="17" t="str" cm="1">
        <f t="array" aca="1" ref="C13" ca="1">_xll.VIEW(db_name&amp;":}ElementAttributes_}Clients","!","!")</f>
        <v>dcceew_geus:}ElementAttributes_}Clients</v>
      </c>
      <c r="D13" s="16"/>
      <c r="T13" s="5"/>
      <c r="U13" s="5"/>
      <c r="V13" s="5"/>
    </row>
    <row r="14" spans="1:30" hidden="1" outlineLevel="1" x14ac:dyDescent="0.3">
      <c r="B14" s="14" t="s">
        <v>22</v>
      </c>
      <c r="C14" s="15" t="str" cm="1">
        <f t="array" aca="1" ref="C14" ca="1">_xll.TM1USER(db_name)</f>
        <v/>
      </c>
      <c r="D14" s="16"/>
      <c r="T14" s="5"/>
      <c r="U14" s="5"/>
      <c r="V14" s="5"/>
    </row>
    <row r="15" spans="1:30" hidden="1" outlineLevel="1" x14ac:dyDescent="0.3">
      <c r="B15" s="14" t="s">
        <v>23</v>
      </c>
      <c r="C15" s="15" t="str" cm="1">
        <f t="array" aca="1" ref="C15" ca="1">_xll.DBR($C$13,$C$14,$B15)</f>
        <v>*KEY_ERR</v>
      </c>
      <c r="D15" s="16"/>
      <c r="T15" s="5"/>
      <c r="U15" s="5"/>
      <c r="V15" s="5"/>
    </row>
    <row r="16" spans="1:30" hidden="1" outlineLevel="1" x14ac:dyDescent="0.3">
      <c r="B16" s="14" t="s">
        <v>24</v>
      </c>
      <c r="C16" s="15" t="str" cm="1">
        <f t="array" aca="1" ref="C16" ca="1">_xll.DBR($C$13,$C$14,$B16)</f>
        <v>*KEY_ERR</v>
      </c>
      <c r="D16" s="16"/>
      <c r="T16" s="5"/>
      <c r="U16" s="5"/>
      <c r="V16" s="5"/>
    </row>
    <row r="17" spans="2:22" hidden="1" outlineLevel="1" x14ac:dyDescent="0.3">
      <c r="B17" s="14" t="s">
        <v>25</v>
      </c>
      <c r="C17" s="15" t="str">
        <f ca="1">IF(LEFT($C$15,6)="CAM_AD",$C$16,$C$15)</f>
        <v>*KEY_ERR</v>
      </c>
      <c r="D17" s="10"/>
      <c r="T17" s="5"/>
      <c r="U17" s="5"/>
      <c r="V17" s="5"/>
    </row>
    <row r="18" spans="2:22" hidden="1" outlineLevel="1" x14ac:dyDescent="0.3">
      <c r="T18" s="5"/>
      <c r="U18" s="5"/>
      <c r="V18" s="5"/>
    </row>
    <row r="19" spans="2:22" hidden="1" outlineLevel="1" x14ac:dyDescent="0.3">
      <c r="B19" s="41" t="s">
        <v>26</v>
      </c>
      <c r="C19" s="42"/>
      <c r="D19" s="43"/>
      <c r="T19" s="5"/>
      <c r="U19" s="5"/>
      <c r="V19" s="5"/>
    </row>
    <row r="20" spans="2:22" hidden="1" outlineLevel="1" x14ac:dyDescent="0.3">
      <c r="B20" s="14" t="s">
        <v>27</v>
      </c>
      <c r="C20" s="10" t="str" cm="1">
        <f t="array" aca="1" ref="C20" ca="1">_xll.VIEW(db_name&amp;":}ElementAttributes_variables","!","!")</f>
        <v>dcceew_geus:}ElementAttributes_variables</v>
      </c>
      <c r="D20" s="10"/>
      <c r="T20" s="5"/>
      <c r="U20" s="5"/>
      <c r="V20" s="5"/>
    </row>
    <row r="21" spans="2:22" hidden="1" outlineLevel="1" x14ac:dyDescent="0.3">
      <c r="B21" s="14" t="s">
        <v>28</v>
      </c>
      <c r="C21" s="10" t="str" cm="1">
        <f t="array" aca="1" ref="C21" ca="1">_xll.DBR($C$20,$B21,"value")</f>
        <v>*KEY_ERR</v>
      </c>
      <c r="D21" s="10"/>
      <c r="T21" s="5"/>
      <c r="U21" s="5"/>
      <c r="V21" s="5"/>
    </row>
    <row r="22" spans="2:22" hidden="1" outlineLevel="1" x14ac:dyDescent="0.3">
      <c r="B22" s="14" t="s">
        <v>29</v>
      </c>
      <c r="C22" s="10" t="str" cm="1">
        <f t="array" aca="1" ref="C22" ca="1">_xll.DBR($C$20,$B22,"value")</f>
        <v>*KEY_ERR</v>
      </c>
      <c r="D22" s="10"/>
      <c r="T22" s="5"/>
      <c r="U22" s="5"/>
      <c r="V22" s="5"/>
    </row>
    <row r="23" spans="2:22" hidden="1" outlineLevel="1" x14ac:dyDescent="0.3">
      <c r="B23" s="14" t="s">
        <v>30</v>
      </c>
      <c r="C23" s="10" t="str" cm="1">
        <f t="array" aca="1" ref="C23" ca="1">_xll.DBR($C$20,$B23,"value")</f>
        <v>*KEY_ERR</v>
      </c>
      <c r="D23" s="10"/>
      <c r="T23" s="5"/>
      <c r="U23" s="5"/>
      <c r="V23" s="5"/>
    </row>
    <row r="24" spans="2:22" hidden="1" outlineLevel="1" x14ac:dyDescent="0.3">
      <c r="B24" s="14" t="s">
        <v>31</v>
      </c>
      <c r="C24" s="10" t="str" cm="1">
        <f t="array" aca="1" ref="C24" ca="1">_xll.DBR($C$20,$B24,"value")</f>
        <v>*KEY_ERR</v>
      </c>
      <c r="D24" s="10"/>
      <c r="T24" s="5"/>
      <c r="U24" s="5"/>
      <c r="V24" s="5"/>
    </row>
    <row r="25" spans="2:22" hidden="1" outlineLevel="1" x14ac:dyDescent="0.3">
      <c r="B25" s="14" t="s">
        <v>32</v>
      </c>
      <c r="C25" s="10" t="str" cm="1">
        <f t="array" aca="1" ref="C25" ca="1">_xll.DBR($C$20,$B25,"value")</f>
        <v>*KEY_ERR</v>
      </c>
      <c r="D25" s="10"/>
      <c r="T25" s="5"/>
      <c r="U25" s="5"/>
      <c r="V25" s="5"/>
    </row>
    <row r="26" spans="2:22" hidden="1" outlineLevel="1" x14ac:dyDescent="0.3">
      <c r="T26" s="5"/>
      <c r="U26" s="5"/>
      <c r="V26" s="5"/>
    </row>
    <row r="27" spans="2:22" hidden="1" outlineLevel="1" x14ac:dyDescent="0.3">
      <c r="B27" s="41" t="s">
        <v>33</v>
      </c>
      <c r="C27" s="42"/>
      <c r="D27" s="43"/>
      <c r="T27" s="5"/>
      <c r="U27" s="5"/>
      <c r="V27" s="5"/>
    </row>
    <row r="28" spans="2:22" hidden="1" outlineLevel="1" x14ac:dyDescent="0.3">
      <c r="B28" s="14" t="s">
        <v>6</v>
      </c>
      <c r="C28" s="10" t="str" cm="1">
        <f t="array" aca="1" ref="C28" ca="1">_xll.VIEW(db_name&amp;":sys_application","!","!")</f>
        <v>dcceew_geus:sys_application</v>
      </c>
      <c r="D28" s="10"/>
      <c r="T28" s="5"/>
      <c r="U28" s="5"/>
      <c r="V28" s="5"/>
    </row>
    <row r="29" spans="2:22" hidden="1" outlineLevel="1" x14ac:dyDescent="0.3">
      <c r="B29" s="14" t="s">
        <v>34</v>
      </c>
      <c r="C29" t="s">
        <v>35</v>
      </c>
      <c r="D29" s="10"/>
      <c r="T29" s="5"/>
      <c r="U29" s="5"/>
      <c r="V29" s="5"/>
    </row>
    <row r="30" spans="2:22" hidden="1" outlineLevel="1" x14ac:dyDescent="0.3">
      <c r="B30" s="10"/>
      <c r="C30" s="14" t="s">
        <v>36</v>
      </c>
      <c r="D30" s="14" t="s">
        <v>37</v>
      </c>
      <c r="E30" s="14" t="s">
        <v>38</v>
      </c>
      <c r="F30" s="14" t="s">
        <v>39</v>
      </c>
      <c r="G30" s="14" t="s">
        <v>40</v>
      </c>
      <c r="H30" s="14" t="s">
        <v>41</v>
      </c>
      <c r="T30" s="5"/>
      <c r="U30" s="5"/>
      <c r="V30" s="5"/>
    </row>
    <row r="31" spans="2:22" hidden="1" outlineLevel="1" x14ac:dyDescent="0.3">
      <c r="B31" s="10" t="s">
        <v>42</v>
      </c>
      <c r="C31" s="10" t="str" cm="1">
        <f t="array" aca="1" ref="C31" ca="1">_xll.DBR($C$28,$B31,C$30)</f>
        <v>*KEY_ERR</v>
      </c>
      <c r="D31" s="10" t="str" cm="1">
        <f t="array" aca="1" ref="D31" ca="1">_xll.DBR($C$28,$B31,D$30)</f>
        <v>*KEY_ERR</v>
      </c>
      <c r="E31" s="10" t="str" cm="1">
        <f t="array" aca="1" ref="E31" ca="1">_xll.DBR($C$28,$B31,E$30)</f>
        <v>*KEY_ERR</v>
      </c>
      <c r="F31" s="10" t="str" cm="1">
        <f t="array" aca="1" ref="F31" ca="1">_xll.DBR($C$28,$B31,F$30)</f>
        <v>*KEY_ERR</v>
      </c>
      <c r="G31" s="10" t="str" cm="1">
        <f t="array" aca="1" ref="G31" ca="1">_xll.DBR($C$28,$B31,G$30)</f>
        <v>*KEY_ERR</v>
      </c>
      <c r="H31" s="10" t="str" cm="1">
        <f t="array" aca="1" ref="H31" ca="1">_xll.DBR($C$28,$B31,H$30)</f>
        <v>*KEY_ERR</v>
      </c>
      <c r="T31" s="5"/>
      <c r="U31" s="5"/>
      <c r="V31" s="5"/>
    </row>
    <row r="32" spans="2:22" hidden="1" outlineLevel="1" x14ac:dyDescent="0.3">
      <c r="B32" s="10" t="s">
        <v>43</v>
      </c>
      <c r="C32" s="10" t="str" cm="1">
        <f t="array" aca="1" ref="C32" ca="1">_xll.DBR($C$28,$B32,C$30)</f>
        <v>*KEY_ERR</v>
      </c>
      <c r="D32" s="10" t="str" cm="1">
        <f t="array" aca="1" ref="D32" ca="1">_xll.DBR($C$28,$B32,D$30)</f>
        <v>*KEY_ERR</v>
      </c>
      <c r="E32" s="10" t="str" cm="1">
        <f t="array" aca="1" ref="E32" ca="1">_xll.DBR($C$28,$B32,E$30)</f>
        <v>*KEY_ERR</v>
      </c>
      <c r="F32" s="10" t="str" cm="1">
        <f t="array" aca="1" ref="F32" ca="1">_xll.DBR($C$28,$B32,F$30)</f>
        <v>*KEY_ERR</v>
      </c>
      <c r="G32" s="10" t="str" cm="1">
        <f t="array" aca="1" ref="G32" ca="1">_xll.DBR($C$28,$B32,G$30)</f>
        <v>*KEY_ERR</v>
      </c>
      <c r="H32" s="10" t="str" cm="1">
        <f t="array" aca="1" ref="H32" ca="1">_xll.DBR($C$28,$B32,H$30)</f>
        <v>*KEY_ERR</v>
      </c>
      <c r="T32" s="5"/>
      <c r="U32" s="5"/>
      <c r="V32" s="5"/>
    </row>
    <row r="33" spans="2:22" hidden="1" outlineLevel="1" x14ac:dyDescent="0.3">
      <c r="B33" s="10" t="s">
        <v>44</v>
      </c>
      <c r="C33" s="10" t="str" cm="1">
        <f t="array" aca="1" ref="C33" ca="1">_xll.DBR($C$28,$B33,C$30)</f>
        <v>*KEY_ERR</v>
      </c>
      <c r="D33" s="10" t="str" cm="1">
        <f t="array" aca="1" ref="D33" ca="1">_xll.DBR($C$28,$B33,D$30)</f>
        <v>*KEY_ERR</v>
      </c>
      <c r="E33" s="10" t="str" cm="1">
        <f t="array" aca="1" ref="E33" ca="1">_xll.DBR($C$28,$B33,E$30)</f>
        <v>*KEY_ERR</v>
      </c>
      <c r="F33" s="10" t="str" cm="1">
        <f t="array" aca="1" ref="F33" ca="1">_xll.DBR($C$28,$B33,F$30)</f>
        <v>*KEY_ERR</v>
      </c>
      <c r="G33" s="10" t="str" cm="1">
        <f t="array" aca="1" ref="G33" ca="1">_xll.DBR($C$28,$B33,G$30)</f>
        <v>*KEY_ERR</v>
      </c>
      <c r="H33" s="10" t="str" cm="1">
        <f t="array" aca="1" ref="H33" ca="1">_xll.DBR($C$28,$B33,H$30)</f>
        <v>*KEY_ERR</v>
      </c>
      <c r="T33" s="5"/>
      <c r="U33" s="5"/>
      <c r="V33" s="5"/>
    </row>
    <row r="34" spans="2:22" hidden="1" outlineLevel="1" x14ac:dyDescent="0.3">
      <c r="B34" s="10" t="s">
        <v>45</v>
      </c>
      <c r="C34" s="10" t="str" cm="1">
        <f t="array" aca="1" ref="C34" ca="1">_xll.DBR($C$28,$B34,C$30)</f>
        <v>*KEY_ERR</v>
      </c>
      <c r="D34" s="10" t="str" cm="1">
        <f t="array" aca="1" ref="D34" ca="1">_xll.DBR($C$28,$B34,D$30)</f>
        <v>*KEY_ERR</v>
      </c>
      <c r="E34" s="10" t="str" cm="1">
        <f t="array" aca="1" ref="E34" ca="1">_xll.DBR($C$28,$B34,E$30)</f>
        <v>*KEY_ERR</v>
      </c>
      <c r="F34" s="10" t="str" cm="1">
        <f t="array" aca="1" ref="F34" ca="1">_xll.DBR($C$28,$B34,F$30)</f>
        <v>*KEY_ERR</v>
      </c>
      <c r="G34" s="10" t="str" cm="1">
        <f t="array" aca="1" ref="G34" ca="1">_xll.DBR($C$28,$B34,G$30)</f>
        <v>*KEY_ERR</v>
      </c>
      <c r="H34" s="10" t="str" cm="1">
        <f t="array" aca="1" ref="H34" ca="1">_xll.DBR($C$28,$B34,H$30)</f>
        <v>*KEY_ERR</v>
      </c>
      <c r="T34" s="5"/>
      <c r="U34" s="5"/>
      <c r="V34" s="5"/>
    </row>
    <row r="35" spans="2:22" hidden="1" outlineLevel="1" x14ac:dyDescent="0.3">
      <c r="B35" s="10" t="s">
        <v>46</v>
      </c>
      <c r="C35" s="10" t="str" cm="1">
        <f t="array" aca="1" ref="C35" ca="1">_xll.DBR($C$28,$B35,C$30)</f>
        <v>*KEY_ERR</v>
      </c>
      <c r="D35" s="10" t="str" cm="1">
        <f t="array" aca="1" ref="D35" ca="1">_xll.DBR($C$28,$B35,D$30)</f>
        <v>*KEY_ERR</v>
      </c>
      <c r="E35" s="10" t="str" cm="1">
        <f t="array" aca="1" ref="E35" ca="1">_xll.DBR($C$28,$B35,E$30)</f>
        <v>*KEY_ERR</v>
      </c>
      <c r="F35" s="10" t="str" cm="1">
        <f t="array" aca="1" ref="F35" ca="1">_xll.DBR($C$28,$B35,F$30)</f>
        <v>*KEY_ERR</v>
      </c>
      <c r="G35" s="10" t="str" cm="1">
        <f t="array" aca="1" ref="G35" ca="1">_xll.DBR($C$28,$B35,G$30)</f>
        <v>*KEY_ERR</v>
      </c>
      <c r="H35" s="10" t="str" cm="1">
        <f t="array" aca="1" ref="H35" ca="1">_xll.DBR($C$28,$B35,H$30)</f>
        <v>*KEY_ERR</v>
      </c>
      <c r="T35" s="5"/>
      <c r="U35" s="5"/>
      <c r="V35" s="5"/>
    </row>
    <row r="36" spans="2:22" hidden="1" outlineLevel="1" x14ac:dyDescent="0.3">
      <c r="B36" s="10" t="s">
        <v>64</v>
      </c>
      <c r="C36" s="10" t="str" cm="1">
        <f t="array" aca="1" ref="C36" ca="1">_xll.DBR($C$28,$B36,C$30)</f>
        <v>*KEY_ERR</v>
      </c>
      <c r="D36" s="10" t="str" cm="1">
        <f t="array" aca="1" ref="D36" ca="1">_xll.DBR($C$28,$B36,D$30)</f>
        <v>*KEY_ERR</v>
      </c>
      <c r="E36" s="10" t="str" cm="1">
        <f t="array" aca="1" ref="E36" ca="1">_xll.DBR($C$28,$B36,E$30)</f>
        <v>*KEY_ERR</v>
      </c>
      <c r="F36" s="10" t="str" cm="1">
        <f t="array" aca="1" ref="F36" ca="1">_xll.DBR($C$28,$B36,F$30)</f>
        <v>*KEY_ERR</v>
      </c>
      <c r="G36" s="10" t="str" cm="1">
        <f t="array" aca="1" ref="G36" ca="1">_xll.DBR($C$28,$B36,G$30)</f>
        <v>*KEY_ERR</v>
      </c>
      <c r="H36" s="10" t="str" cm="1">
        <f t="array" aca="1" ref="H36" ca="1">_xll.DBR($C$28,$B36,H$30)</f>
        <v>*KEY_ERR</v>
      </c>
      <c r="T36" s="5"/>
      <c r="U36" s="5"/>
      <c r="V36" s="5"/>
    </row>
    <row r="37" spans="2:22" hidden="1" outlineLevel="1" x14ac:dyDescent="0.3">
      <c r="B37" s="10" t="s">
        <v>47</v>
      </c>
      <c r="C37" s="10" t="str" cm="1">
        <f t="array" aca="1" ref="C37" ca="1">_xll.DBR($C$28,$B37,C$30)</f>
        <v>*KEY_ERR</v>
      </c>
      <c r="D37" s="10" t="str" cm="1">
        <f t="array" aca="1" ref="D37" ca="1">_xll.DBR($C$28,$B37,D$30)</f>
        <v>*KEY_ERR</v>
      </c>
      <c r="E37" s="10" t="str" cm="1">
        <f t="array" aca="1" ref="E37" ca="1">_xll.DBR($C$28,$B37,E$30)</f>
        <v>*KEY_ERR</v>
      </c>
      <c r="F37" s="10" t="str" cm="1">
        <f t="array" aca="1" ref="F37" ca="1">_xll.DBR($C$28,$B37,F$30)</f>
        <v>*KEY_ERR</v>
      </c>
      <c r="G37" s="10" t="str" cm="1">
        <f t="array" aca="1" ref="G37" ca="1">_xll.DBR($C$28,$B37,G$30)</f>
        <v>*KEY_ERR</v>
      </c>
      <c r="H37" s="10" t="str" cm="1">
        <f t="array" aca="1" ref="H37" ca="1">_xll.DBR($C$28,$B37,H$30)</f>
        <v>*KEY_ERR</v>
      </c>
      <c r="T37" s="5"/>
      <c r="U37" s="5"/>
      <c r="V37" s="5"/>
    </row>
    <row r="38" spans="2:22" hidden="1" outlineLevel="1" x14ac:dyDescent="0.3">
      <c r="B38" s="10" t="s">
        <v>35</v>
      </c>
      <c r="C38" s="10" t="str" cm="1">
        <f t="array" aca="1" ref="C38" ca="1">_xll.DBR($C$28,$B38,C$30)</f>
        <v>*KEY_ERR</v>
      </c>
      <c r="D38" s="10" t="str" cm="1">
        <f t="array" aca="1" ref="D38" ca="1">_xll.DBR($C$28,$B38,D$30)</f>
        <v>*KEY_ERR</v>
      </c>
      <c r="E38" s="10" t="str" cm="1">
        <f t="array" aca="1" ref="E38" ca="1">_xll.DBR($C$28,$B38,E$30)</f>
        <v>*KEY_ERR</v>
      </c>
      <c r="F38" s="10" t="str" cm="1">
        <f t="array" aca="1" ref="F38" ca="1">_xll.DBR($C$28,$B38,F$30)</f>
        <v>*KEY_ERR</v>
      </c>
      <c r="G38" s="10" t="str" cm="1">
        <f t="array" aca="1" ref="G38" ca="1">_xll.DBR($C$28,$B38,G$30)</f>
        <v>*KEY_ERR</v>
      </c>
      <c r="H38" s="10" t="str" cm="1">
        <f t="array" aca="1" ref="H38" ca="1">_xll.DBR($C$28,$B38,H$30)</f>
        <v>*KEY_ERR</v>
      </c>
      <c r="T38" s="5"/>
      <c r="U38" s="5"/>
      <c r="V38" s="5"/>
    </row>
    <row r="39" spans="2:22" hidden="1" outlineLevel="1" x14ac:dyDescent="0.3">
      <c r="B39" s="10" t="s">
        <v>48</v>
      </c>
      <c r="C39" s="10" t="str" cm="1">
        <f t="array" aca="1" ref="C39" ca="1">_xll.DBR($C$28,$B39,C$30)</f>
        <v>*KEY_ERR</v>
      </c>
      <c r="D39" s="10" t="str" cm="1">
        <f t="array" aca="1" ref="D39" ca="1">_xll.DBR($C$28,$B39,D$30)</f>
        <v>*KEY_ERR</v>
      </c>
      <c r="E39" s="10" t="str" cm="1">
        <f t="array" aca="1" ref="E39" ca="1">_xll.DBR($C$28,$B39,E$30)</f>
        <v>*KEY_ERR</v>
      </c>
      <c r="F39" s="10" t="str" cm="1">
        <f t="array" aca="1" ref="F39" ca="1">_xll.DBR($C$28,$B39,F$30)</f>
        <v>*KEY_ERR</v>
      </c>
      <c r="G39" s="10" t="str" cm="1">
        <f t="array" aca="1" ref="G39" ca="1">_xll.DBR($C$28,$B39,G$30)</f>
        <v>*KEY_ERR</v>
      </c>
      <c r="H39" s="10" t="str" cm="1">
        <f t="array" aca="1" ref="H39" ca="1">_xll.DBR($C$28,$B39,H$30)</f>
        <v>*KEY_ERR</v>
      </c>
      <c r="T39" s="5"/>
      <c r="U39" s="5"/>
      <c r="V39" s="5"/>
    </row>
    <row r="40" spans="2:22" hidden="1" outlineLevel="1" x14ac:dyDescent="0.3">
      <c r="B40" s="18" t="s">
        <v>49</v>
      </c>
      <c r="C40" s="10" t="str" cm="1">
        <f t="array" aca="1" ref="C40" ca="1">_xll.DBR($C$28,$B40,C$30)</f>
        <v>*KEY_ERR</v>
      </c>
      <c r="D40" s="10" t="str" cm="1">
        <f t="array" aca="1" ref="D40" ca="1">_xll.DBR($C$28,$B40,D$30)</f>
        <v>*KEY_ERR</v>
      </c>
      <c r="E40" s="10" t="str" cm="1">
        <f t="array" aca="1" ref="E40" ca="1">_xll.DBR($C$28,$B40,E$30)</f>
        <v>*KEY_ERR</v>
      </c>
      <c r="F40" s="10" t="str" cm="1">
        <f t="array" aca="1" ref="F40" ca="1">_xll.DBR($C$28,$B40,F$30)</f>
        <v>*KEY_ERR</v>
      </c>
      <c r="G40" s="10" t="str" cm="1">
        <f t="array" aca="1" ref="G40" ca="1">_xll.DBR($C$28,$B40,G$30)</f>
        <v>*KEY_ERR</v>
      </c>
      <c r="H40" s="10" t="str" cm="1">
        <f t="array" aca="1" ref="H40" ca="1">_xll.DBR($C$28,$B40,H$30)</f>
        <v>*KEY_ERR</v>
      </c>
      <c r="T40" s="5"/>
      <c r="U40" s="5"/>
      <c r="V40" s="5"/>
    </row>
    <row r="41" spans="2:22" hidden="1" outlineLevel="1" x14ac:dyDescent="0.3">
      <c r="T41" s="5"/>
      <c r="U41" s="5"/>
      <c r="V41" s="5"/>
    </row>
    <row r="42" spans="2:22" hidden="1" outlineLevel="1" x14ac:dyDescent="0.3">
      <c r="B42" s="41" t="s">
        <v>50</v>
      </c>
      <c r="C42" s="42"/>
      <c r="D42" s="43"/>
      <c r="T42" s="5"/>
      <c r="U42" s="5"/>
      <c r="V42" s="5"/>
    </row>
    <row r="43" spans="2:22" hidden="1" outlineLevel="1" x14ac:dyDescent="0.3">
      <c r="B43" s="14" t="s">
        <v>5</v>
      </c>
      <c r="C43" s="10" t="str" cm="1">
        <f t="array" aca="1" ref="C43" ca="1">_xll.TM1RPTVIEW(db_name&amp;":AE adjustments:1", 1, _xll.TM1RPTTITLE(db_name&amp;":headline year",$V$69), _xll.TM1RPTTITLE(db_name&amp;":scenario",$V$70), _xll.TM1RPTTITLE(db_name&amp;":status",$V$71), _xll.TM1RPTTITLE(db_name&amp;":outcome",$V$75), _xll.TM1RPTTITLE(db_name&amp;":related entity",$C$47), _xll.TM1RPTTITLE(db_name&amp;":function",$C$48), _xll.TM1RPTTITLE(db_name&amp;":spp",$C$49), _xll.TM1RPTTITLE(db_name&amp;":measure code",$V$76), _xll.TM1RPTTITLE(db_name&amp;":appropriation type",$C$52), _xll.TM1RPTTITLE(db_name&amp;":movement account",$V$73), _xll.TM1RPTTITLE(db_name&amp;":appropriation item",$C$50), _xll.TM1RPTTITLE(db_name&amp;":account",$V$72), _xll.TM1RPTTITLE(db_name&amp;":jurisdiction",$C$51),TM1RPTFMTRNG,TM1RPTFMTIDCOL)</f>
        <v>dcceew_geus:AE adjustments:1</v>
      </c>
      <c r="T43" s="5"/>
      <c r="U43" s="5"/>
      <c r="V43" s="5"/>
    </row>
    <row r="44" spans="2:22" hidden="1" outlineLevel="1" x14ac:dyDescent="0.3">
      <c r="B44" s="14" t="s">
        <v>6</v>
      </c>
      <c r="C44" s="10" t="str" cm="1">
        <f t="array" aca="1" ref="C44" ca="1">_xll.VIEW(db_name&amp;":AE adjustments",$V$69,$V$70,$V$71,$V$75,$C$47,$C$48,"!",$C$49,$V$76,$C$52,$V$73,$C$50,"!",$V$72,"!",$C$51,"!")</f>
        <v>dcceew_geus:AE adjustments</v>
      </c>
      <c r="T44" s="5"/>
      <c r="U44" s="5"/>
      <c r="V44" s="5"/>
    </row>
    <row r="45" spans="2:22" hidden="1" outlineLevel="1" x14ac:dyDescent="0.3">
      <c r="B45" s="14" t="s">
        <v>8</v>
      </c>
      <c r="C45" s="10" t="str">
        <f ca="1">"{TM1FILTERBYLEVEL( {TM1DRILLDOWNMEMBER( {[Programme].["&amp;$V$74&amp;"]}, ALL, RECURSIVE )}, 0)}"</f>
        <v>{TM1FILTERBYLEVEL( {TM1DRILLDOWNMEMBER( {[Programme].[]}, ALL, RECURSIVE )}, 0)}</v>
      </c>
      <c r="T45" s="5"/>
      <c r="U45" s="5"/>
      <c r="V45" s="5"/>
    </row>
    <row r="46" spans="2:22" hidden="1" outlineLevel="1" x14ac:dyDescent="0.3">
      <c r="B46" s="14" t="s">
        <v>9</v>
      </c>
      <c r="C46" t="s">
        <v>65</v>
      </c>
      <c r="D46" s="10" t="s">
        <v>10</v>
      </c>
      <c r="T46" s="5"/>
      <c r="U46" s="5"/>
      <c r="V46" s="5"/>
    </row>
    <row r="47" spans="2:22" hidden="1" outlineLevel="1" x14ac:dyDescent="0.3">
      <c r="B47" s="14" t="s">
        <v>11</v>
      </c>
      <c r="C47" s="19" t="str" cm="1">
        <f t="array" aca="1" ref="C47" ca="1">_xll.SUBNM(db_name&amp;":related entity","","Total related entity")</f>
        <v/>
      </c>
      <c r="T47" s="5"/>
      <c r="U47" s="5"/>
      <c r="V47" s="5"/>
    </row>
    <row r="48" spans="2:22" hidden="1" outlineLevel="1" x14ac:dyDescent="0.3">
      <c r="B48" s="14" t="s">
        <v>12</v>
      </c>
      <c r="C48" s="19" t="str" cm="1">
        <f t="array" aca="1" ref="C48" ca="1">_xll.SUBNM(db_name&amp;":function","","Total functions")</f>
        <v/>
      </c>
      <c r="T48" s="5"/>
      <c r="U48" s="5"/>
      <c r="V48" s="5"/>
    </row>
    <row r="49" spans="2:29" hidden="1" outlineLevel="1" x14ac:dyDescent="0.3">
      <c r="B49" s="14" t="s">
        <v>13</v>
      </c>
      <c r="C49" s="19" t="str" cm="1">
        <f t="array" aca="1" ref="C49" ca="1">_xll.SUBNM(db_name&amp;":spp","","Total SPP")</f>
        <v/>
      </c>
      <c r="T49" s="5"/>
      <c r="U49" s="5"/>
      <c r="V49" s="5"/>
    </row>
    <row r="50" spans="2:29" hidden="1" outlineLevel="1" x14ac:dyDescent="0.3">
      <c r="B50" s="14" t="s">
        <v>14</v>
      </c>
      <c r="C50" s="19" t="str" cm="1">
        <f t="array" aca="1" ref="C50" ca="1">_xll.SUBNM(db_name&amp;":appropriation item","","Total approp item")</f>
        <v/>
      </c>
      <c r="T50" s="5"/>
      <c r="U50" s="5"/>
      <c r="V50" s="5"/>
    </row>
    <row r="51" spans="2:29" hidden="1" outlineLevel="1" x14ac:dyDescent="0.3">
      <c r="B51" s="14" t="s">
        <v>15</v>
      </c>
      <c r="C51" s="19" t="str" cm="1">
        <f t="array" aca="1" ref="C51" ca="1">_xll.SUBNM(db_name&amp;":jurisdiction","","Total jurisdictions")</f>
        <v/>
      </c>
      <c r="T51" s="5"/>
      <c r="U51" s="5"/>
      <c r="V51" s="5"/>
    </row>
    <row r="52" spans="2:29" hidden="1" outlineLevel="1" x14ac:dyDescent="0.3">
      <c r="B52" s="14" t="s">
        <v>16</v>
      </c>
      <c r="C52" s="19" t="str" cm="1">
        <f t="array" aca="1" ref="C52" ca="1">_xll.SUBNM(db_name&amp;":appropriation type","Default","Total approp types")</f>
        <v/>
      </c>
      <c r="T52" s="5"/>
      <c r="U52" s="5"/>
      <c r="V52" s="5"/>
    </row>
    <row r="53" spans="2:29" hidden="1" outlineLevel="1" x14ac:dyDescent="0.3">
      <c r="T53" s="5"/>
      <c r="U53" s="5"/>
      <c r="V53" s="5"/>
    </row>
    <row r="54" spans="2:29" hidden="1" outlineLevel="1" x14ac:dyDescent="0.3">
      <c r="T54" s="5"/>
      <c r="U54" s="5"/>
      <c r="V54" s="5"/>
    </row>
    <row r="55" spans="2:29" hidden="1" outlineLevel="1" x14ac:dyDescent="0.3">
      <c r="T55" s="5"/>
      <c r="U55" s="5"/>
      <c r="V55" s="5"/>
    </row>
    <row r="56" spans="2:29" hidden="1" outlineLevel="1" x14ac:dyDescent="0.3">
      <c r="T56" s="5"/>
      <c r="U56" s="5"/>
      <c r="V56" s="5"/>
    </row>
    <row r="57" spans="2:29" hidden="1" outlineLevel="1" x14ac:dyDescent="0.3">
      <c r="T57" s="5"/>
      <c r="U57" s="5"/>
      <c r="V57" s="5"/>
    </row>
    <row r="58" spans="2:29" hidden="1" outlineLevel="1" x14ac:dyDescent="0.3">
      <c r="T58" s="5"/>
      <c r="U58" s="5"/>
      <c r="V58" s="5"/>
    </row>
    <row r="59" spans="2:29" hidden="1" outlineLevel="1" x14ac:dyDescent="0.3">
      <c r="S59" s="10" t="s">
        <v>59</v>
      </c>
      <c r="T59" s="10" t="str">
        <f ca="1">RIGHT(V69,9)</f>
        <v/>
      </c>
      <c r="U59" s="9"/>
      <c r="V59" s="9">
        <v>-1</v>
      </c>
      <c r="W59" s="9">
        <v>0</v>
      </c>
      <c r="X59" s="9">
        <v>1</v>
      </c>
      <c r="Y59" s="9">
        <v>2</v>
      </c>
      <c r="Z59" s="9">
        <v>3</v>
      </c>
      <c r="AA59" s="9">
        <v>4</v>
      </c>
      <c r="AB59" s="9">
        <v>5</v>
      </c>
      <c r="AC59" s="9">
        <v>6</v>
      </c>
    </row>
    <row r="60" spans="2:29" hidden="1" outlineLevel="1" x14ac:dyDescent="0.3">
      <c r="S60" s="10"/>
      <c r="T60" s="37" t="s">
        <v>7</v>
      </c>
      <c r="U60" s="10"/>
      <c r="V60" s="10" t="str" cm="1">
        <f t="array" aca="1" ref="V60" ca="1">_xll.DIMNM(db_name&amp;":period",_xll.DIMIX(db_name&amp;":period",$T$59)+V$59)</f>
        <v/>
      </c>
      <c r="W60" s="10" t="str" cm="1">
        <f t="array" aca="1" ref="W60" ca="1">_xll.DIMNM(db_name&amp;":period",_xll.DIMIX(db_name&amp;":period",$T$59)+W$59)</f>
        <v/>
      </c>
      <c r="X60" s="10" t="str" cm="1">
        <f t="array" aca="1" ref="X60" ca="1">_xll.DIMNM(db_name&amp;":period",_xll.DIMIX(db_name&amp;":period",$T$59)+X$59)</f>
        <v/>
      </c>
      <c r="Y60" s="10" t="str" cm="1">
        <f t="array" aca="1" ref="Y60" ca="1">_xll.DIMNM(db_name&amp;":period",_xll.DIMIX(db_name&amp;":period",$T$59)+Y$59)</f>
        <v/>
      </c>
      <c r="Z60" s="10" t="str" cm="1">
        <f t="array" aca="1" ref="Z60" ca="1">_xll.DIMNM(db_name&amp;":period",_xll.DIMIX(db_name&amp;":period",$T$59)+Z$59)</f>
        <v/>
      </c>
      <c r="AA60" s="10" t="str" cm="1">
        <f t="array" aca="1" ref="AA60" ca="1">_xll.DIMNM(db_name&amp;":period",_xll.DIMIX(db_name&amp;":period",$T$59)+AA$59)</f>
        <v/>
      </c>
      <c r="AB60" s="10" t="str" cm="1">
        <f t="array" aca="1" ref="AB60" ca="1">_xll.DIMNM(db_name&amp;":period",_xll.DIMIX(db_name&amp;":period",$T$59)+AB$59)</f>
        <v/>
      </c>
      <c r="AC60" s="10" t="str" cm="1">
        <f t="array" aca="1" ref="AC60" ca="1">_xll.DIMNM(db_name&amp;":period",_xll.DIMIX(db_name&amp;":period",$T$59)+AC$59)</f>
        <v/>
      </c>
    </row>
    <row r="61" spans="2:29" hidden="1" outlineLevel="1" x14ac:dyDescent="0.3"/>
    <row r="62" spans="2:29" hidden="1" outlineLevel="1" x14ac:dyDescent="0.3"/>
    <row r="63" spans="2:29" ht="39.9" customHeight="1" collapsed="1" x14ac:dyDescent="0.3"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 t="s">
        <v>62</v>
      </c>
    </row>
    <row r="64" spans="2:29" ht="4.5" customHeight="1" x14ac:dyDescent="0.3"/>
    <row r="65" spans="1:29" ht="24" customHeight="1" x14ac:dyDescent="0.3"/>
    <row r="66" spans="1:29" ht="1.5" customHeight="1" x14ac:dyDescent="0.3"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4.5" customHeight="1" x14ac:dyDescent="0.3"/>
    <row r="68" spans="1:29" x14ac:dyDescent="0.3">
      <c r="V68" s="45" t="s">
        <v>63</v>
      </c>
      <c r="W68" s="46"/>
      <c r="X68" s="46"/>
    </row>
    <row r="69" spans="1:29" x14ac:dyDescent="0.3">
      <c r="G69" s="8"/>
      <c r="H69" s="8"/>
      <c r="I69" s="8"/>
      <c r="J69" s="8"/>
      <c r="K69" s="8"/>
      <c r="L69" s="8"/>
      <c r="M69" s="8"/>
      <c r="N69" s="8"/>
      <c r="O69" s="8"/>
      <c r="P69" s="8"/>
      <c r="R69" s="8"/>
      <c r="T69" s="20" t="s">
        <v>51</v>
      </c>
      <c r="U69" s="11"/>
      <c r="V69" s="44" t="str" cm="1">
        <f t="array" aca="1" ref="V69" ca="1">_xll.SUBNM(db_name&amp;":headline year","current",$C$21,"")</f>
        <v/>
      </c>
      <c r="W69" s="44"/>
      <c r="X69" s="44"/>
    </row>
    <row r="70" spans="1:29" x14ac:dyDescent="0.3">
      <c r="T70" s="20" t="s">
        <v>52</v>
      </c>
      <c r="U70" s="11"/>
      <c r="V70" s="44" t="str" cm="1">
        <f t="array" aca="1" ref="V70" ca="1">_xll.SUBNM(db_name&amp;":scenario","",$C$22,"")</f>
        <v/>
      </c>
      <c r="W70" s="44"/>
      <c r="X70" s="44"/>
    </row>
    <row r="71" spans="1:29" x14ac:dyDescent="0.3">
      <c r="T71" s="20" t="s">
        <v>53</v>
      </c>
      <c r="U71" s="11"/>
      <c r="V71" s="44" t="str" cm="1">
        <f t="array" aca="1" ref="V71" ca="1">_xll.SUBNM(db_name&amp;":status","","Total approved","")</f>
        <v/>
      </c>
      <c r="W71" s="44"/>
      <c r="X71" s="44"/>
    </row>
    <row r="72" spans="1:29" x14ac:dyDescent="0.3">
      <c r="T72" s="20" t="s">
        <v>54</v>
      </c>
      <c r="U72" s="11"/>
      <c r="V72" s="44" t="str" cm="1">
        <f t="array" aca="1" ref="V72" ca="1">_xll.SUBNM(db_name&amp;":account","","2000000","code and description")</f>
        <v/>
      </c>
      <c r="W72" s="44"/>
      <c r="X72" s="44"/>
    </row>
    <row r="73" spans="1:29" x14ac:dyDescent="0.3">
      <c r="T73" s="20" t="s">
        <v>55</v>
      </c>
      <c r="U73" s="11"/>
      <c r="V73" s="44" t="str" cm="1">
        <f t="array" aca="1" ref="V73" ca="1">_xll.SUBNM(db_name&amp;":movement account","","Total Movement","code and description")</f>
        <v/>
      </c>
      <c r="W73" s="44"/>
      <c r="X73" s="44"/>
    </row>
    <row r="74" spans="1:29" x14ac:dyDescent="0.3">
      <c r="T74" s="20" t="s">
        <v>56</v>
      </c>
      <c r="U74" s="11"/>
      <c r="V74" s="44" t="str" cm="1">
        <f t="array" aca="1" ref="V74" ca="1">_xll.SUBNM(db_name&amp;":programme","","Administered Programmes","code and description")</f>
        <v/>
      </c>
      <c r="W74" s="44"/>
      <c r="X74" s="44"/>
    </row>
    <row r="75" spans="1:29" x14ac:dyDescent="0.3">
      <c r="T75" s="20" t="s">
        <v>57</v>
      </c>
      <c r="U75" s="11"/>
      <c r="V75" s="44" t="str" cm="1">
        <f t="array" aca="1" ref="V75" ca="1">_xll.SUBNM(db_name&amp;":outcome","","Total outcomes","code and description")</f>
        <v/>
      </c>
      <c r="W75" s="44"/>
      <c r="X75" s="44"/>
    </row>
    <row r="76" spans="1:29" x14ac:dyDescent="0.3">
      <c r="T76" s="20" t="s">
        <v>58</v>
      </c>
      <c r="V76" s="44" t="str" cm="1">
        <f t="array" aca="1" ref="V76" ca="1">_xll.SUBNM(db_name&amp;":measure code","","Total Measures","code and description")</f>
        <v/>
      </c>
      <c r="W76" s="44"/>
      <c r="X76" s="44"/>
      <c r="AA76" s="39" t="s">
        <v>66</v>
      </c>
      <c r="AB76" s="40">
        <f ca="1">NOW()</f>
        <v>44972.398053356483</v>
      </c>
      <c r="AC76" s="40"/>
    </row>
    <row r="77" spans="1:29" ht="4.5" customHeight="1" x14ac:dyDescent="0.3"/>
    <row r="78" spans="1:29" s="11" customFormat="1" x14ac:dyDescent="0.3">
      <c r="G78" s="12" t="str">
        <f ca="1">V$60</f>
        <v/>
      </c>
      <c r="H78" s="12" t="str">
        <f t="shared" ref="H78:N78" ca="1" si="0">W$60</f>
        <v/>
      </c>
      <c r="I78" s="12" t="str">
        <f t="shared" ca="1" si="0"/>
        <v/>
      </c>
      <c r="J78" s="12" t="str">
        <f t="shared" ca="1" si="0"/>
        <v/>
      </c>
      <c r="K78" s="12" t="str">
        <f t="shared" ca="1" si="0"/>
        <v/>
      </c>
      <c r="L78" s="12" t="str">
        <f t="shared" ca="1" si="0"/>
        <v/>
      </c>
      <c r="M78" s="12" t="str">
        <f t="shared" ca="1" si="0"/>
        <v/>
      </c>
      <c r="N78" s="12" t="str">
        <f t="shared" ca="1" si="0"/>
        <v/>
      </c>
      <c r="O78" s="13"/>
      <c r="P78" s="13"/>
      <c r="Q78" s="23" t="s">
        <v>61</v>
      </c>
      <c r="R78" s="23" t="s">
        <v>60</v>
      </c>
      <c r="S78" s="23" t="s">
        <v>67</v>
      </c>
      <c r="T78" s="23" t="s">
        <v>17</v>
      </c>
      <c r="U78" s="13"/>
      <c r="V78" s="23" t="str">
        <f t="shared" ref="V78:AC78" ca="1" si="1">V$60</f>
        <v/>
      </c>
      <c r="W78" s="23" t="str">
        <f t="shared" ca="1" si="1"/>
        <v/>
      </c>
      <c r="X78" s="23" t="str">
        <f t="shared" ca="1" si="1"/>
        <v/>
      </c>
      <c r="Y78" s="23" t="str">
        <f t="shared" ca="1" si="1"/>
        <v/>
      </c>
      <c r="Z78" s="23" t="str">
        <f t="shared" ca="1" si="1"/>
        <v/>
      </c>
      <c r="AA78" s="23" t="str">
        <f t="shared" ca="1" si="1"/>
        <v/>
      </c>
      <c r="AB78" s="23" t="str">
        <f t="shared" ca="1" si="1"/>
        <v/>
      </c>
      <c r="AC78" s="23" t="str">
        <f t="shared" ca="1" si="1"/>
        <v/>
      </c>
    </row>
    <row r="79" spans="1:29" x14ac:dyDescent="0.3">
      <c r="A79" t="str">
        <f ca="1">IF(AND($B79=$B78,$C79&lt;&gt;"Total reason"),"N",IF(AND($B79&lt;&gt;$B78,$C79="Total reason"),"0","1"))</f>
        <v>N</v>
      </c>
      <c r="B79" s="21" t="str" cm="1">
        <f t="array" aca="1" ref="B79" ca="1">_xll.TM1RPTROW($C$43,db_name&amp;":programme","","","code and description",0,$C$45)</f>
        <v/>
      </c>
      <c r="C79" s="22" t="str" cm="1">
        <f t="array" aca="1" ref="C79" ca="1">_xll.TM1RPTROW($C$43,db_name&amp;":reason","","","CBMS Code and Description",0,$C$46)</f>
        <v/>
      </c>
      <c r="D79" t="s">
        <v>18</v>
      </c>
      <c r="E79" t="str">
        <f ca="1">IF(AND($B79=$B78,$C79&lt;&gt;"Total reason"),"New Adjustments",IF(AND($B79&lt;&gt;$B78,$C79="Total reason"),"00000","Total Ids"))</f>
        <v>New Adjustments</v>
      </c>
      <c r="F79" t="str" cm="1">
        <f t="array" aca="1" ref="F79" ca="1">_xll.DBRA(db_name&amp;":programme",_xll.ELPAR(db_name&amp;":programme",_xll.ELPAR(db_name&amp;":programme",R79,1),1),"code and description")</f>
        <v/>
      </c>
      <c r="G79" t="str" cm="1">
        <f t="array" aca="1" ref="G79" ca="1">_xll.DBRW($C$43,$V$69,$V$70,$V$71,$V$75,$C$47,$C$48,$C79,$C$49,$V$76,$C$52,$V$73,$C$50,$B79,$V$72,$E79,$C$51,G$78)</f>
        <v/>
      </c>
      <c r="H79" t="str" cm="1">
        <f t="array" aca="1" ref="H79" ca="1">_xll.DBRW($C$43,$V$69,$V$70,$V$71,$V$75,$C$47,$C$48,$C79,$C$49,$V$76,$C$52,$V$73,$C$50,$B79,$V$72,$E79,$C$51,H$78)</f>
        <v/>
      </c>
      <c r="I79" t="str" cm="1">
        <f t="array" aca="1" ref="I79" ca="1">_xll.DBRW($C$43,$V$69,$V$70,$V$71,$V$75,$C$47,$C$48,$C79,$C$49,$V$76,$C$52,$V$73,$C$50,$B79,$V$72,$E79,$C$51,I$78)</f>
        <v/>
      </c>
      <c r="J79" t="str" cm="1">
        <f t="array" aca="1" ref="J79" ca="1">_xll.DBRW($C$43,$V$69,$V$70,$V$71,$V$75,$C$47,$C$48,$C79,$C$49,$V$76,$C$52,$V$73,$C$50,$B79,$V$72,$E79,$C$51,J$78)</f>
        <v/>
      </c>
      <c r="K79" t="str" cm="1">
        <f t="array" aca="1" ref="K79" ca="1">_xll.DBRW($C$43,$V$69,$V$70,$V$71,$V$75,$C$47,$C$48,$C79,$C$49,$V$76,$C$52,$V$73,$C$50,$B79,$V$72,$E79,$C$51,K$78)</f>
        <v/>
      </c>
      <c r="L79" t="str" cm="1">
        <f t="array" aca="1" ref="L79" ca="1">_xll.DBRW($C$43,$V$69,$V$70,$V$71,$V$75,$C$47,$C$48,$C79,$C$49,$V$76,$C$52,$V$73,$C$50,$B79,$V$72,$E79,$C$51,L$78)</f>
        <v/>
      </c>
      <c r="M79" t="str" cm="1">
        <f t="array" aca="1" ref="M79" ca="1">_xll.DBRW($C$43,$V$69,$V$70,$V$71,$V$75,$C$47,$C$48,$C79,$C$49,$V$76,$C$52,$V$73,$C$50,$B79,$V$72,$E79,$C$51,M$78)</f>
        <v/>
      </c>
      <c r="N79" t="str" cm="1">
        <f t="array" aca="1" ref="N79" ca="1">_xll.DBRW($C$43,$V$69,$V$70,$V$71,$V$75,$C$47,$C$48,$C79,$C$49,$V$76,$C$52,$V$73,$C$50,$B79,$V$72,$E79,$C$51,N$78)</f>
        <v/>
      </c>
      <c r="Q79" s="29" t="str">
        <f ca="1">$F79</f>
        <v/>
      </c>
      <c r="R79" s="29" t="str">
        <f ca="1">IF($B79=B78,"",$B79)</f>
        <v/>
      </c>
      <c r="S79" s="30" t="str">
        <f ca="1">IF(AND($B79=$B78,$C79&lt;&gt;"Total reason"),"",IF(AND($B79&lt;&gt;$B78,$C79="Total reason"),"Opening Balance","Closing Balance"))</f>
        <v/>
      </c>
      <c r="T79" s="31" t="str">
        <f ca="1">IF($C79="Total reason","",$C79)</f>
        <v/>
      </c>
      <c r="U79" s="2"/>
      <c r="V79" s="24" t="str" cm="1">
        <f t="array" aca="1" ref="V79" ca="1">_xll.DBRW($C$44,$V$69,$V$70,$V$71,$V$75,$C$47,$C$48,$C79,$C$49,$V$76,$C$52,$V$73,$C$50,$B79,$V$72,$E79,$C$51,V$78)</f>
        <v/>
      </c>
      <c r="W79" s="24" t="str" cm="1">
        <f t="array" aca="1" ref="W79" ca="1">_xll.DBRW($C$44,$V$69,$V$70,$V$71,$V$75,$C$47,$C$48,$C79,$C$49,$V$76,$C$52,$V$73,$C$50,$B79,$V$72,$E79,$C$51,W$78)</f>
        <v/>
      </c>
      <c r="X79" s="24" t="str" cm="1">
        <f t="array" aca="1" ref="X79" ca="1">_xll.DBRW($C$44,$V$69,$V$70,$V$71,$V$75,$C$47,$C$48,$C79,$C$49,$V$76,$C$52,$V$73,$C$50,$B79,$V$72,$E79,$C$51,X$78)</f>
        <v/>
      </c>
      <c r="Y79" s="24" t="str" cm="1">
        <f t="array" aca="1" ref="Y79" ca="1">_xll.DBRW($C$44,$V$69,$V$70,$V$71,$V$75,$C$47,$C$48,$C79,$C$49,$V$76,$C$52,$V$73,$C$50,$B79,$V$72,$E79,$C$51,Y$78)</f>
        <v/>
      </c>
      <c r="Z79" s="24" t="str" cm="1">
        <f t="array" aca="1" ref="Z79" ca="1">_xll.DBRW($C$44,$V$69,$V$70,$V$71,$V$75,$C$47,$C$48,$C79,$C$49,$V$76,$C$52,$V$73,$C$50,$B79,$V$72,$E79,$C$51,Z$78)</f>
        <v/>
      </c>
      <c r="AA79" s="24" t="str" cm="1">
        <f t="array" aca="1" ref="AA79" ca="1">_xll.DBRW($C$44,$V$69,$V$70,$V$71,$V$75,$C$47,$C$48,$C79,$C$49,$V$76,$C$52,$V$73,$C$50,$B79,$V$72,$E79,$C$51,AA$78)</f>
        <v/>
      </c>
      <c r="AB79" s="24" t="str" cm="1">
        <f t="array" aca="1" ref="AB79" ca="1">_xll.DBRW($C$44,$V$69,$V$70,$V$71,$V$75,$C$47,$C$48,$C79,$C$49,$V$76,$C$52,$V$73,$C$50,$B79,$V$72,$E79,$C$51,AB$78)</f>
        <v/>
      </c>
      <c r="AC79" s="24" t="str" cm="1">
        <f t="array" aca="1" ref="AC79" ca="1">_xll.DBRW($C$44,$V$69,$V$70,$V$71,$V$75,$C$47,$C$48,$C79,$C$49,$V$76,$C$52,$V$73,$C$50,$B79,$V$72,$E79,$C$51,AC$78)</f>
        <v/>
      </c>
    </row>
    <row r="80" spans="1:29" ht="4.5" customHeight="1" x14ac:dyDescent="0.3"/>
    <row r="81" spans="27:29" x14ac:dyDescent="0.3">
      <c r="AA81" s="39" t="s">
        <v>66</v>
      </c>
      <c r="AB81" s="40">
        <f ca="1">NOW()</f>
        <v>44972.398053356483</v>
      </c>
      <c r="AC81" s="40"/>
    </row>
  </sheetData>
  <sheetProtection sheet="1" objects="1" scenarios="1"/>
  <mergeCells count="15">
    <mergeCell ref="AB76:AC76"/>
    <mergeCell ref="AB81:AC81"/>
    <mergeCell ref="B11:D11"/>
    <mergeCell ref="B19:D19"/>
    <mergeCell ref="B27:D27"/>
    <mergeCell ref="B42:D42"/>
    <mergeCell ref="V76:X76"/>
    <mergeCell ref="V72:X72"/>
    <mergeCell ref="V73:X73"/>
    <mergeCell ref="V74:X74"/>
    <mergeCell ref="V75:X75"/>
    <mergeCell ref="V69:X69"/>
    <mergeCell ref="V70:X70"/>
    <mergeCell ref="V71:X71"/>
    <mergeCell ref="V68:X68"/>
  </mergeCell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9" r:id="rId4" name="TIButton5">
          <controlPr defaultSize="0" print="0" autoLine="0" r:id="rId5">
            <anchor moveWithCells="1" sizeWithCells="1">
              <from>
                <xdr:col>28</xdr:col>
                <xdr:colOff>518160</xdr:colOff>
                <xdr:row>63</xdr:row>
                <xdr:rowOff>38100</xdr:rowOff>
              </from>
              <to>
                <xdr:col>28</xdr:col>
                <xdr:colOff>830580</xdr:colOff>
                <xdr:row>64</xdr:row>
                <xdr:rowOff>297180</xdr:rowOff>
              </to>
            </anchor>
          </controlPr>
        </control>
      </mc:Choice>
      <mc:Fallback>
        <control shapeId="1029" r:id="rId4" name="TIButton5"/>
      </mc:Fallback>
    </mc:AlternateContent>
    <mc:AlternateContent xmlns:mc="http://schemas.openxmlformats.org/markup-compatibility/2006">
      <mc:Choice Requires="x14">
        <control shapeId="1028" r:id="rId6" name="TIButton4">
          <controlPr defaultSize="0" print="0" autoLine="0" r:id="rId7">
            <anchor moveWithCells="1" sizeWithCells="1">
              <from>
                <xdr:col>17</xdr:col>
                <xdr:colOff>1135380</xdr:colOff>
                <xdr:row>64</xdr:row>
                <xdr:rowOff>0</xdr:rowOff>
              </from>
              <to>
                <xdr:col>17</xdr:col>
                <xdr:colOff>1912620</xdr:colOff>
                <xdr:row>64</xdr:row>
                <xdr:rowOff>251460</xdr:rowOff>
              </to>
            </anchor>
          </controlPr>
        </control>
      </mc:Choice>
      <mc:Fallback>
        <control shapeId="1028" r:id="rId6" name="TIButton4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16</xdr:col>
                <xdr:colOff>1531620</xdr:colOff>
                <xdr:row>64</xdr:row>
                <xdr:rowOff>0</xdr:rowOff>
              </from>
              <to>
                <xdr:col>16</xdr:col>
                <xdr:colOff>2887980</xdr:colOff>
                <xdr:row>64</xdr:row>
                <xdr:rowOff>251460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6" r:id="rId10" name="TIButton2">
          <controlPr defaultSize="0" print="0" autoLine="0" r:id="rId11">
            <anchor moveWithCells="1" sizeWithCells="1">
              <from>
                <xdr:col>16</xdr:col>
                <xdr:colOff>685800</xdr:colOff>
                <xdr:row>64</xdr:row>
                <xdr:rowOff>0</xdr:rowOff>
              </from>
              <to>
                <xdr:col>16</xdr:col>
                <xdr:colOff>1508760</xdr:colOff>
                <xdr:row>64</xdr:row>
                <xdr:rowOff>251460</xdr:rowOff>
              </to>
            </anchor>
          </controlPr>
        </control>
      </mc:Choice>
      <mc:Fallback>
        <control shapeId="1026" r:id="rId10" name="TIButton2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r:id="rId13">
            <anchor moveWithCells="1" sizeWithCells="1">
              <from>
                <xdr:col>16</xdr:col>
                <xdr:colOff>7620</xdr:colOff>
                <xdr:row>64</xdr:row>
                <xdr:rowOff>0</xdr:rowOff>
              </from>
              <to>
                <xdr:col>16</xdr:col>
                <xdr:colOff>647700</xdr:colOff>
                <xdr:row>64</xdr:row>
                <xdr:rowOff>251460</xdr:rowOff>
              </to>
            </anchor>
          </controlPr>
        </control>
      </mc:Choice>
      <mc:Fallback>
        <control shapeId="1025" r:id="rId12" name="TIButton1"/>
      </mc:Fallback>
    </mc:AlternateContent>
    <mc:AlternateContent xmlns:mc="http://schemas.openxmlformats.org/markup-compatibility/2006">
      <mc:Choice Requires="x14">
        <control shapeId="1030" r:id="rId14" name="TIButton6">
          <controlPr defaultSize="0" print="0" autoLine="0" r:id="rId15">
            <anchor moveWithCells="1" sizeWithCells="1">
              <from>
                <xdr:col>16</xdr:col>
                <xdr:colOff>2926080</xdr:colOff>
                <xdr:row>64</xdr:row>
                <xdr:rowOff>0</xdr:rowOff>
              </from>
              <to>
                <xdr:col>17</xdr:col>
                <xdr:colOff>1097280</xdr:colOff>
                <xdr:row>64</xdr:row>
                <xdr:rowOff>251460</xdr:rowOff>
              </to>
            </anchor>
          </controlPr>
        </control>
      </mc:Choice>
      <mc:Fallback>
        <control shapeId="1030" r:id="rId14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reason all</vt:lpstr>
      <vt:lpstr>db_name</vt:lpstr>
      <vt:lpstr>psApp</vt:lpstr>
      <vt:lpstr>psUser</vt:lpstr>
      <vt:lpstr>TM1GrpViewAdj01HeaderCAP</vt:lpstr>
      <vt:lpstr>TM1GrpViewAdj01HeaderWB</vt:lpstr>
      <vt:lpstr>TM1GrpViewAdj01HeaderWS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TM1OthRprTBalCAP</vt:lpstr>
      <vt:lpstr>TM1OthRprTBalWB</vt:lpstr>
      <vt:lpstr>TM1OthRprTBalWS</vt:lpstr>
      <vt:lpstr>TM1OthRprTxnByReasonCAP</vt:lpstr>
      <vt:lpstr>TM1OthRprTxnByReasonWB</vt:lpstr>
      <vt:lpstr>TM1OthRprTxnByReasonWS</vt:lpstr>
      <vt:lpstr>'reason all'!TM1RPTDATARNG1</vt:lpstr>
      <vt:lpstr>'reason all'!TM1RPTFMTIDCOL</vt:lpstr>
      <vt:lpstr>'reason all'!TM1RPTFMTRNG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cp:lastPrinted>2019-09-04T07:34:51Z</cp:lastPrinted>
  <dcterms:created xsi:type="dcterms:W3CDTF">2019-09-04T06:54:10Z</dcterms:created>
  <dcterms:modified xsi:type="dcterms:W3CDTF">2023-02-14T22:33:12Z</dcterms:modified>
</cp:coreProperties>
</file>