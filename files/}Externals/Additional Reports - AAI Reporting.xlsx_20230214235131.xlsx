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255B18F1-E9E0-4114-9DDA-DC236EF98ADD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report" sheetId="1" r:id="rId1"/>
  </sheets>
  <definedNames>
    <definedName name="db_name">report!$Q$11</definedName>
    <definedName name="Freeze_here">report!$T$82</definedName>
    <definedName name="TM1GrpViewAdj01HeaderCAP">report!$R$54</definedName>
    <definedName name="TM1GrpViewAdj01HeaderWB">report!$U$54</definedName>
    <definedName name="TM1GrpViewAdj01HeaderWS">report!$W$54</definedName>
    <definedName name="TM1HomeAdminCAP">report!$R$47</definedName>
    <definedName name="TM1HomeAdminWB">report!$U$47</definedName>
    <definedName name="TM1HomeAdminWS">report!$W$47</definedName>
    <definedName name="TM1HomeAECAP">report!$R$45</definedName>
    <definedName name="TM1HomeAEWB">report!$U$45</definedName>
    <definedName name="TM1HomeAEWS">report!$W$45</definedName>
    <definedName name="TM1HomeCAP">report!$R$44</definedName>
    <definedName name="TM1HomeRepAdditionalCAP">report!$R$48</definedName>
    <definedName name="TM1HomeRepAdditionalWB">report!$U$48</definedName>
    <definedName name="TM1HomeRepAdditionalWS">report!$W$48</definedName>
    <definedName name="TM1HomeRepAnalyticalCAP">report!$R$50</definedName>
    <definedName name="TM1HomeRepAnalyticalWB">report!$U$50</definedName>
    <definedName name="TM1HomeRepAnalyticalWS">report!$W$50</definedName>
    <definedName name="TM1HomeRepCAP">report!$R$46</definedName>
    <definedName name="TM1HomeRepOtherCAP">report!$R$49</definedName>
    <definedName name="TM1HomeRepOtherWB">report!$U$49</definedName>
    <definedName name="TM1HomeRepOtherWS">report!$W$49</definedName>
    <definedName name="TM1HomeRepWB">report!$U$46</definedName>
    <definedName name="TM1HomeRepWS">report!$W$46</definedName>
    <definedName name="TM1HomeWB">report!$U$44</definedName>
    <definedName name="TM1HomeWS">report!$W$44</definedName>
    <definedName name="TM1OthRprTBalCAP">report!$R$51</definedName>
    <definedName name="TM1OthRprTBalWB">report!$U$51</definedName>
    <definedName name="TM1OthRprTBalWS">report!$W$51</definedName>
    <definedName name="TM1OthRprTxnByReasonCAP">report!$R$52</definedName>
    <definedName name="TM1OthRprTxnByReasonWB">report!$U$52</definedName>
    <definedName name="TM1OthRprTxnByReasonWS">report!$W$52</definedName>
    <definedName name="TM1REBUILDOPTION">1</definedName>
    <definedName name="TM1RPTDATARNG1" localSheetId="0">report!$82:$82</definedName>
    <definedName name="TM1RPTFMTIDCOL" localSheetId="0">report!$A$1:$A$8</definedName>
    <definedName name="TM1RPTFMTRNG" localSheetId="0">report!$P$1:$AS$8</definedName>
    <definedName name="TM1ViewAdj01HeaderCAP">report!$R$53</definedName>
    <definedName name="TM1ViewAdj01HeaderWB">report!$U$53</definedName>
    <definedName name="TM1ViewAdj01HeaderWS">report!$W$53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 a="1"/>
  <c r="Q17" i="1"/>
  <c r="Q16" i="1" a="1"/>
  <c r="Q16" i="1"/>
  <c r="Q15" i="1" a="1"/>
  <c r="Q15" i="1"/>
  <c r="Q69" i="1" a="1"/>
  <c r="Q69" i="1"/>
  <c r="U69" i="1" a="1"/>
  <c r="U70" i="1" a="1"/>
  <c r="U71" i="1" a="1"/>
  <c r="U72" i="1" a="1"/>
  <c r="U73" i="1" a="1"/>
  <c r="Q73" i="1" a="1"/>
  <c r="U76" i="1" a="1"/>
  <c r="Q72" i="1" a="1"/>
  <c r="U74" i="1" a="1"/>
  <c r="Q70" i="1" a="1"/>
  <c r="Q71" i="1" a="1"/>
  <c r="U75" i="1" a="1"/>
  <c r="U69" i="1"/>
  <c r="U70" i="1"/>
  <c r="U71" i="1"/>
  <c r="U72" i="1"/>
  <c r="U73" i="1"/>
  <c r="Q73" i="1"/>
  <c r="U76" i="1"/>
  <c r="Q72" i="1"/>
  <c r="U74" i="1"/>
  <c r="Q70" i="1"/>
  <c r="Q71" i="1"/>
  <c r="U75" i="1"/>
  <c r="Q20" i="1" a="1"/>
  <c r="Q20" i="1"/>
  <c r="V57" i="1" a="1"/>
  <c r="V57" i="1"/>
  <c r="W57" i="1"/>
  <c r="AI58" i="1"/>
  <c r="AI57" i="1" a="1"/>
  <c r="AI57" i="1"/>
  <c r="AI81" i="1"/>
  <c r="AH58" i="1"/>
  <c r="AH57" i="1" a="1"/>
  <c r="AH57" i="1"/>
  <c r="AH81" i="1"/>
  <c r="AG58" i="1"/>
  <c r="AG57" i="1" a="1"/>
  <c r="AG57" i="1"/>
  <c r="AG81" i="1"/>
  <c r="AF58" i="1"/>
  <c r="AF57" i="1" a="1"/>
  <c r="AF57" i="1"/>
  <c r="AF81" i="1"/>
  <c r="AE58" i="1"/>
  <c r="AE57" i="1" a="1"/>
  <c r="AE57" i="1"/>
  <c r="AE81" i="1"/>
  <c r="AD58" i="1"/>
  <c r="AD57" i="1" a="1"/>
  <c r="AD57" i="1"/>
  <c r="AD81" i="1"/>
  <c r="AC58" i="1"/>
  <c r="AC57" i="1" a="1"/>
  <c r="AC57" i="1"/>
  <c r="AC81" i="1"/>
  <c r="AB58" i="1"/>
  <c r="AB57" i="1" a="1"/>
  <c r="AB57" i="1"/>
  <c r="AB81" i="1"/>
  <c r="AA58" i="1"/>
  <c r="AA57" i="1" a="1"/>
  <c r="AA57" i="1"/>
  <c r="AA81" i="1"/>
  <c r="Z58" i="1"/>
  <c r="Z57" i="1" a="1"/>
  <c r="Z57" i="1"/>
  <c r="Z81" i="1"/>
  <c r="Y58" i="1"/>
  <c r="Y57" i="1" a="1"/>
  <c r="Y57" i="1"/>
  <c r="Y81" i="1"/>
  <c r="X58" i="1"/>
  <c r="X57" i="1" a="1"/>
  <c r="X57" i="1"/>
  <c r="X81" i="1"/>
  <c r="R82" i="1" a="1"/>
  <c r="R82" i="1"/>
  <c r="Q82" i="1" a="1"/>
  <c r="Q82" i="1"/>
  <c r="P82" i="1" a="1"/>
  <c r="P82" i="1"/>
  <c r="K82" i="1" a="1"/>
  <c r="K82" i="1"/>
  <c r="L82" i="1" a="1"/>
  <c r="L82" i="1"/>
  <c r="F82" i="1" a="1"/>
  <c r="F82" i="1"/>
  <c r="I82" i="1" a="1"/>
  <c r="I82" i="1"/>
  <c r="H82" i="1" a="1"/>
  <c r="H82" i="1"/>
  <c r="G82" i="1" a="1"/>
  <c r="G82" i="1"/>
  <c r="Q21" i="1" a="1"/>
  <c r="Q21" i="1"/>
  <c r="W48" i="1" a="1"/>
  <c r="W48" i="1"/>
  <c r="V48" i="1" a="1"/>
  <c r="V48" i="1"/>
  <c r="U48" i="1" a="1"/>
  <c r="U48" i="1"/>
  <c r="T48" i="1" a="1"/>
  <c r="T48" i="1"/>
  <c r="R48" i="1" a="1"/>
  <c r="R48" i="1"/>
  <c r="Q48" i="1" a="1"/>
  <c r="Q48" i="1"/>
  <c r="Y82" i="1" a="1"/>
  <c r="Y82" i="1"/>
  <c r="M82" i="1" a="1"/>
  <c r="M82" i="1"/>
  <c r="W54" i="1" a="1"/>
  <c r="W54" i="1"/>
  <c r="V54" i="1" a="1"/>
  <c r="V54" i="1"/>
  <c r="U54" i="1" a="1"/>
  <c r="U54" i="1"/>
  <c r="T54" i="1" a="1"/>
  <c r="T54" i="1"/>
  <c r="R54" i="1" a="1"/>
  <c r="R54" i="1"/>
  <c r="Q54" i="1" a="1"/>
  <c r="Q54" i="1"/>
  <c r="W53" i="1" a="1"/>
  <c r="W53" i="1"/>
  <c r="V53" i="1" a="1"/>
  <c r="V53" i="1"/>
  <c r="U53" i="1" a="1"/>
  <c r="U53" i="1"/>
  <c r="T53" i="1" a="1"/>
  <c r="T53" i="1"/>
  <c r="R53" i="1" a="1"/>
  <c r="R53" i="1"/>
  <c r="Q53" i="1" a="1"/>
  <c r="Q53" i="1"/>
  <c r="W52" i="1" a="1"/>
  <c r="W52" i="1"/>
  <c r="V52" i="1" a="1"/>
  <c r="V52" i="1"/>
  <c r="U52" i="1" a="1"/>
  <c r="U52" i="1"/>
  <c r="T52" i="1" a="1"/>
  <c r="T52" i="1"/>
  <c r="R52" i="1" a="1"/>
  <c r="R52" i="1"/>
  <c r="Q52" i="1" a="1"/>
  <c r="Q52" i="1"/>
  <c r="W51" i="1" a="1"/>
  <c r="W51" i="1"/>
  <c r="V51" i="1" a="1"/>
  <c r="V51" i="1"/>
  <c r="U51" i="1" a="1"/>
  <c r="U51" i="1"/>
  <c r="T51" i="1" a="1"/>
  <c r="T51" i="1"/>
  <c r="R51" i="1" a="1"/>
  <c r="R51" i="1"/>
  <c r="Q51" i="1" a="1"/>
  <c r="Q51" i="1"/>
  <c r="W50" i="1" a="1"/>
  <c r="W50" i="1"/>
  <c r="V50" i="1" a="1"/>
  <c r="V50" i="1"/>
  <c r="U50" i="1" a="1"/>
  <c r="U50" i="1"/>
  <c r="T50" i="1" a="1"/>
  <c r="T50" i="1"/>
  <c r="R50" i="1" a="1"/>
  <c r="R50" i="1"/>
  <c r="Q50" i="1" a="1"/>
  <c r="Q50" i="1"/>
  <c r="W49" i="1" a="1"/>
  <c r="W49" i="1"/>
  <c r="V49" i="1" a="1"/>
  <c r="V49" i="1"/>
  <c r="U49" i="1" a="1"/>
  <c r="U49" i="1"/>
  <c r="T49" i="1" a="1"/>
  <c r="T49" i="1"/>
  <c r="R49" i="1" a="1"/>
  <c r="R49" i="1"/>
  <c r="Q49" i="1" a="1"/>
  <c r="Q49" i="1"/>
  <c r="W47" i="1" a="1"/>
  <c r="W47" i="1"/>
  <c r="V47" i="1" a="1"/>
  <c r="V47" i="1"/>
  <c r="U47" i="1" a="1"/>
  <c r="U47" i="1"/>
  <c r="T47" i="1" a="1"/>
  <c r="T47" i="1"/>
  <c r="R47" i="1" a="1"/>
  <c r="R47" i="1"/>
  <c r="Q47" i="1" a="1"/>
  <c r="Q47" i="1"/>
  <c r="W46" i="1" a="1"/>
  <c r="W46" i="1"/>
  <c r="V46" i="1" a="1"/>
  <c r="V46" i="1"/>
  <c r="U46" i="1" a="1"/>
  <c r="U46" i="1"/>
  <c r="T46" i="1" a="1"/>
  <c r="T46" i="1"/>
  <c r="R46" i="1" a="1"/>
  <c r="R46" i="1"/>
  <c r="Q46" i="1" a="1"/>
  <c r="Q46" i="1"/>
  <c r="W45" i="1" a="1"/>
  <c r="W45" i="1"/>
  <c r="V45" i="1" a="1"/>
  <c r="V45" i="1"/>
  <c r="U45" i="1" a="1"/>
  <c r="U45" i="1"/>
  <c r="T45" i="1" a="1"/>
  <c r="T45" i="1"/>
  <c r="R45" i="1" a="1"/>
  <c r="R45" i="1"/>
  <c r="Q45" i="1" a="1"/>
  <c r="Q45" i="1"/>
  <c r="W44" i="1" a="1"/>
  <c r="W44" i="1"/>
  <c r="V44" i="1" a="1"/>
  <c r="V44" i="1"/>
  <c r="U44" i="1" a="1"/>
  <c r="U44" i="1"/>
  <c r="T44" i="1" a="1"/>
  <c r="T44" i="1"/>
  <c r="R44" i="1" a="1"/>
  <c r="R44" i="1"/>
  <c r="Q44" i="1" a="1"/>
  <c r="Q44" i="1"/>
  <c r="AI78" i="1"/>
  <c r="AH78" i="1"/>
  <c r="AG78" i="1"/>
  <c r="AF78" i="1"/>
  <c r="AE78" i="1"/>
  <c r="AD78" i="1"/>
  <c r="AC78" i="1"/>
  <c r="AB78" i="1"/>
  <c r="AA78" i="1"/>
  <c r="Z78" i="1"/>
  <c r="Y78" i="1"/>
  <c r="X78" i="1"/>
  <c r="AS82" i="1" a="1"/>
  <c r="AS82" i="1"/>
  <c r="AR82" i="1" a="1"/>
  <c r="AR82" i="1"/>
  <c r="AQ82" i="1" a="1"/>
  <c r="AQ82" i="1"/>
  <c r="AP82" i="1" a="1"/>
  <c r="AP82" i="1"/>
  <c r="AO82" i="1" a="1"/>
  <c r="AO82" i="1"/>
  <c r="AI82" i="1" a="1"/>
  <c r="AI82" i="1"/>
  <c r="AH82" i="1" a="1"/>
  <c r="AH82" i="1"/>
  <c r="AG82" i="1" a="1"/>
  <c r="AG82" i="1"/>
  <c r="AF82" i="1" a="1"/>
  <c r="AF82" i="1"/>
  <c r="AE82" i="1" a="1"/>
  <c r="AE82" i="1"/>
  <c r="AD82" i="1" a="1"/>
  <c r="AD82" i="1"/>
  <c r="AC82" i="1" a="1"/>
  <c r="AC82" i="1"/>
  <c r="AB82" i="1" a="1"/>
  <c r="AB82" i="1"/>
  <c r="AA82" i="1" a="1"/>
  <c r="AA82" i="1"/>
  <c r="Z82" i="1" a="1"/>
  <c r="Z82" i="1"/>
  <c r="X82" i="1" a="1"/>
  <c r="X82" i="1"/>
  <c r="D82" i="1" a="1"/>
  <c r="D82" i="1"/>
  <c r="B82" i="1"/>
  <c r="N82" i="1" a="1"/>
  <c r="N82" i="1"/>
  <c r="E82" i="1"/>
  <c r="J82" i="1" a="1"/>
  <c r="J82" i="1"/>
  <c r="C82" i="1" a="1"/>
  <c r="C82" i="1"/>
  <c r="AQ79" i="1" a="1"/>
  <c r="AQ79" i="1"/>
  <c r="AP79" i="1" a="1"/>
  <c r="AP79" i="1"/>
  <c r="AO79" i="1" a="1"/>
  <c r="AO79" i="1"/>
  <c r="Q40" i="1"/>
  <c r="AI79" i="1" a="1"/>
  <c r="AI79" i="1"/>
  <c r="AH79" i="1" a="1"/>
  <c r="AH79" i="1"/>
  <c r="AG79" i="1" a="1"/>
  <c r="AG79" i="1"/>
  <c r="AF79" i="1" a="1"/>
  <c r="AF79" i="1"/>
  <c r="AE79" i="1" a="1"/>
  <c r="AE79" i="1"/>
  <c r="AD79" i="1" a="1"/>
  <c r="AD79" i="1"/>
  <c r="AC79" i="1" a="1"/>
  <c r="AC79" i="1"/>
  <c r="AB79" i="1" a="1"/>
  <c r="AB79" i="1"/>
  <c r="AA79" i="1" a="1"/>
  <c r="AA79" i="1"/>
  <c r="Z79" i="1" a="1"/>
  <c r="Z79" i="1"/>
  <c r="Y79" i="1" a="1"/>
  <c r="Y79" i="1"/>
  <c r="X79" i="1" a="1"/>
  <c r="X79" i="1"/>
  <c r="AN82" i="1"/>
  <c r="AM82" i="1"/>
  <c r="AL82" i="1"/>
  <c r="AK82" i="1"/>
  <c r="AJ82" i="1"/>
  <c r="V79" i="1"/>
  <c r="A82" i="1"/>
  <c r="A5" i="1"/>
  <c r="A4" i="1"/>
  <c r="A3" i="1"/>
  <c r="A2" i="1"/>
  <c r="V82" i="1"/>
  <c r="W82" i="1"/>
  <c r="T82" i="1"/>
  <c r="U8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<sst xmlns="http://schemas.openxmlformats.org/spreadsheetml/2006/main" count="102" uniqueCount="93">
  <si>
    <t>reason</t>
  </si>
  <si>
    <t>2016-2017</t>
  </si>
  <si>
    <t>2017-2018</t>
  </si>
  <si>
    <t>2018-2019</t>
  </si>
  <si>
    <t>HL2017-2018</t>
  </si>
  <si>
    <t>Budget</t>
  </si>
  <si>
    <t>PEFO</t>
  </si>
  <si>
    <t>Appropriation Bills</t>
  </si>
  <si>
    <t>MYEFO</t>
  </si>
  <si>
    <t>Additional Estimates</t>
  </si>
  <si>
    <t>Pre-ERC</t>
  </si>
  <si>
    <t>current</t>
  </si>
  <si>
    <t>D</t>
  </si>
  <si>
    <t>N</t>
  </si>
  <si>
    <t>[Begin Format Range]</t>
  </si>
  <si>
    <t>[End Format Range]</t>
  </si>
  <si>
    <t>Title</t>
  </si>
  <si>
    <t>Reallocation of funds - From Family Support to National Framework</t>
  </si>
  <si>
    <t xml:space="preserve"> </t>
  </si>
  <si>
    <t>Costing</t>
  </si>
  <si>
    <t>Component</t>
  </si>
  <si>
    <t>Life</t>
  </si>
  <si>
    <t>sTerminationDate</t>
  </si>
  <si>
    <t>programme code</t>
  </si>
  <si>
    <t>Programme Code</t>
  </si>
  <si>
    <t>Reason</t>
  </si>
  <si>
    <t>ID</t>
  </si>
  <si>
    <t>2015-2016</t>
  </si>
  <si>
    <t>2014-2015</t>
  </si>
  <si>
    <t>programme description</t>
  </si>
  <si>
    <t>Is Costing</t>
  </si>
  <si>
    <t>dss_tm1:cm_Costing ID</t>
  </si>
  <si>
    <t>Measure</t>
  </si>
  <si>
    <t>Measure CBMS</t>
  </si>
  <si>
    <t>Measure Life</t>
  </si>
  <si>
    <t>Measure Termination Year</t>
  </si>
  <si>
    <t>{ EXCEPT( {TM1SUBSETALL( [headline year] )}, { [headline year].[Total headline year] }) }</t>
  </si>
  <si>
    <t>Scenarios</t>
  </si>
  <si>
    <t>Admin Comp Ongoing Terminating</t>
  </si>
  <si>
    <t>Termination date</t>
  </si>
  <si>
    <t>Totals at " Current "</t>
  </si>
  <si>
    <t>Refreshed on :</t>
  </si>
  <si>
    <t>{[id].[Total Ids]}</t>
  </si>
  <si>
    <t>Database Variables</t>
  </si>
  <si>
    <t>Database Name</t>
  </si>
  <si>
    <t>dss_tm1</t>
  </si>
  <si>
    <t>Views</t>
  </si>
  <si>
    <t>sys_application</t>
  </si>
  <si>
    <t>MDX</t>
  </si>
  <si>
    <t>Other Variables</t>
  </si>
  <si>
    <t>REPORT PARAMETERS</t>
  </si>
  <si>
    <t xml:space="preserve">Status : </t>
  </si>
  <si>
    <t xml:space="preserve">Outcome : </t>
  </si>
  <si>
    <t xml:space="preserve">Related Entity : </t>
  </si>
  <si>
    <t xml:space="preserve">Function : </t>
  </si>
  <si>
    <t xml:space="preserve">Reason : </t>
  </si>
  <si>
    <t xml:space="preserve">SPP : </t>
  </si>
  <si>
    <t xml:space="preserve">Measure Code : </t>
  </si>
  <si>
    <t xml:space="preserve">Appropriation Item : </t>
  </si>
  <si>
    <t xml:space="preserve">Jurisdiction : </t>
  </si>
  <si>
    <t xml:space="preserve">Appropriation Type : </t>
  </si>
  <si>
    <t xml:space="preserve">Movement Account : </t>
  </si>
  <si>
    <t xml:space="preserve">Account : </t>
  </si>
  <si>
    <t>Scenario</t>
  </si>
  <si>
    <t>Headline Year</t>
  </si>
  <si>
    <t>Index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</si>
  <si>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</si>
  <si>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</si>
  <si>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</si>
  <si>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</si>
  <si>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</si>
  <si>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</si>
  <si>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</si>
  <si>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</si>
  <si>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</si>
  <si>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</si>
  <si>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Reports - Other</t>
  </si>
  <si>
    <t>Homepage - Reports - Analytical</t>
  </si>
  <si>
    <t>Other Reports - Trial Balance</t>
  </si>
  <si>
    <t>Other Reports - Transactions By Reason</t>
  </si>
  <si>
    <t>Data Entry - View Adj 01 - Header Details</t>
  </si>
  <si>
    <t>Group Data Entry - View Adj 01 - Header Details</t>
  </si>
  <si>
    <t>All Adjustments, All Headline Years</t>
  </si>
  <si>
    <t>Homepage - Reports - Additional</t>
  </si>
  <si>
    <t xml:space="preserve">Program : </t>
  </si>
  <si>
    <t>Period Display :</t>
  </si>
  <si>
    <t>To Use</t>
  </si>
  <si>
    <t>Next 10 Period</t>
  </si>
  <si>
    <t>Previous 10 Period</t>
  </si>
  <si>
    <t>Standard</t>
  </si>
  <si>
    <t>Note: To view an adjustment, expand the required Total IDs row, select the Title of the required adjustment, then click VIEW ADJ</t>
  </si>
  <si>
    <t>db_name&amp;":programme details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</si>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</sst>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d/mm/yy\ h:mm"/>
    <numFmt numFmtId="167" formatCode="_(* #,##0_);[Red]_(* \(#,##0\);_(* &quot;-&quot;??_);_(@_)"/>
    <numFmt numFmtId="168" formatCode="&quot;+ &quot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4" borderId="0" xfId="0" applyFill="1" applyAlignment="1">
      <alignment horizontal="left" vertical="center" wrapText="1"/>
    </xf>
    <xf numFmtId="3" fontId="3" fillId="4" borderId="0" xfId="0" applyNumberFormat="1" applyFont="1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3" fontId="3" fillId="3" borderId="0" xfId="0" applyNumberFormat="1" applyFont="1" applyFill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3" fontId="3" fillId="5" borderId="1" xfId="0" applyNumberFormat="1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 wrapText="1"/>
    </xf>
    <xf numFmtId="3" fontId="3" fillId="5" borderId="2" xfId="0" applyNumberFormat="1" applyFont="1" applyFill="1" applyBorder="1" applyAlignment="1">
      <alignment horizontal="left" vertical="center"/>
    </xf>
    <xf numFmtId="0" fontId="0" fillId="0" borderId="3" xfId="0" applyBorder="1"/>
    <xf numFmtId="0" fontId="4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3" fontId="3" fillId="0" borderId="0" xfId="0" applyNumberFormat="1" applyFont="1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4" applyNumberFormat="1" applyFont="1"/>
    <xf numFmtId="0" fontId="0" fillId="0" borderId="5" xfId="0" applyBorder="1"/>
    <xf numFmtId="0" fontId="9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center" vertical="center"/>
    </xf>
    <xf numFmtId="0" fontId="0" fillId="0" borderId="5" xfId="0" applyBorder="1" applyAlignment="1">
      <alignment horizontal="right"/>
    </xf>
    <xf numFmtId="0" fontId="1" fillId="0" borderId="5" xfId="0" applyFont="1" applyBorder="1"/>
    <xf numFmtId="0" fontId="3" fillId="0" borderId="5" xfId="0" applyFont="1" applyBorder="1"/>
    <xf numFmtId="0" fontId="0" fillId="0" borderId="8" xfId="0" applyBorder="1"/>
    <xf numFmtId="0" fontId="0" fillId="0" borderId="5" xfId="0" applyBorder="1" applyAlignment="1">
      <alignment horizontal="left"/>
    </xf>
    <xf numFmtId="0" fontId="1" fillId="0" borderId="0" xfId="0" applyFont="1" applyAlignment="1">
      <alignment horizontal="right" indent="1"/>
    </xf>
    <xf numFmtId="0" fontId="10" fillId="0" borderId="0" xfId="5" applyFont="1" applyAlignment="1">
      <alignment horizontal="right" indent="1"/>
    </xf>
    <xf numFmtId="0" fontId="3" fillId="0" borderId="0" xfId="0" applyFont="1" applyAlignment="1">
      <alignment horizontal="left" indent="1"/>
    </xf>
    <xf numFmtId="167" fontId="11" fillId="9" borderId="5" xfId="0" applyNumberFormat="1" applyFont="1" applyFill="1" applyBorder="1"/>
    <xf numFmtId="167" fontId="3" fillId="0" borderId="5" xfId="0" applyNumberFormat="1" applyFont="1" applyBorder="1"/>
    <xf numFmtId="0" fontId="11" fillId="9" borderId="5" xfId="0" applyFont="1" applyFill="1" applyBorder="1"/>
    <xf numFmtId="0" fontId="8" fillId="8" borderId="6" xfId="0" applyFont="1" applyFill="1" applyBorder="1" applyAlignment="1">
      <alignment horizontal="center"/>
    </xf>
    <xf numFmtId="0" fontId="8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11" fillId="9" borderId="5" xfId="0" applyFont="1" applyFill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0" fillId="0" borderId="5" xfId="0" applyBorder="1" applyAlignment="1" applyProtection="1">
      <alignment horizontal="left" indent="1"/>
      <protection locked="0"/>
    </xf>
    <xf numFmtId="0" fontId="0" fillId="0" borderId="5" xfId="0" applyBorder="1" applyAlignment="1">
      <alignment wrapText="1"/>
    </xf>
    <xf numFmtId="166" fontId="0" fillId="0" borderId="5" xfId="0" applyNumberFormat="1" applyBorder="1" applyAlignment="1">
      <alignment horizontal="center"/>
    </xf>
    <xf numFmtId="49" fontId="3" fillId="0" borderId="5" xfId="0" applyNumberFormat="1" applyFont="1" applyBorder="1"/>
    <xf numFmtId="168" fontId="3" fillId="0" borderId="5" xfId="0" applyNumberFormat="1" applyFont="1" applyBorder="1"/>
    <xf numFmtId="0" fontId="12" fillId="0" borderId="0" xfId="0" applyFont="1" applyAlignment="1">
      <alignment horizontal="left" wrapText="1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0" fillId="0" borderId="6" xfId="0" applyBorder="1" applyAlignment="1" applyProtection="1">
      <alignment horizontal="left" indent="1"/>
      <protection locked="0"/>
    </xf>
    <xf numFmtId="0" fontId="0" fillId="0" borderId="8" xfId="0" applyBorder="1" applyAlignment="1" applyProtection="1">
      <alignment horizontal="left" indent="1"/>
      <protection locked="0"/>
    </xf>
    <xf numFmtId="0" fontId="0" fillId="0" borderId="5" xfId="0" applyBorder="1" applyAlignment="1">
      <alignment horizontal="left" indent="1"/>
    </xf>
  </cellXfs>
  <cellStyles count="6">
    <cellStyle name="Comma" xfId="4" builtinId="3"/>
    <cellStyle name="Comma 2 2" xfId="2" xr:uid="{00000000-0005-0000-0000-000001000000}"/>
    <cellStyle name="Normal" xfId="0" builtinId="0"/>
    <cellStyle name="Normal 2 2" xfId="1" xr:uid="{00000000-0005-0000-0000-000003000000}"/>
    <cellStyle name="Normal 3" xfId="5" xr:uid="{877DF055-AF7D-4C41-8759-5385C7418731}"/>
    <cellStyle name="Percent 2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7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62</xdr:row>
      <xdr:rowOff>0</xdr:rowOff>
    </xdr:from>
    <xdr:to>
      <xdr:col>16</xdr:col>
      <xdr:colOff>96482</xdr:colOff>
      <xdr:row>62</xdr:row>
      <xdr:rowOff>457200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59341" y="9090212"/>
          <a:ext cx="184975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28575</xdr:colOff>
          <xdr:row>64</xdr:row>
          <xdr:rowOff>0</xdr:rowOff>
        </xdr:from>
        <xdr:to>
          <xdr:col>15</xdr:col>
          <xdr:colOff>666750</xdr:colOff>
          <xdr:row>64</xdr:row>
          <xdr:rowOff>247650</xdr:rowOff>
        </xdr:to>
        <xdr:sp macro="" textlink="">
          <xdr:nvSpPr>
            <xdr:cNvPr id="1105" name="TIButton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704850</xdr:colOff>
          <xdr:row>64</xdr:row>
          <xdr:rowOff>0</xdr:rowOff>
        </xdr:from>
        <xdr:to>
          <xdr:col>16</xdr:col>
          <xdr:colOff>171450</xdr:colOff>
          <xdr:row>64</xdr:row>
          <xdr:rowOff>247650</xdr:rowOff>
        </xdr:to>
        <xdr:sp macro="" textlink="">
          <xdr:nvSpPr>
            <xdr:cNvPr id="1106" name="TIButton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209550</xdr:colOff>
          <xdr:row>64</xdr:row>
          <xdr:rowOff>0</xdr:rowOff>
        </xdr:from>
        <xdr:to>
          <xdr:col>17</xdr:col>
          <xdr:colOff>247650</xdr:colOff>
          <xdr:row>64</xdr:row>
          <xdr:rowOff>247650</xdr:rowOff>
        </xdr:to>
        <xdr:sp macro="" textlink="">
          <xdr:nvSpPr>
            <xdr:cNvPr id="1107" name="TIButton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323850</xdr:colOff>
          <xdr:row>64</xdr:row>
          <xdr:rowOff>0</xdr:rowOff>
        </xdr:from>
        <xdr:to>
          <xdr:col>20</xdr:col>
          <xdr:colOff>1114425</xdr:colOff>
          <xdr:row>64</xdr:row>
          <xdr:rowOff>247650</xdr:rowOff>
        </xdr:to>
        <xdr:sp macro="" textlink="">
          <xdr:nvSpPr>
            <xdr:cNvPr id="1108" name="TIButton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2466975</xdr:colOff>
          <xdr:row>64</xdr:row>
          <xdr:rowOff>0</xdr:rowOff>
        </xdr:from>
        <xdr:to>
          <xdr:col>20</xdr:col>
          <xdr:colOff>295275</xdr:colOff>
          <xdr:row>64</xdr:row>
          <xdr:rowOff>247650</xdr:rowOff>
        </xdr:to>
        <xdr:sp macro="" textlink="">
          <xdr:nvSpPr>
            <xdr:cNvPr id="1109" name="TIButton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257175</xdr:colOff>
          <xdr:row>64</xdr:row>
          <xdr:rowOff>0</xdr:rowOff>
        </xdr:from>
        <xdr:to>
          <xdr:col>19</xdr:col>
          <xdr:colOff>857250</xdr:colOff>
          <xdr:row>64</xdr:row>
          <xdr:rowOff>247650</xdr:rowOff>
        </xdr:to>
        <xdr:sp macro="" textlink="">
          <xdr:nvSpPr>
            <xdr:cNvPr id="1110" name="TIButton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885825</xdr:colOff>
          <xdr:row>64</xdr:row>
          <xdr:rowOff>0</xdr:rowOff>
        </xdr:from>
        <xdr:to>
          <xdr:col>19</xdr:col>
          <xdr:colOff>2428875</xdr:colOff>
          <xdr:row>64</xdr:row>
          <xdr:rowOff>247650</xdr:rowOff>
        </xdr:to>
        <xdr:sp macro="" textlink="">
          <xdr:nvSpPr>
            <xdr:cNvPr id="1111" name="TIButton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1" Type="http://schemas.openxmlformats.org/officeDocument/2006/relationships/hyperlink" Target="mailto:=@TM1RPTROW($O$9,%22dss_geus:scenario%22,%22%22,$O$17:$O$23,%22%22,0)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outlinePr showOutlineSymbols="0"/>
  </sheetPr>
  <dimension ref="A1:AT83"/>
  <sheetViews>
    <sheetView showGridLines="0" showRowColHeaders="0" tabSelected="1" showOutlineSymbols="0" topLeftCell="A63" zoomScaleNormal="100" workbookViewId="0">
      <pane xSplit="19" ySplit="19" topLeftCell="T82" activePane="bottomRight" state="frozen"/>
      <selection activeCell="O63" sqref="O63"/>
      <selection pane="topRight" activeCell="T63" sqref="T63"/>
      <selection pane="bottomLeft" activeCell="O82" sqref="O82"/>
      <selection pane="bottomRight" activeCell="T82" sqref="T82"/>
    </sheetView>
  </sheetViews>
  <sheetFormatPr defaultRowHeight="15" outlineLevelRow="1" outlineLevelCol="1" x14ac:dyDescent="0.25"/>
  <cols>
    <col min="1" max="1" width="20.28515625" hidden="1" customWidth="1" outlineLevel="1"/>
    <col min="2" max="3" width="10.28515625" style="1" hidden="1" customWidth="1" outlineLevel="1"/>
    <col min="4" max="4" width="98.42578125" style="1" hidden="1" customWidth="1" outlineLevel="1"/>
    <col min="5" max="5" width="39.5703125" style="1" hidden="1" customWidth="1" outlineLevel="1"/>
    <col min="6" max="6" width="32.140625" style="1" hidden="1" customWidth="1" outlineLevel="1"/>
    <col min="7" max="7" width="136" style="1" hidden="1" customWidth="1" outlineLevel="1"/>
    <col min="8" max="9" width="32.140625" style="1" hidden="1" customWidth="1" outlineLevel="1"/>
    <col min="10" max="10" width="30" style="1" hidden="1" customWidth="1" outlineLevel="1"/>
    <col min="11" max="13" width="32.140625" style="1" hidden="1" customWidth="1" outlineLevel="1"/>
    <col min="14" max="14" width="11.7109375" style="1" hidden="1" customWidth="1" outlineLevel="1"/>
    <col min="15" max="15" width="0.85546875" style="1" customWidth="1" collapsed="1"/>
    <col min="16" max="16" width="25.7109375" customWidth="1"/>
    <col min="17" max="17" width="19.28515625" customWidth="1"/>
    <col min="18" max="18" width="15.140625" style="2" customWidth="1"/>
    <col min="19" max="19" width="0.85546875" style="2" customWidth="1"/>
    <col min="20" max="20" width="43.5703125" style="1" customWidth="1"/>
    <col min="21" max="21" width="104" style="1" customWidth="1"/>
    <col min="22" max="22" width="39.28515625" style="20" customWidth="1"/>
    <col min="23" max="23" width="34.85546875" style="21" customWidth="1"/>
    <col min="24" max="34" width="15.140625" customWidth="1"/>
    <col min="35" max="35" width="15.140625" style="1" customWidth="1"/>
    <col min="36" max="36" width="23" style="1" customWidth="1"/>
    <col min="37" max="38" width="37" style="1" customWidth="1"/>
    <col min="39" max="39" width="14.140625" style="1" customWidth="1"/>
    <col min="40" max="40" width="17.85546875" style="1" customWidth="1"/>
    <col min="41" max="42" width="9.85546875" style="1" hidden="1" customWidth="1"/>
    <col min="43" max="45" width="9.85546875" hidden="1" customWidth="1"/>
  </cols>
  <sheetData>
    <row r="1" spans="1:45" hidden="1" outlineLevel="1" x14ac:dyDescent="0.25">
      <c r="A1" t="s">
        <v>14</v>
      </c>
    </row>
    <row r="2" spans="1:45" hidden="1" outlineLevel="1" x14ac:dyDescent="0.25">
      <c r="A2">
        <f>0</f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P2" s="36"/>
      <c r="Q2" s="36"/>
      <c r="R2" s="36"/>
      <c r="T2" s="41"/>
      <c r="U2" s="36"/>
      <c r="V2" s="36"/>
      <c r="W2" s="36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6"/>
      <c r="AK2" s="36"/>
      <c r="AL2" s="36"/>
      <c r="AM2" s="36"/>
      <c r="AN2" s="36"/>
      <c r="AO2" s="17"/>
      <c r="AP2" s="17"/>
      <c r="AQ2" s="18"/>
      <c r="AR2" s="18"/>
      <c r="AS2" s="18"/>
    </row>
    <row r="3" spans="1:45" hidden="1" outlineLevel="1" x14ac:dyDescent="0.25">
      <c r="A3">
        <f>1</f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P3" s="28"/>
      <c r="Q3" s="28"/>
      <c r="R3" s="28"/>
      <c r="T3" s="42"/>
      <c r="U3" s="28"/>
      <c r="V3" s="28"/>
      <c r="W3" s="28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28"/>
      <c r="AK3" s="28"/>
      <c r="AL3" s="28"/>
      <c r="AM3" s="28"/>
      <c r="AN3" s="28"/>
      <c r="AO3" s="3"/>
      <c r="AP3" s="3"/>
      <c r="AQ3" s="4"/>
      <c r="AR3" s="4"/>
      <c r="AS3" s="4"/>
    </row>
    <row r="4" spans="1:45" hidden="1" outlineLevel="1" x14ac:dyDescent="0.25">
      <c r="A4">
        <f>2</f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P4" s="28"/>
      <c r="Q4" s="28"/>
      <c r="R4" s="28"/>
      <c r="T4" s="42"/>
      <c r="U4" s="28"/>
      <c r="V4" s="28"/>
      <c r="W4" s="28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28"/>
      <c r="AK4" s="28"/>
      <c r="AL4" s="28"/>
      <c r="AM4" s="28"/>
      <c r="AN4" s="28"/>
      <c r="AO4" s="5"/>
      <c r="AP4" s="5"/>
      <c r="AQ4" s="6"/>
      <c r="AR4" s="6"/>
      <c r="AS4" s="6"/>
    </row>
    <row r="5" spans="1:45" ht="15.75" hidden="1" outlineLevel="1" thickBot="1" x14ac:dyDescent="0.3">
      <c r="A5">
        <f>3</f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P5" s="28"/>
      <c r="Q5" s="28"/>
      <c r="R5" s="28"/>
      <c r="T5" s="42"/>
      <c r="U5" s="28"/>
      <c r="V5" s="28"/>
      <c r="W5" s="28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28"/>
      <c r="AK5" s="28"/>
      <c r="AL5" s="28"/>
      <c r="AM5" s="28"/>
      <c r="AN5" s="28"/>
      <c r="AO5" s="5"/>
      <c r="AP5" s="5"/>
      <c r="AQ5" s="6"/>
      <c r="AR5" s="6"/>
      <c r="AS5" s="6"/>
    </row>
    <row r="6" spans="1:45" ht="15.75" hidden="1" outlineLevel="1" thickTop="1" x14ac:dyDescent="0.25">
      <c r="A6" t="s">
        <v>12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P6" s="28"/>
      <c r="Q6" s="28"/>
      <c r="R6" s="28"/>
      <c r="T6" s="42"/>
      <c r="U6" s="28"/>
      <c r="V6" s="28"/>
      <c r="W6" s="28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28"/>
      <c r="AK6" s="28"/>
      <c r="AL6" s="28"/>
      <c r="AM6" s="28"/>
      <c r="AN6" s="28"/>
      <c r="AO6" s="7"/>
      <c r="AP6" s="7"/>
      <c r="AQ6" s="8"/>
      <c r="AR6" s="8"/>
      <c r="AS6" s="8"/>
    </row>
    <row r="7" spans="1:45" hidden="1" outlineLevel="1" x14ac:dyDescent="0.25">
      <c r="A7" t="s">
        <v>13</v>
      </c>
      <c r="B7" s="28"/>
      <c r="C7" s="28"/>
      <c r="D7" s="28" t="s">
        <v>17</v>
      </c>
      <c r="E7" s="28"/>
      <c r="F7" s="28"/>
      <c r="G7" s="28"/>
      <c r="H7" s="28"/>
      <c r="I7" s="28"/>
      <c r="J7" s="28"/>
      <c r="K7" s="28"/>
      <c r="L7" s="28"/>
      <c r="M7" s="28"/>
      <c r="N7" s="28"/>
      <c r="P7" s="28"/>
      <c r="Q7" s="28"/>
      <c r="R7" s="28"/>
      <c r="T7" s="42"/>
      <c r="U7" s="28"/>
      <c r="V7" s="28"/>
      <c r="W7" s="28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28"/>
      <c r="AK7" s="28"/>
      <c r="AL7" s="28"/>
      <c r="AM7" s="28"/>
      <c r="AN7" s="28"/>
      <c r="AO7" s="9"/>
      <c r="AP7" s="9"/>
      <c r="AQ7" s="10"/>
      <c r="AR7" s="10"/>
      <c r="AS7" s="10"/>
    </row>
    <row r="8" spans="1:45" hidden="1" outlineLevel="1" x14ac:dyDescent="0.25">
      <c r="A8" t="s">
        <v>15</v>
      </c>
    </row>
    <row r="9" spans="1:45" hidden="1" outlineLevel="1" x14ac:dyDescent="0.25"/>
    <row r="10" spans="1:45" hidden="1" outlineLevel="1" x14ac:dyDescent="0.25">
      <c r="P10" s="49" t="s">
        <v>43</v>
      </c>
      <c r="Q10" s="50"/>
      <c r="R10" s="51"/>
      <c r="S10" s="39"/>
    </row>
    <row r="11" spans="1:45" hidden="1" outlineLevel="1" x14ac:dyDescent="0.25">
      <c r="P11" s="27" t="s">
        <v>44</v>
      </c>
      <c r="Q11" s="28" t="s">
        <v>92</v>
      </c>
      <c r="R11" s="29"/>
      <c r="S11"/>
    </row>
    <row r="12" spans="1:45" hidden="1" outlineLevel="1" x14ac:dyDescent="0.25">
      <c r="P12" s="27"/>
      <c r="Q12" s="30" t="s">
        <v>45</v>
      </c>
      <c r="R12" s="29"/>
      <c r="S12"/>
    </row>
    <row r="13" spans="1:45" hidden="1" outlineLevel="1" x14ac:dyDescent="0.25"/>
    <row r="14" spans="1:45" hidden="1" outlineLevel="1" x14ac:dyDescent="0.25">
      <c r="P14" s="49" t="s">
        <v>46</v>
      </c>
      <c r="Q14" s="50"/>
      <c r="R14" s="51"/>
      <c r="S14" s="39"/>
    </row>
    <row r="15" spans="1:45" hidden="1" outlineLevel="1" x14ac:dyDescent="0.25">
      <c r="P15" s="27"/>
      <c r="Q15" s="30" t="str">
        <f t="array" aca="1" ref="Q15" ca="1">_xll.TM1RPTVIEW(db_name&amp;":AE adjustments:1", 1, _xll.TM1RPTTITLE(db_name&amp;":status",$Q$69), _xll.TM1RPTTITLE(db_name&amp;":outcome",$U$69), _xll.TM1RPTTITLE(db_name&amp;":related entity",$U$70), _xll.TM1RPTTITLE(db_name&amp;":function",$U$71), _xll.TM1RPTTITLE(db_name&amp;":reason",$U$72), _xll.TM1RPTTITLE(db_name&amp;":spp",$U$73), _xll.TM1RPTTITLE(db_name&amp;":measure code",$Q$73), _xll.TM1RPTTITLE(db_name&amp;":appropriation type",$U$76), _xll.TM1RPTTITLE(db_name&amp;":movement account",$Q$72), _xll.TM1RPTTITLE(db_name&amp;":appropriation item",$U$74), _xll.TM1RPTTITLE(db_name&amp;":programme",$Q$70), _xll.TM1RPTTITLE(db_name&amp;":account",$Q$71), _xll.TM1RPTTITLE(db_name&amp;":jurisdiction",$U$75),TM1RPTFMTRNG,TM1RPTFMTIDCOL)</f>
        <v>dcceew_geus:AE adjustments:1</v>
      </c>
      <c r="R15" s="29"/>
      <c r="S15"/>
    </row>
    <row r="16" spans="1:45" hidden="1" outlineLevel="1" x14ac:dyDescent="0.25">
      <c r="P16" s="27"/>
      <c r="Q16" s="30" t="str">
        <f t="array" aca="1" ref="Q16" ca="1">_xll.VIEW(db_name&amp;":AE id details","!","!","!","!")</f>
        <v>dcceew_geus:AE id details</v>
      </c>
      <c r="R16" s="29"/>
      <c r="S16"/>
    </row>
    <row r="17" spans="4:19" hidden="1" outlineLevel="1" x14ac:dyDescent="0.25">
      <c r="P17" s="27"/>
      <c r="Q17" s="30" t="str" cm="1">
        <f t="array" aca="1" ref="Q17" ca="1">_xll.VIEW("dss_tm1:cm_Tracking","!","001","!")</f>
        <v>dss_tm1:cm_Tracking</v>
      </c>
      <c r="R17" s="29"/>
      <c r="S17"/>
    </row>
    <row r="18" spans="4:19" hidden="1" outlineLevel="1" x14ac:dyDescent="0.25">
      <c r="P18" s="27"/>
      <c r="Q18" s="30" t="s">
        <v>31</v>
      </c>
      <c r="R18" s="29"/>
      <c r="S18"/>
    </row>
    <row r="19" spans="4:19" hidden="1" outlineLevel="1" x14ac:dyDescent="0.25">
      <c r="P19" s="27"/>
      <c r="Q19" s="30" t="s">
        <v>91</v>
      </c>
      <c r="R19" s="29"/>
      <c r="S19"/>
    </row>
    <row r="20" spans="4:19" hidden="1" outlineLevel="1" x14ac:dyDescent="0.25">
      <c r="P20" s="27"/>
      <c r="Q20" s="30" t="str">
        <f t="array" aca="1" ref="Q20" ca="1">_xll.VIEW(db_name&amp;":}ElementAttributes_variables","!","!")</f>
        <v>dcceew_geus:}ElementAttributes_variables</v>
      </c>
      <c r="R20" s="29"/>
      <c r="S20"/>
    </row>
    <row r="21" spans="4:19" hidden="1" outlineLevel="1" x14ac:dyDescent="0.25">
      <c r="P21" s="27"/>
      <c r="Q21" s="30" t="str" cm="1">
        <f t="array" aca="1" ref="Q21" ca="1">_xll.VIEW(db_name&amp;":sys_application","!","!")</f>
        <v>dcceew_geus:sys_application</v>
      </c>
      <c r="R21" s="29"/>
      <c r="S21"/>
    </row>
    <row r="22" spans="4:19" hidden="1" outlineLevel="1" x14ac:dyDescent="0.25">
      <c r="P22" s="27"/>
      <c r="Q22" s="30"/>
      <c r="R22" s="29"/>
      <c r="S22"/>
    </row>
    <row r="23" spans="4:19" hidden="1" outlineLevel="1" x14ac:dyDescent="0.25"/>
    <row r="24" spans="4:19" hidden="1" outlineLevel="1" x14ac:dyDescent="0.25">
      <c r="P24" s="49" t="s">
        <v>48</v>
      </c>
      <c r="Q24" s="50"/>
      <c r="R24" s="51"/>
      <c r="S24" s="39"/>
    </row>
    <row r="25" spans="4:19" hidden="1" outlineLevel="1" x14ac:dyDescent="0.25">
      <c r="D25" s="1" t="s">
        <v>18</v>
      </c>
      <c r="J25" s="16"/>
      <c r="P25" s="28"/>
      <c r="Q25" s="28" t="s">
        <v>36</v>
      </c>
      <c r="R25" s="29"/>
      <c r="S25"/>
    </row>
    <row r="26" spans="4:19" hidden="1" outlineLevel="1" x14ac:dyDescent="0.25">
      <c r="J26" s="16"/>
      <c r="P26" s="28"/>
      <c r="Q26" s="28" t="s">
        <v>42</v>
      </c>
      <c r="R26" s="29"/>
      <c r="S26"/>
    </row>
    <row r="27" spans="4:19" hidden="1" outlineLevel="1" x14ac:dyDescent="0.25">
      <c r="J27" s="16"/>
      <c r="P27" s="28"/>
      <c r="Q27" s="28"/>
      <c r="R27" s="29"/>
      <c r="S27"/>
    </row>
    <row r="28" spans="4:19" hidden="1" outlineLevel="1" x14ac:dyDescent="0.25"/>
    <row r="29" spans="4:19" hidden="1" outlineLevel="1" x14ac:dyDescent="0.25">
      <c r="P29" s="49" t="s">
        <v>49</v>
      </c>
      <c r="Q29" s="50"/>
      <c r="R29" s="51"/>
      <c r="S29" s="39"/>
    </row>
    <row r="30" spans="4:19" hidden="1" outlineLevel="1" x14ac:dyDescent="0.25">
      <c r="P30" s="28" t="s">
        <v>37</v>
      </c>
      <c r="Q30" s="28" t="s">
        <v>7</v>
      </c>
      <c r="R30" s="29"/>
      <c r="S30"/>
    </row>
    <row r="31" spans="4:19" hidden="1" outlineLevel="1" x14ac:dyDescent="0.25">
      <c r="P31" s="28"/>
      <c r="Q31" s="28" t="s">
        <v>8</v>
      </c>
      <c r="R31" s="29"/>
      <c r="S31"/>
    </row>
    <row r="32" spans="4:19" hidden="1" outlineLevel="1" x14ac:dyDescent="0.25">
      <c r="P32" s="28"/>
      <c r="Q32" s="28" t="s">
        <v>10</v>
      </c>
      <c r="R32" s="29"/>
      <c r="S32"/>
    </row>
    <row r="33" spans="16:23" hidden="1" outlineLevel="1" x14ac:dyDescent="0.25">
      <c r="P33" s="28"/>
      <c r="Q33" s="28" t="s">
        <v>9</v>
      </c>
      <c r="R33" s="29"/>
      <c r="S33"/>
    </row>
    <row r="34" spans="16:23" hidden="1" outlineLevel="1" x14ac:dyDescent="0.25">
      <c r="P34" s="28"/>
      <c r="Q34" s="28" t="s">
        <v>5</v>
      </c>
      <c r="R34" s="29"/>
      <c r="S34"/>
    </row>
    <row r="35" spans="16:23" hidden="1" outlineLevel="1" x14ac:dyDescent="0.25">
      <c r="P35" s="28"/>
      <c r="Q35" s="28" t="s">
        <v>6</v>
      </c>
      <c r="R35" s="29"/>
      <c r="S35"/>
    </row>
    <row r="36" spans="16:23" hidden="1" outlineLevel="1" x14ac:dyDescent="0.25">
      <c r="P36" s="28"/>
      <c r="Q36" s="28" t="s">
        <v>11</v>
      </c>
      <c r="R36" s="29"/>
      <c r="S36"/>
    </row>
    <row r="37" spans="16:23" hidden="1" outlineLevel="1" x14ac:dyDescent="0.25">
      <c r="P37" s="28"/>
      <c r="Q37" s="28"/>
      <c r="R37" s="29"/>
      <c r="S37"/>
    </row>
    <row r="38" spans="16:23" hidden="1" outlineLevel="1" x14ac:dyDescent="0.25">
      <c r="P38" s="28" t="s">
        <v>4</v>
      </c>
      <c r="Q38" s="28" t="s">
        <v>5</v>
      </c>
      <c r="R38" s="29"/>
      <c r="S38"/>
    </row>
    <row r="39" spans="16:23" hidden="1" outlineLevel="1" x14ac:dyDescent="0.25">
      <c r="P39" s="28"/>
      <c r="Q39" s="28" t="s">
        <v>5</v>
      </c>
      <c r="R39" s="29"/>
      <c r="S39"/>
    </row>
    <row r="40" spans="16:23" hidden="1" outlineLevel="1" x14ac:dyDescent="0.25">
      <c r="P40" s="28" t="s">
        <v>65</v>
      </c>
      <c r="Q40" s="28">
        <f ca="1">COUNTA($P82:$P83)</f>
        <v>1</v>
      </c>
      <c r="R40" s="29"/>
      <c r="S40"/>
    </row>
    <row r="41" spans="16:23" hidden="1" outlineLevel="1" x14ac:dyDescent="0.25"/>
    <row r="42" spans="16:23" hidden="1" outlineLevel="1" x14ac:dyDescent="0.25">
      <c r="P42" s="49" t="s">
        <v>47</v>
      </c>
      <c r="Q42" s="50"/>
      <c r="R42" s="50"/>
      <c r="S42" s="50"/>
      <c r="T42" s="50"/>
      <c r="U42" s="50"/>
      <c r="V42" s="50"/>
      <c r="W42" s="51"/>
    </row>
    <row r="43" spans="16:23" hidden="1" outlineLevel="1" x14ac:dyDescent="0.25">
      <c r="P43" s="23"/>
      <c r="Q43" s="27" t="s">
        <v>66</v>
      </c>
      <c r="R43" s="27" t="s">
        <v>67</v>
      </c>
      <c r="S43" s="27"/>
      <c r="T43" s="27" t="s">
        <v>68</v>
      </c>
      <c r="U43" s="27" t="s">
        <v>69</v>
      </c>
      <c r="V43" s="27" t="s">
        <v>70</v>
      </c>
      <c r="W43" s="27" t="s">
        <v>71</v>
      </c>
    </row>
    <row r="44" spans="16:23" hidden="1" outlineLevel="1" x14ac:dyDescent="0.25">
      <c r="P44" s="23" t="s">
        <v>72</v>
      </c>
      <c r="Q44" s="23" t="str" cm="1">
        <f t="array" aca="1" ref="Q44" ca="1">_xll.DBR($Q$21,$P44,Q$43)</f>
        <v>*KEY_ERR</v>
      </c>
      <c r="R44" s="23" t="str" cm="1">
        <f t="array" aca="1" ref="R44" ca="1">_xll.DBR($Q$21,$P44,R$43)</f>
        <v>*KEY_ERR</v>
      </c>
      <c r="S44" s="23"/>
      <c r="T44" s="23" t="str" cm="1">
        <f t="array" aca="1" ref="T44" ca="1">_xll.DBR($Q$21,$P44,T$43)</f>
        <v>*KEY_ERR</v>
      </c>
      <c r="U44" s="23" t="str" cm="1">
        <f t="array" aca="1" ref="U44" ca="1">_xll.DBR($Q$21,$P44,U$43)</f>
        <v>*KEY_ERR</v>
      </c>
      <c r="V44" s="23" t="str" cm="1">
        <f t="array" aca="1" ref="V44" ca="1">_xll.DBR($Q$21,$P44,V$43)</f>
        <v>*KEY_ERR</v>
      </c>
      <c r="W44" s="23" t="str" cm="1">
        <f t="array" aca="1" ref="W44" ca="1">_xll.DBR($Q$21,$P44,W$43)</f>
        <v>*KEY_ERR</v>
      </c>
    </row>
    <row r="45" spans="16:23" hidden="1" outlineLevel="1" x14ac:dyDescent="0.25">
      <c r="P45" s="23" t="s">
        <v>73</v>
      </c>
      <c r="Q45" s="23" t="str" cm="1">
        <f t="array" aca="1" ref="Q45" ca="1">_xll.DBR($Q$21,$P45,Q$43)</f>
        <v>*KEY_ERR</v>
      </c>
      <c r="R45" s="23" t="str" cm="1">
        <f t="array" aca="1" ref="R45" ca="1">_xll.DBR($Q$21,$P45,R$43)</f>
        <v>*KEY_ERR</v>
      </c>
      <c r="S45" s="23"/>
      <c r="T45" s="23" t="str" cm="1">
        <f t="array" aca="1" ref="T45" ca="1">_xll.DBR($Q$21,$P45,T$43)</f>
        <v>*KEY_ERR</v>
      </c>
      <c r="U45" s="23" t="str" cm="1">
        <f t="array" aca="1" ref="U45" ca="1">_xll.DBR($Q$21,$P45,U$43)</f>
        <v>*KEY_ERR</v>
      </c>
      <c r="V45" s="23" t="str" cm="1">
        <f t="array" aca="1" ref="V45" ca="1">_xll.DBR($Q$21,$P45,V$43)</f>
        <v>*KEY_ERR</v>
      </c>
      <c r="W45" s="23" t="str" cm="1">
        <f t="array" aca="1" ref="W45" ca="1">_xll.DBR($Q$21,$P45,W$43)</f>
        <v>*KEY_ERR</v>
      </c>
    </row>
    <row r="46" spans="16:23" hidden="1" outlineLevel="1" x14ac:dyDescent="0.25">
      <c r="P46" s="23" t="s">
        <v>74</v>
      </c>
      <c r="Q46" s="23" t="str" cm="1">
        <f t="array" aca="1" ref="Q46" ca="1">_xll.DBR($Q$21,$P46,Q$43)</f>
        <v>*KEY_ERR</v>
      </c>
      <c r="R46" s="23" t="str" cm="1">
        <f t="array" aca="1" ref="R46" ca="1">_xll.DBR($Q$21,$P46,R$43)</f>
        <v>*KEY_ERR</v>
      </c>
      <c r="S46" s="23"/>
      <c r="T46" s="23" t="str" cm="1">
        <f t="array" aca="1" ref="T46" ca="1">_xll.DBR($Q$21,$P46,T$43)</f>
        <v>*KEY_ERR</v>
      </c>
      <c r="U46" s="23" t="str" cm="1">
        <f t="array" aca="1" ref="U46" ca="1">_xll.DBR($Q$21,$P46,U$43)</f>
        <v>*KEY_ERR</v>
      </c>
      <c r="V46" s="23" t="str" cm="1">
        <f t="array" aca="1" ref="V46" ca="1">_xll.DBR($Q$21,$P46,V$43)</f>
        <v>*KEY_ERR</v>
      </c>
      <c r="W46" s="23" t="str" cm="1">
        <f t="array" aca="1" ref="W46" ca="1">_xll.DBR($Q$21,$P46,W$43)</f>
        <v>*KEY_ERR</v>
      </c>
    </row>
    <row r="47" spans="16:23" hidden="1" outlineLevel="1" x14ac:dyDescent="0.25">
      <c r="P47" s="23" t="s">
        <v>75</v>
      </c>
      <c r="Q47" s="23" t="str" cm="1">
        <f t="array" aca="1" ref="Q47" ca="1">_xll.DBR($Q$21,$P47,Q$43)</f>
        <v>*KEY_ERR</v>
      </c>
      <c r="R47" s="23" t="str" cm="1">
        <f t="array" aca="1" ref="R47" ca="1">_xll.DBR($Q$21,$P47,R$43)</f>
        <v>*KEY_ERR</v>
      </c>
      <c r="S47" s="23"/>
      <c r="T47" s="23" t="str" cm="1">
        <f t="array" aca="1" ref="T47" ca="1">_xll.DBR($Q$21,$P47,T$43)</f>
        <v>*KEY_ERR</v>
      </c>
      <c r="U47" s="23" t="str" cm="1">
        <f t="array" aca="1" ref="U47" ca="1">_xll.DBR($Q$21,$P47,U$43)</f>
        <v>*KEY_ERR</v>
      </c>
      <c r="V47" s="23" t="str" cm="1">
        <f t="array" aca="1" ref="V47" ca="1">_xll.DBR($Q$21,$P47,V$43)</f>
        <v>*KEY_ERR</v>
      </c>
      <c r="W47" s="23" t="str" cm="1">
        <f t="array" aca="1" ref="W47" ca="1">_xll.DBR($Q$21,$P47,W$43)</f>
        <v>*KEY_ERR</v>
      </c>
    </row>
    <row r="48" spans="16:23" hidden="1" outlineLevel="1" x14ac:dyDescent="0.25">
      <c r="P48" s="23" t="s">
        <v>83</v>
      </c>
      <c r="Q48" s="23" t="str" cm="1">
        <f t="array" aca="1" ref="Q48" ca="1">_xll.DBR($Q$21,$P48,Q$43)</f>
        <v>*KEY_ERR</v>
      </c>
      <c r="R48" s="23" t="str" cm="1">
        <f t="array" aca="1" ref="R48" ca="1">_xll.DBR($Q$21,$P48,R$43)</f>
        <v>*KEY_ERR</v>
      </c>
      <c r="S48" s="23"/>
      <c r="T48" s="23" t="str" cm="1">
        <f t="array" aca="1" ref="T48" ca="1">_xll.DBR($Q$21,$P48,T$43)</f>
        <v>*KEY_ERR</v>
      </c>
      <c r="U48" s="23" t="str" cm="1">
        <f t="array" aca="1" ref="U48" ca="1">_xll.DBR($Q$21,$P48,U$43)</f>
        <v>*KEY_ERR</v>
      </c>
      <c r="V48" s="23" t="str" cm="1">
        <f t="array" aca="1" ref="V48" ca="1">_xll.DBR($Q$21,$P48,V$43)</f>
        <v>*KEY_ERR</v>
      </c>
      <c r="W48" s="23" t="str" cm="1">
        <f t="array" aca="1" ref="W48" ca="1">_xll.DBR($Q$21,$P48,W$43)</f>
        <v>*KEY_ERR</v>
      </c>
    </row>
    <row r="49" spans="1:40" hidden="1" outlineLevel="1" x14ac:dyDescent="0.25">
      <c r="P49" s="23" t="s">
        <v>76</v>
      </c>
      <c r="Q49" s="23" t="str" cm="1">
        <f t="array" aca="1" ref="Q49" ca="1">_xll.DBR($Q$21,$P49,Q$43)</f>
        <v>*KEY_ERR</v>
      </c>
      <c r="R49" s="23" t="str" cm="1">
        <f t="array" aca="1" ref="R49" ca="1">_xll.DBR($Q$21,$P49,R$43)</f>
        <v>*KEY_ERR</v>
      </c>
      <c r="S49" s="23"/>
      <c r="T49" s="23" t="str" cm="1">
        <f t="array" aca="1" ref="T49" ca="1">_xll.DBR($Q$21,$P49,T$43)</f>
        <v>*KEY_ERR</v>
      </c>
      <c r="U49" s="23" t="str" cm="1">
        <f t="array" aca="1" ref="U49" ca="1">_xll.DBR($Q$21,$P49,U$43)</f>
        <v>*KEY_ERR</v>
      </c>
      <c r="V49" s="23" t="str" cm="1">
        <f t="array" aca="1" ref="V49" ca="1">_xll.DBR($Q$21,$P49,V$43)</f>
        <v>*KEY_ERR</v>
      </c>
      <c r="W49" s="23" t="str" cm="1">
        <f t="array" aca="1" ref="W49" ca="1">_xll.DBR($Q$21,$P49,W$43)</f>
        <v>*KEY_ERR</v>
      </c>
    </row>
    <row r="50" spans="1:40" hidden="1" outlineLevel="1" x14ac:dyDescent="0.25">
      <c r="P50" s="23" t="s">
        <v>77</v>
      </c>
      <c r="Q50" s="23" t="str" cm="1">
        <f t="array" aca="1" ref="Q50" ca="1">_xll.DBR($Q$21,$P50,Q$43)</f>
        <v>*KEY_ERR</v>
      </c>
      <c r="R50" s="23" t="str" cm="1">
        <f t="array" aca="1" ref="R50" ca="1">_xll.DBR($Q$21,$P50,R$43)</f>
        <v>*KEY_ERR</v>
      </c>
      <c r="S50" s="23"/>
      <c r="T50" s="23" t="str" cm="1">
        <f t="array" aca="1" ref="T50" ca="1">_xll.DBR($Q$21,$P50,T$43)</f>
        <v>*KEY_ERR</v>
      </c>
      <c r="U50" s="23" t="str" cm="1">
        <f t="array" aca="1" ref="U50" ca="1">_xll.DBR($Q$21,$P50,U$43)</f>
        <v>*KEY_ERR</v>
      </c>
      <c r="V50" s="23" t="str" cm="1">
        <f t="array" aca="1" ref="V50" ca="1">_xll.DBR($Q$21,$P50,V$43)</f>
        <v>*KEY_ERR</v>
      </c>
      <c r="W50" s="23" t="str" cm="1">
        <f t="array" aca="1" ref="W50" ca="1">_xll.DBR($Q$21,$P50,W$43)</f>
        <v>*KEY_ERR</v>
      </c>
    </row>
    <row r="51" spans="1:40" hidden="1" outlineLevel="1" x14ac:dyDescent="0.25">
      <c r="P51" s="23" t="s">
        <v>78</v>
      </c>
      <c r="Q51" s="23" t="str" cm="1">
        <f t="array" aca="1" ref="Q51" ca="1">_xll.DBR($Q$21,$P51,Q$43)</f>
        <v>*KEY_ERR</v>
      </c>
      <c r="R51" s="23" t="str" cm="1">
        <f t="array" aca="1" ref="R51" ca="1">_xll.DBR($Q$21,$P51,R$43)</f>
        <v>*KEY_ERR</v>
      </c>
      <c r="S51" s="23"/>
      <c r="T51" s="23" t="str" cm="1">
        <f t="array" aca="1" ref="T51" ca="1">_xll.DBR($Q$21,$P51,T$43)</f>
        <v>*KEY_ERR</v>
      </c>
      <c r="U51" s="23" t="str" cm="1">
        <f t="array" aca="1" ref="U51" ca="1">_xll.DBR($Q$21,$P51,U$43)</f>
        <v>*KEY_ERR</v>
      </c>
      <c r="V51" s="23" t="str" cm="1">
        <f t="array" aca="1" ref="V51" ca="1">_xll.DBR($Q$21,$P51,V$43)</f>
        <v>*KEY_ERR</v>
      </c>
      <c r="W51" s="23" t="str" cm="1">
        <f t="array" aca="1" ref="W51" ca="1">_xll.DBR($Q$21,$P51,W$43)</f>
        <v>*KEY_ERR</v>
      </c>
    </row>
    <row r="52" spans="1:40" hidden="1" outlineLevel="1" x14ac:dyDescent="0.25">
      <c r="P52" s="23" t="s">
        <v>79</v>
      </c>
      <c r="Q52" s="23" t="str" cm="1">
        <f t="array" aca="1" ref="Q52" ca="1">_xll.DBR($Q$21,$P52,Q$43)</f>
        <v>*KEY_ERR</v>
      </c>
      <c r="R52" s="23" t="str" cm="1">
        <f t="array" aca="1" ref="R52" ca="1">_xll.DBR($Q$21,$P52,R$43)</f>
        <v>*KEY_ERR</v>
      </c>
      <c r="S52" s="23"/>
      <c r="T52" s="23" t="str" cm="1">
        <f t="array" aca="1" ref="T52" ca="1">_xll.DBR($Q$21,$P52,T$43)</f>
        <v>*KEY_ERR</v>
      </c>
      <c r="U52" s="23" t="str" cm="1">
        <f t="array" aca="1" ref="U52" ca="1">_xll.DBR($Q$21,$P52,U$43)</f>
        <v>*KEY_ERR</v>
      </c>
      <c r="V52" s="23" t="str" cm="1">
        <f t="array" aca="1" ref="V52" ca="1">_xll.DBR($Q$21,$P52,V$43)</f>
        <v>*KEY_ERR</v>
      </c>
      <c r="W52" s="23" t="str" cm="1">
        <f t="array" aca="1" ref="W52" ca="1">_xll.DBR($Q$21,$P52,W$43)</f>
        <v>*KEY_ERR</v>
      </c>
    </row>
    <row r="53" spans="1:40" hidden="1" outlineLevel="1" x14ac:dyDescent="0.25">
      <c r="P53" s="23" t="s">
        <v>80</v>
      </c>
      <c r="Q53" s="23" t="str" cm="1">
        <f t="array" aca="1" ref="Q53" ca="1">_xll.DBR($Q$21,$P53,Q$43)</f>
        <v>*KEY_ERR</v>
      </c>
      <c r="R53" s="23" t="str" cm="1">
        <f t="array" aca="1" ref="R53" ca="1">_xll.DBR($Q$21,$P53,R$43)</f>
        <v>*KEY_ERR</v>
      </c>
      <c r="S53" s="23"/>
      <c r="T53" s="23" t="str" cm="1">
        <f t="array" aca="1" ref="T53" ca="1">_xll.DBR($Q$21,$P53,T$43)</f>
        <v>*KEY_ERR</v>
      </c>
      <c r="U53" s="23" t="str" cm="1">
        <f t="array" aca="1" ref="U53" ca="1">_xll.DBR($Q$21,$P53,U$43)</f>
        <v>*KEY_ERR</v>
      </c>
      <c r="V53" s="23" t="str" cm="1">
        <f t="array" aca="1" ref="V53" ca="1">_xll.DBR($Q$21,$P53,V$43)</f>
        <v>*KEY_ERR</v>
      </c>
      <c r="W53" s="23" t="str" cm="1">
        <f t="array" aca="1" ref="W53" ca="1">_xll.DBR($Q$21,$P53,W$43)</f>
        <v>*KEY_ERR</v>
      </c>
    </row>
    <row r="54" spans="1:40" hidden="1" outlineLevel="1" x14ac:dyDescent="0.25">
      <c r="P54" s="23" t="s">
        <v>81</v>
      </c>
      <c r="Q54" s="23" t="str" cm="1">
        <f t="array" aca="1" ref="Q54" ca="1">_xll.DBR($Q$21,$P54,Q$43)</f>
        <v>*KEY_ERR</v>
      </c>
      <c r="R54" s="23" t="str" cm="1">
        <f t="array" aca="1" ref="R54" ca="1">_xll.DBR($Q$21,$P54,R$43)</f>
        <v>*KEY_ERR</v>
      </c>
      <c r="S54" s="23"/>
      <c r="T54" s="23" t="str" cm="1">
        <f t="array" aca="1" ref="T54" ca="1">_xll.DBR($Q$21,$P54,T$43)</f>
        <v>*KEY_ERR</v>
      </c>
      <c r="U54" s="23" t="str" cm="1">
        <f t="array" aca="1" ref="U54" ca="1">_xll.DBR($Q$21,$P54,U$43)</f>
        <v>*KEY_ERR</v>
      </c>
      <c r="V54" s="23" t="str" cm="1">
        <f t="array" aca="1" ref="V54" ca="1">_xll.DBR($Q$21,$P54,V$43)</f>
        <v>*KEY_ERR</v>
      </c>
      <c r="W54" s="23" t="str" cm="1">
        <f t="array" aca="1" ref="W54" ca="1">_xll.DBR($Q$21,$P54,W$43)</f>
        <v>*KEY_ERR</v>
      </c>
    </row>
    <row r="55" spans="1:40" hidden="1" outlineLevel="1" x14ac:dyDescent="0.25">
      <c r="T55" s="12"/>
    </row>
    <row r="56" spans="1:40" hidden="1" outlineLevel="1" x14ac:dyDescent="0.25"/>
    <row r="57" spans="1:40" hidden="1" outlineLevel="1" x14ac:dyDescent="0.25">
      <c r="T57"/>
      <c r="V57" s="26" t="str" cm="1">
        <f t="array" aca="1" ref="V57" ca="1">_xll.DBR($Q$20,"Headline Year", "Value")</f>
        <v>*KEY_ERR</v>
      </c>
      <c r="W57" s="26" t="str">
        <f ca="1">RIGHT($V$57,9)</f>
        <v>*KEY_ERR</v>
      </c>
      <c r="X57" s="23" t="str" cm="1">
        <f t="array" aca="1" ref="X57" ca="1">_xll.DIMNM(db_name&amp;":period",_xll.DIMIX(db_name&amp;":period",$W$57)+X58)</f>
        <v/>
      </c>
      <c r="Y57" s="23" t="str" cm="1">
        <f t="array" aca="1" ref="Y57" ca="1">_xll.DIMNM(db_name&amp;":period",_xll.DIMIX(db_name&amp;":period",$W$57)+Y58)</f>
        <v/>
      </c>
      <c r="Z57" s="23" t="str" cm="1">
        <f t="array" aca="1" ref="Z57" ca="1">_xll.DIMNM(db_name&amp;":period",_xll.DIMIX(db_name&amp;":period",$W$57)+Z58)</f>
        <v/>
      </c>
      <c r="AA57" s="23" t="str" cm="1">
        <f t="array" aca="1" ref="AA57" ca="1">_xll.DIMNM(db_name&amp;":period",_xll.DIMIX(db_name&amp;":period",$W$57)+AA58)</f>
        <v/>
      </c>
      <c r="AB57" s="23" t="str" cm="1">
        <f t="array" aca="1" ref="AB57" ca="1">_xll.DIMNM(db_name&amp;":period",_xll.DIMIX(db_name&amp;":period",$W$57)+AB58)</f>
        <v/>
      </c>
      <c r="AC57" s="23" t="str" cm="1">
        <f t="array" aca="1" ref="AC57" ca="1">_xll.DIMNM(db_name&amp;":period",_xll.DIMIX(db_name&amp;":period",$W$57)+AC58)</f>
        <v/>
      </c>
      <c r="AD57" s="23" t="str" cm="1">
        <f t="array" aca="1" ref="AD57" ca="1">_xll.DIMNM(db_name&amp;":period",_xll.DIMIX(db_name&amp;":period",$W$57)+AD58)</f>
        <v/>
      </c>
      <c r="AE57" s="23" t="str" cm="1">
        <f t="array" aca="1" ref="AE57" ca="1">_xll.DIMNM(db_name&amp;":period",_xll.DIMIX(db_name&amp;":period",$W$57)+AE58)</f>
        <v/>
      </c>
      <c r="AF57" s="23" t="str" cm="1">
        <f t="array" aca="1" ref="AF57" ca="1">_xll.DIMNM(db_name&amp;":period",_xll.DIMIX(db_name&amp;":period",$W$57)+AF58)</f>
        <v/>
      </c>
      <c r="AG57" s="23" t="str" cm="1">
        <f t="array" aca="1" ref="AG57" ca="1">_xll.DIMNM(db_name&amp;":period",_xll.DIMIX(db_name&amp;":period",$W$57)+AG58)</f>
        <v/>
      </c>
      <c r="AH57" s="23" t="str" cm="1">
        <f t="array" aca="1" ref="AH57" ca="1">_xll.DIMNM(db_name&amp;":period",_xll.DIMIX(db_name&amp;":period",$W$57)+AH58)</f>
        <v/>
      </c>
      <c r="AI57" s="23" t="str" cm="1">
        <f t="array" aca="1" ref="AI57" ca="1">_xll.DIMNM(db_name&amp;":period",_xll.DIMIX(db_name&amp;":period",$W$57)+AI58)</f>
        <v/>
      </c>
    </row>
    <row r="58" spans="1:40" hidden="1" outlineLevel="1" x14ac:dyDescent="0.25">
      <c r="V58" s="26"/>
      <c r="W58" s="26" t="s">
        <v>86</v>
      </c>
      <c r="X58" s="23">
        <f ca="1">VLOOKUP($Q$75,$W$59:$AI$61,2,FALSE)</f>
        <v>-5</v>
      </c>
      <c r="Y58" s="23">
        <f ca="1">VLOOKUP($Q$75,$W$59:$AI$61,3,FALSE)</f>
        <v>-4</v>
      </c>
      <c r="Z58" s="23">
        <f ca="1">VLOOKUP($Q$75,$W$59:$AI$61,4,FALSE)</f>
        <v>-3</v>
      </c>
      <c r="AA58" s="23">
        <f ca="1">VLOOKUP($Q$75,$W$59:$AI$61,5,FALSE)</f>
        <v>-2</v>
      </c>
      <c r="AB58" s="23">
        <f ca="1">VLOOKUP($Q$75,$W$59:$AI$61,6,FALSE)</f>
        <v>-1</v>
      </c>
      <c r="AC58" s="23">
        <f ca="1">VLOOKUP($Q$75,$W$59:$AI$61,7,FALSE)</f>
        <v>0</v>
      </c>
      <c r="AD58" s="23">
        <f ca="1">VLOOKUP($Q$75,$W$59:$AI$61,8,FALSE)</f>
        <v>1</v>
      </c>
      <c r="AE58" s="23">
        <f ca="1">VLOOKUP($Q$75,$W$59:$AI$61,9,FALSE)</f>
        <v>2</v>
      </c>
      <c r="AF58" s="23">
        <f ca="1">VLOOKUP($Q$75,$W$59:$AI$61,10,FALSE)</f>
        <v>3</v>
      </c>
      <c r="AG58" s="23">
        <f ca="1">VLOOKUP($Q$75,$W$59:$AI$61,11,FALSE)</f>
        <v>4</v>
      </c>
      <c r="AH58" s="23">
        <f ca="1">VLOOKUP($Q$75,$W$59:$AI$61,12,FALSE)</f>
        <v>5</v>
      </c>
      <c r="AI58" s="23">
        <f ca="1">VLOOKUP($Q$75,$W$59:$AI$61,13,FALSE)</f>
        <v>6</v>
      </c>
    </row>
    <row r="59" spans="1:40" hidden="1" outlineLevel="1" x14ac:dyDescent="0.25">
      <c r="V59" s="19"/>
      <c r="W59" s="26" t="s">
        <v>87</v>
      </c>
      <c r="X59" s="23">
        <v>-1</v>
      </c>
      <c r="Y59" s="23">
        <v>0</v>
      </c>
      <c r="Z59" s="23">
        <v>1</v>
      </c>
      <c r="AA59" s="23">
        <v>2</v>
      </c>
      <c r="AB59" s="23">
        <v>3</v>
      </c>
      <c r="AC59" s="23">
        <v>4</v>
      </c>
      <c r="AD59" s="23">
        <v>5</v>
      </c>
      <c r="AE59" s="23">
        <v>6</v>
      </c>
      <c r="AF59" s="23">
        <v>7</v>
      </c>
      <c r="AG59" s="23">
        <v>8</v>
      </c>
      <c r="AH59" s="23">
        <v>9</v>
      </c>
      <c r="AI59" s="23">
        <v>10</v>
      </c>
    </row>
    <row r="60" spans="1:40" hidden="1" outlineLevel="1" x14ac:dyDescent="0.25">
      <c r="V60" s="19"/>
      <c r="W60" s="26" t="s">
        <v>88</v>
      </c>
      <c r="X60" s="23">
        <v>-10</v>
      </c>
      <c r="Y60" s="23">
        <v>-9</v>
      </c>
      <c r="Z60" s="23">
        <v>-8</v>
      </c>
      <c r="AA60" s="23">
        <v>-7</v>
      </c>
      <c r="AB60" s="23">
        <v>-6</v>
      </c>
      <c r="AC60" s="23">
        <v>-5</v>
      </c>
      <c r="AD60" s="23">
        <v>-4</v>
      </c>
      <c r="AE60" s="23">
        <v>-3</v>
      </c>
      <c r="AF60" s="23">
        <v>-2</v>
      </c>
      <c r="AG60" s="23">
        <v>-1</v>
      </c>
      <c r="AH60" s="23">
        <v>0</v>
      </c>
      <c r="AI60" s="23">
        <v>1</v>
      </c>
    </row>
    <row r="61" spans="1:40" hidden="1" outlineLevel="1" x14ac:dyDescent="0.25">
      <c r="Q61" s="22"/>
      <c r="W61" s="26" t="s">
        <v>89</v>
      </c>
      <c r="X61" s="23">
        <v>-5</v>
      </c>
      <c r="Y61" s="23">
        <v>-4</v>
      </c>
      <c r="Z61" s="23">
        <v>-3</v>
      </c>
      <c r="AA61" s="23">
        <v>-2</v>
      </c>
      <c r="AB61" s="23">
        <v>-1</v>
      </c>
      <c r="AC61" s="23">
        <v>0</v>
      </c>
      <c r="AD61" s="23">
        <v>1</v>
      </c>
      <c r="AE61" s="23">
        <v>2</v>
      </c>
      <c r="AF61" s="23">
        <v>3</v>
      </c>
      <c r="AG61" s="23">
        <v>4</v>
      </c>
      <c r="AH61" s="23">
        <v>5</v>
      </c>
      <c r="AI61" s="44">
        <v>6</v>
      </c>
    </row>
    <row r="62" spans="1:40" hidden="1" outlineLevel="1" x14ac:dyDescent="0.25">
      <c r="Q62" s="22"/>
    </row>
    <row r="63" spans="1:40" ht="39.75" customHeight="1" collapsed="1" x14ac:dyDescent="0.25">
      <c r="A63" s="1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 t="s">
        <v>82</v>
      </c>
    </row>
    <row r="64" spans="1:40" ht="4.1500000000000004" customHeight="1" x14ac:dyDescent="0.25">
      <c r="Q64" s="22"/>
    </row>
    <row r="65" spans="2:45" ht="24" customHeight="1" x14ac:dyDescent="0.25">
      <c r="Q65" s="22"/>
    </row>
    <row r="66" spans="2:45" ht="1.5" customHeight="1" x14ac:dyDescent="0.25"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</row>
    <row r="67" spans="2:45" x14ac:dyDescent="0.25">
      <c r="Q67" s="22"/>
    </row>
    <row r="68" spans="2:45" x14ac:dyDescent="0.25">
      <c r="Q68" s="52" t="s">
        <v>50</v>
      </c>
      <c r="R68" s="53"/>
      <c r="U68" s="37" t="s">
        <v>50</v>
      </c>
    </row>
    <row r="69" spans="2:45" x14ac:dyDescent="0.25">
      <c r="P69" s="31" t="s">
        <v>51</v>
      </c>
      <c r="Q69" s="54" t="str">
        <f t="array" aca="1" ref="Q69" ca="1">_xll.SUBNM(db_name&amp;":status","","data")</f>
        <v/>
      </c>
      <c r="R69" s="55"/>
      <c r="T69" s="31" t="s">
        <v>52</v>
      </c>
      <c r="U69" s="43" t="str">
        <f t="array" aca="1" ref="U69" ca="1">_xll.SUBNM(db_name&amp;":outcome","","Total outcomes")</f>
        <v/>
      </c>
    </row>
    <row r="70" spans="2:45" x14ac:dyDescent="0.25">
      <c r="P70" s="31" t="s">
        <v>84</v>
      </c>
      <c r="Q70" s="54" t="str">
        <f t="array" aca="1" ref="Q70" ca="1">_xll.SUBNM(db_name&amp;":programme","","Administered Programmes","code and description")</f>
        <v/>
      </c>
      <c r="R70" s="55"/>
      <c r="T70" s="31" t="s">
        <v>53</v>
      </c>
      <c r="U70" s="43" t="str">
        <f t="array" aca="1" ref="U70" ca="1">_xll.SUBNM(db_name&amp;":related entity","","Total related entity")</f>
        <v/>
      </c>
    </row>
    <row r="71" spans="2:45" x14ac:dyDescent="0.25">
      <c r="P71" s="31" t="s">
        <v>62</v>
      </c>
      <c r="Q71" s="54" t="str">
        <f t="array" aca="1" ref="Q71" ca="1">_xll.SUBNM(db_name&amp;":account","","4100001","code and description")</f>
        <v/>
      </c>
      <c r="R71" s="55"/>
      <c r="T71" s="31" t="s">
        <v>54</v>
      </c>
      <c r="U71" s="43" t="str">
        <f t="array" aca="1" ref="U71" ca="1">_xll.SUBNM(db_name&amp;":function","","Total functions")</f>
        <v/>
      </c>
    </row>
    <row r="72" spans="2:45" x14ac:dyDescent="0.25">
      <c r="P72" s="31" t="s">
        <v>61</v>
      </c>
      <c r="Q72" s="54" t="str">
        <f t="array" aca="1" ref="Q72" ca="1">_xll.SUBNM(db_name&amp;":movement account","","7593","code and description")</f>
        <v/>
      </c>
      <c r="R72" s="55"/>
      <c r="S72" s="40"/>
      <c r="T72" s="31" t="s">
        <v>55</v>
      </c>
      <c r="U72" s="43" t="str">
        <f t="array" aca="1" ref="U72" ca="1">_xll.SUBNM(db_name&amp;":reason","","Total reason")</f>
        <v/>
      </c>
    </row>
    <row r="73" spans="2:45" x14ac:dyDescent="0.25">
      <c r="P73" s="31" t="s">
        <v>57</v>
      </c>
      <c r="Q73" s="54" t="str">
        <f t="array" aca="1" ref="Q73" ca="1">_xll.SUBNM(db_name&amp;":measure code","","Total Measures")</f>
        <v/>
      </c>
      <c r="R73" s="55"/>
      <c r="S73" s="40"/>
      <c r="T73" s="31" t="s">
        <v>56</v>
      </c>
      <c r="U73" s="43" t="str">
        <f t="array" aca="1" ref="U73" ca="1">_xll.SUBNM(db_name&amp;":spp","","Total SPP")</f>
        <v/>
      </c>
    </row>
    <row r="74" spans="2:45" x14ac:dyDescent="0.25">
      <c r="R74"/>
      <c r="S74" s="40"/>
      <c r="T74" s="31" t="s">
        <v>58</v>
      </c>
      <c r="U74" s="43" t="str">
        <f t="array" aca="1" ref="U74" ca="1">_xll.SUBNM(db_name&amp;":appropriation item","","Total approp item")</f>
        <v/>
      </c>
    </row>
    <row r="75" spans="2:45" x14ac:dyDescent="0.25">
      <c r="P75" s="31" t="s">
        <v>85</v>
      </c>
      <c r="Q75" s="56" t="s">
        <v>89</v>
      </c>
      <c r="R75" s="56"/>
      <c r="S75" s="40"/>
      <c r="T75" s="31" t="s">
        <v>59</v>
      </c>
      <c r="U75" s="43" t="str">
        <f t="array" aca="1" ref="U75" ca="1">_xll.SUBNM(db_name&amp;":jurisdiction","","Total jurisdictions")</f>
        <v/>
      </c>
    </row>
    <row r="76" spans="2:45" x14ac:dyDescent="0.25">
      <c r="R76"/>
      <c r="S76"/>
      <c r="T76" s="31" t="s">
        <v>60</v>
      </c>
      <c r="U76" s="43" t="str">
        <f t="array" aca="1" ref="U76" ca="1">_xll.SUBNM(db_name&amp;":appropriation type","","Total approp types")</f>
        <v/>
      </c>
    </row>
    <row r="77" spans="2:45" ht="4.5" customHeight="1" x14ac:dyDescent="0.25">
      <c r="B77"/>
      <c r="C77"/>
      <c r="D77"/>
      <c r="E77"/>
      <c r="F77"/>
      <c r="G77"/>
      <c r="H77"/>
      <c r="I77"/>
      <c r="J77" s="32"/>
      <c r="K77" s="33"/>
      <c r="L77" s="33"/>
      <c r="M77" s="33"/>
      <c r="N77" s="33"/>
      <c r="O77" s="33"/>
      <c r="P77" s="33"/>
      <c r="R77"/>
      <c r="S77"/>
      <c r="T77"/>
      <c r="U77"/>
      <c r="V77"/>
      <c r="W77"/>
      <c r="AI77"/>
      <c r="AJ77"/>
      <c r="AK77"/>
      <c r="AL77"/>
      <c r="AM77"/>
      <c r="AN77"/>
      <c r="AO77"/>
      <c r="AP77"/>
    </row>
    <row r="78" spans="2:45" x14ac:dyDescent="0.25">
      <c r="P78" s="48" t="s">
        <v>90</v>
      </c>
      <c r="Q78" s="48"/>
      <c r="R78" s="48"/>
      <c r="S78"/>
      <c r="T78"/>
      <c r="X78" s="25" t="str">
        <f t="shared" ref="X78:AI78" ca="1" si="0">X57</f>
        <v/>
      </c>
      <c r="Y78" s="25" t="str">
        <f t="shared" ca="1" si="0"/>
        <v/>
      </c>
      <c r="Z78" s="25" t="str">
        <f t="shared" ca="1" si="0"/>
        <v/>
      </c>
      <c r="AA78" s="25" t="str">
        <f t="shared" ca="1" si="0"/>
        <v/>
      </c>
      <c r="AB78" s="25" t="str">
        <f t="shared" ca="1" si="0"/>
        <v/>
      </c>
      <c r="AC78" s="25" t="str">
        <f t="shared" ca="1" si="0"/>
        <v/>
      </c>
      <c r="AD78" s="25" t="str">
        <f t="shared" ca="1" si="0"/>
        <v/>
      </c>
      <c r="AE78" s="25" t="str">
        <f t="shared" ca="1" si="0"/>
        <v/>
      </c>
      <c r="AF78" s="25" t="str">
        <f t="shared" ca="1" si="0"/>
        <v/>
      </c>
      <c r="AG78" s="25" t="str">
        <f t="shared" ca="1" si="0"/>
        <v/>
      </c>
      <c r="AH78" s="25" t="str">
        <f t="shared" ca="1" si="0"/>
        <v/>
      </c>
      <c r="AI78" s="25" t="str">
        <f t="shared" ca="1" si="0"/>
        <v/>
      </c>
    </row>
    <row r="79" spans="2:45" ht="14.45" customHeight="1" x14ac:dyDescent="0.25">
      <c r="P79" s="48"/>
      <c r="Q79" s="48"/>
      <c r="R79" s="48"/>
      <c r="S79"/>
      <c r="T79"/>
      <c r="U79" s="25" t="s">
        <v>41</v>
      </c>
      <c r="V79" s="45">
        <f ca="1">NOW()</f>
        <v>44972.397107175922</v>
      </c>
      <c r="W79" s="28" t="s">
        <v>40</v>
      </c>
      <c r="X79" s="35" t="str" cm="1">
        <f t="array" aca="1" ref="X79" ca="1">INDEX(X82:X83,$Q$40)</f>
        <v/>
      </c>
      <c r="Y79" s="35" t="str" cm="1">
        <f t="array" aca="1" ref="Y79" ca="1">INDEX(Y82:Y83,$Q$40)</f>
        <v/>
      </c>
      <c r="Z79" s="35" t="str" cm="1">
        <f t="array" aca="1" ref="Z79" ca="1">INDEX(Z82:Z83,$Q$40)</f>
        <v/>
      </c>
      <c r="AA79" s="35" t="str" cm="1">
        <f t="array" aca="1" ref="AA79" ca="1">INDEX(AA82:AA83,$Q$40)</f>
        <v/>
      </c>
      <c r="AB79" s="35" t="str" cm="1">
        <f t="array" aca="1" ref="AB79" ca="1">INDEX(AB82:AB83,$Q$40)</f>
        <v/>
      </c>
      <c r="AC79" s="35" t="str" cm="1">
        <f t="array" aca="1" ref="AC79" ca="1">INDEX(AC82:AC83,$Q$40)</f>
        <v/>
      </c>
      <c r="AD79" s="35" t="str" cm="1">
        <f t="array" aca="1" ref="AD79" ca="1">INDEX(AD82:AD83,$Q$40)</f>
        <v/>
      </c>
      <c r="AE79" s="35" t="str" cm="1">
        <f t="array" aca="1" ref="AE79" ca="1">INDEX(AE82:AE83,$Q$40)</f>
        <v/>
      </c>
      <c r="AF79" s="35" t="str" cm="1">
        <f t="array" aca="1" ref="AF79" ca="1">INDEX(AF82:AF83,$Q$40)</f>
        <v/>
      </c>
      <c r="AG79" s="35" t="str" cm="1">
        <f t="array" aca="1" ref="AG79" ca="1">INDEX(AG82:AG83,$Q$40)</f>
        <v/>
      </c>
      <c r="AH79" s="35" t="str" cm="1">
        <f t="array" aca="1" ref="AH79" ca="1">INDEX(AH82:AH83,$Q$40)</f>
        <v/>
      </c>
      <c r="AI79" s="35" t="str" cm="1">
        <f t="array" aca="1" ref="AI79" ca="1">INDEX(AI82:AI83,$Q$40)</f>
        <v/>
      </c>
      <c r="AO79" s="23" t="str" cm="1">
        <f t="array" aca="1" ref="AO79" ca="1">INDEX(AO82:AO82,$AF$36)</f>
        <v/>
      </c>
      <c r="AP79" s="23" t="str" cm="1">
        <f t="array" aca="1" ref="AP79" ca="1">INDEX(AP82:AP82,$AF$36)</f>
        <v/>
      </c>
      <c r="AQ79" s="23" t="str" cm="1">
        <f t="array" aca="1" ref="AQ79" ca="1">INDEX(AQ82:AQ82,$AF$36)</f>
        <v/>
      </c>
      <c r="AR79" s="1"/>
      <c r="AS79" s="1"/>
    </row>
    <row r="80" spans="2:45" ht="4.5" customHeight="1" x14ac:dyDescent="0.25">
      <c r="V80" s="21"/>
      <c r="W80" s="20"/>
    </row>
    <row r="81" spans="1:46" ht="30.75" thickBot="1" x14ac:dyDescent="0.3">
      <c r="B81" s="25" t="s">
        <v>19</v>
      </c>
      <c r="C81" s="25" t="s">
        <v>30</v>
      </c>
      <c r="D81" s="25" t="s">
        <v>16</v>
      </c>
      <c r="E81" s="25" t="s">
        <v>20</v>
      </c>
      <c r="F81" s="25" t="s">
        <v>32</v>
      </c>
      <c r="G81" s="25" t="s">
        <v>33</v>
      </c>
      <c r="H81" s="25" t="s">
        <v>34</v>
      </c>
      <c r="I81" s="25" t="s">
        <v>35</v>
      </c>
      <c r="J81" s="25" t="s">
        <v>21</v>
      </c>
      <c r="K81" s="25" t="s">
        <v>23</v>
      </c>
      <c r="L81" s="25" t="s">
        <v>29</v>
      </c>
      <c r="M81" s="25" t="s">
        <v>0</v>
      </c>
      <c r="N81" s="25" t="s">
        <v>22</v>
      </c>
      <c r="P81" s="25" t="s">
        <v>64</v>
      </c>
      <c r="Q81" s="25" t="s">
        <v>63</v>
      </c>
      <c r="R81" s="25" t="s">
        <v>26</v>
      </c>
      <c r="T81" s="25" t="s">
        <v>16</v>
      </c>
      <c r="U81" s="25" t="s">
        <v>25</v>
      </c>
      <c r="V81" s="25" t="s">
        <v>38</v>
      </c>
      <c r="W81" s="25" t="s">
        <v>39</v>
      </c>
      <c r="X81" s="25" t="str">
        <f t="shared" ref="X81:AI81" ca="1" si="1">X57</f>
        <v/>
      </c>
      <c r="Y81" s="25" t="str">
        <f t="shared" ca="1" si="1"/>
        <v/>
      </c>
      <c r="Z81" s="25" t="str">
        <f t="shared" ca="1" si="1"/>
        <v/>
      </c>
      <c r="AA81" s="25" t="str">
        <f t="shared" ca="1" si="1"/>
        <v/>
      </c>
      <c r="AB81" s="25" t="str">
        <f t="shared" ca="1" si="1"/>
        <v/>
      </c>
      <c r="AC81" s="25" t="str">
        <f t="shared" ca="1" si="1"/>
        <v/>
      </c>
      <c r="AD81" s="25" t="str">
        <f t="shared" ca="1" si="1"/>
        <v/>
      </c>
      <c r="AE81" s="25" t="str">
        <f t="shared" ca="1" si="1"/>
        <v/>
      </c>
      <c r="AF81" s="25" t="str">
        <f t="shared" ca="1" si="1"/>
        <v/>
      </c>
      <c r="AG81" s="25" t="str">
        <f t="shared" ca="1" si="1"/>
        <v/>
      </c>
      <c r="AH81" s="25" t="str">
        <f t="shared" ca="1" si="1"/>
        <v/>
      </c>
      <c r="AI81" s="25" t="str">
        <f t="shared" ca="1" si="1"/>
        <v/>
      </c>
      <c r="AJ81" s="25" t="s">
        <v>20</v>
      </c>
      <c r="AK81" s="25" t="s">
        <v>24</v>
      </c>
      <c r="AL81" s="25" t="s">
        <v>32</v>
      </c>
      <c r="AM81" s="25" t="s">
        <v>34</v>
      </c>
      <c r="AN81" s="38" t="s">
        <v>35</v>
      </c>
      <c r="AO81" s="15" t="s">
        <v>28</v>
      </c>
      <c r="AP81" s="14" t="s">
        <v>27</v>
      </c>
      <c r="AQ81" s="13" t="s">
        <v>1</v>
      </c>
      <c r="AR81" s="13" t="s">
        <v>2</v>
      </c>
      <c r="AS81" s="13" t="s">
        <v>3</v>
      </c>
    </row>
    <row r="82" spans="1:46" ht="14.45" customHeight="1" thickTop="1" x14ac:dyDescent="0.25">
      <c r="A82" t="str">
        <f ca="1">IF(R82="Total IDs","1",IF(P82=P81,IF(Q82=Q81,"0","N"),"D"))</f>
        <v>D</v>
      </c>
      <c r="B82" s="28" t="str">
        <f ca="1">IFERROR(LEFT($D82,5),"")</f>
        <v/>
      </c>
      <c r="C82" s="28" t="str" cm="1">
        <f t="array" aca="1" ref="C82" ca="1">IF(_xll.DIMIX($Q$18,$B82) = 0, "FALSE", "TRUE")</f>
        <v>FALSE</v>
      </c>
      <c r="D82" s="28" t="str" cm="1">
        <f t="array" aca="1" ref="D82" ca="1">_xll.DBRW($Q$16,$P82,$Q82,$R82,$D$81)</f>
        <v/>
      </c>
      <c r="E82" s="28" t="str">
        <f>"DSS Administered"</f>
        <v>DSS Administered</v>
      </c>
      <c r="F82" s="28" t="str" cm="1">
        <f t="array" aca="1" ref="F82" ca="1">_xll.DBRW($Q$16,$P82,$Q82,$R82,$F$81)</f>
        <v/>
      </c>
      <c r="G82" s="28" t="str">
        <f t="array" aca="1" ref="G82" ca="1">_xll.DBRA(db_name&amp;":measure code",$F82,"CBMS code and description")</f>
        <v/>
      </c>
      <c r="H82" s="28" t="str">
        <f t="array" aca="1" ref="H82" ca="1">_xll.DBRA(db_name&amp;":measure code",$F82,"Funding Life")</f>
        <v/>
      </c>
      <c r="I82" s="28" t="str">
        <f t="array" aca="1" ref="I82" ca="1">_xll.DBRA(db_name&amp;":measure code",$F82,"Termination Year")</f>
        <v/>
      </c>
      <c r="J82" s="28" t="str" cm="1">
        <f t="array" aca="1" ref="J82" ca="1">IF($E82="DSS Administered",_xll.DBR($Q$17,$B82,"001",J$81), IF($E82 = "AAC Administered", _xll.DBR($Q$17,$B82,"005",J$81), ""))</f>
        <v>*KEY_ERR</v>
      </c>
      <c r="K82" s="28" t="str" cm="1">
        <f t="array" aca="1" ref="K82" ca="1">_xll.DBRW($Q$16,$P82,$Q82,$R82,$K$81)</f>
        <v/>
      </c>
      <c r="L82" s="28" t="str">
        <f t="array" aca="1" ref="L82" ca="1">IF($K82&lt;&gt;"multiple",_xll.DBRA(db_name&amp;":programme",$K82,"code and description"),"multiple")</f>
        <v/>
      </c>
      <c r="M82" s="28" t="str" cm="1">
        <f t="array" aca="1" ref="M82" ca="1">_xll.DBRW($Q$16,$P82,$Q82,$R82,$M$81)</f>
        <v/>
      </c>
      <c r="N82" s="28" t="str" cm="1">
        <f t="array" aca="1" ref="N82" ca="1">_xll.DBR($Q$17,$B82,"001",N$81)</f>
        <v>*KEY_ERR</v>
      </c>
      <c r="P82" s="46" t="str">
        <f t="array" aca="1" ref="P82" ca="1">_xll.TM1RPTROW($Q$15,db_name&amp;":headline year","",,"",0,$Q$25)</f>
        <v/>
      </c>
      <c r="Q82" s="46" t="str">
        <f t="array" aca="1" ref="Q82" ca="1">_xll.TM1RPTROW($Q$15,db_name&amp;":scenario","",$Q$30:$Q$36,"",0)</f>
        <v/>
      </c>
      <c r="R82" s="47" t="str">
        <f t="array" aca="1" ref="R82" ca="1">_xll.TM1RPTROW($Q$15,db_name&amp;":id","",,,,$Q$26)</f>
        <v/>
      </c>
      <c r="T82" s="42" t="str">
        <f ca="1">D82</f>
        <v/>
      </c>
      <c r="U82" s="28" t="str">
        <f ca="1">M82</f>
        <v/>
      </c>
      <c r="V82" s="28" t="str">
        <f ca="1">IF(J82="*KEY_ERR","",J82)</f>
        <v/>
      </c>
      <c r="W82" s="28" t="str">
        <f ca="1">IF(N82="*KEY_ERR","",N82)</f>
        <v/>
      </c>
      <c r="X82" s="35" t="str" cm="1">
        <f t="array" aca="1" ref="X82" ca="1">_xll.DBRW($Q$15,$P82,$Q82,$Q$69,$U$69,$U$70,$U$71,$U$72,$U$73,$Q$73,$U$76,$Q$72,$U$74,$Q$70,$Q$71,$R82,$U$75,X$81)</f>
        <v/>
      </c>
      <c r="Y82" s="35" t="str" cm="1">
        <f t="array" aca="1" ref="Y82" ca="1">_xll.DBRW($Q$15,$P82,$Q82,$Q$69,$U$69,$U$70,$U$71,$U$72,$U$73,$Q$73,$U$76,$Q$72,$U$74,$Q$70,$Q$71,$R82,$U$75,Y$81)</f>
        <v/>
      </c>
      <c r="Z82" s="35" t="str" cm="1">
        <f t="array" aca="1" ref="Z82" ca="1">_xll.DBRW($Q$15,$P82,$Q82,$Q$69,$U$69,$U$70,$U$71,$U$72,$U$73,$Q$73,$U$76,$Q$72,$U$74,$Q$70,$Q$71,$R82,$U$75,Z$81)</f>
        <v/>
      </c>
      <c r="AA82" s="35" t="str" cm="1">
        <f t="array" aca="1" ref="AA82" ca="1">_xll.DBRW($Q$15,$P82,$Q82,$Q$69,$U$69,$U$70,$U$71,$U$72,$U$73,$Q$73,$U$76,$Q$72,$U$74,$Q$70,$Q$71,$R82,$U$75,AA$81)</f>
        <v/>
      </c>
      <c r="AB82" s="35" t="str" cm="1">
        <f t="array" aca="1" ref="AB82" ca="1">_xll.DBRW($Q$15,$P82,$Q82,$Q$69,$U$69,$U$70,$U$71,$U$72,$U$73,$Q$73,$U$76,$Q$72,$U$74,$Q$70,$Q$71,$R82,$U$75,AB$81)</f>
        <v/>
      </c>
      <c r="AC82" s="35" t="str" cm="1">
        <f t="array" aca="1" ref="AC82" ca="1">_xll.DBRW($Q$15,$P82,$Q82,$Q$69,$U$69,$U$70,$U$71,$U$72,$U$73,$Q$73,$U$76,$Q$72,$U$74,$Q$70,$Q$71,$R82,$U$75,AC$81)</f>
        <v/>
      </c>
      <c r="AD82" s="35" t="str" cm="1">
        <f t="array" aca="1" ref="AD82" ca="1">_xll.DBRW($Q$15,$P82,$Q82,$Q$69,$U$69,$U$70,$U$71,$U$72,$U$73,$Q$73,$U$76,$Q$72,$U$74,$Q$70,$Q$71,$R82,$U$75,AD$81)</f>
        <v/>
      </c>
      <c r="AE82" s="35" t="str" cm="1">
        <f t="array" aca="1" ref="AE82" ca="1">_xll.DBRW($Q$15,$P82,$Q82,$Q$69,$U$69,$U$70,$U$71,$U$72,$U$73,$Q$73,$U$76,$Q$72,$U$74,$Q$70,$Q$71,$R82,$U$75,AE$81)</f>
        <v/>
      </c>
      <c r="AF82" s="35" t="str" cm="1">
        <f t="array" aca="1" ref="AF82" ca="1">_xll.DBRW($Q$15,$P82,$Q82,$Q$69,$U$69,$U$70,$U$71,$U$72,$U$73,$Q$73,$U$76,$Q$72,$U$74,$Q$70,$Q$71,$R82,$U$75,AF$81)</f>
        <v/>
      </c>
      <c r="AG82" s="35" t="str" cm="1">
        <f t="array" aca="1" ref="AG82" ca="1">_xll.DBRW($Q$15,$P82,$Q82,$Q$69,$U$69,$U$70,$U$71,$U$72,$U$73,$Q$73,$U$76,$Q$72,$U$74,$Q$70,$Q$71,$R82,$U$75,AG$81)</f>
        <v/>
      </c>
      <c r="AH82" s="35" t="str" cm="1">
        <f t="array" aca="1" ref="AH82" ca="1">_xll.DBRW($Q$15,$P82,$Q82,$Q$69,$U$69,$U$70,$U$71,$U$72,$U$73,$Q$73,$U$76,$Q$72,$U$74,$Q$70,$Q$71,$R82,$U$75,AH$81)</f>
        <v/>
      </c>
      <c r="AI82" s="35" t="str" cm="1">
        <f t="array" aca="1" ref="AI82" ca="1">_xll.DBRW($Q$15,$P82,$Q82,$Q$69,$U$69,$U$70,$U$71,$U$72,$U$73,$Q$73,$U$76,$Q$72,$U$74,$Q$70,$Q$71,$R82,$U$75,AI$81)</f>
        <v/>
      </c>
      <c r="AJ82" s="28" t="str">
        <f ca="1">IF(E82="*KEY_ERR","",E82)</f>
        <v>DSS Administered</v>
      </c>
      <c r="AK82" s="28" t="str">
        <f ca="1">$L82</f>
        <v/>
      </c>
      <c r="AL82" s="28" t="str">
        <f ca="1">G82</f>
        <v/>
      </c>
      <c r="AM82" s="28" t="str">
        <f ca="1">H82</f>
        <v/>
      </c>
      <c r="AN82" s="28" t="str">
        <f ca="1">I82</f>
        <v/>
      </c>
      <c r="AO82" s="3" t="str" cm="1">
        <f t="array" aca="1" ref="AO82" ca="1">_xll.DBRW($Q$15,$P82,$Q82,$Q$69,$U$69,$U$70,$U$71,$U$72,$U$73,$Q$73,$U$76,$Q$72,$U$74,$Q$70,$Q$71,$R82,$U$75,AO$81)</f>
        <v/>
      </c>
      <c r="AP82" s="3" t="str" cm="1">
        <f t="array" aca="1" ref="AP82" ca="1">_xll.DBRW($Q$15,$P82,$Q82,$Q$69,$U$69,$U$70,$U$71,$U$72,$U$73,$Q$73,$U$76,$Q$72,$U$74,$Q$70,$Q$71,$R82,$U$75,AP$81)</f>
        <v/>
      </c>
      <c r="AQ82" s="4" t="str" cm="1">
        <f t="array" aca="1" ref="AQ82" ca="1">_xll.DBRW($Q$15,$P82,$Q82,$Q$69,$U$69,$U$70,$U$71,$U$72,$U$73,$Q$73,$U$76,$Q$72,$U$74,$Q$70,$Q$71,$R82,$U$75,AQ$81)</f>
        <v/>
      </c>
      <c r="AR82" s="4" t="str" cm="1">
        <f t="array" aca="1" ref="AR82" ca="1">_xll.DBRW($Q$15,$P82,$Q82,$Q$69,$U$69,$U$70,$U$71,$U$72,$U$73,$Q$73,$U$76,$Q$72,$U$74,$Q$70,$Q$71,$R82,$U$75,AR$81)</f>
        <v/>
      </c>
      <c r="AS82" s="4" t="str" cm="1">
        <f t="array" aca="1" ref="AS82" ca="1">_xll.DBRW($Q$15,$P82,$Q82,$Q$69,$U$69,$U$70,$U$71,$U$72,$U$73,$Q$73,$U$76,$Q$72,$U$74,$Q$70,$Q$71,$R82,$U$75,AS$81)</f>
        <v/>
      </c>
      <c r="AT82" s="11"/>
    </row>
    <row r="83" spans="1:46" x14ac:dyDescent="0.25">
      <c r="W83" s="20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</row>
  </sheetData>
  <sheetProtection sheet="1" objects="1" scenarios="1"/>
  <mergeCells count="13">
    <mergeCell ref="P78:R79"/>
    <mergeCell ref="P10:R10"/>
    <mergeCell ref="P14:R14"/>
    <mergeCell ref="P24:R24"/>
    <mergeCell ref="P29:R29"/>
    <mergeCell ref="Q68:R68"/>
    <mergeCell ref="P42:W42"/>
    <mergeCell ref="Q69:R69"/>
    <mergeCell ref="Q73:R73"/>
    <mergeCell ref="Q75:R75"/>
    <mergeCell ref="Q71:R71"/>
    <mergeCell ref="Q72:R72"/>
    <mergeCell ref="Q70:R70"/>
  </mergeCells>
  <dataValidations count="3">
    <dataValidation type="list" allowBlank="1" showInputMessage="1" showErrorMessage="1" sqref="K26" xr:uid="{00000000-0002-0000-0100-000000000000}">
      <formula1>"HL2020-2021,HL2021-2022, HL2022-2023, HL2023-2024,HL2024-2025"</formula1>
    </dataValidation>
    <dataValidation type="list" allowBlank="1" showInputMessage="1" showErrorMessage="1" sqref="K27" xr:uid="{00000000-0002-0000-0100-000001000000}">
      <formula1>"current,MYEFO,Additional Estimates,Pre-ERC,Budget,Appropriation Bills,PEFO"</formula1>
    </dataValidation>
    <dataValidation type="list" allowBlank="1" showInputMessage="1" showErrorMessage="1" sqref="Q75" xr:uid="{2ED9B4A9-A311-4340-9D35-A7A117EA0B0A}">
      <formula1>$W$59:$W$61</formula1>
    </dataValidation>
  </dataValidations>
  <hyperlinks>
    <hyperlink ref="Q82" r:id="rId1" display="=@TM1RPTROW($O$9,&quot;dss_geus:scenario&quot;,&quot;&quot;,$O$17:$O$23,&quot;&quot;,0)" xr:uid="{00846F67-C75F-4354-AA08-91905A1F36E8}"/>
  </hyperlinks>
  <pageMargins left="0.7" right="0.7" top="0.75" bottom="0.75" header="0.3" footer="0.3"/>
  <pageSetup paperSize="9" orientation="portrait" r:id="rId2"/>
  <drawing r:id="rId3"/>
  <legacyDrawing r:id="rId4"/>
  <controls>
    <mc:AlternateContent xmlns:mc="http://schemas.openxmlformats.org/markup-compatibility/2006">
      <mc:Choice Requires="x14">
        <control shapeId="1111" r:id="rId5" name="TIButton7">
          <controlPr defaultSize="0" print="0" autoLine="0" r:id="rId6">
            <anchor moveWithCells="1" sizeWithCells="1">
              <from>
                <xdr:col>19</xdr:col>
                <xdr:colOff>885825</xdr:colOff>
                <xdr:row>64</xdr:row>
                <xdr:rowOff>0</xdr:rowOff>
              </from>
              <to>
                <xdr:col>19</xdr:col>
                <xdr:colOff>2428875</xdr:colOff>
                <xdr:row>64</xdr:row>
                <xdr:rowOff>247650</xdr:rowOff>
              </to>
            </anchor>
          </controlPr>
        </control>
      </mc:Choice>
      <mc:Fallback>
        <control shapeId="1111" r:id="rId5" name="TIButton7"/>
      </mc:Fallback>
    </mc:AlternateContent>
    <mc:AlternateContent xmlns:mc="http://schemas.openxmlformats.org/markup-compatibility/2006">
      <mc:Choice Requires="x14">
        <control shapeId="1105" r:id="rId7" name="TIButton1">
          <controlPr defaultSize="0" print="0" autoLine="0" r:id="rId8">
            <anchor moveWithCells="1" sizeWithCells="1">
              <from>
                <xdr:col>15</xdr:col>
                <xdr:colOff>28575</xdr:colOff>
                <xdr:row>64</xdr:row>
                <xdr:rowOff>0</xdr:rowOff>
              </from>
              <to>
                <xdr:col>15</xdr:col>
                <xdr:colOff>666750</xdr:colOff>
                <xdr:row>64</xdr:row>
                <xdr:rowOff>247650</xdr:rowOff>
              </to>
            </anchor>
          </controlPr>
        </control>
      </mc:Choice>
      <mc:Fallback>
        <control shapeId="1105" r:id="rId7" name="TIButton1"/>
      </mc:Fallback>
    </mc:AlternateContent>
    <mc:AlternateContent xmlns:mc="http://schemas.openxmlformats.org/markup-compatibility/2006">
      <mc:Choice Requires="x14">
        <control shapeId="1106" r:id="rId9" name="TIButton2">
          <controlPr defaultSize="0" print="0" autoLine="0" r:id="rId10">
            <anchor moveWithCells="1" sizeWithCells="1">
              <from>
                <xdr:col>15</xdr:col>
                <xdr:colOff>704850</xdr:colOff>
                <xdr:row>64</xdr:row>
                <xdr:rowOff>0</xdr:rowOff>
              </from>
              <to>
                <xdr:col>16</xdr:col>
                <xdr:colOff>171450</xdr:colOff>
                <xdr:row>64</xdr:row>
                <xdr:rowOff>247650</xdr:rowOff>
              </to>
            </anchor>
          </controlPr>
        </control>
      </mc:Choice>
      <mc:Fallback>
        <control shapeId="1106" r:id="rId9" name="TIButton2"/>
      </mc:Fallback>
    </mc:AlternateContent>
    <mc:AlternateContent xmlns:mc="http://schemas.openxmlformats.org/markup-compatibility/2006">
      <mc:Choice Requires="x14">
        <control shapeId="1107" r:id="rId11" name="TIButton3">
          <controlPr defaultSize="0" print="0" autoLine="0" r:id="rId12">
            <anchor moveWithCells="1" sizeWithCells="1">
              <from>
                <xdr:col>16</xdr:col>
                <xdr:colOff>209550</xdr:colOff>
                <xdr:row>64</xdr:row>
                <xdr:rowOff>0</xdr:rowOff>
              </from>
              <to>
                <xdr:col>17</xdr:col>
                <xdr:colOff>247650</xdr:colOff>
                <xdr:row>64</xdr:row>
                <xdr:rowOff>247650</xdr:rowOff>
              </to>
            </anchor>
          </controlPr>
        </control>
      </mc:Choice>
      <mc:Fallback>
        <control shapeId="1107" r:id="rId11" name="TIButton3"/>
      </mc:Fallback>
    </mc:AlternateContent>
    <mc:AlternateContent xmlns:mc="http://schemas.openxmlformats.org/markup-compatibility/2006">
      <mc:Choice Requires="x14">
        <control shapeId="1108" r:id="rId13" name="TIButton4">
          <controlPr defaultSize="0" print="0" autoLine="0" r:id="rId14">
            <anchor moveWithCells="1" sizeWithCells="1">
              <from>
                <xdr:col>20</xdr:col>
                <xdr:colOff>323850</xdr:colOff>
                <xdr:row>64</xdr:row>
                <xdr:rowOff>0</xdr:rowOff>
              </from>
              <to>
                <xdr:col>20</xdr:col>
                <xdr:colOff>1114425</xdr:colOff>
                <xdr:row>64</xdr:row>
                <xdr:rowOff>247650</xdr:rowOff>
              </to>
            </anchor>
          </controlPr>
        </control>
      </mc:Choice>
      <mc:Fallback>
        <control shapeId="1108" r:id="rId13" name="TIButton4"/>
      </mc:Fallback>
    </mc:AlternateContent>
    <mc:AlternateContent xmlns:mc="http://schemas.openxmlformats.org/markup-compatibility/2006">
      <mc:Choice Requires="x14">
        <control shapeId="1109" r:id="rId15" name="TIButton5">
          <controlPr defaultSize="0" print="0" autoLine="0" r:id="rId16">
            <anchor moveWithCells="1" sizeWithCells="1">
              <from>
                <xdr:col>19</xdr:col>
                <xdr:colOff>2466975</xdr:colOff>
                <xdr:row>64</xdr:row>
                <xdr:rowOff>0</xdr:rowOff>
              </from>
              <to>
                <xdr:col>20</xdr:col>
                <xdr:colOff>295275</xdr:colOff>
                <xdr:row>64</xdr:row>
                <xdr:rowOff>247650</xdr:rowOff>
              </to>
            </anchor>
          </controlPr>
        </control>
      </mc:Choice>
      <mc:Fallback>
        <control shapeId="1109" r:id="rId15" name="TIButton5"/>
      </mc:Fallback>
    </mc:AlternateContent>
    <mc:AlternateContent xmlns:mc="http://schemas.openxmlformats.org/markup-compatibility/2006">
      <mc:Choice Requires="x14">
        <control shapeId="1110" r:id="rId17" name="TIButton6">
          <controlPr defaultSize="0" print="0" autoLine="0" r:id="rId18">
            <anchor moveWithCells="1" sizeWithCells="1">
              <from>
                <xdr:col>17</xdr:col>
                <xdr:colOff>257175</xdr:colOff>
                <xdr:row>64</xdr:row>
                <xdr:rowOff>0</xdr:rowOff>
              </from>
              <to>
                <xdr:col>19</xdr:col>
                <xdr:colOff>857250</xdr:colOff>
                <xdr:row>64</xdr:row>
                <xdr:rowOff>247650</xdr:rowOff>
              </to>
            </anchor>
          </controlPr>
        </control>
      </mc:Choice>
      <mc:Fallback>
        <control shapeId="1110" r:id="rId17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38</vt:i4>
      </vt:variant>
    </vt:vector>
  </HeadingPairs>
  <TitlesOfParts>
    <vt:vector size="39" baseType="lpstr">
      <vt:lpstr>report</vt:lpstr>
      <vt:lpstr>db_name</vt:lpstr>
      <vt:lpstr>Freeze_here</vt:lpstr>
      <vt:lpstr>TM1GrpViewAdj01HeaderCAP</vt:lpstr>
      <vt:lpstr>TM1GrpViewAdj01HeaderWB</vt:lpstr>
      <vt:lpstr>TM1GrpViewAdj01HeaderWS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TM1HomeRepAdditionalCAP</vt:lpstr>
      <vt:lpstr>TM1HomeRepAdditionalWB</vt:lpstr>
      <vt:lpstr>TM1HomeRepAdditionalWS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TM1OthRprTBalCAP</vt:lpstr>
      <vt:lpstr>TM1OthRprTBalWB</vt:lpstr>
      <vt:lpstr>TM1OthRprTBalWS</vt:lpstr>
      <vt:lpstr>TM1OthRprTxnByReasonCAP</vt:lpstr>
      <vt:lpstr>TM1OthRprTxnByReasonWB</vt:lpstr>
      <vt:lpstr>TM1OthRprTxnByReasonWS</vt:lpstr>
      <vt:lpstr>report!TM1RPTDATARNG1</vt:lpstr>
      <vt:lpstr>report!TM1RPTFMTIDCOL</vt:lpstr>
      <vt:lpstr>report!TM1RPTFMTRNG</vt:lpstr>
      <vt:lpstr>TM1ViewAdj01HeaderCAP</vt:lpstr>
      <vt:lpstr>TM1ViewAdj01HeaderWB</vt:lpstr>
      <vt:lpstr>TM1ViewAdj01HeaderWS</vt:lpstr>
    </vt:vector>
  </TitlesOfParts>
  <Company>Australian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William - Secure</dc:creator>
  <cp:lastModifiedBy>Xin HE</cp:lastModifiedBy>
  <dcterms:created xsi:type="dcterms:W3CDTF">2019-07-26T01:31:42Z</dcterms:created>
  <dcterms:modified xsi:type="dcterms:W3CDTF">2025-08-05T04:27:00Z</dcterms:modified>
</cp:coreProperties>
</file>