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6.bin" ContentType="application/vnd.ms-office.activeX"/>
  <Override PartName="/xl/activeX/activeX9.xml" ContentType="application/vnd.ms-office.activeX+xml"/>
  <Override PartName="/xl/activeX/activeX7.bin" ContentType="application/vnd.ms-office.activeX"/>
  <Override PartName="/xl/activeX/activeX10.xml" ContentType="application/vnd.ms-office.activeX+xml"/>
  <Override PartName="/xl/activeX/activeX8.bin" ContentType="application/vnd.ms-office.activeX"/>
  <Override PartName="/xl/activeX/activeX11.xml" ContentType="application/vnd.ms-office.activeX+xml"/>
  <Override PartName="/xl/activeX/activeX9.bin" ContentType="application/vnd.ms-office.activeX"/>
  <Override PartName="/xl/activeX/activeX12.xml" ContentType="application/vnd.ms-office.activeX+xml"/>
  <Override PartName="/xl/activeX/activeX10.bin" ContentType="application/vnd.ms-office.activeX"/>
  <Override PartName="/xl/activeX/activeX13.xml" ContentType="application/vnd.ms-office.activeX+xml"/>
  <Override PartName="/xl/activeX/activeX1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8CB4F20-4999-472A-A52D-F91AF2869417}" xr6:coauthVersionLast="47" xr6:coauthVersionMax="47" xr10:uidLastSave="{00000000-0000-0000-0000-000000000000}"/>
  <bookViews>
    <workbookView xWindow="29580" yWindow="780" windowWidth="21600" windowHeight="11385" xr2:uid="{A5D06079-B4A0-4AF0-8F6E-CC76C458C682}"/>
  </bookViews>
  <sheets>
    <sheet name="fe3 calculation" sheetId="1" r:id="rId1"/>
    <sheet name="{PL}PickLst" sheetId="2" state="hidden" r:id="rId2"/>
  </sheets>
  <definedNames>
    <definedName name="db_name">'fe3 calculation'!$C$12</definedName>
    <definedName name="Freeze_here">'fe3 calculation'!$A$80</definedName>
    <definedName name="psAdjType">'fe3 calculation'!$C$59</definedName>
    <definedName name="psApp">'fe3 calculation'!$C$26</definedName>
    <definedName name="psCreateAdjByMeasures">'fe3 calculation'!$U$73</definedName>
    <definedName name="psFE2Year">'fe3 calculation'!$U$71</definedName>
    <definedName name="psFE3Year">'fe3 calculation'!$U$72</definedName>
    <definedName name="psHLYear">'fe3 calculation'!$C$21</definedName>
    <definedName name="psProg">'fe3 calculation'!$M$71</definedName>
    <definedName name="psScenario">'fe3 calculation'!$C$22</definedName>
    <definedName name="psUser">'fe3 calculation'!$C$14</definedName>
    <definedName name="TM1AdjIDListCAP">'fe3 calculation'!$D$31</definedName>
    <definedName name="TM1AdjIDListWB">'fe3 calculation'!$F$31</definedName>
    <definedName name="TM1AdjIDListWS">'fe3 calculation'!$H$31</definedName>
    <definedName name="TM1EDCAP">'fe3 calculation'!$D$35</definedName>
    <definedName name="TM1EDWB">'fe3 calculation'!$F$35</definedName>
    <definedName name="TM1EDWS">'fe3 calculation'!$H$35</definedName>
    <definedName name="TM1FE3CAP">'fe3 calculation'!$D$32</definedName>
    <definedName name="TM1FE3DetCAP">'fe3 calculation'!$D$33</definedName>
    <definedName name="TM1FE3DetWB">'fe3 calculation'!$F$33</definedName>
    <definedName name="TM1FE3DetWS">'fe3 calculation'!$H$33</definedName>
    <definedName name="TM1FE3RecoCAP">'fe3 calculation'!$D$34</definedName>
    <definedName name="TM1FE3RecoWB">'fe3 calculation'!$F$34</definedName>
    <definedName name="TM1FE3RecoWS">'fe3 calculation'!$H$34</definedName>
    <definedName name="TM1FE3WB">'fe3 calculation'!$F$32</definedName>
    <definedName name="TM1FE3WS">'fe3 calculation'!$H$32</definedName>
    <definedName name="TM1HomeAECAP">'fe3 calculation'!$D$29</definedName>
    <definedName name="TM1HomeAEDataEntryCAP">'fe3 calculation'!$D$30</definedName>
    <definedName name="TM1HomeAEDataEntryWB">'fe3 calculation'!$F$30</definedName>
    <definedName name="TM1HomeAEDataEntryWS">'fe3 calculation'!$H$30</definedName>
    <definedName name="TM1HomeAEWB">'fe3 calculation'!$F$29</definedName>
    <definedName name="TM1HomeAEWS">'fe3 calculation'!$H$29</definedName>
    <definedName name="TM1HomeCAP">'fe3 calculation'!$D$28</definedName>
    <definedName name="TM1HomeWB">'fe3 calculation'!$F$28</definedName>
    <definedName name="TM1HomeWS">'fe3 calculation'!$H$28</definedName>
    <definedName name="TM1IndexCAP">'fe3 calculation'!$D$36</definedName>
    <definedName name="TM1IndexFE3MapCAP">'fe3 calculation'!$D$39</definedName>
    <definedName name="TM1IndexFE3MapWB">'fe3 calculation'!$F$39</definedName>
    <definedName name="TM1IndexFE3MapWS">'fe3 calculation'!$H$39</definedName>
    <definedName name="TM1IndexFinCAP">'fe3 calculation'!$D$37</definedName>
    <definedName name="TM1IndexFinDCBCAP">'fe3 calculation'!$D$38</definedName>
    <definedName name="TM1IndexFinDCBWB">'fe3 calculation'!$F$38</definedName>
    <definedName name="TM1IndexFinDCBWS">'fe3 calculation'!$H$38</definedName>
    <definedName name="TM1IndexFinSubsetCAP">'fe3 calculation'!$D$40</definedName>
    <definedName name="TM1IndexFinSubsetWB">'fe3 calculation'!$F$40</definedName>
    <definedName name="TM1IndexFinSubsetWS">'fe3 calculation'!$H$40</definedName>
    <definedName name="TM1IndexFinWB">'fe3 calculation'!$F$37</definedName>
    <definedName name="TM1IndexFinWS">'fe3 calculation'!$H$37</definedName>
    <definedName name="TM1IndexWB">'fe3 calculation'!$F$36</definedName>
    <definedName name="TM1IndexWS">'fe3 calculation'!$H$36</definedName>
    <definedName name="TM1REBUILDOPTION">0</definedName>
    <definedName name="TM1RPTDATARNG1" localSheetId="0">'fe3 calculation'!$80:$80</definedName>
    <definedName name="TM1RPTFMTIDCOL" localSheetId="0">'fe3 calculation'!$A$1:$A$8</definedName>
    <definedName name="TM1RPTFMTRNG" localSheetId="0">'fe3 calculation'!$B$1:$AW$8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U28" i="1"/>
  <c r="M73" i="1"/>
  <c r="E48" i="1"/>
  <c r="C48" i="1"/>
  <c r="D80" i="1"/>
  <c r="M72" i="1"/>
  <c r="E47" i="1"/>
  <c r="C47" i="1"/>
  <c r="C80" i="1"/>
  <c r="M71" i="1"/>
  <c r="E46" i="1"/>
  <c r="C46" i="1"/>
  <c r="B80" i="1"/>
  <c r="M74" i="1"/>
  <c r="C20" i="1"/>
  <c r="C21" i="1"/>
  <c r="C22" i="1"/>
  <c r="C58" i="1"/>
  <c r="C57" i="1"/>
  <c r="C54" i="1"/>
  <c r="C53" i="1"/>
  <c r="C52" i="1"/>
  <c r="C51" i="1"/>
  <c r="C50" i="1"/>
  <c r="C14" i="1"/>
  <c r="C49" i="1"/>
  <c r="C44" i="1"/>
  <c r="C25" i="1"/>
  <c r="L43" i="1"/>
  <c r="AV43" i="1"/>
  <c r="AV46" i="1"/>
  <c r="AU43" i="1"/>
  <c r="AU46" i="1"/>
  <c r="AT43" i="1"/>
  <c r="AT46" i="1"/>
  <c r="AS43" i="1"/>
  <c r="AS46" i="1"/>
  <c r="AR43" i="1"/>
  <c r="AR46" i="1"/>
  <c r="AP43" i="1"/>
  <c r="AP46" i="1"/>
  <c r="AO43" i="1"/>
  <c r="AO46" i="1"/>
  <c r="AN43" i="1"/>
  <c r="AN46" i="1"/>
  <c r="AM43" i="1"/>
  <c r="AM46" i="1"/>
  <c r="AL43" i="1"/>
  <c r="AL46" i="1"/>
  <c r="U43" i="1"/>
  <c r="U46" i="1"/>
  <c r="AA43" i="1"/>
  <c r="AA46" i="1"/>
  <c r="AI43" i="1"/>
  <c r="AI46" i="1"/>
  <c r="AH43" i="1"/>
  <c r="AH46" i="1"/>
  <c r="AG43" i="1"/>
  <c r="AG46" i="1"/>
  <c r="AF43" i="1"/>
  <c r="AF46" i="1"/>
  <c r="AD43" i="1"/>
  <c r="AD46" i="1"/>
  <c r="AC43" i="1"/>
  <c r="AC46" i="1"/>
  <c r="Z43" i="1"/>
  <c r="Z46" i="1"/>
  <c r="Y43" i="1"/>
  <c r="Y46" i="1"/>
  <c r="X43" i="1"/>
  <c r="X46" i="1"/>
  <c r="W43" i="1"/>
  <c r="W46" i="1"/>
  <c r="T43" i="1"/>
  <c r="T46" i="1"/>
  <c r="S43" i="1"/>
  <c r="S46" i="1"/>
  <c r="R43" i="1"/>
  <c r="R46" i="1"/>
  <c r="Q43" i="1"/>
  <c r="Q46" i="1"/>
  <c r="U80" i="1"/>
  <c r="AA80" i="1"/>
  <c r="AJ80" i="1"/>
  <c r="AJ43" i="1"/>
  <c r="AJ46" i="1"/>
  <c r="AJ42" i="1"/>
  <c r="AJ79" i="1"/>
  <c r="AI80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AV80" i="1"/>
  <c r="AU80" i="1"/>
  <c r="AT80" i="1"/>
  <c r="AS80" i="1"/>
  <c r="AR80" i="1"/>
  <c r="AP80" i="1"/>
  <c r="AO80" i="1"/>
  <c r="AN80" i="1"/>
  <c r="AM80" i="1"/>
  <c r="AL80" i="1"/>
  <c r="AH80" i="1"/>
  <c r="AG80" i="1"/>
  <c r="AF80" i="1"/>
  <c r="AD80" i="1"/>
  <c r="AC80" i="1"/>
  <c r="Z80" i="1"/>
  <c r="Y80" i="1"/>
  <c r="X80" i="1"/>
  <c r="W80" i="1"/>
  <c r="T80" i="1"/>
  <c r="S80" i="1"/>
  <c r="R80" i="1"/>
  <c r="Q80" i="1"/>
  <c r="U73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O80" i="1"/>
  <c r="N80" i="1"/>
  <c r="M80" i="1"/>
  <c r="L80" i="1"/>
  <c r="K80" i="1"/>
  <c r="AD79" i="1"/>
  <c r="AC79" i="1"/>
  <c r="AI42" i="1"/>
  <c r="AH42" i="1"/>
  <c r="AH77" i="1"/>
  <c r="AG42" i="1"/>
  <c r="AG77" i="1"/>
  <c r="AF42" i="1"/>
  <c r="AF77" i="1"/>
  <c r="AH79" i="1"/>
  <c r="AG79" i="1"/>
  <c r="AF79" i="1"/>
  <c r="U72" i="1"/>
  <c r="U51" i="1"/>
  <c r="U71" i="1"/>
  <c r="U50" i="1"/>
  <c r="U52" i="1"/>
  <c r="W72" i="1"/>
  <c r="C13" i="1"/>
  <c r="C15" i="1"/>
  <c r="D46" i="1"/>
  <c r="AI79" i="1"/>
  <c r="AV79" i="1"/>
  <c r="AU79" i="1"/>
  <c r="AT79" i="1"/>
  <c r="AS79" i="1"/>
  <c r="AR79" i="1"/>
  <c r="AP79" i="1"/>
  <c r="AO79" i="1"/>
  <c r="AN79" i="1"/>
  <c r="AM79" i="1"/>
  <c r="AL79" i="1"/>
  <c r="AA79" i="1"/>
  <c r="Z79" i="1"/>
  <c r="Y79" i="1"/>
  <c r="X79" i="1"/>
  <c r="W79" i="1"/>
  <c r="U79" i="1"/>
  <c r="T79" i="1"/>
  <c r="S79" i="1"/>
  <c r="R79" i="1"/>
  <c r="Q79" i="1"/>
  <c r="A80" i="1"/>
  <c r="J80" i="1"/>
  <c r="D47" i="1"/>
  <c r="D48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C17" i="1"/>
  <c r="C16" i="1"/>
  <c r="A5" i="1"/>
  <c r="A4" i="1"/>
  <c r="A3" i="1"/>
  <c r="A2" i="1"/>
</calcChain>
</file>

<file path=xl/sharedStrings.xml><?xml version="1.0" encoding="utf-8"?>
<sst xmlns="http://schemas.openxmlformats.org/spreadsheetml/2006/main" count="170" uniqueCount="127">
  <si>
    <t>}Clients</t>
  </si>
  <si>
    <t>spp</t>
  </si>
  <si>
    <t>related entity</t>
  </si>
  <si>
    <t>jurisdiction</t>
  </si>
  <si>
    <t>appropriation item</t>
  </si>
  <si>
    <t>id</t>
  </si>
  <si>
    <t>Total efficiency dividend adjustment value</t>
  </si>
  <si>
    <t>Total FE3 adjustment value</t>
  </si>
  <si>
    <t>D</t>
  </si>
  <si>
    <t>N</t>
  </si>
  <si>
    <t>[Begin Format Range]</t>
  </si>
  <si>
    <t>[End Format Range]</t>
  </si>
  <si>
    <t>Database Variables</t>
  </si>
  <si>
    <t>Database Name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</si>
  <si>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</si>
  <si>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</si>
  <si>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</si>
  <si>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</si>
  <si>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</si>
  <si>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</si>
  <si>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</si>
  <si>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</si>
  <si>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AE Parameters and FE3 Calculation</t>
  </si>
  <si>
    <t>Active Form View</t>
  </si>
  <si>
    <t>Slice View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</si>
  <si>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</si>
  <si>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</si>
  <si>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</si>
  <si>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</si>
  <si>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</si>
  <si>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</si>
  <si>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</si>
  <si>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</si>
  <si>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</si>
  <si>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</si>
  <si>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</si>
  <si>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</si>
  <si>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</si>
  <si>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</si>
  <si>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Adjustment - Generate FE3</t>
  </si>
  <si>
    <t>Period</t>
  </si>
  <si>
    <t>To Use</t>
  </si>
  <si>
    <t>Index</t>
  </si>
  <si>
    <t>Programme MDX</t>
  </si>
  <si>
    <t>Account MDX</t>
  </si>
  <si>
    <t>Movement Account MDX</t>
  </si>
  <si>
    <t>REPORT PARAMETERS</t>
  </si>
  <si>
    <t xml:space="preserve">Account : </t>
  </si>
  <si>
    <t xml:space="preserve">Movement Account : </t>
  </si>
  <si>
    <t xml:space="preserve">Program : </t>
  </si>
  <si>
    <t xml:space="preserve"> DISPLAY SETTINGS</t>
  </si>
  <si>
    <t>Report Display :</t>
  </si>
  <si>
    <t>Collapse</t>
  </si>
  <si>
    <t>Expand</t>
  </si>
  <si>
    <t>Total adjustment value</t>
  </si>
  <si>
    <t>original value</t>
  </si>
  <si>
    <t>A</t>
  </si>
  <si>
    <t>B</t>
  </si>
  <si>
    <t>C</t>
  </si>
  <si>
    <t>E</t>
  </si>
  <si>
    <t>F</t>
  </si>
  <si>
    <t>Program</t>
  </si>
  <si>
    <t xml:space="preserve">Measure Code : </t>
  </si>
  <si>
    <t>FE2 Period :</t>
  </si>
  <si>
    <t>FE3 Period :</t>
  </si>
  <si>
    <t>FE3 PARAMETERS</t>
  </si>
  <si>
    <t>FE2 Period Index</t>
  </si>
  <si>
    <t>FE3 Period Index</t>
  </si>
  <si>
    <t>step 1 value</t>
  </si>
  <si>
    <t>step 2 value</t>
  </si>
  <si>
    <t>step 3 value</t>
  </si>
  <si>
    <t>RB</t>
  </si>
  <si>
    <t>FE1</t>
  </si>
  <si>
    <t>FE2</t>
  </si>
  <si>
    <t>FE3</t>
  </si>
  <si>
    <t>NB</t>
  </si>
  <si>
    <t>STEP 1</t>
  </si>
  <si>
    <t>STEP 2</t>
  </si>
  <si>
    <t>STEP 3</t>
  </si>
  <si>
    <t>Current Annual Estimates Data (Excluding Parameters, ED and FE3)</t>
  </si>
  <si>
    <t>FE3 Calculation value</t>
  </si>
  <si>
    <t>Updated Base Data Including Parameters and ED Used For FE3 Calculation</t>
  </si>
  <si>
    <t>Cube Views</t>
  </si>
  <si>
    <t>}Element Attributes Measure Code View</t>
  </si>
  <si>
    <t>Programme Details View</t>
  </si>
  <si>
    <t>parameters</t>
  </si>
  <si>
    <t>parameter</t>
  </si>
  <si>
    <t>efficiency dividend</t>
  </si>
  <si>
    <t>Parameters Calculation (A)</t>
  </si>
  <si>
    <t>Efficiency Dividend Calculation (B)</t>
  </si>
  <si>
    <t>Total Calculated Adjustments (A + B + FE3 Calculation)</t>
  </si>
  <si>
    <t>Parameter</t>
  </si>
  <si>
    <t>ED</t>
  </si>
  <si>
    <t>Generate FE3</t>
  </si>
  <si>
    <t>Generate FE3 (Y)</t>
  </si>
  <si>
    <t>FE3 Generated By</t>
  </si>
  <si>
    <t>FE3 Generated Date</t>
  </si>
  <si>
    <t>Note :  Indexation system calculation are based on Appropriations Only.</t>
  </si>
  <si>
    <t>OBSI</t>
  </si>
  <si>
    <t>WCI1</t>
  </si>
  <si>
    <t>WCI2</t>
  </si>
  <si>
    <t>WCI3</t>
  </si>
  <si>
    <t>WCI4</t>
  </si>
  <si>
    <t>WCI5</t>
  </si>
  <si>
    <t>WCI6</t>
  </si>
  <si>
    <t>WCI7</t>
  </si>
  <si>
    <t>WCI8</t>
  </si>
  <si>
    <t>WCI9</t>
  </si>
  <si>
    <t>manual</t>
  </si>
  <si>
    <t>FE3 Summary Calculation</t>
  </si>
  <si>
    <t>Adjustment - Generate FE3 Detail</t>
  </si>
  <si>
    <t>Adjustment - Generate FE3 Reconciliation</t>
  </si>
  <si>
    <t>Create Adj By Measures? :</t>
  </si>
  <si>
    <t>Adjustment - Generate ED</t>
  </si>
  <si>
    <t>Adjustment - Generate Indexation</t>
  </si>
  <si>
    <t>Adjustment - Indexation Finance Workbook</t>
  </si>
  <si>
    <t>Adjustment - Indexation Finance DCB Workbook</t>
  </si>
  <si>
    <t>Y</t>
  </si>
  <si>
    <t>Adjustment - Indexation and FE3 Navigational Map</t>
  </si>
  <si>
    <t>Adjustment - Indexation Generate Subset</t>
  </si>
  <si>
    <t>SYSTEM FE3 ADJ</t>
  </si>
  <si>
    <t>FE3  BALANCE</t>
  </si>
  <si>
    <t>Total FE3 Balance (Base + New Adj)</t>
  </si>
  <si>
    <t>Total parameter adjustment value</t>
  </si>
  <si>
    <t>psAdjType</t>
  </si>
  <si>
    <t>TM1AdjIDListWS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</si>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</sst>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 &quot;@"/>
    <numFmt numFmtId="165" formatCode="&quot;- &quot;@"/>
    <numFmt numFmtId="166" formatCode="_(* #,##0_);[Red]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C5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426A"/>
      </left>
      <right style="medium">
        <color rgb="FF00426A"/>
      </right>
      <top style="medium">
        <color rgb="FF00426A"/>
      </top>
      <bottom style="medium">
        <color rgb="FF00426A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2" fillId="2" borderId="1" xfId="0" applyFont="1" applyFill="1" applyBorder="1"/>
    <xf numFmtId="0" fontId="2" fillId="2" borderId="6" xfId="0" applyFont="1" applyFill="1" applyBorder="1"/>
    <xf numFmtId="0" fontId="4" fillId="3" borderId="0" xfId="0" applyFont="1" applyFill="1" applyAlignment="1">
      <alignment horizontal="center"/>
    </xf>
    <xf numFmtId="0" fontId="0" fillId="2" borderId="5" xfId="0" applyFill="1" applyBorder="1"/>
    <xf numFmtId="0" fontId="2" fillId="0" borderId="0" xfId="0" applyFont="1" applyAlignment="1">
      <alignment horizontal="right" indent="1"/>
    </xf>
    <xf numFmtId="0" fontId="1" fillId="4" borderId="7" xfId="0" applyFont="1" applyFill="1" applyBorder="1"/>
    <xf numFmtId="0" fontId="0" fillId="5" borderId="8" xfId="0" applyFill="1" applyBorder="1" applyAlignment="1" applyProtection="1">
      <alignment horizontal="center" vertical="center"/>
      <protection locked="0"/>
    </xf>
    <xf numFmtId="0" fontId="0" fillId="2" borderId="0" xfId="0" applyFill="1"/>
    <xf numFmtId="166" fontId="3" fillId="0" borderId="5" xfId="0" applyNumberFormat="1" applyFont="1" applyBorder="1"/>
    <xf numFmtId="0" fontId="1" fillId="6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left" indent="3"/>
    </xf>
    <xf numFmtId="166" fontId="3" fillId="7" borderId="5" xfId="0" applyNumberFormat="1" applyFont="1" applyFill="1" applyBorder="1"/>
    <xf numFmtId="0" fontId="2" fillId="3" borderId="6" xfId="0" applyFont="1" applyFill="1" applyBorder="1" applyAlignment="1">
      <alignment horizontal="center"/>
    </xf>
    <xf numFmtId="164" fontId="0" fillId="0" borderId="5" xfId="0" applyNumberFormat="1" applyBorder="1"/>
    <xf numFmtId="166" fontId="5" fillId="7" borderId="5" xfId="0" applyNumberFormat="1" applyFont="1" applyFill="1" applyBorder="1"/>
    <xf numFmtId="0" fontId="6" fillId="6" borderId="0" xfId="0" applyFont="1" applyFill="1" applyAlignment="1">
      <alignment horizontal="right" vertical="center"/>
    </xf>
    <xf numFmtId="0" fontId="5" fillId="7" borderId="5" xfId="0" applyFont="1" applyFill="1" applyBorder="1"/>
    <xf numFmtId="0" fontId="5" fillId="7" borderId="5" xfId="0" applyFont="1" applyFill="1" applyBorder="1" applyAlignment="1">
      <alignment horizontal="left" indent="1"/>
    </xf>
    <xf numFmtId="0" fontId="5" fillId="7" borderId="5" xfId="0" applyFont="1" applyFill="1" applyBorder="1" applyAlignment="1">
      <alignment horizontal="left" indent="2"/>
    </xf>
    <xf numFmtId="0" fontId="5" fillId="7" borderId="5" xfId="0" applyFont="1" applyFill="1" applyBorder="1" applyAlignment="1">
      <alignment horizontal="left" indent="3"/>
    </xf>
    <xf numFmtId="0" fontId="0" fillId="0" borderId="5" xfId="0" applyBorder="1" applyAlignment="1">
      <alignment horizontal="left" indent="1"/>
    </xf>
    <xf numFmtId="0" fontId="8" fillId="0" borderId="0" xfId="0" applyFont="1"/>
    <xf numFmtId="0" fontId="1" fillId="8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5" fillId="7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1" fillId="0" borderId="0" xfId="0" applyFont="1"/>
    <xf numFmtId="0" fontId="7" fillId="0" borderId="0" xfId="0" applyFont="1"/>
    <xf numFmtId="0" fontId="5" fillId="7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165" fontId="0" fillId="0" borderId="5" xfId="0" applyNumberFormat="1" applyBorder="1"/>
    <xf numFmtId="166" fontId="5" fillId="12" borderId="5" xfId="0" applyNumberFormat="1" applyFont="1" applyFill="1" applyBorder="1"/>
    <xf numFmtId="166" fontId="3" fillId="12" borderId="5" xfId="0" applyNumberFormat="1" applyFont="1" applyFill="1" applyBorder="1"/>
    <xf numFmtId="0" fontId="5" fillId="11" borderId="16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5" xfId="0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 indent="1"/>
    </xf>
    <xf numFmtId="0" fontId="10" fillId="2" borderId="5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FFFF99"/>
      <color rgb="FF006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693"/>
  <ax:ocxPr ax:name="_ExtentY" ax:value="582"/>
  <ax:ocxPr ax:name="_StockProps" ax:value="0"/>
  <ax:ocxPr ax:name="ServerName" ax:value="=db_name"/>
  <ax:ocxPr ax:name="ProcessName" ax:value="sys_AE Generate FE3 Adj 99 - Clear Flags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lag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e-calculate Parameters and FE3?"/>
  <ax:ocxPr ax:name="SuccessMessage" ax:value="Flags has been cleared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96"/>
  <ax:ocxPr ax:name="_ExtentY" ax:value="582"/>
  <ax:ocxPr ax:name="_StockProps" ax:value="0"/>
  <ax:ocxPr ax:name="ServerName" ax:value="=db_name"/>
  <ax:ocxPr ax:name="ProcessName" ax:value="sys_AE Generate FE3 Adj 98 - Populate Flags"/>
  <ax:ocxPr ax:name="Name" ax:value="psProg"/>
  <ax:ocxPr ax:name="Type" ax:value="0"/>
  <ax:ocxPr ax:name="Value" ax:value="=psProg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Populate Flag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e-calculate Parameters and FE3?"/>
  <ax:ocxPr ax:name="SuccessMessage" ax:value="Flags has been popuated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.emf"/><Relationship Id="rId3" Type="http://schemas.openxmlformats.org/officeDocument/2006/relationships/image" Target="../media/image9.emf"/><Relationship Id="rId7" Type="http://schemas.openxmlformats.org/officeDocument/2006/relationships/image" Target="../media/image6.emf"/><Relationship Id="rId12" Type="http://schemas.openxmlformats.org/officeDocument/2006/relationships/image" Target="../media/image2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Relationship Id="rId6" Type="http://schemas.openxmlformats.org/officeDocument/2006/relationships/image" Target="../media/image7.emf"/><Relationship Id="rId11" Type="http://schemas.openxmlformats.org/officeDocument/2006/relationships/image" Target="../media/image13.emf"/><Relationship Id="rId5" Type="http://schemas.openxmlformats.org/officeDocument/2006/relationships/image" Target="../media/image8.emf"/><Relationship Id="rId10" Type="http://schemas.openxmlformats.org/officeDocument/2006/relationships/image" Target="../media/image3.emf"/><Relationship Id="rId4" Type="http://schemas.openxmlformats.org/officeDocument/2006/relationships/image" Target="../media/image12.emf"/><Relationship Id="rId9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64</xdr:row>
      <xdr:rowOff>9525</xdr:rowOff>
    </xdr:from>
    <xdr:to>
      <xdr:col>9</xdr:col>
      <xdr:colOff>1773555</xdr:colOff>
      <xdr:row>64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47625</xdr:colOff>
          <xdr:row>66</xdr:row>
          <xdr:rowOff>9525</xdr:rowOff>
        </xdr:from>
        <xdr:to>
          <xdr:col>9</xdr:col>
          <xdr:colOff>619125</xdr:colOff>
          <xdr:row>66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733425</xdr:colOff>
          <xdr:row>65</xdr:row>
          <xdr:rowOff>47625</xdr:rowOff>
        </xdr:from>
        <xdr:to>
          <xdr:col>19</xdr:col>
          <xdr:colOff>447675</xdr:colOff>
          <xdr:row>66</xdr:row>
          <xdr:rowOff>238125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1714500</xdr:colOff>
          <xdr:row>66</xdr:row>
          <xdr:rowOff>9525</xdr:rowOff>
        </xdr:from>
        <xdr:to>
          <xdr:col>9</xdr:col>
          <xdr:colOff>2343150</xdr:colOff>
          <xdr:row>66</xdr:row>
          <xdr:rowOff>257175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514350</xdr:colOff>
          <xdr:row>65</xdr:row>
          <xdr:rowOff>28575</xdr:rowOff>
        </xdr:from>
        <xdr:to>
          <xdr:col>26</xdr:col>
          <xdr:colOff>695325</xdr:colOff>
          <xdr:row>66</xdr:row>
          <xdr:rowOff>152400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400050</xdr:colOff>
          <xdr:row>66</xdr:row>
          <xdr:rowOff>0</xdr:rowOff>
        </xdr:from>
        <xdr:to>
          <xdr:col>14</xdr:col>
          <xdr:colOff>409575</xdr:colOff>
          <xdr:row>66</xdr:row>
          <xdr:rowOff>247650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238125</xdr:colOff>
          <xdr:row>66</xdr:row>
          <xdr:rowOff>9525</xdr:rowOff>
        </xdr:from>
        <xdr:to>
          <xdr:col>12</xdr:col>
          <xdr:colOff>352425</xdr:colOff>
          <xdr:row>66</xdr:row>
          <xdr:rowOff>257175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381000</xdr:colOff>
          <xdr:row>66</xdr:row>
          <xdr:rowOff>9525</xdr:rowOff>
        </xdr:from>
        <xdr:to>
          <xdr:col>13</xdr:col>
          <xdr:colOff>361950</xdr:colOff>
          <xdr:row>66</xdr:row>
          <xdr:rowOff>257175</xdr:rowOff>
        </xdr:to>
        <xdr:sp macro="" textlink="">
          <xdr:nvSpPr>
            <xdr:cNvPr id="1033" name="TIButton8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3305175</xdr:colOff>
          <xdr:row>66</xdr:row>
          <xdr:rowOff>19050</xdr:rowOff>
        </xdr:from>
        <xdr:to>
          <xdr:col>11</xdr:col>
          <xdr:colOff>200025</xdr:colOff>
          <xdr:row>66</xdr:row>
          <xdr:rowOff>266700</xdr:rowOff>
        </xdr:to>
        <xdr:sp macro="" textlink="">
          <xdr:nvSpPr>
            <xdr:cNvPr id="1034" name="TIButton9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438150</xdr:colOff>
          <xdr:row>65</xdr:row>
          <xdr:rowOff>47625</xdr:rowOff>
        </xdr:from>
        <xdr:to>
          <xdr:col>16</xdr:col>
          <xdr:colOff>619125</xdr:colOff>
          <xdr:row>66</xdr:row>
          <xdr:rowOff>238125</xdr:rowOff>
        </xdr:to>
        <xdr:sp macro="" textlink="">
          <xdr:nvSpPr>
            <xdr:cNvPr id="1035" name="TIButton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647700</xdr:colOff>
          <xdr:row>65</xdr:row>
          <xdr:rowOff>47625</xdr:rowOff>
        </xdr:from>
        <xdr:to>
          <xdr:col>17</xdr:col>
          <xdr:colOff>542925</xdr:colOff>
          <xdr:row>66</xdr:row>
          <xdr:rowOff>238125</xdr:rowOff>
        </xdr:to>
        <xdr:sp macro="" textlink="">
          <xdr:nvSpPr>
            <xdr:cNvPr id="1036" name="TIButton1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581025</xdr:colOff>
          <xdr:row>65</xdr:row>
          <xdr:rowOff>47625</xdr:rowOff>
        </xdr:from>
        <xdr:to>
          <xdr:col>18</xdr:col>
          <xdr:colOff>704850</xdr:colOff>
          <xdr:row>66</xdr:row>
          <xdr:rowOff>238125</xdr:rowOff>
        </xdr:to>
        <xdr:sp macro="" textlink="">
          <xdr:nvSpPr>
            <xdr:cNvPr id="1037" name="TIButton1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647700</xdr:colOff>
          <xdr:row>66</xdr:row>
          <xdr:rowOff>9525</xdr:rowOff>
        </xdr:from>
        <xdr:to>
          <xdr:col>9</xdr:col>
          <xdr:colOff>1676400</xdr:colOff>
          <xdr:row>66</xdr:row>
          <xdr:rowOff>257175</xdr:rowOff>
        </xdr:to>
        <xdr:sp macro="" textlink="">
          <xdr:nvSpPr>
            <xdr:cNvPr id="1038" name="TIButton13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9</xdr:col>
      <xdr:colOff>0</xdr:colOff>
      <xdr:row>68</xdr:row>
      <xdr:rowOff>47625</xdr:rowOff>
    </xdr:from>
    <xdr:to>
      <xdr:col>10</xdr:col>
      <xdr:colOff>190500</xdr:colOff>
      <xdr:row>77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150" y="933450"/>
          <a:ext cx="3905250" cy="159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0" i="1">
              <a:solidFill>
                <a:srgbClr val="FF0000"/>
              </a:solidFill>
            </a:rPr>
            <a:t>Note  : Click 'FE3 Guidelines'</a:t>
          </a:r>
          <a:r>
            <a:rPr lang="en-AU" sz="1000" b="0" i="1" baseline="0">
              <a:solidFill>
                <a:srgbClr val="FF0000"/>
              </a:solidFill>
            </a:rPr>
            <a:t> for additional help &amp; to update calculation.</a:t>
          </a:r>
          <a:endParaRPr lang="en-AU" sz="1000" b="0" i="1">
            <a:solidFill>
              <a:srgbClr val="FF0000"/>
            </a:solidFill>
          </a:endParaRPr>
        </a:p>
        <a:p>
          <a:r>
            <a:rPr lang="en-AU" sz="1000" b="0" i="1">
              <a:solidFill>
                <a:srgbClr val="FF0000"/>
              </a:solidFill>
            </a:rPr>
            <a:t>STEP</a:t>
          </a:r>
          <a:r>
            <a:rPr lang="en-AU" sz="1000" b="0" i="1" baseline="0">
              <a:solidFill>
                <a:srgbClr val="FF0000"/>
              </a:solidFill>
            </a:rPr>
            <a:t> 1  :  Click 'FE3 Detailed Calculation' to view caculation by Measure.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2 : Flag Program to flag or (POPULATE FLAGS) for FE3 Generation.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3 : Click 'Generate FE3 Adj' to generate FE3 adjustments'</a:t>
          </a:r>
        </a:p>
        <a:p>
          <a:r>
            <a:rPr lang="en-AU" sz="1000" b="0" i="1" baseline="0">
              <a:solidFill>
                <a:srgbClr val="FF0000"/>
              </a:solidFill>
            </a:rPr>
            <a:t>STEP 4 : Will need to do the same for Parameters and/or ED.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5 : Click 'Parameters Reco' to view Dept of Finance worksheet.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2371725</xdr:colOff>
          <xdr:row>66</xdr:row>
          <xdr:rowOff>9525</xdr:rowOff>
        </xdr:from>
        <xdr:to>
          <xdr:col>9</xdr:col>
          <xdr:colOff>3276600</xdr:colOff>
          <xdr:row>66</xdr:row>
          <xdr:rowOff>257175</xdr:rowOff>
        </xdr:to>
        <xdr:sp macro="" textlink="">
          <xdr:nvSpPr>
            <xdr:cNvPr id="1039" name="TIButton4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13C-DDE9-4108-B9E8-A5E2E63807AA}">
  <sheetPr codeName="Sheet1">
    <outlinePr showOutlineSymbols="0"/>
  </sheetPr>
  <dimension ref="A1:AW80"/>
  <sheetViews>
    <sheetView showGridLines="0" showRowColHeaders="0" tabSelected="1" showOutlineSymbols="0" topLeftCell="A65" workbookViewId="0">
      <pane ySplit="15" topLeftCell="A80" activePane="bottomLeft" state="frozen"/>
      <selection activeCell="I65" sqref="I65"/>
      <selection pane="bottomLeft" activeCell="A80" sqref="A80"/>
    </sheetView>
  </sheetViews>
  <sheetFormatPr defaultRowHeight="15" outlineLevelRow="1" outlineLevelCol="1" x14ac:dyDescent="0.25"/>
  <cols>
    <col min="1" max="1" width="2.7109375" hidden="1" customWidth="1" outlineLevel="1"/>
    <col min="2" max="2" width="46" hidden="1" customWidth="1" outlineLevel="1"/>
    <col min="3" max="3" width="18.28515625" hidden="1" customWidth="1" outlineLevel="1"/>
    <col min="4" max="8" width="17.28515625" hidden="1" customWidth="1" outlineLevel="1"/>
    <col min="9" max="9" width="0.85546875" customWidth="1" collapsed="1"/>
    <col min="10" max="10" width="55.7109375" customWidth="1"/>
    <col min="11" max="12" width="11.7109375" customWidth="1"/>
    <col min="13" max="13" width="10.7109375" customWidth="1"/>
    <col min="14" max="15" width="15.7109375" customWidth="1"/>
    <col min="16" max="16" width="0.85546875" customWidth="1"/>
    <col min="17" max="21" width="13.7109375" customWidth="1"/>
    <col min="22" max="22" width="0.85546875" customWidth="1"/>
    <col min="23" max="27" width="13.7109375" customWidth="1"/>
    <col min="28" max="28" width="0.85546875" customWidth="1"/>
    <col min="29" max="30" width="13.7109375" hidden="1" customWidth="1"/>
    <col min="31" max="31" width="0.85546875" hidden="1" customWidth="1"/>
    <col min="32" max="34" width="13.7109375" hidden="1" customWidth="1"/>
    <col min="35" max="35" width="15.7109375" hidden="1" customWidth="1"/>
    <col min="36" max="36" width="15.7109375" customWidth="1"/>
    <col min="37" max="37" width="0.85546875" customWidth="1"/>
    <col min="38" max="42" width="13.7109375" customWidth="1"/>
    <col min="43" max="43" width="0.85546875" customWidth="1"/>
    <col min="44" max="48" width="13.7109375" customWidth="1"/>
    <col min="49" max="49" width="0.85546875" customWidth="1"/>
  </cols>
  <sheetData>
    <row r="1" spans="1:48" ht="15.75" hidden="1" outlineLevel="1" thickBot="1" x14ac:dyDescent="0.3">
      <c r="A1" t="s">
        <v>10</v>
      </c>
    </row>
    <row r="2" spans="1:48" ht="15.75" hidden="1" outlineLevel="1" thickBot="1" x14ac:dyDescent="0.3">
      <c r="A2">
        <f>0</f>
        <v>0</v>
      </c>
      <c r="B2" s="2"/>
      <c r="C2" s="6"/>
      <c r="D2" s="6"/>
      <c r="E2" s="6"/>
      <c r="F2" s="6"/>
      <c r="G2" s="6"/>
      <c r="H2" s="6"/>
      <c r="J2" s="23" t="s">
        <v>56</v>
      </c>
      <c r="K2" s="33"/>
      <c r="L2" s="38"/>
      <c r="M2" s="49"/>
      <c r="N2" s="40"/>
      <c r="O2" s="33"/>
      <c r="Q2" s="21"/>
      <c r="R2" s="21"/>
      <c r="S2" s="21"/>
      <c r="T2" s="21"/>
      <c r="U2" s="21"/>
      <c r="W2" s="21"/>
      <c r="X2" s="21"/>
      <c r="Y2" s="21"/>
      <c r="Z2" s="21"/>
      <c r="AA2" s="21"/>
      <c r="AB2" s="1"/>
      <c r="AC2" s="21"/>
      <c r="AD2" s="21"/>
      <c r="AE2" s="1"/>
      <c r="AF2" s="21"/>
      <c r="AG2" s="21"/>
      <c r="AH2" s="21"/>
      <c r="AI2" s="21"/>
      <c r="AJ2" s="47"/>
      <c r="AK2" s="1"/>
      <c r="AL2" s="21"/>
      <c r="AM2" s="21"/>
      <c r="AN2" s="21"/>
      <c r="AO2" s="21"/>
      <c r="AP2" s="21"/>
      <c r="AQ2" s="1"/>
      <c r="AR2" s="21"/>
      <c r="AS2" s="21"/>
      <c r="AT2" s="21"/>
      <c r="AU2" s="21"/>
      <c r="AV2" s="21"/>
    </row>
    <row r="3" spans="1:48" ht="15.75" hidden="1" outlineLevel="1" thickBot="1" x14ac:dyDescent="0.3">
      <c r="A3">
        <f>1</f>
        <v>1</v>
      </c>
      <c r="B3" s="6"/>
      <c r="C3" s="6"/>
      <c r="D3" s="6"/>
      <c r="E3" s="6"/>
      <c r="F3" s="6"/>
      <c r="G3" s="6"/>
      <c r="H3" s="6"/>
      <c r="J3" s="24" t="s">
        <v>57</v>
      </c>
      <c r="K3" s="33"/>
      <c r="L3" s="38"/>
      <c r="M3" s="49"/>
      <c r="N3" s="40"/>
      <c r="O3" s="33"/>
      <c r="Q3" s="21"/>
      <c r="R3" s="21"/>
      <c r="S3" s="21"/>
      <c r="T3" s="21"/>
      <c r="U3" s="21"/>
      <c r="W3" s="21"/>
      <c r="X3" s="21"/>
      <c r="Y3" s="21"/>
      <c r="Z3" s="21"/>
      <c r="AA3" s="21"/>
      <c r="AB3" s="1"/>
      <c r="AC3" s="21"/>
      <c r="AD3" s="21"/>
      <c r="AE3" s="1"/>
      <c r="AF3" s="21"/>
      <c r="AG3" s="21"/>
      <c r="AH3" s="21"/>
      <c r="AI3" s="21"/>
      <c r="AJ3" s="47"/>
      <c r="AK3" s="1"/>
      <c r="AL3" s="21"/>
      <c r="AM3" s="21"/>
      <c r="AN3" s="21"/>
      <c r="AO3" s="21"/>
      <c r="AP3" s="21"/>
      <c r="AQ3" s="1"/>
      <c r="AR3" s="21"/>
      <c r="AS3" s="21"/>
      <c r="AT3" s="21"/>
      <c r="AU3" s="21"/>
      <c r="AV3" s="21"/>
    </row>
    <row r="4" spans="1:48" ht="15.75" hidden="1" outlineLevel="1" thickBot="1" x14ac:dyDescent="0.3">
      <c r="A4">
        <f>2</f>
        <v>2</v>
      </c>
      <c r="B4" s="6"/>
      <c r="C4" s="6"/>
      <c r="D4" s="6"/>
      <c r="E4" s="6"/>
      <c r="F4" s="6"/>
      <c r="G4" s="6"/>
      <c r="H4" s="6"/>
      <c r="J4" s="25" t="s">
        <v>58</v>
      </c>
      <c r="K4" s="33"/>
      <c r="L4" s="38"/>
      <c r="M4" s="49"/>
      <c r="N4" s="40"/>
      <c r="O4" s="33"/>
      <c r="Q4" s="21"/>
      <c r="R4" s="21"/>
      <c r="S4" s="21"/>
      <c r="T4" s="21"/>
      <c r="U4" s="21"/>
      <c r="W4" s="21"/>
      <c r="X4" s="21"/>
      <c r="Y4" s="21"/>
      <c r="Z4" s="21"/>
      <c r="AA4" s="21"/>
      <c r="AB4" s="1"/>
      <c r="AC4" s="21"/>
      <c r="AD4" s="21"/>
      <c r="AE4" s="1"/>
      <c r="AF4" s="21"/>
      <c r="AG4" s="21"/>
      <c r="AH4" s="21"/>
      <c r="AI4" s="21"/>
      <c r="AJ4" s="47"/>
      <c r="AK4" s="1"/>
      <c r="AL4" s="21"/>
      <c r="AM4" s="21"/>
      <c r="AN4" s="21"/>
      <c r="AO4" s="21"/>
      <c r="AP4" s="21"/>
      <c r="AQ4" s="1"/>
      <c r="AR4" s="21"/>
      <c r="AS4" s="21"/>
      <c r="AT4" s="21"/>
      <c r="AU4" s="21"/>
      <c r="AV4" s="21"/>
    </row>
    <row r="5" spans="1:48" ht="15.75" hidden="1" outlineLevel="1" thickBot="1" x14ac:dyDescent="0.3">
      <c r="A5">
        <f>3</f>
        <v>3</v>
      </c>
      <c r="B5" s="6"/>
      <c r="C5" s="6"/>
      <c r="D5" s="6"/>
      <c r="E5" s="6"/>
      <c r="F5" s="6"/>
      <c r="G5" s="6"/>
      <c r="H5" s="6"/>
      <c r="J5" s="26" t="s">
        <v>8</v>
      </c>
      <c r="K5" s="33"/>
      <c r="L5" s="38"/>
      <c r="M5" s="49"/>
      <c r="N5" s="40"/>
      <c r="O5" s="33"/>
      <c r="Q5" s="21"/>
      <c r="R5" s="21"/>
      <c r="S5" s="21"/>
      <c r="T5" s="21"/>
      <c r="U5" s="21"/>
      <c r="W5" s="21"/>
      <c r="X5" s="21"/>
      <c r="Y5" s="21"/>
      <c r="Z5" s="21"/>
      <c r="AA5" s="21"/>
      <c r="AB5" s="1"/>
      <c r="AC5" s="21"/>
      <c r="AD5" s="21"/>
      <c r="AE5" s="1"/>
      <c r="AF5" s="21"/>
      <c r="AG5" s="21"/>
      <c r="AH5" s="21"/>
      <c r="AI5" s="21"/>
      <c r="AJ5" s="47"/>
      <c r="AK5" s="1"/>
      <c r="AL5" s="21"/>
      <c r="AM5" s="21"/>
      <c r="AN5" s="21"/>
      <c r="AO5" s="21"/>
      <c r="AP5" s="21"/>
      <c r="AQ5" s="1"/>
      <c r="AR5" s="21"/>
      <c r="AS5" s="21"/>
      <c r="AT5" s="21"/>
      <c r="AU5" s="21"/>
      <c r="AV5" s="21"/>
    </row>
    <row r="6" spans="1:48" ht="15.75" hidden="1" outlineLevel="1" thickBot="1" x14ac:dyDescent="0.3">
      <c r="A6" t="s">
        <v>8</v>
      </c>
      <c r="B6" s="6"/>
      <c r="C6" s="6"/>
      <c r="D6" s="6"/>
      <c r="E6" s="6"/>
      <c r="F6" s="6"/>
      <c r="G6" s="6"/>
      <c r="H6" s="6"/>
      <c r="J6" s="26" t="s">
        <v>59</v>
      </c>
      <c r="K6" s="33"/>
      <c r="L6" s="38"/>
      <c r="M6" s="49"/>
      <c r="N6" s="40"/>
      <c r="O6" s="33"/>
      <c r="Q6" s="21"/>
      <c r="R6" s="21"/>
      <c r="S6" s="21"/>
      <c r="T6" s="21"/>
      <c r="U6" s="21"/>
      <c r="W6" s="21"/>
      <c r="X6" s="21"/>
      <c r="Y6" s="21"/>
      <c r="Z6" s="21"/>
      <c r="AA6" s="21"/>
      <c r="AB6" s="1"/>
      <c r="AC6" s="21"/>
      <c r="AD6" s="21"/>
      <c r="AE6" s="1"/>
      <c r="AF6" s="21"/>
      <c r="AG6" s="21"/>
      <c r="AH6" s="21"/>
      <c r="AI6" s="21"/>
      <c r="AJ6" s="47"/>
      <c r="AK6" s="1"/>
      <c r="AL6" s="21"/>
      <c r="AM6" s="21"/>
      <c r="AN6" s="21"/>
      <c r="AO6" s="21"/>
      <c r="AP6" s="21"/>
      <c r="AQ6" s="1"/>
      <c r="AR6" s="21"/>
      <c r="AS6" s="21"/>
      <c r="AT6" s="21"/>
      <c r="AU6" s="21"/>
      <c r="AV6" s="21"/>
    </row>
    <row r="7" spans="1:48" ht="15.75" hidden="1" outlineLevel="1" thickBot="1" x14ac:dyDescent="0.3">
      <c r="A7" t="s">
        <v>9</v>
      </c>
      <c r="B7" s="6"/>
      <c r="C7" s="6"/>
      <c r="D7" s="6"/>
      <c r="E7" s="6"/>
      <c r="F7" s="6"/>
      <c r="G7" s="6"/>
      <c r="H7" s="6"/>
      <c r="J7" s="17" t="s">
        <v>60</v>
      </c>
      <c r="K7" s="34"/>
      <c r="L7" s="39"/>
      <c r="M7" s="42"/>
      <c r="N7" s="41"/>
      <c r="O7" s="34"/>
      <c r="Q7" s="15"/>
      <c r="R7" s="15"/>
      <c r="S7" s="15"/>
      <c r="T7" s="15"/>
      <c r="U7" s="15"/>
      <c r="W7" s="15"/>
      <c r="X7" s="15"/>
      <c r="Y7" s="15"/>
      <c r="Z7" s="15"/>
      <c r="AA7" s="15"/>
      <c r="AC7" s="18"/>
      <c r="AD7" s="18"/>
      <c r="AF7" s="15"/>
      <c r="AG7" s="15"/>
      <c r="AH7" s="15"/>
      <c r="AI7" s="18"/>
      <c r="AJ7" s="48"/>
      <c r="AL7" s="18"/>
      <c r="AM7" s="18"/>
      <c r="AN7" s="18"/>
      <c r="AO7" s="18"/>
      <c r="AP7" s="18"/>
      <c r="AR7" s="18"/>
      <c r="AS7" s="18"/>
      <c r="AT7" s="18"/>
      <c r="AU7" s="18"/>
      <c r="AV7" s="18"/>
    </row>
    <row r="8" spans="1:48" hidden="1" outlineLevel="1" x14ac:dyDescent="0.25">
      <c r="A8" t="s">
        <v>11</v>
      </c>
    </row>
    <row r="9" spans="1:48" hidden="1" outlineLevel="1" x14ac:dyDescent="0.25"/>
    <row r="10" spans="1:48" hidden="1" outlineLevel="1" x14ac:dyDescent="0.25"/>
    <row r="11" spans="1:48" hidden="1" outlineLevel="1" x14ac:dyDescent="0.25">
      <c r="B11" s="50" t="s">
        <v>12</v>
      </c>
      <c r="C11" s="51"/>
      <c r="D11" s="52"/>
    </row>
    <row r="12" spans="1:48" hidden="1" outlineLevel="1" x14ac:dyDescent="0.25">
      <c r="B12" s="2" t="s">
        <v>13</v>
      </c>
      <c r="C12" s="3" t="s">
        <v>126</v>
      </c>
      <c r="D12" s="4"/>
    </row>
    <row r="13" spans="1:48" hidden="1" outlineLevel="1" x14ac:dyDescent="0.25">
      <c r="B13" s="2" t="s">
        <v>0</v>
      </c>
      <c r="C13" s="5" t="str">
        <f ca="1">_xll.VIEW(db_name&amp;":}ElementAttributes_}Clients","!","!")</f>
        <v>dcceew_geus:}ElementAttributes_}Clients</v>
      </c>
      <c r="D13" s="4"/>
    </row>
    <row r="14" spans="1:48" hidden="1" outlineLevel="1" x14ac:dyDescent="0.25">
      <c r="B14" s="2" t="s">
        <v>14</v>
      </c>
      <c r="C14" s="3" t="str">
        <f ca="1">_xll.TM1USER(db_name)</f>
        <v/>
      </c>
      <c r="D14" s="4"/>
    </row>
    <row r="15" spans="1:48" hidden="1" outlineLevel="1" x14ac:dyDescent="0.25">
      <c r="B15" s="2" t="s">
        <v>15</v>
      </c>
      <c r="C15" s="3" t="str">
        <f ca="1">_xll.DBR($C$13,$C$14,$B15)</f>
        <v>*KEY_ERR</v>
      </c>
      <c r="D15" s="4"/>
    </row>
    <row r="16" spans="1:48" hidden="1" outlineLevel="1" x14ac:dyDescent="0.25">
      <c r="B16" s="2" t="s">
        <v>16</v>
      </c>
      <c r="C16" s="3" t="str">
        <f ca="1">_xll.DBR($C$13,$C$14,$B16)</f>
        <v>*KEY_ERR</v>
      </c>
      <c r="D16" s="4"/>
    </row>
    <row r="17" spans="2:21" hidden="1" outlineLevel="1" x14ac:dyDescent="0.25">
      <c r="B17" s="2" t="s">
        <v>17</v>
      </c>
      <c r="C17" s="3" t="str">
        <f ca="1">IF(LEFT($C$15,6)="CAM_AD",$C$16,$C$15)</f>
        <v>*KEY_ERR</v>
      </c>
      <c r="D17" s="6"/>
    </row>
    <row r="18" spans="2:21" hidden="1" outlineLevel="1" x14ac:dyDescent="0.25"/>
    <row r="19" spans="2:21" hidden="1" outlineLevel="1" x14ac:dyDescent="0.25">
      <c r="B19" s="50" t="s">
        <v>18</v>
      </c>
      <c r="C19" s="51"/>
      <c r="D19" s="52"/>
    </row>
    <row r="20" spans="2:21" hidden="1" outlineLevel="1" x14ac:dyDescent="0.25">
      <c r="B20" s="2" t="s">
        <v>19</v>
      </c>
      <c r="C20" s="6" t="str">
        <f ca="1">_xll.VIEW(db_name&amp;":}ElementAttributes_variables","!","!")</f>
        <v>dcceew_geus:}ElementAttributes_variables</v>
      </c>
      <c r="D20" s="6"/>
    </row>
    <row r="21" spans="2:21" hidden="1" outlineLevel="1" x14ac:dyDescent="0.25">
      <c r="B21" s="2" t="s">
        <v>20</v>
      </c>
      <c r="C21" s="6" t="str">
        <f ca="1">_xll.DBR($C$20,$B21,"value")</f>
        <v>*KEY_ERR</v>
      </c>
      <c r="D21" s="6"/>
    </row>
    <row r="22" spans="2:21" hidden="1" outlineLevel="1" x14ac:dyDescent="0.25">
      <c r="B22" s="2" t="s">
        <v>21</v>
      </c>
      <c r="C22" s="6" t="str">
        <f ca="1">_xll.DBR($C$20,$B22,"value")</f>
        <v>*KEY_ERR</v>
      </c>
      <c r="D22" s="6"/>
    </row>
    <row r="23" spans="2:21" hidden="1" outlineLevel="1" x14ac:dyDescent="0.25"/>
    <row r="24" spans="2:21" hidden="1" outlineLevel="1" x14ac:dyDescent="0.25">
      <c r="B24" s="50" t="s">
        <v>25</v>
      </c>
      <c r="C24" s="51"/>
      <c r="D24" s="52"/>
    </row>
    <row r="25" spans="2:21" hidden="1" outlineLevel="1" x14ac:dyDescent="0.25">
      <c r="B25" s="6" t="s">
        <v>26</v>
      </c>
      <c r="C25" s="6" t="str">
        <f ca="1">_xll.VIEW(db_name&amp;":sys_application","!","!")</f>
        <v>dcceew_geus:sys_application</v>
      </c>
    </row>
    <row r="26" spans="2:21" hidden="1" outlineLevel="1" x14ac:dyDescent="0.25">
      <c r="B26" s="6" t="s">
        <v>27</v>
      </c>
      <c r="C26" s="6" t="s">
        <v>39</v>
      </c>
    </row>
    <row r="27" spans="2:21" ht="15.75" hidden="1" outlineLevel="1" thickBot="1" x14ac:dyDescent="0.3">
      <c r="B27" s="7" t="s">
        <v>28</v>
      </c>
      <c r="C27" s="8" t="s">
        <v>29</v>
      </c>
      <c r="D27" s="8" t="s">
        <v>30</v>
      </c>
      <c r="E27" s="8" t="s">
        <v>31</v>
      </c>
      <c r="F27" s="8" t="s">
        <v>32</v>
      </c>
      <c r="G27" s="8" t="s">
        <v>33</v>
      </c>
      <c r="H27" s="8" t="s">
        <v>34</v>
      </c>
      <c r="U27" s="12" t="s">
        <v>50</v>
      </c>
    </row>
    <row r="28" spans="2:21" ht="15.75" hidden="1" outlineLevel="1" thickBot="1" x14ac:dyDescent="0.3">
      <c r="B28" s="6" t="s">
        <v>35</v>
      </c>
      <c r="C28" s="6" t="str">
        <f ca="1">_xll.DBR($C$25,$B28,C$27)</f>
        <v>*KEY_ERR</v>
      </c>
      <c r="D28" s="6" t="str">
        <f ca="1">_xll.DBR($C$25,$B28,D$27)</f>
        <v>*KEY_ERR</v>
      </c>
      <c r="E28" s="6" t="str">
        <f ca="1">_xll.DBR($C$25,$B28,E$27)</f>
        <v>*KEY_ERR</v>
      </c>
      <c r="F28" s="6" t="str">
        <f ca="1">_xll.DBR($C$25,$B28,F$27)</f>
        <v>*KEY_ERR</v>
      </c>
      <c r="G28" s="6" t="str">
        <f ca="1">_xll.DBR($C$25,$B28,G$27)</f>
        <v>*KEY_ERR</v>
      </c>
      <c r="H28" s="6" t="str">
        <f ca="1">_xll.DBR($C$25,$B28,H$27)</f>
        <v>*KEY_ERR</v>
      </c>
      <c r="T28" s="11" t="s">
        <v>51</v>
      </c>
      <c r="U28" s="13" t="str">
        <f ca="1">_xll.SUBNM(db_name&amp;":sys_report display","","Expand")</f>
        <v/>
      </c>
    </row>
    <row r="29" spans="2:21" hidden="1" outlineLevel="1" x14ac:dyDescent="0.25">
      <c r="B29" s="6" t="s">
        <v>36</v>
      </c>
      <c r="C29" s="6" t="str">
        <f ca="1">_xll.DBR($C$25,$B29,C$27)</f>
        <v>*KEY_ERR</v>
      </c>
      <c r="D29" s="6" t="str">
        <f ca="1">_xll.DBR($C$25,$B29,D$27)</f>
        <v>*KEY_ERR</v>
      </c>
      <c r="E29" s="6" t="str">
        <f ca="1">_xll.DBR($C$25,$B29,E$27)</f>
        <v>*KEY_ERR</v>
      </c>
      <c r="F29" s="6" t="str">
        <f ca="1">_xll.DBR($C$25,$B29,F$27)</f>
        <v>*KEY_ERR</v>
      </c>
      <c r="G29" s="6" t="str">
        <f ca="1">_xll.DBR($C$25,$B29,G$27)</f>
        <v>*KEY_ERR</v>
      </c>
      <c r="H29" s="6" t="str">
        <f ca="1">_xll.DBR($C$25,$B29,H$27)</f>
        <v>*KEY_ERR</v>
      </c>
    </row>
    <row r="30" spans="2:21" hidden="1" outlineLevel="1" x14ac:dyDescent="0.25">
      <c r="B30" s="6" t="s">
        <v>37</v>
      </c>
      <c r="C30" s="6" t="str">
        <f ca="1">_xll.DBR($C$25,$B30,C$27)</f>
        <v>*KEY_ERR</v>
      </c>
      <c r="D30" s="6" t="str">
        <f ca="1">_xll.DBR($C$25,$B30,D$27)</f>
        <v>*KEY_ERR</v>
      </c>
      <c r="E30" s="6" t="str">
        <f ca="1">_xll.DBR($C$25,$B30,E$27)</f>
        <v>*KEY_ERR</v>
      </c>
      <c r="F30" s="6" t="str">
        <f ca="1">_xll.DBR($C$25,$B30,F$27)</f>
        <v>*KEY_ERR</v>
      </c>
      <c r="G30" s="6" t="str">
        <f ca="1">_xll.DBR($C$25,$B30,G$27)</f>
        <v>*KEY_ERR</v>
      </c>
      <c r="H30" s="6" t="str">
        <f ca="1">_xll.DBR($C$25,$B30,H$27)</f>
        <v>*KEY_ERR</v>
      </c>
    </row>
    <row r="31" spans="2:21" hidden="1" outlineLevel="1" x14ac:dyDescent="0.25">
      <c r="B31" s="6" t="s">
        <v>38</v>
      </c>
      <c r="C31" s="6" t="str">
        <f ca="1">_xll.DBR($C$25,$B31,C$27)</f>
        <v>*KEY_ERR</v>
      </c>
      <c r="D31" s="6" t="str">
        <f ca="1">_xll.DBR($C$25,$B31,D$27)</f>
        <v>*KEY_ERR</v>
      </c>
      <c r="E31" s="6" t="str">
        <f ca="1">_xll.DBR($C$25,$B31,E$27)</f>
        <v>*KEY_ERR</v>
      </c>
      <c r="F31" s="6" t="str">
        <f ca="1">_xll.DBR($C$25,$B31,F$27)</f>
        <v>*KEY_ERR</v>
      </c>
      <c r="G31" s="6" t="str">
        <f ca="1">_xll.DBR($C$25,$B31,G$27)</f>
        <v>*KEY_ERR</v>
      </c>
      <c r="H31" s="6" t="str">
        <f ca="1">_xll.DBR($C$25,$B31,H$27)</f>
        <v>*KEY_ERR</v>
      </c>
      <c r="J31" t="s">
        <v>125</v>
      </c>
    </row>
    <row r="32" spans="2:21" hidden="1" outlineLevel="1" x14ac:dyDescent="0.25">
      <c r="B32" s="6" t="s">
        <v>39</v>
      </c>
      <c r="C32" s="6" t="str">
        <f ca="1">_xll.DBR($C$25,$B32,C$27)</f>
        <v>*KEY_ERR</v>
      </c>
      <c r="D32" s="6" t="str">
        <f ca="1">_xll.DBR($C$25,$B32,D$27)</f>
        <v>*KEY_ERR</v>
      </c>
      <c r="E32" s="6" t="str">
        <f ca="1">_xll.DBR($C$25,$B32,E$27)</f>
        <v>*KEY_ERR</v>
      </c>
      <c r="F32" s="6" t="str">
        <f ca="1">_xll.DBR($C$25,$B32,F$27)</f>
        <v>*KEY_ERR</v>
      </c>
      <c r="G32" s="6" t="str">
        <f ca="1">_xll.DBR($C$25,$B32,G$27)</f>
        <v>*KEY_ERR</v>
      </c>
      <c r="H32" s="6" t="str">
        <f ca="1">_xll.DBR($C$25,$B32,H$27)</f>
        <v>*KEY_ERR</v>
      </c>
    </row>
    <row r="33" spans="2:48" hidden="1" outlineLevel="1" x14ac:dyDescent="0.25">
      <c r="B33" s="6" t="s">
        <v>110</v>
      </c>
      <c r="C33" s="6" t="str">
        <f ca="1">_xll.DBR($C$25,$B33,C$27)</f>
        <v>*KEY_ERR</v>
      </c>
      <c r="D33" s="6" t="str">
        <f ca="1">_xll.DBR($C$25,$B33,D$27)</f>
        <v>*KEY_ERR</v>
      </c>
      <c r="E33" s="6" t="str">
        <f ca="1">_xll.DBR($C$25,$B33,E$27)</f>
        <v>*KEY_ERR</v>
      </c>
      <c r="F33" s="6" t="str">
        <f ca="1">_xll.DBR($C$25,$B33,F$27)</f>
        <v>*KEY_ERR</v>
      </c>
      <c r="G33" s="6" t="str">
        <f ca="1">_xll.DBR($C$25,$B33,G$27)</f>
        <v>*KEY_ERR</v>
      </c>
      <c r="H33" s="6" t="str">
        <f ca="1">_xll.DBR($C$25,$B33,H$27)</f>
        <v>*KEY_ERR</v>
      </c>
    </row>
    <row r="34" spans="2:48" hidden="1" outlineLevel="1" x14ac:dyDescent="0.25">
      <c r="B34" s="6" t="s">
        <v>111</v>
      </c>
      <c r="C34" s="6" t="str">
        <f ca="1">_xll.DBR($C$25,$B34,C$27)</f>
        <v>*KEY_ERR</v>
      </c>
      <c r="D34" s="6" t="str">
        <f ca="1">_xll.DBR($C$25,$B34,D$27)</f>
        <v>*KEY_ERR</v>
      </c>
      <c r="E34" s="6" t="str">
        <f ca="1">_xll.DBR($C$25,$B34,E$27)</f>
        <v>*KEY_ERR</v>
      </c>
      <c r="F34" s="6" t="str">
        <f ca="1">_xll.DBR($C$25,$B34,F$27)</f>
        <v>*KEY_ERR</v>
      </c>
      <c r="G34" s="6" t="str">
        <f ca="1">_xll.DBR($C$25,$B34,G$27)</f>
        <v>*KEY_ERR</v>
      </c>
      <c r="H34" s="6" t="str">
        <f ca="1">_xll.DBR($C$25,$B34,H$27)</f>
        <v>*KEY_ERR</v>
      </c>
    </row>
    <row r="35" spans="2:48" hidden="1" outlineLevel="1" x14ac:dyDescent="0.25">
      <c r="B35" s="6" t="s">
        <v>113</v>
      </c>
      <c r="C35" s="6" t="str">
        <f ca="1">_xll.DBR($C$25,$B35,C$27)</f>
        <v>*KEY_ERR</v>
      </c>
      <c r="D35" s="6" t="str">
        <f ca="1">_xll.DBR($C$25,$B35,D$27)</f>
        <v>*KEY_ERR</v>
      </c>
      <c r="E35" s="6" t="str">
        <f ca="1">_xll.DBR($C$25,$B35,E$27)</f>
        <v>*KEY_ERR</v>
      </c>
      <c r="F35" s="6" t="str">
        <f ca="1">_xll.DBR($C$25,$B35,F$27)</f>
        <v>*KEY_ERR</v>
      </c>
      <c r="G35" s="6" t="str">
        <f ca="1">_xll.DBR($C$25,$B35,G$27)</f>
        <v>*KEY_ERR</v>
      </c>
      <c r="H35" s="6" t="str">
        <f ca="1">_xll.DBR($C$25,$B35,H$27)</f>
        <v>*KEY_ERR</v>
      </c>
    </row>
    <row r="36" spans="2:48" hidden="1" outlineLevel="1" x14ac:dyDescent="0.25">
      <c r="B36" s="6" t="s">
        <v>114</v>
      </c>
      <c r="C36" s="6" t="str">
        <f ca="1">_xll.DBR($C$25,$B36,C$27)</f>
        <v>*KEY_ERR</v>
      </c>
      <c r="D36" s="6" t="str">
        <f ca="1">_xll.DBR($C$25,$B36,D$27)</f>
        <v>*KEY_ERR</v>
      </c>
      <c r="E36" s="6" t="str">
        <f ca="1">_xll.DBR($C$25,$B36,E$27)</f>
        <v>*KEY_ERR</v>
      </c>
      <c r="F36" s="6" t="str">
        <f ca="1">_xll.DBR($C$25,$B36,F$27)</f>
        <v>*KEY_ERR</v>
      </c>
      <c r="G36" s="6" t="str">
        <f ca="1">_xll.DBR($C$25,$B36,G$27)</f>
        <v>*KEY_ERR</v>
      </c>
      <c r="H36" s="6" t="str">
        <f ca="1">_xll.DBR($C$25,$B36,H$27)</f>
        <v>*KEY_ERR</v>
      </c>
    </row>
    <row r="37" spans="2:48" hidden="1" outlineLevel="1" x14ac:dyDescent="0.25">
      <c r="B37" s="6" t="s">
        <v>115</v>
      </c>
      <c r="C37" s="6" t="str">
        <f ca="1">_xll.DBR($C$25,$B37,C$27)</f>
        <v>*KEY_ERR</v>
      </c>
      <c r="D37" s="6" t="str">
        <f ca="1">_xll.DBR($C$25,$B37,D$27)</f>
        <v>*KEY_ERR</v>
      </c>
      <c r="E37" s="6" t="str">
        <f ca="1">_xll.DBR($C$25,$B37,E$27)</f>
        <v>*KEY_ERR</v>
      </c>
      <c r="F37" s="6" t="str">
        <f ca="1">_xll.DBR($C$25,$B37,F$27)</f>
        <v>*KEY_ERR</v>
      </c>
      <c r="G37" s="6" t="str">
        <f ca="1">_xll.DBR($C$25,$B37,G$27)</f>
        <v>*KEY_ERR</v>
      </c>
      <c r="H37" s="6" t="str">
        <f ca="1">_xll.DBR($C$25,$B37,H$27)</f>
        <v>*KEY_ERR</v>
      </c>
    </row>
    <row r="38" spans="2:48" hidden="1" outlineLevel="1" x14ac:dyDescent="0.25">
      <c r="B38" s="6" t="s">
        <v>116</v>
      </c>
      <c r="C38" s="6" t="str">
        <f ca="1">_xll.DBR($C$25,$B38,C$27)</f>
        <v>*KEY_ERR</v>
      </c>
      <c r="D38" s="6" t="str">
        <f ca="1">_xll.DBR($C$25,$B38,D$27)</f>
        <v>*KEY_ERR</v>
      </c>
      <c r="E38" s="6" t="str">
        <f ca="1">_xll.DBR($C$25,$B38,E$27)</f>
        <v>*KEY_ERR</v>
      </c>
      <c r="F38" s="6" t="str">
        <f ca="1">_xll.DBR($C$25,$B38,F$27)</f>
        <v>*KEY_ERR</v>
      </c>
      <c r="G38" s="6" t="str">
        <f ca="1">_xll.DBR($C$25,$B38,G$27)</f>
        <v>*KEY_ERR</v>
      </c>
      <c r="H38" s="6" t="str">
        <f ca="1">_xll.DBR($C$25,$B38,H$27)</f>
        <v>*KEY_ERR</v>
      </c>
    </row>
    <row r="39" spans="2:48" hidden="1" outlineLevel="1" x14ac:dyDescent="0.25">
      <c r="B39" s="6" t="s">
        <v>118</v>
      </c>
      <c r="C39" s="6" t="str">
        <f ca="1">_xll.DBR($C$25,$B39,C$27)</f>
        <v>*KEY_ERR</v>
      </c>
      <c r="D39" s="6" t="str">
        <f ca="1">_xll.DBR($C$25,$B39,D$27)</f>
        <v>*KEY_ERR</v>
      </c>
      <c r="E39" s="6" t="str">
        <f ca="1">_xll.DBR($C$25,$B39,E$27)</f>
        <v>*KEY_ERR</v>
      </c>
      <c r="F39" s="6" t="str">
        <f ca="1">_xll.DBR($C$25,$B39,F$27)</f>
        <v>*KEY_ERR</v>
      </c>
      <c r="G39" s="6" t="str">
        <f ca="1">_xll.DBR($C$25,$B39,G$27)</f>
        <v>*KEY_ERR</v>
      </c>
      <c r="H39" s="6" t="str">
        <f ca="1">_xll.DBR($C$25,$B39,H$27)</f>
        <v>*KEY_ERR</v>
      </c>
    </row>
    <row r="40" spans="2:48" hidden="1" outlineLevel="1" x14ac:dyDescent="0.25">
      <c r="B40" s="6" t="s">
        <v>119</v>
      </c>
      <c r="C40" s="6" t="str">
        <f ca="1">_xll.DBR($C$25,$B40,C$27)</f>
        <v>*KEY_ERR</v>
      </c>
      <c r="D40" s="6" t="str">
        <f ca="1">_xll.DBR($C$25,$B40,D$27)</f>
        <v>*KEY_ERR</v>
      </c>
      <c r="E40" s="6" t="str">
        <f ca="1">_xll.DBR($C$25,$B40,E$27)</f>
        <v>*KEY_ERR</v>
      </c>
      <c r="F40" s="6" t="str">
        <f ca="1">_xll.DBR($C$25,$B40,F$27)</f>
        <v>*KEY_ERR</v>
      </c>
      <c r="G40" s="6" t="str">
        <f ca="1">_xll.DBR($C$25,$B40,G$27)</f>
        <v>*KEY_ERR</v>
      </c>
      <c r="H40" s="6" t="str">
        <f ca="1">_xll.DBR($C$25,$B40,H$27)</f>
        <v>*KEY_ERR</v>
      </c>
    </row>
    <row r="41" spans="2:48" hidden="1" outlineLevel="1" x14ac:dyDescent="0.25"/>
    <row r="42" spans="2:48" hidden="1" outlineLevel="1" x14ac:dyDescent="0.25">
      <c r="B42" s="50" t="s">
        <v>22</v>
      </c>
      <c r="C42" s="51"/>
      <c r="D42" s="52"/>
      <c r="L42" s="9" t="s">
        <v>40</v>
      </c>
      <c r="M42" s="9"/>
      <c r="N42" s="9"/>
      <c r="O42" s="9"/>
      <c r="Q42" s="9"/>
      <c r="R42" s="9"/>
      <c r="S42" s="9"/>
      <c r="T42" s="9"/>
      <c r="U42" s="9"/>
      <c r="V42" s="9"/>
      <c r="AF42" s="28" t="str">
        <f ca="1">_xll.DBRW(db_name&amp;":}ElementAttributes_AE parameters and FE3 calculation measure",AF$45,"Desc")</f>
        <v>*KEY_ERR</v>
      </c>
      <c r="AG42" s="28" t="str">
        <f ca="1">_xll.DBRW(db_name&amp;":}ElementAttributes_AE parameters and FE3 calculation measure",AG$45,"Desc")</f>
        <v>*KEY_ERR</v>
      </c>
      <c r="AH42" s="28" t="str">
        <f ca="1">_xll.DBRW(db_name&amp;":}ElementAttributes_AE parameters and FE3 calculation measure",AH$45,"Desc")</f>
        <v>*KEY_ERR</v>
      </c>
      <c r="AI42" s="28" t="str">
        <f ca="1">_xll.DBRW(db_name&amp;":}ElementAttributes_AE parameters and FE3 calculation measure",AI$45,"Desc")</f>
        <v>*KEY_ERR</v>
      </c>
      <c r="AJ42" s="28" t="str">
        <f ca="1">_xll.DBRW(db_name&amp;":}ElementAttributes_AE parameters and FE3 calculation measure",AJ$45,"Desc")</f>
        <v>*KEY_ERR</v>
      </c>
    </row>
    <row r="43" spans="2:48" hidden="1" outlineLevel="1" x14ac:dyDescent="0.25">
      <c r="B43" s="2" t="s">
        <v>23</v>
      </c>
      <c r="C43" s="6" t="str">
        <f ca="1">_xll.TM1RPTVIEW(db_name&amp;":AE parameters and FE3 calculation:1", 1,_xll.TM1RPTTITLE(db_name&amp;":spp",$C$50), _xll.TM1RPTTITLE(db_name&amp;":related entity",$C$51), _xll.TM1RPTTITLE(db_name&amp;":jurisdiction",$C$52), _xll.TM1RPTTITLE(db_name&amp;":appropriation item",$C$53), _xll.TM1RPTTITLE(db_name&amp;":measure code",$M$74), _xll.TM1RPTTITLE(db_name&amp;":id",$C$54),TM1RPTFMTRNG,TM1RPTFMTIDCOL)</f>
        <v>dcceew_geus:AE parameters and FE3 calculation:1</v>
      </c>
      <c r="D43" s="6"/>
      <c r="L43" s="10" t="str">
        <f ca="1">RIGHT(psHLYear,9)</f>
        <v>*KEY_ERR</v>
      </c>
      <c r="M43" s="14"/>
      <c r="N43" s="14"/>
      <c r="O43" s="14"/>
      <c r="Q43" t="str">
        <f ca="1">_xll.DIMNM(db_name&amp;":period",_xll.DIMIX(db_name&amp;":period",$L$43)+Q$44)</f>
        <v/>
      </c>
      <c r="R43" t="str">
        <f ca="1">_xll.DIMNM(db_name&amp;":period",_xll.DIMIX(db_name&amp;":period",$L$43)+R$44)</f>
        <v/>
      </c>
      <c r="S43" t="str">
        <f ca="1">_xll.DIMNM(db_name&amp;":period",_xll.DIMIX(db_name&amp;":period",$L$43)+S$44)</f>
        <v/>
      </c>
      <c r="T43" t="str">
        <f ca="1">_xll.DIMNM(db_name&amp;":period",_xll.DIMIX(db_name&amp;":period",$L$43)+T$44)</f>
        <v/>
      </c>
      <c r="U43" t="str">
        <f ca="1">_xll.DIMNM(db_name&amp;":period",_xll.DIMIX(db_name&amp;":period",$L$43)+U$44)</f>
        <v/>
      </c>
      <c r="V43" s="14"/>
      <c r="W43" t="str">
        <f ca="1">_xll.DIMNM(db_name&amp;":period",_xll.DIMIX(db_name&amp;":period",$L$43)+W$44)</f>
        <v/>
      </c>
      <c r="X43" t="str">
        <f ca="1">_xll.DIMNM(db_name&amp;":period",_xll.DIMIX(db_name&amp;":period",$L$43)+X$44)</f>
        <v/>
      </c>
      <c r="Y43" t="str">
        <f ca="1">_xll.DIMNM(db_name&amp;":period",_xll.DIMIX(db_name&amp;":period",$L$43)+Y$44)</f>
        <v/>
      </c>
      <c r="Z43" t="str">
        <f ca="1">_xll.DIMNM(db_name&amp;":period",_xll.DIMIX(db_name&amp;":period",$L$43)+Z$44)</f>
        <v/>
      </c>
      <c r="AA43" t="str">
        <f ca="1">_xll.DIMNM(db_name&amp;":period",_xll.DIMIX(db_name&amp;":period",$L$43)+AA$44)</f>
        <v/>
      </c>
      <c r="AC43" t="str">
        <f ca="1">_xll.DIMNM(db_name&amp;":period",_xll.DIMIX(db_name&amp;":period",$L$43)+AC$44)</f>
        <v/>
      </c>
      <c r="AD43" t="str">
        <f ca="1">_xll.DIMNM(db_name&amp;":period",_xll.DIMIX(db_name&amp;":period",$L$43)+AD$44)</f>
        <v/>
      </c>
      <c r="AF43" t="str">
        <f ca="1">_xll.DIMNM(db_name&amp;":period",_xll.DIMIX(db_name&amp;":period",$L$43)+AF$44)</f>
        <v/>
      </c>
      <c r="AG43" t="str">
        <f ca="1">_xll.DIMNM(db_name&amp;":period",_xll.DIMIX(db_name&amp;":period",$L$43)+AG$44)</f>
        <v/>
      </c>
      <c r="AH43" t="str">
        <f ca="1">_xll.DIMNM(db_name&amp;":period",_xll.DIMIX(db_name&amp;":period",$L$43)+AH$44)</f>
        <v/>
      </c>
      <c r="AI43" t="str">
        <f ca="1">_xll.DIMNM(db_name&amp;":period",_xll.DIMIX(db_name&amp;":period",$L$43)+AI$44)</f>
        <v/>
      </c>
      <c r="AJ43" t="str">
        <f ca="1">_xll.DIMNM(db_name&amp;":period",_xll.DIMIX(db_name&amp;":period",$L$43)+AJ$44)</f>
        <v/>
      </c>
      <c r="AL43" t="str">
        <f ca="1">_xll.DIMNM(db_name&amp;":period",_xll.DIMIX(db_name&amp;":period",$L$43)+AL$44)</f>
        <v/>
      </c>
      <c r="AM43" t="str">
        <f ca="1">_xll.DIMNM(db_name&amp;":period",_xll.DIMIX(db_name&amp;":period",$L$43)+AM$44)</f>
        <v/>
      </c>
      <c r="AN43" t="str">
        <f ca="1">_xll.DIMNM(db_name&amp;":period",_xll.DIMIX(db_name&amp;":period",$L$43)+AN$44)</f>
        <v/>
      </c>
      <c r="AO43" t="str">
        <f ca="1">_xll.DIMNM(db_name&amp;":period",_xll.DIMIX(db_name&amp;":period",$L$43)+AO$44)</f>
        <v/>
      </c>
      <c r="AP43" t="str">
        <f ca="1">_xll.DIMNM(db_name&amp;":period",_xll.DIMIX(db_name&amp;":period",$L$43)+AP$44)</f>
        <v/>
      </c>
      <c r="AR43" t="str">
        <f ca="1">_xll.DIMNM(db_name&amp;":period",_xll.DIMIX(db_name&amp;":period",$L$43)+AR$44)</f>
        <v/>
      </c>
      <c r="AS43" t="str">
        <f ca="1">_xll.DIMNM(db_name&amp;":period",_xll.DIMIX(db_name&amp;":period",$L$43)+AS$44)</f>
        <v/>
      </c>
      <c r="AT43" t="str">
        <f ca="1">_xll.DIMNM(db_name&amp;":period",_xll.DIMIX(db_name&amp;":period",$L$43)+AT$44)</f>
        <v/>
      </c>
      <c r="AU43" t="str">
        <f ca="1">_xll.DIMNM(db_name&amp;":period",_xll.DIMIX(db_name&amp;":period",$L$43)+AU$44)</f>
        <v/>
      </c>
      <c r="AV43" t="str">
        <f ca="1">_xll.DIMNM(db_name&amp;":period",_xll.DIMIX(db_name&amp;":period",$L$43)+AV$44)</f>
        <v/>
      </c>
    </row>
    <row r="44" spans="2:48" hidden="1" outlineLevel="1" x14ac:dyDescent="0.25">
      <c r="B44" s="2" t="s">
        <v>24</v>
      </c>
      <c r="C44" s="6" t="str">
        <f ca="1">_xll.VIEW(db_name&amp;":AE parameters and FE3 calculation","!",$C$50,"!","!",$C$51,$C$52,$C$53,$M$74,$C$54,"!","!")</f>
        <v>dcceew_geus:AE parameters and FE3 calculation</v>
      </c>
      <c r="D44" s="6"/>
      <c r="L44" s="10" t="s">
        <v>42</v>
      </c>
      <c r="M44" s="14"/>
      <c r="N44" s="14"/>
      <c r="O44" s="14"/>
      <c r="Q44">
        <v>-1</v>
      </c>
      <c r="R44">
        <v>0</v>
      </c>
      <c r="S44">
        <v>1</v>
      </c>
      <c r="T44">
        <v>2</v>
      </c>
      <c r="U44">
        <v>3</v>
      </c>
      <c r="V44" s="14"/>
      <c r="W44">
        <v>-1</v>
      </c>
      <c r="X44">
        <v>0</v>
      </c>
      <c r="Y44">
        <v>1</v>
      </c>
      <c r="Z44">
        <v>2</v>
      </c>
      <c r="AA44">
        <v>3</v>
      </c>
      <c r="AC44">
        <v>2</v>
      </c>
      <c r="AD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L44">
        <v>-1</v>
      </c>
      <c r="AM44">
        <v>0</v>
      </c>
      <c r="AN44">
        <v>1</v>
      </c>
      <c r="AO44">
        <v>2</v>
      </c>
      <c r="AP44">
        <v>3</v>
      </c>
      <c r="AR44">
        <v>-1</v>
      </c>
      <c r="AS44">
        <v>0</v>
      </c>
      <c r="AT44">
        <v>1</v>
      </c>
      <c r="AU44">
        <v>2</v>
      </c>
      <c r="AV44">
        <v>3</v>
      </c>
    </row>
    <row r="45" spans="2:48" hidden="1" outlineLevel="1" x14ac:dyDescent="0.25">
      <c r="B45" s="1">
        <v>2</v>
      </c>
      <c r="C45" s="19" t="s">
        <v>41</v>
      </c>
      <c r="D45" s="19" t="s">
        <v>52</v>
      </c>
      <c r="E45" s="19" t="s">
        <v>53</v>
      </c>
      <c r="K45" t="s">
        <v>86</v>
      </c>
      <c r="L45" t="s">
        <v>87</v>
      </c>
      <c r="M45" t="s">
        <v>93</v>
      </c>
      <c r="N45" t="s">
        <v>95</v>
      </c>
      <c r="O45" t="s">
        <v>96</v>
      </c>
      <c r="P45" s="14"/>
      <c r="Q45" s="16" t="s">
        <v>55</v>
      </c>
      <c r="R45" s="16" t="s">
        <v>55</v>
      </c>
      <c r="S45" s="16" t="s">
        <v>55</v>
      </c>
      <c r="T45" s="16" t="s">
        <v>55</v>
      </c>
      <c r="U45" s="16" t="s">
        <v>55</v>
      </c>
      <c r="W45" s="16" t="s">
        <v>54</v>
      </c>
      <c r="X45" s="16" t="s">
        <v>54</v>
      </c>
      <c r="Y45" s="16" t="s">
        <v>54</v>
      </c>
      <c r="Z45" s="16" t="s">
        <v>54</v>
      </c>
      <c r="AA45" s="16" t="s">
        <v>54</v>
      </c>
      <c r="AC45" s="16" t="s">
        <v>80</v>
      </c>
      <c r="AD45" s="16" t="s">
        <v>80</v>
      </c>
      <c r="AF45" s="16" t="s">
        <v>68</v>
      </c>
      <c r="AG45" s="16" t="s">
        <v>69</v>
      </c>
      <c r="AH45" s="16" t="s">
        <v>70</v>
      </c>
      <c r="AI45" s="16" t="s">
        <v>7</v>
      </c>
      <c r="AJ45" s="16" t="s">
        <v>7</v>
      </c>
      <c r="AL45" s="16" t="s">
        <v>123</v>
      </c>
      <c r="AM45" s="16" t="s">
        <v>123</v>
      </c>
      <c r="AN45" s="16" t="s">
        <v>123</v>
      </c>
      <c r="AO45" s="16" t="s">
        <v>123</v>
      </c>
      <c r="AP45" s="16" t="s">
        <v>123</v>
      </c>
      <c r="AR45" s="16" t="s">
        <v>6</v>
      </c>
      <c r="AS45" s="16" t="s">
        <v>6</v>
      </c>
      <c r="AT45" s="16" t="s">
        <v>6</v>
      </c>
      <c r="AU45" s="16" t="s">
        <v>6</v>
      </c>
      <c r="AV45" s="16" t="s">
        <v>6</v>
      </c>
    </row>
    <row r="46" spans="2:48" hidden="1" outlineLevel="1" x14ac:dyDescent="0.25">
      <c r="B46" s="6" t="s">
        <v>43</v>
      </c>
      <c r="C46" s="6" t="str">
        <f ca="1">IF($U$28="Collapse",$D46,$E46)</f>
        <v>{TM1DRILLDOWNMEMBER( {[programme].[]}, ALL, RECURSIVE )}</v>
      </c>
      <c r="D46" s="6" t="str">
        <f ca="1">"{TM1DRILLDOWNMEMBER( {[programme].[" &amp; $M$71 &amp; "]}, ALL, RECURSIVE )}"</f>
        <v>{TM1DRILLDOWNMEMBER( {[programme].[]}, ALL, RECURSIVE )}</v>
      </c>
      <c r="E46" s="6" t="str">
        <f ca="1">"{TM1DRILLDOWNMEMBER( {[programme].[" &amp; $M$71 &amp; "]}, ALL, RECURSIVE )}"</f>
        <v>{TM1DRILLDOWNMEMBER( {[programme].[]}, ALL, RECURSIVE )}</v>
      </c>
      <c r="Q46" s="16" t="str">
        <f ca="1">Q$43</f>
        <v/>
      </c>
      <c r="R46" s="16" t="str">
        <f t="shared" ref="R46:U46" ca="1" si="0">R$43</f>
        <v/>
      </c>
      <c r="S46" s="16" t="str">
        <f t="shared" ca="1" si="0"/>
        <v/>
      </c>
      <c r="T46" s="16" t="str">
        <f t="shared" ca="1" si="0"/>
        <v/>
      </c>
      <c r="U46" s="16" t="str">
        <f t="shared" ca="1" si="0"/>
        <v/>
      </c>
      <c r="W46" s="16" t="str">
        <f ca="1">W$43</f>
        <v/>
      </c>
      <c r="X46" s="16" t="str">
        <f t="shared" ref="X46:AH46" ca="1" si="1">X$43</f>
        <v/>
      </c>
      <c r="Y46" s="16" t="str">
        <f t="shared" ca="1" si="1"/>
        <v/>
      </c>
      <c r="Z46" s="16" t="str">
        <f t="shared" ca="1" si="1"/>
        <v/>
      </c>
      <c r="AA46" s="16" t="str">
        <f t="shared" ca="1" si="1"/>
        <v/>
      </c>
      <c r="AC46" s="16" t="str">
        <f t="shared" ca="1" si="1"/>
        <v/>
      </c>
      <c r="AD46" s="16" t="str">
        <f t="shared" ca="1" si="1"/>
        <v/>
      </c>
      <c r="AF46" s="16" t="str">
        <f t="shared" ca="1" si="1"/>
        <v/>
      </c>
      <c r="AG46" s="16" t="str">
        <f t="shared" ca="1" si="1"/>
        <v/>
      </c>
      <c r="AH46" s="16" t="str">
        <f t="shared" ca="1" si="1"/>
        <v/>
      </c>
      <c r="AI46" s="16" t="str">
        <f ca="1">AI$43</f>
        <v/>
      </c>
      <c r="AJ46" s="16" t="str">
        <f ca="1">AJ$43</f>
        <v/>
      </c>
      <c r="AL46" s="16" t="str">
        <f ca="1">AL$43</f>
        <v/>
      </c>
      <c r="AM46" s="16" t="str">
        <f t="shared" ref="AM46:AP46" ca="1" si="2">AM$43</f>
        <v/>
      </c>
      <c r="AN46" s="16" t="str">
        <f t="shared" ca="1" si="2"/>
        <v/>
      </c>
      <c r="AO46" s="16" t="str">
        <f t="shared" ca="1" si="2"/>
        <v/>
      </c>
      <c r="AP46" s="16" t="str">
        <f t="shared" ca="1" si="2"/>
        <v/>
      </c>
      <c r="AR46" s="16" t="str">
        <f ca="1">AR$43</f>
        <v/>
      </c>
      <c r="AS46" s="16" t="str">
        <f t="shared" ref="AS46:AV46" ca="1" si="3">AS$43</f>
        <v/>
      </c>
      <c r="AT46" s="16" t="str">
        <f t="shared" ca="1" si="3"/>
        <v/>
      </c>
      <c r="AU46" s="16" t="str">
        <f t="shared" ca="1" si="3"/>
        <v/>
      </c>
      <c r="AV46" s="16" t="str">
        <f t="shared" ca="1" si="3"/>
        <v/>
      </c>
    </row>
    <row r="47" spans="2:48" hidden="1" outlineLevel="1" x14ac:dyDescent="0.25">
      <c r="B47" s="6" t="s">
        <v>44</v>
      </c>
      <c r="C47" s="6" t="str">
        <f ca="1">IF($U$28="Collapse",$D47,$E47)</f>
        <v>{[account].[]}</v>
      </c>
      <c r="D47" s="6" t="str">
        <f ca="1">"{[account].[" &amp; $M$72 &amp; "]}"</f>
        <v>{[account].[]}</v>
      </c>
      <c r="E47" s="6" t="str">
        <f ca="1">"{[account].[" &amp; $M$72 &amp; "]}"</f>
        <v>{[account].[]}</v>
      </c>
    </row>
    <row r="48" spans="2:48" hidden="1" outlineLevel="1" x14ac:dyDescent="0.25">
      <c r="B48" s="6" t="s">
        <v>45</v>
      </c>
      <c r="C48" s="6" t="str">
        <f ca="1">IF($U$28="Collapse",$D48,$E48)</f>
        <v>{[movement account].[]}</v>
      </c>
      <c r="D48" s="6" t="str">
        <f ca="1">"{[movement account].[" &amp; $M$73 &amp; "]}"</f>
        <v>{[movement account].[]}</v>
      </c>
      <c r="E48" s="6" t="str">
        <f ca="1">"{[movement account].[" &amp; $M$73 &amp; "]}"</f>
        <v>{[movement account].[]}</v>
      </c>
    </row>
    <row r="49" spans="2:21" hidden="1" outlineLevel="1" x14ac:dyDescent="0.25">
      <c r="B49" s="2" t="s">
        <v>0</v>
      </c>
      <c r="C49" s="6" t="str">
        <f ca="1">_xll.SUBNM(db_name&amp;":}Clients","",psUser)</f>
        <v/>
      </c>
    </row>
    <row r="50" spans="2:21" hidden="1" outlineLevel="1" x14ac:dyDescent="0.25">
      <c r="B50" s="2" t="s">
        <v>1</v>
      </c>
      <c r="C50" s="6" t="str">
        <f ca="1">_xll.SUBNM(db_name&amp;":spp","","Total SPP")</f>
        <v/>
      </c>
      <c r="T50" t="s">
        <v>66</v>
      </c>
      <c r="U50">
        <f ca="1">_xll.DIMIX(db_name&amp;":period",psFE2Year)</f>
        <v>0</v>
      </c>
    </row>
    <row r="51" spans="2:21" hidden="1" outlineLevel="1" x14ac:dyDescent="0.25">
      <c r="B51" s="2" t="s">
        <v>2</v>
      </c>
      <c r="C51" s="6" t="str">
        <f ca="1">_xll.SUBNM(db_name&amp;":related entity","","Total related entity")</f>
        <v/>
      </c>
      <c r="T51" t="s">
        <v>67</v>
      </c>
      <c r="U51">
        <f ca="1">_xll.DIMIX(db_name&amp;":period",psFE3Year)</f>
        <v>0</v>
      </c>
    </row>
    <row r="52" spans="2:21" hidden="1" outlineLevel="1" x14ac:dyDescent="0.25">
      <c r="B52" s="2" t="s">
        <v>3</v>
      </c>
      <c r="C52" s="6" t="str">
        <f ca="1">_xll.SUBNM(db_name&amp;":jurisdiction","","Total jurisdictions")</f>
        <v/>
      </c>
      <c r="U52" t="str">
        <f ca="1">IF(U51&gt;U50,"","Please select a valid FE3 period")</f>
        <v>Please select a valid FE3 period</v>
      </c>
    </row>
    <row r="53" spans="2:21" hidden="1" outlineLevel="1" x14ac:dyDescent="0.25">
      <c r="B53" s="2" t="s">
        <v>4</v>
      </c>
      <c r="C53" s="6" t="str">
        <f ca="1">_xll.SUBNM(db_name&amp;":appropriation item","","Total approp item")</f>
        <v/>
      </c>
    </row>
    <row r="54" spans="2:21" hidden="1" outlineLevel="1" x14ac:dyDescent="0.25">
      <c r="B54" s="2" t="s">
        <v>5</v>
      </c>
      <c r="C54" s="6" t="str">
        <f ca="1">_xll.SUBNM(db_name&amp;":id","","Total IDs")</f>
        <v/>
      </c>
    </row>
    <row r="55" spans="2:21" hidden="1" outlineLevel="1" x14ac:dyDescent="0.25"/>
    <row r="56" spans="2:21" hidden="1" outlineLevel="1" x14ac:dyDescent="0.25">
      <c r="B56" s="50" t="s">
        <v>82</v>
      </c>
      <c r="C56" s="51"/>
      <c r="D56" s="52"/>
    </row>
    <row r="57" spans="2:21" hidden="1" outlineLevel="1" x14ac:dyDescent="0.25">
      <c r="B57" s="2" t="s">
        <v>83</v>
      </c>
      <c r="C57" s="6" t="str">
        <f ca="1">_xll.VIEW(db_name&amp;":}ElementAttributes_measure code","!","!")</f>
        <v>dcceew_geus:}ElementAttributes_measure code</v>
      </c>
      <c r="D57" s="6"/>
    </row>
    <row r="58" spans="2:21" hidden="1" outlineLevel="1" x14ac:dyDescent="0.25">
      <c r="B58" s="1" t="s">
        <v>84</v>
      </c>
      <c r="C58" s="6" t="str">
        <f ca="1">_xll.VIEW(db_name&amp;":programme details",psHLYear, psScenario,"!","!")</f>
        <v>dcceew_geus:programme details</v>
      </c>
    </row>
    <row r="59" spans="2:21" hidden="1" outlineLevel="1" x14ac:dyDescent="0.25">
      <c r="B59" s="1" t="s">
        <v>124</v>
      </c>
      <c r="C59" t="s">
        <v>74</v>
      </c>
    </row>
    <row r="60" spans="2:21" hidden="1" outlineLevel="1" x14ac:dyDescent="0.25"/>
    <row r="61" spans="2:21" hidden="1" outlineLevel="1" x14ac:dyDescent="0.25"/>
    <row r="62" spans="2:21" hidden="1" outlineLevel="1" x14ac:dyDescent="0.25"/>
    <row r="63" spans="2:21" hidden="1" outlineLevel="1" x14ac:dyDescent="0.25"/>
    <row r="64" spans="2:21" hidden="1" outlineLevel="1" x14ac:dyDescent="0.25"/>
    <row r="65" spans="1:49" ht="39.75" customHeight="1" collapsed="1" x14ac:dyDescent="0.25"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 t="s">
        <v>109</v>
      </c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</row>
    <row r="66" spans="1:49" ht="4.5" customHeight="1" x14ac:dyDescent="0.25">
      <c r="S66" s="11"/>
      <c r="V66" s="11"/>
    </row>
    <row r="67" spans="1:49" ht="24" customHeight="1" x14ac:dyDescent="0.25">
      <c r="S67" s="11"/>
      <c r="V67" s="11"/>
    </row>
    <row r="68" spans="1:49" ht="1.5" customHeight="1" x14ac:dyDescent="0.25"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</row>
    <row r="69" spans="1:49" ht="4.5" customHeight="1" x14ac:dyDescent="0.25">
      <c r="S69" s="11"/>
      <c r="V69" s="11"/>
    </row>
    <row r="70" spans="1:49" x14ac:dyDescent="0.25">
      <c r="M70" s="53" t="s">
        <v>46</v>
      </c>
      <c r="N70" s="54"/>
      <c r="S70" s="11"/>
      <c r="T70" s="53" t="s">
        <v>65</v>
      </c>
      <c r="U70" s="54"/>
      <c r="V70" s="11"/>
    </row>
    <row r="71" spans="1:49" x14ac:dyDescent="0.25">
      <c r="K71" s="11"/>
      <c r="L71" s="32" t="s">
        <v>49</v>
      </c>
      <c r="M71" s="57" t="str">
        <f ca="1">_xll.SUBNM(db_name&amp;":programme","","Administered Programmes","code and description")</f>
        <v/>
      </c>
      <c r="N71" s="57"/>
      <c r="O71" s="32"/>
      <c r="P71" s="11"/>
      <c r="S71" s="11"/>
      <c r="T71" s="11" t="s">
        <v>63</v>
      </c>
      <c r="U71" s="27" t="str">
        <f ca="1">_xll.SUBNM(db_name&amp;":period","",$T$46,)</f>
        <v/>
      </c>
      <c r="V71" s="11"/>
    </row>
    <row r="72" spans="1:49" x14ac:dyDescent="0.25">
      <c r="K72" s="11"/>
      <c r="L72" s="32" t="s">
        <v>47</v>
      </c>
      <c r="M72" s="57" t="str">
        <f ca="1">_xll.SUBNM(db_name&amp;":account","","2000000","code and description")</f>
        <v/>
      </c>
      <c r="N72" s="57"/>
      <c r="O72" s="32"/>
      <c r="P72" s="11"/>
      <c r="T72" s="11" t="s">
        <v>64</v>
      </c>
      <c r="U72" s="27" t="str">
        <f ca="1">_xll.SUBNM(db_name&amp;":period","",$U$46,)</f>
        <v/>
      </c>
      <c r="W72" s="56" t="str">
        <f ca="1">$U$52</f>
        <v>Please select a valid FE3 period</v>
      </c>
      <c r="X72" s="56"/>
    </row>
    <row r="73" spans="1:49" x14ac:dyDescent="0.25">
      <c r="K73" s="11"/>
      <c r="L73" s="32" t="s">
        <v>48</v>
      </c>
      <c r="M73" s="57" t="str">
        <f ca="1">_xll.SUBNM(db_name&amp;":movement account","","Total movement","code and description")</f>
        <v/>
      </c>
      <c r="N73" s="57"/>
      <c r="O73" s="32"/>
      <c r="P73" s="11"/>
      <c r="T73" s="11" t="s">
        <v>112</v>
      </c>
      <c r="U73" s="27" t="str">
        <f ca="1">_xll.SUBNM(db_name&amp;":sys_YesNo","","Yes",)</f>
        <v/>
      </c>
    </row>
    <row r="74" spans="1:49" x14ac:dyDescent="0.25">
      <c r="K74" s="11"/>
      <c r="L74" s="32" t="s">
        <v>62</v>
      </c>
      <c r="M74" s="57" t="str">
        <f ca="1">_xll.SUBNM(db_name&amp;":measure code","","Total Measures")</f>
        <v/>
      </c>
      <c r="N74" s="57"/>
      <c r="O74" s="32"/>
      <c r="P74" s="11"/>
      <c r="Q74" s="37" t="s">
        <v>97</v>
      </c>
    </row>
    <row r="75" spans="1:49" ht="4.5" customHeight="1" x14ac:dyDescent="0.25"/>
    <row r="76" spans="1:49" x14ac:dyDescent="0.25">
      <c r="J76" s="58"/>
      <c r="K76" s="58"/>
      <c r="L76" s="58"/>
      <c r="M76" s="58"/>
      <c r="N76" s="58"/>
      <c r="Q76" s="55" t="s">
        <v>79</v>
      </c>
      <c r="R76" s="55"/>
      <c r="S76" s="55"/>
      <c r="T76" s="55"/>
      <c r="U76" s="55"/>
      <c r="W76" s="55" t="s">
        <v>90</v>
      </c>
      <c r="X76" s="55"/>
      <c r="Y76" s="55"/>
      <c r="Z76" s="55"/>
      <c r="AA76" s="55"/>
      <c r="AC76" s="67" t="s">
        <v>81</v>
      </c>
      <c r="AD76" s="68"/>
      <c r="AF76" s="59" t="s">
        <v>120</v>
      </c>
      <c r="AG76" s="59"/>
      <c r="AH76" s="59"/>
      <c r="AI76" s="59"/>
      <c r="AJ76" s="43" t="s">
        <v>121</v>
      </c>
      <c r="AL76" s="60" t="s">
        <v>88</v>
      </c>
      <c r="AM76" s="61"/>
      <c r="AN76" s="61"/>
      <c r="AO76" s="61"/>
      <c r="AP76" s="62"/>
      <c r="AR76" s="66" t="s">
        <v>89</v>
      </c>
      <c r="AS76" s="66"/>
      <c r="AT76" s="66"/>
      <c r="AU76" s="66"/>
      <c r="AV76" s="66"/>
    </row>
    <row r="77" spans="1:49" ht="18" customHeight="1" x14ac:dyDescent="0.25">
      <c r="J77" s="58"/>
      <c r="K77" s="58"/>
      <c r="L77" s="58"/>
      <c r="M77" s="58"/>
      <c r="N77" s="58"/>
      <c r="Q77" s="55"/>
      <c r="R77" s="55"/>
      <c r="S77" s="55"/>
      <c r="T77" s="55"/>
      <c r="U77" s="55"/>
      <c r="W77" s="55"/>
      <c r="X77" s="55"/>
      <c r="Y77" s="55"/>
      <c r="Z77" s="55"/>
      <c r="AA77" s="55"/>
      <c r="AC77" s="69"/>
      <c r="AD77" s="70"/>
      <c r="AF77" s="44" t="str">
        <f ca="1">AF$42</f>
        <v>*KEY_ERR</v>
      </c>
      <c r="AG77" s="44" t="str">
        <f t="shared" ref="AG77:AH77" ca="1" si="4">AG$42</f>
        <v>*KEY_ERR</v>
      </c>
      <c r="AH77" s="44" t="str">
        <f t="shared" ca="1" si="4"/>
        <v>*KEY_ERR</v>
      </c>
      <c r="AI77" s="71"/>
      <c r="AJ77" s="73" t="s">
        <v>122</v>
      </c>
      <c r="AL77" s="63"/>
      <c r="AM77" s="64"/>
      <c r="AN77" s="64"/>
      <c r="AO77" s="64"/>
      <c r="AP77" s="65"/>
      <c r="AR77" s="66"/>
      <c r="AS77" s="66"/>
      <c r="AT77" s="66"/>
      <c r="AU77" s="66"/>
      <c r="AV77" s="66"/>
    </row>
    <row r="78" spans="1:49" x14ac:dyDescent="0.25">
      <c r="J78" s="36"/>
      <c r="Q78" s="16" t="s">
        <v>71</v>
      </c>
      <c r="R78" s="16" t="s">
        <v>75</v>
      </c>
      <c r="S78" s="16" t="s">
        <v>72</v>
      </c>
      <c r="T78" s="16" t="s">
        <v>73</v>
      </c>
      <c r="U78" s="16" t="s">
        <v>74</v>
      </c>
      <c r="W78" s="16" t="s">
        <v>71</v>
      </c>
      <c r="X78" s="16" t="s">
        <v>75</v>
      </c>
      <c r="Y78" s="16" t="s">
        <v>72</v>
      </c>
      <c r="Z78" s="16" t="s">
        <v>73</v>
      </c>
      <c r="AA78" s="16" t="s">
        <v>74</v>
      </c>
      <c r="AC78" s="29" t="s">
        <v>73</v>
      </c>
      <c r="AD78" s="29" t="s">
        <v>74</v>
      </c>
      <c r="AF78" s="45" t="s">
        <v>76</v>
      </c>
      <c r="AG78" s="45" t="s">
        <v>77</v>
      </c>
      <c r="AH78" s="45" t="s">
        <v>78</v>
      </c>
      <c r="AI78" s="72"/>
      <c r="AJ78" s="74"/>
      <c r="AL78" s="30" t="s">
        <v>71</v>
      </c>
      <c r="AM78" s="30" t="s">
        <v>75</v>
      </c>
      <c r="AN78" s="30" t="s">
        <v>72</v>
      </c>
      <c r="AO78" s="30" t="s">
        <v>73</v>
      </c>
      <c r="AP78" s="30" t="s">
        <v>74</v>
      </c>
      <c r="AR78" s="31" t="s">
        <v>71</v>
      </c>
      <c r="AS78" s="31" t="s">
        <v>75</v>
      </c>
      <c r="AT78" s="31" t="s">
        <v>72</v>
      </c>
      <c r="AU78" s="31" t="s">
        <v>73</v>
      </c>
      <c r="AV78" s="31" t="s">
        <v>74</v>
      </c>
    </row>
    <row r="79" spans="1:49" ht="30.75" thickBot="1" x14ac:dyDescent="0.3">
      <c r="F79" t="s">
        <v>85</v>
      </c>
      <c r="J79" s="16" t="s">
        <v>61</v>
      </c>
      <c r="K79" s="16" t="s">
        <v>91</v>
      </c>
      <c r="L79" s="16" t="s">
        <v>92</v>
      </c>
      <c r="M79" s="35" t="s">
        <v>94</v>
      </c>
      <c r="N79" s="35" t="s">
        <v>95</v>
      </c>
      <c r="O79" s="35" t="s">
        <v>96</v>
      </c>
      <c r="Q79" s="16" t="str">
        <f ca="1">Q$46</f>
        <v/>
      </c>
      <c r="R79" s="16" t="str">
        <f t="shared" ref="R79:U79" ca="1" si="5">R$46</f>
        <v/>
      </c>
      <c r="S79" s="16" t="str">
        <f t="shared" ca="1" si="5"/>
        <v/>
      </c>
      <c r="T79" s="16" t="str">
        <f t="shared" ca="1" si="5"/>
        <v/>
      </c>
      <c r="U79" s="16" t="str">
        <f t="shared" ca="1" si="5"/>
        <v/>
      </c>
      <c r="W79" s="16" t="str">
        <f ca="1">W$46</f>
        <v/>
      </c>
      <c r="X79" s="16" t="str">
        <f t="shared" ref="X79:AA79" ca="1" si="6">X$46</f>
        <v/>
      </c>
      <c r="Y79" s="16" t="str">
        <f t="shared" ca="1" si="6"/>
        <v/>
      </c>
      <c r="Z79" s="16" t="str">
        <f t="shared" ca="1" si="6"/>
        <v/>
      </c>
      <c r="AA79" s="16" t="str">
        <f t="shared" ca="1" si="6"/>
        <v/>
      </c>
      <c r="AC79" s="29" t="str">
        <f t="shared" ref="AC79:AD79" ca="1" si="7">AC$46</f>
        <v/>
      </c>
      <c r="AD79" s="29" t="str">
        <f t="shared" ca="1" si="7"/>
        <v/>
      </c>
      <c r="AF79" s="45" t="str">
        <f ca="1">AF$46</f>
        <v/>
      </c>
      <c r="AG79" s="45" t="str">
        <f t="shared" ref="AG79:AH79" ca="1" si="8">AG$46</f>
        <v/>
      </c>
      <c r="AH79" s="45" t="str">
        <f t="shared" ca="1" si="8"/>
        <v/>
      </c>
      <c r="AI79" s="45" t="str">
        <f ca="1">AI$46</f>
        <v/>
      </c>
      <c r="AJ79" s="29" t="str">
        <f ca="1">AJ$46</f>
        <v/>
      </c>
      <c r="AL79" s="30" t="str">
        <f ca="1">AL$46</f>
        <v/>
      </c>
      <c r="AM79" s="30" t="str">
        <f t="shared" ref="AM79:AP79" ca="1" si="9">AM$46</f>
        <v/>
      </c>
      <c r="AN79" s="30" t="str">
        <f t="shared" ca="1" si="9"/>
        <v/>
      </c>
      <c r="AO79" s="30" t="str">
        <f t="shared" ca="1" si="9"/>
        <v/>
      </c>
      <c r="AP79" s="30" t="str">
        <f t="shared" ca="1" si="9"/>
        <v/>
      </c>
      <c r="AR79" s="31" t="str">
        <f ca="1">AR$46</f>
        <v/>
      </c>
      <c r="AS79" s="31" t="str">
        <f t="shared" ref="AS79:AV79" ca="1" si="10">AS$46</f>
        <v/>
      </c>
      <c r="AT79" s="31" t="str">
        <f t="shared" ca="1" si="10"/>
        <v/>
      </c>
      <c r="AU79" s="31" t="str">
        <f t="shared" ca="1" si="10"/>
        <v/>
      </c>
      <c r="AV79" s="31" t="str">
        <f t="shared" ca="1" si="10"/>
        <v/>
      </c>
    </row>
    <row r="80" spans="1:49" ht="15.75" thickBot="1" x14ac:dyDescent="0.3">
      <c r="A80">
        <f ca="1">IF(_xll.TM1RPTELISCONSOLIDATED($B$80,$B80),IF(_xll.TM1RPTELLEV($B$80,$B80)&lt;=3,_xll.TM1RPTELLEV($B$80,$B80),"D"),"N")</f>
        <v>0</v>
      </c>
      <c r="B80" s="46" t="str">
        <f ca="1">_xll.TM1RPTROW($C$43,db_name&amp;":programme","","","code and description",0,$C$46)</f>
        <v/>
      </c>
      <c r="C80" s="20" t="str">
        <f ca="1">_xll.TM1RPTROW($C$43,db_name&amp;":account","","","",0,$C$47)</f>
        <v/>
      </c>
      <c r="D80" s="20" t="str">
        <f ca="1">_xll.TM1RPTROW($C$43,db_name&amp;":movement account","","","",0,$C$48)</f>
        <v/>
      </c>
      <c r="E80" s="6"/>
      <c r="F80" s="6"/>
      <c r="G80" s="6"/>
      <c r="H80" s="6"/>
      <c r="J80" s="17" t="str">
        <f ca="1">$B80</f>
        <v/>
      </c>
      <c r="K80" s="34" t="str">
        <f ca="1">_xll.DBR($C$58,psHLYear,psScenario,$B80,K$45)</f>
        <v>*KEY_ERR</v>
      </c>
      <c r="L80" s="39" t="str">
        <f ca="1">_xll.DBR($C$58,psHLYear,psScenario,$B80,L$45)</f>
        <v>*KEY_ERR</v>
      </c>
      <c r="M80" s="42" t="str">
        <f ca="1">_xll.DBR($C$58,psHLYear,psScenario,$B80,M$45)</f>
        <v>*KEY_ERR</v>
      </c>
      <c r="N80" s="41" t="str">
        <f ca="1">_xll.DBR($C$58,psHLYear,psScenario,$B80,N$45)</f>
        <v>*KEY_ERR</v>
      </c>
      <c r="O80" s="34" t="str">
        <f ca="1">_xll.DBR($C$58,psHLYear,psScenario,$B80,O$45)</f>
        <v>*KEY_ERR</v>
      </c>
      <c r="Q80" s="15" t="str">
        <f ca="1">_xll.DBRW($C$43,$B80,$C$50,$C80,$D80,$C$51,$C$52,$C$53,$M$74,$C$54,Q$46,Q$45)</f>
        <v/>
      </c>
      <c r="R80" s="15" t="str">
        <f ca="1">_xll.DBRW($C$43,$B80,$C$50,$C80,$D80,$C$51,$C$52,$C$53,$M$74,$C$54,R$46,R$45)</f>
        <v/>
      </c>
      <c r="S80" s="15" t="str">
        <f ca="1">_xll.DBRW($C$43,$B80,$C$50,$C80,$D80,$C$51,$C$52,$C$53,$M$74,$C$54,S$46,S$45)</f>
        <v/>
      </c>
      <c r="T80" s="15" t="str">
        <f ca="1">_xll.DBRW($C$43,$B80,$C$50,$C80,$D80,$C$51,$C$52,$C$53,$M$74,$C$54,T$46,T$45)</f>
        <v/>
      </c>
      <c r="U80" s="15" t="str">
        <f ca="1">_xll.DBRW($C$43,$B80,$C$50,$C80,$D80,$C$51,$C$52,$C$53,$M$74,$C$54,U$46,U$45)</f>
        <v/>
      </c>
      <c r="W80" s="15" t="str">
        <f ca="1">_xll.DBRW($C$43,$B80,$C$50,$C80,$D80,$C$51,$C$52,$C$53,$M$74,$C$54,W$46,W$45)</f>
        <v/>
      </c>
      <c r="X80" s="15" t="str">
        <f ca="1">_xll.DBRW($C$43,$B80,$C$50,$C80,$D80,$C$51,$C$52,$C$53,$M$74,$C$54,X$46,X$45)</f>
        <v/>
      </c>
      <c r="Y80" s="15" t="str">
        <f ca="1">_xll.DBRW($C$43,$B80,$C$50,$C80,$D80,$C$51,$C$52,$C$53,$M$74,$C$54,Y$46,Y$45)</f>
        <v/>
      </c>
      <c r="Z80" s="15" t="str">
        <f ca="1">_xll.DBRW($C$43,$B80,$C$50,$C80,$D80,$C$51,$C$52,$C$53,$M$74,$C$54,Z$46,Z$45)</f>
        <v/>
      </c>
      <c r="AA80" s="15" t="str">
        <f ca="1">_xll.DBRW($C$43,$B80,$C$50,$C80,$D80,$C$51,$C$52,$C$53,$M$74,$C$54,AA$46,AA$45)</f>
        <v/>
      </c>
      <c r="AC80" s="18" t="str">
        <f ca="1">_xll.DBRW($C$43,$B80,$C$50,$C80,$D80,$C$51,$C$52,$C$53,$M$74,$C$54,AC$46,AC$45)</f>
        <v/>
      </c>
      <c r="AD80" s="18" t="str">
        <f ca="1">_xll.DBRW($C$43,$B80,$C$50,$C80,$D80,$C$51,$C$52,$C$53,$M$74,$C$54,AD$46,AD$45)</f>
        <v/>
      </c>
      <c r="AF80" s="15" t="str">
        <f ca="1">_xll.DBRW($C$43,$B80,$C$50,$C80,$D80,$C$51,$C$52,$C$53,$M$74,$C$54,AF$46,AF$45)</f>
        <v/>
      </c>
      <c r="AG80" s="15" t="str">
        <f ca="1">_xll.DBRW($C$43,$B80,$C$50,$C80,$D80,$C$51,$C$52,$C$53,$M$74,$C$54,AG$46,AG$45)</f>
        <v/>
      </c>
      <c r="AH80" s="15" t="str">
        <f ca="1">_xll.DBRW($C$43,$B80,$C$50,$C80,$D80,$C$51,$C$52,$C$53,$M$74,$C$54,AH$46,AH$45)</f>
        <v/>
      </c>
      <c r="AI80" s="18" t="str">
        <f ca="1">_xll.DBRW($C$43,$B80,$C$50,$C80,$D80,$C$51,$C$52,$C$53,$M$74,$C$54,AI$46,AI$45)</f>
        <v/>
      </c>
      <c r="AJ80" s="18" t="e">
        <f ca="1">U80+AA80</f>
        <v>#VALUE!</v>
      </c>
      <c r="AL80" s="18" t="str">
        <f ca="1">_xll.DBRW($C$43,$B80,$C$50,$C80,$D80,$C$51,$C$52,$C$53,$M$74,$C$54,AL$46,AL$45)</f>
        <v/>
      </c>
      <c r="AM80" s="18" t="str">
        <f ca="1">_xll.DBRW($C$43,$B80,$C$50,$C80,$D80,$C$51,$C$52,$C$53,$M$74,$C$54,AM$46,AM$45)</f>
        <v/>
      </c>
      <c r="AN80" s="18" t="str">
        <f ca="1">_xll.DBRW($C$43,$B80,$C$50,$C80,$D80,$C$51,$C$52,$C$53,$M$74,$C$54,AN$46,AN$45)</f>
        <v/>
      </c>
      <c r="AO80" s="18" t="str">
        <f ca="1">_xll.DBRW($C$43,$B80,$C$50,$C80,$D80,$C$51,$C$52,$C$53,$M$74,$C$54,AO$46,AO$45)</f>
        <v/>
      </c>
      <c r="AP80" s="18" t="str">
        <f ca="1">_xll.DBRW($C$43,$B80,$C$50,$C80,$D80,$C$51,$C$52,$C$53,$M$74,$C$54,AP$46,AP$45)</f>
        <v/>
      </c>
      <c r="AR80" s="18" t="str">
        <f ca="1">_xll.DBRW($C$43,$B80,$C$50,$C80,$D80,$C$51,$C$52,$C$53,$M$74,$C$54,AR$46,AR$45)</f>
        <v/>
      </c>
      <c r="AS80" s="18" t="str">
        <f ca="1">_xll.DBRW($C$43,$B80,$C$50,$C80,$D80,$C$51,$C$52,$C$53,$M$74,$C$54,AS$46,AS$45)</f>
        <v/>
      </c>
      <c r="AT80" s="18" t="str">
        <f ca="1">_xll.DBRW($C$43,$B80,$C$50,$C80,$D80,$C$51,$C$52,$C$53,$M$74,$C$54,AT$46,AT$45)</f>
        <v/>
      </c>
      <c r="AU80" s="18" t="str">
        <f ca="1">_xll.DBRW($C$43,$B80,$C$50,$C80,$D80,$C$51,$C$52,$C$53,$M$74,$C$54,AU$46,AU$45)</f>
        <v/>
      </c>
      <c r="AV80" s="18" t="str">
        <f ca="1">_xll.DBRW($C$43,$B80,$C$50,$C80,$D80,$C$51,$C$52,$C$53,$M$74,$C$54,AV$46,AV$45)</f>
        <v/>
      </c>
    </row>
  </sheetData>
  <sheetProtection sheet="1" objects="1" scenarios="1"/>
  <mergeCells count="22">
    <mergeCell ref="AF76:AI76"/>
    <mergeCell ref="AL76:AP77"/>
    <mergeCell ref="AR76:AV77"/>
    <mergeCell ref="W76:AA77"/>
    <mergeCell ref="AC76:AD77"/>
    <mergeCell ref="AI77:AI78"/>
    <mergeCell ref="AJ77:AJ78"/>
    <mergeCell ref="Q76:U77"/>
    <mergeCell ref="B56:D56"/>
    <mergeCell ref="W72:X72"/>
    <mergeCell ref="M70:N70"/>
    <mergeCell ref="M71:N71"/>
    <mergeCell ref="M72:N72"/>
    <mergeCell ref="M73:N73"/>
    <mergeCell ref="M74:N74"/>
    <mergeCell ref="J76:N76"/>
    <mergeCell ref="J77:N77"/>
    <mergeCell ref="B11:D11"/>
    <mergeCell ref="B19:D19"/>
    <mergeCell ref="B42:D42"/>
    <mergeCell ref="B24:D24"/>
    <mergeCell ref="T70:U7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9" r:id="rId4" name="TIButton4">
          <controlPr defaultSize="0" print="0" autoLine="0" r:id="rId5">
            <anchor moveWithCells="1" sizeWithCells="1">
              <from>
                <xdr:col>9</xdr:col>
                <xdr:colOff>2371725</xdr:colOff>
                <xdr:row>66</xdr:row>
                <xdr:rowOff>9525</xdr:rowOff>
              </from>
              <to>
                <xdr:col>9</xdr:col>
                <xdr:colOff>3276600</xdr:colOff>
                <xdr:row>66</xdr:row>
                <xdr:rowOff>257175</xdr:rowOff>
              </to>
            </anchor>
          </controlPr>
        </control>
      </mc:Choice>
      <mc:Fallback>
        <control shapeId="1039" r:id="rId4" name="TIButton4"/>
      </mc:Fallback>
    </mc:AlternateContent>
    <mc:AlternateContent xmlns:mc="http://schemas.openxmlformats.org/markup-compatibility/2006">
      <mc:Choice Requires="x14">
        <control shapeId="1038" r:id="rId6" name="TIButton13">
          <controlPr defaultSize="0" print="0" autoLine="0" r:id="rId7">
            <anchor moveWithCells="1" sizeWithCells="1">
              <from>
                <xdr:col>9</xdr:col>
                <xdr:colOff>647700</xdr:colOff>
                <xdr:row>66</xdr:row>
                <xdr:rowOff>9525</xdr:rowOff>
              </from>
              <to>
                <xdr:col>9</xdr:col>
                <xdr:colOff>1676400</xdr:colOff>
                <xdr:row>66</xdr:row>
                <xdr:rowOff>257175</xdr:rowOff>
              </to>
            </anchor>
          </controlPr>
        </control>
      </mc:Choice>
      <mc:Fallback>
        <control shapeId="1038" r:id="rId6" name="TIButton13"/>
      </mc:Fallback>
    </mc:AlternateContent>
    <mc:AlternateContent xmlns:mc="http://schemas.openxmlformats.org/markup-compatibility/2006">
      <mc:Choice Requires="x14">
        <control shapeId="1036" r:id="rId8" name="TIButton11">
          <controlPr defaultSize="0" print="0" autoLine="0" r:id="rId9">
            <anchor moveWithCells="1" sizeWithCells="1">
              <from>
                <xdr:col>16</xdr:col>
                <xdr:colOff>647700</xdr:colOff>
                <xdr:row>65</xdr:row>
                <xdr:rowOff>47625</xdr:rowOff>
              </from>
              <to>
                <xdr:col>17</xdr:col>
                <xdr:colOff>542925</xdr:colOff>
                <xdr:row>66</xdr:row>
                <xdr:rowOff>238125</xdr:rowOff>
              </to>
            </anchor>
          </controlPr>
        </control>
      </mc:Choice>
      <mc:Fallback>
        <control shapeId="1036" r:id="rId8" name="TIButton11"/>
      </mc:Fallback>
    </mc:AlternateContent>
    <mc:AlternateContent xmlns:mc="http://schemas.openxmlformats.org/markup-compatibility/2006">
      <mc:Choice Requires="x14">
        <control shapeId="1035" r:id="rId10" name="TIButton10">
          <controlPr defaultSize="0" print="0" autoLine="0" r:id="rId11">
            <anchor moveWithCells="1" sizeWithCells="1">
              <from>
                <xdr:col>14</xdr:col>
                <xdr:colOff>438150</xdr:colOff>
                <xdr:row>65</xdr:row>
                <xdr:rowOff>47625</xdr:rowOff>
              </from>
              <to>
                <xdr:col>16</xdr:col>
                <xdr:colOff>619125</xdr:colOff>
                <xdr:row>66</xdr:row>
                <xdr:rowOff>238125</xdr:rowOff>
              </to>
            </anchor>
          </controlPr>
        </control>
      </mc:Choice>
      <mc:Fallback>
        <control shapeId="1035" r:id="rId10" name="TIButton10"/>
      </mc:Fallback>
    </mc:AlternateContent>
    <mc:AlternateContent xmlns:mc="http://schemas.openxmlformats.org/markup-compatibility/2006">
      <mc:Choice Requires="x14">
        <control shapeId="1034" r:id="rId12" name="TIButton9">
          <controlPr defaultSize="0" print="0" autoLine="0" r:id="rId13">
            <anchor moveWithCells="1" sizeWithCells="1">
              <from>
                <xdr:col>9</xdr:col>
                <xdr:colOff>3305175</xdr:colOff>
                <xdr:row>66</xdr:row>
                <xdr:rowOff>19050</xdr:rowOff>
              </from>
              <to>
                <xdr:col>11</xdr:col>
                <xdr:colOff>200025</xdr:colOff>
                <xdr:row>66</xdr:row>
                <xdr:rowOff>266700</xdr:rowOff>
              </to>
            </anchor>
          </controlPr>
        </control>
      </mc:Choice>
      <mc:Fallback>
        <control shapeId="1034" r:id="rId12" name="TIButton9"/>
      </mc:Fallback>
    </mc:AlternateContent>
    <mc:AlternateContent xmlns:mc="http://schemas.openxmlformats.org/markup-compatibility/2006">
      <mc:Choice Requires="x14">
        <control shapeId="1033" r:id="rId14" name="TIButton8">
          <controlPr defaultSize="0" print="0" autoLine="0" r:id="rId15">
            <anchor moveWithCells="1" sizeWithCells="1">
              <from>
                <xdr:col>12</xdr:col>
                <xdr:colOff>381000</xdr:colOff>
                <xdr:row>66</xdr:row>
                <xdr:rowOff>9525</xdr:rowOff>
              </from>
              <to>
                <xdr:col>13</xdr:col>
                <xdr:colOff>361950</xdr:colOff>
                <xdr:row>66</xdr:row>
                <xdr:rowOff>257175</xdr:rowOff>
              </to>
            </anchor>
          </controlPr>
        </control>
      </mc:Choice>
      <mc:Fallback>
        <control shapeId="1033" r:id="rId14" name="TIButton8"/>
      </mc:Fallback>
    </mc:AlternateContent>
    <mc:AlternateContent xmlns:mc="http://schemas.openxmlformats.org/markup-compatibility/2006">
      <mc:Choice Requires="x14">
        <control shapeId="1032" r:id="rId16" name="TIButton7">
          <controlPr defaultSize="0" print="0" autoLine="0" r:id="rId17">
            <anchor moveWithCells="1" sizeWithCells="1">
              <from>
                <xdr:col>11</xdr:col>
                <xdr:colOff>238125</xdr:colOff>
                <xdr:row>66</xdr:row>
                <xdr:rowOff>9525</xdr:rowOff>
              </from>
              <to>
                <xdr:col>12</xdr:col>
                <xdr:colOff>352425</xdr:colOff>
                <xdr:row>66</xdr:row>
                <xdr:rowOff>257175</xdr:rowOff>
              </to>
            </anchor>
          </controlPr>
        </control>
      </mc:Choice>
      <mc:Fallback>
        <control shapeId="1032" r:id="rId16" name="TIButton7"/>
      </mc:Fallback>
    </mc:AlternateContent>
    <mc:AlternateContent xmlns:mc="http://schemas.openxmlformats.org/markup-compatibility/2006">
      <mc:Choice Requires="x14">
        <control shapeId="1031" r:id="rId18" name="TIButton6">
          <controlPr defaultSize="0" print="0" autoLine="0" r:id="rId19">
            <anchor moveWithCells="1" sizeWithCells="1">
              <from>
                <xdr:col>13</xdr:col>
                <xdr:colOff>400050</xdr:colOff>
                <xdr:row>66</xdr:row>
                <xdr:rowOff>0</xdr:rowOff>
              </from>
              <to>
                <xdr:col>14</xdr:col>
                <xdr:colOff>409575</xdr:colOff>
                <xdr:row>66</xdr:row>
                <xdr:rowOff>247650</xdr:rowOff>
              </to>
            </anchor>
          </controlPr>
        </control>
      </mc:Choice>
      <mc:Fallback>
        <control shapeId="1031" r:id="rId18" name="TIButton6"/>
      </mc:Fallback>
    </mc:AlternateContent>
    <mc:AlternateContent xmlns:mc="http://schemas.openxmlformats.org/markup-compatibility/2006">
      <mc:Choice Requires="x14">
        <control shapeId="1027" r:id="rId20" name="TIButton3">
          <controlPr defaultSize="0" print="0" autoLine="0" r:id="rId21">
            <anchor moveWithCells="1" sizeWithCells="1">
              <from>
                <xdr:col>9</xdr:col>
                <xdr:colOff>1714500</xdr:colOff>
                <xdr:row>66</xdr:row>
                <xdr:rowOff>9525</xdr:rowOff>
              </from>
              <to>
                <xdr:col>9</xdr:col>
                <xdr:colOff>2343150</xdr:colOff>
                <xdr:row>66</xdr:row>
                <xdr:rowOff>257175</xdr:rowOff>
              </to>
            </anchor>
          </controlPr>
        </control>
      </mc:Choice>
      <mc:Fallback>
        <control shapeId="1027" r:id="rId20" name="TIButton3"/>
      </mc:Fallback>
    </mc:AlternateContent>
    <mc:AlternateContent xmlns:mc="http://schemas.openxmlformats.org/markup-compatibility/2006">
      <mc:Choice Requires="x14">
        <control shapeId="1026" r:id="rId22" name="TIButton2">
          <controlPr defaultSize="0" print="0" autoLine="0" r:id="rId23">
            <anchor moveWithCells="1" sizeWithCells="1">
              <from>
                <xdr:col>18</xdr:col>
                <xdr:colOff>733425</xdr:colOff>
                <xdr:row>65</xdr:row>
                <xdr:rowOff>47625</xdr:rowOff>
              </from>
              <to>
                <xdr:col>19</xdr:col>
                <xdr:colOff>447675</xdr:colOff>
                <xdr:row>66</xdr:row>
                <xdr:rowOff>238125</xdr:rowOff>
              </to>
            </anchor>
          </controlPr>
        </control>
      </mc:Choice>
      <mc:Fallback>
        <control shapeId="1026" r:id="rId22" name="TIButton2"/>
      </mc:Fallback>
    </mc:AlternateContent>
    <mc:AlternateContent xmlns:mc="http://schemas.openxmlformats.org/markup-compatibility/2006">
      <mc:Choice Requires="x14">
        <control shapeId="1025" r:id="rId24" name="TIButton1">
          <controlPr defaultSize="0" print="0" autoLine="0" autoPict="0" r:id="rId25">
            <anchor moveWithCells="1" sizeWithCells="1">
              <from>
                <xdr:col>8</xdr:col>
                <xdr:colOff>47625</xdr:colOff>
                <xdr:row>66</xdr:row>
                <xdr:rowOff>9525</xdr:rowOff>
              </from>
              <to>
                <xdr:col>9</xdr:col>
                <xdr:colOff>619125</xdr:colOff>
                <xdr:row>66</xdr:row>
                <xdr:rowOff>257175</xdr:rowOff>
              </to>
            </anchor>
          </controlPr>
        </control>
      </mc:Choice>
      <mc:Fallback>
        <control shapeId="1025" r:id="rId24" name="TIButton1"/>
      </mc:Fallback>
    </mc:AlternateContent>
    <mc:AlternateContent xmlns:mc="http://schemas.openxmlformats.org/markup-compatibility/2006">
      <mc:Choice Requires="x14">
        <control shapeId="1029" r:id="rId26" name="TIButton5">
          <controlPr defaultSize="0" print="0" autoLine="0" r:id="rId27">
            <anchor moveWithCells="1" sizeWithCells="1">
              <from>
                <xdr:col>26</xdr:col>
                <xdr:colOff>514350</xdr:colOff>
                <xdr:row>65</xdr:row>
                <xdr:rowOff>28575</xdr:rowOff>
              </from>
              <to>
                <xdr:col>26</xdr:col>
                <xdr:colOff>695325</xdr:colOff>
                <xdr:row>66</xdr:row>
                <xdr:rowOff>152400</xdr:rowOff>
              </to>
            </anchor>
          </controlPr>
        </control>
      </mc:Choice>
      <mc:Fallback>
        <control shapeId="1029" r:id="rId26" name="TIButton5"/>
      </mc:Fallback>
    </mc:AlternateContent>
    <mc:AlternateContent xmlns:mc="http://schemas.openxmlformats.org/markup-compatibility/2006">
      <mc:Choice Requires="x14">
        <control shapeId="1037" r:id="rId28" name="TIButton12">
          <controlPr defaultSize="0" print="0" autoLine="0" r:id="rId29">
            <anchor moveWithCells="1" sizeWithCells="1">
              <from>
                <xdr:col>17</xdr:col>
                <xdr:colOff>581025</xdr:colOff>
                <xdr:row>65</xdr:row>
                <xdr:rowOff>47625</xdr:rowOff>
              </from>
              <to>
                <xdr:col>18</xdr:col>
                <xdr:colOff>704850</xdr:colOff>
                <xdr:row>66</xdr:row>
                <xdr:rowOff>238125</xdr:rowOff>
              </to>
            </anchor>
          </controlPr>
        </control>
      </mc:Choice>
      <mc:Fallback>
        <control shapeId="1037" r:id="rId28" name="TIButton1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7E0F-378D-41EB-981A-8A812A363767}">
  <sheetPr codeName="Sheet2"/>
  <dimension ref="A1:A14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117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87</v>
      </c>
    </row>
    <row r="14" spans="1:1" x14ac:dyDescent="0.25">
      <c r="A1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53</vt:i4>
      </vt:variant>
    </vt:vector>
  </HeadingPairs>
  <TitlesOfParts>
    <vt:vector size="55" baseType="lpstr">
      <vt:lpstr>fe3 calculation</vt:lpstr>
      <vt:lpstr>{PL}PickLst</vt:lpstr>
      <vt:lpstr>db_name</vt:lpstr>
      <vt:lpstr>Freeze_here</vt:lpstr>
      <vt:lpstr>psAdjType</vt:lpstr>
      <vt:lpstr>psApp</vt:lpstr>
      <vt:lpstr>psCreateAdjByMeasures</vt:lpstr>
      <vt:lpstr>psFE2Year</vt:lpstr>
      <vt:lpstr>psFE3Year</vt:lpstr>
      <vt:lpstr>psHLYear</vt:lpstr>
      <vt:lpstr>psProg</vt:lpstr>
      <vt:lpstr>psScenario</vt:lpstr>
      <vt:lpstr>psUser</vt:lpstr>
      <vt:lpstr>TM1AdjIDListCAP</vt:lpstr>
      <vt:lpstr>TM1AdjIDListWB</vt:lpstr>
      <vt:lpstr>TM1AdjIDListWS</vt:lpstr>
      <vt:lpstr>TM1EDCAP</vt:lpstr>
      <vt:lpstr>TM1EDWB</vt:lpstr>
      <vt:lpstr>TM1EDWS</vt:lpstr>
      <vt:lpstr>TM1FE3CAP</vt:lpstr>
      <vt:lpstr>TM1FE3DetCAP</vt:lpstr>
      <vt:lpstr>TM1FE3DetWB</vt:lpstr>
      <vt:lpstr>TM1FE3DetWS</vt:lpstr>
      <vt:lpstr>TM1FE3RecoCAP</vt:lpstr>
      <vt:lpstr>TM1FE3RecoWB</vt:lpstr>
      <vt:lpstr>TM1FE3RecoWS</vt:lpstr>
      <vt:lpstr>TM1FE3WB</vt:lpstr>
      <vt:lpstr>TM1FE3WS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TM1IndexCAP</vt:lpstr>
      <vt:lpstr>TM1IndexFE3MapCAP</vt:lpstr>
      <vt:lpstr>TM1IndexFE3MapWB</vt:lpstr>
      <vt:lpstr>TM1IndexFE3MapWS</vt:lpstr>
      <vt:lpstr>TM1IndexFinCAP</vt:lpstr>
      <vt:lpstr>TM1IndexFinDCBCAP</vt:lpstr>
      <vt:lpstr>TM1IndexFinDCBWB</vt:lpstr>
      <vt:lpstr>TM1IndexFinDCBWS</vt:lpstr>
      <vt:lpstr>TM1IndexFinSubsetCAP</vt:lpstr>
      <vt:lpstr>TM1IndexFinSubsetWB</vt:lpstr>
      <vt:lpstr>TM1IndexFinSubsetWS</vt:lpstr>
      <vt:lpstr>TM1IndexFinWB</vt:lpstr>
      <vt:lpstr>TM1IndexFinWS</vt:lpstr>
      <vt:lpstr>TM1IndexWB</vt:lpstr>
      <vt:lpstr>TM1IndexWS</vt:lpstr>
      <vt:lpstr>'fe3 calculation'!TM1RPTDATARNG1</vt:lpstr>
      <vt:lpstr>'fe3 calculation'!TM1RPTFMTIDCOL</vt:lpstr>
      <vt:lpstr>'fe3 calculation'!TM1RPTFMTRNG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2019-08-12T04:26:51Z</dcterms:created>
  <dcterms:modified xsi:type="dcterms:W3CDTF">2025-08-05T04:28:29Z</dcterms:modified>
</cp:coreProperties>
</file>