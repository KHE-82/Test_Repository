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5EFE98A-6009-4F61-B5D4-A9391E6358D7}" xr6:coauthVersionLast="47" xr6:coauthVersionMax="47" xr10:uidLastSave="{00000000-0000-0000-0000-000000000000}"/>
  <bookViews>
    <workbookView xWindow="-120" yWindow="-120" windowWidth="29040" windowHeight="15840" xr2:uid="{33A0E5D6-773B-490E-83E9-6059A0F886A7}"/>
  </bookViews>
  <sheets>
    <sheet name="notes" sheetId="1" r:id="rId1"/>
    <sheet name="{PL}PickLst" sheetId="2" state="hidden" r:id="rId2"/>
  </sheets>
  <definedNames>
    <definedName name="db_name">notes!$C$12</definedName>
    <definedName name="psApp">notes!$C$30</definedName>
    <definedName name="psUser">notes!$C$14</definedName>
    <definedName name="TM1HomeAdminCAP">notes!$D$33</definedName>
    <definedName name="TM1HomeAdminWB">notes!$F$33</definedName>
    <definedName name="TM1HomeAdminWS">notes!$H$33</definedName>
    <definedName name="TM1HomeCAP">notes!$D$32</definedName>
    <definedName name="TM1HomeWB">notes!$F$32</definedName>
    <definedName name="TM1HomeWS">notes!$H$32</definedName>
    <definedName name="TM1NotesAllCAP">notes!$D$35</definedName>
    <definedName name="TM1NotesAllWB">notes!$F$35</definedName>
    <definedName name="TM1NotesAllWS">notes!$H$35</definedName>
    <definedName name="TM1NotesClientCAP">notes!$D$34</definedName>
    <definedName name="TM1NotesClientWB">notes!$F$34</definedName>
    <definedName name="TM1NotesClientWS">notes!$H$34</definedName>
    <definedName name="TM1REBUILDOPTION">1</definedName>
    <definedName name="TM1RPTDATARNG1" localSheetId="0">notes!$56:$56</definedName>
    <definedName name="TM1RPTFMTIDCOL" localSheetId="0">notes!$A$1:$A$8</definedName>
    <definedName name="TM1RPTFMTRNG" localSheetId="0">notes!$J$1:$P$8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/>
  <c r="C21" i="1"/>
  <c r="L51" i="1"/>
  <c r="C39" i="1"/>
  <c r="C41" i="1"/>
  <c r="J56" i="1"/>
  <c r="O51" i="1"/>
  <c r="C29" i="1"/>
  <c r="C25" i="1"/>
  <c r="O53" i="1"/>
  <c r="C22" i="1"/>
  <c r="O52" i="1"/>
  <c r="C26" i="1"/>
  <c r="C24" i="1"/>
  <c r="C23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C13" i="1"/>
  <c r="C14" i="1"/>
  <c r="C15" i="1"/>
  <c r="C17" i="1"/>
  <c r="C16" i="1"/>
  <c r="P56" i="1"/>
  <c r="O56" i="1"/>
  <c r="N56" i="1"/>
  <c r="M56" i="1"/>
  <c r="L56" i="1"/>
  <c r="K56" i="1"/>
  <c r="A56" i="1"/>
  <c r="A5" i="1"/>
  <c r="A4" i="1"/>
  <c r="A3" i="1"/>
  <c r="A2" i="1"/>
</calcChain>
</file>

<file path=xl/sharedStrings.xml><?xml version="1.0" encoding="utf-8"?>
<sst xmlns="http://schemas.openxmlformats.org/spreadsheetml/2006/main" count="61" uniqueCount="53">
  <si>
    <t>headline year</t>
  </si>
  <si>
    <t>Description</t>
  </si>
  <si>
    <t>Status</t>
  </si>
  <si>
    <t>Created By</t>
  </si>
  <si>
    <t>Created Date</t>
  </si>
  <si>
    <t>Completed by</t>
  </si>
  <si>
    <t>Completed Date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</si>
  <si>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</si>
  <si>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</si>
  <si>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</si>
  <si>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</si>
  <si>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</si>
  <si>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</si>
  <si>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</si>
  <si>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</si>
  <si>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</si>
  <si>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</si>
  <si>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</si>
  <si>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sys_application</t>
  </si>
  <si>
    <t>Slice View</t>
  </si>
  <si>
    <t>Current Workbook</t>
  </si>
  <si>
    <t>Notes - Client Specific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</si>
  <si>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</si>
  <si>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</si>
  <si>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</si>
  <si>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</si>
  <si>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</si>
  <si>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</si>
  <si>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</si>
  <si>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Administration</t>
  </si>
  <si>
    <t>Notes - All</t>
  </si>
  <si>
    <t>System Variables</t>
  </si>
  <si>
    <t>View</t>
  </si>
  <si>
    <t>headline scenario</t>
  </si>
  <si>
    <t>archive year</t>
  </si>
  <si>
    <t>archive scenario</t>
  </si>
  <si>
    <t>current budget round</t>
  </si>
  <si>
    <t>save location</t>
  </si>
  <si>
    <t>REPORT PARAMETERS</t>
  </si>
  <si>
    <t>Headline Year :</t>
  </si>
  <si>
    <t>Scenario :</t>
  </si>
  <si>
    <t>CBMS Current Round :</t>
  </si>
  <si>
    <t>CURRENT GEUS PARAMETERS</t>
  </si>
  <si>
    <t>AE Follow Up Register</t>
  </si>
  <si>
    <t>Active Form</t>
  </si>
  <si>
    <t>Register ID MDX</t>
  </si>
  <si>
    <t>Register ID</t>
  </si>
  <si>
    <t>Completed By</t>
  </si>
  <si>
    <t xml:space="preserve">Note : This screen is used to manage as a follow up register for ALL users in GEUS to assist the processes within GEUS and CBMS within the CURRENT Headline Year. These are all FREE TEXT fields. </t>
  </si>
  <si>
    <t xml:space="preserve">Note Register - All </t>
  </si>
  <si>
    <t>Open</t>
  </si>
  <si>
    <t>Complete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</si>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</sst>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2" borderId="0" xfId="0" applyFont="1" applyFill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0" xfId="0" applyFont="1" applyAlignment="1">
      <alignment horizontal="right" indent="1"/>
    </xf>
    <xf numFmtId="0" fontId="5" fillId="3" borderId="4" xfId="0" applyFont="1" applyFill="1" applyBorder="1" applyAlignment="1">
      <alignment horizontal="left" indent="1"/>
    </xf>
    <xf numFmtId="0" fontId="1" fillId="4" borderId="5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right" vertical="center"/>
    </xf>
    <xf numFmtId="0" fontId="8" fillId="0" borderId="0" xfId="0" applyFont="1"/>
    <xf numFmtId="0" fontId="6" fillId="6" borderId="4" xfId="0" applyFont="1" applyFill="1" applyBorder="1" applyAlignment="1">
      <alignment vertical="top"/>
    </xf>
    <xf numFmtId="0" fontId="6" fillId="6" borderId="4" xfId="0" applyFont="1" applyFill="1" applyBorder="1" applyAlignment="1">
      <alignment horizontal="center" vertical="top"/>
    </xf>
    <xf numFmtId="0" fontId="4" fillId="6" borderId="4" xfId="0" applyFont="1" applyFill="1" applyBorder="1" applyAlignment="1">
      <alignment vertical="top"/>
    </xf>
    <xf numFmtId="49" fontId="6" fillId="6" borderId="4" xfId="0" applyNumberFormat="1" applyFont="1" applyFill="1" applyBorder="1" applyAlignment="1">
      <alignment horizontal="center" vertical="top"/>
    </xf>
    <xf numFmtId="0" fontId="5" fillId="0" borderId="4" xfId="0" applyFont="1" applyBorder="1" applyAlignment="1" applyProtection="1">
      <alignment horizontal="left" indent="1"/>
      <protection locked="0"/>
    </xf>
    <xf numFmtId="0" fontId="4" fillId="0" borderId="4" xfId="0" applyFont="1" applyBorder="1" applyAlignment="1" applyProtection="1">
      <alignment vertical="top"/>
      <protection locked="0"/>
    </xf>
    <xf numFmtId="0" fontId="1" fillId="4" borderId="5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top"/>
    </xf>
    <xf numFmtId="0" fontId="4" fillId="0" borderId="4" xfId="0" applyFont="1" applyBorder="1" applyAlignment="1" applyProtection="1">
      <alignment horizontal="center" vertical="top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42</xdr:row>
      <xdr:rowOff>19050</xdr:rowOff>
    </xdr:from>
    <xdr:to>
      <xdr:col>10</xdr:col>
      <xdr:colOff>973455</xdr:colOff>
      <xdr:row>42</xdr:row>
      <xdr:rowOff>472440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44</xdr:row>
      <xdr:rowOff>0</xdr:rowOff>
    </xdr:from>
    <xdr:to>
      <xdr:col>9</xdr:col>
      <xdr:colOff>438150</xdr:colOff>
      <xdr:row>44</xdr:row>
      <xdr:rowOff>247650</xdr:rowOff>
    </xdr:to>
    <xdr:sp macro="Sheet1.ExecuteAction_52ee1fcd_ef7e_45c8_8f52_b92f9e7262e6" textlink="TM1HomeCAP">
      <xdr:nvSpPr>
        <xdr:cNvPr id="2" name="TM1Button_52ee1fcd_ef7e_45c8_8f52_b92f9e7262e6">
          <a:extLst>
            <a:ext uri="{FF2B5EF4-FFF2-40B4-BE49-F238E27FC236}">
              <a16:creationId xmlns:a16="http://schemas.microsoft.com/office/drawing/2014/main" id="{54D12868-FD40-3C71-040E-3BAC6CDBC04B}"/>
            </a:ext>
          </a:extLst>
        </xdr:cNvPr>
        <xdr:cNvSpPr txBox="1"/>
      </xdr:nvSpPr>
      <xdr:spPr>
        <a:xfrm>
          <a:off x="66675" y="561975"/>
          <a:ext cx="4286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58EF07A-A295-4FEE-92CF-06DE547CAF9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771525</xdr:colOff>
      <xdr:row>44</xdr:row>
      <xdr:rowOff>0</xdr:rowOff>
    </xdr:from>
    <xdr:to>
      <xdr:col>10</xdr:col>
      <xdr:colOff>1295400</xdr:colOff>
      <xdr:row>44</xdr:row>
      <xdr:rowOff>247650</xdr:rowOff>
    </xdr:to>
    <xdr:sp macro="Sheet1.ExecuteAction_d32a9b65_dba6_4c27_945c_254f427acbb9" textlink="">
      <xdr:nvSpPr>
        <xdr:cNvPr id="3" name="TM1Button_d32a9b65_dba6_4c27_945c_254f427acbb9">
          <a:extLst>
            <a:ext uri="{FF2B5EF4-FFF2-40B4-BE49-F238E27FC236}">
              <a16:creationId xmlns:a16="http://schemas.microsoft.com/office/drawing/2014/main" id="{02F71213-4CD1-2C3A-59E4-7614084236E5}"/>
            </a:ext>
          </a:extLst>
        </xdr:cNvPr>
        <xdr:cNvSpPr txBox="1"/>
      </xdr:nvSpPr>
      <xdr:spPr>
        <a:xfrm>
          <a:off x="1628775" y="561975"/>
          <a:ext cx="5238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1066800</xdr:colOff>
      <xdr:row>43</xdr:row>
      <xdr:rowOff>28575</xdr:rowOff>
    </xdr:from>
    <xdr:to>
      <xdr:col>15</xdr:col>
      <xdr:colOff>1276350</xdr:colOff>
      <xdr:row>44</xdr:row>
      <xdr:rowOff>180975</xdr:rowOff>
    </xdr:to>
    <xdr:sp macro="Sheet1.ExecuteAction_a03acdd5_c192_4873_9dcc_01d552f8a384" textlink="">
      <xdr:nvSpPr>
        <xdr:cNvPr id="4" name="TM1Button_a03acdd5_c192_4873_9dcc_01d552f8a384">
          <a:extLst>
            <a:ext uri="{FF2B5EF4-FFF2-40B4-BE49-F238E27FC236}">
              <a16:creationId xmlns:a16="http://schemas.microsoft.com/office/drawing/2014/main" id="{E0FA7874-6451-BE5D-5A99-A7ED88E9FA31}"/>
            </a:ext>
          </a:extLst>
        </xdr:cNvPr>
        <xdr:cNvSpPr txBox="1"/>
      </xdr:nvSpPr>
      <xdr:spPr>
        <a:xfrm>
          <a:off x="12925425" y="533400"/>
          <a:ext cx="209550" cy="2095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495300</xdr:colOff>
      <xdr:row>44</xdr:row>
      <xdr:rowOff>0</xdr:rowOff>
    </xdr:from>
    <xdr:to>
      <xdr:col>10</xdr:col>
      <xdr:colOff>723900</xdr:colOff>
      <xdr:row>44</xdr:row>
      <xdr:rowOff>247650</xdr:rowOff>
    </xdr:to>
    <xdr:sp macro="Sheet1.ExecuteAction_77446c9f_ef46_40fa_ac2f_54610dee5709" textlink="">
      <xdr:nvSpPr>
        <xdr:cNvPr id="5" name="TM1Button_77446c9f_ef46_40fa_ac2f_54610dee5709">
          <a:extLst>
            <a:ext uri="{FF2B5EF4-FFF2-40B4-BE49-F238E27FC236}">
              <a16:creationId xmlns:a16="http://schemas.microsoft.com/office/drawing/2014/main" id="{A384E9E6-A2A7-BEDE-A53D-5EA3BD3DF23C}"/>
            </a:ext>
          </a:extLst>
        </xdr:cNvPr>
        <xdr:cNvSpPr txBox="1"/>
      </xdr:nvSpPr>
      <xdr:spPr>
        <a:xfrm>
          <a:off x="552450" y="561975"/>
          <a:ext cx="10287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Personal Notes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ADFA-3A99-4326-855B-705787F22FEE}">
  <sheetPr codeName="Sheet1">
    <outlinePr showOutlineSymbols="0"/>
    <pageSetUpPr fitToPage="1"/>
  </sheetPr>
  <dimension ref="A1:P56"/>
  <sheetViews>
    <sheetView showGridLines="0" showRowColHeaders="0" tabSelected="1" showOutlineSymbols="0" topLeftCell="I43" zoomScaleNormal="100" workbookViewId="0"/>
  </sheetViews>
  <sheetFormatPr defaultRowHeight="15" outlineLevelRow="1" outlineLevelCol="1" x14ac:dyDescent="0.25"/>
  <cols>
    <col min="1" max="1" width="2.7109375" hidden="1" customWidth="1" outlineLevel="1"/>
    <col min="2" max="2" width="26" hidden="1" customWidth="1" outlineLevel="1"/>
    <col min="3" max="5" width="18" hidden="1" customWidth="1" outlineLevel="1"/>
    <col min="6" max="6" width="21.5703125" hidden="1" customWidth="1" outlineLevel="1"/>
    <col min="7" max="8" width="18" hidden="1" customWidth="1" outlineLevel="1"/>
    <col min="9" max="9" width="0.85546875" customWidth="1" collapsed="1"/>
    <col min="10" max="10" width="12" customWidth="1"/>
    <col min="11" max="11" width="80.7109375" customWidth="1"/>
    <col min="12" max="12" width="22.140625" customWidth="1"/>
    <col min="13" max="16" width="20.7109375" customWidth="1"/>
  </cols>
  <sheetData>
    <row r="1" spans="1:16" hidden="1" outlineLevel="1" x14ac:dyDescent="0.25">
      <c r="A1" t="s">
        <v>9</v>
      </c>
    </row>
    <row r="2" spans="1:16" hidden="1" outlineLevel="1" x14ac:dyDescent="0.25">
      <c r="A2">
        <f>0</f>
        <v>0</v>
      </c>
      <c r="J2" s="13"/>
      <c r="K2" s="15"/>
      <c r="L2" s="20"/>
      <c r="M2" s="20"/>
      <c r="N2" s="20"/>
      <c r="O2" s="20"/>
      <c r="P2" s="20"/>
    </row>
    <row r="3" spans="1:16" hidden="1" outlineLevel="1" x14ac:dyDescent="0.25">
      <c r="A3">
        <f>1</f>
        <v>1</v>
      </c>
      <c r="J3" s="13"/>
      <c r="K3" s="18"/>
      <c r="L3" s="21"/>
      <c r="M3" s="21"/>
      <c r="N3" s="21"/>
      <c r="O3" s="21"/>
      <c r="P3" s="21"/>
    </row>
    <row r="4" spans="1:16" hidden="1" outlineLevel="1" x14ac:dyDescent="0.25">
      <c r="A4">
        <f>2</f>
        <v>2</v>
      </c>
      <c r="J4" s="13"/>
      <c r="K4" s="18"/>
      <c r="L4" s="21"/>
      <c r="M4" s="21"/>
      <c r="N4" s="21"/>
      <c r="O4" s="21"/>
      <c r="P4" s="21"/>
    </row>
    <row r="5" spans="1:16" hidden="1" outlineLevel="1" x14ac:dyDescent="0.25">
      <c r="A5">
        <f>3</f>
        <v>3</v>
      </c>
      <c r="J5" s="13"/>
      <c r="K5" s="18"/>
      <c r="L5" s="21"/>
      <c r="M5" s="21"/>
      <c r="N5" s="21"/>
      <c r="O5" s="21"/>
      <c r="P5" s="21"/>
    </row>
    <row r="6" spans="1:16" hidden="1" outlineLevel="1" x14ac:dyDescent="0.25">
      <c r="A6" t="s">
        <v>7</v>
      </c>
      <c r="J6" s="13"/>
      <c r="K6" s="18"/>
      <c r="L6" s="21"/>
      <c r="M6" s="21"/>
      <c r="N6" s="21"/>
      <c r="O6" s="21"/>
      <c r="P6" s="21"/>
    </row>
    <row r="7" spans="1:16" hidden="1" outlineLevel="1" x14ac:dyDescent="0.25">
      <c r="A7" t="s">
        <v>8</v>
      </c>
      <c r="J7" s="14"/>
      <c r="K7" s="18"/>
      <c r="L7" s="21"/>
      <c r="M7" s="21"/>
      <c r="N7" s="21"/>
      <c r="O7" s="21"/>
      <c r="P7" s="21"/>
    </row>
    <row r="8" spans="1:16" hidden="1" outlineLevel="1" x14ac:dyDescent="0.25">
      <c r="A8" t="s">
        <v>10</v>
      </c>
    </row>
    <row r="9" spans="1:16" hidden="1" outlineLevel="1" x14ac:dyDescent="0.25"/>
    <row r="10" spans="1:16" hidden="1" outlineLevel="1" x14ac:dyDescent="0.25"/>
    <row r="11" spans="1:16" hidden="1" outlineLevel="1" x14ac:dyDescent="0.25">
      <c r="B11" s="22" t="s">
        <v>11</v>
      </c>
      <c r="C11" s="23"/>
      <c r="D11" s="24"/>
    </row>
    <row r="12" spans="1:16" hidden="1" outlineLevel="1" x14ac:dyDescent="0.25">
      <c r="B12" s="2" t="s">
        <v>12</v>
      </c>
      <c r="C12" s="3" t="s">
        <v>52</v>
      </c>
      <c r="D12" s="4"/>
    </row>
    <row r="13" spans="1:16" hidden="1" outlineLevel="1" x14ac:dyDescent="0.25">
      <c r="B13" s="2" t="s">
        <v>13</v>
      </c>
      <c r="C13" s="5" t="str">
        <f>_xll.VIEW(db_name&amp;":}ElementAttributes_}Clients","!","!")</f>
        <v>finance_geus:}ElementAttributes_}Clients:1264217196-1916393286</v>
      </c>
      <c r="D13" s="4"/>
    </row>
    <row r="14" spans="1:16" hidden="1" outlineLevel="1" x14ac:dyDescent="0.25">
      <c r="B14" s="2" t="s">
        <v>14</v>
      </c>
      <c r="C14" s="3" t="str">
        <f ca="1">_xll.TM1USER(db_name)</f>
        <v>RECALC_0_100_</v>
      </c>
      <c r="D14" s="4"/>
    </row>
    <row r="15" spans="1:16" hidden="1" outlineLevel="1" x14ac:dyDescent="0.25">
      <c r="B15" s="2" t="s">
        <v>15</v>
      </c>
      <c r="C15" s="3" t="str">
        <f ca="1">_xll.DBR($C$13,$C$14,$B15)</f>
        <v>RECALC_1_101_</v>
      </c>
      <c r="D15" s="4"/>
    </row>
    <row r="16" spans="1:16" hidden="1" outlineLevel="1" x14ac:dyDescent="0.25">
      <c r="B16" s="2" t="s">
        <v>16</v>
      </c>
      <c r="C16" s="3" t="str">
        <f ca="1">_xll.DBR($C$13,$C$14,$B16)</f>
        <v>RECALC_1_232_</v>
      </c>
      <c r="D16" s="4"/>
    </row>
    <row r="17" spans="2:8" hidden="1" outlineLevel="1" x14ac:dyDescent="0.25">
      <c r="B17" s="2" t="s">
        <v>17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22" t="s">
        <v>31</v>
      </c>
      <c r="C19" s="23"/>
      <c r="D19" s="24"/>
    </row>
    <row r="20" spans="2:8" hidden="1" outlineLevel="1" x14ac:dyDescent="0.25">
      <c r="B20" s="2" t="s">
        <v>32</v>
      </c>
      <c r="C20" s="6" t="str">
        <f>_xll.VIEW(db_name&amp;":}ElementAttributes_variables","!","!")</f>
        <v>finance_geus:}ElementAttributes_variables:1264217196-1197796099</v>
      </c>
      <c r="D20" s="6"/>
    </row>
    <row r="21" spans="2:8" hidden="1" outlineLevel="1" x14ac:dyDescent="0.25">
      <c r="B21" s="2" t="s">
        <v>0</v>
      </c>
      <c r="C21" s="6" t="str">
        <f ca="1">_xll.DBR($C$20,$B21,"value")</f>
        <v>RECALC_0_231_</v>
      </c>
      <c r="D21" s="6"/>
    </row>
    <row r="22" spans="2:8" hidden="1" outlineLevel="1" x14ac:dyDescent="0.25">
      <c r="B22" s="2" t="s">
        <v>33</v>
      </c>
      <c r="C22" s="6" t="str">
        <f ca="1">_xll.DBR($C$20,$B22,"value")</f>
        <v>RECALC_0_230_</v>
      </c>
      <c r="D22" s="6"/>
    </row>
    <row r="23" spans="2:8" hidden="1" outlineLevel="1" x14ac:dyDescent="0.25">
      <c r="B23" s="2" t="s">
        <v>34</v>
      </c>
      <c r="C23" s="6" t="str">
        <f ca="1">_xll.DBR($C$20,$B23,"value")</f>
        <v>RECALC_0_484_</v>
      </c>
      <c r="D23" s="6"/>
    </row>
    <row r="24" spans="2:8" hidden="1" outlineLevel="1" x14ac:dyDescent="0.25">
      <c r="B24" s="2" t="s">
        <v>35</v>
      </c>
      <c r="C24" s="6" t="str">
        <f ca="1">_xll.DBR($C$20,$B24,"value")</f>
        <v>RECALC_0_483_</v>
      </c>
      <c r="D24" s="6"/>
    </row>
    <row r="25" spans="2:8" hidden="1" outlineLevel="1" x14ac:dyDescent="0.25">
      <c r="B25" s="2" t="s">
        <v>36</v>
      </c>
      <c r="C25" s="6" t="str">
        <f ca="1">_xll.DBR($C$20,$B25,"value")</f>
        <v>RECALC_0_262_</v>
      </c>
      <c r="D25" s="6"/>
    </row>
    <row r="26" spans="2:8" hidden="1" outlineLevel="1" x14ac:dyDescent="0.25">
      <c r="B26" s="2" t="s">
        <v>37</v>
      </c>
      <c r="C26" s="6" t="str">
        <f ca="1">_xll.DBRA($C$12&amp;":variables","save location", "value")</f>
        <v>RECALC_0_990_</v>
      </c>
    </row>
    <row r="27" spans="2:8" hidden="1" outlineLevel="1" x14ac:dyDescent="0.25"/>
    <row r="28" spans="2:8" hidden="1" outlineLevel="1" x14ac:dyDescent="0.25">
      <c r="B28" s="22" t="s">
        <v>18</v>
      </c>
      <c r="C28" s="23"/>
      <c r="D28" s="24"/>
    </row>
    <row r="29" spans="2:8" hidden="1" outlineLevel="1" x14ac:dyDescent="0.25">
      <c r="B29" s="2" t="s">
        <v>19</v>
      </c>
      <c r="C29" s="6" t="str">
        <f>_xll.VIEW(db_name&amp;":sys_application","!","!")</f>
        <v>finance_geus:sys_application:1264217196-1045473629</v>
      </c>
      <c r="D29" s="6"/>
    </row>
    <row r="30" spans="2:8" hidden="1" outlineLevel="1" x14ac:dyDescent="0.25">
      <c r="B30" s="2" t="s">
        <v>20</v>
      </c>
      <c r="C30" s="6" t="s">
        <v>30</v>
      </c>
      <c r="D30" s="6"/>
    </row>
    <row r="31" spans="2:8" hidden="1" outlineLevel="1" x14ac:dyDescent="0.25">
      <c r="B31" s="6"/>
      <c r="C31" s="2" t="s">
        <v>22</v>
      </c>
      <c r="D31" s="2" t="s">
        <v>23</v>
      </c>
      <c r="E31" s="2" t="s">
        <v>24</v>
      </c>
      <c r="F31" s="2" t="s">
        <v>25</v>
      </c>
      <c r="G31" s="2" t="s">
        <v>26</v>
      </c>
      <c r="H31" s="2" t="s">
        <v>27</v>
      </c>
    </row>
    <row r="32" spans="2:8" hidden="1" outlineLevel="1" x14ac:dyDescent="0.25">
      <c r="B32" s="6" t="s">
        <v>28</v>
      </c>
      <c r="C32" s="6" t="str">
        <f ca="1">_xll.DBR($C$29,$B32,C$31)</f>
        <v>RECALC_0_83_</v>
      </c>
      <c r="D32" s="6" t="str">
        <f ca="1">_xll.DBR($C$29,$B32,D$31)</f>
        <v>RECALC_0_82_</v>
      </c>
      <c r="E32" s="6" t="str">
        <f ca="1">_xll.DBR($C$29,$B32,E$31)</f>
        <v>RECALC_0_81_</v>
      </c>
      <c r="F32" s="6" t="str">
        <f ca="1">_xll.DBR($C$29,$B32,F$31)</f>
        <v>RECALC_0_80_</v>
      </c>
      <c r="G32" s="6" t="str">
        <f ca="1">_xll.DBR($C$29,$B32,G$31)</f>
        <v>RECALC_0_79_</v>
      </c>
      <c r="H32" s="6" t="str">
        <f ca="1">_xll.DBR($C$29,$B32,H$31)</f>
        <v>RECALC_0_78_</v>
      </c>
    </row>
    <row r="33" spans="1:16" hidden="1" outlineLevel="1" x14ac:dyDescent="0.25">
      <c r="B33" s="6" t="s">
        <v>29</v>
      </c>
      <c r="C33" s="6" t="str">
        <f ca="1">_xll.DBR($C$29,$B33,C$31)</f>
        <v>RECALC_0_65_</v>
      </c>
      <c r="D33" s="6" t="str">
        <f ca="1">_xll.DBR($C$29,$B33,D$31)</f>
        <v>RECALC_0_64_</v>
      </c>
      <c r="E33" s="6" t="str">
        <f ca="1">_xll.DBR($C$29,$B33,E$31)</f>
        <v>RECALC_0_63_</v>
      </c>
      <c r="F33" s="6" t="str">
        <f ca="1">_xll.DBR($C$29,$B33,F$31)</f>
        <v>RECALC_0_62_</v>
      </c>
      <c r="G33" s="6" t="str">
        <f ca="1">_xll.DBR($C$29,$B33,G$31)</f>
        <v>RECALC_0_61_</v>
      </c>
      <c r="H33" s="6" t="str">
        <f ca="1">_xll.DBR($C$29,$B33,H$31)</f>
        <v>RECALC_0_60_</v>
      </c>
    </row>
    <row r="34" spans="1:16" hidden="1" outlineLevel="1" x14ac:dyDescent="0.25">
      <c r="B34" s="6" t="s">
        <v>21</v>
      </c>
      <c r="C34" s="6" t="str">
        <f ca="1">_xll.DBR($C$29,$B34,C$31)</f>
        <v>RECALC_0_3438_</v>
      </c>
      <c r="D34" s="6" t="str">
        <f ca="1">_xll.DBR($C$29,$B34,D$31)</f>
        <v>RECALC_0_3436_</v>
      </c>
      <c r="E34" s="6" t="str">
        <f ca="1">_xll.DBR($C$29,$B34,E$31)</f>
        <v>RECALC_0_3446_</v>
      </c>
      <c r="F34" s="6" t="str">
        <f ca="1">_xll.DBR($C$29,$B34,F$31)</f>
        <v>RECALC_0_3443_</v>
      </c>
      <c r="G34" s="6" t="str">
        <f ca="1">_xll.DBR($C$29,$B34,G$31)</f>
        <v>RECALC_0_3440_</v>
      </c>
      <c r="H34" s="6" t="str">
        <f ca="1">_xll.DBR($C$29,$B34,H$31)</f>
        <v>RECALC_0_3439_</v>
      </c>
    </row>
    <row r="35" spans="1:16" hidden="1" outlineLevel="1" x14ac:dyDescent="0.25">
      <c r="B35" s="6" t="s">
        <v>30</v>
      </c>
      <c r="C35" s="6" t="str">
        <f ca="1">_xll.DBR($C$29,$B35,C$31)</f>
        <v>RECALC_0_3449_</v>
      </c>
      <c r="D35" s="6" t="str">
        <f ca="1">_xll.DBR($C$29,$B35,D$31)</f>
        <v>RECALC_0_3442_</v>
      </c>
      <c r="E35" s="6" t="str">
        <f ca="1">_xll.DBR($C$29,$B35,E$31)</f>
        <v>RECALC_0_3448_</v>
      </c>
      <c r="F35" s="6" t="str">
        <f ca="1">_xll.DBR($C$29,$B35,F$31)</f>
        <v>RECALC_0_3437_</v>
      </c>
      <c r="G35" s="6" t="str">
        <f ca="1">_xll.DBR($C$29,$B35,G$31)</f>
        <v>RECALC_0_3435_</v>
      </c>
      <c r="H35" s="6" t="str">
        <f ca="1">_xll.DBR($C$29,$B35,H$31)</f>
        <v>RECALC_0_3445_</v>
      </c>
    </row>
    <row r="36" spans="1:16" hidden="1" outlineLevel="1" x14ac:dyDescent="0.25"/>
    <row r="37" spans="1:16" hidden="1" outlineLevel="1" x14ac:dyDescent="0.25"/>
    <row r="38" spans="1:16" hidden="1" outlineLevel="1" x14ac:dyDescent="0.25">
      <c r="B38" s="22" t="s">
        <v>43</v>
      </c>
      <c r="C38" s="23"/>
      <c r="D38" s="24"/>
    </row>
    <row r="39" spans="1:16" hidden="1" outlineLevel="1" x14ac:dyDescent="0.25">
      <c r="B39" t="s">
        <v>44</v>
      </c>
      <c r="C39" t="str">
        <f ca="1">_xll.TM1RPTVIEW(db_name&amp;":AE note register:1", 0, _xll.TM1RPTTITLE(db_name&amp;":headline year",$L$51),TM1RPTFMTRNG,TM1RPTFMTIDCOL)</f>
        <v>finance_geus:AE note register:1</v>
      </c>
      <c r="K39" s="1" t="s">
        <v>1</v>
      </c>
      <c r="L39" s="1" t="s">
        <v>2</v>
      </c>
      <c r="M39" s="1" t="s">
        <v>3</v>
      </c>
      <c r="N39" s="1" t="s">
        <v>4</v>
      </c>
      <c r="O39" s="1" t="s">
        <v>5</v>
      </c>
      <c r="P39" s="1" t="s">
        <v>6</v>
      </c>
    </row>
    <row r="40" spans="1:16" hidden="1" outlineLevel="1" x14ac:dyDescent="0.25">
      <c r="B40" t="s">
        <v>19</v>
      </c>
    </row>
    <row r="41" spans="1:16" hidden="1" outlineLevel="1" x14ac:dyDescent="0.25">
      <c r="B41" t="s">
        <v>45</v>
      </c>
      <c r="C41" t="str">
        <f>"{TM1FILTERBYLEVEL( {TM1DRILLDOWNMEMBER( {[register id].[Total IDs]}, ALL, RECURSIVE )}, 0)}"</f>
        <v>{TM1FILTERBYLEVEL( {TM1DRILLDOWNMEMBER( {[register id].[Total IDs]}, ALL, RECURSIVE )}, 0)}</v>
      </c>
    </row>
    <row r="42" spans="1:16" hidden="1" outlineLevel="1" x14ac:dyDescent="0.25"/>
    <row r="43" spans="1:16" ht="39.950000000000003" customHeight="1" collapsed="1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 t="s">
        <v>49</v>
      </c>
    </row>
    <row r="44" spans="1:16" ht="4.5" customHeight="1" x14ac:dyDescent="0.25"/>
    <row r="45" spans="1:16" ht="24" customHeight="1" x14ac:dyDescent="0.25"/>
    <row r="46" spans="1:16" ht="1.5" customHeight="1" x14ac:dyDescent="0.25">
      <c r="I46" s="11"/>
      <c r="J46" s="11"/>
      <c r="K46" s="11"/>
      <c r="L46" s="11"/>
      <c r="M46" s="11"/>
      <c r="N46" s="11"/>
      <c r="O46" s="11"/>
      <c r="P46" s="11"/>
    </row>
    <row r="47" spans="1:16" ht="4.5" customHeight="1" x14ac:dyDescent="0.25"/>
    <row r="48" spans="1:16" x14ac:dyDescent="0.25">
      <c r="J48" s="12" t="s">
        <v>48</v>
      </c>
    </row>
    <row r="49" spans="1:16" ht="4.5" customHeight="1" x14ac:dyDescent="0.25"/>
    <row r="50" spans="1:16" ht="30" x14ac:dyDescent="0.25">
      <c r="L50" s="9" t="s">
        <v>38</v>
      </c>
      <c r="O50" s="19" t="s">
        <v>42</v>
      </c>
    </row>
    <row r="51" spans="1:16" x14ac:dyDescent="0.25">
      <c r="K51" s="7" t="s">
        <v>39</v>
      </c>
      <c r="L51" s="17" t="str">
        <f ca="1">_xll.SUBNM(db_name&amp;":headline year","Default",$C$21)</f>
        <v>RECALC_1_621_</v>
      </c>
      <c r="N51" s="7" t="s">
        <v>39</v>
      </c>
      <c r="O51" s="8" t="str">
        <f ca="1">_xll.SUBNM(db_name&amp;":headline year","Default",$C$21)</f>
        <v>RECALC_1_621_</v>
      </c>
    </row>
    <row r="52" spans="1:16" x14ac:dyDescent="0.25">
      <c r="N52" s="7" t="s">
        <v>40</v>
      </c>
      <c r="O52" s="8" t="str">
        <f ca="1">$C$22</f>
        <v>RECALC_0_230_</v>
      </c>
    </row>
    <row r="53" spans="1:16" x14ac:dyDescent="0.25">
      <c r="N53" s="7" t="s">
        <v>41</v>
      </c>
      <c r="O53" s="8" t="str">
        <f ca="1">$C$25</f>
        <v>RECALC_0_262_</v>
      </c>
    </row>
    <row r="54" spans="1:16" ht="4.5" customHeight="1" x14ac:dyDescent="0.25"/>
    <row r="55" spans="1:16" x14ac:dyDescent="0.25">
      <c r="J55" s="10" t="s">
        <v>46</v>
      </c>
      <c r="K55" s="10" t="s">
        <v>1</v>
      </c>
      <c r="L55" s="10" t="s">
        <v>2</v>
      </c>
      <c r="M55" s="10" t="s">
        <v>3</v>
      </c>
      <c r="N55" s="10" t="s">
        <v>4</v>
      </c>
      <c r="O55" s="10" t="s">
        <v>47</v>
      </c>
      <c r="P55" s="10" t="s">
        <v>6</v>
      </c>
    </row>
    <row r="56" spans="1:16" ht="30" customHeight="1" x14ac:dyDescent="0.25">
      <c r="A56" t="e">
        <f ca="1">IF(_xll.TM1RPTELISCONSOLIDATED($J$56,$J56),IF(_xll.TM1RPTELLEV($J$56,$J56)&lt;=3,_xll.TM1RPTELLEV($J$56,$J56),"D"),"N")</f>
        <v>#VALUE!</v>
      </c>
      <c r="J56" s="16" t="str">
        <f ca="1">_xll.TM1RPTROW($C$39,db_name&amp;":register id","","","",0,$C$41)</f>
        <v>pending__sys_Notes - All_20250811023337.xlsm:notes:TM1RPTDATARNG:1</v>
      </c>
      <c r="K56" s="18" t="e">
        <f ca="1">_xll.DBRW($C$39,$L$51,$J56,K$39)</f>
        <v>#VALUE!</v>
      </c>
      <c r="L56" s="21" t="e">
        <f ca="1">_xll.DBRW($C$39,$L$51,$J56,L$39)</f>
        <v>#VALUE!</v>
      </c>
      <c r="M56" s="21" t="e">
        <f ca="1">_xll.DBRW($C$39,$L$51,$J56,M$39)</f>
        <v>#VALUE!</v>
      </c>
      <c r="N56" s="21" t="e">
        <f ca="1">_xll.DBRW($C$39,$L$51,$J56,N$39)</f>
        <v>#VALUE!</v>
      </c>
      <c r="O56" s="21" t="e">
        <f ca="1">_xll.DBRW($C$39,$L$51,$J56,O$39)</f>
        <v>#VALUE!</v>
      </c>
      <c r="P56" s="21" t="e">
        <f ca="1">_xll.DBRW($C$39,$L$51,$J56,P$39)</f>
        <v>#VALUE!</v>
      </c>
    </row>
  </sheetData>
  <sheetProtection sheet="1" objects="1" scenarios="1"/>
  <mergeCells count="4">
    <mergeCell ref="B38:D38"/>
    <mergeCell ref="B11:D11"/>
    <mergeCell ref="B28:D28"/>
    <mergeCell ref="B19:D19"/>
  </mergeCells>
  <pageMargins left="0.70866141732283472" right="0.70866141732283472" top="0.74803149606299213" bottom="0.74803149606299213" header="0.31496062992125984" footer="0.31496062992125984"/>
  <pageSetup paperSize="9" scale="48" fitToHeight="0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0C87A-9660-437B-B880-BDF07F74C3DE}">
  <sheetPr codeName="Sheet2"/>
  <dimension ref="A1:A2"/>
  <sheetViews>
    <sheetView workbookViewId="0"/>
  </sheetViews>
  <sheetFormatPr defaultRowHeight="15" x14ac:dyDescent="0.25"/>
  <sheetData>
    <row r="1" spans="1:1" x14ac:dyDescent="0.25">
      <c r="A1" t="s">
        <v>50</v>
      </c>
    </row>
    <row r="2" spans="1:1" x14ac:dyDescent="0.25">
      <c r="A2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18</vt:i4>
      </vt:variant>
    </vt:vector>
  </HeadingPairs>
  <TitlesOfParts>
    <vt:vector size="20" baseType="lpstr">
      <vt:lpstr>notes</vt:lpstr>
      <vt:lpstr>{PL}PickLst</vt:lpstr>
      <vt:lpstr>db_name</vt:lpstr>
      <vt:lpstr>psApp</vt:lpstr>
      <vt:lpstr>psUser</vt:lpstr>
      <vt:lpstr>TM1HomeAdminCAP</vt:lpstr>
      <vt:lpstr>TM1HomeAdminWB</vt:lpstr>
      <vt:lpstr>TM1HomeAdminWS</vt:lpstr>
      <vt:lpstr>TM1HomeCAP</vt:lpstr>
      <vt:lpstr>TM1HomeWB</vt:lpstr>
      <vt:lpstr>TM1HomeWS</vt:lpstr>
      <vt:lpstr>TM1NotesAllCAP</vt:lpstr>
      <vt:lpstr>TM1NotesAllWB</vt:lpstr>
      <vt:lpstr>TM1NotesAllWS</vt:lpstr>
      <vt:lpstr>TM1NotesClientCAP</vt:lpstr>
      <vt:lpstr>TM1NotesClientWB</vt:lpstr>
      <vt:lpstr>TM1NotesClientWS</vt:lpstr>
      <vt:lpstr>notes!TM1RPTDATARNG1</vt:lpstr>
      <vt:lpstr>notes!TM1RPTFMTIDCOL</vt:lpstr>
      <vt:lpstr>notes!TM1RPTFMTRNG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2019-10-07T06:15:52Z</dcterms:created>
  <dcterms:modified xsi:type="dcterms:W3CDTF">2025-08-11T02:59:47Z</dcterms:modified>
</cp:coreProperties>
</file>