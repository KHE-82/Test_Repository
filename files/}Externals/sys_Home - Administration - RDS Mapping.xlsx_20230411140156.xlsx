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prod\DCCEEW_GEUS\Templates\"/>
    </mc:Choice>
  </mc:AlternateContent>
  <bookViews>
    <workbookView xWindow="57480" yWindow="-1965" windowWidth="29040" windowHeight="15840"/>
  </bookViews>
  <sheets>
    <sheet name="Menu" sheetId="1" r:id="rId1"/>
  </sheets>
  <definedNames>
    <definedName name="db_name">Menu!$C$2</definedName>
    <definedName name="home">Menu!$G$28</definedName>
    <definedName name="Menu">Menu!$G$29</definedName>
    <definedName name="psUser">Menu!$C$7</definedName>
    <definedName name="TM1AdminRDSMapAppropItemCAP">Menu!$D$40</definedName>
    <definedName name="TM1AdminRDSMapAppropItemWB">Menu!$F$40</definedName>
    <definedName name="TM1AdminRDSMapAppropItemWS">Menu!$H$40</definedName>
    <definedName name="TM1AdminRDSMapCFMapCap">Menu!$D$39</definedName>
    <definedName name="TM1AdminRDSMapCFMapWB">Menu!$F$39</definedName>
    <definedName name="TM1AdminRDSMapCFMapWS">Menu!$H$39</definedName>
    <definedName name="TM1AdminRDSMapIDCap">Menu!$D$38</definedName>
    <definedName name="TM1AdminRDSMapIDWB">Menu!$F$38</definedName>
    <definedName name="TM1AdminRDSMapIDWS">Menu!$H$38</definedName>
    <definedName name="TM1AdminRDSMapMAMapCAP">Menu!$D$41</definedName>
    <definedName name="TM1AdminRDSMapMAMapWB">Menu!$F$41</definedName>
    <definedName name="TM1AdminRDSMapMAMapWS">Menu!$H$41</definedName>
    <definedName name="TM1AdminRDSMapREMapCAP">Menu!$D$42</definedName>
    <definedName name="TM1AdminRDSMapREMapWB">Menu!$F$42</definedName>
    <definedName name="TM1AdminRDSMapREMapWS">Menu!$H$42</definedName>
    <definedName name="TM1HomeAdminBaseCAP">Menu!$D$36</definedName>
    <definedName name="TM1HomeAdminBaseWB">Menu!$F$36</definedName>
    <definedName name="TM1HomeAdminBaseWS">Menu!$H$36</definedName>
    <definedName name="TM1HomeAdminCAP">Menu!$D$31</definedName>
    <definedName name="TM1HomeAdminFavCAP">Menu!$D$35</definedName>
    <definedName name="TM1HomeAdminFavWB">Menu!$F$35</definedName>
    <definedName name="TM1HomeAdminFavWS">Menu!$H$35</definedName>
    <definedName name="TM1HomeAdminGEUSCAP">Menu!$D$34</definedName>
    <definedName name="TM1HomeAdminGEUSWB">Menu!$F$34</definedName>
    <definedName name="TM1HomeAdminGEUSWS">Menu!$H$34</definedName>
    <definedName name="TM1HomeAdminRDSCAP">Menu!$D$32</definedName>
    <definedName name="TM1HomeAdminRDSMapCAP">Menu!$D$33</definedName>
    <definedName name="TM1HomeAdminRDSMapWB">Menu!$F$33</definedName>
    <definedName name="TM1HomeAdminRDSMapWS">Menu!$H$33</definedName>
    <definedName name="TM1HomeAdminRDSWB">Menu!$F$32</definedName>
    <definedName name="TM1HomeAdminRDSWS">Menu!$H$32</definedName>
    <definedName name="TM1HomeAdminWB">Menu!$F$31</definedName>
    <definedName name="TM1HomeAdminWS">Menu!$H$31</definedName>
    <definedName name="TM1HomeAECAP">Menu!$D$29</definedName>
    <definedName name="TM1HomeAEWB">Menu!$F$29</definedName>
    <definedName name="TM1HomeAEWS">Menu!$H$29</definedName>
    <definedName name="TM1HomeCAP">Menu!$D$28</definedName>
    <definedName name="TM1HomeRepCAP">Menu!$D$30</definedName>
    <definedName name="TM1HomeRepWB">Menu!$F$30</definedName>
    <definedName name="TM1HomeRepWS">Menu!$H$30</definedName>
    <definedName name="TM1HomeUnderCAP">Menu!$D$37</definedName>
    <definedName name="TM1HomeUnderWB">Menu!$F$37</definedName>
    <definedName name="TM1HomeUnderWS">Menu!$H$37</definedName>
    <definedName name="TM1HomeWB">Menu!$F$28</definedName>
    <definedName name="TM1HomeWS">Menu!$H$28</definedName>
    <definedName name="TM1REBUILDOPTION">1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1" l="1" a="1"/>
  <c r="C4" i="1"/>
  <c r="C3" i="1" a="1"/>
  <c r="C3" i="1"/>
  <c r="C6" i="1" a="1"/>
  <c r="C6" i="1"/>
  <c r="C7" i="1"/>
  <c r="C26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C18" i="1" a="1"/>
  <c r="C18" i="1"/>
  <c r="C22" i="1" a="1"/>
  <c r="C22" i="1"/>
  <c r="C21" i="1" a="1"/>
  <c r="C21" i="1"/>
  <c r="C20" i="1" a="1"/>
  <c r="C20" i="1"/>
  <c r="C19" i="1" a="1"/>
  <c r="C19" i="1"/>
  <c r="C10" i="1" a="1"/>
  <c r="C10" i="1"/>
  <c r="C14" i="1" a="1"/>
  <c r="C14" i="1"/>
  <c r="C13" i="1" a="1"/>
  <c r="C13" i="1"/>
  <c r="C12" i="1" a="1"/>
  <c r="C12" i="1"/>
  <c r="C11" i="1" a="1"/>
  <c r="C11" i="1"/>
  <c r="C5" i="1" a="1"/>
  <c r="C5" i="1"/>
  <c r="K96" i="1"/>
  <c r="C15" i="1"/>
  <c r="K56" i="1"/>
  <c r="W5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<sst xmlns="http://schemas.openxmlformats.org/spreadsheetml/2006/main" count="48" uniqueCount="47">
  <si>
    <t>Workbook</t>
  </si>
  <si>
    <t>Worksheet</t>
  </si>
  <si>
    <t>Slice View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</si>
  <si>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</si>
  <si>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</si>
  <si>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</si>
  <si>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</si>
  <si>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</si>
  <si>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</si>
  <si>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</si>
  <si>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</si>
  <si>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</si>
  <si>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</si>
  <si>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</si>
  <si>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</si>
  <si>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</si>
  <si>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</si>
  <si>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</si>
  <si>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sys_application</t>
  </si>
  <si>
    <t>favapp_application</t>
  </si>
  <si>
    <t>Client Preference Measure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</si>
  <si>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</si>
  <si>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</si>
  <si>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</si>
  <si>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</si>
  <si>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</si>
  <si>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</si>
  <si>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</si>
  <si>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</si>
  <si>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</si>
  <si>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</t>
  </si>
  <si>
    <t>Workbook Name</t>
  </si>
  <si>
    <t>Worksheet Name</t>
  </si>
  <si>
    <t>Caption Name</t>
  </si>
  <si>
    <t>Homepage - Administration - RDS</t>
  </si>
  <si>
    <t>Homepage - Administration - GEUS Setup</t>
  </si>
  <si>
    <t>Homepage - Administration - Favourites</t>
  </si>
  <si>
    <t>Homepage - Administration - Baseline</t>
  </si>
  <si>
    <t>ADMINISTRATION</t>
  </si>
  <si>
    <t>Homepage - Administration - RDS Mapping</t>
  </si>
  <si>
    <t>REFERENCE DATA SET MAPPING MENU</t>
  </si>
  <si>
    <t>Admin RDS Mapping - ID Threshold</t>
  </si>
  <si>
    <t>Admin RDS Mapping - CF Mapping</t>
  </si>
  <si>
    <t>Admin RDS Mapping - Approp Item Mapping</t>
  </si>
  <si>
    <t>Admin RDS Mapping - MA Mapping</t>
  </si>
  <si>
    <t>Admin RDS Mapping - Related Entity Mapping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</si>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</sst>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indexed="62"/>
      <name val="Verdana"/>
      <family val="2"/>
    </font>
    <font>
      <sz val="11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>
      <protection locked="0"/>
    </xf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2" fillId="3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5" borderId="0" xfId="1" applyFont="1" applyFill="1" applyAlignment="1" applyProtection="1">
      <alignment vertical="center"/>
    </xf>
    <xf numFmtId="0" fontId="0" fillId="6" borderId="0" xfId="0" applyFill="1"/>
    <xf numFmtId="0" fontId="0" fillId="0" borderId="1" xfId="0" applyBorder="1" applyAlignment="1">
      <alignment horizontal="left"/>
    </xf>
    <xf numFmtId="0" fontId="3" fillId="3" borderId="0" xfId="0" applyFont="1" applyFill="1" applyAlignment="1">
      <alignment horizontal="right" vertical="center" indent="1"/>
    </xf>
    <xf numFmtId="0" fontId="0" fillId="0" borderId="5" xfId="0" applyBorder="1"/>
    <xf numFmtId="0" fontId="8" fillId="0" borderId="0" xfId="0" applyFont="1"/>
    <xf numFmtId="0" fontId="6" fillId="3" borderId="0" xfId="0" applyFont="1" applyFill="1" applyAlignment="1">
      <alignment horizontal="left" vertical="center"/>
    </xf>
    <xf numFmtId="0" fontId="6" fillId="5" borderId="0" xfId="1" applyFont="1" applyFill="1" applyAlignment="1" applyProtection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 indent="1"/>
    </xf>
  </cellXfs>
  <cellStyles count="2">
    <cellStyle name="Normal" xfId="0" builtinId="0"/>
    <cellStyle name="Normal 2" xfId="1"/>
  </cellStyles>
  <dxfs count="1">
    <dxf>
      <font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333F48"/>
      <color rgb="FF006C5B"/>
      <color rgb="FF4F86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../media/image10.emf"/><Relationship Id="rId7" Type="http://schemas.openxmlformats.org/officeDocument/2006/relationships/image" Target="../media/image6.emf"/><Relationship Id="rId12" Type="http://schemas.openxmlformats.org/officeDocument/2006/relationships/image" Target="../media/image1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6" Type="http://schemas.openxmlformats.org/officeDocument/2006/relationships/image" Target="../media/image7.emf"/><Relationship Id="rId11" Type="http://schemas.openxmlformats.org/officeDocument/2006/relationships/image" Target="../media/image2.emf"/><Relationship Id="rId5" Type="http://schemas.openxmlformats.org/officeDocument/2006/relationships/image" Target="../media/image8.emf"/><Relationship Id="rId10" Type="http://schemas.openxmlformats.org/officeDocument/2006/relationships/image" Target="../media/image3.emf"/><Relationship Id="rId4" Type="http://schemas.openxmlformats.org/officeDocument/2006/relationships/image" Target="../media/image9.emf"/><Relationship Id="rId9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55</xdr:row>
      <xdr:rowOff>55686</xdr:rowOff>
    </xdr:from>
    <xdr:to>
      <xdr:col>22</xdr:col>
      <xdr:colOff>206290</xdr:colOff>
      <xdr:row>55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577" y="9952161"/>
          <a:ext cx="284688" cy="28468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60</xdr:row>
      <xdr:rowOff>57150</xdr:rowOff>
    </xdr:from>
    <xdr:to>
      <xdr:col>15</xdr:col>
      <xdr:colOff>307716</xdr:colOff>
      <xdr:row>60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9550" y="10391775"/>
          <a:ext cx="241041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60</xdr:row>
      <xdr:rowOff>66675</xdr:rowOff>
    </xdr:from>
    <xdr:to>
      <xdr:col>22</xdr:col>
      <xdr:colOff>289046</xdr:colOff>
      <xdr:row>60</xdr:row>
      <xdr:rowOff>246045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4600" y="10401300"/>
          <a:ext cx="241421" cy="1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28575</xdr:rowOff>
    </xdr:from>
    <xdr:to>
      <xdr:col>12</xdr:col>
      <xdr:colOff>57150</xdr:colOff>
      <xdr:row>53</xdr:row>
      <xdr:rowOff>474345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47625</xdr:colOff>
      <xdr:row>60</xdr:row>
      <xdr:rowOff>66675</xdr:rowOff>
    </xdr:from>
    <xdr:to>
      <xdr:col>22</xdr:col>
      <xdr:colOff>289046</xdr:colOff>
      <xdr:row>60</xdr:row>
      <xdr:rowOff>246045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7675" y="1066800"/>
          <a:ext cx="241421" cy="1908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61</xdr:row>
          <xdr:rowOff>47625</xdr:rowOff>
        </xdr:from>
        <xdr:to>
          <xdr:col>14</xdr:col>
          <xdr:colOff>752475</xdr:colOff>
          <xdr:row>64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64</xdr:row>
          <xdr:rowOff>47625</xdr:rowOff>
        </xdr:from>
        <xdr:to>
          <xdr:col>14</xdr:col>
          <xdr:colOff>752475</xdr:colOff>
          <xdr:row>66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66</xdr:row>
          <xdr:rowOff>104775</xdr:rowOff>
        </xdr:from>
        <xdr:to>
          <xdr:col>14</xdr:col>
          <xdr:colOff>752475</xdr:colOff>
          <xdr:row>68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57</xdr:row>
          <xdr:rowOff>47625</xdr:rowOff>
        </xdr:from>
        <xdr:to>
          <xdr:col>13</xdr:col>
          <xdr:colOff>38100</xdr:colOff>
          <xdr:row>59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57</xdr:row>
          <xdr:rowOff>47625</xdr:rowOff>
        </xdr:from>
        <xdr:to>
          <xdr:col>15</xdr:col>
          <xdr:colOff>352425</xdr:colOff>
          <xdr:row>59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57</xdr:row>
          <xdr:rowOff>38100</xdr:rowOff>
        </xdr:from>
        <xdr:to>
          <xdr:col>19</xdr:col>
          <xdr:colOff>1104900</xdr:colOff>
          <xdr:row>59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57</xdr:row>
          <xdr:rowOff>38100</xdr:rowOff>
        </xdr:from>
        <xdr:to>
          <xdr:col>22</xdr:col>
          <xdr:colOff>114300</xdr:colOff>
          <xdr:row>59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61</xdr:row>
          <xdr:rowOff>47625</xdr:rowOff>
        </xdr:from>
        <xdr:to>
          <xdr:col>21</xdr:col>
          <xdr:colOff>1038225</xdr:colOff>
          <xdr:row>64</xdr:row>
          <xdr:rowOff>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64</xdr:row>
          <xdr:rowOff>47625</xdr:rowOff>
        </xdr:from>
        <xdr:to>
          <xdr:col>21</xdr:col>
          <xdr:colOff>1038225</xdr:colOff>
          <xdr:row>66</xdr:row>
          <xdr:rowOff>57150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66</xdr:row>
          <xdr:rowOff>104775</xdr:rowOff>
        </xdr:from>
        <xdr:to>
          <xdr:col>21</xdr:col>
          <xdr:colOff>1038225</xdr:colOff>
          <xdr:row>68</xdr:row>
          <xdr:rowOff>114300</xdr:rowOff>
        </xdr:to>
        <xdr:sp macro="" textlink="">
          <xdr:nvSpPr>
            <xdr:cNvPr id="1038" name="TIButton1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68</xdr:row>
          <xdr:rowOff>161925</xdr:rowOff>
        </xdr:from>
        <xdr:to>
          <xdr:col>14</xdr:col>
          <xdr:colOff>752475</xdr:colOff>
          <xdr:row>70</xdr:row>
          <xdr:rowOff>38100</xdr:rowOff>
        </xdr:to>
        <xdr:sp macro="" textlink="">
          <xdr:nvSpPr>
            <xdr:cNvPr id="1045" name="TIButton18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70</xdr:row>
          <xdr:rowOff>85725</xdr:rowOff>
        </xdr:from>
        <xdr:to>
          <xdr:col>14</xdr:col>
          <xdr:colOff>752475</xdr:colOff>
          <xdr:row>72</xdr:row>
          <xdr:rowOff>152400</xdr:rowOff>
        </xdr:to>
        <xdr:sp macro="" textlink="">
          <xdr:nvSpPr>
            <xdr:cNvPr id="1048" name="TIButton2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0</xdr:colOff>
      <xdr:row>0</xdr:row>
      <xdr:rowOff>0</xdr:rowOff>
    </xdr:from>
    <xdr:to>
      <xdr:col>26</xdr:col>
      <xdr:colOff>57150</xdr:colOff>
      <xdr:row>61</xdr:row>
      <xdr:rowOff>19050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0" y="0"/>
          <a:ext cx="1885950" cy="188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</sheetPr>
  <dimension ref="A1:W96"/>
  <sheetViews>
    <sheetView showGridLines="0" showRowColHeaders="0" tabSelected="1" showOutlineSymbols="0" topLeftCell="J54" workbookViewId="0">
      <selection activeCell="N54" sqref="N54"/>
    </sheetView>
  </sheetViews>
  <sheetFormatPr defaultRowHeight="15" outlineLevelRow="1" outlineLevelCol="1" x14ac:dyDescent="0.25"/>
  <cols>
    <col min="1" max="1" width="5.7109375" hidden="1" customWidth="1" outlineLevel="1"/>
    <col min="2" max="2" width="59.42578125" hidden="1" customWidth="1" outlineLevel="1"/>
    <col min="3" max="4" width="20.28515625" hidden="1" customWidth="1" outlineLevel="1"/>
    <col min="5" max="5" width="24.42578125" hidden="1" customWidth="1" outlineLevel="1"/>
    <col min="6" max="6" width="85.855468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idden="1" outlineLevel="1" x14ac:dyDescent="0.25">
      <c r="B1" s="16" t="s">
        <v>3</v>
      </c>
      <c r="C1" s="17"/>
      <c r="D1" s="18"/>
    </row>
    <row r="2" spans="2:4" hidden="1" outlineLevel="1" x14ac:dyDescent="0.25">
      <c r="B2" s="2" t="s">
        <v>4</v>
      </c>
      <c r="C2" s="3" t="s">
        <v>46</v>
      </c>
      <c r="D2" s="4"/>
    </row>
    <row r="3" spans="2:4" hidden="1" outlineLevel="1" x14ac:dyDescent="0.25">
      <c r="B3" s="2" t="s">
        <v>22</v>
      </c>
      <c r="C3" s="10" t="str" cm="1">
        <f t="array" aca="1" ref="C3" ca="1">_xll.VIEW(db_name&amp;":}ElementAttributes_}Clients","!","!")</f>
        <v>dcceew_geus:}ElementAttributes_}Clients</v>
      </c>
      <c r="D3" s="4"/>
    </row>
    <row r="4" spans="2:4" hidden="1" outlineLevel="1" x14ac:dyDescent="0.25">
      <c r="B4" s="2" t="s">
        <v>21</v>
      </c>
      <c r="C4" s="3" t="str" cm="1">
        <f t="array" aca="1" ref="C4" ca="1">_xll.TM1USER(db_name)</f>
        <v>CAMID("pans:u:kgimena@excelerated.com.au")</v>
      </c>
      <c r="D4" s="4"/>
    </row>
    <row r="5" spans="2:4" hidden="1" outlineLevel="1" x14ac:dyDescent="0.25">
      <c r="B5" s="2" t="s">
        <v>23</v>
      </c>
      <c r="C5" s="3" t="str" cm="1">
        <f t="array" aca="1" ref="C5" ca="1">_xll.DBR($C$3,$C$4,$B5)</f>
        <v>Business Analytics/Khristian Gimena</v>
      </c>
      <c r="D5" s="4"/>
    </row>
    <row r="6" spans="2:4" hidden="1" outlineLevel="1" x14ac:dyDescent="0.25">
      <c r="B6" s="2" t="s">
        <v>24</v>
      </c>
      <c r="C6" s="3" t="str" cm="1">
        <f t="array" aca="1" ref="C6" ca="1">_xll.DBR($C$3,$C$4,$B6)</f>
        <v>Khristian Gimena</v>
      </c>
      <c r="D6" s="4"/>
    </row>
    <row r="7" spans="2:4" hidden="1" outlineLevel="1" x14ac:dyDescent="0.25">
      <c r="B7" s="2" t="s">
        <v>5</v>
      </c>
      <c r="C7" s="3" t="str">
        <f ca="1">IF(LEFT($C$4,3)="CAM",$C$6,$C$5)</f>
        <v>Khristian Gimena</v>
      </c>
      <c r="D7" s="1"/>
    </row>
    <row r="8" spans="2:4" hidden="1" outlineLevel="1" x14ac:dyDescent="0.25"/>
    <row r="9" spans="2:4" hidden="1" outlineLevel="1" x14ac:dyDescent="0.25">
      <c r="B9" s="16" t="s">
        <v>6</v>
      </c>
      <c r="C9" s="17"/>
      <c r="D9" s="18"/>
    </row>
    <row r="10" spans="2:4" hidden="1" outlineLevel="1" x14ac:dyDescent="0.25">
      <c r="B10" s="2" t="s">
        <v>7</v>
      </c>
      <c r="C10" s="1" t="str" cm="1">
        <f t="array" aca="1" ref="C10" ca="1">_xll.VIEW(db_name&amp;":}ElementAttributes_variables","!","!")</f>
        <v>dcceew_geus:}ElementAttributes_variables</v>
      </c>
      <c r="D10" s="1"/>
    </row>
    <row r="11" spans="2:4" hidden="1" outlineLevel="1" x14ac:dyDescent="0.25">
      <c r="B11" s="2" t="s">
        <v>8</v>
      </c>
      <c r="C11" s="1" t="str" cm="1">
        <f t="array" aca="1" ref="C11" ca="1">_xll.DBR($C$10,$B11,"value")</f>
        <v>HL2023-2024</v>
      </c>
      <c r="D11" s="1"/>
    </row>
    <row r="12" spans="2:4" hidden="1" outlineLevel="1" x14ac:dyDescent="0.25">
      <c r="B12" s="2" t="s">
        <v>9</v>
      </c>
      <c r="C12" s="1" t="str" cm="1">
        <f t="array" aca="1" ref="C12" ca="1">_xll.DBR($C$10,$B12,"value")</f>
        <v>current</v>
      </c>
      <c r="D12" s="1"/>
    </row>
    <row r="13" spans="2:4" hidden="1" outlineLevel="1" x14ac:dyDescent="0.25">
      <c r="B13" s="2" t="s">
        <v>10</v>
      </c>
      <c r="C13" s="1" t="str" cm="1">
        <f t="array" aca="1" ref="C13" ca="1">_xll.DBR($C$10,$B13,"value")</f>
        <v>HL2023-2024</v>
      </c>
      <c r="D13" s="1"/>
    </row>
    <row r="14" spans="2:4" hidden="1" outlineLevel="1" x14ac:dyDescent="0.25">
      <c r="B14" s="2" t="s">
        <v>11</v>
      </c>
      <c r="C14" s="1" t="str" cm="1">
        <f t="array" aca="1" ref="C14" ca="1">_xll.DBR($C$10,$B14,"value")</f>
        <v>MYEFO</v>
      </c>
      <c r="D14" s="1"/>
    </row>
    <row r="15" spans="2:4" hidden="1" outlineLevel="1" x14ac:dyDescent="0.25">
      <c r="B15" s="2" t="s">
        <v>12</v>
      </c>
      <c r="C15" s="1" t="str">
        <f ca="1">"The current scenario is """ &amp; $C$12 &amp; """ for the """ &amp; $C$11 &amp; """ Headline Year. Archive was done for """ &amp; $C$13 &amp; """ on scenario """ &amp; $C$14 &amp; """."</f>
        <v>The current scenario is "current" for the "HL2023-2024" Headline Year. Archive was done for "HL2023-2024" on scenario "MYEFO".</v>
      </c>
      <c r="D15" s="1"/>
    </row>
    <row r="16" spans="2:4" hidden="1" outlineLevel="1" x14ac:dyDescent="0.25"/>
    <row r="17" spans="2:8" hidden="1" outlineLevel="1" x14ac:dyDescent="0.25">
      <c r="B17" s="16" t="s">
        <v>13</v>
      </c>
      <c r="C17" s="17"/>
      <c r="D17" s="18"/>
    </row>
    <row r="18" spans="2:8" hidden="1" outlineLevel="1" x14ac:dyDescent="0.25">
      <c r="B18" s="2" t="s">
        <v>7</v>
      </c>
      <c r="C18" s="1" t="str" cm="1">
        <f t="array" aca="1" ref="C18" ca="1">_xll.VIEW(db_name&amp;":sys_client preference","!","!","!")</f>
        <v>dcceew_geus:sys_client preference</v>
      </c>
      <c r="D18" s="1"/>
    </row>
    <row r="19" spans="2:8" hidden="1" outlineLevel="1" x14ac:dyDescent="0.25">
      <c r="B19" s="2" t="s">
        <v>14</v>
      </c>
      <c r="C19" s="1" t="str" cm="1">
        <f t="array" aca="1" ref="C19" ca="1">_xll.DBR($C$18,psUser,$B19,"value")</f>
        <v>HL2023-2024</v>
      </c>
      <c r="D19" s="1"/>
    </row>
    <row r="20" spans="2:8" hidden="1" outlineLevel="1" x14ac:dyDescent="0.25">
      <c r="B20" s="2" t="s">
        <v>15</v>
      </c>
      <c r="C20" s="1" t="str" cm="1">
        <f t="array" aca="1" ref="C20" ca="1">_xll.DBR($C$18,psUser,$B20,"value")</f>
        <v>current</v>
      </c>
      <c r="D20" s="1"/>
    </row>
    <row r="21" spans="2:8" hidden="1" outlineLevel="1" x14ac:dyDescent="0.25">
      <c r="B21" s="2" t="s">
        <v>16</v>
      </c>
      <c r="C21" s="1" t="str" cm="1">
        <f t="array" aca="1" ref="C21" ca="1">_xll.DBR($C$18,psUser,$B21,"value")</f>
        <v>00026</v>
      </c>
      <c r="D21" s="1"/>
    </row>
    <row r="22" spans="2:8" hidden="1" outlineLevel="1" x14ac:dyDescent="0.25">
      <c r="B22" s="2" t="s">
        <v>17</v>
      </c>
      <c r="C22" s="1" t="str" cm="1">
        <f t="array" aca="1" ref="C22" ca="1">_xll.DBR($C$18,psUser,$B22,"value")</f>
        <v/>
      </c>
      <c r="D22" s="1"/>
    </row>
    <row r="23" spans="2:8" hidden="1" outlineLevel="1" x14ac:dyDescent="0.25">
      <c r="B23" s="2" t="s">
        <v>20</v>
      </c>
      <c r="C23" s="1" t="s">
        <v>19</v>
      </c>
      <c r="D23" s="1"/>
    </row>
    <row r="24" spans="2:8" hidden="1" outlineLevel="1" x14ac:dyDescent="0.25"/>
    <row r="25" spans="2:8" hidden="1" outlineLevel="1" x14ac:dyDescent="0.25">
      <c r="B25" s="16" t="s">
        <v>18</v>
      </c>
      <c r="C25" s="17"/>
      <c r="D25" s="18"/>
    </row>
    <row r="26" spans="2:8" hidden="1" outlineLevel="1" x14ac:dyDescent="0.25">
      <c r="B26" s="1" t="s">
        <v>2</v>
      </c>
      <c r="C26" s="12" t="str">
        <f ca="1">_xll.VIEW(db_name&amp;":sys_application","!","!")</f>
        <v>dcceew_geus:sys_application</v>
      </c>
      <c r="D26" s="12"/>
    </row>
    <row r="27" spans="2:8" hidden="1" outlineLevel="1" x14ac:dyDescent="0.25">
      <c r="C27" s="12" t="s">
        <v>33</v>
      </c>
      <c r="D27" s="12" t="s">
        <v>30</v>
      </c>
      <c r="E27" s="12" t="s">
        <v>31</v>
      </c>
      <c r="F27" s="12" t="s">
        <v>0</v>
      </c>
      <c r="G27" s="12" t="s">
        <v>32</v>
      </c>
      <c r="H27" s="12" t="s">
        <v>1</v>
      </c>
    </row>
    <row r="28" spans="2:8" hidden="1" outlineLevel="1" x14ac:dyDescent="0.25">
      <c r="B28" s="1" t="s">
        <v>25</v>
      </c>
      <c r="C28" s="1" t="str" cm="1">
        <f t="array" aca="1" ref="C28" ca="1">_xll.DBR($C$26,$B28,C$27)</f>
        <v>TM1HomeCAP</v>
      </c>
      <c r="D28" s="1" t="str" cm="1">
        <f t="array" aca="1" ref="D28" ca="1">_xll.DBR($C$26,$B28,D$27)</f>
        <v>Home</v>
      </c>
      <c r="E28" s="1" t="str" cm="1">
        <f t="array" aca="1" ref="E28" ca="1">_xll.DBR($C$26,$B28,E$27)</f>
        <v>TM1HomeWB</v>
      </c>
      <c r="F28" s="1" t="str" cm="1">
        <f t="array" aca="1" ref="F28" ca="1">_xll.DBR($C$26,$B28,F$27)</f>
        <v>PRIMUS\GEUS WEB\Homepage\sys_Home.xlsx</v>
      </c>
      <c r="G28" s="1" t="str" cm="1">
        <f t="array" aca="1" ref="G28" ca="1">_xll.DBR($C$26,$B28,G$27)</f>
        <v>TM1HomeWS</v>
      </c>
      <c r="H28" s="1" t="str" cm="1">
        <f t="array" aca="1" ref="H28" ca="1">_xll.DBR($C$26,$B28,H$27)</f>
        <v>home</v>
      </c>
    </row>
    <row r="29" spans="2:8" hidden="1" outlineLevel="1" x14ac:dyDescent="0.25">
      <c r="B29" s="1" t="s">
        <v>26</v>
      </c>
      <c r="C29" s="1" t="str" cm="1">
        <f t="array" aca="1" ref="C29" ca="1">_xll.DBR($C$26,$B29,C$27)</f>
        <v>TM1HomeAECAP</v>
      </c>
      <c r="D29" s="1" t="str" cm="1">
        <f t="array" aca="1" ref="D29" ca="1">_xll.DBR($C$26,$B29,D$27)</f>
        <v>Annual Estimates</v>
      </c>
      <c r="E29" s="1" t="str" cm="1">
        <f t="array" aca="1" ref="E29" ca="1">_xll.DBR($C$26,$B29,E$27)</f>
        <v>TM1HomeAEWB</v>
      </c>
      <c r="F29" s="1" t="str" cm="1">
        <f t="array" aca="1" ref="F29" ca="1">_xll.DBR($C$26,$B29,F$27)</f>
        <v>PRIMUS\GEUS WEB\Homepage\sys_Home - Annual Estimates - Data Entry.xlsx</v>
      </c>
      <c r="G29" s="1" t="str" cm="1">
        <f t="array" aca="1" ref="G29" ca="1">_xll.DBR($C$26,$B29,G$27)</f>
        <v>TM1HomeAEWS</v>
      </c>
      <c r="H29" s="1" t="str" cm="1">
        <f t="array" aca="1" ref="H29" ca="1">_xll.DBR($C$26,$B29,H$27)</f>
        <v>Menu</v>
      </c>
    </row>
    <row r="30" spans="2:8" hidden="1" outlineLevel="1" x14ac:dyDescent="0.25">
      <c r="B30" s="1" t="s">
        <v>27</v>
      </c>
      <c r="C30" s="1" t="str" cm="1">
        <f t="array" aca="1" ref="C30" ca="1">_xll.DBR($C$26,$B30,C$27)</f>
        <v>TM1HomeRepCAP</v>
      </c>
      <c r="D30" s="1" t="str" cm="1">
        <f t="array" aca="1" ref="D30" ca="1">_xll.DBR($C$26,$B30,D$27)</f>
        <v>Reports</v>
      </c>
      <c r="E30" s="1" t="str" cm="1">
        <f t="array" aca="1" ref="E30" ca="1">_xll.DBR($C$26,$B30,E$27)</f>
        <v>TM1HomeRepWB</v>
      </c>
      <c r="F30" s="1" t="str" cm="1">
        <f t="array" aca="1" ref="F30" ca="1">_xll.DBR($C$26,$B30,F$27)</f>
        <v>PRIMUS\GEUS WEB\Homepage\sys_Home - Reports - PFS.xlsx</v>
      </c>
      <c r="G30" s="1" t="str" cm="1">
        <f t="array" aca="1" ref="G30" ca="1">_xll.DBR($C$26,$B30,G$27)</f>
        <v>TM1HomeRepWS</v>
      </c>
      <c r="H30" s="1" t="str" cm="1">
        <f t="array" aca="1" ref="H30" ca="1">_xll.DBR($C$26,$B30,H$27)</f>
        <v>Menu</v>
      </c>
    </row>
    <row r="31" spans="2:8" hidden="1" outlineLevel="1" x14ac:dyDescent="0.25">
      <c r="B31" s="1" t="s">
        <v>28</v>
      </c>
      <c r="C31" s="1" t="str" cm="1">
        <f t="array" aca="1" ref="C31" ca="1">_xll.DBR($C$26,$B31,C$27)</f>
        <v>TM1HomeAdminCAP</v>
      </c>
      <c r="D31" s="1" t="str" cm="1">
        <f t="array" aca="1" ref="D31" ca="1">_xll.DBR($C$26,$B31,D$27)</f>
        <v>Administration</v>
      </c>
      <c r="E31" s="1" t="str" cm="1">
        <f t="array" aca="1" ref="E31" ca="1">_xll.DBR($C$26,$B31,E$27)</f>
        <v>TM1HomeAdminWB</v>
      </c>
      <c r="F31" s="1" t="str" cm="1">
        <f t="array" aca="1" ref="F31" ca="1">_xll.DBR($C$26,$B31,F$27)</f>
        <v>PRIMUS\GEUS WEB\Homepage\sys_Home - Administration - GEUS Setup.xlsx</v>
      </c>
      <c r="G31" s="1" t="str" cm="1">
        <f t="array" aca="1" ref="G31" ca="1">_xll.DBR($C$26,$B31,G$27)</f>
        <v>TM1HomeAdminWS</v>
      </c>
      <c r="H31" s="1" t="str" cm="1">
        <f t="array" aca="1" ref="H31" ca="1">_xll.DBR($C$26,$B31,H$27)</f>
        <v>Menu</v>
      </c>
    </row>
    <row r="32" spans="2:8" hidden="1" outlineLevel="1" x14ac:dyDescent="0.25">
      <c r="B32" s="1" t="s">
        <v>34</v>
      </c>
      <c r="C32" s="1" t="str" cm="1">
        <f t="array" aca="1" ref="C32" ca="1">_xll.DBR($C$26,$B32,C$27)</f>
        <v>TM1HomeAdminRDSCAP</v>
      </c>
      <c r="D32" s="1" t="str" cm="1">
        <f t="array" aca="1" ref="D32" ca="1">_xll.DBR($C$26,$B32,D$27)</f>
        <v>Reference Data Set Menu</v>
      </c>
      <c r="E32" s="1" t="str" cm="1">
        <f t="array" aca="1" ref="E32" ca="1">_xll.DBR($C$26,$B32,E$27)</f>
        <v>TM1HomeAdminRDSWB</v>
      </c>
      <c r="F32" s="1" t="str" cm="1">
        <f t="array" aca="1" ref="F32" ca="1">_xll.DBR($C$26,$B32,F$27)</f>
        <v>PRIMUS\GEUS WEB\Homepage\sys_Home - Administration - RDS.xlsx</v>
      </c>
      <c r="G32" s="1" t="str" cm="1">
        <f t="array" aca="1" ref="G32" ca="1">_xll.DBR($C$26,$B32,G$27)</f>
        <v>TM1HomeAdminRDSWS</v>
      </c>
      <c r="H32" s="1" t="str" cm="1">
        <f t="array" aca="1" ref="H32" ca="1">_xll.DBR($C$26,$B32,H$27)</f>
        <v>Menu</v>
      </c>
    </row>
    <row r="33" spans="2:8" hidden="1" outlineLevel="1" x14ac:dyDescent="0.25">
      <c r="B33" s="1" t="s">
        <v>39</v>
      </c>
      <c r="C33" s="1" t="str" cm="1">
        <f t="array" aca="1" ref="C33" ca="1">_xll.DBR($C$26,$B33,C$27)</f>
        <v>TM1HomeAdminRDSMapCAP</v>
      </c>
      <c r="D33" s="1" t="str" cm="1">
        <f t="array" aca="1" ref="D33" ca="1">_xll.DBR($C$26,$B33,D$27)</f>
        <v>Reference Data Set Mapping Menu</v>
      </c>
      <c r="E33" s="1" t="str" cm="1">
        <f t="array" aca="1" ref="E33" ca="1">_xll.DBR($C$26,$B33,E$27)</f>
        <v>TM1HomeAdminRDSMapWB</v>
      </c>
      <c r="F33" s="1" t="str" cm="1">
        <f t="array" aca="1" ref="F33" ca="1">_xll.DBR($C$26,$B33,F$27)</f>
        <v>PRIMUS\GEUS WEB\Homepage\sys_Home - Administration - RDS Mapping.xlsx</v>
      </c>
      <c r="G33" s="1" t="str" cm="1">
        <f t="array" aca="1" ref="G33" ca="1">_xll.DBR($C$26,$B33,G$27)</f>
        <v>TM1HomeAdminRDSMapWS</v>
      </c>
      <c r="H33" s="1" t="str" cm="1">
        <f t="array" aca="1" ref="H33" ca="1">_xll.DBR($C$26,$B33,H$27)</f>
        <v>Menu</v>
      </c>
    </row>
    <row r="34" spans="2:8" hidden="1" outlineLevel="1" x14ac:dyDescent="0.25">
      <c r="B34" s="1" t="s">
        <v>35</v>
      </c>
      <c r="C34" s="1" t="str" cm="1">
        <f t="array" aca="1" ref="C34" ca="1">_xll.DBR($C$26,$B34,C$27)</f>
        <v>TM1HomeAdminGEUSCAP</v>
      </c>
      <c r="D34" s="1" t="str" cm="1">
        <f t="array" aca="1" ref="D34" ca="1">_xll.DBR($C$26,$B34,D$27)</f>
        <v>GEUS Administration Setup</v>
      </c>
      <c r="E34" s="1" t="str" cm="1">
        <f t="array" aca="1" ref="E34" ca="1">_xll.DBR($C$26,$B34,E$27)</f>
        <v>TM1HomeAdminGEUSWB</v>
      </c>
      <c r="F34" s="1" t="str" cm="1">
        <f t="array" aca="1" ref="F34" ca="1">_xll.DBR($C$26,$B34,F$27)</f>
        <v>PRIMUS\GEUS WEB\Homepage\sys_Home - Administration - GEUS Setup.xlsx</v>
      </c>
      <c r="G34" s="1" t="str" cm="1">
        <f t="array" aca="1" ref="G34" ca="1">_xll.DBR($C$26,$B34,G$27)</f>
        <v>TM1HomeAdminGEUSWS</v>
      </c>
      <c r="H34" s="1" t="str" cm="1">
        <f t="array" aca="1" ref="H34" ca="1">_xll.DBR($C$26,$B34,H$27)</f>
        <v>Menu</v>
      </c>
    </row>
    <row r="35" spans="2:8" hidden="1" outlineLevel="1" x14ac:dyDescent="0.25">
      <c r="B35" s="1" t="s">
        <v>36</v>
      </c>
      <c r="C35" s="1" t="str" cm="1">
        <f t="array" aca="1" ref="C35" ca="1">_xll.DBR($C$26,$B35,C$27)</f>
        <v>TM1HomeAdminFavCAP</v>
      </c>
      <c r="D35" s="1" t="str" cm="1">
        <f t="array" aca="1" ref="D35" ca="1">_xll.DBR($C$26,$B35,D$27)</f>
        <v>Favourites Menu</v>
      </c>
      <c r="E35" s="1" t="str" cm="1">
        <f t="array" aca="1" ref="E35" ca="1">_xll.DBR($C$26,$B35,E$27)</f>
        <v>TM1HomeAdminFavWB</v>
      </c>
      <c r="F35" s="1" t="str" cm="1">
        <f t="array" aca="1" ref="F35" ca="1">_xll.DBR($C$26,$B35,F$27)</f>
        <v>PRIMUS\GEUS WEB\Homepage\sys_Home - Administration - Favourites.xlsx</v>
      </c>
      <c r="G35" s="1" t="str" cm="1">
        <f t="array" aca="1" ref="G35" ca="1">_xll.DBR($C$26,$B35,G$27)</f>
        <v>TM1HomeAdminFavWS</v>
      </c>
      <c r="H35" s="1" t="str" cm="1">
        <f t="array" aca="1" ref="H35" ca="1">_xll.DBR($C$26,$B35,H$27)</f>
        <v>Menu</v>
      </c>
    </row>
    <row r="36" spans="2:8" hidden="1" outlineLevel="1" x14ac:dyDescent="0.25">
      <c r="B36" s="1" t="s">
        <v>37</v>
      </c>
      <c r="C36" s="1" t="str" cm="1">
        <f t="array" aca="1" ref="C36" ca="1">_xll.DBR($C$26,$B36,C$27)</f>
        <v>TM1HomeAdminBaseCAP</v>
      </c>
      <c r="D36" s="1" t="str" cm="1">
        <f t="array" aca="1" ref="D36" ca="1">_xll.DBR($C$26,$B36,D$27)</f>
        <v>Baseline Menu</v>
      </c>
      <c r="E36" s="1" t="str" cm="1">
        <f t="array" aca="1" ref="E36" ca="1">_xll.DBR($C$26,$B36,E$27)</f>
        <v>TM1HomeAdminBaseWB</v>
      </c>
      <c r="F36" s="1" t="str" cm="1">
        <f t="array" aca="1" ref="F36" ca="1">_xll.DBR($C$26,$B36,F$27)</f>
        <v>PRIMUS\GEUS WEB\Homepage\sys_Home - Administration - Baseline.xlsx</v>
      </c>
      <c r="G36" s="1" t="str" cm="1">
        <f t="array" aca="1" ref="G36" ca="1">_xll.DBR($C$26,$B36,G$27)</f>
        <v>TM1HomeAdminBaseWS</v>
      </c>
      <c r="H36" s="1" t="str" cm="1">
        <f t="array" aca="1" ref="H36" ca="1">_xll.DBR($C$26,$B36,H$27)</f>
        <v>Menu</v>
      </c>
    </row>
    <row r="37" spans="2:8" hidden="1" outlineLevel="1" x14ac:dyDescent="0.25">
      <c r="B37" s="1" t="s">
        <v>29</v>
      </c>
      <c r="C37" s="1" t="str" cm="1">
        <f t="array" aca="1" ref="C37" ca="1">_xll.DBR($C$26,$B37,C$27)</f>
        <v>TM1HomeUnderCAP</v>
      </c>
      <c r="D37" s="1" t="str" cm="1">
        <f t="array" aca="1" ref="D37" ca="1">_xll.DBR($C$26,$B37,D$27)</f>
        <v>Under Construction</v>
      </c>
      <c r="E37" s="1" t="str" cm="1">
        <f t="array" aca="1" ref="E37" ca="1">_xll.DBR($C$26,$B37,E$27)</f>
        <v>TM1HomeUnderWB</v>
      </c>
      <c r="F37" s="1" t="str" cm="1">
        <f t="array" aca="1" ref="F37" ca="1">_xll.DBR($C$26,$B37,F$27)</f>
        <v>PRIMUS\GEUS WEB\Homepage\sys_Home - Under Construction.xlsx</v>
      </c>
      <c r="G37" s="1" t="str" cm="1">
        <f t="array" aca="1" ref="G37" ca="1">_xll.DBR($C$26,$B37,G$27)</f>
        <v>TM1HomeUnderWS</v>
      </c>
      <c r="H37" s="1" t="str" cm="1">
        <f t="array" aca="1" ref="H37" ca="1">_xll.DBR($C$26,$B37,H$27)</f>
        <v>under construction</v>
      </c>
    </row>
    <row r="38" spans="2:8" hidden="1" outlineLevel="1" x14ac:dyDescent="0.25">
      <c r="B38" s="1" t="s">
        <v>41</v>
      </c>
      <c r="C38" s="1" t="str" cm="1">
        <f t="array" aca="1" ref="C38" ca="1">_xll.DBR($C$26,$B38,C$27)</f>
        <v>TM1AdminRDSMapIDCap</v>
      </c>
      <c r="D38" s="1" t="str" cm="1">
        <f t="array" aca="1" ref="D38" ca="1">_xll.DBR($C$26,$B38,D$27)</f>
        <v>RDS Map - ID Threshold</v>
      </c>
      <c r="E38" s="1" t="str" cm="1">
        <f t="array" aca="1" ref="E38" ca="1">_xll.DBR($C$26,$B38,E$27)</f>
        <v>TM1AdminRDSMapIDWB</v>
      </c>
      <c r="F38" s="1" t="str" cm="1">
        <f t="array" aca="1" ref="F38" ca="1">_xll.DBR($C$26,$B38,F$27)</f>
        <v>PRIMUS\GEUS WEB\Administration\RDS Mapping\sys_Admin - RDS Mapping - ID Threshold Management.xlsx</v>
      </c>
      <c r="G38" s="1" t="str" cm="1">
        <f t="array" aca="1" ref="G38" ca="1">_xll.DBR($C$26,$B38,G$27)</f>
        <v>TM1AdminRDSMapIDWS</v>
      </c>
      <c r="H38" s="1" t="str" cm="1">
        <f t="array" aca="1" ref="H38" ca="1">_xll.DBR($C$26,$B38,H$27)</f>
        <v>RDSMap</v>
      </c>
    </row>
    <row r="39" spans="2:8" hidden="1" outlineLevel="1" x14ac:dyDescent="0.25">
      <c r="B39" s="1" t="s">
        <v>42</v>
      </c>
      <c r="C39" s="1" t="str" cm="1">
        <f t="array" aca="1" ref="C39" ca="1">_xll.DBR($C$26,$B39,C$27)</f>
        <v>TM1AdminRDSMapCFMapCap</v>
      </c>
      <c r="D39" s="1" t="str" cm="1">
        <f t="array" aca="1" ref="D39" ca="1">_xll.DBR($C$26,$B39,D$27)</f>
        <v>RDS Map - Cash Flow Deriviation</v>
      </c>
      <c r="E39" s="1" t="str" cm="1">
        <f t="array" aca="1" ref="E39" ca="1">_xll.DBR($C$26,$B39,E$27)</f>
        <v>TM1AdminRDSMapCFMapWB</v>
      </c>
      <c r="F39" s="1" t="str" cm="1">
        <f t="array" aca="1" ref="F39" ca="1">_xll.DBR($C$26,$B39,F$27)</f>
        <v>PRIMUS\GEUS WEB\Administration\RDS Mapping\sys_Admin - RDS Mapping - Cash Flow Derivation Weightings.xlsx</v>
      </c>
      <c r="G39" s="1" t="str" cm="1">
        <f t="array" aca="1" ref="G39" ca="1">_xll.DBR($C$26,$B39,G$27)</f>
        <v>TM1AdminRDSMapCFMapWS</v>
      </c>
      <c r="H39" s="1" t="str" cm="1">
        <f t="array" aca="1" ref="H39" ca="1">_xll.DBR($C$26,$B39,H$27)</f>
        <v>RDSMap</v>
      </c>
    </row>
    <row r="40" spans="2:8" hidden="1" outlineLevel="1" x14ac:dyDescent="0.25">
      <c r="B40" s="1" t="s">
        <v>43</v>
      </c>
      <c r="C40" s="1" t="str" cm="1">
        <f t="array" aca="1" ref="C40" ca="1">_xll.DBR($C$26,$B40,C$27)</f>
        <v>TM1AdminRDSMapAppropItemCAP</v>
      </c>
      <c r="D40" s="1" t="str" cm="1">
        <f t="array" aca="1" ref="D40" ca="1">_xll.DBR($C$26,$B40,D$27)</f>
        <v>RDS Map - Appropriation Item Mapping</v>
      </c>
      <c r="E40" s="1" t="str" cm="1">
        <f t="array" aca="1" ref="E40" ca="1">_xll.DBR($C$26,$B40,E$27)</f>
        <v>TM1AdminRDSMapAppropItemWB</v>
      </c>
      <c r="F40" s="1" t="str" cm="1">
        <f t="array" aca="1" ref="F40" ca="1">_xll.DBR($C$26,$B40,F$27)</f>
        <v/>
      </c>
      <c r="G40" s="1" t="str" cm="1">
        <f t="array" aca="1" ref="G40" ca="1">_xll.DBR($C$26,$B40,G$27)</f>
        <v>TM1AdminRDSMapAppropItemWS</v>
      </c>
      <c r="H40" s="1" t="str" cm="1">
        <f t="array" aca="1" ref="H40" ca="1">_xll.DBR($C$26,$B40,H$27)</f>
        <v>RDSMap</v>
      </c>
    </row>
    <row r="41" spans="2:8" hidden="1" outlineLevel="1" x14ac:dyDescent="0.25">
      <c r="B41" s="1" t="s">
        <v>44</v>
      </c>
      <c r="C41" s="1" t="str" cm="1">
        <f t="array" aca="1" ref="C41" ca="1">_xll.DBR($C$26,$B41,C$27)</f>
        <v>TM1AdminRDSMapMAMapCAP</v>
      </c>
      <c r="D41" s="1" t="str" cm="1">
        <f t="array" aca="1" ref="D41" ca="1">_xll.DBR($C$26,$B41,D$27)</f>
        <v>RDS Map - Movement Account Mapping</v>
      </c>
      <c r="E41" s="1" t="str" cm="1">
        <f t="array" aca="1" ref="E41" ca="1">_xll.DBR($C$26,$B41,E$27)</f>
        <v>TM1AdminRDSMapMAMapWB</v>
      </c>
      <c r="F41" s="1" t="str" cm="1">
        <f t="array" aca="1" ref="F41" ca="1">_xll.DBR($C$26,$B41,F$27)</f>
        <v>PRIMUS\GEUS WEB\Administration\RDS Mapping\sys_Admin - RDS Mapping - Movement Account Mapping.xlsx</v>
      </c>
      <c r="G41" s="1" t="str" cm="1">
        <f t="array" aca="1" ref="G41" ca="1">_xll.DBR($C$26,$B41,G$27)</f>
        <v>TM1AdminRDSMapMAMapWS</v>
      </c>
      <c r="H41" s="1" t="str" cm="1">
        <f t="array" aca="1" ref="H41" ca="1">_xll.DBR($C$26,$B41,H$27)</f>
        <v>RDSMap</v>
      </c>
    </row>
    <row r="42" spans="2:8" hidden="1" outlineLevel="1" x14ac:dyDescent="0.25">
      <c r="B42" s="1" t="s">
        <v>45</v>
      </c>
      <c r="C42" s="1" t="str" cm="1">
        <f t="array" aca="1" ref="C42" ca="1">_xll.DBR($C$26,$B42,C$27)</f>
        <v>TM1AdminRDSMapREMapCAP</v>
      </c>
      <c r="D42" s="1" t="str" cm="1">
        <f t="array" aca="1" ref="D42" ca="1">_xll.DBR($C$26,$B42,D$27)</f>
        <v>RDS Map - Related Entity Mapping</v>
      </c>
      <c r="E42" s="1" t="str" cm="1">
        <f t="array" aca="1" ref="E42" ca="1">_xll.DBR($C$26,$B42,E$27)</f>
        <v>TM1AdminRDSMapREMapWB</v>
      </c>
      <c r="F42" s="1" t="str" cm="1">
        <f t="array" aca="1" ref="F42" ca="1">_xll.DBR($C$26,$B42,F$27)</f>
        <v/>
      </c>
      <c r="G42" s="1" t="str" cm="1">
        <f t="array" aca="1" ref="G42" ca="1">_xll.DBR($C$26,$B42,G$27)</f>
        <v>TM1AdminRDSMapREMapWS</v>
      </c>
      <c r="H42" s="1" t="str" cm="1">
        <f t="array" aca="1" ref="H42" ca="1">_xll.DBR($C$26,$B42,H$27)</f>
        <v>RDSMap</v>
      </c>
    </row>
    <row r="43" spans="2:8" hidden="1" outlineLevel="1" x14ac:dyDescent="0.25"/>
    <row r="44" spans="2:8" hidden="1" outlineLevel="1" x14ac:dyDescent="0.25"/>
    <row r="45" spans="2:8" hidden="1" outlineLevel="1" x14ac:dyDescent="0.25"/>
    <row r="46" spans="2:8" hidden="1" outlineLevel="1" x14ac:dyDescent="0.25"/>
    <row r="47" spans="2:8" hidden="1" outlineLevel="1" x14ac:dyDescent="0.25"/>
    <row r="48" spans="2:8" hidden="1" outlineLevel="1" x14ac:dyDescent="0.25"/>
    <row r="49" spans="10:23" hidden="1" outlineLevel="1" x14ac:dyDescent="0.25"/>
    <row r="50" spans="10:23" hidden="1" outlineLevel="1" x14ac:dyDescent="0.25"/>
    <row r="51" spans="10:23" hidden="1" outlineLevel="1" x14ac:dyDescent="0.25"/>
    <row r="52" spans="10:23" hidden="1" outlineLevel="1" x14ac:dyDescent="0.25"/>
    <row r="53" spans="10:23" hidden="1" outlineLevel="1" x14ac:dyDescent="0.25"/>
    <row r="54" spans="10:23" ht="39.75" customHeight="1" collapsed="1" x14ac:dyDescent="0.25"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11" t="str">
        <f ca="1">"Welcome "&amp; psUser</f>
        <v>Welcome Khristian Gimena</v>
      </c>
    </row>
    <row r="55" spans="10:23" ht="4.5" customHeight="1" x14ac:dyDescent="0.25"/>
    <row r="56" spans="10:23" ht="30" customHeight="1" x14ac:dyDescent="0.25">
      <c r="J56" s="6"/>
      <c r="K56" s="19" t="str">
        <f ca="1">$C$15</f>
        <v>The current scenario is "current" for the "HL2023-2024" Headline Year. Archive was done for "HL2023-2024" on scenario "MYEFO".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6"/>
      <c r="W56" s="6"/>
    </row>
    <row r="57" spans="10:23" ht="4.5" customHeight="1" x14ac:dyDescent="0.25"/>
    <row r="61" spans="10:23" ht="24.75" customHeight="1" x14ac:dyDescent="0.25">
      <c r="J61" s="7"/>
      <c r="K61" s="7"/>
      <c r="L61" s="14" t="s">
        <v>38</v>
      </c>
      <c r="M61" s="14"/>
      <c r="N61" s="14"/>
      <c r="O61" s="14"/>
      <c r="P61" s="5"/>
      <c r="R61" s="8"/>
      <c r="S61" s="15" t="s">
        <v>40</v>
      </c>
      <c r="T61" s="15"/>
      <c r="U61" s="15"/>
      <c r="V61" s="15"/>
      <c r="W61" s="8"/>
    </row>
    <row r="62" spans="10:23" ht="4.5" customHeight="1" x14ac:dyDescent="0.25">
      <c r="J62" s="9"/>
      <c r="K62" s="9"/>
      <c r="L62" s="9"/>
      <c r="M62" s="9"/>
      <c r="N62" s="9"/>
      <c r="O62" s="9"/>
      <c r="P62" s="9"/>
      <c r="R62" s="9"/>
      <c r="S62" s="9"/>
      <c r="T62" s="9"/>
      <c r="U62" s="9"/>
      <c r="V62" s="9"/>
      <c r="W62" s="9"/>
    </row>
    <row r="63" spans="10:23" ht="19.5" customHeight="1" x14ac:dyDescent="0.25">
      <c r="J63" s="9"/>
      <c r="K63" s="9"/>
      <c r="L63" s="9"/>
      <c r="M63" s="9"/>
      <c r="N63" s="9"/>
      <c r="O63" s="9"/>
      <c r="P63" s="9"/>
      <c r="R63" s="9"/>
      <c r="S63" s="9"/>
      <c r="T63" s="9"/>
      <c r="U63" s="9"/>
      <c r="V63" s="9"/>
      <c r="W63" s="9"/>
    </row>
    <row r="64" spans="10:23" ht="4.5" customHeight="1" x14ac:dyDescent="0.25">
      <c r="J64" s="9"/>
      <c r="K64" s="9"/>
      <c r="L64" s="9"/>
      <c r="M64" s="9"/>
      <c r="N64" s="9"/>
      <c r="O64" s="9"/>
      <c r="P64" s="9"/>
      <c r="R64" s="9"/>
      <c r="S64" s="9"/>
      <c r="T64" s="9"/>
      <c r="U64" s="9"/>
      <c r="V64" s="9"/>
      <c r="W64" s="9"/>
    </row>
    <row r="65" spans="10:23" ht="19.5" customHeight="1" x14ac:dyDescent="0.25"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</row>
    <row r="66" spans="10:23" ht="4.5" customHeight="1" x14ac:dyDescent="0.25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ht="19.5" customHeight="1" x14ac:dyDescent="0.25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ht="4.5" customHeight="1" x14ac:dyDescent="0.25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ht="19.5" customHeight="1" x14ac:dyDescent="0.25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x14ac:dyDescent="0.25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x14ac:dyDescent="0.25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ht="4.5" customHeight="1" x14ac:dyDescent="0.25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x14ac:dyDescent="0.25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ht="4.5" customHeight="1" x14ac:dyDescent="0.25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x14ac:dyDescent="0.25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ht="4.5" customHeight="1" x14ac:dyDescent="0.25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x14ac:dyDescent="0.25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ht="4.5" customHeight="1" x14ac:dyDescent="0.25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x14ac:dyDescent="0.25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ht="4.5" customHeight="1" x14ac:dyDescent="0.25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x14ac:dyDescent="0.25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ht="4.5" customHeight="1" x14ac:dyDescent="0.25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x14ac:dyDescent="0.25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ht="4.5" customHeight="1" x14ac:dyDescent="0.25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x14ac:dyDescent="0.25">
      <c r="J85" s="9"/>
      <c r="K85" s="9"/>
      <c r="L85" s="9"/>
      <c r="M85" s="9"/>
      <c r="N85" s="9"/>
      <c r="O85" s="9"/>
      <c r="P85" s="9"/>
      <c r="R85" s="9"/>
      <c r="S85" s="9"/>
      <c r="T85" s="9"/>
      <c r="U85" s="9"/>
      <c r="V85" s="9"/>
      <c r="W85" s="9"/>
    </row>
    <row r="86" spans="10:23" ht="4.5" customHeight="1" x14ac:dyDescent="0.25">
      <c r="J86" s="9"/>
      <c r="K86" s="9"/>
      <c r="L86" s="9"/>
      <c r="M86" s="9"/>
      <c r="N86" s="9"/>
      <c r="O86" s="9"/>
      <c r="P86" s="9"/>
      <c r="R86" s="9"/>
      <c r="S86" s="9"/>
      <c r="T86" s="9"/>
      <c r="U86" s="9"/>
      <c r="V86" s="9"/>
      <c r="W86" s="9"/>
    </row>
    <row r="87" spans="10:23" x14ac:dyDescent="0.25">
      <c r="J87" s="9"/>
      <c r="K87" s="9"/>
      <c r="L87" s="9"/>
      <c r="M87" s="9"/>
      <c r="N87" s="9"/>
      <c r="O87" s="9"/>
      <c r="P87" s="9"/>
      <c r="R87" s="9"/>
      <c r="S87" s="9"/>
      <c r="T87" s="9"/>
      <c r="U87" s="9"/>
      <c r="V87" s="9"/>
      <c r="W87" s="9"/>
    </row>
    <row r="88" spans="10:23" ht="4.5" customHeight="1" x14ac:dyDescent="0.25">
      <c r="J88" s="9"/>
      <c r="K88" s="9"/>
      <c r="L88" s="9"/>
      <c r="M88" s="9"/>
      <c r="N88" s="9"/>
      <c r="O88" s="9"/>
      <c r="P88" s="9"/>
      <c r="R88" s="9"/>
      <c r="S88" s="9"/>
      <c r="T88" s="9"/>
      <c r="U88" s="9"/>
      <c r="V88" s="9"/>
      <c r="W88" s="9"/>
    </row>
    <row r="89" spans="10:23" x14ac:dyDescent="0.25">
      <c r="J89" s="9"/>
      <c r="K89" s="9"/>
      <c r="L89" s="9"/>
      <c r="M89" s="9"/>
      <c r="N89" s="9"/>
      <c r="O89" s="9"/>
      <c r="P89" s="9"/>
      <c r="R89" s="9"/>
      <c r="S89" s="9"/>
      <c r="T89" s="9"/>
      <c r="U89" s="9"/>
      <c r="V89" s="9"/>
      <c r="W89" s="9"/>
    </row>
    <row r="90" spans="10:23" ht="4.5" customHeight="1" x14ac:dyDescent="0.25">
      <c r="J90" s="9"/>
      <c r="K90" s="9"/>
      <c r="L90" s="9"/>
      <c r="M90" s="9"/>
      <c r="N90" s="9"/>
      <c r="O90" s="9"/>
      <c r="P90" s="9"/>
      <c r="R90" s="9"/>
      <c r="S90" s="9"/>
      <c r="T90" s="9"/>
      <c r="U90" s="9"/>
      <c r="V90" s="9"/>
      <c r="W90" s="9"/>
    </row>
    <row r="91" spans="10:23" x14ac:dyDescent="0.25">
      <c r="J91" s="9"/>
      <c r="K91" s="9"/>
      <c r="L91" s="9"/>
      <c r="M91" s="9"/>
      <c r="N91" s="9"/>
      <c r="O91" s="9"/>
      <c r="P91" s="9"/>
      <c r="R91" s="9"/>
      <c r="S91" s="9"/>
      <c r="T91" s="9"/>
      <c r="U91" s="9"/>
      <c r="V91" s="9"/>
      <c r="W91" s="9"/>
    </row>
    <row r="92" spans="10:23" ht="4.5" customHeight="1" x14ac:dyDescent="0.25">
      <c r="J92" s="9"/>
      <c r="K92" s="9"/>
      <c r="L92" s="9"/>
      <c r="M92" s="9"/>
      <c r="N92" s="9"/>
      <c r="O92" s="9"/>
      <c r="P92" s="9"/>
      <c r="R92" s="9"/>
      <c r="S92" s="9"/>
      <c r="T92" s="9"/>
      <c r="U92" s="9"/>
      <c r="V92" s="9"/>
      <c r="W92" s="9"/>
    </row>
    <row r="93" spans="10:23" x14ac:dyDescent="0.25">
      <c r="J93" s="9"/>
      <c r="K93" s="9"/>
      <c r="L93" s="9"/>
      <c r="M93" s="9"/>
      <c r="N93" s="9"/>
      <c r="O93" s="9"/>
      <c r="P93" s="9"/>
      <c r="R93" s="9"/>
      <c r="S93" s="9"/>
      <c r="T93" s="9"/>
      <c r="U93" s="9"/>
      <c r="V93" s="9"/>
      <c r="W93" s="9"/>
    </row>
    <row r="94" spans="10:23" ht="4.5" customHeight="1" x14ac:dyDescent="0.25">
      <c r="J94" s="9"/>
      <c r="K94" s="9"/>
      <c r="L94" s="9"/>
      <c r="M94" s="9"/>
      <c r="N94" s="9"/>
      <c r="O94" s="9"/>
      <c r="P94" s="9"/>
      <c r="R94" s="9"/>
      <c r="S94" s="9"/>
      <c r="T94" s="9"/>
      <c r="U94" s="9"/>
      <c r="V94" s="9"/>
      <c r="W94" s="9"/>
    </row>
    <row r="95" spans="10:23" x14ac:dyDescent="0.25">
      <c r="J95" s="9"/>
      <c r="K95" s="9"/>
      <c r="L95" s="9"/>
      <c r="M95" s="9"/>
      <c r="N95" s="9"/>
      <c r="O95" s="9"/>
      <c r="P95" s="9"/>
      <c r="R95" s="9"/>
      <c r="S95" s="9"/>
      <c r="T95" s="9"/>
      <c r="U95" s="9"/>
      <c r="V95" s="9"/>
      <c r="W95" s="9"/>
    </row>
    <row r="96" spans="10:23" x14ac:dyDescent="0.25">
      <c r="K96" s="13" t="str">
        <f ca="1">"© Excelerated Consulting Pty Ltd 2001-" &amp; YEAR(NOW())</f>
        <v>© Excelerated Consulting Pty Ltd 2001-2023</v>
      </c>
    </row>
  </sheetData>
  <sheetProtection sheet="1" objects="1" scenarios="1"/>
  <mergeCells count="7">
    <mergeCell ref="L61:O61"/>
    <mergeCell ref="S61:V61"/>
    <mergeCell ref="B1:D1"/>
    <mergeCell ref="B9:D9"/>
    <mergeCell ref="B17:D17"/>
    <mergeCell ref="B25:D25"/>
    <mergeCell ref="K56:U56"/>
  </mergeCells>
  <conditionalFormatting sqref="R61:W61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8" r:id="rId4" name="TIButton21">
          <controlPr defaultSize="0" print="0" autoLine="0" r:id="rId5">
            <anchor moveWithCells="1" sizeWithCells="1">
              <from>
                <xdr:col>11</xdr:col>
                <xdr:colOff>0</xdr:colOff>
                <xdr:row>70</xdr:row>
                <xdr:rowOff>85725</xdr:rowOff>
              </from>
              <to>
                <xdr:col>14</xdr:col>
                <xdr:colOff>752475</xdr:colOff>
                <xdr:row>72</xdr:row>
                <xdr:rowOff>152400</xdr:rowOff>
              </to>
            </anchor>
          </controlPr>
        </control>
      </mc:Choice>
      <mc:Fallback>
        <control shapeId="1048" r:id="rId4" name="TIButton21"/>
      </mc:Fallback>
    </mc:AlternateContent>
    <mc:AlternateContent xmlns:mc="http://schemas.openxmlformats.org/markup-compatibility/2006">
      <mc:Choice Requires="x14">
        <control shapeId="1045" r:id="rId6" name="TIButton18">
          <controlPr defaultSize="0" print="0" autoLine="0" r:id="rId7">
            <anchor moveWithCells="1" sizeWithCells="1">
              <from>
                <xdr:col>11</xdr:col>
                <xdr:colOff>0</xdr:colOff>
                <xdr:row>68</xdr:row>
                <xdr:rowOff>161925</xdr:rowOff>
              </from>
              <to>
                <xdr:col>14</xdr:col>
                <xdr:colOff>752475</xdr:colOff>
                <xdr:row>70</xdr:row>
                <xdr:rowOff>38100</xdr:rowOff>
              </to>
            </anchor>
          </controlPr>
        </control>
      </mc:Choice>
      <mc:Fallback>
        <control shapeId="1045" r:id="rId6" name="TIButton18"/>
      </mc:Fallback>
    </mc:AlternateContent>
    <mc:AlternateContent xmlns:mc="http://schemas.openxmlformats.org/markup-compatibility/2006">
      <mc:Choice Requires="x14">
        <control shapeId="1038" r:id="rId8" name="TIButton12">
          <controlPr defaultSize="0" print="0" autoLine="0" r:id="rId9">
            <anchor moveWithCells="1" sizeWithCells="1">
              <from>
                <xdr:col>18</xdr:col>
                <xdr:colOff>285750</xdr:colOff>
                <xdr:row>66</xdr:row>
                <xdr:rowOff>104775</xdr:rowOff>
              </from>
              <to>
                <xdr:col>21</xdr:col>
                <xdr:colOff>1038225</xdr:colOff>
                <xdr:row>68</xdr:row>
                <xdr:rowOff>114300</xdr:rowOff>
              </to>
            </anchor>
          </controlPr>
        </control>
      </mc:Choice>
      <mc:Fallback>
        <control shapeId="1038" r:id="rId8" name="TIButton12"/>
      </mc:Fallback>
    </mc:AlternateContent>
    <mc:AlternateContent xmlns:mc="http://schemas.openxmlformats.org/markup-compatibility/2006">
      <mc:Choice Requires="x14">
        <control shapeId="1037" r:id="rId10" name="TIButton11">
          <controlPr defaultSize="0" print="0" autoLine="0" r:id="rId11">
            <anchor moveWithCells="1" sizeWithCells="1">
              <from>
                <xdr:col>18</xdr:col>
                <xdr:colOff>285750</xdr:colOff>
                <xdr:row>64</xdr:row>
                <xdr:rowOff>47625</xdr:rowOff>
              </from>
              <to>
                <xdr:col>21</xdr:col>
                <xdr:colOff>1038225</xdr:colOff>
                <xdr:row>66</xdr:row>
                <xdr:rowOff>57150</xdr:rowOff>
              </to>
            </anchor>
          </controlPr>
        </control>
      </mc:Choice>
      <mc:Fallback>
        <control shapeId="1037" r:id="rId10" name="TIButton11"/>
      </mc:Fallback>
    </mc:AlternateContent>
    <mc:AlternateContent xmlns:mc="http://schemas.openxmlformats.org/markup-compatibility/2006">
      <mc:Choice Requires="x14">
        <control shapeId="1036" r:id="rId12" name="TIButton10">
          <controlPr defaultSize="0" print="0" autoLine="0" r:id="rId13">
            <anchor moveWithCells="1" sizeWithCells="1">
              <from>
                <xdr:col>18</xdr:col>
                <xdr:colOff>285750</xdr:colOff>
                <xdr:row>61</xdr:row>
                <xdr:rowOff>47625</xdr:rowOff>
              </from>
              <to>
                <xdr:col>21</xdr:col>
                <xdr:colOff>1038225</xdr:colOff>
                <xdr:row>64</xdr:row>
                <xdr:rowOff>0</xdr:rowOff>
              </to>
            </anchor>
          </controlPr>
        </control>
      </mc:Choice>
      <mc:Fallback>
        <control shapeId="1036" r:id="rId12" name="TIButton10"/>
      </mc:Fallback>
    </mc:AlternateContent>
    <mc:AlternateContent xmlns:mc="http://schemas.openxmlformats.org/markup-compatibility/2006">
      <mc:Choice Requires="x14">
        <control shapeId="1034" r:id="rId14" name="TIButton8">
          <controlPr defaultSize="0" print="0" autoLine="0" r:id="rId15">
            <anchor moveWithCells="1" sizeWithCells="1">
              <from>
                <xdr:col>19</xdr:col>
                <xdr:colOff>1133475</xdr:colOff>
                <xdr:row>57</xdr:row>
                <xdr:rowOff>38100</xdr:rowOff>
              </from>
              <to>
                <xdr:col>22</xdr:col>
                <xdr:colOff>114300</xdr:colOff>
                <xdr:row>59</xdr:row>
                <xdr:rowOff>76200</xdr:rowOff>
              </to>
            </anchor>
          </controlPr>
        </control>
      </mc:Choice>
      <mc:Fallback>
        <control shapeId="1034" r:id="rId14" name="TIButton8"/>
      </mc:Fallback>
    </mc:AlternateContent>
    <mc:AlternateContent xmlns:mc="http://schemas.openxmlformats.org/markup-compatibility/2006">
      <mc:Choice Requires="x14">
        <control shapeId="1033" r:id="rId16" name="TIButton7">
          <controlPr defaultSize="0" print="0" autoLine="0" r:id="rId17">
            <anchor moveWithCells="1" sizeWithCells="1">
              <from>
                <xdr:col>15</xdr:col>
                <xdr:colOff>371475</xdr:colOff>
                <xdr:row>57</xdr:row>
                <xdr:rowOff>38100</xdr:rowOff>
              </from>
              <to>
                <xdr:col>19</xdr:col>
                <xdr:colOff>1104900</xdr:colOff>
                <xdr:row>59</xdr:row>
                <xdr:rowOff>76200</xdr:rowOff>
              </to>
            </anchor>
          </controlPr>
        </control>
      </mc:Choice>
      <mc:Fallback>
        <control shapeId="1033" r:id="rId16" name="TIButton7"/>
      </mc:Fallback>
    </mc:AlternateContent>
    <mc:AlternateContent xmlns:mc="http://schemas.openxmlformats.org/markup-compatibility/2006">
      <mc:Choice Requires="x14">
        <control shapeId="1032" r:id="rId18" name="TIButton6">
          <controlPr defaultSize="0" print="0" autoLine="0" r:id="rId19">
            <anchor moveWithCells="1" sizeWithCells="1">
              <from>
                <xdr:col>13</xdr:col>
                <xdr:colOff>57150</xdr:colOff>
                <xdr:row>57</xdr:row>
                <xdr:rowOff>47625</xdr:rowOff>
              </from>
              <to>
                <xdr:col>15</xdr:col>
                <xdr:colOff>352425</xdr:colOff>
                <xdr:row>59</xdr:row>
                <xdr:rowOff>85725</xdr:rowOff>
              </to>
            </anchor>
          </controlPr>
        </control>
      </mc:Choice>
      <mc:Fallback>
        <control shapeId="1032" r:id="rId18" name="TIButton6"/>
      </mc:Fallback>
    </mc:AlternateContent>
    <mc:AlternateContent xmlns:mc="http://schemas.openxmlformats.org/markup-compatibility/2006">
      <mc:Choice Requires="x14">
        <control shapeId="1031" r:id="rId20" name="TIButton5">
          <controlPr defaultSize="0" print="0" autoLine="0" r:id="rId21">
            <anchor moveWithCells="1" sizeWithCells="1">
              <from>
                <xdr:col>10</xdr:col>
                <xdr:colOff>123825</xdr:colOff>
                <xdr:row>57</xdr:row>
                <xdr:rowOff>47625</xdr:rowOff>
              </from>
              <to>
                <xdr:col>13</xdr:col>
                <xdr:colOff>38100</xdr:colOff>
                <xdr:row>59</xdr:row>
                <xdr:rowOff>85725</xdr:rowOff>
              </to>
            </anchor>
          </controlPr>
        </control>
      </mc:Choice>
      <mc:Fallback>
        <control shapeId="1031" r:id="rId20" name="TIButton5"/>
      </mc:Fallback>
    </mc:AlternateContent>
    <mc:AlternateContent xmlns:mc="http://schemas.openxmlformats.org/markup-compatibility/2006">
      <mc:Choice Requires="x14">
        <control shapeId="1027" r:id="rId22" name="TIButton3">
          <controlPr defaultSize="0" print="0" autoLine="0" r:id="rId23">
            <anchor moveWithCells="1" sizeWithCells="1">
              <from>
                <xdr:col>11</xdr:col>
                <xdr:colOff>0</xdr:colOff>
                <xdr:row>66</xdr:row>
                <xdr:rowOff>104775</xdr:rowOff>
              </from>
              <to>
                <xdr:col>14</xdr:col>
                <xdr:colOff>752475</xdr:colOff>
                <xdr:row>68</xdr:row>
                <xdr:rowOff>114300</xdr:rowOff>
              </to>
            </anchor>
          </controlPr>
        </control>
      </mc:Choice>
      <mc:Fallback>
        <control shapeId="1027" r:id="rId22" name="TIButton3"/>
      </mc:Fallback>
    </mc:AlternateContent>
    <mc:AlternateContent xmlns:mc="http://schemas.openxmlformats.org/markup-compatibility/2006">
      <mc:Choice Requires="x14">
        <control shapeId="1026" r:id="rId24" name="TIButton2">
          <controlPr defaultSize="0" print="0" autoLine="0" r:id="rId25">
            <anchor moveWithCells="1" sizeWithCells="1">
              <from>
                <xdr:col>11</xdr:col>
                <xdr:colOff>0</xdr:colOff>
                <xdr:row>64</xdr:row>
                <xdr:rowOff>47625</xdr:rowOff>
              </from>
              <to>
                <xdr:col>14</xdr:col>
                <xdr:colOff>752475</xdr:colOff>
                <xdr:row>66</xdr:row>
                <xdr:rowOff>57150</xdr:rowOff>
              </to>
            </anchor>
          </controlPr>
        </control>
      </mc:Choice>
      <mc:Fallback>
        <control shapeId="1026" r:id="rId24" name="TIButton2"/>
      </mc:Fallback>
    </mc:AlternateContent>
    <mc:AlternateContent xmlns:mc="http://schemas.openxmlformats.org/markup-compatibility/2006">
      <mc:Choice Requires="x14">
        <control shapeId="1025" r:id="rId26" name="TIButton1">
          <controlPr defaultSize="0" print="0" autoLine="0" r:id="rId27">
            <anchor moveWithCells="1" sizeWithCells="1">
              <from>
                <xdr:col>11</xdr:col>
                <xdr:colOff>0</xdr:colOff>
                <xdr:row>61</xdr:row>
                <xdr:rowOff>47625</xdr:rowOff>
              </from>
              <to>
                <xdr:col>14</xdr:col>
                <xdr:colOff>752475</xdr:colOff>
                <xdr:row>64</xdr:row>
                <xdr:rowOff>0</xdr:rowOff>
              </to>
            </anchor>
          </controlPr>
        </control>
      </mc:Choice>
      <mc:Fallback>
        <control shapeId="1025" r:id="rId26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49</vt:i4>
      </vt:variant>
    </vt:vector>
  </HeadingPairs>
  <TitlesOfParts>
    <vt:vector size="50" baseType="lpstr">
      <vt:lpstr>Menu</vt:lpstr>
      <vt:lpstr>db_name</vt:lpstr>
      <vt:lpstr>home</vt:lpstr>
      <vt:lpstr>Menu</vt:lpstr>
      <vt:lpstr>psUser</vt:lpstr>
      <vt:lpstr>TM1AdminRDSMapAppropItemCAP</vt:lpstr>
      <vt:lpstr>TM1AdminRDSMapAppropItemWB</vt:lpstr>
      <vt:lpstr>TM1AdminRDSMapAppropItemWS</vt:lpstr>
      <vt:lpstr>TM1AdminRDSMapCFMapCap</vt:lpstr>
      <vt:lpstr>TM1AdminRDSMapCFMapWB</vt:lpstr>
      <vt:lpstr>TM1AdminRDSMapCFMapWS</vt:lpstr>
      <vt:lpstr>TM1AdminRDSMapIDCap</vt:lpstr>
      <vt:lpstr>TM1AdminRDSMapIDWB</vt:lpstr>
      <vt:lpstr>TM1AdminRDSMapIDWS</vt:lpstr>
      <vt:lpstr>TM1AdminRDSMapMAMapCAP</vt:lpstr>
      <vt:lpstr>TM1AdminRDSMapMAMapWB</vt:lpstr>
      <vt:lpstr>TM1AdminRDSMapMAMapWS</vt:lpstr>
      <vt:lpstr>TM1AdminRDSMapREMapCAP</vt:lpstr>
      <vt:lpstr>TM1AdminRDSMapREMapWB</vt:lpstr>
      <vt:lpstr>TM1AdminRDSMapREMapWS</vt:lpstr>
      <vt:lpstr>TM1HomeAdminBaseCAP</vt:lpstr>
      <vt:lpstr>TM1HomeAdminBaseWB</vt:lpstr>
      <vt:lpstr>TM1HomeAdminBaseWS</vt:lpstr>
      <vt:lpstr>TM1HomeAdminCAP</vt:lpstr>
      <vt:lpstr>TM1HomeAdminFavCAP</vt:lpstr>
      <vt:lpstr>TM1HomeAdminFavWB</vt:lpstr>
      <vt:lpstr>TM1HomeAdminFavWS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modeler1</cp:lastModifiedBy>
  <dcterms:created xsi:type="dcterms:W3CDTF">2018-10-30T00:46:04Z</dcterms:created>
  <dcterms:modified xsi:type="dcterms:W3CDTF">2023-04-11T14:01:49Z</dcterms:modified>
</cp:coreProperties>
</file>