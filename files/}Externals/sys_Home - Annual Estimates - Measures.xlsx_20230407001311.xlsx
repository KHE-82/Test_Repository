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1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B114A6FD-1B99-4F2A-B4A7-994F220F330C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nu" sheetId="1" r:id="rId1"/>
    <sheet name="{PL}PickLst" sheetId="3" state="hidden" r:id="rId2"/>
  </sheets>
  <definedNames>
    <definedName name="db_name">Menu!$C$2</definedName>
    <definedName name="home">Menu!$G$28</definedName>
    <definedName name="Menu">Menu!$G$29</definedName>
    <definedName name="psUser">Menu!$C$7</definedName>
    <definedName name="rng_Start">#REF!</definedName>
    <definedName name="TM1HomeAdminCAP">Menu!$D$35</definedName>
    <definedName name="TM1HomeAdminWB">Menu!$F$35</definedName>
    <definedName name="TM1HomeAdminWS">Menu!$H$35</definedName>
    <definedName name="TM1HomeAEAccVarCAP">Menu!$D$33</definedName>
    <definedName name="TM1HomeAEAccVarWB">Menu!$F$33</definedName>
    <definedName name="TM1HomeAEAccVarWS">Menu!$H$33</definedName>
    <definedName name="TM1HomeAECAP">Menu!$D$29</definedName>
    <definedName name="TM1HomeAECDMCAP">Menu!$D$37</definedName>
    <definedName name="TM1HomeAECDMWB">Menu!$F$37</definedName>
    <definedName name="TM1HomeAECDMWS">Menu!$H$37</definedName>
    <definedName name="TM1HomeAEDataEntryCAP">Menu!$D$30</definedName>
    <definedName name="TM1HomeAEDataEntryWB">Menu!$F$30</definedName>
    <definedName name="TM1HomeAEDataEntryWS">Menu!$H$30</definedName>
    <definedName name="TM1HomeAEFFCAP">Menu!$D$32</definedName>
    <definedName name="TM1HomeAEFFWB">Menu!$F$32</definedName>
    <definedName name="TM1HomeAEFFWS">Menu!$H$32</definedName>
    <definedName name="TM1HomeAEMeasuresCAP">Menu!$D$31</definedName>
    <definedName name="TM1HomeAEMeasuresWB">Menu!$F$31</definedName>
    <definedName name="TM1HomeAEMeasuresWS">Menu!$H$31</definedName>
    <definedName name="TM1HomeAEWB">Menu!$F$29</definedName>
    <definedName name="TM1HomeAEWS">Menu!$H$29</definedName>
    <definedName name="TM1HomeCAP">Menu!$D$28</definedName>
    <definedName name="TM1HomeRepCAP">Menu!$D$34</definedName>
    <definedName name="TM1HomeRepWB">Menu!$F$34</definedName>
    <definedName name="TM1HomeRepWS">Menu!$H$34</definedName>
    <definedName name="TM1HomeUnderCAP">Menu!$D$36</definedName>
    <definedName name="TM1HomeUnderWB">Menu!$F$36</definedName>
    <definedName name="TM1HomeUnderWS">Menu!$H$36</definedName>
    <definedName name="TM1HomeWB">Menu!$F$28</definedName>
    <definedName name="TM1HomeWS">Menu!$H$28</definedName>
    <definedName name="TM1MeasBulkCAP">Menu!$D$40</definedName>
    <definedName name="TM1MeasBulkWB">Menu!$F$40</definedName>
    <definedName name="TM1MeasBulkWS">Menu!$H$40</definedName>
    <definedName name="TM1MeasListCAP">Menu!$D$39</definedName>
    <definedName name="TM1MeasListWB">Menu!$F$39</definedName>
    <definedName name="TM1MeasListWS">Menu!$H$39</definedName>
    <definedName name="TM1MeasUploadCAP">Menu!$D$41</definedName>
    <definedName name="TM1MeasUploadCostingsCAP">Menu!$D$42</definedName>
    <definedName name="TM1MeasUploadCostingsWB">Menu!$F$42</definedName>
    <definedName name="TM1MeasUploadCostingsWS">Menu!$H$42</definedName>
    <definedName name="TM1MeasUploadWB">Menu!$F$41</definedName>
    <definedName name="TM1MeasUploadWS">Menu!$H$41</definedName>
    <definedName name="TM1NewMeas01HeaderCAP">Menu!$D$38</definedName>
    <definedName name="TM1NewMeas01HeaderWB">Menu!$F$38</definedName>
    <definedName name="TM1NewMeas01HeaderWS">Menu!$H$38</definedName>
    <definedName name="TM1OffsetWB">#REF!</definedName>
    <definedName name="TM1OffsetWS">#REF!</definedName>
    <definedName name="TM1REBUILDOPTION">1</definedName>
    <definedName name="TM1RPTDATARNG1" localSheetId="0">#REF!</definedName>
    <definedName name="TM1RPTFMTIDCOL" localSheetId="0">#REF!</definedName>
    <definedName name="TM1RPTFMTRNG" localSheetId="0">#REF!</definedName>
    <definedName name="TM1WB">#REF!</definedName>
    <definedName name="TM1WS">#REF!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H37" i="1"/>
  <c r="G37" i="1"/>
  <c r="F37" i="1"/>
  <c r="E37" i="1"/>
  <c r="D37" i="1"/>
  <c r="C37" i="1"/>
  <c r="K85" i="1"/>
  <c r="C10" i="1"/>
  <c r="C12" i="1"/>
  <c r="C11" i="1"/>
  <c r="C13" i="1"/>
  <c r="C14" i="1"/>
  <c r="C15" i="1"/>
  <c r="K51" i="1"/>
  <c r="C4" i="1"/>
  <c r="C7" i="1"/>
  <c r="W49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8" i="1"/>
  <c r="C22" i="1"/>
  <c r="C21" i="1"/>
  <c r="C20" i="1"/>
  <c r="C19" i="1"/>
  <c r="C3" i="1"/>
  <c r="C6" i="1"/>
  <c r="C5" i="1"/>
</calcChain>
</file>

<file path=xl/sharedStrings.xml><?xml version="1.0" encoding="utf-8"?>
<sst xmlns="http://schemas.openxmlformats.org/spreadsheetml/2006/main" count="57" uniqueCount="51">
  <si>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</si>
  <si>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</si>
  <si>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</si>
  <si>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</si>
  <si>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</si>
  <si>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</si>
  <si>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</si>
  <si>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</si>
  <si>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</si>
  <si>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</si>
  <si>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</si>
  <si>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</si>
  <si>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</si>
  <si>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</si>
  <si>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</si>
  <si>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</si>
  <si>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</si>
  <si>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</si>
  <si>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</si>
  <si>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</si>
  <si>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</si>
  <si>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</si>
  <si>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</si>
  <si>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</si>
  <si>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</si>
  <si>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</si>
  <si>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</si>
  <si>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</si>
  <si>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</si>
  <si>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</si>
  <si>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</si>
  <si>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</si>
  <si>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Measures</t>
  </si>
  <si>
    <t>Homepage - Annual Estimates - Flatfile Creation</t>
  </si>
  <si>
    <t>Homepage - Annual Estimates - Account Variation</t>
  </si>
  <si>
    <t>Worksheet description</t>
  </si>
  <si>
    <t>Homepage - Reports</t>
  </si>
  <si>
    <t>Homepage - Administration</t>
  </si>
  <si>
    <t>Homepage - Under Construction</t>
  </si>
  <si>
    <t>Measures - New Measure 01 - Header Details</t>
  </si>
  <si>
    <t>Measures - Measure List</t>
  </si>
  <si>
    <t>Measures - Bulk Process</t>
  </si>
  <si>
    <t>Measures - Upload Measures</t>
  </si>
  <si>
    <t>Measures - Upload Costings</t>
  </si>
  <si>
    <t>ANNUAL ESTIMATES</t>
  </si>
  <si>
    <t>MEASURES MENU</t>
  </si>
  <si>
    <t>Navigate to the adjustment list</t>
  </si>
  <si>
    <t>Data Entry - New Adj 01 - Header Details</t>
  </si>
  <si>
    <t>Navigate to the Primary Financial Statements</t>
  </si>
  <si>
    <t>Homepage - Annual Estimates - CDM Extract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</si>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</sst>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rgb="FF333399"/>
      <name val="Verdana"/>
      <family val="2"/>
    </font>
    <font>
      <sz val="11"/>
      <color theme="8" tint="-0.499954222235786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>
      <protection locked="0"/>
    </xf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3" fillId="2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7" fillId="4" borderId="0" xfId="6" applyFont="1" applyFill="1" applyAlignment="1" applyProtection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4" fillId="2" borderId="0" xfId="0" applyFont="1" applyFill="1" applyAlignment="1">
      <alignment horizontal="right" vertical="center" indent="1"/>
    </xf>
    <xf numFmtId="0" fontId="0" fillId="0" borderId="3" xfId="0" applyBorder="1"/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4" borderId="0" xfId="6" applyFont="1" applyFill="1" applyAlignment="1" applyProtection="1">
      <alignment horizontal="left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3" borderId="0" xfId="0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1">
    <dxf>
      <font>
        <color theme="0"/>
      </font>
      <fill>
        <patternFill>
          <bgColor theme="9" tint="-0.499954222235786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006"/>
  <ax:ocxPr ax:name="_ExtentY" ax:value="397"/>
  <ax:ocxPr ax:name="_StockProps" ax:value="0"/>
  <ax:ocxPr ax:name="ServerName" ax:value="=db_name"/>
  <ax:ocxPr ax:name="ProcessName" ax:value="AE_Measure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reate New Measur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NewMeas01HeaderWB"/>
  <ax:ocxPr ax:name="TargetWorksheetName" ax:value="=TM1NewMeas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jpeg"/><Relationship Id="rId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50</xdr:row>
      <xdr:rowOff>55686</xdr:rowOff>
    </xdr:from>
    <xdr:to>
      <xdr:col>22</xdr:col>
      <xdr:colOff>206290</xdr:colOff>
      <xdr:row>50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0" y="619125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55</xdr:row>
      <xdr:rowOff>57150</xdr:rowOff>
    </xdr:from>
    <xdr:to>
      <xdr:col>15</xdr:col>
      <xdr:colOff>307716</xdr:colOff>
      <xdr:row>55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600200"/>
          <a:ext cx="238125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55</xdr:row>
      <xdr:rowOff>66675</xdr:rowOff>
    </xdr:from>
    <xdr:to>
      <xdr:col>22</xdr:col>
      <xdr:colOff>289046</xdr:colOff>
      <xdr:row>55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28575</xdr:rowOff>
    </xdr:from>
    <xdr:to>
      <xdr:col>12</xdr:col>
      <xdr:colOff>53340</xdr:colOff>
      <xdr:row>48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575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55</xdr:row>
      <xdr:rowOff>66675</xdr:rowOff>
    </xdr:from>
    <xdr:to>
      <xdr:col>22</xdr:col>
      <xdr:colOff>289046</xdr:colOff>
      <xdr:row>55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77675" y="1609725"/>
          <a:ext cx="238125" cy="1809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56</xdr:row>
          <xdr:rowOff>47625</xdr:rowOff>
        </xdr:from>
        <xdr:to>
          <xdr:col>14</xdr:col>
          <xdr:colOff>752475</xdr:colOff>
          <xdr:row>59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59</xdr:row>
          <xdr:rowOff>47625</xdr:rowOff>
        </xdr:from>
        <xdr:to>
          <xdr:col>14</xdr:col>
          <xdr:colOff>752475</xdr:colOff>
          <xdr:row>61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104775</xdr:rowOff>
        </xdr:from>
        <xdr:to>
          <xdr:col>14</xdr:col>
          <xdr:colOff>752475</xdr:colOff>
          <xdr:row>63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63</xdr:row>
          <xdr:rowOff>161925</xdr:rowOff>
        </xdr:from>
        <xdr:to>
          <xdr:col>14</xdr:col>
          <xdr:colOff>752475</xdr:colOff>
          <xdr:row>65</xdr:row>
          <xdr:rowOff>38100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52</xdr:row>
          <xdr:rowOff>47625</xdr:rowOff>
        </xdr:from>
        <xdr:to>
          <xdr:col>13</xdr:col>
          <xdr:colOff>38100</xdr:colOff>
          <xdr:row>54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52</xdr:row>
          <xdr:rowOff>47625</xdr:rowOff>
        </xdr:from>
        <xdr:to>
          <xdr:col>15</xdr:col>
          <xdr:colOff>352425</xdr:colOff>
          <xdr:row>54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52</xdr:row>
          <xdr:rowOff>38100</xdr:rowOff>
        </xdr:from>
        <xdr:to>
          <xdr:col>19</xdr:col>
          <xdr:colOff>1104900</xdr:colOff>
          <xdr:row>54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52</xdr:row>
          <xdr:rowOff>38100</xdr:rowOff>
        </xdr:from>
        <xdr:to>
          <xdr:col>22</xdr:col>
          <xdr:colOff>114300</xdr:colOff>
          <xdr:row>54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56</xdr:row>
          <xdr:rowOff>47625</xdr:rowOff>
        </xdr:from>
        <xdr:to>
          <xdr:col>21</xdr:col>
          <xdr:colOff>1038225</xdr:colOff>
          <xdr:row>59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59</xdr:row>
          <xdr:rowOff>47625</xdr:rowOff>
        </xdr:from>
        <xdr:to>
          <xdr:col>21</xdr:col>
          <xdr:colOff>1038225</xdr:colOff>
          <xdr:row>61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61</xdr:row>
          <xdr:rowOff>104775</xdr:rowOff>
        </xdr:from>
        <xdr:to>
          <xdr:col>21</xdr:col>
          <xdr:colOff>1038225</xdr:colOff>
          <xdr:row>63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63</xdr:row>
          <xdr:rowOff>161925</xdr:rowOff>
        </xdr:from>
        <xdr:to>
          <xdr:col>21</xdr:col>
          <xdr:colOff>1038225</xdr:colOff>
          <xdr:row>65</xdr:row>
          <xdr:rowOff>38100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65</xdr:row>
          <xdr:rowOff>85725</xdr:rowOff>
        </xdr:from>
        <xdr:to>
          <xdr:col>21</xdr:col>
          <xdr:colOff>1038225</xdr:colOff>
          <xdr:row>67</xdr:row>
          <xdr:rowOff>152400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28575</xdr:colOff>
      <xdr:row>0</xdr:row>
      <xdr:rowOff>0</xdr:rowOff>
    </xdr:from>
    <xdr:to>
      <xdr:col>26</xdr:col>
      <xdr:colOff>55245</xdr:colOff>
      <xdr:row>56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9625" y="0"/>
          <a:ext cx="1857375" cy="1857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65</xdr:row>
          <xdr:rowOff>114300</xdr:rowOff>
        </xdr:from>
        <xdr:to>
          <xdr:col>14</xdr:col>
          <xdr:colOff>752475</xdr:colOff>
          <xdr:row>68</xdr:row>
          <xdr:rowOff>9525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FCA4-A2A2-4967-A916-C33A6C7354C5}">
  <sheetPr codeName="Sheet1"/>
  <dimension ref="A1:W85"/>
  <sheetViews>
    <sheetView showGridLines="0" tabSelected="1" topLeftCell="J49" workbookViewId="0"/>
  </sheetViews>
  <sheetFormatPr defaultRowHeight="14.45" customHeight="1" outlineLevelRow="1" outlineLevelCol="1" x14ac:dyDescent="0.25"/>
  <cols>
    <col min="1" max="1" width="5.7109375" hidden="1" customWidth="1" outlineLevel="1"/>
    <col min="2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t="14.45" hidden="1" customHeight="1" outlineLevel="1" x14ac:dyDescent="0.25">
      <c r="B1" s="16" t="s">
        <v>0</v>
      </c>
      <c r="C1" s="17"/>
      <c r="D1" s="18"/>
    </row>
    <row r="2" spans="2:4" ht="14.45" hidden="1" customHeight="1" outlineLevel="1" x14ac:dyDescent="0.25">
      <c r="B2" s="2" t="s">
        <v>1</v>
      </c>
      <c r="C2" s="3" t="s">
        <v>50</v>
      </c>
      <c r="D2" s="4"/>
    </row>
    <row r="3" spans="2:4" ht="14.45" hidden="1" customHeight="1" outlineLevel="1" x14ac:dyDescent="0.25">
      <c r="B3" s="2" t="s">
        <v>2</v>
      </c>
      <c r="C3" s="10" t="e">
        <f ca="1">_xll.VIEW((db_name&amp;":}ElementAttributes_}Clients"),"!","!")</f>
        <v>#NAME?</v>
      </c>
      <c r="D3" s="4"/>
    </row>
    <row r="4" spans="2:4" ht="14.45" hidden="1" customHeight="1" outlineLevel="1" x14ac:dyDescent="0.25">
      <c r="B4" s="2" t="s">
        <v>3</v>
      </c>
      <c r="C4" s="3" t="e">
        <f ca="1">_xll.TM1USER(db_name)</f>
        <v>#NAME?</v>
      </c>
      <c r="D4" s="4"/>
    </row>
    <row r="5" spans="2:4" ht="14.45" hidden="1" customHeight="1" outlineLevel="1" x14ac:dyDescent="0.25">
      <c r="B5" s="2" t="s">
        <v>4</v>
      </c>
      <c r="C5" s="3" t="e">
        <f ca="1">_xll.DBR($C$3,$C$4,$B5)</f>
        <v>#NAME?</v>
      </c>
      <c r="D5" s="4"/>
    </row>
    <row r="6" spans="2:4" ht="14.45" hidden="1" customHeight="1" outlineLevel="1" x14ac:dyDescent="0.25">
      <c r="B6" s="2" t="s">
        <v>5</v>
      </c>
      <c r="C6" s="3" t="e">
        <f ca="1">_xll.DBR($C$3,$C$4,$B6)</f>
        <v>#NAME?</v>
      </c>
      <c r="D6" s="4"/>
    </row>
    <row r="7" spans="2:4" ht="14.45" hidden="1" customHeight="1" outlineLevel="1" x14ac:dyDescent="0.25">
      <c r="B7" s="2" t="s">
        <v>6</v>
      </c>
      <c r="C7" s="3" t="e">
        <f ca="1">IF((LEFT($C$4,6)="CAM_AD"),$C$5,$C$4)</f>
        <v>#NAME?</v>
      </c>
      <c r="D7" s="1"/>
    </row>
    <row r="8" spans="2:4" ht="14.45" hidden="1" customHeight="1" outlineLevel="1" x14ac:dyDescent="0.25"/>
    <row r="9" spans="2:4" ht="14.45" hidden="1" customHeight="1" outlineLevel="1" x14ac:dyDescent="0.25">
      <c r="B9" s="16" t="s">
        <v>7</v>
      </c>
      <c r="C9" s="17"/>
      <c r="D9" s="18"/>
    </row>
    <row r="10" spans="2:4" ht="14.45" hidden="1" customHeight="1" outlineLevel="1" x14ac:dyDescent="0.25">
      <c r="B10" s="2" t="s">
        <v>8</v>
      </c>
      <c r="C10" s="1" t="e">
        <f ca="1">_xll.VIEW((db_name&amp;":}ElementAttributes_variables"),"!","!")</f>
        <v>#NAME?</v>
      </c>
      <c r="D10" s="1"/>
    </row>
    <row r="11" spans="2:4" ht="14.45" hidden="1" customHeight="1" outlineLevel="1" x14ac:dyDescent="0.25">
      <c r="B11" s="2" t="s">
        <v>9</v>
      </c>
      <c r="C11" s="1" t="e">
        <f ca="1">_xll.DBR($C$10,$B11,"value")</f>
        <v>#NAME?</v>
      </c>
      <c r="D11" s="1"/>
    </row>
    <row r="12" spans="2:4" ht="14.45" hidden="1" customHeight="1" outlineLevel="1" x14ac:dyDescent="0.25">
      <c r="B12" s="2" t="s">
        <v>10</v>
      </c>
      <c r="C12" s="1" t="e">
        <f ca="1">_xll.DBR($C$10,$B12,"value")</f>
        <v>#NAME?</v>
      </c>
      <c r="D12" s="1"/>
    </row>
    <row r="13" spans="2:4" ht="14.45" hidden="1" customHeight="1" outlineLevel="1" x14ac:dyDescent="0.25">
      <c r="B13" s="2" t="s">
        <v>11</v>
      </c>
      <c r="C13" s="1" t="e">
        <f ca="1">_xll.DBR($C$10,$B13,"value")</f>
        <v>#NAME?</v>
      </c>
      <c r="D13" s="1"/>
    </row>
    <row r="14" spans="2:4" ht="14.45" hidden="1" customHeight="1" outlineLevel="1" x14ac:dyDescent="0.25">
      <c r="B14" s="2" t="s">
        <v>12</v>
      </c>
      <c r="C14" s="1" t="e">
        <f ca="1">_xll.DBR($C$10,$B14,"value")</f>
        <v>#NAME?</v>
      </c>
      <c r="D14" s="1"/>
    </row>
    <row r="15" spans="2:4" ht="14.45" hidden="1" customHeight="1" outlineLevel="1" x14ac:dyDescent="0.25">
      <c r="B15" s="2" t="s">
        <v>13</v>
      </c>
      <c r="C15" s="1" t="e">
        <f ca="1">("The current scenario is """&amp;($C$12&amp;(""" for the """&amp;($C$11&amp;(""" Headline Year. Archive was done for """&amp;($C$13&amp;(""" on scenario """&amp;($C$14&amp;"""."))))))))</f>
        <v>#NAME?</v>
      </c>
      <c r="D15" s="1"/>
    </row>
    <row r="16" spans="2:4" ht="14.45" hidden="1" customHeight="1" outlineLevel="1" x14ac:dyDescent="0.25"/>
    <row r="17" spans="2:13" ht="14.45" hidden="1" customHeight="1" outlineLevel="1" x14ac:dyDescent="0.25">
      <c r="B17" s="16" t="s">
        <v>14</v>
      </c>
      <c r="C17" s="17"/>
      <c r="D17" s="18"/>
    </row>
    <row r="18" spans="2:13" ht="14.45" hidden="1" customHeight="1" outlineLevel="1" x14ac:dyDescent="0.25">
      <c r="B18" s="2" t="s">
        <v>8</v>
      </c>
      <c r="C18" s="1" t="e">
        <f ca="1">_xll.VIEW((db_name&amp;":sys_client preference"),"!","!","!")</f>
        <v>#NAME?</v>
      </c>
      <c r="D18" s="1"/>
    </row>
    <row r="19" spans="2:13" ht="14.45" hidden="1" customHeight="1" outlineLevel="1" x14ac:dyDescent="0.25">
      <c r="B19" s="2" t="s">
        <v>15</v>
      </c>
      <c r="C19" s="1" t="e">
        <f ca="1">_xll.DBR($C$18,psUser,$B19,"value")</f>
        <v>#NAME?</v>
      </c>
      <c r="D19" s="1"/>
    </row>
    <row r="20" spans="2:13" ht="14.45" hidden="1" customHeight="1" outlineLevel="1" x14ac:dyDescent="0.25">
      <c r="B20" s="2" t="s">
        <v>16</v>
      </c>
      <c r="C20" s="1" t="e">
        <f ca="1">_xll.DBR($C$18,psUser,$B20,"value")</f>
        <v>#NAME?</v>
      </c>
      <c r="D20" s="1"/>
    </row>
    <row r="21" spans="2:13" ht="14.45" hidden="1" customHeight="1" outlineLevel="1" x14ac:dyDescent="0.25">
      <c r="B21" s="2" t="s">
        <v>17</v>
      </c>
      <c r="C21" s="1" t="e">
        <f ca="1">_xll.DBR($C$18,psUser,$B21,"value")</f>
        <v>#NAME?</v>
      </c>
      <c r="D21" s="1"/>
    </row>
    <row r="22" spans="2:13" ht="14.45" hidden="1" customHeight="1" outlineLevel="1" x14ac:dyDescent="0.25">
      <c r="B22" s="2" t="s">
        <v>18</v>
      </c>
      <c r="C22" s="1" t="e">
        <f ca="1">_xll.DBR($C$18,psUser,$B22,"value")</f>
        <v>#NAME?</v>
      </c>
      <c r="D22" s="1"/>
    </row>
    <row r="23" spans="2:13" ht="14.45" hidden="1" customHeight="1" outlineLevel="1" x14ac:dyDescent="0.25">
      <c r="B23" s="2" t="s">
        <v>19</v>
      </c>
      <c r="C23" s="1" t="s">
        <v>20</v>
      </c>
      <c r="D23" s="1"/>
    </row>
    <row r="24" spans="2:13" ht="14.45" hidden="1" customHeight="1" outlineLevel="1" x14ac:dyDescent="0.25"/>
    <row r="25" spans="2:13" ht="14.45" hidden="1" customHeight="1" outlineLevel="1" x14ac:dyDescent="0.25">
      <c r="B25" s="16" t="s">
        <v>21</v>
      </c>
      <c r="C25" s="17"/>
      <c r="D25" s="18"/>
    </row>
    <row r="26" spans="2:13" ht="14.45" hidden="1" customHeight="1" outlineLevel="1" x14ac:dyDescent="0.25">
      <c r="B26" s="1" t="s">
        <v>22</v>
      </c>
      <c r="C26" s="12" t="e">
        <f ca="1">_xll.VIEW((db_name&amp;":sys_application"),"!","!")</f>
        <v>#NAME?</v>
      </c>
      <c r="D26" s="12"/>
    </row>
    <row r="27" spans="2:13" ht="14.45" hidden="1" customHeight="1" outlineLevel="1" x14ac:dyDescent="0.25">
      <c r="C27" s="12" t="s">
        <v>23</v>
      </c>
      <c r="D27" s="12" t="s">
        <v>24</v>
      </c>
      <c r="E27" s="12" t="s">
        <v>25</v>
      </c>
      <c r="F27" s="12" t="s">
        <v>26</v>
      </c>
      <c r="G27" s="12" t="s">
        <v>27</v>
      </c>
      <c r="H27" s="12" t="s">
        <v>28</v>
      </c>
    </row>
    <row r="28" spans="2:13" ht="14.45" hidden="1" customHeight="1" outlineLevel="1" x14ac:dyDescent="0.25">
      <c r="B28" s="1" t="s">
        <v>29</v>
      </c>
      <c r="C28" s="1" t="e">
        <f ca="1">_xll.DBR($C$26,$B28,C$27)</f>
        <v>#NAME?</v>
      </c>
      <c r="D28" s="1" t="e">
        <f ca="1">_xll.DBR($C$26,$B28,D$27)</f>
        <v>#NAME?</v>
      </c>
      <c r="E28" s="1" t="e">
        <f ca="1">_xll.DBR($C$26,$B28,E$27)</f>
        <v>#NAME?</v>
      </c>
      <c r="F28" s="1" t="e">
        <f ca="1">_xll.DBR($C$26,$B28,F$27)</f>
        <v>#NAME?</v>
      </c>
      <c r="G28" s="1" t="e">
        <f ca="1">_xll.DBR($C$26,$B28,G$27)</f>
        <v>#NAME?</v>
      </c>
      <c r="H28" s="1" t="e">
        <f ca="1">_xll.DBR($C$26,$B28,H$27)</f>
        <v>#NAME?</v>
      </c>
      <c r="M28" t="s">
        <v>24</v>
      </c>
    </row>
    <row r="29" spans="2:13" ht="14.45" hidden="1" customHeight="1" outlineLevel="1" x14ac:dyDescent="0.25">
      <c r="B29" s="1" t="s">
        <v>30</v>
      </c>
      <c r="C29" s="1" t="e">
        <f ca="1">_xll.DBR($C$26,$B29,C$27)</f>
        <v>#NAME?</v>
      </c>
      <c r="D29" s="1" t="e">
        <f ca="1">_xll.DBR($C$26,$B29,D$27)</f>
        <v>#NAME?</v>
      </c>
      <c r="E29" s="1" t="e">
        <f ca="1">_xll.DBR($C$26,$B29,E$27)</f>
        <v>#NAME?</v>
      </c>
      <c r="F29" s="1" t="e">
        <f ca="1">_xll.DBR($C$26,$B29,F$27)</f>
        <v>#NAME?</v>
      </c>
      <c r="G29" s="1" t="e">
        <f ca="1">_xll.DBR($C$26,$B29,G$27)</f>
        <v>#NAME?</v>
      </c>
      <c r="H29" s="1" t="e">
        <f ca="1">_xll.DBR($C$26,$B29,H$27)</f>
        <v>#NAME?</v>
      </c>
      <c r="M29" t="s">
        <v>25</v>
      </c>
    </row>
    <row r="30" spans="2:13" ht="14.45" hidden="1" customHeight="1" outlineLevel="1" x14ac:dyDescent="0.25">
      <c r="B30" s="1" t="s">
        <v>31</v>
      </c>
      <c r="C30" s="1" t="e">
        <f ca="1">_xll.DBR($C$26,$B30,C$27)</f>
        <v>#NAME?</v>
      </c>
      <c r="D30" s="1" t="e">
        <f ca="1">_xll.DBR($C$26,$B30,D$27)</f>
        <v>#NAME?</v>
      </c>
      <c r="E30" s="1" t="e">
        <f ca="1">_xll.DBR($C$26,$B30,E$27)</f>
        <v>#NAME?</v>
      </c>
      <c r="F30" s="1" t="e">
        <f ca="1">_xll.DBR($C$26,$B30,F$27)</f>
        <v>#NAME?</v>
      </c>
      <c r="G30" s="1" t="e">
        <f ca="1">_xll.DBR($C$26,$B30,G$27)</f>
        <v>#NAME?</v>
      </c>
      <c r="H30" s="1" t="e">
        <f ca="1">_xll.DBR($C$26,$B30,H$27)</f>
        <v>#NAME?</v>
      </c>
      <c r="M30" t="s">
        <v>26</v>
      </c>
    </row>
    <row r="31" spans="2:13" ht="14.45" hidden="1" customHeight="1" outlineLevel="1" x14ac:dyDescent="0.25">
      <c r="B31" s="1" t="s">
        <v>32</v>
      </c>
      <c r="C31" s="1" t="e">
        <f ca="1">_xll.DBR($C$26,$B31,C$27)</f>
        <v>#NAME?</v>
      </c>
      <c r="D31" s="1" t="e">
        <f ca="1">_xll.DBR($C$26,$B31,D$27)</f>
        <v>#NAME?</v>
      </c>
      <c r="E31" s="1" t="e">
        <f ca="1">_xll.DBR($C$26,$B31,E$27)</f>
        <v>#NAME?</v>
      </c>
      <c r="F31" s="1" t="e">
        <f ca="1">_xll.DBR($C$26,$B31,F$27)</f>
        <v>#NAME?</v>
      </c>
      <c r="G31" s="1" t="e">
        <f ca="1">_xll.DBR($C$26,$B31,G$27)</f>
        <v>#NAME?</v>
      </c>
      <c r="H31" s="1" t="e">
        <f ca="1">_xll.DBR($C$26,$B31,H$27)</f>
        <v>#NAME?</v>
      </c>
      <c r="M31" t="s">
        <v>27</v>
      </c>
    </row>
    <row r="32" spans="2:13" ht="14.45" hidden="1" customHeight="1" outlineLevel="1" x14ac:dyDescent="0.25">
      <c r="B32" s="1" t="s">
        <v>33</v>
      </c>
      <c r="C32" s="1" t="e">
        <f ca="1">_xll.DBR($C$26,$B32,C$27)</f>
        <v>#NAME?</v>
      </c>
      <c r="D32" s="1" t="e">
        <f ca="1">_xll.DBR($C$26,$B32,D$27)</f>
        <v>#NAME?</v>
      </c>
      <c r="E32" s="1" t="e">
        <f ca="1">_xll.DBR($C$26,$B32,E$27)</f>
        <v>#NAME?</v>
      </c>
      <c r="F32" s="1" t="e">
        <f ca="1">_xll.DBR($C$26,$B32,F$27)</f>
        <v>#NAME?</v>
      </c>
      <c r="G32" s="1" t="e">
        <f ca="1">_xll.DBR($C$26,$B32,G$27)</f>
        <v>#NAME?</v>
      </c>
      <c r="H32" s="1" t="e">
        <f ca="1">_xll.DBR($C$26,$B32,H$27)</f>
        <v>#NAME?</v>
      </c>
      <c r="M32" t="s">
        <v>28</v>
      </c>
    </row>
    <row r="33" spans="2:13" ht="14.45" hidden="1" customHeight="1" outlineLevel="1" x14ac:dyDescent="0.25">
      <c r="B33" s="1" t="s">
        <v>34</v>
      </c>
      <c r="C33" s="1" t="e">
        <f ca="1">_xll.DBR($C$26,$B33,C$27)</f>
        <v>#NAME?</v>
      </c>
      <c r="D33" s="1" t="e">
        <f ca="1">_xll.DBR($C$26,$B33,D$27)</f>
        <v>#NAME?</v>
      </c>
      <c r="E33" s="1" t="e">
        <f ca="1">_xll.DBR($C$26,$B33,E$27)</f>
        <v>#NAME?</v>
      </c>
      <c r="F33" s="1" t="e">
        <f ca="1">_xll.DBR($C$26,$B33,F$27)</f>
        <v>#NAME?</v>
      </c>
      <c r="G33" s="1" t="e">
        <f ca="1">_xll.DBR($C$26,$B33,G$27)</f>
        <v>#NAME?</v>
      </c>
      <c r="H33" s="1" t="e">
        <f ca="1">_xll.DBR($C$26,$B33,H$27)</f>
        <v>#NAME?</v>
      </c>
      <c r="M33" t="s">
        <v>35</v>
      </c>
    </row>
    <row r="34" spans="2:13" ht="14.45" hidden="1" customHeight="1" outlineLevel="1" x14ac:dyDescent="0.25">
      <c r="B34" s="1" t="s">
        <v>36</v>
      </c>
      <c r="C34" s="1" t="e">
        <f ca="1">_xll.DBR($C$26,$B34,C$27)</f>
        <v>#NAME?</v>
      </c>
      <c r="D34" s="1" t="e">
        <f ca="1">_xll.DBR($C$26,$B34,D$27)</f>
        <v>#NAME?</v>
      </c>
      <c r="E34" s="1" t="e">
        <f ca="1">_xll.DBR($C$26,$B34,E$27)</f>
        <v>#NAME?</v>
      </c>
      <c r="F34" s="1" t="e">
        <f ca="1">_xll.DBR($C$26,$B34,F$27)</f>
        <v>#NAME?</v>
      </c>
      <c r="G34" s="1" t="e">
        <f ca="1">_xll.DBR($C$26,$B34,G$27)</f>
        <v>#NAME?</v>
      </c>
      <c r="H34" s="1" t="e">
        <f ca="1">_xll.DBR($C$26,$B34,H$27)</f>
        <v>#NAME?</v>
      </c>
    </row>
    <row r="35" spans="2:13" ht="14.45" hidden="1" customHeight="1" outlineLevel="1" x14ac:dyDescent="0.25">
      <c r="B35" s="1" t="s">
        <v>37</v>
      </c>
      <c r="C35" s="1" t="e">
        <f ca="1">_xll.DBR($C$26,$B35,C$27)</f>
        <v>#NAME?</v>
      </c>
      <c r="D35" s="1" t="e">
        <f ca="1">_xll.DBR($C$26,$B35,D$27)</f>
        <v>#NAME?</v>
      </c>
      <c r="E35" s="1" t="e">
        <f ca="1">_xll.DBR($C$26,$B35,E$27)</f>
        <v>#NAME?</v>
      </c>
      <c r="F35" s="1" t="e">
        <f ca="1">_xll.DBR($C$26,$B35,F$27)</f>
        <v>#NAME?</v>
      </c>
      <c r="G35" s="1" t="e">
        <f ca="1">_xll.DBR($C$26,$B35,G$27)</f>
        <v>#NAME?</v>
      </c>
      <c r="H35" s="1" t="e">
        <f ca="1">_xll.DBR($C$26,$B35,H$27)</f>
        <v>#NAME?</v>
      </c>
    </row>
    <row r="36" spans="2:13" ht="14.45" hidden="1" customHeight="1" outlineLevel="1" x14ac:dyDescent="0.25">
      <c r="B36" s="1" t="s">
        <v>38</v>
      </c>
      <c r="C36" s="1" t="e">
        <f ca="1">_xll.DBR($C$26,$B36,C$27)</f>
        <v>#NAME?</v>
      </c>
      <c r="D36" s="1" t="e">
        <f ca="1">_xll.DBR($C$26,$B36,D$27)</f>
        <v>#NAME?</v>
      </c>
      <c r="E36" s="1" t="e">
        <f ca="1">_xll.DBR($C$26,$B36,E$27)</f>
        <v>#NAME?</v>
      </c>
      <c r="F36" s="1" t="e">
        <f ca="1">_xll.DBR($C$26,$B36,F$27)</f>
        <v>#NAME?</v>
      </c>
      <c r="G36" s="1" t="e">
        <f ca="1">_xll.DBR($C$26,$B36,G$27)</f>
        <v>#NAME?</v>
      </c>
      <c r="H36" s="1" t="e">
        <f ca="1">_xll.DBR($C$26,$B36,H$27)</f>
        <v>#NAME?</v>
      </c>
    </row>
    <row r="37" spans="2:13" ht="14.45" hidden="1" customHeight="1" outlineLevel="1" x14ac:dyDescent="0.25">
      <c r="B37" s="1" t="s">
        <v>49</v>
      </c>
      <c r="C37" s="1" t="e">
        <f ca="1">_xll.DBR($C$26,$B37,C$27)</f>
        <v>#NAME?</v>
      </c>
      <c r="D37" s="1" t="e">
        <f ca="1">_xll.DBR($C$26,$B37,D$27)</f>
        <v>#NAME?</v>
      </c>
      <c r="E37" s="1" t="e">
        <f ca="1">_xll.DBR($C$26,$B37,E$27)</f>
        <v>#NAME?</v>
      </c>
      <c r="F37" s="1" t="e">
        <f ca="1">_xll.DBR($C$26,$B37,F$27)</f>
        <v>#NAME?</v>
      </c>
      <c r="G37" s="1" t="e">
        <f ca="1">_xll.DBR($C$26,$B37,G$27)</f>
        <v>#NAME?</v>
      </c>
      <c r="H37" s="1" t="e">
        <f ca="1">_xll.DBR($C$26,$B37,H$27)</f>
        <v>#NAME?</v>
      </c>
    </row>
    <row r="38" spans="2:13" ht="14.45" hidden="1" customHeight="1" outlineLevel="1" x14ac:dyDescent="0.25">
      <c r="B38" s="1" t="s">
        <v>39</v>
      </c>
      <c r="C38" s="1" t="e">
        <f ca="1">_xll.DBR($C$26,$B38,C$27)</f>
        <v>#NAME?</v>
      </c>
      <c r="D38" s="1" t="e">
        <f ca="1">_xll.DBR($C$26,$B38,D$27)</f>
        <v>#NAME?</v>
      </c>
      <c r="E38" s="1" t="e">
        <f ca="1">_xll.DBR($C$26,$B38,E$27)</f>
        <v>#NAME?</v>
      </c>
      <c r="F38" s="1" t="e">
        <f ca="1">_xll.DBR($C$26,$B38,F$27)</f>
        <v>#NAME?</v>
      </c>
      <c r="G38" s="1" t="e">
        <f ca="1">_xll.DBR($C$26,$B38,G$27)</f>
        <v>#NAME?</v>
      </c>
      <c r="H38" s="1" t="e">
        <f ca="1">_xll.DBR($C$26,$B38,H$27)</f>
        <v>#NAME?</v>
      </c>
    </row>
    <row r="39" spans="2:13" ht="14.45" hidden="1" customHeight="1" outlineLevel="1" x14ac:dyDescent="0.25">
      <c r="B39" s="1" t="s">
        <v>40</v>
      </c>
      <c r="C39" s="1" t="e">
        <f ca="1">_xll.DBR($C$26,$B39,C$27)</f>
        <v>#NAME?</v>
      </c>
      <c r="D39" s="1" t="e">
        <f ca="1">_xll.DBR($C$26,$B39,D$27)</f>
        <v>#NAME?</v>
      </c>
      <c r="E39" s="1" t="e">
        <f ca="1">_xll.DBR($C$26,$B39,E$27)</f>
        <v>#NAME?</v>
      </c>
      <c r="F39" s="1" t="e">
        <f ca="1">_xll.DBR($C$26,$B39,F$27)</f>
        <v>#NAME?</v>
      </c>
      <c r="G39" s="1" t="e">
        <f ca="1">_xll.DBR($C$26,$B39,G$27)</f>
        <v>#NAME?</v>
      </c>
      <c r="H39" s="1" t="e">
        <f ca="1">_xll.DBR($C$26,$B39,H$27)</f>
        <v>#NAME?</v>
      </c>
    </row>
    <row r="40" spans="2:13" ht="14.45" hidden="1" customHeight="1" outlineLevel="1" x14ac:dyDescent="0.25">
      <c r="B40" s="1" t="s">
        <v>41</v>
      </c>
      <c r="C40" s="1" t="e">
        <f ca="1">_xll.DBR($C$26,$B40,C$27)</f>
        <v>#NAME?</v>
      </c>
      <c r="D40" s="1" t="e">
        <f ca="1">_xll.DBR($C$26,$B40,D$27)</f>
        <v>#NAME?</v>
      </c>
      <c r="E40" s="1" t="e">
        <f ca="1">_xll.DBR($C$26,$B40,E$27)</f>
        <v>#NAME?</v>
      </c>
      <c r="F40" s="1" t="e">
        <f ca="1">_xll.DBR($C$26,$B40,F$27)</f>
        <v>#NAME?</v>
      </c>
      <c r="G40" s="1" t="e">
        <f ca="1">_xll.DBR($C$26,$B40,G$27)</f>
        <v>#NAME?</v>
      </c>
      <c r="H40" s="1" t="e">
        <f ca="1">_xll.DBR($C$26,$B40,H$27)</f>
        <v>#NAME?</v>
      </c>
    </row>
    <row r="41" spans="2:13" ht="14.45" hidden="1" customHeight="1" outlineLevel="1" x14ac:dyDescent="0.25">
      <c r="B41" s="1" t="s">
        <v>42</v>
      </c>
      <c r="C41" s="1" t="e">
        <f ca="1">_xll.DBR($C$26,$B41,C$27)</f>
        <v>#NAME?</v>
      </c>
      <c r="D41" s="1" t="e">
        <f ca="1">_xll.DBR($C$26,$B41,D$27)</f>
        <v>#NAME?</v>
      </c>
      <c r="E41" s="1" t="e">
        <f ca="1">_xll.DBR($C$26,$B41,E$27)</f>
        <v>#NAME?</v>
      </c>
      <c r="F41" s="1" t="e">
        <f ca="1">_xll.DBR($C$26,$B41,F$27)</f>
        <v>#NAME?</v>
      </c>
      <c r="G41" s="1" t="e">
        <f ca="1">_xll.DBR($C$26,$B41,G$27)</f>
        <v>#NAME?</v>
      </c>
      <c r="H41" s="1" t="e">
        <f ca="1">_xll.DBR($C$26,$B41,H$27)</f>
        <v>#NAME?</v>
      </c>
    </row>
    <row r="42" spans="2:13" ht="14.45" hidden="1" customHeight="1" outlineLevel="1" x14ac:dyDescent="0.25">
      <c r="B42" s="1" t="s">
        <v>43</v>
      </c>
      <c r="C42" s="1" t="e">
        <f ca="1">_xll.DBR($C$26,$B42,C$27)</f>
        <v>#NAME?</v>
      </c>
      <c r="D42" s="1" t="e">
        <f ca="1">_xll.DBR($C$26,$B42,D$27)</f>
        <v>#NAME?</v>
      </c>
      <c r="E42" s="1" t="e">
        <f ca="1">_xll.DBR($C$26,$B42,E$27)</f>
        <v>#NAME?</v>
      </c>
      <c r="F42" s="1" t="e">
        <f ca="1">_xll.DBR($C$26,$B42,F$27)</f>
        <v>#NAME?</v>
      </c>
      <c r="G42" s="1" t="e">
        <f ca="1">_xll.DBR($C$26,$B42,G$27)</f>
        <v>#NAME?</v>
      </c>
      <c r="H42" s="1" t="e">
        <f ca="1">_xll.DBR($C$26,$B42,H$27)</f>
        <v>#NAME?</v>
      </c>
    </row>
    <row r="43" spans="2:13" ht="14.45" hidden="1" customHeight="1" outlineLevel="1" x14ac:dyDescent="0.25"/>
    <row r="44" spans="2:13" ht="14.45" hidden="1" customHeight="1" outlineLevel="1" x14ac:dyDescent="0.25"/>
    <row r="45" spans="2:13" ht="14.45" hidden="1" customHeight="1" outlineLevel="1" x14ac:dyDescent="0.25"/>
    <row r="46" spans="2:13" ht="14.45" hidden="1" customHeight="1" outlineLevel="1" x14ac:dyDescent="0.25"/>
    <row r="47" spans="2:13" ht="14.45" hidden="1" customHeight="1" outlineLevel="1" x14ac:dyDescent="0.25"/>
    <row r="48" spans="2:13" ht="14.45" hidden="1" customHeight="1" outlineLevel="1" x14ac:dyDescent="0.25"/>
    <row r="49" spans="10:23" ht="39.75" customHeight="1" collapsed="1" x14ac:dyDescent="0.25"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11" t="e">
        <f ca="1">("Welcome "&amp;psUser)</f>
        <v>#NAME?</v>
      </c>
    </row>
    <row r="50" spans="10:23" ht="4.5" customHeight="1" x14ac:dyDescent="0.25"/>
    <row r="51" spans="10:23" ht="30" customHeight="1" x14ac:dyDescent="0.25">
      <c r="J51" s="6"/>
      <c r="K51" s="19" t="e">
        <f ca="1">$C$15</f>
        <v>#NAME?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6"/>
      <c r="W51" s="6"/>
    </row>
    <row r="52" spans="10:23" ht="4.5" customHeight="1" x14ac:dyDescent="0.25"/>
    <row r="56" spans="10:23" ht="24.75" customHeight="1" x14ac:dyDescent="0.25">
      <c r="J56" s="7"/>
      <c r="K56" s="7"/>
      <c r="L56" s="14" t="s">
        <v>44</v>
      </c>
      <c r="M56" s="14"/>
      <c r="N56" s="14"/>
      <c r="O56" s="14"/>
      <c r="P56" s="5"/>
      <c r="R56" s="8"/>
      <c r="S56" s="15" t="s">
        <v>45</v>
      </c>
      <c r="T56" s="15"/>
      <c r="U56" s="15"/>
      <c r="V56" s="15"/>
      <c r="W56" s="8"/>
    </row>
    <row r="57" spans="10:23" ht="4.5" customHeight="1" x14ac:dyDescent="0.25"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</row>
    <row r="58" spans="10:23" ht="19.5" customHeight="1" x14ac:dyDescent="0.25"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</row>
    <row r="59" spans="10:23" ht="4.5" customHeight="1" x14ac:dyDescent="0.25"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</row>
    <row r="60" spans="10:23" ht="19.5" customHeight="1" x14ac:dyDescent="0.25"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</row>
    <row r="61" spans="10:23" ht="4.5" customHeight="1" x14ac:dyDescent="0.25"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</row>
    <row r="62" spans="10:23" ht="19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10:23" ht="4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10:23" ht="19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4.4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14.4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4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14.4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4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ht="14.45" customHeight="1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ht="4.5" customHeight="1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14.4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ht="4.5" customHeight="1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14.4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ht="4.5" customHeight="1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14.4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ht="4.5" customHeight="1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14.4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ht="4.5" customHeight="1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14.4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ht="4.5" customHeight="1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14.4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ht="4.5" customHeight="1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14.4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ht="14.45" customHeight="1" x14ac:dyDescent="0.25">
      <c r="K85" s="13" t="str">
        <f ca="1">("© Excelerated Consulting Pty Ltd 2001-"&amp;YEAR(NOW()))</f>
        <v>© Excelerated Consulting Pty Ltd 2001-2025</v>
      </c>
    </row>
  </sheetData>
  <sheetProtection sheet="1" objects="1" scenarios="1"/>
  <mergeCells count="7">
    <mergeCell ref="L56:O56"/>
    <mergeCell ref="S56:V56"/>
    <mergeCell ref="B1:D1"/>
    <mergeCell ref="B9:D9"/>
    <mergeCell ref="B17:D17"/>
    <mergeCell ref="B25:D25"/>
    <mergeCell ref="K51:U51"/>
  </mergeCells>
  <conditionalFormatting sqref="R56:W56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11</xdr:col>
                <xdr:colOff>0</xdr:colOff>
                <xdr:row>56</xdr:row>
                <xdr:rowOff>47625</xdr:rowOff>
              </from>
              <to>
                <xdr:col>14</xdr:col>
                <xdr:colOff>752475</xdr:colOff>
                <xdr:row>59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11</xdr:col>
                <xdr:colOff>0</xdr:colOff>
                <xdr:row>59</xdr:row>
                <xdr:rowOff>47625</xdr:rowOff>
              </from>
              <to>
                <xdr:col>14</xdr:col>
                <xdr:colOff>752475</xdr:colOff>
                <xdr:row>61</xdr:row>
                <xdr:rowOff>57150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0</xdr:colOff>
                <xdr:row>61</xdr:row>
                <xdr:rowOff>104775</xdr:rowOff>
              </from>
              <to>
                <xdr:col>14</xdr:col>
                <xdr:colOff>752475</xdr:colOff>
                <xdr:row>63</xdr:row>
                <xdr:rowOff>114300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11</xdr:col>
                <xdr:colOff>0</xdr:colOff>
                <xdr:row>63</xdr:row>
                <xdr:rowOff>161925</xdr:rowOff>
              </from>
              <to>
                <xdr:col>14</xdr:col>
                <xdr:colOff>752475</xdr:colOff>
                <xdr:row>65</xdr:row>
                <xdr:rowOff>38100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31" r:id="rId12" name="TIButton5">
          <controlPr defaultSize="0" print="0" autoLine="0" r:id="rId13">
            <anchor moveWithCells="1" sizeWithCells="1">
              <from>
                <xdr:col>10</xdr:col>
                <xdr:colOff>123825</xdr:colOff>
                <xdr:row>52</xdr:row>
                <xdr:rowOff>47625</xdr:rowOff>
              </from>
              <to>
                <xdr:col>13</xdr:col>
                <xdr:colOff>38100</xdr:colOff>
                <xdr:row>54</xdr:row>
                <xdr:rowOff>85725</xdr:rowOff>
              </to>
            </anchor>
          </controlPr>
        </control>
      </mc:Choice>
      <mc:Fallback>
        <control shapeId="1031" r:id="rId12" name="TIButton5"/>
      </mc:Fallback>
    </mc:AlternateContent>
    <mc:AlternateContent xmlns:mc="http://schemas.openxmlformats.org/markup-compatibility/2006">
      <mc:Choice Requires="x14">
        <control shapeId="1032" r:id="rId14" name="TIButton6">
          <controlPr defaultSize="0" print="0" autoLine="0" r:id="rId15">
            <anchor moveWithCells="1" sizeWithCells="1">
              <from>
                <xdr:col>13</xdr:col>
                <xdr:colOff>57150</xdr:colOff>
                <xdr:row>52</xdr:row>
                <xdr:rowOff>47625</xdr:rowOff>
              </from>
              <to>
                <xdr:col>15</xdr:col>
                <xdr:colOff>352425</xdr:colOff>
                <xdr:row>54</xdr:row>
                <xdr:rowOff>85725</xdr:rowOff>
              </to>
            </anchor>
          </controlPr>
        </control>
      </mc:Choice>
      <mc:Fallback>
        <control shapeId="1032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r:id="rId17">
            <anchor moveWithCells="1" sizeWithCells="1">
              <from>
                <xdr:col>15</xdr:col>
                <xdr:colOff>371475</xdr:colOff>
                <xdr:row>52</xdr:row>
                <xdr:rowOff>38100</xdr:rowOff>
              </from>
              <to>
                <xdr:col>19</xdr:col>
                <xdr:colOff>1104900</xdr:colOff>
                <xdr:row>54</xdr:row>
                <xdr:rowOff>76200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34" r:id="rId18" name="TIButton8">
          <controlPr defaultSize="0" print="0" autoLine="0" r:id="rId19">
            <anchor moveWithCells="1" sizeWithCells="1">
              <from>
                <xdr:col>19</xdr:col>
                <xdr:colOff>1133475</xdr:colOff>
                <xdr:row>52</xdr:row>
                <xdr:rowOff>38100</xdr:rowOff>
              </from>
              <to>
                <xdr:col>22</xdr:col>
                <xdr:colOff>114300</xdr:colOff>
                <xdr:row>54</xdr:row>
                <xdr:rowOff>76200</xdr:rowOff>
              </to>
            </anchor>
          </controlPr>
        </control>
      </mc:Choice>
      <mc:Fallback>
        <control shapeId="1034" r:id="rId18" name="TIButton8"/>
      </mc:Fallback>
    </mc:AlternateContent>
    <mc:AlternateContent xmlns:mc="http://schemas.openxmlformats.org/markup-compatibility/2006">
      <mc:Choice Requires="x14">
        <control shapeId="1035" r:id="rId20" name="TIButton9">
          <controlPr defaultSize="0" print="0" autoLine="0" r:id="rId21">
            <anchor moveWithCells="1" sizeWithCells="1">
              <from>
                <xdr:col>18</xdr:col>
                <xdr:colOff>285750</xdr:colOff>
                <xdr:row>56</xdr:row>
                <xdr:rowOff>47625</xdr:rowOff>
              </from>
              <to>
                <xdr:col>21</xdr:col>
                <xdr:colOff>1038225</xdr:colOff>
                <xdr:row>59</xdr:row>
                <xdr:rowOff>0</xdr:rowOff>
              </to>
            </anchor>
          </controlPr>
        </control>
      </mc:Choice>
      <mc:Fallback>
        <control shapeId="1035" r:id="rId20" name="TIButton9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18</xdr:col>
                <xdr:colOff>285750</xdr:colOff>
                <xdr:row>59</xdr:row>
                <xdr:rowOff>47625</xdr:rowOff>
              </from>
              <to>
                <xdr:col>21</xdr:col>
                <xdr:colOff>1038225</xdr:colOff>
                <xdr:row>61</xdr:row>
                <xdr:rowOff>57150</xdr:rowOff>
              </to>
            </anchor>
          </controlPr>
        </control>
      </mc:Choice>
      <mc:Fallback>
        <control shapeId="1036" r:id="rId22" name="TIButton10"/>
      </mc:Fallback>
    </mc:AlternateContent>
    <mc:AlternateContent xmlns:mc="http://schemas.openxmlformats.org/markup-compatibility/2006">
      <mc:Choice Requires="x14">
        <control shapeId="1037" r:id="rId24" name="TIButton11">
          <controlPr defaultSize="0" print="0" autoLine="0" r:id="rId25">
            <anchor moveWithCells="1" sizeWithCells="1">
              <from>
                <xdr:col>18</xdr:col>
                <xdr:colOff>285750</xdr:colOff>
                <xdr:row>61</xdr:row>
                <xdr:rowOff>104775</xdr:rowOff>
              </from>
              <to>
                <xdr:col>21</xdr:col>
                <xdr:colOff>1038225</xdr:colOff>
                <xdr:row>63</xdr:row>
                <xdr:rowOff>114300</xdr:rowOff>
              </to>
            </anchor>
          </controlPr>
        </control>
      </mc:Choice>
      <mc:Fallback>
        <control shapeId="1037" r:id="rId24" name="TIButton11"/>
      </mc:Fallback>
    </mc:AlternateContent>
    <mc:AlternateContent xmlns:mc="http://schemas.openxmlformats.org/markup-compatibility/2006">
      <mc:Choice Requires="x14">
        <control shapeId="1038" r:id="rId26" name="TIButton12">
          <controlPr defaultSize="0" print="0" autoLine="0" r:id="rId27">
            <anchor moveWithCells="1" sizeWithCells="1">
              <from>
                <xdr:col>18</xdr:col>
                <xdr:colOff>285750</xdr:colOff>
                <xdr:row>63</xdr:row>
                <xdr:rowOff>161925</xdr:rowOff>
              </from>
              <to>
                <xdr:col>21</xdr:col>
                <xdr:colOff>1038225</xdr:colOff>
                <xdr:row>65</xdr:row>
                <xdr:rowOff>38100</xdr:rowOff>
              </to>
            </anchor>
          </controlPr>
        </control>
      </mc:Choice>
      <mc:Fallback>
        <control shapeId="1038" r:id="rId26" name="TIButton12"/>
      </mc:Fallback>
    </mc:AlternateContent>
    <mc:AlternateContent xmlns:mc="http://schemas.openxmlformats.org/markup-compatibility/2006">
      <mc:Choice Requires="x14">
        <control shapeId="1039" r:id="rId28" name="TIButton13">
          <controlPr defaultSize="0" print="0" autoLine="0" r:id="rId29">
            <anchor moveWithCells="1" sizeWithCells="1">
              <from>
                <xdr:col>18</xdr:col>
                <xdr:colOff>285750</xdr:colOff>
                <xdr:row>65</xdr:row>
                <xdr:rowOff>85725</xdr:rowOff>
              </from>
              <to>
                <xdr:col>21</xdr:col>
                <xdr:colOff>1038225</xdr:colOff>
                <xdr:row>67</xdr:row>
                <xdr:rowOff>152400</xdr:rowOff>
              </to>
            </anchor>
          </controlPr>
        </control>
      </mc:Choice>
      <mc:Fallback>
        <control shapeId="1039" r:id="rId28" name="TIButton13"/>
      </mc:Fallback>
    </mc:AlternateContent>
    <mc:AlternateContent xmlns:mc="http://schemas.openxmlformats.org/markup-compatibility/2006">
      <mc:Choice Requires="x14">
        <control shapeId="1040" r:id="rId30" name="TIButton14">
          <controlPr defaultSize="0" print="0" autoLine="0" r:id="rId31">
            <anchor moveWithCells="1" sizeWithCells="1">
              <from>
                <xdr:col>11</xdr:col>
                <xdr:colOff>0</xdr:colOff>
                <xdr:row>65</xdr:row>
                <xdr:rowOff>114300</xdr:rowOff>
              </from>
              <to>
                <xdr:col>14</xdr:col>
                <xdr:colOff>752475</xdr:colOff>
                <xdr:row>68</xdr:row>
                <xdr:rowOff>9525</xdr:rowOff>
              </to>
            </anchor>
          </controlPr>
        </control>
      </mc:Choice>
      <mc:Fallback>
        <control shapeId="1040" r:id="rId30" name="TIButton1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E93B-A736-48F0-AB52-76639E1BC7E5}">
  <sheetPr codeName="Sheet3"/>
  <dimension ref="A1:A3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46</v>
      </c>
    </row>
    <row r="2" spans="1:1" ht="14.45" customHeight="1" x14ac:dyDescent="0.25">
      <c r="A2" t="s">
        <v>47</v>
      </c>
    </row>
    <row r="3" spans="1:1" ht="14.45" customHeight="1" x14ac:dyDescent="0.25">
      <c r="A3" t="s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Menu</vt:lpstr>
      <vt:lpstr>{PL}PickLst</vt:lpstr>
      <vt:lpstr>db_name</vt:lpstr>
      <vt:lpstr>home</vt:lpstr>
      <vt:lpstr>Menu</vt:lpstr>
      <vt:lpstr>psUser</vt:lpstr>
      <vt:lpstr>TM1HomeAdminCAP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TM1HomeAECDMCAP</vt:lpstr>
      <vt:lpstr>TM1HomeAECDMWB</vt:lpstr>
      <vt:lpstr>TM1HomeAECDMWS</vt:lpstr>
      <vt:lpstr>TM1HomeAEDataEntryCAP</vt:lpstr>
      <vt:lpstr>TM1HomeAEDataEntryWB</vt:lpstr>
      <vt:lpstr>TM1HomeAEDataEntryWS</vt:lpstr>
      <vt:lpstr>TM1HomeAEFFCAP</vt:lpstr>
      <vt:lpstr>TM1HomeAEFFWB</vt:lpstr>
      <vt:lpstr>TM1HomeAEFFWS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TM1MeasUploadCAP</vt:lpstr>
      <vt:lpstr>TM1MeasUploadCostingsCAP</vt:lpstr>
      <vt:lpstr>TM1MeasUploadCostingsWB</vt:lpstr>
      <vt:lpstr>TM1MeasUploadCostingsWS</vt:lpstr>
      <vt:lpstr>TM1MeasUploadWB</vt:lpstr>
      <vt:lpstr>TM1MeasUploadWS</vt:lpstr>
      <vt:lpstr>TM1NewMeas01HeaderCAP</vt:lpstr>
      <vt:lpstr>TM1NewMeas01HeaderWB</vt:lpstr>
      <vt:lpstr>TM1NewMeas01HeaderWS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2023-04-03T06:11:38Z</dcterms:created>
  <dcterms:modified xsi:type="dcterms:W3CDTF">2025-08-05T04:55:23Z</dcterms:modified>
  <cp:category/>
  <cp:contentStatus/>
</cp:coreProperties>
</file>