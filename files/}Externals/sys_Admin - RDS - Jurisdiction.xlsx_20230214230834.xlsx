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8839A983-0CA1-4B04-BF04-A13F8C4CF8D9}" xr6:coauthVersionLast="47" xr6:coauthVersionMax="47" xr10:uidLastSave="{00000000-0000-0000-0000-000000000000}"/>
  <bookViews>
    <workbookView xWindow="57480" yWindow="-1965" windowWidth="29040" windowHeight="15840" xr2:uid="{7AC5B7A1-C614-4FB4-8672-FADC5619ADB6}"/>
  </bookViews>
  <sheets>
    <sheet name="RDS" sheetId="1" r:id="rId1"/>
  </sheets>
  <definedNames>
    <definedName name="db_name">RDS!$C$12</definedName>
    <definedName name="Freeze_here">RDS!$L$58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RDS!$59:$59</definedName>
    <definedName name="TM1RPTFMTIDCOL" localSheetId="0">RDS!$A$1:$A$8</definedName>
    <definedName name="TM1RPTFMTRNG" localSheetId="0">RDS!$J$1:$L$8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1" i="1"/>
  <c r="J59" i="1"/>
  <c r="C28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L55" i="1"/>
  <c r="C43" i="1"/>
  <c r="C40" i="1"/>
  <c r="L59" i="1"/>
  <c r="C20" i="1"/>
  <c r="C25" i="1"/>
  <c r="C24" i="1"/>
  <c r="C23" i="1"/>
  <c r="C22" i="1"/>
  <c r="C21" i="1"/>
  <c r="C13" i="1"/>
  <c r="C14" i="1"/>
  <c r="C15" i="1"/>
  <c r="C17" i="1"/>
  <c r="C16" i="1"/>
  <c r="A59" i="1"/>
  <c r="A5" i="1"/>
  <c r="A4" i="1"/>
  <c r="A3" i="1"/>
  <c r="A2" i="1"/>
</calcChain>
</file>

<file path=xl/sharedStrings.xml><?xml version="1.0" encoding="utf-8"?>
<sst xmlns="http://schemas.openxmlformats.org/spreadsheetml/2006/main" count="53" uniqueCount="53">
  <si>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</si>
  <si>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</si>
  <si>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</si>
  <si>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</si>
  <si>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</si>
  <si>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</si>
  <si>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</si>
  <si>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</si>
  <si>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</si>
  <si>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</si>
  <si>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</si>
  <si>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</si>
  <si>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</si>
  <si>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</si>
  <si>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</si>
  <si>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</si>
  <si>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</si>
  <si>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</si>
  <si>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</si>
  <si>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</si>
  <si>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</si>
  <si>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</si>
  <si>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</si>
  <si>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</si>
  <si>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</si>
  <si>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</si>
  <si>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</si>
  <si>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</si>
  <si>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</si>
  <si>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</si>
  <si>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</si>
  <si>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</si>
  <si>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</si>
  <si>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</si>
  <si>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</si>
  <si>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</si>
  <si>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</si>
  <si>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</si>
  <si>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</si>
  <si>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</si>
  <si>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</si>
  <si>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</si>
  <si>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</si>
  <si>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Code and Description (ALIAS)</t>
  </si>
  <si>
    <t>{TM1SUBSETALL( [jurisdiction] )}</t>
  </si>
  <si>
    <t>Administration RDS - Jurisdiction Attributes</t>
  </si>
  <si>
    <t>}ElementAttributes_</t>
  </si>
  <si>
    <t>Jurisdiction  :</t>
  </si>
  <si>
    <t>Jurisdiction</t>
  </si>
  <si>
    <t>No</t>
  </si>
  <si>
    <t>Admin RDS - Jurisdiction</t>
  </si>
  <si>
    <t>Note : This screen is used to manage the Jurisdiction attribute cube which is required for GEUS.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</si>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</sst>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7" fillId="0" borderId="0" xfId="0" applyFont="1" applyAlignment="1">
      <alignment horizontal="left"/>
    </xf>
    <xf numFmtId="0" fontId="5" fillId="6" borderId="4" xfId="0" applyFont="1" applyFill="1" applyBorder="1" applyProtection="1">
      <protection locked="0"/>
    </xf>
    <xf numFmtId="0" fontId="5" fillId="0" borderId="4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0" xfId="0" applyFont="1" applyProtection="1">
      <protection locked="0"/>
    </xf>
    <xf numFmtId="0" fontId="5" fillId="6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4" fillId="0" borderId="4" xfId="0" applyFont="1" applyBorder="1"/>
    <xf numFmtId="164" fontId="5" fillId="6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47</xdr:row>
      <xdr:rowOff>19050</xdr:rowOff>
    </xdr:from>
    <xdr:to>
      <xdr:col>11</xdr:col>
      <xdr:colOff>15240</xdr:colOff>
      <xdr:row>47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805940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49</xdr:row>
          <xdr:rowOff>0</xdr:rowOff>
        </xdr:from>
        <xdr:to>
          <xdr:col>9</xdr:col>
          <xdr:colOff>670560</xdr:colOff>
          <xdr:row>49</xdr:row>
          <xdr:rowOff>251460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708660</xdr:colOff>
          <xdr:row>49</xdr:row>
          <xdr:rowOff>0</xdr:rowOff>
        </xdr:from>
        <xdr:to>
          <xdr:col>11</xdr:col>
          <xdr:colOff>38100</xdr:colOff>
          <xdr:row>49</xdr:row>
          <xdr:rowOff>251460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99060</xdr:colOff>
          <xdr:row>49</xdr:row>
          <xdr:rowOff>0</xdr:rowOff>
        </xdr:from>
        <xdr:to>
          <xdr:col>11</xdr:col>
          <xdr:colOff>1592580</xdr:colOff>
          <xdr:row>49</xdr:row>
          <xdr:rowOff>251460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571500</xdr:colOff>
          <xdr:row>48</xdr:row>
          <xdr:rowOff>30480</xdr:rowOff>
        </xdr:from>
        <xdr:to>
          <xdr:col>12</xdr:col>
          <xdr:colOff>883920</xdr:colOff>
          <xdr:row>49</xdr:row>
          <xdr:rowOff>289560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1623060</xdr:colOff>
          <xdr:row>49</xdr:row>
          <xdr:rowOff>0</xdr:rowOff>
        </xdr:from>
        <xdr:to>
          <xdr:col>11</xdr:col>
          <xdr:colOff>2400300</xdr:colOff>
          <xdr:row>49</xdr:row>
          <xdr:rowOff>251460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N59"/>
  <sheetViews>
    <sheetView showGridLines="0" showRowColHeaders="0" tabSelected="1" showOutlineSymbols="0" topLeftCell="C48" workbookViewId="0">
      <pane ySplit="11" topLeftCell="A59" activePane="bottomLeft" state="frozen"/>
      <selection activeCell="I48" sqref="I48"/>
      <selection pane="bottomLeft" activeCell="L58" sqref="L58"/>
    </sheetView>
  </sheetViews>
  <sheetFormatPr defaultRowHeight="14.4" outlineLevelRow="1" outlineLevelCol="1" x14ac:dyDescent="0.3"/>
  <cols>
    <col min="1" max="1" width="2.6640625" hidden="1" customWidth="1" outlineLevel="1"/>
    <col min="2" max="2" width="31.44140625" hidden="1" customWidth="1" outlineLevel="1"/>
    <col min="3" max="8" width="16.109375" hidden="1" customWidth="1" outlineLevel="1"/>
    <col min="9" max="9" width="0.88671875" customWidth="1" collapsed="1"/>
    <col min="10" max="10" width="26" customWidth="1"/>
    <col min="11" max="11" width="0.88671875" customWidth="1"/>
    <col min="12" max="12" width="98.5546875" bestFit="1" customWidth="1"/>
    <col min="13" max="13" width="13.6640625" customWidth="1"/>
    <col min="14" max="14" width="5.6640625" customWidth="1"/>
  </cols>
  <sheetData>
    <row r="1" spans="1:14" hidden="1" outlineLevel="1" x14ac:dyDescent="0.3">
      <c r="A1" t="s">
        <v>3</v>
      </c>
    </row>
    <row r="2" spans="1:14" hidden="1" outlineLevel="1" x14ac:dyDescent="0.3">
      <c r="A2">
        <f>0</f>
        <v>0</v>
      </c>
      <c r="J2" s="12"/>
      <c r="L2" s="18"/>
      <c r="M2" s="24"/>
      <c r="N2" s="24"/>
    </row>
    <row r="3" spans="1:14" hidden="1" outlineLevel="1" x14ac:dyDescent="0.3">
      <c r="A3">
        <f>1</f>
        <v>1</v>
      </c>
      <c r="J3" s="13"/>
      <c r="L3" s="19"/>
      <c r="M3" s="25"/>
      <c r="N3" s="25"/>
    </row>
    <row r="4" spans="1:14" hidden="1" outlineLevel="1" x14ac:dyDescent="0.3">
      <c r="A4">
        <f>2</f>
        <v>2</v>
      </c>
      <c r="J4" s="13"/>
      <c r="L4" s="19"/>
      <c r="M4" s="25"/>
      <c r="N4" s="25"/>
    </row>
    <row r="5" spans="1:14" hidden="1" outlineLevel="1" x14ac:dyDescent="0.3">
      <c r="A5">
        <f>3</f>
        <v>3</v>
      </c>
      <c r="J5" s="13"/>
      <c r="L5" s="19"/>
      <c r="M5" s="25"/>
      <c r="N5" s="25"/>
    </row>
    <row r="6" spans="1:14" hidden="1" outlineLevel="1" x14ac:dyDescent="0.3">
      <c r="A6" t="s">
        <v>1</v>
      </c>
      <c r="J6" s="13"/>
      <c r="L6" s="19"/>
      <c r="M6" s="25"/>
      <c r="N6" s="25"/>
    </row>
    <row r="7" spans="1:14" hidden="1" outlineLevel="1" x14ac:dyDescent="0.3">
      <c r="A7" t="s">
        <v>2</v>
      </c>
      <c r="J7" s="26"/>
      <c r="L7" s="20"/>
      <c r="M7" s="23"/>
      <c r="N7" s="23"/>
    </row>
    <row r="8" spans="1:14" hidden="1" outlineLevel="1" x14ac:dyDescent="0.3">
      <c r="A8" t="s">
        <v>4</v>
      </c>
    </row>
    <row r="9" spans="1:14" hidden="1" outlineLevel="1" x14ac:dyDescent="0.3"/>
    <row r="10" spans="1:14" hidden="1" outlineLevel="1" x14ac:dyDescent="0.3"/>
    <row r="11" spans="1:14" hidden="1" outlineLevel="1" x14ac:dyDescent="0.3">
      <c r="B11" s="28" t="s">
        <v>5</v>
      </c>
      <c r="C11" s="29"/>
      <c r="D11" s="30"/>
    </row>
    <row r="12" spans="1:14" hidden="1" outlineLevel="1" x14ac:dyDescent="0.3">
      <c r="B12" s="3" t="s">
        <v>6</v>
      </c>
      <c r="C12" s="4" t="s">
        <v>52</v>
      </c>
      <c r="D12" s="5"/>
    </row>
    <row r="13" spans="1:14" hidden="1" outlineLevel="1" x14ac:dyDescent="0.3">
      <c r="B13" s="3" t="s">
        <v>7</v>
      </c>
      <c r="C13" s="6" t="str">
        <f ca="1">_xll.VIEW(db_name&amp;":}ElementAttributes_}Clients","!","!")</f>
        <v>dcceew_geus:}ElementAttributes_}Clients</v>
      </c>
      <c r="D13" s="5"/>
    </row>
    <row r="14" spans="1:14" hidden="1" outlineLevel="1" x14ac:dyDescent="0.3">
      <c r="B14" s="3" t="s">
        <v>8</v>
      </c>
      <c r="C14" s="4" t="str">
        <f ca="1">_xll.TM1USER(db_name)</f>
        <v/>
      </c>
      <c r="D14" s="5"/>
    </row>
    <row r="15" spans="1:14" hidden="1" outlineLevel="1" x14ac:dyDescent="0.3">
      <c r="B15" s="3" t="s">
        <v>9</v>
      </c>
      <c r="C15" s="4" t="str">
        <f ca="1">_xll.DBR($C$13,$C$14,$B15)</f>
        <v>*KEY_ERR</v>
      </c>
      <c r="D15" s="5"/>
    </row>
    <row r="16" spans="1:14" hidden="1" outlineLevel="1" x14ac:dyDescent="0.3">
      <c r="B16" s="3" t="s">
        <v>10</v>
      </c>
      <c r="C16" s="4" t="str">
        <f ca="1">_xll.DBR($C$13,$C$14,$B16)</f>
        <v>*KEY_ERR</v>
      </c>
      <c r="D16" s="5"/>
    </row>
    <row r="17" spans="2:8" hidden="1" outlineLevel="1" x14ac:dyDescent="0.3">
      <c r="B17" s="3" t="s">
        <v>11</v>
      </c>
      <c r="C17" s="4" t="str">
        <f ca="1">IF(LEFT($C$15,6)="CAM_AD",$C$16,$C$15)</f>
        <v>*KEY_ERR</v>
      </c>
      <c r="D17" s="7"/>
    </row>
    <row r="18" spans="2:8" hidden="1" outlineLevel="1" x14ac:dyDescent="0.3"/>
    <row r="19" spans="2:8" hidden="1" outlineLevel="1" x14ac:dyDescent="0.3">
      <c r="B19" s="28" t="s">
        <v>12</v>
      </c>
      <c r="C19" s="29"/>
      <c r="D19" s="30"/>
    </row>
    <row r="20" spans="2:8" hidden="1" outlineLevel="1" x14ac:dyDescent="0.3">
      <c r="B20" s="3" t="s">
        <v>13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3">
      <c r="B21" s="3" t="s">
        <v>14</v>
      </c>
      <c r="C21" s="7" t="str">
        <f ca="1">_xll.DBR($C$20,$B21,"value")</f>
        <v>*KEY_ERR</v>
      </c>
      <c r="D21" s="7"/>
    </row>
    <row r="22" spans="2:8" hidden="1" outlineLevel="1" x14ac:dyDescent="0.3">
      <c r="B22" s="3" t="s">
        <v>15</v>
      </c>
      <c r="C22" s="7" t="str">
        <f ca="1">_xll.DBR($C$20,$B22,"value")</f>
        <v>*KEY_ERR</v>
      </c>
      <c r="D22" s="7"/>
    </row>
    <row r="23" spans="2:8" hidden="1" outlineLevel="1" x14ac:dyDescent="0.3">
      <c r="B23" s="3" t="s">
        <v>16</v>
      </c>
      <c r="C23" s="7" t="str">
        <f ca="1">_xll.DBR($C$20,$B23,"value")</f>
        <v>*KEY_ERR</v>
      </c>
      <c r="D23" s="7"/>
    </row>
    <row r="24" spans="2:8" hidden="1" outlineLevel="1" x14ac:dyDescent="0.3">
      <c r="B24" s="3" t="s">
        <v>17</v>
      </c>
      <c r="C24" s="7" t="str">
        <f ca="1">_xll.DBR($C$20,$B24,"value")</f>
        <v>*KEY_ERR</v>
      </c>
      <c r="D24" s="7"/>
    </row>
    <row r="25" spans="2:8" hidden="1" outlineLevel="1" x14ac:dyDescent="0.3">
      <c r="B25" s="3" t="s">
        <v>18</v>
      </c>
      <c r="C25" s="7" t="str">
        <f ca="1">_xll.DBR($C$20,$B25,"value")</f>
        <v>*KEY_ERR</v>
      </c>
      <c r="D25" s="7"/>
    </row>
    <row r="26" spans="2:8" hidden="1" outlineLevel="1" x14ac:dyDescent="0.3"/>
    <row r="27" spans="2:8" hidden="1" outlineLevel="1" x14ac:dyDescent="0.3">
      <c r="B27" s="28" t="s">
        <v>27</v>
      </c>
      <c r="C27" s="29"/>
      <c r="D27" s="30"/>
    </row>
    <row r="28" spans="2:8" hidden="1" outlineLevel="1" x14ac:dyDescent="0.3">
      <c r="B28" s="3" t="s">
        <v>28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3">
      <c r="B29" s="3" t="s">
        <v>29</v>
      </c>
      <c r="C29" t="s">
        <v>50</v>
      </c>
      <c r="D29" s="7"/>
    </row>
    <row r="30" spans="2:8" hidden="1" outlineLevel="1" x14ac:dyDescent="0.3">
      <c r="B30" s="7"/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</row>
    <row r="31" spans="2:8" hidden="1" outlineLevel="1" x14ac:dyDescent="0.3">
      <c r="B31" s="7" t="s">
        <v>36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3">
      <c r="B32" s="7" t="s">
        <v>37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4" hidden="1" outlineLevel="1" x14ac:dyDescent="0.3">
      <c r="B33" s="7" t="s">
        <v>38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4" hidden="1" outlineLevel="1" x14ac:dyDescent="0.3">
      <c r="B34" s="7" t="s">
        <v>39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4" hidden="1" outlineLevel="1" x14ac:dyDescent="0.3">
      <c r="B35" s="7" t="s">
        <v>40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4" hidden="1" outlineLevel="1" x14ac:dyDescent="0.3">
      <c r="B36" s="14" t="s">
        <v>42</v>
      </c>
      <c r="C36" s="15" t="s">
        <v>41</v>
      </c>
    </row>
    <row r="37" spans="2:14" ht="17.25" hidden="1" customHeight="1" outlineLevel="1" x14ac:dyDescent="0.3"/>
    <row r="38" spans="2:14" hidden="1" outlineLevel="1" x14ac:dyDescent="0.3">
      <c r="B38" s="28" t="s">
        <v>46</v>
      </c>
      <c r="C38" s="29"/>
      <c r="D38" s="30"/>
    </row>
    <row r="39" spans="2:14" hidden="1" outlineLevel="1" x14ac:dyDescent="0.3">
      <c r="B39" s="3" t="s">
        <v>19</v>
      </c>
      <c r="C39" s="7" t="str">
        <f ca="1">_xll.TM1RPTVIEW(db_name&amp;":}ElementAttributes_jurisdiction:1", 0,TM1RPTFMTRNG,TM1RPTFMTIDCOL)</f>
        <v>dcceew_geus:}ElementAttributes_jurisdiction:1</v>
      </c>
    </row>
    <row r="40" spans="2:14" hidden="1" outlineLevel="1" x14ac:dyDescent="0.3">
      <c r="B40" s="3" t="s">
        <v>20</v>
      </c>
      <c r="C40" s="7" t="str">
        <f ca="1">_xll.VIEW(db_name&amp;":}ElementAttributes_jurisdiction","!","!")</f>
        <v>dcceew_geus:}ElementAttributes_jurisdiction</v>
      </c>
    </row>
    <row r="41" spans="2:14" hidden="1" outlineLevel="1" x14ac:dyDescent="0.3">
      <c r="B41" s="3" t="s">
        <v>21</v>
      </c>
      <c r="C41" s="7" t="str">
        <f ca="1">IF($L$56="No",$C$42,$C$43)</f>
        <v>{TM1SUBSETALL( [jurisdiction] )}</v>
      </c>
      <c r="D41" s="5"/>
    </row>
    <row r="42" spans="2:14" hidden="1" outlineLevel="1" x14ac:dyDescent="0.3">
      <c r="B42" s="3" t="s">
        <v>24</v>
      </c>
      <c r="C42" s="7" t="s">
        <v>44</v>
      </c>
    </row>
    <row r="43" spans="2:14" hidden="1" outlineLevel="1" x14ac:dyDescent="0.3">
      <c r="B43" s="3" t="s">
        <v>25</v>
      </c>
      <c r="C43" s="7" t="str">
        <f ca="1">"{TM1DRILLDOWNMEMBER( {[jurisdiction].[" &amp; $L$55 &amp; "]}, ALL, RECURSIVE )}"</f>
        <v>{TM1DRILLDOWNMEMBER( {[jurisdiction].[]}, ALL, RECURSIVE )}</v>
      </c>
    </row>
    <row r="44" spans="2:14" hidden="1" outlineLevel="1" x14ac:dyDescent="0.3"/>
    <row r="45" spans="2:14" hidden="1" outlineLevel="1" x14ac:dyDescent="0.3">
      <c r="J45" s="1" t="s">
        <v>26</v>
      </c>
      <c r="L45" s="2" t="s">
        <v>0</v>
      </c>
      <c r="M45" s="2"/>
      <c r="N45" s="2"/>
    </row>
    <row r="46" spans="2:14" hidden="1" outlineLevel="1" x14ac:dyDescent="0.3"/>
    <row r="47" spans="2:14" hidden="1" outlineLevel="1" x14ac:dyDescent="0.3"/>
    <row r="48" spans="2:14" ht="39.75" customHeight="1" collapsed="1" x14ac:dyDescent="0.3">
      <c r="I48" s="16"/>
      <c r="J48" s="16"/>
      <c r="K48" s="16"/>
      <c r="L48" s="16"/>
      <c r="M48" s="16" t="s">
        <v>45</v>
      </c>
      <c r="N48" s="16"/>
    </row>
    <row r="49" spans="1:14" ht="4.5" customHeight="1" x14ac:dyDescent="0.3"/>
    <row r="50" spans="1:14" ht="24" customHeight="1" x14ac:dyDescent="0.3">
      <c r="J50" s="1"/>
    </row>
    <row r="51" spans="1:14" ht="1.5" customHeight="1" x14ac:dyDescent="0.3">
      <c r="I51" s="16"/>
      <c r="J51" s="16"/>
      <c r="K51" s="16"/>
      <c r="L51" s="16"/>
      <c r="M51" s="16"/>
      <c r="N51" s="16"/>
    </row>
    <row r="52" spans="1:14" x14ac:dyDescent="0.3">
      <c r="J52" s="31" t="s">
        <v>51</v>
      </c>
      <c r="K52" s="31"/>
      <c r="L52" s="31"/>
      <c r="M52" s="17"/>
      <c r="N52" s="17"/>
    </row>
    <row r="53" spans="1:14" ht="5.0999999999999996" customHeight="1" x14ac:dyDescent="0.3"/>
    <row r="54" spans="1:14" x14ac:dyDescent="0.3">
      <c r="L54" s="9" t="s">
        <v>23</v>
      </c>
    </row>
    <row r="55" spans="1:14" x14ac:dyDescent="0.3">
      <c r="J55" s="8" t="s">
        <v>47</v>
      </c>
      <c r="L55" s="21" t="str">
        <f ca="1">_xll.SUBNM(db_name&amp;":Jurisdiction","","ACT","code and description")</f>
        <v/>
      </c>
    </row>
    <row r="56" spans="1:14" x14ac:dyDescent="0.3">
      <c r="J56" s="8" t="s">
        <v>22</v>
      </c>
      <c r="L56" s="22" t="s">
        <v>49</v>
      </c>
    </row>
    <row r="57" spans="1:14" ht="5.0999999999999996" customHeight="1" x14ac:dyDescent="0.3"/>
    <row r="58" spans="1:14" x14ac:dyDescent="0.3">
      <c r="J58" s="10" t="s">
        <v>48</v>
      </c>
      <c r="L58" s="11" t="s">
        <v>43</v>
      </c>
    </row>
    <row r="59" spans="1:14" x14ac:dyDescent="0.3">
      <c r="A59" t="str">
        <f ca="1">IF(_xll.TM1RPTELISCONSOLIDATED($J$59,$J59),IF(_xll.TM1RPTELLEV($J$59,$J59)&lt;=3,_xll.TM1RPTELLEV($J$59,$J59),"D"),"N")</f>
        <v>N</v>
      </c>
      <c r="J59" s="27" t="str">
        <f ca="1">_xll.TM1RPTROW($C$39,db_name&amp;":jurisdiction","","","",0,$C$41)</f>
        <v/>
      </c>
      <c r="L59" s="18" t="str">
        <f ca="1">_xll.DBRW($C$39,$J59,L$45)</f>
        <v/>
      </c>
    </row>
  </sheetData>
  <sheetProtection sheet="1" objects="1" scenarios="1"/>
  <mergeCells count="5">
    <mergeCell ref="B11:D11"/>
    <mergeCell ref="B19:D19"/>
    <mergeCell ref="B38:D38"/>
    <mergeCell ref="B27:D27"/>
    <mergeCell ref="J52:L52"/>
  </mergeCells>
  <dataValidations count="1">
    <dataValidation type="list" allowBlank="1" showInputMessage="1" showErrorMessage="1" sqref="L56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r:id="rId5">
            <anchor moveWithCells="1" sizeWithCells="1">
              <from>
                <xdr:col>9</xdr:col>
                <xdr:colOff>30480</xdr:colOff>
                <xdr:row>49</xdr:row>
                <xdr:rowOff>0</xdr:rowOff>
              </from>
              <to>
                <xdr:col>9</xdr:col>
                <xdr:colOff>670560</xdr:colOff>
                <xdr:row>49</xdr:row>
                <xdr:rowOff>251460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r:id="rId7">
            <anchor moveWithCells="1" sizeWithCells="1">
              <from>
                <xdr:col>9</xdr:col>
                <xdr:colOff>708660</xdr:colOff>
                <xdr:row>49</xdr:row>
                <xdr:rowOff>0</xdr:rowOff>
              </from>
              <to>
                <xdr:col>11</xdr:col>
                <xdr:colOff>38100</xdr:colOff>
                <xdr:row>49</xdr:row>
                <xdr:rowOff>251460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11</xdr:col>
                <xdr:colOff>99060</xdr:colOff>
                <xdr:row>49</xdr:row>
                <xdr:rowOff>0</xdr:rowOff>
              </from>
              <to>
                <xdr:col>11</xdr:col>
                <xdr:colOff>1592580</xdr:colOff>
                <xdr:row>49</xdr:row>
                <xdr:rowOff>251460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12</xdr:col>
                <xdr:colOff>571500</xdr:colOff>
                <xdr:row>48</xdr:row>
                <xdr:rowOff>30480</xdr:rowOff>
              </from>
              <to>
                <xdr:col>12</xdr:col>
                <xdr:colOff>883920</xdr:colOff>
                <xdr:row>49</xdr:row>
                <xdr:rowOff>289560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5">
          <controlPr defaultSize="0" print="0" autoLine="0" r:id="rId13">
            <anchor moveWithCells="1" sizeWithCells="1">
              <from>
                <xdr:col>11</xdr:col>
                <xdr:colOff>1623060</xdr:colOff>
                <xdr:row>49</xdr:row>
                <xdr:rowOff>0</xdr:rowOff>
              </from>
              <to>
                <xdr:col>11</xdr:col>
                <xdr:colOff>2400300</xdr:colOff>
                <xdr:row>49</xdr:row>
                <xdr:rowOff>251460</xdr:rowOff>
              </to>
            </anchor>
          </controlPr>
        </control>
      </mc:Choice>
      <mc:Fallback>
        <control shapeId="1030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2019-04-08T23:13:27Z</dcterms:created>
  <dcterms:modified xsi:type="dcterms:W3CDTF">2023-02-14T22:33:47Z</dcterms:modified>
</cp:coreProperties>
</file>