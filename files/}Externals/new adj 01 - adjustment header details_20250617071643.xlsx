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8B39C901-CF14-456A-9D0B-C6A06711FCB9}" xr6:coauthVersionLast="47" xr6:coauthVersionMax="47" xr10:uidLastSave="{00000000-0000-0000-0000-000000000000}"/>
  <bookViews>
    <workbookView xWindow="29580" yWindow="780" windowWidth="21600" windowHeight="11385" xr2:uid="{782DB6DE-6A9C-49E6-AA4E-7C567EE8EAE5}"/>
  </bookViews>
  <sheets>
    <sheet name="Sheet1" sheetId="1" r:id="rId1"/>
    <sheet name="{AR}01" sheetId="2" state="hidden" r:id="rId2"/>
    <sheet name="{PL}PickLst" sheetId="3" state="hidden" r:id="rId3"/>
  </sheets>
  <definedNames>
    <definedName name="db_name">Sheet1!$C$12</definedName>
    <definedName name="ID" localSheetId="1" hidden="1">"801de6b3-b7e6-4ffe-8306-73c518b3b302"</definedName>
    <definedName name="ID" localSheetId="2" hidden="1">"5c7bf2b1-acfb-4687-b245-6658a7b8f6c5"</definedName>
    <definedName name="ID" localSheetId="0" hidden="1">"199f4fd9-4a91-479f-89d2-ef8a56643115"</definedName>
    <definedName name="psApp">Sheet1!$C$27</definedName>
    <definedName name="psApplyParam">Sheet1!$C$98</definedName>
    <definedName name="psControlType">Sheet1!$C$86</definedName>
    <definedName name="psDesc">Sheet1!$C$91</definedName>
    <definedName name="psFavID">Sheet1!$C$92</definedName>
    <definedName name="psFunc">Sheet1!$C$94</definedName>
    <definedName name="psItem">Sheet1!$C$97</definedName>
    <definedName name="psMeasCode">Sheet1!$C$89</definedName>
    <definedName name="psOC">Sheet1!$C$93</definedName>
    <definedName name="psProg">Sheet1!$C$87</definedName>
    <definedName name="psProgDimName">Sheet1!$C$23</definedName>
    <definedName name="psReason">Sheet1!$C$88</definedName>
    <definedName name="psSPP">Sheet1!$C$95</definedName>
    <definedName name="psTitle">Sheet1!$C$90</definedName>
    <definedName name="psType">Sheet1!$C$96</definedName>
    <definedName name="psUser">Sheet1!$C$17</definedName>
    <definedName name="TM1AdjIDListCAP">Sheet1!$D$32</definedName>
    <definedName name="TM1AdjIDListWB">Sheet1!$F$32</definedName>
    <definedName name="TM1AdjIDListWS">Sheet1!$H$32</definedName>
    <definedName name="TM1HomeAECAP">Sheet1!$D$30</definedName>
    <definedName name="TM1HomeAEDataEntryCAP">Sheet1!$D$31</definedName>
    <definedName name="TM1HomeAEDataEntryWB">Sheet1!$F$31</definedName>
    <definedName name="TM1HomeAEDataEntryWS">Sheet1!$H$31</definedName>
    <definedName name="TM1HomeAEWB">Sheet1!$F$30</definedName>
    <definedName name="TM1HomeAEWS">Sheet1!$H$30</definedName>
    <definedName name="TM1HomeCAP">Sheet1!$D$29</definedName>
    <definedName name="TM1HomeWB">Sheet1!$F$29</definedName>
    <definedName name="TM1HomeWS">Sheet1!$H$29</definedName>
    <definedName name="TM1NewAdj01HeaderCAP">Sheet1!$D$33</definedName>
    <definedName name="TM1NewAdj01HeaderWB">Sheet1!$F$33</definedName>
    <definedName name="TM1NewAdj01HeaderWS">Sheet1!$H$33</definedName>
    <definedName name="TM1NewAdj02DataEntryCAP">Sheet1!$D$34</definedName>
    <definedName name="TM1NewAdj02DataEntryWB">Sheet1!$F$34</definedName>
    <definedName name="TM1NewAdj02DataEntryWS">Sheet1!$H$34</definedName>
    <definedName name="TM1REBUILDOPTION">1</definedName>
    <definedName name="TM1RPTDATARNG1" localSheetId="0">Sheet1!$145:$145</definedName>
    <definedName name="TM1RPTFMTIDCOL" localSheetId="0">Sheet1!$A$1:$A$8</definedName>
    <definedName name="TM1RPTFMTRNG" localSheetId="0">Sheet1!$K$1:$R$8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 a="1"/>
  <c r="C20" i="1" s="1"/>
  <c r="C37" i="1" a="1"/>
  <c r="C37" i="1" s="1"/>
  <c r="F70" i="1" a="1"/>
  <c r="F70" i="1" s="1"/>
  <c r="F69" i="1" a="1"/>
  <c r="F69" i="1" s="1"/>
  <c r="F67" i="1" a="1"/>
  <c r="F67" i="1" s="1"/>
  <c r="F68" i="1" a="1"/>
  <c r="F68" i="1" s="1"/>
  <c r="C75" i="1" a="1"/>
  <c r="C75" i="1" s="1"/>
  <c r="C26" i="1" a="1"/>
  <c r="C26" i="1" s="1"/>
  <c r="F71" i="1" a="1"/>
  <c r="F71" i="1" s="1"/>
  <c r="F66" i="1" a="1"/>
  <c r="F66" i="1" s="1"/>
  <c r="C13" i="1" a="1"/>
  <c r="C13" i="1" s="1"/>
  <c r="A5" i="1"/>
  <c r="A4" i="1"/>
  <c r="A3" i="1"/>
  <c r="A2" i="1"/>
  <c r="C14" i="1" a="1"/>
  <c r="E34" i="1" a="1"/>
  <c r="G33" i="1" a="1"/>
  <c r="C33" i="1" a="1"/>
  <c r="E32" i="1" a="1"/>
  <c r="G31" i="1" a="1"/>
  <c r="C31" i="1" a="1"/>
  <c r="E30" i="1" a="1"/>
  <c r="G29" i="1" a="1"/>
  <c r="C29" i="1" a="1"/>
  <c r="C23" i="1" a="1"/>
  <c r="H34" i="1" a="1"/>
  <c r="D34" i="1" a="1"/>
  <c r="F33" i="1" a="1"/>
  <c r="H32" i="1" a="1"/>
  <c r="D32" i="1" a="1"/>
  <c r="F31" i="1" a="1"/>
  <c r="H30" i="1" a="1"/>
  <c r="D30" i="1" a="1"/>
  <c r="F29" i="1" a="1"/>
  <c r="C39" i="1" a="1"/>
  <c r="C40" i="1" a="1"/>
  <c r="C21" i="1" a="1"/>
  <c r="G34" i="1" a="1"/>
  <c r="C34" i="1" a="1"/>
  <c r="E33" i="1" a="1"/>
  <c r="G32" i="1" a="1"/>
  <c r="C32" i="1" a="1"/>
  <c r="E31" i="1" a="1"/>
  <c r="G30" i="1" a="1"/>
  <c r="C30" i="1" a="1"/>
  <c r="E29" i="1" a="1"/>
  <c r="F34" i="1" a="1"/>
  <c r="H33" i="1" a="1"/>
  <c r="D33" i="1" a="1"/>
  <c r="F32" i="1" a="1"/>
  <c r="H31" i="1" a="1"/>
  <c r="D31" i="1" a="1"/>
  <c r="C22" i="1" a="1"/>
  <c r="A145" i="1" a="1"/>
  <c r="H29" i="1" a="1"/>
  <c r="D29" i="1" a="1"/>
  <c r="F30" i="1" a="1"/>
  <c r="F30" i="1" l="1"/>
  <c r="D29" i="1"/>
  <c r="H29" i="1"/>
  <c r="A145" i="1"/>
  <c r="C22" i="1"/>
  <c r="D31" i="1"/>
  <c r="H31" i="1"/>
  <c r="F32" i="1"/>
  <c r="D33" i="1"/>
  <c r="H33" i="1"/>
  <c r="F34" i="1"/>
  <c r="E29" i="1"/>
  <c r="C30" i="1"/>
  <c r="G30" i="1"/>
  <c r="E31" i="1"/>
  <c r="C32" i="1"/>
  <c r="G32" i="1"/>
  <c r="E33" i="1"/>
  <c r="C34" i="1"/>
  <c r="G34" i="1"/>
  <c r="C21" i="1"/>
  <c r="C40" i="1"/>
  <c r="C39" i="1"/>
  <c r="F29" i="1"/>
  <c r="D30" i="1"/>
  <c r="H30" i="1"/>
  <c r="F31" i="1"/>
  <c r="D32" i="1"/>
  <c r="H32" i="1"/>
  <c r="F33" i="1"/>
  <c r="D34" i="1"/>
  <c r="H34" i="1"/>
  <c r="C23" i="1"/>
  <c r="C29" i="1"/>
  <c r="G29" i="1"/>
  <c r="E30" i="1"/>
  <c r="C31" i="1"/>
  <c r="G31" i="1"/>
  <c r="E32" i="1"/>
  <c r="C33" i="1"/>
  <c r="G33" i="1"/>
  <c r="E34" i="1"/>
  <c r="C14" i="1"/>
  <c r="C54" i="1" a="1"/>
  <c r="C15" i="1" a="1"/>
  <c r="N137" i="1" a="1"/>
  <c r="N131" i="1" a="1"/>
  <c r="Q137" i="1" a="1"/>
  <c r="Q127" i="1" a="1"/>
  <c r="Q116" i="1" a="1"/>
  <c r="N120" i="1" a="1"/>
  <c r="N133" i="1" a="1"/>
  <c r="N135" i="1" a="1"/>
  <c r="D114" i="1" a="1"/>
  <c r="Q135" i="1" a="1"/>
  <c r="Q122" i="1" a="1"/>
  <c r="Q114" i="1" a="1"/>
  <c r="N112" i="1" a="1"/>
  <c r="Q133" i="1" a="1"/>
  <c r="Q120" i="1" a="1"/>
  <c r="N123" i="1"/>
  <c r="C16" i="1" a="1"/>
  <c r="N124" i="1"/>
  <c r="P110" i="1" a="1"/>
  <c r="N116" i="1" a="1"/>
  <c r="N127" i="1" a="1"/>
  <c r="N139" i="1" a="1"/>
  <c r="Q139" i="1" a="1"/>
  <c r="Q131" i="1" a="1"/>
  <c r="Q118" i="1" a="1"/>
  <c r="N122" i="1" a="1"/>
  <c r="C53" i="1" a="1"/>
  <c r="C53" i="1" l="1"/>
  <c r="N122" i="1"/>
  <c r="C91" i="1" s="1"/>
  <c r="Q118" i="1"/>
  <c r="Q131" i="1"/>
  <c r="Q139" i="1"/>
  <c r="N139" i="1"/>
  <c r="C97" i="1" s="1"/>
  <c r="N127" i="1"/>
  <c r="C92" i="1" s="1"/>
  <c r="N116" i="1"/>
  <c r="P110" i="1"/>
  <c r="C98" i="1" s="1"/>
  <c r="C16" i="1"/>
  <c r="Q120" i="1"/>
  <c r="Q133" i="1"/>
  <c r="N112" i="1"/>
  <c r="Q114" i="1"/>
  <c r="Q122" i="1"/>
  <c r="Q135" i="1"/>
  <c r="D114" i="1"/>
  <c r="N135" i="1"/>
  <c r="C95" i="1" s="1"/>
  <c r="N133" i="1"/>
  <c r="C94" i="1" s="1"/>
  <c r="N120" i="1"/>
  <c r="C90" i="1" s="1"/>
  <c r="Q116" i="1"/>
  <c r="Q127" i="1"/>
  <c r="Q137" i="1"/>
  <c r="N131" i="1"/>
  <c r="C93" i="1" s="1"/>
  <c r="N137" i="1"/>
  <c r="C96" i="1" s="1"/>
  <c r="C15" i="1"/>
  <c r="C17" i="1" s="1"/>
  <c r="C54" i="1"/>
  <c r="C63" i="1" a="1"/>
  <c r="C63" i="1" s="1"/>
  <c r="C77" i="1" a="1"/>
  <c r="C76" i="1" a="1"/>
  <c r="C48" i="1" a="1"/>
  <c r="D41" i="1" a="1"/>
  <c r="D43" i="1" a="1"/>
  <c r="D45" i="1" a="1"/>
  <c r="C42" i="1" a="1"/>
  <c r="C44" i="1" a="1"/>
  <c r="D42" i="1" a="1"/>
  <c r="D44" i="1" a="1"/>
  <c r="C41" i="1" a="1"/>
  <c r="C43" i="1" a="1"/>
  <c r="C45" i="1" a="1"/>
  <c r="C45" i="1" l="1"/>
  <c r="C43" i="1"/>
  <c r="C41" i="1"/>
  <c r="D44" i="1"/>
  <c r="D42" i="1"/>
  <c r="C44" i="1"/>
  <c r="C42" i="1"/>
  <c r="D45" i="1"/>
  <c r="D43" i="1"/>
  <c r="D41" i="1"/>
  <c r="C48" i="1"/>
  <c r="C76" i="1"/>
  <c r="C77" i="1"/>
  <c r="C49" i="1" a="1"/>
  <c r="C49" i="1" s="1"/>
  <c r="C88" i="1"/>
  <c r="Q112" i="1"/>
  <c r="C86" i="1"/>
  <c r="D63" i="1" a="1"/>
  <c r="D63" i="1" s="1"/>
  <c r="G37" i="1"/>
  <c r="C51" i="1" a="1"/>
  <c r="D65" i="1" a="1"/>
  <c r="N114" i="1" a="1"/>
  <c r="C59" i="1" a="1"/>
  <c r="C59" i="1" l="1"/>
  <c r="C60" i="1" s="1"/>
  <c r="R110" i="1" s="1"/>
  <c r="N114" i="1"/>
  <c r="D65" i="1"/>
  <c r="E65" i="1" s="1"/>
  <c r="C51" i="1"/>
  <c r="C82" i="1"/>
  <c r="C64" i="1" a="1"/>
  <c r="C69" i="1" a="1"/>
  <c r="C71" i="1" a="1"/>
  <c r="C67" i="1" a="1"/>
  <c r="C66" i="1" a="1"/>
  <c r="C65" i="1" a="1"/>
  <c r="C70" i="1" a="1"/>
  <c r="C68" i="1" a="1"/>
  <c r="C72" i="1" a="1"/>
  <c r="C83" i="1" a="1"/>
  <c r="C83" i="1" l="1"/>
  <c r="C72" i="1"/>
  <c r="D72" i="1" s="1"/>
  <c r="C68" i="1"/>
  <c r="C70" i="1"/>
  <c r="C65" i="1"/>
  <c r="C66" i="1"/>
  <c r="C67" i="1"/>
  <c r="C71" i="1"/>
  <c r="C69" i="1"/>
  <c r="C64" i="1"/>
  <c r="I144" i="1"/>
  <c r="C87" i="1"/>
  <c r="D66" i="1" a="1"/>
  <c r="D67" i="1" a="1"/>
  <c r="D71" i="1" a="1"/>
  <c r="N118" i="1" a="1"/>
  <c r="D69" i="1" a="1"/>
  <c r="C58" i="1" a="1"/>
  <c r="D68" i="1" a="1"/>
  <c r="D70" i="1" a="1"/>
  <c r="D87" i="1" a="1"/>
  <c r="D87" i="1" l="1"/>
  <c r="D70" i="1"/>
  <c r="D68" i="1"/>
  <c r="C58" i="1"/>
  <c r="C57" i="1" s="1"/>
  <c r="D69" i="1"/>
  <c r="N118" i="1"/>
  <c r="C118" i="1" s="1" a="1"/>
  <c r="C118" i="1" s="1"/>
  <c r="D71" i="1"/>
  <c r="D67" i="1"/>
  <c r="D66" i="1"/>
  <c r="C139" i="1" a="1"/>
  <c r="C139" i="1" s="1"/>
  <c r="C133" i="1" a="1"/>
  <c r="C133" i="1" s="1"/>
  <c r="C127" i="1" a="1"/>
  <c r="C127" i="1" s="1"/>
  <c r="C131" i="1" a="1"/>
  <c r="C131" i="1" s="1"/>
  <c r="C114" i="1" a="1"/>
  <c r="C114" i="1" s="1"/>
  <c r="C137" i="1" a="1"/>
  <c r="C137" i="1" s="1"/>
  <c r="C135" i="1" a="1"/>
  <c r="C135" i="1" s="1"/>
  <c r="N129" i="1"/>
  <c r="H145" i="1" a="1"/>
  <c r="H145" i="1" l="1"/>
  <c r="C89" i="1"/>
  <c r="C80" i="1"/>
  <c r="Q110" i="1"/>
  <c r="Q145" i="1" a="1"/>
  <c r="L145" i="1" a="1"/>
  <c r="P145" i="1" a="1"/>
  <c r="K145" i="1" a="1"/>
  <c r="O145" i="1" a="1"/>
  <c r="R145" i="1" a="1"/>
  <c r="N145" i="1" a="1"/>
  <c r="I145" i="1" a="1"/>
  <c r="I145" i="1" l="1"/>
  <c r="N145" i="1"/>
  <c r="R145" i="1"/>
  <c r="O145" i="1"/>
  <c r="K145" i="1"/>
  <c r="P145" i="1"/>
  <c r="L145" i="1"/>
  <c r="Q14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<sst xmlns="http://schemas.openxmlformats.org/spreadsheetml/2006/main" count="1498" uniqueCount="1491">
  <si>
    <t>headline year</t>
  </si>
  <si>
    <t>programme code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</si>
  <si>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</si>
  <si>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</si>
  <si>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</si>
  <si>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</si>
  <si>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</si>
  <si>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</si>
  <si>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</si>
  <si>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</si>
  <si>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</si>
  <si>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</si>
  <si>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</si>
  <si>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</si>
  <si>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</si>
  <si>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</si>
  <si>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</si>
  <si>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</si>
  <si>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</si>
  <si>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</si>
  <si>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</si>
  <si>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</si>
  <si>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</si>
  <si>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</si>
  <si>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</si>
  <si>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</si>
  <si>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</si>
  <si>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</si>
  <si>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</si>
  <si>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</si>
  <si>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</si>
  <si>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</si>
  <si>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</si>
  <si>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</si>
  <si>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</si>
  <si>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</si>
  <si>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</si>
  <si>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</si>
  <si>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</si>
  <si>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</si>
  <si>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</si>
  <si>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</si>
  <si>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</si>
  <si>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</si>
  <si>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</si>
  <si>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</si>
  <si>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</si>
  <si>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</si>
  <si>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</si>
  <si>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</si>
  <si>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</si>
  <si>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</si>
  <si>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</si>
  <si>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</si>
  <si>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</si>
  <si>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</si>
  <si>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</si>
  <si>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</si>
  <si>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</si>
  <si>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</si>
  <si>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</si>
  <si>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</si>
  <si>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</si>
  <si>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</si>
  <si>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</si>
  <si>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</si>
  <si>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</si>
  <si>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</si>
  <si>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</si>
  <si>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</si>
  <si>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</si>
  <si>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</si>
  <si>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</si>
  <si>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</si>
  <si>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</si>
  <si>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</si>
  <si>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</si>
  <si>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</si>
  <si>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</si>
  <si>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</si>
  <si>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</si>
  <si>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</si>
  <si>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</si>
  <si>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</si>
  <si>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</si>
  <si>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</si>
  <si>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</si>
  <si>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</si>
  <si>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</si>
  <si>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</si>
  <si>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</si>
  <si>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</si>
  <si>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</si>
  <si>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</si>
  <si>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</si>
  <si>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</si>
  <si>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</si>
  <si>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</si>
  <si>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</si>
  <si>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</si>
  <si>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</si>
  <si>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</si>
  <si>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</si>
  <si>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</si>
  <si>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</si>
  <si>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</si>
  <si>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</si>
  <si>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</si>
  <si>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</si>
  <si>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</si>
  <si>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</si>
  <si>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</si>
  <si>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</si>
  <si>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</si>
  <si>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</si>
  <si>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</si>
  <si>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</si>
  <si>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</si>
  <si>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</si>
  <si>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</si>
  <si>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</si>
  <si>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</si>
  <si>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</si>
  <si>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</si>
  <si>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</si>
  <si>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</si>
  <si>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</si>
  <si>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</si>
  <si>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</si>
  <si>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</si>
  <si>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</si>
  <si>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</si>
  <si>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</si>
  <si>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</si>
  <si>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</si>
  <si>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</si>
  <si>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</si>
  <si>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</si>
  <si>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</si>
  <si>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</si>
  <si>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</si>
  <si>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</si>
  <si>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</si>
  <si>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</si>
  <si>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</si>
  <si>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</si>
  <si>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</si>
  <si>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</si>
  <si>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</si>
  <si>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</si>
  <si>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</si>
  <si>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</si>
  <si>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</si>
  <si>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</si>
  <si>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</si>
  <si>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</si>
  <si>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</si>
  <si>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</si>
  <si>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</si>
  <si>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</si>
  <si>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</si>
  <si>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</si>
  <si>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</si>
  <si>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</si>
  <si>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</si>
  <si>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</si>
  <si>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</si>
  <si>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</si>
  <si>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</si>
  <si>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</si>
  <si>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</si>
  <si>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</si>
  <si>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</si>
  <si>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</si>
  <si>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</si>
  <si>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</si>
  <si>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</si>
  <si>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</si>
  <si>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</si>
  <si>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</si>
  <si>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</si>
  <si>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</si>
  <si>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</si>
  <si>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</si>
  <si>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</si>
  <si>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</si>
  <si>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</si>
  <si>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</si>
  <si>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</si>
  <si>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</si>
  <si>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</si>
  <si>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</si>
  <si>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</si>
  <si>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</si>
  <si>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</si>
  <si>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</si>
  <si>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</si>
  <si>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</si>
  <si>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</si>
  <si>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</si>
  <si>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</si>
  <si>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</si>
  <si>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</si>
  <si>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</si>
  <si>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</si>
  <si>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</si>
  <si>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</si>
  <si>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</si>
  <si>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</si>
  <si>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</si>
  <si>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</si>
  <si>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</si>
  <si>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</si>
  <si>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</si>
  <si>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</si>
  <si>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</si>
  <si>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</si>
  <si>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</si>
  <si>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</si>
  <si>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</si>
  <si>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</si>
  <si>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</si>
  <si>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</si>
  <si>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</si>
  <si>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</si>
  <si>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</si>
  <si>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</si>
  <si>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</si>
  <si>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</si>
  <si>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</si>
  <si>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</si>
  <si>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</si>
  <si>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</si>
  <si>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</si>
  <si>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</si>
  <si>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</si>
  <si>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</si>
  <si>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</si>
  <si>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</si>
  <si>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</si>
  <si>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</si>
  <si>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</si>
  <si>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</si>
  <si>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</si>
  <si>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</si>
  <si>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</si>
  <si>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</si>
  <si>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</si>
  <si>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</si>
  <si>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</si>
  <si>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</si>
  <si>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</si>
  <si>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</si>
  <si>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</si>
  <si>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</si>
  <si>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</si>
  <si>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</si>
  <si>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</si>
  <si>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</si>
  <si>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</si>
  <si>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</si>
  <si>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</si>
  <si>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</si>
  <si>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</si>
  <si>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</si>
  <si>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</si>
  <si>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</si>
  <si>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</si>
  <si>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</si>
  <si>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</si>
  <si>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</si>
  <si>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</si>
  <si>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</si>
  <si>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</si>
  <si>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</si>
  <si>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</si>
  <si>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</si>
  <si>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</si>
  <si>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</si>
  <si>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</si>
  <si>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</si>
  <si>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</si>
  <si>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</si>
  <si>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</si>
  <si>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</si>
  <si>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</si>
  <si>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</si>
  <si>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</si>
  <si>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</si>
  <si>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</si>
  <si>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</si>
  <si>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</si>
  <si>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</si>
  <si>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</si>
  <si>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</si>
  <si>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</si>
  <si>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</si>
  <si>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</si>
  <si>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</si>
  <si>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</si>
  <si>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</si>
  <si>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</si>
  <si>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</si>
  <si>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</si>
  <si>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</si>
  <si>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</si>
  <si>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</si>
  <si>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</si>
  <si>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</si>
  <si>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</si>
  <si>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</si>
  <si>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</si>
  <si>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</si>
  <si>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</si>
  <si>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</si>
  <si>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</si>
  <si>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</si>
  <si>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</si>
  <si>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</si>
  <si>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</si>
  <si>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</si>
  <si>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</si>
  <si>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</si>
  <si>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</si>
  <si>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</si>
  <si>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</si>
  <si>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</si>
  <si>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</si>
  <si>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</si>
  <si>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</si>
  <si>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</si>
  <si>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</si>
  <si>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</si>
  <si>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</si>
  <si>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</si>
  <si>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</si>
  <si>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</si>
  <si>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</si>
  <si>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</si>
  <si>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</si>
  <si>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</si>
  <si>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</si>
  <si>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</si>
  <si>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</si>
  <si>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</si>
  <si>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</si>
  <si>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</si>
  <si>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</si>
  <si>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</si>
  <si>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</si>
  <si>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</si>
  <si>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</si>
  <si>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</si>
  <si>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</si>
  <si>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</si>
  <si>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</si>
  <si>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</si>
  <si>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</si>
  <si>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</si>
  <si>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</si>
  <si>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</si>
  <si>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</si>
  <si>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</si>
  <si>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</si>
  <si>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</si>
  <si>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</si>
  <si>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</si>
  <si>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</si>
  <si>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</si>
  <si>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</si>
  <si>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</si>
  <si>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</si>
  <si>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</si>
  <si>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</si>
  <si>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</si>
  <si>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</si>
  <si>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</si>
  <si>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</si>
  <si>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</si>
  <si>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</si>
  <si>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</si>
  <si>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</si>
  <si>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</si>
  <si>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</si>
  <si>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</si>
  <si>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</si>
  <si>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</si>
  <si>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</si>
  <si>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</si>
  <si>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</si>
  <si>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</si>
  <si>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</si>
  <si>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</si>
  <si>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</si>
  <si>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</si>
  <si>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</si>
  <si>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</si>
  <si>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</si>
  <si>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</si>
  <si>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</si>
  <si>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</si>
  <si>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</si>
  <si>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</si>
  <si>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</si>
  <si>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</si>
  <si>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</si>
  <si>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</si>
  <si>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</si>
  <si>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</si>
  <si>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</si>
  <si>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</si>
  <si>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</si>
  <si>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</si>
  <si>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</si>
  <si>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</si>
  <si>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</si>
  <si>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</si>
  <si>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</si>
  <si>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</si>
  <si>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</si>
  <si>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</si>
  <si>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</si>
  <si>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</si>
  <si>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</si>
  <si>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</si>
  <si>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</si>
  <si>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</si>
  <si>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</si>
  <si>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</si>
  <si>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</si>
  <si>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</si>
  <si>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</si>
  <si>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</si>
  <si>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</si>
  <si>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</si>
  <si>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</si>
  <si>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</si>
  <si>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</si>
  <si>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</si>
  <si>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</si>
  <si>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</si>
  <si>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</si>
  <si>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</si>
  <si>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</si>
  <si>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</si>
  <si>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</si>
  <si>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</si>
  <si>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</si>
  <si>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</si>
  <si>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</si>
  <si>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</si>
  <si>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</si>
  <si>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</si>
  <si>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</si>
  <si>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</si>
  <si>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</si>
  <si>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</si>
  <si>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</si>
  <si>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</si>
  <si>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</si>
  <si>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</si>
  <si>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</si>
  <si>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</si>
  <si>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</si>
  <si>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</si>
  <si>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</si>
  <si>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</si>
  <si>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</si>
  <si>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</si>
  <si>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</si>
  <si>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</si>
  <si>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</si>
  <si>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</si>
  <si>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</si>
  <si>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</si>
  <si>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</si>
  <si>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</si>
  <si>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</si>
  <si>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</si>
  <si>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</si>
  <si>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</si>
  <si>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</si>
  <si>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</si>
  <si>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</si>
  <si>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</si>
  <si>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</si>
  <si>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</si>
  <si>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</si>
  <si>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</si>
  <si>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</si>
  <si>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</si>
  <si>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</si>
  <si>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</si>
  <si>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</si>
  <si>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</si>
  <si>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</si>
  <si>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</si>
  <si>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</si>
  <si>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</si>
  <si>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</si>
  <si>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</si>
  <si>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</si>
  <si>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</si>
  <si>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</si>
  <si>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</si>
  <si>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</si>
  <si>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</si>
  <si>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</si>
  <si>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</si>
  <si>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</si>
  <si>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</si>
  <si>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</si>
  <si>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</si>
  <si>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</si>
  <si>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</si>
  <si>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</si>
  <si>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</si>
  <si>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</si>
  <si>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</si>
  <si>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</si>
  <si>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</si>
  <si>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</si>
  <si>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</si>
  <si>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</si>
  <si>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</si>
  <si>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</si>
  <si>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</si>
  <si>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</si>
  <si>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</si>
  <si>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</si>
  <si>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</si>
  <si>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</si>
  <si>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</si>
  <si>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</si>
  <si>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</si>
  <si>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</si>
  <si>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</si>
  <si>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</si>
  <si>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</si>
  <si>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</si>
  <si>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</si>
  <si>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</si>
  <si>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</si>
  <si>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</si>
  <si>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</si>
  <si>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</si>
  <si>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</si>
  <si>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</si>
  <si>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</si>
  <si>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</si>
  <si>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</si>
  <si>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</si>
  <si>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</si>
  <si>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</si>
  <si>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</si>
  <si>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</si>
  <si>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</si>
  <si>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</si>
  <si>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</si>
  <si>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</si>
  <si>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</si>
  <si>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</si>
  <si>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</si>
  <si>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</si>
  <si>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</si>
  <si>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</si>
  <si>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</si>
  <si>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</si>
  <si>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</si>
  <si>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</si>
  <si>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</si>
  <si>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</si>
  <si>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</si>
  <si>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</si>
  <si>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</si>
  <si>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</si>
  <si>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</si>
  <si>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</si>
  <si>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</si>
  <si>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</si>
  <si>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</si>
  <si>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</si>
  <si>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</si>
  <si>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</si>
  <si>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</si>
  <si>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</si>
  <si>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</si>
  <si>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</si>
  <si>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</si>
  <si>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</si>
  <si>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</si>
  <si>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</si>
  <si>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</si>
  <si>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</si>
  <si>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</si>
  <si>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</si>
  <si>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</si>
  <si>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</si>
  <si>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</si>
  <si>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</si>
  <si>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</si>
  <si>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</si>
  <si>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</si>
  <si>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</si>
  <si>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</si>
  <si>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</si>
  <si>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</si>
  <si>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</si>
  <si>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</si>
  <si>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</si>
  <si>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</si>
  <si>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</si>
  <si>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</si>
  <si>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</si>
  <si>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</si>
  <si>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</si>
  <si>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</si>
  <si>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</si>
  <si>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</si>
  <si>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</si>
  <si>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</si>
  <si>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</si>
  <si>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</si>
  <si>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</si>
  <si>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</si>
  <si>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</si>
  <si>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</si>
  <si>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</si>
  <si>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</si>
  <si>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</si>
  <si>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</si>
  <si>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</si>
  <si>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</si>
  <si>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</si>
  <si>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</si>
  <si>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</si>
  <si>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</si>
  <si>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</si>
  <si>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</si>
  <si>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</si>
  <si>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</si>
  <si>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</si>
  <si>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</si>
  <si>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</si>
  <si>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</si>
  <si>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</si>
  <si>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</si>
  <si>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</si>
  <si>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</si>
  <si>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</si>
  <si>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</si>
  <si>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</si>
  <si>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</si>
  <si>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</si>
  <si>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</si>
  <si>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</si>
  <si>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</si>
  <si>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</si>
  <si>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</si>
  <si>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</si>
  <si>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</si>
  <si>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</si>
  <si>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</si>
  <si>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</si>
  <si>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</si>
  <si>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</si>
  <si>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</si>
  <si>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</si>
  <si>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</si>
  <si>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</si>
  <si>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</si>
  <si>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</si>
  <si>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</si>
  <si>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</si>
  <si>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</si>
  <si>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</si>
  <si>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</si>
  <si>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</si>
  <si>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</si>
  <si>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</si>
  <si>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</si>
  <si>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</si>
  <si>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</si>
  <si>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</si>
  <si>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</si>
  <si>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</si>
  <si>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</si>
  <si>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</si>
  <si>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</si>
  <si>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</si>
  <si>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</si>
  <si>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</si>
  <si>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</si>
  <si>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</si>
  <si>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</si>
  <si>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</si>
  <si>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</si>
  <si>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</si>
  <si>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</si>
  <si>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</si>
  <si>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</si>
  <si>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</si>
  <si>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</si>
  <si>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</si>
  <si>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</si>
  <si>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</si>
  <si>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</si>
  <si>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</si>
  <si>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</si>
  <si>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</si>
  <si>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</si>
  <si>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</si>
  <si>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</si>
  <si>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</si>
  <si>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</si>
  <si>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</si>
  <si>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</si>
  <si>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</si>
  <si>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</si>
  <si>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</si>
  <si>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</si>
  <si>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</si>
  <si>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</si>
  <si>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</si>
  <si>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</si>
  <si>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</si>
  <si>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</si>
  <si>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</si>
  <si>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</si>
  <si>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</si>
  <si>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</si>
  <si>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</si>
  <si>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</si>
  <si>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</si>
  <si>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</si>
  <si>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</si>
  <si>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</si>
  <si>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</si>
  <si>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</si>
  <si>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</si>
  <si>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</si>
  <si>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</si>
  <si>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</si>
  <si>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</si>
  <si>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</si>
  <si>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</si>
  <si>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</si>
  <si>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</si>
  <si>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</si>
  <si>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</si>
  <si>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</si>
  <si>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</si>
  <si>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</si>
  <si>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</si>
  <si>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</si>
  <si>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</si>
  <si>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</si>
  <si>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</si>
  <si>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</si>
  <si>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</si>
  <si>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</si>
  <si>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</si>
  <si>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</si>
  <si>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</si>
  <si>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</si>
  <si>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</si>
  <si>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</si>
  <si>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</si>
  <si>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</si>
  <si>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</si>
  <si>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</si>
  <si>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</si>
  <si>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</si>
  <si>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</si>
  <si>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</si>
  <si>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</si>
  <si>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</si>
  <si>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</si>
  <si>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</si>
  <si>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</si>
  <si>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</si>
  <si>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</si>
  <si>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</si>
  <si>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</si>
  <si>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</si>
  <si>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</si>
  <si>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</si>
  <si>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</si>
  <si>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</si>
  <si>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</si>
  <si>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</si>
  <si>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</si>
  <si>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</si>
  <si>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</si>
  <si>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</si>
  <si>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</si>
  <si>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</si>
  <si>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</si>
  <si>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</si>
  <si>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</si>
  <si>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</si>
  <si>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</si>
  <si>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</si>
  <si>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</si>
  <si>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</si>
  <si>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</si>
  <si>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</si>
  <si>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</si>
  <si>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</si>
  <si>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</si>
  <si>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</si>
  <si>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</si>
  <si>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</si>
  <si>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</si>
  <si>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</si>
  <si>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</si>
  <si>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</si>
  <si>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</si>
  <si>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</si>
  <si>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</si>
  <si>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</si>
  <si>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</si>
  <si>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</si>
  <si>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</si>
  <si>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</si>
  <si>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</si>
  <si>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</si>
  <si>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</si>
  <si>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</si>
  <si>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</si>
  <si>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</si>
  <si>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</si>
  <si>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</si>
  <si>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</si>
  <si>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</si>
  <si>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</si>
  <si>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</si>
  <si>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</si>
  <si>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</si>
  <si>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</si>
  <si>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</si>
  <si>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</si>
  <si>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</si>
  <si>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</si>
  <si>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</si>
  <si>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</si>
  <si>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</si>
  <si>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</si>
  <si>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</si>
  <si>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</si>
  <si>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</si>
  <si>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</si>
  <si>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</si>
  <si>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</si>
  <si>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</si>
  <si>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</si>
  <si>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</si>
  <si>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</si>
  <si>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</si>
  <si>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</si>
  <si>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</si>
  <si>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</si>
  <si>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</si>
  <si>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</si>
  <si>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</si>
  <si>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</si>
  <si>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</si>
  <si>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</si>
  <si>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</si>
  <si>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</si>
  <si>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</si>
  <si>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</si>
  <si>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</si>
  <si>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</si>
  <si>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</si>
  <si>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</si>
  <si>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</si>
  <si>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</si>
  <si>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</si>
  <si>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</si>
  <si>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</si>
  <si>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</si>
  <si>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</si>
  <si>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</si>
  <si>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</si>
  <si>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</si>
  <si>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</si>
  <si>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</si>
  <si>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</si>
  <si>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</si>
  <si>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</si>
  <si>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</si>
  <si>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</si>
  <si>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</si>
  <si>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</si>
  <si>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</si>
  <si>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</si>
  <si>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</si>
  <si>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</si>
  <si>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</si>
  <si>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</si>
  <si>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</si>
  <si>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</si>
  <si>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</si>
  <si>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</si>
  <si>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</si>
  <si>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</si>
  <si>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</si>
  <si>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</si>
  <si>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</si>
  <si>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</si>
  <si>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</si>
  <si>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</si>
  <si>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</si>
  <si>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</si>
  <si>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</si>
  <si>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</si>
  <si>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</si>
  <si>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</si>
  <si>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</si>
  <si>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</si>
  <si>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</si>
  <si>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</si>
  <si>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</si>
  <si>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</si>
  <si>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</si>
  <si>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</si>
  <si>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</si>
  <si>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</si>
  <si>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</si>
  <si>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</si>
  <si>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</si>
  <si>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</si>
  <si>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</si>
  <si>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</si>
  <si>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</si>
  <si>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</si>
  <si>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</si>
  <si>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</si>
  <si>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</si>
  <si>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</si>
  <si>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</si>
  <si>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</si>
  <si>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</si>
  <si>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</si>
  <si>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</si>
  <si>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</si>
  <si>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</si>
  <si>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</si>
  <si>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</si>
  <si>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</si>
  <si>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</si>
  <si>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</si>
  <si>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</si>
  <si>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</si>
  <si>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</si>
  <si>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</si>
  <si>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</si>
  <si>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</si>
  <si>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</si>
  <si>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</si>
  <si>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</si>
  <si>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</si>
  <si>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</si>
  <si>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</si>
  <si>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</si>
  <si>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</si>
  <si>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</si>
  <si>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</si>
  <si>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</si>
  <si>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</si>
  <si>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</si>
  <si>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</si>
  <si>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</si>
  <si>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</si>
  <si>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</si>
  <si>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</si>
  <si>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</si>
  <si>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</si>
  <si>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</si>
  <si>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</si>
  <si>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</si>
  <si>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</si>
  <si>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</si>
  <si>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</si>
  <si>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</si>
  <si>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</si>
  <si>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</si>
  <si>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</si>
  <si>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</si>
  <si>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</si>
  <si>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</si>
  <si>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</si>
  <si>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</si>
  <si>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</si>
  <si>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</si>
  <si>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</si>
  <si>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</si>
  <si>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</si>
  <si>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</si>
  <si>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</si>
  <si>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</si>
  <si>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</si>
  <si>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</si>
  <si>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</si>
  <si>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</si>
  <si>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</si>
  <si>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</si>
  <si>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</si>
  <si>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</si>
  <si>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</si>
  <si>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</si>
  <si>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</si>
  <si>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</si>
  <si>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</si>
  <si>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</si>
  <si>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</si>
  <si>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</si>
  <si>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</si>
  <si>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</si>
  <si>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</si>
  <si>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</si>
  <si>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</si>
  <si>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</si>
  <si>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</si>
  <si>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sys_admin archive status</t>
  </si>
  <si>
    <t>AE ID Details</t>
  </si>
  <si>
    <t>Headline Year</t>
  </si>
  <si>
    <t>Scenario</t>
  </si>
  <si>
    <t>ID MX</t>
  </si>
  <si>
    <t>Filter Quotes</t>
  </si>
  <si>
    <t>"</t>
  </si>
  <si>
    <t>ID Measure to Filter</t>
  </si>
  <si>
    <t>Programme</t>
  </si>
  <si>
    <t>Zero Suppression</t>
  </si>
  <si>
    <t>TM1RPTFILTER</t>
  </si>
  <si>
    <t>Active Form Filter Count</t>
  </si>
  <si>
    <t>Slice</t>
  </si>
  <si>
    <t>Active Form VIEW</t>
  </si>
  <si>
    <t>ID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</si>
  <si>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</si>
  <si>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</si>
  <si>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</si>
  <si>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</si>
  <si>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</si>
  <si>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</si>
  <si>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</si>
  <si>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</si>
  <si>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</si>
  <si>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</si>
  <si>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</si>
  <si>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01 - Header Details</t>
  </si>
  <si>
    <t>Data Entry - New Adj 02 - Adjustment Entry</t>
  </si>
  <si>
    <t>ID MEASURE</t>
  </si>
  <si>
    <t>sys_id</t>
  </si>
  <si>
    <t>sys_title</t>
  </si>
  <si>
    <t>sys_programme description</t>
  </si>
  <si>
    <t>TITLE</t>
  </si>
  <si>
    <t>PROGRAMME CODE</t>
  </si>
  <si>
    <t>sys_reason</t>
  </si>
  <si>
    <t>sys_status</t>
  </si>
  <si>
    <t>REASON</t>
  </si>
  <si>
    <t>reason description</t>
  </si>
  <si>
    <t>REASON CODE</t>
  </si>
  <si>
    <t>appropriation item description</t>
  </si>
  <si>
    <t>APPROPRIATION DESCRIPTION</t>
  </si>
  <si>
    <t>STATUS</t>
  </si>
  <si>
    <t>NEXT ID</t>
  </si>
  <si>
    <t>Homepage - Annual Estimates - Data Entry</t>
  </si>
  <si>
    <t>Current Workbook</t>
  </si>
  <si>
    <t>Adjustment - ID List</t>
  </si>
  <si>
    <t>Program :</t>
  </si>
  <si>
    <t>Reason :</t>
  </si>
  <si>
    <t>Control Type  :</t>
  </si>
  <si>
    <t>Subsets To Use In Data Entry</t>
  </si>
  <si>
    <t>Title :</t>
  </si>
  <si>
    <t>Description :</t>
  </si>
  <si>
    <t>Measure Code :</t>
  </si>
  <si>
    <t>Appropriation Type :</t>
  </si>
  <si>
    <t>Appropriation Item :</t>
  </si>
  <si>
    <t>Outcome  :</t>
  </si>
  <si>
    <t>Function  :</t>
  </si>
  <si>
    <t>SPP  :</t>
  </si>
  <si>
    <t>CBMS Program Code :</t>
  </si>
  <si>
    <t>Account Favourites To Use :</t>
  </si>
  <si>
    <t>Temporary ID :</t>
  </si>
  <si>
    <t xml:space="preserve">INFO ONLY : Last 10 Adjustments Relating To Programme Selected </t>
  </si>
  <si>
    <t>Program Details (Used in adjustment as default data point)</t>
  </si>
  <si>
    <t>Values Used For Cube</t>
  </si>
  <si>
    <t>adj_control type</t>
  </si>
  <si>
    <t>adj_programme code</t>
  </si>
  <si>
    <t>adj_reason</t>
  </si>
  <si>
    <t>adj_measure code</t>
  </si>
  <si>
    <t>adj_title</t>
  </si>
  <si>
    <t>adj_description</t>
  </si>
  <si>
    <t>adj_favourite id</t>
  </si>
  <si>
    <t>adj_outcome</t>
  </si>
  <si>
    <t>adj_function</t>
  </si>
  <si>
    <t>adj_spp</t>
  </si>
  <si>
    <t>adj_appropriation type</t>
  </si>
  <si>
    <t>adj_appropriation item</t>
  </si>
  <si>
    <t>Values To Send</t>
  </si>
  <si>
    <t>sys_client preference measure</t>
  </si>
  <si>
    <t>Prepopulate Values</t>
  </si>
  <si>
    <t>Measure Code</t>
  </si>
  <si>
    <t>Send Measure Code</t>
  </si>
  <si>
    <t>Subset Measure Code</t>
  </si>
  <si>
    <t>Subset Measure Code First Element</t>
  </si>
  <si>
    <t>Programme Details</t>
  </si>
  <si>
    <t>programme</t>
  </si>
  <si>
    <t>function</t>
  </si>
  <si>
    <t>outcome</t>
  </si>
  <si>
    <t>appropriation type</t>
  </si>
  <si>
    <t>appropriation item</t>
  </si>
  <si>
    <t>SPP</t>
  </si>
  <si>
    <t>default favourite template</t>
  </si>
  <si>
    <t>Parameters To Send</t>
  </si>
  <si>
    <t>psControlType</t>
  </si>
  <si>
    <t>psProg</t>
  </si>
  <si>
    <t>psReason</t>
  </si>
  <si>
    <t>psMeasCode</t>
  </si>
  <si>
    <t>psTitle</t>
  </si>
  <si>
    <t>psDesc</t>
  </si>
  <si>
    <t>psFavID</t>
  </si>
  <si>
    <t>psOC</t>
  </si>
  <si>
    <t>psFunc</t>
  </si>
  <si>
    <t>psSPP</t>
  </si>
  <si>
    <t>psType</t>
  </si>
  <si>
    <t>psItem</t>
  </si>
  <si>
    <t>Attribute Cubes</t>
  </si>
  <si>
    <t>TO SEND TO CLIENT</t>
  </si>
  <si>
    <t>Reason Code Attributes</t>
  </si>
  <si>
    <t>reason</t>
  </si>
  <si>
    <t>measure required</t>
  </si>
  <si>
    <t>No Measure</t>
  </si>
  <si>
    <t>2272</t>
  </si>
  <si>
    <t>3935</t>
  </si>
  <si>
    <t>3953</t>
  </si>
  <si>
    <t>3954</t>
  </si>
  <si>
    <t>Apply Parameters :</t>
  </si>
  <si>
    <t>psApplyParam</t>
  </si>
  <si>
    <t>DBSS(TRIM($C$68),$C$35,$C$14,$B120,$C$37)</t>
  </si>
  <si>
    <t>measure optional</t>
  </si>
  <si>
    <t>adj_apply param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</si>
  <si>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</si>
  <si>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</si>
  <si>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</si>
  <si>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</si>
  <si>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</si>
  <si>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</si>
  <si>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</si>
  <si>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</si>
  <si>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</si>
  <si>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</si>
  <si>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</si>
  <si>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</si>
  <si>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</si>
  <si>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</si>
  <si>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</si>
  <si>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</si>
  <si>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</si>
  <si>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</si>
  <si>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</si>
  <si>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</si>
  <si>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</si>
  <si>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</si>
  <si>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</si>
  <si>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</si>
  <si>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</si>
  <si>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</si>
  <si>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</si>
  <si>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</si>
  <si>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</si>
  <si>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</si>
  <si>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</si>
  <si>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</si>
  <si>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</si>
  <si>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</si>
  <si>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</si>
  <si>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</si>
  <si>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</si>
  <si>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</si>
  <si>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</si>
  <si>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</si>
  <si>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</si>
  <si>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</si>
  <si>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</si>
  <si>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</si>
  <si>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</si>
  <si>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</si>
  <si>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</si>
  <si>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</si>
  <si>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</si>
  <si>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</si>
  <si>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</si>
  <si>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</si>
  <si>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</si>
  <si>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</si>
  <si>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</si>
  <si>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</si>
  <si>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</si>
  <si>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</si>
  <si>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</si>
  <si>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</si>
  <si>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</si>
  <si>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</si>
  <si>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</si>
  <si>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</si>
  <si>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</si>
  <si>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</si>
  <si>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</si>
  <si>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</si>
  <si>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</si>
  <si>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</si>
  <si>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</si>
  <si>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</si>
  <si>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</si>
  <si>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</si>
  <si>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</si>
  <si>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</si>
  <si>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</si>
  <si>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</si>
  <si>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</si>
  <si>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</si>
  <si>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</si>
  <si>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</si>
  <si>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</si>
  <si>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</si>
  <si>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3945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</si>
  <si>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</si>
  <si>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</si>
  <si>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</si>
  <si>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</si>
  <si>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</si>
  <si>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</si>
  <si>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</si>
  <si>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</si>
  <si>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</si>
  <si>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</si>
  <si>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</si>
  <si>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</si>
  <si>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</si>
  <si>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</si>
  <si>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</si>
  <si>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</si>
  <si>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</si>
  <si>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</si>
  <si>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</si>
  <si>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</si>
  <si>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</si>
  <si>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</si>
  <si>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</si>
  <si>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</si>
  <si>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</si>
  <si>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</si>
  <si>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</si>
  <si>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</si>
  <si>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</si>
  <si>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</si>
  <si>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</si>
  <si>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</si>
  <si>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</si>
  <si>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</si>
  <si>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</si>
  <si>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</si>
  <si>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</si>
  <si>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</si>
  <si>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</si>
  <si>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</si>
  <si>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</si>
  <si>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</si>
  <si>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</si>
  <si>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program dimension name</t>
  </si>
  <si>
    <t>8125.04 - Research Infrastructure Block Grants</t>
  </si>
  <si>
    <t>8125.05 - Research Training</t>
  </si>
  <si>
    <t>8125.06 - Sustainable Research Excellence</t>
  </si>
  <si>
    <t>8125.07 - Australian Post Graduate Awards</t>
  </si>
  <si>
    <t>8125.08 - Research Investment Adjustment Scheme</t>
  </si>
  <si>
    <t>8125.09 - Research Support Scheme</t>
  </si>
  <si>
    <t>8125.10 - Supporting Research Training Scheme</t>
  </si>
  <si>
    <t>8126.01 - Collaborative Research Network Programme</t>
  </si>
  <si>
    <t>8126.02 - Commonwealth - ANU Strategic Relationships</t>
  </si>
  <si>
    <t>8126.03 - National Collaborative Research Infrastructure Strategy - Continuation</t>
  </si>
  <si>
    <t>8126.04 - The Conversation - Funding Support</t>
  </si>
  <si>
    <t>8126.05-01 - Higher Education Research Promotion - Data Entry</t>
  </si>
  <si>
    <t>8126.05-02-01 - Grants in Aid - ANZAAS</t>
  </si>
  <si>
    <t>8126.05-02-02 - Learned Academies</t>
  </si>
  <si>
    <t>8126.06 - Education Investment Fund - Research</t>
  </si>
  <si>
    <t>8126.07 - AIATSIS</t>
  </si>
  <si>
    <t>8126.08 - ANU Investment</t>
  </si>
  <si>
    <t>8126.09 - Australian Consensus</t>
  </si>
  <si>
    <t>8126.10 - Academic Centres of Cyber Security Excellence</t>
  </si>
  <si>
    <t>8127.01 - International Education Support</t>
  </si>
  <si>
    <t>8127.02 - Assessment Subsidy for O/S Trained Professionals</t>
  </si>
  <si>
    <t>8127.03 - Fees &amp; Charges</t>
  </si>
  <si>
    <t>8127.04 - Overseas Student Tuition Fund - Special Account</t>
  </si>
  <si>
    <t>8127.05 - Chueng Kong</t>
  </si>
  <si>
    <t>8271.01-01 - Industry Skills Fund</t>
  </si>
  <si>
    <t>8271.01-02 - National Workforce Development Fund (NWDF)</t>
  </si>
  <si>
    <t>8271.02-01 - Accelerated Australian Apprenticeships</t>
  </si>
  <si>
    <t>8271.02-02 - Apprentice to Business Owner - Business skills and mentoring</t>
  </si>
  <si>
    <t>8271.02-03 - Australian Apprenticeship Centres (AAC)</t>
  </si>
  <si>
    <t>8271.02-04 - Australian Apprenticeship Incentives Programme</t>
  </si>
  <si>
    <t>8271.02-05 - Australian Apprenticeships Mentoring</t>
  </si>
  <si>
    <t>8271.02-06 - Job Ready Programme - Trades Recognition</t>
  </si>
  <si>
    <t>8271.02-07 - Trade Support Loans</t>
  </si>
  <si>
    <t>8271.02-08 - Trade Recognition Australia - outsourced services administration fee</t>
  </si>
  <si>
    <t>8271.02-09-01 - Growth Fund Skills and Training - Special Account</t>
  </si>
  <si>
    <t>8271.02-09-02 - Growth Fund Skills and Training - Annual Appropriation</t>
  </si>
  <si>
    <t>8271.02-10 - South Australian Enterprise Scholarships</t>
  </si>
  <si>
    <t>8271.02-11- Industry Specialist Mentoring for Australian Apprentices</t>
  </si>
  <si>
    <t>8271.03-01 - Adult Migrant English Programme</t>
  </si>
  <si>
    <t>8271.03-02 - Australian Apprenticeships Access</t>
  </si>
  <si>
    <t>8271.03-03 - National Foundation Skills Strategy - Structural Training System</t>
  </si>
  <si>
    <t>8271.03-04 - Skills for Education and Employment Programme</t>
  </si>
  <si>
    <t>8271.03-05 - Workplace English Language and Literacy (WELL)</t>
  </si>
  <si>
    <t>8271.04-01 - Industry Workforce Training</t>
  </si>
  <si>
    <t>8271.04-02 - My Skills Website</t>
  </si>
  <si>
    <t>8271.04-03 - National Centre for Vocational Education Research</t>
  </si>
  <si>
    <t>8271.04-04 - National Skills Standards Council</t>
  </si>
  <si>
    <t>8271.04-05-01 - National Training System COPE - Other</t>
  </si>
  <si>
    <t>8271.04-05-02 - National Training System COPE - USI</t>
  </si>
  <si>
    <t>8271.04-06 - Workforce Innovation (National Skills Shortages Strategy)</t>
  </si>
  <si>
    <t>8271.04-07 - National Advisory for Tertiary Education Skills and Employment (NATESE)</t>
  </si>
  <si>
    <t>8271.04-08 - SOETM</t>
  </si>
  <si>
    <t>8271.04-09 - Australian Industry and Skills Committee</t>
  </si>
  <si>
    <t>8271.04-10 - Licensing of International Vocational Education and Training (VET) courses</t>
  </si>
  <si>
    <t>8301.01 - Chaplains</t>
  </si>
  <si>
    <t>8301.02 - Autism</t>
  </si>
  <si>
    <t>8301.03 - National Asian Lanuages and Studies</t>
  </si>
  <si>
    <t>8301.04-01 - Grants and Awards - Grants in Aid - Data Entry</t>
  </si>
  <si>
    <t>8301.04-02 - Grants and Awards - Asia Education Foundation - Data Entry</t>
  </si>
  <si>
    <t>8301.04-03 - Grants and Awards - Australian Student Prize</t>
  </si>
  <si>
    <t>8301.05 - Teach Next</t>
  </si>
  <si>
    <t>8301.06 - Development of an Australian Baccalaureate</t>
  </si>
  <si>
    <t>8301.07 - NBN Enabled Education and Skills Services Programme</t>
  </si>
  <si>
    <t>8301.08 - ABC Digital Education</t>
  </si>
  <si>
    <t>8301.09 - Review of School Funding</t>
  </si>
  <si>
    <t>8301.10 - Creative Young Stars</t>
  </si>
  <si>
    <t>8301.11 - Teach for Australia</t>
  </si>
  <si>
    <t>8301.12 - InSITE</t>
  </si>
  <si>
    <t>8301.13-01 - Quality Outcomes - Other</t>
  </si>
  <si>
    <t>8301.13-02 - PACER</t>
  </si>
  <si>
    <t>8301.13-03 - Quality Teacher Programme</t>
  </si>
  <si>
    <t>8301.13-04 - Civics and Citizenship</t>
  </si>
  <si>
    <t>8301.13-05 - Community Festivals</t>
  </si>
  <si>
    <t>8301.13-06 - Schools National Projects</t>
  </si>
  <si>
    <t>8301.13-07 - Student Resilience and Wellbeing</t>
  </si>
  <si>
    <t>8301.13-08 - National Actional Plan - Lit &amp; Num</t>
  </si>
  <si>
    <t>8301.13-09 - ACT Centre for Quality Teaching and Learning</t>
  </si>
  <si>
    <t>8301.13-10 - Philanthropy</t>
  </si>
  <si>
    <t>8301.13-11 - Safer Schools Coalition</t>
  </si>
  <si>
    <t>8301.13-12 - Technical Infrastructure</t>
  </si>
  <si>
    <t>8301.13-13 - Framework for Open Learning</t>
  </si>
  <si>
    <t>8301.13-14 - National Trade Cadetships (ACARA)</t>
  </si>
  <si>
    <t>8301.13-15 - Endeavour Language Teacher Fellowships</t>
  </si>
  <si>
    <t>8301.13-16-01 - ACARA Baseline</t>
  </si>
  <si>
    <t>8301.13-16-02 - Online Diagnostics</t>
  </si>
  <si>
    <t>8301.13-16-03 - National Trade Cadetships</t>
  </si>
  <si>
    <t>8301.13-17-01 - AITSL Baseline</t>
  </si>
  <si>
    <t>8301.13-18 - Agriculture in Education</t>
  </si>
  <si>
    <t>8301.13-19 - KICS</t>
  </si>
  <si>
    <t>8301.13-20 - Parental Engagement Campaign</t>
  </si>
  <si>
    <t>8301.13-21 - National Career Education Strategy</t>
  </si>
  <si>
    <t>8301.14-01 - Science Partnerships - Scientists and Mathematicians in Schools</t>
  </si>
  <si>
    <t>8301.14-02 - National Support for Active Teachers</t>
  </si>
  <si>
    <t>8301.14-03 - Science Connections</t>
  </si>
  <si>
    <t>8301.14-04 - Maths and Science Olypiads</t>
  </si>
  <si>
    <t>8301.15-01 - NPSI Campaign Advertising</t>
  </si>
  <si>
    <t>8301.15-02 - Improving Educational Outcomes</t>
  </si>
  <si>
    <t>8301.15-03-01 - AITSL</t>
  </si>
  <si>
    <t>8301.15-03-02 - ACARA</t>
  </si>
  <si>
    <t>8301.15-03-03 - ESA</t>
  </si>
  <si>
    <t>8301.15-03-04 - DEEWR</t>
  </si>
  <si>
    <t>8301.16 - Flexible Literacy Learning for Remote Primary Schools</t>
  </si>
  <si>
    <t>8301.17 -</t>
  </si>
  <si>
    <t>8301.18 -</t>
  </si>
  <si>
    <t>8301.19 - CDEP Education Workers Torres Strait</t>
  </si>
  <si>
    <t>8301.20 - Improving the Teaching of Foreign Languages</t>
  </si>
  <si>
    <t>8301.21-01 - P-TECH</t>
  </si>
  <si>
    <t>8301.21-02 - Mathematics by Inquiry</t>
  </si>
  <si>
    <t>8301.21-03 - Coding across the Curriculum</t>
  </si>
  <si>
    <t>8301.21-04 - Summer Schools for STEM</t>
  </si>
  <si>
    <t>8301.22 - National Assesment Reforms</t>
  </si>
  <si>
    <t>8301.23 - Australian Early Development Census</t>
  </si>
  <si>
    <t>8301.24-01 - Universal Access to Pre-School - Research Component</t>
  </si>
  <si>
    <t>8301.24-02 - ELLA</t>
  </si>
  <si>
    <t>8301.25 - Australian Government Response to TEMAG</t>
  </si>
  <si>
    <t>8301.26 - Educating Against Domestic Violence</t>
  </si>
  <si>
    <t>8301.27.01 - Embracing the Digital Age</t>
  </si>
  <si>
    <t>8301.27.02 - Inspiring STEM Literacy</t>
  </si>
  <si>
    <t>8301.28 - SOETM Students with Disabilities</t>
  </si>
  <si>
    <t>8301.29 - Boost the Learning for Life</t>
  </si>
  <si>
    <t>8301.30 - National Schools Reform</t>
  </si>
  <si>
    <t>8301.31 - English Language Learning for Indigenous Children</t>
  </si>
  <si>
    <t>8326.01.01 - Interim Home Based Carer Subsidy</t>
  </si>
  <si>
    <t>8326.01.02 - Inclusion Support Programme</t>
  </si>
  <si>
    <t>8326.01.03 - Community Child Care Fund</t>
  </si>
  <si>
    <t>8326.01.04 - Additional Child Carer Subsidy</t>
  </si>
  <si>
    <t>8326.01.05 - Child Care Subsidy Annual Costs</t>
  </si>
  <si>
    <t>8326.01.06 - Community Support</t>
  </si>
  <si>
    <t>8326.01.07 - Inclusion and Professional Support</t>
  </si>
  <si>
    <t>8326.01.08 - Quality Support</t>
  </si>
  <si>
    <t>8326.01.09 - Programme Support</t>
  </si>
  <si>
    <t>8326.01.10 - Child Care Early Learning Projects</t>
  </si>
  <si>
    <t>8326.02 - Jobs Education and Training, Child Care Fee Assistance (JETCCFA)</t>
  </si>
  <si>
    <t>8326.03 - Child Care Subsidy Communications Campaign</t>
  </si>
  <si>
    <t>8326.04 - Early Years Quality Fund (EYQF) (Special Account)</t>
  </si>
  <si>
    <t>8326.05 - Child Care SOETM Accounts</t>
  </si>
  <si>
    <t>8327.01 - Child Care Benefit</t>
  </si>
  <si>
    <t>8328.01 - Chlid Care Rebate</t>
  </si>
  <si>
    <t>8329.01 - Child Care Subsidy</t>
  </si>
  <si>
    <t>Bill 2 - Non Operating - Loan</t>
  </si>
  <si>
    <t>Bill 2 - Non Operating - Previous Years Outputs</t>
  </si>
  <si>
    <t>Bill 4 - Non Operating - Administered Assets and Liabilities</t>
  </si>
  <si>
    <t>Bill 4 - Non Operating - Equity Injection</t>
  </si>
  <si>
    <t>Bill 4 - Non Operating - Loan</t>
  </si>
  <si>
    <t>Bill 4 - Non Operating - Previous Years Outputs</t>
  </si>
  <si>
    <t>Bill 6 - Non Operating - Administered Assets and Liabilities</t>
  </si>
  <si>
    <t>Bill 6 - Non Operating - Equity Injection</t>
  </si>
  <si>
    <t>Bill 6 - Non Operating - Loan</t>
  </si>
  <si>
    <t>Bill 6 - Non Operating - Previous Years Outputs</t>
  </si>
  <si>
    <t>Departmental Revenue</t>
  </si>
  <si>
    <t>GST payments (s30A FMA)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</si>
  <si>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</si>
  <si>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</si>
  <si>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</si>
  <si>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</si>
  <si>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</si>
  <si>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</si>
  <si>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</si>
  <si>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</si>
  <si>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</si>
  <si>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</si>
  <si>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</si>
  <si>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</si>
  <si>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</si>
  <si>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</si>
  <si>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</si>
  <si>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</si>
  <si>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</si>
  <si>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</si>
  <si>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</si>
  <si>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</si>
  <si>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</si>
  <si>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</si>
  <si>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</si>
  <si>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</si>
  <si>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</si>
  <si>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</si>
  <si>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</si>
  <si>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</si>
  <si>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</si>
  <si>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</si>
  <si>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</si>
  <si>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Note : Select a Program and press REFRESH to retrieve Program Details. When changing a different program, click CLEAR FORM to clear all data.</t>
  </si>
  <si>
    <t>Create New Adjustment - Header Details</t>
  </si>
  <si>
    <t>Unique Program</t>
  </si>
  <si>
    <t>control type</t>
  </si>
  <si>
    <t>Validation Status :</t>
  </si>
  <si>
    <t>00029 - UNUSED</t>
  </si>
  <si>
    <t>00030 - UNUSED</t>
  </si>
  <si>
    <t>1001 - Government decision or measure</t>
  </si>
  <si>
    <t>1004 - Eco - Change in price and wage indices</t>
  </si>
  <si>
    <t>1005 - Eco - Change in UBR</t>
  </si>
  <si>
    <t>1008 - Eco - Change in forex or interest rates</t>
  </si>
  <si>
    <t>1009 - PDI Changes - Treasury/AOFM only</t>
  </si>
  <si>
    <t>1011 - PSP - changes in rates or beneficiaries</t>
  </si>
  <si>
    <t>1012 - Program Specific - other variations</t>
  </si>
  <si>
    <t>1015 - Application of the efficiency dividend</t>
  </si>
  <si>
    <t>1018 - Movement of Funds - between years</t>
  </si>
  <si>
    <t>1019 - Self balancing transfers</t>
  </si>
  <si>
    <t>1020 - Section 75 transfers between entities</t>
  </si>
  <si>
    <t>1021 - Eliminations - Finance only</t>
  </si>
  <si>
    <t>1022 - Adjustments to opening balances</t>
  </si>
  <si>
    <t>1029 - Variations not elsewhere defined</t>
  </si>
  <si>
    <t>1032 - Central processes - Finance only</t>
  </si>
  <si>
    <t>1033 - Creation of 3rd Forward Year Estimate</t>
  </si>
  <si>
    <t>1034 - Balance Sheet or Related Entity</t>
  </si>
  <si>
    <t>1036 - GST Payments to States - Treasury only</t>
  </si>
  <si>
    <t>1038 - Monthly Actuals</t>
  </si>
  <si>
    <t>1039 - Whole of Government Savings</t>
  </si>
  <si>
    <t>1040 - Actuals</t>
  </si>
  <si>
    <t>1041 - Operating Losses</t>
  </si>
  <si>
    <t>1042 - Taxation Receipts</t>
  </si>
  <si>
    <t>1045 - Interest Equiv Paymts (IEPs) approp</t>
  </si>
  <si>
    <t>1046 - Adjustment copied from previous round</t>
  </si>
  <si>
    <t>1047</t>
  </si>
  <si>
    <t>1048</t>
  </si>
  <si>
    <t>1049 - existing leases AASB 16 transition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</si>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</sst>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1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4" borderId="4" xfId="0" applyFill="1" applyBorder="1"/>
    <xf numFmtId="0" fontId="2" fillId="4" borderId="0" xfId="0" applyFont="1" applyFill="1"/>
    <xf numFmtId="0" fontId="7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8" fillId="2" borderId="4" xfId="0" applyFont="1" applyFill="1" applyBorder="1" applyAlignment="1">
      <alignment horizontal="center"/>
    </xf>
    <xf numFmtId="0" fontId="7" fillId="3" borderId="0" xfId="0" applyFont="1" applyFill="1" applyAlignment="1">
      <alignment horizontal="right" vertical="center" indent="1"/>
    </xf>
    <xf numFmtId="0" fontId="2" fillId="2" borderId="4" xfId="0" applyFont="1" applyFill="1" applyBorder="1" applyAlignment="1">
      <alignment horizontal="center"/>
    </xf>
    <xf numFmtId="49" fontId="0" fillId="0" borderId="4" xfId="0" applyNumberFormat="1" applyBorder="1"/>
    <xf numFmtId="0" fontId="11" fillId="0" borderId="4" xfId="0" applyFont="1" applyBorder="1" applyAlignment="1" applyProtection="1">
      <alignment horizontal="center"/>
      <protection locked="0"/>
    </xf>
    <xf numFmtId="0" fontId="0" fillId="2" borderId="4" xfId="0" applyFill="1" applyBorder="1"/>
    <xf numFmtId="0" fontId="5" fillId="2" borderId="4" xfId="0" applyFont="1" applyFill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2" fillId="0" borderId="0" xfId="0" applyFont="1" applyAlignment="1">
      <alignment horizontal="right" indent="1"/>
    </xf>
    <xf numFmtId="0" fontId="13" fillId="0" borderId="4" xfId="0" applyFont="1" applyBorder="1" applyAlignment="1">
      <alignment horizontal="left" indent="1"/>
    </xf>
    <xf numFmtId="0" fontId="2" fillId="0" borderId="0" xfId="0" applyFont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9" fillId="0" borderId="0" xfId="0" applyFont="1" applyAlignment="1">
      <alignment horizontal="left"/>
    </xf>
    <xf numFmtId="0" fontId="0" fillId="2" borderId="1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3" xfId="0" applyFill="1" applyBorder="1" applyAlignment="1">
      <alignment horizontal="left" indent="1"/>
    </xf>
    <xf numFmtId="0" fontId="0" fillId="0" borderId="4" xfId="0" applyBorder="1" applyAlignment="1" applyProtection="1">
      <alignment horizontal="left" vertical="top" wrapText="1" indent="1"/>
      <protection locked="0"/>
    </xf>
    <xf numFmtId="0" fontId="10" fillId="0" borderId="7" xfId="0" applyFont="1" applyBorder="1" applyAlignment="1">
      <alignment horizontal="left" indent="1"/>
    </xf>
    <xf numFmtId="0" fontId="10" fillId="0" borderId="0" xfId="0" applyFont="1" applyAlignment="1">
      <alignment horizontal="left" indent="1"/>
    </xf>
    <xf numFmtId="0" fontId="10" fillId="0" borderId="7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auto="1"/>
      </font>
      <fill>
        <patternFill>
          <bgColor rgb="FF00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0000FF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953"/>
  <ax:ocxPr ax:name="_ExtentY" ax:value="291"/>
  <ax:ocxPr ax:name="_StockProps" ax:value="0"/>
  <ax:ocxPr ax:name="ServerName" ax:value="=db_name"/>
  <ax:ocxPr ax:name="ProcessName" ax:value="AE_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82"/>
  <ax:ocxPr ax:name="_ExtentY" ax:value="476"/>
  <ax:ocxPr ax:name="_StockProps" ax:value="0"/>
  <ax:ocxPr ax:name="ServerName" ax:value="=db_name"/>
  <ax:ocxPr ax:name="ProcessName" ax:value="AE_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orm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Clearing of Data failed, please contact your administrator"/>
  <ax:ocxPr ax:name="ShowConfirmMessage" ax:value="0"/>
  <ax:ocxPr ax:name="ShowSuccessMessage" ax:value="0"/>
  <ax:ocxPr ax:name="ShowFailureMessage" ax:value="-1"/>
  <ax:ocxPr ax:name="TargetWorkbookName" ax:value="=TM1NewAdj01HeaderWB"/>
  <ax:ocxPr ax:name="TargetWorksheetName" ax:value="=TM1NewAdj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2.emf"/><Relationship Id="rId7" Type="http://schemas.openxmlformats.org/officeDocument/2006/relationships/image" Target="../media/image7.emf"/><Relationship Id="rId2" Type="http://schemas.openxmlformats.org/officeDocument/2006/relationships/image" Target="../media/image3.emf"/><Relationship Id="rId1" Type="http://schemas.openxmlformats.org/officeDocument/2006/relationships/image" Target="../media/image4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104</xdr:row>
          <xdr:rowOff>0</xdr:rowOff>
        </xdr:from>
        <xdr:to>
          <xdr:col>10</xdr:col>
          <xdr:colOff>685800</xdr:colOff>
          <xdr:row>104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104</xdr:row>
          <xdr:rowOff>0</xdr:rowOff>
        </xdr:from>
        <xdr:to>
          <xdr:col>11</xdr:col>
          <xdr:colOff>819150</xdr:colOff>
          <xdr:row>104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2819400</xdr:colOff>
          <xdr:row>103</xdr:row>
          <xdr:rowOff>47625</xdr:rowOff>
        </xdr:from>
        <xdr:to>
          <xdr:col>13</xdr:col>
          <xdr:colOff>161925</xdr:colOff>
          <xdr:row>104</xdr:row>
          <xdr:rowOff>238125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1000125</xdr:colOff>
          <xdr:row>103</xdr:row>
          <xdr:rowOff>19050</xdr:rowOff>
        </xdr:from>
        <xdr:to>
          <xdr:col>17</xdr:col>
          <xdr:colOff>1314450</xdr:colOff>
          <xdr:row>104</xdr:row>
          <xdr:rowOff>276225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857250</xdr:colOff>
          <xdr:row>104</xdr:row>
          <xdr:rowOff>0</xdr:rowOff>
        </xdr:from>
        <xdr:to>
          <xdr:col>11</xdr:col>
          <xdr:colOff>1981200</xdr:colOff>
          <xdr:row>104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2028825</xdr:colOff>
          <xdr:row>140</xdr:row>
          <xdr:rowOff>47625</xdr:rowOff>
        </xdr:from>
        <xdr:to>
          <xdr:col>13</xdr:col>
          <xdr:colOff>2809875</xdr:colOff>
          <xdr:row>142</xdr:row>
          <xdr:rowOff>114300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2895600</xdr:colOff>
          <xdr:row>140</xdr:row>
          <xdr:rowOff>47625</xdr:rowOff>
        </xdr:from>
        <xdr:to>
          <xdr:col>14</xdr:col>
          <xdr:colOff>57150</xdr:colOff>
          <xdr:row>142</xdr:row>
          <xdr:rowOff>114300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2009775</xdr:colOff>
          <xdr:row>104</xdr:row>
          <xdr:rowOff>0</xdr:rowOff>
        </xdr:from>
        <xdr:to>
          <xdr:col>11</xdr:col>
          <xdr:colOff>2790825</xdr:colOff>
          <xdr:row>104</xdr:row>
          <xdr:rowOff>247650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102</xdr:row>
      <xdr:rowOff>19050</xdr:rowOff>
    </xdr:from>
    <xdr:to>
      <xdr:col>11</xdr:col>
      <xdr:colOff>741045</xdr:colOff>
      <xdr:row>102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2089-635E-46CD-B383-328948FD46F5}">
  <sheetPr codeName="Sheet1">
    <outlinePr showOutlineSymbols="0"/>
  </sheetPr>
  <dimension ref="A1:S145"/>
  <sheetViews>
    <sheetView showGridLines="0" tabSelected="1" showOutlineSymbols="0" topLeftCell="J103" workbookViewId="0">
      <pane ySplit="4" topLeftCell="A107" activePane="bottomLeft" state="frozen"/>
      <selection activeCell="J103" sqref="J103"/>
      <selection pane="bottomLeft"/>
    </sheetView>
  </sheetViews>
  <sheetFormatPr defaultRowHeight="15" outlineLevelRow="1" outlineLevelCol="1" x14ac:dyDescent="0.25"/>
  <cols>
    <col min="1" max="1" width="4.5703125" hidden="1" customWidth="1" outlineLevel="1"/>
    <col min="2" max="9" width="20.140625" hidden="1" customWidth="1" outlineLevel="1"/>
    <col min="10" max="10" width="0.85546875" customWidth="1" collapsed="1"/>
    <col min="11" max="11" width="15.42578125" customWidth="1"/>
    <col min="12" max="12" width="50.7109375" customWidth="1"/>
    <col min="13" max="13" width="0.85546875" customWidth="1"/>
    <col min="14" max="14" width="54.28515625" customWidth="1"/>
    <col min="15" max="15" width="16.140625" customWidth="1"/>
    <col min="16" max="16" width="31.85546875" customWidth="1"/>
    <col min="17" max="17" width="48.42578125" customWidth="1"/>
    <col min="18" max="18" width="20.7109375" customWidth="1"/>
  </cols>
  <sheetData>
    <row r="1" spans="1:18" hidden="1" outlineLevel="1" x14ac:dyDescent="0.25">
      <c r="A1" t="s">
        <v>1006</v>
      </c>
    </row>
    <row r="2" spans="1:18" hidden="1" outlineLevel="1" x14ac:dyDescent="0.25">
      <c r="A2">
        <f>0</f>
        <v>0</v>
      </c>
      <c r="K2" s="25"/>
      <c r="L2" s="25"/>
      <c r="N2" s="27"/>
      <c r="O2" s="27"/>
      <c r="P2" s="27"/>
      <c r="Q2" s="27"/>
      <c r="R2" s="28"/>
    </row>
    <row r="3" spans="1:18" hidden="1" outlineLevel="1" x14ac:dyDescent="0.25">
      <c r="A3">
        <f>1</f>
        <v>1</v>
      </c>
      <c r="K3" s="25"/>
      <c r="L3" s="25"/>
      <c r="N3" s="27"/>
      <c r="O3" s="27"/>
      <c r="P3" s="27"/>
      <c r="Q3" s="27"/>
      <c r="R3" s="28"/>
    </row>
    <row r="4" spans="1:18" hidden="1" outlineLevel="1" x14ac:dyDescent="0.25">
      <c r="A4">
        <f>2</f>
        <v>2</v>
      </c>
      <c r="K4" s="25"/>
      <c r="L4" s="25"/>
      <c r="N4" s="27"/>
      <c r="O4" s="27"/>
      <c r="P4" s="27"/>
      <c r="Q4" s="27"/>
      <c r="R4" s="28"/>
    </row>
    <row r="5" spans="1:18" hidden="1" outlineLevel="1" x14ac:dyDescent="0.25">
      <c r="A5">
        <f>3</f>
        <v>3</v>
      </c>
      <c r="K5" s="25"/>
      <c r="L5" s="25"/>
      <c r="N5" s="27"/>
      <c r="O5" s="27"/>
      <c r="P5" s="27"/>
      <c r="Q5" s="27"/>
      <c r="R5" s="28"/>
    </row>
    <row r="6" spans="1:18" hidden="1" outlineLevel="1" x14ac:dyDescent="0.25">
      <c r="A6" t="s">
        <v>1004</v>
      </c>
      <c r="K6" s="25"/>
      <c r="L6" s="25"/>
      <c r="N6" s="27"/>
      <c r="O6" s="27"/>
      <c r="P6" s="27"/>
      <c r="Q6" s="27"/>
      <c r="R6" s="28"/>
    </row>
    <row r="7" spans="1:18" hidden="1" outlineLevel="1" x14ac:dyDescent="0.25">
      <c r="A7" t="s">
        <v>1005</v>
      </c>
      <c r="H7" s="6"/>
      <c r="I7" s="6"/>
      <c r="K7" s="12"/>
      <c r="L7" s="26"/>
      <c r="N7" s="26"/>
      <c r="O7" s="29"/>
      <c r="P7" s="26"/>
      <c r="Q7" s="26"/>
      <c r="R7" s="29"/>
    </row>
    <row r="8" spans="1:18" hidden="1" outlineLevel="1" x14ac:dyDescent="0.25">
      <c r="A8" t="s">
        <v>1007</v>
      </c>
    </row>
    <row r="9" spans="1:18" hidden="1" outlineLevel="1" x14ac:dyDescent="0.25"/>
    <row r="10" spans="1:18" hidden="1" outlineLevel="1" x14ac:dyDescent="0.25"/>
    <row r="11" spans="1:18" hidden="1" outlineLevel="1" x14ac:dyDescent="0.25">
      <c r="B11" s="45" t="s">
        <v>1008</v>
      </c>
      <c r="C11" s="46"/>
      <c r="D11" s="47"/>
    </row>
    <row r="12" spans="1:18" hidden="1" outlineLevel="1" x14ac:dyDescent="0.25">
      <c r="B12" s="2" t="s">
        <v>1009</v>
      </c>
      <c r="C12" s="3" t="s">
        <v>1490</v>
      </c>
      <c r="D12" s="4"/>
    </row>
    <row r="13" spans="1:18" hidden="1" outlineLevel="1" x14ac:dyDescent="0.25">
      <c r="B13" s="2" t="s">
        <v>1010</v>
      </c>
      <c r="C13" s="5" t="e" cm="1">
        <f t="array" aca="1" ref="C13" ca="1">_xll.VIEW(db_name&amp;":}ElementAttributes_}Clients","!","!")</f>
        <v>#NAME?</v>
      </c>
      <c r="D13" s="4"/>
    </row>
    <row r="14" spans="1:18" hidden="1" outlineLevel="1" x14ac:dyDescent="0.25">
      <c r="B14" s="2" t="s">
        <v>1011</v>
      </c>
      <c r="C14" s="3" t="e" cm="1">
        <f t="array" aca="1" ref="C14" ca="1">_xll.TM1USER(db_name)</f>
        <v>#NAME?</v>
      </c>
      <c r="D14" s="4"/>
    </row>
    <row r="15" spans="1:18" hidden="1" outlineLevel="1" x14ac:dyDescent="0.25">
      <c r="B15" s="2" t="s">
        <v>1012</v>
      </c>
      <c r="C15" s="3" t="e" cm="1">
        <f t="array" aca="1" ref="C15" ca="1">_xll.DBR($C$13,$C$14,$B15)</f>
        <v>#NAME?</v>
      </c>
      <c r="D15" s="4"/>
    </row>
    <row r="16" spans="1:18" hidden="1" outlineLevel="1" x14ac:dyDescent="0.25">
      <c r="B16" s="2" t="s">
        <v>1013</v>
      </c>
      <c r="C16" s="3" t="e" cm="1">
        <f t="array" aca="1" ref="C16" ca="1">_xll.DBR($C$13,$C$14,$B16)</f>
        <v>#NAME?</v>
      </c>
      <c r="D16" s="4"/>
    </row>
    <row r="17" spans="2:8" hidden="1" outlineLevel="1" x14ac:dyDescent="0.25">
      <c r="B17" s="2" t="s">
        <v>1014</v>
      </c>
      <c r="C17" s="3" t="e">
        <f ca="1">IF(LEFT($C$15,6)="CAM_AD",$C$16,$C$15)</f>
        <v>#NAME?</v>
      </c>
      <c r="D17" s="6"/>
    </row>
    <row r="18" spans="2:8" hidden="1" outlineLevel="1" x14ac:dyDescent="0.25"/>
    <row r="19" spans="2:8" hidden="1" outlineLevel="1" x14ac:dyDescent="0.25">
      <c r="B19" s="45" t="s">
        <v>1015</v>
      </c>
      <c r="C19" s="46"/>
      <c r="D19" s="47"/>
    </row>
    <row r="20" spans="2:8" hidden="1" outlineLevel="1" x14ac:dyDescent="0.25">
      <c r="B20" s="2" t="s">
        <v>1016</v>
      </c>
      <c r="C20" s="6" t="e" cm="1">
        <f t="array" aca="1" ref="C20" ca="1">_xll.VIEW(db_name&amp;":}ElementAttributes_variables","!","!")</f>
        <v>#NAME?</v>
      </c>
      <c r="D20" s="6"/>
    </row>
    <row r="21" spans="2:8" hidden="1" outlineLevel="1" x14ac:dyDescent="0.25">
      <c r="B21" s="2" t="s">
        <v>0</v>
      </c>
      <c r="C21" s="6" t="e" cm="1">
        <f t="array" aca="1" ref="C21" ca="1">_xll.DBR($C$20,$B21,"value")</f>
        <v>#NAME?</v>
      </c>
      <c r="D21" s="6"/>
    </row>
    <row r="22" spans="2:8" hidden="1" outlineLevel="1" x14ac:dyDescent="0.25">
      <c r="B22" s="2" t="s">
        <v>1017</v>
      </c>
      <c r="C22" s="6" t="e" cm="1">
        <f t="array" aca="1" ref="C22" ca="1">_xll.DBR($C$20,$B22,"value")</f>
        <v>#NAME?</v>
      </c>
      <c r="D22" s="6"/>
    </row>
    <row r="23" spans="2:8" hidden="1" outlineLevel="1" x14ac:dyDescent="0.25">
      <c r="B23" s="2" t="s">
        <v>1272</v>
      </c>
      <c r="C23" s="6" t="e" cm="1">
        <f t="array" aca="1" ref="C23" ca="1">_xll.DBR($C$20,$B23,"value")</f>
        <v>#NAME?</v>
      </c>
      <c r="D23" s="6"/>
    </row>
    <row r="24" spans="2:8" hidden="1" outlineLevel="1" x14ac:dyDescent="0.25"/>
    <row r="25" spans="2:8" hidden="1" outlineLevel="1" x14ac:dyDescent="0.25">
      <c r="B25" s="45" t="s">
        <v>1040</v>
      </c>
      <c r="C25" s="46"/>
      <c r="D25" s="47"/>
    </row>
    <row r="26" spans="2:8" hidden="1" outlineLevel="1" x14ac:dyDescent="0.25">
      <c r="B26" s="6" t="s">
        <v>1041</v>
      </c>
      <c r="C26" s="6" t="e">
        <f t="array" aca="1" ref="C26" ca="1">_xll.VIEW(db_name&amp;":sys_application","!","!")</f>
        <v>#NAME?</v>
      </c>
    </row>
    <row r="27" spans="2:8" hidden="1" outlineLevel="1" x14ac:dyDescent="0.25">
      <c r="B27" s="6" t="s">
        <v>1069</v>
      </c>
      <c r="C27" s="6" t="s">
        <v>1051</v>
      </c>
    </row>
    <row r="28" spans="2:8" hidden="1" outlineLevel="1" x14ac:dyDescent="0.25">
      <c r="B28" s="8" t="s">
        <v>1044</v>
      </c>
      <c r="C28" s="9" t="s">
        <v>1045</v>
      </c>
      <c r="D28" s="9" t="s">
        <v>1046</v>
      </c>
      <c r="E28" s="9" t="s">
        <v>1047</v>
      </c>
      <c r="F28" s="9" t="s">
        <v>1048</v>
      </c>
      <c r="G28" s="9" t="s">
        <v>1049</v>
      </c>
      <c r="H28" s="9" t="s">
        <v>1050</v>
      </c>
    </row>
    <row r="29" spans="2:8" hidden="1" outlineLevel="1" x14ac:dyDescent="0.25">
      <c r="B29" s="6" t="s">
        <v>1042</v>
      </c>
      <c r="C29" s="6" t="e" cm="1">
        <f t="array" aca="1" ref="C29" ca="1">_xll.DBR($C$26,$B29,C$28)</f>
        <v>#NAME?</v>
      </c>
      <c r="D29" s="6" t="e" cm="1">
        <f t="array" aca="1" ref="D29" ca="1">_xll.DBR($C$26,$B29,D$28)</f>
        <v>#NAME?</v>
      </c>
      <c r="E29" s="6" t="e" cm="1">
        <f t="array" aca="1" ref="E29" ca="1">_xll.DBR($C$26,$B29,E$28)</f>
        <v>#NAME?</v>
      </c>
      <c r="F29" s="6" t="e" cm="1">
        <f t="array" aca="1" ref="F29" ca="1">_xll.DBR($C$26,$B29,F$28)</f>
        <v>#NAME?</v>
      </c>
      <c r="G29" s="6" t="e" cm="1">
        <f t="array" aca="1" ref="G29" ca="1">_xll.DBR($C$26,$B29,G$28)</f>
        <v>#NAME?</v>
      </c>
      <c r="H29" s="6" t="e" cm="1">
        <f t="array" aca="1" ref="H29" ca="1">_xll.DBR($C$26,$B29,H$28)</f>
        <v>#NAME?</v>
      </c>
    </row>
    <row r="30" spans="2:8" hidden="1" outlineLevel="1" x14ac:dyDescent="0.25">
      <c r="B30" s="6" t="s">
        <v>1043</v>
      </c>
      <c r="C30" s="6" t="e" cm="1">
        <f t="array" aca="1" ref="C30" ca="1">_xll.DBR($C$26,$B30,C$28)</f>
        <v>#NAME?</v>
      </c>
      <c r="D30" s="6" t="e" cm="1">
        <f t="array" aca="1" ref="D30" ca="1">_xll.DBR($C$26,$B30,D$28)</f>
        <v>#NAME?</v>
      </c>
      <c r="E30" s="6" t="e" cm="1">
        <f t="array" aca="1" ref="E30" ca="1">_xll.DBR($C$26,$B30,E$28)</f>
        <v>#NAME?</v>
      </c>
      <c r="F30" s="6" t="e" cm="1">
        <f t="array" aca="1" ref="F30" ca="1">_xll.DBR($C$26,$B30,F$28)</f>
        <v>#NAME?</v>
      </c>
      <c r="G30" s="6" t="e" cm="1">
        <f t="array" aca="1" ref="G30" ca="1">_xll.DBR($C$26,$B30,G$28)</f>
        <v>#NAME?</v>
      </c>
      <c r="H30" s="6" t="e" cm="1">
        <f t="array" aca="1" ref="H30" ca="1">_xll.DBR($C$26,$B30,H$28)</f>
        <v>#NAME?</v>
      </c>
    </row>
    <row r="31" spans="2:8" hidden="1" outlineLevel="1" x14ac:dyDescent="0.25">
      <c r="B31" s="6" t="s">
        <v>1068</v>
      </c>
      <c r="C31" s="6" t="e" cm="1">
        <f t="array" aca="1" ref="C31" ca="1">_xll.DBR($C$26,$B31,C$28)</f>
        <v>#NAME?</v>
      </c>
      <c r="D31" s="6" t="e" cm="1">
        <f t="array" aca="1" ref="D31" ca="1">_xll.DBR($C$26,$B31,D$28)</f>
        <v>#NAME?</v>
      </c>
      <c r="E31" s="6" t="e" cm="1">
        <f t="array" aca="1" ref="E31" ca="1">_xll.DBR($C$26,$B31,E$28)</f>
        <v>#NAME?</v>
      </c>
      <c r="F31" s="6" t="e" cm="1">
        <f t="array" aca="1" ref="F31" ca="1">_xll.DBR($C$26,$B31,F$28)</f>
        <v>#NAME?</v>
      </c>
      <c r="G31" s="6" t="e" cm="1">
        <f t="array" aca="1" ref="G31" ca="1">_xll.DBR($C$26,$B31,G$28)</f>
        <v>#NAME?</v>
      </c>
      <c r="H31" s="6" t="e" cm="1">
        <f t="array" aca="1" ref="H31" ca="1">_xll.DBR($C$26,$B31,H$28)</f>
        <v>#NAME?</v>
      </c>
    </row>
    <row r="32" spans="2:8" hidden="1" outlineLevel="1" x14ac:dyDescent="0.25">
      <c r="B32" s="6" t="s">
        <v>1070</v>
      </c>
      <c r="C32" s="6" t="e" cm="1">
        <f t="array" aca="1" ref="C32" ca="1">_xll.DBR($C$26,$B32,C$28)</f>
        <v>#NAME?</v>
      </c>
      <c r="D32" s="6" t="e" cm="1">
        <f t="array" aca="1" ref="D32" ca="1">_xll.DBR($C$26,$B32,D$28)</f>
        <v>#NAME?</v>
      </c>
      <c r="E32" s="6" t="e" cm="1">
        <f t="array" aca="1" ref="E32" ca="1">_xll.DBR($C$26,$B32,E$28)</f>
        <v>#NAME?</v>
      </c>
      <c r="F32" s="6" t="e" cm="1">
        <f t="array" aca="1" ref="F32" ca="1">_xll.DBR($C$26,$B32,F$28)</f>
        <v>#NAME?</v>
      </c>
      <c r="G32" s="6" t="e" cm="1">
        <f t="array" aca="1" ref="G32" ca="1">_xll.DBR($C$26,$B32,G$28)</f>
        <v>#NAME?</v>
      </c>
      <c r="H32" s="6" t="e" cm="1">
        <f t="array" aca="1" ref="H32" ca="1">_xll.DBR($C$26,$B32,H$28)</f>
        <v>#NAME?</v>
      </c>
    </row>
    <row r="33" spans="2:8" hidden="1" outlineLevel="1" x14ac:dyDescent="0.25">
      <c r="B33" s="6" t="s">
        <v>1051</v>
      </c>
      <c r="C33" s="6" t="e" cm="1">
        <f t="array" aca="1" ref="C33" ca="1">_xll.DBR($C$26,$B33,C$28)</f>
        <v>#NAME?</v>
      </c>
      <c r="D33" s="6" t="e" cm="1">
        <f t="array" aca="1" ref="D33" ca="1">_xll.DBR($C$26,$B33,D$28)</f>
        <v>#NAME?</v>
      </c>
      <c r="E33" s="6" t="e" cm="1">
        <f t="array" aca="1" ref="E33" ca="1">_xll.DBR($C$26,$B33,E$28)</f>
        <v>#NAME?</v>
      </c>
      <c r="F33" s="6" t="e" cm="1">
        <f t="array" aca="1" ref="F33" ca="1">_xll.DBR($C$26,$B33,F$28)</f>
        <v>#NAME?</v>
      </c>
      <c r="G33" s="6" t="e" cm="1">
        <f t="array" aca="1" ref="G33" ca="1">_xll.DBR($C$26,$B33,G$28)</f>
        <v>#NAME?</v>
      </c>
      <c r="H33" s="6" t="e" cm="1">
        <f t="array" aca="1" ref="H33" ca="1">_xll.DBR($C$26,$B33,H$28)</f>
        <v>#NAME?</v>
      </c>
    </row>
    <row r="34" spans="2:8" hidden="1" outlineLevel="1" x14ac:dyDescent="0.25">
      <c r="B34" s="6" t="s">
        <v>1052</v>
      </c>
      <c r="C34" s="6" t="e" cm="1">
        <f t="array" aca="1" ref="C34" ca="1">_xll.DBR($C$26,$B34,C$28)</f>
        <v>#NAME?</v>
      </c>
      <c r="D34" s="6" t="e" cm="1">
        <f t="array" aca="1" ref="D34" ca="1">_xll.DBR($C$26,$B34,D$28)</f>
        <v>#NAME?</v>
      </c>
      <c r="E34" s="6" t="e" cm="1">
        <f t="array" aca="1" ref="E34" ca="1">_xll.DBR($C$26,$B34,E$28)</f>
        <v>#NAME?</v>
      </c>
      <c r="F34" s="6" t="e" cm="1">
        <f t="array" aca="1" ref="F34" ca="1">_xll.DBR($C$26,$B34,F$28)</f>
        <v>#NAME?</v>
      </c>
      <c r="G34" s="6" t="e" cm="1">
        <f t="array" aca="1" ref="G34" ca="1">_xll.DBR($C$26,$B34,G$28)</f>
        <v>#NAME?</v>
      </c>
      <c r="H34" s="6" t="e" cm="1">
        <f t="array" aca="1" ref="H34" ca="1">_xll.DBR($C$26,$B34,H$28)</f>
        <v>#NAME?</v>
      </c>
    </row>
    <row r="35" spans="2:8" hidden="1" outlineLevel="1" x14ac:dyDescent="0.25"/>
    <row r="36" spans="2:8" hidden="1" outlineLevel="1" x14ac:dyDescent="0.25">
      <c r="B36" s="45" t="s">
        <v>1018</v>
      </c>
      <c r="C36" s="46"/>
      <c r="D36" s="47"/>
      <c r="F36" s="45" t="s">
        <v>1074</v>
      </c>
      <c r="G36" s="46"/>
      <c r="H36" s="47"/>
    </row>
    <row r="37" spans="2:8" hidden="1" outlineLevel="1" x14ac:dyDescent="0.25">
      <c r="B37" s="2" t="s">
        <v>1016</v>
      </c>
      <c r="C37" s="6" t="e" cm="1">
        <f t="array" aca="1" ref="C37" ca="1">_xll.VIEW(db_name&amp;":sys_client preference","!","!","!")</f>
        <v>#NAME?</v>
      </c>
      <c r="D37" s="6"/>
      <c r="F37" s="6" t="s">
        <v>1033</v>
      </c>
      <c r="G37" s="6" t="e">
        <f ca="1">"sys_ae_"&amp;$N$112</f>
        <v>#NAME?</v>
      </c>
      <c r="H37" s="6"/>
    </row>
    <row r="38" spans="2:8" hidden="1" outlineLevel="1" x14ac:dyDescent="0.25">
      <c r="B38" s="2"/>
      <c r="C38" s="7" t="s">
        <v>1019</v>
      </c>
      <c r="D38" s="7" t="s">
        <v>1020</v>
      </c>
    </row>
    <row r="39" spans="2:8" hidden="1" outlineLevel="1" x14ac:dyDescent="0.25">
      <c r="B39" s="2" t="s">
        <v>1102</v>
      </c>
      <c r="C39" s="6" t="e" cm="1">
        <f t="array" aca="1" ref="C39" ca="1">_xll.SUBNM(db_name&amp;":sys_client preference measure","","value")</f>
        <v>#NAME?</v>
      </c>
      <c r="D39" s="7"/>
    </row>
    <row r="40" spans="2:8" hidden="1" outlineLevel="1" x14ac:dyDescent="0.25">
      <c r="B40" s="2" t="s">
        <v>1102</v>
      </c>
      <c r="C40" s="6" t="e" cm="1">
        <f t="array" aca="1" ref="C40" ca="1">_xll.SUBNM(db_name&amp;":sys_client preference measure","","validate")</f>
        <v>#NAME?</v>
      </c>
      <c r="D40" s="7"/>
    </row>
    <row r="41" spans="2:8" hidden="1" outlineLevel="1" x14ac:dyDescent="0.25">
      <c r="B41" s="2" t="s">
        <v>1021</v>
      </c>
      <c r="C41" s="6" t="e" cm="1">
        <f t="array" aca="1" ref="C41" ca="1">_xll.DBR($C$37,psUser,$B41,"value")</f>
        <v>#NAME?</v>
      </c>
      <c r="D41" s="6" t="e" cm="1">
        <f t="array" aca="1" ref="D41" ca="1">_xll.DBR($C$37,psUser,$B41,"value")</f>
        <v>#NAME?</v>
      </c>
    </row>
    <row r="42" spans="2:8" hidden="1" outlineLevel="1" x14ac:dyDescent="0.25">
      <c r="B42" s="2" t="s">
        <v>1022</v>
      </c>
      <c r="C42" s="6" t="e" cm="1">
        <f t="array" aca="1" ref="C42" ca="1">_xll.DBR($C$37,psUser,$B42,"value")</f>
        <v>#NAME?</v>
      </c>
      <c r="D42" s="6" t="e" cm="1">
        <f t="array" aca="1" ref="D42" ca="1">_xll.DBR($C$37,psUser,$B42,"value")</f>
        <v>#NAME?</v>
      </c>
    </row>
    <row r="43" spans="2:8" hidden="1" outlineLevel="1" x14ac:dyDescent="0.25">
      <c r="B43" s="2" t="s">
        <v>1023</v>
      </c>
      <c r="C43" s="6" t="e" cm="1">
        <f t="array" aca="1" ref="C43" ca="1">_xll.DBR($C$37,psUser,$B43,"value")</f>
        <v>#NAME?</v>
      </c>
      <c r="D43" s="6" t="e" cm="1">
        <f t="array" aca="1" ref="D43" ca="1">_xll.DBR($C$37,psUser,$B43,"value")</f>
        <v>#NAME?</v>
      </c>
    </row>
    <row r="44" spans="2:8" hidden="1" outlineLevel="1" x14ac:dyDescent="0.25">
      <c r="B44" s="2" t="s">
        <v>1024</v>
      </c>
      <c r="C44" s="6" t="e" cm="1">
        <f t="array" aca="1" ref="C44" ca="1">_xll.DBR($C$37,psUser,$B44,"value")</f>
        <v>#NAME?</v>
      </c>
      <c r="D44" s="6" t="e" cm="1">
        <f t="array" aca="1" ref="D44" ca="1">_xll.DBR($C$37,psUser,$B44,"value")</f>
        <v>#NAME?</v>
      </c>
    </row>
    <row r="45" spans="2:8" hidden="1" outlineLevel="1" x14ac:dyDescent="0.25">
      <c r="B45" s="2" t="s">
        <v>1025</v>
      </c>
      <c r="C45" s="6" t="e" cm="1">
        <f t="array" aca="1" ref="C45" ca="1">_xll.DBR($C$37,psUser,$B45,"value")</f>
        <v>#NAME?</v>
      </c>
      <c r="D45" s="6" t="e" cm="1">
        <f t="array" aca="1" ref="D45" ca="1">_xll.DBR($C$37,psUser,$B45,"value")</f>
        <v>#NAME?</v>
      </c>
    </row>
    <row r="46" spans="2:8" hidden="1" outlineLevel="1" x14ac:dyDescent="0.25"/>
    <row r="47" spans="2:8" hidden="1" outlineLevel="1" x14ac:dyDescent="0.25">
      <c r="B47" s="45" t="s">
        <v>1026</v>
      </c>
      <c r="C47" s="46"/>
      <c r="D47" s="47"/>
    </row>
    <row r="48" spans="2:8" hidden="1" outlineLevel="1" x14ac:dyDescent="0.25">
      <c r="B48" s="2" t="s">
        <v>1038</v>
      </c>
      <c r="C48" s="6" t="e">
        <f t="array" aca="1" ref="C48" ca="1">_xll.TM1RPTVIEW(db_name&amp;":AE id details:1", 1, _xll.TM1RPTTITLE(db_name&amp;":headline year",$C$53), _xll.TM1RPTTITLE(db_name&amp;":scenario",$C$54),TM1RPTFMTRNG,TM1RPTFMTIDCOL)</f>
        <v>#NAME?</v>
      </c>
      <c r="D48" s="6"/>
    </row>
    <row r="49" spans="2:6" hidden="1" outlineLevel="1" x14ac:dyDescent="0.25">
      <c r="B49" s="2" t="s">
        <v>1037</v>
      </c>
      <c r="C49" s="6" t="e" cm="1">
        <f t="array" aca="1" ref="C49" ca="1">_xll.VIEW(db_name&amp;":AE id details",$C$53,$C$54,"!","!")</f>
        <v>#NAME?</v>
      </c>
      <c r="D49" s="6"/>
    </row>
    <row r="50" spans="2:6" hidden="1" outlineLevel="1" x14ac:dyDescent="0.25">
      <c r="B50" s="2" t="s">
        <v>1034</v>
      </c>
      <c r="C50" s="6">
        <v>1</v>
      </c>
      <c r="D50" s="6"/>
    </row>
    <row r="51" spans="2:6" hidden="1" outlineLevel="1" x14ac:dyDescent="0.25">
      <c r="B51" s="2" t="s">
        <v>1035</v>
      </c>
      <c r="C51" s="6" t="e" cm="1">
        <f t="array" aca="1" ref="C51" ca="1">_xll.TM1RPTFILTER($C$48,"[id measure].[programme code]","TOPCOUNT",$C$52)</f>
        <v>#NAME?</v>
      </c>
      <c r="D51" s="6"/>
    </row>
    <row r="52" spans="2:6" hidden="1" outlineLevel="1" x14ac:dyDescent="0.25">
      <c r="B52" s="2" t="s">
        <v>1036</v>
      </c>
      <c r="C52" s="6">
        <v>10</v>
      </c>
      <c r="D52" s="6"/>
    </row>
    <row r="53" spans="2:6" hidden="1" outlineLevel="1" x14ac:dyDescent="0.25">
      <c r="B53" s="2" t="s">
        <v>1027</v>
      </c>
      <c r="C53" s="6" t="e">
        <f t="array" aca="1" ref="C53" ca="1">_xll.SUBNM(db_name&amp;":headline year","Default",$C$21)</f>
        <v>#NAME?</v>
      </c>
      <c r="D53" s="6"/>
    </row>
    <row r="54" spans="2:6" hidden="1" outlineLevel="1" x14ac:dyDescent="0.25">
      <c r="B54" s="2" t="s">
        <v>1028</v>
      </c>
      <c r="C54" s="6" t="e">
        <f t="array" aca="1" ref="C54" ca="1">_xll.SUBNM(db_name&amp;":scenario","Default",$C$22)</f>
        <v>#NAME?</v>
      </c>
      <c r="D54" s="6"/>
    </row>
    <row r="55" spans="2:6" hidden="1" outlineLevel="1" x14ac:dyDescent="0.25">
      <c r="B55" s="2" t="s">
        <v>1032</v>
      </c>
      <c r="C55" s="6" t="s">
        <v>1</v>
      </c>
      <c r="D55" s="6"/>
    </row>
    <row r="56" spans="2:6" hidden="1" outlineLevel="1" x14ac:dyDescent="0.25">
      <c r="B56" s="2" t="s">
        <v>1030</v>
      </c>
      <c r="C56" s="6" t="s">
        <v>1031</v>
      </c>
      <c r="D56" s="6"/>
    </row>
    <row r="57" spans="2:6" hidden="1" outlineLevel="1" x14ac:dyDescent="0.25">
      <c r="B57" s="2" t="s">
        <v>1029</v>
      </c>
      <c r="C57" s="6" t="e">
        <f ca="1">"{TM1SORT({{FILTER( {[id].[Total IDs].Children}, INSTR( [AE id details].([Headline Year].[" &amp; $C$53 &amp;"],[scenario].[" &amp; $C$54 &amp;"],[id measure].[" &amp;$C$55&amp;"]), "  &amp; $C$56 &amp;  $C$58 &amp; $C$56 &amp;  " ) &gt;=1) }}, DESC)}"</f>
        <v>#NAME?</v>
      </c>
      <c r="D57" s="6"/>
    </row>
    <row r="58" spans="2:6" hidden="1" outlineLevel="1" x14ac:dyDescent="0.25">
      <c r="B58" s="2" t="s">
        <v>1033</v>
      </c>
      <c r="C58" s="6" t="e" cm="1">
        <f t="array" aca="1" ref="C58" ca="1">_xll.DIMNM(db_name&amp;":programme",_xll.DIMIX(db_name&amp;":programme",$C$64))</f>
        <v>#NAME?</v>
      </c>
      <c r="D58" s="6"/>
    </row>
    <row r="59" spans="2:6" hidden="1" outlineLevel="1" x14ac:dyDescent="0.25">
      <c r="B59" s="2" t="s">
        <v>2</v>
      </c>
      <c r="C59" s="6" t="e" cm="1">
        <f t="array" aca="1" ref="C59" ca="1">_xll.DBR($C$49,$C$53,$C$54,$B59,"used")+1</f>
        <v>#NAME?</v>
      </c>
      <c r="D59" s="6"/>
    </row>
    <row r="60" spans="2:6" hidden="1" outlineLevel="1" x14ac:dyDescent="0.25">
      <c r="B60" s="2" t="s">
        <v>1067</v>
      </c>
      <c r="C60" s="6" t="e">
        <f ca="1">IF(LEN($C$59)=1,"0000"&amp;$C$59,IF(LEN($C$59)=2,"000"&amp;$C$59,IF(LEN($C$59=3),"00"&amp;$C$59,IF(LEN($C$59)=4,"0"&amp;$C$59,$C$59))))</f>
        <v>#NAME?</v>
      </c>
      <c r="D60" s="6"/>
    </row>
    <row r="61" spans="2:6" hidden="1" outlineLevel="1" x14ac:dyDescent="0.25"/>
    <row r="62" spans="2:6" hidden="1" outlineLevel="1" x14ac:dyDescent="0.25">
      <c r="B62" s="45" t="s">
        <v>1108</v>
      </c>
      <c r="C62" s="46"/>
      <c r="D62" s="47"/>
      <c r="E62" s="22" t="s">
        <v>1130</v>
      </c>
      <c r="F62" s="22" t="s">
        <v>1129</v>
      </c>
    </row>
    <row r="63" spans="2:6" hidden="1" outlineLevel="1" x14ac:dyDescent="0.25">
      <c r="B63" s="2" t="s">
        <v>1037</v>
      </c>
      <c r="C63" s="6" t="e" cm="1">
        <f t="array" aca="1" ref="C63" ca="1">_xll.VIEW(db_name&amp;":programme details",$C$21,$C$22,"!","!")</f>
        <v>#NAME?</v>
      </c>
      <c r="D63" s="6" t="e" cm="1">
        <f t="array" aca="1" ref="D63" ca="1">_xll.VIEW(db_name&amp;":}ElementAttributes_control type",$N$112,"!")</f>
        <v>#NAME?</v>
      </c>
    </row>
    <row r="64" spans="2:6" hidden="1" outlineLevel="1" x14ac:dyDescent="0.25">
      <c r="B64" s="6" t="s">
        <v>1457</v>
      </c>
      <c r="C64" s="6" t="e" cm="1">
        <f t="array" aca="1" ref="C64" ca="1">_xll.DIMNM(db_name&amp;":"&amp;psProgDimName,_xll.DIMIX(db_name&amp;":"&amp;psProgDimName,$N$114))</f>
        <v>#NAME?</v>
      </c>
      <c r="D64" s="6"/>
    </row>
    <row r="65" spans="2:6" hidden="1" outlineLevel="1" x14ac:dyDescent="0.25">
      <c r="B65" s="6" t="s">
        <v>1458</v>
      </c>
      <c r="C65" s="6" t="e" cm="1">
        <f t="array" aca="1" ref="C65" ca="1">_xll.DBR($C$63,$C$21,$C$22,$N$114,$B65)</f>
        <v>#NAME?</v>
      </c>
      <c r="D65" s="6" t="e" cm="1">
        <f t="array" aca="1" ref="D65" ca="1">_xll.DBR($D$63,$N$112,"control type")</f>
        <v>#NAME?</v>
      </c>
      <c r="E65" t="e">
        <f ca="1">IF($D65="",$N$112,$D65)</f>
        <v>#NAME?</v>
      </c>
    </row>
    <row r="66" spans="2:6" hidden="1" outlineLevel="1" x14ac:dyDescent="0.25">
      <c r="B66" s="6" t="s">
        <v>1109</v>
      </c>
      <c r="C66" s="6" t="e" cm="1">
        <f t="array" aca="1" ref="C66" ca="1">_xll.DBR($C$63,$C$21,$C$22,$N$114,$B66)</f>
        <v>#NAME?</v>
      </c>
      <c r="D66" s="6" t="e" cm="1">
        <f t="array" aca="1" ref="D66" ca="1">_xll.DBR($F66,$C66,"code and description")</f>
        <v>#NAME?</v>
      </c>
      <c r="F66" t="e" cm="1">
        <f t="array" aca="1" ref="F66" ca="1">_xll.VIEW(db_name&amp;":}ElementAttributes_"&amp;$B66,"!","!")</f>
        <v>#NAME?</v>
      </c>
    </row>
    <row r="67" spans="2:6" hidden="1" outlineLevel="1" x14ac:dyDescent="0.25">
      <c r="B67" s="6" t="s">
        <v>1110</v>
      </c>
      <c r="C67" s="6" t="e" cm="1">
        <f t="array" aca="1" ref="C67" ca="1">_xll.DBR($C$63,$C$21,$C$22,$N$114,$B67)</f>
        <v>#NAME?</v>
      </c>
      <c r="D67" s="6" t="e" cm="1">
        <f t="array" aca="1" ref="D67" ca="1">_xll.DBR($F67,$C67,"code and description")</f>
        <v>#NAME?</v>
      </c>
      <c r="F67" t="e" cm="1">
        <f t="array" aca="1" ref="F67" ca="1">_xll.VIEW(db_name&amp;":}ElementAttributes_"&amp;$B67,"!","!")</f>
        <v>#NAME?</v>
      </c>
    </row>
    <row r="68" spans="2:6" hidden="1" outlineLevel="1" x14ac:dyDescent="0.25">
      <c r="B68" s="6" t="s">
        <v>1111</v>
      </c>
      <c r="C68" s="6" t="e" cm="1">
        <f t="array" aca="1" ref="C68" ca="1">_xll.DBR($C$63,$C$21,$C$22,$N$114,$B68)</f>
        <v>#NAME?</v>
      </c>
      <c r="D68" s="6" t="e" cm="1">
        <f t="array" aca="1" ref="D68" ca="1">_xll.DBR($F68,$C68,"code and description")</f>
        <v>#NAME?</v>
      </c>
      <c r="F68" t="e" cm="1">
        <f t="array" aca="1" ref="F68" ca="1">_xll.VIEW(db_name&amp;":}ElementAttributes_"&amp;$B68,"!","!")</f>
        <v>#NAME?</v>
      </c>
    </row>
    <row r="69" spans="2:6" hidden="1" outlineLevel="1" x14ac:dyDescent="0.25">
      <c r="B69" s="6" t="s">
        <v>1112</v>
      </c>
      <c r="C69" s="6" t="e" cm="1">
        <f t="array" aca="1" ref="C69" ca="1">_xll.DBR($C$63,$C$21,$C$22,$N$114,$B69)</f>
        <v>#NAME?</v>
      </c>
      <c r="D69" s="6" t="e" cm="1">
        <f t="array" aca="1" ref="D69" ca="1">_xll.DBR($F69,$C69,"code and description")</f>
        <v>#NAME?</v>
      </c>
      <c r="F69" t="e" cm="1">
        <f t="array" aca="1" ref="F69" ca="1">_xll.VIEW(db_name&amp;":}ElementAttributes_"&amp;$B69,"!","!")</f>
        <v>#NAME?</v>
      </c>
    </row>
    <row r="70" spans="2:6" hidden="1" outlineLevel="1" x14ac:dyDescent="0.25">
      <c r="B70" s="6" t="s">
        <v>1113</v>
      </c>
      <c r="C70" s="6" t="e" cm="1">
        <f t="array" aca="1" ref="C70" ca="1">_xll.DBR($C$63,$C$21,$C$22,$N$114,$B70)</f>
        <v>#NAME?</v>
      </c>
      <c r="D70" s="6" t="e" cm="1">
        <f t="array" aca="1" ref="D70" ca="1">_xll.DBR($F70,$C70,"code and description")</f>
        <v>#NAME?</v>
      </c>
      <c r="F70" t="e" cm="1">
        <f t="array" aca="1" ref="F70" ca="1">_xll.VIEW(db_name&amp;":}ElementAttributes_"&amp;$B70,"!","!")</f>
        <v>#NAME?</v>
      </c>
    </row>
    <row r="71" spans="2:6" hidden="1" outlineLevel="1" x14ac:dyDescent="0.25">
      <c r="B71" s="6" t="s">
        <v>1114</v>
      </c>
      <c r="C71" s="6" t="e" cm="1">
        <f t="array" aca="1" ref="C71" ca="1">_xll.DBR($C$63,$C$21,$C$22,$N$114,$B71)</f>
        <v>#NAME?</v>
      </c>
      <c r="D71" s="6" t="e" cm="1">
        <f t="array" aca="1" ref="D71" ca="1">_xll.DBRA(db_name&amp;":"&amp;$B71,$C71,"code and description")</f>
        <v>#NAME?</v>
      </c>
      <c r="F71" t="e" cm="1">
        <f t="array" aca="1" ref="F71" ca="1">_xll.VIEW(db_name&amp;":}ElementAttributes_"&amp;$B71,"!","!")</f>
        <v>#NAME?</v>
      </c>
    </row>
    <row r="72" spans="2:6" hidden="1" outlineLevel="1" x14ac:dyDescent="0.25">
      <c r="B72" s="6" t="s">
        <v>1115</v>
      </c>
      <c r="C72" s="6" t="e" cm="1">
        <f t="array" aca="1" ref="C72" ca="1">_xll.DBR($C$63,$C$21,$C$22,$N$114,$B72)</f>
        <v>#NAME?</v>
      </c>
      <c r="D72" s="6" t="e">
        <f ca="1">TRIM(C72)</f>
        <v>#NAME?</v>
      </c>
    </row>
    <row r="73" spans="2:6" hidden="1" outlineLevel="1" x14ac:dyDescent="0.25"/>
    <row r="74" spans="2:6" hidden="1" outlineLevel="1" x14ac:dyDescent="0.25">
      <c r="B74" s="49" t="s">
        <v>1131</v>
      </c>
      <c r="C74" s="50"/>
    </row>
    <row r="75" spans="2:6" hidden="1" outlineLevel="1" x14ac:dyDescent="0.25">
      <c r="B75" s="6" t="s">
        <v>1132</v>
      </c>
      <c r="C75" s="6" t="e" cm="1">
        <f t="array" aca="1" ref="C75" ca="1">_xll.VIEW(db_name&amp;":}ElementAttributes_"&amp; B75,"!","!")</f>
        <v>#NAME?</v>
      </c>
    </row>
    <row r="76" spans="2:6" hidden="1" outlineLevel="1" x14ac:dyDescent="0.25">
      <c r="B76" s="6" t="s">
        <v>1133</v>
      </c>
      <c r="C76" s="6" t="e" cm="1">
        <f t="array" aca="1" ref="C76" ca="1">_xll.DBR($C$75,$N$116,$B76)</f>
        <v>#NAME?</v>
      </c>
    </row>
    <row r="77" spans="2:6" hidden="1" outlineLevel="1" x14ac:dyDescent="0.25">
      <c r="B77" s="6" t="s">
        <v>1142</v>
      </c>
      <c r="C77" s="6" t="e" cm="1">
        <f t="array" aca="1" ref="C77" ca="1">_xll.DBR($C$75,$N$116,$B77)</f>
        <v>#NAME?</v>
      </c>
    </row>
    <row r="78" spans="2:6" hidden="1" outlineLevel="1" x14ac:dyDescent="0.25"/>
    <row r="79" spans="2:6" hidden="1" outlineLevel="1" x14ac:dyDescent="0.25">
      <c r="B79" s="45" t="s">
        <v>1103</v>
      </c>
      <c r="C79" s="46"/>
      <c r="D79" s="47"/>
    </row>
    <row r="80" spans="2:6" hidden="1" outlineLevel="1" x14ac:dyDescent="0.25">
      <c r="B80" s="2" t="s">
        <v>1104</v>
      </c>
      <c r="C80" s="6" t="e">
        <f ca="1">IF($N$116="","",IF(AND($C$76="Y",$N$118&lt;&gt;""),$N$118,"No Measure"))</f>
        <v>#NAME?</v>
      </c>
    </row>
    <row r="81" spans="2:5" hidden="1" outlineLevel="1" x14ac:dyDescent="0.25">
      <c r="B81" s="2" t="s">
        <v>1105</v>
      </c>
      <c r="C81" s="6"/>
      <c r="E81" t="s">
        <v>1134</v>
      </c>
    </row>
    <row r="82" spans="2:5" hidden="1" outlineLevel="1" x14ac:dyDescent="0.25">
      <c r="B82" s="2" t="s">
        <v>1106</v>
      </c>
      <c r="C82" s="6" t="e">
        <f ca="1">IF(AND($C$76="Y",$C$77="Y"),"sys_adj all measure code",IF(AND($C$76="Y",$C$77&lt;&gt;"Y"),"sys_adj measure code only",IF(AND($C$76&lt;&gt;"Y",$C$77="Y"),"sys_adj all measure code","sys_adj no measure code")))</f>
        <v>#NAME?</v>
      </c>
    </row>
    <row r="83" spans="2:5" hidden="1" outlineLevel="1" x14ac:dyDescent="0.25">
      <c r="B83" s="2" t="s">
        <v>1107</v>
      </c>
      <c r="C83" s="6" t="e" cm="1">
        <f t="array" aca="1" ref="C83" ca="1">_xll.SUBNM(db_name&amp;":measure code",$C$82,1)</f>
        <v>#NAME?</v>
      </c>
    </row>
    <row r="84" spans="2:5" hidden="1" outlineLevel="1" x14ac:dyDescent="0.25"/>
    <row r="85" spans="2:5" hidden="1" outlineLevel="1" x14ac:dyDescent="0.25">
      <c r="B85" s="45" t="s">
        <v>1116</v>
      </c>
      <c r="C85" s="46"/>
      <c r="D85" s="47"/>
    </row>
    <row r="86" spans="2:5" hidden="1" outlineLevel="1" x14ac:dyDescent="0.25">
      <c r="B86" s="6" t="s">
        <v>1117</v>
      </c>
      <c r="C86" s="6" t="e">
        <f ca="1">$N$112</f>
        <v>#NAME?</v>
      </c>
    </row>
    <row r="87" spans="2:5" hidden="1" outlineLevel="1" x14ac:dyDescent="0.25">
      <c r="B87" s="6" t="s">
        <v>1118</v>
      </c>
      <c r="C87" s="6" t="e">
        <f ca="1">$N$114</f>
        <v>#NAME?</v>
      </c>
      <c r="D87" t="e" cm="1">
        <f t="array" aca="1" ref="D87" ca="1">_xll.DIMNM(db_name&amp;":"&amp;psProgDimName,_xll.DIMIX(db_name&amp;":"&amp;psProgDimName,psProg))</f>
        <v>#NAME?</v>
      </c>
    </row>
    <row r="88" spans="2:5" hidden="1" outlineLevel="1" x14ac:dyDescent="0.25">
      <c r="B88" s="6" t="s">
        <v>1119</v>
      </c>
      <c r="C88" s="6" t="e">
        <f ca="1">$N$116</f>
        <v>#NAME?</v>
      </c>
    </row>
    <row r="89" spans="2:5" hidden="1" outlineLevel="1" x14ac:dyDescent="0.25">
      <c r="B89" s="6" t="s">
        <v>1120</v>
      </c>
      <c r="C89" s="6" t="e">
        <f ca="1">$N$118</f>
        <v>#NAME?</v>
      </c>
    </row>
    <row r="90" spans="2:5" hidden="1" outlineLevel="1" x14ac:dyDescent="0.25">
      <c r="B90" s="6" t="s">
        <v>1121</v>
      </c>
      <c r="C90" s="6" t="e">
        <f ca="1">$N$120</f>
        <v>#NAME?</v>
      </c>
    </row>
    <row r="91" spans="2:5" hidden="1" outlineLevel="1" x14ac:dyDescent="0.25">
      <c r="B91" s="6" t="s">
        <v>1122</v>
      </c>
      <c r="C91" s="6" t="e">
        <f ca="1">$N$122</f>
        <v>#NAME?</v>
      </c>
    </row>
    <row r="92" spans="2:5" hidden="1" outlineLevel="1" x14ac:dyDescent="0.25">
      <c r="B92" s="6" t="s">
        <v>1123</v>
      </c>
      <c r="C92" s="6" t="e">
        <f ca="1">$N$127</f>
        <v>#NAME?</v>
      </c>
    </row>
    <row r="93" spans="2:5" hidden="1" outlineLevel="1" x14ac:dyDescent="0.25">
      <c r="B93" s="6" t="s">
        <v>1124</v>
      </c>
      <c r="C93" s="6" t="e">
        <f ca="1">$N$131</f>
        <v>#NAME?</v>
      </c>
    </row>
    <row r="94" spans="2:5" hidden="1" outlineLevel="1" x14ac:dyDescent="0.25">
      <c r="B94" s="6" t="s">
        <v>1125</v>
      </c>
      <c r="C94" s="6" t="e">
        <f ca="1">$N$133</f>
        <v>#NAME?</v>
      </c>
    </row>
    <row r="95" spans="2:5" hidden="1" outlineLevel="1" x14ac:dyDescent="0.25">
      <c r="B95" s="6" t="s">
        <v>1126</v>
      </c>
      <c r="C95" s="6" t="e">
        <f ca="1">$N$135</f>
        <v>#NAME?</v>
      </c>
    </row>
    <row r="96" spans="2:5" hidden="1" outlineLevel="1" x14ac:dyDescent="0.25">
      <c r="B96" s="6" t="s">
        <v>1127</v>
      </c>
      <c r="C96" s="6" t="e">
        <f ca="1">$N$137</f>
        <v>#NAME?</v>
      </c>
    </row>
    <row r="97" spans="2:19" hidden="1" outlineLevel="1" x14ac:dyDescent="0.25">
      <c r="B97" s="6" t="s">
        <v>1128</v>
      </c>
      <c r="C97" s="6" t="e">
        <f ca="1">$N$139</f>
        <v>#NAME?</v>
      </c>
    </row>
    <row r="98" spans="2:19" hidden="1" outlineLevel="1" x14ac:dyDescent="0.25">
      <c r="B98" s="6" t="s">
        <v>1140</v>
      </c>
      <c r="C98" s="6" t="e">
        <f ca="1">$P$110</f>
        <v>#NAME?</v>
      </c>
    </row>
    <row r="99" spans="2:19" hidden="1" outlineLevel="1" x14ac:dyDescent="0.25"/>
    <row r="100" spans="2:19" hidden="1" outlineLevel="1" x14ac:dyDescent="0.25"/>
    <row r="101" spans="2:19" hidden="1" outlineLevel="1" x14ac:dyDescent="0.25">
      <c r="I101" s="14" t="s">
        <v>1053</v>
      </c>
      <c r="K101" s="13" t="s">
        <v>1054</v>
      </c>
      <c r="L101" s="13" t="s">
        <v>1055</v>
      </c>
      <c r="M101" s="13"/>
      <c r="N101" s="13" t="s">
        <v>1056</v>
      </c>
      <c r="O101" s="13" t="s">
        <v>1059</v>
      </c>
      <c r="P101" s="13" t="s">
        <v>1062</v>
      </c>
      <c r="Q101" s="13" t="s">
        <v>1064</v>
      </c>
      <c r="R101" s="13" t="s">
        <v>1060</v>
      </c>
    </row>
    <row r="102" spans="2:19" hidden="1" outlineLevel="1" x14ac:dyDescent="0.25"/>
    <row r="103" spans="2:19" ht="39.75" customHeight="1" collapsed="1" x14ac:dyDescent="0.25">
      <c r="J103" s="15"/>
      <c r="K103" s="15"/>
      <c r="L103" s="15"/>
      <c r="M103" s="15"/>
      <c r="N103" s="15"/>
      <c r="O103" s="15"/>
      <c r="P103" s="15"/>
      <c r="Q103" s="15"/>
      <c r="R103" s="21" t="s">
        <v>1456</v>
      </c>
    </row>
    <row r="104" spans="2:19" ht="4.5" customHeight="1" x14ac:dyDescent="0.25"/>
    <row r="105" spans="2:19" ht="24" customHeight="1" x14ac:dyDescent="0.25">
      <c r="B105" s="1" t="s">
        <v>1088</v>
      </c>
    </row>
    <row r="106" spans="2:19" ht="2.1" customHeight="1" x14ac:dyDescent="0.25">
      <c r="J106" s="15"/>
      <c r="K106" s="15"/>
      <c r="L106" s="15"/>
      <c r="M106" s="15"/>
      <c r="N106" s="15"/>
      <c r="O106" s="15"/>
      <c r="P106" s="15"/>
      <c r="Q106" s="15"/>
      <c r="R106" s="15"/>
    </row>
    <row r="107" spans="2:19" ht="5.0999999999999996" customHeight="1" x14ac:dyDescent="0.25"/>
    <row r="108" spans="2:19" x14ac:dyDescent="0.25">
      <c r="K108" s="48" t="s">
        <v>1455</v>
      </c>
      <c r="L108" s="48"/>
      <c r="M108" s="48"/>
      <c r="N108" s="48"/>
      <c r="O108" s="48"/>
      <c r="P108" s="48"/>
      <c r="Q108" s="32" t="s">
        <v>1459</v>
      </c>
      <c r="R108" s="32" t="s">
        <v>1085</v>
      </c>
    </row>
    <row r="109" spans="2:19" ht="4.3499999999999996" customHeight="1" x14ac:dyDescent="0.25"/>
    <row r="110" spans="2:19" x14ac:dyDescent="0.25">
      <c r="B110" t="s">
        <v>1143</v>
      </c>
      <c r="C110" s="1" t="s">
        <v>1101</v>
      </c>
      <c r="O110" s="16" t="s">
        <v>1139</v>
      </c>
      <c r="P110" s="24" t="e" cm="1">
        <f t="array" aca="1" ref="P110" ca="1">_xll.DBR($C$37,$C$14,$B110,$C$39)</f>
        <v>#NAME?</v>
      </c>
      <c r="Q110" s="31" t="e">
        <f ca="1">IF(AND(Q112="Please Select a Control type",N114="",N116="",N118="No Measure",N120="",N122="",N127="",N131="",N133="",N135="",N137="",N139=""),"Please enter data",IF(AND(N112="",Q112&lt;&gt;"",Q114&lt;&gt;"",Q116&lt;&gt;"",Q118&lt;&gt;"",Q120&lt;&gt;"",Q122&lt;&gt;"",Q127&lt;&gt;"",Q131&lt;&gt;"",Q133&lt;&gt;"",Q135&lt;&gt;"",Q137&lt;&gt;"",Q139&lt;&gt;""),"Please enter data",IF(AND(Q112="",Q114="",Q116="",Q118="",Q120="",Q122="",Q127="",Q131="",Q133="",Q135="",Q137="",Q139=""),"PASS","FAILED. Check messages below")))</f>
        <v>#NAME?</v>
      </c>
      <c r="R110" s="20" t="e">
        <f ca="1">$C$60</f>
        <v>#NAME?</v>
      </c>
    </row>
    <row r="111" spans="2:19" ht="2.4500000000000002" customHeight="1" x14ac:dyDescent="0.25">
      <c r="Q111" s="16"/>
      <c r="R111" s="16"/>
      <c r="S111" s="16"/>
    </row>
    <row r="112" spans="2:19" x14ac:dyDescent="0.25">
      <c r="B112" s="6" t="s">
        <v>1089</v>
      </c>
      <c r="C112" s="6"/>
      <c r="L112" s="30" t="s">
        <v>1073</v>
      </c>
      <c r="N112" s="33" t="e" cm="1">
        <f t="array" aca="1" ref="N112" ca="1">_xll.DBR($C$37,$C$14,$B112,$C$39)</f>
        <v>#NAME?</v>
      </c>
      <c r="O112" s="34"/>
      <c r="P112" s="35"/>
      <c r="Q112" s="41" t="e">
        <f ca="1">IF(N112="","Please select a Control Type","")</f>
        <v>#NAME?</v>
      </c>
      <c r="R112" s="42"/>
    </row>
    <row r="113" spans="2:19" ht="2.4500000000000002" customHeight="1" x14ac:dyDescent="0.25"/>
    <row r="114" spans="2:19" x14ac:dyDescent="0.25">
      <c r="B114" s="6" t="s">
        <v>1090</v>
      </c>
      <c r="C114" s="6" t="e" cm="1">
        <f t="array" aca="1" ref="C114" ca="1">IF(AND($C$65=$N$112,$N$114=""),_xll.DBSS($C$87,$C$37,$C$14,$B114,$C$39),"")</f>
        <v>#NAME?</v>
      </c>
      <c r="D114" s="6" t="e" cm="1">
        <f t="array" aca="1" ref="D114" ca="1">_xll.DBR($C$37,$C$14,$B114,$C$39)</f>
        <v>#NAME?</v>
      </c>
      <c r="L114" s="30" t="s">
        <v>1071</v>
      </c>
      <c r="N114" s="33" t="e" cm="1">
        <f t="array" aca="1" ref="N114" ca="1">_xll.SUBNM(db_name&amp;":programme",$G$37,"","code and description")</f>
        <v>#NAME?</v>
      </c>
      <c r="O114" s="34"/>
      <c r="P114" s="35"/>
      <c r="Q114" s="41" t="e" cm="1">
        <f t="array" aca="1" ref="Q114" ca="1">_xll.DBR($C$37,$C$14,$B114,$C$40)</f>
        <v>#NAME?</v>
      </c>
      <c r="R114" s="42"/>
      <c r="S114" s="42"/>
    </row>
    <row r="115" spans="2:19" ht="2.4500000000000002" customHeight="1" x14ac:dyDescent="0.25"/>
    <row r="116" spans="2:19" x14ac:dyDescent="0.25">
      <c r="B116" s="6" t="s">
        <v>1091</v>
      </c>
      <c r="L116" s="30" t="s">
        <v>1072</v>
      </c>
      <c r="N116" s="33" t="e" cm="1">
        <f t="array" aca="1" ref="N116" ca="1">_xll.DBR($C$37,$C$14,$B116,$C$39)</f>
        <v>#NAME?</v>
      </c>
      <c r="O116" s="34"/>
      <c r="P116" s="35"/>
      <c r="Q116" s="41" t="e" cm="1">
        <f t="array" aca="1" ref="Q116" ca="1">_xll.DBR($C$37,$C$14,$B116,$C$40)</f>
        <v>#NAME?</v>
      </c>
      <c r="R116" s="42"/>
      <c r="S116" s="42"/>
    </row>
    <row r="117" spans="2:19" ht="2.4500000000000002" customHeight="1" x14ac:dyDescent="0.25"/>
    <row r="118" spans="2:19" x14ac:dyDescent="0.25">
      <c r="B118" s="6" t="s">
        <v>1092</v>
      </c>
      <c r="C118" s="6" t="e" cm="1">
        <f t="array" aca="1" ref="C118" ca="1">IF(AND($C$65=$N$112,$N$118=""),_xll.DBSS($C$80,$C$37,$C$14,$B118,$C$39),"")</f>
        <v>#NAME?</v>
      </c>
      <c r="L118" s="30" t="s">
        <v>1077</v>
      </c>
      <c r="N118" s="33" t="e" cm="1">
        <f t="array" aca="1" ref="N118" ca="1">_xll.SUBNM(db_name&amp;":measure code",$C$82,$C$83,"CBMS code and description")</f>
        <v>#NAME?</v>
      </c>
      <c r="O118" s="34"/>
      <c r="P118" s="35"/>
      <c r="Q118" s="41" t="e" cm="1">
        <f t="array" aca="1" ref="Q118" ca="1">_xll.DBR($C$37,$C$14,$B118,$C$40)</f>
        <v>#NAME?</v>
      </c>
      <c r="R118" s="42"/>
      <c r="S118" s="42"/>
    </row>
    <row r="119" spans="2:19" ht="2.4500000000000002" customHeight="1" x14ac:dyDescent="0.25"/>
    <row r="120" spans="2:19" x14ac:dyDescent="0.25">
      <c r="B120" s="6" t="s">
        <v>1093</v>
      </c>
      <c r="L120" s="30" t="s">
        <v>1075</v>
      </c>
      <c r="N120" s="33" t="e" cm="1">
        <f t="array" aca="1" ref="N120" ca="1">_xll.DBR($C$37,$C$14,$B120,$C$39)</f>
        <v>#NAME?</v>
      </c>
      <c r="O120" s="34"/>
      <c r="P120" s="35"/>
      <c r="Q120" s="41" t="e" cm="1">
        <f t="array" aca="1" ref="Q120" ca="1">_xll.DBR($C$37,$C$14,$B120,$C$40)</f>
        <v>#NAME?</v>
      </c>
      <c r="R120" s="42"/>
      <c r="S120" s="42"/>
    </row>
    <row r="121" spans="2:19" ht="2.4500000000000002" customHeight="1" x14ac:dyDescent="0.25"/>
    <row r="122" spans="2:19" x14ac:dyDescent="0.25">
      <c r="B122" s="6" t="s">
        <v>1094</v>
      </c>
      <c r="L122" s="16" t="s">
        <v>1076</v>
      </c>
      <c r="N122" s="40" t="e" cm="1">
        <f t="array" aca="1" ref="N122" ca="1">_xll.DBR($C$37,$C$14,$B122,$C$39)</f>
        <v>#NAME?</v>
      </c>
      <c r="O122" s="40"/>
      <c r="P122" s="40"/>
      <c r="Q122" s="43" t="e" cm="1">
        <f t="array" aca="1" ref="Q122" ca="1">_xll.DBR($C$37,$C$14,$B122,$C$40)</f>
        <v>#NAME?</v>
      </c>
      <c r="R122" s="44"/>
      <c r="S122" s="44"/>
    </row>
    <row r="123" spans="2:19" x14ac:dyDescent="0.25">
      <c r="N123" s="40" t="e">
        <f ca="1">_xll.DBR($C$37,$C$14,$B123,$C$39)</f>
        <v>#NAME?</v>
      </c>
      <c r="O123" s="40"/>
      <c r="P123" s="40"/>
      <c r="Q123" s="43"/>
      <c r="R123" s="44"/>
      <c r="S123" s="44"/>
    </row>
    <row r="124" spans="2:19" x14ac:dyDescent="0.25">
      <c r="L124" s="1"/>
      <c r="M124" s="1"/>
      <c r="N124" s="40" t="e">
        <f ca="1">_xll.DBR($C$37,$C$14,$B124,$C$39)</f>
        <v>#NAME?</v>
      </c>
      <c r="O124" s="40"/>
      <c r="P124" s="40"/>
      <c r="Q124" s="43"/>
      <c r="R124" s="44"/>
      <c r="S124" s="44"/>
    </row>
    <row r="125" spans="2:19" ht="1.5" customHeight="1" x14ac:dyDescent="0.25">
      <c r="L125" s="1"/>
      <c r="M125" s="1"/>
    </row>
    <row r="126" spans="2:19" x14ac:dyDescent="0.25">
      <c r="L126" s="1"/>
      <c r="M126" s="1"/>
      <c r="N126" s="36" t="s">
        <v>1087</v>
      </c>
      <c r="O126" s="36"/>
      <c r="P126" s="36"/>
    </row>
    <row r="127" spans="2:19" x14ac:dyDescent="0.25">
      <c r="B127" s="6" t="s">
        <v>1095</v>
      </c>
      <c r="C127" s="6" t="e" cm="1">
        <f t="array" aca="1" ref="C127" ca="1">IF(AND($C$65=$E$65,$N$127=""),_xll.DBSS($D$72,$C$37,$C$14,$B127,$C$39),"")</f>
        <v>#NAME?</v>
      </c>
      <c r="D127" t="s">
        <v>1141</v>
      </c>
      <c r="L127" s="30" t="s">
        <v>1084</v>
      </c>
      <c r="M127" s="1"/>
      <c r="N127" s="33" t="e" cm="1">
        <f t="array" aca="1" ref="N127" ca="1">_xll.DBR($C$37,$C$14,$B127,$C$39)</f>
        <v>#NAME?</v>
      </c>
      <c r="O127" s="34"/>
      <c r="P127" s="35"/>
      <c r="Q127" s="41" t="e" cm="1">
        <f t="array" aca="1" ref="Q127" ca="1">_xll.DBR($C$37,$C$14,$B127,$C$40)</f>
        <v>#NAME?</v>
      </c>
      <c r="R127" s="42"/>
      <c r="S127" s="42"/>
    </row>
    <row r="128" spans="2:19" ht="2.4500000000000002" customHeight="1" x14ac:dyDescent="0.25">
      <c r="L128" s="1"/>
      <c r="M128" s="1"/>
      <c r="N128" s="18"/>
      <c r="O128" s="18"/>
      <c r="P128" s="18"/>
    </row>
    <row r="129" spans="2:19" x14ac:dyDescent="0.25">
      <c r="L129" s="16" t="s">
        <v>1083</v>
      </c>
      <c r="M129" s="1"/>
      <c r="N129" s="37" t="e">
        <f ca="1">$C$66</f>
        <v>#NAME?</v>
      </c>
      <c r="O129" s="38"/>
      <c r="P129" s="39"/>
    </row>
    <row r="130" spans="2:19" ht="2.4500000000000002" customHeight="1" x14ac:dyDescent="0.25">
      <c r="L130" s="16"/>
      <c r="M130" s="1"/>
      <c r="N130" s="19"/>
      <c r="O130" s="19"/>
      <c r="P130" s="19"/>
    </row>
    <row r="131" spans="2:19" x14ac:dyDescent="0.25">
      <c r="B131" s="6" t="s">
        <v>1096</v>
      </c>
      <c r="C131" s="6" t="e" cm="1">
        <f t="array" aca="1" ref="C131" ca="1">IF(AND($C$65=$E$65,$N$131=""),_xll.DBSS($D$68,$C$37,$C$14,$B131,$C$39),"")</f>
        <v>#NAME?</v>
      </c>
      <c r="L131" s="30" t="s">
        <v>1080</v>
      </c>
      <c r="M131" s="1"/>
      <c r="N131" s="33" t="e" cm="1">
        <f t="array" aca="1" ref="N131" ca="1">_xll.DBR($C$37,$C$14,$B131,$C$39)</f>
        <v>#NAME?</v>
      </c>
      <c r="O131" s="34"/>
      <c r="P131" s="35"/>
      <c r="Q131" s="41" t="e" cm="1">
        <f t="array" aca="1" ref="Q131" ca="1">_xll.DBR($C$37,$C$14,$B131,$C$40)</f>
        <v>#NAME?</v>
      </c>
      <c r="R131" s="42"/>
      <c r="S131" s="42"/>
    </row>
    <row r="132" spans="2:19" ht="2.4500000000000002" customHeight="1" x14ac:dyDescent="0.25">
      <c r="L132" s="16"/>
      <c r="M132" s="1"/>
    </row>
    <row r="133" spans="2:19" x14ac:dyDescent="0.25">
      <c r="B133" s="6" t="s">
        <v>1097</v>
      </c>
      <c r="C133" s="6" t="e" cm="1">
        <f t="array" aca="1" ref="C133" ca="1">IF(AND($C$65=$E$65,$N$133=""),_xll.DBSS($D$67,$C$37,$C$14,$B133,$C$39),"")</f>
        <v>#NAME?</v>
      </c>
      <c r="L133" s="30" t="s">
        <v>1081</v>
      </c>
      <c r="M133" s="1"/>
      <c r="N133" s="33" t="e" cm="1">
        <f t="array" aca="1" ref="N133" ca="1">_xll.DBR($C$37,$C$14,$B133,$C$39)</f>
        <v>#NAME?</v>
      </c>
      <c r="O133" s="34"/>
      <c r="P133" s="35"/>
      <c r="Q133" s="41" t="e" cm="1">
        <f t="array" aca="1" ref="Q133" ca="1">_xll.DBR($C$37,$C$14,$B133,$C$40)</f>
        <v>#NAME?</v>
      </c>
      <c r="R133" s="42"/>
      <c r="S133" s="42"/>
    </row>
    <row r="134" spans="2:19" ht="2.4500000000000002" customHeight="1" x14ac:dyDescent="0.25">
      <c r="L134" s="16"/>
      <c r="M134" s="1"/>
    </row>
    <row r="135" spans="2:19" x14ac:dyDescent="0.25">
      <c r="B135" s="6" t="s">
        <v>1098</v>
      </c>
      <c r="C135" s="6" t="e" cm="1">
        <f t="array" aca="1" ref="C135" ca="1">IF(AND($C$65=$E$65,$N$135=""),_xll.DBSS($D$71,$C$37,$C$14,$B135,$C$39),"")</f>
        <v>#NAME?</v>
      </c>
      <c r="L135" s="30" t="s">
        <v>1082</v>
      </c>
      <c r="M135" s="1"/>
      <c r="N135" s="33" t="e" cm="1">
        <f t="array" aca="1" ref="N135" ca="1">_xll.DBR($C$37,$C$14,$B135,$C$39)</f>
        <v>#NAME?</v>
      </c>
      <c r="O135" s="34"/>
      <c r="P135" s="35"/>
      <c r="Q135" s="41" t="e" cm="1">
        <f t="array" aca="1" ref="Q135" ca="1">_xll.DBR($C$37,$C$14,$B135,$C$40)</f>
        <v>#NAME?</v>
      </c>
      <c r="R135" s="42"/>
      <c r="S135" s="42"/>
    </row>
    <row r="136" spans="2:19" ht="2.4500000000000002" customHeight="1" x14ac:dyDescent="0.25">
      <c r="L136" s="16"/>
      <c r="M136" s="1"/>
    </row>
    <row r="137" spans="2:19" x14ac:dyDescent="0.25">
      <c r="B137" s="6" t="s">
        <v>1099</v>
      </c>
      <c r="C137" s="6" t="e" cm="1">
        <f t="array" aca="1" ref="C137" ca="1">IF(AND($C$65=$E$65,$N$137=""),_xll.DBSS($D$69,$C$37,$C$14,$B137,$C$39),"")</f>
        <v>#NAME?</v>
      </c>
      <c r="L137" s="30" t="s">
        <v>1078</v>
      </c>
      <c r="M137" s="1"/>
      <c r="N137" s="33" t="e" cm="1">
        <f t="array" aca="1" ref="N137" ca="1">_xll.DBR($C$37,$C$14,$B137,$C$39)</f>
        <v>#NAME?</v>
      </c>
      <c r="O137" s="34"/>
      <c r="P137" s="35"/>
      <c r="Q137" s="41" t="e" cm="1">
        <f t="array" aca="1" ref="Q137" ca="1">_xll.DBR($C$37,$C$14,$B137,$C$40)</f>
        <v>#NAME?</v>
      </c>
      <c r="R137" s="42"/>
      <c r="S137" s="42"/>
    </row>
    <row r="138" spans="2:19" ht="2.4500000000000002" customHeight="1" x14ac:dyDescent="0.25">
      <c r="L138" s="16"/>
      <c r="M138" s="1"/>
    </row>
    <row r="139" spans="2:19" x14ac:dyDescent="0.25">
      <c r="B139" s="6" t="s">
        <v>1100</v>
      </c>
      <c r="C139" s="6" t="e" cm="1">
        <f t="array" aca="1" ref="C139" ca="1">IF(AND($C$65=$E$65,$N$139=""),_xll.DBSS($D$70,$C$37,$C$14,$B139,$C$39),"")</f>
        <v>#NAME?</v>
      </c>
      <c r="L139" s="30" t="s">
        <v>1079</v>
      </c>
      <c r="M139" s="1"/>
      <c r="N139" s="33" t="e" cm="1">
        <f t="array" aca="1" ref="N139" ca="1">_xll.DBR($C$37,$C$14,$B139,$C$39)</f>
        <v>#NAME?</v>
      </c>
      <c r="O139" s="34"/>
      <c r="P139" s="35"/>
      <c r="Q139" s="41" t="e" cm="1">
        <f t="array" aca="1" ref="Q139" ca="1">_xll.DBR($C$37,$C$14,$B139,$C$40)</f>
        <v>#NAME?</v>
      </c>
      <c r="R139" s="42"/>
      <c r="S139" s="42"/>
    </row>
    <row r="140" spans="2:19" ht="2.4500000000000002" customHeight="1" x14ac:dyDescent="0.25">
      <c r="L140" s="1"/>
      <c r="M140" s="1"/>
    </row>
    <row r="141" spans="2:19" ht="9.9499999999999993" customHeight="1" x14ac:dyDescent="0.25">
      <c r="L141" s="1"/>
      <c r="M141" s="1"/>
    </row>
    <row r="142" spans="2:19" ht="5.0999999999999996" customHeight="1" x14ac:dyDescent="0.25">
      <c r="L142" s="1"/>
      <c r="M142" s="1"/>
    </row>
    <row r="143" spans="2:19" x14ac:dyDescent="0.25">
      <c r="K143" s="17" t="s">
        <v>1086</v>
      </c>
    </row>
    <row r="144" spans="2:19" x14ac:dyDescent="0.25">
      <c r="H144" s="11" t="s">
        <v>1039</v>
      </c>
      <c r="I144" s="11" t="e">
        <f ca="1">IF($N$114="","","programme code")</f>
        <v>#NAME?</v>
      </c>
      <c r="K144" s="10" t="s">
        <v>1039</v>
      </c>
      <c r="L144" s="10" t="s">
        <v>1057</v>
      </c>
      <c r="N144" s="10" t="s">
        <v>1058</v>
      </c>
      <c r="O144" s="10" t="s">
        <v>1063</v>
      </c>
      <c r="P144" s="10" t="s">
        <v>1061</v>
      </c>
      <c r="Q144" s="10" t="s">
        <v>1065</v>
      </c>
      <c r="R144" s="10" t="s">
        <v>1066</v>
      </c>
    </row>
    <row r="145" spans="1:18" x14ac:dyDescent="0.25">
      <c r="A145" t="e" cm="1">
        <f t="array" aca="1" ref="A145" ca="1">IF(_xll.TM1RPTELISCONSOLIDATED($H$145,$H145),IF(_xll.TM1RPTELLEV($H$145,$H145)&lt;=3,_xll.TM1RPTELLEV($H$145,$H145),"D"),"N")</f>
        <v>#NAME?</v>
      </c>
      <c r="H145" s="23" t="e">
        <f t="array" aca="1" ref="H145" ca="1">_xll.TM1RPTROW($C$48,db_name&amp;":id","","","",0,$C$57)</f>
        <v>#NAME?</v>
      </c>
      <c r="I145" s="6" t="e" cm="1">
        <f t="array" aca="1" ref="I145" ca="1">_xll.DBRW($C$48,$C$53,$C$54,$H145,I$144)</f>
        <v>#NAME?</v>
      </c>
      <c r="K145" s="12" t="e" cm="1">
        <f t="array" aca="1" ref="K145" ca="1">_xll.DBRW($C$49,$C$53,$C$54,$H145,K$101)</f>
        <v>#NAME?</v>
      </c>
      <c r="L145" s="26" t="e" cm="1">
        <f t="array" aca="1" ref="L145" ca="1">_xll.DBRW($C$49,$C$53,$C$54,$H145,L$101)</f>
        <v>#NAME?</v>
      </c>
      <c r="N145" s="26" t="e" cm="1">
        <f t="array" aca="1" ref="N145" ca="1">_xll.DBRW($C$49,$C$53,$C$54,$H145,N$101)</f>
        <v>#NAME?</v>
      </c>
      <c r="O145" s="29" t="e" cm="1">
        <f t="array" aca="1" ref="O145" ca="1">_xll.DBRW($C$49,$C$53,$C$54,$H145,O$101)</f>
        <v>#NAME?</v>
      </c>
      <c r="P145" s="26" t="e" cm="1">
        <f t="array" aca="1" ref="P145" ca="1">_xll.DBRW($C$49,$C$53,$C$54,$H145,P$101)</f>
        <v>#NAME?</v>
      </c>
      <c r="Q145" s="26" t="e" cm="1">
        <f t="array" aca="1" ref="Q145" ca="1">_xll.DBRW($C$49,$C$53,$C$54,$H145,Q$101)</f>
        <v>#NAME?</v>
      </c>
      <c r="R145" s="29" t="e" cm="1">
        <f t="array" aca="1" ref="R145" ca="1">_xll.DBRW($C$49,$C$53,$C$54,$H145,R$101)</f>
        <v>#NAME?</v>
      </c>
    </row>
  </sheetData>
  <sheetProtection sheet="1" objects="1" scenarios="1"/>
  <mergeCells count="37">
    <mergeCell ref="K108:P108"/>
    <mergeCell ref="B79:D79"/>
    <mergeCell ref="B62:D62"/>
    <mergeCell ref="B85:D85"/>
    <mergeCell ref="B74:C74"/>
    <mergeCell ref="F36:H36"/>
    <mergeCell ref="B11:D11"/>
    <mergeCell ref="B19:D19"/>
    <mergeCell ref="B36:D36"/>
    <mergeCell ref="B47:D47"/>
    <mergeCell ref="B25:D25"/>
    <mergeCell ref="Q112:R112"/>
    <mergeCell ref="N112:P112"/>
    <mergeCell ref="N116:P116"/>
    <mergeCell ref="N120:P120"/>
    <mergeCell ref="N118:P118"/>
    <mergeCell ref="N114:P114"/>
    <mergeCell ref="Q120:S120"/>
    <mergeCell ref="Q118:S118"/>
    <mergeCell ref="Q116:S116"/>
    <mergeCell ref="Q114:S114"/>
    <mergeCell ref="N139:P139"/>
    <mergeCell ref="N126:P126"/>
    <mergeCell ref="N129:P129"/>
    <mergeCell ref="N122:P124"/>
    <mergeCell ref="Q139:S139"/>
    <mergeCell ref="Q135:S135"/>
    <mergeCell ref="Q133:S133"/>
    <mergeCell ref="Q131:S131"/>
    <mergeCell ref="Q127:S127"/>
    <mergeCell ref="Q137:S137"/>
    <mergeCell ref="N133:P133"/>
    <mergeCell ref="N135:P135"/>
    <mergeCell ref="N137:P137"/>
    <mergeCell ref="N127:P127"/>
    <mergeCell ref="N131:P131"/>
    <mergeCell ref="Q122:S124"/>
  </mergeCells>
  <conditionalFormatting sqref="Q110">
    <cfRule type="containsText" dxfId="2" priority="1" operator="containsText" text="Please Enter Data">
      <formula>NOT(ISERROR(SEARCH("Please Enter Data",Q110)))</formula>
    </cfRule>
    <cfRule type="containsText" dxfId="1" priority="2" operator="containsText" text="FAILED">
      <formula>NOT(ISERROR(SEARCH("FAILED",Q110)))</formula>
    </cfRule>
    <cfRule type="containsText" dxfId="0" priority="3" operator="containsText" text="PASS">
      <formula>NOT(ISERROR(SEARCH("PASS",Q110)))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4">
          <controlPr defaultSize="0" print="0" autoLine="0" r:id="rId5">
            <anchor moveWithCells="1" sizeWithCells="1">
              <from>
                <xdr:col>17</xdr:col>
                <xdr:colOff>1000125</xdr:colOff>
                <xdr:row>103</xdr:row>
                <xdr:rowOff>19050</xdr:rowOff>
              </from>
              <to>
                <xdr:col>17</xdr:col>
                <xdr:colOff>1314450</xdr:colOff>
                <xdr:row>104</xdr:row>
                <xdr:rowOff>276225</xdr:rowOff>
              </to>
            </anchor>
          </controlPr>
        </control>
      </mc:Choice>
      <mc:Fallback>
        <control shapeId="1028" r:id="rId4" name="TIButton4"/>
      </mc:Fallback>
    </mc:AlternateContent>
    <mc:AlternateContent xmlns:mc="http://schemas.openxmlformats.org/markup-compatibility/2006">
      <mc:Choice Requires="x14">
        <control shapeId="1027" r:id="rId6" name="TIButton3">
          <controlPr defaultSize="0" print="0" autoLine="0" r:id="rId7">
            <anchor moveWithCells="1" sizeWithCells="1">
              <from>
                <xdr:col>11</xdr:col>
                <xdr:colOff>2819400</xdr:colOff>
                <xdr:row>103</xdr:row>
                <xdr:rowOff>47625</xdr:rowOff>
              </from>
              <to>
                <xdr:col>13</xdr:col>
                <xdr:colOff>161925</xdr:colOff>
                <xdr:row>104</xdr:row>
                <xdr:rowOff>238125</xdr:rowOff>
              </to>
            </anchor>
          </controlPr>
        </control>
      </mc:Choice>
      <mc:Fallback>
        <control shapeId="1027" r:id="rId6" name="TIButton3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r:id="rId9">
            <anchor moveWithCells="1" sizeWithCells="1">
              <from>
                <xdr:col>10</xdr:col>
                <xdr:colOff>723900</xdr:colOff>
                <xdr:row>104</xdr:row>
                <xdr:rowOff>0</xdr:rowOff>
              </from>
              <to>
                <xdr:col>11</xdr:col>
                <xdr:colOff>819150</xdr:colOff>
                <xdr:row>104</xdr:row>
                <xdr:rowOff>247650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5" r:id="rId10" name="TIButton1">
          <controlPr defaultSize="0" print="0" autoLine="0" r:id="rId11">
            <anchor moveWithCells="1" sizeWithCells="1">
              <from>
                <xdr:col>10</xdr:col>
                <xdr:colOff>47625</xdr:colOff>
                <xdr:row>104</xdr:row>
                <xdr:rowOff>0</xdr:rowOff>
              </from>
              <to>
                <xdr:col>10</xdr:col>
                <xdr:colOff>685800</xdr:colOff>
                <xdr:row>104</xdr:row>
                <xdr:rowOff>247650</xdr:rowOff>
              </to>
            </anchor>
          </controlPr>
        </control>
      </mc:Choice>
      <mc:Fallback>
        <control shapeId="1025" r:id="rId10" name="TIButton1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11</xdr:col>
                <xdr:colOff>857250</xdr:colOff>
                <xdr:row>104</xdr:row>
                <xdr:rowOff>0</xdr:rowOff>
              </from>
              <to>
                <xdr:col>11</xdr:col>
                <xdr:colOff>1981200</xdr:colOff>
                <xdr:row>104</xdr:row>
                <xdr:rowOff>247650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32" r:id="rId14" name="TIButton6">
          <controlPr defaultSize="0" print="0" autoLine="0" r:id="rId15">
            <anchor moveWithCells="1" sizeWithCells="1">
              <from>
                <xdr:col>13</xdr:col>
                <xdr:colOff>2028825</xdr:colOff>
                <xdr:row>140</xdr:row>
                <xdr:rowOff>47625</xdr:rowOff>
              </from>
              <to>
                <xdr:col>13</xdr:col>
                <xdr:colOff>2809875</xdr:colOff>
                <xdr:row>142</xdr:row>
                <xdr:rowOff>114300</xdr:rowOff>
              </to>
            </anchor>
          </controlPr>
        </control>
      </mc:Choice>
      <mc:Fallback>
        <control shapeId="1032" r:id="rId14" name="TIButton6"/>
      </mc:Fallback>
    </mc:AlternateContent>
    <mc:AlternateContent xmlns:mc="http://schemas.openxmlformats.org/markup-compatibility/2006">
      <mc:Choice Requires="x14">
        <control shapeId="1033" r:id="rId16" name="TIButton7">
          <controlPr defaultSize="0" print="0" autoLine="0" r:id="rId17">
            <anchor moveWithCells="1" sizeWithCells="1">
              <from>
                <xdr:col>13</xdr:col>
                <xdr:colOff>2895600</xdr:colOff>
                <xdr:row>140</xdr:row>
                <xdr:rowOff>47625</xdr:rowOff>
              </from>
              <to>
                <xdr:col>14</xdr:col>
                <xdr:colOff>57150</xdr:colOff>
                <xdr:row>142</xdr:row>
                <xdr:rowOff>114300</xdr:rowOff>
              </to>
            </anchor>
          </controlPr>
        </control>
      </mc:Choice>
      <mc:Fallback>
        <control shapeId="1033" r:id="rId16" name="TIButton7"/>
      </mc:Fallback>
    </mc:AlternateContent>
    <mc:AlternateContent xmlns:mc="http://schemas.openxmlformats.org/markup-compatibility/2006">
      <mc:Choice Requires="x14">
        <control shapeId="1040" r:id="rId18" name="TIButton8">
          <controlPr defaultSize="0" print="0" autoLine="0" r:id="rId19">
            <anchor moveWithCells="1" sizeWithCells="1">
              <from>
                <xdr:col>11</xdr:col>
                <xdr:colOff>2009775</xdr:colOff>
                <xdr:row>104</xdr:row>
                <xdr:rowOff>0</xdr:rowOff>
              </from>
              <to>
                <xdr:col>11</xdr:col>
                <xdr:colOff>2790825</xdr:colOff>
                <xdr:row>104</xdr:row>
                <xdr:rowOff>247650</xdr:rowOff>
              </to>
            </anchor>
          </controlPr>
        </control>
      </mc:Choice>
      <mc:Fallback>
        <control shapeId="1040" r:id="rId18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AFB4-5759-436B-96C5-9A345074AAB2}">
  <sheetPr codeName="Sheet2"/>
  <dimension ref="B16:B1017"/>
  <sheetViews>
    <sheetView workbookViewId="0"/>
  </sheetViews>
  <sheetFormatPr defaultRowHeight="15" x14ac:dyDescent="0.25"/>
  <sheetData>
    <row r="16" spans="2:2" x14ac:dyDescent="0.25">
      <c r="B16" t="s">
        <v>2</v>
      </c>
    </row>
    <row r="17" spans="2:2" x14ac:dyDescent="0.25">
      <c r="B17" t="s">
        <v>3</v>
      </c>
    </row>
    <row r="18" spans="2:2" x14ac:dyDescent="0.25">
      <c r="B18" t="s">
        <v>4</v>
      </c>
    </row>
    <row r="19" spans="2:2" x14ac:dyDescent="0.25">
      <c r="B19" t="s">
        <v>5</v>
      </c>
    </row>
    <row r="20" spans="2:2" x14ac:dyDescent="0.25">
      <c r="B20" t="s">
        <v>6</v>
      </c>
    </row>
    <row r="21" spans="2:2" x14ac:dyDescent="0.25">
      <c r="B21" t="s">
        <v>7</v>
      </c>
    </row>
    <row r="22" spans="2:2" x14ac:dyDescent="0.25">
      <c r="B22" t="s">
        <v>8</v>
      </c>
    </row>
    <row r="23" spans="2:2" x14ac:dyDescent="0.25">
      <c r="B23" t="s">
        <v>9</v>
      </c>
    </row>
    <row r="24" spans="2:2" x14ac:dyDescent="0.25">
      <c r="B24" t="s">
        <v>10</v>
      </c>
    </row>
    <row r="25" spans="2:2" x14ac:dyDescent="0.25">
      <c r="B25" t="s">
        <v>11</v>
      </c>
    </row>
    <row r="26" spans="2:2" x14ac:dyDescent="0.25">
      <c r="B26" t="s">
        <v>12</v>
      </c>
    </row>
    <row r="27" spans="2:2" x14ac:dyDescent="0.25">
      <c r="B27" t="s">
        <v>13</v>
      </c>
    </row>
    <row r="28" spans="2:2" x14ac:dyDescent="0.25">
      <c r="B28" t="s">
        <v>14</v>
      </c>
    </row>
    <row r="29" spans="2:2" x14ac:dyDescent="0.25">
      <c r="B29" t="s">
        <v>15</v>
      </c>
    </row>
    <row r="30" spans="2:2" x14ac:dyDescent="0.25">
      <c r="B30" t="s">
        <v>16</v>
      </c>
    </row>
    <row r="31" spans="2:2" x14ac:dyDescent="0.25">
      <c r="B31" t="s">
        <v>17</v>
      </c>
    </row>
    <row r="32" spans="2:2" x14ac:dyDescent="0.25">
      <c r="B32" t="s">
        <v>18</v>
      </c>
    </row>
    <row r="33" spans="2:2" x14ac:dyDescent="0.25">
      <c r="B33" t="s">
        <v>19</v>
      </c>
    </row>
    <row r="34" spans="2:2" x14ac:dyDescent="0.25">
      <c r="B34" t="s">
        <v>20</v>
      </c>
    </row>
    <row r="35" spans="2:2" x14ac:dyDescent="0.25">
      <c r="B35" t="s">
        <v>21</v>
      </c>
    </row>
    <row r="36" spans="2:2" x14ac:dyDescent="0.25">
      <c r="B36" t="s">
        <v>22</v>
      </c>
    </row>
    <row r="37" spans="2:2" x14ac:dyDescent="0.25">
      <c r="B37" t="s">
        <v>23</v>
      </c>
    </row>
    <row r="38" spans="2:2" x14ac:dyDescent="0.25">
      <c r="B38" t="s">
        <v>24</v>
      </c>
    </row>
    <row r="39" spans="2:2" x14ac:dyDescent="0.25">
      <c r="B39" t="s">
        <v>25</v>
      </c>
    </row>
    <row r="40" spans="2:2" x14ac:dyDescent="0.25">
      <c r="B40" t="s">
        <v>26</v>
      </c>
    </row>
    <row r="41" spans="2:2" x14ac:dyDescent="0.25">
      <c r="B41" t="s">
        <v>27</v>
      </c>
    </row>
    <row r="42" spans="2:2" x14ac:dyDescent="0.25">
      <c r="B42" t="s">
        <v>28</v>
      </c>
    </row>
    <row r="43" spans="2:2" x14ac:dyDescent="0.25">
      <c r="B43" t="s">
        <v>29</v>
      </c>
    </row>
    <row r="44" spans="2:2" x14ac:dyDescent="0.25">
      <c r="B44" t="s">
        <v>30</v>
      </c>
    </row>
    <row r="45" spans="2:2" x14ac:dyDescent="0.25">
      <c r="B45" t="s">
        <v>31</v>
      </c>
    </row>
    <row r="46" spans="2:2" x14ac:dyDescent="0.25">
      <c r="B46" t="s">
        <v>32</v>
      </c>
    </row>
    <row r="47" spans="2:2" x14ac:dyDescent="0.25">
      <c r="B47" t="s">
        <v>33</v>
      </c>
    </row>
    <row r="48" spans="2:2" x14ac:dyDescent="0.25">
      <c r="B48" t="s">
        <v>34</v>
      </c>
    </row>
    <row r="49" spans="2:2" x14ac:dyDescent="0.25">
      <c r="B49" t="s">
        <v>35</v>
      </c>
    </row>
    <row r="50" spans="2:2" x14ac:dyDescent="0.25">
      <c r="B50" t="s">
        <v>36</v>
      </c>
    </row>
    <row r="51" spans="2:2" x14ac:dyDescent="0.25">
      <c r="B51" t="s">
        <v>37</v>
      </c>
    </row>
    <row r="52" spans="2:2" x14ac:dyDescent="0.25">
      <c r="B52" t="s">
        <v>38</v>
      </c>
    </row>
    <row r="53" spans="2:2" x14ac:dyDescent="0.25">
      <c r="B53" t="s">
        <v>39</v>
      </c>
    </row>
    <row r="54" spans="2:2" x14ac:dyDescent="0.25">
      <c r="B54" t="s">
        <v>40</v>
      </c>
    </row>
    <row r="55" spans="2:2" x14ac:dyDescent="0.25">
      <c r="B55" t="s">
        <v>41</v>
      </c>
    </row>
    <row r="56" spans="2:2" x14ac:dyDescent="0.25">
      <c r="B56" t="s">
        <v>42</v>
      </c>
    </row>
    <row r="57" spans="2:2" x14ac:dyDescent="0.25">
      <c r="B57" t="s">
        <v>43</v>
      </c>
    </row>
    <row r="58" spans="2:2" x14ac:dyDescent="0.25">
      <c r="B58" t="s">
        <v>44</v>
      </c>
    </row>
    <row r="59" spans="2:2" x14ac:dyDescent="0.25">
      <c r="B59" t="s">
        <v>45</v>
      </c>
    </row>
    <row r="60" spans="2:2" x14ac:dyDescent="0.25">
      <c r="B60" t="s">
        <v>46</v>
      </c>
    </row>
    <row r="61" spans="2:2" x14ac:dyDescent="0.25">
      <c r="B61" t="s">
        <v>47</v>
      </c>
    </row>
    <row r="62" spans="2:2" x14ac:dyDescent="0.25">
      <c r="B62" t="s">
        <v>48</v>
      </c>
    </row>
    <row r="63" spans="2:2" x14ac:dyDescent="0.25">
      <c r="B63" t="s">
        <v>49</v>
      </c>
    </row>
    <row r="64" spans="2:2" x14ac:dyDescent="0.25">
      <c r="B64" t="s">
        <v>50</v>
      </c>
    </row>
    <row r="65" spans="2:2" x14ac:dyDescent="0.25">
      <c r="B65" t="s">
        <v>51</v>
      </c>
    </row>
    <row r="66" spans="2:2" x14ac:dyDescent="0.25">
      <c r="B66" t="s">
        <v>52</v>
      </c>
    </row>
    <row r="67" spans="2:2" x14ac:dyDescent="0.25">
      <c r="B67" t="s">
        <v>53</v>
      </c>
    </row>
    <row r="68" spans="2:2" x14ac:dyDescent="0.25">
      <c r="B68" t="s">
        <v>54</v>
      </c>
    </row>
    <row r="69" spans="2:2" x14ac:dyDescent="0.25">
      <c r="B69" t="s">
        <v>55</v>
      </c>
    </row>
    <row r="70" spans="2:2" x14ac:dyDescent="0.25">
      <c r="B70" t="s">
        <v>56</v>
      </c>
    </row>
    <row r="71" spans="2:2" x14ac:dyDescent="0.25">
      <c r="B71" t="s">
        <v>57</v>
      </c>
    </row>
    <row r="72" spans="2:2" x14ac:dyDescent="0.25">
      <c r="B72" t="s">
        <v>58</v>
      </c>
    </row>
    <row r="73" spans="2:2" x14ac:dyDescent="0.25">
      <c r="B73" t="s">
        <v>59</v>
      </c>
    </row>
    <row r="74" spans="2:2" x14ac:dyDescent="0.25">
      <c r="B74" t="s">
        <v>60</v>
      </c>
    </row>
    <row r="75" spans="2:2" x14ac:dyDescent="0.25">
      <c r="B75" t="s">
        <v>61</v>
      </c>
    </row>
    <row r="76" spans="2:2" x14ac:dyDescent="0.25">
      <c r="B76" t="s">
        <v>62</v>
      </c>
    </row>
    <row r="77" spans="2:2" x14ac:dyDescent="0.25">
      <c r="B77" t="s">
        <v>63</v>
      </c>
    </row>
    <row r="78" spans="2:2" x14ac:dyDescent="0.25">
      <c r="B78" t="s">
        <v>64</v>
      </c>
    </row>
    <row r="79" spans="2:2" x14ac:dyDescent="0.25">
      <c r="B79" t="s">
        <v>65</v>
      </c>
    </row>
    <row r="80" spans="2:2" x14ac:dyDescent="0.25">
      <c r="B80" t="s">
        <v>66</v>
      </c>
    </row>
    <row r="81" spans="2:2" x14ac:dyDescent="0.25">
      <c r="B81" t="s">
        <v>67</v>
      </c>
    </row>
    <row r="82" spans="2:2" x14ac:dyDescent="0.25">
      <c r="B82" t="s">
        <v>68</v>
      </c>
    </row>
    <row r="83" spans="2:2" x14ac:dyDescent="0.25">
      <c r="B83" t="s">
        <v>69</v>
      </c>
    </row>
    <row r="84" spans="2:2" x14ac:dyDescent="0.25">
      <c r="B84" t="s">
        <v>70</v>
      </c>
    </row>
    <row r="85" spans="2:2" x14ac:dyDescent="0.25">
      <c r="B85" t="s">
        <v>71</v>
      </c>
    </row>
    <row r="86" spans="2:2" x14ac:dyDescent="0.25">
      <c r="B86" t="s">
        <v>72</v>
      </c>
    </row>
    <row r="87" spans="2:2" x14ac:dyDescent="0.25">
      <c r="B87" t="s">
        <v>73</v>
      </c>
    </row>
    <row r="88" spans="2:2" x14ac:dyDescent="0.25">
      <c r="B88" t="s">
        <v>74</v>
      </c>
    </row>
    <row r="89" spans="2:2" x14ac:dyDescent="0.25">
      <c r="B89" t="s">
        <v>75</v>
      </c>
    </row>
    <row r="90" spans="2:2" x14ac:dyDescent="0.25">
      <c r="B90" t="s">
        <v>76</v>
      </c>
    </row>
    <row r="91" spans="2:2" x14ac:dyDescent="0.25">
      <c r="B91" t="s">
        <v>77</v>
      </c>
    </row>
    <row r="92" spans="2:2" x14ac:dyDescent="0.25">
      <c r="B92" t="s">
        <v>78</v>
      </c>
    </row>
    <row r="93" spans="2:2" x14ac:dyDescent="0.25">
      <c r="B93" t="s">
        <v>79</v>
      </c>
    </row>
    <row r="94" spans="2:2" x14ac:dyDescent="0.25">
      <c r="B94" t="s">
        <v>80</v>
      </c>
    </row>
    <row r="95" spans="2:2" x14ac:dyDescent="0.25">
      <c r="B95" t="s">
        <v>81</v>
      </c>
    </row>
    <row r="96" spans="2:2" x14ac:dyDescent="0.25">
      <c r="B96" t="s">
        <v>82</v>
      </c>
    </row>
    <row r="97" spans="2:2" x14ac:dyDescent="0.25">
      <c r="B97" t="s">
        <v>83</v>
      </c>
    </row>
    <row r="98" spans="2:2" x14ac:dyDescent="0.25">
      <c r="B98" t="s">
        <v>84</v>
      </c>
    </row>
    <row r="99" spans="2:2" x14ac:dyDescent="0.25">
      <c r="B99" t="s">
        <v>85</v>
      </c>
    </row>
    <row r="100" spans="2:2" x14ac:dyDescent="0.25">
      <c r="B100" t="s">
        <v>86</v>
      </c>
    </row>
    <row r="101" spans="2:2" x14ac:dyDescent="0.25">
      <c r="B101" t="s">
        <v>87</v>
      </c>
    </row>
    <row r="102" spans="2:2" x14ac:dyDescent="0.25">
      <c r="B102" t="s">
        <v>88</v>
      </c>
    </row>
    <row r="103" spans="2:2" x14ac:dyDescent="0.25">
      <c r="B103" t="s">
        <v>89</v>
      </c>
    </row>
    <row r="104" spans="2:2" x14ac:dyDescent="0.25">
      <c r="B104" t="s">
        <v>90</v>
      </c>
    </row>
    <row r="105" spans="2:2" x14ac:dyDescent="0.25">
      <c r="B105" t="s">
        <v>91</v>
      </c>
    </row>
    <row r="106" spans="2:2" x14ac:dyDescent="0.25">
      <c r="B106" t="s">
        <v>92</v>
      </c>
    </row>
    <row r="107" spans="2:2" x14ac:dyDescent="0.25">
      <c r="B107" t="s">
        <v>93</v>
      </c>
    </row>
    <row r="108" spans="2:2" x14ac:dyDescent="0.25">
      <c r="B108" t="s">
        <v>94</v>
      </c>
    </row>
    <row r="109" spans="2:2" x14ac:dyDescent="0.25">
      <c r="B109" t="s">
        <v>95</v>
      </c>
    </row>
    <row r="110" spans="2:2" x14ac:dyDescent="0.25">
      <c r="B110" t="s">
        <v>96</v>
      </c>
    </row>
    <row r="111" spans="2:2" x14ac:dyDescent="0.25">
      <c r="B111" t="s">
        <v>97</v>
      </c>
    </row>
    <row r="112" spans="2:2" x14ac:dyDescent="0.25">
      <c r="B112" t="s">
        <v>98</v>
      </c>
    </row>
    <row r="113" spans="2:2" x14ac:dyDescent="0.25">
      <c r="B113" t="s">
        <v>99</v>
      </c>
    </row>
    <row r="114" spans="2:2" x14ac:dyDescent="0.25">
      <c r="B114" t="s">
        <v>100</v>
      </c>
    </row>
    <row r="115" spans="2:2" x14ac:dyDescent="0.25">
      <c r="B115" t="s">
        <v>101</v>
      </c>
    </row>
    <row r="116" spans="2:2" x14ac:dyDescent="0.25">
      <c r="B116" t="s">
        <v>102</v>
      </c>
    </row>
    <row r="117" spans="2:2" x14ac:dyDescent="0.25">
      <c r="B117" t="s">
        <v>103</v>
      </c>
    </row>
    <row r="118" spans="2:2" x14ac:dyDescent="0.25">
      <c r="B118" t="s">
        <v>104</v>
      </c>
    </row>
    <row r="119" spans="2:2" x14ac:dyDescent="0.25">
      <c r="B119" t="s">
        <v>105</v>
      </c>
    </row>
    <row r="120" spans="2:2" x14ac:dyDescent="0.25">
      <c r="B120" t="s">
        <v>106</v>
      </c>
    </row>
    <row r="121" spans="2:2" x14ac:dyDescent="0.25">
      <c r="B121" t="s">
        <v>107</v>
      </c>
    </row>
    <row r="122" spans="2:2" x14ac:dyDescent="0.25">
      <c r="B122" t="s">
        <v>108</v>
      </c>
    </row>
    <row r="123" spans="2:2" x14ac:dyDescent="0.25">
      <c r="B123" t="s">
        <v>109</v>
      </c>
    </row>
    <row r="124" spans="2:2" x14ac:dyDescent="0.25">
      <c r="B124" t="s">
        <v>110</v>
      </c>
    </row>
    <row r="125" spans="2:2" x14ac:dyDescent="0.25">
      <c r="B125" t="s">
        <v>111</v>
      </c>
    </row>
    <row r="126" spans="2:2" x14ac:dyDescent="0.25">
      <c r="B126" t="s">
        <v>112</v>
      </c>
    </row>
    <row r="127" spans="2:2" x14ac:dyDescent="0.25">
      <c r="B127" t="s">
        <v>113</v>
      </c>
    </row>
    <row r="128" spans="2:2" x14ac:dyDescent="0.25">
      <c r="B128" t="s">
        <v>114</v>
      </c>
    </row>
    <row r="129" spans="2:2" x14ac:dyDescent="0.25">
      <c r="B129" t="s">
        <v>115</v>
      </c>
    </row>
    <row r="130" spans="2:2" x14ac:dyDescent="0.25">
      <c r="B130" t="s">
        <v>116</v>
      </c>
    </row>
    <row r="131" spans="2:2" x14ac:dyDescent="0.25">
      <c r="B131" t="s">
        <v>117</v>
      </c>
    </row>
    <row r="132" spans="2:2" x14ac:dyDescent="0.25">
      <c r="B132" t="s">
        <v>118</v>
      </c>
    </row>
    <row r="133" spans="2:2" x14ac:dyDescent="0.25">
      <c r="B133" t="s">
        <v>119</v>
      </c>
    </row>
    <row r="134" spans="2:2" x14ac:dyDescent="0.25">
      <c r="B134" t="s">
        <v>120</v>
      </c>
    </row>
    <row r="135" spans="2:2" x14ac:dyDescent="0.25">
      <c r="B135" t="s">
        <v>121</v>
      </c>
    </row>
    <row r="136" spans="2:2" x14ac:dyDescent="0.25">
      <c r="B136" t="s">
        <v>122</v>
      </c>
    </row>
    <row r="137" spans="2:2" x14ac:dyDescent="0.25">
      <c r="B137" t="s">
        <v>123</v>
      </c>
    </row>
    <row r="138" spans="2:2" x14ac:dyDescent="0.25">
      <c r="B138" t="s">
        <v>124</v>
      </c>
    </row>
    <row r="139" spans="2:2" x14ac:dyDescent="0.25">
      <c r="B139" t="s">
        <v>125</v>
      </c>
    </row>
    <row r="140" spans="2:2" x14ac:dyDescent="0.25">
      <c r="B140" t="s">
        <v>126</v>
      </c>
    </row>
    <row r="141" spans="2:2" x14ac:dyDescent="0.25">
      <c r="B141" t="s">
        <v>127</v>
      </c>
    </row>
    <row r="142" spans="2:2" x14ac:dyDescent="0.25">
      <c r="B142" t="s">
        <v>128</v>
      </c>
    </row>
    <row r="143" spans="2:2" x14ac:dyDescent="0.25">
      <c r="B143" t="s">
        <v>129</v>
      </c>
    </row>
    <row r="144" spans="2:2" x14ac:dyDescent="0.25">
      <c r="B144" t="s">
        <v>130</v>
      </c>
    </row>
    <row r="145" spans="2:2" x14ac:dyDescent="0.25">
      <c r="B145" t="s">
        <v>131</v>
      </c>
    </row>
    <row r="146" spans="2:2" x14ac:dyDescent="0.25">
      <c r="B146" t="s">
        <v>132</v>
      </c>
    </row>
    <row r="147" spans="2:2" x14ac:dyDescent="0.25">
      <c r="B147" t="s">
        <v>133</v>
      </c>
    </row>
    <row r="148" spans="2:2" x14ac:dyDescent="0.25">
      <c r="B148" t="s">
        <v>134</v>
      </c>
    </row>
    <row r="149" spans="2:2" x14ac:dyDescent="0.25">
      <c r="B149" t="s">
        <v>135</v>
      </c>
    </row>
    <row r="150" spans="2:2" x14ac:dyDescent="0.25">
      <c r="B150" t="s">
        <v>136</v>
      </c>
    </row>
    <row r="151" spans="2:2" x14ac:dyDescent="0.25">
      <c r="B151" t="s">
        <v>137</v>
      </c>
    </row>
    <row r="152" spans="2:2" x14ac:dyDescent="0.25">
      <c r="B152" t="s">
        <v>138</v>
      </c>
    </row>
    <row r="153" spans="2:2" x14ac:dyDescent="0.25">
      <c r="B153" t="s">
        <v>139</v>
      </c>
    </row>
    <row r="154" spans="2:2" x14ac:dyDescent="0.25">
      <c r="B154" t="s">
        <v>140</v>
      </c>
    </row>
    <row r="155" spans="2:2" x14ac:dyDescent="0.25">
      <c r="B155" t="s">
        <v>141</v>
      </c>
    </row>
    <row r="156" spans="2:2" x14ac:dyDescent="0.25">
      <c r="B156" t="s">
        <v>142</v>
      </c>
    </row>
    <row r="157" spans="2:2" x14ac:dyDescent="0.25">
      <c r="B157" t="s">
        <v>143</v>
      </c>
    </row>
    <row r="158" spans="2:2" x14ac:dyDescent="0.25">
      <c r="B158" t="s">
        <v>144</v>
      </c>
    </row>
    <row r="159" spans="2:2" x14ac:dyDescent="0.25">
      <c r="B159" t="s">
        <v>145</v>
      </c>
    </row>
    <row r="160" spans="2:2" x14ac:dyDescent="0.25">
      <c r="B160" t="s">
        <v>146</v>
      </c>
    </row>
    <row r="161" spans="2:2" x14ac:dyDescent="0.25">
      <c r="B161" t="s">
        <v>147</v>
      </c>
    </row>
    <row r="162" spans="2:2" x14ac:dyDescent="0.25">
      <c r="B162" t="s">
        <v>148</v>
      </c>
    </row>
    <row r="163" spans="2:2" x14ac:dyDescent="0.25">
      <c r="B163" t="s">
        <v>149</v>
      </c>
    </row>
    <row r="164" spans="2:2" x14ac:dyDescent="0.25">
      <c r="B164" t="s">
        <v>150</v>
      </c>
    </row>
    <row r="165" spans="2:2" x14ac:dyDescent="0.25">
      <c r="B165" t="s">
        <v>151</v>
      </c>
    </row>
    <row r="166" spans="2:2" x14ac:dyDescent="0.25">
      <c r="B166" t="s">
        <v>152</v>
      </c>
    </row>
    <row r="167" spans="2:2" x14ac:dyDescent="0.25">
      <c r="B167" t="s">
        <v>153</v>
      </c>
    </row>
    <row r="168" spans="2:2" x14ac:dyDescent="0.25">
      <c r="B168" t="s">
        <v>154</v>
      </c>
    </row>
    <row r="169" spans="2:2" x14ac:dyDescent="0.25">
      <c r="B169" t="s">
        <v>155</v>
      </c>
    </row>
    <row r="170" spans="2:2" x14ac:dyDescent="0.25">
      <c r="B170" t="s">
        <v>156</v>
      </c>
    </row>
    <row r="171" spans="2:2" x14ac:dyDescent="0.25">
      <c r="B171" t="s">
        <v>157</v>
      </c>
    </row>
    <row r="172" spans="2:2" x14ac:dyDescent="0.25">
      <c r="B172" t="s">
        <v>158</v>
      </c>
    </row>
    <row r="173" spans="2:2" x14ac:dyDescent="0.25">
      <c r="B173" t="s">
        <v>159</v>
      </c>
    </row>
    <row r="174" spans="2:2" x14ac:dyDescent="0.25">
      <c r="B174" t="s">
        <v>160</v>
      </c>
    </row>
    <row r="175" spans="2:2" x14ac:dyDescent="0.25">
      <c r="B175" t="s">
        <v>161</v>
      </c>
    </row>
    <row r="176" spans="2:2" x14ac:dyDescent="0.25">
      <c r="B176" t="s">
        <v>162</v>
      </c>
    </row>
    <row r="177" spans="2:2" x14ac:dyDescent="0.25">
      <c r="B177" t="s">
        <v>163</v>
      </c>
    </row>
    <row r="178" spans="2:2" x14ac:dyDescent="0.25">
      <c r="B178" t="s">
        <v>164</v>
      </c>
    </row>
    <row r="179" spans="2:2" x14ac:dyDescent="0.25">
      <c r="B179" t="s">
        <v>165</v>
      </c>
    </row>
    <row r="180" spans="2:2" x14ac:dyDescent="0.25">
      <c r="B180" t="s">
        <v>166</v>
      </c>
    </row>
    <row r="181" spans="2:2" x14ac:dyDescent="0.25">
      <c r="B181" t="s">
        <v>167</v>
      </c>
    </row>
    <row r="182" spans="2:2" x14ac:dyDescent="0.25">
      <c r="B182" t="s">
        <v>168</v>
      </c>
    </row>
    <row r="183" spans="2:2" x14ac:dyDescent="0.25">
      <c r="B183" t="s">
        <v>169</v>
      </c>
    </row>
    <row r="184" spans="2:2" x14ac:dyDescent="0.25">
      <c r="B184" t="s">
        <v>170</v>
      </c>
    </row>
    <row r="185" spans="2:2" x14ac:dyDescent="0.25">
      <c r="B185" t="s">
        <v>171</v>
      </c>
    </row>
    <row r="186" spans="2:2" x14ac:dyDescent="0.25">
      <c r="B186" t="s">
        <v>172</v>
      </c>
    </row>
    <row r="187" spans="2:2" x14ac:dyDescent="0.25">
      <c r="B187" t="s">
        <v>173</v>
      </c>
    </row>
    <row r="188" spans="2:2" x14ac:dyDescent="0.25">
      <c r="B188" t="s">
        <v>174</v>
      </c>
    </row>
    <row r="189" spans="2:2" x14ac:dyDescent="0.25">
      <c r="B189" t="s">
        <v>175</v>
      </c>
    </row>
    <row r="190" spans="2:2" x14ac:dyDescent="0.25">
      <c r="B190" t="s">
        <v>176</v>
      </c>
    </row>
    <row r="191" spans="2:2" x14ac:dyDescent="0.25">
      <c r="B191" t="s">
        <v>177</v>
      </c>
    </row>
    <row r="192" spans="2:2" x14ac:dyDescent="0.25">
      <c r="B192" t="s">
        <v>178</v>
      </c>
    </row>
    <row r="193" spans="2:2" x14ac:dyDescent="0.25">
      <c r="B193" t="s">
        <v>179</v>
      </c>
    </row>
    <row r="194" spans="2:2" x14ac:dyDescent="0.25">
      <c r="B194" t="s">
        <v>180</v>
      </c>
    </row>
    <row r="195" spans="2:2" x14ac:dyDescent="0.25">
      <c r="B195" t="s">
        <v>181</v>
      </c>
    </row>
    <row r="196" spans="2:2" x14ac:dyDescent="0.25">
      <c r="B196" t="s">
        <v>182</v>
      </c>
    </row>
    <row r="197" spans="2:2" x14ac:dyDescent="0.25">
      <c r="B197" t="s">
        <v>183</v>
      </c>
    </row>
    <row r="198" spans="2:2" x14ac:dyDescent="0.25">
      <c r="B198" t="s">
        <v>184</v>
      </c>
    </row>
    <row r="199" spans="2:2" x14ac:dyDescent="0.25">
      <c r="B199" t="s">
        <v>185</v>
      </c>
    </row>
    <row r="200" spans="2:2" x14ac:dyDescent="0.25">
      <c r="B200" t="s">
        <v>186</v>
      </c>
    </row>
    <row r="201" spans="2:2" x14ac:dyDescent="0.25">
      <c r="B201" t="s">
        <v>187</v>
      </c>
    </row>
    <row r="202" spans="2:2" x14ac:dyDescent="0.25">
      <c r="B202" t="s">
        <v>188</v>
      </c>
    </row>
    <row r="203" spans="2:2" x14ac:dyDescent="0.25">
      <c r="B203" t="s">
        <v>189</v>
      </c>
    </row>
    <row r="204" spans="2:2" x14ac:dyDescent="0.25">
      <c r="B204" t="s">
        <v>190</v>
      </c>
    </row>
    <row r="205" spans="2:2" x14ac:dyDescent="0.25">
      <c r="B205" t="s">
        <v>191</v>
      </c>
    </row>
    <row r="206" spans="2:2" x14ac:dyDescent="0.25">
      <c r="B206" t="s">
        <v>192</v>
      </c>
    </row>
    <row r="207" spans="2:2" x14ac:dyDescent="0.25">
      <c r="B207" t="s">
        <v>193</v>
      </c>
    </row>
    <row r="208" spans="2:2" x14ac:dyDescent="0.25">
      <c r="B208" t="s">
        <v>194</v>
      </c>
    </row>
    <row r="209" spans="2:2" x14ac:dyDescent="0.25">
      <c r="B209" t="s">
        <v>195</v>
      </c>
    </row>
    <row r="210" spans="2:2" x14ac:dyDescent="0.25">
      <c r="B210" t="s">
        <v>196</v>
      </c>
    </row>
    <row r="211" spans="2:2" x14ac:dyDescent="0.25">
      <c r="B211" t="s">
        <v>197</v>
      </c>
    </row>
    <row r="212" spans="2:2" x14ac:dyDescent="0.25">
      <c r="B212" t="s">
        <v>198</v>
      </c>
    </row>
    <row r="213" spans="2:2" x14ac:dyDescent="0.25">
      <c r="B213" t="s">
        <v>199</v>
      </c>
    </row>
    <row r="214" spans="2:2" x14ac:dyDescent="0.25">
      <c r="B214" t="s">
        <v>200</v>
      </c>
    </row>
    <row r="215" spans="2:2" x14ac:dyDescent="0.25">
      <c r="B215" t="s">
        <v>201</v>
      </c>
    </row>
    <row r="216" spans="2:2" x14ac:dyDescent="0.25">
      <c r="B216" t="s">
        <v>202</v>
      </c>
    </row>
    <row r="217" spans="2:2" x14ac:dyDescent="0.25">
      <c r="B217" t="s">
        <v>203</v>
      </c>
    </row>
    <row r="218" spans="2:2" x14ac:dyDescent="0.25">
      <c r="B218" t="s">
        <v>204</v>
      </c>
    </row>
    <row r="219" spans="2:2" x14ac:dyDescent="0.25">
      <c r="B219" t="s">
        <v>205</v>
      </c>
    </row>
    <row r="220" spans="2:2" x14ac:dyDescent="0.25">
      <c r="B220" t="s">
        <v>206</v>
      </c>
    </row>
    <row r="221" spans="2:2" x14ac:dyDescent="0.25">
      <c r="B221" t="s">
        <v>207</v>
      </c>
    </row>
    <row r="222" spans="2:2" x14ac:dyDescent="0.25">
      <c r="B222" t="s">
        <v>208</v>
      </c>
    </row>
    <row r="223" spans="2:2" x14ac:dyDescent="0.25">
      <c r="B223" t="s">
        <v>209</v>
      </c>
    </row>
    <row r="224" spans="2:2" x14ac:dyDescent="0.25">
      <c r="B224" t="s">
        <v>210</v>
      </c>
    </row>
    <row r="225" spans="2:2" x14ac:dyDescent="0.25">
      <c r="B225" t="s">
        <v>211</v>
      </c>
    </row>
    <row r="226" spans="2:2" x14ac:dyDescent="0.25">
      <c r="B226" t="s">
        <v>212</v>
      </c>
    </row>
    <row r="227" spans="2:2" x14ac:dyDescent="0.25">
      <c r="B227" t="s">
        <v>213</v>
      </c>
    </row>
    <row r="228" spans="2:2" x14ac:dyDescent="0.25">
      <c r="B228" t="s">
        <v>214</v>
      </c>
    </row>
    <row r="229" spans="2:2" x14ac:dyDescent="0.25">
      <c r="B229" t="s">
        <v>215</v>
      </c>
    </row>
    <row r="230" spans="2:2" x14ac:dyDescent="0.25">
      <c r="B230" t="s">
        <v>216</v>
      </c>
    </row>
    <row r="231" spans="2:2" x14ac:dyDescent="0.25">
      <c r="B231" t="s">
        <v>217</v>
      </c>
    </row>
    <row r="232" spans="2:2" x14ac:dyDescent="0.25">
      <c r="B232" t="s">
        <v>218</v>
      </c>
    </row>
    <row r="233" spans="2:2" x14ac:dyDescent="0.25">
      <c r="B233" t="s">
        <v>219</v>
      </c>
    </row>
    <row r="234" spans="2:2" x14ac:dyDescent="0.25">
      <c r="B234" t="s">
        <v>220</v>
      </c>
    </row>
    <row r="235" spans="2:2" x14ac:dyDescent="0.25">
      <c r="B235" t="s">
        <v>221</v>
      </c>
    </row>
    <row r="236" spans="2:2" x14ac:dyDescent="0.25">
      <c r="B236" t="s">
        <v>222</v>
      </c>
    </row>
    <row r="237" spans="2:2" x14ac:dyDescent="0.25">
      <c r="B237" t="s">
        <v>223</v>
      </c>
    </row>
    <row r="238" spans="2:2" x14ac:dyDescent="0.25">
      <c r="B238" t="s">
        <v>224</v>
      </c>
    </row>
    <row r="239" spans="2:2" x14ac:dyDescent="0.25">
      <c r="B239" t="s">
        <v>225</v>
      </c>
    </row>
    <row r="240" spans="2:2" x14ac:dyDescent="0.25">
      <c r="B240" t="s">
        <v>226</v>
      </c>
    </row>
    <row r="241" spans="2:2" x14ac:dyDescent="0.25">
      <c r="B241" t="s">
        <v>227</v>
      </c>
    </row>
    <row r="242" spans="2:2" x14ac:dyDescent="0.25">
      <c r="B242" t="s">
        <v>228</v>
      </c>
    </row>
    <row r="243" spans="2:2" x14ac:dyDescent="0.25">
      <c r="B243" t="s">
        <v>229</v>
      </c>
    </row>
    <row r="244" spans="2:2" x14ac:dyDescent="0.25">
      <c r="B244" t="s">
        <v>230</v>
      </c>
    </row>
    <row r="245" spans="2:2" x14ac:dyDescent="0.25">
      <c r="B245" t="s">
        <v>231</v>
      </c>
    </row>
    <row r="246" spans="2:2" x14ac:dyDescent="0.25">
      <c r="B246" t="s">
        <v>232</v>
      </c>
    </row>
    <row r="247" spans="2:2" x14ac:dyDescent="0.25">
      <c r="B247" t="s">
        <v>233</v>
      </c>
    </row>
    <row r="248" spans="2:2" x14ac:dyDescent="0.25">
      <c r="B248" t="s">
        <v>234</v>
      </c>
    </row>
    <row r="249" spans="2:2" x14ac:dyDescent="0.25">
      <c r="B249" t="s">
        <v>235</v>
      </c>
    </row>
    <row r="250" spans="2:2" x14ac:dyDescent="0.25">
      <c r="B250" t="s">
        <v>236</v>
      </c>
    </row>
    <row r="251" spans="2:2" x14ac:dyDescent="0.25">
      <c r="B251" t="s">
        <v>237</v>
      </c>
    </row>
    <row r="252" spans="2:2" x14ac:dyDescent="0.25">
      <c r="B252" t="s">
        <v>238</v>
      </c>
    </row>
    <row r="253" spans="2:2" x14ac:dyDescent="0.25">
      <c r="B253" t="s">
        <v>239</v>
      </c>
    </row>
    <row r="254" spans="2:2" x14ac:dyDescent="0.25">
      <c r="B254" t="s">
        <v>240</v>
      </c>
    </row>
    <row r="255" spans="2:2" x14ac:dyDescent="0.25">
      <c r="B255" t="s">
        <v>241</v>
      </c>
    </row>
    <row r="256" spans="2:2" x14ac:dyDescent="0.25">
      <c r="B256" t="s">
        <v>242</v>
      </c>
    </row>
    <row r="257" spans="2:2" x14ac:dyDescent="0.25">
      <c r="B257" t="s">
        <v>243</v>
      </c>
    </row>
    <row r="258" spans="2:2" x14ac:dyDescent="0.25">
      <c r="B258" t="s">
        <v>244</v>
      </c>
    </row>
    <row r="259" spans="2:2" x14ac:dyDescent="0.25">
      <c r="B259" t="s">
        <v>245</v>
      </c>
    </row>
    <row r="260" spans="2:2" x14ac:dyDescent="0.25">
      <c r="B260" t="s">
        <v>246</v>
      </c>
    </row>
    <row r="261" spans="2:2" x14ac:dyDescent="0.25">
      <c r="B261" t="s">
        <v>247</v>
      </c>
    </row>
    <row r="262" spans="2:2" x14ac:dyDescent="0.25">
      <c r="B262" t="s">
        <v>248</v>
      </c>
    </row>
    <row r="263" spans="2:2" x14ac:dyDescent="0.25">
      <c r="B263" t="s">
        <v>249</v>
      </c>
    </row>
    <row r="264" spans="2:2" x14ac:dyDescent="0.25">
      <c r="B264" t="s">
        <v>250</v>
      </c>
    </row>
    <row r="265" spans="2:2" x14ac:dyDescent="0.25">
      <c r="B265" t="s">
        <v>251</v>
      </c>
    </row>
    <row r="266" spans="2:2" x14ac:dyDescent="0.25">
      <c r="B266" t="s">
        <v>252</v>
      </c>
    </row>
    <row r="267" spans="2:2" x14ac:dyDescent="0.25">
      <c r="B267" t="s">
        <v>253</v>
      </c>
    </row>
    <row r="268" spans="2:2" x14ac:dyDescent="0.25">
      <c r="B268" t="s">
        <v>254</v>
      </c>
    </row>
    <row r="269" spans="2:2" x14ac:dyDescent="0.25">
      <c r="B269" t="s">
        <v>255</v>
      </c>
    </row>
    <row r="270" spans="2:2" x14ac:dyDescent="0.25">
      <c r="B270" t="s">
        <v>256</v>
      </c>
    </row>
    <row r="271" spans="2:2" x14ac:dyDescent="0.25">
      <c r="B271" t="s">
        <v>257</v>
      </c>
    </row>
    <row r="272" spans="2:2" x14ac:dyDescent="0.25">
      <c r="B272" t="s">
        <v>258</v>
      </c>
    </row>
    <row r="273" spans="2:2" x14ac:dyDescent="0.25">
      <c r="B273" t="s">
        <v>259</v>
      </c>
    </row>
    <row r="274" spans="2:2" x14ac:dyDescent="0.25">
      <c r="B274" t="s">
        <v>260</v>
      </c>
    </row>
    <row r="275" spans="2:2" x14ac:dyDescent="0.25">
      <c r="B275" t="s">
        <v>261</v>
      </c>
    </row>
    <row r="276" spans="2:2" x14ac:dyDescent="0.25">
      <c r="B276" t="s">
        <v>262</v>
      </c>
    </row>
    <row r="277" spans="2:2" x14ac:dyDescent="0.25">
      <c r="B277" t="s">
        <v>263</v>
      </c>
    </row>
    <row r="278" spans="2:2" x14ac:dyDescent="0.25">
      <c r="B278" t="s">
        <v>264</v>
      </c>
    </row>
    <row r="279" spans="2:2" x14ac:dyDescent="0.25">
      <c r="B279" t="s">
        <v>265</v>
      </c>
    </row>
    <row r="280" spans="2:2" x14ac:dyDescent="0.25">
      <c r="B280" t="s">
        <v>266</v>
      </c>
    </row>
    <row r="281" spans="2:2" x14ac:dyDescent="0.25">
      <c r="B281" t="s">
        <v>267</v>
      </c>
    </row>
    <row r="282" spans="2:2" x14ac:dyDescent="0.25">
      <c r="B282" t="s">
        <v>268</v>
      </c>
    </row>
    <row r="283" spans="2:2" x14ac:dyDescent="0.25">
      <c r="B283" t="s">
        <v>269</v>
      </c>
    </row>
    <row r="284" spans="2:2" x14ac:dyDescent="0.25">
      <c r="B284" t="s">
        <v>270</v>
      </c>
    </row>
    <row r="285" spans="2:2" x14ac:dyDescent="0.25">
      <c r="B285" t="s">
        <v>271</v>
      </c>
    </row>
    <row r="286" spans="2:2" x14ac:dyDescent="0.25">
      <c r="B286" t="s">
        <v>272</v>
      </c>
    </row>
    <row r="287" spans="2:2" x14ac:dyDescent="0.25">
      <c r="B287" t="s">
        <v>273</v>
      </c>
    </row>
    <row r="288" spans="2:2" x14ac:dyDescent="0.25">
      <c r="B288" t="s">
        <v>274</v>
      </c>
    </row>
    <row r="289" spans="2:2" x14ac:dyDescent="0.25">
      <c r="B289" t="s">
        <v>275</v>
      </c>
    </row>
    <row r="290" spans="2:2" x14ac:dyDescent="0.25">
      <c r="B290" t="s">
        <v>276</v>
      </c>
    </row>
    <row r="291" spans="2:2" x14ac:dyDescent="0.25">
      <c r="B291" t="s">
        <v>277</v>
      </c>
    </row>
    <row r="292" spans="2:2" x14ac:dyDescent="0.25">
      <c r="B292" t="s">
        <v>278</v>
      </c>
    </row>
    <row r="293" spans="2:2" x14ac:dyDescent="0.25">
      <c r="B293" t="s">
        <v>279</v>
      </c>
    </row>
    <row r="294" spans="2:2" x14ac:dyDescent="0.25">
      <c r="B294" t="s">
        <v>280</v>
      </c>
    </row>
    <row r="295" spans="2:2" x14ac:dyDescent="0.25">
      <c r="B295" t="s">
        <v>281</v>
      </c>
    </row>
    <row r="296" spans="2:2" x14ac:dyDescent="0.25">
      <c r="B296" t="s">
        <v>282</v>
      </c>
    </row>
    <row r="297" spans="2:2" x14ac:dyDescent="0.25">
      <c r="B297" t="s">
        <v>283</v>
      </c>
    </row>
    <row r="298" spans="2:2" x14ac:dyDescent="0.25">
      <c r="B298" t="s">
        <v>284</v>
      </c>
    </row>
    <row r="299" spans="2:2" x14ac:dyDescent="0.25">
      <c r="B299" t="s">
        <v>285</v>
      </c>
    </row>
    <row r="300" spans="2:2" x14ac:dyDescent="0.25">
      <c r="B300" t="s">
        <v>286</v>
      </c>
    </row>
    <row r="301" spans="2:2" x14ac:dyDescent="0.25">
      <c r="B301" t="s">
        <v>287</v>
      </c>
    </row>
    <row r="302" spans="2:2" x14ac:dyDescent="0.25">
      <c r="B302" t="s">
        <v>288</v>
      </c>
    </row>
    <row r="303" spans="2:2" x14ac:dyDescent="0.25">
      <c r="B303" t="s">
        <v>289</v>
      </c>
    </row>
    <row r="304" spans="2:2" x14ac:dyDescent="0.25">
      <c r="B304" t="s">
        <v>290</v>
      </c>
    </row>
    <row r="305" spans="2:2" x14ac:dyDescent="0.25">
      <c r="B305" t="s">
        <v>291</v>
      </c>
    </row>
    <row r="306" spans="2:2" x14ac:dyDescent="0.25">
      <c r="B306" t="s">
        <v>292</v>
      </c>
    </row>
    <row r="307" spans="2:2" x14ac:dyDescent="0.25">
      <c r="B307" t="s">
        <v>293</v>
      </c>
    </row>
    <row r="308" spans="2:2" x14ac:dyDescent="0.25">
      <c r="B308" t="s">
        <v>294</v>
      </c>
    </row>
    <row r="309" spans="2:2" x14ac:dyDescent="0.25">
      <c r="B309" t="s">
        <v>295</v>
      </c>
    </row>
    <row r="310" spans="2:2" x14ac:dyDescent="0.25">
      <c r="B310" t="s">
        <v>296</v>
      </c>
    </row>
    <row r="311" spans="2:2" x14ac:dyDescent="0.25">
      <c r="B311" t="s">
        <v>297</v>
      </c>
    </row>
    <row r="312" spans="2:2" x14ac:dyDescent="0.25">
      <c r="B312" t="s">
        <v>298</v>
      </c>
    </row>
    <row r="313" spans="2:2" x14ac:dyDescent="0.25">
      <c r="B313" t="s">
        <v>299</v>
      </c>
    </row>
    <row r="314" spans="2:2" x14ac:dyDescent="0.25">
      <c r="B314" t="s">
        <v>300</v>
      </c>
    </row>
    <row r="315" spans="2:2" x14ac:dyDescent="0.25">
      <c r="B315" t="s">
        <v>301</v>
      </c>
    </row>
    <row r="316" spans="2:2" x14ac:dyDescent="0.25">
      <c r="B316" t="s">
        <v>302</v>
      </c>
    </row>
    <row r="317" spans="2:2" x14ac:dyDescent="0.25">
      <c r="B317" t="s">
        <v>303</v>
      </c>
    </row>
    <row r="318" spans="2:2" x14ac:dyDescent="0.25">
      <c r="B318" t="s">
        <v>304</v>
      </c>
    </row>
    <row r="319" spans="2:2" x14ac:dyDescent="0.25">
      <c r="B319" t="s">
        <v>305</v>
      </c>
    </row>
    <row r="320" spans="2:2" x14ac:dyDescent="0.25">
      <c r="B320" t="s">
        <v>306</v>
      </c>
    </row>
    <row r="321" spans="2:2" x14ac:dyDescent="0.25">
      <c r="B321" t="s">
        <v>307</v>
      </c>
    </row>
    <row r="322" spans="2:2" x14ac:dyDescent="0.25">
      <c r="B322" t="s">
        <v>308</v>
      </c>
    </row>
    <row r="323" spans="2:2" x14ac:dyDescent="0.25">
      <c r="B323" t="s">
        <v>309</v>
      </c>
    </row>
    <row r="324" spans="2:2" x14ac:dyDescent="0.25">
      <c r="B324" t="s">
        <v>310</v>
      </c>
    </row>
    <row r="325" spans="2:2" x14ac:dyDescent="0.25">
      <c r="B325" t="s">
        <v>311</v>
      </c>
    </row>
    <row r="326" spans="2:2" x14ac:dyDescent="0.25">
      <c r="B326" t="s">
        <v>312</v>
      </c>
    </row>
    <row r="327" spans="2:2" x14ac:dyDescent="0.25">
      <c r="B327" t="s">
        <v>313</v>
      </c>
    </row>
    <row r="328" spans="2:2" x14ac:dyDescent="0.25">
      <c r="B328" t="s">
        <v>314</v>
      </c>
    </row>
    <row r="329" spans="2:2" x14ac:dyDescent="0.25">
      <c r="B329" t="s">
        <v>315</v>
      </c>
    </row>
    <row r="330" spans="2:2" x14ac:dyDescent="0.25">
      <c r="B330" t="s">
        <v>316</v>
      </c>
    </row>
    <row r="331" spans="2:2" x14ac:dyDescent="0.25">
      <c r="B331" t="s">
        <v>317</v>
      </c>
    </row>
    <row r="332" spans="2:2" x14ac:dyDescent="0.25">
      <c r="B332" t="s">
        <v>318</v>
      </c>
    </row>
    <row r="333" spans="2:2" x14ac:dyDescent="0.25">
      <c r="B333" t="s">
        <v>319</v>
      </c>
    </row>
    <row r="334" spans="2:2" x14ac:dyDescent="0.25">
      <c r="B334" t="s">
        <v>320</v>
      </c>
    </row>
    <row r="335" spans="2:2" x14ac:dyDescent="0.25">
      <c r="B335" t="s">
        <v>321</v>
      </c>
    </row>
    <row r="336" spans="2:2" x14ac:dyDescent="0.25">
      <c r="B336" t="s">
        <v>322</v>
      </c>
    </row>
    <row r="337" spans="2:2" x14ac:dyDescent="0.25">
      <c r="B337" t="s">
        <v>323</v>
      </c>
    </row>
    <row r="338" spans="2:2" x14ac:dyDescent="0.25">
      <c r="B338" t="s">
        <v>324</v>
      </c>
    </row>
    <row r="339" spans="2:2" x14ac:dyDescent="0.25">
      <c r="B339" t="s">
        <v>325</v>
      </c>
    </row>
    <row r="340" spans="2:2" x14ac:dyDescent="0.25">
      <c r="B340" t="s">
        <v>326</v>
      </c>
    </row>
    <row r="341" spans="2:2" x14ac:dyDescent="0.25">
      <c r="B341" t="s">
        <v>327</v>
      </c>
    </row>
    <row r="342" spans="2:2" x14ac:dyDescent="0.25">
      <c r="B342" t="s">
        <v>328</v>
      </c>
    </row>
    <row r="343" spans="2:2" x14ac:dyDescent="0.25">
      <c r="B343" t="s">
        <v>329</v>
      </c>
    </row>
    <row r="344" spans="2:2" x14ac:dyDescent="0.25">
      <c r="B344" t="s">
        <v>330</v>
      </c>
    </row>
    <row r="345" spans="2:2" x14ac:dyDescent="0.25">
      <c r="B345" t="s">
        <v>331</v>
      </c>
    </row>
    <row r="346" spans="2:2" x14ac:dyDescent="0.25">
      <c r="B346" t="s">
        <v>332</v>
      </c>
    </row>
    <row r="347" spans="2:2" x14ac:dyDescent="0.25">
      <c r="B347" t="s">
        <v>333</v>
      </c>
    </row>
    <row r="348" spans="2:2" x14ac:dyDescent="0.25">
      <c r="B348" t="s">
        <v>334</v>
      </c>
    </row>
    <row r="349" spans="2:2" x14ac:dyDescent="0.25">
      <c r="B349" t="s">
        <v>335</v>
      </c>
    </row>
    <row r="350" spans="2:2" x14ac:dyDescent="0.25">
      <c r="B350" t="s">
        <v>336</v>
      </c>
    </row>
    <row r="351" spans="2:2" x14ac:dyDescent="0.25">
      <c r="B351" t="s">
        <v>337</v>
      </c>
    </row>
    <row r="352" spans="2:2" x14ac:dyDescent="0.25">
      <c r="B352" t="s">
        <v>338</v>
      </c>
    </row>
    <row r="353" spans="2:2" x14ac:dyDescent="0.25">
      <c r="B353" t="s">
        <v>339</v>
      </c>
    </row>
    <row r="354" spans="2:2" x14ac:dyDescent="0.25">
      <c r="B354" t="s">
        <v>340</v>
      </c>
    </row>
    <row r="355" spans="2:2" x14ac:dyDescent="0.25">
      <c r="B355" t="s">
        <v>341</v>
      </c>
    </row>
    <row r="356" spans="2:2" x14ac:dyDescent="0.25">
      <c r="B356" t="s">
        <v>342</v>
      </c>
    </row>
    <row r="357" spans="2:2" x14ac:dyDescent="0.25">
      <c r="B357" t="s">
        <v>343</v>
      </c>
    </row>
    <row r="358" spans="2:2" x14ac:dyDescent="0.25">
      <c r="B358" t="s">
        <v>344</v>
      </c>
    </row>
    <row r="359" spans="2:2" x14ac:dyDescent="0.25">
      <c r="B359" t="s">
        <v>345</v>
      </c>
    </row>
    <row r="360" spans="2:2" x14ac:dyDescent="0.25">
      <c r="B360" t="s">
        <v>346</v>
      </c>
    </row>
    <row r="361" spans="2:2" x14ac:dyDescent="0.25">
      <c r="B361" t="s">
        <v>347</v>
      </c>
    </row>
    <row r="362" spans="2:2" x14ac:dyDescent="0.25">
      <c r="B362" t="s">
        <v>348</v>
      </c>
    </row>
    <row r="363" spans="2:2" x14ac:dyDescent="0.25">
      <c r="B363" t="s">
        <v>349</v>
      </c>
    </row>
    <row r="364" spans="2:2" x14ac:dyDescent="0.25">
      <c r="B364" t="s">
        <v>350</v>
      </c>
    </row>
    <row r="365" spans="2:2" x14ac:dyDescent="0.25">
      <c r="B365" t="s">
        <v>351</v>
      </c>
    </row>
    <row r="366" spans="2:2" x14ac:dyDescent="0.25">
      <c r="B366" t="s">
        <v>352</v>
      </c>
    </row>
    <row r="367" spans="2:2" x14ac:dyDescent="0.25">
      <c r="B367" t="s">
        <v>353</v>
      </c>
    </row>
    <row r="368" spans="2:2" x14ac:dyDescent="0.25">
      <c r="B368" t="s">
        <v>354</v>
      </c>
    </row>
    <row r="369" spans="2:2" x14ac:dyDescent="0.25">
      <c r="B369" t="s">
        <v>355</v>
      </c>
    </row>
    <row r="370" spans="2:2" x14ac:dyDescent="0.25">
      <c r="B370" t="s">
        <v>356</v>
      </c>
    </row>
    <row r="371" spans="2:2" x14ac:dyDescent="0.25">
      <c r="B371" t="s">
        <v>357</v>
      </c>
    </row>
    <row r="372" spans="2:2" x14ac:dyDescent="0.25">
      <c r="B372" t="s">
        <v>358</v>
      </c>
    </row>
    <row r="373" spans="2:2" x14ac:dyDescent="0.25">
      <c r="B373" t="s">
        <v>359</v>
      </c>
    </row>
    <row r="374" spans="2:2" x14ac:dyDescent="0.25">
      <c r="B374" t="s">
        <v>360</v>
      </c>
    </row>
    <row r="375" spans="2:2" x14ac:dyDescent="0.25">
      <c r="B375" t="s">
        <v>361</v>
      </c>
    </row>
    <row r="376" spans="2:2" x14ac:dyDescent="0.25">
      <c r="B376" t="s">
        <v>362</v>
      </c>
    </row>
    <row r="377" spans="2:2" x14ac:dyDescent="0.25">
      <c r="B377" t="s">
        <v>363</v>
      </c>
    </row>
    <row r="378" spans="2:2" x14ac:dyDescent="0.25">
      <c r="B378" t="s">
        <v>364</v>
      </c>
    </row>
    <row r="379" spans="2:2" x14ac:dyDescent="0.25">
      <c r="B379" t="s">
        <v>365</v>
      </c>
    </row>
    <row r="380" spans="2:2" x14ac:dyDescent="0.25">
      <c r="B380" t="s">
        <v>366</v>
      </c>
    </row>
    <row r="381" spans="2:2" x14ac:dyDescent="0.25">
      <c r="B381" t="s">
        <v>367</v>
      </c>
    </row>
    <row r="382" spans="2:2" x14ac:dyDescent="0.25">
      <c r="B382" t="s">
        <v>368</v>
      </c>
    </row>
    <row r="383" spans="2:2" x14ac:dyDescent="0.25">
      <c r="B383" t="s">
        <v>369</v>
      </c>
    </row>
    <row r="384" spans="2:2" x14ac:dyDescent="0.25">
      <c r="B384" t="s">
        <v>370</v>
      </c>
    </row>
    <row r="385" spans="2:2" x14ac:dyDescent="0.25">
      <c r="B385" t="s">
        <v>371</v>
      </c>
    </row>
    <row r="386" spans="2:2" x14ac:dyDescent="0.25">
      <c r="B386" t="s">
        <v>372</v>
      </c>
    </row>
    <row r="387" spans="2:2" x14ac:dyDescent="0.25">
      <c r="B387" t="s">
        <v>373</v>
      </c>
    </row>
    <row r="388" spans="2:2" x14ac:dyDescent="0.25">
      <c r="B388" t="s">
        <v>374</v>
      </c>
    </row>
    <row r="389" spans="2:2" x14ac:dyDescent="0.25">
      <c r="B389" t="s">
        <v>375</v>
      </c>
    </row>
    <row r="390" spans="2:2" x14ac:dyDescent="0.25">
      <c r="B390" t="s">
        <v>376</v>
      </c>
    </row>
    <row r="391" spans="2:2" x14ac:dyDescent="0.25">
      <c r="B391" t="s">
        <v>377</v>
      </c>
    </row>
    <row r="392" spans="2:2" x14ac:dyDescent="0.25">
      <c r="B392" t="s">
        <v>378</v>
      </c>
    </row>
    <row r="393" spans="2:2" x14ac:dyDescent="0.25">
      <c r="B393" t="s">
        <v>379</v>
      </c>
    </row>
    <row r="394" spans="2:2" x14ac:dyDescent="0.25">
      <c r="B394" t="s">
        <v>380</v>
      </c>
    </row>
    <row r="395" spans="2:2" x14ac:dyDescent="0.25">
      <c r="B395" t="s">
        <v>381</v>
      </c>
    </row>
    <row r="396" spans="2:2" x14ac:dyDescent="0.25">
      <c r="B396" t="s">
        <v>382</v>
      </c>
    </row>
    <row r="397" spans="2:2" x14ac:dyDescent="0.25">
      <c r="B397" t="s">
        <v>383</v>
      </c>
    </row>
    <row r="398" spans="2:2" x14ac:dyDescent="0.25">
      <c r="B398" t="s">
        <v>384</v>
      </c>
    </row>
    <row r="399" spans="2:2" x14ac:dyDescent="0.25">
      <c r="B399" t="s">
        <v>385</v>
      </c>
    </row>
    <row r="400" spans="2:2" x14ac:dyDescent="0.25">
      <c r="B400" t="s">
        <v>386</v>
      </c>
    </row>
    <row r="401" spans="2:2" x14ac:dyDescent="0.25">
      <c r="B401" t="s">
        <v>387</v>
      </c>
    </row>
    <row r="402" spans="2:2" x14ac:dyDescent="0.25">
      <c r="B402" t="s">
        <v>388</v>
      </c>
    </row>
    <row r="403" spans="2:2" x14ac:dyDescent="0.25">
      <c r="B403" t="s">
        <v>389</v>
      </c>
    </row>
    <row r="404" spans="2:2" x14ac:dyDescent="0.25">
      <c r="B404" t="s">
        <v>390</v>
      </c>
    </row>
    <row r="405" spans="2:2" x14ac:dyDescent="0.25">
      <c r="B405" t="s">
        <v>391</v>
      </c>
    </row>
    <row r="406" spans="2:2" x14ac:dyDescent="0.25">
      <c r="B406" t="s">
        <v>392</v>
      </c>
    </row>
    <row r="407" spans="2:2" x14ac:dyDescent="0.25">
      <c r="B407" t="s">
        <v>393</v>
      </c>
    </row>
    <row r="408" spans="2:2" x14ac:dyDescent="0.25">
      <c r="B408" t="s">
        <v>394</v>
      </c>
    </row>
    <row r="409" spans="2:2" x14ac:dyDescent="0.25">
      <c r="B409" t="s">
        <v>395</v>
      </c>
    </row>
    <row r="410" spans="2:2" x14ac:dyDescent="0.25">
      <c r="B410" t="s">
        <v>396</v>
      </c>
    </row>
    <row r="411" spans="2:2" x14ac:dyDescent="0.25">
      <c r="B411" t="s">
        <v>397</v>
      </c>
    </row>
    <row r="412" spans="2:2" x14ac:dyDescent="0.25">
      <c r="B412" t="s">
        <v>398</v>
      </c>
    </row>
    <row r="413" spans="2:2" x14ac:dyDescent="0.25">
      <c r="B413" t="s">
        <v>399</v>
      </c>
    </row>
    <row r="414" spans="2:2" x14ac:dyDescent="0.25">
      <c r="B414" t="s">
        <v>400</v>
      </c>
    </row>
    <row r="415" spans="2:2" x14ac:dyDescent="0.25">
      <c r="B415" t="s">
        <v>401</v>
      </c>
    </row>
    <row r="416" spans="2:2" x14ac:dyDescent="0.25">
      <c r="B416" t="s">
        <v>402</v>
      </c>
    </row>
    <row r="417" spans="2:2" x14ac:dyDescent="0.25">
      <c r="B417" t="s">
        <v>403</v>
      </c>
    </row>
    <row r="418" spans="2:2" x14ac:dyDescent="0.25">
      <c r="B418" t="s">
        <v>404</v>
      </c>
    </row>
    <row r="419" spans="2:2" x14ac:dyDescent="0.25">
      <c r="B419" t="s">
        <v>405</v>
      </c>
    </row>
    <row r="420" spans="2:2" x14ac:dyDescent="0.25">
      <c r="B420" t="s">
        <v>406</v>
      </c>
    </row>
    <row r="421" spans="2:2" x14ac:dyDescent="0.25">
      <c r="B421" t="s">
        <v>407</v>
      </c>
    </row>
    <row r="422" spans="2:2" x14ac:dyDescent="0.25">
      <c r="B422" t="s">
        <v>408</v>
      </c>
    </row>
    <row r="423" spans="2:2" x14ac:dyDescent="0.25">
      <c r="B423" t="s">
        <v>409</v>
      </c>
    </row>
    <row r="424" spans="2:2" x14ac:dyDescent="0.25">
      <c r="B424" t="s">
        <v>410</v>
      </c>
    </row>
    <row r="425" spans="2:2" x14ac:dyDescent="0.25">
      <c r="B425" t="s">
        <v>411</v>
      </c>
    </row>
    <row r="426" spans="2:2" x14ac:dyDescent="0.25">
      <c r="B426" t="s">
        <v>412</v>
      </c>
    </row>
    <row r="427" spans="2:2" x14ac:dyDescent="0.25">
      <c r="B427" t="s">
        <v>413</v>
      </c>
    </row>
    <row r="428" spans="2:2" x14ac:dyDescent="0.25">
      <c r="B428" t="s">
        <v>414</v>
      </c>
    </row>
    <row r="429" spans="2:2" x14ac:dyDescent="0.25">
      <c r="B429" t="s">
        <v>415</v>
      </c>
    </row>
    <row r="430" spans="2:2" x14ac:dyDescent="0.25">
      <c r="B430" t="s">
        <v>416</v>
      </c>
    </row>
    <row r="431" spans="2:2" x14ac:dyDescent="0.25">
      <c r="B431" t="s">
        <v>417</v>
      </c>
    </row>
    <row r="432" spans="2:2" x14ac:dyDescent="0.25">
      <c r="B432" t="s">
        <v>418</v>
      </c>
    </row>
    <row r="433" spans="2:2" x14ac:dyDescent="0.25">
      <c r="B433" t="s">
        <v>419</v>
      </c>
    </row>
    <row r="434" spans="2:2" x14ac:dyDescent="0.25">
      <c r="B434" t="s">
        <v>420</v>
      </c>
    </row>
    <row r="435" spans="2:2" x14ac:dyDescent="0.25">
      <c r="B435" t="s">
        <v>421</v>
      </c>
    </row>
    <row r="436" spans="2:2" x14ac:dyDescent="0.25">
      <c r="B436" t="s">
        <v>422</v>
      </c>
    </row>
    <row r="437" spans="2:2" x14ac:dyDescent="0.25">
      <c r="B437" t="s">
        <v>423</v>
      </c>
    </row>
    <row r="438" spans="2:2" x14ac:dyDescent="0.25">
      <c r="B438" t="s">
        <v>424</v>
      </c>
    </row>
    <row r="439" spans="2:2" x14ac:dyDescent="0.25">
      <c r="B439" t="s">
        <v>425</v>
      </c>
    </row>
    <row r="440" spans="2:2" x14ac:dyDescent="0.25">
      <c r="B440" t="s">
        <v>426</v>
      </c>
    </row>
    <row r="441" spans="2:2" x14ac:dyDescent="0.25">
      <c r="B441" t="s">
        <v>427</v>
      </c>
    </row>
    <row r="442" spans="2:2" x14ac:dyDescent="0.25">
      <c r="B442" t="s">
        <v>428</v>
      </c>
    </row>
    <row r="443" spans="2:2" x14ac:dyDescent="0.25">
      <c r="B443" t="s">
        <v>429</v>
      </c>
    </row>
    <row r="444" spans="2:2" x14ac:dyDescent="0.25">
      <c r="B444" t="s">
        <v>430</v>
      </c>
    </row>
    <row r="445" spans="2:2" x14ac:dyDescent="0.25">
      <c r="B445" t="s">
        <v>431</v>
      </c>
    </row>
    <row r="446" spans="2:2" x14ac:dyDescent="0.25">
      <c r="B446" t="s">
        <v>432</v>
      </c>
    </row>
    <row r="447" spans="2:2" x14ac:dyDescent="0.25">
      <c r="B447" t="s">
        <v>433</v>
      </c>
    </row>
    <row r="448" spans="2:2" x14ac:dyDescent="0.25">
      <c r="B448" t="s">
        <v>434</v>
      </c>
    </row>
    <row r="449" spans="2:2" x14ac:dyDescent="0.25">
      <c r="B449" t="s">
        <v>435</v>
      </c>
    </row>
    <row r="450" spans="2:2" x14ac:dyDescent="0.25">
      <c r="B450" t="s">
        <v>436</v>
      </c>
    </row>
    <row r="451" spans="2:2" x14ac:dyDescent="0.25">
      <c r="B451" t="s">
        <v>437</v>
      </c>
    </row>
    <row r="452" spans="2:2" x14ac:dyDescent="0.25">
      <c r="B452" t="s">
        <v>438</v>
      </c>
    </row>
    <row r="453" spans="2:2" x14ac:dyDescent="0.25">
      <c r="B453" t="s">
        <v>439</v>
      </c>
    </row>
    <row r="454" spans="2:2" x14ac:dyDescent="0.25">
      <c r="B454" t="s">
        <v>440</v>
      </c>
    </row>
    <row r="455" spans="2:2" x14ac:dyDescent="0.25">
      <c r="B455" t="s">
        <v>441</v>
      </c>
    </row>
    <row r="456" spans="2:2" x14ac:dyDescent="0.25">
      <c r="B456" t="s">
        <v>442</v>
      </c>
    </row>
    <row r="457" spans="2:2" x14ac:dyDescent="0.25">
      <c r="B457" t="s">
        <v>443</v>
      </c>
    </row>
    <row r="458" spans="2:2" x14ac:dyDescent="0.25">
      <c r="B458" t="s">
        <v>444</v>
      </c>
    </row>
    <row r="459" spans="2:2" x14ac:dyDescent="0.25">
      <c r="B459" t="s">
        <v>445</v>
      </c>
    </row>
    <row r="460" spans="2:2" x14ac:dyDescent="0.25">
      <c r="B460" t="s">
        <v>446</v>
      </c>
    </row>
    <row r="461" spans="2:2" x14ac:dyDescent="0.25">
      <c r="B461" t="s">
        <v>447</v>
      </c>
    </row>
    <row r="462" spans="2:2" x14ac:dyDescent="0.25">
      <c r="B462" t="s">
        <v>448</v>
      </c>
    </row>
    <row r="463" spans="2:2" x14ac:dyDescent="0.25">
      <c r="B463" t="s">
        <v>449</v>
      </c>
    </row>
    <row r="464" spans="2:2" x14ac:dyDescent="0.25">
      <c r="B464" t="s">
        <v>450</v>
      </c>
    </row>
    <row r="465" spans="2:2" x14ac:dyDescent="0.25">
      <c r="B465" t="s">
        <v>451</v>
      </c>
    </row>
    <row r="466" spans="2:2" x14ac:dyDescent="0.25">
      <c r="B466" t="s">
        <v>452</v>
      </c>
    </row>
    <row r="467" spans="2:2" x14ac:dyDescent="0.25">
      <c r="B467" t="s">
        <v>453</v>
      </c>
    </row>
    <row r="468" spans="2:2" x14ac:dyDescent="0.25">
      <c r="B468" t="s">
        <v>454</v>
      </c>
    </row>
    <row r="469" spans="2:2" x14ac:dyDescent="0.25">
      <c r="B469" t="s">
        <v>455</v>
      </c>
    </row>
    <row r="470" spans="2:2" x14ac:dyDescent="0.25">
      <c r="B470" t="s">
        <v>456</v>
      </c>
    </row>
    <row r="471" spans="2:2" x14ac:dyDescent="0.25">
      <c r="B471" t="s">
        <v>457</v>
      </c>
    </row>
    <row r="472" spans="2:2" x14ac:dyDescent="0.25">
      <c r="B472" t="s">
        <v>458</v>
      </c>
    </row>
    <row r="473" spans="2:2" x14ac:dyDescent="0.25">
      <c r="B473" t="s">
        <v>459</v>
      </c>
    </row>
    <row r="474" spans="2:2" x14ac:dyDescent="0.25">
      <c r="B474" t="s">
        <v>460</v>
      </c>
    </row>
    <row r="475" spans="2:2" x14ac:dyDescent="0.25">
      <c r="B475" t="s">
        <v>461</v>
      </c>
    </row>
    <row r="476" spans="2:2" x14ac:dyDescent="0.25">
      <c r="B476" t="s">
        <v>462</v>
      </c>
    </row>
    <row r="477" spans="2:2" x14ac:dyDescent="0.25">
      <c r="B477" t="s">
        <v>463</v>
      </c>
    </row>
    <row r="478" spans="2:2" x14ac:dyDescent="0.25">
      <c r="B478" t="s">
        <v>464</v>
      </c>
    </row>
    <row r="479" spans="2:2" x14ac:dyDescent="0.25">
      <c r="B479" t="s">
        <v>465</v>
      </c>
    </row>
    <row r="480" spans="2:2" x14ac:dyDescent="0.25">
      <c r="B480" t="s">
        <v>466</v>
      </c>
    </row>
    <row r="481" spans="2:2" x14ac:dyDescent="0.25">
      <c r="B481" t="s">
        <v>467</v>
      </c>
    </row>
    <row r="482" spans="2:2" x14ac:dyDescent="0.25">
      <c r="B482" t="s">
        <v>468</v>
      </c>
    </row>
    <row r="483" spans="2:2" x14ac:dyDescent="0.25">
      <c r="B483" t="s">
        <v>469</v>
      </c>
    </row>
    <row r="484" spans="2:2" x14ac:dyDescent="0.25">
      <c r="B484" t="s">
        <v>470</v>
      </c>
    </row>
    <row r="485" spans="2:2" x14ac:dyDescent="0.25">
      <c r="B485" t="s">
        <v>471</v>
      </c>
    </row>
    <row r="486" spans="2:2" x14ac:dyDescent="0.25">
      <c r="B486" t="s">
        <v>472</v>
      </c>
    </row>
    <row r="487" spans="2:2" x14ac:dyDescent="0.25">
      <c r="B487" t="s">
        <v>473</v>
      </c>
    </row>
    <row r="488" spans="2:2" x14ac:dyDescent="0.25">
      <c r="B488" t="s">
        <v>474</v>
      </c>
    </row>
    <row r="489" spans="2:2" x14ac:dyDescent="0.25">
      <c r="B489" t="s">
        <v>475</v>
      </c>
    </row>
    <row r="490" spans="2:2" x14ac:dyDescent="0.25">
      <c r="B490" t="s">
        <v>476</v>
      </c>
    </row>
    <row r="491" spans="2:2" x14ac:dyDescent="0.25">
      <c r="B491" t="s">
        <v>477</v>
      </c>
    </row>
    <row r="492" spans="2:2" x14ac:dyDescent="0.25">
      <c r="B492" t="s">
        <v>478</v>
      </c>
    </row>
    <row r="493" spans="2:2" x14ac:dyDescent="0.25">
      <c r="B493" t="s">
        <v>479</v>
      </c>
    </row>
    <row r="494" spans="2:2" x14ac:dyDescent="0.25">
      <c r="B494" t="s">
        <v>480</v>
      </c>
    </row>
    <row r="495" spans="2:2" x14ac:dyDescent="0.25">
      <c r="B495" t="s">
        <v>481</v>
      </c>
    </row>
    <row r="496" spans="2:2" x14ac:dyDescent="0.25">
      <c r="B496" t="s">
        <v>482</v>
      </c>
    </row>
    <row r="497" spans="2:2" x14ac:dyDescent="0.25">
      <c r="B497" t="s">
        <v>483</v>
      </c>
    </row>
    <row r="498" spans="2:2" x14ac:dyDescent="0.25">
      <c r="B498" t="s">
        <v>484</v>
      </c>
    </row>
    <row r="499" spans="2:2" x14ac:dyDescent="0.25">
      <c r="B499" t="s">
        <v>485</v>
      </c>
    </row>
    <row r="500" spans="2:2" x14ac:dyDescent="0.25">
      <c r="B500" t="s">
        <v>486</v>
      </c>
    </row>
    <row r="501" spans="2:2" x14ac:dyDescent="0.25">
      <c r="B501" t="s">
        <v>487</v>
      </c>
    </row>
    <row r="502" spans="2:2" x14ac:dyDescent="0.25">
      <c r="B502" t="s">
        <v>488</v>
      </c>
    </row>
    <row r="503" spans="2:2" x14ac:dyDescent="0.25">
      <c r="B503" t="s">
        <v>489</v>
      </c>
    </row>
    <row r="504" spans="2:2" x14ac:dyDescent="0.25">
      <c r="B504" t="s">
        <v>490</v>
      </c>
    </row>
    <row r="505" spans="2:2" x14ac:dyDescent="0.25">
      <c r="B505" t="s">
        <v>491</v>
      </c>
    </row>
    <row r="506" spans="2:2" x14ac:dyDescent="0.25">
      <c r="B506" t="s">
        <v>492</v>
      </c>
    </row>
    <row r="507" spans="2:2" x14ac:dyDescent="0.25">
      <c r="B507" t="s">
        <v>493</v>
      </c>
    </row>
    <row r="508" spans="2:2" x14ac:dyDescent="0.25">
      <c r="B508" t="s">
        <v>494</v>
      </c>
    </row>
    <row r="509" spans="2:2" x14ac:dyDescent="0.25">
      <c r="B509" t="s">
        <v>495</v>
      </c>
    </row>
    <row r="510" spans="2:2" x14ac:dyDescent="0.25">
      <c r="B510" t="s">
        <v>496</v>
      </c>
    </row>
    <row r="511" spans="2:2" x14ac:dyDescent="0.25">
      <c r="B511" t="s">
        <v>497</v>
      </c>
    </row>
    <row r="512" spans="2:2" x14ac:dyDescent="0.25">
      <c r="B512" t="s">
        <v>498</v>
      </c>
    </row>
    <row r="513" spans="2:2" x14ac:dyDescent="0.25">
      <c r="B513" t="s">
        <v>499</v>
      </c>
    </row>
    <row r="514" spans="2:2" x14ac:dyDescent="0.25">
      <c r="B514" t="s">
        <v>500</v>
      </c>
    </row>
    <row r="515" spans="2:2" x14ac:dyDescent="0.25">
      <c r="B515" t="s">
        <v>501</v>
      </c>
    </row>
    <row r="516" spans="2:2" x14ac:dyDescent="0.25">
      <c r="B516" t="s">
        <v>502</v>
      </c>
    </row>
    <row r="517" spans="2:2" x14ac:dyDescent="0.25">
      <c r="B517" t="s">
        <v>503</v>
      </c>
    </row>
    <row r="518" spans="2:2" x14ac:dyDescent="0.25">
      <c r="B518" t="s">
        <v>504</v>
      </c>
    </row>
    <row r="519" spans="2:2" x14ac:dyDescent="0.25">
      <c r="B519" t="s">
        <v>505</v>
      </c>
    </row>
    <row r="520" spans="2:2" x14ac:dyDescent="0.25">
      <c r="B520" t="s">
        <v>506</v>
      </c>
    </row>
    <row r="521" spans="2:2" x14ac:dyDescent="0.25">
      <c r="B521" t="s">
        <v>507</v>
      </c>
    </row>
    <row r="522" spans="2:2" x14ac:dyDescent="0.25">
      <c r="B522" t="s">
        <v>508</v>
      </c>
    </row>
    <row r="523" spans="2:2" x14ac:dyDescent="0.25">
      <c r="B523" t="s">
        <v>509</v>
      </c>
    </row>
    <row r="524" spans="2:2" x14ac:dyDescent="0.25">
      <c r="B524" t="s">
        <v>510</v>
      </c>
    </row>
    <row r="525" spans="2:2" x14ac:dyDescent="0.25">
      <c r="B525" t="s">
        <v>511</v>
      </c>
    </row>
    <row r="526" spans="2:2" x14ac:dyDescent="0.25">
      <c r="B526" t="s">
        <v>512</v>
      </c>
    </row>
    <row r="527" spans="2:2" x14ac:dyDescent="0.25">
      <c r="B527" t="s">
        <v>513</v>
      </c>
    </row>
    <row r="528" spans="2:2" x14ac:dyDescent="0.25">
      <c r="B528" t="s">
        <v>514</v>
      </c>
    </row>
    <row r="529" spans="2:2" x14ac:dyDescent="0.25">
      <c r="B529" t="s">
        <v>515</v>
      </c>
    </row>
    <row r="530" spans="2:2" x14ac:dyDescent="0.25">
      <c r="B530" t="s">
        <v>516</v>
      </c>
    </row>
    <row r="531" spans="2:2" x14ac:dyDescent="0.25">
      <c r="B531" t="s">
        <v>517</v>
      </c>
    </row>
    <row r="532" spans="2:2" x14ac:dyDescent="0.25">
      <c r="B532" t="s">
        <v>518</v>
      </c>
    </row>
    <row r="533" spans="2:2" x14ac:dyDescent="0.25">
      <c r="B533" t="s">
        <v>519</v>
      </c>
    </row>
    <row r="534" spans="2:2" x14ac:dyDescent="0.25">
      <c r="B534" t="s">
        <v>520</v>
      </c>
    </row>
    <row r="535" spans="2:2" x14ac:dyDescent="0.25">
      <c r="B535" t="s">
        <v>521</v>
      </c>
    </row>
    <row r="536" spans="2:2" x14ac:dyDescent="0.25">
      <c r="B536" t="s">
        <v>522</v>
      </c>
    </row>
    <row r="537" spans="2:2" x14ac:dyDescent="0.25">
      <c r="B537" t="s">
        <v>523</v>
      </c>
    </row>
    <row r="538" spans="2:2" x14ac:dyDescent="0.25">
      <c r="B538" t="s">
        <v>524</v>
      </c>
    </row>
    <row r="539" spans="2:2" x14ac:dyDescent="0.25">
      <c r="B539" t="s">
        <v>525</v>
      </c>
    </row>
    <row r="540" spans="2:2" x14ac:dyDescent="0.25">
      <c r="B540" t="s">
        <v>526</v>
      </c>
    </row>
    <row r="541" spans="2:2" x14ac:dyDescent="0.25">
      <c r="B541" t="s">
        <v>527</v>
      </c>
    </row>
    <row r="542" spans="2:2" x14ac:dyDescent="0.25">
      <c r="B542" t="s">
        <v>528</v>
      </c>
    </row>
    <row r="543" spans="2:2" x14ac:dyDescent="0.25">
      <c r="B543" t="s">
        <v>529</v>
      </c>
    </row>
    <row r="544" spans="2:2" x14ac:dyDescent="0.25">
      <c r="B544" t="s">
        <v>530</v>
      </c>
    </row>
    <row r="545" spans="2:2" x14ac:dyDescent="0.25">
      <c r="B545" t="s">
        <v>531</v>
      </c>
    </row>
    <row r="546" spans="2:2" x14ac:dyDescent="0.25">
      <c r="B546" t="s">
        <v>532</v>
      </c>
    </row>
    <row r="547" spans="2:2" x14ac:dyDescent="0.25">
      <c r="B547" t="s">
        <v>533</v>
      </c>
    </row>
    <row r="548" spans="2:2" x14ac:dyDescent="0.25">
      <c r="B548" t="s">
        <v>534</v>
      </c>
    </row>
    <row r="549" spans="2:2" x14ac:dyDescent="0.25">
      <c r="B549" t="s">
        <v>535</v>
      </c>
    </row>
    <row r="550" spans="2:2" x14ac:dyDescent="0.25">
      <c r="B550" t="s">
        <v>536</v>
      </c>
    </row>
    <row r="551" spans="2:2" x14ac:dyDescent="0.25">
      <c r="B551" t="s">
        <v>537</v>
      </c>
    </row>
    <row r="552" spans="2:2" x14ac:dyDescent="0.25">
      <c r="B552" t="s">
        <v>538</v>
      </c>
    </row>
    <row r="553" spans="2:2" x14ac:dyDescent="0.25">
      <c r="B553" t="s">
        <v>539</v>
      </c>
    </row>
    <row r="554" spans="2:2" x14ac:dyDescent="0.25">
      <c r="B554" t="s">
        <v>540</v>
      </c>
    </row>
    <row r="555" spans="2:2" x14ac:dyDescent="0.25">
      <c r="B555" t="s">
        <v>541</v>
      </c>
    </row>
    <row r="556" spans="2:2" x14ac:dyDescent="0.25">
      <c r="B556" t="s">
        <v>542</v>
      </c>
    </row>
    <row r="557" spans="2:2" x14ac:dyDescent="0.25">
      <c r="B557" t="s">
        <v>543</v>
      </c>
    </row>
    <row r="558" spans="2:2" x14ac:dyDescent="0.25">
      <c r="B558" t="s">
        <v>544</v>
      </c>
    </row>
    <row r="559" spans="2:2" x14ac:dyDescent="0.25">
      <c r="B559" t="s">
        <v>545</v>
      </c>
    </row>
    <row r="560" spans="2:2" x14ac:dyDescent="0.25">
      <c r="B560" t="s">
        <v>546</v>
      </c>
    </row>
    <row r="561" spans="2:2" x14ac:dyDescent="0.25">
      <c r="B561" t="s">
        <v>547</v>
      </c>
    </row>
    <row r="562" spans="2:2" x14ac:dyDescent="0.25">
      <c r="B562" t="s">
        <v>548</v>
      </c>
    </row>
    <row r="563" spans="2:2" x14ac:dyDescent="0.25">
      <c r="B563" t="s">
        <v>549</v>
      </c>
    </row>
    <row r="564" spans="2:2" x14ac:dyDescent="0.25">
      <c r="B564" t="s">
        <v>550</v>
      </c>
    </row>
    <row r="565" spans="2:2" x14ac:dyDescent="0.25">
      <c r="B565" t="s">
        <v>551</v>
      </c>
    </row>
    <row r="566" spans="2:2" x14ac:dyDescent="0.25">
      <c r="B566" t="s">
        <v>552</v>
      </c>
    </row>
    <row r="567" spans="2:2" x14ac:dyDescent="0.25">
      <c r="B567" t="s">
        <v>553</v>
      </c>
    </row>
    <row r="568" spans="2:2" x14ac:dyDescent="0.25">
      <c r="B568" t="s">
        <v>554</v>
      </c>
    </row>
    <row r="569" spans="2:2" x14ac:dyDescent="0.25">
      <c r="B569" t="s">
        <v>555</v>
      </c>
    </row>
    <row r="570" spans="2:2" x14ac:dyDescent="0.25">
      <c r="B570" t="s">
        <v>556</v>
      </c>
    </row>
    <row r="571" spans="2:2" x14ac:dyDescent="0.25">
      <c r="B571" t="s">
        <v>557</v>
      </c>
    </row>
    <row r="572" spans="2:2" x14ac:dyDescent="0.25">
      <c r="B572" t="s">
        <v>558</v>
      </c>
    </row>
    <row r="573" spans="2:2" x14ac:dyDescent="0.25">
      <c r="B573" t="s">
        <v>559</v>
      </c>
    </row>
    <row r="574" spans="2:2" x14ac:dyDescent="0.25">
      <c r="B574" t="s">
        <v>560</v>
      </c>
    </row>
    <row r="575" spans="2:2" x14ac:dyDescent="0.25">
      <c r="B575" t="s">
        <v>561</v>
      </c>
    </row>
    <row r="576" spans="2:2" x14ac:dyDescent="0.25">
      <c r="B576" t="s">
        <v>562</v>
      </c>
    </row>
    <row r="577" spans="2:2" x14ac:dyDescent="0.25">
      <c r="B577" t="s">
        <v>563</v>
      </c>
    </row>
    <row r="578" spans="2:2" x14ac:dyDescent="0.25">
      <c r="B578" t="s">
        <v>564</v>
      </c>
    </row>
    <row r="579" spans="2:2" x14ac:dyDescent="0.25">
      <c r="B579" t="s">
        <v>565</v>
      </c>
    </row>
    <row r="580" spans="2:2" x14ac:dyDescent="0.25">
      <c r="B580" t="s">
        <v>566</v>
      </c>
    </row>
    <row r="581" spans="2:2" x14ac:dyDescent="0.25">
      <c r="B581" t="s">
        <v>567</v>
      </c>
    </row>
    <row r="582" spans="2:2" x14ac:dyDescent="0.25">
      <c r="B582" t="s">
        <v>568</v>
      </c>
    </row>
    <row r="583" spans="2:2" x14ac:dyDescent="0.25">
      <c r="B583" t="s">
        <v>569</v>
      </c>
    </row>
    <row r="584" spans="2:2" x14ac:dyDescent="0.25">
      <c r="B584" t="s">
        <v>570</v>
      </c>
    </row>
    <row r="585" spans="2:2" x14ac:dyDescent="0.25">
      <c r="B585" t="s">
        <v>571</v>
      </c>
    </row>
    <row r="586" spans="2:2" x14ac:dyDescent="0.25">
      <c r="B586" t="s">
        <v>572</v>
      </c>
    </row>
    <row r="587" spans="2:2" x14ac:dyDescent="0.25">
      <c r="B587" t="s">
        <v>573</v>
      </c>
    </row>
    <row r="588" spans="2:2" x14ac:dyDescent="0.25">
      <c r="B588" t="s">
        <v>574</v>
      </c>
    </row>
    <row r="589" spans="2:2" x14ac:dyDescent="0.25">
      <c r="B589" t="s">
        <v>575</v>
      </c>
    </row>
    <row r="590" spans="2:2" x14ac:dyDescent="0.25">
      <c r="B590" t="s">
        <v>576</v>
      </c>
    </row>
    <row r="591" spans="2:2" x14ac:dyDescent="0.25">
      <c r="B591" t="s">
        <v>577</v>
      </c>
    </row>
    <row r="592" spans="2:2" x14ac:dyDescent="0.25">
      <c r="B592" t="s">
        <v>578</v>
      </c>
    </row>
    <row r="593" spans="2:2" x14ac:dyDescent="0.25">
      <c r="B593" t="s">
        <v>579</v>
      </c>
    </row>
    <row r="594" spans="2:2" x14ac:dyDescent="0.25">
      <c r="B594" t="s">
        <v>580</v>
      </c>
    </row>
    <row r="595" spans="2:2" x14ac:dyDescent="0.25">
      <c r="B595" t="s">
        <v>581</v>
      </c>
    </row>
    <row r="596" spans="2:2" x14ac:dyDescent="0.25">
      <c r="B596" t="s">
        <v>582</v>
      </c>
    </row>
    <row r="597" spans="2:2" x14ac:dyDescent="0.25">
      <c r="B597" t="s">
        <v>583</v>
      </c>
    </row>
    <row r="598" spans="2:2" x14ac:dyDescent="0.25">
      <c r="B598" t="s">
        <v>584</v>
      </c>
    </row>
    <row r="599" spans="2:2" x14ac:dyDescent="0.25">
      <c r="B599" t="s">
        <v>585</v>
      </c>
    </row>
    <row r="600" spans="2:2" x14ac:dyDescent="0.25">
      <c r="B600" t="s">
        <v>586</v>
      </c>
    </row>
    <row r="601" spans="2:2" x14ac:dyDescent="0.25">
      <c r="B601" t="s">
        <v>587</v>
      </c>
    </row>
    <row r="602" spans="2:2" x14ac:dyDescent="0.25">
      <c r="B602" t="s">
        <v>588</v>
      </c>
    </row>
    <row r="603" spans="2:2" x14ac:dyDescent="0.25">
      <c r="B603" t="s">
        <v>589</v>
      </c>
    </row>
    <row r="604" spans="2:2" x14ac:dyDescent="0.25">
      <c r="B604" t="s">
        <v>590</v>
      </c>
    </row>
    <row r="605" spans="2:2" x14ac:dyDescent="0.25">
      <c r="B605" t="s">
        <v>591</v>
      </c>
    </row>
    <row r="606" spans="2:2" x14ac:dyDescent="0.25">
      <c r="B606" t="s">
        <v>592</v>
      </c>
    </row>
    <row r="607" spans="2:2" x14ac:dyDescent="0.25">
      <c r="B607" t="s">
        <v>593</v>
      </c>
    </row>
    <row r="608" spans="2:2" x14ac:dyDescent="0.25">
      <c r="B608" t="s">
        <v>594</v>
      </c>
    </row>
    <row r="609" spans="2:2" x14ac:dyDescent="0.25">
      <c r="B609" t="s">
        <v>595</v>
      </c>
    </row>
    <row r="610" spans="2:2" x14ac:dyDescent="0.25">
      <c r="B610" t="s">
        <v>596</v>
      </c>
    </row>
    <row r="611" spans="2:2" x14ac:dyDescent="0.25">
      <c r="B611" t="s">
        <v>597</v>
      </c>
    </row>
    <row r="612" spans="2:2" x14ac:dyDescent="0.25">
      <c r="B612" t="s">
        <v>598</v>
      </c>
    </row>
    <row r="613" spans="2:2" x14ac:dyDescent="0.25">
      <c r="B613" t="s">
        <v>599</v>
      </c>
    </row>
    <row r="614" spans="2:2" x14ac:dyDescent="0.25">
      <c r="B614" t="s">
        <v>600</v>
      </c>
    </row>
    <row r="615" spans="2:2" x14ac:dyDescent="0.25">
      <c r="B615" t="s">
        <v>601</v>
      </c>
    </row>
    <row r="616" spans="2:2" x14ac:dyDescent="0.25">
      <c r="B616" t="s">
        <v>602</v>
      </c>
    </row>
    <row r="617" spans="2:2" x14ac:dyDescent="0.25">
      <c r="B617" t="s">
        <v>603</v>
      </c>
    </row>
    <row r="618" spans="2:2" x14ac:dyDescent="0.25">
      <c r="B618" t="s">
        <v>604</v>
      </c>
    </row>
    <row r="619" spans="2:2" x14ac:dyDescent="0.25">
      <c r="B619" t="s">
        <v>605</v>
      </c>
    </row>
    <row r="620" spans="2:2" x14ac:dyDescent="0.25">
      <c r="B620" t="s">
        <v>606</v>
      </c>
    </row>
    <row r="621" spans="2:2" x14ac:dyDescent="0.25">
      <c r="B621" t="s">
        <v>607</v>
      </c>
    </row>
    <row r="622" spans="2:2" x14ac:dyDescent="0.25">
      <c r="B622" t="s">
        <v>608</v>
      </c>
    </row>
    <row r="623" spans="2:2" x14ac:dyDescent="0.25">
      <c r="B623" t="s">
        <v>609</v>
      </c>
    </row>
    <row r="624" spans="2:2" x14ac:dyDescent="0.25">
      <c r="B624" t="s">
        <v>610</v>
      </c>
    </row>
    <row r="625" spans="2:2" x14ac:dyDescent="0.25">
      <c r="B625" t="s">
        <v>611</v>
      </c>
    </row>
    <row r="626" spans="2:2" x14ac:dyDescent="0.25">
      <c r="B626" t="s">
        <v>612</v>
      </c>
    </row>
    <row r="627" spans="2:2" x14ac:dyDescent="0.25">
      <c r="B627" t="s">
        <v>613</v>
      </c>
    </row>
    <row r="628" spans="2:2" x14ac:dyDescent="0.25">
      <c r="B628" t="s">
        <v>614</v>
      </c>
    </row>
    <row r="629" spans="2:2" x14ac:dyDescent="0.25">
      <c r="B629" t="s">
        <v>615</v>
      </c>
    </row>
    <row r="630" spans="2:2" x14ac:dyDescent="0.25">
      <c r="B630" t="s">
        <v>616</v>
      </c>
    </row>
    <row r="631" spans="2:2" x14ac:dyDescent="0.25">
      <c r="B631" t="s">
        <v>617</v>
      </c>
    </row>
    <row r="632" spans="2:2" x14ac:dyDescent="0.25">
      <c r="B632" t="s">
        <v>618</v>
      </c>
    </row>
    <row r="633" spans="2:2" x14ac:dyDescent="0.25">
      <c r="B633" t="s">
        <v>619</v>
      </c>
    </row>
    <row r="634" spans="2:2" x14ac:dyDescent="0.25">
      <c r="B634" t="s">
        <v>620</v>
      </c>
    </row>
    <row r="635" spans="2:2" x14ac:dyDescent="0.25">
      <c r="B635" t="s">
        <v>621</v>
      </c>
    </row>
    <row r="636" spans="2:2" x14ac:dyDescent="0.25">
      <c r="B636" t="s">
        <v>622</v>
      </c>
    </row>
    <row r="637" spans="2:2" x14ac:dyDescent="0.25">
      <c r="B637" t="s">
        <v>623</v>
      </c>
    </row>
    <row r="638" spans="2:2" x14ac:dyDescent="0.25">
      <c r="B638" t="s">
        <v>624</v>
      </c>
    </row>
    <row r="639" spans="2:2" x14ac:dyDescent="0.25">
      <c r="B639" t="s">
        <v>625</v>
      </c>
    </row>
    <row r="640" spans="2:2" x14ac:dyDescent="0.25">
      <c r="B640" t="s">
        <v>626</v>
      </c>
    </row>
    <row r="641" spans="2:2" x14ac:dyDescent="0.25">
      <c r="B641" t="s">
        <v>627</v>
      </c>
    </row>
    <row r="642" spans="2:2" x14ac:dyDescent="0.25">
      <c r="B642" t="s">
        <v>628</v>
      </c>
    </row>
    <row r="643" spans="2:2" x14ac:dyDescent="0.25">
      <c r="B643" t="s">
        <v>629</v>
      </c>
    </row>
    <row r="644" spans="2:2" x14ac:dyDescent="0.25">
      <c r="B644" t="s">
        <v>630</v>
      </c>
    </row>
    <row r="645" spans="2:2" x14ac:dyDescent="0.25">
      <c r="B645" t="s">
        <v>631</v>
      </c>
    </row>
    <row r="646" spans="2:2" x14ac:dyDescent="0.25">
      <c r="B646" t="s">
        <v>632</v>
      </c>
    </row>
    <row r="647" spans="2:2" x14ac:dyDescent="0.25">
      <c r="B647" t="s">
        <v>633</v>
      </c>
    </row>
    <row r="648" spans="2:2" x14ac:dyDescent="0.25">
      <c r="B648" t="s">
        <v>634</v>
      </c>
    </row>
    <row r="649" spans="2:2" x14ac:dyDescent="0.25">
      <c r="B649" t="s">
        <v>635</v>
      </c>
    </row>
    <row r="650" spans="2:2" x14ac:dyDescent="0.25">
      <c r="B650" t="s">
        <v>636</v>
      </c>
    </row>
    <row r="651" spans="2:2" x14ac:dyDescent="0.25">
      <c r="B651" t="s">
        <v>637</v>
      </c>
    </row>
    <row r="652" spans="2:2" x14ac:dyDescent="0.25">
      <c r="B652" t="s">
        <v>638</v>
      </c>
    </row>
    <row r="653" spans="2:2" x14ac:dyDescent="0.25">
      <c r="B653" t="s">
        <v>639</v>
      </c>
    </row>
    <row r="654" spans="2:2" x14ac:dyDescent="0.25">
      <c r="B654" t="s">
        <v>640</v>
      </c>
    </row>
    <row r="655" spans="2:2" x14ac:dyDescent="0.25">
      <c r="B655" t="s">
        <v>641</v>
      </c>
    </row>
    <row r="656" spans="2:2" x14ac:dyDescent="0.25">
      <c r="B656" t="s">
        <v>642</v>
      </c>
    </row>
    <row r="657" spans="2:2" x14ac:dyDescent="0.25">
      <c r="B657" t="s">
        <v>643</v>
      </c>
    </row>
    <row r="658" spans="2:2" x14ac:dyDescent="0.25">
      <c r="B658" t="s">
        <v>644</v>
      </c>
    </row>
    <row r="659" spans="2:2" x14ac:dyDescent="0.25">
      <c r="B659" t="s">
        <v>645</v>
      </c>
    </row>
    <row r="660" spans="2:2" x14ac:dyDescent="0.25">
      <c r="B660" t="s">
        <v>646</v>
      </c>
    </row>
    <row r="661" spans="2:2" x14ac:dyDescent="0.25">
      <c r="B661" t="s">
        <v>647</v>
      </c>
    </row>
    <row r="662" spans="2:2" x14ac:dyDescent="0.25">
      <c r="B662" t="s">
        <v>648</v>
      </c>
    </row>
    <row r="663" spans="2:2" x14ac:dyDescent="0.25">
      <c r="B663" t="s">
        <v>649</v>
      </c>
    </row>
    <row r="664" spans="2:2" x14ac:dyDescent="0.25">
      <c r="B664" t="s">
        <v>650</v>
      </c>
    </row>
    <row r="665" spans="2:2" x14ac:dyDescent="0.25">
      <c r="B665" t="s">
        <v>651</v>
      </c>
    </row>
    <row r="666" spans="2:2" x14ac:dyDescent="0.25">
      <c r="B666" t="s">
        <v>652</v>
      </c>
    </row>
    <row r="667" spans="2:2" x14ac:dyDescent="0.25">
      <c r="B667" t="s">
        <v>653</v>
      </c>
    </row>
    <row r="668" spans="2:2" x14ac:dyDescent="0.25">
      <c r="B668" t="s">
        <v>654</v>
      </c>
    </row>
    <row r="669" spans="2:2" x14ac:dyDescent="0.25">
      <c r="B669" t="s">
        <v>655</v>
      </c>
    </row>
    <row r="670" spans="2:2" x14ac:dyDescent="0.25">
      <c r="B670" t="s">
        <v>656</v>
      </c>
    </row>
    <row r="671" spans="2:2" x14ac:dyDescent="0.25">
      <c r="B671" t="s">
        <v>657</v>
      </c>
    </row>
    <row r="672" spans="2:2" x14ac:dyDescent="0.25">
      <c r="B672" t="s">
        <v>658</v>
      </c>
    </row>
    <row r="673" spans="2:2" x14ac:dyDescent="0.25">
      <c r="B673" t="s">
        <v>659</v>
      </c>
    </row>
    <row r="674" spans="2:2" x14ac:dyDescent="0.25">
      <c r="B674" t="s">
        <v>660</v>
      </c>
    </row>
    <row r="675" spans="2:2" x14ac:dyDescent="0.25">
      <c r="B675" t="s">
        <v>661</v>
      </c>
    </row>
    <row r="676" spans="2:2" x14ac:dyDescent="0.25">
      <c r="B676" t="s">
        <v>662</v>
      </c>
    </row>
    <row r="677" spans="2:2" x14ac:dyDescent="0.25">
      <c r="B677" t="s">
        <v>663</v>
      </c>
    </row>
    <row r="678" spans="2:2" x14ac:dyDescent="0.25">
      <c r="B678" t="s">
        <v>664</v>
      </c>
    </row>
    <row r="679" spans="2:2" x14ac:dyDescent="0.25">
      <c r="B679" t="s">
        <v>665</v>
      </c>
    </row>
    <row r="680" spans="2:2" x14ac:dyDescent="0.25">
      <c r="B680" t="s">
        <v>666</v>
      </c>
    </row>
    <row r="681" spans="2:2" x14ac:dyDescent="0.25">
      <c r="B681" t="s">
        <v>667</v>
      </c>
    </row>
    <row r="682" spans="2:2" x14ac:dyDescent="0.25">
      <c r="B682" t="s">
        <v>668</v>
      </c>
    </row>
    <row r="683" spans="2:2" x14ac:dyDescent="0.25">
      <c r="B683" t="s">
        <v>669</v>
      </c>
    </row>
    <row r="684" spans="2:2" x14ac:dyDescent="0.25">
      <c r="B684" t="s">
        <v>670</v>
      </c>
    </row>
    <row r="685" spans="2:2" x14ac:dyDescent="0.25">
      <c r="B685" t="s">
        <v>671</v>
      </c>
    </row>
    <row r="686" spans="2:2" x14ac:dyDescent="0.25">
      <c r="B686" t="s">
        <v>672</v>
      </c>
    </row>
    <row r="687" spans="2:2" x14ac:dyDescent="0.25">
      <c r="B687" t="s">
        <v>673</v>
      </c>
    </row>
    <row r="688" spans="2:2" x14ac:dyDescent="0.25">
      <c r="B688" t="s">
        <v>674</v>
      </c>
    </row>
    <row r="689" spans="2:2" x14ac:dyDescent="0.25">
      <c r="B689" t="s">
        <v>675</v>
      </c>
    </row>
    <row r="690" spans="2:2" x14ac:dyDescent="0.25">
      <c r="B690" t="s">
        <v>676</v>
      </c>
    </row>
    <row r="691" spans="2:2" x14ac:dyDescent="0.25">
      <c r="B691" t="s">
        <v>677</v>
      </c>
    </row>
    <row r="692" spans="2:2" x14ac:dyDescent="0.25">
      <c r="B692" t="s">
        <v>678</v>
      </c>
    </row>
    <row r="693" spans="2:2" x14ac:dyDescent="0.25">
      <c r="B693" t="s">
        <v>679</v>
      </c>
    </row>
    <row r="694" spans="2:2" x14ac:dyDescent="0.25">
      <c r="B694" t="s">
        <v>680</v>
      </c>
    </row>
    <row r="695" spans="2:2" x14ac:dyDescent="0.25">
      <c r="B695" t="s">
        <v>681</v>
      </c>
    </row>
    <row r="696" spans="2:2" x14ac:dyDescent="0.25">
      <c r="B696" t="s">
        <v>682</v>
      </c>
    </row>
    <row r="697" spans="2:2" x14ac:dyDescent="0.25">
      <c r="B697" t="s">
        <v>683</v>
      </c>
    </row>
    <row r="698" spans="2:2" x14ac:dyDescent="0.25">
      <c r="B698" t="s">
        <v>684</v>
      </c>
    </row>
    <row r="699" spans="2:2" x14ac:dyDescent="0.25">
      <c r="B699" t="s">
        <v>685</v>
      </c>
    </row>
    <row r="700" spans="2:2" x14ac:dyDescent="0.25">
      <c r="B700" t="s">
        <v>686</v>
      </c>
    </row>
    <row r="701" spans="2:2" x14ac:dyDescent="0.25">
      <c r="B701" t="s">
        <v>687</v>
      </c>
    </row>
    <row r="702" spans="2:2" x14ac:dyDescent="0.25">
      <c r="B702" t="s">
        <v>688</v>
      </c>
    </row>
    <row r="703" spans="2:2" x14ac:dyDescent="0.25">
      <c r="B703" t="s">
        <v>689</v>
      </c>
    </row>
    <row r="704" spans="2:2" x14ac:dyDescent="0.25">
      <c r="B704" t="s">
        <v>690</v>
      </c>
    </row>
    <row r="705" spans="2:2" x14ac:dyDescent="0.25">
      <c r="B705" t="s">
        <v>691</v>
      </c>
    </row>
    <row r="706" spans="2:2" x14ac:dyDescent="0.25">
      <c r="B706" t="s">
        <v>692</v>
      </c>
    </row>
    <row r="707" spans="2:2" x14ac:dyDescent="0.25">
      <c r="B707" t="s">
        <v>693</v>
      </c>
    </row>
    <row r="708" spans="2:2" x14ac:dyDescent="0.25">
      <c r="B708" t="s">
        <v>694</v>
      </c>
    </row>
    <row r="709" spans="2:2" x14ac:dyDescent="0.25">
      <c r="B709" t="s">
        <v>695</v>
      </c>
    </row>
    <row r="710" spans="2:2" x14ac:dyDescent="0.25">
      <c r="B710" t="s">
        <v>696</v>
      </c>
    </row>
    <row r="711" spans="2:2" x14ac:dyDescent="0.25">
      <c r="B711" t="s">
        <v>697</v>
      </c>
    </row>
    <row r="712" spans="2:2" x14ac:dyDescent="0.25">
      <c r="B712" t="s">
        <v>698</v>
      </c>
    </row>
    <row r="713" spans="2:2" x14ac:dyDescent="0.25">
      <c r="B713" t="s">
        <v>699</v>
      </c>
    </row>
    <row r="714" spans="2:2" x14ac:dyDescent="0.25">
      <c r="B714" t="s">
        <v>700</v>
      </c>
    </row>
    <row r="715" spans="2:2" x14ac:dyDescent="0.25">
      <c r="B715" t="s">
        <v>701</v>
      </c>
    </row>
    <row r="716" spans="2:2" x14ac:dyDescent="0.25">
      <c r="B716" t="s">
        <v>702</v>
      </c>
    </row>
    <row r="717" spans="2:2" x14ac:dyDescent="0.25">
      <c r="B717" t="s">
        <v>703</v>
      </c>
    </row>
    <row r="718" spans="2:2" x14ac:dyDescent="0.25">
      <c r="B718" t="s">
        <v>704</v>
      </c>
    </row>
    <row r="719" spans="2:2" x14ac:dyDescent="0.25">
      <c r="B719" t="s">
        <v>705</v>
      </c>
    </row>
    <row r="720" spans="2:2" x14ac:dyDescent="0.25">
      <c r="B720" t="s">
        <v>706</v>
      </c>
    </row>
    <row r="721" spans="2:2" x14ac:dyDescent="0.25">
      <c r="B721" t="s">
        <v>707</v>
      </c>
    </row>
    <row r="722" spans="2:2" x14ac:dyDescent="0.25">
      <c r="B722" t="s">
        <v>708</v>
      </c>
    </row>
    <row r="723" spans="2:2" x14ac:dyDescent="0.25">
      <c r="B723" t="s">
        <v>709</v>
      </c>
    </row>
    <row r="724" spans="2:2" x14ac:dyDescent="0.25">
      <c r="B724" t="s">
        <v>710</v>
      </c>
    </row>
    <row r="725" spans="2:2" x14ac:dyDescent="0.25">
      <c r="B725" t="s">
        <v>711</v>
      </c>
    </row>
    <row r="726" spans="2:2" x14ac:dyDescent="0.25">
      <c r="B726" t="s">
        <v>712</v>
      </c>
    </row>
    <row r="727" spans="2:2" x14ac:dyDescent="0.25">
      <c r="B727" t="s">
        <v>713</v>
      </c>
    </row>
    <row r="728" spans="2:2" x14ac:dyDescent="0.25">
      <c r="B728" t="s">
        <v>714</v>
      </c>
    </row>
    <row r="729" spans="2:2" x14ac:dyDescent="0.25">
      <c r="B729" t="s">
        <v>715</v>
      </c>
    </row>
    <row r="730" spans="2:2" x14ac:dyDescent="0.25">
      <c r="B730" t="s">
        <v>716</v>
      </c>
    </row>
    <row r="731" spans="2:2" x14ac:dyDescent="0.25">
      <c r="B731" t="s">
        <v>717</v>
      </c>
    </row>
    <row r="732" spans="2:2" x14ac:dyDescent="0.25">
      <c r="B732" t="s">
        <v>718</v>
      </c>
    </row>
    <row r="733" spans="2:2" x14ac:dyDescent="0.25">
      <c r="B733" t="s">
        <v>719</v>
      </c>
    </row>
    <row r="734" spans="2:2" x14ac:dyDescent="0.25">
      <c r="B734" t="s">
        <v>720</v>
      </c>
    </row>
    <row r="735" spans="2:2" x14ac:dyDescent="0.25">
      <c r="B735" t="s">
        <v>721</v>
      </c>
    </row>
    <row r="736" spans="2:2" x14ac:dyDescent="0.25">
      <c r="B736" t="s">
        <v>722</v>
      </c>
    </row>
    <row r="737" spans="2:2" x14ac:dyDescent="0.25">
      <c r="B737" t="s">
        <v>723</v>
      </c>
    </row>
    <row r="738" spans="2:2" x14ac:dyDescent="0.25">
      <c r="B738" t="s">
        <v>724</v>
      </c>
    </row>
    <row r="739" spans="2:2" x14ac:dyDescent="0.25">
      <c r="B739" t="s">
        <v>725</v>
      </c>
    </row>
    <row r="740" spans="2:2" x14ac:dyDescent="0.25">
      <c r="B740" t="s">
        <v>726</v>
      </c>
    </row>
    <row r="741" spans="2:2" x14ac:dyDescent="0.25">
      <c r="B741" t="s">
        <v>727</v>
      </c>
    </row>
    <row r="742" spans="2:2" x14ac:dyDescent="0.25">
      <c r="B742" t="s">
        <v>728</v>
      </c>
    </row>
    <row r="743" spans="2:2" x14ac:dyDescent="0.25">
      <c r="B743" t="s">
        <v>729</v>
      </c>
    </row>
    <row r="744" spans="2:2" x14ac:dyDescent="0.25">
      <c r="B744" t="s">
        <v>730</v>
      </c>
    </row>
    <row r="745" spans="2:2" x14ac:dyDescent="0.25">
      <c r="B745" t="s">
        <v>731</v>
      </c>
    </row>
    <row r="746" spans="2:2" x14ac:dyDescent="0.25">
      <c r="B746" t="s">
        <v>732</v>
      </c>
    </row>
    <row r="747" spans="2:2" x14ac:dyDescent="0.25">
      <c r="B747" t="s">
        <v>733</v>
      </c>
    </row>
    <row r="748" spans="2:2" x14ac:dyDescent="0.25">
      <c r="B748" t="s">
        <v>734</v>
      </c>
    </row>
    <row r="749" spans="2:2" x14ac:dyDescent="0.25">
      <c r="B749" t="s">
        <v>735</v>
      </c>
    </row>
    <row r="750" spans="2:2" x14ac:dyDescent="0.25">
      <c r="B750" t="s">
        <v>736</v>
      </c>
    </row>
    <row r="751" spans="2:2" x14ac:dyDescent="0.25">
      <c r="B751" t="s">
        <v>737</v>
      </c>
    </row>
    <row r="752" spans="2:2" x14ac:dyDescent="0.25">
      <c r="B752" t="s">
        <v>738</v>
      </c>
    </row>
    <row r="753" spans="2:2" x14ac:dyDescent="0.25">
      <c r="B753" t="s">
        <v>739</v>
      </c>
    </row>
    <row r="754" spans="2:2" x14ac:dyDescent="0.25">
      <c r="B754" t="s">
        <v>740</v>
      </c>
    </row>
    <row r="755" spans="2:2" x14ac:dyDescent="0.25">
      <c r="B755" t="s">
        <v>741</v>
      </c>
    </row>
    <row r="756" spans="2:2" x14ac:dyDescent="0.25">
      <c r="B756" t="s">
        <v>742</v>
      </c>
    </row>
    <row r="757" spans="2:2" x14ac:dyDescent="0.25">
      <c r="B757" t="s">
        <v>743</v>
      </c>
    </row>
    <row r="758" spans="2:2" x14ac:dyDescent="0.25">
      <c r="B758" t="s">
        <v>744</v>
      </c>
    </row>
    <row r="759" spans="2:2" x14ac:dyDescent="0.25">
      <c r="B759" t="s">
        <v>745</v>
      </c>
    </row>
    <row r="760" spans="2:2" x14ac:dyDescent="0.25">
      <c r="B760" t="s">
        <v>746</v>
      </c>
    </row>
    <row r="761" spans="2:2" x14ac:dyDescent="0.25">
      <c r="B761" t="s">
        <v>747</v>
      </c>
    </row>
    <row r="762" spans="2:2" x14ac:dyDescent="0.25">
      <c r="B762" t="s">
        <v>748</v>
      </c>
    </row>
    <row r="763" spans="2:2" x14ac:dyDescent="0.25">
      <c r="B763" t="s">
        <v>749</v>
      </c>
    </row>
    <row r="764" spans="2:2" x14ac:dyDescent="0.25">
      <c r="B764" t="s">
        <v>750</v>
      </c>
    </row>
    <row r="765" spans="2:2" x14ac:dyDescent="0.25">
      <c r="B765" t="s">
        <v>751</v>
      </c>
    </row>
    <row r="766" spans="2:2" x14ac:dyDescent="0.25">
      <c r="B766" t="s">
        <v>752</v>
      </c>
    </row>
    <row r="767" spans="2:2" x14ac:dyDescent="0.25">
      <c r="B767" t="s">
        <v>753</v>
      </c>
    </row>
    <row r="768" spans="2:2" x14ac:dyDescent="0.25">
      <c r="B768" t="s">
        <v>754</v>
      </c>
    </row>
    <row r="769" spans="2:2" x14ac:dyDescent="0.25">
      <c r="B769" t="s">
        <v>755</v>
      </c>
    </row>
    <row r="770" spans="2:2" x14ac:dyDescent="0.25">
      <c r="B770" t="s">
        <v>756</v>
      </c>
    </row>
    <row r="771" spans="2:2" x14ac:dyDescent="0.25">
      <c r="B771" t="s">
        <v>757</v>
      </c>
    </row>
    <row r="772" spans="2:2" x14ac:dyDescent="0.25">
      <c r="B772" t="s">
        <v>758</v>
      </c>
    </row>
    <row r="773" spans="2:2" x14ac:dyDescent="0.25">
      <c r="B773" t="s">
        <v>759</v>
      </c>
    </row>
    <row r="774" spans="2:2" x14ac:dyDescent="0.25">
      <c r="B774" t="s">
        <v>760</v>
      </c>
    </row>
    <row r="775" spans="2:2" x14ac:dyDescent="0.25">
      <c r="B775" t="s">
        <v>761</v>
      </c>
    </row>
    <row r="776" spans="2:2" x14ac:dyDescent="0.25">
      <c r="B776" t="s">
        <v>762</v>
      </c>
    </row>
    <row r="777" spans="2:2" x14ac:dyDescent="0.25">
      <c r="B777" t="s">
        <v>763</v>
      </c>
    </row>
    <row r="778" spans="2:2" x14ac:dyDescent="0.25">
      <c r="B778" t="s">
        <v>764</v>
      </c>
    </row>
    <row r="779" spans="2:2" x14ac:dyDescent="0.25">
      <c r="B779" t="s">
        <v>765</v>
      </c>
    </row>
    <row r="780" spans="2:2" x14ac:dyDescent="0.25">
      <c r="B780" t="s">
        <v>766</v>
      </c>
    </row>
    <row r="781" spans="2:2" x14ac:dyDescent="0.25">
      <c r="B781" t="s">
        <v>767</v>
      </c>
    </row>
    <row r="782" spans="2:2" x14ac:dyDescent="0.25">
      <c r="B782" t="s">
        <v>768</v>
      </c>
    </row>
    <row r="783" spans="2:2" x14ac:dyDescent="0.25">
      <c r="B783" t="s">
        <v>769</v>
      </c>
    </row>
    <row r="784" spans="2:2" x14ac:dyDescent="0.25">
      <c r="B784" t="s">
        <v>770</v>
      </c>
    </row>
    <row r="785" spans="2:2" x14ac:dyDescent="0.25">
      <c r="B785" t="s">
        <v>771</v>
      </c>
    </row>
    <row r="786" spans="2:2" x14ac:dyDescent="0.25">
      <c r="B786" t="s">
        <v>772</v>
      </c>
    </row>
    <row r="787" spans="2:2" x14ac:dyDescent="0.25">
      <c r="B787" t="s">
        <v>773</v>
      </c>
    </row>
    <row r="788" spans="2:2" x14ac:dyDescent="0.25">
      <c r="B788" t="s">
        <v>774</v>
      </c>
    </row>
    <row r="789" spans="2:2" x14ac:dyDescent="0.25">
      <c r="B789" t="s">
        <v>775</v>
      </c>
    </row>
    <row r="790" spans="2:2" x14ac:dyDescent="0.25">
      <c r="B790" t="s">
        <v>776</v>
      </c>
    </row>
    <row r="791" spans="2:2" x14ac:dyDescent="0.25">
      <c r="B791" t="s">
        <v>777</v>
      </c>
    </row>
    <row r="792" spans="2:2" x14ac:dyDescent="0.25">
      <c r="B792" t="s">
        <v>778</v>
      </c>
    </row>
    <row r="793" spans="2:2" x14ac:dyDescent="0.25">
      <c r="B793" t="s">
        <v>779</v>
      </c>
    </row>
    <row r="794" spans="2:2" x14ac:dyDescent="0.25">
      <c r="B794" t="s">
        <v>780</v>
      </c>
    </row>
    <row r="795" spans="2:2" x14ac:dyDescent="0.25">
      <c r="B795" t="s">
        <v>781</v>
      </c>
    </row>
    <row r="796" spans="2:2" x14ac:dyDescent="0.25">
      <c r="B796" t="s">
        <v>782</v>
      </c>
    </row>
    <row r="797" spans="2:2" x14ac:dyDescent="0.25">
      <c r="B797" t="s">
        <v>783</v>
      </c>
    </row>
    <row r="798" spans="2:2" x14ac:dyDescent="0.25">
      <c r="B798" t="s">
        <v>784</v>
      </c>
    </row>
    <row r="799" spans="2:2" x14ac:dyDescent="0.25">
      <c r="B799" t="s">
        <v>785</v>
      </c>
    </row>
    <row r="800" spans="2:2" x14ac:dyDescent="0.25">
      <c r="B800" t="s">
        <v>786</v>
      </c>
    </row>
    <row r="801" spans="2:2" x14ac:dyDescent="0.25">
      <c r="B801" t="s">
        <v>787</v>
      </c>
    </row>
    <row r="802" spans="2:2" x14ac:dyDescent="0.25">
      <c r="B802" t="s">
        <v>788</v>
      </c>
    </row>
    <row r="803" spans="2:2" x14ac:dyDescent="0.25">
      <c r="B803" t="s">
        <v>789</v>
      </c>
    </row>
    <row r="804" spans="2:2" x14ac:dyDescent="0.25">
      <c r="B804" t="s">
        <v>790</v>
      </c>
    </row>
    <row r="805" spans="2:2" x14ac:dyDescent="0.25">
      <c r="B805" t="s">
        <v>791</v>
      </c>
    </row>
    <row r="806" spans="2:2" x14ac:dyDescent="0.25">
      <c r="B806" t="s">
        <v>792</v>
      </c>
    </row>
    <row r="807" spans="2:2" x14ac:dyDescent="0.25">
      <c r="B807" t="s">
        <v>793</v>
      </c>
    </row>
    <row r="808" spans="2:2" x14ac:dyDescent="0.25">
      <c r="B808" t="s">
        <v>794</v>
      </c>
    </row>
    <row r="809" spans="2:2" x14ac:dyDescent="0.25">
      <c r="B809" t="s">
        <v>795</v>
      </c>
    </row>
    <row r="810" spans="2:2" x14ac:dyDescent="0.25">
      <c r="B810" t="s">
        <v>796</v>
      </c>
    </row>
    <row r="811" spans="2:2" x14ac:dyDescent="0.25">
      <c r="B811" t="s">
        <v>797</v>
      </c>
    </row>
    <row r="812" spans="2:2" x14ac:dyDescent="0.25">
      <c r="B812" t="s">
        <v>798</v>
      </c>
    </row>
    <row r="813" spans="2:2" x14ac:dyDescent="0.25">
      <c r="B813" t="s">
        <v>799</v>
      </c>
    </row>
    <row r="814" spans="2:2" x14ac:dyDescent="0.25">
      <c r="B814" t="s">
        <v>800</v>
      </c>
    </row>
    <row r="815" spans="2:2" x14ac:dyDescent="0.25">
      <c r="B815" t="s">
        <v>801</v>
      </c>
    </row>
    <row r="816" spans="2:2" x14ac:dyDescent="0.25">
      <c r="B816" t="s">
        <v>802</v>
      </c>
    </row>
    <row r="817" spans="2:2" x14ac:dyDescent="0.25">
      <c r="B817" t="s">
        <v>803</v>
      </c>
    </row>
    <row r="818" spans="2:2" x14ac:dyDescent="0.25">
      <c r="B818" t="s">
        <v>804</v>
      </c>
    </row>
    <row r="819" spans="2:2" x14ac:dyDescent="0.25">
      <c r="B819" t="s">
        <v>805</v>
      </c>
    </row>
    <row r="820" spans="2:2" x14ac:dyDescent="0.25">
      <c r="B820" t="s">
        <v>806</v>
      </c>
    </row>
    <row r="821" spans="2:2" x14ac:dyDescent="0.25">
      <c r="B821" t="s">
        <v>807</v>
      </c>
    </row>
    <row r="822" spans="2:2" x14ac:dyDescent="0.25">
      <c r="B822" t="s">
        <v>808</v>
      </c>
    </row>
    <row r="823" spans="2:2" x14ac:dyDescent="0.25">
      <c r="B823" t="s">
        <v>809</v>
      </c>
    </row>
    <row r="824" spans="2:2" x14ac:dyDescent="0.25">
      <c r="B824" t="s">
        <v>810</v>
      </c>
    </row>
    <row r="825" spans="2:2" x14ac:dyDescent="0.25">
      <c r="B825" t="s">
        <v>811</v>
      </c>
    </row>
    <row r="826" spans="2:2" x14ac:dyDescent="0.25">
      <c r="B826" t="s">
        <v>812</v>
      </c>
    </row>
    <row r="827" spans="2:2" x14ac:dyDescent="0.25">
      <c r="B827" t="s">
        <v>813</v>
      </c>
    </row>
    <row r="828" spans="2:2" x14ac:dyDescent="0.25">
      <c r="B828" t="s">
        <v>814</v>
      </c>
    </row>
    <row r="829" spans="2:2" x14ac:dyDescent="0.25">
      <c r="B829" t="s">
        <v>815</v>
      </c>
    </row>
    <row r="830" spans="2:2" x14ac:dyDescent="0.25">
      <c r="B830" t="s">
        <v>816</v>
      </c>
    </row>
    <row r="831" spans="2:2" x14ac:dyDescent="0.25">
      <c r="B831" t="s">
        <v>817</v>
      </c>
    </row>
    <row r="832" spans="2:2" x14ac:dyDescent="0.25">
      <c r="B832" t="s">
        <v>818</v>
      </c>
    </row>
    <row r="833" spans="2:2" x14ac:dyDescent="0.25">
      <c r="B833" t="s">
        <v>819</v>
      </c>
    </row>
    <row r="834" spans="2:2" x14ac:dyDescent="0.25">
      <c r="B834" t="s">
        <v>820</v>
      </c>
    </row>
    <row r="835" spans="2:2" x14ac:dyDescent="0.25">
      <c r="B835" t="s">
        <v>821</v>
      </c>
    </row>
    <row r="836" spans="2:2" x14ac:dyDescent="0.25">
      <c r="B836" t="s">
        <v>822</v>
      </c>
    </row>
    <row r="837" spans="2:2" x14ac:dyDescent="0.25">
      <c r="B837" t="s">
        <v>823</v>
      </c>
    </row>
    <row r="838" spans="2:2" x14ac:dyDescent="0.25">
      <c r="B838" t="s">
        <v>824</v>
      </c>
    </row>
    <row r="839" spans="2:2" x14ac:dyDescent="0.25">
      <c r="B839" t="s">
        <v>825</v>
      </c>
    </row>
    <row r="840" spans="2:2" x14ac:dyDescent="0.25">
      <c r="B840" t="s">
        <v>826</v>
      </c>
    </row>
    <row r="841" spans="2:2" x14ac:dyDescent="0.25">
      <c r="B841" t="s">
        <v>827</v>
      </c>
    </row>
    <row r="842" spans="2:2" x14ac:dyDescent="0.25">
      <c r="B842" t="s">
        <v>828</v>
      </c>
    </row>
    <row r="843" spans="2:2" x14ac:dyDescent="0.25">
      <c r="B843" t="s">
        <v>829</v>
      </c>
    </row>
    <row r="844" spans="2:2" x14ac:dyDescent="0.25">
      <c r="B844" t="s">
        <v>830</v>
      </c>
    </row>
    <row r="845" spans="2:2" x14ac:dyDescent="0.25">
      <c r="B845" t="s">
        <v>831</v>
      </c>
    </row>
    <row r="846" spans="2:2" x14ac:dyDescent="0.25">
      <c r="B846" t="s">
        <v>832</v>
      </c>
    </row>
    <row r="847" spans="2:2" x14ac:dyDescent="0.25">
      <c r="B847" t="s">
        <v>833</v>
      </c>
    </row>
    <row r="848" spans="2:2" x14ac:dyDescent="0.25">
      <c r="B848" t="s">
        <v>834</v>
      </c>
    </row>
    <row r="849" spans="2:2" x14ac:dyDescent="0.25">
      <c r="B849" t="s">
        <v>835</v>
      </c>
    </row>
    <row r="850" spans="2:2" x14ac:dyDescent="0.25">
      <c r="B850" t="s">
        <v>836</v>
      </c>
    </row>
    <row r="851" spans="2:2" x14ac:dyDescent="0.25">
      <c r="B851" t="s">
        <v>837</v>
      </c>
    </row>
    <row r="852" spans="2:2" x14ac:dyDescent="0.25">
      <c r="B852" t="s">
        <v>838</v>
      </c>
    </row>
    <row r="853" spans="2:2" x14ac:dyDescent="0.25">
      <c r="B853" t="s">
        <v>839</v>
      </c>
    </row>
    <row r="854" spans="2:2" x14ac:dyDescent="0.25">
      <c r="B854" t="s">
        <v>840</v>
      </c>
    </row>
    <row r="855" spans="2:2" x14ac:dyDescent="0.25">
      <c r="B855" t="s">
        <v>841</v>
      </c>
    </row>
    <row r="856" spans="2:2" x14ac:dyDescent="0.25">
      <c r="B856" t="s">
        <v>842</v>
      </c>
    </row>
    <row r="857" spans="2:2" x14ac:dyDescent="0.25">
      <c r="B857" t="s">
        <v>843</v>
      </c>
    </row>
    <row r="858" spans="2:2" x14ac:dyDescent="0.25">
      <c r="B858" t="s">
        <v>844</v>
      </c>
    </row>
    <row r="859" spans="2:2" x14ac:dyDescent="0.25">
      <c r="B859" t="s">
        <v>845</v>
      </c>
    </row>
    <row r="860" spans="2:2" x14ac:dyDescent="0.25">
      <c r="B860" t="s">
        <v>846</v>
      </c>
    </row>
    <row r="861" spans="2:2" x14ac:dyDescent="0.25">
      <c r="B861" t="s">
        <v>847</v>
      </c>
    </row>
    <row r="862" spans="2:2" x14ac:dyDescent="0.25">
      <c r="B862" t="s">
        <v>848</v>
      </c>
    </row>
    <row r="863" spans="2:2" x14ac:dyDescent="0.25">
      <c r="B863" t="s">
        <v>849</v>
      </c>
    </row>
    <row r="864" spans="2:2" x14ac:dyDescent="0.25">
      <c r="B864" t="s">
        <v>850</v>
      </c>
    </row>
    <row r="865" spans="2:2" x14ac:dyDescent="0.25">
      <c r="B865" t="s">
        <v>851</v>
      </c>
    </row>
    <row r="866" spans="2:2" x14ac:dyDescent="0.25">
      <c r="B866" t="s">
        <v>852</v>
      </c>
    </row>
    <row r="867" spans="2:2" x14ac:dyDescent="0.25">
      <c r="B867" t="s">
        <v>853</v>
      </c>
    </row>
    <row r="868" spans="2:2" x14ac:dyDescent="0.25">
      <c r="B868" t="s">
        <v>854</v>
      </c>
    </row>
    <row r="869" spans="2:2" x14ac:dyDescent="0.25">
      <c r="B869" t="s">
        <v>855</v>
      </c>
    </row>
    <row r="870" spans="2:2" x14ac:dyDescent="0.25">
      <c r="B870" t="s">
        <v>856</v>
      </c>
    </row>
    <row r="871" spans="2:2" x14ac:dyDescent="0.25">
      <c r="B871" t="s">
        <v>857</v>
      </c>
    </row>
    <row r="872" spans="2:2" x14ac:dyDescent="0.25">
      <c r="B872" t="s">
        <v>858</v>
      </c>
    </row>
    <row r="873" spans="2:2" x14ac:dyDescent="0.25">
      <c r="B873" t="s">
        <v>859</v>
      </c>
    </row>
    <row r="874" spans="2:2" x14ac:dyDescent="0.25">
      <c r="B874" t="s">
        <v>860</v>
      </c>
    </row>
    <row r="875" spans="2:2" x14ac:dyDescent="0.25">
      <c r="B875" t="s">
        <v>861</v>
      </c>
    </row>
    <row r="876" spans="2:2" x14ac:dyDescent="0.25">
      <c r="B876" t="s">
        <v>862</v>
      </c>
    </row>
    <row r="877" spans="2:2" x14ac:dyDescent="0.25">
      <c r="B877" t="s">
        <v>863</v>
      </c>
    </row>
    <row r="878" spans="2:2" x14ac:dyDescent="0.25">
      <c r="B878" t="s">
        <v>864</v>
      </c>
    </row>
    <row r="879" spans="2:2" x14ac:dyDescent="0.25">
      <c r="B879" t="s">
        <v>865</v>
      </c>
    </row>
    <row r="880" spans="2:2" x14ac:dyDescent="0.25">
      <c r="B880" t="s">
        <v>866</v>
      </c>
    </row>
    <row r="881" spans="2:2" x14ac:dyDescent="0.25">
      <c r="B881" t="s">
        <v>867</v>
      </c>
    </row>
    <row r="882" spans="2:2" x14ac:dyDescent="0.25">
      <c r="B882" t="s">
        <v>868</v>
      </c>
    </row>
    <row r="883" spans="2:2" x14ac:dyDescent="0.25">
      <c r="B883" t="s">
        <v>869</v>
      </c>
    </row>
    <row r="884" spans="2:2" x14ac:dyDescent="0.25">
      <c r="B884" t="s">
        <v>870</v>
      </c>
    </row>
    <row r="885" spans="2:2" x14ac:dyDescent="0.25">
      <c r="B885" t="s">
        <v>871</v>
      </c>
    </row>
    <row r="886" spans="2:2" x14ac:dyDescent="0.25">
      <c r="B886" t="s">
        <v>872</v>
      </c>
    </row>
    <row r="887" spans="2:2" x14ac:dyDescent="0.25">
      <c r="B887" t="s">
        <v>873</v>
      </c>
    </row>
    <row r="888" spans="2:2" x14ac:dyDescent="0.25">
      <c r="B888" t="s">
        <v>874</v>
      </c>
    </row>
    <row r="889" spans="2:2" x14ac:dyDescent="0.25">
      <c r="B889" t="s">
        <v>875</v>
      </c>
    </row>
    <row r="890" spans="2:2" x14ac:dyDescent="0.25">
      <c r="B890" t="s">
        <v>876</v>
      </c>
    </row>
    <row r="891" spans="2:2" x14ac:dyDescent="0.25">
      <c r="B891" t="s">
        <v>877</v>
      </c>
    </row>
    <row r="892" spans="2:2" x14ac:dyDescent="0.25">
      <c r="B892" t="s">
        <v>878</v>
      </c>
    </row>
    <row r="893" spans="2:2" x14ac:dyDescent="0.25">
      <c r="B893" t="s">
        <v>879</v>
      </c>
    </row>
    <row r="894" spans="2:2" x14ac:dyDescent="0.25">
      <c r="B894" t="s">
        <v>880</v>
      </c>
    </row>
    <row r="895" spans="2:2" x14ac:dyDescent="0.25">
      <c r="B895" t="s">
        <v>881</v>
      </c>
    </row>
    <row r="896" spans="2:2" x14ac:dyDescent="0.25">
      <c r="B896" t="s">
        <v>882</v>
      </c>
    </row>
    <row r="897" spans="2:2" x14ac:dyDescent="0.25">
      <c r="B897" t="s">
        <v>883</v>
      </c>
    </row>
    <row r="898" spans="2:2" x14ac:dyDescent="0.25">
      <c r="B898" t="s">
        <v>884</v>
      </c>
    </row>
    <row r="899" spans="2:2" x14ac:dyDescent="0.25">
      <c r="B899" t="s">
        <v>885</v>
      </c>
    </row>
    <row r="900" spans="2:2" x14ac:dyDescent="0.25">
      <c r="B900" t="s">
        <v>886</v>
      </c>
    </row>
    <row r="901" spans="2:2" x14ac:dyDescent="0.25">
      <c r="B901" t="s">
        <v>887</v>
      </c>
    </row>
    <row r="902" spans="2:2" x14ac:dyDescent="0.25">
      <c r="B902" t="s">
        <v>888</v>
      </c>
    </row>
    <row r="903" spans="2:2" x14ac:dyDescent="0.25">
      <c r="B903" t="s">
        <v>889</v>
      </c>
    </row>
    <row r="904" spans="2:2" x14ac:dyDescent="0.25">
      <c r="B904" t="s">
        <v>890</v>
      </c>
    </row>
    <row r="905" spans="2:2" x14ac:dyDescent="0.25">
      <c r="B905" t="s">
        <v>891</v>
      </c>
    </row>
    <row r="906" spans="2:2" x14ac:dyDescent="0.25">
      <c r="B906" t="s">
        <v>892</v>
      </c>
    </row>
    <row r="907" spans="2:2" x14ac:dyDescent="0.25">
      <c r="B907" t="s">
        <v>893</v>
      </c>
    </row>
    <row r="908" spans="2:2" x14ac:dyDescent="0.25">
      <c r="B908" t="s">
        <v>894</v>
      </c>
    </row>
    <row r="909" spans="2:2" x14ac:dyDescent="0.25">
      <c r="B909" t="s">
        <v>895</v>
      </c>
    </row>
    <row r="910" spans="2:2" x14ac:dyDescent="0.25">
      <c r="B910" t="s">
        <v>896</v>
      </c>
    </row>
    <row r="911" spans="2:2" x14ac:dyDescent="0.25">
      <c r="B911" t="s">
        <v>897</v>
      </c>
    </row>
    <row r="912" spans="2:2" x14ac:dyDescent="0.25">
      <c r="B912" t="s">
        <v>898</v>
      </c>
    </row>
    <row r="913" spans="2:2" x14ac:dyDescent="0.25">
      <c r="B913" t="s">
        <v>899</v>
      </c>
    </row>
    <row r="914" spans="2:2" x14ac:dyDescent="0.25">
      <c r="B914" t="s">
        <v>900</v>
      </c>
    </row>
    <row r="915" spans="2:2" x14ac:dyDescent="0.25">
      <c r="B915" t="s">
        <v>901</v>
      </c>
    </row>
    <row r="916" spans="2:2" x14ac:dyDescent="0.25">
      <c r="B916" t="s">
        <v>902</v>
      </c>
    </row>
    <row r="917" spans="2:2" x14ac:dyDescent="0.25">
      <c r="B917" t="s">
        <v>903</v>
      </c>
    </row>
    <row r="918" spans="2:2" x14ac:dyDescent="0.25">
      <c r="B918" t="s">
        <v>904</v>
      </c>
    </row>
    <row r="919" spans="2:2" x14ac:dyDescent="0.25">
      <c r="B919" t="s">
        <v>905</v>
      </c>
    </row>
    <row r="920" spans="2:2" x14ac:dyDescent="0.25">
      <c r="B920" t="s">
        <v>906</v>
      </c>
    </row>
    <row r="921" spans="2:2" x14ac:dyDescent="0.25">
      <c r="B921" t="s">
        <v>907</v>
      </c>
    </row>
    <row r="922" spans="2:2" x14ac:dyDescent="0.25">
      <c r="B922" t="s">
        <v>908</v>
      </c>
    </row>
    <row r="923" spans="2:2" x14ac:dyDescent="0.25">
      <c r="B923" t="s">
        <v>909</v>
      </c>
    </row>
    <row r="924" spans="2:2" x14ac:dyDescent="0.25">
      <c r="B924" t="s">
        <v>910</v>
      </c>
    </row>
    <row r="925" spans="2:2" x14ac:dyDescent="0.25">
      <c r="B925" t="s">
        <v>911</v>
      </c>
    </row>
    <row r="926" spans="2:2" x14ac:dyDescent="0.25">
      <c r="B926" t="s">
        <v>912</v>
      </c>
    </row>
    <row r="927" spans="2:2" x14ac:dyDescent="0.25">
      <c r="B927" t="s">
        <v>913</v>
      </c>
    </row>
    <row r="928" spans="2:2" x14ac:dyDescent="0.25">
      <c r="B928" t="s">
        <v>914</v>
      </c>
    </row>
    <row r="929" spans="2:2" x14ac:dyDescent="0.25">
      <c r="B929" t="s">
        <v>915</v>
      </c>
    </row>
    <row r="930" spans="2:2" x14ac:dyDescent="0.25">
      <c r="B930" t="s">
        <v>916</v>
      </c>
    </row>
    <row r="931" spans="2:2" x14ac:dyDescent="0.25">
      <c r="B931" t="s">
        <v>917</v>
      </c>
    </row>
    <row r="932" spans="2:2" x14ac:dyDescent="0.25">
      <c r="B932" t="s">
        <v>918</v>
      </c>
    </row>
    <row r="933" spans="2:2" x14ac:dyDescent="0.25">
      <c r="B933" t="s">
        <v>919</v>
      </c>
    </row>
    <row r="934" spans="2:2" x14ac:dyDescent="0.25">
      <c r="B934" t="s">
        <v>920</v>
      </c>
    </row>
    <row r="935" spans="2:2" x14ac:dyDescent="0.25">
      <c r="B935" t="s">
        <v>921</v>
      </c>
    </row>
    <row r="936" spans="2:2" x14ac:dyDescent="0.25">
      <c r="B936" t="s">
        <v>922</v>
      </c>
    </row>
    <row r="937" spans="2:2" x14ac:dyDescent="0.25">
      <c r="B937" t="s">
        <v>923</v>
      </c>
    </row>
    <row r="938" spans="2:2" x14ac:dyDescent="0.25">
      <c r="B938" t="s">
        <v>924</v>
      </c>
    </row>
    <row r="939" spans="2:2" x14ac:dyDescent="0.25">
      <c r="B939" t="s">
        <v>925</v>
      </c>
    </row>
    <row r="940" spans="2:2" x14ac:dyDescent="0.25">
      <c r="B940" t="s">
        <v>926</v>
      </c>
    </row>
    <row r="941" spans="2:2" x14ac:dyDescent="0.25">
      <c r="B941" t="s">
        <v>927</v>
      </c>
    </row>
    <row r="942" spans="2:2" x14ac:dyDescent="0.25">
      <c r="B942" t="s">
        <v>928</v>
      </c>
    </row>
    <row r="943" spans="2:2" x14ac:dyDescent="0.25">
      <c r="B943" t="s">
        <v>929</v>
      </c>
    </row>
    <row r="944" spans="2:2" x14ac:dyDescent="0.25">
      <c r="B944" t="s">
        <v>930</v>
      </c>
    </row>
    <row r="945" spans="2:2" x14ac:dyDescent="0.25">
      <c r="B945" t="s">
        <v>931</v>
      </c>
    </row>
    <row r="946" spans="2:2" x14ac:dyDescent="0.25">
      <c r="B946" t="s">
        <v>932</v>
      </c>
    </row>
    <row r="947" spans="2:2" x14ac:dyDescent="0.25">
      <c r="B947" t="s">
        <v>933</v>
      </c>
    </row>
    <row r="948" spans="2:2" x14ac:dyDescent="0.25">
      <c r="B948" t="s">
        <v>934</v>
      </c>
    </row>
    <row r="949" spans="2:2" x14ac:dyDescent="0.25">
      <c r="B949" t="s">
        <v>935</v>
      </c>
    </row>
    <row r="950" spans="2:2" x14ac:dyDescent="0.25">
      <c r="B950" t="s">
        <v>936</v>
      </c>
    </row>
    <row r="951" spans="2:2" x14ac:dyDescent="0.25">
      <c r="B951" t="s">
        <v>937</v>
      </c>
    </row>
    <row r="952" spans="2:2" x14ac:dyDescent="0.25">
      <c r="B952" t="s">
        <v>938</v>
      </c>
    </row>
    <row r="953" spans="2:2" x14ac:dyDescent="0.25">
      <c r="B953" t="s">
        <v>939</v>
      </c>
    </row>
    <row r="954" spans="2:2" x14ac:dyDescent="0.25">
      <c r="B954" t="s">
        <v>940</v>
      </c>
    </row>
    <row r="955" spans="2:2" x14ac:dyDescent="0.25">
      <c r="B955" t="s">
        <v>941</v>
      </c>
    </row>
    <row r="956" spans="2:2" x14ac:dyDescent="0.25">
      <c r="B956" t="s">
        <v>942</v>
      </c>
    </row>
    <row r="957" spans="2:2" x14ac:dyDescent="0.25">
      <c r="B957" t="s">
        <v>943</v>
      </c>
    </row>
    <row r="958" spans="2:2" x14ac:dyDescent="0.25">
      <c r="B958" t="s">
        <v>944</v>
      </c>
    </row>
    <row r="959" spans="2:2" x14ac:dyDescent="0.25">
      <c r="B959" t="s">
        <v>945</v>
      </c>
    </row>
    <row r="960" spans="2:2" x14ac:dyDescent="0.25">
      <c r="B960" t="s">
        <v>946</v>
      </c>
    </row>
    <row r="961" spans="2:2" x14ac:dyDescent="0.25">
      <c r="B961" t="s">
        <v>947</v>
      </c>
    </row>
    <row r="962" spans="2:2" x14ac:dyDescent="0.25">
      <c r="B962" t="s">
        <v>948</v>
      </c>
    </row>
    <row r="963" spans="2:2" x14ac:dyDescent="0.25">
      <c r="B963" t="s">
        <v>949</v>
      </c>
    </row>
    <row r="964" spans="2:2" x14ac:dyDescent="0.25">
      <c r="B964" t="s">
        <v>950</v>
      </c>
    </row>
    <row r="965" spans="2:2" x14ac:dyDescent="0.25">
      <c r="B965" t="s">
        <v>951</v>
      </c>
    </row>
    <row r="966" spans="2:2" x14ac:dyDescent="0.25">
      <c r="B966" t="s">
        <v>952</v>
      </c>
    </row>
    <row r="967" spans="2:2" x14ac:dyDescent="0.25">
      <c r="B967" t="s">
        <v>953</v>
      </c>
    </row>
    <row r="968" spans="2:2" x14ac:dyDescent="0.25">
      <c r="B968" t="s">
        <v>954</v>
      </c>
    </row>
    <row r="969" spans="2:2" x14ac:dyDescent="0.25">
      <c r="B969" t="s">
        <v>955</v>
      </c>
    </row>
    <row r="970" spans="2:2" x14ac:dyDescent="0.25">
      <c r="B970" t="s">
        <v>956</v>
      </c>
    </row>
    <row r="971" spans="2:2" x14ac:dyDescent="0.25">
      <c r="B971" t="s">
        <v>957</v>
      </c>
    </row>
    <row r="972" spans="2:2" x14ac:dyDescent="0.25">
      <c r="B972" t="s">
        <v>958</v>
      </c>
    </row>
    <row r="973" spans="2:2" x14ac:dyDescent="0.25">
      <c r="B973" t="s">
        <v>959</v>
      </c>
    </row>
    <row r="974" spans="2:2" x14ac:dyDescent="0.25">
      <c r="B974" t="s">
        <v>960</v>
      </c>
    </row>
    <row r="975" spans="2:2" x14ac:dyDescent="0.25">
      <c r="B975" t="s">
        <v>961</v>
      </c>
    </row>
    <row r="976" spans="2:2" x14ac:dyDescent="0.25">
      <c r="B976" t="s">
        <v>962</v>
      </c>
    </row>
    <row r="977" spans="2:2" x14ac:dyDescent="0.25">
      <c r="B977" t="s">
        <v>963</v>
      </c>
    </row>
    <row r="978" spans="2:2" x14ac:dyDescent="0.25">
      <c r="B978" t="s">
        <v>964</v>
      </c>
    </row>
    <row r="979" spans="2:2" x14ac:dyDescent="0.25">
      <c r="B979" t="s">
        <v>965</v>
      </c>
    </row>
    <row r="980" spans="2:2" x14ac:dyDescent="0.25">
      <c r="B980" t="s">
        <v>966</v>
      </c>
    </row>
    <row r="981" spans="2:2" x14ac:dyDescent="0.25">
      <c r="B981" t="s">
        <v>967</v>
      </c>
    </row>
    <row r="982" spans="2:2" x14ac:dyDescent="0.25">
      <c r="B982" t="s">
        <v>968</v>
      </c>
    </row>
    <row r="983" spans="2:2" x14ac:dyDescent="0.25">
      <c r="B983" t="s">
        <v>969</v>
      </c>
    </row>
    <row r="984" spans="2:2" x14ac:dyDescent="0.25">
      <c r="B984" t="s">
        <v>970</v>
      </c>
    </row>
    <row r="985" spans="2:2" x14ac:dyDescent="0.25">
      <c r="B985" t="s">
        <v>971</v>
      </c>
    </row>
    <row r="986" spans="2:2" x14ac:dyDescent="0.25">
      <c r="B986" t="s">
        <v>972</v>
      </c>
    </row>
    <row r="987" spans="2:2" x14ac:dyDescent="0.25">
      <c r="B987" t="s">
        <v>973</v>
      </c>
    </row>
    <row r="988" spans="2:2" x14ac:dyDescent="0.25">
      <c r="B988" t="s">
        <v>974</v>
      </c>
    </row>
    <row r="989" spans="2:2" x14ac:dyDescent="0.25">
      <c r="B989" t="s">
        <v>975</v>
      </c>
    </row>
    <row r="990" spans="2:2" x14ac:dyDescent="0.25">
      <c r="B990" t="s">
        <v>976</v>
      </c>
    </row>
    <row r="991" spans="2:2" x14ac:dyDescent="0.25">
      <c r="B991" t="s">
        <v>977</v>
      </c>
    </row>
    <row r="992" spans="2:2" x14ac:dyDescent="0.25">
      <c r="B992" t="s">
        <v>978</v>
      </c>
    </row>
    <row r="993" spans="2:2" x14ac:dyDescent="0.25">
      <c r="B993" t="s">
        <v>979</v>
      </c>
    </row>
    <row r="994" spans="2:2" x14ac:dyDescent="0.25">
      <c r="B994" t="s">
        <v>980</v>
      </c>
    </row>
    <row r="995" spans="2:2" x14ac:dyDescent="0.25">
      <c r="B995" t="s">
        <v>981</v>
      </c>
    </row>
    <row r="996" spans="2:2" x14ac:dyDescent="0.25">
      <c r="B996" t="s">
        <v>982</v>
      </c>
    </row>
    <row r="997" spans="2:2" x14ac:dyDescent="0.25">
      <c r="B997" t="s">
        <v>983</v>
      </c>
    </row>
    <row r="998" spans="2:2" x14ac:dyDescent="0.25">
      <c r="B998" t="s">
        <v>984</v>
      </c>
    </row>
    <row r="999" spans="2:2" x14ac:dyDescent="0.25">
      <c r="B999" t="s">
        <v>985</v>
      </c>
    </row>
    <row r="1000" spans="2:2" x14ac:dyDescent="0.25">
      <c r="B1000" t="s">
        <v>986</v>
      </c>
    </row>
    <row r="1001" spans="2:2" x14ac:dyDescent="0.25">
      <c r="B1001" t="s">
        <v>987</v>
      </c>
    </row>
    <row r="1002" spans="2:2" x14ac:dyDescent="0.25">
      <c r="B1002" t="s">
        <v>988</v>
      </c>
    </row>
    <row r="1003" spans="2:2" x14ac:dyDescent="0.25">
      <c r="B1003" t="s">
        <v>989</v>
      </c>
    </row>
    <row r="1004" spans="2:2" x14ac:dyDescent="0.25">
      <c r="B1004" t="s">
        <v>990</v>
      </c>
    </row>
    <row r="1005" spans="2:2" x14ac:dyDescent="0.25">
      <c r="B1005" t="s">
        <v>991</v>
      </c>
    </row>
    <row r="1006" spans="2:2" x14ac:dyDescent="0.25">
      <c r="B1006" t="s">
        <v>992</v>
      </c>
    </row>
    <row r="1007" spans="2:2" x14ac:dyDescent="0.25">
      <c r="B1007" t="s">
        <v>993</v>
      </c>
    </row>
    <row r="1008" spans="2:2" x14ac:dyDescent="0.25">
      <c r="B1008" t="s">
        <v>994</v>
      </c>
    </row>
    <row r="1009" spans="2:2" x14ac:dyDescent="0.25">
      <c r="B1009" t="s">
        <v>995</v>
      </c>
    </row>
    <row r="1010" spans="2:2" x14ac:dyDescent="0.25">
      <c r="B1010" t="s">
        <v>996</v>
      </c>
    </row>
    <row r="1011" spans="2:2" x14ac:dyDescent="0.25">
      <c r="B1011" t="s">
        <v>997</v>
      </c>
    </row>
    <row r="1012" spans="2:2" x14ac:dyDescent="0.25">
      <c r="B1012" t="s">
        <v>998</v>
      </c>
    </row>
    <row r="1013" spans="2:2" x14ac:dyDescent="0.25">
      <c r="B1013" t="s">
        <v>999</v>
      </c>
    </row>
    <row r="1014" spans="2:2" x14ac:dyDescent="0.25">
      <c r="B1014" t="s">
        <v>1000</v>
      </c>
    </row>
    <row r="1015" spans="2:2" x14ac:dyDescent="0.25">
      <c r="B1015" t="s">
        <v>1001</v>
      </c>
    </row>
    <row r="1016" spans="2:2" x14ac:dyDescent="0.25">
      <c r="B1016" t="s">
        <v>1002</v>
      </c>
    </row>
    <row r="1017" spans="2:2" x14ac:dyDescent="0.25">
      <c r="B1017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3A1-57B9-4021-B898-A7F9D7D30396}">
  <sheetPr codeName="Sheet3"/>
  <dimension ref="A1:A344"/>
  <sheetViews>
    <sheetView workbookViewId="0"/>
  </sheetViews>
  <sheetFormatPr defaultRowHeight="15" x14ac:dyDescent="0.25"/>
  <sheetData>
    <row r="1" spans="1:1" x14ac:dyDescent="0.25">
      <c r="A1" t="s">
        <v>1462</v>
      </c>
    </row>
    <row r="2" spans="1:1" x14ac:dyDescent="0.25">
      <c r="A2" t="s">
        <v>1463</v>
      </c>
    </row>
    <row r="3" spans="1:1" x14ac:dyDescent="0.25">
      <c r="A3" t="s">
        <v>1464</v>
      </c>
    </row>
    <row r="4" spans="1:1" x14ac:dyDescent="0.25">
      <c r="A4" t="s">
        <v>1465</v>
      </c>
    </row>
    <row r="5" spans="1:1" x14ac:dyDescent="0.25">
      <c r="A5" t="s">
        <v>1466</v>
      </c>
    </row>
    <row r="6" spans="1:1" x14ac:dyDescent="0.25">
      <c r="A6" t="s">
        <v>1467</v>
      </c>
    </row>
    <row r="7" spans="1:1" x14ac:dyDescent="0.25">
      <c r="A7" t="s">
        <v>1468</v>
      </c>
    </row>
    <row r="8" spans="1:1" x14ac:dyDescent="0.25">
      <c r="A8" t="s">
        <v>1469</v>
      </c>
    </row>
    <row r="9" spans="1:1" x14ac:dyDescent="0.25">
      <c r="A9" t="s">
        <v>1470</v>
      </c>
    </row>
    <row r="10" spans="1:1" x14ac:dyDescent="0.25">
      <c r="A10" t="s">
        <v>1471</v>
      </c>
    </row>
    <row r="11" spans="1:1" x14ac:dyDescent="0.25">
      <c r="A11" t="s">
        <v>1472</v>
      </c>
    </row>
    <row r="12" spans="1:1" x14ac:dyDescent="0.25">
      <c r="A12" t="s">
        <v>1473</v>
      </c>
    </row>
    <row r="13" spans="1:1" x14ac:dyDescent="0.25">
      <c r="A13" t="s">
        <v>1474</v>
      </c>
    </row>
    <row r="14" spans="1:1" x14ac:dyDescent="0.25">
      <c r="A14" t="s">
        <v>1475</v>
      </c>
    </row>
    <row r="15" spans="1:1" x14ac:dyDescent="0.25">
      <c r="A15" t="s">
        <v>1476</v>
      </c>
    </row>
    <row r="16" spans="1:1" x14ac:dyDescent="0.25">
      <c r="A16" t="s">
        <v>1477</v>
      </c>
    </row>
    <row r="17" spans="1:1" x14ac:dyDescent="0.25">
      <c r="A17" t="s">
        <v>1478</v>
      </c>
    </row>
    <row r="18" spans="1:1" x14ac:dyDescent="0.25">
      <c r="A18" t="s">
        <v>1479</v>
      </c>
    </row>
    <row r="19" spans="1:1" x14ac:dyDescent="0.25">
      <c r="A19" t="s">
        <v>1480</v>
      </c>
    </row>
    <row r="20" spans="1:1" x14ac:dyDescent="0.25">
      <c r="A20" t="s">
        <v>1481</v>
      </c>
    </row>
    <row r="21" spans="1:1" x14ac:dyDescent="0.25">
      <c r="A21" t="s">
        <v>1482</v>
      </c>
    </row>
    <row r="22" spans="1:1" x14ac:dyDescent="0.25">
      <c r="A22" t="s">
        <v>1483</v>
      </c>
    </row>
    <row r="23" spans="1:1" x14ac:dyDescent="0.25">
      <c r="A23" t="s">
        <v>1484</v>
      </c>
    </row>
    <row r="24" spans="1:1" x14ac:dyDescent="0.25">
      <c r="A24" t="s">
        <v>1485</v>
      </c>
    </row>
    <row r="25" spans="1:1" x14ac:dyDescent="0.25">
      <c r="A25" t="s">
        <v>1486</v>
      </c>
    </row>
    <row r="26" spans="1:1" x14ac:dyDescent="0.25">
      <c r="A26" t="s">
        <v>1487</v>
      </c>
    </row>
    <row r="27" spans="1:1" x14ac:dyDescent="0.25">
      <c r="A27" t="s">
        <v>1488</v>
      </c>
    </row>
    <row r="28" spans="1:1" x14ac:dyDescent="0.25">
      <c r="A28" t="s">
        <v>1489</v>
      </c>
    </row>
    <row r="29" spans="1:1" x14ac:dyDescent="0.25">
      <c r="A29" t="s">
        <v>1460</v>
      </c>
    </row>
    <row r="30" spans="1:1" x14ac:dyDescent="0.25">
      <c r="A30" t="s">
        <v>1461</v>
      </c>
    </row>
    <row r="31" spans="1:1" x14ac:dyDescent="0.25">
      <c r="A31" t="s">
        <v>1412</v>
      </c>
    </row>
    <row r="32" spans="1:1" x14ac:dyDescent="0.25">
      <c r="A32" t="s">
        <v>1413</v>
      </c>
    </row>
    <row r="33" spans="1:1" x14ac:dyDescent="0.25">
      <c r="A33" t="s">
        <v>1414</v>
      </c>
    </row>
    <row r="34" spans="1:1" x14ac:dyDescent="0.25">
      <c r="A34" t="s">
        <v>1415</v>
      </c>
    </row>
    <row r="35" spans="1:1" x14ac:dyDescent="0.25">
      <c r="A35" t="s">
        <v>1416</v>
      </c>
    </row>
    <row r="36" spans="1:1" x14ac:dyDescent="0.25">
      <c r="A36" t="s">
        <v>1417</v>
      </c>
    </row>
    <row r="37" spans="1:1" x14ac:dyDescent="0.25">
      <c r="A37" t="s">
        <v>1418</v>
      </c>
    </row>
    <row r="38" spans="1:1" x14ac:dyDescent="0.25">
      <c r="A38" t="s">
        <v>1419</v>
      </c>
    </row>
    <row r="39" spans="1:1" x14ac:dyDescent="0.25">
      <c r="A39" t="s">
        <v>1420</v>
      </c>
    </row>
    <row r="40" spans="1:1" x14ac:dyDescent="0.25">
      <c r="A40" t="s">
        <v>1421</v>
      </c>
    </row>
    <row r="41" spans="1:1" x14ac:dyDescent="0.25">
      <c r="A41" t="s">
        <v>1422</v>
      </c>
    </row>
    <row r="42" spans="1:1" x14ac:dyDescent="0.25">
      <c r="A42" t="s">
        <v>1423</v>
      </c>
    </row>
    <row r="43" spans="1:1" x14ac:dyDescent="0.25">
      <c r="A43" t="s">
        <v>1424</v>
      </c>
    </row>
    <row r="44" spans="1:1" x14ac:dyDescent="0.25">
      <c r="A44" t="s">
        <v>1425</v>
      </c>
    </row>
    <row r="45" spans="1:1" x14ac:dyDescent="0.25">
      <c r="A45" t="s">
        <v>1426</v>
      </c>
    </row>
    <row r="46" spans="1:1" x14ac:dyDescent="0.25">
      <c r="A46" t="s">
        <v>1427</v>
      </c>
    </row>
    <row r="47" spans="1:1" x14ac:dyDescent="0.25">
      <c r="A47" t="s">
        <v>1428</v>
      </c>
    </row>
    <row r="48" spans="1:1" x14ac:dyDescent="0.25">
      <c r="A48" t="s">
        <v>1429</v>
      </c>
    </row>
    <row r="49" spans="1:1" x14ac:dyDescent="0.25">
      <c r="A49" t="s">
        <v>1430</v>
      </c>
    </row>
    <row r="50" spans="1:1" x14ac:dyDescent="0.25">
      <c r="A50" t="s">
        <v>1431</v>
      </c>
    </row>
    <row r="51" spans="1:1" x14ac:dyDescent="0.25">
      <c r="A51" t="s">
        <v>1432</v>
      </c>
    </row>
    <row r="52" spans="1:1" x14ac:dyDescent="0.25">
      <c r="A52" t="s">
        <v>1433</v>
      </c>
    </row>
    <row r="53" spans="1:1" x14ac:dyDescent="0.25">
      <c r="A53" t="s">
        <v>1434</v>
      </c>
    </row>
    <row r="54" spans="1:1" x14ac:dyDescent="0.25">
      <c r="A54" t="s">
        <v>1435</v>
      </c>
    </row>
    <row r="55" spans="1:1" x14ac:dyDescent="0.25">
      <c r="A55" t="s">
        <v>1436</v>
      </c>
    </row>
    <row r="56" spans="1:1" x14ac:dyDescent="0.25">
      <c r="A56" t="s">
        <v>1437</v>
      </c>
    </row>
    <row r="57" spans="1:1" x14ac:dyDescent="0.25">
      <c r="A57" t="s">
        <v>1438</v>
      </c>
    </row>
    <row r="58" spans="1:1" x14ac:dyDescent="0.25">
      <c r="A58" t="s">
        <v>1439</v>
      </c>
    </row>
    <row r="59" spans="1:1" x14ac:dyDescent="0.25">
      <c r="A59" t="s">
        <v>1440</v>
      </c>
    </row>
    <row r="60" spans="1:1" x14ac:dyDescent="0.25">
      <c r="A60" t="s">
        <v>1441</v>
      </c>
    </row>
    <row r="61" spans="1:1" x14ac:dyDescent="0.25">
      <c r="A61" t="s">
        <v>1442</v>
      </c>
    </row>
    <row r="62" spans="1:1" x14ac:dyDescent="0.25">
      <c r="A62" t="s">
        <v>1443</v>
      </c>
    </row>
    <row r="63" spans="1:1" x14ac:dyDescent="0.25">
      <c r="A63" t="s">
        <v>1444</v>
      </c>
    </row>
    <row r="64" spans="1:1" x14ac:dyDescent="0.25">
      <c r="A64" t="s">
        <v>1445</v>
      </c>
    </row>
    <row r="65" spans="1:1" x14ac:dyDescent="0.25">
      <c r="A65" t="s">
        <v>1446</v>
      </c>
    </row>
    <row r="66" spans="1:1" x14ac:dyDescent="0.25">
      <c r="A66" t="s">
        <v>1447</v>
      </c>
    </row>
    <row r="67" spans="1:1" x14ac:dyDescent="0.25">
      <c r="A67" t="s">
        <v>1448</v>
      </c>
    </row>
    <row r="68" spans="1:1" x14ac:dyDescent="0.25">
      <c r="A68" t="s">
        <v>1449</v>
      </c>
    </row>
    <row r="69" spans="1:1" x14ac:dyDescent="0.25">
      <c r="A69" t="s">
        <v>1450</v>
      </c>
    </row>
    <row r="70" spans="1:1" x14ac:dyDescent="0.25">
      <c r="A70" t="s">
        <v>1451</v>
      </c>
    </row>
    <row r="71" spans="1:1" x14ac:dyDescent="0.25">
      <c r="A71" t="s">
        <v>1452</v>
      </c>
    </row>
    <row r="72" spans="1:1" x14ac:dyDescent="0.25">
      <c r="A72" t="s">
        <v>1453</v>
      </c>
    </row>
    <row r="73" spans="1:1" x14ac:dyDescent="0.25">
      <c r="A73" t="s">
        <v>1454</v>
      </c>
    </row>
    <row r="74" spans="1:1" x14ac:dyDescent="0.25">
      <c r="A74" t="s">
        <v>1273</v>
      </c>
    </row>
    <row r="75" spans="1:1" x14ac:dyDescent="0.25">
      <c r="A75" t="s">
        <v>1274</v>
      </c>
    </row>
    <row r="76" spans="1:1" x14ac:dyDescent="0.25">
      <c r="A76" t="s">
        <v>1275</v>
      </c>
    </row>
    <row r="77" spans="1:1" x14ac:dyDescent="0.25">
      <c r="A77" t="s">
        <v>1276</v>
      </c>
    </row>
    <row r="78" spans="1:1" x14ac:dyDescent="0.25">
      <c r="A78" t="s">
        <v>1277</v>
      </c>
    </row>
    <row r="79" spans="1:1" x14ac:dyDescent="0.25">
      <c r="A79" t="s">
        <v>1278</v>
      </c>
    </row>
    <row r="80" spans="1:1" x14ac:dyDescent="0.25">
      <c r="A80" t="s">
        <v>1279</v>
      </c>
    </row>
    <row r="81" spans="1:1" x14ac:dyDescent="0.25">
      <c r="A81" t="s">
        <v>1280</v>
      </c>
    </row>
    <row r="82" spans="1:1" x14ac:dyDescent="0.25">
      <c r="A82" t="s">
        <v>1281</v>
      </c>
    </row>
    <row r="83" spans="1:1" x14ac:dyDescent="0.25">
      <c r="A83" t="s">
        <v>1282</v>
      </c>
    </row>
    <row r="84" spans="1:1" x14ac:dyDescent="0.25">
      <c r="A84" t="s">
        <v>1283</v>
      </c>
    </row>
    <row r="85" spans="1:1" x14ac:dyDescent="0.25">
      <c r="A85" t="s">
        <v>1284</v>
      </c>
    </row>
    <row r="86" spans="1:1" x14ac:dyDescent="0.25">
      <c r="A86" t="s">
        <v>1285</v>
      </c>
    </row>
    <row r="87" spans="1:1" x14ac:dyDescent="0.25">
      <c r="A87" t="s">
        <v>1286</v>
      </c>
    </row>
    <row r="88" spans="1:1" x14ac:dyDescent="0.25">
      <c r="A88" t="s">
        <v>1287</v>
      </c>
    </row>
    <row r="89" spans="1:1" x14ac:dyDescent="0.25">
      <c r="A89" t="s">
        <v>1288</v>
      </c>
    </row>
    <row r="90" spans="1:1" x14ac:dyDescent="0.25">
      <c r="A90" t="s">
        <v>1289</v>
      </c>
    </row>
    <row r="91" spans="1:1" x14ac:dyDescent="0.25">
      <c r="A91" t="s">
        <v>1290</v>
      </c>
    </row>
    <row r="92" spans="1:1" x14ac:dyDescent="0.25">
      <c r="A92" t="s">
        <v>1291</v>
      </c>
    </row>
    <row r="93" spans="1:1" x14ac:dyDescent="0.25">
      <c r="A93" t="s">
        <v>1292</v>
      </c>
    </row>
    <row r="94" spans="1:1" x14ac:dyDescent="0.25">
      <c r="A94" t="s">
        <v>1293</v>
      </c>
    </row>
    <row r="95" spans="1:1" x14ac:dyDescent="0.25">
      <c r="A95" t="s">
        <v>1294</v>
      </c>
    </row>
    <row r="96" spans="1:1" x14ac:dyDescent="0.25">
      <c r="A96" t="s">
        <v>1295</v>
      </c>
    </row>
    <row r="97" spans="1:1" x14ac:dyDescent="0.25">
      <c r="A97" t="s">
        <v>1296</v>
      </c>
    </row>
    <row r="98" spans="1:1" x14ac:dyDescent="0.25">
      <c r="A98" t="s">
        <v>1297</v>
      </c>
    </row>
    <row r="99" spans="1:1" x14ac:dyDescent="0.25">
      <c r="A99" t="s">
        <v>1298</v>
      </c>
    </row>
    <row r="100" spans="1:1" x14ac:dyDescent="0.25">
      <c r="A100" t="s">
        <v>1299</v>
      </c>
    </row>
    <row r="101" spans="1:1" x14ac:dyDescent="0.25">
      <c r="A101" t="s">
        <v>1300</v>
      </c>
    </row>
    <row r="102" spans="1:1" x14ac:dyDescent="0.25">
      <c r="A102" t="s">
        <v>1301</v>
      </c>
    </row>
    <row r="103" spans="1:1" x14ac:dyDescent="0.25">
      <c r="A103" t="s">
        <v>1302</v>
      </c>
    </row>
    <row r="104" spans="1:1" x14ac:dyDescent="0.25">
      <c r="A104" t="s">
        <v>1303</v>
      </c>
    </row>
    <row r="105" spans="1:1" x14ac:dyDescent="0.25">
      <c r="A105" t="s">
        <v>1304</v>
      </c>
    </row>
    <row r="106" spans="1:1" x14ac:dyDescent="0.25">
      <c r="A106" t="s">
        <v>1305</v>
      </c>
    </row>
    <row r="107" spans="1:1" x14ac:dyDescent="0.25">
      <c r="A107" t="s">
        <v>1306</v>
      </c>
    </row>
    <row r="108" spans="1:1" x14ac:dyDescent="0.25">
      <c r="A108" t="s">
        <v>1307</v>
      </c>
    </row>
    <row r="109" spans="1:1" x14ac:dyDescent="0.25">
      <c r="A109" t="s">
        <v>1308</v>
      </c>
    </row>
    <row r="110" spans="1:1" x14ac:dyDescent="0.25">
      <c r="A110" t="s">
        <v>1309</v>
      </c>
    </row>
    <row r="111" spans="1:1" x14ac:dyDescent="0.25">
      <c r="A111" t="s">
        <v>1310</v>
      </c>
    </row>
    <row r="112" spans="1:1" x14ac:dyDescent="0.25">
      <c r="A112" t="s">
        <v>1311</v>
      </c>
    </row>
    <row r="113" spans="1:1" x14ac:dyDescent="0.25">
      <c r="A113" t="s">
        <v>1312</v>
      </c>
    </row>
    <row r="114" spans="1:1" x14ac:dyDescent="0.25">
      <c r="A114" t="s">
        <v>1313</v>
      </c>
    </row>
    <row r="115" spans="1:1" x14ac:dyDescent="0.25">
      <c r="A115" t="s">
        <v>1314</v>
      </c>
    </row>
    <row r="116" spans="1:1" x14ac:dyDescent="0.25">
      <c r="A116" t="s">
        <v>1315</v>
      </c>
    </row>
    <row r="117" spans="1:1" x14ac:dyDescent="0.25">
      <c r="A117" t="s">
        <v>1316</v>
      </c>
    </row>
    <row r="118" spans="1:1" x14ac:dyDescent="0.25">
      <c r="A118" t="s">
        <v>1317</v>
      </c>
    </row>
    <row r="119" spans="1:1" x14ac:dyDescent="0.25">
      <c r="A119" t="s">
        <v>1318</v>
      </c>
    </row>
    <row r="120" spans="1:1" x14ac:dyDescent="0.25">
      <c r="A120" t="s">
        <v>1319</v>
      </c>
    </row>
    <row r="121" spans="1:1" x14ac:dyDescent="0.25">
      <c r="A121" t="s">
        <v>1320</v>
      </c>
    </row>
    <row r="122" spans="1:1" x14ac:dyDescent="0.25">
      <c r="A122" t="s">
        <v>1321</v>
      </c>
    </row>
    <row r="123" spans="1:1" x14ac:dyDescent="0.25">
      <c r="A123" t="s">
        <v>1322</v>
      </c>
    </row>
    <row r="124" spans="1:1" x14ac:dyDescent="0.25">
      <c r="A124" t="s">
        <v>1323</v>
      </c>
    </row>
    <row r="125" spans="1:1" x14ac:dyDescent="0.25">
      <c r="A125" t="s">
        <v>1324</v>
      </c>
    </row>
    <row r="126" spans="1:1" x14ac:dyDescent="0.25">
      <c r="A126" t="s">
        <v>1325</v>
      </c>
    </row>
    <row r="127" spans="1:1" x14ac:dyDescent="0.25">
      <c r="A127" t="s">
        <v>1326</v>
      </c>
    </row>
    <row r="128" spans="1:1" x14ac:dyDescent="0.25">
      <c r="A128" t="s">
        <v>1327</v>
      </c>
    </row>
    <row r="129" spans="1:1" x14ac:dyDescent="0.25">
      <c r="A129" t="s">
        <v>1328</v>
      </c>
    </row>
    <row r="130" spans="1:1" x14ac:dyDescent="0.25">
      <c r="A130" t="s">
        <v>1329</v>
      </c>
    </row>
    <row r="131" spans="1:1" x14ac:dyDescent="0.25">
      <c r="A131" t="s">
        <v>1330</v>
      </c>
    </row>
    <row r="132" spans="1:1" x14ac:dyDescent="0.25">
      <c r="A132" t="s">
        <v>1331</v>
      </c>
    </row>
    <row r="133" spans="1:1" x14ac:dyDescent="0.25">
      <c r="A133" t="s">
        <v>1332</v>
      </c>
    </row>
    <row r="134" spans="1:1" x14ac:dyDescent="0.25">
      <c r="A134" t="s">
        <v>1333</v>
      </c>
    </row>
    <row r="135" spans="1:1" x14ac:dyDescent="0.25">
      <c r="A135" t="s">
        <v>1334</v>
      </c>
    </row>
    <row r="136" spans="1:1" x14ac:dyDescent="0.25">
      <c r="A136" t="s">
        <v>1335</v>
      </c>
    </row>
    <row r="137" spans="1:1" x14ac:dyDescent="0.25">
      <c r="A137" t="s">
        <v>1336</v>
      </c>
    </row>
    <row r="138" spans="1:1" x14ac:dyDescent="0.25">
      <c r="A138" t="s">
        <v>1337</v>
      </c>
    </row>
    <row r="139" spans="1:1" x14ac:dyDescent="0.25">
      <c r="A139" t="s">
        <v>1338</v>
      </c>
    </row>
    <row r="140" spans="1:1" x14ac:dyDescent="0.25">
      <c r="A140" t="s">
        <v>1339</v>
      </c>
    </row>
    <row r="141" spans="1:1" x14ac:dyDescent="0.25">
      <c r="A141" t="s">
        <v>1340</v>
      </c>
    </row>
    <row r="142" spans="1:1" x14ac:dyDescent="0.25">
      <c r="A142" t="s">
        <v>1341</v>
      </c>
    </row>
    <row r="143" spans="1:1" x14ac:dyDescent="0.25">
      <c r="A143" t="s">
        <v>1342</v>
      </c>
    </row>
    <row r="144" spans="1:1" x14ac:dyDescent="0.25">
      <c r="A144" t="s">
        <v>1343</v>
      </c>
    </row>
    <row r="145" spans="1:1" x14ac:dyDescent="0.25">
      <c r="A145" t="s">
        <v>1344</v>
      </c>
    </row>
    <row r="146" spans="1:1" x14ac:dyDescent="0.25">
      <c r="A146" t="s">
        <v>1345</v>
      </c>
    </row>
    <row r="147" spans="1:1" x14ac:dyDescent="0.25">
      <c r="A147" t="s">
        <v>1346</v>
      </c>
    </row>
    <row r="148" spans="1:1" x14ac:dyDescent="0.25">
      <c r="A148" t="s">
        <v>1347</v>
      </c>
    </row>
    <row r="149" spans="1:1" x14ac:dyDescent="0.25">
      <c r="A149" t="s">
        <v>1348</v>
      </c>
    </row>
    <row r="150" spans="1:1" x14ac:dyDescent="0.25">
      <c r="A150" t="s">
        <v>1349</v>
      </c>
    </row>
    <row r="151" spans="1:1" x14ac:dyDescent="0.25">
      <c r="A151" t="s">
        <v>1350</v>
      </c>
    </row>
    <row r="152" spans="1:1" x14ac:dyDescent="0.25">
      <c r="A152" t="s">
        <v>1351</v>
      </c>
    </row>
    <row r="153" spans="1:1" x14ac:dyDescent="0.25">
      <c r="A153" t="s">
        <v>1352</v>
      </c>
    </row>
    <row r="154" spans="1:1" x14ac:dyDescent="0.25">
      <c r="A154" t="s">
        <v>1353</v>
      </c>
    </row>
    <row r="155" spans="1:1" x14ac:dyDescent="0.25">
      <c r="A155" t="s">
        <v>1354</v>
      </c>
    </row>
    <row r="156" spans="1:1" x14ac:dyDescent="0.25">
      <c r="A156" t="s">
        <v>1355</v>
      </c>
    </row>
    <row r="157" spans="1:1" x14ac:dyDescent="0.25">
      <c r="A157" t="s">
        <v>1356</v>
      </c>
    </row>
    <row r="158" spans="1:1" x14ac:dyDescent="0.25">
      <c r="A158" t="s">
        <v>1357</v>
      </c>
    </row>
    <row r="159" spans="1:1" x14ac:dyDescent="0.25">
      <c r="A159" t="s">
        <v>1358</v>
      </c>
    </row>
    <row r="160" spans="1:1" x14ac:dyDescent="0.25">
      <c r="A160" t="s">
        <v>1359</v>
      </c>
    </row>
    <row r="161" spans="1:1" x14ac:dyDescent="0.25">
      <c r="A161" t="s">
        <v>1360</v>
      </c>
    </row>
    <row r="162" spans="1:1" x14ac:dyDescent="0.25">
      <c r="A162" t="s">
        <v>1361</v>
      </c>
    </row>
    <row r="163" spans="1:1" x14ac:dyDescent="0.25">
      <c r="A163" t="s">
        <v>1362</v>
      </c>
    </row>
    <row r="164" spans="1:1" x14ac:dyDescent="0.25">
      <c r="A164" t="s">
        <v>1363</v>
      </c>
    </row>
    <row r="165" spans="1:1" x14ac:dyDescent="0.25">
      <c r="A165" t="s">
        <v>1364</v>
      </c>
    </row>
    <row r="166" spans="1:1" x14ac:dyDescent="0.25">
      <c r="A166" t="s">
        <v>1365</v>
      </c>
    </row>
    <row r="167" spans="1:1" x14ac:dyDescent="0.25">
      <c r="A167" t="s">
        <v>1366</v>
      </c>
    </row>
    <row r="168" spans="1:1" x14ac:dyDescent="0.25">
      <c r="A168" t="s">
        <v>1367</v>
      </c>
    </row>
    <row r="169" spans="1:1" x14ac:dyDescent="0.25">
      <c r="A169" t="s">
        <v>1368</v>
      </c>
    </row>
    <row r="170" spans="1:1" x14ac:dyDescent="0.25">
      <c r="A170" t="s">
        <v>1369</v>
      </c>
    </row>
    <row r="171" spans="1:1" x14ac:dyDescent="0.25">
      <c r="A171" t="s">
        <v>1370</v>
      </c>
    </row>
    <row r="172" spans="1:1" x14ac:dyDescent="0.25">
      <c r="A172" t="s">
        <v>1371</v>
      </c>
    </row>
    <row r="173" spans="1:1" x14ac:dyDescent="0.25">
      <c r="A173" t="s">
        <v>1372</v>
      </c>
    </row>
    <row r="174" spans="1:1" x14ac:dyDescent="0.25">
      <c r="A174" t="s">
        <v>1373</v>
      </c>
    </row>
    <row r="175" spans="1:1" x14ac:dyDescent="0.25">
      <c r="A175" t="s">
        <v>1374</v>
      </c>
    </row>
    <row r="176" spans="1:1" x14ac:dyDescent="0.25">
      <c r="A176" t="s">
        <v>1375</v>
      </c>
    </row>
    <row r="177" spans="1:1" x14ac:dyDescent="0.25">
      <c r="A177" t="s">
        <v>1376</v>
      </c>
    </row>
    <row r="178" spans="1:1" x14ac:dyDescent="0.25">
      <c r="A178" t="s">
        <v>1377</v>
      </c>
    </row>
    <row r="179" spans="1:1" x14ac:dyDescent="0.25">
      <c r="A179" t="s">
        <v>1378</v>
      </c>
    </row>
    <row r="180" spans="1:1" x14ac:dyDescent="0.25">
      <c r="A180" t="s">
        <v>1379</v>
      </c>
    </row>
    <row r="181" spans="1:1" x14ac:dyDescent="0.25">
      <c r="A181" t="s">
        <v>1380</v>
      </c>
    </row>
    <row r="182" spans="1:1" x14ac:dyDescent="0.25">
      <c r="A182" t="s">
        <v>1381</v>
      </c>
    </row>
    <row r="183" spans="1:1" x14ac:dyDescent="0.25">
      <c r="A183" t="s">
        <v>1382</v>
      </c>
    </row>
    <row r="184" spans="1:1" x14ac:dyDescent="0.25">
      <c r="A184" t="s">
        <v>1383</v>
      </c>
    </row>
    <row r="185" spans="1:1" x14ac:dyDescent="0.25">
      <c r="A185" t="s">
        <v>1384</v>
      </c>
    </row>
    <row r="186" spans="1:1" x14ac:dyDescent="0.25">
      <c r="A186" t="s">
        <v>1385</v>
      </c>
    </row>
    <row r="187" spans="1:1" x14ac:dyDescent="0.25">
      <c r="A187" t="s">
        <v>1386</v>
      </c>
    </row>
    <row r="188" spans="1:1" x14ac:dyDescent="0.25">
      <c r="A188" t="s">
        <v>1387</v>
      </c>
    </row>
    <row r="189" spans="1:1" x14ac:dyDescent="0.25">
      <c r="A189" t="s">
        <v>1388</v>
      </c>
    </row>
    <row r="190" spans="1:1" x14ac:dyDescent="0.25">
      <c r="A190" t="s">
        <v>1389</v>
      </c>
    </row>
    <row r="191" spans="1:1" x14ac:dyDescent="0.25">
      <c r="A191" t="s">
        <v>1390</v>
      </c>
    </row>
    <row r="192" spans="1:1" x14ac:dyDescent="0.25">
      <c r="A192" t="s">
        <v>1391</v>
      </c>
    </row>
    <row r="193" spans="1:1" x14ac:dyDescent="0.25">
      <c r="A193" t="s">
        <v>1392</v>
      </c>
    </row>
    <row r="194" spans="1:1" x14ac:dyDescent="0.25">
      <c r="A194" t="s">
        <v>1393</v>
      </c>
    </row>
    <row r="195" spans="1:1" x14ac:dyDescent="0.25">
      <c r="A195" t="s">
        <v>1394</v>
      </c>
    </row>
    <row r="196" spans="1:1" x14ac:dyDescent="0.25">
      <c r="A196" t="s">
        <v>1395</v>
      </c>
    </row>
    <row r="197" spans="1:1" x14ac:dyDescent="0.25">
      <c r="A197" t="s">
        <v>1396</v>
      </c>
    </row>
    <row r="198" spans="1:1" x14ac:dyDescent="0.25">
      <c r="A198" t="s">
        <v>1397</v>
      </c>
    </row>
    <row r="199" spans="1:1" x14ac:dyDescent="0.25">
      <c r="A199" t="s">
        <v>1398</v>
      </c>
    </row>
    <row r="200" spans="1:1" x14ac:dyDescent="0.25">
      <c r="A200" t="s">
        <v>1399</v>
      </c>
    </row>
    <row r="201" spans="1:1" x14ac:dyDescent="0.25">
      <c r="A201" t="s">
        <v>1400</v>
      </c>
    </row>
    <row r="202" spans="1:1" x14ac:dyDescent="0.25">
      <c r="A202" t="s">
        <v>1401</v>
      </c>
    </row>
    <row r="203" spans="1:1" x14ac:dyDescent="0.25">
      <c r="A203" t="s">
        <v>1402</v>
      </c>
    </row>
    <row r="204" spans="1:1" x14ac:dyDescent="0.25">
      <c r="A204" t="s">
        <v>1403</v>
      </c>
    </row>
    <row r="205" spans="1:1" x14ac:dyDescent="0.25">
      <c r="A205" t="s">
        <v>1404</v>
      </c>
    </row>
    <row r="206" spans="1:1" x14ac:dyDescent="0.25">
      <c r="A206" t="s">
        <v>1405</v>
      </c>
    </row>
    <row r="207" spans="1:1" x14ac:dyDescent="0.25">
      <c r="A207" t="s">
        <v>1406</v>
      </c>
    </row>
    <row r="208" spans="1:1" x14ac:dyDescent="0.25">
      <c r="A208" t="s">
        <v>1407</v>
      </c>
    </row>
    <row r="209" spans="1:1" x14ac:dyDescent="0.25">
      <c r="A209" t="s">
        <v>1408</v>
      </c>
    </row>
    <row r="210" spans="1:1" x14ac:dyDescent="0.25">
      <c r="A210" t="s">
        <v>1409</v>
      </c>
    </row>
    <row r="211" spans="1:1" x14ac:dyDescent="0.25">
      <c r="A211" t="s">
        <v>1410</v>
      </c>
    </row>
    <row r="212" spans="1:1" x14ac:dyDescent="0.25">
      <c r="A212" t="s">
        <v>1411</v>
      </c>
    </row>
    <row r="213" spans="1:1" x14ac:dyDescent="0.25">
      <c r="A213" t="s">
        <v>1144</v>
      </c>
    </row>
    <row r="214" spans="1:1" x14ac:dyDescent="0.25">
      <c r="A214" t="s">
        <v>1145</v>
      </c>
    </row>
    <row r="215" spans="1:1" x14ac:dyDescent="0.25">
      <c r="A215" t="s">
        <v>1146</v>
      </c>
    </row>
    <row r="216" spans="1:1" x14ac:dyDescent="0.25">
      <c r="A216" t="s">
        <v>1147</v>
      </c>
    </row>
    <row r="217" spans="1:1" x14ac:dyDescent="0.25">
      <c r="A217" t="s">
        <v>1148</v>
      </c>
    </row>
    <row r="218" spans="1:1" x14ac:dyDescent="0.25">
      <c r="A218" t="s">
        <v>1149</v>
      </c>
    </row>
    <row r="219" spans="1:1" x14ac:dyDescent="0.25">
      <c r="A219" t="s">
        <v>1150</v>
      </c>
    </row>
    <row r="220" spans="1:1" x14ac:dyDescent="0.25">
      <c r="A220" t="s">
        <v>1151</v>
      </c>
    </row>
    <row r="221" spans="1:1" x14ac:dyDescent="0.25">
      <c r="A221" t="s">
        <v>1152</v>
      </c>
    </row>
    <row r="222" spans="1:1" x14ac:dyDescent="0.25">
      <c r="A222" t="s">
        <v>1153</v>
      </c>
    </row>
    <row r="223" spans="1:1" x14ac:dyDescent="0.25">
      <c r="A223" t="s">
        <v>1154</v>
      </c>
    </row>
    <row r="224" spans="1:1" x14ac:dyDescent="0.25">
      <c r="A224" t="s">
        <v>1155</v>
      </c>
    </row>
    <row r="225" spans="1:1" x14ac:dyDescent="0.25">
      <c r="A225" t="s">
        <v>1156</v>
      </c>
    </row>
    <row r="226" spans="1:1" x14ac:dyDescent="0.25">
      <c r="A226" t="s">
        <v>1157</v>
      </c>
    </row>
    <row r="227" spans="1:1" x14ac:dyDescent="0.25">
      <c r="A227" t="s">
        <v>1158</v>
      </c>
    </row>
    <row r="228" spans="1:1" x14ac:dyDescent="0.25">
      <c r="A228" t="s">
        <v>1159</v>
      </c>
    </row>
    <row r="229" spans="1:1" x14ac:dyDescent="0.25">
      <c r="A229" t="s">
        <v>1160</v>
      </c>
    </row>
    <row r="230" spans="1:1" x14ac:dyDescent="0.25">
      <c r="A230" t="s">
        <v>1161</v>
      </c>
    </row>
    <row r="231" spans="1:1" x14ac:dyDescent="0.25">
      <c r="A231" t="s">
        <v>1162</v>
      </c>
    </row>
    <row r="232" spans="1:1" x14ac:dyDescent="0.25">
      <c r="A232" t="s">
        <v>1163</v>
      </c>
    </row>
    <row r="233" spans="1:1" x14ac:dyDescent="0.25">
      <c r="A233" t="s">
        <v>1164</v>
      </c>
    </row>
    <row r="234" spans="1:1" x14ac:dyDescent="0.25">
      <c r="A234" t="s">
        <v>1165</v>
      </c>
    </row>
    <row r="235" spans="1:1" x14ac:dyDescent="0.25">
      <c r="A235" t="s">
        <v>1166</v>
      </c>
    </row>
    <row r="236" spans="1:1" x14ac:dyDescent="0.25">
      <c r="A236" t="s">
        <v>1167</v>
      </c>
    </row>
    <row r="237" spans="1:1" x14ac:dyDescent="0.25">
      <c r="A237" t="s">
        <v>1168</v>
      </c>
    </row>
    <row r="238" spans="1:1" x14ac:dyDescent="0.25">
      <c r="A238" t="s">
        <v>1169</v>
      </c>
    </row>
    <row r="239" spans="1:1" x14ac:dyDescent="0.25">
      <c r="A239" t="s">
        <v>1170</v>
      </c>
    </row>
    <row r="240" spans="1:1" x14ac:dyDescent="0.25">
      <c r="A240" t="s">
        <v>1171</v>
      </c>
    </row>
    <row r="241" spans="1:1" x14ac:dyDescent="0.25">
      <c r="A241" t="s">
        <v>1172</v>
      </c>
    </row>
    <row r="242" spans="1:1" x14ac:dyDescent="0.25">
      <c r="A242" t="s">
        <v>1173</v>
      </c>
    </row>
    <row r="243" spans="1:1" x14ac:dyDescent="0.25">
      <c r="A243" t="s">
        <v>1174</v>
      </c>
    </row>
    <row r="244" spans="1:1" x14ac:dyDescent="0.25">
      <c r="A244" t="s">
        <v>1175</v>
      </c>
    </row>
    <row r="245" spans="1:1" x14ac:dyDescent="0.25">
      <c r="A245" t="s">
        <v>1176</v>
      </c>
    </row>
    <row r="246" spans="1:1" x14ac:dyDescent="0.25">
      <c r="A246" t="s">
        <v>1177</v>
      </c>
    </row>
    <row r="247" spans="1:1" x14ac:dyDescent="0.25">
      <c r="A247" t="s">
        <v>1178</v>
      </c>
    </row>
    <row r="248" spans="1:1" x14ac:dyDescent="0.25">
      <c r="A248" t="s">
        <v>1179</v>
      </c>
    </row>
    <row r="249" spans="1:1" x14ac:dyDescent="0.25">
      <c r="A249" t="s">
        <v>1180</v>
      </c>
    </row>
    <row r="250" spans="1:1" x14ac:dyDescent="0.25">
      <c r="A250" t="s">
        <v>1181</v>
      </c>
    </row>
    <row r="251" spans="1:1" x14ac:dyDescent="0.25">
      <c r="A251" t="s">
        <v>1182</v>
      </c>
    </row>
    <row r="252" spans="1:1" x14ac:dyDescent="0.25">
      <c r="A252" t="s">
        <v>1183</v>
      </c>
    </row>
    <row r="253" spans="1:1" x14ac:dyDescent="0.25">
      <c r="A253" t="s">
        <v>1184</v>
      </c>
    </row>
    <row r="254" spans="1:1" x14ac:dyDescent="0.25">
      <c r="A254" t="s">
        <v>1185</v>
      </c>
    </row>
    <row r="255" spans="1:1" x14ac:dyDescent="0.25">
      <c r="A255" t="s">
        <v>1186</v>
      </c>
    </row>
    <row r="256" spans="1:1" x14ac:dyDescent="0.25">
      <c r="A256" t="s">
        <v>1187</v>
      </c>
    </row>
    <row r="257" spans="1:1" x14ac:dyDescent="0.25">
      <c r="A257" t="s">
        <v>1188</v>
      </c>
    </row>
    <row r="258" spans="1:1" x14ac:dyDescent="0.25">
      <c r="A258" t="s">
        <v>1189</v>
      </c>
    </row>
    <row r="259" spans="1:1" x14ac:dyDescent="0.25">
      <c r="A259" t="s">
        <v>1135</v>
      </c>
    </row>
    <row r="260" spans="1:1" x14ac:dyDescent="0.25">
      <c r="A260" t="s">
        <v>1190</v>
      </c>
    </row>
    <row r="261" spans="1:1" x14ac:dyDescent="0.25">
      <c r="A261" t="s">
        <v>1191</v>
      </c>
    </row>
    <row r="262" spans="1:1" x14ac:dyDescent="0.25">
      <c r="A262" t="s">
        <v>1192</v>
      </c>
    </row>
    <row r="263" spans="1:1" x14ac:dyDescent="0.25">
      <c r="A263" t="s">
        <v>1193</v>
      </c>
    </row>
    <row r="264" spans="1:1" x14ac:dyDescent="0.25">
      <c r="A264" t="s">
        <v>1194</v>
      </c>
    </row>
    <row r="265" spans="1:1" x14ac:dyDescent="0.25">
      <c r="A265" t="s">
        <v>1195</v>
      </c>
    </row>
    <row r="266" spans="1:1" x14ac:dyDescent="0.25">
      <c r="A266" t="s">
        <v>1196</v>
      </c>
    </row>
    <row r="267" spans="1:1" x14ac:dyDescent="0.25">
      <c r="A267" t="s">
        <v>1197</v>
      </c>
    </row>
    <row r="268" spans="1:1" x14ac:dyDescent="0.25">
      <c r="A268" t="s">
        <v>1198</v>
      </c>
    </row>
    <row r="269" spans="1:1" x14ac:dyDescent="0.25">
      <c r="A269" t="s">
        <v>1199</v>
      </c>
    </row>
    <row r="270" spans="1:1" x14ac:dyDescent="0.25">
      <c r="A270" t="s">
        <v>1200</v>
      </c>
    </row>
    <row r="271" spans="1:1" x14ac:dyDescent="0.25">
      <c r="A271" t="s">
        <v>1201</v>
      </c>
    </row>
    <row r="272" spans="1:1" x14ac:dyDescent="0.25">
      <c r="A272" t="s">
        <v>1202</v>
      </c>
    </row>
    <row r="273" spans="1:1" x14ac:dyDescent="0.25">
      <c r="A273" t="s">
        <v>1203</v>
      </c>
    </row>
    <row r="274" spans="1:1" x14ac:dyDescent="0.25">
      <c r="A274" t="s">
        <v>1204</v>
      </c>
    </row>
    <row r="275" spans="1:1" x14ac:dyDescent="0.25">
      <c r="A275" t="s">
        <v>1205</v>
      </c>
    </row>
    <row r="276" spans="1:1" x14ac:dyDescent="0.25">
      <c r="A276" t="s">
        <v>1206</v>
      </c>
    </row>
    <row r="277" spans="1:1" x14ac:dyDescent="0.25">
      <c r="A277" t="s">
        <v>1207</v>
      </c>
    </row>
    <row r="278" spans="1:1" x14ac:dyDescent="0.25">
      <c r="A278" t="s">
        <v>1208</v>
      </c>
    </row>
    <row r="279" spans="1:1" x14ac:dyDescent="0.25">
      <c r="A279" t="s">
        <v>1209</v>
      </c>
    </row>
    <row r="280" spans="1:1" x14ac:dyDescent="0.25">
      <c r="A280" t="s">
        <v>1210</v>
      </c>
    </row>
    <row r="281" spans="1:1" x14ac:dyDescent="0.25">
      <c r="A281" t="s">
        <v>1211</v>
      </c>
    </row>
    <row r="282" spans="1:1" x14ac:dyDescent="0.25">
      <c r="A282" t="s">
        <v>1212</v>
      </c>
    </row>
    <row r="283" spans="1:1" x14ac:dyDescent="0.25">
      <c r="A283" t="s">
        <v>1213</v>
      </c>
    </row>
    <row r="284" spans="1:1" x14ac:dyDescent="0.25">
      <c r="A284" t="s">
        <v>1214</v>
      </c>
    </row>
    <row r="285" spans="1:1" x14ac:dyDescent="0.25">
      <c r="A285" t="s">
        <v>1215</v>
      </c>
    </row>
    <row r="286" spans="1:1" x14ac:dyDescent="0.25">
      <c r="A286" t="s">
        <v>1216</v>
      </c>
    </row>
    <row r="287" spans="1:1" x14ac:dyDescent="0.25">
      <c r="A287" t="s">
        <v>1217</v>
      </c>
    </row>
    <row r="288" spans="1:1" x14ac:dyDescent="0.25">
      <c r="A288" t="s">
        <v>1218</v>
      </c>
    </row>
    <row r="289" spans="1:1" x14ac:dyDescent="0.25">
      <c r="A289" t="s">
        <v>1219</v>
      </c>
    </row>
    <row r="290" spans="1:1" x14ac:dyDescent="0.25">
      <c r="A290" t="s">
        <v>1220</v>
      </c>
    </row>
    <row r="291" spans="1:1" x14ac:dyDescent="0.25">
      <c r="A291" t="s">
        <v>1221</v>
      </c>
    </row>
    <row r="292" spans="1:1" x14ac:dyDescent="0.25">
      <c r="A292" t="s">
        <v>1222</v>
      </c>
    </row>
    <row r="293" spans="1:1" x14ac:dyDescent="0.25">
      <c r="A293" t="s">
        <v>1223</v>
      </c>
    </row>
    <row r="294" spans="1:1" x14ac:dyDescent="0.25">
      <c r="A294" t="s">
        <v>1224</v>
      </c>
    </row>
    <row r="295" spans="1:1" x14ac:dyDescent="0.25">
      <c r="A295" t="s">
        <v>1225</v>
      </c>
    </row>
    <row r="296" spans="1:1" x14ac:dyDescent="0.25">
      <c r="A296" t="s">
        <v>1226</v>
      </c>
    </row>
    <row r="297" spans="1:1" x14ac:dyDescent="0.25">
      <c r="A297" t="s">
        <v>1227</v>
      </c>
    </row>
    <row r="298" spans="1:1" x14ac:dyDescent="0.25">
      <c r="A298" t="s">
        <v>1136</v>
      </c>
    </row>
    <row r="299" spans="1:1" x14ac:dyDescent="0.25">
      <c r="A299" t="s">
        <v>1228</v>
      </c>
    </row>
    <row r="300" spans="1:1" x14ac:dyDescent="0.25">
      <c r="A300" t="s">
        <v>1137</v>
      </c>
    </row>
    <row r="301" spans="1:1" x14ac:dyDescent="0.25">
      <c r="A301" t="s">
        <v>1138</v>
      </c>
    </row>
    <row r="302" spans="1:1" x14ac:dyDescent="0.25">
      <c r="A302" t="s">
        <v>1229</v>
      </c>
    </row>
    <row r="303" spans="1:1" x14ac:dyDescent="0.25">
      <c r="A303" t="s">
        <v>1230</v>
      </c>
    </row>
    <row r="304" spans="1:1" x14ac:dyDescent="0.25">
      <c r="A304" t="s">
        <v>1231</v>
      </c>
    </row>
    <row r="305" spans="1:1" x14ac:dyDescent="0.25">
      <c r="A305" t="s">
        <v>1232</v>
      </c>
    </row>
    <row r="306" spans="1:1" x14ac:dyDescent="0.25">
      <c r="A306" t="s">
        <v>1233</v>
      </c>
    </row>
    <row r="307" spans="1:1" x14ac:dyDescent="0.25">
      <c r="A307" t="s">
        <v>1234</v>
      </c>
    </row>
    <row r="308" spans="1:1" x14ac:dyDescent="0.25">
      <c r="A308" t="s">
        <v>1235</v>
      </c>
    </row>
    <row r="309" spans="1:1" x14ac:dyDescent="0.25">
      <c r="A309" t="s">
        <v>1236</v>
      </c>
    </row>
    <row r="310" spans="1:1" x14ac:dyDescent="0.25">
      <c r="A310" t="s">
        <v>1237</v>
      </c>
    </row>
    <row r="311" spans="1:1" x14ac:dyDescent="0.25">
      <c r="A311" t="s">
        <v>1238</v>
      </c>
    </row>
    <row r="312" spans="1:1" x14ac:dyDescent="0.25">
      <c r="A312" t="s">
        <v>1239</v>
      </c>
    </row>
    <row r="313" spans="1:1" x14ac:dyDescent="0.25">
      <c r="A313" t="s">
        <v>1240</v>
      </c>
    </row>
    <row r="314" spans="1:1" x14ac:dyDescent="0.25">
      <c r="A314" t="s">
        <v>1241</v>
      </c>
    </row>
    <row r="315" spans="1:1" x14ac:dyDescent="0.25">
      <c r="A315" t="s">
        <v>1242</v>
      </c>
    </row>
    <row r="316" spans="1:1" x14ac:dyDescent="0.25">
      <c r="A316" t="s">
        <v>1243</v>
      </c>
    </row>
    <row r="317" spans="1:1" x14ac:dyDescent="0.25">
      <c r="A317" t="s">
        <v>1244</v>
      </c>
    </row>
    <row r="318" spans="1:1" x14ac:dyDescent="0.25">
      <c r="A318" t="s">
        <v>1245</v>
      </c>
    </row>
    <row r="319" spans="1:1" x14ac:dyDescent="0.25">
      <c r="A319" t="s">
        <v>1246</v>
      </c>
    </row>
    <row r="320" spans="1:1" x14ac:dyDescent="0.25">
      <c r="A320" t="s">
        <v>1247</v>
      </c>
    </row>
    <row r="321" spans="1:1" x14ac:dyDescent="0.25">
      <c r="A321" t="s">
        <v>1248</v>
      </c>
    </row>
    <row r="322" spans="1:1" x14ac:dyDescent="0.25">
      <c r="A322" t="s">
        <v>1249</v>
      </c>
    </row>
    <row r="323" spans="1:1" x14ac:dyDescent="0.25">
      <c r="A323" t="s">
        <v>1250</v>
      </c>
    </row>
    <row r="324" spans="1:1" x14ac:dyDescent="0.25">
      <c r="A324" t="s">
        <v>1251</v>
      </c>
    </row>
    <row r="325" spans="1:1" x14ac:dyDescent="0.25">
      <c r="A325" t="s">
        <v>1252</v>
      </c>
    </row>
    <row r="326" spans="1:1" x14ac:dyDescent="0.25">
      <c r="A326" t="s">
        <v>1253</v>
      </c>
    </row>
    <row r="327" spans="1:1" x14ac:dyDescent="0.25">
      <c r="A327" t="s">
        <v>1254</v>
      </c>
    </row>
    <row r="328" spans="1:1" x14ac:dyDescent="0.25">
      <c r="A328" t="s">
        <v>1255</v>
      </c>
    </row>
    <row r="329" spans="1:1" x14ac:dyDescent="0.25">
      <c r="A329" t="s">
        <v>1256</v>
      </c>
    </row>
    <row r="330" spans="1:1" x14ac:dyDescent="0.25">
      <c r="A330" t="s">
        <v>1257</v>
      </c>
    </row>
    <row r="331" spans="1:1" x14ac:dyDescent="0.25">
      <c r="A331" t="s">
        <v>1258</v>
      </c>
    </row>
    <row r="332" spans="1:1" x14ac:dyDescent="0.25">
      <c r="A332" t="s">
        <v>1259</v>
      </c>
    </row>
    <row r="333" spans="1:1" x14ac:dyDescent="0.25">
      <c r="A333" t="s">
        <v>1260</v>
      </c>
    </row>
    <row r="334" spans="1:1" x14ac:dyDescent="0.25">
      <c r="A334" t="s">
        <v>1261</v>
      </c>
    </row>
    <row r="335" spans="1:1" x14ac:dyDescent="0.25">
      <c r="A335" t="s">
        <v>1262</v>
      </c>
    </row>
    <row r="336" spans="1:1" x14ac:dyDescent="0.25">
      <c r="A336" t="s">
        <v>1263</v>
      </c>
    </row>
    <row r="337" spans="1:1" x14ac:dyDescent="0.25">
      <c r="A337" t="s">
        <v>1264</v>
      </c>
    </row>
    <row r="338" spans="1:1" x14ac:dyDescent="0.25">
      <c r="A338" t="s">
        <v>1265</v>
      </c>
    </row>
    <row r="339" spans="1:1" x14ac:dyDescent="0.25">
      <c r="A339" t="s">
        <v>1266</v>
      </c>
    </row>
    <row r="340" spans="1:1" x14ac:dyDescent="0.25">
      <c r="A340" t="s">
        <v>1267</v>
      </c>
    </row>
    <row r="341" spans="1:1" x14ac:dyDescent="0.25">
      <c r="A341" t="s">
        <v>1268</v>
      </c>
    </row>
    <row r="342" spans="1:1" x14ac:dyDescent="0.25">
      <c r="A342" t="s">
        <v>1269</v>
      </c>
    </row>
    <row r="343" spans="1:1" x14ac:dyDescent="0.25">
      <c r="A343" t="s">
        <v>1270</v>
      </c>
    </row>
    <row r="344" spans="1:1" x14ac:dyDescent="0.25">
      <c r="A344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38</vt:i4>
      </vt:variant>
    </vt:vector>
  </HeadingPairs>
  <TitlesOfParts>
    <vt:vector size="41" baseType="lpstr">
      <vt:lpstr>Sheet1</vt:lpstr>
      <vt:lpstr>{AR}01</vt:lpstr>
      <vt:lpstr>{PL}PickLst</vt:lpstr>
      <vt:lpstr>db_name</vt:lpstr>
      <vt:lpstr>psApp</vt:lpstr>
      <vt:lpstr>psApplyParam</vt:lpstr>
      <vt:lpstr>psControlType</vt:lpstr>
      <vt:lpstr>psDesc</vt:lpstr>
      <vt:lpstr>psFavID</vt:lpstr>
      <vt:lpstr>psFunc</vt:lpstr>
      <vt:lpstr>psItem</vt:lpstr>
      <vt:lpstr>psMeasCode</vt:lpstr>
      <vt:lpstr>psOC</vt:lpstr>
      <vt:lpstr>psProg</vt:lpstr>
      <vt:lpstr>psProgDimName</vt:lpstr>
      <vt:lpstr>psReason</vt:lpstr>
      <vt:lpstr>psSPP</vt:lpstr>
      <vt:lpstr>psTitle</vt:lpstr>
      <vt:lpstr>psType</vt:lpstr>
      <vt:lpstr>psUser</vt:lpstr>
      <vt:lpstr>TM1AdjIDListCAP</vt:lpstr>
      <vt:lpstr>TM1AdjIDListWB</vt:lpstr>
      <vt:lpstr>TM1AdjIDListWS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TM1NewAdj01HeaderCAP</vt:lpstr>
      <vt:lpstr>TM1NewAdj01HeaderWB</vt:lpstr>
      <vt:lpstr>TM1NewAdj01HeaderWS</vt:lpstr>
      <vt:lpstr>TM1NewAdj02DataEntryCAP</vt:lpstr>
      <vt:lpstr>TM1NewAdj02DataEntryWB</vt:lpstr>
      <vt:lpstr>TM1NewAdj02DataEntryWS</vt:lpstr>
      <vt:lpstr>Sheet1!TM1RPTDATARNG1</vt:lpstr>
      <vt:lpstr>Sheet1!TM1RPTFMTIDCOL</vt:lpstr>
      <vt:lpstr>Sheet1!TM1RPTFMTRNG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2019-04-05T03:30:50Z</dcterms:created>
  <dcterms:modified xsi:type="dcterms:W3CDTF">2025-08-05T04:37:28Z</dcterms:modified>
</cp:coreProperties>
</file>