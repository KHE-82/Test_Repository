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prod\DCCEEW_GEUS\EC Files\KG\JUNE 2024 - GEUS Patch\"/>
    </mc:Choice>
  </mc:AlternateContent>
  <bookViews>
    <workbookView xWindow="0" yWindow="0" windowWidth="38400" windowHeight="17700"/>
  </bookViews>
  <sheets>
    <sheet name="report" sheetId="1" r:id="rId1"/>
  </sheets>
  <definedNames>
    <definedName name="Account_list">report!$C$57:$C$64</definedName>
    <definedName name="db_name">report!$C$12</definedName>
    <definedName name="FREEZE_HERE">report!$B$92</definedName>
    <definedName name="psApp">report!$C$30</definedName>
    <definedName name="psUser">report!$C$14</definedName>
    <definedName name="RangeName_List">report!#REF!</definedName>
    <definedName name="TargetCells">report!$B$92:$B$92</definedName>
    <definedName name="TM1HomeAECAP">report!$D$33</definedName>
    <definedName name="TM1HomeAEWB">report!$F$33</definedName>
    <definedName name="TM1HomeAEWS">report!$H$33</definedName>
    <definedName name="TM1HomeCAP">report!$D$32</definedName>
    <definedName name="TM1HomeRepAnalyticalCAP">report!$D$36</definedName>
    <definedName name="TM1HomeRepAnalyticalWB">report!$F$36</definedName>
    <definedName name="TM1HomeRepAnalyticalWS">report!$H$36</definedName>
    <definedName name="TM1HomeRepCAP">report!$D$34</definedName>
    <definedName name="TM1HomeRepOtherCAP">report!$D$35</definedName>
    <definedName name="TM1HomeRepOtherWB">report!$F$35</definedName>
    <definedName name="TM1HomeRepOtherWS">report!$H$35</definedName>
    <definedName name="TM1HomeRepWB">report!$F$34</definedName>
    <definedName name="TM1HomeRepWS">report!$H$34</definedName>
    <definedName name="TM1HomeWB">report!$F$32</definedName>
    <definedName name="TM1HomeWS">report!$H$32</definedName>
    <definedName name="TM1REBUILDOPTION">0</definedName>
    <definedName name="TM1RptAEAppropQACAP">report!$D$37</definedName>
    <definedName name="TM1RptAEAppropQAWB">report!$F$37</definedName>
    <definedName name="TM1RptAEAppropQAWS">report!$H$37</definedName>
    <definedName name="TM1RptAppropOCProgCAP">report!$D$38</definedName>
    <definedName name="TM1RptAppropOCProgWB">report!$F$38</definedName>
    <definedName name="TM1RptAppropOCProgWS">report!$H$38</definedName>
    <definedName name="TM1RPTDATARNG1" localSheetId="0">report!$92:$92</definedName>
    <definedName name="TM1RPTFMTIDCOL" localSheetId="0">report!$A$1:$A$8</definedName>
    <definedName name="TM1RPTFMTRNG" localSheetId="0">report!$B$1:$S$8</definedName>
    <definedName name="TM1RptProgMoveCAP">report!$D$39</definedName>
    <definedName name="TM1RptProgMoveWB">report!$F$39</definedName>
    <definedName name="TM1RptProgMoveWS">report!$H$39</definedName>
    <definedName name="TM1RptReasonMoveCAP">report!$D$40</definedName>
    <definedName name="TM1RptReasonMoveWB">report!$F$40</definedName>
    <definedName name="TM1RptReasonMoveWS">report!$H$40</definedName>
    <definedName name="TM1ViewAdj01HeaderCAP">report!$D$41</definedName>
    <definedName name="TM1ViewAdj01HeaderWB">report!$F$41</definedName>
    <definedName name="TM1ViewAdj01HeaderWS">report!$H$41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 a="1"/>
  <c r="C20" i="1"/>
  <c r="C21" i="1" a="1"/>
  <c r="C21" i="1"/>
  <c r="L84" i="1"/>
  <c r="C45" i="1" a="1"/>
  <c r="C45" i="1"/>
  <c r="C22" i="1" a="1"/>
  <c r="C22" i="1"/>
  <c r="L85" i="1" a="1"/>
  <c r="L86" i="1" a="1"/>
  <c r="C46" i="1" a="1"/>
  <c r="C47" i="1" a="1"/>
  <c r="C48" i="1" a="1"/>
  <c r="B92" i="1" a="1"/>
  <c r="C49" i="1" a="1"/>
  <c r="C50" i="1" a="1"/>
  <c r="C51" i="1" a="1"/>
  <c r="L89" i="1" a="1"/>
  <c r="C52" i="1" a="1"/>
  <c r="L87" i="1" a="1"/>
  <c r="L88" i="1" a="1"/>
  <c r="C92" i="1" a="1"/>
  <c r="C53" i="1" a="1"/>
  <c r="L72" i="1"/>
  <c r="Q72" i="1" a="1"/>
  <c r="L85" i="1"/>
  <c r="L86" i="1"/>
  <c r="C46" i="1"/>
  <c r="C47" i="1"/>
  <c r="C48" i="1"/>
  <c r="B92" i="1"/>
  <c r="C49" i="1"/>
  <c r="C50" i="1"/>
  <c r="C51" i="1"/>
  <c r="L89" i="1"/>
  <c r="C52" i="1"/>
  <c r="L87" i="1"/>
  <c r="L88" i="1"/>
  <c r="C92" i="1"/>
  <c r="C53" i="1"/>
  <c r="Q72" i="1"/>
  <c r="Q92" i="1" a="1"/>
  <c r="Q92" i="1"/>
  <c r="P72" i="1" a="1"/>
  <c r="P72" i="1"/>
  <c r="P92" i="1" a="1"/>
  <c r="P92" i="1"/>
  <c r="O72" i="1" a="1"/>
  <c r="O72" i="1"/>
  <c r="O92" i="1" a="1"/>
  <c r="O92" i="1"/>
  <c r="N72" i="1" a="1"/>
  <c r="N72" i="1"/>
  <c r="N92" i="1" a="1"/>
  <c r="N92" i="1"/>
  <c r="M72" i="1" a="1"/>
  <c r="M72" i="1"/>
  <c r="M92" i="1" a="1"/>
  <c r="M92" i="1"/>
  <c r="C72" i="1" a="1"/>
  <c r="C72" i="1"/>
  <c r="D92" i="1" a="1"/>
  <c r="D92" i="1"/>
  <c r="A92" i="1" a="1"/>
  <c r="A92" i="1"/>
  <c r="F44" i="1" a="1"/>
  <c r="F44" i="1"/>
  <c r="C29" i="1" a="1"/>
  <c r="C29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C26" i="1" a="1"/>
  <c r="C26" i="1"/>
  <c r="C25" i="1" a="1"/>
  <c r="C25" i="1"/>
  <c r="C24" i="1" a="1"/>
  <c r="C24" i="1"/>
  <c r="C23" i="1" a="1"/>
  <c r="C23" i="1"/>
  <c r="C13" i="1" a="1"/>
  <c r="C13" i="1"/>
  <c r="C14" i="1" a="1"/>
  <c r="C14" i="1"/>
  <c r="C16" i="1" a="1"/>
  <c r="C16" i="1"/>
  <c r="C15" i="1" a="1"/>
  <c r="C15" i="1"/>
  <c r="P87" i="1"/>
  <c r="P94" i="1"/>
  <c r="L92" i="1"/>
  <c r="K92" i="1"/>
  <c r="C55" i="1"/>
  <c r="Q91" i="1"/>
  <c r="P91" i="1"/>
  <c r="O91" i="1"/>
  <c r="N91" i="1"/>
  <c r="M91" i="1"/>
  <c r="J92" i="1"/>
  <c r="L73" i="1"/>
  <c r="C17" i="1"/>
  <c r="A5" i="1"/>
  <c r="A4" i="1"/>
  <c r="A3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<sst xmlns="http://schemas.openxmlformats.org/spreadsheetml/2006/main" count="99" uniqueCount="96">
  <si>
    <t>headline year</t>
  </si>
  <si>
    <t>outcome</t>
  </si>
  <si>
    <t>related entity</t>
  </si>
  <si>
    <t>function</t>
  </si>
  <si>
    <t>spp</t>
  </si>
  <si>
    <t>measure code</t>
  </si>
  <si>
    <t>appropriation type</t>
  </si>
  <si>
    <t>appropriation item</t>
  </si>
  <si>
    <t>jurisdiction</t>
  </si>
  <si>
    <t>movement account</t>
  </si>
  <si>
    <t>D</t>
  </si>
  <si>
    <t>N</t>
  </si>
  <si>
    <t>[Begin Format Range]</t>
  </si>
  <si>
    <t>[End Format Range]</t>
  </si>
  <si>
    <t>Account Type Selected</t>
  </si>
  <si>
    <t>Account_List_Map:</t>
  </si>
  <si>
    <t>9000515 - Gross Cash Receipts</t>
  </si>
  <si>
    <t>9000510 - Gross Cash payments</t>
  </si>
  <si>
    <t>9000700 - High-level budget impacts</t>
  </si>
  <si>
    <t>9000701 - Underlying cash balance HLI</t>
  </si>
  <si>
    <t>9000702 - Fiscal balance HLI</t>
  </si>
  <si>
    <t>Report MDX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</si>
  <si>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</si>
  <si>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</si>
  <si>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</si>
  <si>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</si>
  <si>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</si>
  <si>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</si>
  <si>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</si>
  <si>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</si>
  <si>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</si>
  <si>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</si>
  <si>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archive year</t>
  </si>
  <si>
    <t>archive scenario</t>
  </si>
  <si>
    <t>current budget round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</si>
  <si>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</si>
  <si>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</si>
  <si>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</si>
  <si>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</si>
  <si>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</si>
  <si>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</si>
  <si>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</si>
  <si>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</si>
  <si>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</si>
  <si>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</si>
  <si>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</si>
  <si>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</si>
  <si>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Application Formula (DO NOT DELETE)</t>
  </si>
  <si>
    <t>=DBR($C$28,$B35,C$30)</t>
  </si>
  <si>
    <t>AF Report View</t>
  </si>
  <si>
    <t>Reason MDX</t>
  </si>
  <si>
    <t>{TM1FILTERBYLEVEL( {TM1SUBSETALL( [reason] )}, 0)}</t>
  </si>
  <si>
    <t>ID MDX</t>
  </si>
  <si>
    <t>Period Variables</t>
  </si>
  <si>
    <t>REPORT PARAMETERS</t>
  </si>
  <si>
    <t>Op/Cl Balance &amp;  
Adjustments</t>
  </si>
  <si>
    <t>Reason</t>
  </si>
  <si>
    <t xml:space="preserve">Exclude IGGT  : </t>
  </si>
  <si>
    <t>DEPRECIATION</t>
  </si>
  <si>
    <t>EXPENSE</t>
  </si>
  <si>
    <t>FISCAL BALANCE</t>
  </si>
  <si>
    <t>GROSS PAYMENTS</t>
  </si>
  <si>
    <t>GROSS RECEIPTS</t>
  </si>
  <si>
    <t>NET CAPITAL</t>
  </si>
  <si>
    <t>REVENUE</t>
  </si>
  <si>
    <t>UNDERLYING CASH</t>
  </si>
  <si>
    <t>2241000 - Depreciation</t>
  </si>
  <si>
    <t>200000 - Total Expenses</t>
  </si>
  <si>
    <t>1000000 - Total Revenue</t>
  </si>
  <si>
    <t>{ [id].[0000A], [id].[New Adjustments], [id].[Total IDs] }</t>
  </si>
  <si>
    <t>ID</t>
  </si>
  <si>
    <t>program dimension name</t>
  </si>
  <si>
    <t>Reports - Summary Movement By Reason Code</t>
  </si>
  <si>
    <t>Homepage - Reports - Other</t>
  </si>
  <si>
    <t>Homepage - Reports - Analytical</t>
  </si>
  <si>
    <t>Reports - Annual Estimates Appropriation QA Report</t>
  </si>
  <si>
    <t>Reports - Appropriation By Outcome Program Report</t>
  </si>
  <si>
    <t>Reports - Summary Movement By Program</t>
  </si>
  <si>
    <t>Data Entry - View Adj 01 - Header Details</t>
  </si>
  <si>
    <t>AE Adjustment</t>
  </si>
  <si>
    <t>{{[id].[0BASE]},{TM1FILTERBYLEVEL( {TM1DRILLDOWNMEMBER( {[id].[New adjustments]}, ALL, RECURSIVE )}, 0)},{[id].[Total IDs]}}</t>
  </si>
  <si>
    <t>sys_title</t>
  </si>
  <si>
    <t>AE ID Details</t>
  </si>
  <si>
    <t>View Statement</t>
  </si>
  <si>
    <t>Adjustment Title</t>
  </si>
  <si>
    <t>Headline Year :</t>
  </si>
  <si>
    <t>Scenario :</t>
  </si>
  <si>
    <t>Status  :</t>
  </si>
  <si>
    <t>Program :</t>
  </si>
  <si>
    <t>Account :</t>
  </si>
  <si>
    <t>Note : View Adjustment is only available on Individual ID. (Opening Balance and Closing Balance is not a valid ID)</t>
  </si>
  <si>
    <t>Summary of movement by Reason Code</t>
  </si>
  <si>
    <t xml:space="preserve">Note : Click along these columns to view an adjustment. </t>
  </si>
  <si>
    <t>As at</t>
  </si>
  <si>
    <t>Movement Account :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</si>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</sst>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_);[Red]_(* \(#,##0\);_(* &quot;-&quot;??_);_(@_)"/>
    <numFmt numFmtId="165" formatCode="dd\ mmmm\ yyyy\ h:mm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left" vertical="top"/>
    </xf>
    <xf numFmtId="0" fontId="0" fillId="0" borderId="3" xfId="0" applyBorder="1" applyAlignment="1">
      <alignment vertical="top"/>
    </xf>
    <xf numFmtId="0" fontId="0" fillId="0" borderId="3" xfId="0" applyBorder="1" applyAlignment="1">
      <alignment vertical="top" wrapText="1"/>
    </xf>
    <xf numFmtId="0" fontId="2" fillId="0" borderId="3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0" fillId="3" borderId="3" xfId="0" applyFill="1" applyBorder="1" applyAlignment="1">
      <alignment vertical="top" wrapText="1"/>
    </xf>
    <xf numFmtId="0" fontId="0" fillId="3" borderId="3" xfId="0" quotePrefix="1" applyFill="1" applyBorder="1" applyAlignment="1">
      <alignment vertical="top"/>
    </xf>
    <xf numFmtId="0" fontId="0" fillId="3" borderId="0" xfId="0" quotePrefix="1" applyFill="1" applyAlignment="1">
      <alignment vertical="top"/>
    </xf>
    <xf numFmtId="0" fontId="2" fillId="2" borderId="1" xfId="0" applyFont="1" applyFill="1" applyBorder="1"/>
    <xf numFmtId="0" fontId="0" fillId="2" borderId="2" xfId="0" applyFill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 vertical="top" wrapText="1"/>
    </xf>
    <xf numFmtId="0" fontId="4" fillId="5" borderId="0" xfId="0" applyFont="1" applyFill="1" applyAlignment="1">
      <alignment horizontal="right" vertical="top"/>
    </xf>
    <xf numFmtId="0" fontId="2" fillId="0" borderId="3" xfId="0" applyFont="1" applyBorder="1"/>
    <xf numFmtId="0" fontId="2" fillId="0" borderId="0" xfId="0" applyFont="1"/>
    <xf numFmtId="0" fontId="3" fillId="0" borderId="0" xfId="0" applyFont="1"/>
    <xf numFmtId="0" fontId="5" fillId="7" borderId="3" xfId="0" applyFont="1" applyFill="1" applyBorder="1" applyAlignment="1">
      <alignment horizontal="right"/>
    </xf>
    <xf numFmtId="164" fontId="6" fillId="7" borderId="3" xfId="0" applyNumberFormat="1" applyFont="1" applyFill="1" applyBorder="1"/>
    <xf numFmtId="164" fontId="3" fillId="0" borderId="3" xfId="0" applyNumberFormat="1" applyFont="1" applyBorder="1"/>
    <xf numFmtId="49" fontId="0" fillId="0" borderId="0" xfId="0" applyNumberFormat="1"/>
    <xf numFmtId="0" fontId="1" fillId="4" borderId="6" xfId="0" applyFont="1" applyFill="1" applyBorder="1" applyAlignment="1">
      <alignment horizontal="center" wrapText="1"/>
    </xf>
    <xf numFmtId="0" fontId="2" fillId="0" borderId="0" xfId="0" applyFont="1" applyAlignment="1">
      <alignment horizontal="right" vertical="top"/>
    </xf>
    <xf numFmtId="0" fontId="0" fillId="6" borderId="0" xfId="0" applyFill="1" applyAlignment="1" applyProtection="1">
      <alignment vertical="top"/>
      <protection locked="0"/>
    </xf>
    <xf numFmtId="0" fontId="6" fillId="7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6" fillId="7" borderId="3" xfId="0" applyFont="1" applyFill="1" applyBorder="1"/>
    <xf numFmtId="0" fontId="7" fillId="0" borderId="3" xfId="0" applyFont="1" applyBorder="1"/>
    <xf numFmtId="0" fontId="2" fillId="0" borderId="0" xfId="0" applyFont="1" applyAlignment="1">
      <alignment horizontal="right" indent="1"/>
    </xf>
    <xf numFmtId="0" fontId="0" fillId="0" borderId="3" xfId="0" applyBorder="1" applyAlignment="1" applyProtection="1">
      <alignment horizontal="left" vertical="top" indent="1"/>
      <protection locked="0"/>
    </xf>
    <xf numFmtId="0" fontId="8" fillId="0" borderId="0" xfId="0" applyFont="1" applyAlignment="1">
      <alignment vertical="top"/>
    </xf>
    <xf numFmtId="0" fontId="1" fillId="5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0" fillId="0" borderId="3" xfId="0" applyBorder="1" applyAlignment="1" applyProtection="1">
      <alignment horizontal="left" indent="1"/>
      <protection locked="0"/>
    </xf>
    <xf numFmtId="165" fontId="2" fillId="0" borderId="0" xfId="0" applyNumberFormat="1" applyFont="1" applyAlignment="1">
      <alignment horizontal="left" indent="1"/>
    </xf>
    <xf numFmtId="0" fontId="8" fillId="0" borderId="6" xfId="0" applyFont="1" applyBorder="1" applyAlignment="1" applyProtection="1">
      <alignment horizontal="center" vertical="top"/>
      <protection locked="0"/>
    </xf>
    <xf numFmtId="0" fontId="8" fillId="0" borderId="0" xfId="0" applyFont="1" applyAlignment="1" applyProtection="1">
      <alignment horizontal="center" vertical="top"/>
      <protection locked="0"/>
    </xf>
    <xf numFmtId="0" fontId="2" fillId="2" borderId="7" xfId="0" applyFont="1" applyFill="1" applyBorder="1" applyAlignment="1">
      <alignment horizontal="center" vertical="top"/>
    </xf>
    <xf numFmtId="0" fontId="2" fillId="2" borderId="8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7" Type="http://schemas.openxmlformats.org/officeDocument/2006/relationships/image" Target="../media/image1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6" Type="http://schemas.openxmlformats.org/officeDocument/2006/relationships/image" Target="../media/image2.emf"/><Relationship Id="rId5" Type="http://schemas.openxmlformats.org/officeDocument/2006/relationships/image" Target="../media/image3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75</xdr:row>
      <xdr:rowOff>19050</xdr:rowOff>
    </xdr:from>
    <xdr:to>
      <xdr:col>9</xdr:col>
      <xdr:colOff>1811569</xdr:colOff>
      <xdr:row>76</xdr:row>
      <xdr:rowOff>1412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832524" cy="4852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47625</xdr:colOff>
          <xdr:row>77</xdr:row>
          <xdr:rowOff>9525</xdr:rowOff>
        </xdr:from>
        <xdr:to>
          <xdr:col>9</xdr:col>
          <xdr:colOff>685800</xdr:colOff>
          <xdr:row>77</xdr:row>
          <xdr:rowOff>257175</xdr:rowOff>
        </xdr:to>
        <xdr:sp macro="" textlink="">
          <xdr:nvSpPr>
            <xdr:cNvPr id="1027" name="TIButton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723900</xdr:colOff>
          <xdr:row>77</xdr:row>
          <xdr:rowOff>9525</xdr:rowOff>
        </xdr:from>
        <xdr:to>
          <xdr:col>9</xdr:col>
          <xdr:colOff>1543050</xdr:colOff>
          <xdr:row>77</xdr:row>
          <xdr:rowOff>257175</xdr:rowOff>
        </xdr:to>
        <xdr:sp macro="" textlink="">
          <xdr:nvSpPr>
            <xdr:cNvPr id="1028" name="TIButton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1571625</xdr:colOff>
          <xdr:row>77</xdr:row>
          <xdr:rowOff>9525</xdr:rowOff>
        </xdr:from>
        <xdr:to>
          <xdr:col>9</xdr:col>
          <xdr:colOff>2924175</xdr:colOff>
          <xdr:row>77</xdr:row>
          <xdr:rowOff>257175</xdr:rowOff>
        </xdr:to>
        <xdr:sp macro="" textlink="">
          <xdr:nvSpPr>
            <xdr:cNvPr id="1029" name="TIButton3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1047750</xdr:colOff>
          <xdr:row>77</xdr:row>
          <xdr:rowOff>9525</xdr:rowOff>
        </xdr:from>
        <xdr:to>
          <xdr:col>11</xdr:col>
          <xdr:colOff>1828800</xdr:colOff>
          <xdr:row>77</xdr:row>
          <xdr:rowOff>257175</xdr:rowOff>
        </xdr:to>
        <xdr:sp macro="" textlink="">
          <xdr:nvSpPr>
            <xdr:cNvPr id="1030" name="TIButton4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2943225</xdr:colOff>
          <xdr:row>77</xdr:row>
          <xdr:rowOff>9525</xdr:rowOff>
        </xdr:from>
        <xdr:to>
          <xdr:col>11</xdr:col>
          <xdr:colOff>66675</xdr:colOff>
          <xdr:row>77</xdr:row>
          <xdr:rowOff>257175</xdr:rowOff>
        </xdr:to>
        <xdr:sp macro="" textlink="">
          <xdr:nvSpPr>
            <xdr:cNvPr id="1031" name="TIButton5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114300</xdr:colOff>
          <xdr:row>77</xdr:row>
          <xdr:rowOff>9525</xdr:rowOff>
        </xdr:from>
        <xdr:to>
          <xdr:col>11</xdr:col>
          <xdr:colOff>1000125</xdr:colOff>
          <xdr:row>77</xdr:row>
          <xdr:rowOff>257175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733425</xdr:colOff>
          <xdr:row>76</xdr:row>
          <xdr:rowOff>38100</xdr:rowOff>
        </xdr:from>
        <xdr:to>
          <xdr:col>17</xdr:col>
          <xdr:colOff>0</xdr:colOff>
          <xdr:row>77</xdr:row>
          <xdr:rowOff>295275</xdr:rowOff>
        </xdr:to>
        <xdr:sp macro="" textlink="">
          <xdr:nvSpPr>
            <xdr:cNvPr id="1033" name="TIButton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outlinePr showOutlineSymbols="0"/>
    <pageSetUpPr fitToPage="1"/>
  </sheetPr>
  <dimension ref="A1:AH94"/>
  <sheetViews>
    <sheetView showGridLines="0" tabSelected="1" showOutlineSymbols="0" topLeftCell="I76" workbookViewId="0">
      <pane ySplit="16" topLeftCell="A92" activePane="bottomLeft" state="frozen"/>
      <selection activeCell="I76" sqref="I76"/>
      <selection pane="bottomLeft" activeCell="L76" sqref="L76"/>
    </sheetView>
  </sheetViews>
  <sheetFormatPr defaultRowHeight="15" outlineLevelRow="1" outlineLevelCol="1" x14ac:dyDescent="0.25"/>
  <cols>
    <col min="1" max="1" width="18.7109375" hidden="1" customWidth="1" outlineLevel="1"/>
    <col min="2" max="2" width="34.140625" hidden="1" customWidth="1" outlineLevel="1"/>
    <col min="3" max="3" width="33.140625" hidden="1" customWidth="1" outlineLevel="1"/>
    <col min="4" max="7" width="15.42578125" hidden="1" customWidth="1" outlineLevel="1"/>
    <col min="8" max="8" width="22.5703125" hidden="1" customWidth="1" outlineLevel="1"/>
    <col min="9" max="9" width="0.85546875" customWidth="1" collapsed="1"/>
    <col min="10" max="10" width="50.7109375" customWidth="1"/>
    <col min="11" max="11" width="15.7109375" customWidth="1"/>
    <col min="12" max="12" width="60.7109375" customWidth="1"/>
    <col min="13" max="17" width="15.7109375" customWidth="1"/>
  </cols>
  <sheetData>
    <row r="1" spans="1:34" hidden="1" outlineLevel="1" collapsed="1" x14ac:dyDescent="0.25">
      <c r="A1" t="s">
        <v>12</v>
      </c>
    </row>
    <row r="2" spans="1:34" hidden="1" outlineLevel="1" x14ac:dyDescent="0.25">
      <c r="A2" s="20">
        <f>0</f>
        <v>0</v>
      </c>
      <c r="B2" s="24"/>
      <c r="F2" s="25"/>
      <c r="G2" s="25"/>
      <c r="H2" s="25"/>
      <c r="I2" s="25"/>
      <c r="J2" s="33"/>
      <c r="K2" s="26"/>
      <c r="L2" s="36"/>
      <c r="M2" s="27"/>
      <c r="N2" s="27"/>
      <c r="O2" s="27"/>
      <c r="P2" s="27"/>
      <c r="Q2" s="27"/>
    </row>
    <row r="3" spans="1:34" hidden="1" outlineLevel="1" x14ac:dyDescent="0.25">
      <c r="A3" s="20">
        <f>1</f>
        <v>1</v>
      </c>
      <c r="F3" s="25"/>
      <c r="G3" s="25"/>
      <c r="H3" s="25"/>
      <c r="I3" s="25"/>
      <c r="J3" s="34"/>
      <c r="K3" s="35"/>
      <c r="L3" s="37"/>
      <c r="M3" s="28"/>
      <c r="N3" s="28"/>
      <c r="O3" s="28"/>
      <c r="P3" s="28"/>
      <c r="Q3" s="28"/>
    </row>
    <row r="4" spans="1:34" hidden="1" outlineLevel="1" x14ac:dyDescent="0.25">
      <c r="A4" s="20">
        <f>2</f>
        <v>2</v>
      </c>
      <c r="F4" s="25"/>
      <c r="G4" s="25"/>
      <c r="H4" s="25"/>
      <c r="I4" s="25"/>
      <c r="J4" s="34"/>
      <c r="K4" s="35"/>
      <c r="L4" s="37"/>
      <c r="M4" s="28"/>
      <c r="N4" s="28"/>
      <c r="O4" s="28"/>
      <c r="P4" s="28"/>
      <c r="Q4" s="28"/>
    </row>
    <row r="5" spans="1:34" hidden="1" outlineLevel="1" x14ac:dyDescent="0.25">
      <c r="A5" s="20">
        <f>3</f>
        <v>3</v>
      </c>
      <c r="F5" s="25"/>
      <c r="G5" s="25"/>
      <c r="H5" s="25"/>
      <c r="I5" s="25"/>
      <c r="J5" s="34"/>
      <c r="K5" s="35"/>
      <c r="L5" s="37"/>
      <c r="M5" s="28"/>
      <c r="N5" s="28"/>
      <c r="O5" s="28"/>
      <c r="P5" s="28"/>
      <c r="Q5" s="28"/>
    </row>
    <row r="6" spans="1:34" hidden="1" outlineLevel="1" x14ac:dyDescent="0.25">
      <c r="A6" t="s">
        <v>10</v>
      </c>
      <c r="F6" s="25"/>
      <c r="G6" s="25"/>
      <c r="H6" s="25"/>
      <c r="I6" s="25"/>
      <c r="J6" s="34"/>
      <c r="K6" s="35"/>
      <c r="L6" s="37"/>
      <c r="M6" s="28"/>
      <c r="N6" s="28"/>
      <c r="O6" s="28"/>
      <c r="P6" s="28"/>
      <c r="Q6" s="28"/>
    </row>
    <row r="7" spans="1:34" hidden="1" outlineLevel="1" x14ac:dyDescent="0.25">
      <c r="A7" t="s">
        <v>11</v>
      </c>
      <c r="F7" s="25"/>
      <c r="G7" s="25"/>
      <c r="H7" s="25"/>
      <c r="I7" s="25"/>
      <c r="J7" s="34"/>
      <c r="K7" s="35"/>
      <c r="L7" s="37"/>
      <c r="M7" s="28"/>
      <c r="N7" s="28"/>
      <c r="O7" s="28"/>
      <c r="P7" s="28"/>
      <c r="Q7" s="28"/>
    </row>
    <row r="8" spans="1:34" hidden="1" outlineLevel="1" x14ac:dyDescent="0.25">
      <c r="A8" t="s">
        <v>13</v>
      </c>
    </row>
    <row r="9" spans="1:34" s="1" customFormat="1" hidden="1" outlineLevel="1" x14ac:dyDescent="0.25">
      <c r="C9" s="2"/>
      <c r="K9" s="4"/>
      <c r="L9" s="4"/>
      <c r="Q9" s="4"/>
      <c r="S9" s="4"/>
    </row>
    <row r="10" spans="1:34" s="1" customFormat="1" hidden="1" outlineLevel="1" x14ac:dyDescent="0.25">
      <c r="C10" s="2"/>
      <c r="K10" s="4"/>
      <c r="L10" s="4"/>
      <c r="Q10" s="4"/>
      <c r="S10" s="4"/>
      <c r="V10" s="5"/>
      <c r="W10" s="5"/>
      <c r="X10" s="5"/>
      <c r="Y10" s="5"/>
      <c r="Z10" s="5"/>
      <c r="AA10" s="5"/>
      <c r="AB10" s="5"/>
      <c r="AC10" s="5"/>
      <c r="AD10" s="4"/>
      <c r="AF10" s="4"/>
      <c r="AH10" s="4"/>
    </row>
    <row r="11" spans="1:34" s="1" customFormat="1" hidden="1" outlineLevel="1" x14ac:dyDescent="0.25">
      <c r="B11" s="49" t="s">
        <v>22</v>
      </c>
      <c r="C11" s="50"/>
      <c r="J11" s="4"/>
      <c r="Q11" s="4"/>
      <c r="S11" s="4"/>
      <c r="V11" s="5"/>
      <c r="W11" s="5"/>
      <c r="X11" s="5"/>
      <c r="Y11" s="5"/>
      <c r="Z11" s="5"/>
      <c r="AA11" s="5"/>
      <c r="AB11" s="5"/>
      <c r="AC11" s="5"/>
      <c r="AD11" s="4"/>
      <c r="AF11" s="4"/>
      <c r="AH11" s="4"/>
    </row>
    <row r="12" spans="1:34" s="1" customFormat="1" hidden="1" outlineLevel="1" x14ac:dyDescent="0.25">
      <c r="B12" s="6" t="s">
        <v>23</v>
      </c>
      <c r="C12" s="7" t="s">
        <v>95</v>
      </c>
      <c r="J12" s="4"/>
      <c r="Q12" s="4"/>
      <c r="S12" s="4"/>
      <c r="V12" s="5"/>
      <c r="W12" s="5"/>
      <c r="X12" s="5"/>
      <c r="Y12" s="5"/>
      <c r="Z12" s="5"/>
      <c r="AA12" s="5"/>
      <c r="AB12" s="5"/>
      <c r="AC12" s="5"/>
      <c r="AD12" s="4"/>
      <c r="AF12" s="4"/>
      <c r="AH12" s="4"/>
    </row>
    <row r="13" spans="1:34" s="1" customFormat="1" hidden="1" outlineLevel="1" x14ac:dyDescent="0.25">
      <c r="B13" s="6" t="s">
        <v>24</v>
      </c>
      <c r="C13" s="8" t="str" cm="1">
        <f t="array" aca="1" ref="C13" ca="1">_xll.VIEW(db_name&amp;":}ElementAttributes_}Clients","!","!")</f>
        <v>dcceew_geus:}ElementAttributes_}Clients</v>
      </c>
      <c r="J13" s="4"/>
      <c r="Q13" s="4"/>
      <c r="S13" s="4"/>
      <c r="V13" s="5"/>
      <c r="W13" s="5"/>
      <c r="X13" s="5"/>
      <c r="Y13" s="5"/>
      <c r="Z13" s="5"/>
      <c r="AA13" s="5"/>
      <c r="AB13" s="5"/>
      <c r="AC13" s="5"/>
      <c r="AD13" s="4"/>
      <c r="AF13" s="4"/>
      <c r="AH13" s="4"/>
    </row>
    <row r="14" spans="1:34" s="1" customFormat="1" hidden="1" outlineLevel="1" x14ac:dyDescent="0.25">
      <c r="B14" s="6" t="s">
        <v>25</v>
      </c>
      <c r="C14" s="7" t="str" cm="1">
        <f t="array" aca="1" ref="C14" ca="1">_xll.TM1USER(db_name)</f>
        <v>CAMID("pans:u:kgimena@excelerated.com.au")</v>
      </c>
      <c r="J14" s="4"/>
      <c r="Q14" s="4"/>
      <c r="S14" s="4"/>
      <c r="V14" s="5"/>
      <c r="W14" s="5"/>
      <c r="X14" s="5"/>
      <c r="Y14" s="5"/>
      <c r="Z14" s="5"/>
      <c r="AA14" s="5"/>
      <c r="AB14" s="5"/>
      <c r="AC14" s="5"/>
      <c r="AD14" s="4"/>
      <c r="AF14" s="4"/>
      <c r="AH14" s="4"/>
    </row>
    <row r="15" spans="1:34" s="1" customFormat="1" hidden="1" outlineLevel="1" x14ac:dyDescent="0.25">
      <c r="B15" s="6" t="s">
        <v>26</v>
      </c>
      <c r="C15" s="7" t="str" cm="1">
        <f t="array" aca="1" ref="C15" ca="1">_xll.DBR($C$13,$C$14,$B15)</f>
        <v>Business Analytics/Khristian Gimena</v>
      </c>
      <c r="J15" s="4"/>
      <c r="Q15" s="4"/>
      <c r="S15" s="4"/>
      <c r="V15" s="5"/>
      <c r="W15" s="5"/>
      <c r="X15" s="5"/>
      <c r="Y15" s="5"/>
      <c r="Z15" s="5"/>
      <c r="AA15" s="5"/>
      <c r="AB15" s="5"/>
      <c r="AC15" s="5"/>
      <c r="AD15" s="4"/>
      <c r="AF15" s="4"/>
      <c r="AH15" s="4"/>
    </row>
    <row r="16" spans="1:34" s="1" customFormat="1" hidden="1" outlineLevel="1" x14ac:dyDescent="0.25">
      <c r="B16" s="6" t="s">
        <v>27</v>
      </c>
      <c r="C16" s="7" t="str" cm="1">
        <f t="array" aca="1" ref="C16" ca="1">_xll.DBR($C$13,$C$14,$B16)</f>
        <v>Khristian Gimena</v>
      </c>
      <c r="J16" s="4"/>
      <c r="Q16" s="4"/>
      <c r="S16" s="4"/>
      <c r="V16" s="5"/>
      <c r="W16" s="5"/>
      <c r="X16" s="5"/>
      <c r="Y16" s="5"/>
      <c r="Z16" s="5"/>
      <c r="AA16" s="5"/>
      <c r="AB16" s="5"/>
      <c r="AC16" s="5"/>
      <c r="AD16" s="4"/>
      <c r="AF16" s="4"/>
      <c r="AH16" s="4"/>
    </row>
    <row r="17" spans="2:34" s="1" customFormat="1" hidden="1" outlineLevel="1" x14ac:dyDescent="0.25">
      <c r="B17" s="6" t="s">
        <v>28</v>
      </c>
      <c r="C17" s="7" t="str">
        <f ca="1">IF(LEFT($C$15,6)="CAM_AD",$C$16,$C$15)</f>
        <v>Business Analytics/Khristian Gimena</v>
      </c>
      <c r="J17" s="4"/>
      <c r="Q17" s="4"/>
      <c r="S17" s="4"/>
      <c r="V17" s="5"/>
      <c r="W17" s="5"/>
      <c r="X17" s="5"/>
      <c r="Y17" s="5"/>
      <c r="Z17" s="5"/>
      <c r="AA17" s="5"/>
      <c r="AB17" s="5"/>
      <c r="AC17" s="5"/>
      <c r="AD17" s="4"/>
      <c r="AF17" s="4"/>
      <c r="AH17" s="4"/>
    </row>
    <row r="18" spans="2:34" s="1" customFormat="1" hidden="1" outlineLevel="1" x14ac:dyDescent="0.25">
      <c r="B18" s="2"/>
      <c r="J18" s="4"/>
      <c r="Q18" s="4"/>
      <c r="S18" s="4"/>
      <c r="V18" s="5"/>
      <c r="W18" s="5"/>
      <c r="X18" s="5"/>
      <c r="Y18" s="5"/>
      <c r="Z18" s="5"/>
      <c r="AA18" s="5"/>
      <c r="AB18" s="5"/>
      <c r="AC18" s="5"/>
      <c r="AD18" s="4"/>
      <c r="AF18" s="4"/>
      <c r="AH18" s="4"/>
    </row>
    <row r="19" spans="2:34" s="1" customFormat="1" hidden="1" outlineLevel="1" x14ac:dyDescent="0.25">
      <c r="B19" s="49" t="s">
        <v>29</v>
      </c>
      <c r="C19" s="50"/>
      <c r="J19" s="4"/>
      <c r="Q19" s="4"/>
      <c r="S19" s="4"/>
      <c r="V19" s="5"/>
      <c r="W19" s="5"/>
      <c r="X19" s="5"/>
      <c r="Y19" s="5"/>
      <c r="Z19" s="5"/>
      <c r="AA19" s="5"/>
      <c r="AB19" s="5"/>
      <c r="AC19" s="5"/>
      <c r="AD19" s="4"/>
      <c r="AF19" s="4"/>
      <c r="AH19" s="4"/>
    </row>
    <row r="20" spans="2:34" s="1" customFormat="1" hidden="1" outlineLevel="1" x14ac:dyDescent="0.25">
      <c r="B20" s="6" t="s">
        <v>30</v>
      </c>
      <c r="C20" s="9" t="str" cm="1">
        <f t="array" aca="1" ref="C20" ca="1">_xll.VIEW(db_name&amp;":}ElementAttributes_variables","!","!")</f>
        <v>dcceew_geus:}ElementAttributes_variables</v>
      </c>
      <c r="J20" s="4"/>
      <c r="Q20" s="4"/>
      <c r="S20" s="4"/>
      <c r="V20" s="5"/>
      <c r="W20" s="5"/>
      <c r="X20" s="5"/>
      <c r="Y20" s="5"/>
      <c r="Z20" s="5"/>
      <c r="AA20" s="5"/>
      <c r="AB20" s="5"/>
      <c r="AC20" s="5"/>
      <c r="AD20" s="4"/>
      <c r="AF20" s="4"/>
      <c r="AH20" s="4"/>
    </row>
    <row r="21" spans="2:34" s="1" customFormat="1" hidden="1" outlineLevel="1" x14ac:dyDescent="0.25">
      <c r="B21" s="6" t="s">
        <v>0</v>
      </c>
      <c r="C21" s="9" t="str" cm="1">
        <f t="array" aca="1" ref="C21" ca="1">_xll.DBR($C$20,$B21,"value")</f>
        <v>HL2024-2025</v>
      </c>
      <c r="D21" s="9"/>
      <c r="J21" s="4"/>
      <c r="Q21" s="4"/>
      <c r="S21" s="4"/>
      <c r="V21" s="5"/>
      <c r="W21" s="5"/>
      <c r="X21" s="5"/>
      <c r="Y21" s="5"/>
      <c r="Z21" s="5"/>
      <c r="AA21" s="5"/>
      <c r="AB21" s="5"/>
      <c r="AC21" s="5"/>
      <c r="AD21" s="4"/>
      <c r="AF21" s="4"/>
      <c r="AH21" s="4"/>
    </row>
    <row r="22" spans="2:34" s="1" customFormat="1" hidden="1" outlineLevel="1" x14ac:dyDescent="0.25">
      <c r="B22" s="6" t="s">
        <v>31</v>
      </c>
      <c r="C22" s="9" t="str" cm="1">
        <f t="array" aca="1" ref="C22" ca="1">_xll.DBR($C$20,$B22,"value")</f>
        <v>current</v>
      </c>
      <c r="D22" s="9"/>
      <c r="J22" s="4"/>
      <c r="Q22" s="4"/>
      <c r="S22" s="4"/>
      <c r="V22" s="5"/>
      <c r="W22" s="5"/>
      <c r="X22" s="5"/>
      <c r="Y22" s="5"/>
      <c r="Z22" s="5"/>
      <c r="AA22" s="5"/>
      <c r="AB22" s="5"/>
      <c r="AC22" s="5"/>
      <c r="AD22" s="4"/>
      <c r="AF22" s="4"/>
      <c r="AH22" s="4"/>
    </row>
    <row r="23" spans="2:34" s="1" customFormat="1" hidden="1" outlineLevel="1" x14ac:dyDescent="0.25">
      <c r="B23" s="6" t="s">
        <v>32</v>
      </c>
      <c r="C23" s="9" t="str" cm="1">
        <f t="array" aca="1" ref="C23" ca="1">_xll.DBR($C$20,$B23,"value")</f>
        <v>HL2024-2025</v>
      </c>
      <c r="D23" s="9"/>
      <c r="J23" s="4"/>
      <c r="Q23" s="4"/>
      <c r="S23" s="4"/>
      <c r="V23" s="5"/>
      <c r="W23" s="5"/>
      <c r="X23" s="5"/>
      <c r="Y23" s="5"/>
      <c r="Z23" s="5"/>
      <c r="AA23" s="5"/>
      <c r="AB23" s="5"/>
      <c r="AC23" s="5"/>
      <c r="AD23" s="4"/>
      <c r="AF23" s="4"/>
      <c r="AH23" s="4"/>
    </row>
    <row r="24" spans="2:34" s="1" customFormat="1" hidden="1" outlineLevel="1" x14ac:dyDescent="0.25">
      <c r="B24" s="6" t="s">
        <v>33</v>
      </c>
      <c r="C24" s="9" t="str" cm="1">
        <f t="array" aca="1" ref="C24" ca="1">_xll.DBR($C$20,$B24,"value")</f>
        <v>Pre-ERC</v>
      </c>
      <c r="D24" s="9"/>
      <c r="J24" s="4"/>
      <c r="Q24" s="4"/>
      <c r="S24" s="4"/>
      <c r="V24" s="5"/>
      <c r="W24" s="5"/>
      <c r="X24" s="5"/>
      <c r="Y24" s="5"/>
      <c r="Z24" s="5"/>
      <c r="AA24" s="5"/>
      <c r="AB24" s="5"/>
      <c r="AC24" s="5"/>
      <c r="AD24" s="4"/>
      <c r="AF24" s="4"/>
      <c r="AH24" s="4"/>
    </row>
    <row r="25" spans="2:34" s="1" customFormat="1" hidden="1" outlineLevel="1" x14ac:dyDescent="0.25">
      <c r="B25" s="6" t="s">
        <v>34</v>
      </c>
      <c r="C25" s="9" t="str" cm="1">
        <f t="array" aca="1" ref="C25" ca="1">_xll.DBR($C$20,$B25,"value")</f>
        <v>Budget</v>
      </c>
      <c r="D25" s="9"/>
      <c r="J25" s="4"/>
      <c r="Q25" s="4"/>
      <c r="S25" s="4"/>
      <c r="V25" s="5"/>
      <c r="W25" s="5"/>
      <c r="X25" s="5"/>
      <c r="Y25" s="5"/>
      <c r="Z25" s="5"/>
      <c r="AA25" s="5"/>
      <c r="AB25" s="5"/>
      <c r="AC25" s="5"/>
      <c r="AD25" s="4"/>
      <c r="AF25" s="4"/>
      <c r="AH25" s="4"/>
    </row>
    <row r="26" spans="2:34" s="1" customFormat="1" hidden="1" outlineLevel="1" x14ac:dyDescent="0.25">
      <c r="B26" s="6" t="s">
        <v>71</v>
      </c>
      <c r="C26" s="9" t="str" cm="1">
        <f t="array" aca="1" ref="C26" ca="1">_xll.DBR($C$20,$B26,"value")</f>
        <v>programme</v>
      </c>
      <c r="J26" s="4"/>
      <c r="Q26" s="4"/>
      <c r="S26" s="4"/>
      <c r="V26" s="5"/>
      <c r="W26" s="5"/>
      <c r="X26" s="5"/>
      <c r="Y26" s="5"/>
      <c r="Z26" s="5"/>
      <c r="AA26" s="5"/>
      <c r="AB26" s="5"/>
      <c r="AC26" s="5"/>
      <c r="AD26" s="4"/>
      <c r="AF26" s="4"/>
      <c r="AH26" s="4"/>
    </row>
    <row r="27" spans="2:34" s="1" customFormat="1" hidden="1" outlineLevel="1" x14ac:dyDescent="0.25">
      <c r="B27" s="2"/>
      <c r="J27" s="4"/>
      <c r="Q27" s="4"/>
      <c r="S27" s="4"/>
      <c r="V27" s="5"/>
      <c r="W27" s="5"/>
      <c r="X27" s="5"/>
      <c r="Y27" s="5"/>
      <c r="Z27" s="5"/>
      <c r="AA27" s="5"/>
      <c r="AB27" s="5"/>
      <c r="AC27" s="5"/>
      <c r="AD27" s="4"/>
      <c r="AF27" s="4"/>
      <c r="AH27" s="4"/>
    </row>
    <row r="28" spans="2:34" s="1" customFormat="1" hidden="1" outlineLevel="1" x14ac:dyDescent="0.25">
      <c r="B28" s="49" t="s">
        <v>35</v>
      </c>
      <c r="C28" s="50"/>
      <c r="J28" s="4"/>
      <c r="Q28" s="4"/>
      <c r="S28" s="4"/>
      <c r="V28" s="5"/>
      <c r="W28" s="5"/>
      <c r="X28" s="5"/>
      <c r="Y28" s="5"/>
      <c r="Z28" s="5"/>
      <c r="AA28" s="5"/>
      <c r="AB28" s="5"/>
      <c r="AC28" s="5"/>
      <c r="AD28" s="4"/>
      <c r="AF28" s="4"/>
      <c r="AH28" s="4"/>
    </row>
    <row r="29" spans="2:34" s="1" customFormat="1" hidden="1" outlineLevel="1" x14ac:dyDescent="0.25">
      <c r="B29" s="6" t="s">
        <v>36</v>
      </c>
      <c r="C29" s="9" t="str" cm="1">
        <f t="array" aca="1" ref="C29" ca="1">_xll.VIEW(db_name&amp;":sys_application","!","!")</f>
        <v>dcceew_geus:sys_application</v>
      </c>
      <c r="J29" s="4"/>
      <c r="Q29" s="4"/>
      <c r="S29" s="4"/>
      <c r="V29" s="5"/>
      <c r="W29" s="5"/>
      <c r="X29" s="5"/>
      <c r="Y29" s="5"/>
      <c r="Z29" s="5"/>
      <c r="AA29" s="5"/>
      <c r="AB29" s="5"/>
      <c r="AC29" s="5"/>
      <c r="AD29" s="4"/>
      <c r="AF29" s="4"/>
      <c r="AH29" s="4"/>
    </row>
    <row r="30" spans="2:34" s="1" customFormat="1" hidden="1" outlineLevel="1" x14ac:dyDescent="0.25">
      <c r="B30" s="6" t="s">
        <v>37</v>
      </c>
      <c r="C30" s="9" t="s">
        <v>72</v>
      </c>
      <c r="J30" s="4"/>
      <c r="Q30" s="4"/>
      <c r="S30" s="4"/>
      <c r="V30" s="5"/>
      <c r="W30" s="5"/>
      <c r="X30" s="5"/>
      <c r="Y30" s="5"/>
      <c r="Z30" s="5"/>
      <c r="AA30" s="5"/>
      <c r="AB30" s="5"/>
      <c r="AC30" s="5"/>
      <c r="AD30" s="4"/>
      <c r="AF30" s="4"/>
      <c r="AH30" s="4"/>
    </row>
    <row r="31" spans="2:34" s="1" customFormat="1" hidden="1" outlineLevel="1" x14ac:dyDescent="0.25">
      <c r="B31" s="10"/>
      <c r="C31" s="11" t="s">
        <v>38</v>
      </c>
      <c r="D31" s="11" t="s">
        <v>39</v>
      </c>
      <c r="E31" s="11" t="s">
        <v>40</v>
      </c>
      <c r="F31" s="12" t="s">
        <v>41</v>
      </c>
      <c r="G31" s="11" t="s">
        <v>42</v>
      </c>
      <c r="H31" s="11" t="s">
        <v>43</v>
      </c>
      <c r="I31" s="3"/>
      <c r="M31" s="3"/>
      <c r="O31" s="4"/>
      <c r="Q31" s="4"/>
      <c r="T31" s="5"/>
      <c r="U31" s="5"/>
      <c r="V31" s="5"/>
      <c r="W31" s="5"/>
      <c r="X31" s="5"/>
      <c r="Y31" s="5"/>
      <c r="Z31" s="5"/>
      <c r="AA31" s="5"/>
      <c r="AB31" s="4"/>
      <c r="AD31" s="4"/>
      <c r="AF31" s="4"/>
    </row>
    <row r="32" spans="2:34" s="1" customFormat="1" hidden="1" outlineLevel="1" x14ac:dyDescent="0.25">
      <c r="B32" s="18" t="s">
        <v>44</v>
      </c>
      <c r="C32" s="18" t="str" cm="1">
        <f t="array" aca="1" ref="C32" ca="1">_xll.DBR($C$29,$B32,C$31)</f>
        <v>TM1HomeCAP</v>
      </c>
      <c r="D32" s="18" t="str" cm="1">
        <f t="array" aca="1" ref="D32" ca="1">_xll.DBR($C$29,$B32,D$31)</f>
        <v>Home</v>
      </c>
      <c r="E32" s="18" t="str" cm="1">
        <f t="array" aca="1" ref="E32" ca="1">_xll.DBR($C$29,$B32,E$31)</f>
        <v>TM1HomeWB</v>
      </c>
      <c r="F32" s="18" t="str" cm="1">
        <f t="array" aca="1" ref="F32" ca="1">_xll.DBR($C$29,$B32,F$31)</f>
        <v>PRIMUS\GEUS WEB\Homepage\sys_Home.xlsx</v>
      </c>
      <c r="G32" s="18" t="str" cm="1">
        <f t="array" aca="1" ref="G32" ca="1">_xll.DBR($C$29,$B32,G$31)</f>
        <v>TM1HomeWS</v>
      </c>
      <c r="H32" s="18" t="str" cm="1">
        <f t="array" aca="1" ref="H32" ca="1">_xll.DBR($C$29,$B32,H$31)</f>
        <v>home</v>
      </c>
      <c r="O32" s="4"/>
      <c r="Q32" s="4"/>
      <c r="T32" s="5"/>
      <c r="U32" s="5"/>
      <c r="V32" s="5"/>
      <c r="W32" s="5"/>
      <c r="X32" s="5"/>
      <c r="Y32" s="5"/>
      <c r="Z32" s="5"/>
      <c r="AA32" s="5"/>
      <c r="AB32" s="4"/>
      <c r="AD32" s="4"/>
      <c r="AF32" s="4"/>
    </row>
    <row r="33" spans="2:34" s="1" customFormat="1" hidden="1" outlineLevel="1" x14ac:dyDescent="0.25">
      <c r="B33" s="18" t="s">
        <v>45</v>
      </c>
      <c r="C33" s="18" t="str" cm="1">
        <f t="array" aca="1" ref="C33" ca="1">_xll.DBR($C$29,$B33,C$31)</f>
        <v>TM1HomeAECAP</v>
      </c>
      <c r="D33" s="18" t="str" cm="1">
        <f t="array" aca="1" ref="D33" ca="1">_xll.DBR($C$29,$B33,D$31)</f>
        <v>Annual Estimates</v>
      </c>
      <c r="E33" s="18" t="str" cm="1">
        <f t="array" aca="1" ref="E33" ca="1">_xll.DBR($C$29,$B33,E$31)</f>
        <v>TM1HomeAEWB</v>
      </c>
      <c r="F33" s="18" t="str" cm="1">
        <f t="array" aca="1" ref="F33" ca="1">_xll.DBR($C$29,$B33,F$31)</f>
        <v>PRIMUS\GEUS WEB\Homepage\sys_Home - Annual Estimates - Data Entry.xlsx</v>
      </c>
      <c r="G33" s="18" t="str" cm="1">
        <f t="array" aca="1" ref="G33" ca="1">_xll.DBR($C$29,$B33,G$31)</f>
        <v>TM1HomeAEWS</v>
      </c>
      <c r="H33" s="18" t="str" cm="1">
        <f t="array" aca="1" ref="H33" ca="1">_xll.DBR($C$29,$B33,H$31)</f>
        <v>Menu</v>
      </c>
      <c r="O33" s="4"/>
      <c r="Q33" s="4"/>
      <c r="T33" s="5"/>
      <c r="U33" s="5"/>
      <c r="V33" s="5"/>
      <c r="W33" s="5"/>
      <c r="X33" s="5"/>
      <c r="Y33" s="5"/>
      <c r="Z33" s="5"/>
      <c r="AA33" s="5"/>
      <c r="AB33" s="4"/>
      <c r="AD33" s="4"/>
      <c r="AF33" s="4"/>
    </row>
    <row r="34" spans="2:34" s="1" customFormat="1" hidden="1" outlineLevel="1" x14ac:dyDescent="0.25">
      <c r="B34" s="18" t="s">
        <v>46</v>
      </c>
      <c r="C34" s="18" t="str" cm="1">
        <f t="array" aca="1" ref="C34" ca="1">_xll.DBR($C$29,$B34,C$31)</f>
        <v>TM1HomeRepCAP</v>
      </c>
      <c r="D34" s="18" t="str" cm="1">
        <f t="array" aca="1" ref="D34" ca="1">_xll.DBR($C$29,$B34,D$31)</f>
        <v>Reports</v>
      </c>
      <c r="E34" s="18" t="str" cm="1">
        <f t="array" aca="1" ref="E34" ca="1">_xll.DBR($C$29,$B34,E$31)</f>
        <v>TM1HomeRepWB</v>
      </c>
      <c r="F34" s="18" t="str" cm="1">
        <f t="array" aca="1" ref="F34" ca="1">_xll.DBR($C$29,$B34,F$31)</f>
        <v>PRIMUS\GEUS WEB\Homepage\sys_Home - Reports - PFS.xlsx</v>
      </c>
      <c r="G34" s="18" t="str" cm="1">
        <f t="array" aca="1" ref="G34" ca="1">_xll.DBR($C$29,$B34,G$31)</f>
        <v>TM1HomeRepWS</v>
      </c>
      <c r="H34" s="18" t="str" cm="1">
        <f t="array" aca="1" ref="H34" ca="1">_xll.DBR($C$29,$B34,H$31)</f>
        <v>Menu</v>
      </c>
      <c r="O34" s="4"/>
      <c r="Q34" s="4"/>
      <c r="T34" s="5"/>
      <c r="U34" s="5"/>
      <c r="V34" s="5"/>
      <c r="W34" s="5"/>
      <c r="X34" s="5"/>
      <c r="Y34" s="5"/>
      <c r="Z34" s="5"/>
      <c r="AA34" s="5"/>
      <c r="AB34" s="4"/>
      <c r="AD34" s="4"/>
      <c r="AF34" s="4"/>
    </row>
    <row r="35" spans="2:34" s="1" customFormat="1" hidden="1" outlineLevel="1" x14ac:dyDescent="0.25">
      <c r="B35" s="18" t="s">
        <v>73</v>
      </c>
      <c r="C35" s="18" t="str" cm="1">
        <f t="array" aca="1" ref="C35" ca="1">_xll.DBR($C$29,$B35,C$31)</f>
        <v>TM1HomeRepOtherCAP</v>
      </c>
      <c r="D35" s="18" t="str" cm="1">
        <f t="array" aca="1" ref="D35" ca="1">_xll.DBR($C$29,$B35,D$31)</f>
        <v>Other Reports Menu</v>
      </c>
      <c r="E35" s="18" t="str" cm="1">
        <f t="array" aca="1" ref="E35" ca="1">_xll.DBR($C$29,$B35,E$31)</f>
        <v>TM1HomeRepOtherWB</v>
      </c>
      <c r="F35" s="18" t="str" cm="1">
        <f t="array" aca="1" ref="F35" ca="1">_xll.DBR($C$29,$B35,F$31)</f>
        <v>PRIMUS\GEUS WEB\Homepage\sys_Home - Reports - Other.xlsx</v>
      </c>
      <c r="G35" s="18" t="str" cm="1">
        <f t="array" aca="1" ref="G35" ca="1">_xll.DBR($C$29,$B35,G$31)</f>
        <v>TM1HomeRepOtherWS</v>
      </c>
      <c r="H35" s="18" t="str" cm="1">
        <f t="array" aca="1" ref="H35" ca="1">_xll.DBR($C$29,$B35,H$31)</f>
        <v>Menu</v>
      </c>
      <c r="O35" s="4"/>
      <c r="Q35" s="4"/>
      <c r="T35" s="5"/>
      <c r="U35" s="5"/>
      <c r="V35" s="5"/>
      <c r="W35" s="5"/>
      <c r="X35" s="5"/>
      <c r="Y35" s="5"/>
      <c r="Z35" s="5"/>
      <c r="AA35" s="5"/>
      <c r="AB35" s="4"/>
      <c r="AD35" s="4"/>
      <c r="AF35" s="4"/>
    </row>
    <row r="36" spans="2:34" s="1" customFormat="1" hidden="1" outlineLevel="1" x14ac:dyDescent="0.25">
      <c r="B36" s="18" t="s">
        <v>74</v>
      </c>
      <c r="C36" s="18" t="str" cm="1">
        <f t="array" aca="1" ref="C36" ca="1">_xll.DBR($C$29,$B36,C$31)</f>
        <v>TM1HomeRepAnalyticalCAP</v>
      </c>
      <c r="D36" s="18" t="str" cm="1">
        <f t="array" aca="1" ref="D36" ca="1">_xll.DBR($C$29,$B36,D$31)</f>
        <v>Analytical Reports Menu</v>
      </c>
      <c r="E36" s="18" t="str" cm="1">
        <f t="array" aca="1" ref="E36" ca="1">_xll.DBR($C$29,$B36,E$31)</f>
        <v>TM1HomeRepAnalyticalWB</v>
      </c>
      <c r="F36" s="18" t="str" cm="1">
        <f t="array" aca="1" ref="F36" ca="1">_xll.DBR($C$29,$B36,F$31)</f>
        <v>PRIMUS\GEUS WEB\Homepage\sys_Home - Reports - Analytical.xlsx</v>
      </c>
      <c r="G36" s="18" t="str" cm="1">
        <f t="array" aca="1" ref="G36" ca="1">_xll.DBR($C$29,$B36,G$31)</f>
        <v>TM1HomeRepAnalyticalWS</v>
      </c>
      <c r="H36" s="18" t="str" cm="1">
        <f t="array" aca="1" ref="H36" ca="1">_xll.DBR($C$29,$B36,H$31)</f>
        <v>Menu</v>
      </c>
      <c r="O36" s="4"/>
      <c r="Q36" s="4"/>
      <c r="T36" s="5"/>
      <c r="U36" s="5"/>
      <c r="V36" s="5"/>
      <c r="W36" s="5"/>
      <c r="X36" s="5"/>
      <c r="Y36" s="5"/>
      <c r="Z36" s="5"/>
      <c r="AA36" s="5"/>
      <c r="AB36" s="4"/>
      <c r="AD36" s="4"/>
      <c r="AF36" s="4"/>
    </row>
    <row r="37" spans="2:34" s="1" customFormat="1" hidden="1" outlineLevel="1" x14ac:dyDescent="0.25">
      <c r="B37" s="9" t="s">
        <v>75</v>
      </c>
      <c r="C37" s="18" t="str" cm="1">
        <f t="array" aca="1" ref="C37" ca="1">_xll.DBR($C$29,$B37,C$31)</f>
        <v>TM1RptAEAppropQACAP</v>
      </c>
      <c r="D37" s="18" t="str" cm="1">
        <f t="array" aca="1" ref="D37" ca="1">_xll.DBR($C$29,$B37,D$31)</f>
        <v>Appropriation QA Report (AE.OR.11)</v>
      </c>
      <c r="E37" s="18" t="str" cm="1">
        <f t="array" aca="1" ref="E37" ca="1">_xll.DBR($C$29,$B37,E$31)</f>
        <v>TM1RptAEAppropQAWB</v>
      </c>
      <c r="F37" s="18" t="str" cm="1">
        <f t="array" aca="1" ref="F37" ca="1">_xll.DBR($C$29,$B37,F$31)</f>
        <v>PRIMUS\GEUS WEB\Reports\Primary Financial Statements\Reports - Appropriation QA Report.xlsx</v>
      </c>
      <c r="G37" s="18" t="str" cm="1">
        <f t="array" aca="1" ref="G37" ca="1">_xll.DBR($C$29,$B37,G$31)</f>
        <v>TM1RptAEAppropQAWS</v>
      </c>
      <c r="H37" s="18" t="str" cm="1">
        <f t="array" aca="1" ref="H37" ca="1">_xll.DBR($C$29,$B37,H$31)</f>
        <v>report</v>
      </c>
      <c r="O37" s="4"/>
      <c r="Q37" s="4"/>
      <c r="T37" s="5"/>
      <c r="U37" s="5"/>
      <c r="V37" s="5"/>
      <c r="W37" s="5"/>
      <c r="X37" s="5"/>
      <c r="Y37" s="5"/>
      <c r="Z37" s="5"/>
      <c r="AA37" s="5"/>
      <c r="AB37" s="4"/>
      <c r="AD37" s="4"/>
      <c r="AF37" s="4"/>
    </row>
    <row r="38" spans="2:34" s="1" customFormat="1" hidden="1" outlineLevel="1" x14ac:dyDescent="0.25">
      <c r="B38" s="9" t="s">
        <v>76</v>
      </c>
      <c r="C38" s="18" t="str" cm="1">
        <f t="array" aca="1" ref="C38" ca="1">_xll.DBR($C$29,$B38,C$31)</f>
        <v>TM1RptAppropOCProgCAP</v>
      </c>
      <c r="D38" s="18" t="str" cm="1">
        <f t="array" aca="1" ref="D38" ca="1">_xll.DBR($C$29,$B38,D$31)</f>
        <v>Appropriation By Outcome Program Report (AE.OR.16)</v>
      </c>
      <c r="E38" s="18" t="str" cm="1">
        <f t="array" aca="1" ref="E38" ca="1">_xll.DBR($C$29,$B38,E$31)</f>
        <v>TM1RptAppropOCProgWB</v>
      </c>
      <c r="F38" s="18" t="str" cm="1">
        <f t="array" aca="1" ref="F38" ca="1">_xll.DBR($C$29,$B38,F$31)</f>
        <v>PRIMUS\GEUS WEB\Reports\Primary Financial Statements\Reports - Appropriation By Outcome Report.xlsx</v>
      </c>
      <c r="G38" s="18" t="str" cm="1">
        <f t="array" aca="1" ref="G38" ca="1">_xll.DBR($C$29,$B38,G$31)</f>
        <v>TM1RptAppropOCProgWS</v>
      </c>
      <c r="H38" s="18" t="str" cm="1">
        <f t="array" aca="1" ref="H38" ca="1">_xll.DBR($C$29,$B38,H$31)</f>
        <v>report</v>
      </c>
      <c r="O38" s="4"/>
      <c r="Q38" s="4"/>
      <c r="T38" s="5"/>
      <c r="U38" s="5"/>
      <c r="V38" s="5"/>
      <c r="W38" s="5"/>
      <c r="X38" s="5"/>
      <c r="Y38" s="5"/>
      <c r="Z38" s="5"/>
      <c r="AA38" s="5"/>
      <c r="AB38" s="4"/>
      <c r="AD38" s="4"/>
      <c r="AF38" s="4"/>
    </row>
    <row r="39" spans="2:34" s="1" customFormat="1" hidden="1" outlineLevel="1" x14ac:dyDescent="0.25">
      <c r="B39" s="9" t="s">
        <v>77</v>
      </c>
      <c r="C39" s="18" t="str" cm="1">
        <f t="array" aca="1" ref="C39" ca="1">_xll.DBR($C$29,$B39,C$31)</f>
        <v>TM1RptProgMoveCAP</v>
      </c>
      <c r="D39" s="18" t="str" cm="1">
        <f t="array" aca="1" ref="D39" ca="1">_xll.DBR($C$29,$B39,D$31)</f>
        <v>Summary Movement By Program (AE.OR.21A)</v>
      </c>
      <c r="E39" s="18" t="str" cm="1">
        <f t="array" aca="1" ref="E39" ca="1">_xll.DBR($C$29,$B39,E$31)</f>
        <v>TM1RptProgMoveWB</v>
      </c>
      <c r="F39" s="18" t="str" cm="1">
        <f t="array" aca="1" ref="F39" ca="1">_xll.DBR($C$29,$B39,F$31)</f>
        <v>PRIMUS\GEUS WEB\Reports\Primary Financial Statements\Reports - Summary Movement by Program.xlsx</v>
      </c>
      <c r="G39" s="18" t="str" cm="1">
        <f t="array" aca="1" ref="G39" ca="1">_xll.DBR($C$29,$B39,G$31)</f>
        <v>TM1RptProgMoveWS</v>
      </c>
      <c r="H39" s="18" t="str" cm="1">
        <f t="array" aca="1" ref="H39" ca="1">_xll.DBR($C$29,$B39,H$31)</f>
        <v>report</v>
      </c>
      <c r="O39" s="4"/>
      <c r="Q39" s="4"/>
      <c r="T39" s="5"/>
      <c r="U39" s="5"/>
      <c r="V39" s="5"/>
      <c r="W39" s="5"/>
      <c r="X39" s="5"/>
      <c r="Y39" s="5"/>
      <c r="Z39" s="5"/>
      <c r="AA39" s="5"/>
      <c r="AB39" s="4"/>
      <c r="AD39" s="4"/>
      <c r="AF39" s="4"/>
    </row>
    <row r="40" spans="2:34" s="1" customFormat="1" hidden="1" outlineLevel="1" x14ac:dyDescent="0.25">
      <c r="B40" s="9" t="s">
        <v>72</v>
      </c>
      <c r="C40" s="18" t="str" cm="1">
        <f t="array" aca="1" ref="C40" ca="1">_xll.DBR($C$29,$B40,C$31)</f>
        <v>TM1RptReasonMoveCAP</v>
      </c>
      <c r="D40" s="18" t="str" cm="1">
        <f t="array" aca="1" ref="D40" ca="1">_xll.DBR($C$29,$B40,D$31)</f>
        <v>Summary Movement By Reason Code (AE.OR.21A)</v>
      </c>
      <c r="E40" s="18" t="str" cm="1">
        <f t="array" aca="1" ref="E40" ca="1">_xll.DBR($C$29,$B40,E$31)</f>
        <v>TM1RptReasonMoveWB</v>
      </c>
      <c r="F40" s="18" t="str" cm="1">
        <f t="array" aca="1" ref="F40" ca="1">_xll.DBR($C$29,$B40,F$31)</f>
        <v>PRIMUS\GEUS WEB\Reports\Primary Financial Statements\Reports - Summary Movement by Reason Code Report.xlsx</v>
      </c>
      <c r="G40" s="18" t="str" cm="1">
        <f t="array" aca="1" ref="G40" ca="1">_xll.DBR($C$29,$B40,G$31)</f>
        <v>TM1RptReasonMoveWS</v>
      </c>
      <c r="H40" s="18" t="str" cm="1">
        <f t="array" aca="1" ref="H40" ca="1">_xll.DBR($C$29,$B40,H$31)</f>
        <v>report</v>
      </c>
      <c r="O40" s="4"/>
      <c r="Q40" s="4"/>
      <c r="T40" s="5"/>
      <c r="U40" s="5"/>
      <c r="V40" s="5"/>
      <c r="W40" s="5"/>
      <c r="X40" s="5"/>
      <c r="Y40" s="5"/>
      <c r="Z40" s="5"/>
      <c r="AA40" s="5"/>
      <c r="AB40" s="4"/>
      <c r="AD40" s="4"/>
      <c r="AF40" s="4"/>
    </row>
    <row r="41" spans="2:34" s="1" customFormat="1" hidden="1" outlineLevel="1" x14ac:dyDescent="0.25">
      <c r="B41" s="18" t="s">
        <v>78</v>
      </c>
      <c r="C41" s="18" t="str" cm="1">
        <f t="array" aca="1" ref="C41" ca="1">_xll.DBR($C$29,$B41,C$31)</f>
        <v>TM1ViewAdj01HeaderCAP</v>
      </c>
      <c r="D41" s="18" t="str" cm="1">
        <f t="array" aca="1" ref="D41" ca="1">_xll.DBR($C$29,$B41,D$31)</f>
        <v>Edit Adj Details</v>
      </c>
      <c r="E41" s="18" t="str" cm="1">
        <f t="array" aca="1" ref="E41" ca="1">_xll.DBR($C$29,$B41,E$31)</f>
        <v>TM1ViewAdj01HeaderWB</v>
      </c>
      <c r="F41" s="18" t="str" cm="1">
        <f t="array" aca="1" ref="F41" ca="1">_xll.DBR($C$29,$B41,F$31)</f>
        <v>PRIMUS\GEUS WEB\Annual Estimates\Data Entry\view adj 01 - header details.xlsx</v>
      </c>
      <c r="G41" s="18" t="str" cm="1">
        <f t="array" aca="1" ref="G41" ca="1">_xll.DBR($C$29,$B41,G$31)</f>
        <v>TM1ViewAdj01HeaderWS</v>
      </c>
      <c r="H41" s="18" t="str" cm="1">
        <f t="array" aca="1" ref="H41" ca="1">_xll.DBR($C$29,$B41,H$31)</f>
        <v>header</v>
      </c>
      <c r="O41" s="4"/>
      <c r="Q41" s="4"/>
      <c r="T41" s="5"/>
      <c r="U41" s="5"/>
      <c r="V41" s="5"/>
      <c r="W41" s="5"/>
      <c r="X41" s="5"/>
      <c r="Y41" s="5"/>
      <c r="Z41" s="5"/>
      <c r="AA41" s="5"/>
      <c r="AB41" s="4"/>
      <c r="AD41" s="4"/>
      <c r="AF41" s="4"/>
    </row>
    <row r="42" spans="2:34" s="1" customFormat="1" ht="30" hidden="1" outlineLevel="1" x14ac:dyDescent="0.25">
      <c r="B42" s="13" t="s">
        <v>47</v>
      </c>
      <c r="C42" s="14" t="s">
        <v>48</v>
      </c>
      <c r="D42" s="15"/>
      <c r="E42" s="15"/>
      <c r="J42" s="4"/>
      <c r="Q42" s="4"/>
      <c r="S42" s="4"/>
      <c r="V42" s="5"/>
      <c r="W42" s="5"/>
      <c r="X42" s="5"/>
      <c r="Y42" s="5"/>
      <c r="Z42" s="5"/>
      <c r="AA42" s="5"/>
      <c r="AB42" s="5"/>
      <c r="AC42" s="5"/>
      <c r="AD42" s="4"/>
      <c r="AF42" s="4"/>
      <c r="AH42" s="4"/>
    </row>
    <row r="43" spans="2:34" s="1" customFormat="1" ht="15.75" hidden="1" outlineLevel="1" thickBot="1" x14ac:dyDescent="0.3">
      <c r="C43" s="2"/>
    </row>
    <row r="44" spans="2:34" s="1" customFormat="1" hidden="1" outlineLevel="1" x14ac:dyDescent="0.25">
      <c r="B44" s="51" t="s">
        <v>79</v>
      </c>
      <c r="C44" s="52"/>
      <c r="E44" s="31" t="s">
        <v>57</v>
      </c>
      <c r="F44" s="32" t="str" cm="1">
        <f t="array" aca="1" ref="F44" ca="1">_xll.SUBNM(db_name&amp;":sys_YesNo","","Yes")</f>
        <v>Yes</v>
      </c>
    </row>
    <row r="45" spans="2:34" hidden="1" outlineLevel="1" collapsed="1" x14ac:dyDescent="0.25">
      <c r="B45" s="10" t="s">
        <v>49</v>
      </c>
      <c r="C45" s="18" t="str" cm="1">
        <f t="array" aca="1" ref="C45" ca="1">_xll.TM1RPTVIEW(db_name&amp;":AE adjustments:1", 1, _xll.TM1RPTTITLE(db_name&amp;":headline year",$L$84), _xll.TM1RPTTITLE(db_name&amp;":scenario",$L$85), _xll.TM1RPTTITLE(db_name&amp;":status",$L$86), _xll.TM1RPTTITLE(db_name&amp;":outcome",$C$46), _xll.TM1RPTTITLE(db_name&amp;":related entity",$C$47), _xll.TM1RPTTITLE(db_name&amp;":function",$C$48), _xll.TM1RPTTITLE(db_name&amp;":spp",$C$49), _xll.TM1RPTTITLE(db_name&amp;":measure code",$C$50), _xll.TM1RPTTITLE(db_name&amp;":appropriation type",$C$51), _xll.TM1RPTTITLE(db_name&amp;":movement account",$L$89), _xll.TM1RPTTITLE(db_name&amp;":appropriation item",$C$52), _xll.TM1RPTTITLE(db_name&amp;":programme",$L$87),_xll.TM1RPTTITLE(db_name&amp;":account",$L$88), _xll.TM1RPTTITLE(db_name&amp;":jurisdiction",$C$53),TM1RPTFMTRNG,TM1RPTFMTIDCOL)</f>
        <v>dcceew_geus:AE adjustments:1</v>
      </c>
    </row>
    <row r="46" spans="2:34" hidden="1" outlineLevel="1" x14ac:dyDescent="0.25">
      <c r="B46" s="23" t="s">
        <v>1</v>
      </c>
      <c r="C46" s="18" t="str" cm="1">
        <f t="array" aca="1" ref="C46" ca="1">_xll.SUBNM(db_name&amp;":outcome","","Total outcomes")</f>
        <v>Total outcomes</v>
      </c>
    </row>
    <row r="47" spans="2:34" hidden="1" outlineLevel="1" x14ac:dyDescent="0.25">
      <c r="B47" s="23" t="s">
        <v>2</v>
      </c>
      <c r="C47" s="18" t="str" cm="1">
        <f t="array" aca="1" ref="C47" ca="1">_xll.SUBNM(db_name&amp;":related entity","","Total related entity")</f>
        <v>Total related entity</v>
      </c>
    </row>
    <row r="48" spans="2:34" hidden="1" outlineLevel="1" x14ac:dyDescent="0.25">
      <c r="B48" s="23" t="s">
        <v>3</v>
      </c>
      <c r="C48" s="18" t="str" cm="1">
        <f t="array" aca="1" ref="C48" ca="1">_xll.SUBNM(db_name&amp;":function","","Total functions")</f>
        <v>Total functions</v>
      </c>
    </row>
    <row r="49" spans="2:5" hidden="1" outlineLevel="1" x14ac:dyDescent="0.25">
      <c r="B49" s="23" t="s">
        <v>4</v>
      </c>
      <c r="C49" s="18" t="str" cm="1">
        <f t="array" aca="1" ref="C49" ca="1">_xll.SUBNM(db_name&amp;":spp","","Total SPP")</f>
        <v>Total SPP</v>
      </c>
    </row>
    <row r="50" spans="2:5" hidden="1" outlineLevel="1" x14ac:dyDescent="0.25">
      <c r="B50" s="23" t="s">
        <v>5</v>
      </c>
      <c r="C50" s="18" t="str" cm="1">
        <f t="array" aca="1" ref="C50" ca="1">_xll.SUBNM(db_name&amp;":measure code","","Total Measures","CBMS")</f>
        <v>Total Measures</v>
      </c>
    </row>
    <row r="51" spans="2:5" hidden="1" outlineLevel="1" x14ac:dyDescent="0.25">
      <c r="B51" s="23" t="s">
        <v>6</v>
      </c>
      <c r="C51" s="18" t="str" cm="1">
        <f t="array" aca="1" ref="C51" ca="1">_xll.SUBNM(db_name&amp;":appropriation type","","Total approp types")</f>
        <v>Total approp types</v>
      </c>
    </row>
    <row r="52" spans="2:5" hidden="1" outlineLevel="1" x14ac:dyDescent="0.25">
      <c r="B52" s="23" t="s">
        <v>7</v>
      </c>
      <c r="C52" s="18" t="str" cm="1">
        <f t="array" aca="1" ref="C52" ca="1">_xll.SUBNM(db_name&amp;":appropriation item","","Total approp item")</f>
        <v>Total approp item</v>
      </c>
    </row>
    <row r="53" spans="2:5" hidden="1" outlineLevel="1" x14ac:dyDescent="0.25">
      <c r="B53" s="23" t="s">
        <v>8</v>
      </c>
      <c r="C53" s="18" t="str" cm="1">
        <f t="array" aca="1" ref="C53" ca="1">_xll.SUBNM(db_name&amp;":jurisdiction","","Total jurisdictions")</f>
        <v>Total jurisdictions</v>
      </c>
    </row>
    <row r="54" spans="2:5" hidden="1" outlineLevel="1" x14ac:dyDescent="0.25">
      <c r="B54" s="23" t="s">
        <v>9</v>
      </c>
    </row>
    <row r="55" spans="2:5" hidden="1" outlineLevel="1" x14ac:dyDescent="0.25">
      <c r="B55" s="6" t="s">
        <v>14</v>
      </c>
      <c r="C55" s="11" t="str">
        <f ca="1">+$L$88</f>
        <v>1000000 - Total Revenue</v>
      </c>
    </row>
    <row r="56" spans="2:5" hidden="1" outlineLevel="1" x14ac:dyDescent="0.25">
      <c r="B56" s="10"/>
      <c r="C56" s="6" t="s">
        <v>15</v>
      </c>
    </row>
    <row r="57" spans="2:5" hidden="1" outlineLevel="1" x14ac:dyDescent="0.25">
      <c r="B57" s="10"/>
      <c r="C57" s="11" t="s">
        <v>68</v>
      </c>
      <c r="E57" t="s">
        <v>64</v>
      </c>
    </row>
    <row r="58" spans="2:5" hidden="1" outlineLevel="1" x14ac:dyDescent="0.25">
      <c r="B58" s="10"/>
      <c r="C58" s="11" t="s">
        <v>66</v>
      </c>
      <c r="E58" t="s">
        <v>58</v>
      </c>
    </row>
    <row r="59" spans="2:5" hidden="1" outlineLevel="1" x14ac:dyDescent="0.25">
      <c r="B59" s="10"/>
      <c r="C59" s="6" t="s">
        <v>67</v>
      </c>
      <c r="E59" t="s">
        <v>59</v>
      </c>
    </row>
    <row r="60" spans="2:5" hidden="1" outlineLevel="1" x14ac:dyDescent="0.25">
      <c r="B60" s="10"/>
      <c r="C60" s="6" t="s">
        <v>16</v>
      </c>
      <c r="E60" t="s">
        <v>60</v>
      </c>
    </row>
    <row r="61" spans="2:5" hidden="1" outlineLevel="1" x14ac:dyDescent="0.25">
      <c r="B61" s="10"/>
      <c r="C61" s="6" t="s">
        <v>17</v>
      </c>
      <c r="E61" t="s">
        <v>61</v>
      </c>
    </row>
    <row r="62" spans="2:5" hidden="1" outlineLevel="1" x14ac:dyDescent="0.25">
      <c r="B62" s="10"/>
      <c r="C62" s="11" t="s">
        <v>18</v>
      </c>
      <c r="E62" t="s">
        <v>62</v>
      </c>
    </row>
    <row r="63" spans="2:5" hidden="1" outlineLevel="1" x14ac:dyDescent="0.25">
      <c r="B63" s="10"/>
      <c r="C63" s="11" t="s">
        <v>19</v>
      </c>
      <c r="E63" t="s">
        <v>63</v>
      </c>
    </row>
    <row r="64" spans="2:5" hidden="1" outlineLevel="1" x14ac:dyDescent="0.25">
      <c r="B64" s="10"/>
      <c r="C64" s="11" t="s">
        <v>20</v>
      </c>
    </row>
    <row r="65" spans="2:17" hidden="1" outlineLevel="1" x14ac:dyDescent="0.25">
      <c r="B65" s="2"/>
      <c r="C65" s="3"/>
      <c r="E65" t="s">
        <v>65</v>
      </c>
    </row>
    <row r="66" spans="2:17" hidden="1" outlineLevel="1" x14ac:dyDescent="0.25">
      <c r="B66" s="47" t="s">
        <v>21</v>
      </c>
      <c r="C66" s="48"/>
    </row>
    <row r="67" spans="2:17" hidden="1" outlineLevel="1" x14ac:dyDescent="0.25">
      <c r="B67" s="11" t="s">
        <v>52</v>
      </c>
      <c r="C67" s="9" t="s">
        <v>80</v>
      </c>
    </row>
    <row r="68" spans="2:17" hidden="1" outlineLevel="1" x14ac:dyDescent="0.25">
      <c r="B68" s="6" t="s">
        <v>50</v>
      </c>
      <c r="C68" s="9" t="s">
        <v>51</v>
      </c>
    </row>
    <row r="69" spans="2:17" hidden="1" outlineLevel="1" x14ac:dyDescent="0.25">
      <c r="B69" s="6"/>
      <c r="C69" s="9" t="s">
        <v>69</v>
      </c>
    </row>
    <row r="70" spans="2:17" hidden="1" outlineLevel="1" x14ac:dyDescent="0.25">
      <c r="J70" s="1"/>
    </row>
    <row r="71" spans="2:17" hidden="1" outlineLevel="1" x14ac:dyDescent="0.25">
      <c r="B71" s="53" t="s">
        <v>82</v>
      </c>
      <c r="C71" s="53"/>
      <c r="L71" s="16" t="s">
        <v>53</v>
      </c>
      <c r="M71" s="17"/>
      <c r="N71" s="17"/>
      <c r="O71" s="17"/>
      <c r="P71" s="17"/>
      <c r="Q71" s="17"/>
    </row>
    <row r="72" spans="2:17" hidden="1" outlineLevel="1" x14ac:dyDescent="0.25">
      <c r="B72" t="s">
        <v>83</v>
      </c>
      <c r="C72" t="str" cm="1">
        <f t="array" aca="1" ref="C72" ca="1">_xll.VIEW(db_name&amp;":AE id details",$L$84,$L$85,"!","!")</f>
        <v>dcceew_geus:AE id details</v>
      </c>
      <c r="L72" s="18" t="str">
        <f ca="1">RIGHT($L$84,9)</f>
        <v>2024-2025</v>
      </c>
      <c r="M72" s="19" t="str" cm="1">
        <f t="array" aca="1" ref="M72" ca="1">_xll.DIMNM(db_name&amp;":period",_xll.DIMIX(db_name&amp;":period",$L$72)+M$73)</f>
        <v>2023-2024</v>
      </c>
      <c r="N72" s="19" t="str" cm="1">
        <f t="array" aca="1" ref="N72" ca="1">_xll.DIMNM(db_name&amp;":period",_xll.DIMIX(db_name&amp;":period",$L$72)+N$73)</f>
        <v>2024-2025</v>
      </c>
      <c r="O72" s="19" t="str" cm="1">
        <f t="array" aca="1" ref="O72" ca="1">_xll.DIMNM(db_name&amp;":period",_xll.DIMIX(db_name&amp;":period",$L$72)+O$73)</f>
        <v>2025-2026</v>
      </c>
      <c r="P72" s="19" t="str" cm="1">
        <f t="array" aca="1" ref="P72" ca="1">_xll.DIMNM(db_name&amp;":period",_xll.DIMIX(db_name&amp;":period",$L$72)+P$73)</f>
        <v>2026-2027</v>
      </c>
      <c r="Q72" s="19" t="str" cm="1">
        <f t="array" aca="1" ref="Q72" ca="1">_xll.DIMNM(db_name&amp;":period",_xll.DIMIX(db_name&amp;":period",$L$72)+Q$73)</f>
        <v>2027-2028</v>
      </c>
    </row>
    <row r="73" spans="2:17" hidden="1" outlineLevel="1" x14ac:dyDescent="0.25">
      <c r="L73" s="18" t="str">
        <f ca="1">+$L$85</f>
        <v>current</v>
      </c>
      <c r="M73" s="19">
        <v>-1</v>
      </c>
      <c r="N73" s="19">
        <v>0</v>
      </c>
      <c r="O73" s="19">
        <v>1</v>
      </c>
      <c r="P73" s="19">
        <v>2</v>
      </c>
      <c r="Q73" s="19">
        <v>3</v>
      </c>
    </row>
    <row r="74" spans="2:17" hidden="1" outlineLevel="1" x14ac:dyDescent="0.25">
      <c r="M74" s="20"/>
      <c r="N74" s="20"/>
      <c r="O74" s="20"/>
      <c r="P74" s="20"/>
      <c r="Q74" s="20"/>
    </row>
    <row r="75" spans="2:17" hidden="1" outlineLevel="1" x14ac:dyDescent="0.25">
      <c r="M75" s="20"/>
      <c r="N75" s="20"/>
      <c r="O75" s="20"/>
      <c r="P75" s="20"/>
      <c r="Q75" s="20"/>
    </row>
    <row r="76" spans="2:17" ht="39.950000000000003" customHeight="1" collapsed="1" x14ac:dyDescent="0.25">
      <c r="I76" s="22"/>
      <c r="J76" s="22"/>
      <c r="K76" s="22"/>
      <c r="L76" s="22"/>
      <c r="M76" s="22"/>
      <c r="N76" s="22"/>
      <c r="O76" s="22"/>
      <c r="P76" s="22"/>
      <c r="Q76" s="22" t="s">
        <v>91</v>
      </c>
    </row>
    <row r="77" spans="2:17" ht="4.5" customHeight="1" x14ac:dyDescent="0.25">
      <c r="J77" s="1"/>
    </row>
    <row r="78" spans="2:17" ht="24" customHeight="1" x14ac:dyDescent="0.25">
      <c r="J78" s="1"/>
    </row>
    <row r="79" spans="2:17" ht="1.5" customHeight="1" x14ac:dyDescent="0.25">
      <c r="I79" s="22"/>
      <c r="J79" s="22"/>
      <c r="K79" s="22"/>
      <c r="L79" s="22"/>
      <c r="M79" s="22"/>
      <c r="N79" s="22"/>
      <c r="O79" s="22"/>
      <c r="P79" s="22"/>
      <c r="Q79" s="22"/>
    </row>
    <row r="80" spans="2:17" ht="4.5" customHeight="1" x14ac:dyDescent="0.25">
      <c r="J80" s="1"/>
    </row>
    <row r="81" spans="1:17" x14ac:dyDescent="0.25">
      <c r="J81" s="40" t="s">
        <v>90</v>
      </c>
    </row>
    <row r="82" spans="1:17" ht="4.5" customHeight="1" x14ac:dyDescent="0.25">
      <c r="J82" s="40"/>
    </row>
    <row r="83" spans="1:17" x14ac:dyDescent="0.25">
      <c r="L83" s="30" t="s">
        <v>54</v>
      </c>
    </row>
    <row r="84" spans="1:17" x14ac:dyDescent="0.25">
      <c r="K84" s="38" t="s">
        <v>85</v>
      </c>
      <c r="L84" s="39" t="str">
        <f ca="1">_xll.SUBNM(db_name&amp;":headline year","sys_all-n",$C$21)</f>
        <v>HL2024-2025</v>
      </c>
    </row>
    <row r="85" spans="1:17" x14ac:dyDescent="0.25">
      <c r="K85" s="38" t="s">
        <v>86</v>
      </c>
      <c r="L85" s="39" t="str" cm="1">
        <f t="array" aca="1" ref="L85" ca="1">_xll.SUBNM(db_name&amp;":scenario","sys_BudgetRound",$C$22)</f>
        <v>current</v>
      </c>
    </row>
    <row r="86" spans="1:17" x14ac:dyDescent="0.25">
      <c r="K86" s="38" t="s">
        <v>87</v>
      </c>
      <c r="L86" s="43" t="str" cm="1">
        <f t="array" aca="1" ref="L86" ca="1">_xll.SUBNM(db_name&amp;":status","","Total approved")</f>
        <v>Total approved</v>
      </c>
    </row>
    <row r="87" spans="1:17" x14ac:dyDescent="0.25">
      <c r="K87" s="38" t="s">
        <v>88</v>
      </c>
      <c r="L87" s="39" t="str" cm="1">
        <f t="array" aca="1" ref="L87" ca="1">_xll.SUBNM(db_name&amp;":programme","","Total Programmes","code and description")</f>
        <v>Total Programmes</v>
      </c>
      <c r="O87" s="42" t="s">
        <v>93</v>
      </c>
      <c r="P87" s="44">
        <f ca="1">NOW()</f>
        <v>45469.276575231481</v>
      </c>
      <c r="Q87" s="44"/>
    </row>
    <row r="88" spans="1:17" x14ac:dyDescent="0.25">
      <c r="K88" s="38" t="s">
        <v>89</v>
      </c>
      <c r="L88" s="43" t="str" cm="1">
        <f t="array" aca="1" ref="L88" ca="1">_xll.SUBNM(db_name&amp;":account","","1000000","code and description")</f>
        <v>1000000 - Total Revenue</v>
      </c>
    </row>
    <row r="89" spans="1:17" x14ac:dyDescent="0.25">
      <c r="K89" s="38" t="s">
        <v>94</v>
      </c>
      <c r="L89" s="43" t="str" cm="1">
        <f t="array" aca="1" ref="L89" ca="1">_xll.SUBNM(db_name&amp;":movement account","","Total movement","code and description")</f>
        <v>Total movement</v>
      </c>
      <c r="M89" s="45" t="s">
        <v>92</v>
      </c>
      <c r="N89" s="46"/>
      <c r="O89" s="46"/>
      <c r="P89" s="46"/>
      <c r="Q89" s="46"/>
    </row>
    <row r="90" spans="1:17" ht="4.5" customHeight="1" x14ac:dyDescent="0.25"/>
    <row r="91" spans="1:17" ht="30" x14ac:dyDescent="0.25">
      <c r="B91" s="21" t="s">
        <v>56</v>
      </c>
      <c r="C91" s="21" t="s">
        <v>70</v>
      </c>
      <c r="D91" s="21" t="s">
        <v>81</v>
      </c>
      <c r="J91" s="41" t="s">
        <v>56</v>
      </c>
      <c r="K91" s="41" t="s">
        <v>55</v>
      </c>
      <c r="L91" s="41" t="s">
        <v>84</v>
      </c>
      <c r="M91" s="41" t="str">
        <f ca="1">M$72</f>
        <v>2023-2024</v>
      </c>
      <c r="N91" s="41" t="str">
        <f t="shared" ref="N91:Q91" ca="1" si="0">N$72</f>
        <v>2024-2025</v>
      </c>
      <c r="O91" s="41" t="str">
        <f t="shared" ca="1" si="0"/>
        <v>2025-2026</v>
      </c>
      <c r="P91" s="41" t="str">
        <f t="shared" ca="1" si="0"/>
        <v>2026-2027</v>
      </c>
      <c r="Q91" s="41" t="str">
        <f t="shared" ca="1" si="0"/>
        <v>2027-2028</v>
      </c>
    </row>
    <row r="92" spans="1:17" x14ac:dyDescent="0.25">
      <c r="A92" t="str" cm="1">
        <f t="array" aca="1" ref="A92" ca="1">IF(_xll.TM1RPTELISCONSOLIDATED($C$92,$C92),IF(_xll.TM1RPTELLEV($C$92,$C92)&lt;=3,_xll.TM1RPTELLEV($C$92,$C92),"D"),"N")</f>
        <v>N</v>
      </c>
      <c r="B92" s="29" t="str" cm="1">
        <f t="array" aca="1" ref="B92" ca="1">_xll.TM1RPTROW($C$45,db_name&amp;":reason","",,"CBMS code and description",1,$C$68)</f>
        <v/>
      </c>
      <c r="C92" s="29" t="str" cm="1">
        <f t="array" aca="1" ref="C92" ca="1">_xll.TM1RPTROW($C$45,db_name&amp;":id",,,,,$C$67)</f>
        <v/>
      </c>
      <c r="D92" t="str" cm="1">
        <f t="array" aca="1" ref="D92" ca="1">_xll.DBR($C$72,$L$84,$L$85,$C92,D$91)</f>
        <v>*KEY_ERR</v>
      </c>
      <c r="F92" s="25"/>
      <c r="G92" s="25"/>
      <c r="H92" s="25"/>
      <c r="I92" s="25"/>
      <c r="J92" s="34" t="str">
        <f ca="1">+$B92</f>
        <v/>
      </c>
      <c r="K92" s="35" t="str">
        <f ca="1">IF(OR($C92="00000",$C92="0BASE"),"Opening Balance",IF($C92="Total IDs","Closing Balance",$C92))</f>
        <v/>
      </c>
      <c r="L92" s="37" t="str">
        <f ca="1">$D92</f>
        <v>*KEY_ERR</v>
      </c>
      <c r="M92" s="28" t="str" cm="1">
        <f t="array" aca="1" ref="M92" ca="1">_xll.DBRW($C$45,$L$84,$L$85,$L$86,$C$46,$C$47,$C$48,$B92,$C$49,$C$50,$C$51,$L$89,$C$52,$L$87,$L$88,$C92,$C$53,M$72)</f>
        <v/>
      </c>
      <c r="N92" s="28" t="str" cm="1">
        <f t="array" aca="1" ref="N92" ca="1">_xll.DBRW($C$45,$L$84,$L$85,$L$86,$C$46,$C$47,$C$48,$B92,$C$49,$C$50,$C$51,$L$89,$C$52,$L$87,$L$88,$C92,$C$53,N$72)</f>
        <v/>
      </c>
      <c r="O92" s="28" t="str" cm="1">
        <f t="array" aca="1" ref="O92" ca="1">_xll.DBRW($C$45,$L$84,$L$85,$L$86,$C$46,$C$47,$C$48,$B92,$C$49,$C$50,$C$51,$L$89,$C$52,$L$87,$L$88,$C92,$C$53,O$72)</f>
        <v/>
      </c>
      <c r="P92" s="28" t="str" cm="1">
        <f t="array" aca="1" ref="P92" ca="1">_xll.DBRW($C$45,$L$84,$L$85,$L$86,$C$46,$C$47,$C$48,$B92,$C$49,$C$50,$C$51,$L$89,$C$52,$L$87,$L$88,$C92,$C$53,P$72)</f>
        <v/>
      </c>
      <c r="Q92" s="28" t="str" cm="1">
        <f t="array" aca="1" ref="Q92" ca="1">_xll.DBRW($C$45,$L$84,$L$85,$L$86,$C$46,$C$47,$C$48,$B92,$C$49,$C$50,$C$51,$L$89,$C$52,$L$87,$L$88,$C92,$C$53,Q$72)</f>
        <v/>
      </c>
    </row>
    <row r="94" spans="1:17" x14ac:dyDescent="0.25">
      <c r="O94" s="42" t="s">
        <v>93</v>
      </c>
      <c r="P94" s="44">
        <f ca="1">NOW()</f>
        <v>45469.276575231481</v>
      </c>
      <c r="Q94" s="44"/>
    </row>
  </sheetData>
  <sheetProtection sheet="1" objects="1" scenarios="1"/>
  <mergeCells count="9">
    <mergeCell ref="P94:Q94"/>
    <mergeCell ref="P87:Q87"/>
    <mergeCell ref="M89:Q89"/>
    <mergeCell ref="B66:C66"/>
    <mergeCell ref="B11:C11"/>
    <mergeCell ref="B19:C19"/>
    <mergeCell ref="B28:C28"/>
    <mergeCell ref="B44:C44"/>
    <mergeCell ref="B71:C71"/>
  </mergeCells>
  <pageMargins left="0.70866141732283472" right="0.70866141732283472" top="0.74803149606299213" bottom="0.74803149606299213" header="0.31496062992125984" footer="0.31496062992125984"/>
  <pageSetup paperSize="9" scale="63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33" r:id="rId4" name="TIButton7">
          <controlPr defaultSize="0" print="0" autoLine="0" r:id="rId5">
            <anchor moveWithCells="1" sizeWithCells="1">
              <from>
                <xdr:col>16</xdr:col>
                <xdr:colOff>733425</xdr:colOff>
                <xdr:row>76</xdr:row>
                <xdr:rowOff>38100</xdr:rowOff>
              </from>
              <to>
                <xdr:col>17</xdr:col>
                <xdr:colOff>0</xdr:colOff>
                <xdr:row>77</xdr:row>
                <xdr:rowOff>295275</xdr:rowOff>
              </to>
            </anchor>
          </controlPr>
        </control>
      </mc:Choice>
      <mc:Fallback>
        <control shapeId="1033" r:id="rId4" name="TIButton7"/>
      </mc:Fallback>
    </mc:AlternateContent>
    <mc:AlternateContent xmlns:mc="http://schemas.openxmlformats.org/markup-compatibility/2006">
      <mc:Choice Requires="x14">
        <control shapeId="1032" r:id="rId6" name="TIButton6">
          <controlPr defaultSize="0" print="0" autoLine="0" r:id="rId7">
            <anchor moveWithCells="1" sizeWithCells="1">
              <from>
                <xdr:col>11</xdr:col>
                <xdr:colOff>114300</xdr:colOff>
                <xdr:row>77</xdr:row>
                <xdr:rowOff>9525</xdr:rowOff>
              </from>
              <to>
                <xdr:col>11</xdr:col>
                <xdr:colOff>1000125</xdr:colOff>
                <xdr:row>77</xdr:row>
                <xdr:rowOff>257175</xdr:rowOff>
              </to>
            </anchor>
          </controlPr>
        </control>
      </mc:Choice>
      <mc:Fallback>
        <control shapeId="1032" r:id="rId6" name="TIButton6"/>
      </mc:Fallback>
    </mc:AlternateContent>
    <mc:AlternateContent xmlns:mc="http://schemas.openxmlformats.org/markup-compatibility/2006">
      <mc:Choice Requires="x14">
        <control shapeId="1031" r:id="rId8" name="TIButton5">
          <controlPr defaultSize="0" print="0" autoLine="0" r:id="rId9">
            <anchor moveWithCells="1" sizeWithCells="1">
              <from>
                <xdr:col>9</xdr:col>
                <xdr:colOff>2943225</xdr:colOff>
                <xdr:row>77</xdr:row>
                <xdr:rowOff>9525</xdr:rowOff>
              </from>
              <to>
                <xdr:col>11</xdr:col>
                <xdr:colOff>66675</xdr:colOff>
                <xdr:row>77</xdr:row>
                <xdr:rowOff>257175</xdr:rowOff>
              </to>
            </anchor>
          </controlPr>
        </control>
      </mc:Choice>
      <mc:Fallback>
        <control shapeId="1031" r:id="rId8" name="TIButton5"/>
      </mc:Fallback>
    </mc:AlternateContent>
    <mc:AlternateContent xmlns:mc="http://schemas.openxmlformats.org/markup-compatibility/2006">
      <mc:Choice Requires="x14">
        <control shapeId="1030" r:id="rId10" name="TIButton4">
          <controlPr defaultSize="0" print="0" autoLine="0" r:id="rId11">
            <anchor moveWithCells="1" sizeWithCells="1">
              <from>
                <xdr:col>11</xdr:col>
                <xdr:colOff>1047750</xdr:colOff>
                <xdr:row>77</xdr:row>
                <xdr:rowOff>9525</xdr:rowOff>
              </from>
              <to>
                <xdr:col>11</xdr:col>
                <xdr:colOff>1828800</xdr:colOff>
                <xdr:row>77</xdr:row>
                <xdr:rowOff>257175</xdr:rowOff>
              </to>
            </anchor>
          </controlPr>
        </control>
      </mc:Choice>
      <mc:Fallback>
        <control shapeId="1030" r:id="rId10" name="TIButton4"/>
      </mc:Fallback>
    </mc:AlternateContent>
    <mc:AlternateContent xmlns:mc="http://schemas.openxmlformats.org/markup-compatibility/2006">
      <mc:Choice Requires="x14">
        <control shapeId="1029" r:id="rId12" name="TIButton3">
          <controlPr defaultSize="0" print="0" autoLine="0" r:id="rId13">
            <anchor moveWithCells="1" sizeWithCells="1">
              <from>
                <xdr:col>9</xdr:col>
                <xdr:colOff>1571625</xdr:colOff>
                <xdr:row>77</xdr:row>
                <xdr:rowOff>9525</xdr:rowOff>
              </from>
              <to>
                <xdr:col>9</xdr:col>
                <xdr:colOff>2924175</xdr:colOff>
                <xdr:row>77</xdr:row>
                <xdr:rowOff>257175</xdr:rowOff>
              </to>
            </anchor>
          </controlPr>
        </control>
      </mc:Choice>
      <mc:Fallback>
        <control shapeId="1029" r:id="rId12" name="TIButton3"/>
      </mc:Fallback>
    </mc:AlternateContent>
    <mc:AlternateContent xmlns:mc="http://schemas.openxmlformats.org/markup-compatibility/2006">
      <mc:Choice Requires="x14">
        <control shapeId="1028" r:id="rId14" name="TIButton2">
          <controlPr defaultSize="0" print="0" autoLine="0" r:id="rId15">
            <anchor moveWithCells="1" sizeWithCells="1">
              <from>
                <xdr:col>9</xdr:col>
                <xdr:colOff>723900</xdr:colOff>
                <xdr:row>77</xdr:row>
                <xdr:rowOff>9525</xdr:rowOff>
              </from>
              <to>
                <xdr:col>9</xdr:col>
                <xdr:colOff>1543050</xdr:colOff>
                <xdr:row>77</xdr:row>
                <xdr:rowOff>257175</xdr:rowOff>
              </to>
            </anchor>
          </controlPr>
        </control>
      </mc:Choice>
      <mc:Fallback>
        <control shapeId="1028" r:id="rId14" name="TIButton2"/>
      </mc:Fallback>
    </mc:AlternateContent>
    <mc:AlternateContent xmlns:mc="http://schemas.openxmlformats.org/markup-compatibility/2006">
      <mc:Choice Requires="x14">
        <control shapeId="1027" r:id="rId16" name="TIButton1">
          <controlPr defaultSize="0" print="0" autoLine="0" r:id="rId17">
            <anchor moveWithCells="1" sizeWithCells="1">
              <from>
                <xdr:col>9</xdr:col>
                <xdr:colOff>47625</xdr:colOff>
                <xdr:row>77</xdr:row>
                <xdr:rowOff>9525</xdr:rowOff>
              </from>
              <to>
                <xdr:col>9</xdr:col>
                <xdr:colOff>685800</xdr:colOff>
                <xdr:row>77</xdr:row>
                <xdr:rowOff>257175</xdr:rowOff>
              </to>
            </anchor>
          </controlPr>
        </control>
      </mc:Choice>
      <mc:Fallback>
        <control shapeId="1027" r:id="rId16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report</vt:lpstr>
      <vt:lpstr>Account_list</vt:lpstr>
      <vt:lpstr>db_name</vt:lpstr>
      <vt:lpstr>FREEZE_HERE</vt:lpstr>
      <vt:lpstr>psApp</vt:lpstr>
      <vt:lpstr>psUser</vt:lpstr>
      <vt:lpstr>TargetCells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TM1RptAEAppropQACAP</vt:lpstr>
      <vt:lpstr>TM1RptAEAppropQAWB</vt:lpstr>
      <vt:lpstr>TM1RptAEAppropQAWS</vt:lpstr>
      <vt:lpstr>TM1RptAppropOCProgCAP</vt:lpstr>
      <vt:lpstr>TM1RptAppropOCProgWB</vt:lpstr>
      <vt:lpstr>TM1RptAppropOCProgWS</vt:lpstr>
      <vt:lpstr>report!TM1RPTDATARNG1</vt:lpstr>
      <vt:lpstr>report!TM1RPTFMTIDCOL</vt:lpstr>
      <vt:lpstr>report!TM1RPTFMTRNG</vt:lpstr>
      <vt:lpstr>TM1RptProgMoveCAP</vt:lpstr>
      <vt:lpstr>TM1RptProgMoveWB</vt:lpstr>
      <vt:lpstr>TM1RptProgMoveWS</vt:lpstr>
      <vt:lpstr>TM1RptReasonMoveCAP</vt:lpstr>
      <vt:lpstr>TM1RptReasonMoveWB</vt:lpstr>
      <vt:lpstr>TM1RptReasonMoveWS</vt:lpstr>
      <vt:lpstr>TM1ViewAdj01HeaderCAP</vt:lpstr>
      <vt:lpstr>TM1ViewAdj01HeaderWB</vt:lpstr>
      <vt:lpstr>TM1ViewAdj01HeaderWS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modeler1</cp:lastModifiedBy>
  <dcterms:created xsi:type="dcterms:W3CDTF">2019-04-30T02:59:45Z</dcterms:created>
  <dcterms:modified xsi:type="dcterms:W3CDTF">2024-06-26T06:38:20Z</dcterms:modified>
</cp:coreProperties>
</file>