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6F2774D2-A47B-46BA-9BF9-5B7639C67AFC}" xr6:coauthVersionLast="47" xr6:coauthVersionMax="47" xr10:uidLastSave="{00000000-0000-0000-0000-000000000000}"/>
  <bookViews>
    <workbookView xWindow="57480" yWindow="-1965" windowWidth="29040" windowHeight="15840" xr2:uid="{D0398EF9-6986-4E2D-B864-41A7E15ACF0F}"/>
  </bookViews>
  <sheets>
    <sheet name="index rate" sheetId="1" r:id="rId1"/>
  </sheets>
  <definedNames>
    <definedName name="db_name">'index rate'!$C$12</definedName>
    <definedName name="psApp">'index rate'!$C$29</definedName>
    <definedName name="psUser">'index rate'!$C$14</definedName>
    <definedName name="TM1EDCAP">'index rate'!$D$37</definedName>
    <definedName name="TM1EDWB">'index rate'!$F$37</definedName>
    <definedName name="TM1EDWS">'index rate'!$H$37</definedName>
    <definedName name="TM1HomeAdminCAP">'index rate'!$D$34</definedName>
    <definedName name="TM1HomeAdminRDSCAP">'index rate'!$D$35</definedName>
    <definedName name="TM1HomeAdminRDSWB">'index rate'!$F$35</definedName>
    <definedName name="TM1HomeAdminRDSWS">'index rate'!$H$35</definedName>
    <definedName name="TM1HomeAdminWB">'index rate'!$F$34</definedName>
    <definedName name="TM1HomeAdminWS">'index rate'!$H$34</definedName>
    <definedName name="TM1HomeAECAP">'index rate'!$D$32</definedName>
    <definedName name="TM1HomeAEDataEntryCAP">'index rate'!$D$41</definedName>
    <definedName name="TM1HomeAEDataEntryWB">'index rate'!$F$41</definedName>
    <definedName name="TM1HomeAEDataEntryWS">'index rate'!$H$41</definedName>
    <definedName name="TM1HomeAEWB">'index rate'!$F$32</definedName>
    <definedName name="TM1HomeAEWS">'index rate'!$H$32</definedName>
    <definedName name="TM1HomeCAP">'index rate'!$D$31</definedName>
    <definedName name="TM1HomeRepCAP">'index rate'!$D$33</definedName>
    <definedName name="TM1HomeRepWB">'index rate'!$F$33</definedName>
    <definedName name="TM1HomeRepWS">'index rate'!$H$33</definedName>
    <definedName name="TM1HomeWB">'index rate'!$F$31</definedName>
    <definedName name="TM1HomeWS">'index rate'!$H$31</definedName>
    <definedName name="TM1IndexCAP">'index rate'!$D$36</definedName>
    <definedName name="TM1IndexDetCAP">'index rate'!$D$38</definedName>
    <definedName name="TM1IndexDetWB">'index rate'!$F$38</definedName>
    <definedName name="TM1IndexDetWS">'index rate'!$H$38</definedName>
    <definedName name="TM1IndexFE3MapCAP">'index rate'!$D$42</definedName>
    <definedName name="TM1IndexFE3MapWB">'index rate'!$F$42</definedName>
    <definedName name="TM1IndexFE3MapWS">'index rate'!$H$42</definedName>
    <definedName name="TM1IndexRatesCAP">'index rate'!$D$40</definedName>
    <definedName name="TM1IndexRatesWB">'index rate'!$F$40</definedName>
    <definedName name="TM1IndexRatesWS">'index rate'!$H$40</definedName>
    <definedName name="TM1IndexRecoCAP">'index rate'!$D$39</definedName>
    <definedName name="TM1IndexRecoWB">'index rate'!$F$39</definedName>
    <definedName name="TM1IndexRecoWS">'index rate'!$H$39</definedName>
    <definedName name="TM1IndexSetupCAP">'index rate'!$D$43</definedName>
    <definedName name="TM1IndexSetupWB">'index rate'!$F$43</definedName>
    <definedName name="TM1IndexSetupWS">'index rate'!$H$43</definedName>
    <definedName name="TM1IndexWB">'index rate'!$F$36</definedName>
    <definedName name="TM1IndexWS">'index rate'!$H$36</definedName>
    <definedName name="TM1REBUILDOPTION">1</definedName>
    <definedName name="TM1RPTDATARNG1" localSheetId="0">'index rate'!$65:$65</definedName>
    <definedName name="TM1RPTFMTIDCOL" localSheetId="0">'index rate'!$A$1:$A$8</definedName>
    <definedName name="TM1RPTFMTRNG" localSheetId="0">'index rate'!$B$1:$P$8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8" i="1" l="1"/>
  <c r="C20" i="1" a="1"/>
  <c r="C20" i="1"/>
  <c r="C21" i="1" a="1"/>
  <c r="C21" i="1"/>
  <c r="L61" i="1"/>
  <c r="C22" i="1" a="1"/>
  <c r="C22" i="1"/>
  <c r="L62" i="1"/>
  <c r="K21" i="1"/>
  <c r="P21" i="1"/>
  <c r="P64" i="1"/>
  <c r="O21" i="1"/>
  <c r="O64" i="1"/>
  <c r="N21" i="1"/>
  <c r="N64" i="1"/>
  <c r="M21" i="1"/>
  <c r="M64" i="1"/>
  <c r="L21" i="1"/>
  <c r="C65" i="1" a="1"/>
  <c r="C65" i="1"/>
  <c r="B65" i="1" a="1"/>
  <c r="B65" i="1"/>
  <c r="C28" i="1"/>
  <c r="P65" i="1" a="1"/>
  <c r="P65" i="1"/>
  <c r="O65" i="1" a="1"/>
  <c r="O65" i="1"/>
  <c r="N65" i="1" a="1"/>
  <c r="N65" i="1"/>
  <c r="M65" i="1" a="1"/>
  <c r="M65" i="1"/>
  <c r="L65" i="1" a="1"/>
  <c r="L65" i="1"/>
  <c r="A65" i="1" a="1"/>
  <c r="A65" i="1"/>
  <c r="C49" i="1" a="1"/>
  <c r="C49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25" i="1" a="1"/>
  <c r="C25" i="1"/>
  <c r="C24" i="1" a="1"/>
  <c r="C24" i="1"/>
  <c r="C23" i="1" a="1"/>
  <c r="C23" i="1"/>
  <c r="C13" i="1" a="1"/>
  <c r="C13" i="1"/>
  <c r="C14" i="1" a="1"/>
  <c r="C14" i="1"/>
  <c r="C16" i="1" a="1"/>
  <c r="C16" i="1"/>
  <c r="C15" i="1" a="1"/>
  <c r="C15" i="1"/>
  <c r="K65" i="1"/>
  <c r="J65" i="1"/>
  <c r="L64" i="1"/>
  <c r="C17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<sst xmlns="http://schemas.openxmlformats.org/spreadsheetml/2006/main" count="60" uniqueCount="59">
  <si>
    <t>headline year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</si>
  <si>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</si>
  <si>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</si>
  <si>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</si>
  <si>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</si>
  <si>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</si>
  <si>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</si>
  <si>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</si>
  <si>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</si>
  <si>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</si>
  <si>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</si>
  <si>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</si>
  <si>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</si>
  <si>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</si>
  <si>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</si>
  <si>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archive year</t>
  </si>
  <si>
    <t>archive scenario</t>
  </si>
  <si>
    <t>current budget round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</si>
  <si>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</si>
  <si>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</si>
  <si>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</si>
  <si>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</si>
  <si>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</si>
  <si>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</si>
  <si>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</si>
  <si>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</si>
  <si>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</si>
  <si>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</si>
  <si>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</si>
  <si>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</si>
  <si>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</si>
  <si>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</si>
  <si>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Application Formula (DO NOT DELETE)</t>
  </si>
  <si>
    <t>=DBR($C$28,$B35,C$30)</t>
  </si>
  <si>
    <t>}ElementAttributes_</t>
  </si>
  <si>
    <t>Parameters MDX</t>
  </si>
  <si>
    <t>Index MDX</t>
  </si>
  <si>
    <t>{TM1FILTERBYLEVEL( {TM1SUBSETALL( [index] )}, 0)}</t>
  </si>
  <si>
    <t>{TM1FILTERBYLEVEL( {TM1SUBSETALL( [index measure] )}, 0)}</t>
  </si>
  <si>
    <t>Active Form</t>
  </si>
  <si>
    <t>Slice</t>
  </si>
  <si>
    <t>Parameters</t>
  </si>
  <si>
    <t>Index</t>
  </si>
  <si>
    <t>Periods</t>
  </si>
  <si>
    <t>Current</t>
  </si>
  <si>
    <t>Headline Year :</t>
  </si>
  <si>
    <t>Scenario :</t>
  </si>
  <si>
    <t>REPORT PARAMETERS</t>
  </si>
  <si>
    <t>Note : This screen is used to manage the Indexation Rates required for the Parameters process for GEUS.</t>
  </si>
  <si>
    <t>Adjustment - Indexation Detail</t>
  </si>
  <si>
    <t>Adjustment - Indexation Reconciliation</t>
  </si>
  <si>
    <t>Adjustment - Indexation Rates</t>
  </si>
  <si>
    <t>Parameters - Indexation Rate Setup</t>
  </si>
  <si>
    <t>Adjustment - Generate ED</t>
  </si>
  <si>
    <t>Homepage - Annual Estimates - Data Entry</t>
  </si>
  <si>
    <t>Adjustment - Indexation and FE3 Navigational Map</t>
  </si>
  <si>
    <t>Adjustment - Generate Indexation</t>
  </si>
  <si>
    <t>Adjustment - Indexation Setup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</si>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</sst>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000_);_(* \(#,##0.000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00426A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5" xfId="0" applyFont="1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0" fillId="3" borderId="5" xfId="0" applyFill="1" applyBorder="1"/>
    <xf numFmtId="0" fontId="0" fillId="3" borderId="5" xfId="0" quotePrefix="1" applyFill="1" applyBorder="1"/>
    <xf numFmtId="0" fontId="4" fillId="0" borderId="5" xfId="0" applyFont="1" applyBorder="1"/>
    <xf numFmtId="0" fontId="5" fillId="0" borderId="5" xfId="0" applyFont="1" applyBorder="1"/>
    <xf numFmtId="0" fontId="2" fillId="0" borderId="1" xfId="0" applyFont="1" applyBorder="1"/>
    <xf numFmtId="0" fontId="0" fillId="0" borderId="1" xfId="0" applyBorder="1"/>
    <xf numFmtId="164" fontId="3" fillId="0" borderId="5" xfId="0" applyNumberFormat="1" applyFont="1" applyBorder="1"/>
    <xf numFmtId="0" fontId="3" fillId="0" borderId="5" xfId="0" applyFont="1" applyBorder="1"/>
    <xf numFmtId="0" fontId="4" fillId="0" borderId="5" xfId="0" applyFont="1" applyBorder="1" applyAlignment="1">
      <alignment horizontal="left" indent="1"/>
    </xf>
    <xf numFmtId="0" fontId="2" fillId="0" borderId="0" xfId="0" applyFont="1" applyAlignment="1">
      <alignment horizontal="right" indent="1"/>
    </xf>
    <xf numFmtId="0" fontId="1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3" fillId="0" borderId="5" xfId="0" applyNumberFormat="1" applyFont="1" applyBorder="1" applyProtection="1">
      <protection locked="0"/>
    </xf>
    <xf numFmtId="49" fontId="0" fillId="0" borderId="1" xfId="0" applyNumberFormat="1" applyBorder="1"/>
    <xf numFmtId="49" fontId="0" fillId="0" borderId="0" xfId="0" applyNumberFormat="1"/>
    <xf numFmtId="0" fontId="0" fillId="0" borderId="5" xfId="0" applyBorder="1" applyAlignment="1" applyProtection="1">
      <alignment horizontal="left" indent="1"/>
      <protection locked="0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  <i val="0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2.emf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53</xdr:row>
      <xdr:rowOff>38100</xdr:rowOff>
    </xdr:from>
    <xdr:to>
      <xdr:col>9</xdr:col>
      <xdr:colOff>1771650</xdr:colOff>
      <xdr:row>53</xdr:row>
      <xdr:rowOff>495300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810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</xdr:colOff>
          <xdr:row>55</xdr:row>
          <xdr:rowOff>7620</xdr:rowOff>
        </xdr:from>
        <xdr:to>
          <xdr:col>9</xdr:col>
          <xdr:colOff>647700</xdr:colOff>
          <xdr:row>55</xdr:row>
          <xdr:rowOff>259080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365760</xdr:colOff>
          <xdr:row>55</xdr:row>
          <xdr:rowOff>7620</xdr:rowOff>
        </xdr:from>
        <xdr:to>
          <xdr:col>12</xdr:col>
          <xdr:colOff>861060</xdr:colOff>
          <xdr:row>55</xdr:row>
          <xdr:rowOff>259080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594360</xdr:colOff>
          <xdr:row>54</xdr:row>
          <xdr:rowOff>38100</xdr:rowOff>
        </xdr:from>
        <xdr:to>
          <xdr:col>15</xdr:col>
          <xdr:colOff>906780</xdr:colOff>
          <xdr:row>55</xdr:row>
          <xdr:rowOff>297180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289560</xdr:colOff>
          <xdr:row>55</xdr:row>
          <xdr:rowOff>7620</xdr:rowOff>
        </xdr:from>
        <xdr:to>
          <xdr:col>15</xdr:col>
          <xdr:colOff>152400</xdr:colOff>
          <xdr:row>55</xdr:row>
          <xdr:rowOff>259080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899160</xdr:colOff>
          <xdr:row>55</xdr:row>
          <xdr:rowOff>7620</xdr:rowOff>
        </xdr:from>
        <xdr:to>
          <xdr:col>14</xdr:col>
          <xdr:colOff>251460</xdr:colOff>
          <xdr:row>55</xdr:row>
          <xdr:rowOff>259080</xdr:rowOff>
        </xdr:to>
        <xdr:sp macro="" textlink="">
          <xdr:nvSpPr>
            <xdr:cNvPr id="1030" name="TIButton3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685800</xdr:colOff>
          <xdr:row>55</xdr:row>
          <xdr:rowOff>7620</xdr:rowOff>
        </xdr:from>
        <xdr:to>
          <xdr:col>9</xdr:col>
          <xdr:colOff>1866900</xdr:colOff>
          <xdr:row>55</xdr:row>
          <xdr:rowOff>259080</xdr:rowOff>
        </xdr:to>
        <xdr:sp macro="" textlink="">
          <xdr:nvSpPr>
            <xdr:cNvPr id="1031" name="TIButton6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1905000</xdr:colOff>
          <xdr:row>55</xdr:row>
          <xdr:rowOff>7620</xdr:rowOff>
        </xdr:from>
        <xdr:to>
          <xdr:col>10</xdr:col>
          <xdr:colOff>1508760</xdr:colOff>
          <xdr:row>55</xdr:row>
          <xdr:rowOff>259080</xdr:rowOff>
        </xdr:to>
        <xdr:sp macro="" textlink="">
          <xdr:nvSpPr>
            <xdr:cNvPr id="1032" name="TIButton7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1524000</xdr:colOff>
          <xdr:row>55</xdr:row>
          <xdr:rowOff>7620</xdr:rowOff>
        </xdr:from>
        <xdr:to>
          <xdr:col>11</xdr:col>
          <xdr:colOff>327660</xdr:colOff>
          <xdr:row>55</xdr:row>
          <xdr:rowOff>259080</xdr:rowOff>
        </xdr:to>
        <xdr:sp macro="" textlink="">
          <xdr:nvSpPr>
            <xdr:cNvPr id="1033" name="TIButton8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217E-85B2-4F83-8AFF-7A1F0AA29588}">
  <sheetPr codeName="Sheet1">
    <outlinePr showOutlineSymbols="0"/>
    <pageSetUpPr fitToPage="1"/>
  </sheetPr>
  <dimension ref="A1:P65"/>
  <sheetViews>
    <sheetView showGridLines="0" showRowColHeaders="0" tabSelected="1" showOutlineSymbols="0" topLeftCell="A54" workbookViewId="0">
      <pane ySplit="11" topLeftCell="A65" activePane="bottomLeft" state="frozen"/>
      <selection activeCell="I54" sqref="I54"/>
      <selection pane="bottomLeft"/>
    </sheetView>
  </sheetViews>
  <sheetFormatPr defaultRowHeight="14.4" outlineLevelRow="1" outlineLevelCol="1" x14ac:dyDescent="0.3"/>
  <cols>
    <col min="1" max="1" width="20.33203125" hidden="1" customWidth="1" outlineLevel="1"/>
    <col min="2" max="2" width="20.109375" hidden="1" customWidth="1" outlineLevel="1"/>
    <col min="3" max="8" width="16.88671875" hidden="1" customWidth="1" outlineLevel="1"/>
    <col min="9" max="9" width="0.88671875" customWidth="1" collapsed="1"/>
    <col min="10" max="11" width="35.6640625" customWidth="1"/>
    <col min="12" max="16" width="13.6640625" customWidth="1"/>
  </cols>
  <sheetData>
    <row r="1" spans="1:16" hidden="1" outlineLevel="1" x14ac:dyDescent="0.3">
      <c r="A1" t="s">
        <v>3</v>
      </c>
    </row>
    <row r="2" spans="1:16" hidden="1" outlineLevel="1" x14ac:dyDescent="0.3">
      <c r="A2">
        <f>0</f>
        <v>0</v>
      </c>
      <c r="B2" s="10"/>
      <c r="J2" s="13"/>
      <c r="K2" s="13"/>
      <c r="L2" s="12"/>
      <c r="M2" s="12"/>
      <c r="N2" s="12"/>
      <c r="O2" s="12"/>
      <c r="P2" s="12"/>
    </row>
    <row r="3" spans="1:16" hidden="1" outlineLevel="1" x14ac:dyDescent="0.3">
      <c r="A3">
        <f>1</f>
        <v>1</v>
      </c>
      <c r="B3" s="11"/>
      <c r="J3" s="13"/>
      <c r="K3" s="13"/>
      <c r="L3" s="12"/>
      <c r="M3" s="12"/>
      <c r="N3" s="12"/>
      <c r="O3" s="12"/>
      <c r="P3" s="12"/>
    </row>
    <row r="4" spans="1:16" hidden="1" outlineLevel="1" x14ac:dyDescent="0.3">
      <c r="A4">
        <f>2</f>
        <v>2</v>
      </c>
      <c r="B4" s="11"/>
      <c r="J4" s="13"/>
      <c r="K4" s="13"/>
      <c r="L4" s="12"/>
      <c r="M4" s="12"/>
      <c r="N4" s="12"/>
      <c r="O4" s="12"/>
      <c r="P4" s="12"/>
    </row>
    <row r="5" spans="1:16" hidden="1" outlineLevel="1" x14ac:dyDescent="0.3">
      <c r="A5">
        <f>3</f>
        <v>3</v>
      </c>
      <c r="B5" s="11"/>
      <c r="J5" s="13"/>
      <c r="K5" s="13"/>
      <c r="L5" s="12"/>
      <c r="M5" s="12"/>
      <c r="N5" s="12"/>
      <c r="O5" s="12"/>
      <c r="P5" s="12"/>
    </row>
    <row r="6" spans="1:16" hidden="1" outlineLevel="1" x14ac:dyDescent="0.3">
      <c r="A6" t="s">
        <v>1</v>
      </c>
      <c r="B6" s="11"/>
      <c r="J6" s="13"/>
      <c r="K6" s="13"/>
      <c r="L6" s="12"/>
      <c r="M6" s="12"/>
      <c r="N6" s="12"/>
      <c r="O6" s="12"/>
      <c r="P6" s="12"/>
    </row>
    <row r="7" spans="1:16" hidden="1" outlineLevel="1" x14ac:dyDescent="0.3">
      <c r="A7" t="s">
        <v>2</v>
      </c>
      <c r="B7" s="11"/>
      <c r="J7" s="14"/>
      <c r="K7" s="14"/>
      <c r="L7" s="18"/>
      <c r="M7" s="18"/>
      <c r="N7" s="18"/>
      <c r="O7" s="18"/>
      <c r="P7" s="18"/>
    </row>
    <row r="8" spans="1:16" hidden="1" outlineLevel="1" x14ac:dyDescent="0.3">
      <c r="A8" t="s">
        <v>4</v>
      </c>
    </row>
    <row r="9" spans="1:16" hidden="1" outlineLevel="1" x14ac:dyDescent="0.3"/>
    <row r="10" spans="1:16" hidden="1" outlineLevel="1" x14ac:dyDescent="0.3"/>
    <row r="11" spans="1:16" hidden="1" outlineLevel="1" x14ac:dyDescent="0.3">
      <c r="B11" s="25" t="s">
        <v>5</v>
      </c>
      <c r="C11" s="26"/>
      <c r="D11" s="27"/>
    </row>
    <row r="12" spans="1:16" hidden="1" outlineLevel="1" x14ac:dyDescent="0.3">
      <c r="B12" s="1" t="s">
        <v>6</v>
      </c>
      <c r="C12" s="2" t="s">
        <v>58</v>
      </c>
      <c r="D12" s="3"/>
    </row>
    <row r="13" spans="1:16" hidden="1" outlineLevel="1" x14ac:dyDescent="0.3">
      <c r="B13" s="1" t="s">
        <v>7</v>
      </c>
      <c r="C13" s="4" t="str" cm="1">
        <f t="array" aca="1" ref="C13" ca="1">_xll.VIEW(db_name&amp;":}ElementAttributes_}Clients","!","!")</f>
        <v>dcceew_geus:}ElementAttributes_}Clients</v>
      </c>
      <c r="D13" s="3"/>
    </row>
    <row r="14" spans="1:16" hidden="1" outlineLevel="1" x14ac:dyDescent="0.3">
      <c r="B14" s="1" t="s">
        <v>8</v>
      </c>
      <c r="C14" s="2" t="str" cm="1">
        <f t="array" aca="1" ref="C14" ca="1">_xll.TM1USER(db_name)</f>
        <v/>
      </c>
      <c r="D14" s="3"/>
    </row>
    <row r="15" spans="1:16" hidden="1" outlineLevel="1" x14ac:dyDescent="0.3">
      <c r="B15" s="1" t="s">
        <v>9</v>
      </c>
      <c r="C15" s="2" t="str" cm="1">
        <f t="array" aca="1" ref="C15" ca="1">_xll.DBR($C$13,$C$14,$B15)</f>
        <v>*KEY_ERR</v>
      </c>
      <c r="D15" s="3"/>
    </row>
    <row r="16" spans="1:16" hidden="1" outlineLevel="1" x14ac:dyDescent="0.3">
      <c r="B16" s="1" t="s">
        <v>10</v>
      </c>
      <c r="C16" s="2" t="str" cm="1">
        <f t="array" aca="1" ref="C16" ca="1">_xll.DBR($C$13,$C$14,$B16)</f>
        <v>*KEY_ERR</v>
      </c>
      <c r="D16" s="3"/>
    </row>
    <row r="17" spans="2:16" hidden="1" outlineLevel="1" x14ac:dyDescent="0.3">
      <c r="B17" s="1" t="s">
        <v>11</v>
      </c>
      <c r="C17" s="2" t="str">
        <f ca="1">IF(LEFT($C$15,6)="CAM_AD",$C$16,$C$15)</f>
        <v>*KEY_ERR</v>
      </c>
      <c r="D17" s="5"/>
    </row>
    <row r="18" spans="2:16" hidden="1" outlineLevel="1" x14ac:dyDescent="0.3"/>
    <row r="19" spans="2:16" hidden="1" outlineLevel="1" x14ac:dyDescent="0.3">
      <c r="B19" s="25" t="s">
        <v>12</v>
      </c>
      <c r="C19" s="26"/>
      <c r="D19" s="27"/>
      <c r="K19" s="8" t="s">
        <v>43</v>
      </c>
    </row>
    <row r="20" spans="2:16" hidden="1" outlineLevel="1" x14ac:dyDescent="0.3">
      <c r="B20" s="1" t="s">
        <v>13</v>
      </c>
      <c r="C20" s="5" t="str" cm="1">
        <f t="array" aca="1" ref="C20" ca="1">_xll.VIEW(db_name&amp;":}ElementAttributes_variables","!","!")</f>
        <v>dcceew_geus:}ElementAttributes_variables</v>
      </c>
      <c r="D20" s="5"/>
      <c r="K20" s="9" t="s">
        <v>44</v>
      </c>
      <c r="L20" s="9">
        <v>-1</v>
      </c>
      <c r="M20" s="9">
        <v>0</v>
      </c>
      <c r="N20" s="9">
        <v>1</v>
      </c>
      <c r="O20" s="9">
        <v>2</v>
      </c>
      <c r="P20" s="9">
        <v>3</v>
      </c>
    </row>
    <row r="21" spans="2:16" hidden="1" outlineLevel="1" x14ac:dyDescent="0.3">
      <c r="B21" s="1" t="s">
        <v>0</v>
      </c>
      <c r="C21" s="5" t="str" cm="1">
        <f t="array" aca="1" ref="C21" ca="1">_xll.DBR($C$20,$B21,"value")</f>
        <v>*KEY_ERR</v>
      </c>
      <c r="D21" s="5"/>
      <c r="K21" s="9" t="str">
        <f ca="1">MID($L$61,3,9)</f>
        <v/>
      </c>
      <c r="L21" s="9" t="str">
        <f ca="1">_xll.DIMNM(db_name&amp;":period",_xll.DIMIX(db_name&amp;":period",$K21)+L20)</f>
        <v/>
      </c>
      <c r="M21" s="9" t="str">
        <f ca="1">_xll.DIMNM(db_name&amp;":period",_xll.DIMIX(db_name&amp;":period",$K21)+M20)</f>
        <v/>
      </c>
      <c r="N21" s="9" t="str">
        <f ca="1">_xll.DIMNM(db_name&amp;":period",_xll.DIMIX(db_name&amp;":period",$K21)+N20)</f>
        <v/>
      </c>
      <c r="O21" s="9" t="str">
        <f ca="1">_xll.DIMNM(db_name&amp;":period",_xll.DIMIX(db_name&amp;":period",$K21)+O20)</f>
        <v/>
      </c>
      <c r="P21" s="9" t="str">
        <f ca="1">_xll.DIMNM(db_name&amp;":period",_xll.DIMIX(db_name&amp;":period",$K21)+P20)</f>
        <v/>
      </c>
    </row>
    <row r="22" spans="2:16" hidden="1" outlineLevel="1" x14ac:dyDescent="0.3">
      <c r="B22" s="1" t="s">
        <v>14</v>
      </c>
      <c r="C22" s="5" t="str" cm="1">
        <f t="array" aca="1" ref="C22" ca="1">_xll.DBR($C$20,$B22,"value")</f>
        <v>*KEY_ERR</v>
      </c>
      <c r="D22" s="5"/>
    </row>
    <row r="23" spans="2:16" hidden="1" outlineLevel="1" x14ac:dyDescent="0.3">
      <c r="B23" s="1" t="s">
        <v>15</v>
      </c>
      <c r="C23" s="5" t="str" cm="1">
        <f t="array" aca="1" ref="C23" ca="1">_xll.DBR($C$20,$B23,"value")</f>
        <v>*KEY_ERR</v>
      </c>
      <c r="D23" s="5"/>
    </row>
    <row r="24" spans="2:16" hidden="1" outlineLevel="1" x14ac:dyDescent="0.3">
      <c r="B24" s="1" t="s">
        <v>16</v>
      </c>
      <c r="C24" s="5" t="str" cm="1">
        <f t="array" aca="1" ref="C24" ca="1">_xll.DBR($C$20,$B24,"value")</f>
        <v>*KEY_ERR</v>
      </c>
      <c r="D24" s="5"/>
    </row>
    <row r="25" spans="2:16" hidden="1" outlineLevel="1" x14ac:dyDescent="0.3">
      <c r="B25" s="1" t="s">
        <v>17</v>
      </c>
      <c r="C25" s="5" t="str" cm="1">
        <f t="array" aca="1" ref="C25" ca="1">_xll.DBR($C$20,$B25,"value")</f>
        <v>*KEY_ERR</v>
      </c>
      <c r="D25" s="5"/>
    </row>
    <row r="26" spans="2:16" hidden="1" outlineLevel="1" x14ac:dyDescent="0.3"/>
    <row r="27" spans="2:16" hidden="1" outlineLevel="1" x14ac:dyDescent="0.3">
      <c r="B27" s="25" t="s">
        <v>18</v>
      </c>
      <c r="C27" s="26"/>
      <c r="D27" s="27"/>
    </row>
    <row r="28" spans="2:16" hidden="1" outlineLevel="1" x14ac:dyDescent="0.3">
      <c r="B28" s="1" t="s">
        <v>19</v>
      </c>
      <c r="C28" s="5" t="str">
        <f ca="1">_xll.VIEW(db_name&amp;":sys_application","!","!")</f>
        <v>dcceew_geus:sys_application</v>
      </c>
      <c r="D28" s="5"/>
    </row>
    <row r="29" spans="2:16" hidden="1" outlineLevel="1" x14ac:dyDescent="0.3">
      <c r="B29" s="1" t="s">
        <v>20</v>
      </c>
      <c r="C29" t="s">
        <v>51</v>
      </c>
      <c r="D29" s="5"/>
    </row>
    <row r="30" spans="2:16" hidden="1" outlineLevel="1" x14ac:dyDescent="0.3">
      <c r="B30" s="5"/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 t="s">
        <v>26</v>
      </c>
    </row>
    <row r="31" spans="2:16" hidden="1" outlineLevel="1" x14ac:dyDescent="0.3">
      <c r="B31" s="5" t="s">
        <v>27</v>
      </c>
      <c r="C31" s="5" t="str" cm="1">
        <f t="array" aca="1" ref="C31" ca="1">_xll.DBR($C$28,$B31,C$30)</f>
        <v>*KEY_ERR</v>
      </c>
      <c r="D31" s="5" t="str" cm="1">
        <f t="array" aca="1" ref="D31" ca="1">_xll.DBR($C$28,$B31,D$30)</f>
        <v>*KEY_ERR</v>
      </c>
      <c r="E31" s="5" t="str" cm="1">
        <f t="array" aca="1" ref="E31" ca="1">_xll.DBR($C$28,$B31,E$30)</f>
        <v>*KEY_ERR</v>
      </c>
      <c r="F31" s="5" t="str" cm="1">
        <f t="array" aca="1" ref="F31" ca="1">_xll.DBR($C$28,$B31,F$30)</f>
        <v>*KEY_ERR</v>
      </c>
      <c r="G31" s="5" t="str" cm="1">
        <f t="array" aca="1" ref="G31" ca="1">_xll.DBR($C$28,$B31,G$30)</f>
        <v>*KEY_ERR</v>
      </c>
      <c r="H31" s="5" t="str" cm="1">
        <f t="array" aca="1" ref="H31" ca="1">_xll.DBR($C$28,$B31,H$30)</f>
        <v>*KEY_ERR</v>
      </c>
    </row>
    <row r="32" spans="2:16" hidden="1" outlineLevel="1" x14ac:dyDescent="0.3">
      <c r="B32" s="5" t="s">
        <v>28</v>
      </c>
      <c r="C32" s="5" t="str" cm="1">
        <f t="array" aca="1" ref="C32" ca="1">_xll.DBR($C$28,$B32,C$30)</f>
        <v>*KEY_ERR</v>
      </c>
      <c r="D32" s="5" t="str" cm="1">
        <f t="array" aca="1" ref="D32" ca="1">_xll.DBR($C$28,$B32,D$30)</f>
        <v>*KEY_ERR</v>
      </c>
      <c r="E32" s="5" t="str" cm="1">
        <f t="array" aca="1" ref="E32" ca="1">_xll.DBR($C$28,$B32,E$30)</f>
        <v>*KEY_ERR</v>
      </c>
      <c r="F32" s="5" t="str" cm="1">
        <f t="array" aca="1" ref="F32" ca="1">_xll.DBR($C$28,$B32,F$30)</f>
        <v>*KEY_ERR</v>
      </c>
      <c r="G32" s="5" t="str" cm="1">
        <f t="array" aca="1" ref="G32" ca="1">_xll.DBR($C$28,$B32,G$30)</f>
        <v>*KEY_ERR</v>
      </c>
      <c r="H32" s="5" t="str" cm="1">
        <f t="array" aca="1" ref="H32" ca="1">_xll.DBR($C$28,$B32,H$30)</f>
        <v>*KEY_ERR</v>
      </c>
    </row>
    <row r="33" spans="2:8" hidden="1" outlineLevel="1" x14ac:dyDescent="0.3">
      <c r="B33" s="5" t="s">
        <v>29</v>
      </c>
      <c r="C33" s="5" t="str" cm="1">
        <f t="array" aca="1" ref="C33" ca="1">_xll.DBR($C$28,$B33,C$30)</f>
        <v>*KEY_ERR</v>
      </c>
      <c r="D33" s="5" t="str" cm="1">
        <f t="array" aca="1" ref="D33" ca="1">_xll.DBR($C$28,$B33,D$30)</f>
        <v>*KEY_ERR</v>
      </c>
      <c r="E33" s="5" t="str" cm="1">
        <f t="array" aca="1" ref="E33" ca="1">_xll.DBR($C$28,$B33,E$30)</f>
        <v>*KEY_ERR</v>
      </c>
      <c r="F33" s="5" t="str" cm="1">
        <f t="array" aca="1" ref="F33" ca="1">_xll.DBR($C$28,$B33,F$30)</f>
        <v>*KEY_ERR</v>
      </c>
      <c r="G33" s="5" t="str" cm="1">
        <f t="array" aca="1" ref="G33" ca="1">_xll.DBR($C$28,$B33,G$30)</f>
        <v>*KEY_ERR</v>
      </c>
      <c r="H33" s="5" t="str" cm="1">
        <f t="array" aca="1" ref="H33" ca="1">_xll.DBR($C$28,$B33,H$30)</f>
        <v>*KEY_ERR</v>
      </c>
    </row>
    <row r="34" spans="2:8" hidden="1" outlineLevel="1" x14ac:dyDescent="0.3">
      <c r="B34" s="5" t="s">
        <v>30</v>
      </c>
      <c r="C34" s="5" t="str" cm="1">
        <f t="array" aca="1" ref="C34" ca="1">_xll.DBR($C$28,$B34,C$30)</f>
        <v>*KEY_ERR</v>
      </c>
      <c r="D34" s="5" t="str" cm="1">
        <f t="array" aca="1" ref="D34" ca="1">_xll.DBR($C$28,$B34,D$30)</f>
        <v>*KEY_ERR</v>
      </c>
      <c r="E34" s="5" t="str" cm="1">
        <f t="array" aca="1" ref="E34" ca="1">_xll.DBR($C$28,$B34,E$30)</f>
        <v>*KEY_ERR</v>
      </c>
      <c r="F34" s="5" t="str" cm="1">
        <f t="array" aca="1" ref="F34" ca="1">_xll.DBR($C$28,$B34,F$30)</f>
        <v>*KEY_ERR</v>
      </c>
      <c r="G34" s="5" t="str" cm="1">
        <f t="array" aca="1" ref="G34" ca="1">_xll.DBR($C$28,$B34,G$30)</f>
        <v>*KEY_ERR</v>
      </c>
      <c r="H34" s="5" t="str" cm="1">
        <f t="array" aca="1" ref="H34" ca="1">_xll.DBR($C$28,$B34,H$30)</f>
        <v>*KEY_ERR</v>
      </c>
    </row>
    <row r="35" spans="2:8" hidden="1" outlineLevel="1" x14ac:dyDescent="0.3">
      <c r="B35" s="5" t="s">
        <v>31</v>
      </c>
      <c r="C35" s="5" t="str" cm="1">
        <f t="array" aca="1" ref="C35" ca="1">_xll.DBR($C$28,$B35,C$30)</f>
        <v>*KEY_ERR</v>
      </c>
      <c r="D35" s="5" t="str" cm="1">
        <f t="array" aca="1" ref="D35" ca="1">_xll.DBR($C$28,$B35,D$30)</f>
        <v>*KEY_ERR</v>
      </c>
      <c r="E35" s="5" t="str" cm="1">
        <f t="array" aca="1" ref="E35" ca="1">_xll.DBR($C$28,$B35,E$30)</f>
        <v>*KEY_ERR</v>
      </c>
      <c r="F35" s="5" t="str" cm="1">
        <f t="array" aca="1" ref="F35" ca="1">_xll.DBR($C$28,$B35,F$30)</f>
        <v>*KEY_ERR</v>
      </c>
      <c r="G35" s="5" t="str" cm="1">
        <f t="array" aca="1" ref="G35" ca="1">_xll.DBR($C$28,$B35,G$30)</f>
        <v>*KEY_ERR</v>
      </c>
      <c r="H35" s="5" t="str" cm="1">
        <f t="array" aca="1" ref="H35" ca="1">_xll.DBR($C$28,$B35,H$30)</f>
        <v>*KEY_ERR</v>
      </c>
    </row>
    <row r="36" spans="2:8" hidden="1" outlineLevel="1" x14ac:dyDescent="0.3">
      <c r="B36" s="5" t="s">
        <v>56</v>
      </c>
      <c r="C36" s="5" t="str" cm="1">
        <f t="array" aca="1" ref="C36" ca="1">_xll.DBR($C$28,$B36,C$30)</f>
        <v>*KEY_ERR</v>
      </c>
      <c r="D36" s="5" t="str" cm="1">
        <f t="array" aca="1" ref="D36" ca="1">_xll.DBR($C$28,$B36,D$30)</f>
        <v>*KEY_ERR</v>
      </c>
      <c r="E36" s="5" t="str" cm="1">
        <f t="array" aca="1" ref="E36" ca="1">_xll.DBR($C$28,$B36,E$30)</f>
        <v>*KEY_ERR</v>
      </c>
      <c r="F36" s="5" t="str" cm="1">
        <f t="array" aca="1" ref="F36" ca="1">_xll.DBR($C$28,$B36,F$30)</f>
        <v>*KEY_ERR</v>
      </c>
      <c r="G36" s="5" t="str" cm="1">
        <f t="array" aca="1" ref="G36" ca="1">_xll.DBR($C$28,$B36,G$30)</f>
        <v>*KEY_ERR</v>
      </c>
      <c r="H36" s="5" t="str" cm="1">
        <f t="array" aca="1" ref="H36" ca="1">_xll.DBR($C$28,$B36,H$30)</f>
        <v>*KEY_ERR</v>
      </c>
    </row>
    <row r="37" spans="2:8" hidden="1" outlineLevel="1" x14ac:dyDescent="0.3">
      <c r="B37" s="5" t="s">
        <v>53</v>
      </c>
      <c r="C37" s="5" t="str" cm="1">
        <f t="array" aca="1" ref="C37" ca="1">_xll.DBR($C$28,$B37,C$30)</f>
        <v>*KEY_ERR</v>
      </c>
      <c r="D37" s="5" t="str" cm="1">
        <f t="array" aca="1" ref="D37" ca="1">_xll.DBR($C$28,$B37,D$30)</f>
        <v>*KEY_ERR</v>
      </c>
      <c r="E37" s="5" t="str" cm="1">
        <f t="array" aca="1" ref="E37" ca="1">_xll.DBR($C$28,$B37,E$30)</f>
        <v>*KEY_ERR</v>
      </c>
      <c r="F37" s="5" t="str" cm="1">
        <f t="array" aca="1" ref="F37" ca="1">_xll.DBR($C$28,$B37,F$30)</f>
        <v>*KEY_ERR</v>
      </c>
      <c r="G37" s="5" t="str" cm="1">
        <f t="array" aca="1" ref="G37" ca="1">_xll.DBR($C$28,$B37,G$30)</f>
        <v>*KEY_ERR</v>
      </c>
      <c r="H37" s="5" t="str" cm="1">
        <f t="array" aca="1" ref="H37" ca="1">_xll.DBR($C$28,$B37,H$30)</f>
        <v>*KEY_ERR</v>
      </c>
    </row>
    <row r="38" spans="2:8" hidden="1" outlineLevel="1" x14ac:dyDescent="0.3">
      <c r="B38" s="5" t="s">
        <v>49</v>
      </c>
      <c r="C38" s="5" t="str" cm="1">
        <f t="array" aca="1" ref="C38" ca="1">_xll.DBR($C$28,$B38,C$30)</f>
        <v>*KEY_ERR</v>
      </c>
      <c r="D38" s="5" t="str" cm="1">
        <f t="array" aca="1" ref="D38" ca="1">_xll.DBR($C$28,$B38,D$30)</f>
        <v>*KEY_ERR</v>
      </c>
      <c r="E38" s="5" t="str" cm="1">
        <f t="array" aca="1" ref="E38" ca="1">_xll.DBR($C$28,$B38,E$30)</f>
        <v>*KEY_ERR</v>
      </c>
      <c r="F38" s="5" t="str" cm="1">
        <f t="array" aca="1" ref="F38" ca="1">_xll.DBR($C$28,$B38,F$30)</f>
        <v>*KEY_ERR</v>
      </c>
      <c r="G38" s="5" t="str" cm="1">
        <f t="array" aca="1" ref="G38" ca="1">_xll.DBR($C$28,$B38,G$30)</f>
        <v>*KEY_ERR</v>
      </c>
      <c r="H38" s="5" t="str" cm="1">
        <f t="array" aca="1" ref="H38" ca="1">_xll.DBR($C$28,$B38,H$30)</f>
        <v>*KEY_ERR</v>
      </c>
    </row>
    <row r="39" spans="2:8" hidden="1" outlineLevel="1" x14ac:dyDescent="0.3">
      <c r="B39" s="5" t="s">
        <v>50</v>
      </c>
      <c r="C39" s="5" t="str" cm="1">
        <f t="array" aca="1" ref="C39" ca="1">_xll.DBR($C$28,$B39,C$30)</f>
        <v>*KEY_ERR</v>
      </c>
      <c r="D39" s="5" t="str" cm="1">
        <f t="array" aca="1" ref="D39" ca="1">_xll.DBR($C$28,$B39,D$30)</f>
        <v>*KEY_ERR</v>
      </c>
      <c r="E39" s="5" t="str" cm="1">
        <f t="array" aca="1" ref="E39" ca="1">_xll.DBR($C$28,$B39,E$30)</f>
        <v>*KEY_ERR</v>
      </c>
      <c r="F39" s="5" t="str" cm="1">
        <f t="array" aca="1" ref="F39" ca="1">_xll.DBR($C$28,$B39,F$30)</f>
        <v>*KEY_ERR</v>
      </c>
      <c r="G39" s="5" t="str" cm="1">
        <f t="array" aca="1" ref="G39" ca="1">_xll.DBR($C$28,$B39,G$30)</f>
        <v>*KEY_ERR</v>
      </c>
      <c r="H39" s="5" t="str" cm="1">
        <f t="array" aca="1" ref="H39" ca="1">_xll.DBR($C$28,$B39,H$30)</f>
        <v>*KEY_ERR</v>
      </c>
    </row>
    <row r="40" spans="2:8" hidden="1" outlineLevel="1" x14ac:dyDescent="0.3">
      <c r="B40" s="5" t="s">
        <v>51</v>
      </c>
      <c r="C40" s="5" t="str" cm="1">
        <f t="array" aca="1" ref="C40" ca="1">_xll.DBR($C$28,$B40,C$30)</f>
        <v>*KEY_ERR</v>
      </c>
      <c r="D40" s="5" t="str" cm="1">
        <f t="array" aca="1" ref="D40" ca="1">_xll.DBR($C$28,$B40,D$30)</f>
        <v>*KEY_ERR</v>
      </c>
      <c r="E40" s="5" t="str" cm="1">
        <f t="array" aca="1" ref="E40" ca="1">_xll.DBR($C$28,$B40,E$30)</f>
        <v>*KEY_ERR</v>
      </c>
      <c r="F40" s="5" t="str" cm="1">
        <f t="array" aca="1" ref="F40" ca="1">_xll.DBR($C$28,$B40,F$30)</f>
        <v>*KEY_ERR</v>
      </c>
      <c r="G40" s="5" t="str" cm="1">
        <f t="array" aca="1" ref="G40" ca="1">_xll.DBR($C$28,$B40,G$30)</f>
        <v>*KEY_ERR</v>
      </c>
      <c r="H40" s="5" t="str" cm="1">
        <f t="array" aca="1" ref="H40" ca="1">_xll.DBR($C$28,$B40,H$30)</f>
        <v>*KEY_ERR</v>
      </c>
    </row>
    <row r="41" spans="2:8" hidden="1" outlineLevel="1" x14ac:dyDescent="0.3">
      <c r="B41" s="5" t="s">
        <v>54</v>
      </c>
      <c r="C41" s="5" t="str" cm="1">
        <f t="array" aca="1" ref="C41" ca="1">_xll.DBR($C$28,$B41,C$30)</f>
        <v>*KEY_ERR</v>
      </c>
      <c r="D41" s="5" t="str" cm="1">
        <f t="array" aca="1" ref="D41" ca="1">_xll.DBR($C$28,$B41,D$30)</f>
        <v>*KEY_ERR</v>
      </c>
      <c r="E41" s="5" t="str" cm="1">
        <f t="array" aca="1" ref="E41" ca="1">_xll.DBR($C$28,$B41,E$30)</f>
        <v>*KEY_ERR</v>
      </c>
      <c r="F41" s="5" t="str" cm="1">
        <f t="array" aca="1" ref="F41" ca="1">_xll.DBR($C$28,$B41,F$30)</f>
        <v>*KEY_ERR</v>
      </c>
      <c r="G41" s="5" t="str" cm="1">
        <f t="array" aca="1" ref="G41" ca="1">_xll.DBR($C$28,$B41,G$30)</f>
        <v>*KEY_ERR</v>
      </c>
      <c r="H41" s="5" t="str" cm="1">
        <f t="array" aca="1" ref="H41" ca="1">_xll.DBR($C$28,$B41,H$30)</f>
        <v>*KEY_ERR</v>
      </c>
    </row>
    <row r="42" spans="2:8" hidden="1" outlineLevel="1" x14ac:dyDescent="0.3">
      <c r="B42" s="5" t="s">
        <v>55</v>
      </c>
      <c r="C42" s="5" t="str" cm="1">
        <f t="array" aca="1" ref="C42" ca="1">_xll.DBR($C$28,$B42,C$30)</f>
        <v>*KEY_ERR</v>
      </c>
      <c r="D42" s="5" t="str" cm="1">
        <f t="array" aca="1" ref="D42" ca="1">_xll.DBR($C$28,$B42,D$30)</f>
        <v>*KEY_ERR</v>
      </c>
      <c r="E42" s="5" t="str" cm="1">
        <f t="array" aca="1" ref="E42" ca="1">_xll.DBR($C$28,$B42,E$30)</f>
        <v>*KEY_ERR</v>
      </c>
      <c r="F42" s="5" t="str" cm="1">
        <f t="array" aca="1" ref="F42" ca="1">_xll.DBR($C$28,$B42,F$30)</f>
        <v>*KEY_ERR</v>
      </c>
      <c r="G42" s="5" t="str" cm="1">
        <f t="array" aca="1" ref="G42" ca="1">_xll.DBR($C$28,$B42,G$30)</f>
        <v>*KEY_ERR</v>
      </c>
      <c r="H42" s="5" t="str" cm="1">
        <f t="array" aca="1" ref="H42" ca="1">_xll.DBR($C$28,$B42,H$30)</f>
        <v>*KEY_ERR</v>
      </c>
    </row>
    <row r="43" spans="2:8" hidden="1" outlineLevel="1" x14ac:dyDescent="0.3">
      <c r="B43" s="5" t="s">
        <v>57</v>
      </c>
      <c r="C43" s="5" t="str" cm="1">
        <f t="array" aca="1" ref="C43" ca="1">_xll.DBR($C$28,$B43,C$30)</f>
        <v>*KEY_ERR</v>
      </c>
      <c r="D43" s="5" t="str" cm="1">
        <f t="array" aca="1" ref="D43" ca="1">_xll.DBR($C$28,$B43,D$30)</f>
        <v>*KEY_ERR</v>
      </c>
      <c r="E43" s="5" t="str" cm="1">
        <f t="array" aca="1" ref="E43" ca="1">_xll.DBR($C$28,$B43,E$30)</f>
        <v>*KEY_ERR</v>
      </c>
      <c r="F43" s="5" t="str" cm="1">
        <f t="array" aca="1" ref="F43" ca="1">_xll.DBR($C$28,$B43,F$30)</f>
        <v>*KEY_ERR</v>
      </c>
      <c r="G43" s="5" t="str" cm="1">
        <f t="array" aca="1" ref="G43" ca="1">_xll.DBR($C$28,$B43,G$30)</f>
        <v>*KEY_ERR</v>
      </c>
      <c r="H43" s="5" t="str" cm="1">
        <f t="array" aca="1" ref="H43" ca="1">_xll.DBR($C$28,$B43,H$30)</f>
        <v>*KEY_ERR</v>
      </c>
    </row>
    <row r="44" spans="2:8" hidden="1" outlineLevel="1" x14ac:dyDescent="0.3">
      <c r="B44" s="5"/>
      <c r="C44" s="5"/>
    </row>
    <row r="45" spans="2:8" hidden="1" outlineLevel="1" x14ac:dyDescent="0.3">
      <c r="B45" s="6" t="s">
        <v>32</v>
      </c>
      <c r="C45" s="7" t="s">
        <v>33</v>
      </c>
    </row>
    <row r="46" spans="2:8" hidden="1" outlineLevel="1" x14ac:dyDescent="0.3"/>
    <row r="47" spans="2:8" hidden="1" outlineLevel="1" x14ac:dyDescent="0.3">
      <c r="B47" s="25" t="s">
        <v>34</v>
      </c>
      <c r="C47" s="26"/>
      <c r="D47" s="27"/>
    </row>
    <row r="48" spans="2:8" hidden="1" outlineLevel="1" x14ac:dyDescent="0.3">
      <c r="B48" s="5" t="s">
        <v>39</v>
      </c>
      <c r="C48" s="5" t="str">
        <f ca="1">_xll.TM1RPTVIEW(db_name&amp;":index:1", 0, _xll.TM1RPTTITLE(db_name&amp;":headline year",$L$61), _xll.TM1RPTTITLE(db_name&amp;":scenario",$L$62),TM1RPTFMTRNG,TM1RPTFMTIDCOL)</f>
        <v>dcceew_geus:index:1</v>
      </c>
      <c r="D48" s="5"/>
    </row>
    <row r="49" spans="1:16" hidden="1" outlineLevel="1" x14ac:dyDescent="0.3">
      <c r="B49" s="5" t="s">
        <v>40</v>
      </c>
      <c r="C49" s="5" t="str" cm="1">
        <f t="array" aca="1" ref="C49" ca="1">_xll.VIEW(db_name&amp;":index",$C$21,$C$22,"!","!","!")</f>
        <v>dcceew_geus:index</v>
      </c>
      <c r="D49" s="5"/>
    </row>
    <row r="50" spans="1:16" hidden="1" outlineLevel="1" x14ac:dyDescent="0.3">
      <c r="B50" s="5" t="s">
        <v>35</v>
      </c>
      <c r="C50" s="5" t="s">
        <v>37</v>
      </c>
      <c r="D50" s="5"/>
    </row>
    <row r="51" spans="1:16" hidden="1" outlineLevel="1" x14ac:dyDescent="0.3">
      <c r="B51" s="5" t="s">
        <v>36</v>
      </c>
      <c r="C51" s="5" t="s">
        <v>38</v>
      </c>
      <c r="D51" s="5"/>
    </row>
    <row r="52" spans="1:16" hidden="1" outlineLevel="1" x14ac:dyDescent="0.3"/>
    <row r="53" spans="1:16" hidden="1" outlineLevel="1" x14ac:dyDescent="0.3"/>
    <row r="54" spans="1:16" ht="39.75" customHeight="1" collapsed="1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 t="s">
        <v>52</v>
      </c>
    </row>
    <row r="55" spans="1:16" ht="4.5" customHeight="1" x14ac:dyDescent="0.3"/>
    <row r="56" spans="1:16" ht="24" customHeight="1" x14ac:dyDescent="0.3"/>
    <row r="57" spans="1:16" ht="1.5" customHeight="1" x14ac:dyDescent="0.3">
      <c r="I57" s="17"/>
      <c r="J57" s="17"/>
      <c r="K57" s="17"/>
      <c r="L57" s="17"/>
      <c r="M57" s="17"/>
      <c r="N57" s="17"/>
      <c r="O57" s="17"/>
      <c r="P57" s="17"/>
    </row>
    <row r="58" spans="1:16" x14ac:dyDescent="0.3">
      <c r="J58" s="24" t="s">
        <v>48</v>
      </c>
      <c r="K58" s="24"/>
      <c r="L58" s="24"/>
      <c r="M58" s="24"/>
      <c r="N58" s="24"/>
      <c r="O58" s="24"/>
      <c r="P58" s="24"/>
    </row>
    <row r="59" spans="1:16" ht="4.5" customHeight="1" x14ac:dyDescent="0.3"/>
    <row r="60" spans="1:16" x14ac:dyDescent="0.3">
      <c r="L60" s="22" t="s">
        <v>47</v>
      </c>
      <c r="M60" s="23"/>
    </row>
    <row r="61" spans="1:16" x14ac:dyDescent="0.3">
      <c r="K61" s="15" t="s">
        <v>45</v>
      </c>
      <c r="L61" s="21" t="str">
        <f ca="1">_xll.SUBNM(db_name&amp;":headline year","sys_all-n",$C$21)</f>
        <v/>
      </c>
      <c r="M61" s="21"/>
    </row>
    <row r="62" spans="1:16" x14ac:dyDescent="0.3">
      <c r="K62" s="15" t="s">
        <v>46</v>
      </c>
      <c r="L62" s="21" t="str">
        <f ca="1">_xll.SUBNM(db_name&amp;":scenario","sys_BudgetRound",$C$22)</f>
        <v/>
      </c>
      <c r="M62" s="21"/>
    </row>
    <row r="63" spans="1:16" ht="4.5" customHeight="1" x14ac:dyDescent="0.3"/>
    <row r="64" spans="1:16" x14ac:dyDescent="0.3">
      <c r="J64" s="16" t="s">
        <v>41</v>
      </c>
      <c r="K64" s="16" t="s">
        <v>42</v>
      </c>
      <c r="L64" s="16" t="str">
        <f ca="1">L$21</f>
        <v/>
      </c>
      <c r="M64" s="16" t="str">
        <f t="shared" ref="M64:P64" ca="1" si="0">M$21</f>
        <v/>
      </c>
      <c r="N64" s="16" t="str">
        <f t="shared" ca="1" si="0"/>
        <v/>
      </c>
      <c r="O64" s="16" t="str">
        <f t="shared" ca="1" si="0"/>
        <v/>
      </c>
      <c r="P64" s="16" t="str">
        <f t="shared" ca="1" si="0"/>
        <v/>
      </c>
    </row>
    <row r="65" spans="1:16" x14ac:dyDescent="0.3">
      <c r="A65" t="str" cm="1">
        <f t="array" aca="1" ref="A65" ca="1">IF(_xll.TM1RPTELISCONSOLIDATED($C$65,$C65),IF(_xll.TM1RPTELLEV($C$65,$C65)&lt;=3,_xll.TM1RPTELLEV($C$65,$C65),"D"),"N")</f>
        <v>N</v>
      </c>
      <c r="B65" s="19" t="str" cm="1">
        <f t="array" aca="1" ref="B65" ca="1">_xll.TM1RPTROW($C$48,db_name&amp;":index","","","",0,$C$50)</f>
        <v/>
      </c>
      <c r="C65" s="20" t="str" cm="1">
        <f t="array" aca="1" ref="C65" ca="1">_xll.TM1RPTROW($C$48,db_name&amp;":index measure","","","",0,$C$51)</f>
        <v/>
      </c>
      <c r="J65" s="14" t="str">
        <f ca="1">$B65</f>
        <v/>
      </c>
      <c r="K65" s="14" t="str">
        <f ca="1">$C65</f>
        <v/>
      </c>
      <c r="L65" s="18" t="str" cm="1">
        <f t="array" aca="1" ref="L65" ca="1">_xll.DBRW($C$48,$L$61,$L$62,$B65,$C65,L$21)</f>
        <v/>
      </c>
      <c r="M65" s="18" t="str" cm="1">
        <f t="array" aca="1" ref="M65" ca="1">_xll.DBRW($C$48,$L$61,$L$62,$B65,$C65,M$64)</f>
        <v/>
      </c>
      <c r="N65" s="18" t="str" cm="1">
        <f t="array" aca="1" ref="N65" ca="1">_xll.DBRW($C$48,$L$61,$L$62,$B65,$C65,N$64)</f>
        <v/>
      </c>
      <c r="O65" s="18" t="str" cm="1">
        <f t="array" aca="1" ref="O65" ca="1">_xll.DBRW($C$48,$L$61,$L$62,$B65,$C65,O$64)</f>
        <v/>
      </c>
      <c r="P65" s="18" t="str" cm="1">
        <f t="array" aca="1" ref="P65" ca="1">_xll.DBRW($C$48,$L$61,$L$62,$B65,$C65,P$64)</f>
        <v/>
      </c>
    </row>
  </sheetData>
  <sheetProtection sheet="1" objects="1" scenarios="1"/>
  <mergeCells count="8">
    <mergeCell ref="L62:M62"/>
    <mergeCell ref="L60:M60"/>
    <mergeCell ref="J58:P58"/>
    <mergeCell ref="B11:D11"/>
    <mergeCell ref="B19:D19"/>
    <mergeCell ref="B27:D27"/>
    <mergeCell ref="B47:D47"/>
    <mergeCell ref="L61:M61"/>
  </mergeCells>
  <conditionalFormatting sqref="J7:P7 J65:P65">
    <cfRule type="expression" dxfId="0" priority="50">
      <formula>$K7="adjustment factor"</formula>
    </cfRule>
  </conditionalFormatting>
  <pageMargins left="0.70866141732283472" right="0.70866141732283472" top="0.74803149606299213" bottom="0.74803149606299213" header="0.31496062992125984" footer="0.31496062992125984"/>
  <pageSetup paperSize="9" scale="69" fitToHeight="0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32" r:id="rId4" name="TIButton7">
          <controlPr defaultSize="0" print="0" autoLine="0" autoPict="0" r:id="rId5">
            <anchor moveWithCells="1" sizeWithCells="1">
              <from>
                <xdr:col>9</xdr:col>
                <xdr:colOff>1905000</xdr:colOff>
                <xdr:row>55</xdr:row>
                <xdr:rowOff>7620</xdr:rowOff>
              </from>
              <to>
                <xdr:col>10</xdr:col>
                <xdr:colOff>1508760</xdr:colOff>
                <xdr:row>55</xdr:row>
                <xdr:rowOff>259080</xdr:rowOff>
              </to>
            </anchor>
          </controlPr>
        </control>
      </mc:Choice>
      <mc:Fallback>
        <control shapeId="1032" r:id="rId4" name="TIButton7"/>
      </mc:Fallback>
    </mc:AlternateContent>
    <mc:AlternateContent xmlns:mc="http://schemas.openxmlformats.org/markup-compatibility/2006">
      <mc:Choice Requires="x14">
        <control shapeId="1031" r:id="rId6" name="TIButton6">
          <controlPr defaultSize="0" print="0" autoLine="0" autoPict="0" r:id="rId7">
            <anchor moveWithCells="1" sizeWithCells="1">
              <from>
                <xdr:col>9</xdr:col>
                <xdr:colOff>685800</xdr:colOff>
                <xdr:row>55</xdr:row>
                <xdr:rowOff>7620</xdr:rowOff>
              </from>
              <to>
                <xdr:col>9</xdr:col>
                <xdr:colOff>1866900</xdr:colOff>
                <xdr:row>55</xdr:row>
                <xdr:rowOff>259080</xdr:rowOff>
              </to>
            </anchor>
          </controlPr>
        </control>
      </mc:Choice>
      <mc:Fallback>
        <control shapeId="1031" r:id="rId6" name="TIButton6"/>
      </mc:Fallback>
    </mc:AlternateContent>
    <mc:AlternateContent xmlns:mc="http://schemas.openxmlformats.org/markup-compatibility/2006">
      <mc:Choice Requires="x14">
        <control shapeId="1025" r:id="rId8" name="TIButton1">
          <controlPr defaultSize="0" print="0" autoLine="0" autoPict="0" r:id="rId9">
            <anchor moveWithCells="1" sizeWithCells="1">
              <from>
                <xdr:col>9</xdr:col>
                <xdr:colOff>7620</xdr:colOff>
                <xdr:row>55</xdr:row>
                <xdr:rowOff>7620</xdr:rowOff>
              </from>
              <to>
                <xdr:col>9</xdr:col>
                <xdr:colOff>647700</xdr:colOff>
                <xdr:row>55</xdr:row>
                <xdr:rowOff>259080</xdr:rowOff>
              </to>
            </anchor>
          </controlPr>
        </control>
      </mc:Choice>
      <mc:Fallback>
        <control shapeId="1025" r:id="rId8" name="TIButton1"/>
      </mc:Fallback>
    </mc:AlternateContent>
    <mc:AlternateContent xmlns:mc="http://schemas.openxmlformats.org/markup-compatibility/2006">
      <mc:Choice Requires="x14">
        <control shapeId="1026" r:id="rId10" name="TIButton2">
          <controlPr defaultSize="0" print="0" autoLine="0" autoPict="0" r:id="rId11">
            <anchor moveWithCells="1" sizeWithCells="1">
              <from>
                <xdr:col>11</xdr:col>
                <xdr:colOff>365760</xdr:colOff>
                <xdr:row>55</xdr:row>
                <xdr:rowOff>7620</xdr:rowOff>
              </from>
              <to>
                <xdr:col>12</xdr:col>
                <xdr:colOff>861060</xdr:colOff>
                <xdr:row>55</xdr:row>
                <xdr:rowOff>259080</xdr:rowOff>
              </to>
            </anchor>
          </controlPr>
        </control>
      </mc:Choice>
      <mc:Fallback>
        <control shapeId="1026" r:id="rId10" name="TIButton2"/>
      </mc:Fallback>
    </mc:AlternateContent>
    <mc:AlternateContent xmlns:mc="http://schemas.openxmlformats.org/markup-compatibility/2006">
      <mc:Choice Requires="x14">
        <control shapeId="1028" r:id="rId12" name="TIButton4">
          <controlPr defaultSize="0" print="0" autoLine="0" autoPict="0" r:id="rId13">
            <anchor moveWithCells="1" sizeWithCells="1">
              <from>
                <xdr:col>15</xdr:col>
                <xdr:colOff>594360</xdr:colOff>
                <xdr:row>54</xdr:row>
                <xdr:rowOff>38100</xdr:rowOff>
              </from>
              <to>
                <xdr:col>15</xdr:col>
                <xdr:colOff>906780</xdr:colOff>
                <xdr:row>55</xdr:row>
                <xdr:rowOff>297180</xdr:rowOff>
              </to>
            </anchor>
          </controlPr>
        </control>
      </mc:Choice>
      <mc:Fallback>
        <control shapeId="1028" r:id="rId12" name="TIButton4"/>
      </mc:Fallback>
    </mc:AlternateContent>
    <mc:AlternateContent xmlns:mc="http://schemas.openxmlformats.org/markup-compatibility/2006">
      <mc:Choice Requires="x14">
        <control shapeId="1029" r:id="rId14" name="TIButton5">
          <controlPr defaultSize="0" print="0" autoLine="0" autoPict="0" r:id="rId15">
            <anchor moveWithCells="1" sizeWithCells="1">
              <from>
                <xdr:col>14</xdr:col>
                <xdr:colOff>289560</xdr:colOff>
                <xdr:row>55</xdr:row>
                <xdr:rowOff>7620</xdr:rowOff>
              </from>
              <to>
                <xdr:col>15</xdr:col>
                <xdr:colOff>152400</xdr:colOff>
                <xdr:row>55</xdr:row>
                <xdr:rowOff>259080</xdr:rowOff>
              </to>
            </anchor>
          </controlPr>
        </control>
      </mc:Choice>
      <mc:Fallback>
        <control shapeId="1029" r:id="rId14" name="TIButton5"/>
      </mc:Fallback>
    </mc:AlternateContent>
    <mc:AlternateContent xmlns:mc="http://schemas.openxmlformats.org/markup-compatibility/2006">
      <mc:Choice Requires="x14">
        <control shapeId="1030" r:id="rId16" name="TIButton3">
          <controlPr defaultSize="0" print="0" autoLine="0" autoPict="0" r:id="rId17">
            <anchor moveWithCells="1" sizeWithCells="1">
              <from>
                <xdr:col>12</xdr:col>
                <xdr:colOff>899160</xdr:colOff>
                <xdr:row>55</xdr:row>
                <xdr:rowOff>7620</xdr:rowOff>
              </from>
              <to>
                <xdr:col>14</xdr:col>
                <xdr:colOff>251460</xdr:colOff>
                <xdr:row>55</xdr:row>
                <xdr:rowOff>259080</xdr:rowOff>
              </to>
            </anchor>
          </controlPr>
        </control>
      </mc:Choice>
      <mc:Fallback>
        <control shapeId="1030" r:id="rId16" name="TIButton3"/>
      </mc:Fallback>
    </mc:AlternateContent>
    <mc:AlternateContent xmlns:mc="http://schemas.openxmlformats.org/markup-compatibility/2006">
      <mc:Choice Requires="x14">
        <control shapeId="1033" r:id="rId18" name="TIButton8">
          <controlPr defaultSize="0" print="0" autoLine="0" autoPict="0" r:id="rId19">
            <anchor moveWithCells="1" sizeWithCells="1">
              <from>
                <xdr:col>10</xdr:col>
                <xdr:colOff>1524000</xdr:colOff>
                <xdr:row>55</xdr:row>
                <xdr:rowOff>7620</xdr:rowOff>
              </from>
              <to>
                <xdr:col>11</xdr:col>
                <xdr:colOff>327660</xdr:colOff>
                <xdr:row>55</xdr:row>
                <xdr:rowOff>259080</xdr:rowOff>
              </to>
            </anchor>
          </controlPr>
        </control>
      </mc:Choice>
      <mc:Fallback>
        <control shapeId="1033" r:id="rId18" name="TIButton8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index rate</vt:lpstr>
      <vt:lpstr>db_name</vt:lpstr>
      <vt:lpstr>psApp</vt:lpstr>
      <vt:lpstr>psUser</vt:lpstr>
      <vt:lpstr>TM1EDCAP</vt:lpstr>
      <vt:lpstr>TM1EDWB</vt:lpstr>
      <vt:lpstr>TM1EDWS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TM1IndexCAP</vt:lpstr>
      <vt:lpstr>TM1IndexDetCAP</vt:lpstr>
      <vt:lpstr>TM1IndexDetWB</vt:lpstr>
      <vt:lpstr>TM1IndexDetWS</vt:lpstr>
      <vt:lpstr>TM1IndexFE3MapCAP</vt:lpstr>
      <vt:lpstr>TM1IndexFE3MapWB</vt:lpstr>
      <vt:lpstr>TM1IndexFE3MapWS</vt:lpstr>
      <vt:lpstr>TM1IndexRatesCAP</vt:lpstr>
      <vt:lpstr>TM1IndexRatesWB</vt:lpstr>
      <vt:lpstr>TM1IndexRatesWS</vt:lpstr>
      <vt:lpstr>TM1IndexRecoCAP</vt:lpstr>
      <vt:lpstr>TM1IndexRecoWB</vt:lpstr>
      <vt:lpstr>TM1IndexRecoWS</vt:lpstr>
      <vt:lpstr>TM1IndexSetupCAP</vt:lpstr>
      <vt:lpstr>TM1IndexSetupWB</vt:lpstr>
      <vt:lpstr>TM1IndexSetupWS</vt:lpstr>
      <vt:lpstr>TM1IndexWB</vt:lpstr>
      <vt:lpstr>TM1IndexWS</vt:lpstr>
      <vt:lpstr>'index rate'!TM1RPTDATARNG1</vt:lpstr>
      <vt:lpstr>'index rate'!TM1RPTFMTIDCOL</vt:lpstr>
      <vt:lpstr>'index rate'!TM1RPTFMTRNG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2019-06-10T06:57:21Z</dcterms:created>
  <dcterms:modified xsi:type="dcterms:W3CDTF">2023-02-14T22:31:59Z</dcterms:modified>
</cp:coreProperties>
</file>