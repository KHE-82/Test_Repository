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6D82D76-019D-47A4-9D05-7F4A211C43A5}" xr6:coauthVersionLast="47" xr6:coauthVersionMax="47" xr10:uidLastSave="{00000000-0000-0000-0000-000000000000}"/>
  <bookViews>
    <workbookView xWindow="28680" yWindow="-120" windowWidth="29040" windowHeight="15840" xr2:uid="{83410147-1F76-40A2-B161-B5614181CB11}"/>
  </bookViews>
  <sheets>
    <sheet name="meas upload" sheetId="1" r:id="rId1"/>
    <sheet name="{PL}PickLst" sheetId="2" state="hidden" r:id="rId2"/>
  </sheets>
  <definedNames>
    <definedName name="db_name">'meas upload'!$B$2</definedName>
    <definedName name="psApp">'meas upload'!$B$29</definedName>
    <definedName name="psFFType">'meas upload'!$B$53</definedName>
    <definedName name="psFileName">'meas upload'!$M$71</definedName>
    <definedName name="psHLYear">'meas upload'!$B$44</definedName>
    <definedName name="psScenario">'meas upload'!$B$45</definedName>
    <definedName name="psSign">'meas upload'!#REF!</definedName>
    <definedName name="psUser">'meas upload'!$B$4</definedName>
    <definedName name="TM1AdjIDListCAP">'meas upload'!#REF!</definedName>
    <definedName name="TM1AdjIDListWB">'meas upload'!#REF!</definedName>
    <definedName name="TM1AdjIDListWS">'meas upload'!#REF!</definedName>
    <definedName name="TM1HomeAECAP">'meas upload'!$C$32</definedName>
    <definedName name="TM1HomeAEDataEntryCAP">'meas upload'!$C$33</definedName>
    <definedName name="TM1HomeAEDataEntryWB">'meas upload'!$E$33</definedName>
    <definedName name="TM1HomeAEDataEntryWS">'meas upload'!$G$33</definedName>
    <definedName name="TM1HomeAEMeasuresCAP">'meas upload'!$C$34</definedName>
    <definedName name="TM1HomeAEMeasuresWB">'meas upload'!$E$34</definedName>
    <definedName name="TM1HomeAEMeasuresWS">'meas upload'!$G$34</definedName>
    <definedName name="TM1HomeAEWB">'meas upload'!$E$32</definedName>
    <definedName name="TM1HomeAEWS">'meas upload'!$G$32</definedName>
    <definedName name="TM1HomeCAP">'meas upload'!$C$31</definedName>
    <definedName name="TM1HomeWB">'meas upload'!$E$31</definedName>
    <definedName name="TM1HomeWS">'meas upload'!$G$31</definedName>
    <definedName name="TM1MeasBulkCAP">'meas upload'!$C$36</definedName>
    <definedName name="TM1MeasBulkWB">'meas upload'!$E$36</definedName>
    <definedName name="TM1MeasBulkWS">'meas upload'!$G$36</definedName>
    <definedName name="TM1MeasListCAP">'meas upload'!$C$35</definedName>
    <definedName name="TM1MeasListWB">'meas upload'!$E$35</definedName>
    <definedName name="TM1MeasListWS">'meas upload'!$G$35</definedName>
    <definedName name="TM1MeasUploadCAP">'meas upload'!$C$37</definedName>
    <definedName name="TM1MeasUploadTempCAP">'meas upload'!$C$38</definedName>
    <definedName name="TM1MeasUploadTempWB">'meas upload'!$E$38</definedName>
    <definedName name="TM1MeasUploadTempWS">'meas upload'!$G$38</definedName>
    <definedName name="TM1MeasUploadWB">'meas upload'!$E$37</definedName>
    <definedName name="TM1MeasUploadWS">'meas upload'!$G$37</definedName>
    <definedName name="TM1NewAdj02DataEntryCAP">'meas upload'!#REF!</definedName>
    <definedName name="TM1NewAdj02DataEntryWB">'meas upload'!#REF!</definedName>
    <definedName name="TM1NewAdj02DataEntryWS">'meas upload'!#REF!</definedName>
    <definedName name="TM1NewAdj03AuthCAP">'meas upload'!#REF!</definedName>
    <definedName name="TM1NewAdj03AuthWB">'meas upload'!#REF!</definedName>
    <definedName name="TM1NewAdj03AuthWS">'meas upload'!#REF!</definedName>
    <definedName name="TM1NewAdj99ValidCAP">'meas upload'!#REF!</definedName>
    <definedName name="TM1NewAdj99ValidWB">'meas upload'!#REF!</definedName>
    <definedName name="TM1NewAdj99ValidWS">'meas upload'!#REF!</definedName>
    <definedName name="TM1UploadAB_Confirm">'meas upload'!$B$52</definedName>
    <definedName name="TM1UploadAB_Fail">'meas upload'!$B$51</definedName>
    <definedName name="TM1UploadAB_Success">'meas upload'!$B$50</definedName>
    <definedName name="TM1UploadTempCAP">'meas upload'!#REF!</definedName>
    <definedName name="TM1UploadTempWB">'meas upload'!#REF!</definedName>
    <definedName name="TM1UploadTempWS">'meas upload'!#REF!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 l="1" a="1"/>
  <c r="B41" i="1"/>
  <c r="B4" i="1" a="1"/>
  <c r="B4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C44" i="1" a="1"/>
  <c r="C44" i="1"/>
  <c r="B44" i="1" a="1"/>
  <c r="B44" i="1"/>
  <c r="B43" i="1" a="1"/>
  <c r="B43" i="1"/>
  <c r="B28" i="1" a="1"/>
  <c r="B28" i="1"/>
  <c r="G38" i="1" a="1"/>
  <c r="G38" i="1"/>
  <c r="F38" i="1" a="1"/>
  <c r="F38" i="1"/>
  <c r="E38" i="1" a="1"/>
  <c r="E38" i="1"/>
  <c r="D38" i="1" a="1"/>
  <c r="D38" i="1"/>
  <c r="C38" i="1" a="1"/>
  <c r="C38" i="1"/>
  <c r="B38" i="1" a="1"/>
  <c r="B38" i="1"/>
  <c r="G37" i="1" a="1"/>
  <c r="G37" i="1"/>
  <c r="F37" i="1" a="1"/>
  <c r="F37" i="1"/>
  <c r="E37" i="1" a="1"/>
  <c r="E37" i="1"/>
  <c r="D37" i="1" a="1"/>
  <c r="D37" i="1"/>
  <c r="C37" i="1" a="1"/>
  <c r="C37" i="1"/>
  <c r="B37" i="1" a="1"/>
  <c r="B37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B12" i="1" a="1"/>
  <c r="B12" i="1"/>
  <c r="B11" i="1" a="1"/>
  <c r="B11" i="1"/>
  <c r="B3" i="1" a="1"/>
  <c r="B3" i="1"/>
  <c r="B6" i="1" a="1"/>
  <c r="B6" i="1"/>
  <c r="B5" i="1" a="1"/>
  <c r="B5" i="1"/>
  <c r="M73" i="1"/>
  <c r="O75" i="1"/>
  <c r="M75" i="1"/>
  <c r="M69" i="1"/>
  <c r="B25" i="1"/>
  <c r="B22" i="1"/>
  <c r="M82" i="1"/>
  <c r="M81" i="1"/>
  <c r="M80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<sst xmlns="http://schemas.openxmlformats.org/spreadsheetml/2006/main" count="80" uniqueCount="78">
  <si>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</si>
  <si>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</si>
  <si>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</si>
  <si>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</si>
  <si>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</si>
  <si>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</si>
  <si>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</si>
  <si>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</si>
  <si>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</si>
  <si>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</si>
  <si>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</si>
  <si>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</si>
  <si>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</si>
  <si>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</si>
  <si>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</si>
  <si>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</si>
  <si>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</si>
  <si>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</si>
  <si>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</si>
  <si>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</si>
  <si>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</si>
  <si>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</si>
  <si>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</si>
  <si>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</si>
  <si>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</si>
  <si>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</si>
  <si>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</si>
  <si>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</si>
  <si>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</si>
  <si>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</si>
  <si>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</si>
  <si>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</si>
  <si>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</si>
  <si>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</si>
  <si>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</si>
  <si>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</si>
  <si>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</si>
  <si>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</si>
  <si>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Data Upload Directory :</t>
  </si>
  <si>
    <t>Upload Validation :</t>
  </si>
  <si>
    <t>Note :</t>
  </si>
  <si>
    <t>The upload process will put you in a queue and may take a few moments to complete.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</si>
  <si>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</si>
  <si>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</si>
  <si>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</si>
  <si>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</si>
  <si>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</si>
  <si>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</si>
  <si>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</si>
  <si>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</si>
  <si>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</si>
  <si>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</si>
  <si>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</si>
  <si>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</si>
  <si>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</si>
  <si>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</si>
  <si>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</si>
  <si>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</si>
  <si>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</si>
  <si>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</si>
  <si>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Confirmation</t>
  </si>
  <si>
    <t>Action Button Messages and Parameters</t>
  </si>
  <si>
    <t>psFFType</t>
  </si>
  <si>
    <t>Standard CBMS</t>
  </si>
  <si>
    <t>Measures - Upload Measures</t>
  </si>
  <si>
    <t>Homepage - Annual Estimates - Measures</t>
  </si>
  <si>
    <t>Measures - Upload Template</t>
  </si>
  <si>
    <t>Measures - Measure List</t>
  </si>
  <si>
    <t>Measures - Bulk Process</t>
  </si>
  <si>
    <t>Upload Measure Flatfile Process</t>
  </si>
  <si>
    <t>measure flatfile upload.csv</t>
  </si>
  <si>
    <t>Measure Flat file successfully loaded into GEUS.</t>
  </si>
  <si>
    <t xml:space="preserve">Are you sure you want to upload a Measure Creation flatfile? </t>
  </si>
  <si>
    <t>Exception Log Directory :</t>
  </si>
  <si>
    <t>sys_ImpFileExceptionLogs</t>
  </si>
  <si>
    <t>Note : When upload fails, error log files will be saved in the Exception Log Directory as per below.</t>
  </si>
  <si>
    <t>Validation FAILED. Please review exception logs in the Log Directory below, or ensure the files do not have any commas or dashes as zeroes, or the file does not exist.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</si>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</sst>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3" fillId="4" borderId="4" xfId="0" applyFont="1" applyFill="1" applyBorder="1" applyAlignment="1">
      <alignment horizontal="left" wrapText="1" indent="1"/>
    </xf>
    <xf numFmtId="0" fontId="1" fillId="0" borderId="0" xfId="0" applyFont="1" applyAlignment="1">
      <alignment horizontal="right" vertical="top" indent="1"/>
    </xf>
    <xf numFmtId="0" fontId="10" fillId="0" borderId="0" xfId="0" applyFont="1" applyAlignment="1">
      <alignment vertical="top"/>
    </xf>
    <xf numFmtId="0" fontId="3" fillId="0" borderId="4" xfId="0" applyFont="1" applyBorder="1" applyAlignment="1" applyProtection="1">
      <alignment horizontal="left" indent="1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CB5C2425-6732-415A-940C-E939EE54FB20}"/>
  </cellStyles>
  <dxfs count="5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63</xdr:row>
      <xdr:rowOff>28575</xdr:rowOff>
    </xdr:from>
    <xdr:to>
      <xdr:col>10</xdr:col>
      <xdr:colOff>1181100</xdr:colOff>
      <xdr:row>63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4543425</xdr:colOff>
      <xdr:row>65</xdr:row>
      <xdr:rowOff>0</xdr:rowOff>
    </xdr:from>
    <xdr:to>
      <xdr:col>12</xdr:col>
      <xdr:colOff>5324475</xdr:colOff>
      <xdr:row>65</xdr:row>
      <xdr:rowOff>247650</xdr:rowOff>
    </xdr:to>
    <xdr:sp macro="Sheet1.ExecuteAction_7bbf52f2_e9af_4b11_a8b0_74f1b9ebf0ac" textlink="">
      <xdr:nvSpPr>
        <xdr:cNvPr id="3" name="TM1Button_7bbf52f2_e9af_4b11_a8b0_74f1b9ebf0ac">
          <a:extLst>
            <a:ext uri="{FF2B5EF4-FFF2-40B4-BE49-F238E27FC236}">
              <a16:creationId xmlns:a16="http://schemas.microsoft.com/office/drawing/2014/main" id="{8E82D581-FA63-09C0-E657-18C172759050}"/>
            </a:ext>
          </a:extLst>
        </xdr:cNvPr>
        <xdr:cNvSpPr txBox="1"/>
      </xdr:nvSpPr>
      <xdr:spPr>
        <a:xfrm>
          <a:off x="6781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65</xdr:row>
      <xdr:rowOff>0</xdr:rowOff>
    </xdr:from>
    <xdr:to>
      <xdr:col>10</xdr:col>
      <xdr:colOff>1228725</xdr:colOff>
      <xdr:row>65</xdr:row>
      <xdr:rowOff>247650</xdr:rowOff>
    </xdr:to>
    <xdr:sp macro="Sheet1.ExecuteAction_3220b893_0e60_4e88_ab46_7ac5c758bdc6" textlink="TM1HomeAEMeasuresCAP">
      <xdr:nvSpPr>
        <xdr:cNvPr id="4" name="TM1Button_3220b893_0e60_4e88_ab46_7ac5c758bdc6">
          <a:extLst>
            <a:ext uri="{FF2B5EF4-FFF2-40B4-BE49-F238E27FC236}">
              <a16:creationId xmlns:a16="http://schemas.microsoft.com/office/drawing/2014/main" id="{2A651C37-E28A-353F-1B5C-AD36F32C1F56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E0156B6-9825-4B30-A2F8-CE9C4A4D13B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65</xdr:row>
      <xdr:rowOff>0</xdr:rowOff>
    </xdr:from>
    <xdr:to>
      <xdr:col>10</xdr:col>
      <xdr:colOff>66675</xdr:colOff>
      <xdr:row>65</xdr:row>
      <xdr:rowOff>247650</xdr:rowOff>
    </xdr:to>
    <xdr:sp macro="Sheet1.ExecuteAction_7a3aa054_7f44_48b5_991d_be506c2f325b" textlink="TM1HomeCAP">
      <xdr:nvSpPr>
        <xdr:cNvPr id="5" name="TM1Button_7a3aa054_7f44_48b5_991d_be506c2f325b">
          <a:extLst>
            <a:ext uri="{FF2B5EF4-FFF2-40B4-BE49-F238E27FC236}">
              <a16:creationId xmlns:a16="http://schemas.microsoft.com/office/drawing/2014/main" id="{AC08D1FF-B533-D2FD-9E57-F0011518E7A4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62CFEAD-383F-44E1-B754-B6458B24EF9B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65</xdr:row>
      <xdr:rowOff>0</xdr:rowOff>
    </xdr:from>
    <xdr:to>
      <xdr:col>12</xdr:col>
      <xdr:colOff>666750</xdr:colOff>
      <xdr:row>65</xdr:row>
      <xdr:rowOff>247650</xdr:rowOff>
    </xdr:to>
    <xdr:sp macro="Sheet1.ExecuteAction_deab04ba_4d0d_4392_9706_38a69bf25a6d" textlink="TM1MeasListCAP">
      <xdr:nvSpPr>
        <xdr:cNvPr id="6" name="TM1Button_deab04ba_4d0d_4392_9706_38a69bf25a6d">
          <a:extLst>
            <a:ext uri="{FF2B5EF4-FFF2-40B4-BE49-F238E27FC236}">
              <a16:creationId xmlns:a16="http://schemas.microsoft.com/office/drawing/2014/main" id="{2AAD65A7-BD43-CF8C-CCF5-52DD5BAFD9AE}"/>
            </a:ext>
          </a:extLst>
        </xdr:cNvPr>
        <xdr:cNvSpPr txBox="1"/>
      </xdr:nvSpPr>
      <xdr:spPr>
        <a:xfrm>
          <a:off x="1924050" y="56197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85316E3-BCC6-4EF0-B147-82C20828705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64</xdr:row>
      <xdr:rowOff>28575</xdr:rowOff>
    </xdr:from>
    <xdr:to>
      <xdr:col>15</xdr:col>
      <xdr:colOff>0</xdr:colOff>
      <xdr:row>65</xdr:row>
      <xdr:rowOff>285750</xdr:rowOff>
    </xdr:to>
    <xdr:sp macro="Sheet1.ExecuteAction_6b63f873_c6b6_4e64_979f_05c0c8a3caca" textlink="">
      <xdr:nvSpPr>
        <xdr:cNvPr id="7" name="TM1Button_6b63f873_c6b6_4e64_979f_05c0c8a3caca">
          <a:extLst>
            <a:ext uri="{FF2B5EF4-FFF2-40B4-BE49-F238E27FC236}">
              <a16:creationId xmlns:a16="http://schemas.microsoft.com/office/drawing/2014/main" id="{ABC917A4-DD19-3067-97C9-0CCFE4067C09}"/>
            </a:ext>
          </a:extLst>
        </xdr:cNvPr>
        <xdr:cNvSpPr txBox="1"/>
      </xdr:nvSpPr>
      <xdr:spPr>
        <a:xfrm>
          <a:off x="12411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3600450</xdr:colOff>
      <xdr:row>65</xdr:row>
      <xdr:rowOff>0</xdr:rowOff>
    </xdr:from>
    <xdr:to>
      <xdr:col>12</xdr:col>
      <xdr:colOff>4495800</xdr:colOff>
      <xdr:row>65</xdr:row>
      <xdr:rowOff>247650</xdr:rowOff>
    </xdr:to>
    <xdr:sp macro="Sheet1.ExecuteAction_b119858b_1e6f_4c9d_a4ec_cd3b8c71eb8f" textlink="">
      <xdr:nvSpPr>
        <xdr:cNvPr id="8" name="TM1Button_b119858b_1e6f_4c9d_a4ec_cd3b8c71eb8f">
          <a:extLst>
            <a:ext uri="{FF2B5EF4-FFF2-40B4-BE49-F238E27FC236}">
              <a16:creationId xmlns:a16="http://schemas.microsoft.com/office/drawing/2014/main" id="{3D74280E-9F4C-6B11-CFE1-2869A6800C62}"/>
            </a:ext>
          </a:extLst>
        </xdr:cNvPr>
        <xdr:cNvSpPr txBox="1"/>
      </xdr:nvSpPr>
      <xdr:spPr>
        <a:xfrm>
          <a:off x="583882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2047875</xdr:colOff>
      <xdr:row>65</xdr:row>
      <xdr:rowOff>0</xdr:rowOff>
    </xdr:from>
    <xdr:to>
      <xdr:col>12</xdr:col>
      <xdr:colOff>3571875</xdr:colOff>
      <xdr:row>65</xdr:row>
      <xdr:rowOff>247650</xdr:rowOff>
    </xdr:to>
    <xdr:sp macro="Sheet1.ExecuteAction_53aabcac_0f60_4364_9c47_bd540c279271" textlink="">
      <xdr:nvSpPr>
        <xdr:cNvPr id="9" name="TM1Button_53aabcac_0f60_4364_9c47_bd540c279271">
          <a:extLst>
            <a:ext uri="{FF2B5EF4-FFF2-40B4-BE49-F238E27FC236}">
              <a16:creationId xmlns:a16="http://schemas.microsoft.com/office/drawing/2014/main" id="{20EC7554-7444-5E6F-5BE1-7C606DE0C9D0}"/>
            </a:ext>
          </a:extLst>
        </xdr:cNvPr>
        <xdr:cNvSpPr txBox="1"/>
      </xdr:nvSpPr>
      <xdr:spPr>
        <a:xfrm>
          <a:off x="4286250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Upload Template</a:t>
          </a:r>
        </a:p>
      </xdr:txBody>
    </xdr:sp>
    <xdr:clientData/>
  </xdr:twoCellAnchor>
  <xdr:twoCellAnchor editAs="oneCell">
    <xdr:from>
      <xdr:col>12</xdr:col>
      <xdr:colOff>704850</xdr:colOff>
      <xdr:row>65</xdr:row>
      <xdr:rowOff>0</xdr:rowOff>
    </xdr:from>
    <xdr:to>
      <xdr:col>12</xdr:col>
      <xdr:colOff>2009775</xdr:colOff>
      <xdr:row>65</xdr:row>
      <xdr:rowOff>247650</xdr:rowOff>
    </xdr:to>
    <xdr:sp macro="Sheet1.ExecuteAction_7295a755_6f83_4855_9689_d5aca3329bcc" textlink="">
      <xdr:nvSpPr>
        <xdr:cNvPr id="10" name="TM1Button_7295a755_6f83_4855_9689_d5aca3329bcc">
          <a:extLst>
            <a:ext uri="{FF2B5EF4-FFF2-40B4-BE49-F238E27FC236}">
              <a16:creationId xmlns:a16="http://schemas.microsoft.com/office/drawing/2014/main" id="{E69FCA7B-26F7-410D-530C-5F2CF6D9519C}"/>
            </a:ext>
          </a:extLst>
        </xdr:cNvPr>
        <xdr:cNvSpPr txBox="1"/>
      </xdr:nvSpPr>
      <xdr:spPr>
        <a:xfrm>
          <a:off x="2943225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Bulk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  <pageSetUpPr fitToPage="1"/>
  </sheetPr>
  <dimension ref="A1:O84"/>
  <sheetViews>
    <sheetView showGridLines="0" showRowColHeaders="0" tabSelected="1" showOutlineSymbols="0" topLeftCell="I64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idden="1" outlineLevel="1" x14ac:dyDescent="0.25">
      <c r="A1" s="26" t="s">
        <v>0</v>
      </c>
      <c r="B1" s="27"/>
      <c r="C1" s="28"/>
    </row>
    <row r="2" spans="1:3" hidden="1" outlineLevel="1" x14ac:dyDescent="0.25">
      <c r="A2" s="1" t="s">
        <v>1</v>
      </c>
      <c r="B2" s="2" t="s">
        <v>77</v>
      </c>
      <c r="C2" s="3"/>
    </row>
    <row r="3" spans="1:3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3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3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26" t="s">
        <v>7</v>
      </c>
      <c r="B9" s="27"/>
      <c r="C9" s="28"/>
    </row>
    <row r="10" spans="1:3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 cm="1">
        <f t="array" aca="1" ref="B11" ca="1">_xll.DBR($B$10,$A11,"value")</f>
        <v>#NAME?</v>
      </c>
      <c r="C11" s="5"/>
    </row>
    <row r="12" spans="1:3" hidden="1" outlineLevel="1" x14ac:dyDescent="0.25">
      <c r="A12" s="1" t="s">
        <v>10</v>
      </c>
      <c r="B12" s="5" t="e" cm="1">
        <f t="array" aca="1" ref="B12" ca="1">_xll.DBR($B$10,$A12,"value")</f>
        <v>#NAME?</v>
      </c>
      <c r="C12" s="5"/>
    </row>
    <row r="13" spans="1:3" hidden="1" outlineLevel="1" x14ac:dyDescent="0.25">
      <c r="A13" s="1" t="s">
        <v>53</v>
      </c>
      <c r="B13" s="5" t="e" cm="1">
        <f t="array" aca="1" ref="B13" ca="1">_xll.DBR($B$10,$A13,"value")</f>
        <v>#NAME?</v>
      </c>
      <c r="C13" s="5"/>
    </row>
    <row r="14" spans="1:3" hidden="1" outlineLevel="1" x14ac:dyDescent="0.25">
      <c r="A14" s="1" t="s">
        <v>46</v>
      </c>
      <c r="B14" s="5" t="e" cm="1">
        <f t="array" aca="1" ref="B14" ca="1">_xll.DBR($B$10,$A14,"value")</f>
        <v>#NAME?</v>
      </c>
      <c r="C14" s="5"/>
    </row>
    <row r="15" spans="1:3" hidden="1" outlineLevel="1" x14ac:dyDescent="0.25">
      <c r="A15" s="1" t="s">
        <v>47</v>
      </c>
      <c r="B15" s="5" t="e" cm="1">
        <f t="array" aca="1" ref="B15" ca="1">_xll.DBR($B$10,$A15,"value")</f>
        <v>#NAME?</v>
      </c>
      <c r="C15" s="5"/>
    </row>
    <row r="16" spans="1:3" hidden="1" outlineLevel="1" x14ac:dyDescent="0.25">
      <c r="A16" s="1" t="s">
        <v>74</v>
      </c>
      <c r="B16" s="5" t="e" cm="1">
        <f t="array" aca="1" ref="B16" ca="1">_xll.DBR($B$10,$A16,"value")</f>
        <v>#NAME?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26" t="s">
        <v>51</v>
      </c>
      <c r="B18" s="27"/>
      <c r="C18" s="28"/>
    </row>
    <row r="19" spans="1:7" hidden="1" outlineLevel="1" x14ac:dyDescent="0.25">
      <c r="A19" s="1" t="s">
        <v>48</v>
      </c>
      <c r="B19" s="5" t="e" cm="1">
        <f t="array" aca="1" ref="B19" ca="1">_xll.DBR($B$10,$A19,"value")</f>
        <v>#NAME?</v>
      </c>
      <c r="C19" s="5"/>
    </row>
    <row r="20" spans="1:7" hidden="1" outlineLevel="1" x14ac:dyDescent="0.25">
      <c r="A20" s="1" t="s">
        <v>49</v>
      </c>
      <c r="B20" s="18" t="s">
        <v>55</v>
      </c>
      <c r="C20" s="5"/>
    </row>
    <row r="21" spans="1:7" hidden="1" outlineLevel="1" x14ac:dyDescent="0.25">
      <c r="A21" s="1" t="s">
        <v>50</v>
      </c>
      <c r="B21" s="5" t="e" cm="1">
        <f t="array" aca="1" ref="B21" ca="1">_xll.DBR($B$10,$A21,"value")</f>
        <v>#NAME?</v>
      </c>
      <c r="C21" s="5"/>
    </row>
    <row r="22" spans="1:7" hidden="1" outlineLevel="1" x14ac:dyDescent="0.25">
      <c r="A22" s="1" t="s">
        <v>54</v>
      </c>
      <c r="B22" s="5" t="e">
        <f ca="1">$B$20&amp;"/"&amp;$B$21&amp;"/"</f>
        <v>#NAME?</v>
      </c>
      <c r="C22" s="5"/>
    </row>
    <row r="23" spans="1:7" hidden="1" outlineLevel="1" x14ac:dyDescent="0.25"/>
    <row r="24" spans="1:7" hidden="1" outlineLevel="1" x14ac:dyDescent="0.25">
      <c r="A24" s="29" t="s">
        <v>56</v>
      </c>
      <c r="B24" s="29"/>
      <c r="C24" s="29"/>
    </row>
    <row r="25" spans="1:7" hidden="1" outlineLevel="1" x14ac:dyDescent="0.25">
      <c r="A25" s="1" t="s">
        <v>52</v>
      </c>
      <c r="B25" s="5" t="e">
        <f ca="1">$B$19&amp;"\"&amp;$B$21&amp;"\"&amp;$B$11&amp;"\"&amp;$B$13&amp;"\"</f>
        <v>#NAME?</v>
      </c>
      <c r="C25" s="5"/>
    </row>
    <row r="26" spans="1:7" hidden="1" outlineLevel="1" x14ac:dyDescent="0.25"/>
    <row r="27" spans="1:7" hidden="1" outlineLevel="1" x14ac:dyDescent="0.25">
      <c r="A27" s="26" t="s">
        <v>11</v>
      </c>
      <c r="B27" s="27"/>
      <c r="C27" s="28"/>
    </row>
    <row r="28" spans="1:7" hidden="1" outlineLevel="1" x14ac:dyDescent="0.25">
      <c r="A28" s="5" t="s">
        <v>12</v>
      </c>
      <c r="B28" s="5" t="e" cm="1">
        <f t="array" aca="1" ref="B28" ca="1">_xll.VIEW(db_name&amp;":sys_application","!","!")</f>
        <v>#NAME?</v>
      </c>
    </row>
    <row r="29" spans="1:7" hidden="1" outlineLevel="1" x14ac:dyDescent="0.25">
      <c r="A29" s="5" t="s">
        <v>13</v>
      </c>
      <c r="B29" t="s">
        <v>64</v>
      </c>
    </row>
    <row r="30" spans="1:7" hidden="1" outlineLevel="1" x14ac:dyDescent="0.25">
      <c r="A30" s="6" t="s">
        <v>14</v>
      </c>
      <c r="B30" s="7" t="s">
        <v>15</v>
      </c>
      <c r="C30" s="7" t="s">
        <v>16</v>
      </c>
      <c r="D30" s="7" t="s">
        <v>17</v>
      </c>
      <c r="E30" s="7" t="s">
        <v>18</v>
      </c>
      <c r="F30" s="7" t="s">
        <v>19</v>
      </c>
      <c r="G30" s="7" t="s">
        <v>20</v>
      </c>
    </row>
    <row r="31" spans="1:7" hidden="1" outlineLevel="1" x14ac:dyDescent="0.25">
      <c r="A31" s="5" t="s">
        <v>21</v>
      </c>
      <c r="B31" s="5" t="e" cm="1">
        <f t="array" aca="1" ref="B31" ca="1">_xll.DBR($B$28,$A31,B$30)</f>
        <v>#NAME?</v>
      </c>
      <c r="C31" s="5" t="e" cm="1">
        <f t="array" aca="1" ref="C31" ca="1">_xll.DBR($B$28,$A31,C$30)</f>
        <v>#NAME?</v>
      </c>
      <c r="D31" s="5" t="e" cm="1">
        <f t="array" aca="1" ref="D31" ca="1">_xll.DBR($B$28,$A31,D$30)</f>
        <v>#NAME?</v>
      </c>
      <c r="E31" s="5" t="e" cm="1">
        <f t="array" aca="1" ref="E31" ca="1">_xll.DBR($B$28,$A31,E$30)</f>
        <v>#NAME?</v>
      </c>
      <c r="F31" s="5" t="e" cm="1">
        <f t="array" aca="1" ref="F31" ca="1">_xll.DBR($B$28,$A31,F$30)</f>
        <v>#NAME?</v>
      </c>
      <c r="G31" s="5" t="e" cm="1">
        <f t="array" aca="1" ref="G31" ca="1">_xll.DBR($B$28,$A31,G$30)</f>
        <v>#NAME?</v>
      </c>
    </row>
    <row r="32" spans="1:7" hidden="1" outlineLevel="1" x14ac:dyDescent="0.25">
      <c r="A32" s="5" t="s">
        <v>22</v>
      </c>
      <c r="B32" s="5" t="e" cm="1">
        <f t="array" aca="1" ref="B32" ca="1">_xll.DBR($B$28,$A32,B$30)</f>
        <v>#NAME?</v>
      </c>
      <c r="C32" s="5" t="e" cm="1">
        <f t="array" aca="1" ref="C32" ca="1">_xll.DBR($B$28,$A32,C$30)</f>
        <v>#NAME?</v>
      </c>
      <c r="D32" s="5" t="e" cm="1">
        <f t="array" aca="1" ref="D32" ca="1">_xll.DBR($B$28,$A32,D$30)</f>
        <v>#NAME?</v>
      </c>
      <c r="E32" s="5" t="e" cm="1">
        <f t="array" aca="1" ref="E32" ca="1">_xll.DBR($B$28,$A32,E$30)</f>
        <v>#NAME?</v>
      </c>
      <c r="F32" s="5" t="e" cm="1">
        <f t="array" aca="1" ref="F32" ca="1">_xll.DBR($B$28,$A32,F$30)</f>
        <v>#NAME?</v>
      </c>
      <c r="G32" s="5" t="e" cm="1">
        <f t="array" aca="1" ref="G32" ca="1">_xll.DBR($B$28,$A32,G$30)</f>
        <v>#NAME?</v>
      </c>
    </row>
    <row r="33" spans="1:7" hidden="1" outlineLevel="1" x14ac:dyDescent="0.25">
      <c r="A33" s="5" t="s">
        <v>23</v>
      </c>
      <c r="B33" s="5" t="e" cm="1">
        <f t="array" aca="1" ref="B33" ca="1">_xll.DBR($B$28,$A33,B$30)</f>
        <v>#NAME?</v>
      </c>
      <c r="C33" s="5" t="e" cm="1">
        <f t="array" aca="1" ref="C33" ca="1">_xll.DBR($B$28,$A33,C$30)</f>
        <v>#NAME?</v>
      </c>
      <c r="D33" s="5" t="e" cm="1">
        <f t="array" aca="1" ref="D33" ca="1">_xll.DBR($B$28,$A33,D$30)</f>
        <v>#NAME?</v>
      </c>
      <c r="E33" s="5" t="e" cm="1">
        <f t="array" aca="1" ref="E33" ca="1">_xll.DBR($B$28,$A33,E$30)</f>
        <v>#NAME?</v>
      </c>
      <c r="F33" s="5" t="e" cm="1">
        <f t="array" aca="1" ref="F33" ca="1">_xll.DBR($B$28,$A33,F$30)</f>
        <v>#NAME?</v>
      </c>
      <c r="G33" s="5" t="e" cm="1">
        <f t="array" aca="1" ref="G33" ca="1">_xll.DBR($B$28,$A33,G$30)</f>
        <v>#NAME?</v>
      </c>
    </row>
    <row r="34" spans="1:7" hidden="1" outlineLevel="1" x14ac:dyDescent="0.25">
      <c r="A34" s="5" t="s">
        <v>65</v>
      </c>
      <c r="B34" s="5" t="e" cm="1">
        <f t="array" aca="1" ref="B34" ca="1">_xll.DBR($B$28,$A34,B$30)</f>
        <v>#NAME?</v>
      </c>
      <c r="C34" s="5" t="e" cm="1">
        <f t="array" aca="1" ref="C34" ca="1">_xll.DBR($B$28,$A34,C$30)</f>
        <v>#NAME?</v>
      </c>
      <c r="D34" s="5" t="e" cm="1">
        <f t="array" aca="1" ref="D34" ca="1">_xll.DBR($B$28,$A34,D$30)</f>
        <v>#NAME?</v>
      </c>
      <c r="E34" s="5" t="e" cm="1">
        <f t="array" aca="1" ref="E34" ca="1">_xll.DBR($B$28,$A34,E$30)</f>
        <v>#NAME?</v>
      </c>
      <c r="F34" s="5" t="e" cm="1">
        <f t="array" aca="1" ref="F34" ca="1">_xll.DBR($B$28,$A34,F$30)</f>
        <v>#NAME?</v>
      </c>
      <c r="G34" s="5" t="e" cm="1">
        <f t="array" aca="1" ref="G34" ca="1">_xll.DBR($B$28,$A34,G$30)</f>
        <v>#NAME?</v>
      </c>
    </row>
    <row r="35" spans="1:7" hidden="1" outlineLevel="1" x14ac:dyDescent="0.25">
      <c r="A35" s="5" t="s">
        <v>67</v>
      </c>
      <c r="B35" s="5" t="e" cm="1">
        <f t="array" aca="1" ref="B35" ca="1">_xll.DBR($B$28,$A35,B$30)</f>
        <v>#NAME?</v>
      </c>
      <c r="C35" s="5" t="e" cm="1">
        <f t="array" aca="1" ref="C35" ca="1">_xll.DBR($B$28,$A35,C$30)</f>
        <v>#NAME?</v>
      </c>
      <c r="D35" s="5" t="e" cm="1">
        <f t="array" aca="1" ref="D35" ca="1">_xll.DBR($B$28,$A35,D$30)</f>
        <v>#NAME?</v>
      </c>
      <c r="E35" s="5" t="e" cm="1">
        <f t="array" aca="1" ref="E35" ca="1">_xll.DBR($B$28,$A35,E$30)</f>
        <v>#NAME?</v>
      </c>
      <c r="F35" s="5" t="e" cm="1">
        <f t="array" aca="1" ref="F35" ca="1">_xll.DBR($B$28,$A35,F$30)</f>
        <v>#NAME?</v>
      </c>
      <c r="G35" s="5" t="e" cm="1">
        <f t="array" aca="1" ref="G35" ca="1">_xll.DBR($B$28,$A35,G$30)</f>
        <v>#NAME?</v>
      </c>
    </row>
    <row r="36" spans="1:7" hidden="1" outlineLevel="1" x14ac:dyDescent="0.25">
      <c r="A36" s="5" t="s">
        <v>68</v>
      </c>
      <c r="B36" s="5" t="e" cm="1">
        <f t="array" aca="1" ref="B36" ca="1">_xll.DBR($B$28,$A36,B$30)</f>
        <v>#NAME?</v>
      </c>
      <c r="C36" s="5" t="e" cm="1">
        <f t="array" aca="1" ref="C36" ca="1">_xll.DBR($B$28,$A36,C$30)</f>
        <v>#NAME?</v>
      </c>
      <c r="D36" s="5" t="e" cm="1">
        <f t="array" aca="1" ref="D36" ca="1">_xll.DBR($B$28,$A36,D$30)</f>
        <v>#NAME?</v>
      </c>
      <c r="E36" s="5" t="e" cm="1">
        <f t="array" aca="1" ref="E36" ca="1">_xll.DBR($B$28,$A36,E$30)</f>
        <v>#NAME?</v>
      </c>
      <c r="F36" s="5" t="e" cm="1">
        <f t="array" aca="1" ref="F36" ca="1">_xll.DBR($B$28,$A36,F$30)</f>
        <v>#NAME?</v>
      </c>
      <c r="G36" s="5" t="e" cm="1">
        <f t="array" aca="1" ref="G36" ca="1">_xll.DBR($B$28,$A36,G$30)</f>
        <v>#NAME?</v>
      </c>
    </row>
    <row r="37" spans="1:7" hidden="1" outlineLevel="1" x14ac:dyDescent="0.25">
      <c r="A37" s="5" t="s">
        <v>64</v>
      </c>
      <c r="B37" s="5" t="e" cm="1">
        <f t="array" aca="1" ref="B37" ca="1">_xll.DBR($B$28,$A37,B$30)</f>
        <v>#NAME?</v>
      </c>
      <c r="C37" s="5" t="e" cm="1">
        <f t="array" aca="1" ref="C37" ca="1">_xll.DBR($B$28,$A37,C$30)</f>
        <v>#NAME?</v>
      </c>
      <c r="D37" s="5" t="e" cm="1">
        <f t="array" aca="1" ref="D37" ca="1">_xll.DBR($B$28,$A37,D$30)</f>
        <v>#NAME?</v>
      </c>
      <c r="E37" s="5" t="e" cm="1">
        <f t="array" aca="1" ref="E37" ca="1">_xll.DBR($B$28,$A37,E$30)</f>
        <v>#NAME?</v>
      </c>
      <c r="F37" s="5" t="e" cm="1">
        <f t="array" aca="1" ref="F37" ca="1">_xll.DBR($B$28,$A37,F$30)</f>
        <v>#NAME?</v>
      </c>
      <c r="G37" s="5" t="e" cm="1">
        <f t="array" aca="1" ref="G37" ca="1">_xll.DBR($B$28,$A37,G$30)</f>
        <v>#NAME?</v>
      </c>
    </row>
    <row r="38" spans="1:7" hidden="1" outlineLevel="1" x14ac:dyDescent="0.25">
      <c r="A38" s="5" t="s">
        <v>66</v>
      </c>
      <c r="B38" s="5" t="e" cm="1">
        <f t="array" aca="1" ref="B38" ca="1">_xll.DBR($B$28,$A38,B$30)</f>
        <v>#NAME?</v>
      </c>
      <c r="C38" s="5" t="e" cm="1">
        <f t="array" aca="1" ref="C38" ca="1">_xll.DBR($B$28,$A38,C$30)</f>
        <v>#NAME?</v>
      </c>
      <c r="D38" s="5" t="e" cm="1">
        <f t="array" aca="1" ref="D38" ca="1">_xll.DBR($B$28,$A38,D$30)</f>
        <v>#NAME?</v>
      </c>
      <c r="E38" s="5" t="e" cm="1">
        <f t="array" aca="1" ref="E38" ca="1">_xll.DBR($B$28,$A38,E$30)</f>
        <v>#NAME?</v>
      </c>
      <c r="F38" s="5" t="e" cm="1">
        <f t="array" aca="1" ref="F38" ca="1">_xll.DBR($B$28,$A38,F$30)</f>
        <v>#NAME?</v>
      </c>
      <c r="G38" s="5" t="e" cm="1">
        <f t="array" aca="1" ref="G38" ca="1">_xll.DBR($B$28,$A38,G$30)</f>
        <v>#NAME?</v>
      </c>
    </row>
    <row r="39" spans="1:7" hidden="1" outlineLevel="1" x14ac:dyDescent="0.25"/>
    <row r="40" spans="1:7" hidden="1" outlineLevel="1" x14ac:dyDescent="0.25">
      <c r="A40" s="26" t="s">
        <v>24</v>
      </c>
      <c r="B40" s="27"/>
      <c r="C40" s="28"/>
    </row>
    <row r="41" spans="1:7" hidden="1" outlineLevel="1" x14ac:dyDescent="0.25">
      <c r="A41" s="1" t="s">
        <v>8</v>
      </c>
      <c r="B41" s="5" t="e" cm="1">
        <f t="array" aca="1" ref="B41" ca="1">_xll.VIEW(db_name&amp;":sys_client preference","!","!","!")</f>
        <v>#NAME?</v>
      </c>
      <c r="C41" s="5"/>
    </row>
    <row r="42" spans="1:7" hidden="1" outlineLevel="1" x14ac:dyDescent="0.25">
      <c r="A42" s="1"/>
      <c r="B42" s="8" t="s">
        <v>25</v>
      </c>
      <c r="C42" s="8" t="s">
        <v>26</v>
      </c>
    </row>
    <row r="43" spans="1:7" hidden="1" outlineLevel="1" x14ac:dyDescent="0.25">
      <c r="A43" s="1" t="s">
        <v>27</v>
      </c>
      <c r="B43" s="5" t="e" cm="1">
        <f t="array" aca="1" ref="B43" ca="1">_xll.SUBNM(db_name&amp;":sys_client preference measure","","value")</f>
        <v>#NAME?</v>
      </c>
      <c r="C43" s="8"/>
    </row>
    <row r="44" spans="1:7" hidden="1" outlineLevel="1" x14ac:dyDescent="0.25">
      <c r="A44" s="1" t="s">
        <v>28</v>
      </c>
      <c r="B44" s="5" t="e" cm="1">
        <f t="array" aca="1" ref="B44" ca="1">_xll.DBR($B$41,psUser,$A44,B$42)</f>
        <v>#NAME?</v>
      </c>
      <c r="C44" s="5" t="e" cm="1">
        <f t="array" aca="1" ref="C44" ca="1">_xll.DBR($B$41,psUser,$A44,C$42)</f>
        <v>#NAME?</v>
      </c>
    </row>
    <row r="45" spans="1:7" hidden="1" outlineLevel="1" x14ac:dyDescent="0.25">
      <c r="A45" s="1" t="s">
        <v>29</v>
      </c>
      <c r="B45" s="5" t="e" cm="1">
        <f t="array" aca="1" ref="B45" ca="1">_xll.DBR($B$41,psUser,$A45,B$42)</f>
        <v>#NAME?</v>
      </c>
      <c r="C45" s="5" t="e" cm="1">
        <f t="array" aca="1" ref="C45" ca="1">_xll.DBR($B$41,psUser,$A45,C$42)</f>
        <v>#NAME?</v>
      </c>
    </row>
    <row r="46" spans="1:7" hidden="1" outlineLevel="1" x14ac:dyDescent="0.25">
      <c r="A46" s="1" t="s">
        <v>30</v>
      </c>
      <c r="B46" s="5" t="e" cm="1">
        <f t="array" aca="1" ref="B46" ca="1">_xll.DBR($B$41,psUser,$A46,B$42)</f>
        <v>#NAME?</v>
      </c>
      <c r="C46" s="5" t="e" cm="1">
        <f t="array" aca="1" ref="C46" ca="1">_xll.DBR($B$41,psUser,$A46,C$42)</f>
        <v>#NAME?</v>
      </c>
    </row>
    <row r="47" spans="1:7" hidden="1" outlineLevel="1" x14ac:dyDescent="0.25">
      <c r="A47" s="1" t="s">
        <v>57</v>
      </c>
      <c r="B47" s="5" t="e" cm="1">
        <f t="array" aca="1" ref="B47" ca="1">_xll.DBR($B$41,psUser,$A47,B$42)</f>
        <v>#NAME?</v>
      </c>
      <c r="C47" s="5" t="e" cm="1">
        <f t="array" aca="1" ref="C47" ca="1">_xll.DBR($B$41,psUser,$A47,C$42)</f>
        <v>#NAME?</v>
      </c>
    </row>
    <row r="48" spans="1:7" hidden="1" outlineLevel="1" x14ac:dyDescent="0.25"/>
    <row r="49" spans="1:15" hidden="1" outlineLevel="1" x14ac:dyDescent="0.25">
      <c r="A49" s="30" t="s">
        <v>61</v>
      </c>
      <c r="B49" s="30"/>
      <c r="C49" s="30"/>
    </row>
    <row r="50" spans="1:15" hidden="1" outlineLevel="1" x14ac:dyDescent="0.25">
      <c r="A50" s="5" t="s">
        <v>58</v>
      </c>
      <c r="B50" s="5" t="s">
        <v>71</v>
      </c>
      <c r="C50" s="5"/>
    </row>
    <row r="51" spans="1:15" hidden="1" outlineLevel="1" x14ac:dyDescent="0.25">
      <c r="A51" s="5" t="s">
        <v>59</v>
      </c>
      <c r="B51" s="5" t="s">
        <v>76</v>
      </c>
      <c r="C51" s="5"/>
    </row>
    <row r="52" spans="1:15" hidden="1" outlineLevel="1" x14ac:dyDescent="0.25">
      <c r="A52" s="5" t="s">
        <v>60</v>
      </c>
      <c r="B52" s="5" t="s">
        <v>72</v>
      </c>
      <c r="C52" s="5"/>
    </row>
    <row r="53" spans="1:15" hidden="1" outlineLevel="1" x14ac:dyDescent="0.25">
      <c r="A53" s="5" t="s">
        <v>62</v>
      </c>
      <c r="B53" s="5" t="s">
        <v>63</v>
      </c>
      <c r="C53" s="5"/>
    </row>
    <row r="54" spans="1:15" hidden="1" outlineLevel="1" x14ac:dyDescent="0.25"/>
    <row r="55" spans="1:15" hidden="1" outlineLevel="1" x14ac:dyDescent="0.25"/>
    <row r="56" spans="1:15" hidden="1" outlineLevel="1" x14ac:dyDescent="0.25"/>
    <row r="57" spans="1:15" hidden="1" outlineLevel="1" x14ac:dyDescent="0.25"/>
    <row r="58" spans="1:15" hidden="1" outlineLevel="1" x14ac:dyDescent="0.25"/>
    <row r="59" spans="1:15" hidden="1" outlineLevel="1" x14ac:dyDescent="0.25"/>
    <row r="60" spans="1:15" hidden="1" outlineLevel="1" x14ac:dyDescent="0.25"/>
    <row r="61" spans="1:15" hidden="1" outlineLevel="1" x14ac:dyDescent="0.25"/>
    <row r="62" spans="1:15" hidden="1" outlineLevel="1" x14ac:dyDescent="0.25"/>
    <row r="63" spans="1:15" hidden="1" outlineLevel="1" x14ac:dyDescent="0.25"/>
    <row r="64" spans="1:15" ht="39.75" customHeight="1" collapsed="1" x14ac:dyDescent="0.25">
      <c r="I64" s="9"/>
      <c r="J64" s="9"/>
      <c r="K64" s="9"/>
      <c r="L64" s="9"/>
      <c r="M64" s="9"/>
      <c r="N64" s="9"/>
      <c r="O64" s="9" t="s">
        <v>69</v>
      </c>
    </row>
    <row r="65" spans="9:15" ht="4.5" customHeight="1" x14ac:dyDescent="0.25"/>
    <row r="66" spans="9:15" ht="24" customHeight="1" x14ac:dyDescent="0.25"/>
    <row r="67" spans="9:15" ht="1.5" customHeight="1" x14ac:dyDescent="0.25">
      <c r="I67" s="9"/>
      <c r="J67" s="9"/>
      <c r="K67" s="9"/>
      <c r="L67" s="9"/>
      <c r="M67" s="9"/>
      <c r="N67" s="9"/>
      <c r="O67" s="9"/>
    </row>
    <row r="68" spans="9:15" ht="5.25" customHeight="1" x14ac:dyDescent="0.25"/>
    <row r="69" spans="9:15" ht="30" customHeight="1" x14ac:dyDescent="0.25">
      <c r="K69" s="23" t="s">
        <v>38</v>
      </c>
      <c r="M69" s="22" t="e">
        <f ca="1">$B$15</f>
        <v>#NAME?</v>
      </c>
    </row>
    <row r="70" spans="9:15" ht="5.0999999999999996" customHeight="1" x14ac:dyDescent="0.25"/>
    <row r="71" spans="9:15" x14ac:dyDescent="0.25">
      <c r="K71" s="10" t="s">
        <v>37</v>
      </c>
      <c r="M71" s="25" t="s">
        <v>70</v>
      </c>
      <c r="O71" s="19" t="s">
        <v>42</v>
      </c>
    </row>
    <row r="72" spans="9:15" ht="3.75" customHeight="1" x14ac:dyDescent="0.25">
      <c r="K72" s="11"/>
      <c r="M72" s="12"/>
    </row>
    <row r="73" spans="9:15" x14ac:dyDescent="0.25">
      <c r="K73" s="11" t="s">
        <v>39</v>
      </c>
      <c r="M73" s="21" t="e">
        <f ca="1">$B$47</f>
        <v>#NAME?</v>
      </c>
      <c r="O73" s="20" t="s">
        <v>75</v>
      </c>
    </row>
    <row r="74" spans="9:15" ht="4.5" customHeight="1" x14ac:dyDescent="0.25"/>
    <row r="75" spans="9:15" x14ac:dyDescent="0.25">
      <c r="K75" s="23" t="s">
        <v>73</v>
      </c>
      <c r="M75" s="22" t="e">
        <f ca="1">$B$16</f>
        <v>#NAME?</v>
      </c>
      <c r="O75" s="24" t="e">
        <f ca="1">IF($M$73="FAIL","Please look at this directory for error logs relating to upload","")</f>
        <v>#NAME?</v>
      </c>
    </row>
    <row r="76" spans="9:15" ht="4.5" customHeight="1" x14ac:dyDescent="0.25"/>
    <row r="77" spans="9:15" x14ac:dyDescent="0.25">
      <c r="K77" s="13" t="s">
        <v>40</v>
      </c>
      <c r="M77" s="14" t="s">
        <v>41</v>
      </c>
    </row>
    <row r="78" spans="9:15" ht="5.0999999999999996" customHeight="1" x14ac:dyDescent="0.25"/>
    <row r="79" spans="9:15" x14ac:dyDescent="0.25">
      <c r="K79" s="11" t="s">
        <v>45</v>
      </c>
      <c r="M79" s="15" t="s">
        <v>43</v>
      </c>
    </row>
    <row r="80" spans="9:15" x14ac:dyDescent="0.25">
      <c r="M80" s="16" t="str">
        <f>"- General Format in excel"</f>
        <v>- General Format in excel</v>
      </c>
    </row>
    <row r="81" spans="13:13" x14ac:dyDescent="0.25">
      <c r="M81" s="16" t="str">
        <f>"- No commas (,) to seperate thousands"</f>
        <v>- No commas (,) to seperate thousands</v>
      </c>
    </row>
    <row r="82" spans="13:13" x14ac:dyDescent="0.25">
      <c r="M82" s="16" t="str">
        <f>"- Zeroes are set as 0 not dashes (-)"</f>
        <v>- Zeroes are set as 0 not dashes (-)</v>
      </c>
    </row>
    <row r="83" spans="13:13" x14ac:dyDescent="0.25">
      <c r="M83" s="17" t="s">
        <v>44</v>
      </c>
    </row>
    <row r="84" spans="13:13" ht="4.5" customHeight="1" x14ac:dyDescent="0.25"/>
  </sheetData>
  <sheetProtection sheet="1" objects="1" scenarios="1"/>
  <mergeCells count="7">
    <mergeCell ref="A18:C18"/>
    <mergeCell ref="A24:C24"/>
    <mergeCell ref="A49:C49"/>
    <mergeCell ref="A1:C1"/>
    <mergeCell ref="A9:C9"/>
    <mergeCell ref="A27:C27"/>
    <mergeCell ref="A40:C40"/>
  </mergeCells>
  <conditionalFormatting sqref="M69">
    <cfRule type="containsText" dxfId="4" priority="6" operator="containsText" text="approve">
      <formula>NOT(ISERROR(SEARCH("approve",M69)))</formula>
    </cfRule>
    <cfRule type="beginsWith" dxfId="3" priority="7" operator="beginsWith" text="un">
      <formula>LEFT(M69,LEN("un"))="un"</formula>
    </cfRule>
  </conditionalFormatting>
  <conditionalFormatting sqref="M73">
    <cfRule type="notContainsText" dxfId="2" priority="5" operator="notContains" text="PASS">
      <formula>ISERROR(SEARCH("PASS",M73))</formula>
    </cfRule>
  </conditionalFormatting>
  <conditionalFormatting sqref="M75">
    <cfRule type="containsText" dxfId="1" priority="1" operator="containsText" text="approve">
      <formula>NOT(ISERROR(SEARCH("approve",M75)))</formula>
    </cfRule>
    <cfRule type="beginsWith" dxfId="0" priority="2" operator="beginsWith" text="un">
      <formula>LEFT(M75,LEN("un"))="un"</formula>
    </cfRule>
  </conditionalFormatting>
  <hyperlinks>
    <hyperlink ref="B20" r:id="rId1" xr:uid="{E1093337-6FD9-42BB-863E-EE26F8F60131}"/>
  </hyperlinks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31</v>
      </c>
    </row>
    <row r="6" spans="1:1" x14ac:dyDescent="0.25">
      <c r="A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meas upload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psUser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TM1MeasUploadCAP</vt:lpstr>
      <vt:lpstr>TM1MeasUploadTempCAP</vt:lpstr>
      <vt:lpstr>TM1MeasUploadTempWB</vt:lpstr>
      <vt:lpstr>TM1MeasUploadTempWS</vt:lpstr>
      <vt:lpstr>TM1MeasUploadWB</vt:lpstr>
      <vt:lpstr>TM1MeasUploadWS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2025-08-11T06:09:58Z</dcterms:modified>
</cp:coreProperties>
</file>