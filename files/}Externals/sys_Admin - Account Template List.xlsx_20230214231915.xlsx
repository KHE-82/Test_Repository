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4.xml" ContentType="application/vnd.ms-office.activeX+xml"/>
  <Override PartName="/xl/activeX/activeX2.bin" ContentType="application/vnd.ms-office.activeX"/>
  <Override PartName="/xl/activeX/activeX5.xml" ContentType="application/vnd.ms-office.activeX+xml"/>
  <Override PartName="/xl/activeX/activeX3.bin" ContentType="application/vnd.ms-office.activeX"/>
  <Override PartName="/xl/activeX/activeX6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5EFF5B1A-57DD-4AE6-8ACE-CB52D8FE05B7}" xr6:coauthVersionLast="47" xr6:coauthVersionMax="47" xr10:uidLastSave="{00000000-0000-0000-0000-000000000000}"/>
  <bookViews>
    <workbookView xWindow="57480" yWindow="-1965" windowWidth="29040" windowHeight="15840" xr2:uid="{00AC3D63-6916-490C-97F5-137A756A5FB5}"/>
  </bookViews>
  <sheets>
    <sheet name="account template list" sheetId="1" r:id="rId1"/>
    <sheet name="{PL}PickLst" sheetId="2" state="hidden" r:id="rId2"/>
  </sheets>
  <definedNames>
    <definedName name="atl_searchstatus">'account template list'!$N$70</definedName>
    <definedName name="atl_searchtitle">'account template list'!$N$69</definedName>
    <definedName name="db_name">'account template list'!$C$12</definedName>
    <definedName name="Freeze_here">'account template list'!$K$73</definedName>
    <definedName name="psApp">'account template list'!$C$26</definedName>
    <definedName name="psUser">'account template list'!$C$14</definedName>
    <definedName name="TM1AdminAccTempListCAP">'account template list'!$D$32</definedName>
    <definedName name="TM1AdminAccTempListWB">'account template list'!$F$32</definedName>
    <definedName name="TM1AdminAccTempListWS">'account template list'!$H$32</definedName>
    <definedName name="TM1AdminAccTempProgMapCAP">'account template list'!$D$34</definedName>
    <definedName name="TM1AdminAccTempProgMapWB">'account template list'!$F$34</definedName>
    <definedName name="TM1AdminAccTempProgMapWS">'account template list'!$H$34</definedName>
    <definedName name="TM1AdminAccTempUpdateEditCAP">'account template list'!$D$33</definedName>
    <definedName name="TM1AdminAccTempUpdateEditWB">'account template list'!$F$33</definedName>
    <definedName name="TM1AdminAccTempUpdateEditWS">'account template list'!$H$33</definedName>
    <definedName name="TM1GrpNewAdj02ExpDataEntryCAP">'account template list'!$D$31</definedName>
    <definedName name="TM1GrpNewAdj02ExpDataEntryWB">'account template list'!$F$31</definedName>
    <definedName name="TM1GrpNewAdj02ExpDataEntryWS">'account template list'!$H$31</definedName>
    <definedName name="TM1HomeAEAccVarCAP">'account template list'!$D$30</definedName>
    <definedName name="TM1HomeAEAccVarWB">'account template list'!$F$30</definedName>
    <definedName name="TM1HomeAEAccVarWS">'account template list'!$H$30</definedName>
    <definedName name="TM1HomeAECAP">'account template list'!$D$29</definedName>
    <definedName name="TM1HomeAEWB">'account template list'!$F$29</definedName>
    <definedName name="TM1HomeAEWS">'account template list'!$H$29</definedName>
    <definedName name="TM1HomeCAP">'account template list'!$D$28</definedName>
    <definedName name="TM1HomeWB">'account template list'!$F$28</definedName>
    <definedName name="TM1HomeWS">'account template list'!$H$28</definedName>
    <definedName name="TM1REBUILDOPTION">0</definedName>
    <definedName name="TM1RPTDATARNG1" localSheetId="0">'account template list'!$73:$73</definedName>
    <definedName name="TM1RPTFMTIDCOL" localSheetId="0">'account template list'!$A$1:$A$8</definedName>
    <definedName name="TM1RPTFMTRNG" localSheetId="0">'account template list'!$G$1:$Q$8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" i="1" l="1"/>
  <c r="C46" i="1" a="1"/>
  <c r="C46" i="1"/>
  <c r="N70" i="1" a="1"/>
  <c r="N70" i="1"/>
  <c r="C49" i="1"/>
  <c r="C50" i="1"/>
  <c r="C48" i="1"/>
  <c r="C73" i="1"/>
  <c r="K73" i="1" a="1"/>
  <c r="K73" i="1"/>
  <c r="Q73" i="1" a="1"/>
  <c r="Q73" i="1"/>
  <c r="N73" i="1" a="1"/>
  <c r="N73" i="1"/>
  <c r="M73" i="1" a="1"/>
  <c r="M73" i="1"/>
  <c r="E73" i="1" a="1"/>
  <c r="E73" i="1"/>
  <c r="D73" i="1" a="1"/>
  <c r="D73" i="1"/>
  <c r="A73" i="1" a="1"/>
  <c r="A73" i="1"/>
  <c r="C47" i="1" a="1"/>
  <c r="C47" i="1"/>
  <c r="C37" i="1" a="1"/>
  <c r="C37" i="1"/>
  <c r="C14" i="1" a="1"/>
  <c r="C14" i="1"/>
  <c r="D43" i="1" a="1"/>
  <c r="D43" i="1"/>
  <c r="C43" i="1" a="1"/>
  <c r="C43" i="1"/>
  <c r="D42" i="1" a="1"/>
  <c r="D42" i="1"/>
  <c r="C42" i="1" a="1"/>
  <c r="C42" i="1"/>
  <c r="D41" i="1" a="1"/>
  <c r="D41" i="1"/>
  <c r="C41" i="1" a="1"/>
  <c r="C41" i="1"/>
  <c r="C40" i="1" a="1"/>
  <c r="C40" i="1"/>
  <c r="C39" i="1" a="1"/>
  <c r="C39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C20" i="1" a="1"/>
  <c r="C20" i="1"/>
  <c r="C22" i="1" a="1"/>
  <c r="C22" i="1"/>
  <c r="C21" i="1" a="1"/>
  <c r="C21" i="1"/>
  <c r="C13" i="1" a="1"/>
  <c r="C13" i="1"/>
  <c r="C16" i="1" a="1"/>
  <c r="C16" i="1"/>
  <c r="C15" i="1" a="1"/>
  <c r="C15" i="1"/>
  <c r="C17" i="1"/>
  <c r="P73" i="1"/>
  <c r="O73" i="1"/>
  <c r="C51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<sst xmlns="http://schemas.openxmlformats.org/spreadsheetml/2006/main" count="78" uniqueCount="72">
  <si>
    <t>[Begin Format Range]</t>
  </si>
  <si>
    <t>D</t>
  </si>
  <si>
    <t>N</t>
  </si>
  <si>
    <t>[End Format Range]</t>
  </si>
  <si>
    <t>Active Form View</t>
  </si>
  <si>
    <t>MDX To Use</t>
  </si>
  <si>
    <t>Title Only MDX</t>
  </si>
  <si>
    <t>Status Only MDX</t>
  </si>
  <si>
    <t>Combination Filter MDX</t>
  </si>
  <si>
    <t>Show All</t>
  </si>
  <si>
    <t>{TM1FILTERBYLEVEL( {TM1SUBSETALL( [account template] )}, 0)}</t>
  </si>
  <si>
    <t>Account Template List</t>
  </si>
  <si>
    <t>related entity enabled</t>
  </si>
  <si>
    <t>jurisdiction required</t>
  </si>
  <si>
    <t>title</t>
  </si>
  <si>
    <t>description</t>
  </si>
  <si>
    <t>status</t>
  </si>
  <si>
    <t>ID</t>
  </si>
  <si>
    <t>RE</t>
  </si>
  <si>
    <t>JUR</t>
  </si>
  <si>
    <t>Title</t>
  </si>
  <si>
    <t>Description</t>
  </si>
  <si>
    <t>Related Entity Enabled</t>
  </si>
  <si>
    <t>Jurisdiction Required</t>
  </si>
  <si>
    <t>Status</t>
  </si>
  <si>
    <t>Database name</t>
  </si>
  <si>
    <t>Database Variables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</si>
  <si>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</si>
  <si>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</si>
  <si>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</si>
  <si>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</si>
  <si>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</si>
  <si>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</si>
  <si>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</si>
  <si>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</si>
  <si>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</si>
  <si>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</si>
  <si>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</si>
  <si>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</si>
  <si>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</si>
  <si>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</si>
  <si>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</si>
  <si>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</si>
  <si>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</si>
  <si>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</si>
  <si>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</si>
  <si>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</si>
  <si>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</si>
  <si>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Account Variation</t>
  </si>
  <si>
    <t>Group Data Entry - New Adj 02 - Expense Data Entry</t>
  </si>
  <si>
    <t>Admin Acc Temp - Account Template List</t>
  </si>
  <si>
    <t>Admin Acc Temp - Update Account Template</t>
  </si>
  <si>
    <t>Admin Acc Temp - Program To Account Template Mapping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</si>
  <si>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</si>
  <si>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</si>
  <si>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</si>
  <si>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</si>
  <si>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</si>
  <si>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</si>
  <si>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</si>
  <si>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}ElementAttributes_Account Template</t>
  </si>
  <si>
    <t>Slice View</t>
  </si>
  <si>
    <t>REPORT FILTERS</t>
  </si>
  <si>
    <t xml:space="preserve">Note  : This screen is used to view the list of available ACCOUNT TEMPLATES used for Group Adjustments. </t>
  </si>
  <si>
    <t>Note  : Update the 'account template' dimension to add additional Account Template IDs.</t>
  </si>
  <si>
    <t>Account Template ID</t>
  </si>
  <si>
    <t xml:space="preserve">Search Status : </t>
  </si>
  <si>
    <t xml:space="preserve">Search Title : </t>
  </si>
  <si>
    <t>Y</t>
  </si>
  <si>
    <t>Inactive</t>
  </si>
  <si>
    <t>sys_ID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</si>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</sst>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indent="11"/>
    </xf>
    <xf numFmtId="0" fontId="4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/>
    </xf>
    <xf numFmtId="0" fontId="0" fillId="0" borderId="1" xfId="0" applyBorder="1" applyAlignment="1">
      <alignment horizontal="left"/>
    </xf>
    <xf numFmtId="0" fontId="5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0" xfId="0" applyFont="1"/>
    <xf numFmtId="0" fontId="8" fillId="0" borderId="0" xfId="0" applyFont="1"/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4" fillId="3" borderId="0" xfId="0" applyFont="1" applyFill="1" applyAlignment="1">
      <alignment horizontal="right" vertical="center" inden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5" fillId="0" borderId="1" xfId="0" applyFont="1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1" fillId="0" borderId="1" xfId="0" applyFont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0" borderId="1" xfId="0" applyFont="1" applyBorder="1" applyAlignment="1">
      <alignment horizontal="center"/>
    </xf>
    <xf numFmtId="49" fontId="0" fillId="0" borderId="0" xfId="0" applyNumberFormat="1"/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9" fillId="0" borderId="7" xfId="0" applyFont="1" applyBorder="1" applyAlignment="1">
      <alignment horizontal="right" indent="1"/>
    </xf>
    <xf numFmtId="0" fontId="5" fillId="0" borderId="7" xfId="0" applyFont="1" applyBorder="1" applyAlignment="1">
      <alignment horizontal="right" indent="1"/>
    </xf>
    <xf numFmtId="0" fontId="10" fillId="0" borderId="0" xfId="0" applyFont="1"/>
    <xf numFmtId="0" fontId="0" fillId="5" borderId="1" xfId="0" applyFill="1" applyBorder="1" applyAlignment="1" applyProtection="1">
      <alignment horizontal="left" indent="1"/>
      <protection locked="0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17"/>
  <ax:ocxPr ax:name="_ExtentY" ax:value="476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117"/>
  <ax:ocxPr ax:name="_ExtentY" ax:value="476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ata Entry Menu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7620</xdr:colOff>
          <xdr:row>61</xdr:row>
          <xdr:rowOff>7620</xdr:rowOff>
        </xdr:from>
        <xdr:to>
          <xdr:col>10</xdr:col>
          <xdr:colOff>647700</xdr:colOff>
          <xdr:row>61</xdr:row>
          <xdr:rowOff>259080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685800</xdr:colOff>
          <xdr:row>61</xdr:row>
          <xdr:rowOff>7620</xdr:rowOff>
        </xdr:from>
        <xdr:to>
          <xdr:col>12</xdr:col>
          <xdr:colOff>708660</xdr:colOff>
          <xdr:row>61</xdr:row>
          <xdr:rowOff>259080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609600</xdr:colOff>
          <xdr:row>61</xdr:row>
          <xdr:rowOff>7620</xdr:rowOff>
        </xdr:from>
        <xdr:to>
          <xdr:col>13</xdr:col>
          <xdr:colOff>1394460</xdr:colOff>
          <xdr:row>61</xdr:row>
          <xdr:rowOff>259080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731520</xdr:colOff>
          <xdr:row>61</xdr:row>
          <xdr:rowOff>7620</xdr:rowOff>
        </xdr:from>
        <xdr:to>
          <xdr:col>12</xdr:col>
          <xdr:colOff>2385060</xdr:colOff>
          <xdr:row>61</xdr:row>
          <xdr:rowOff>259080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731520</xdr:colOff>
          <xdr:row>60</xdr:row>
          <xdr:rowOff>38100</xdr:rowOff>
        </xdr:from>
        <xdr:to>
          <xdr:col>17</xdr:col>
          <xdr:colOff>0</xdr:colOff>
          <xdr:row>61</xdr:row>
          <xdr:rowOff>297180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2400300</xdr:colOff>
          <xdr:row>61</xdr:row>
          <xdr:rowOff>7620</xdr:rowOff>
        </xdr:from>
        <xdr:to>
          <xdr:col>13</xdr:col>
          <xdr:colOff>594360</xdr:colOff>
          <xdr:row>61</xdr:row>
          <xdr:rowOff>259080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38100</xdr:colOff>
      <xdr:row>59</xdr:row>
      <xdr:rowOff>28575</xdr:rowOff>
    </xdr:from>
    <xdr:to>
      <xdr:col>12</xdr:col>
      <xdr:colOff>685800</xdr:colOff>
      <xdr:row>59</xdr:row>
      <xdr:rowOff>474345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F332-51B5-48A0-8D45-F6C50121DD14}">
  <sheetPr codeName="Sheet17">
    <outlinePr showOutlineSymbols="0"/>
  </sheetPr>
  <dimension ref="A1:R83"/>
  <sheetViews>
    <sheetView showGridLines="0" showRowColHeaders="0" tabSelected="1" showOutlineSymbols="0" topLeftCell="A60" zoomScaleNormal="100" workbookViewId="0">
      <pane ySplit="13" topLeftCell="A73" activePane="bottomLeft" state="frozen"/>
      <selection activeCell="J60" sqref="J60"/>
      <selection pane="bottomLeft" activeCell="K73" sqref="K73"/>
    </sheetView>
  </sheetViews>
  <sheetFormatPr defaultColWidth="9.109375" defaultRowHeight="12" outlineLevelRow="1" outlineLevelCol="1" x14ac:dyDescent="0.25"/>
  <cols>
    <col min="1" max="1" width="2.6640625" style="1" hidden="1" customWidth="1" outlineLevel="1"/>
    <col min="2" max="2" width="49.5546875" style="1" hidden="1" customWidth="1" outlineLevel="1"/>
    <col min="3" max="6" width="28.5546875" style="1" hidden="1" customWidth="1" outlineLevel="1"/>
    <col min="7" max="7" width="17.88671875" style="1" hidden="1" customWidth="1" outlineLevel="1"/>
    <col min="8" max="9" width="12" style="1" hidden="1" customWidth="1" outlineLevel="1"/>
    <col min="10" max="10" width="0.88671875" style="1" customWidth="1" collapsed="1"/>
    <col min="11" max="11" width="15.6640625" style="1" customWidth="1"/>
    <col min="12" max="12" width="0.88671875" style="1" customWidth="1"/>
    <col min="13" max="14" width="50.6640625" style="1" customWidth="1"/>
    <col min="15" max="16" width="13.6640625" style="1" customWidth="1"/>
    <col min="17" max="17" width="15.6640625" style="1" customWidth="1"/>
    <col min="18" max="16384" width="9.109375" style="1"/>
  </cols>
  <sheetData>
    <row r="1" spans="1:17" customFormat="1" ht="14.4" hidden="1" outlineLevel="1" x14ac:dyDescent="0.3">
      <c r="A1" t="s">
        <v>0</v>
      </c>
      <c r="M1" s="1"/>
      <c r="N1" s="1"/>
      <c r="O1" s="1"/>
      <c r="P1" s="1"/>
      <c r="Q1" s="1"/>
    </row>
    <row r="2" spans="1:17" customFormat="1" ht="14.4" hidden="1" outlineLevel="1" x14ac:dyDescent="0.3">
      <c r="A2">
        <f>0</f>
        <v>0</v>
      </c>
      <c r="D2" s="10"/>
      <c r="E2" s="10"/>
      <c r="K2" s="11"/>
      <c r="M2" s="2"/>
      <c r="N2" s="2"/>
      <c r="O2" s="33"/>
      <c r="P2" s="33"/>
      <c r="Q2" s="2"/>
    </row>
    <row r="3" spans="1:17" customFormat="1" ht="14.4" hidden="1" outlineLevel="1" x14ac:dyDescent="0.3">
      <c r="A3">
        <f>1</f>
        <v>1</v>
      </c>
      <c r="D3" s="10"/>
      <c r="E3" s="10"/>
      <c r="K3" s="11"/>
      <c r="M3" s="2"/>
      <c r="N3" s="2"/>
      <c r="O3" s="33"/>
      <c r="P3" s="33"/>
      <c r="Q3" s="2"/>
    </row>
    <row r="4" spans="1:17" customFormat="1" ht="14.4" hidden="1" outlineLevel="1" x14ac:dyDescent="0.3">
      <c r="A4">
        <f>2</f>
        <v>2</v>
      </c>
      <c r="D4" s="10"/>
      <c r="E4" s="10"/>
      <c r="K4" s="11"/>
      <c r="M4" s="2"/>
      <c r="N4" s="2"/>
      <c r="O4" s="33"/>
      <c r="P4" s="33"/>
      <c r="Q4" s="2"/>
    </row>
    <row r="5" spans="1:17" customFormat="1" ht="14.4" hidden="1" outlineLevel="1" x14ac:dyDescent="0.3">
      <c r="A5">
        <f>3</f>
        <v>3</v>
      </c>
      <c r="D5" s="10"/>
      <c r="E5" s="10"/>
      <c r="K5" s="11"/>
      <c r="M5" s="2"/>
      <c r="N5" s="2"/>
      <c r="O5" s="33"/>
      <c r="P5" s="33"/>
      <c r="Q5" s="2"/>
    </row>
    <row r="6" spans="1:17" customFormat="1" ht="14.4" hidden="1" outlineLevel="1" x14ac:dyDescent="0.3">
      <c r="A6" t="s">
        <v>1</v>
      </c>
      <c r="D6" s="10"/>
      <c r="E6" s="10"/>
      <c r="K6" s="11"/>
      <c r="M6" s="2"/>
      <c r="N6" s="2"/>
      <c r="O6" s="33"/>
      <c r="P6" s="33"/>
      <c r="Q6" s="2"/>
    </row>
    <row r="7" spans="1:17" customFormat="1" ht="14.4" hidden="1" outlineLevel="1" x14ac:dyDescent="0.3">
      <c r="A7" t="s">
        <v>2</v>
      </c>
      <c r="D7" s="10"/>
      <c r="E7" s="10"/>
      <c r="J7" s="13"/>
      <c r="K7" s="14"/>
      <c r="M7" s="2"/>
      <c r="N7" s="2"/>
      <c r="O7" s="34"/>
      <c r="P7" s="34"/>
      <c r="Q7" s="3"/>
    </row>
    <row r="8" spans="1:17" customFormat="1" ht="14.4" hidden="1" outlineLevel="1" x14ac:dyDescent="0.3">
      <c r="A8" t="s">
        <v>3</v>
      </c>
      <c r="O8" s="13"/>
      <c r="P8" s="13"/>
    </row>
    <row r="9" spans="1:17" customFormat="1" ht="14.4" hidden="1" outlineLevel="1" x14ac:dyDescent="0.3">
      <c r="O9" s="13"/>
      <c r="P9" s="13"/>
    </row>
    <row r="10" spans="1:17" customFormat="1" ht="14.4" hidden="1" outlineLevel="1" x14ac:dyDescent="0.3">
      <c r="O10" s="13"/>
      <c r="P10" s="13"/>
    </row>
    <row r="11" spans="1:17" customFormat="1" ht="14.4" hidden="1" outlineLevel="1" x14ac:dyDescent="0.3">
      <c r="B11" s="40" t="s">
        <v>26</v>
      </c>
      <c r="C11" s="41"/>
      <c r="D11" s="42"/>
      <c r="O11" s="13"/>
      <c r="P11" s="13"/>
    </row>
    <row r="12" spans="1:17" customFormat="1" ht="14.4" hidden="1" outlineLevel="1" x14ac:dyDescent="0.3">
      <c r="B12" s="27" t="s">
        <v>25</v>
      </c>
      <c r="C12" s="19" t="s">
        <v>71</v>
      </c>
      <c r="D12" s="28"/>
      <c r="O12" s="13"/>
      <c r="P12" s="13"/>
    </row>
    <row r="13" spans="1:17" customFormat="1" ht="14.4" hidden="1" outlineLevel="1" x14ac:dyDescent="0.3">
      <c r="B13" s="24" t="s">
        <v>27</v>
      </c>
      <c r="C13" s="10" t="str" cm="1">
        <f t="array" aca="1" ref="C13" ca="1">_xll.VIEW(db_name&amp;":}ElementAttributes_}Clients","!","!")</f>
        <v>dcceew_geus:}ElementAttributes_}Clients</v>
      </c>
      <c r="D13" s="25"/>
      <c r="O13" s="13"/>
      <c r="P13" s="13"/>
    </row>
    <row r="14" spans="1:17" customFormat="1" ht="14.4" hidden="1" outlineLevel="1" x14ac:dyDescent="0.3">
      <c r="B14" s="24" t="s">
        <v>28</v>
      </c>
      <c r="C14" s="26" t="str" cm="1">
        <f t="array" aca="1" ref="C14" ca="1">_xll.TM1USER(db_name)</f>
        <v/>
      </c>
      <c r="D14" s="25"/>
      <c r="O14" s="13"/>
      <c r="P14" s="13"/>
    </row>
    <row r="15" spans="1:17" customFormat="1" ht="14.4" hidden="1" outlineLevel="1" x14ac:dyDescent="0.3">
      <c r="B15" s="24" t="s">
        <v>29</v>
      </c>
      <c r="C15" s="26" t="str" cm="1">
        <f t="array" aca="1" ref="C15" ca="1">_xll.DBR($C$13,$C$14,$B15)</f>
        <v>*KEY_ERR</v>
      </c>
      <c r="D15" s="25"/>
      <c r="O15" s="13"/>
      <c r="P15" s="13"/>
    </row>
    <row r="16" spans="1:17" customFormat="1" ht="14.4" hidden="1" outlineLevel="1" x14ac:dyDescent="0.3">
      <c r="B16" s="24" t="s">
        <v>30</v>
      </c>
      <c r="C16" s="26" t="str" cm="1">
        <f t="array" aca="1" ref="C16" ca="1">_xll.DBR($C$13,$C$14,$B16)</f>
        <v>*KEY_ERR</v>
      </c>
      <c r="D16" s="25"/>
      <c r="O16" s="13"/>
      <c r="P16" s="13"/>
    </row>
    <row r="17" spans="2:16" customFormat="1" ht="14.4" hidden="1" outlineLevel="1" x14ac:dyDescent="0.3">
      <c r="B17" s="24" t="s">
        <v>31</v>
      </c>
      <c r="C17" s="26" t="str">
        <f ca="1">IF(LEFT($C$15,6)="CAM_AD",$C$16,$C$15)</f>
        <v>*KEY_ERR</v>
      </c>
      <c r="D17" s="12"/>
      <c r="O17" s="13"/>
      <c r="P17" s="13"/>
    </row>
    <row r="18" spans="2:16" customFormat="1" ht="14.4" hidden="1" outlineLevel="1" x14ac:dyDescent="0.3">
      <c r="O18" s="13"/>
      <c r="P18" s="13"/>
    </row>
    <row r="19" spans="2:16" customFormat="1" ht="14.4" hidden="1" outlineLevel="1" x14ac:dyDescent="0.3">
      <c r="B19" s="40" t="s">
        <v>32</v>
      </c>
      <c r="C19" s="41"/>
      <c r="D19" s="42"/>
      <c r="O19" s="13"/>
      <c r="P19" s="13"/>
    </row>
    <row r="20" spans="2:16" customFormat="1" ht="14.4" hidden="1" outlineLevel="1" x14ac:dyDescent="0.3">
      <c r="B20" s="24" t="s">
        <v>33</v>
      </c>
      <c r="C20" s="12" t="str" cm="1">
        <f t="array" aca="1" ref="C20" ca="1">_xll.VIEW(db_name&amp;":}ElementAttributes_variables","!","!")</f>
        <v>dcceew_geus:}ElementAttributes_variables</v>
      </c>
      <c r="D20" s="12"/>
      <c r="O20" s="13"/>
      <c r="P20" s="13"/>
    </row>
    <row r="21" spans="2:16" customFormat="1" ht="14.4" hidden="1" outlineLevel="1" x14ac:dyDescent="0.3">
      <c r="B21" s="24" t="s">
        <v>34</v>
      </c>
      <c r="C21" s="12" t="str" cm="1">
        <f t="array" aca="1" ref="C21" ca="1">_xll.DBR($C$20,$B21,"value")</f>
        <v>*KEY_ERR</v>
      </c>
      <c r="D21" s="12"/>
      <c r="O21" s="13"/>
      <c r="P21" s="13"/>
    </row>
    <row r="22" spans="2:16" customFormat="1" ht="14.4" hidden="1" outlineLevel="1" x14ac:dyDescent="0.3">
      <c r="B22" s="24" t="s">
        <v>35</v>
      </c>
      <c r="C22" s="12" t="str" cm="1">
        <f t="array" aca="1" ref="C22" ca="1">_xll.DBR($C$20,$B22,"value")</f>
        <v>*KEY_ERR</v>
      </c>
      <c r="D22" s="12"/>
      <c r="O22" s="13"/>
      <c r="P22" s="13"/>
    </row>
    <row r="23" spans="2:16" customFormat="1" ht="14.4" hidden="1" outlineLevel="1" x14ac:dyDescent="0.3">
      <c r="O23" s="13"/>
      <c r="P23" s="13"/>
    </row>
    <row r="24" spans="2:16" customFormat="1" ht="14.4" hidden="1" outlineLevel="1" x14ac:dyDescent="0.3">
      <c r="B24" s="40" t="s">
        <v>36</v>
      </c>
      <c r="C24" s="41"/>
      <c r="D24" s="42"/>
      <c r="O24" s="13"/>
      <c r="P24" s="13"/>
    </row>
    <row r="25" spans="2:16" customFormat="1" ht="14.4" hidden="1" outlineLevel="1" x14ac:dyDescent="0.3">
      <c r="B25" s="12" t="s">
        <v>37</v>
      </c>
      <c r="C25" s="12" t="str">
        <f ca="1">_xll.VIEW(db_name&amp;":sys_application","!","!")</f>
        <v>dcceew_geus:sys_application</v>
      </c>
      <c r="O25" s="13"/>
      <c r="P25" s="13"/>
    </row>
    <row r="26" spans="2:16" customFormat="1" ht="14.4" hidden="1" outlineLevel="1" x14ac:dyDescent="0.3">
      <c r="B26" s="12" t="s">
        <v>38</v>
      </c>
      <c r="C26" s="12" t="s">
        <v>50</v>
      </c>
      <c r="O26" s="13"/>
      <c r="P26" s="13"/>
    </row>
    <row r="27" spans="2:16" customFormat="1" ht="14.4" hidden="1" outlineLevel="1" x14ac:dyDescent="0.3">
      <c r="B27" s="29" t="s">
        <v>39</v>
      </c>
      <c r="C27" s="30" t="s">
        <v>40</v>
      </c>
      <c r="D27" s="30" t="s">
        <v>41</v>
      </c>
      <c r="E27" s="30" t="s">
        <v>42</v>
      </c>
      <c r="F27" s="30" t="s">
        <v>43</v>
      </c>
      <c r="G27" s="30" t="s">
        <v>44</v>
      </c>
      <c r="H27" s="30" t="s">
        <v>45</v>
      </c>
      <c r="O27" s="13"/>
      <c r="P27" s="13"/>
    </row>
    <row r="28" spans="2:16" customFormat="1" ht="14.4" hidden="1" outlineLevel="1" x14ac:dyDescent="0.3">
      <c r="B28" s="12" t="s">
        <v>46</v>
      </c>
      <c r="C28" s="12" t="str" cm="1">
        <f t="array" aca="1" ref="C28" ca="1">_xll.DBR($C$25,$B28,C$27)</f>
        <v>*KEY_ERR</v>
      </c>
      <c r="D28" s="12" t="str" cm="1">
        <f t="array" aca="1" ref="D28" ca="1">_xll.DBR($C$25,$B28,D$27)</f>
        <v>*KEY_ERR</v>
      </c>
      <c r="E28" s="12" t="str" cm="1">
        <f t="array" aca="1" ref="E28" ca="1">_xll.DBR($C$25,$B28,E$27)</f>
        <v>*KEY_ERR</v>
      </c>
      <c r="F28" s="12" t="str" cm="1">
        <f t="array" aca="1" ref="F28" ca="1">_xll.DBR($C$25,$B28,F$27)</f>
        <v>*KEY_ERR</v>
      </c>
      <c r="G28" s="12" t="str" cm="1">
        <f t="array" aca="1" ref="G28" ca="1">_xll.DBR($C$25,$B28,G$27)</f>
        <v>*KEY_ERR</v>
      </c>
      <c r="H28" s="12" t="str" cm="1">
        <f t="array" aca="1" ref="H28" ca="1">_xll.DBR($C$25,$B28,H$27)</f>
        <v>*KEY_ERR</v>
      </c>
      <c r="O28" s="13"/>
      <c r="P28" s="13"/>
    </row>
    <row r="29" spans="2:16" customFormat="1" ht="14.4" hidden="1" outlineLevel="1" x14ac:dyDescent="0.3">
      <c r="B29" s="12" t="s">
        <v>47</v>
      </c>
      <c r="C29" s="12" t="str" cm="1">
        <f t="array" aca="1" ref="C29" ca="1">_xll.DBR($C$25,$B29,C$27)</f>
        <v>*KEY_ERR</v>
      </c>
      <c r="D29" s="12" t="str" cm="1">
        <f t="array" aca="1" ref="D29" ca="1">_xll.DBR($C$25,$B29,D$27)</f>
        <v>*KEY_ERR</v>
      </c>
      <c r="E29" s="12" t="str" cm="1">
        <f t="array" aca="1" ref="E29" ca="1">_xll.DBR($C$25,$B29,E$27)</f>
        <v>*KEY_ERR</v>
      </c>
      <c r="F29" s="12" t="str" cm="1">
        <f t="array" aca="1" ref="F29" ca="1">_xll.DBR($C$25,$B29,F$27)</f>
        <v>*KEY_ERR</v>
      </c>
      <c r="G29" s="12" t="str" cm="1">
        <f t="array" aca="1" ref="G29" ca="1">_xll.DBR($C$25,$B29,G$27)</f>
        <v>*KEY_ERR</v>
      </c>
      <c r="H29" s="12" t="str" cm="1">
        <f t="array" aca="1" ref="H29" ca="1">_xll.DBR($C$25,$B29,H$27)</f>
        <v>*KEY_ERR</v>
      </c>
      <c r="O29" s="13"/>
      <c r="P29" s="13"/>
    </row>
    <row r="30" spans="2:16" customFormat="1" ht="14.4" hidden="1" outlineLevel="1" x14ac:dyDescent="0.3">
      <c r="B30" s="12" t="s">
        <v>48</v>
      </c>
      <c r="C30" s="12" t="str" cm="1">
        <f t="array" aca="1" ref="C30" ca="1">_xll.DBR($C$25,$B30,C$27)</f>
        <v>*KEY_ERR</v>
      </c>
      <c r="D30" s="12" t="str" cm="1">
        <f t="array" aca="1" ref="D30" ca="1">_xll.DBR($C$25,$B30,D$27)</f>
        <v>*KEY_ERR</v>
      </c>
      <c r="E30" s="12" t="str" cm="1">
        <f t="array" aca="1" ref="E30" ca="1">_xll.DBR($C$25,$B30,E$27)</f>
        <v>*KEY_ERR</v>
      </c>
      <c r="F30" s="12" t="str" cm="1">
        <f t="array" aca="1" ref="F30" ca="1">_xll.DBR($C$25,$B30,F$27)</f>
        <v>*KEY_ERR</v>
      </c>
      <c r="G30" s="12" t="str" cm="1">
        <f t="array" aca="1" ref="G30" ca="1">_xll.DBR($C$25,$B30,G$27)</f>
        <v>*KEY_ERR</v>
      </c>
      <c r="H30" s="12" t="str" cm="1">
        <f t="array" aca="1" ref="H30" ca="1">_xll.DBR($C$25,$B30,H$27)</f>
        <v>*KEY_ERR</v>
      </c>
      <c r="O30" s="13"/>
      <c r="P30" s="13"/>
    </row>
    <row r="31" spans="2:16" customFormat="1" ht="14.4" hidden="1" outlineLevel="1" x14ac:dyDescent="0.3">
      <c r="B31" s="12" t="s">
        <v>49</v>
      </c>
      <c r="C31" s="12" t="str" cm="1">
        <f t="array" aca="1" ref="C31" ca="1">_xll.DBR($C$25,$B31,C$27)</f>
        <v>*KEY_ERR</v>
      </c>
      <c r="D31" s="12" t="str" cm="1">
        <f t="array" aca="1" ref="D31" ca="1">_xll.DBR($C$25,$B31,D$27)</f>
        <v>*KEY_ERR</v>
      </c>
      <c r="E31" s="12" t="str" cm="1">
        <f t="array" aca="1" ref="E31" ca="1">_xll.DBR($C$25,$B31,E$27)</f>
        <v>*KEY_ERR</v>
      </c>
      <c r="F31" s="12" t="str" cm="1">
        <f t="array" aca="1" ref="F31" ca="1">_xll.DBR($C$25,$B31,F$27)</f>
        <v>*KEY_ERR</v>
      </c>
      <c r="G31" s="12" t="str" cm="1">
        <f t="array" aca="1" ref="G31" ca="1">_xll.DBR($C$25,$B31,G$27)</f>
        <v>*KEY_ERR</v>
      </c>
      <c r="H31" s="12" t="str" cm="1">
        <f t="array" aca="1" ref="H31" ca="1">_xll.DBR($C$25,$B31,H$27)</f>
        <v>*KEY_ERR</v>
      </c>
      <c r="O31" s="13"/>
      <c r="P31" s="13"/>
    </row>
    <row r="32" spans="2:16" customFormat="1" ht="14.4" hidden="1" outlineLevel="1" x14ac:dyDescent="0.3">
      <c r="B32" s="12" t="s">
        <v>50</v>
      </c>
      <c r="C32" s="12" t="str" cm="1">
        <f t="array" aca="1" ref="C32" ca="1">_xll.DBR($C$25,$B32,C$27)</f>
        <v>*KEY_ERR</v>
      </c>
      <c r="D32" s="12" t="str" cm="1">
        <f t="array" aca="1" ref="D32" ca="1">_xll.DBR($C$25,$B32,D$27)</f>
        <v>*KEY_ERR</v>
      </c>
      <c r="E32" s="12" t="str" cm="1">
        <f t="array" aca="1" ref="E32" ca="1">_xll.DBR($C$25,$B32,E$27)</f>
        <v>*KEY_ERR</v>
      </c>
      <c r="F32" s="12" t="str" cm="1">
        <f t="array" aca="1" ref="F32" ca="1">_xll.DBR($C$25,$B32,F$27)</f>
        <v>*KEY_ERR</v>
      </c>
      <c r="G32" s="12" t="str" cm="1">
        <f t="array" aca="1" ref="G32" ca="1">_xll.DBR($C$25,$B32,G$27)</f>
        <v>*KEY_ERR</v>
      </c>
      <c r="H32" s="12" t="str" cm="1">
        <f t="array" aca="1" ref="H32" ca="1">_xll.DBR($C$25,$B32,H$27)</f>
        <v>*KEY_ERR</v>
      </c>
    </row>
    <row r="33" spans="2:8" customFormat="1" ht="14.4" hidden="1" outlineLevel="1" x14ac:dyDescent="0.3">
      <c r="B33" s="12" t="s">
        <v>51</v>
      </c>
      <c r="C33" s="12" t="str" cm="1">
        <f t="array" aca="1" ref="C33" ca="1">_xll.DBR($C$25,$B33,C$27)</f>
        <v>*KEY_ERR</v>
      </c>
      <c r="D33" s="12" t="str" cm="1">
        <f t="array" aca="1" ref="D33" ca="1">_xll.DBR($C$25,$B33,D$27)</f>
        <v>*KEY_ERR</v>
      </c>
      <c r="E33" s="12" t="str" cm="1">
        <f t="array" aca="1" ref="E33" ca="1">_xll.DBR($C$25,$B33,E$27)</f>
        <v>*KEY_ERR</v>
      </c>
      <c r="F33" s="12" t="str" cm="1">
        <f t="array" aca="1" ref="F33" ca="1">_xll.DBR($C$25,$B33,F$27)</f>
        <v>*KEY_ERR</v>
      </c>
      <c r="G33" s="12" t="str" cm="1">
        <f t="array" aca="1" ref="G33" ca="1">_xll.DBR($C$25,$B33,G$27)</f>
        <v>*KEY_ERR</v>
      </c>
      <c r="H33" s="12" t="str" cm="1">
        <f t="array" aca="1" ref="H33" ca="1">_xll.DBR($C$25,$B33,H$27)</f>
        <v>*KEY_ERR</v>
      </c>
    </row>
    <row r="34" spans="2:8" customFormat="1" ht="14.4" hidden="1" outlineLevel="1" x14ac:dyDescent="0.3">
      <c r="B34" s="12" t="s">
        <v>52</v>
      </c>
      <c r="C34" s="12" t="str" cm="1">
        <f t="array" aca="1" ref="C34" ca="1">_xll.DBR($C$25,$B34,C$27)</f>
        <v>*KEY_ERR</v>
      </c>
      <c r="D34" s="12" t="str" cm="1">
        <f t="array" aca="1" ref="D34" ca="1">_xll.DBR($C$25,$B34,D$27)</f>
        <v>*KEY_ERR</v>
      </c>
      <c r="E34" s="12" t="str" cm="1">
        <f t="array" aca="1" ref="E34" ca="1">_xll.DBR($C$25,$B34,E$27)</f>
        <v>*KEY_ERR</v>
      </c>
      <c r="F34" s="12" t="str" cm="1">
        <f t="array" aca="1" ref="F34" ca="1">_xll.DBR($C$25,$B34,F$27)</f>
        <v>*KEY_ERR</v>
      </c>
      <c r="G34" s="12" t="str" cm="1">
        <f t="array" aca="1" ref="G34" ca="1">_xll.DBR($C$25,$B34,G$27)</f>
        <v>*KEY_ERR</v>
      </c>
      <c r="H34" s="12" t="str" cm="1">
        <f t="array" aca="1" ref="H34" ca="1">_xll.DBR($C$25,$B34,H$27)</f>
        <v>*KEY_ERR</v>
      </c>
    </row>
    <row r="35" spans="2:8" customFormat="1" ht="14.4" hidden="1" outlineLevel="1" x14ac:dyDescent="0.3"/>
    <row r="36" spans="2:8" customFormat="1" ht="14.4" hidden="1" outlineLevel="1" x14ac:dyDescent="0.3">
      <c r="B36" s="40" t="s">
        <v>53</v>
      </c>
      <c r="C36" s="41"/>
      <c r="D36" s="42"/>
    </row>
    <row r="37" spans="2:8" customFormat="1" ht="14.4" hidden="1" outlineLevel="1" x14ac:dyDescent="0.3">
      <c r="B37" s="24" t="s">
        <v>33</v>
      </c>
      <c r="C37" s="12" t="str" cm="1">
        <f t="array" aca="1" ref="C37" ca="1">_xll.VIEW(db_name&amp;":sys_client preference","!","!","!")</f>
        <v>dcceew_geus:sys_client preference</v>
      </c>
      <c r="D37" s="12"/>
    </row>
    <row r="38" spans="2:8" customFormat="1" ht="14.4" hidden="1" outlineLevel="1" x14ac:dyDescent="0.3">
      <c r="B38" s="24"/>
      <c r="C38" s="31" t="s">
        <v>54</v>
      </c>
      <c r="D38" s="31" t="s">
        <v>55</v>
      </c>
    </row>
    <row r="39" spans="2:8" customFormat="1" ht="14.4" hidden="1" outlineLevel="1" x14ac:dyDescent="0.3">
      <c r="B39" s="24" t="s">
        <v>56</v>
      </c>
      <c r="C39" s="12" t="str" cm="1">
        <f t="array" aca="1" ref="C39" ca="1">_xll.SUBNM(db_name&amp;":sys_client preference measure","","value")</f>
        <v/>
      </c>
      <c r="D39" s="31"/>
    </row>
    <row r="40" spans="2:8" customFormat="1" ht="14.4" hidden="1" outlineLevel="1" x14ac:dyDescent="0.3">
      <c r="B40" s="24" t="s">
        <v>56</v>
      </c>
      <c r="C40" s="12" t="str" cm="1">
        <f t="array" aca="1" ref="C40" ca="1">_xll.SUBNM(db_name&amp;":sys_client preference measure","","validate")</f>
        <v/>
      </c>
      <c r="D40" s="31"/>
    </row>
    <row r="41" spans="2:8" customFormat="1" ht="14.4" hidden="1" outlineLevel="1" x14ac:dyDescent="0.3">
      <c r="B41" s="24" t="s">
        <v>57</v>
      </c>
      <c r="C41" s="12" t="str" cm="1">
        <f t="array" aca="1" ref="C41" ca="1">_xll.DBR($C$37,psUser,$B41,C$38)</f>
        <v>*KEY_ERR</v>
      </c>
      <c r="D41" s="12" t="str" cm="1">
        <f t="array" aca="1" ref="D41" ca="1">_xll.DBR($C$37,psUser,$B41,D$38)</f>
        <v>*KEY_ERR</v>
      </c>
    </row>
    <row r="42" spans="2:8" customFormat="1" ht="14.4" hidden="1" outlineLevel="1" x14ac:dyDescent="0.3">
      <c r="B42" s="24" t="s">
        <v>58</v>
      </c>
      <c r="C42" s="12" t="str" cm="1">
        <f t="array" aca="1" ref="C42" ca="1">_xll.DBR($C$37,psUser,$B42,C$38)</f>
        <v>*KEY_ERR</v>
      </c>
      <c r="D42" s="12" t="str" cm="1">
        <f t="array" aca="1" ref="D42" ca="1">_xll.DBR($C$37,psUser,$B42,D$38)</f>
        <v>*KEY_ERR</v>
      </c>
    </row>
    <row r="43" spans="2:8" customFormat="1" ht="14.4" hidden="1" outlineLevel="1" x14ac:dyDescent="0.3">
      <c r="B43" s="24" t="s">
        <v>59</v>
      </c>
      <c r="C43" s="12" t="str" cm="1">
        <f t="array" aca="1" ref="C43" ca="1">_xll.DBR($C$37,psUser,$B43,C$38)</f>
        <v>*KEY_ERR</v>
      </c>
      <c r="D43" s="12" t="str" cm="1">
        <f t="array" aca="1" ref="D43" ca="1">_xll.DBR($C$37,psUser,$B43,D$38)</f>
        <v>*KEY_ERR</v>
      </c>
    </row>
    <row r="44" spans="2:8" customFormat="1" ht="14.4" hidden="1" outlineLevel="1" x14ac:dyDescent="0.3"/>
    <row r="45" spans="2:8" customFormat="1" ht="14.4" hidden="1" outlineLevel="1" x14ac:dyDescent="0.3">
      <c r="B45" s="40" t="s">
        <v>60</v>
      </c>
      <c r="C45" s="41"/>
      <c r="D45" s="42"/>
    </row>
    <row r="46" spans="2:8" customFormat="1" ht="14.4" hidden="1" outlineLevel="1" x14ac:dyDescent="0.3">
      <c r="B46" s="24" t="s">
        <v>4</v>
      </c>
      <c r="C46" s="12" t="str" cm="1">
        <f t="array" aca="1" ref="C46" ca="1">_xll.TM1RPTVIEW(db_name&amp;":}ElementAttributes_account template:1",0,TM1RPTFMTRNG,TM1RPTFMTIDCOL)</f>
        <v>dcceew_geus:}ElementAttributes_account template:1</v>
      </c>
      <c r="D46" s="12"/>
    </row>
    <row r="47" spans="2:8" customFormat="1" ht="14.4" hidden="1" outlineLevel="1" x14ac:dyDescent="0.3">
      <c r="B47" s="24" t="s">
        <v>61</v>
      </c>
      <c r="C47" s="12" t="str" cm="1">
        <f t="array" aca="1" ref="C47" ca="1">_xll.VIEW(db_name&amp;":}ElementAttributes_account template","!","!")</f>
        <v>dcceew_geus:}ElementAttributes_account template</v>
      </c>
      <c r="D47" s="12"/>
    </row>
    <row r="48" spans="2:8" customFormat="1" ht="14.4" hidden="1" outlineLevel="1" x14ac:dyDescent="0.3">
      <c r="B48" s="24" t="s">
        <v>5</v>
      </c>
      <c r="C48" s="12" t="str">
        <f ca="1">IF((AND($N$69="",$N$70="All")),C52,IF((AND($N$69&lt;&gt;"",$N$70="All")),$C$49,IF(AND($N$69="",$N$70&lt;&gt;"All"),$C$50,$C$51)))</f>
        <v>{FILTER( {TM1FILTERBYLEVEL( {TM1SUBSETALL( [account template] )}, 0)}, [account template].[status] = "")}</v>
      </c>
      <c r="D48" s="12"/>
    </row>
    <row r="49" spans="2:18" customFormat="1" ht="14.4" hidden="1" outlineLevel="1" x14ac:dyDescent="0.3">
      <c r="B49" s="24" t="s">
        <v>6</v>
      </c>
      <c r="C49" s="12" t="str">
        <f ca="1">"{TM1FILTERBYPATTERN( {TM1FILTERBYLEVEL( {TM1SUBSETALL( [account template] )}, 0)}, "&amp;""""&amp;"*"&amp;$N$69&amp;"*"&amp;""""&amp;")}"</f>
        <v>{TM1FILTERBYPATTERN( {TM1FILTERBYLEVEL( {TM1SUBSETALL( [account template] )}, 0)}, "**")}</v>
      </c>
      <c r="D49" s="12"/>
    </row>
    <row r="50" spans="2:18" customFormat="1" ht="14.4" hidden="1" outlineLevel="1" x14ac:dyDescent="0.3">
      <c r="B50" s="24" t="s">
        <v>7</v>
      </c>
      <c r="C50" s="12" t="str">
        <f ca="1">"{FILTER( {TM1FILTERBYLEVEL( {TM1SUBSETALL( [account template] )}, 0)}, [account template].[status] = "&amp;""""&amp;$N$70&amp;""""&amp;")}"</f>
        <v>{FILTER( {TM1FILTERBYLEVEL( {TM1SUBSETALL( [account template] )}, 0)}, [account template].[status] = "")}</v>
      </c>
      <c r="D50" s="12"/>
    </row>
    <row r="51" spans="2:18" customFormat="1" ht="14.4" hidden="1" outlineLevel="1" x14ac:dyDescent="0.3">
      <c r="B51" s="24" t="s">
        <v>8</v>
      </c>
      <c r="C51" s="12" t="str">
        <f ca="1">"{FILTER( {TM1FILTERBYPATTERN( {TM1FILTERBYLEVEL( {TM1SUBSETALL( [account template] )}, 0)}, "&amp;""""&amp;"*"&amp;$N$69&amp;"*"&amp;""""&amp;")},  [account template].[status] = "&amp;""""&amp;$N$70&amp;""""&amp;")}"</f>
        <v>{FILTER( {TM1FILTERBYPATTERN( {TM1FILTERBYLEVEL( {TM1SUBSETALL( [account template] )}, 0)}, "**")},  [account template].[status] = "")}</v>
      </c>
      <c r="D51" s="12"/>
    </row>
    <row r="52" spans="2:18" customFormat="1" ht="14.4" hidden="1" outlineLevel="1" x14ac:dyDescent="0.3">
      <c r="B52" s="24" t="s">
        <v>9</v>
      </c>
      <c r="C52" s="12" t="s">
        <v>10</v>
      </c>
      <c r="D52" s="12"/>
    </row>
    <row r="53" spans="2:18" customFormat="1" ht="14.4" hidden="1" outlineLevel="1" x14ac:dyDescent="0.3">
      <c r="M53" s="15"/>
    </row>
    <row r="54" spans="2:18" customFormat="1" ht="14.4" hidden="1" outlineLevel="1" x14ac:dyDescent="0.3">
      <c r="M54" s="15"/>
    </row>
    <row r="55" spans="2:18" customFormat="1" ht="14.4" hidden="1" outlineLevel="1" x14ac:dyDescent="0.3">
      <c r="D55" s="20" t="s">
        <v>12</v>
      </c>
      <c r="E55" s="20" t="s">
        <v>13</v>
      </c>
      <c r="J55" s="19"/>
      <c r="K55" s="19" t="s">
        <v>70</v>
      </c>
      <c r="L55" s="19"/>
      <c r="M55" s="20" t="s">
        <v>14</v>
      </c>
      <c r="N55" s="20" t="s">
        <v>15</v>
      </c>
      <c r="O55" s="20" t="s">
        <v>12</v>
      </c>
      <c r="P55" s="20" t="s">
        <v>13</v>
      </c>
      <c r="Q55" s="20" t="s">
        <v>16</v>
      </c>
    </row>
    <row r="56" spans="2:18" customFormat="1" ht="14.4" hidden="1" outlineLevel="1" x14ac:dyDescent="0.3">
      <c r="M56" s="15"/>
    </row>
    <row r="57" spans="2:18" customFormat="1" ht="14.4" hidden="1" outlineLevel="1" x14ac:dyDescent="0.3">
      <c r="M57" s="15"/>
    </row>
    <row r="58" spans="2:18" customFormat="1" ht="14.4" hidden="1" outlineLevel="1" x14ac:dyDescent="0.3">
      <c r="M58" s="15"/>
    </row>
    <row r="59" spans="2:18" customFormat="1" ht="14.4" hidden="1" outlineLevel="1" x14ac:dyDescent="0.3">
      <c r="M59" s="15"/>
    </row>
    <row r="60" spans="2:18" ht="39.9" customHeight="1" collapsed="1" x14ac:dyDescent="0.3">
      <c r="G60" s="4"/>
      <c r="H60" s="4"/>
      <c r="I60" s="4"/>
      <c r="J60" s="6"/>
      <c r="K60" s="6"/>
      <c r="L60" s="6"/>
      <c r="M60" s="7"/>
      <c r="N60" s="6"/>
      <c r="O60" s="8"/>
      <c r="P60" s="9"/>
      <c r="Q60" s="21" t="s">
        <v>11</v>
      </c>
      <c r="R60"/>
    </row>
    <row r="61" spans="2:18" ht="4.5" customHeight="1" x14ac:dyDescent="0.3">
      <c r="M61" s="5"/>
      <c r="R61"/>
    </row>
    <row r="62" spans="2:18" customFormat="1" ht="24" customHeight="1" x14ac:dyDescent="0.3">
      <c r="K62" s="16"/>
      <c r="N62" s="16"/>
    </row>
    <row r="63" spans="2:18" customFormat="1" ht="1.5" customHeight="1" x14ac:dyDescent="0.3">
      <c r="J63" s="7"/>
      <c r="K63" s="7"/>
      <c r="L63" s="7"/>
      <c r="M63" s="7"/>
      <c r="N63" s="7"/>
      <c r="O63" s="7"/>
      <c r="P63" s="7"/>
      <c r="Q63" s="7"/>
    </row>
    <row r="64" spans="2:18" customFormat="1" ht="4.5" customHeight="1" x14ac:dyDescent="0.3">
      <c r="M64" s="15"/>
    </row>
    <row r="65" spans="1:17" customFormat="1" ht="14.4" x14ac:dyDescent="0.3">
      <c r="K65" s="38" t="s">
        <v>63</v>
      </c>
      <c r="M65" s="15"/>
    </row>
    <row r="66" spans="1:17" customFormat="1" ht="14.4" x14ac:dyDescent="0.3">
      <c r="K66" s="38" t="s">
        <v>64</v>
      </c>
      <c r="M66" s="15"/>
    </row>
    <row r="67" spans="1:17" customFormat="1" ht="4.5" customHeight="1" x14ac:dyDescent="0.3">
      <c r="M67" s="15"/>
    </row>
    <row r="68" spans="1:17" customFormat="1" ht="14.4" x14ac:dyDescent="0.3">
      <c r="N68" s="35" t="s">
        <v>62</v>
      </c>
    </row>
    <row r="69" spans="1:17" customFormat="1" ht="14.4" x14ac:dyDescent="0.3">
      <c r="M69" s="36" t="s">
        <v>67</v>
      </c>
      <c r="N69" s="39"/>
    </row>
    <row r="70" spans="1:17" customFormat="1" ht="14.4" x14ac:dyDescent="0.3">
      <c r="M70" s="37" t="s">
        <v>66</v>
      </c>
      <c r="N70" s="39" t="str" cm="1">
        <f t="array" aca="1" ref="N70" ca="1">_xll.SUBNM(db_name&amp;":sys_account template status display","","All")</f>
        <v/>
      </c>
    </row>
    <row r="71" spans="1:17" customFormat="1" ht="4.5" customHeight="1" x14ac:dyDescent="0.3"/>
    <row r="72" spans="1:17" customFormat="1" ht="28.8" x14ac:dyDescent="0.3">
      <c r="C72" s="17" t="s">
        <v>17</v>
      </c>
      <c r="D72" s="17" t="s">
        <v>18</v>
      </c>
      <c r="E72" s="17" t="s">
        <v>19</v>
      </c>
      <c r="F72" s="17" t="s">
        <v>70</v>
      </c>
      <c r="K72" s="23" t="s">
        <v>65</v>
      </c>
      <c r="L72" s="18"/>
      <c r="M72" s="22" t="s">
        <v>20</v>
      </c>
      <c r="N72" s="22" t="s">
        <v>21</v>
      </c>
      <c r="O72" s="23" t="s">
        <v>22</v>
      </c>
      <c r="P72" s="23" t="s">
        <v>23</v>
      </c>
      <c r="Q72" s="22" t="s">
        <v>24</v>
      </c>
    </row>
    <row r="73" spans="1:17" customFormat="1" ht="14.4" x14ac:dyDescent="0.3">
      <c r="A73" t="str" cm="1">
        <f t="array" aca="1" ref="A73" ca="1">IF(_xll.TM1RPTELISCONSOLIDATED($C$73,$C73),IF(_xll.TM1RPTELLEV($C$73,$C73)&lt;=3,_xll.TM1RPTELLEV($C$73,$C73),"D"),"N")</f>
        <v>N</v>
      </c>
      <c r="C73" s="32" t="str">
        <f ca="1">_xll.TM1RPTROW($C$46,db_name&amp;":account template","","","title",0,$C$48)</f>
        <v/>
      </c>
      <c r="D73" s="10" t="str" cm="1">
        <f t="array" aca="1" ref="D73" ca="1">_xll.DBRW($C$46,$C73,D$55)</f>
        <v/>
      </c>
      <c r="E73" s="10" t="str" cm="1">
        <f t="array" aca="1" ref="E73" ca="1">_xll.DBRW($C$46,$C73,E$55)</f>
        <v/>
      </c>
      <c r="J73" s="13"/>
      <c r="K73" s="14" t="str" cm="1">
        <f t="array" aca="1" ref="K73" ca="1">_xll.DBRW($C$46,$C73,K$55)</f>
        <v/>
      </c>
      <c r="M73" s="2" t="str" cm="1">
        <f t="array" aca="1" ref="M73" ca="1">_xll.DBRW($C$46,$C73,M$55)</f>
        <v/>
      </c>
      <c r="N73" s="2" t="str" cm="1">
        <f t="array" aca="1" ref="N73" ca="1">_xll.DBRW($C$46,$C73,N$55)</f>
        <v/>
      </c>
      <c r="O73" s="34" t="str">
        <f ca="1">IF($D73&lt;&gt;"","Yes","No")</f>
        <v>No</v>
      </c>
      <c r="P73" s="34" t="str">
        <f ca="1">IF($E73&lt;&gt;"","Yes","No")</f>
        <v>No</v>
      </c>
      <c r="Q73" s="3" t="str" cm="1">
        <f t="array" aca="1" ref="Q73" ca="1">_xll.DBRW($C$46,$C73,Q$55)</f>
        <v/>
      </c>
    </row>
    <row r="74" spans="1:17" customFormat="1" ht="14.4" x14ac:dyDescent="0.3"/>
    <row r="75" spans="1:17" customFormat="1" ht="14.4" x14ac:dyDescent="0.3"/>
    <row r="76" spans="1:17" customFormat="1" ht="14.4" x14ac:dyDescent="0.3"/>
    <row r="77" spans="1:17" customFormat="1" ht="14.4" x14ac:dyDescent="0.3"/>
    <row r="78" spans="1:17" customFormat="1" ht="14.4" x14ac:dyDescent="0.3"/>
    <row r="79" spans="1:17" customFormat="1" ht="14.4" x14ac:dyDescent="0.3"/>
    <row r="80" spans="1:17" customFormat="1" ht="14.4" x14ac:dyDescent="0.3"/>
    <row r="81" customFormat="1" ht="14.4" x14ac:dyDescent="0.3"/>
    <row r="82" customFormat="1" ht="14.4" x14ac:dyDescent="0.3"/>
    <row r="83" customFormat="1" ht="14.4" x14ac:dyDescent="0.3"/>
  </sheetData>
  <sheetProtection sheet="1" objects="1" scenarios="1"/>
  <mergeCells count="5">
    <mergeCell ref="B11:D11"/>
    <mergeCell ref="B19:D19"/>
    <mergeCell ref="B24:D24"/>
    <mergeCell ref="B36:D36"/>
    <mergeCell ref="B45:D45"/>
  </mergeCells>
  <conditionalFormatting sqref="Q7">
    <cfRule type="beginsWith" dxfId="5" priority="93" operator="beginsWith" text="Inactive">
      <formula>LEFT(Q7,LEN("Inactive"))="Inactive"</formula>
    </cfRule>
    <cfRule type="beginsWith" dxfId="4" priority="94" operator="beginsWith" text="Active">
      <formula>LEFT(Q7,LEN("Active"))="Active"</formula>
    </cfRule>
  </conditionalFormatting>
  <conditionalFormatting sqref="O7:P7">
    <cfRule type="cellIs" dxfId="3" priority="54" operator="equal">
      <formula>"Yes"</formula>
    </cfRule>
  </conditionalFormatting>
  <conditionalFormatting sqref="Q73">
    <cfRule type="beginsWith" dxfId="2" priority="2" operator="beginsWith" text="Inactive">
      <formula>LEFT(Q73,LEN("Inactive"))="Inactive"</formula>
    </cfRule>
    <cfRule type="beginsWith" dxfId="1" priority="3" operator="beginsWith" text="Active">
      <formula>LEFT(Q73,LEN("Active"))="Active"</formula>
    </cfRule>
  </conditionalFormatting>
  <conditionalFormatting sqref="O73:P73">
    <cfRule type="cellIs" dxfId="0" priority="1" operator="equal">
      <formula>"Yes"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r:id="rId5">
            <anchor moveWithCells="1" sizeWithCells="1">
              <from>
                <xdr:col>10</xdr:col>
                <xdr:colOff>7620</xdr:colOff>
                <xdr:row>61</xdr:row>
                <xdr:rowOff>7620</xdr:rowOff>
              </from>
              <to>
                <xdr:col>10</xdr:col>
                <xdr:colOff>647700</xdr:colOff>
                <xdr:row>61</xdr:row>
                <xdr:rowOff>259080</xdr:rowOff>
              </to>
            </anchor>
          </controlPr>
        </control>
      </mc:Choice>
      <mc:Fallback>
        <control shapeId="1026" r:id="rId4" name="TIButton1"/>
      </mc:Fallback>
    </mc:AlternateContent>
    <mc:AlternateContent xmlns:mc="http://schemas.openxmlformats.org/markup-compatibility/2006">
      <mc:Choice Requires="x14">
        <control shapeId="1027" r:id="rId6" name="TIButton2">
          <controlPr defaultSize="0" print="0" autoLine="0" r:id="rId7">
            <anchor moveWithCells="1" sizeWithCells="1">
              <from>
                <xdr:col>10</xdr:col>
                <xdr:colOff>685800</xdr:colOff>
                <xdr:row>61</xdr:row>
                <xdr:rowOff>7620</xdr:rowOff>
              </from>
              <to>
                <xdr:col>12</xdr:col>
                <xdr:colOff>708660</xdr:colOff>
                <xdr:row>61</xdr:row>
                <xdr:rowOff>259080</xdr:rowOff>
              </to>
            </anchor>
          </controlPr>
        </control>
      </mc:Choice>
      <mc:Fallback>
        <control shapeId="1027" r:id="rId6" name="TIButton2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r:id="rId9">
            <anchor moveWithCells="1" sizeWithCells="1">
              <from>
                <xdr:col>13</xdr:col>
                <xdr:colOff>609600</xdr:colOff>
                <xdr:row>61</xdr:row>
                <xdr:rowOff>7620</xdr:rowOff>
              </from>
              <to>
                <xdr:col>13</xdr:col>
                <xdr:colOff>1394460</xdr:colOff>
                <xdr:row>61</xdr:row>
                <xdr:rowOff>259080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r:id="rId11">
            <anchor moveWithCells="1" sizeWithCells="1">
              <from>
                <xdr:col>12</xdr:col>
                <xdr:colOff>731520</xdr:colOff>
                <xdr:row>61</xdr:row>
                <xdr:rowOff>7620</xdr:rowOff>
              </from>
              <to>
                <xdr:col>12</xdr:col>
                <xdr:colOff>2385060</xdr:colOff>
                <xdr:row>61</xdr:row>
                <xdr:rowOff>259080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30" r:id="rId12" name="TIButton5">
          <controlPr defaultSize="0" print="0" autoLine="0" r:id="rId13">
            <anchor moveWithCells="1" sizeWithCells="1">
              <from>
                <xdr:col>16</xdr:col>
                <xdr:colOff>731520</xdr:colOff>
                <xdr:row>60</xdr:row>
                <xdr:rowOff>38100</xdr:rowOff>
              </from>
              <to>
                <xdr:col>17</xdr:col>
                <xdr:colOff>0</xdr:colOff>
                <xdr:row>61</xdr:row>
                <xdr:rowOff>297180</xdr:rowOff>
              </to>
            </anchor>
          </controlPr>
        </control>
      </mc:Choice>
      <mc:Fallback>
        <control shapeId="1030" r:id="rId12" name="TIButton5"/>
      </mc:Fallback>
    </mc:AlternateContent>
    <mc:AlternateContent xmlns:mc="http://schemas.openxmlformats.org/markup-compatibility/2006">
      <mc:Choice Requires="x14">
        <control shapeId="1031" r:id="rId14" name="TIButton6">
          <controlPr defaultSize="0" print="0" autoLine="0" autoPict="0" r:id="rId15">
            <anchor moveWithCells="1" sizeWithCells="1">
              <from>
                <xdr:col>12</xdr:col>
                <xdr:colOff>2400300</xdr:colOff>
                <xdr:row>61</xdr:row>
                <xdr:rowOff>7620</xdr:rowOff>
              </from>
              <to>
                <xdr:col>13</xdr:col>
                <xdr:colOff>594360</xdr:colOff>
                <xdr:row>61</xdr:row>
                <xdr:rowOff>259080</xdr:rowOff>
              </to>
            </anchor>
          </controlPr>
        </control>
      </mc:Choice>
      <mc:Fallback>
        <control shapeId="1031" r:id="rId14" name="TIButton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8301-AE5A-4349-ADBA-6EED4DC8F812}">
  <sheetPr codeName="Sheet1"/>
  <dimension ref="A1:A2"/>
  <sheetViews>
    <sheetView workbookViewId="0"/>
  </sheetViews>
  <sheetFormatPr defaultRowHeight="14.4" x14ac:dyDescent="0.3"/>
  <sheetData>
    <row r="1" spans="1:1" x14ac:dyDescent="0.3">
      <c r="A1" t="s">
        <v>68</v>
      </c>
    </row>
    <row r="2" spans="1:1" x14ac:dyDescent="0.3">
      <c r="A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30</vt:i4>
      </vt:variant>
    </vt:vector>
  </HeadingPairs>
  <TitlesOfParts>
    <vt:vector size="32" baseType="lpstr">
      <vt:lpstr>account template list</vt:lpstr>
      <vt:lpstr>{PL}PickLst</vt:lpstr>
      <vt:lpstr>atl_searchstatus</vt:lpstr>
      <vt:lpstr>atl_searchtitle</vt:lpstr>
      <vt:lpstr>db_name</vt:lpstr>
      <vt:lpstr>Freeze_here</vt:lpstr>
      <vt:lpstr>psApp</vt:lpstr>
      <vt:lpstr>psUser</vt:lpstr>
      <vt:lpstr>TM1AdminAccTempListCAP</vt:lpstr>
      <vt:lpstr>TM1AdminAccTempListWB</vt:lpstr>
      <vt:lpstr>TM1AdminAccTempListWS</vt:lpstr>
      <vt:lpstr>TM1AdminAccTempProgMapCAP</vt:lpstr>
      <vt:lpstr>TM1AdminAccTempProgMapWB</vt:lpstr>
      <vt:lpstr>TM1AdminAccTempProgMapWS</vt:lpstr>
      <vt:lpstr>TM1AdminAccTempUpdateEditCAP</vt:lpstr>
      <vt:lpstr>TM1AdminAccTempUpdateEditWB</vt:lpstr>
      <vt:lpstr>TM1AdminAccTempUpdateEditWS</vt:lpstr>
      <vt:lpstr>TM1GrpNewAdj02ExpDataEntryCAP</vt:lpstr>
      <vt:lpstr>TM1GrpNewAdj02ExpDataEntryWB</vt:lpstr>
      <vt:lpstr>TM1GrpNewAdj02ExpDataEntryWS</vt:lpstr>
      <vt:lpstr>TM1HomeAEAccVarCAP</vt:lpstr>
      <vt:lpstr>TM1HomeAEAccVarWB</vt:lpstr>
      <vt:lpstr>TM1HomeAEAccVarWS</vt:lpstr>
      <vt:lpstr>TM1HomeAECAP</vt:lpstr>
      <vt:lpstr>TM1HomeAEWB</vt:lpstr>
      <vt:lpstr>TM1HomeAEWS</vt:lpstr>
      <vt:lpstr>TM1HomeCAP</vt:lpstr>
      <vt:lpstr>TM1HomeWB</vt:lpstr>
      <vt:lpstr>TM1HomeWS</vt:lpstr>
      <vt:lpstr>'account template list'!TM1RPTDATARNG1</vt:lpstr>
      <vt:lpstr>'account template list'!TM1RPTFMTIDCOL</vt:lpstr>
      <vt:lpstr>'account template list'!TM1RPTFMTRNG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2019-08-15T02:06:06Z</dcterms:created>
  <dcterms:modified xsi:type="dcterms:W3CDTF">2023-02-14T22:33:28Z</dcterms:modified>
</cp:coreProperties>
</file>