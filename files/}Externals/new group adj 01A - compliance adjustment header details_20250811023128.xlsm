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2DF1E4B-474E-4623-8270-4E2A32E56116}" xr6:coauthVersionLast="47" xr6:coauthVersionMax="47" xr10:uidLastSave="{00000000-0000-0000-0000-000000000000}"/>
  <bookViews>
    <workbookView xWindow="28680" yWindow="-120" windowWidth="29040" windowHeight="15840" xr2:uid="{782DB6DE-6A9C-49E6-AA4E-7C567EE8EAE5}"/>
  </bookViews>
  <sheets>
    <sheet name="new group adj" sheetId="1" r:id="rId1"/>
    <sheet name="{AR}01" sheetId="2" state="hidden" r:id="rId2"/>
    <sheet name="{PL}PickLst" sheetId="3" state="hidden" r:id="rId3"/>
  </sheets>
  <definedNames>
    <definedName name="db_name">'new group adj'!$C$12</definedName>
    <definedName name="psApp">'new group adj'!$C$26</definedName>
    <definedName name="psApplyParam">'new group adj'!$C$83</definedName>
    <definedName name="psComments">'new group adj'!$C$84</definedName>
    <definedName name="psControlType">'new group adj'!$C$78</definedName>
    <definedName name="psDesc">'new group adj'!$C$82</definedName>
    <definedName name="psFavID">'new group adj'!#REF!</definedName>
    <definedName name="psFunc">'new group adj'!#REF!</definedName>
    <definedName name="psGroupAdjType">'new group adj'!$C$85</definedName>
    <definedName name="psItem">'new group adj'!#REF!</definedName>
    <definedName name="psMeasCode">'new group adj'!$C$80</definedName>
    <definedName name="psOC">'new group adj'!#REF!</definedName>
    <definedName name="psProg">'new group adj'!#REF!</definedName>
    <definedName name="psReason">'new group adj'!$C$79</definedName>
    <definedName name="psSPP">'new group adj'!#REF!</definedName>
    <definedName name="psTitle">'new group adj'!$C$81</definedName>
    <definedName name="psType">'new group adj'!#REF!</definedName>
    <definedName name="psUser">'new group adj'!$C$17</definedName>
    <definedName name="TM1AdjIDListCAP">'new group adj'!$D$31</definedName>
    <definedName name="TM1AdjIDListWB">'new group adj'!$F$31</definedName>
    <definedName name="TM1AdjIDListWS">'new group adj'!$H$31</definedName>
    <definedName name="TM1GrpNewAdj02ExpDataEntryCAP">'new group adj'!$D$35</definedName>
    <definedName name="TM1GrpNewAdj02ExpDataEntryWB">'new group adj'!$F$35</definedName>
    <definedName name="TM1GrpNewAdj02ExpDataEntryWS">'new group adj'!$H$35</definedName>
    <definedName name="TM1GrpNewAdj08RecogDataEntryCAP">'new group adj'!$D$33</definedName>
    <definedName name="TM1GrpNewAdj08RecogDataEntryWB">'new group adj'!$F$33</definedName>
    <definedName name="TM1GrpNewAdj08RecogDataEntryWS">'new group adj'!$H$33</definedName>
    <definedName name="TM1HomeAEAccVarCAP">'new group adj'!$D$34</definedName>
    <definedName name="TM1HomeAEAccVarWB">'new group adj'!$F$34</definedName>
    <definedName name="TM1HomeAEAccVarWS">'new group adj'!$H$34</definedName>
    <definedName name="TM1HomeAECAP">'new group adj'!$D$29</definedName>
    <definedName name="TM1HomeAEDataEntryCAP">'new group adj'!$D$30</definedName>
    <definedName name="TM1HomeAEDataEntryWB">'new group adj'!$F$30</definedName>
    <definedName name="TM1HomeAEDataEntryWS">'new group adj'!$H$30</definedName>
    <definedName name="TM1HomeAEWB">'new group adj'!$F$29</definedName>
    <definedName name="TM1HomeAEWS">'new group adj'!$H$29</definedName>
    <definedName name="TM1HomeCAP">'new group adj'!$D$28</definedName>
    <definedName name="TM1HomeWB">'new group adj'!$F$28</definedName>
    <definedName name="TM1HomeWS">'new group adj'!$H$28</definedName>
    <definedName name="TM1NewAdj02DataEntryCAP">'new group adj'!$D$32</definedName>
    <definedName name="TM1NewAdj02DataEntryWB">'new group adj'!$F$32</definedName>
    <definedName name="TM1NewAdj02DataEntryWS">'new group adj'!$H$32</definedName>
    <definedName name="TM1REBUILDOPTION">1</definedName>
    <definedName name="TM1RPTDATARNG1" localSheetId="0">'new group adj'!#REF!</definedName>
    <definedName name="TM1RPTFMTIDCOL" localSheetId="0">'new group adj'!$A$1:$A$8</definedName>
    <definedName name="TM1RPTFMTRNG" localSheetId="0">'new group adj'!$K$1:$R$8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2" i="1" a="1"/>
  <c r="C22" i="1"/>
  <c r="C55" i="1"/>
  <c r="C21" i="1" a="1"/>
  <c r="C21" i="1"/>
  <c r="C54" i="1"/>
  <c r="C49" i="1"/>
  <c r="C25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38" i="1" a="1"/>
  <c r="C38" i="1"/>
  <c r="C14" i="1" a="1"/>
  <c r="C14" i="1"/>
  <c r="C41" i="1" a="1"/>
  <c r="C41" i="1"/>
  <c r="Q111" i="1" a="1"/>
  <c r="Q111" i="1"/>
  <c r="C40" i="1" a="1"/>
  <c r="C40" i="1"/>
  <c r="N111" i="1" a="1"/>
  <c r="N111" i="1"/>
  <c r="Q107" i="1" a="1"/>
  <c r="Q107" i="1"/>
  <c r="N107" i="1" a="1"/>
  <c r="N107" i="1"/>
  <c r="Q105" i="1" a="1"/>
  <c r="Q105" i="1"/>
  <c r="N105" i="1" a="1"/>
  <c r="N105" i="1"/>
  <c r="Q103" i="1" a="1"/>
  <c r="Q103" i="1"/>
  <c r="C67" i="1" a="1"/>
  <c r="C67" i="1"/>
  <c r="N101" i="1" a="1"/>
  <c r="N101" i="1"/>
  <c r="C68" i="1" a="1"/>
  <c r="C68" i="1"/>
  <c r="C69" i="1" a="1"/>
  <c r="C69" i="1"/>
  <c r="C74" i="1"/>
  <c r="C75" i="1" a="1"/>
  <c r="C75" i="1"/>
  <c r="N103" i="1" a="1"/>
  <c r="N103" i="1"/>
  <c r="C72" i="1"/>
  <c r="C103" i="1" a="1"/>
  <c r="C103" i="1"/>
  <c r="Q101" i="1" a="1"/>
  <c r="Q101" i="1"/>
  <c r="N99" i="1" a="1"/>
  <c r="N99" i="1"/>
  <c r="P97" i="1" a="1"/>
  <c r="P97" i="1"/>
  <c r="C64" i="1" a="1"/>
  <c r="C64" i="1"/>
  <c r="C50" i="1" a="1"/>
  <c r="C50" i="1"/>
  <c r="C60" i="1" a="1"/>
  <c r="C60" i="1"/>
  <c r="C59" i="1" a="1"/>
  <c r="C59" i="1"/>
  <c r="C52" i="1" a="1"/>
  <c r="C52" i="1"/>
  <c r="C13" i="1" a="1"/>
  <c r="C13" i="1"/>
  <c r="C15" i="1" a="1"/>
  <c r="C15" i="1"/>
  <c r="C17" i="1"/>
  <c r="D46" i="1" a="1"/>
  <c r="D46" i="1"/>
  <c r="C46" i="1" a="1"/>
  <c r="C46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6" i="1" a="1"/>
  <c r="C16" i="1"/>
  <c r="C84" i="1"/>
  <c r="N113" i="1"/>
  <c r="N112" i="1"/>
  <c r="G38" i="1"/>
  <c r="C83" i="1"/>
  <c r="C61" i="1"/>
  <c r="C82" i="1"/>
  <c r="C81" i="1"/>
  <c r="C80" i="1"/>
  <c r="C79" i="1"/>
  <c r="C78" i="1"/>
  <c r="N109" i="1"/>
  <c r="N108" i="1"/>
  <c r="R97" i="1"/>
  <c r="C58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<sst xmlns="http://schemas.openxmlformats.org/spreadsheetml/2006/main" count="1393" uniqueCount="1388">
  <si>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</si>
  <si>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</si>
  <si>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</si>
  <si>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</si>
  <si>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</si>
  <si>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</si>
  <si>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</si>
  <si>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</si>
  <si>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</si>
  <si>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</si>
  <si>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</si>
  <si>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</si>
  <si>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</si>
  <si>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</si>
  <si>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</si>
  <si>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</si>
  <si>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</si>
  <si>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</si>
  <si>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</si>
  <si>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</si>
  <si>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</si>
  <si>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</si>
  <si>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</si>
  <si>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</si>
  <si>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</si>
  <si>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</si>
  <si>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</si>
  <si>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</si>
  <si>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</si>
  <si>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</si>
  <si>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</si>
  <si>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</si>
  <si>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</si>
  <si>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</si>
  <si>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</si>
  <si>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</si>
  <si>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</si>
  <si>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</si>
  <si>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</si>
  <si>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</si>
  <si>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</si>
  <si>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</si>
  <si>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</si>
  <si>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</si>
  <si>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</si>
  <si>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</si>
  <si>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</si>
  <si>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</si>
  <si>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</si>
  <si>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</si>
  <si>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</si>
  <si>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</si>
  <si>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</si>
  <si>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</si>
  <si>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</si>
  <si>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</si>
  <si>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</si>
  <si>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</si>
  <si>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</si>
  <si>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</si>
  <si>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</si>
  <si>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</si>
  <si>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</si>
  <si>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</si>
  <si>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</si>
  <si>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</si>
  <si>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</si>
  <si>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</si>
  <si>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</si>
  <si>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</si>
  <si>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</si>
  <si>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</si>
  <si>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</si>
  <si>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</si>
  <si>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</si>
  <si>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</si>
  <si>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</si>
  <si>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</si>
  <si>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</si>
  <si>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</si>
  <si>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</si>
  <si>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</si>
  <si>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</si>
  <si>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</si>
  <si>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</si>
  <si>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</si>
  <si>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</si>
  <si>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</si>
  <si>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</si>
  <si>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</si>
  <si>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</si>
  <si>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</si>
  <si>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</si>
  <si>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</si>
  <si>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</si>
  <si>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</si>
  <si>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</si>
  <si>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</si>
  <si>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</si>
  <si>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</si>
  <si>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</si>
  <si>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</si>
  <si>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</si>
  <si>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</si>
  <si>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</si>
  <si>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</si>
  <si>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</si>
  <si>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</si>
  <si>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</si>
  <si>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</si>
  <si>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</si>
  <si>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</si>
  <si>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</si>
  <si>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</si>
  <si>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</si>
  <si>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</si>
  <si>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</si>
  <si>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</si>
  <si>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</si>
  <si>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</si>
  <si>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</si>
  <si>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</si>
  <si>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</si>
  <si>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</si>
  <si>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</si>
  <si>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</si>
  <si>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</si>
  <si>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</si>
  <si>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</si>
  <si>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</si>
  <si>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</si>
  <si>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</si>
  <si>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</si>
  <si>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</si>
  <si>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</si>
  <si>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</si>
  <si>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</si>
  <si>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</si>
  <si>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</si>
  <si>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</si>
  <si>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</si>
  <si>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</si>
  <si>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</si>
  <si>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</si>
  <si>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</si>
  <si>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</si>
  <si>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</si>
  <si>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</si>
  <si>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</si>
  <si>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</si>
  <si>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</si>
  <si>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</si>
  <si>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</si>
  <si>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</si>
  <si>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</si>
  <si>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</si>
  <si>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</si>
  <si>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</si>
  <si>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</si>
  <si>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</si>
  <si>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</si>
  <si>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</si>
  <si>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</si>
  <si>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</si>
  <si>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</si>
  <si>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</si>
  <si>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</si>
  <si>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</si>
  <si>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</si>
  <si>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</si>
  <si>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</si>
  <si>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</si>
  <si>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</si>
  <si>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</si>
  <si>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</si>
  <si>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</si>
  <si>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</si>
  <si>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</si>
  <si>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</si>
  <si>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</si>
  <si>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</si>
  <si>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</si>
  <si>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</si>
  <si>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</si>
  <si>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</si>
  <si>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</si>
  <si>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</si>
  <si>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</si>
  <si>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</si>
  <si>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</si>
  <si>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</si>
  <si>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</si>
  <si>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</si>
  <si>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</si>
  <si>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</si>
  <si>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</si>
  <si>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</si>
  <si>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</si>
  <si>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</si>
  <si>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</si>
  <si>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</si>
  <si>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</si>
  <si>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</si>
  <si>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</si>
  <si>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</si>
  <si>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</si>
  <si>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</si>
  <si>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</si>
  <si>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</si>
  <si>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</si>
  <si>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</si>
  <si>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</si>
  <si>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</si>
  <si>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</si>
  <si>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</si>
  <si>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</si>
  <si>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</si>
  <si>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</si>
  <si>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</si>
  <si>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</si>
  <si>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</si>
  <si>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</si>
  <si>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</si>
  <si>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</si>
  <si>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</si>
  <si>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</si>
  <si>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</si>
  <si>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</si>
  <si>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</si>
  <si>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</si>
  <si>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</si>
  <si>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</si>
  <si>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</si>
  <si>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</si>
  <si>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</si>
  <si>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</si>
  <si>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</si>
  <si>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</si>
  <si>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</si>
  <si>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</si>
  <si>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</si>
  <si>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</si>
  <si>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</si>
  <si>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</si>
  <si>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</si>
  <si>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</si>
  <si>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</si>
  <si>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</si>
  <si>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</si>
  <si>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</si>
  <si>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</si>
  <si>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</si>
  <si>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</si>
  <si>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</si>
  <si>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</si>
  <si>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</si>
  <si>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</si>
  <si>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</si>
  <si>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</si>
  <si>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</si>
  <si>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</si>
  <si>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</si>
  <si>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</si>
  <si>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</si>
  <si>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</si>
  <si>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</si>
  <si>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</si>
  <si>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</si>
  <si>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</si>
  <si>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</si>
  <si>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</si>
  <si>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</si>
  <si>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</si>
  <si>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</si>
  <si>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</si>
  <si>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</si>
  <si>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</si>
  <si>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</si>
  <si>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</si>
  <si>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</si>
  <si>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</si>
  <si>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</si>
  <si>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</si>
  <si>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</si>
  <si>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</si>
  <si>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</si>
  <si>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</si>
  <si>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</si>
  <si>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</si>
  <si>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</si>
  <si>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</si>
  <si>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</si>
  <si>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</si>
  <si>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</si>
  <si>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</si>
  <si>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</si>
  <si>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</si>
  <si>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</si>
  <si>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</si>
  <si>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</si>
  <si>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</si>
  <si>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</si>
  <si>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</si>
  <si>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</si>
  <si>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</si>
  <si>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</si>
  <si>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</si>
  <si>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</si>
  <si>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</si>
  <si>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</si>
  <si>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</si>
  <si>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</si>
  <si>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</si>
  <si>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</si>
  <si>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</si>
  <si>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</si>
  <si>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</si>
  <si>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</si>
  <si>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</si>
  <si>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</si>
  <si>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</si>
  <si>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</si>
  <si>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</si>
  <si>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</si>
  <si>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</si>
  <si>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</si>
  <si>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</si>
  <si>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</si>
  <si>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</si>
  <si>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</si>
  <si>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</si>
  <si>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</si>
  <si>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</si>
  <si>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</si>
  <si>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</si>
  <si>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</si>
  <si>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</si>
  <si>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</si>
  <si>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</si>
  <si>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</si>
  <si>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</si>
  <si>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</si>
  <si>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</si>
  <si>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</si>
  <si>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</si>
  <si>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</si>
  <si>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</si>
  <si>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</si>
  <si>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</si>
  <si>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</si>
  <si>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</si>
  <si>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</si>
  <si>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</si>
  <si>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</si>
  <si>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</si>
  <si>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</si>
  <si>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</si>
  <si>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</si>
  <si>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</si>
  <si>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</si>
  <si>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</si>
  <si>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</si>
  <si>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</si>
  <si>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</si>
  <si>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</si>
  <si>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</si>
  <si>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</si>
  <si>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</si>
  <si>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</si>
  <si>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</si>
  <si>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</si>
  <si>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</si>
  <si>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</si>
  <si>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</si>
  <si>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</si>
  <si>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</si>
  <si>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</si>
  <si>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</si>
  <si>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</si>
  <si>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</si>
  <si>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</si>
  <si>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</si>
  <si>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</si>
  <si>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</si>
  <si>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</si>
  <si>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</si>
  <si>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</si>
  <si>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</si>
  <si>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</si>
  <si>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</si>
  <si>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</si>
  <si>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</si>
  <si>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</si>
  <si>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</si>
  <si>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</si>
  <si>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</si>
  <si>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</si>
  <si>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</si>
  <si>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</si>
  <si>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</si>
  <si>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</si>
  <si>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</si>
  <si>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</si>
  <si>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</si>
  <si>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</si>
  <si>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</si>
  <si>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</si>
  <si>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</si>
  <si>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</si>
  <si>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</si>
  <si>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</si>
  <si>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</si>
  <si>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</si>
  <si>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</si>
  <si>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</si>
  <si>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</si>
  <si>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</si>
  <si>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</si>
  <si>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</si>
  <si>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</si>
  <si>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</si>
  <si>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</si>
  <si>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</si>
  <si>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</si>
  <si>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</si>
  <si>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</si>
  <si>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</si>
  <si>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</si>
  <si>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</si>
  <si>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</si>
  <si>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</si>
  <si>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</si>
  <si>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</si>
  <si>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</si>
  <si>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</si>
  <si>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</si>
  <si>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</si>
  <si>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</si>
  <si>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</si>
  <si>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</si>
  <si>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</si>
  <si>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</si>
  <si>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</si>
  <si>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</si>
  <si>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</si>
  <si>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</si>
  <si>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</si>
  <si>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</si>
  <si>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</si>
  <si>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</si>
  <si>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</si>
  <si>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</si>
  <si>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</si>
  <si>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</si>
  <si>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</si>
  <si>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</si>
  <si>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</si>
  <si>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</si>
  <si>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</si>
  <si>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</si>
  <si>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</si>
  <si>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</si>
  <si>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</si>
  <si>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</si>
  <si>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</si>
  <si>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</si>
  <si>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</si>
  <si>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</si>
  <si>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</si>
  <si>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</si>
  <si>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</si>
  <si>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</si>
  <si>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</si>
  <si>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</si>
  <si>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</si>
  <si>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</si>
  <si>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</si>
  <si>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</si>
  <si>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</si>
  <si>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</si>
  <si>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</si>
  <si>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</si>
  <si>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</si>
  <si>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</si>
  <si>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</si>
  <si>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</si>
  <si>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</si>
  <si>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</si>
  <si>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</si>
  <si>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</si>
  <si>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</si>
  <si>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</si>
  <si>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</si>
  <si>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</si>
  <si>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</si>
  <si>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</si>
  <si>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</si>
  <si>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</si>
  <si>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</si>
  <si>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</si>
  <si>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</si>
  <si>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</si>
  <si>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</si>
  <si>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</si>
  <si>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</si>
  <si>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</si>
  <si>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</si>
  <si>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</si>
  <si>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</si>
  <si>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</si>
  <si>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</si>
  <si>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</si>
  <si>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</si>
  <si>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</si>
  <si>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</si>
  <si>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</si>
  <si>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</si>
  <si>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</si>
  <si>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</si>
  <si>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</si>
  <si>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</si>
  <si>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</si>
  <si>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</si>
  <si>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</si>
  <si>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</si>
  <si>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</si>
  <si>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</si>
  <si>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</si>
  <si>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</si>
  <si>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</si>
  <si>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</si>
  <si>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</si>
  <si>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</si>
  <si>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</si>
  <si>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</si>
  <si>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</si>
  <si>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</si>
  <si>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</si>
  <si>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</si>
  <si>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</si>
  <si>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</si>
  <si>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</si>
  <si>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</si>
  <si>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</si>
  <si>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</si>
  <si>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</si>
  <si>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</si>
  <si>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</si>
  <si>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</si>
  <si>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</si>
  <si>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</si>
  <si>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</si>
  <si>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</si>
  <si>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</si>
  <si>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</si>
  <si>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</si>
  <si>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</si>
  <si>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</si>
  <si>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</si>
  <si>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</si>
  <si>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</si>
  <si>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</si>
  <si>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</si>
  <si>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</si>
  <si>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</si>
  <si>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</si>
  <si>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</si>
  <si>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</si>
  <si>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</si>
  <si>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</si>
  <si>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</si>
  <si>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</si>
  <si>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</si>
  <si>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</si>
  <si>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</si>
  <si>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</si>
  <si>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</si>
  <si>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</si>
  <si>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</si>
  <si>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</si>
  <si>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</si>
  <si>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</si>
  <si>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</si>
  <si>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</si>
  <si>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</si>
  <si>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</si>
  <si>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</si>
  <si>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</si>
  <si>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</si>
  <si>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</si>
  <si>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</si>
  <si>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</si>
  <si>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</si>
  <si>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</si>
  <si>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</si>
  <si>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</si>
  <si>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</si>
  <si>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</si>
  <si>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</si>
  <si>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</si>
  <si>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</si>
  <si>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</si>
  <si>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</si>
  <si>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</si>
  <si>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</si>
  <si>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</si>
  <si>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</si>
  <si>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</si>
  <si>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</si>
  <si>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</si>
  <si>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</si>
  <si>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</si>
  <si>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</si>
  <si>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</si>
  <si>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</si>
  <si>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</si>
  <si>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</si>
  <si>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</si>
  <si>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</si>
  <si>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</si>
  <si>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</si>
  <si>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</si>
  <si>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</si>
  <si>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</si>
  <si>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</si>
  <si>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</si>
  <si>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</si>
  <si>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</si>
  <si>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</si>
  <si>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</si>
  <si>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</si>
  <si>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</si>
  <si>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</si>
  <si>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</si>
  <si>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</si>
  <si>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</si>
  <si>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</si>
  <si>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</si>
  <si>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</si>
  <si>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</si>
  <si>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</si>
  <si>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</si>
  <si>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</si>
  <si>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</si>
  <si>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</si>
  <si>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</si>
  <si>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</si>
  <si>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</si>
  <si>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</si>
  <si>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</si>
  <si>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</si>
  <si>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</si>
  <si>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</si>
  <si>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</si>
  <si>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</si>
  <si>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</si>
  <si>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</si>
  <si>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</si>
  <si>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</si>
  <si>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</si>
  <si>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</si>
  <si>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</si>
  <si>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</si>
  <si>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</si>
  <si>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</si>
  <si>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</si>
  <si>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</si>
  <si>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</si>
  <si>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</si>
  <si>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</si>
  <si>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</si>
  <si>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</si>
  <si>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</si>
  <si>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</si>
  <si>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</si>
  <si>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</si>
  <si>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</si>
  <si>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</si>
  <si>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</si>
  <si>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</si>
  <si>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</si>
  <si>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</si>
  <si>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</si>
  <si>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</si>
  <si>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</si>
  <si>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</si>
  <si>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</si>
  <si>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</si>
  <si>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</si>
  <si>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</si>
  <si>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</si>
  <si>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</si>
  <si>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</si>
  <si>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</si>
  <si>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</si>
  <si>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</si>
  <si>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</si>
  <si>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</si>
  <si>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</si>
  <si>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</si>
  <si>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</si>
  <si>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</si>
  <si>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</si>
  <si>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</si>
  <si>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</si>
  <si>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</si>
  <si>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</si>
  <si>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</si>
  <si>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</si>
  <si>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</si>
  <si>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</si>
  <si>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</si>
  <si>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</si>
  <si>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</si>
  <si>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</si>
  <si>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</si>
  <si>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</si>
  <si>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</si>
  <si>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</si>
  <si>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</si>
  <si>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</si>
  <si>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</si>
  <si>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</si>
  <si>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</si>
  <si>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</si>
  <si>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</si>
  <si>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</si>
  <si>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</si>
  <si>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</si>
  <si>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</si>
  <si>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</si>
  <si>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</si>
  <si>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</si>
  <si>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</si>
  <si>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</si>
  <si>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</si>
  <si>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</si>
  <si>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</si>
  <si>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</si>
  <si>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</si>
  <si>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</si>
  <si>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</si>
  <si>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</si>
  <si>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</si>
  <si>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</si>
  <si>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</si>
  <si>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</si>
  <si>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</si>
  <si>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</si>
  <si>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</si>
  <si>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</si>
  <si>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</si>
  <si>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</si>
  <si>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</si>
  <si>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</si>
  <si>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</si>
  <si>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</si>
  <si>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</si>
  <si>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</si>
  <si>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</si>
  <si>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</si>
  <si>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</si>
  <si>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</si>
  <si>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</si>
  <si>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</si>
  <si>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</si>
  <si>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</si>
  <si>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</si>
  <si>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</si>
  <si>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</si>
  <si>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</si>
  <si>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</si>
  <si>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</si>
  <si>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</si>
  <si>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</si>
  <si>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</si>
  <si>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</si>
  <si>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</si>
  <si>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</si>
  <si>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</si>
  <si>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</si>
  <si>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</si>
  <si>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</si>
  <si>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</si>
  <si>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</si>
  <si>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</si>
  <si>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</si>
  <si>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</si>
  <si>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</si>
  <si>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</si>
  <si>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</si>
  <si>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</si>
  <si>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</si>
  <si>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</si>
  <si>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</si>
  <si>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</si>
  <si>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</si>
  <si>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</si>
  <si>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</si>
  <si>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</si>
  <si>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</si>
  <si>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</si>
  <si>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</si>
  <si>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</si>
  <si>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</si>
  <si>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</si>
  <si>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</si>
  <si>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</si>
  <si>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</si>
  <si>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</si>
  <si>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</si>
  <si>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</si>
  <si>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</si>
  <si>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</si>
  <si>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</si>
  <si>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</si>
  <si>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</si>
  <si>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</si>
  <si>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</si>
  <si>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</si>
  <si>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</si>
  <si>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</si>
  <si>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</si>
  <si>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</si>
  <si>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</si>
  <si>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</si>
  <si>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</si>
  <si>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</si>
  <si>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</si>
  <si>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</si>
  <si>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</si>
  <si>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</si>
  <si>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</si>
  <si>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</si>
  <si>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</si>
  <si>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</si>
  <si>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</si>
  <si>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</si>
  <si>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</si>
  <si>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</si>
  <si>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</si>
  <si>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</si>
  <si>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</si>
  <si>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</si>
  <si>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</si>
  <si>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</si>
  <si>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</si>
  <si>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</si>
  <si>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</si>
  <si>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</si>
  <si>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</si>
  <si>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</si>
  <si>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</si>
  <si>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</si>
  <si>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</si>
  <si>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</si>
  <si>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</si>
  <si>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</si>
  <si>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</si>
  <si>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</si>
  <si>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</si>
  <si>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</si>
  <si>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</si>
  <si>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</si>
  <si>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</si>
  <si>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</si>
  <si>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</si>
  <si>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</si>
  <si>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</si>
  <si>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</si>
  <si>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</si>
  <si>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</si>
  <si>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</si>
  <si>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</si>
  <si>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</si>
  <si>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</si>
  <si>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</si>
  <si>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</si>
  <si>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</si>
  <si>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</si>
  <si>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</si>
  <si>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</si>
  <si>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</si>
  <si>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</si>
  <si>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</si>
  <si>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</si>
  <si>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</si>
  <si>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</si>
  <si>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</si>
  <si>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</si>
  <si>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</si>
  <si>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</si>
  <si>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</si>
  <si>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</si>
  <si>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</si>
  <si>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</si>
  <si>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</si>
  <si>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</si>
  <si>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</si>
  <si>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</si>
  <si>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</si>
  <si>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</si>
  <si>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</si>
  <si>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</si>
  <si>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</si>
  <si>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</si>
  <si>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</si>
  <si>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</si>
  <si>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</si>
  <si>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</si>
  <si>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</si>
  <si>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</si>
  <si>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</si>
  <si>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</si>
  <si>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</si>
  <si>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</si>
  <si>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</si>
  <si>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</si>
  <si>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</si>
  <si>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</si>
  <si>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</si>
  <si>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</si>
  <si>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</si>
  <si>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</si>
  <si>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</si>
  <si>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</si>
  <si>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</si>
  <si>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</si>
  <si>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</si>
  <si>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</si>
  <si>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</si>
  <si>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</si>
  <si>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</si>
  <si>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</si>
  <si>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</si>
  <si>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</si>
  <si>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</si>
  <si>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</si>
  <si>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</si>
  <si>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</si>
  <si>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</si>
  <si>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</si>
  <si>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</si>
  <si>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</si>
  <si>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</si>
  <si>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</si>
  <si>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</si>
  <si>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</si>
  <si>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</si>
  <si>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</si>
  <si>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</si>
  <si>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</si>
  <si>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</si>
  <si>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</si>
  <si>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</si>
  <si>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</si>
  <si>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</si>
  <si>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</si>
  <si>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</si>
  <si>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</si>
  <si>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</si>
  <si>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</si>
  <si>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</si>
  <si>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</si>
  <si>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</si>
  <si>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</si>
  <si>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</si>
  <si>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</si>
  <si>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</si>
  <si>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</si>
  <si>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</si>
  <si>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</si>
  <si>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</si>
  <si>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</si>
  <si>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</si>
  <si>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</si>
  <si>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</si>
  <si>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</si>
  <si>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</si>
  <si>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</si>
  <si>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</si>
  <si>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</si>
  <si>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</si>
  <si>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</si>
  <si>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</si>
  <si>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</si>
  <si>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</si>
  <si>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</si>
  <si>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</si>
  <si>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</si>
  <si>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</si>
  <si>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</si>
  <si>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</si>
  <si>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</si>
  <si>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</si>
  <si>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</si>
  <si>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</si>
  <si>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</si>
  <si>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</si>
  <si>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</si>
  <si>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</si>
  <si>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</si>
  <si>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</si>
  <si>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</si>
  <si>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</si>
  <si>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</si>
  <si>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</si>
  <si>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</si>
  <si>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</si>
  <si>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</si>
  <si>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</si>
  <si>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</si>
  <si>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</si>
  <si>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</si>
  <si>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</si>
  <si>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</si>
  <si>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</si>
  <si>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</si>
  <si>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</si>
  <si>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</si>
  <si>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</si>
  <si>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</si>
  <si>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</si>
  <si>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</si>
  <si>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</si>
  <si>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</si>
  <si>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</si>
  <si>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</si>
  <si>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</si>
  <si>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</si>
  <si>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</si>
  <si>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</si>
  <si>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</si>
  <si>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</si>
  <si>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</si>
  <si>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</si>
  <si>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</si>
  <si>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</si>
  <si>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</si>
  <si>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</si>
  <si>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</si>
  <si>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</si>
  <si>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</si>
  <si>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</si>
  <si>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</si>
  <si>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</si>
  <si>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</si>
  <si>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</si>
  <si>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</si>
  <si>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</si>
  <si>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</si>
  <si>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</si>
  <si>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</si>
  <si>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</si>
  <si>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</si>
  <si>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</si>
  <si>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</si>
  <si>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</si>
  <si>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</si>
  <si>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</si>
  <si>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</si>
  <si>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Temporary ID :</t>
  </si>
  <si>
    <t>Values Used For Cube</t>
  </si>
  <si>
    <t>adj_control type</t>
  </si>
  <si>
    <t>adj_reason</t>
  </si>
  <si>
    <t>adj_measure code</t>
  </si>
  <si>
    <t>adj_title</t>
  </si>
  <si>
    <t>adj_description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</si>
  <si>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</si>
  <si>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</si>
  <si>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</si>
  <si>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</si>
  <si>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</si>
  <si>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</si>
  <si>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</si>
  <si>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SPP</t>
  </si>
  <si>
    <t/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</si>
  <si>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</si>
  <si>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</si>
  <si>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</si>
  <si>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</si>
  <si>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</si>
  <si>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</si>
  <si>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</si>
  <si>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Reason Code Attributes</t>
  </si>
  <si>
    <t>reason</t>
  </si>
  <si>
    <t>measure required</t>
  </si>
  <si>
    <t>No Measure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</si>
  <si>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</si>
  <si>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</si>
  <si>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</si>
  <si>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</si>
  <si>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</si>
  <si>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</si>
  <si>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</si>
  <si>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</si>
  <si>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</si>
  <si>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</si>
  <si>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</si>
  <si>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</si>
  <si>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</si>
  <si>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</si>
  <si>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</si>
  <si>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</si>
  <si>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</si>
  <si>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</si>
  <si>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</si>
  <si>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</si>
  <si>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</si>
  <si>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</si>
  <si>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</si>
  <si>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</si>
  <si>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</si>
  <si>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</si>
  <si>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</si>
  <si>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</si>
  <si>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</si>
  <si>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</si>
  <si>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</si>
  <si>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</si>
  <si>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</si>
  <si>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</si>
  <si>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</si>
  <si>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</si>
  <si>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</si>
  <si>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</si>
  <si>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</si>
  <si>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</si>
  <si>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</si>
  <si>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</si>
  <si>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</si>
  <si>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</si>
  <si>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</si>
  <si>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</si>
  <si>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</si>
  <si>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</si>
  <si>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</si>
  <si>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</si>
  <si>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</si>
  <si>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</si>
  <si>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</si>
  <si>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</si>
  <si>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</si>
  <si>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</si>
  <si>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</si>
  <si>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</si>
  <si>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</si>
  <si>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</si>
  <si>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</si>
  <si>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</si>
  <si>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</si>
  <si>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</si>
  <si>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</si>
  <si>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</si>
  <si>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</si>
  <si>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</si>
  <si>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</si>
  <si>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</si>
  <si>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</si>
  <si>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</si>
  <si>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</si>
  <si>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</si>
  <si>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</si>
  <si>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</si>
  <si>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</si>
  <si>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</si>
  <si>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</si>
  <si>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</si>
  <si>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</si>
  <si>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</si>
  <si>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</si>
  <si>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</si>
  <si>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</si>
  <si>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</si>
  <si>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</si>
  <si>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</si>
  <si>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</si>
  <si>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</si>
  <si>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</si>
  <si>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</si>
  <si>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</si>
  <si>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</si>
  <si>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</si>
  <si>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</si>
  <si>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</si>
  <si>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</si>
  <si>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</si>
  <si>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</si>
  <si>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</si>
  <si>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</si>
  <si>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</si>
  <si>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</si>
  <si>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</si>
  <si>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</si>
  <si>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</si>
  <si>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</si>
  <si>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</si>
  <si>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</si>
  <si>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</si>
  <si>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</si>
  <si>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</si>
  <si>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</si>
  <si>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</si>
  <si>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</si>
  <si>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</si>
  <si>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</si>
  <si>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</si>
  <si>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</si>
  <si>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</si>
  <si>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</si>
  <si>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</si>
  <si>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</si>
  <si>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</si>
  <si>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</si>
  <si>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</si>
  <si>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</si>
  <si>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</si>
  <si>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</si>
  <si>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</si>
  <si>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</si>
  <si>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</si>
  <si>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</si>
  <si>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</si>
  <si>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</si>
  <si>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</si>
  <si>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</si>
  <si>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</si>
  <si>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</si>
  <si>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</si>
  <si>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</si>
  <si>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</si>
  <si>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</si>
  <si>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</si>
  <si>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</si>
  <si>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</si>
  <si>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</si>
  <si>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</si>
  <si>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</si>
  <si>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</si>
  <si>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</si>
  <si>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</si>
  <si>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</si>
  <si>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</si>
  <si>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</si>
  <si>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</si>
  <si>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</si>
  <si>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</si>
  <si>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</si>
  <si>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</si>
  <si>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</si>
  <si>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</si>
  <si>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</si>
  <si>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</si>
  <si>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</si>
  <si>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</si>
  <si>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</si>
  <si>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</si>
  <si>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</si>
  <si>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</si>
  <si>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</si>
  <si>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</si>
  <si>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</si>
  <si>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</si>
  <si>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</si>
  <si>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</si>
  <si>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</si>
  <si>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</si>
  <si>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</si>
  <si>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</si>
  <si>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</si>
  <si>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</si>
  <si>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</si>
  <si>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</si>
  <si>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</si>
  <si>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</si>
  <si>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</si>
  <si>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</si>
  <si>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</si>
  <si>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</si>
  <si>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</si>
  <si>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</si>
  <si>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</si>
  <si>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</si>
  <si>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</si>
  <si>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</si>
  <si>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</si>
  <si>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</si>
  <si>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</si>
  <si>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</si>
  <si>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</si>
  <si>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</si>
  <si>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</si>
  <si>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</si>
  <si>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</si>
  <si>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</si>
  <si>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</si>
  <si>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</si>
  <si>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</si>
  <si>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</si>
  <si>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</si>
  <si>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</si>
  <si>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</si>
  <si>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Apply Parameters :</t>
  </si>
  <si>
    <t>psApplyParam</t>
  </si>
  <si>
    <t>Administered</t>
  </si>
  <si>
    <t>Departmental</t>
  </si>
  <si>
    <t>National Partnerships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</si>
  <si>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</si>
  <si>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</si>
  <si>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</si>
  <si>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</si>
  <si>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</si>
  <si>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</si>
  <si>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</si>
  <si>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</si>
  <si>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</si>
  <si>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</si>
  <si>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</si>
  <si>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</si>
  <si>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</si>
  <si>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</si>
  <si>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</si>
  <si>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</si>
  <si>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</si>
  <si>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</si>
  <si>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</si>
  <si>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</si>
  <si>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</si>
  <si>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</si>
  <si>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</si>
  <si>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</si>
  <si>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</si>
  <si>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</si>
  <si>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</si>
  <si>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</si>
  <si>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</si>
  <si>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</si>
  <si>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</si>
  <si>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</si>
  <si>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</si>
  <si>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</si>
  <si>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</si>
  <si>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</si>
  <si>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</si>
  <si>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</si>
  <si>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</si>
  <si>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</si>
  <si>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</si>
  <si>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</si>
  <si>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</si>
  <si>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optional</t>
  </si>
  <si>
    <t>00026 - UNUSED</t>
  </si>
  <si>
    <t>00027 - UNUSED</t>
  </si>
  <si>
    <t>00028 - UNUSED</t>
  </si>
  <si>
    <t>00029 - UNUSED</t>
  </si>
  <si>
    <t>00030 - UNUSED</t>
  </si>
  <si>
    <t>Comments :</t>
  </si>
  <si>
    <t>adj_comments</t>
  </si>
  <si>
    <t>psComments</t>
  </si>
  <si>
    <t>Group Data Entry - New Adj 02 - Expense Data Entry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</si>
  <si>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</si>
  <si>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</si>
  <si>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</si>
  <si>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</si>
  <si>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</si>
  <si>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</si>
  <si>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</si>
  <si>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</si>
  <si>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</si>
  <si>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</si>
  <si>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</si>
  <si>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</si>
  <si>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</si>
  <si>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</si>
  <si>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</si>
  <si>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</si>
  <si>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</si>
  <si>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</si>
  <si>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</si>
  <si>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</si>
  <si>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</si>
  <si>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Homepage - Annual Estimates - Account Variation</t>
  </si>
  <si>
    <t>psGroupAdjType</t>
  </si>
  <si>
    <t>Create New Group Adjustment - Compliance Debt</t>
  </si>
  <si>
    <t>Group Data Entry - New Adj 01A - Compliance Header Details</t>
  </si>
  <si>
    <t>Group Data Entry - New Adj 08 - Recognition</t>
  </si>
  <si>
    <t>Compliance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</si>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</sst>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4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7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 indent="1"/>
    </xf>
    <xf numFmtId="0" fontId="9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3" fillId="2" borderId="4" xfId="0" applyFont="1" applyFill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0" fillId="0" borderId="0" xfId="0" applyFont="1" applyAlignment="1">
      <alignment horizontal="right" indent="1"/>
    </xf>
    <xf numFmtId="0" fontId="0" fillId="5" borderId="4" xfId="0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 indent="1"/>
      <protection locked="0"/>
    </xf>
    <xf numFmtId="0" fontId="8" fillId="0" borderId="7" xfId="0" applyFont="1" applyBorder="1" applyAlignment="1">
      <alignment horizontal="left" vertical="top" indent="1"/>
    </xf>
    <xf numFmtId="0" fontId="8" fillId="0" borderId="0" xfId="0" applyFont="1" applyAlignment="1">
      <alignment horizontal="left" vertical="top" indent="1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8" fillId="0" borderId="7" xfId="0" applyFont="1" applyBorder="1" applyAlignment="1">
      <alignment horizontal="left" indent="1"/>
    </xf>
    <xf numFmtId="0" fontId="8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91</xdr:row>
      <xdr:rowOff>19050</xdr:rowOff>
    </xdr:from>
    <xdr:to>
      <xdr:col>11</xdr:col>
      <xdr:colOff>741045</xdr:colOff>
      <xdr:row>91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93</xdr:row>
      <xdr:rowOff>0</xdr:rowOff>
    </xdr:from>
    <xdr:to>
      <xdr:col>10</xdr:col>
      <xdr:colOff>685800</xdr:colOff>
      <xdr:row>93</xdr:row>
      <xdr:rowOff>247650</xdr:rowOff>
    </xdr:to>
    <xdr:sp macro="Sheet1.ExecuteAction_764ab2d5_0908_46c2_9cdd_876a2f3f2799" textlink="TM1HomeCAP">
      <xdr:nvSpPr>
        <xdr:cNvPr id="2" name="TM1Button_764ab2d5_0908_46c2_9cdd_876a2f3f2799">
          <a:extLst>
            <a:ext uri="{FF2B5EF4-FFF2-40B4-BE49-F238E27FC236}">
              <a16:creationId xmlns:a16="http://schemas.microsoft.com/office/drawing/2014/main" id="{1195F64B-DFDC-21E2-230F-BF8546CF2DC0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366B72D-DFA2-4FF6-97A3-7F4D9AA5120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93</xdr:row>
      <xdr:rowOff>0</xdr:rowOff>
    </xdr:from>
    <xdr:to>
      <xdr:col>11</xdr:col>
      <xdr:colOff>819150</xdr:colOff>
      <xdr:row>93</xdr:row>
      <xdr:rowOff>247650</xdr:rowOff>
    </xdr:to>
    <xdr:sp macro="Sheet1.ExecuteAction_7d899552_8e26_4031_9111_2896f967ed08" textlink="">
      <xdr:nvSpPr>
        <xdr:cNvPr id="3" name="TM1Button_7d899552_8e26_4031_9111_2896f967ed08">
          <a:extLst>
            <a:ext uri="{FF2B5EF4-FFF2-40B4-BE49-F238E27FC236}">
              <a16:creationId xmlns:a16="http://schemas.microsoft.com/office/drawing/2014/main" id="{87C83DB6-C02C-0605-9A00-061191A1A261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11</xdr:col>
      <xdr:colOff>2828925</xdr:colOff>
      <xdr:row>92</xdr:row>
      <xdr:rowOff>47625</xdr:rowOff>
    </xdr:from>
    <xdr:to>
      <xdr:col>13</xdr:col>
      <xdr:colOff>123825</xdr:colOff>
      <xdr:row>93</xdr:row>
      <xdr:rowOff>247650</xdr:rowOff>
    </xdr:to>
    <xdr:sp macro="Sheet1.ExecuteAction_396778ae_f6dc_4448_83e9_373e47244cbf" textlink="">
      <xdr:nvSpPr>
        <xdr:cNvPr id="4" name="TM1Button_396778ae_f6dc_4448_83e9_373e47244cbf">
          <a:extLst>
            <a:ext uri="{FF2B5EF4-FFF2-40B4-BE49-F238E27FC236}">
              <a16:creationId xmlns:a16="http://schemas.microsoft.com/office/drawing/2014/main" id="{57BD97FF-0B17-52CB-0BA8-6967DF563DD7}"/>
            </a:ext>
          </a:extLst>
        </xdr:cNvPr>
        <xdr:cNvSpPr txBox="1"/>
      </xdr:nvSpPr>
      <xdr:spPr>
        <a:xfrm>
          <a:off x="3914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92</xdr:row>
      <xdr:rowOff>19050</xdr:rowOff>
    </xdr:from>
    <xdr:to>
      <xdr:col>17</xdr:col>
      <xdr:colOff>1314450</xdr:colOff>
      <xdr:row>93</xdr:row>
      <xdr:rowOff>285750</xdr:rowOff>
    </xdr:to>
    <xdr:sp macro="Sheet1.ExecuteAction_cf583167_663a_47d1_9cfe_61cb81ec7d17" textlink="">
      <xdr:nvSpPr>
        <xdr:cNvPr id="5" name="TM1Button_cf583167_663a_47d1_9cfe_61cb81ec7d17">
          <a:extLst>
            <a:ext uri="{FF2B5EF4-FFF2-40B4-BE49-F238E27FC236}">
              <a16:creationId xmlns:a16="http://schemas.microsoft.com/office/drawing/2014/main" id="{C8C1D4C5-E0E6-DFEB-F253-E6135D1D42F0}"/>
            </a:ext>
          </a:extLst>
        </xdr:cNvPr>
        <xdr:cNvSpPr txBox="1"/>
      </xdr:nvSpPr>
      <xdr:spPr>
        <a:xfrm>
          <a:off x="156210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93</xdr:row>
      <xdr:rowOff>0</xdr:rowOff>
    </xdr:from>
    <xdr:to>
      <xdr:col>11</xdr:col>
      <xdr:colOff>1990725</xdr:colOff>
      <xdr:row>93</xdr:row>
      <xdr:rowOff>247650</xdr:rowOff>
    </xdr:to>
    <xdr:sp macro="Sheet1.ExecuteAction_6984de47_f58f_44ea_9133_f25e7f598929" textlink="TM1AdjIDListCAP">
      <xdr:nvSpPr>
        <xdr:cNvPr id="6" name="TM1Button_6984de47_f58f_44ea_9133_f25e7f598929">
          <a:extLst>
            <a:ext uri="{FF2B5EF4-FFF2-40B4-BE49-F238E27FC236}">
              <a16:creationId xmlns:a16="http://schemas.microsoft.com/office/drawing/2014/main" id="{CDA2E2F6-86B6-3A6D-0BBE-822BE334C4E9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AA07B9C-47A3-472E-9451-EFB9AFD8540B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115</xdr:row>
      <xdr:rowOff>123825</xdr:rowOff>
    </xdr:from>
    <xdr:to>
      <xdr:col>13</xdr:col>
      <xdr:colOff>2809875</xdr:colOff>
      <xdr:row>117</xdr:row>
      <xdr:rowOff>133350</xdr:rowOff>
    </xdr:to>
    <xdr:sp macro="Sheet1.ExecuteAction_4e812ec1_19d3_45e5_80cd_0f587e1287c3" textlink="">
      <xdr:nvSpPr>
        <xdr:cNvPr id="7" name="TM1Button_4e812ec1_19d3_45e5_80cd_0f587e1287c3">
          <a:extLst>
            <a:ext uri="{FF2B5EF4-FFF2-40B4-BE49-F238E27FC236}">
              <a16:creationId xmlns:a16="http://schemas.microsoft.com/office/drawing/2014/main" id="{A9EAD09B-A6CC-4377-6162-CEE214A6F476}"/>
            </a:ext>
          </a:extLst>
        </xdr:cNvPr>
        <xdr:cNvSpPr txBox="1"/>
      </xdr:nvSpPr>
      <xdr:spPr>
        <a:xfrm>
          <a:off x="6600825" y="377190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115</xdr:row>
      <xdr:rowOff>123825</xdr:rowOff>
    </xdr:from>
    <xdr:to>
      <xdr:col>14</xdr:col>
      <xdr:colOff>0</xdr:colOff>
      <xdr:row>117</xdr:row>
      <xdr:rowOff>133350</xdr:rowOff>
    </xdr:to>
    <xdr:sp macro="Sheet1.ExecuteAction_d8223432_eb5f_4a71_aa28_b13725f681d9" textlink="">
      <xdr:nvSpPr>
        <xdr:cNvPr id="8" name="TM1Button_d8223432_eb5f_4a71_aa28_b13725f681d9">
          <a:extLst>
            <a:ext uri="{FF2B5EF4-FFF2-40B4-BE49-F238E27FC236}">
              <a16:creationId xmlns:a16="http://schemas.microsoft.com/office/drawing/2014/main" id="{42655F5A-7CE2-0DEB-50BB-77050D57DD11}"/>
            </a:ext>
          </a:extLst>
        </xdr:cNvPr>
        <xdr:cNvSpPr txBox="1"/>
      </xdr:nvSpPr>
      <xdr:spPr>
        <a:xfrm>
          <a:off x="7467600" y="3771900"/>
          <a:ext cx="7239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2019300</xdr:colOff>
      <xdr:row>93</xdr:row>
      <xdr:rowOff>0</xdr:rowOff>
    </xdr:from>
    <xdr:to>
      <xdr:col>11</xdr:col>
      <xdr:colOff>2800350</xdr:colOff>
      <xdr:row>93</xdr:row>
      <xdr:rowOff>247650</xdr:rowOff>
    </xdr:to>
    <xdr:sp macro="Sheet1.ExecuteAction_b729ce3e_f796_4e6c_a9a7_cb055b7abe35" textlink="">
      <xdr:nvSpPr>
        <xdr:cNvPr id="9" name="TM1Button_b729ce3e_f796_4e6c_a9a7_cb055b7abe35">
          <a:extLst>
            <a:ext uri="{FF2B5EF4-FFF2-40B4-BE49-F238E27FC236}">
              <a16:creationId xmlns:a16="http://schemas.microsoft.com/office/drawing/2014/main" id="{A395507C-03EA-116A-F0FD-7C832479BC5B}"/>
            </a:ext>
          </a:extLst>
        </xdr:cNvPr>
        <xdr:cNvSpPr txBox="1"/>
      </xdr:nvSpPr>
      <xdr:spPr>
        <a:xfrm>
          <a:off x="3105150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17"/>
  <sheetViews>
    <sheetView showGridLines="0" showRowColHeaders="0" tabSelected="1" showOutlineSymbols="0" topLeftCell="J92" workbookViewId="0"/>
  </sheetViews>
  <sheetFormatPr defaultRowHeight="15" outlineLevelRow="1" outlineLevelCol="1" x14ac:dyDescent="0.25"/>
  <cols>
    <col min="1" max="1" width="4.5703125" hidden="1" customWidth="1" outlineLevel="1"/>
    <col min="2" max="2" width="39.5703125" hidden="1" customWidth="1" outlineLevel="1"/>
    <col min="3" max="9" width="20.140625" hidden="1" customWidth="1" outlineLevel="1"/>
    <col min="10" max="10" width="0.85546875" customWidth="1" collapsed="1"/>
    <col min="11" max="11" width="15.42578125" customWidth="1"/>
    <col min="12" max="12" width="51.4257812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16"/>
      <c r="L2" s="16"/>
      <c r="N2" s="18"/>
      <c r="O2" s="18"/>
      <c r="P2" s="18"/>
      <c r="Q2" s="18"/>
      <c r="R2" s="19"/>
    </row>
    <row r="3" spans="1:18" hidden="1" outlineLevel="1" x14ac:dyDescent="0.25">
      <c r="A3">
        <f>1</f>
        <v>1</v>
      </c>
      <c r="K3" s="16"/>
      <c r="L3" s="16"/>
      <c r="N3" s="18"/>
      <c r="O3" s="18"/>
      <c r="P3" s="18"/>
      <c r="Q3" s="18"/>
      <c r="R3" s="19"/>
    </row>
    <row r="4" spans="1:18" hidden="1" outlineLevel="1" x14ac:dyDescent="0.25">
      <c r="A4">
        <f>2</f>
        <v>2</v>
      </c>
      <c r="K4" s="16"/>
      <c r="L4" s="16"/>
      <c r="N4" s="18"/>
      <c r="O4" s="18"/>
      <c r="P4" s="18"/>
      <c r="Q4" s="18"/>
      <c r="R4" s="19"/>
    </row>
    <row r="5" spans="1:18" hidden="1" outlineLevel="1" x14ac:dyDescent="0.25">
      <c r="A5">
        <f>3</f>
        <v>3</v>
      </c>
      <c r="K5" s="16"/>
      <c r="L5" s="16"/>
      <c r="N5" s="18"/>
      <c r="O5" s="18"/>
      <c r="P5" s="18"/>
      <c r="Q5" s="18"/>
      <c r="R5" s="19"/>
    </row>
    <row r="6" spans="1:18" hidden="1" outlineLevel="1" x14ac:dyDescent="0.25">
      <c r="A6" t="s">
        <v>1004</v>
      </c>
      <c r="K6" s="16"/>
      <c r="L6" s="16"/>
      <c r="N6" s="18"/>
      <c r="O6" s="18"/>
      <c r="P6" s="18"/>
      <c r="Q6" s="18"/>
      <c r="R6" s="19"/>
    </row>
    <row r="7" spans="1:18" hidden="1" outlineLevel="1" x14ac:dyDescent="0.25">
      <c r="A7" t="s">
        <v>1005</v>
      </c>
      <c r="H7" s="6"/>
      <c r="I7" s="6"/>
      <c r="K7" s="10"/>
      <c r="L7" s="17"/>
      <c r="N7" s="17"/>
      <c r="O7" s="20"/>
      <c r="P7" s="17"/>
      <c r="Q7" s="17"/>
      <c r="R7" s="20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3" t="s">
        <v>1008</v>
      </c>
      <c r="C11" s="24"/>
      <c r="D11" s="25"/>
    </row>
    <row r="12" spans="1:18" hidden="1" outlineLevel="1" x14ac:dyDescent="0.25">
      <c r="B12" s="2" t="s">
        <v>1009</v>
      </c>
      <c r="C12" s="3" t="s">
        <v>1387</v>
      </c>
      <c r="D12" s="4"/>
    </row>
    <row r="13" spans="1:18" hidden="1" outlineLevel="1" x14ac:dyDescent="0.25">
      <c r="B13" s="2" t="s">
        <v>1010</v>
      </c>
      <c r="C13" s="5" t="e" cm="1">
        <f t="array" aca="1" ref="C13" ca="1">_xll.VIEW(db_name&amp;":}ElementAttributes_}Clients","!","!")</f>
        <v>#NAME?</v>
      </c>
      <c r="D13" s="4"/>
    </row>
    <row r="14" spans="1:18" hidden="1" outlineLevel="1" x14ac:dyDescent="0.25">
      <c r="B14" s="2" t="s">
        <v>1011</v>
      </c>
      <c r="C14" s="3" t="e" cm="1">
        <f t="array" aca="1" ref="C14" ca="1">_xll.TM1USER(db_name)</f>
        <v>#NAME?</v>
      </c>
      <c r="D14" s="4"/>
    </row>
    <row r="15" spans="1:18" hidden="1" outlineLevel="1" x14ac:dyDescent="0.25">
      <c r="B15" s="2" t="s">
        <v>1012</v>
      </c>
      <c r="C15" s="3" t="e" cm="1">
        <f t="array" aca="1" ref="C15" ca="1">_xll.DBR($C$13,$C$14,$B15)</f>
        <v>#NAME?</v>
      </c>
      <c r="D15" s="4"/>
    </row>
    <row r="16" spans="1:18" hidden="1" outlineLevel="1" x14ac:dyDescent="0.25">
      <c r="B16" s="2" t="s">
        <v>1013</v>
      </c>
      <c r="C16" s="3" t="e" cm="1">
        <f t="array" aca="1" ref="C16" ca="1">_xll.DBR($C$13,$C$14,$B16)</f>
        <v>#NAME?</v>
      </c>
      <c r="D16" s="4"/>
    </row>
    <row r="17" spans="2:8" hidden="1" outlineLevel="1" x14ac:dyDescent="0.25">
      <c r="B17" s="2" t="s">
        <v>1014</v>
      </c>
      <c r="C17" s="3" t="e">
        <f ca="1">IF(LEFT($C$15,6)="CAM_AD",$C$16,$C$15)</f>
        <v>#NAME?</v>
      </c>
      <c r="D17" s="6"/>
    </row>
    <row r="18" spans="2:8" hidden="1" outlineLevel="1" x14ac:dyDescent="0.25"/>
    <row r="19" spans="2:8" hidden="1" outlineLevel="1" x14ac:dyDescent="0.25">
      <c r="B19" s="23" t="s">
        <v>1015</v>
      </c>
      <c r="C19" s="24"/>
      <c r="D19" s="25"/>
    </row>
    <row r="20" spans="2:8" hidden="1" outlineLevel="1" x14ac:dyDescent="0.25">
      <c r="B20" s="2" t="s">
        <v>1016</v>
      </c>
      <c r="C20" s="6" t="e" cm="1">
        <f t="array" aca="1" ref="C20" ca="1">_xll.VIEW(db_name&amp;":}ElementAttributes_variables","!","!")</f>
        <v>#NAME?</v>
      </c>
      <c r="D20" s="6"/>
    </row>
    <row r="21" spans="2:8" hidden="1" outlineLevel="1" x14ac:dyDescent="0.25">
      <c r="B21" s="2" t="s">
        <v>0</v>
      </c>
      <c r="C21" s="6" t="e" cm="1">
        <f t="array" aca="1" ref="C21" ca="1">_xll.DBR($C$20,$B21,"value")</f>
        <v>#NAME?</v>
      </c>
      <c r="D21" s="6"/>
    </row>
    <row r="22" spans="2:8" hidden="1" outlineLevel="1" x14ac:dyDescent="0.25">
      <c r="B22" s="2" t="s">
        <v>1017</v>
      </c>
      <c r="C22" s="6" t="e" cm="1">
        <f t="array" aca="1" ref="C22" ca="1">_xll.DBR($C$20,$B22,"value")</f>
        <v>#NAME?</v>
      </c>
      <c r="D22" s="6"/>
    </row>
    <row r="23" spans="2:8" hidden="1" outlineLevel="1" x14ac:dyDescent="0.25"/>
    <row r="24" spans="2:8" hidden="1" outlineLevel="1" x14ac:dyDescent="0.25">
      <c r="B24" s="23" t="s">
        <v>1039</v>
      </c>
      <c r="C24" s="24"/>
      <c r="D24" s="25"/>
    </row>
    <row r="25" spans="2:8" hidden="1" outlineLevel="1" x14ac:dyDescent="0.25">
      <c r="B25" s="6" t="s">
        <v>1040</v>
      </c>
      <c r="C25" s="6" t="e">
        <f ca="1">_xll.VIEW(db_name&amp;":sys_application","!","!")</f>
        <v>#NAME?</v>
      </c>
    </row>
    <row r="26" spans="2:8" hidden="1" outlineLevel="1" x14ac:dyDescent="0.25">
      <c r="B26" s="6" t="s">
        <v>1053</v>
      </c>
      <c r="C26" t="s">
        <v>1384</v>
      </c>
    </row>
    <row r="27" spans="2:8" hidden="1" outlineLevel="1" x14ac:dyDescent="0.25">
      <c r="B27" s="8" t="s">
        <v>1043</v>
      </c>
      <c r="C27" s="9" t="s">
        <v>1044</v>
      </c>
      <c r="D27" s="9" t="s">
        <v>1045</v>
      </c>
      <c r="E27" s="9" t="s">
        <v>1046</v>
      </c>
      <c r="F27" s="9" t="s">
        <v>1047</v>
      </c>
      <c r="G27" s="9" t="s">
        <v>1048</v>
      </c>
      <c r="H27" s="9" t="s">
        <v>1049</v>
      </c>
    </row>
    <row r="28" spans="2:8" hidden="1" outlineLevel="1" x14ac:dyDescent="0.25">
      <c r="B28" s="6" t="s">
        <v>1041</v>
      </c>
      <c r="C28" s="6" t="e" cm="1">
        <f t="array" aca="1" ref="C28" ca="1">_xll.DBR($C$25,$B28,C$27)</f>
        <v>#NAME?</v>
      </c>
      <c r="D28" s="6" t="e" cm="1">
        <f t="array" aca="1" ref="D28" ca="1">_xll.DBR($C$25,$B28,D$27)</f>
        <v>#NAME?</v>
      </c>
      <c r="E28" s="6" t="e" cm="1">
        <f t="array" aca="1" ref="E28" ca="1">_xll.DBR($C$25,$B28,E$27)</f>
        <v>#NAME?</v>
      </c>
      <c r="F28" s="6" t="e" cm="1">
        <f t="array" aca="1" ref="F28" ca="1">_xll.DBR($C$25,$B28,F$27)</f>
        <v>#NAME?</v>
      </c>
      <c r="G28" s="6" t="e" cm="1">
        <f t="array" aca="1" ref="G28" ca="1">_xll.DBR($C$25,$B28,G$27)</f>
        <v>#NAME?</v>
      </c>
      <c r="H28" s="6" t="e" cm="1">
        <f t="array" aca="1" ref="H28" ca="1">_xll.DBR($C$25,$B28,H$27)</f>
        <v>#NAME?</v>
      </c>
    </row>
    <row r="29" spans="2:8" hidden="1" outlineLevel="1" x14ac:dyDescent="0.25">
      <c r="B29" s="6" t="s">
        <v>1042</v>
      </c>
      <c r="C29" s="6" t="e" cm="1">
        <f t="array" aca="1" ref="C29" ca="1">_xll.DBR($C$25,$B29,C$27)</f>
        <v>#NAME?</v>
      </c>
      <c r="D29" s="6" t="e" cm="1">
        <f t="array" aca="1" ref="D29" ca="1">_xll.DBR($C$25,$B29,D$27)</f>
        <v>#NAME?</v>
      </c>
      <c r="E29" s="6" t="e" cm="1">
        <f t="array" aca="1" ref="E29" ca="1">_xll.DBR($C$25,$B29,E$27)</f>
        <v>#NAME?</v>
      </c>
      <c r="F29" s="6" t="e" cm="1">
        <f t="array" aca="1" ref="F29" ca="1">_xll.DBR($C$25,$B29,F$27)</f>
        <v>#NAME?</v>
      </c>
      <c r="G29" s="6" t="e" cm="1">
        <f t="array" aca="1" ref="G29" ca="1">_xll.DBR($C$25,$B29,G$27)</f>
        <v>#NAME?</v>
      </c>
      <c r="H29" s="6" t="e" cm="1">
        <f t="array" aca="1" ref="H29" ca="1">_xll.DBR($C$25,$B29,H$27)</f>
        <v>#NAME?</v>
      </c>
    </row>
    <row r="30" spans="2:8" hidden="1" outlineLevel="1" x14ac:dyDescent="0.25">
      <c r="B30" s="6" t="s">
        <v>1052</v>
      </c>
      <c r="C30" s="6" t="e" cm="1">
        <f t="array" aca="1" ref="C30" ca="1">_xll.DBR($C$25,$B30,C$27)</f>
        <v>#NAME?</v>
      </c>
      <c r="D30" s="6" t="e" cm="1">
        <f t="array" aca="1" ref="D30" ca="1">_xll.DBR($C$25,$B30,D$27)</f>
        <v>#NAME?</v>
      </c>
      <c r="E30" s="6" t="e" cm="1">
        <f t="array" aca="1" ref="E30" ca="1">_xll.DBR($C$25,$B30,E$27)</f>
        <v>#NAME?</v>
      </c>
      <c r="F30" s="6" t="e" cm="1">
        <f t="array" aca="1" ref="F30" ca="1">_xll.DBR($C$25,$B30,F$27)</f>
        <v>#NAME?</v>
      </c>
      <c r="G30" s="6" t="e" cm="1">
        <f t="array" aca="1" ref="G30" ca="1">_xll.DBR($C$25,$B30,G$27)</f>
        <v>#NAME?</v>
      </c>
      <c r="H30" s="6" t="e" cm="1">
        <f t="array" aca="1" ref="H30" ca="1">_xll.DBR($C$25,$B30,H$27)</f>
        <v>#NAME?</v>
      </c>
    </row>
    <row r="31" spans="2:8" hidden="1" outlineLevel="1" x14ac:dyDescent="0.25">
      <c r="B31" s="6" t="s">
        <v>1054</v>
      </c>
      <c r="C31" s="6" t="e" cm="1">
        <f t="array" aca="1" ref="C31" ca="1">_xll.DBR($C$25,$B31,C$27)</f>
        <v>#NAME?</v>
      </c>
      <c r="D31" s="6" t="e" cm="1">
        <f t="array" aca="1" ref="D31" ca="1">_xll.DBR($C$25,$B31,D$27)</f>
        <v>#NAME?</v>
      </c>
      <c r="E31" s="6" t="e" cm="1">
        <f t="array" aca="1" ref="E31" ca="1">_xll.DBR($C$25,$B31,E$27)</f>
        <v>#NAME?</v>
      </c>
      <c r="F31" s="6" t="e" cm="1">
        <f t="array" aca="1" ref="F31" ca="1">_xll.DBR($C$25,$B31,F$27)</f>
        <v>#NAME?</v>
      </c>
      <c r="G31" s="6" t="e" cm="1">
        <f t="array" aca="1" ref="G31" ca="1">_xll.DBR($C$25,$B31,G$27)</f>
        <v>#NAME?</v>
      </c>
      <c r="H31" s="6" t="e" cm="1">
        <f t="array" aca="1" ref="H31" ca="1">_xll.DBR($C$25,$B31,H$27)</f>
        <v>#NAME?</v>
      </c>
    </row>
    <row r="32" spans="2:8" hidden="1" outlineLevel="1" x14ac:dyDescent="0.25">
      <c r="B32" s="6" t="s">
        <v>1050</v>
      </c>
      <c r="C32" s="6" t="e" cm="1">
        <f t="array" aca="1" ref="C32" ca="1">_xll.DBR($C$25,$B32,C$27)</f>
        <v>#NAME?</v>
      </c>
      <c r="D32" s="6" t="e" cm="1">
        <f t="array" aca="1" ref="D32" ca="1">_xll.DBR($C$25,$B32,D$27)</f>
        <v>#NAME?</v>
      </c>
      <c r="E32" s="6" t="e" cm="1">
        <f t="array" aca="1" ref="E32" ca="1">_xll.DBR($C$25,$B32,E$27)</f>
        <v>#NAME?</v>
      </c>
      <c r="F32" s="6" t="e" cm="1">
        <f t="array" aca="1" ref="F32" ca="1">_xll.DBR($C$25,$B32,F$27)</f>
        <v>#NAME?</v>
      </c>
      <c r="G32" s="6" t="e" cm="1">
        <f t="array" aca="1" ref="G32" ca="1">_xll.DBR($C$25,$B32,G$27)</f>
        <v>#NAME?</v>
      </c>
      <c r="H32" s="6" t="e" cm="1">
        <f t="array" aca="1" ref="H32" ca="1">_xll.DBR($C$25,$B32,H$27)</f>
        <v>#NAME?</v>
      </c>
    </row>
    <row r="33" spans="2:8" hidden="1" outlineLevel="1" x14ac:dyDescent="0.25">
      <c r="B33" t="s">
        <v>1385</v>
      </c>
      <c r="C33" s="6" t="e" cm="1">
        <f t="array" aca="1" ref="C33" ca="1">_xll.DBR($C$25,$B33,C$27)</f>
        <v>#NAME?</v>
      </c>
      <c r="D33" s="6" t="e" cm="1">
        <f t="array" aca="1" ref="D33" ca="1">_xll.DBR($C$25,$B33,D$27)</f>
        <v>#NAME?</v>
      </c>
      <c r="E33" s="6" t="e" cm="1">
        <f t="array" aca="1" ref="E33" ca="1">_xll.DBR($C$25,$B33,E$27)</f>
        <v>#NAME?</v>
      </c>
      <c r="F33" s="6" t="e" cm="1">
        <f t="array" aca="1" ref="F33" ca="1">_xll.DBR($C$25,$B33,F$27)</f>
        <v>#NAME?</v>
      </c>
      <c r="G33" s="6" t="e" cm="1">
        <f t="array" aca="1" ref="G33" ca="1">_xll.DBR($C$25,$B33,G$27)</f>
        <v>#NAME?</v>
      </c>
      <c r="H33" s="6" t="e" cm="1">
        <f t="array" aca="1" ref="H33" ca="1">_xll.DBR($C$25,$B33,H$27)</f>
        <v>#NAME?</v>
      </c>
    </row>
    <row r="34" spans="2:8" hidden="1" outlineLevel="1" x14ac:dyDescent="0.25">
      <c r="B34" s="6" t="s">
        <v>1381</v>
      </c>
      <c r="C34" s="6" t="e" cm="1">
        <f t="array" aca="1" ref="C34" ca="1">_xll.DBR($C$25,$B34,C$27)</f>
        <v>#NAME?</v>
      </c>
      <c r="D34" s="6" t="e" cm="1">
        <f t="array" aca="1" ref="D34" ca="1">_xll.DBR($C$25,$B34,D$27)</f>
        <v>#NAME?</v>
      </c>
      <c r="E34" s="6" t="e" cm="1">
        <f t="array" aca="1" ref="E34" ca="1">_xll.DBR($C$25,$B34,E$27)</f>
        <v>#NAME?</v>
      </c>
      <c r="F34" s="6" t="e" cm="1">
        <f t="array" aca="1" ref="F34" ca="1">_xll.DBR($C$25,$B34,F$27)</f>
        <v>#NAME?</v>
      </c>
      <c r="G34" s="6" t="e" cm="1">
        <f t="array" aca="1" ref="G34" ca="1">_xll.DBR($C$25,$B34,G$27)</f>
        <v>#NAME?</v>
      </c>
      <c r="H34" s="6" t="e" cm="1">
        <f t="array" aca="1" ref="H34" ca="1">_xll.DBR($C$25,$B34,H$27)</f>
        <v>#NAME?</v>
      </c>
    </row>
    <row r="35" spans="2:8" hidden="1" outlineLevel="1" x14ac:dyDescent="0.25">
      <c r="B35" s="6" t="s">
        <v>1359</v>
      </c>
      <c r="C35" s="6" t="e" cm="1">
        <f t="array" aca="1" ref="C35" ca="1">_xll.DBR($C$25,$B35,C$27)</f>
        <v>#NAME?</v>
      </c>
      <c r="D35" s="6" t="e" cm="1">
        <f t="array" aca="1" ref="D35" ca="1">_xll.DBR($C$25,$B35,D$27)</f>
        <v>#NAME?</v>
      </c>
      <c r="E35" s="6" t="e" cm="1">
        <f t="array" aca="1" ref="E35" ca="1">_xll.DBR($C$25,$B35,E$27)</f>
        <v>#NAME?</v>
      </c>
      <c r="F35" s="6" t="e" cm="1">
        <f t="array" aca="1" ref="F35" ca="1">_xll.DBR($C$25,$B35,F$27)</f>
        <v>#NAME?</v>
      </c>
      <c r="G35" s="6" t="e" cm="1">
        <f t="array" aca="1" ref="G35" ca="1">_xll.DBR($C$25,$B35,G$27)</f>
        <v>#NAME?</v>
      </c>
      <c r="H35" s="6" t="e" cm="1">
        <f t="array" aca="1" ref="H35" ca="1">_xll.DBR($C$25,$B35,H$27)</f>
        <v>#NAME?</v>
      </c>
    </row>
    <row r="36" spans="2:8" hidden="1" outlineLevel="1" x14ac:dyDescent="0.25"/>
    <row r="37" spans="2:8" hidden="1" outlineLevel="1" x14ac:dyDescent="0.25">
      <c r="B37" s="23" t="s">
        <v>1018</v>
      </c>
      <c r="C37" s="24"/>
      <c r="D37" s="25"/>
      <c r="F37" s="23" t="s">
        <v>1057</v>
      </c>
      <c r="G37" s="24"/>
      <c r="H37" s="25"/>
    </row>
    <row r="38" spans="2:8" hidden="1" outlineLevel="1" x14ac:dyDescent="0.25">
      <c r="B38" s="2" t="s">
        <v>1016</v>
      </c>
      <c r="C38" s="6" t="e" cm="1">
        <f t="array" aca="1" ref="C38" ca="1">_xll.VIEW(db_name&amp;":sys_client preference","!","!","!")</f>
        <v>#NAME?</v>
      </c>
      <c r="D38" s="6"/>
      <c r="F38" s="6" t="s">
        <v>1033</v>
      </c>
      <c r="G38" s="6" t="e">
        <f ca="1">"sys_ae_"&amp;$N$99</f>
        <v>#NAME?</v>
      </c>
      <c r="H38" s="6"/>
    </row>
    <row r="39" spans="2:8" hidden="1" outlineLevel="1" x14ac:dyDescent="0.25">
      <c r="B39" s="2"/>
      <c r="C39" s="7" t="s">
        <v>1019</v>
      </c>
      <c r="D39" s="7" t="s">
        <v>1020</v>
      </c>
    </row>
    <row r="40" spans="2:8" hidden="1" outlineLevel="1" x14ac:dyDescent="0.25">
      <c r="B40" s="2" t="s">
        <v>1069</v>
      </c>
      <c r="C40" s="6" t="e" cm="1">
        <f t="array" aca="1" ref="C40" ca="1">_xll.SUBNM(db_name&amp;":sys_client preference measure","","value")</f>
        <v>#NAME?</v>
      </c>
      <c r="D40" s="7"/>
    </row>
    <row r="41" spans="2:8" hidden="1" outlineLevel="1" x14ac:dyDescent="0.25">
      <c r="B41" s="2" t="s">
        <v>1069</v>
      </c>
      <c r="C41" s="6" t="e" cm="1">
        <f t="array" aca="1" ref="C41" ca="1">_xll.SUBNM(db_name&amp;":sys_client preference measure","","validate")</f>
        <v>#NAME?</v>
      </c>
      <c r="D41" s="7"/>
    </row>
    <row r="42" spans="2:8" hidden="1" outlineLevel="1" x14ac:dyDescent="0.25">
      <c r="B42" s="2" t="s">
        <v>1021</v>
      </c>
      <c r="C42" s="6" t="e" cm="1">
        <f t="array" aca="1" ref="C42" ca="1">_xll.DBR($C$38,psUser,$B42,"value")</f>
        <v>#NAME?</v>
      </c>
      <c r="D42" s="6" t="e" cm="1">
        <f t="array" aca="1" ref="D42" ca="1">_xll.DBR($C$38,psUser,$B42,"value")</f>
        <v>#NAME?</v>
      </c>
    </row>
    <row r="43" spans="2:8" hidden="1" outlineLevel="1" x14ac:dyDescent="0.25">
      <c r="B43" s="2" t="s">
        <v>1022</v>
      </c>
      <c r="C43" s="6" t="e" cm="1">
        <f t="array" aca="1" ref="C43" ca="1">_xll.DBR($C$38,psUser,$B43,"value")</f>
        <v>#NAME?</v>
      </c>
      <c r="D43" s="6" t="e" cm="1">
        <f t="array" aca="1" ref="D43" ca="1">_xll.DBR($C$38,psUser,$B43,"value")</f>
        <v>#NAME?</v>
      </c>
    </row>
    <row r="44" spans="2:8" hidden="1" outlineLevel="1" x14ac:dyDescent="0.25">
      <c r="B44" s="2" t="s">
        <v>1023</v>
      </c>
      <c r="C44" s="6" t="e" cm="1">
        <f t="array" aca="1" ref="C44" ca="1">_xll.DBR($C$38,psUser,$B44,"value")</f>
        <v>#NAME?</v>
      </c>
      <c r="D44" s="6" t="e" cm="1">
        <f t="array" aca="1" ref="D44" ca="1">_xll.DBR($C$38,psUser,$B44,"value")</f>
        <v>#NAME?</v>
      </c>
    </row>
    <row r="45" spans="2:8" hidden="1" outlineLevel="1" x14ac:dyDescent="0.25">
      <c r="B45" s="2" t="s">
        <v>1024</v>
      </c>
      <c r="C45" s="6" t="e" cm="1">
        <f t="array" aca="1" ref="C45" ca="1">_xll.DBR($C$38,psUser,$B45,"value")</f>
        <v>#NAME?</v>
      </c>
      <c r="D45" s="6" t="e" cm="1">
        <f t="array" aca="1" ref="D45" ca="1">_xll.DBR($C$38,psUser,$B45,"value")</f>
        <v>#NAME?</v>
      </c>
    </row>
    <row r="46" spans="2:8" hidden="1" outlineLevel="1" x14ac:dyDescent="0.25">
      <c r="B46" s="2" t="s">
        <v>1025</v>
      </c>
      <c r="C46" s="6" t="e" cm="1">
        <f t="array" aca="1" ref="C46" ca="1">_xll.DBR($C$38,psUser,$B46,"value")</f>
        <v>#NAME?</v>
      </c>
      <c r="D46" s="6" t="e" cm="1">
        <f t="array" aca="1" ref="D46" ca="1">_xll.DBR($C$38,psUser,$B46,"value")</f>
        <v>#NAME?</v>
      </c>
    </row>
    <row r="47" spans="2:8" hidden="1" outlineLevel="1" x14ac:dyDescent="0.25"/>
    <row r="48" spans="2:8" hidden="1" outlineLevel="1" x14ac:dyDescent="0.25">
      <c r="B48" s="23" t="s">
        <v>1026</v>
      </c>
      <c r="C48" s="24"/>
      <c r="D48" s="25"/>
    </row>
    <row r="49" spans="2:4" hidden="1" outlineLevel="1" x14ac:dyDescent="0.25">
      <c r="B49" s="2" t="s">
        <v>1038</v>
      </c>
      <c r="C49" s="6" t="e">
        <f ca="1">_xll.TM1RPTVIEW(db_name&amp;":AE id details:1", 1, _xll.TM1RPTTITLE(db_name&amp;":headline year",$C$54), _xll.TM1RPTTITLE(db_name&amp;":scenario",$C$55),TM1RPTFMTRNG,TM1RPTFMTIDCOL)</f>
        <v>#NAME?</v>
      </c>
      <c r="D49" s="6"/>
    </row>
    <row r="50" spans="2:4" hidden="1" outlineLevel="1" x14ac:dyDescent="0.25">
      <c r="B50" s="2" t="s">
        <v>1037</v>
      </c>
      <c r="C50" s="6" t="e" cm="1">
        <f t="array" aca="1" ref="C50" ca="1">_xll.VIEW(db_name&amp;":AE id details",$C$54,$C$55,"!","!")</f>
        <v>#NAME?</v>
      </c>
      <c r="D50" s="6"/>
    </row>
    <row r="51" spans="2:4" hidden="1" outlineLevel="1" x14ac:dyDescent="0.25">
      <c r="B51" s="2" t="s">
        <v>1034</v>
      </c>
      <c r="C51" s="6">
        <v>1</v>
      </c>
      <c r="D51" s="6"/>
    </row>
    <row r="52" spans="2:4" hidden="1" outlineLevel="1" x14ac:dyDescent="0.25">
      <c r="B52" s="2" t="s">
        <v>1035</v>
      </c>
      <c r="C52" s="6" t="str" cm="1">
        <f t="array" ref="C52">_xll.TM1RPTFILTER($C$49,"[id measure].[programme code]","TOPCOUNT",$C$53)</f>
        <v>TopCount(Distinct({  }), 10, ([id measure].[programme code]))</v>
      </c>
      <c r="D52" s="6"/>
    </row>
    <row r="53" spans="2:4" hidden="1" outlineLevel="1" x14ac:dyDescent="0.25">
      <c r="B53" s="2" t="s">
        <v>1036</v>
      </c>
      <c r="C53" s="6">
        <v>10</v>
      </c>
      <c r="D53" s="6"/>
    </row>
    <row r="54" spans="2:4" hidden="1" outlineLevel="1" x14ac:dyDescent="0.25">
      <c r="B54" s="2" t="s">
        <v>1027</v>
      </c>
      <c r="C54" s="6" t="e">
        <f ca="1">_xll.SUBNM(db_name&amp;":headline year","Default",$C$21)</f>
        <v>#NAME?</v>
      </c>
      <c r="D54" s="6"/>
    </row>
    <row r="55" spans="2:4" hidden="1" outlineLevel="1" x14ac:dyDescent="0.25">
      <c r="B55" s="2" t="s">
        <v>1028</v>
      </c>
      <c r="C55" s="6" t="e">
        <f ca="1">_xll.SUBNM(db_name&amp;":scenario","Default",$C$22)</f>
        <v>#NAME?</v>
      </c>
      <c r="D55" s="6"/>
    </row>
    <row r="56" spans="2:4" hidden="1" outlineLevel="1" x14ac:dyDescent="0.25">
      <c r="B56" s="2" t="s">
        <v>1032</v>
      </c>
      <c r="C56" s="6" t="s">
        <v>1</v>
      </c>
      <c r="D56" s="6"/>
    </row>
    <row r="57" spans="2:4" hidden="1" outlineLevel="1" x14ac:dyDescent="0.25">
      <c r="B57" s="2" t="s">
        <v>1030</v>
      </c>
      <c r="C57" s="6" t="s">
        <v>1031</v>
      </c>
      <c r="D57" s="6"/>
    </row>
    <row r="58" spans="2:4" hidden="1" outlineLevel="1" x14ac:dyDescent="0.25">
      <c r="B58" s="2" t="s">
        <v>1029</v>
      </c>
      <c r="C58" s="6" t="e">
        <f ca="1">"{TM1SORT({{FILTER( {[id].[Total IDs].Children}, INSTR( [AE id details].([Headline Year].[" &amp; $C$54 &amp;"],[scenario].[" &amp; $C$55 &amp;"],[id measure].[" &amp;$C$56&amp;"]), "  &amp; $C$57 &amp;  $C$59 &amp; $C$57 &amp;  " ) &gt;=1) }}, DESC)}"</f>
        <v>#NAME?</v>
      </c>
      <c r="D58" s="6"/>
    </row>
    <row r="59" spans="2:4" hidden="1" outlineLevel="1" x14ac:dyDescent="0.25">
      <c r="B59" s="2" t="s">
        <v>1033</v>
      </c>
      <c r="C59" s="6" t="e" cm="1">
        <f t="array" aca="1" ref="C59" ca="1">_xll.DIMNM(db_name&amp;":programme",_xll.DIMIX(db_name&amp;":programme",#REF!))</f>
        <v>#NAME?</v>
      </c>
      <c r="D59" s="6"/>
    </row>
    <row r="60" spans="2:4" hidden="1" outlineLevel="1" x14ac:dyDescent="0.25">
      <c r="B60" s="2" t="s">
        <v>2</v>
      </c>
      <c r="C60" s="6" t="e" cm="1">
        <f t="array" aca="1" ref="C60" ca="1">_xll.DBR($C$50,$C$54,$C$55,$B60,"used")+1</f>
        <v>#NAME?</v>
      </c>
      <c r="D60" s="6"/>
    </row>
    <row r="61" spans="2:4" hidden="1" outlineLevel="1" x14ac:dyDescent="0.25">
      <c r="B61" s="2" t="s">
        <v>1051</v>
      </c>
      <c r="C61" s="6" t="e">
        <f ca="1">IF(LEN($C$60)=1,"0000"&amp;$C$60,IF(LEN($C$60)=2,"000"&amp;$C$60,IF(LEN($C$60=3),"00"&amp;$C$60,IF(LEN($C$60)=4,"0"&amp;$C$60,$C$60))))</f>
        <v>#NAME?</v>
      </c>
      <c r="D61" s="6"/>
    </row>
    <row r="62" spans="2:4" hidden="1" outlineLevel="1" x14ac:dyDescent="0.25"/>
    <row r="63" spans="2:4" hidden="1" outlineLevel="1" x14ac:dyDescent="0.25">
      <c r="B63" s="23" t="s">
        <v>1083</v>
      </c>
      <c r="C63" s="24"/>
      <c r="D63" s="25"/>
    </row>
    <row r="64" spans="2:4" hidden="1" outlineLevel="1" x14ac:dyDescent="0.25">
      <c r="B64" s="2" t="s">
        <v>1037</v>
      </c>
      <c r="C64" s="6" t="e" cm="1">
        <f t="array" aca="1" ref="C64" ca="1">_xll.VIEW(db_name&amp;":programme details",$C$21,$C$22,"!","!")</f>
        <v>#NAME?</v>
      </c>
      <c r="D64" s="6"/>
    </row>
    <row r="65" spans="2:5" hidden="1" outlineLevel="1" x14ac:dyDescent="0.25"/>
    <row r="66" spans="2:5" hidden="1" outlineLevel="1" x14ac:dyDescent="0.25">
      <c r="B66" s="29" t="s">
        <v>1084</v>
      </c>
      <c r="C66" s="30"/>
    </row>
    <row r="67" spans="2:5" hidden="1" outlineLevel="1" x14ac:dyDescent="0.25">
      <c r="B67" s="6" t="s">
        <v>1085</v>
      </c>
      <c r="C67" s="6" t="e" cm="1">
        <f t="array" aca="1" ref="C67" ca="1">_xll.VIEW(db_name&amp;":}ElementAttributes_"&amp; B67,"!","!")</f>
        <v>#NAME?</v>
      </c>
    </row>
    <row r="68" spans="2:5" hidden="1" outlineLevel="1" x14ac:dyDescent="0.25">
      <c r="B68" s="6" t="s">
        <v>1086</v>
      </c>
      <c r="C68" s="6" t="e" cm="1">
        <f t="array" aca="1" ref="C68" ca="1">_xll.DBR($C$67,$N$101,$B68)</f>
        <v>#NAME?</v>
      </c>
    </row>
    <row r="69" spans="2:5" hidden="1" outlineLevel="1" x14ac:dyDescent="0.25">
      <c r="B69" s="6" t="s">
        <v>1350</v>
      </c>
      <c r="C69" s="6" t="e" cm="1">
        <f t="array" aca="1" ref="C69" ca="1">_xll.DBR($C$67,$N$101,$B69)</f>
        <v>#NAME?</v>
      </c>
    </row>
    <row r="70" spans="2:5" hidden="1" outlineLevel="1" x14ac:dyDescent="0.25"/>
    <row r="71" spans="2:5" hidden="1" outlineLevel="1" x14ac:dyDescent="0.25">
      <c r="B71" s="23" t="s">
        <v>1070</v>
      </c>
      <c r="C71" s="24"/>
      <c r="D71" s="25"/>
    </row>
    <row r="72" spans="2:5" hidden="1" outlineLevel="1" x14ac:dyDescent="0.25">
      <c r="B72" s="2" t="s">
        <v>1071</v>
      </c>
      <c r="C72" s="6" t="e">
        <f ca="1">IF($N$101="","",IF(AND($C$68="Y",$N$103&lt;&gt;""),$N$103,"No Measure"))</f>
        <v>#NAME?</v>
      </c>
    </row>
    <row r="73" spans="2:5" hidden="1" outlineLevel="1" x14ac:dyDescent="0.25">
      <c r="B73" s="2" t="s">
        <v>1072</v>
      </c>
      <c r="C73" s="6"/>
      <c r="E73" t="s">
        <v>1087</v>
      </c>
    </row>
    <row r="74" spans="2:5" hidden="1" outlineLevel="1" x14ac:dyDescent="0.25">
      <c r="B74" s="2" t="s">
        <v>1073</v>
      </c>
      <c r="C74" s="6" t="e">
        <f ca="1">IF(AND($C$68="Y",$C$69="Y"),"sys_adj all measure code",IF(AND($C$68="Y",$C$69&lt;&gt;"Y"),"sys_adj measure code only",IF(AND($C$68&lt;&gt;"Y",$C$69="Y"),"sys_adj all measure code","sys_adj no measure code")))</f>
        <v>#NAME?</v>
      </c>
    </row>
    <row r="75" spans="2:5" hidden="1" outlineLevel="1" x14ac:dyDescent="0.25">
      <c r="B75" s="2" t="s">
        <v>1074</v>
      </c>
      <c r="C75" s="6" t="e" cm="1">
        <f t="array" aca="1" ref="C75" ca="1">_xll.SUBNM(db_name&amp;":measure code",$C$74,1)</f>
        <v>#NAME?</v>
      </c>
    </row>
    <row r="76" spans="2:5" hidden="1" outlineLevel="1" x14ac:dyDescent="0.25"/>
    <row r="77" spans="2:5" hidden="1" outlineLevel="1" x14ac:dyDescent="0.25">
      <c r="B77" s="23" t="s">
        <v>1077</v>
      </c>
      <c r="C77" s="24"/>
      <c r="D77" s="25"/>
    </row>
    <row r="78" spans="2:5" hidden="1" outlineLevel="1" x14ac:dyDescent="0.25">
      <c r="B78" s="6" t="s">
        <v>1078</v>
      </c>
      <c r="C78" s="6" t="e">
        <f ca="1">$N$99</f>
        <v>#NAME?</v>
      </c>
    </row>
    <row r="79" spans="2:5" hidden="1" outlineLevel="1" x14ac:dyDescent="0.25">
      <c r="B79" s="6" t="s">
        <v>1079</v>
      </c>
      <c r="C79" s="6" t="e">
        <f ca="1">$N$101</f>
        <v>#NAME?</v>
      </c>
    </row>
    <row r="80" spans="2:5" hidden="1" outlineLevel="1" x14ac:dyDescent="0.25">
      <c r="B80" s="6" t="s">
        <v>1080</v>
      </c>
      <c r="C80" s="6" t="e">
        <f ca="1">$N$103</f>
        <v>#NAME?</v>
      </c>
    </row>
    <row r="81" spans="2:18" hidden="1" outlineLevel="1" x14ac:dyDescent="0.25">
      <c r="B81" s="6" t="s">
        <v>1081</v>
      </c>
      <c r="C81" s="6" t="e">
        <f ca="1">$N$105</f>
        <v>#NAME?</v>
      </c>
    </row>
    <row r="82" spans="2:18" hidden="1" outlineLevel="1" x14ac:dyDescent="0.25">
      <c r="B82" s="6" t="s">
        <v>1082</v>
      </c>
      <c r="C82" s="6" t="e">
        <f ca="1">$N$107</f>
        <v>#NAME?</v>
      </c>
    </row>
    <row r="83" spans="2:18" hidden="1" outlineLevel="1" x14ac:dyDescent="0.25">
      <c r="B83" s="6" t="s">
        <v>1303</v>
      </c>
      <c r="C83" s="6" t="e">
        <f ca="1">$P$97</f>
        <v>#NAME?</v>
      </c>
    </row>
    <row r="84" spans="2:18" hidden="1" outlineLevel="1" x14ac:dyDescent="0.25">
      <c r="B84" s="6" t="s">
        <v>1358</v>
      </c>
      <c r="C84" s="6" t="e">
        <f ca="1">$N$111</f>
        <v>#NAME?</v>
      </c>
    </row>
    <row r="85" spans="2:18" hidden="1" outlineLevel="1" x14ac:dyDescent="0.25">
      <c r="B85" s="6" t="s">
        <v>1382</v>
      </c>
      <c r="C85" s="22" t="s">
        <v>1386</v>
      </c>
    </row>
    <row r="86" spans="2:18" hidden="1" outlineLevel="1" x14ac:dyDescent="0.25"/>
    <row r="87" spans="2:18" hidden="1" outlineLevel="1" x14ac:dyDescent="0.25"/>
    <row r="88" spans="2:18" hidden="1" outlineLevel="1" x14ac:dyDescent="0.25"/>
    <row r="89" spans="2:18" hidden="1" outlineLevel="1" x14ac:dyDescent="0.25"/>
    <row r="90" spans="2:18" hidden="1" outlineLevel="1" x14ac:dyDescent="0.25"/>
    <row r="91" spans="2:18" hidden="1" outlineLevel="1" x14ac:dyDescent="0.25"/>
    <row r="92" spans="2:18" ht="39.75" customHeight="1" collapsed="1" x14ac:dyDescent="0.25">
      <c r="J92" s="11"/>
      <c r="K92" s="11"/>
      <c r="L92" s="11"/>
      <c r="M92" s="11"/>
      <c r="N92" s="11"/>
      <c r="O92" s="11"/>
      <c r="P92" s="11"/>
      <c r="Q92" s="11"/>
      <c r="R92" s="14" t="s">
        <v>1383</v>
      </c>
    </row>
    <row r="93" spans="2:18" ht="4.5" customHeight="1" x14ac:dyDescent="0.25"/>
    <row r="94" spans="2:18" ht="24" customHeight="1" x14ac:dyDescent="0.25"/>
    <row r="95" spans="2:18" ht="2.1" customHeight="1" x14ac:dyDescent="0.25">
      <c r="J95" s="11"/>
      <c r="K95" s="11"/>
      <c r="L95" s="11"/>
      <c r="M95" s="11"/>
      <c r="N95" s="11"/>
      <c r="O95" s="11"/>
      <c r="P95" s="11"/>
      <c r="Q95" s="11"/>
      <c r="R95" s="11"/>
    </row>
    <row r="96" spans="2:18" ht="5.0999999999999996" customHeight="1" x14ac:dyDescent="0.25"/>
    <row r="97" spans="2:19" x14ac:dyDescent="0.25">
      <c r="B97" s="1" t="s">
        <v>1062</v>
      </c>
      <c r="C97" s="1" t="s">
        <v>1068</v>
      </c>
      <c r="O97" s="12" t="s">
        <v>1302</v>
      </c>
      <c r="P97" s="15" t="e" cm="1">
        <f t="array" aca="1" ref="P97" ca="1">_xll.SUBNM(db_name&amp;":sys_YesNo","","No")</f>
        <v>#NAME?</v>
      </c>
      <c r="Q97" s="12" t="s">
        <v>1061</v>
      </c>
      <c r="R97" s="13" t="e">
        <f ca="1">$C$61</f>
        <v>#NAME?</v>
      </c>
    </row>
    <row r="98" spans="2:19" ht="5.0999999999999996" customHeight="1" x14ac:dyDescent="0.25">
      <c r="Q98" s="12"/>
      <c r="R98" s="12"/>
      <c r="S98" s="12"/>
    </row>
    <row r="99" spans="2:19" x14ac:dyDescent="0.25">
      <c r="B99" s="6" t="s">
        <v>1063</v>
      </c>
      <c r="C99" s="6"/>
      <c r="L99" s="21" t="s">
        <v>1056</v>
      </c>
      <c r="N99" s="32" t="e" cm="1">
        <f t="array" aca="1" ref="N99" ca="1">_xll.DBR($C$38,$C$14,$B99,$C$40)</f>
        <v>#NAME?</v>
      </c>
      <c r="O99" s="33"/>
      <c r="P99" s="34"/>
      <c r="Q99" s="31" t="s">
        <v>1076</v>
      </c>
      <c r="R99" s="31"/>
    </row>
    <row r="100" spans="2:19" ht="5.0999999999999996" customHeight="1" x14ac:dyDescent="0.25"/>
    <row r="101" spans="2:19" x14ac:dyDescent="0.25">
      <c r="B101" s="6" t="s">
        <v>1064</v>
      </c>
      <c r="L101" s="21" t="s">
        <v>1055</v>
      </c>
      <c r="N101" s="32" t="e" cm="1">
        <f t="array" aca="1" ref="N101" ca="1">_xll.DBR($C$38,$C$14,$B101,$C$40)</f>
        <v>#NAME?</v>
      </c>
      <c r="O101" s="33"/>
      <c r="P101" s="34"/>
      <c r="Q101" s="35" t="e" cm="1">
        <f t="array" aca="1" ref="Q101" ca="1">_xll.DBR($C$38,$C$14,$B101,$C$41)</f>
        <v>#NAME?</v>
      </c>
      <c r="R101" s="36"/>
      <c r="S101" s="36"/>
    </row>
    <row r="102" spans="2:19" ht="5.0999999999999996" customHeight="1" x14ac:dyDescent="0.25"/>
    <row r="103" spans="2:19" x14ac:dyDescent="0.25">
      <c r="B103" s="6" t="s">
        <v>1065</v>
      </c>
      <c r="C103" s="6" t="e" cm="1">
        <f t="array" aca="1" ref="C103" ca="1">IF($N$103="",_xll.DBSS($C$72,$C$38,$C$14,$B103,$C$40),"")</f>
        <v>#NAME?</v>
      </c>
      <c r="L103" s="21" t="s">
        <v>1060</v>
      </c>
      <c r="N103" s="32" t="e" cm="1">
        <f t="array" aca="1" ref="N103" ca="1">_xll.SUBNM(db_name&amp;":measure code",$C$74,$C$75,"CBMS code and description")</f>
        <v>#NAME?</v>
      </c>
      <c r="O103" s="33"/>
      <c r="P103" s="34"/>
      <c r="Q103" s="35" t="e" cm="1">
        <f t="array" aca="1" ref="Q103" ca="1">_xll.DBR($C$38,$C$14,$B103,$C$41)</f>
        <v>#NAME?</v>
      </c>
      <c r="R103" s="36"/>
      <c r="S103" s="36"/>
    </row>
    <row r="104" spans="2:19" ht="5.0999999999999996" customHeight="1" x14ac:dyDescent="0.25"/>
    <row r="105" spans="2:19" x14ac:dyDescent="0.25">
      <c r="B105" s="6" t="s">
        <v>1066</v>
      </c>
      <c r="L105" s="21" t="s">
        <v>1058</v>
      </c>
      <c r="N105" s="32" t="e" cm="1">
        <f t="array" aca="1" ref="N105" ca="1">_xll.DBR($C$38,$C$14,$B105,$C$40)</f>
        <v>#NAME?</v>
      </c>
      <c r="O105" s="33"/>
      <c r="P105" s="34"/>
      <c r="Q105" s="35" t="e" cm="1">
        <f t="array" aca="1" ref="Q105" ca="1">_xll.DBR($C$38,$C$14,$B105,$C$41)</f>
        <v>#NAME?</v>
      </c>
      <c r="R105" s="36"/>
      <c r="S105" s="36"/>
    </row>
    <row r="106" spans="2:19" ht="5.0999999999999996" customHeight="1" x14ac:dyDescent="0.25"/>
    <row r="107" spans="2:19" x14ac:dyDescent="0.25">
      <c r="B107" s="6" t="s">
        <v>1067</v>
      </c>
      <c r="L107" s="12" t="s">
        <v>1059</v>
      </c>
      <c r="N107" s="26" t="e" cm="1">
        <f t="array" aca="1" ref="N107" ca="1">_xll.DBR($C$38,$C$14,$B107,$C$40)</f>
        <v>#NAME?</v>
      </c>
      <c r="O107" s="26"/>
      <c r="P107" s="26"/>
      <c r="Q107" s="27" t="e" cm="1">
        <f t="array" aca="1" ref="Q107" ca="1">_xll.DBR($C$38,$C$14,$B107,$C$41)</f>
        <v>#NAME?</v>
      </c>
      <c r="R107" s="28"/>
      <c r="S107" s="28"/>
    </row>
    <row r="108" spans="2:19" x14ac:dyDescent="0.25">
      <c r="N108" s="26" t="e">
        <f ca="1">_xll.DBR($C$38,$C$14,$B108,$C$40)</f>
        <v>#NAME?</v>
      </c>
      <c r="O108" s="26"/>
      <c r="P108" s="26"/>
      <c r="Q108" s="27"/>
      <c r="R108" s="28"/>
      <c r="S108" s="28"/>
    </row>
    <row r="109" spans="2:19" x14ac:dyDescent="0.25">
      <c r="L109" s="1"/>
      <c r="M109" s="1"/>
      <c r="N109" s="26" t="e">
        <f ca="1">_xll.DBR($C$38,$C$14,$B109,$C$40)</f>
        <v>#NAME?</v>
      </c>
      <c r="O109" s="26"/>
      <c r="P109" s="26"/>
      <c r="Q109" s="27"/>
      <c r="R109" s="28"/>
      <c r="S109" s="28"/>
    </row>
    <row r="110" spans="2:19" ht="6" customHeight="1" x14ac:dyDescent="0.25">
      <c r="L110" s="1"/>
      <c r="M110" s="1"/>
    </row>
    <row r="111" spans="2:19" x14ac:dyDescent="0.25">
      <c r="B111" s="6" t="s">
        <v>1357</v>
      </c>
      <c r="L111" s="12" t="s">
        <v>1356</v>
      </c>
      <c r="N111" s="26" t="e" cm="1">
        <f t="array" aca="1" ref="N111" ca="1">_xll.DBR($C$38,$C$14,$B111,$C$40)</f>
        <v>#NAME?</v>
      </c>
      <c r="O111" s="26"/>
      <c r="P111" s="26"/>
      <c r="Q111" s="27" t="e" cm="1">
        <f t="array" aca="1" ref="Q111" ca="1">_xll.DBR($C$38,$C$14,$B111,$C$41)</f>
        <v>#NAME?</v>
      </c>
      <c r="R111" s="28"/>
      <c r="S111" s="28"/>
    </row>
    <row r="112" spans="2:19" x14ac:dyDescent="0.25">
      <c r="N112" s="26" t="e">
        <f ca="1">_xll.DBR($C$38,$C$14,$B112,$C$40)</f>
        <v>#NAME?</v>
      </c>
      <c r="O112" s="26"/>
      <c r="P112" s="26"/>
      <c r="Q112" s="27"/>
      <c r="R112" s="28"/>
      <c r="S112" s="28"/>
    </row>
    <row r="113" spans="12:19" x14ac:dyDescent="0.25">
      <c r="L113" s="1"/>
      <c r="M113" s="1"/>
      <c r="N113" s="26" t="e">
        <f ca="1">_xll.DBR($C$38,$C$14,$B113,$C$40)</f>
        <v>#NAME?</v>
      </c>
      <c r="O113" s="26"/>
      <c r="P113" s="26"/>
      <c r="Q113" s="27"/>
      <c r="R113" s="28"/>
      <c r="S113" s="28"/>
    </row>
    <row r="114" spans="12:19" ht="5.0999999999999996" customHeight="1" x14ac:dyDescent="0.25">
      <c r="L114" s="1"/>
      <c r="M114" s="1"/>
    </row>
    <row r="115" spans="12:19" x14ac:dyDescent="0.25">
      <c r="L115" s="1"/>
      <c r="M115" s="1"/>
    </row>
    <row r="116" spans="12:19" x14ac:dyDescent="0.25">
      <c r="L116" s="1"/>
      <c r="M116" s="1"/>
    </row>
    <row r="117" spans="12:19" ht="5.0999999999999996" customHeight="1" x14ac:dyDescent="0.25">
      <c r="L117" s="1"/>
      <c r="M117" s="1"/>
    </row>
  </sheetData>
  <sheetProtection sheet="1" objects="1" scenarios="1"/>
  <mergeCells count="22">
    <mergeCell ref="N111:P113"/>
    <mergeCell ref="Q111:S113"/>
    <mergeCell ref="B71:D71"/>
    <mergeCell ref="B63:D63"/>
    <mergeCell ref="B77:D77"/>
    <mergeCell ref="B66:C66"/>
    <mergeCell ref="Q99:R99"/>
    <mergeCell ref="N99:P99"/>
    <mergeCell ref="N101:P101"/>
    <mergeCell ref="N105:P105"/>
    <mergeCell ref="N103:P103"/>
    <mergeCell ref="Q105:S105"/>
    <mergeCell ref="Q103:S103"/>
    <mergeCell ref="Q101:S101"/>
    <mergeCell ref="N107:P109"/>
    <mergeCell ref="Q107:S109"/>
    <mergeCell ref="F37:H37"/>
    <mergeCell ref="B11:D11"/>
    <mergeCell ref="B19:D19"/>
    <mergeCell ref="B37:D37"/>
    <mergeCell ref="B48:D48"/>
    <mergeCell ref="B24:D24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1304</v>
      </c>
    </row>
    <row r="2" spans="1:1" x14ac:dyDescent="0.25">
      <c r="A2" t="s">
        <v>1305</v>
      </c>
    </row>
    <row r="3" spans="1:1" x14ac:dyDescent="0.25">
      <c r="A3" t="s">
        <v>1306</v>
      </c>
    </row>
    <row r="4" spans="1:1" x14ac:dyDescent="0.25">
      <c r="A4" t="s">
        <v>1075</v>
      </c>
    </row>
    <row r="5" spans="1:1" x14ac:dyDescent="0.25">
      <c r="A5" t="s">
        <v>1360</v>
      </c>
    </row>
    <row r="6" spans="1:1" x14ac:dyDescent="0.25">
      <c r="A6" t="s">
        <v>1361</v>
      </c>
    </row>
    <row r="7" spans="1:1" x14ac:dyDescent="0.25">
      <c r="A7" t="s">
        <v>1362</v>
      </c>
    </row>
    <row r="8" spans="1:1" x14ac:dyDescent="0.25">
      <c r="A8" t="s">
        <v>1363</v>
      </c>
    </row>
    <row r="9" spans="1:1" x14ac:dyDescent="0.25">
      <c r="A9" t="s">
        <v>1364</v>
      </c>
    </row>
    <row r="10" spans="1:1" x14ac:dyDescent="0.25">
      <c r="A10" t="s">
        <v>1365</v>
      </c>
    </row>
    <row r="11" spans="1:1" x14ac:dyDescent="0.25">
      <c r="A11" t="s">
        <v>1366</v>
      </c>
    </row>
    <row r="12" spans="1:1" x14ac:dyDescent="0.25">
      <c r="A12" t="s">
        <v>1367</v>
      </c>
    </row>
    <row r="13" spans="1:1" x14ac:dyDescent="0.25">
      <c r="A13" t="s">
        <v>1368</v>
      </c>
    </row>
    <row r="14" spans="1:1" x14ac:dyDescent="0.25">
      <c r="A14" t="s">
        <v>1369</v>
      </c>
    </row>
    <row r="15" spans="1:1" x14ac:dyDescent="0.25">
      <c r="A15" t="s">
        <v>1370</v>
      </c>
    </row>
    <row r="16" spans="1:1" x14ac:dyDescent="0.25">
      <c r="A16" t="s">
        <v>1371</v>
      </c>
    </row>
    <row r="17" spans="1:1" x14ac:dyDescent="0.25">
      <c r="A17" t="s">
        <v>1372</v>
      </c>
    </row>
    <row r="18" spans="1:1" x14ac:dyDescent="0.25">
      <c r="A18" t="s">
        <v>1373</v>
      </c>
    </row>
    <row r="19" spans="1:1" x14ac:dyDescent="0.25">
      <c r="A19" t="s">
        <v>1374</v>
      </c>
    </row>
    <row r="20" spans="1:1" x14ac:dyDescent="0.25">
      <c r="A20" t="s">
        <v>1375</v>
      </c>
    </row>
    <row r="21" spans="1:1" x14ac:dyDescent="0.25">
      <c r="A21" t="s">
        <v>1376</v>
      </c>
    </row>
    <row r="22" spans="1:1" x14ac:dyDescent="0.25">
      <c r="A22" t="s">
        <v>1377</v>
      </c>
    </row>
    <row r="23" spans="1:1" x14ac:dyDescent="0.25">
      <c r="A23" t="s">
        <v>1378</v>
      </c>
    </row>
    <row r="24" spans="1:1" x14ac:dyDescent="0.25">
      <c r="A24" t="s">
        <v>1379</v>
      </c>
    </row>
    <row r="25" spans="1:1" x14ac:dyDescent="0.25">
      <c r="A25" t="s">
        <v>1380</v>
      </c>
    </row>
    <row r="26" spans="1:1" x14ac:dyDescent="0.25">
      <c r="A26" t="s">
        <v>1351</v>
      </c>
    </row>
    <row r="27" spans="1:1" x14ac:dyDescent="0.25">
      <c r="A27" t="s">
        <v>1352</v>
      </c>
    </row>
    <row r="28" spans="1:1" x14ac:dyDescent="0.25">
      <c r="A28" t="s">
        <v>1353</v>
      </c>
    </row>
    <row r="29" spans="1:1" x14ac:dyDescent="0.25">
      <c r="A29" t="s">
        <v>1354</v>
      </c>
    </row>
    <row r="30" spans="1:1" x14ac:dyDescent="0.25">
      <c r="A30" t="s">
        <v>1355</v>
      </c>
    </row>
    <row r="31" spans="1:1" x14ac:dyDescent="0.25">
      <c r="A31" t="s">
        <v>1307</v>
      </c>
    </row>
    <row r="32" spans="1:1" x14ac:dyDescent="0.25">
      <c r="A32" t="s">
        <v>1308</v>
      </c>
    </row>
    <row r="33" spans="1:1" x14ac:dyDescent="0.25">
      <c r="A33" t="s">
        <v>1309</v>
      </c>
    </row>
    <row r="34" spans="1:1" x14ac:dyDescent="0.25">
      <c r="A34" t="s">
        <v>1310</v>
      </c>
    </row>
    <row r="35" spans="1:1" x14ac:dyDescent="0.25">
      <c r="A35" t="s">
        <v>1311</v>
      </c>
    </row>
    <row r="36" spans="1:1" x14ac:dyDescent="0.25">
      <c r="A36" t="s">
        <v>1312</v>
      </c>
    </row>
    <row r="37" spans="1:1" x14ac:dyDescent="0.25">
      <c r="A37" t="s">
        <v>1313</v>
      </c>
    </row>
    <row r="38" spans="1:1" x14ac:dyDescent="0.25">
      <c r="A38" t="s">
        <v>1314</v>
      </c>
    </row>
    <row r="39" spans="1:1" x14ac:dyDescent="0.25">
      <c r="A39" t="s">
        <v>1315</v>
      </c>
    </row>
    <row r="40" spans="1:1" x14ac:dyDescent="0.25">
      <c r="A40" t="s">
        <v>1316</v>
      </c>
    </row>
    <row r="41" spans="1:1" x14ac:dyDescent="0.25">
      <c r="A41" t="s">
        <v>1317</v>
      </c>
    </row>
    <row r="42" spans="1:1" x14ac:dyDescent="0.25">
      <c r="A42" t="s">
        <v>1318</v>
      </c>
    </row>
    <row r="43" spans="1:1" x14ac:dyDescent="0.25">
      <c r="A43" t="s">
        <v>1319</v>
      </c>
    </row>
    <row r="44" spans="1:1" x14ac:dyDescent="0.25">
      <c r="A44" t="s">
        <v>1320</v>
      </c>
    </row>
    <row r="45" spans="1:1" x14ac:dyDescent="0.25">
      <c r="A45" t="s">
        <v>1321</v>
      </c>
    </row>
    <row r="46" spans="1:1" x14ac:dyDescent="0.25">
      <c r="A46" t="s">
        <v>1322</v>
      </c>
    </row>
    <row r="47" spans="1:1" x14ac:dyDescent="0.25">
      <c r="A47" t="s">
        <v>1323</v>
      </c>
    </row>
    <row r="48" spans="1:1" x14ac:dyDescent="0.25">
      <c r="A48" t="s">
        <v>1324</v>
      </c>
    </row>
    <row r="49" spans="1:1" x14ac:dyDescent="0.25">
      <c r="A49" t="s">
        <v>1325</v>
      </c>
    </row>
    <row r="50" spans="1:1" x14ac:dyDescent="0.25">
      <c r="A50" t="s">
        <v>1326</v>
      </c>
    </row>
    <row r="51" spans="1:1" x14ac:dyDescent="0.25">
      <c r="A51" t="s">
        <v>1327</v>
      </c>
    </row>
    <row r="52" spans="1:1" x14ac:dyDescent="0.25">
      <c r="A52" t="s">
        <v>1328</v>
      </c>
    </row>
    <row r="53" spans="1:1" x14ac:dyDescent="0.25">
      <c r="A53" t="s">
        <v>1329</v>
      </c>
    </row>
    <row r="54" spans="1:1" x14ac:dyDescent="0.25">
      <c r="A54" t="s">
        <v>1330</v>
      </c>
    </row>
    <row r="55" spans="1:1" x14ac:dyDescent="0.25">
      <c r="A55" t="s">
        <v>1331</v>
      </c>
    </row>
    <row r="56" spans="1:1" x14ac:dyDescent="0.25">
      <c r="A56" t="s">
        <v>1332</v>
      </c>
    </row>
    <row r="57" spans="1:1" x14ac:dyDescent="0.25">
      <c r="A57" t="s">
        <v>1333</v>
      </c>
    </row>
    <row r="58" spans="1:1" x14ac:dyDescent="0.25">
      <c r="A58" t="s">
        <v>1334</v>
      </c>
    </row>
    <row r="59" spans="1:1" x14ac:dyDescent="0.25">
      <c r="A59" t="s">
        <v>1335</v>
      </c>
    </row>
    <row r="60" spans="1:1" x14ac:dyDescent="0.25">
      <c r="A60" t="s">
        <v>1336</v>
      </c>
    </row>
    <row r="61" spans="1:1" x14ac:dyDescent="0.25">
      <c r="A61" t="s">
        <v>1337</v>
      </c>
    </row>
    <row r="62" spans="1:1" x14ac:dyDescent="0.25">
      <c r="A62" t="s">
        <v>1338</v>
      </c>
    </row>
    <row r="63" spans="1:1" x14ac:dyDescent="0.25">
      <c r="A63" t="s">
        <v>1339</v>
      </c>
    </row>
    <row r="64" spans="1:1" x14ac:dyDescent="0.25">
      <c r="A64" t="s">
        <v>1340</v>
      </c>
    </row>
    <row r="65" spans="1:1" x14ac:dyDescent="0.25">
      <c r="A65" t="s">
        <v>1341</v>
      </c>
    </row>
    <row r="66" spans="1:1" x14ac:dyDescent="0.25">
      <c r="A66" t="s">
        <v>1342</v>
      </c>
    </row>
    <row r="67" spans="1:1" x14ac:dyDescent="0.25">
      <c r="A67" t="s">
        <v>1343</v>
      </c>
    </row>
    <row r="68" spans="1:1" x14ac:dyDescent="0.25">
      <c r="A68" t="s">
        <v>1344</v>
      </c>
    </row>
    <row r="69" spans="1:1" x14ac:dyDescent="0.25">
      <c r="A69" t="s">
        <v>1345</v>
      </c>
    </row>
    <row r="70" spans="1:1" x14ac:dyDescent="0.25">
      <c r="A70" t="s">
        <v>1346</v>
      </c>
    </row>
    <row r="71" spans="1:1" x14ac:dyDescent="0.25">
      <c r="A71" t="s">
        <v>1347</v>
      </c>
    </row>
    <row r="72" spans="1:1" x14ac:dyDescent="0.25">
      <c r="A72" t="s">
        <v>1348</v>
      </c>
    </row>
    <row r="73" spans="1:1" x14ac:dyDescent="0.25">
      <c r="A73" t="s">
        <v>1349</v>
      </c>
    </row>
    <row r="74" spans="1:1" x14ac:dyDescent="0.25">
      <c r="A74" t="s">
        <v>1088</v>
      </c>
    </row>
    <row r="75" spans="1:1" x14ac:dyDescent="0.25">
      <c r="A75" t="s">
        <v>1089</v>
      </c>
    </row>
    <row r="76" spans="1:1" x14ac:dyDescent="0.25">
      <c r="A76" t="s">
        <v>1090</v>
      </c>
    </row>
    <row r="77" spans="1:1" x14ac:dyDescent="0.25">
      <c r="A77" t="s">
        <v>1091</v>
      </c>
    </row>
    <row r="78" spans="1:1" x14ac:dyDescent="0.25">
      <c r="A78" t="s">
        <v>1092</v>
      </c>
    </row>
    <row r="79" spans="1:1" x14ac:dyDescent="0.25">
      <c r="A79" t="s">
        <v>1093</v>
      </c>
    </row>
    <row r="80" spans="1:1" x14ac:dyDescent="0.25">
      <c r="A80" t="s">
        <v>1094</v>
      </c>
    </row>
    <row r="81" spans="1:1" x14ac:dyDescent="0.25">
      <c r="A81" t="s">
        <v>1095</v>
      </c>
    </row>
    <row r="82" spans="1:1" x14ac:dyDescent="0.25">
      <c r="A82" t="s">
        <v>1096</v>
      </c>
    </row>
    <row r="83" spans="1:1" x14ac:dyDescent="0.25">
      <c r="A83" t="s">
        <v>1097</v>
      </c>
    </row>
    <row r="84" spans="1:1" x14ac:dyDescent="0.25">
      <c r="A84" t="s">
        <v>1098</v>
      </c>
    </row>
    <row r="85" spans="1:1" x14ac:dyDescent="0.25">
      <c r="A85" t="s">
        <v>1099</v>
      </c>
    </row>
    <row r="86" spans="1:1" x14ac:dyDescent="0.25">
      <c r="A86" t="s">
        <v>1100</v>
      </c>
    </row>
    <row r="87" spans="1:1" x14ac:dyDescent="0.25">
      <c r="A87" t="s">
        <v>1101</v>
      </c>
    </row>
    <row r="88" spans="1:1" x14ac:dyDescent="0.25">
      <c r="A88" t="s">
        <v>1102</v>
      </c>
    </row>
    <row r="89" spans="1:1" x14ac:dyDescent="0.25">
      <c r="A89" t="s">
        <v>1103</v>
      </c>
    </row>
    <row r="90" spans="1:1" x14ac:dyDescent="0.25">
      <c r="A90" t="s">
        <v>1104</v>
      </c>
    </row>
    <row r="91" spans="1:1" x14ac:dyDescent="0.25">
      <c r="A91" t="s">
        <v>1105</v>
      </c>
    </row>
    <row r="92" spans="1:1" x14ac:dyDescent="0.25">
      <c r="A92" t="s">
        <v>1106</v>
      </c>
    </row>
    <row r="93" spans="1:1" x14ac:dyDescent="0.25">
      <c r="A93" t="s">
        <v>1107</v>
      </c>
    </row>
    <row r="94" spans="1:1" x14ac:dyDescent="0.25">
      <c r="A94" t="s">
        <v>1108</v>
      </c>
    </row>
    <row r="95" spans="1:1" x14ac:dyDescent="0.25">
      <c r="A95" t="s">
        <v>1109</v>
      </c>
    </row>
    <row r="96" spans="1:1" x14ac:dyDescent="0.25">
      <c r="A96" t="s">
        <v>1110</v>
      </c>
    </row>
    <row r="97" spans="1:1" x14ac:dyDescent="0.25">
      <c r="A97" t="s">
        <v>1111</v>
      </c>
    </row>
    <row r="98" spans="1:1" x14ac:dyDescent="0.25">
      <c r="A98" t="s">
        <v>1112</v>
      </c>
    </row>
    <row r="99" spans="1:1" x14ac:dyDescent="0.25">
      <c r="A99" t="s">
        <v>1113</v>
      </c>
    </row>
    <row r="100" spans="1:1" x14ac:dyDescent="0.25">
      <c r="A100" t="s">
        <v>1114</v>
      </c>
    </row>
    <row r="101" spans="1:1" x14ac:dyDescent="0.25">
      <c r="A101" t="s">
        <v>1115</v>
      </c>
    </row>
    <row r="102" spans="1:1" x14ac:dyDescent="0.25">
      <c r="A102" t="s">
        <v>1116</v>
      </c>
    </row>
    <row r="103" spans="1:1" x14ac:dyDescent="0.25">
      <c r="A103" t="s">
        <v>1117</v>
      </c>
    </row>
    <row r="104" spans="1:1" x14ac:dyDescent="0.25">
      <c r="A104" t="s">
        <v>1118</v>
      </c>
    </row>
    <row r="105" spans="1:1" x14ac:dyDescent="0.25">
      <c r="A105" t="s">
        <v>1119</v>
      </c>
    </row>
    <row r="106" spans="1:1" x14ac:dyDescent="0.25">
      <c r="A106" t="s">
        <v>1120</v>
      </c>
    </row>
    <row r="107" spans="1:1" x14ac:dyDescent="0.25">
      <c r="A107" t="s">
        <v>1121</v>
      </c>
    </row>
    <row r="108" spans="1:1" x14ac:dyDescent="0.25">
      <c r="A108" t="s">
        <v>1122</v>
      </c>
    </row>
    <row r="109" spans="1:1" x14ac:dyDescent="0.25">
      <c r="A109" t="s">
        <v>1123</v>
      </c>
    </row>
    <row r="110" spans="1:1" x14ac:dyDescent="0.25">
      <c r="A110" t="s">
        <v>1124</v>
      </c>
    </row>
    <row r="111" spans="1:1" x14ac:dyDescent="0.25">
      <c r="A111" t="s">
        <v>1125</v>
      </c>
    </row>
    <row r="112" spans="1:1" x14ac:dyDescent="0.25">
      <c r="A112" t="s">
        <v>1126</v>
      </c>
    </row>
    <row r="113" spans="1:1" x14ac:dyDescent="0.25">
      <c r="A113" t="s">
        <v>1127</v>
      </c>
    </row>
    <row r="114" spans="1:1" x14ac:dyDescent="0.25">
      <c r="A114" t="s">
        <v>1128</v>
      </c>
    </row>
    <row r="115" spans="1:1" x14ac:dyDescent="0.25">
      <c r="A115" t="s">
        <v>1129</v>
      </c>
    </row>
    <row r="116" spans="1:1" x14ac:dyDescent="0.25">
      <c r="A116" t="s">
        <v>1130</v>
      </c>
    </row>
    <row r="117" spans="1:1" x14ac:dyDescent="0.25">
      <c r="A117" t="s">
        <v>1131</v>
      </c>
    </row>
    <row r="118" spans="1:1" x14ac:dyDescent="0.25">
      <c r="A118" t="s">
        <v>1132</v>
      </c>
    </row>
    <row r="119" spans="1:1" x14ac:dyDescent="0.25">
      <c r="A119" t="s">
        <v>1133</v>
      </c>
    </row>
    <row r="120" spans="1:1" x14ac:dyDescent="0.25">
      <c r="A120" t="s">
        <v>1134</v>
      </c>
    </row>
    <row r="121" spans="1:1" x14ac:dyDescent="0.25">
      <c r="A121" t="s">
        <v>1135</v>
      </c>
    </row>
    <row r="122" spans="1:1" x14ac:dyDescent="0.25">
      <c r="A122" t="s">
        <v>1136</v>
      </c>
    </row>
    <row r="123" spans="1:1" x14ac:dyDescent="0.25">
      <c r="A123" t="s">
        <v>1137</v>
      </c>
    </row>
    <row r="124" spans="1:1" x14ac:dyDescent="0.25">
      <c r="A124" t="s">
        <v>1138</v>
      </c>
    </row>
    <row r="125" spans="1:1" x14ac:dyDescent="0.25">
      <c r="A125" t="s">
        <v>1139</v>
      </c>
    </row>
    <row r="126" spans="1:1" x14ac:dyDescent="0.25">
      <c r="A126" t="s">
        <v>1140</v>
      </c>
    </row>
    <row r="127" spans="1:1" x14ac:dyDescent="0.25">
      <c r="A127" t="s">
        <v>1141</v>
      </c>
    </row>
    <row r="128" spans="1:1" x14ac:dyDescent="0.25">
      <c r="A128" t="s">
        <v>1142</v>
      </c>
    </row>
    <row r="129" spans="1:1" x14ac:dyDescent="0.25">
      <c r="A129" t="s">
        <v>1143</v>
      </c>
    </row>
    <row r="130" spans="1:1" x14ac:dyDescent="0.25">
      <c r="A130" t="s">
        <v>1144</v>
      </c>
    </row>
    <row r="131" spans="1:1" x14ac:dyDescent="0.25">
      <c r="A131" t="s">
        <v>1145</v>
      </c>
    </row>
    <row r="132" spans="1:1" x14ac:dyDescent="0.25">
      <c r="A132" t="s">
        <v>1146</v>
      </c>
    </row>
    <row r="133" spans="1:1" x14ac:dyDescent="0.25">
      <c r="A133" t="s">
        <v>1147</v>
      </c>
    </row>
    <row r="134" spans="1:1" x14ac:dyDescent="0.25">
      <c r="A134" t="s">
        <v>1148</v>
      </c>
    </row>
    <row r="135" spans="1:1" x14ac:dyDescent="0.25">
      <c r="A135" t="s">
        <v>1149</v>
      </c>
    </row>
    <row r="136" spans="1:1" x14ac:dyDescent="0.25">
      <c r="A136" t="s">
        <v>1150</v>
      </c>
    </row>
    <row r="137" spans="1:1" x14ac:dyDescent="0.25">
      <c r="A137" t="s">
        <v>1151</v>
      </c>
    </row>
    <row r="138" spans="1:1" x14ac:dyDescent="0.25">
      <c r="A138" t="s">
        <v>1152</v>
      </c>
    </row>
    <row r="139" spans="1:1" x14ac:dyDescent="0.25">
      <c r="A139" t="s">
        <v>1153</v>
      </c>
    </row>
    <row r="140" spans="1:1" x14ac:dyDescent="0.25">
      <c r="A140" t="s">
        <v>1154</v>
      </c>
    </row>
    <row r="141" spans="1:1" x14ac:dyDescent="0.25">
      <c r="A141" t="s">
        <v>1155</v>
      </c>
    </row>
    <row r="142" spans="1:1" x14ac:dyDescent="0.25">
      <c r="A142" t="s">
        <v>1156</v>
      </c>
    </row>
    <row r="143" spans="1:1" x14ac:dyDescent="0.25">
      <c r="A143" t="s">
        <v>1157</v>
      </c>
    </row>
    <row r="144" spans="1:1" x14ac:dyDescent="0.25">
      <c r="A144" t="s">
        <v>1158</v>
      </c>
    </row>
    <row r="145" spans="1:1" x14ac:dyDescent="0.25">
      <c r="A145" t="s">
        <v>1159</v>
      </c>
    </row>
    <row r="146" spans="1:1" x14ac:dyDescent="0.25">
      <c r="A146" t="s">
        <v>1160</v>
      </c>
    </row>
    <row r="147" spans="1:1" x14ac:dyDescent="0.25">
      <c r="A147" t="s">
        <v>1161</v>
      </c>
    </row>
    <row r="148" spans="1:1" x14ac:dyDescent="0.25">
      <c r="A148" t="s">
        <v>1162</v>
      </c>
    </row>
    <row r="149" spans="1:1" x14ac:dyDescent="0.25">
      <c r="A149" t="s">
        <v>1163</v>
      </c>
    </row>
    <row r="150" spans="1:1" x14ac:dyDescent="0.25">
      <c r="A150" t="s">
        <v>1164</v>
      </c>
    </row>
    <row r="151" spans="1:1" x14ac:dyDescent="0.25">
      <c r="A151" t="s">
        <v>1165</v>
      </c>
    </row>
    <row r="152" spans="1:1" x14ac:dyDescent="0.25">
      <c r="A152" t="s">
        <v>1166</v>
      </c>
    </row>
    <row r="153" spans="1:1" x14ac:dyDescent="0.25">
      <c r="A153" t="s">
        <v>1167</v>
      </c>
    </row>
    <row r="154" spans="1:1" x14ac:dyDescent="0.25">
      <c r="A154" t="s">
        <v>1168</v>
      </c>
    </row>
    <row r="155" spans="1:1" x14ac:dyDescent="0.25">
      <c r="A155" t="s">
        <v>1169</v>
      </c>
    </row>
    <row r="156" spans="1:1" x14ac:dyDescent="0.25">
      <c r="A156" t="s">
        <v>1170</v>
      </c>
    </row>
    <row r="157" spans="1:1" x14ac:dyDescent="0.25">
      <c r="A157" t="s">
        <v>1171</v>
      </c>
    </row>
    <row r="158" spans="1:1" x14ac:dyDescent="0.25">
      <c r="A158" t="s">
        <v>1172</v>
      </c>
    </row>
    <row r="159" spans="1:1" x14ac:dyDescent="0.25">
      <c r="A159" t="s">
        <v>1173</v>
      </c>
    </row>
    <row r="160" spans="1:1" x14ac:dyDescent="0.25">
      <c r="A160" t="s">
        <v>1174</v>
      </c>
    </row>
    <row r="161" spans="1:1" x14ac:dyDescent="0.25">
      <c r="A161" t="s">
        <v>1175</v>
      </c>
    </row>
    <row r="162" spans="1:1" x14ac:dyDescent="0.25">
      <c r="A162" t="s">
        <v>1176</v>
      </c>
    </row>
    <row r="163" spans="1:1" x14ac:dyDescent="0.25">
      <c r="A163" t="s">
        <v>1177</v>
      </c>
    </row>
    <row r="164" spans="1:1" x14ac:dyDescent="0.25">
      <c r="A164" t="s">
        <v>1178</v>
      </c>
    </row>
    <row r="165" spans="1:1" x14ac:dyDescent="0.25">
      <c r="A165" t="s">
        <v>1179</v>
      </c>
    </row>
    <row r="166" spans="1:1" x14ac:dyDescent="0.25">
      <c r="A166" t="s">
        <v>1180</v>
      </c>
    </row>
    <row r="167" spans="1:1" x14ac:dyDescent="0.25">
      <c r="A167" t="s">
        <v>1181</v>
      </c>
    </row>
    <row r="168" spans="1:1" x14ac:dyDescent="0.25">
      <c r="A168" t="s">
        <v>1182</v>
      </c>
    </row>
    <row r="169" spans="1:1" x14ac:dyDescent="0.25">
      <c r="A169" t="s">
        <v>1183</v>
      </c>
    </row>
    <row r="170" spans="1:1" x14ac:dyDescent="0.25">
      <c r="A170" t="s">
        <v>1184</v>
      </c>
    </row>
    <row r="171" spans="1:1" x14ac:dyDescent="0.25">
      <c r="A171" t="s">
        <v>1185</v>
      </c>
    </row>
    <row r="172" spans="1:1" x14ac:dyDescent="0.25">
      <c r="A172" t="s">
        <v>1186</v>
      </c>
    </row>
    <row r="173" spans="1:1" x14ac:dyDescent="0.25">
      <c r="A173" t="s">
        <v>1187</v>
      </c>
    </row>
    <row r="174" spans="1:1" x14ac:dyDescent="0.25">
      <c r="A174" t="s">
        <v>1188</v>
      </c>
    </row>
    <row r="175" spans="1:1" x14ac:dyDescent="0.25">
      <c r="A175" t="s">
        <v>1189</v>
      </c>
    </row>
    <row r="176" spans="1:1" x14ac:dyDescent="0.25">
      <c r="A176" t="s">
        <v>1190</v>
      </c>
    </row>
    <row r="177" spans="1:1" x14ac:dyDescent="0.25">
      <c r="A177" t="s">
        <v>1191</v>
      </c>
    </row>
    <row r="178" spans="1:1" x14ac:dyDescent="0.25">
      <c r="A178" t="s">
        <v>1192</v>
      </c>
    </row>
    <row r="179" spans="1:1" x14ac:dyDescent="0.25">
      <c r="A179" t="s">
        <v>1193</v>
      </c>
    </row>
    <row r="180" spans="1:1" x14ac:dyDescent="0.25">
      <c r="A180" t="s">
        <v>1194</v>
      </c>
    </row>
    <row r="181" spans="1:1" x14ac:dyDescent="0.25">
      <c r="A181" t="s">
        <v>1195</v>
      </c>
    </row>
    <row r="182" spans="1:1" x14ac:dyDescent="0.25">
      <c r="A182" t="s">
        <v>1196</v>
      </c>
    </row>
    <row r="183" spans="1:1" x14ac:dyDescent="0.25">
      <c r="A183" t="s">
        <v>1197</v>
      </c>
    </row>
    <row r="184" spans="1:1" x14ac:dyDescent="0.25">
      <c r="A184" t="s">
        <v>1198</v>
      </c>
    </row>
    <row r="185" spans="1:1" x14ac:dyDescent="0.25">
      <c r="A185" t="s">
        <v>1199</v>
      </c>
    </row>
    <row r="186" spans="1:1" x14ac:dyDescent="0.25">
      <c r="A186" t="s">
        <v>1200</v>
      </c>
    </row>
    <row r="187" spans="1:1" x14ac:dyDescent="0.25">
      <c r="A187" t="s">
        <v>1201</v>
      </c>
    </row>
    <row r="188" spans="1:1" x14ac:dyDescent="0.25">
      <c r="A188" t="s">
        <v>1202</v>
      </c>
    </row>
    <row r="189" spans="1:1" x14ac:dyDescent="0.25">
      <c r="A189" t="s">
        <v>1203</v>
      </c>
    </row>
    <row r="190" spans="1:1" x14ac:dyDescent="0.25">
      <c r="A190" t="s">
        <v>1204</v>
      </c>
    </row>
    <row r="191" spans="1:1" x14ac:dyDescent="0.25">
      <c r="A191" t="s">
        <v>1205</v>
      </c>
    </row>
    <row r="192" spans="1:1" x14ac:dyDescent="0.25">
      <c r="A192" t="s">
        <v>1206</v>
      </c>
    </row>
    <row r="193" spans="1:1" x14ac:dyDescent="0.25">
      <c r="A193" t="s">
        <v>1207</v>
      </c>
    </row>
    <row r="194" spans="1:1" x14ac:dyDescent="0.25">
      <c r="A194" t="s">
        <v>1208</v>
      </c>
    </row>
    <row r="195" spans="1:1" x14ac:dyDescent="0.25">
      <c r="A195" t="s">
        <v>1209</v>
      </c>
    </row>
    <row r="196" spans="1:1" x14ac:dyDescent="0.25">
      <c r="A196" t="s">
        <v>1210</v>
      </c>
    </row>
    <row r="197" spans="1:1" x14ac:dyDescent="0.25">
      <c r="A197" t="s">
        <v>1211</v>
      </c>
    </row>
    <row r="198" spans="1:1" x14ac:dyDescent="0.25">
      <c r="A198" t="s">
        <v>1212</v>
      </c>
    </row>
    <row r="199" spans="1:1" x14ac:dyDescent="0.25">
      <c r="A199" t="s">
        <v>1213</v>
      </c>
    </row>
    <row r="200" spans="1:1" x14ac:dyDescent="0.25">
      <c r="A200" t="s">
        <v>1214</v>
      </c>
    </row>
    <row r="201" spans="1:1" x14ac:dyDescent="0.25">
      <c r="A201" t="s">
        <v>1215</v>
      </c>
    </row>
    <row r="202" spans="1:1" x14ac:dyDescent="0.25">
      <c r="A202" t="s">
        <v>1216</v>
      </c>
    </row>
    <row r="203" spans="1:1" x14ac:dyDescent="0.25">
      <c r="A203" t="s">
        <v>1217</v>
      </c>
    </row>
    <row r="204" spans="1:1" x14ac:dyDescent="0.25">
      <c r="A204" t="s">
        <v>1218</v>
      </c>
    </row>
    <row r="205" spans="1:1" x14ac:dyDescent="0.25">
      <c r="A205" t="s">
        <v>1219</v>
      </c>
    </row>
    <row r="206" spans="1:1" x14ac:dyDescent="0.25">
      <c r="A206" t="s">
        <v>1220</v>
      </c>
    </row>
    <row r="207" spans="1:1" x14ac:dyDescent="0.25">
      <c r="A207" t="s">
        <v>1221</v>
      </c>
    </row>
    <row r="208" spans="1:1" x14ac:dyDescent="0.25">
      <c r="A208" t="s">
        <v>1222</v>
      </c>
    </row>
    <row r="209" spans="1:1" x14ac:dyDescent="0.25">
      <c r="A209" t="s">
        <v>1223</v>
      </c>
    </row>
    <row r="210" spans="1:1" x14ac:dyDescent="0.25">
      <c r="A210" t="s">
        <v>1224</v>
      </c>
    </row>
    <row r="211" spans="1:1" x14ac:dyDescent="0.25">
      <c r="A211" t="s">
        <v>1225</v>
      </c>
    </row>
    <row r="212" spans="1:1" x14ac:dyDescent="0.25">
      <c r="A212" t="s">
        <v>1226</v>
      </c>
    </row>
    <row r="213" spans="1:1" x14ac:dyDescent="0.25">
      <c r="A213" t="s">
        <v>1227</v>
      </c>
    </row>
    <row r="214" spans="1:1" x14ac:dyDescent="0.25">
      <c r="A214" t="s">
        <v>1228</v>
      </c>
    </row>
    <row r="215" spans="1:1" x14ac:dyDescent="0.25">
      <c r="A215" t="s">
        <v>1229</v>
      </c>
    </row>
    <row r="216" spans="1:1" x14ac:dyDescent="0.25">
      <c r="A216" t="s">
        <v>1230</v>
      </c>
    </row>
    <row r="217" spans="1:1" x14ac:dyDescent="0.25">
      <c r="A217" t="s">
        <v>1231</v>
      </c>
    </row>
    <row r="218" spans="1:1" x14ac:dyDescent="0.25">
      <c r="A218" t="s">
        <v>1232</v>
      </c>
    </row>
    <row r="219" spans="1:1" x14ac:dyDescent="0.25">
      <c r="A219" t="s">
        <v>1233</v>
      </c>
    </row>
    <row r="220" spans="1:1" x14ac:dyDescent="0.25">
      <c r="A220" t="s">
        <v>1234</v>
      </c>
    </row>
    <row r="221" spans="1:1" x14ac:dyDescent="0.25">
      <c r="A221" t="s">
        <v>1235</v>
      </c>
    </row>
    <row r="222" spans="1:1" x14ac:dyDescent="0.25">
      <c r="A222" t="s">
        <v>1236</v>
      </c>
    </row>
    <row r="223" spans="1:1" x14ac:dyDescent="0.25">
      <c r="A223" t="s">
        <v>1237</v>
      </c>
    </row>
    <row r="224" spans="1:1" x14ac:dyDescent="0.25">
      <c r="A224" t="s">
        <v>1238</v>
      </c>
    </row>
    <row r="225" spans="1:1" x14ac:dyDescent="0.25">
      <c r="A225" t="s">
        <v>1239</v>
      </c>
    </row>
    <row r="226" spans="1:1" x14ac:dyDescent="0.25">
      <c r="A226" t="s">
        <v>1240</v>
      </c>
    </row>
    <row r="227" spans="1:1" x14ac:dyDescent="0.25">
      <c r="A227" t="s">
        <v>1241</v>
      </c>
    </row>
    <row r="228" spans="1:1" x14ac:dyDescent="0.25">
      <c r="A228" t="s">
        <v>1242</v>
      </c>
    </row>
    <row r="229" spans="1:1" x14ac:dyDescent="0.25">
      <c r="A229" t="s">
        <v>1243</v>
      </c>
    </row>
    <row r="230" spans="1:1" x14ac:dyDescent="0.25">
      <c r="A230" t="s">
        <v>1244</v>
      </c>
    </row>
    <row r="231" spans="1:1" x14ac:dyDescent="0.25">
      <c r="A231" t="s">
        <v>1245</v>
      </c>
    </row>
    <row r="232" spans="1:1" x14ac:dyDescent="0.25">
      <c r="A232" t="s">
        <v>1246</v>
      </c>
    </row>
    <row r="233" spans="1:1" x14ac:dyDescent="0.25">
      <c r="A233" t="s">
        <v>1247</v>
      </c>
    </row>
    <row r="234" spans="1:1" x14ac:dyDescent="0.25">
      <c r="A234" t="s">
        <v>1248</v>
      </c>
    </row>
    <row r="235" spans="1:1" x14ac:dyDescent="0.25">
      <c r="A235" t="s">
        <v>1249</v>
      </c>
    </row>
    <row r="236" spans="1:1" x14ac:dyDescent="0.25">
      <c r="A236" t="s">
        <v>1250</v>
      </c>
    </row>
    <row r="237" spans="1:1" x14ac:dyDescent="0.25">
      <c r="A237" t="s">
        <v>1251</v>
      </c>
    </row>
    <row r="238" spans="1:1" x14ac:dyDescent="0.25">
      <c r="A238" t="s">
        <v>1252</v>
      </c>
    </row>
    <row r="239" spans="1:1" x14ac:dyDescent="0.25">
      <c r="A239" t="s">
        <v>1253</v>
      </c>
    </row>
    <row r="240" spans="1:1" x14ac:dyDescent="0.25">
      <c r="A240" t="s">
        <v>1254</v>
      </c>
    </row>
    <row r="241" spans="1:1" x14ac:dyDescent="0.25">
      <c r="A241" t="s">
        <v>1255</v>
      </c>
    </row>
    <row r="242" spans="1:1" x14ac:dyDescent="0.25">
      <c r="A242" t="s">
        <v>1256</v>
      </c>
    </row>
    <row r="243" spans="1:1" x14ac:dyDescent="0.25">
      <c r="A243" t="s">
        <v>1257</v>
      </c>
    </row>
    <row r="244" spans="1:1" x14ac:dyDescent="0.25">
      <c r="A244" t="s">
        <v>1258</v>
      </c>
    </row>
    <row r="245" spans="1:1" x14ac:dyDescent="0.25">
      <c r="A245" t="s">
        <v>1259</v>
      </c>
    </row>
    <row r="246" spans="1:1" x14ac:dyDescent="0.25">
      <c r="A246" t="s">
        <v>1260</v>
      </c>
    </row>
    <row r="247" spans="1:1" x14ac:dyDescent="0.25">
      <c r="A247" t="s">
        <v>1261</v>
      </c>
    </row>
    <row r="248" spans="1:1" x14ac:dyDescent="0.25">
      <c r="A248" t="s">
        <v>1262</v>
      </c>
    </row>
    <row r="249" spans="1:1" x14ac:dyDescent="0.25">
      <c r="A249" t="s">
        <v>1263</v>
      </c>
    </row>
    <row r="250" spans="1:1" x14ac:dyDescent="0.25">
      <c r="A250" t="s">
        <v>1264</v>
      </c>
    </row>
    <row r="251" spans="1:1" x14ac:dyDescent="0.25">
      <c r="A251" t="s">
        <v>1265</v>
      </c>
    </row>
    <row r="252" spans="1:1" x14ac:dyDescent="0.25">
      <c r="A252" t="s">
        <v>1266</v>
      </c>
    </row>
    <row r="253" spans="1:1" x14ac:dyDescent="0.25">
      <c r="A253" t="s">
        <v>1267</v>
      </c>
    </row>
    <row r="254" spans="1:1" x14ac:dyDescent="0.25">
      <c r="A254" t="s">
        <v>1268</v>
      </c>
    </row>
    <row r="255" spans="1:1" x14ac:dyDescent="0.25">
      <c r="A255" t="s">
        <v>1269</v>
      </c>
    </row>
    <row r="256" spans="1:1" x14ac:dyDescent="0.25">
      <c r="A256" t="s">
        <v>1270</v>
      </c>
    </row>
    <row r="257" spans="1:1" x14ac:dyDescent="0.25">
      <c r="A257" t="s">
        <v>1271</v>
      </c>
    </row>
    <row r="258" spans="1:1" x14ac:dyDescent="0.25">
      <c r="A258" t="s">
        <v>1272</v>
      </c>
    </row>
    <row r="259" spans="1:1" x14ac:dyDescent="0.25">
      <c r="A259" t="s">
        <v>1273</v>
      </c>
    </row>
    <row r="260" spans="1:1" x14ac:dyDescent="0.25">
      <c r="A260" t="s">
        <v>1274</v>
      </c>
    </row>
    <row r="261" spans="1:1" x14ac:dyDescent="0.25">
      <c r="A261" t="s">
        <v>1275</v>
      </c>
    </row>
    <row r="262" spans="1:1" x14ac:dyDescent="0.25">
      <c r="A262" t="s">
        <v>1276</v>
      </c>
    </row>
    <row r="263" spans="1:1" x14ac:dyDescent="0.25">
      <c r="A263" t="s">
        <v>1277</v>
      </c>
    </row>
    <row r="264" spans="1:1" x14ac:dyDescent="0.25">
      <c r="A264" t="s">
        <v>1278</v>
      </c>
    </row>
    <row r="265" spans="1:1" x14ac:dyDescent="0.25">
      <c r="A265" t="s">
        <v>1279</v>
      </c>
    </row>
    <row r="266" spans="1:1" x14ac:dyDescent="0.25">
      <c r="A266" t="s">
        <v>1280</v>
      </c>
    </row>
    <row r="267" spans="1:1" x14ac:dyDescent="0.25">
      <c r="A267" t="s">
        <v>1281</v>
      </c>
    </row>
    <row r="268" spans="1:1" x14ac:dyDescent="0.25">
      <c r="A268" t="s">
        <v>1282</v>
      </c>
    </row>
    <row r="269" spans="1:1" x14ac:dyDescent="0.25">
      <c r="A269" t="s">
        <v>1283</v>
      </c>
    </row>
    <row r="270" spans="1:1" x14ac:dyDescent="0.25">
      <c r="A270" t="s">
        <v>1284</v>
      </c>
    </row>
    <row r="271" spans="1:1" x14ac:dyDescent="0.25">
      <c r="A271" t="s">
        <v>1285</v>
      </c>
    </row>
    <row r="272" spans="1:1" x14ac:dyDescent="0.25">
      <c r="A272" t="s">
        <v>1286</v>
      </c>
    </row>
    <row r="273" spans="1:1" x14ac:dyDescent="0.25">
      <c r="A273" t="s">
        <v>1287</v>
      </c>
    </row>
    <row r="274" spans="1:1" x14ac:dyDescent="0.25">
      <c r="A274" t="s">
        <v>1288</v>
      </c>
    </row>
    <row r="275" spans="1:1" x14ac:dyDescent="0.25">
      <c r="A275" t="s">
        <v>1289</v>
      </c>
    </row>
    <row r="276" spans="1:1" x14ac:dyDescent="0.25">
      <c r="A276" t="s">
        <v>1290</v>
      </c>
    </row>
    <row r="277" spans="1:1" x14ac:dyDescent="0.25">
      <c r="A277" t="s">
        <v>1291</v>
      </c>
    </row>
    <row r="278" spans="1:1" x14ac:dyDescent="0.25">
      <c r="A278" t="s">
        <v>1292</v>
      </c>
    </row>
    <row r="279" spans="1:1" x14ac:dyDescent="0.25">
      <c r="A279" t="s">
        <v>1293</v>
      </c>
    </row>
    <row r="280" spans="1:1" x14ac:dyDescent="0.25">
      <c r="A280" t="s">
        <v>1294</v>
      </c>
    </row>
    <row r="281" spans="1:1" x14ac:dyDescent="0.25">
      <c r="A281" t="s">
        <v>1295</v>
      </c>
    </row>
    <row r="282" spans="1:1" x14ac:dyDescent="0.25">
      <c r="A282" t="s">
        <v>1296</v>
      </c>
    </row>
    <row r="283" spans="1:1" x14ac:dyDescent="0.25">
      <c r="A283" t="s">
        <v>1297</v>
      </c>
    </row>
    <row r="284" spans="1:1" x14ac:dyDescent="0.25">
      <c r="A284" t="s">
        <v>1298</v>
      </c>
    </row>
    <row r="285" spans="1:1" x14ac:dyDescent="0.25">
      <c r="A285" t="s">
        <v>1299</v>
      </c>
    </row>
    <row r="286" spans="1:1" x14ac:dyDescent="0.25">
      <c r="A286" t="s">
        <v>1300</v>
      </c>
    </row>
    <row r="287" spans="1:1" x14ac:dyDescent="0.25">
      <c r="A287" t="s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37</vt:i4>
      </vt:variant>
    </vt:vector>
  </HeadingPairs>
  <TitlesOfParts>
    <vt:vector size="40" baseType="lpstr">
      <vt:lpstr>new group adj</vt:lpstr>
      <vt:lpstr>{AR}01</vt:lpstr>
      <vt:lpstr>{PL}PickLst</vt:lpstr>
      <vt:lpstr>db_name</vt:lpstr>
      <vt:lpstr>psApp</vt:lpstr>
      <vt:lpstr>psApplyParam</vt:lpstr>
      <vt:lpstr>psComments</vt:lpstr>
      <vt:lpstr>psControlType</vt:lpstr>
      <vt:lpstr>psDesc</vt:lpstr>
      <vt:lpstr>psGroupAdjType</vt:lpstr>
      <vt:lpstr>psMeasCode</vt:lpstr>
      <vt:lpstr>psReason</vt:lpstr>
      <vt:lpstr>psTitle</vt:lpstr>
      <vt:lpstr>psUser</vt:lpstr>
      <vt:lpstr>TM1AdjIDListCAP</vt:lpstr>
      <vt:lpstr>TM1AdjIDListWB</vt:lpstr>
      <vt:lpstr>TM1AdjIDListWS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'new group adj'!TM1RPTFMTIDCOL</vt:lpstr>
      <vt:lpstr>'new group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2019-04-05T03:30:50Z</dcterms:created>
  <dcterms:modified xsi:type="dcterms:W3CDTF">2025-08-11T06:12:34Z</dcterms:modified>
</cp:coreProperties>
</file>