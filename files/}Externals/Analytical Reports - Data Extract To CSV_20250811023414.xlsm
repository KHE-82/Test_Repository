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C3F1E0D-64DD-4800-B1DF-A93E13B7960C}" xr6:coauthVersionLast="47" xr6:coauthVersionMax="47" xr10:uidLastSave="{00000000-0000-0000-0000-000000000000}"/>
  <bookViews>
    <workbookView xWindow="28680" yWindow="-120" windowWidth="29040" windowHeight="15840" xr2:uid="{BC266C2D-0680-4645-9C80-2C341E2575D0}"/>
  </bookViews>
  <sheets>
    <sheet name="data extract" sheetId="1" r:id="rId1"/>
    <sheet name="{PL}PickLst" sheetId="3" state="hidden" r:id="rId2"/>
  </sheets>
  <definedNames>
    <definedName name="ab_confirmation">'data extract'!$G$22</definedName>
    <definedName name="ab_failure">'data extract'!$G$21</definedName>
    <definedName name="ab_success">'data extract'!$G$20</definedName>
    <definedName name="db_name">'data extract'!$C$12</definedName>
    <definedName name="Freeze_here">'data extract'!$A$58</definedName>
    <definedName name="psApp">'data extract'!$C$37</definedName>
    <definedName name="psExtractType">'data extract'!$M$69</definedName>
    <definedName name="psFullHLExtract">'data extract'!$M$67</definedName>
    <definedName name="psHLYear">'data extract'!$M$62</definedName>
    <definedName name="psProg">'data extract'!$M$65</definedName>
    <definedName name="psScenario">'data extract'!$M$63</definedName>
    <definedName name="psStatus">'data extract'!$M$64</definedName>
    <definedName name="psUser">'data extract'!$C$17</definedName>
    <definedName name="TM1AdjIDListCAP">'data extract'!$D$46</definedName>
    <definedName name="TM1AdjIDListWB">'data extract'!$F$46</definedName>
    <definedName name="TM1AdjIDListWS">'data extract'!$H$46</definedName>
    <definedName name="TM1HomeAdminCAP">'data extract'!$D$43</definedName>
    <definedName name="TM1HomeAdminRDSCAP">'data extract'!$D$44</definedName>
    <definedName name="TM1HomeAdminRDSWB">'data extract'!$F$44</definedName>
    <definedName name="TM1HomeAdminRDSWS">'data extract'!$H$44</definedName>
    <definedName name="TM1HomeAdminWB">'data extract'!$F$43</definedName>
    <definedName name="TM1HomeAdminWS">'data extract'!$H$43</definedName>
    <definedName name="TM1HomeAECAP">'data extract'!$D$40</definedName>
    <definedName name="TM1HomeAEWB">'data extract'!$F$40</definedName>
    <definedName name="TM1HomeAEWS">'data extract'!$H$40</definedName>
    <definedName name="TM1HomeCAP">'data extract'!$D$39</definedName>
    <definedName name="TM1HomeRepAnalyticalCAP">'data extract'!$D$47</definedName>
    <definedName name="TM1HomeRepAnalyticalWB">'data extract'!$F$47</definedName>
    <definedName name="TM1HomeRepAnalyticalWS">'data extract'!$H$47</definedName>
    <definedName name="TM1HomeRepCAP">'data extract'!$D$41</definedName>
    <definedName name="TM1HomeRepOtherCAP">'data extract'!$D$42</definedName>
    <definedName name="TM1HomeRepOtherWB">'data extract'!$F$42</definedName>
    <definedName name="TM1HomeRepOtherWS">'data extract'!$H$42</definedName>
    <definedName name="TM1HomeRepWB">'data extract'!$F$41</definedName>
    <definedName name="TM1HomeRepWS">'data extract'!$H$41</definedName>
    <definedName name="TM1HomeUnderCAP">'data extract'!$D$45</definedName>
    <definedName name="TM1HomeUnderWB">'data extract'!$F$45</definedName>
    <definedName name="TM1HomeUnderWS">'data extract'!$H$45</definedName>
    <definedName name="TM1HomeWB">'data extract'!$F$39</definedName>
    <definedName name="TM1HomeWS">'data extract'!$H$39</definedName>
    <definedName name="TM1REBUILDOPTION">1</definedName>
    <definedName name="TM1RPTFMTIDCOL" localSheetId="0">'data extract'!$A$1:$A$8</definedName>
    <definedName name="TM1RPTFMTRNG" localSheetId="0">'data extract'!$F$1:$P$8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5" i="1" l="1"/>
  <c r="M64" i="1"/>
  <c r="C20" i="1"/>
  <c r="C23" i="1"/>
  <c r="M63" i="1"/>
  <c r="C22" i="1"/>
  <c r="M62" i="1"/>
  <c r="C36" i="1"/>
  <c r="H42" i="1"/>
  <c r="G42" i="1"/>
  <c r="F42" i="1"/>
  <c r="E42" i="1"/>
  <c r="D42" i="1"/>
  <c r="C42" i="1"/>
  <c r="C26" i="1"/>
  <c r="G20" i="1"/>
  <c r="H47" i="1"/>
  <c r="G47" i="1"/>
  <c r="F47" i="1"/>
  <c r="E47" i="1"/>
  <c r="D47" i="1"/>
  <c r="C47" i="1"/>
  <c r="H46" i="1"/>
  <c r="G46" i="1"/>
  <c r="F46" i="1"/>
  <c r="E46" i="1"/>
  <c r="D46" i="1"/>
  <c r="C46" i="1"/>
  <c r="M69" i="1"/>
  <c r="M71" i="1"/>
  <c r="M67" i="1"/>
  <c r="H44" i="1"/>
  <c r="G44" i="1"/>
  <c r="F44" i="1"/>
  <c r="E44" i="1"/>
  <c r="D44" i="1"/>
  <c r="C44" i="1"/>
  <c r="C14" i="1"/>
  <c r="H45" i="1"/>
  <c r="G45" i="1"/>
  <c r="F45" i="1"/>
  <c r="E45" i="1"/>
  <c r="D45" i="1"/>
  <c r="C45" i="1"/>
  <c r="H43" i="1"/>
  <c r="G43" i="1"/>
  <c r="F43" i="1"/>
  <c r="E43" i="1"/>
  <c r="D43" i="1"/>
  <c r="C43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C17" i="1"/>
  <c r="C13" i="1"/>
  <c r="C16" i="1"/>
  <c r="C15" i="1"/>
  <c r="C29" i="1"/>
  <c r="C24" i="1"/>
  <c r="C25" i="1"/>
  <c r="C33" i="1"/>
  <c r="C32" i="1"/>
  <c r="C31" i="1"/>
  <c r="C30" i="1"/>
  <c r="A5" i="1"/>
  <c r="A4" i="1"/>
  <c r="A3" i="1"/>
  <c r="A2" i="1"/>
</calcChain>
</file>

<file path=xl/sharedStrings.xml><?xml version="1.0" encoding="utf-8"?>
<sst xmlns="http://schemas.openxmlformats.org/spreadsheetml/2006/main" count="68" uniqueCount="67">
  <si>
    <t>Workbook</t>
  </si>
  <si>
    <t>Worksheet</t>
  </si>
  <si>
    <t>D</t>
  </si>
  <si>
    <t>N</t>
  </si>
  <si>
    <t>[Begin Format Range]</t>
  </si>
  <si>
    <t>[End Format Range]</t>
  </si>
  <si>
    <t>Application</t>
  </si>
  <si>
    <t>Caption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</si>
  <si>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</si>
  <si>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</si>
  <si>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</si>
  <si>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</si>
  <si>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</si>
  <si>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</si>
  <si>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</si>
  <si>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</si>
  <si>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</si>
  <si>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</si>
  <si>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</si>
  <si>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</si>
  <si>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</si>
  <si>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</si>
  <si>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</si>
  <si>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</si>
  <si>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</si>
  <si>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</si>
  <si>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</si>
  <si>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</si>
  <si>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</si>
  <si>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</si>
  <si>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</si>
  <si>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 Name</t>
  </si>
  <si>
    <t>Workbook Name</t>
  </si>
  <si>
    <t>Worksheet Name</t>
  </si>
  <si>
    <t>Slice View (sys_application)</t>
  </si>
  <si>
    <t>sys_clilent favourite application</t>
  </si>
  <si>
    <t>Homepage - Administration - RDS</t>
  </si>
  <si>
    <t>Current Workbook</t>
  </si>
  <si>
    <t>Admin - News Item Homepage</t>
  </si>
  <si>
    <t>Variable measure</t>
  </si>
  <si>
    <t>value</t>
  </si>
  <si>
    <t>importance</t>
  </si>
  <si>
    <t>news</t>
  </si>
  <si>
    <t>normal</t>
  </si>
  <si>
    <t>critical</t>
  </si>
  <si>
    <t>Data Extract To CSV</t>
  </si>
  <si>
    <t>REPORT PARAMETERS</t>
  </si>
  <si>
    <t xml:space="preserve">Headline Year : </t>
  </si>
  <si>
    <t xml:space="preserve">Scenario : </t>
  </si>
  <si>
    <t xml:space="preserve">Status : </t>
  </si>
  <si>
    <t xml:space="preserve">Program : </t>
  </si>
  <si>
    <t xml:space="preserve">Full Headline Year Extract : </t>
  </si>
  <si>
    <t xml:space="preserve">Extract Type : </t>
  </si>
  <si>
    <t xml:space="preserve">Extract Directory : </t>
  </si>
  <si>
    <t>save location</t>
  </si>
  <si>
    <t>Note : This screen allows to extract all relevant data from GEUS</t>
  </si>
  <si>
    <t>Adjustment - ID List</t>
  </si>
  <si>
    <t>Homepage - Reports - Analytical</t>
  </si>
  <si>
    <t>Action Button Messages</t>
  </si>
  <si>
    <t>Success</t>
  </si>
  <si>
    <t>Failure</t>
  </si>
  <si>
    <t xml:space="preserve">Extract FAILED. Please review parameters or contact the GBMS System Administrator. </t>
  </si>
  <si>
    <t>Confirmation</t>
  </si>
  <si>
    <t>Are you sure you want to extract the following data sets?</t>
  </si>
  <si>
    <t>Homepage - Reports - Other</t>
  </si>
  <si>
    <t>Note : Adjusted Base is Closing Balance only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</si>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</sst>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i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>
      <protection locked="0"/>
    </xf>
  </cellStyleXfs>
  <cellXfs count="2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4" fillId="3" borderId="0" xfId="0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7" fillId="4" borderId="7" xfId="0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1" xfId="0" applyBorder="1" applyAlignment="1" applyProtection="1">
      <alignment horizontal="left" indent="1"/>
      <protection locked="0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1" xfId="0" applyFill="1" applyBorder="1" applyAlignment="1" applyProtection="1">
      <alignment horizontal="left" indent="1"/>
      <protection locked="0"/>
    </xf>
    <xf numFmtId="0" fontId="6" fillId="0" borderId="0" xfId="0" applyFont="1" applyAlignment="1">
      <alignment horizontal="left"/>
    </xf>
    <xf numFmtId="0" fontId="3" fillId="2" borderId="1" xfId="0" applyFont="1" applyFill="1" applyBorder="1" applyAlignment="1">
      <alignment horizontal="left" indent="1"/>
    </xf>
    <xf numFmtId="0" fontId="1" fillId="0" borderId="1" xfId="0" applyFont="1" applyBorder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Normal" xfId="0" builtinId="0"/>
    <cellStyle name="Normal 2" xfId="1" xr:uid="{A2B67CD9-5582-4426-A06D-CD56C372B89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52</xdr:row>
      <xdr:rowOff>19050</xdr:rowOff>
    </xdr:from>
    <xdr:to>
      <xdr:col>11</xdr:col>
      <xdr:colOff>1424940</xdr:colOff>
      <xdr:row>52</xdr:row>
      <xdr:rowOff>472440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2838450</xdr:colOff>
      <xdr:row>54</xdr:row>
      <xdr:rowOff>0</xdr:rowOff>
    </xdr:from>
    <xdr:to>
      <xdr:col>12</xdr:col>
      <xdr:colOff>3543300</xdr:colOff>
      <xdr:row>54</xdr:row>
      <xdr:rowOff>247650</xdr:rowOff>
    </xdr:to>
    <xdr:sp macro="Sheet1.ExecuteAction_cf6a0c25_eda3_495b_ac3b_fb70919e110a" textlink="">
      <xdr:nvSpPr>
        <xdr:cNvPr id="2" name="TM1Button_cf6a0c25_eda3_495b_ac3b_fb70919e110a">
          <a:extLst>
            <a:ext uri="{FF2B5EF4-FFF2-40B4-BE49-F238E27FC236}">
              <a16:creationId xmlns:a16="http://schemas.microsoft.com/office/drawing/2014/main" id="{237D0BF1-26B7-8057-BFFC-50A7561DF7AB}"/>
            </a:ext>
          </a:extLst>
        </xdr:cNvPr>
        <xdr:cNvSpPr txBox="1"/>
      </xdr:nvSpPr>
      <xdr:spPr>
        <a:xfrm>
          <a:off x="5324475" y="561975"/>
          <a:ext cx="7048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</a:t>
          </a:r>
        </a:p>
      </xdr:txBody>
    </xdr:sp>
    <xdr:clientData/>
  </xdr:twoCellAnchor>
  <xdr:twoCellAnchor editAs="oneCell">
    <xdr:from>
      <xdr:col>17</xdr:col>
      <xdr:colOff>990600</xdr:colOff>
      <xdr:row>53</xdr:row>
      <xdr:rowOff>28575</xdr:rowOff>
    </xdr:from>
    <xdr:to>
      <xdr:col>17</xdr:col>
      <xdr:colOff>1200150</xdr:colOff>
      <xdr:row>54</xdr:row>
      <xdr:rowOff>180975</xdr:rowOff>
    </xdr:to>
    <xdr:sp macro="Sheet1.ExecuteAction_606f31bf_454b_4992_b0e4_250148e9388a" textlink="">
      <xdr:nvSpPr>
        <xdr:cNvPr id="3" name="TM1Button_606f31bf_454b_4992_b0e4_250148e9388a">
          <a:extLst>
            <a:ext uri="{FF2B5EF4-FFF2-40B4-BE49-F238E27FC236}">
              <a16:creationId xmlns:a16="http://schemas.microsoft.com/office/drawing/2014/main" id="{A7CFA02D-F98B-129C-935C-FF1FFD631866}"/>
            </a:ext>
          </a:extLst>
        </xdr:cNvPr>
        <xdr:cNvSpPr txBox="1"/>
      </xdr:nvSpPr>
      <xdr:spPr>
        <a:xfrm>
          <a:off x="10668000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0</xdr:colOff>
      <xdr:row>54</xdr:row>
      <xdr:rowOff>0</xdr:rowOff>
    </xdr:from>
    <xdr:to>
      <xdr:col>11</xdr:col>
      <xdr:colOff>171450</xdr:colOff>
      <xdr:row>54</xdr:row>
      <xdr:rowOff>247650</xdr:rowOff>
    </xdr:to>
    <xdr:sp macro="Sheet1.ExecuteAction_5fdc4387_7551_4d56_a6fe_d740fcdf2f4a" textlink="TM1HomeCAP">
      <xdr:nvSpPr>
        <xdr:cNvPr id="4" name="TM1Button_5fdc4387_7551_4d56_a6fe_d740fcdf2f4a">
          <a:extLst>
            <a:ext uri="{FF2B5EF4-FFF2-40B4-BE49-F238E27FC236}">
              <a16:creationId xmlns:a16="http://schemas.microsoft.com/office/drawing/2014/main" id="{7EC89DF8-CD47-4C8B-F875-396639EE3072}"/>
            </a:ext>
          </a:extLst>
        </xdr:cNvPr>
        <xdr:cNvSpPr txBox="1"/>
      </xdr:nvSpPr>
      <xdr:spPr>
        <a:xfrm>
          <a:off x="57150" y="561975"/>
          <a:ext cx="552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88DBF1D-F091-4F1E-A978-2938114EAE5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2019300</xdr:colOff>
      <xdr:row>54</xdr:row>
      <xdr:rowOff>0</xdr:rowOff>
    </xdr:from>
    <xdr:to>
      <xdr:col>12</xdr:col>
      <xdr:colOff>2762250</xdr:colOff>
      <xdr:row>54</xdr:row>
      <xdr:rowOff>247650</xdr:rowOff>
    </xdr:to>
    <xdr:sp macro="Sheet1.ExecuteAction_2be13c37_a34d_4409_8644_d256cd3d5911" textlink="TM1AdjIDListCAP">
      <xdr:nvSpPr>
        <xdr:cNvPr id="5" name="TM1Button_2be13c37_a34d_4409_8644_d256cd3d5911">
          <a:extLst>
            <a:ext uri="{FF2B5EF4-FFF2-40B4-BE49-F238E27FC236}">
              <a16:creationId xmlns:a16="http://schemas.microsoft.com/office/drawing/2014/main" id="{D87060EE-31D4-074B-B1C6-9A0B775CDA62}"/>
            </a:ext>
          </a:extLst>
        </xdr:cNvPr>
        <xdr:cNvSpPr txBox="1"/>
      </xdr:nvSpPr>
      <xdr:spPr>
        <a:xfrm>
          <a:off x="4505325" y="561975"/>
          <a:ext cx="742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8D3208-DC4B-4E05-94E9-3DF3589D514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3619500</xdr:colOff>
      <xdr:row>54</xdr:row>
      <xdr:rowOff>0</xdr:rowOff>
    </xdr:from>
    <xdr:to>
      <xdr:col>12</xdr:col>
      <xdr:colOff>4210050</xdr:colOff>
      <xdr:row>54</xdr:row>
      <xdr:rowOff>247650</xdr:rowOff>
    </xdr:to>
    <xdr:sp macro="Sheet1.ExecuteAction_ca2ec58f_1a19_41f1_bdf1_97bb359b7d01" textlink="">
      <xdr:nvSpPr>
        <xdr:cNvPr id="6" name="TM1Button_ca2ec58f_1a19_41f1_bdf1_97bb359b7d01">
          <a:extLst>
            <a:ext uri="{FF2B5EF4-FFF2-40B4-BE49-F238E27FC236}">
              <a16:creationId xmlns:a16="http://schemas.microsoft.com/office/drawing/2014/main" id="{463C99CC-1854-5654-A374-142AE0013827}"/>
            </a:ext>
          </a:extLst>
        </xdr:cNvPr>
        <xdr:cNvSpPr txBox="1"/>
      </xdr:nvSpPr>
      <xdr:spPr>
        <a:xfrm>
          <a:off x="6105525" y="561975"/>
          <a:ext cx="5905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495300</xdr:colOff>
      <xdr:row>54</xdr:row>
      <xdr:rowOff>0</xdr:rowOff>
    </xdr:from>
    <xdr:to>
      <xdr:col>12</xdr:col>
      <xdr:colOff>1943100</xdr:colOff>
      <xdr:row>54</xdr:row>
      <xdr:rowOff>247650</xdr:rowOff>
    </xdr:to>
    <xdr:sp macro="Sheet1.ExecuteAction_358895a1_dc1c_437f_9090_ad671075a831" textlink="TM1HomeRepAnalyticalCAP">
      <xdr:nvSpPr>
        <xdr:cNvPr id="7" name="TM1Button_358895a1_dc1c_437f_9090_ad671075a831">
          <a:extLst>
            <a:ext uri="{FF2B5EF4-FFF2-40B4-BE49-F238E27FC236}">
              <a16:creationId xmlns:a16="http://schemas.microsoft.com/office/drawing/2014/main" id="{8D2C88A1-4B45-C16B-C73C-E09797654AB8}"/>
            </a:ext>
          </a:extLst>
        </xdr:cNvPr>
        <xdr:cNvSpPr txBox="1"/>
      </xdr:nvSpPr>
      <xdr:spPr>
        <a:xfrm>
          <a:off x="2981325" y="561975"/>
          <a:ext cx="1447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35AE237-57F0-4570-93F6-1EADBBBABA8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247650</xdr:colOff>
      <xdr:row>54</xdr:row>
      <xdr:rowOff>0</xdr:rowOff>
    </xdr:from>
    <xdr:to>
      <xdr:col>11</xdr:col>
      <xdr:colOff>1057275</xdr:colOff>
      <xdr:row>54</xdr:row>
      <xdr:rowOff>247650</xdr:rowOff>
    </xdr:to>
    <xdr:sp macro="Sheet1.ExecuteAction_f470657b_f445_4e0a_bc2e_99041bbbf613" textlink="TM1HomeRepCAP">
      <xdr:nvSpPr>
        <xdr:cNvPr id="8" name="TM1Button_f470657b_f445_4e0a_bc2e_99041bbbf613">
          <a:extLst>
            <a:ext uri="{FF2B5EF4-FFF2-40B4-BE49-F238E27FC236}">
              <a16:creationId xmlns:a16="http://schemas.microsoft.com/office/drawing/2014/main" id="{0D642049-6547-D59E-C4E2-15634A2A2817}"/>
            </a:ext>
          </a:extLst>
        </xdr:cNvPr>
        <xdr:cNvSpPr txBox="1"/>
      </xdr:nvSpPr>
      <xdr:spPr>
        <a:xfrm>
          <a:off x="685800" y="561975"/>
          <a:ext cx="809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9DD50F0-FBBD-4A41-9F72-AC0F41A4093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1133475</xdr:colOff>
      <xdr:row>54</xdr:row>
      <xdr:rowOff>0</xdr:rowOff>
    </xdr:from>
    <xdr:to>
      <xdr:col>12</xdr:col>
      <xdr:colOff>409575</xdr:colOff>
      <xdr:row>54</xdr:row>
      <xdr:rowOff>247650</xdr:rowOff>
    </xdr:to>
    <xdr:sp macro="Sheet1.ExecuteAction_843b9e47_2fd7_4842_b8ff_e13fa4047ee4" textlink="TM1HomeRepOtherCAP">
      <xdr:nvSpPr>
        <xdr:cNvPr id="9" name="TM1Button_843b9e47_2fd7_4842_b8ff_e13fa4047ee4">
          <a:extLst>
            <a:ext uri="{FF2B5EF4-FFF2-40B4-BE49-F238E27FC236}">
              <a16:creationId xmlns:a16="http://schemas.microsoft.com/office/drawing/2014/main" id="{7D5B00EE-30DC-1B4D-C585-3553C90506B9}"/>
            </a:ext>
          </a:extLst>
        </xdr:cNvPr>
        <xdr:cNvSpPr txBox="1"/>
      </xdr:nvSpPr>
      <xdr:spPr>
        <a:xfrm>
          <a:off x="1571625" y="561975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EF567C-F229-44B8-A987-F99C5B7EE1B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R71"/>
  <sheetViews>
    <sheetView showGridLines="0" showRowColHeaders="0" tabSelected="1" showOutlineSymbols="0" topLeftCell="A53" workbookViewId="0">
      <pane ySplit="5" topLeftCell="A58" activePane="bottomLeft" state="frozen"/>
      <selection activeCell="J53" sqref="J53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4" width="20.28515625" hidden="1" customWidth="1" outlineLevel="1"/>
    <col min="5" max="5" width="22.8554687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2" width="30.7109375" customWidth="1"/>
    <col min="13" max="13" width="80.7109375" customWidth="1"/>
    <col min="14" max="14" width="19.7109375" hidden="1" customWidth="1"/>
    <col min="15" max="15" width="5.7109375" customWidth="1"/>
    <col min="16" max="16" width="1.7109375" customWidth="1"/>
    <col min="17" max="18" width="19.7109375" customWidth="1"/>
  </cols>
  <sheetData>
    <row r="1" spans="1:15" hidden="1" outlineLevel="1" x14ac:dyDescent="0.25">
      <c r="A1" t="s">
        <v>4</v>
      </c>
    </row>
    <row r="2" spans="1:15" hidden="1" outlineLevel="1" x14ac:dyDescent="0.25">
      <c r="A2">
        <f>0</f>
        <v>0</v>
      </c>
      <c r="F2" s="1"/>
      <c r="G2" s="2"/>
      <c r="H2" s="2"/>
      <c r="I2" s="3"/>
      <c r="K2" s="19"/>
      <c r="L2" s="19"/>
      <c r="M2" s="20"/>
      <c r="N2" s="20"/>
      <c r="O2" s="20"/>
    </row>
    <row r="3" spans="1:15" hidden="1" outlineLevel="1" x14ac:dyDescent="0.25">
      <c r="A3">
        <f>1</f>
        <v>1</v>
      </c>
      <c r="F3" s="1"/>
      <c r="G3" s="2"/>
      <c r="H3" s="2"/>
      <c r="I3" s="3"/>
      <c r="K3" s="19"/>
      <c r="L3" s="19"/>
      <c r="M3" s="20"/>
      <c r="N3" s="20"/>
      <c r="O3" s="20"/>
    </row>
    <row r="4" spans="1:15" hidden="1" outlineLevel="1" x14ac:dyDescent="0.25">
      <c r="A4">
        <f>2</f>
        <v>2</v>
      </c>
      <c r="F4" s="1"/>
      <c r="G4" s="2"/>
      <c r="H4" s="2"/>
      <c r="I4" s="3"/>
      <c r="K4" s="19"/>
      <c r="L4" s="19"/>
      <c r="M4" s="20"/>
      <c r="N4" s="20"/>
      <c r="O4" s="20"/>
    </row>
    <row r="5" spans="1:15" hidden="1" outlineLevel="1" x14ac:dyDescent="0.25">
      <c r="A5">
        <f>3</f>
        <v>3</v>
      </c>
      <c r="F5" s="1"/>
      <c r="G5" s="2"/>
      <c r="H5" s="2"/>
      <c r="I5" s="3"/>
      <c r="K5" s="19"/>
      <c r="L5" s="19"/>
      <c r="M5" s="20"/>
      <c r="N5" s="20"/>
      <c r="O5" s="20"/>
    </row>
    <row r="6" spans="1:15" hidden="1" outlineLevel="1" x14ac:dyDescent="0.25">
      <c r="A6" t="s">
        <v>2</v>
      </c>
      <c r="F6" s="1"/>
      <c r="G6" s="2"/>
      <c r="H6" s="2"/>
      <c r="I6" s="3"/>
      <c r="K6" s="19"/>
      <c r="L6" s="19"/>
      <c r="M6" s="20"/>
      <c r="N6" s="20"/>
      <c r="O6" s="20"/>
    </row>
    <row r="7" spans="1:15" hidden="1" outlineLevel="1" x14ac:dyDescent="0.25">
      <c r="A7" t="s">
        <v>3</v>
      </c>
      <c r="F7" s="1"/>
      <c r="G7" s="2"/>
      <c r="H7" s="2"/>
      <c r="I7" s="3"/>
      <c r="K7" s="19"/>
      <c r="L7" s="19"/>
      <c r="M7" s="20"/>
      <c r="N7" s="20"/>
      <c r="O7" s="20"/>
    </row>
    <row r="8" spans="1:15" hidden="1" outlineLevel="1" x14ac:dyDescent="0.25">
      <c r="A8" t="s">
        <v>5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21" t="s">
        <v>8</v>
      </c>
      <c r="C11" s="22"/>
      <c r="D11" s="23"/>
    </row>
    <row r="12" spans="1:15" hidden="1" outlineLevel="1" x14ac:dyDescent="0.25">
      <c r="B12" s="4" t="s">
        <v>9</v>
      </c>
      <c r="C12" s="5" t="s">
        <v>66</v>
      </c>
      <c r="D12" s="6"/>
    </row>
    <row r="13" spans="1:15" hidden="1" outlineLevel="1" x14ac:dyDescent="0.25">
      <c r="B13" s="4" t="s">
        <v>23</v>
      </c>
      <c r="C13" s="8" t="e">
        <f ca="1">_xll.VIEW(db_name&amp;":}ElementAttributes_}Clients","!","!")</f>
        <v>#NAME?</v>
      </c>
      <c r="D13" s="6"/>
    </row>
    <row r="14" spans="1:15" hidden="1" outlineLevel="1" x14ac:dyDescent="0.25">
      <c r="B14" s="4" t="s">
        <v>22</v>
      </c>
      <c r="C14" s="5" t="e">
        <f ca="1">_xll.TM1USER(db_name)</f>
        <v>#NAME?</v>
      </c>
      <c r="D14" s="6"/>
    </row>
    <row r="15" spans="1:15" hidden="1" outlineLevel="1" x14ac:dyDescent="0.25">
      <c r="B15" s="4" t="s">
        <v>24</v>
      </c>
      <c r="C15" s="5" t="e">
        <f ca="1">_xll.DBR($C$13,$C$14,$B15)</f>
        <v>#NAME?</v>
      </c>
      <c r="D15" s="6"/>
    </row>
    <row r="16" spans="1:15" hidden="1" outlineLevel="1" x14ac:dyDescent="0.25">
      <c r="B16" s="4" t="s">
        <v>25</v>
      </c>
      <c r="C16" s="5" t="e">
        <f ca="1">_xll.DBR($C$13,$C$14,$B16)</f>
        <v>#NAME?</v>
      </c>
      <c r="D16" s="6"/>
    </row>
    <row r="17" spans="2:8" hidden="1" outlineLevel="1" x14ac:dyDescent="0.25">
      <c r="B17" s="4" t="s">
        <v>10</v>
      </c>
      <c r="C17" s="5" t="e">
        <f ca="1">IF(LEFT($C$14,6)="CAM_AD",$C$15,$C$14)</f>
        <v>#NAME?</v>
      </c>
      <c r="D17" s="1"/>
    </row>
    <row r="18" spans="2:8" hidden="1" outlineLevel="1" x14ac:dyDescent="0.25"/>
    <row r="19" spans="2:8" hidden="1" outlineLevel="1" x14ac:dyDescent="0.25">
      <c r="B19" s="21" t="s">
        <v>11</v>
      </c>
      <c r="C19" s="22"/>
      <c r="D19" s="23"/>
      <c r="F19" s="24" t="s">
        <v>58</v>
      </c>
      <c r="G19" s="24"/>
      <c r="H19" s="24"/>
    </row>
    <row r="20" spans="2:8" hidden="1" outlineLevel="1" x14ac:dyDescent="0.25">
      <c r="B20" s="4" t="s">
        <v>12</v>
      </c>
      <c r="C20" s="1" t="e">
        <f ca="1">_xll.VIEW(db_name&amp;":}ElementAttributes_variables","!","!")</f>
        <v>#NAME?</v>
      </c>
      <c r="D20" s="1"/>
      <c r="F20" s="1" t="s">
        <v>59</v>
      </c>
      <c r="G20" s="1" t="e">
        <f ca="1">"Data has successfully been extracted and stored under " &amp; $C$26</f>
        <v>#NAME?</v>
      </c>
    </row>
    <row r="21" spans="2:8" hidden="1" outlineLevel="1" x14ac:dyDescent="0.25">
      <c r="B21" s="4" t="s">
        <v>39</v>
      </c>
      <c r="C21" s="1" t="s">
        <v>40</v>
      </c>
      <c r="D21" s="1" t="s">
        <v>41</v>
      </c>
      <c r="F21" s="1" t="s">
        <v>60</v>
      </c>
      <c r="G21" s="1" t="s">
        <v>61</v>
      </c>
    </row>
    <row r="22" spans="2:8" hidden="1" outlineLevel="1" x14ac:dyDescent="0.25">
      <c r="B22" s="4" t="s">
        <v>13</v>
      </c>
      <c r="C22" s="1" t="e">
        <f ca="1">_xll.DBR($C$20,$B22,"value")</f>
        <v>#NAME?</v>
      </c>
      <c r="D22" s="1"/>
      <c r="F22" s="1" t="s">
        <v>62</v>
      </c>
      <c r="G22" s="1" t="s">
        <v>63</v>
      </c>
    </row>
    <row r="23" spans="2:8" hidden="1" outlineLevel="1" x14ac:dyDescent="0.25">
      <c r="B23" s="4" t="s">
        <v>14</v>
      </c>
      <c r="C23" s="1" t="e">
        <f ca="1">_xll.DBR($C$20,$B23,"value")</f>
        <v>#NAME?</v>
      </c>
      <c r="D23" s="1"/>
    </row>
    <row r="24" spans="2:8" hidden="1" outlineLevel="1" x14ac:dyDescent="0.25">
      <c r="B24" s="4" t="s">
        <v>15</v>
      </c>
      <c r="C24" s="1" t="e">
        <f ca="1">_xll.DBR($C$20,$B24,"value")</f>
        <v>#NAME?</v>
      </c>
      <c r="D24" s="1"/>
    </row>
    <row r="25" spans="2:8" hidden="1" outlineLevel="1" x14ac:dyDescent="0.25">
      <c r="B25" s="4" t="s">
        <v>16</v>
      </c>
      <c r="C25" s="1" t="e">
        <f ca="1">_xll.DBR($C$20,$B25,"value")</f>
        <v>#NAME?</v>
      </c>
      <c r="D25" s="1"/>
    </row>
    <row r="26" spans="2:8" hidden="1" outlineLevel="1" x14ac:dyDescent="0.25">
      <c r="B26" s="4" t="s">
        <v>54</v>
      </c>
      <c r="C26" s="1" t="e">
        <f ca="1">_xll.DBR($C$20,$B26,"value")</f>
        <v>#NAME?</v>
      </c>
      <c r="D26" s="1"/>
    </row>
    <row r="27" spans="2:8" hidden="1" outlineLevel="1" x14ac:dyDescent="0.25"/>
    <row r="28" spans="2:8" hidden="1" outlineLevel="1" x14ac:dyDescent="0.25">
      <c r="B28" s="21" t="s">
        <v>17</v>
      </c>
      <c r="C28" s="22"/>
      <c r="D28" s="23"/>
    </row>
    <row r="29" spans="2:8" hidden="1" outlineLevel="1" x14ac:dyDescent="0.25">
      <c r="B29" s="4" t="s">
        <v>12</v>
      </c>
      <c r="C29" s="1" t="e">
        <f ca="1">_xll.VIEW(db_name&amp;":sys_client preference","!","!","!")</f>
        <v>#NAME?</v>
      </c>
      <c r="D29" s="1"/>
    </row>
    <row r="30" spans="2:8" hidden="1" outlineLevel="1" x14ac:dyDescent="0.25">
      <c r="B30" s="4" t="s">
        <v>18</v>
      </c>
      <c r="C30" s="1" t="e">
        <f ca="1">_xll.DBR($C$29,psUser,$B30,"value")</f>
        <v>#NAME?</v>
      </c>
      <c r="D30" s="1"/>
    </row>
    <row r="31" spans="2:8" hidden="1" outlineLevel="1" x14ac:dyDescent="0.25">
      <c r="B31" s="4" t="s">
        <v>19</v>
      </c>
      <c r="C31" s="1" t="e">
        <f ca="1">_xll.DBR($C$29,psUser,$B31,"value")</f>
        <v>#NAME?</v>
      </c>
      <c r="D31" s="1"/>
    </row>
    <row r="32" spans="2:8" hidden="1" outlineLevel="1" x14ac:dyDescent="0.25">
      <c r="B32" s="4" t="s">
        <v>20</v>
      </c>
      <c r="C32" s="1" t="e">
        <f ca="1">_xll.DBR($C$29,psUser,$B32,"value")</f>
        <v>#NAME?</v>
      </c>
      <c r="D32" s="1"/>
    </row>
    <row r="33" spans="2:8" hidden="1" outlineLevel="1" x14ac:dyDescent="0.25">
      <c r="B33" s="4" t="s">
        <v>21</v>
      </c>
      <c r="C33" s="1" t="e">
        <f ca="1">_xll.DBR($C$29,psUser,$B33,"value")</f>
        <v>#NAME?</v>
      </c>
      <c r="D33" s="1"/>
    </row>
    <row r="34" spans="2:8" hidden="1" outlineLevel="1" x14ac:dyDescent="0.25"/>
    <row r="35" spans="2:8" hidden="1" outlineLevel="1" x14ac:dyDescent="0.25">
      <c r="B35" s="21" t="s">
        <v>35</v>
      </c>
      <c r="C35" s="22"/>
      <c r="D35" s="23"/>
    </row>
    <row r="36" spans="2:8" hidden="1" outlineLevel="1" x14ac:dyDescent="0.25">
      <c r="B36" s="1" t="s">
        <v>34</v>
      </c>
      <c r="C36" s="1" t="e">
        <f ca="1">_xll.VIEW(db_name&amp;":sys_application","!","!")</f>
        <v>#NAME?</v>
      </c>
      <c r="D36" s="1"/>
    </row>
    <row r="37" spans="2:8" hidden="1" outlineLevel="1" x14ac:dyDescent="0.25">
      <c r="B37" s="4" t="s">
        <v>37</v>
      </c>
      <c r="C37" t="s">
        <v>38</v>
      </c>
    </row>
    <row r="38" spans="2:8" hidden="1" outlineLevel="1" x14ac:dyDescent="0.25">
      <c r="B38" s="10" t="s">
        <v>6</v>
      </c>
      <c r="C38" s="9" t="s">
        <v>31</v>
      </c>
      <c r="D38" s="9" t="s">
        <v>7</v>
      </c>
      <c r="E38" s="9" t="s">
        <v>32</v>
      </c>
      <c r="F38" s="9" t="s">
        <v>0</v>
      </c>
      <c r="G38" s="9" t="s">
        <v>33</v>
      </c>
      <c r="H38" s="9" t="s">
        <v>1</v>
      </c>
    </row>
    <row r="39" spans="2:8" hidden="1" outlineLevel="1" x14ac:dyDescent="0.25">
      <c r="B39" s="1" t="s">
        <v>26</v>
      </c>
      <c r="C39" s="1" t="e">
        <f ca="1">_xll.DBR($C$36,$B39,C$38)</f>
        <v>#NAME?</v>
      </c>
      <c r="D39" s="1" t="e">
        <f ca="1">_xll.DBR($C$36,$B39,D$38)</f>
        <v>#NAME?</v>
      </c>
      <c r="E39" s="1" t="e">
        <f ca="1">_xll.DBR($C$36,$B39,E$38)</f>
        <v>#NAME?</v>
      </c>
      <c r="F39" s="1" t="e">
        <f ca="1">_xll.DBR($C$36,$B39,F$38)</f>
        <v>#NAME?</v>
      </c>
      <c r="G39" s="1" t="e">
        <f ca="1">_xll.DBR($C$36,$B39,G$38)</f>
        <v>#NAME?</v>
      </c>
      <c r="H39" s="1" t="e">
        <f ca="1">_xll.DBR($C$36,$B39,H$38)</f>
        <v>#NAME?</v>
      </c>
    </row>
    <row r="40" spans="2:8" hidden="1" outlineLevel="1" x14ac:dyDescent="0.25">
      <c r="B40" s="1" t="s">
        <v>27</v>
      </c>
      <c r="C40" s="1" t="e">
        <f ca="1">_xll.DBR($C$36,$B40,C$38)</f>
        <v>#NAME?</v>
      </c>
      <c r="D40" s="1" t="e">
        <f ca="1">_xll.DBR($C$36,$B40,D$38)</f>
        <v>#NAME?</v>
      </c>
      <c r="E40" s="1" t="e">
        <f ca="1">_xll.DBR($C$36,$B40,E$38)</f>
        <v>#NAME?</v>
      </c>
      <c r="F40" s="1" t="e">
        <f ca="1">_xll.DBR($C$36,$B40,F$38)</f>
        <v>#NAME?</v>
      </c>
      <c r="G40" s="1" t="e">
        <f ca="1">_xll.DBR($C$36,$B40,G$38)</f>
        <v>#NAME?</v>
      </c>
      <c r="H40" s="1" t="e">
        <f ca="1">_xll.DBR($C$36,$B40,H$38)</f>
        <v>#NAME?</v>
      </c>
    </row>
    <row r="41" spans="2:8" hidden="1" outlineLevel="1" x14ac:dyDescent="0.25">
      <c r="B41" s="1" t="s">
        <v>28</v>
      </c>
      <c r="C41" s="1" t="e">
        <f ca="1">_xll.DBR($C$36,$B41,C$38)</f>
        <v>#NAME?</v>
      </c>
      <c r="D41" s="1" t="e">
        <f ca="1">_xll.DBR($C$36,$B41,D$38)</f>
        <v>#NAME?</v>
      </c>
      <c r="E41" s="1" t="e">
        <f ca="1">_xll.DBR($C$36,$B41,E$38)</f>
        <v>#NAME?</v>
      </c>
      <c r="F41" s="1" t="e">
        <f ca="1">_xll.DBR($C$36,$B41,F$38)</f>
        <v>#NAME?</v>
      </c>
      <c r="G41" s="1" t="e">
        <f ca="1">_xll.DBR($C$36,$B41,G$38)</f>
        <v>#NAME?</v>
      </c>
      <c r="H41" s="1" t="e">
        <f ca="1">_xll.DBR($C$36,$B41,H$38)</f>
        <v>#NAME?</v>
      </c>
    </row>
    <row r="42" spans="2:8" hidden="1" outlineLevel="1" x14ac:dyDescent="0.25">
      <c r="B42" s="1" t="s">
        <v>64</v>
      </c>
      <c r="C42" s="1" t="e">
        <f ca="1">_xll.DBR($C$36,$B42,C$38)</f>
        <v>#NAME?</v>
      </c>
      <c r="D42" s="1" t="e">
        <f ca="1">_xll.DBR($C$36,$B42,D$38)</f>
        <v>#NAME?</v>
      </c>
      <c r="E42" s="1" t="e">
        <f ca="1">_xll.DBR($C$36,$B42,E$38)</f>
        <v>#NAME?</v>
      </c>
      <c r="F42" s="1" t="e">
        <f ca="1">_xll.DBR($C$36,$B42,F$38)</f>
        <v>#NAME?</v>
      </c>
      <c r="G42" s="1" t="e">
        <f ca="1">_xll.DBR($C$36,$B42,G$38)</f>
        <v>#NAME?</v>
      </c>
      <c r="H42" s="1" t="e">
        <f ca="1">_xll.DBR($C$36,$B42,H$38)</f>
        <v>#NAME?</v>
      </c>
    </row>
    <row r="43" spans="2:8" hidden="1" outlineLevel="1" x14ac:dyDescent="0.25">
      <c r="B43" s="1" t="s">
        <v>29</v>
      </c>
      <c r="C43" s="1" t="e">
        <f ca="1">_xll.DBR($C$36,$B43,C$38)</f>
        <v>#NAME?</v>
      </c>
      <c r="D43" s="1" t="e">
        <f ca="1">_xll.DBR($C$36,$B43,D$38)</f>
        <v>#NAME?</v>
      </c>
      <c r="E43" s="1" t="e">
        <f ca="1">_xll.DBR($C$36,$B43,E$38)</f>
        <v>#NAME?</v>
      </c>
      <c r="F43" s="1" t="e">
        <f ca="1">_xll.DBR($C$36,$B43,F$38)</f>
        <v>#NAME?</v>
      </c>
      <c r="G43" s="1" t="e">
        <f ca="1">_xll.DBR($C$36,$B43,G$38)</f>
        <v>#NAME?</v>
      </c>
      <c r="H43" s="1" t="e">
        <f ca="1">_xll.DBR($C$36,$B43,H$38)</f>
        <v>#NAME?</v>
      </c>
    </row>
    <row r="44" spans="2:8" hidden="1" outlineLevel="1" x14ac:dyDescent="0.25">
      <c r="B44" s="1" t="s">
        <v>36</v>
      </c>
      <c r="C44" s="1" t="e">
        <f ca="1">_xll.DBR($C$36,$B44,C$38)</f>
        <v>#NAME?</v>
      </c>
      <c r="D44" s="1" t="e">
        <f ca="1">_xll.DBR($C$36,$B44,D$38)</f>
        <v>#NAME?</v>
      </c>
      <c r="E44" s="1" t="e">
        <f ca="1">_xll.DBR($C$36,$B44,E$38)</f>
        <v>#NAME?</v>
      </c>
      <c r="F44" s="1" t="e">
        <f ca="1">_xll.DBR($C$36,$B44,F$38)</f>
        <v>#NAME?</v>
      </c>
      <c r="G44" s="1" t="e">
        <f ca="1">_xll.DBR($C$36,$B44,G$38)</f>
        <v>#NAME?</v>
      </c>
      <c r="H44" s="1" t="e">
        <f ca="1">_xll.DBR($C$36,$B44,H$38)</f>
        <v>#NAME?</v>
      </c>
    </row>
    <row r="45" spans="2:8" hidden="1" outlineLevel="1" x14ac:dyDescent="0.25">
      <c r="B45" s="1" t="s">
        <v>30</v>
      </c>
      <c r="C45" s="1" t="e">
        <f ca="1">_xll.DBR($C$36,$B45,C$38)</f>
        <v>#NAME?</v>
      </c>
      <c r="D45" s="1" t="e">
        <f ca="1">_xll.DBR($C$36,$B45,D$38)</f>
        <v>#NAME?</v>
      </c>
      <c r="E45" s="1" t="e">
        <f ca="1">_xll.DBR($C$36,$B45,E$38)</f>
        <v>#NAME?</v>
      </c>
      <c r="F45" s="1" t="e">
        <f ca="1">_xll.DBR($C$36,$B45,F$38)</f>
        <v>#NAME?</v>
      </c>
      <c r="G45" s="1" t="e">
        <f ca="1">_xll.DBR($C$36,$B45,G$38)</f>
        <v>#NAME?</v>
      </c>
      <c r="H45" s="1" t="e">
        <f ca="1">_xll.DBR($C$36,$B45,H$38)</f>
        <v>#NAME?</v>
      </c>
    </row>
    <row r="46" spans="2:8" hidden="1" outlineLevel="1" x14ac:dyDescent="0.25">
      <c r="B46" s="1" t="s">
        <v>56</v>
      </c>
      <c r="C46" s="1" t="e">
        <f ca="1">_xll.DBR($C$36,$B46,C$38)</f>
        <v>#NAME?</v>
      </c>
      <c r="D46" s="1" t="e">
        <f ca="1">_xll.DBR($C$36,$B46,D$38)</f>
        <v>#NAME?</v>
      </c>
      <c r="E46" s="1" t="e">
        <f ca="1">_xll.DBR($C$36,$B46,E$38)</f>
        <v>#NAME?</v>
      </c>
      <c r="F46" s="1" t="e">
        <f ca="1">_xll.DBR($C$36,$B46,F$38)</f>
        <v>#NAME?</v>
      </c>
      <c r="G46" s="1" t="e">
        <f ca="1">_xll.DBR($C$36,$B46,G$38)</f>
        <v>#NAME?</v>
      </c>
      <c r="H46" s="1" t="e">
        <f ca="1">_xll.DBR($C$36,$B46,H$38)</f>
        <v>#NAME?</v>
      </c>
    </row>
    <row r="47" spans="2:8" hidden="1" outlineLevel="1" x14ac:dyDescent="0.25">
      <c r="B47" s="1" t="s">
        <v>57</v>
      </c>
      <c r="C47" s="1" t="e">
        <f ca="1">_xll.DBR($C$36,$B47,C$38)</f>
        <v>#NAME?</v>
      </c>
      <c r="D47" s="1" t="e">
        <f ca="1">_xll.DBR($C$36,$B47,D$38)</f>
        <v>#NAME?</v>
      </c>
      <c r="E47" s="1" t="e">
        <f ca="1">_xll.DBR($C$36,$B47,E$38)</f>
        <v>#NAME?</v>
      </c>
      <c r="F47" s="1" t="e">
        <f ca="1">_xll.DBR($C$36,$B47,F$38)</f>
        <v>#NAME?</v>
      </c>
      <c r="G47" s="1" t="e">
        <f ca="1">_xll.DBR($C$36,$B47,G$38)</f>
        <v>#NAME?</v>
      </c>
      <c r="H47" s="1" t="e">
        <f ca="1">_xll.DBR($C$36,$B47,H$38)</f>
        <v>#NAME?</v>
      </c>
    </row>
    <row r="48" spans="2:8" hidden="1" outlineLevel="1" x14ac:dyDescent="0.25"/>
    <row r="49" spans="10:18" hidden="1" outlineLevel="1" x14ac:dyDescent="0.25"/>
    <row r="50" spans="10:18" hidden="1" outlineLevel="1" x14ac:dyDescent="0.25"/>
    <row r="51" spans="10:18" hidden="1" outlineLevel="1" x14ac:dyDescent="0.25"/>
    <row r="52" spans="10:18" hidden="1" outlineLevel="1" x14ac:dyDescent="0.25"/>
    <row r="53" spans="10:18" ht="39.75" customHeight="1" collapsed="1" x14ac:dyDescent="0.25">
      <c r="J53" s="7"/>
      <c r="K53" s="7"/>
      <c r="L53" s="7"/>
      <c r="M53" s="7"/>
      <c r="N53" s="7"/>
      <c r="O53" s="7"/>
      <c r="P53" s="7"/>
      <c r="Q53" s="7"/>
      <c r="R53" s="7" t="s">
        <v>45</v>
      </c>
    </row>
    <row r="54" spans="10:18" ht="4.5" customHeight="1" x14ac:dyDescent="0.25"/>
    <row r="55" spans="10:18" ht="24" customHeight="1" x14ac:dyDescent="0.25"/>
    <row r="56" spans="10:18" ht="1.5" customHeight="1" x14ac:dyDescent="0.25">
      <c r="J56" s="7"/>
      <c r="K56" s="7"/>
      <c r="L56" s="7"/>
      <c r="M56" s="7"/>
      <c r="N56" s="7"/>
      <c r="O56" s="7"/>
      <c r="P56" s="7"/>
      <c r="Q56" s="7"/>
      <c r="R56" s="7"/>
    </row>
    <row r="57" spans="10:18" ht="4.5" customHeight="1" x14ac:dyDescent="0.25"/>
    <row r="58" spans="10:18" x14ac:dyDescent="0.25">
      <c r="K58" s="18" t="s">
        <v>55</v>
      </c>
      <c r="L58" s="18"/>
      <c r="M58" s="18"/>
      <c r="N58" s="18"/>
      <c r="O58" s="18"/>
      <c r="P58" s="18"/>
      <c r="Q58" s="18"/>
      <c r="R58" s="18"/>
    </row>
    <row r="59" spans="10:18" x14ac:dyDescent="0.25">
      <c r="K59" s="18" t="s">
        <v>65</v>
      </c>
      <c r="L59" s="18"/>
      <c r="M59" s="18"/>
      <c r="N59" s="18"/>
      <c r="O59" s="18"/>
      <c r="P59" s="18"/>
      <c r="Q59" s="18"/>
      <c r="R59" s="18"/>
    </row>
    <row r="60" spans="10:18" ht="4.5" customHeight="1" x14ac:dyDescent="0.25"/>
    <row r="61" spans="10:18" x14ac:dyDescent="0.25">
      <c r="L61" s="11"/>
      <c r="M61" s="12" t="s">
        <v>46</v>
      </c>
    </row>
    <row r="62" spans="10:18" x14ac:dyDescent="0.25">
      <c r="L62" s="13" t="s">
        <v>47</v>
      </c>
      <c r="M62" s="14" t="e">
        <f ca="1">_xll.SUBNM(db_name&amp;":headline year","",$C$22)</f>
        <v>#NAME?</v>
      </c>
    </row>
    <row r="63" spans="10:18" x14ac:dyDescent="0.25">
      <c r="L63" s="13" t="s">
        <v>48</v>
      </c>
      <c r="M63" s="14" t="e">
        <f ca="1">_xll.SUBNM(db_name&amp;":scenario","",$C$23)</f>
        <v>#NAME?</v>
      </c>
    </row>
    <row r="64" spans="10:18" x14ac:dyDescent="0.25">
      <c r="L64" s="13" t="s">
        <v>49</v>
      </c>
      <c r="M64" s="14" t="e">
        <f ca="1">_xll.SUBNM(db_name&amp;":status","","Total approved")</f>
        <v>#NAME?</v>
      </c>
    </row>
    <row r="65" spans="12:13" x14ac:dyDescent="0.25">
      <c r="L65" s="13" t="s">
        <v>50</v>
      </c>
      <c r="M65" s="14" t="e">
        <f ca="1">_xll.SUBNM(db_name&amp;":programme","","Administered Programmes","code and description")</f>
        <v>#NAME?</v>
      </c>
    </row>
    <row r="66" spans="12:13" ht="4.5" customHeight="1" x14ac:dyDescent="0.25"/>
    <row r="67" spans="12:13" x14ac:dyDescent="0.25">
      <c r="L67" s="15" t="s">
        <v>51</v>
      </c>
      <c r="M67" s="14" t="e">
        <f ca="1">_xll.SUBNM(db_name&amp;":sys_YesNo","","No")</f>
        <v>#NAME?</v>
      </c>
    </row>
    <row r="68" spans="12:13" ht="4.5" customHeight="1" x14ac:dyDescent="0.25">
      <c r="L68" s="16"/>
    </row>
    <row r="69" spans="12:13" x14ac:dyDescent="0.25">
      <c r="L69" s="15" t="s">
        <v>52</v>
      </c>
      <c r="M69" s="14" t="e">
        <f ca="1">_xll.SUBNM(db_name&amp;":sys_report extract type","","Starting Base and Adjustments")</f>
        <v>#NAME?</v>
      </c>
    </row>
    <row r="70" spans="12:13" ht="4.5" customHeight="1" x14ac:dyDescent="0.25"/>
    <row r="71" spans="12:13" x14ac:dyDescent="0.25">
      <c r="L71" s="15" t="s">
        <v>53</v>
      </c>
      <c r="M71" s="17" t="e">
        <f ca="1">$C$26</f>
        <v>#NAME?</v>
      </c>
    </row>
  </sheetData>
  <sheetProtection sheet="1" objects="1" scenarios="1"/>
  <mergeCells count="19">
    <mergeCell ref="B19:D19"/>
    <mergeCell ref="B28:D28"/>
    <mergeCell ref="B35:D35"/>
    <mergeCell ref="K58:R58"/>
    <mergeCell ref="M6:O6"/>
    <mergeCell ref="K6:L6"/>
    <mergeCell ref="K7:L7"/>
    <mergeCell ref="M7:O7"/>
    <mergeCell ref="B11:D11"/>
    <mergeCell ref="F19:H19"/>
    <mergeCell ref="K59:R59"/>
    <mergeCell ref="K2:L2"/>
    <mergeCell ref="K3:L3"/>
    <mergeCell ref="K4:L4"/>
    <mergeCell ref="K5:L5"/>
    <mergeCell ref="M2:O2"/>
    <mergeCell ref="M3:O3"/>
    <mergeCell ref="M4:O4"/>
    <mergeCell ref="M5:O5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43</v>
      </c>
    </row>
    <row r="2" spans="1:1" x14ac:dyDescent="0.25">
      <c r="A2" t="s">
        <v>42</v>
      </c>
    </row>
    <row r="3" spans="1:1" x14ac:dyDescent="0.25">
      <c r="A3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data extract</vt:lpstr>
      <vt:lpstr>{PL}PickLst</vt:lpstr>
      <vt:lpstr>ab_confirmation</vt:lpstr>
      <vt:lpstr>ab_failure</vt:lpstr>
      <vt:lpstr>ab_success</vt:lpstr>
      <vt:lpstr>db_name</vt:lpstr>
      <vt:lpstr>Freeze_here</vt:lpstr>
      <vt:lpstr>psApp</vt:lpstr>
      <vt:lpstr>psExtractType</vt:lpstr>
      <vt:lpstr>psFullHLExtract</vt:lpstr>
      <vt:lpstr>psHLYear</vt:lpstr>
      <vt:lpstr>psProg</vt:lpstr>
      <vt:lpstr>psScenario</vt:lpstr>
      <vt:lpstr>psStatus</vt:lpstr>
      <vt:lpstr>psUser</vt:lpstr>
      <vt:lpstr>TM1AdjIDListCAP</vt:lpstr>
      <vt:lpstr>TM1AdjIDListWB</vt:lpstr>
      <vt:lpstr>TM1AdjIDListWS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'data extract'!TM1RPTFMTIDCOL</vt:lpstr>
      <vt:lpstr>'data extract'!TM1RPTFMTRNG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2025-08-11T06:08:11Z</dcterms:modified>
</cp:coreProperties>
</file>