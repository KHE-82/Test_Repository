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4.bin" ContentType="application/vnd.ms-office.activeX"/>
  <Override PartName="/xl/activeX/activeX10.xml" ContentType="application/vnd.ms-office.activeX+xml"/>
  <Override PartName="/xl/activeX/activeX11.xml" ContentType="application/vnd.ms-office.activeX+xml"/>
  <Override PartName="/xl/activeX/activeX5.bin" ContentType="application/vnd.ms-office.activeX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4E255712-83A1-4162-9510-9215882959E7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Sheet1" sheetId="1" r:id="rId1"/>
  </sheets>
  <definedNames>
    <definedName name="db_name">Sheet1!$B$2</definedName>
    <definedName name="Freeze_here">Sheet1!$A$67</definedName>
    <definedName name="psArcSourceHLYear">Sheet1!$L$93</definedName>
    <definedName name="psArcSourceScenario">Sheet1!$L$94</definedName>
    <definedName name="psArcTargetHLYear">Sheet1!$O$93</definedName>
    <definedName name="psArcTargetScenario">Sheet1!$O$94</definedName>
    <definedName name="psFFScenario">Sheet1!$B$28</definedName>
    <definedName name="psHLYear">Sheet1!$B$24</definedName>
    <definedName name="psID">Sheet1!$B$27</definedName>
    <definedName name="psProg">Sheet1!$B$26</definedName>
    <definedName name="psReasonCode">Sheet1!$L$63</definedName>
    <definedName name="psScenario">Sheet1!$B$25</definedName>
    <definedName name="psSourceHLYear">Sheet1!$L$59</definedName>
    <definedName name="psSourcePeriod">Sheet1!$L$61</definedName>
    <definedName name="psSourceScenario">Sheet1!$L$60</definedName>
    <definedName name="psTargetHLYear">Sheet1!$O$59</definedName>
    <definedName name="psTargetScenario">Sheet1!$O$60</definedName>
    <definedName name="psUser">Sheet1!$B$3</definedName>
    <definedName name="TM1AdminRDSAccTempCAP">Sheet1!$C$44</definedName>
    <definedName name="TM1AdminRDSAccTempWB">Sheet1!$E$44</definedName>
    <definedName name="TM1AdminRDSAccTempWS">Sheet1!$G$44</definedName>
    <definedName name="TM1HomeUnderCAP">Sheet1!$C$49</definedName>
    <definedName name="TM1HomeUnderWB">Sheet1!$E$49</definedName>
    <definedName name="TM1HomeUnderWS">Sheet1!$G$49</definedName>
    <definedName name="TM1MEAccTempCAP">Sheet1!$C$40</definedName>
    <definedName name="TM1MEAccTempWB">Sheet1!$E$40</definedName>
    <definedName name="TM1MEAccTempWS">Sheet1!$G$40</definedName>
    <definedName name="TM1MEAssignProgCAP">Sheet1!$C$45</definedName>
    <definedName name="TM1MEAssignProgWB">Sheet1!$E$45</definedName>
    <definedName name="TM1MEAssignProgWS">Sheet1!$G$45</definedName>
    <definedName name="TM1MEBSDataEntryCAP">Sheet1!$C$36</definedName>
    <definedName name="TM1MEBSDataEntryWB">Sheet1!$E$36</definedName>
    <definedName name="TM1MEBSDataEntryWS">Sheet1!$G$36</definedName>
    <definedName name="TM1MECCMapCAP">Sheet1!$C$37</definedName>
    <definedName name="TM1MECCMapWB">Sheet1!$E$37</definedName>
    <definedName name="TM1MECCMapWS">Sheet1!$G$37</definedName>
    <definedName name="TM1MEDataEntryCAP">Sheet1!$C$34</definedName>
    <definedName name="TM1MEDataEntryWB">Sheet1!$E$34</definedName>
    <definedName name="TM1MEDataEntryWS">Sheet1!$G$34</definedName>
    <definedName name="TM1MEGLMapCAP">Sheet1!$C$38</definedName>
    <definedName name="TM1MEGLMapWB">Sheet1!$E$38</definedName>
    <definedName name="TM1MEGLMapWS">Sheet1!$G$38</definedName>
    <definedName name="TM1MEHomeCAP">Sheet1!$C$33</definedName>
    <definedName name="TM1MEHomeWB">Sheet1!$E$33</definedName>
    <definedName name="TM1MEHomeWS">Sheet1!$G$33</definedName>
    <definedName name="TM1MEOSDataEntryCAP">Sheet1!$C$35</definedName>
    <definedName name="TM1MEOSDataEntryWB">Sheet1!$E$35</definedName>
    <definedName name="TM1MEOSDataEntryWS">Sheet1!$G$35</definedName>
    <definedName name="TM1MEPhasingCAP">Sheet1!$C$42</definedName>
    <definedName name="TM1MEPhasingWB">Sheet1!$E$42</definedName>
    <definedName name="TM1MEPhasingWS">Sheet1!$G$42</definedName>
    <definedName name="TM1MERepBSCAP">Sheet1!$C$47</definedName>
    <definedName name="TM1MERepBSWB">Sheet1!$E$47</definedName>
    <definedName name="TM1MERepBSWS">Sheet1!$G$47</definedName>
    <definedName name="TM1MERepCFCAP">Sheet1!$C$48</definedName>
    <definedName name="TM1MERepCFWB">Sheet1!$E$48</definedName>
    <definedName name="TM1MERepCFWS">Sheet1!$G$48</definedName>
    <definedName name="TM1MERepOSCAP">Sheet1!$C$46</definedName>
    <definedName name="TM1MERepOSWB">Sheet1!$E$46</definedName>
    <definedName name="TM1MERepOSWS">Sheet1!$G$46</definedName>
    <definedName name="TM1MESetActualsCAP">Sheet1!$C$41</definedName>
    <definedName name="TM1MESetActualsWB">Sheet1!$E$41</definedName>
    <definedName name="TM1MESetActualsWS">Sheet1!$G$41</definedName>
    <definedName name="TM1MESummaryCAP">Sheet1!$C$39</definedName>
    <definedName name="TM1MESummaryWB">Sheet1!$E$39</definedName>
    <definedName name="TM1MESummaryWS">Sheet1!$G$39</definedName>
    <definedName name="TM1MEUploadCAP">Sheet1!$C$43</definedName>
    <definedName name="TM1MEUploadWB">Sheet1!$E$43</definedName>
    <definedName name="TM1MEUploadWS">Sheet1!$G$43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G49" i="1"/>
  <c r="F49" i="1"/>
  <c r="E49" i="1"/>
  <c r="D49" i="1"/>
  <c r="C49" i="1"/>
  <c r="B49" i="1"/>
  <c r="B14" i="1"/>
  <c r="B21" i="1"/>
  <c r="O60" i="1"/>
  <c r="O94" i="1"/>
  <c r="O82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C39" i="1"/>
  <c r="B6" i="1"/>
  <c r="D41" i="1"/>
  <c r="G41" i="1"/>
  <c r="G36" i="1"/>
  <c r="C41" i="1"/>
  <c r="B8" i="1"/>
  <c r="B37" i="1"/>
  <c r="G34" i="1"/>
  <c r="F34" i="1"/>
  <c r="E34" i="1"/>
  <c r="D37" i="1"/>
  <c r="F37" i="1"/>
  <c r="B7" i="1"/>
  <c r="L59" i="1"/>
  <c r="G38" i="1"/>
  <c r="B3" i="1"/>
  <c r="B41" i="1"/>
  <c r="C37" i="1"/>
  <c r="F41" i="1"/>
  <c r="B11" i="1"/>
  <c r="E38" i="1"/>
  <c r="F36" i="1"/>
  <c r="E36" i="1"/>
  <c r="B10" i="1"/>
  <c r="F33" i="1"/>
  <c r="E33" i="1"/>
  <c r="D33" i="1"/>
  <c r="C33" i="1"/>
  <c r="G33" i="1"/>
  <c r="E41" i="1"/>
  <c r="E37" i="1"/>
  <c r="B9" i="1"/>
  <c r="C34" i="1"/>
  <c r="B40" i="1"/>
  <c r="G39" i="1"/>
  <c r="G35" i="1"/>
  <c r="F35" i="1"/>
  <c r="E35" i="1"/>
  <c r="D35" i="1"/>
  <c r="B34" i="1"/>
  <c r="C35" i="1"/>
  <c r="F40" i="1"/>
  <c r="B36" i="1"/>
  <c r="F39" i="1"/>
  <c r="E39" i="1"/>
  <c r="D39" i="1"/>
  <c r="L60" i="1"/>
  <c r="D36" i="1"/>
  <c r="C36" i="1"/>
  <c r="D40" i="1"/>
  <c r="B17" i="1"/>
  <c r="B33" i="1"/>
  <c r="L94" i="1"/>
  <c r="G40" i="1"/>
  <c r="C40" i="1"/>
  <c r="F38" i="1"/>
  <c r="B20" i="1"/>
  <c r="D34" i="1"/>
  <c r="B35" i="1"/>
  <c r="B39" i="1"/>
  <c r="E40" i="1"/>
  <c r="G37" i="1"/>
  <c r="B38" i="1"/>
  <c r="C38" i="1"/>
  <c r="D38" i="1"/>
  <c r="B18" i="1"/>
  <c r="B15" i="1"/>
  <c r="B19" i="1"/>
  <c r="B16" i="1"/>
  <c r="O59" i="1"/>
  <c r="B24" i="1"/>
  <c r="B26" i="1"/>
  <c r="B25" i="1"/>
  <c r="L65" i="1"/>
  <c r="L63" i="1"/>
  <c r="L61" i="1"/>
  <c r="L93" i="1"/>
  <c r="O93" i="1"/>
</calcChain>
</file>

<file path=xl/sharedStrings.xml><?xml version="1.0" encoding="utf-8"?>
<sst xmlns="http://schemas.openxmlformats.org/spreadsheetml/2006/main" count="94" uniqueCount="86">
  <si>
    <t>System Variables</t>
  </si>
  <si>
    <t>Database Name</t>
  </si>
  <si>
    <t>Current User</t>
  </si>
  <si>
    <t>}ElementAttributes_variables</t>
  </si>
  <si>
    <t>Cube View</t>
  </si>
  <si>
    <t>headline year</t>
  </si>
  <si>
    <t>headline scenario</t>
  </si>
  <si>
    <t>save location</t>
  </si>
  <si>
    <t>ME System Variable</t>
  </si>
  <si>
    <t>ME_headline year</t>
  </si>
  <si>
    <t>ME year</t>
  </si>
  <si>
    <t>ME_period</t>
  </si>
  <si>
    <t>ME_save location</t>
  </si>
  <si>
    <t>ME_Reason Code</t>
  </si>
  <si>
    <t>ME_Journal Title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</si>
  <si>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</si>
  <si>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</si>
  <si>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</si>
  <si>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</si>
  <si>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</si>
  <si>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</si>
  <si>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</si>
  <si>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</si>
  <si>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</si>
  <si>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CC Mapping</t>
  </si>
  <si>
    <t>ME - GL Mapping</t>
  </si>
  <si>
    <t>ME - Summary</t>
  </si>
  <si>
    <t>Monthly Estimates - Home</t>
  </si>
  <si>
    <t>Target : MONTHLY ESTIMATES</t>
  </si>
  <si>
    <t>Headline Year :</t>
  </si>
  <si>
    <t>Scenario :</t>
  </si>
  <si>
    <t>Period :</t>
  </si>
  <si>
    <t>Reason :</t>
  </si>
  <si>
    <t>Export Directory :</t>
  </si>
  <si>
    <t>ME - OS Data Entry</t>
  </si>
  <si>
    <t>ME - BS Data Entry</t>
  </si>
  <si>
    <t>ME - Account Template</t>
  </si>
  <si>
    <t>Source : MONTHLY ESTIMATES</t>
  </si>
  <si>
    <t>archive year</t>
  </si>
  <si>
    <t>archive scenario</t>
  </si>
  <si>
    <t>Action Button Parameters</t>
  </si>
  <si>
    <t>ME - Set Actual Periods</t>
  </si>
  <si>
    <t>psHLYear</t>
  </si>
  <si>
    <t>psScenario</t>
  </si>
  <si>
    <t>psProg</t>
  </si>
  <si>
    <t>psID</t>
  </si>
  <si>
    <t>psFFScenario</t>
  </si>
  <si>
    <t>0000B</t>
  </si>
  <si>
    <t>upload</t>
  </si>
  <si>
    <t>This is the last row</t>
  </si>
  <si>
    <t>Notes :</t>
  </si>
  <si>
    <t>1. SET PARAMETERS</t>
  </si>
  <si>
    <t xml:space="preserve">2. MAPPINGS - Required For Data Loads </t>
  </si>
  <si>
    <t>3. MONHLY ESTIMATES PROCESS STEPS</t>
  </si>
  <si>
    <t>4. ARCHIVING</t>
  </si>
  <si>
    <t>Archive after Finance validation of Monthly Estimates:</t>
  </si>
  <si>
    <r>
      <t xml:space="preserve">The Monthly Estimates Headline Year should be the same yeas as the Annual Estimates Source </t>
    </r>
    <r>
      <rPr>
        <b/>
        <i/>
        <u/>
        <sz val="11"/>
        <color rgb="FFFF0000"/>
        <rFont val="Calibri"/>
        <family val="2"/>
        <scheme val="minor"/>
      </rPr>
      <t>PERIOD</t>
    </r>
    <r>
      <rPr>
        <i/>
        <sz val="11"/>
        <color rgb="FFFF0000"/>
        <rFont val="Calibri"/>
        <family val="2"/>
        <scheme val="minor"/>
      </rPr>
      <t>.</t>
    </r>
  </si>
  <si>
    <t>The Source Monthly Estimates will be archived against the selected target</t>
  </si>
  <si>
    <t>Destination folder for CBMS Extract csv file</t>
  </si>
  <si>
    <t>Select control type or individual program to extract:</t>
  </si>
  <si>
    <t>Load AE data for the budget year from the selected AE source, into the selected ME target</t>
  </si>
  <si>
    <t>Source : ANNUAL ESTIMATES (AE)</t>
  </si>
  <si>
    <t>Target : MONTHLY ESTIMATES (ME)</t>
  </si>
  <si>
    <r>
      <t xml:space="preserve">Required for any ME updates performed </t>
    </r>
    <r>
      <rPr>
        <i/>
        <u/>
        <sz val="11"/>
        <color rgb="FFFF0000"/>
        <rFont val="Calibri"/>
        <family val="2"/>
        <scheme val="minor"/>
      </rPr>
      <t>after</t>
    </r>
    <r>
      <rPr>
        <i/>
        <sz val="11"/>
        <color rgb="FFFF0000"/>
        <rFont val="Calibri"/>
        <family val="2"/>
        <scheme val="minor"/>
      </rPr>
      <t xml:space="preserve"> the Budget round Monthly Estimates</t>
    </r>
  </si>
  <si>
    <t>Review the program summary report</t>
  </si>
  <si>
    <t>Select Account Template for Balance Sheet before creating monthly estimates</t>
  </si>
  <si>
    <t>Review Cost Centre Mapping before creating monthly estimates</t>
  </si>
  <si>
    <t>Enter Monthly Estimates /apply phasing methodology</t>
  </si>
  <si>
    <r>
      <t xml:space="preserve">Check mappings </t>
    </r>
    <r>
      <rPr>
        <b/>
        <i/>
        <u/>
        <sz val="11"/>
        <color rgb="FFFF0000"/>
        <rFont val="Calibri"/>
        <family val="2"/>
        <scheme val="minor"/>
      </rPr>
      <t>before</t>
    </r>
    <r>
      <rPr>
        <i/>
        <sz val="11"/>
        <color rgb="FFFF0000"/>
        <rFont val="Calibri"/>
        <family val="2"/>
        <scheme val="minor"/>
      </rPr>
      <t xml:space="preserve"> creating Monthly estimates</t>
    </r>
  </si>
  <si>
    <t>ME - Phasing</t>
  </si>
  <si>
    <t>ME- Upload</t>
  </si>
  <si>
    <t>Admin RDS - Account Template</t>
  </si>
  <si>
    <t>ME - Assign Account Template To Program</t>
  </si>
  <si>
    <t>Assign Account Template To Program</t>
  </si>
  <si>
    <t>Update/Review phasing methodology before Monthly Estimates Data Entry</t>
  </si>
  <si>
    <t xml:space="preserve"> REPORTS</t>
  </si>
  <si>
    <t>ME REP - OS Schedule</t>
  </si>
  <si>
    <t>ME REP - BS Schedule</t>
  </si>
  <si>
    <t>ME REP - CF Schedule</t>
  </si>
  <si>
    <t>Navigate to the Operating Statement Schedule Report</t>
  </si>
  <si>
    <t>Navigate to the Balance Sheet Schedule Report</t>
  </si>
  <si>
    <t>Navigate to the Cash Flow Schedule Report</t>
  </si>
  <si>
    <t>ME_archive scenario</t>
  </si>
  <si>
    <t>Upload source is the GEUS standard template</t>
  </si>
  <si>
    <t>Homepage - Under Construction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</si>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</sst>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3" fillId="3" borderId="0" xfId="0" applyFont="1" applyFill="1"/>
    <xf numFmtId="0" fontId="4" fillId="3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 indent="1"/>
    </xf>
    <xf numFmtId="0" fontId="0" fillId="0" borderId="1" xfId="0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0" fontId="2" fillId="7" borderId="1" xfId="0" applyFont="1" applyFill="1" applyBorder="1" applyAlignment="1">
      <alignment horizontal="right" indent="1"/>
    </xf>
    <xf numFmtId="0" fontId="2" fillId="0" borderId="0" xfId="0" applyFont="1" applyAlignment="1">
      <alignment horizontal="right" vertical="center" indent="1"/>
    </xf>
    <xf numFmtId="0" fontId="0" fillId="0" borderId="1" xfId="0" quotePrefix="1" applyBorder="1"/>
    <xf numFmtId="0" fontId="8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Protection="1">
      <protection locked="0"/>
    </xf>
    <xf numFmtId="0" fontId="8" fillId="0" borderId="0" xfId="0" applyFont="1" applyAlignment="1">
      <alignment horizontal="left" vertical="center" indent="1"/>
    </xf>
    <xf numFmtId="0" fontId="5" fillId="4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1" xfId="0" applyBorder="1" applyAlignment="1" applyProtection="1">
      <alignment horizontal="left" indent="1"/>
      <protection locked="0"/>
    </xf>
    <xf numFmtId="0" fontId="7" fillId="7" borderId="1" xfId="1" applyFill="1" applyBorder="1" applyAlignment="1">
      <alignment horizontal="left" indent="1"/>
    </xf>
    <xf numFmtId="0" fontId="0" fillId="7" borderId="1" xfId="0" applyFill="1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1" xfId="0" applyBorder="1" applyAlignment="1" applyProtection="1">
      <alignment horizontal="left" vertical="center" indent="1"/>
      <protection locked="0"/>
    </xf>
    <xf numFmtId="0" fontId="8" fillId="0" borderId="0" xfId="0" applyFont="1" applyAlignment="1">
      <alignment horizontal="left" vertical="center" indent="2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939"/>
  <ax:ocxPr ax:name="_ExtentY" ax:value="119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Program Summary Repor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SummaryWB"/>
  <ax:ocxPr ax:name="TargetWorksheetName" ax:value="=TM1MESummary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208"/>
  <ax:ocxPr ax:name="_ExtentY" ax:value="1085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ustomisation - FMIS Intergation - Cost Centre Mapping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HomeUnderWB"/>
  <ax:ocxPr ax:name="TargetWorksheetName" ax:value="=TM1HomeUnder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939"/>
  <ax:ocxPr ax:name="_ExtentY" ax:value="119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Monthly Estimates Data Ent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OSDataEntryWB"/>
  <ax:ocxPr ax:name="TargetWorksheetName" ax:value="=TM1MEOSDataEntry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208"/>
  <ax:ocxPr ax:name="_ExtentY" ax:value="1085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ccount Template (For Generating Balance Sheets)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AdminRDSAccTempWB"/>
  <ax:ocxPr ax:name="TargetWorksheetName" ax:value="=TM1AdminRDSAccTemp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939"/>
  <ax:ocxPr ax:name="_ExtentY" ax:value="1270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Set Which Periods Are Actuals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SetActualsWB"/>
  <ax:ocxPr ax:name="TargetWorksheetName" ax:value="=TM1MESetActuals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939"/>
  <ax:ocxPr ax:name="_ExtentY" ax:value="119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 Phasing Methodolog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PhasingWB"/>
  <ax:ocxPr ax:name="TargetWorksheetName" ax:value="=TM1MEPhasing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235"/>
  <ax:ocxPr ax:name="_ExtentY" ax:value="979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ssign Account Template To Program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AssignProgWB"/>
  <ax:ocxPr ax:name="TargetWorksheetName" ax:value="=TM1MEAssignProg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901"/>
  <ax:ocxPr ax:name="_ExtentY" ax:value="714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Operating Statement Schedul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OSWB"/>
  <ax:ocxPr ax:name="TargetWorksheetName" ax:value="=TM1MERepOS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901"/>
  <ax:ocxPr ax:name="_ExtentY" ax:value="714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lance Sheet Schedul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BSWB"/>
  <ax:ocxPr ax:name="TargetWorksheetName" ax:value="=TM1MERepBS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901"/>
  <ax:ocxPr ax:name="_ExtentY" ax:value="714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2874308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sh Flow Schedul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CFWB"/>
  <ax:ocxPr ax:name="TargetWorksheetName" ax:value="=TM1MERepCF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3.emf"/><Relationship Id="rId3" Type="http://schemas.openxmlformats.org/officeDocument/2006/relationships/image" Target="../media/image7.emf"/><Relationship Id="rId7" Type="http://schemas.openxmlformats.org/officeDocument/2006/relationships/image" Target="../media/image10.emf"/><Relationship Id="rId12" Type="http://schemas.openxmlformats.org/officeDocument/2006/relationships/image" Target="../media/image12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9.emf"/><Relationship Id="rId11" Type="http://schemas.openxmlformats.org/officeDocument/2006/relationships/image" Target="../media/image1.emf"/><Relationship Id="rId5" Type="http://schemas.openxmlformats.org/officeDocument/2006/relationships/image" Target="../media/image4.emf"/><Relationship Id="rId15" Type="http://schemas.openxmlformats.org/officeDocument/2006/relationships/image" Target="../media/image15.emf"/><Relationship Id="rId10" Type="http://schemas.openxmlformats.org/officeDocument/2006/relationships/image" Target="../media/image2.emf"/><Relationship Id="rId4" Type="http://schemas.openxmlformats.org/officeDocument/2006/relationships/image" Target="../media/image8.emf"/><Relationship Id="rId9" Type="http://schemas.openxmlformats.org/officeDocument/2006/relationships/image" Target="../media/image3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68</xdr:row>
          <xdr:rowOff>19050</xdr:rowOff>
        </xdr:from>
        <xdr:to>
          <xdr:col>13</xdr:col>
          <xdr:colOff>1352550</xdr:colOff>
          <xdr:row>68</xdr:row>
          <xdr:rowOff>342900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79</xdr:row>
          <xdr:rowOff>57150</xdr:rowOff>
        </xdr:from>
        <xdr:to>
          <xdr:col>13</xdr:col>
          <xdr:colOff>1352550</xdr:colOff>
          <xdr:row>79</xdr:row>
          <xdr:rowOff>361950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53</xdr:row>
      <xdr:rowOff>9525</xdr:rowOff>
    </xdr:from>
    <xdr:to>
      <xdr:col>10</xdr:col>
      <xdr:colOff>1463040</xdr:colOff>
      <xdr:row>54</xdr:row>
      <xdr:rowOff>15240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805940" cy="45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69</xdr:row>
          <xdr:rowOff>19050</xdr:rowOff>
        </xdr:from>
        <xdr:to>
          <xdr:col>13</xdr:col>
          <xdr:colOff>1352550</xdr:colOff>
          <xdr:row>69</xdr:row>
          <xdr:rowOff>342900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75</xdr:row>
          <xdr:rowOff>19050</xdr:rowOff>
        </xdr:from>
        <xdr:to>
          <xdr:col>13</xdr:col>
          <xdr:colOff>1352550</xdr:colOff>
          <xdr:row>75</xdr:row>
          <xdr:rowOff>342900</xdr:rowOff>
        </xdr:to>
        <xdr:sp macro="" textlink="">
          <xdr:nvSpPr>
            <xdr:cNvPr id="1036" name="TIButton1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80</xdr:row>
          <xdr:rowOff>57150</xdr:rowOff>
        </xdr:from>
        <xdr:to>
          <xdr:col>13</xdr:col>
          <xdr:colOff>1352550</xdr:colOff>
          <xdr:row>80</xdr:row>
          <xdr:rowOff>361950</xdr:rowOff>
        </xdr:to>
        <xdr:sp macro="" textlink="">
          <xdr:nvSpPr>
            <xdr:cNvPr id="1037" name="TIButton1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81</xdr:row>
          <xdr:rowOff>38100</xdr:rowOff>
        </xdr:from>
        <xdr:to>
          <xdr:col>13</xdr:col>
          <xdr:colOff>1352550</xdr:colOff>
          <xdr:row>81</xdr:row>
          <xdr:rowOff>361950</xdr:rowOff>
        </xdr:to>
        <xdr:sp macro="" textlink="">
          <xdr:nvSpPr>
            <xdr:cNvPr id="1041" name="TIButton1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78</xdr:row>
          <xdr:rowOff>47625</xdr:rowOff>
        </xdr:from>
        <xdr:to>
          <xdr:col>13</xdr:col>
          <xdr:colOff>1352550</xdr:colOff>
          <xdr:row>78</xdr:row>
          <xdr:rowOff>352425</xdr:rowOff>
        </xdr:to>
        <xdr:sp macro="" textlink="">
          <xdr:nvSpPr>
            <xdr:cNvPr id="1044" name="TIButton6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304800</xdr:colOff>
          <xdr:row>92</xdr:row>
          <xdr:rowOff>19050</xdr:rowOff>
        </xdr:from>
        <xdr:to>
          <xdr:col>17</xdr:col>
          <xdr:colOff>1885950</xdr:colOff>
          <xdr:row>93</xdr:row>
          <xdr:rowOff>152400</xdr:rowOff>
        </xdr:to>
        <xdr:sp macro="" textlink="">
          <xdr:nvSpPr>
            <xdr:cNvPr id="1045" name="TIButton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85725</xdr:colOff>
          <xdr:row>60</xdr:row>
          <xdr:rowOff>76200</xdr:rowOff>
        </xdr:from>
        <xdr:to>
          <xdr:col>18</xdr:col>
          <xdr:colOff>19050</xdr:colOff>
          <xdr:row>62</xdr:row>
          <xdr:rowOff>95250</xdr:rowOff>
        </xdr:to>
        <xdr:sp macro="" textlink="">
          <xdr:nvSpPr>
            <xdr:cNvPr id="1046" name="TIButton4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76</xdr:row>
          <xdr:rowOff>19050</xdr:rowOff>
        </xdr:from>
        <xdr:to>
          <xdr:col>13</xdr:col>
          <xdr:colOff>1352550</xdr:colOff>
          <xdr:row>76</xdr:row>
          <xdr:rowOff>342900</xdr:rowOff>
        </xdr:to>
        <xdr:sp macro="" textlink="">
          <xdr:nvSpPr>
            <xdr:cNvPr id="1047" name="TIButton9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77</xdr:row>
          <xdr:rowOff>19050</xdr:rowOff>
        </xdr:from>
        <xdr:to>
          <xdr:col>13</xdr:col>
          <xdr:colOff>1352550</xdr:colOff>
          <xdr:row>77</xdr:row>
          <xdr:rowOff>333375</xdr:rowOff>
        </xdr:to>
        <xdr:sp macro="" textlink="">
          <xdr:nvSpPr>
            <xdr:cNvPr id="1048" name="TIButton10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70</xdr:row>
          <xdr:rowOff>19050</xdr:rowOff>
        </xdr:from>
        <xdr:to>
          <xdr:col>13</xdr:col>
          <xdr:colOff>1352550</xdr:colOff>
          <xdr:row>70</xdr:row>
          <xdr:rowOff>342900</xdr:rowOff>
        </xdr:to>
        <xdr:sp macro="" textlink="">
          <xdr:nvSpPr>
            <xdr:cNvPr id="1049" name="TIButton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85</xdr:row>
          <xdr:rowOff>57150</xdr:rowOff>
        </xdr:from>
        <xdr:to>
          <xdr:col>13</xdr:col>
          <xdr:colOff>1352550</xdr:colOff>
          <xdr:row>85</xdr:row>
          <xdr:rowOff>361950</xdr:rowOff>
        </xdr:to>
        <xdr:sp macro="" textlink="">
          <xdr:nvSpPr>
            <xdr:cNvPr id="1050" name="TIButton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86</xdr:row>
          <xdr:rowOff>57150</xdr:rowOff>
        </xdr:from>
        <xdr:to>
          <xdr:col>13</xdr:col>
          <xdr:colOff>1352550</xdr:colOff>
          <xdr:row>86</xdr:row>
          <xdr:rowOff>361950</xdr:rowOff>
        </xdr:to>
        <xdr:sp macro="" textlink="">
          <xdr:nvSpPr>
            <xdr:cNvPr id="1051" name="TIButton13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87</xdr:row>
          <xdr:rowOff>57150</xdr:rowOff>
        </xdr:from>
        <xdr:to>
          <xdr:col>13</xdr:col>
          <xdr:colOff>1352550</xdr:colOff>
          <xdr:row>87</xdr:row>
          <xdr:rowOff>361950</xdr:rowOff>
        </xdr:to>
        <xdr:sp macro="" textlink="">
          <xdr:nvSpPr>
            <xdr:cNvPr id="1052" name="TIButton14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X99"/>
  <sheetViews>
    <sheetView showGridLines="0" showRowColHeaders="0" tabSelected="1" showOutlineSymbols="0" topLeftCell="A54" zoomScaleNormal="100" workbookViewId="0">
      <pane ySplit="13" topLeftCell="A67" activePane="bottomLeft" state="frozen"/>
      <selection activeCell="I54" sqref="I54"/>
      <selection pane="bottomLeft" activeCell="A67" sqref="A67"/>
    </sheetView>
  </sheetViews>
  <sheetFormatPr defaultRowHeight="15" outlineLevelRow="1" outlineLevelCol="1" x14ac:dyDescent="0.25"/>
  <cols>
    <col min="1" max="1" width="49.85546875" hidden="1" customWidth="1" outlineLevel="1"/>
    <col min="2" max="8" width="24.28515625" hidden="1" customWidth="1" outlineLevel="1"/>
    <col min="9" max="9" width="0.85546875" customWidth="1" collapsed="1"/>
    <col min="10" max="10" width="4.7109375" customWidth="1"/>
    <col min="11" max="12" width="23.7109375" customWidth="1"/>
    <col min="13" max="13" width="1.7109375" customWidth="1"/>
    <col min="14" max="15" width="23.7109375" customWidth="1"/>
    <col min="16" max="16" width="4.7109375" customWidth="1"/>
    <col min="18" max="18" width="28.7109375" customWidth="1"/>
  </cols>
  <sheetData>
    <row r="1" spans="1:2" hidden="1" outlineLevel="1" x14ac:dyDescent="0.25">
      <c r="A1" s="24" t="s">
        <v>0</v>
      </c>
      <c r="B1" s="24"/>
    </row>
    <row r="2" spans="1:2" hidden="1" outlineLevel="1" x14ac:dyDescent="0.25">
      <c r="A2" s="1" t="s">
        <v>1</v>
      </c>
      <c r="B2" s="1" t="s">
        <v>85</v>
      </c>
    </row>
    <row r="3" spans="1:2" hidden="1" outlineLevel="1" x14ac:dyDescent="0.25">
      <c r="A3" s="1" t="s">
        <v>2</v>
      </c>
      <c r="B3" s="1" t="str">
        <f ca="1">_xll.TM1USER(db_name)</f>
        <v/>
      </c>
    </row>
    <row r="4" spans="1:2" hidden="1" outlineLevel="1" x14ac:dyDescent="0.25"/>
    <row r="5" spans="1:2" hidden="1" outlineLevel="1" x14ac:dyDescent="0.25">
      <c r="A5" s="24" t="s">
        <v>3</v>
      </c>
      <c r="B5" s="24"/>
    </row>
    <row r="6" spans="1:2" hidden="1" outlineLevel="1" x14ac:dyDescent="0.25">
      <c r="A6" s="1" t="s">
        <v>4</v>
      </c>
      <c r="B6" s="1" t="str">
        <f ca="1">_xll.VIEW(db_name&amp;":}ElementAttributes_variables","!","!")</f>
        <v>dcceew_geus:}ElementAttributes_variables</v>
      </c>
    </row>
    <row r="7" spans="1:2" hidden="1" outlineLevel="1" x14ac:dyDescent="0.25">
      <c r="A7" s="1" t="s">
        <v>5</v>
      </c>
      <c r="B7" s="1" t="str">
        <f ca="1">_xll.DBR($B$6,$A7,"value")</f>
        <v>*KEY_ERR</v>
      </c>
    </row>
    <row r="8" spans="1:2" hidden="1" outlineLevel="1" x14ac:dyDescent="0.25">
      <c r="A8" s="1" t="s">
        <v>6</v>
      </c>
      <c r="B8" s="1" t="str">
        <f ca="1">_xll.DBR($B$6,$A8,"value")</f>
        <v>*KEY_ERR</v>
      </c>
    </row>
    <row r="9" spans="1:2" hidden="1" outlineLevel="1" x14ac:dyDescent="0.25">
      <c r="A9" s="1" t="s">
        <v>38</v>
      </c>
      <c r="B9" s="1" t="str">
        <f ca="1">_xll.DBR($B$6,$A9,"value")</f>
        <v>*KEY_ERR</v>
      </c>
    </row>
    <row r="10" spans="1:2" hidden="1" outlineLevel="1" x14ac:dyDescent="0.25">
      <c r="A10" s="1" t="s">
        <v>39</v>
      </c>
      <c r="B10" s="1" t="str">
        <f ca="1">_xll.DBR($B$6,$A10,"value")</f>
        <v>*KEY_ERR</v>
      </c>
    </row>
    <row r="11" spans="1:2" hidden="1" outlineLevel="1" x14ac:dyDescent="0.25">
      <c r="A11" s="1" t="s">
        <v>7</v>
      </c>
      <c r="B11" s="1" t="str">
        <f ca="1">_xll.DBR($B$6,$A11,"value")</f>
        <v>*KEY_ERR</v>
      </c>
    </row>
    <row r="12" spans="1:2" hidden="1" outlineLevel="1" x14ac:dyDescent="0.25"/>
    <row r="13" spans="1:2" hidden="1" outlineLevel="1" x14ac:dyDescent="0.25">
      <c r="A13" s="24" t="s">
        <v>8</v>
      </c>
      <c r="B13" s="24"/>
    </row>
    <row r="14" spans="1:2" ht="14.25" hidden="1" customHeight="1" outlineLevel="1" x14ac:dyDescent="0.25">
      <c r="A14" s="1" t="s">
        <v>4</v>
      </c>
      <c r="B14" s="1" t="str">
        <f ca="1">_xll.VIEW(db_name&amp;":sys_ME variable","!","!")</f>
        <v>dcceew_geus:sys_ME variable</v>
      </c>
    </row>
    <row r="15" spans="1:2" hidden="1" outlineLevel="1" x14ac:dyDescent="0.25">
      <c r="A15" s="1" t="s">
        <v>9</v>
      </c>
      <c r="B15" s="1" t="str">
        <f ca="1">_xll.DBR($B$14,$A15,"value")</f>
        <v>*KEY_ERR</v>
      </c>
    </row>
    <row r="16" spans="1:2" hidden="1" outlineLevel="1" x14ac:dyDescent="0.25">
      <c r="A16" s="1" t="s">
        <v>10</v>
      </c>
      <c r="B16" s="1" t="str">
        <f ca="1">_xll.DBR($B$14,$A16,"value")</f>
        <v>*KEY_ERR</v>
      </c>
    </row>
    <row r="17" spans="1:7" hidden="1" outlineLevel="1" x14ac:dyDescent="0.25">
      <c r="A17" s="1" t="s">
        <v>11</v>
      </c>
      <c r="B17" s="1" t="str">
        <f ca="1">_xll.DBR($B$14,$A17,"value")</f>
        <v>*KEY_ERR</v>
      </c>
    </row>
    <row r="18" spans="1:7" hidden="1" outlineLevel="1" x14ac:dyDescent="0.25">
      <c r="A18" s="1" t="s">
        <v>12</v>
      </c>
      <c r="B18" s="1" t="str">
        <f ca="1">_xll.DBR($B$14,$A18,"value")</f>
        <v>*KEY_ERR</v>
      </c>
    </row>
    <row r="19" spans="1:7" hidden="1" outlineLevel="1" x14ac:dyDescent="0.25">
      <c r="A19" s="1" t="s">
        <v>13</v>
      </c>
      <c r="B19" s="1" t="str">
        <f ca="1">_xll.DBR($B$14,$A19,"value")</f>
        <v>*KEY_ERR</v>
      </c>
    </row>
    <row r="20" spans="1:7" hidden="1" outlineLevel="1" x14ac:dyDescent="0.25">
      <c r="A20" s="1" t="s">
        <v>14</v>
      </c>
      <c r="B20" s="1" t="str">
        <f ca="1">_xll.DBR($B$14,$A20,"value")</f>
        <v>*KEY_ERR</v>
      </c>
    </row>
    <row r="21" spans="1:7" hidden="1" outlineLevel="1" x14ac:dyDescent="0.25">
      <c r="A21" s="1" t="s">
        <v>82</v>
      </c>
      <c r="B21" s="1" t="str">
        <f ca="1">_xll.DBR($B$14,$A21,"value")</f>
        <v>*KEY_ERR</v>
      </c>
    </row>
    <row r="22" spans="1:7" hidden="1" outlineLevel="1" x14ac:dyDescent="0.25"/>
    <row r="23" spans="1:7" hidden="1" outlineLevel="1" x14ac:dyDescent="0.25">
      <c r="A23" s="24" t="s">
        <v>40</v>
      </c>
      <c r="B23" s="24"/>
    </row>
    <row r="24" spans="1:7" hidden="1" outlineLevel="1" x14ac:dyDescent="0.25">
      <c r="A24" s="1" t="s">
        <v>42</v>
      </c>
      <c r="B24" s="1" t="str">
        <f ca="1">psTargetHLYear</f>
        <v/>
      </c>
    </row>
    <row r="25" spans="1:7" hidden="1" outlineLevel="1" x14ac:dyDescent="0.25">
      <c r="A25" s="1" t="s">
        <v>43</v>
      </c>
      <c r="B25" s="1" t="str">
        <f ca="1">psTargetScenario</f>
        <v/>
      </c>
    </row>
    <row r="26" spans="1:7" hidden="1" outlineLevel="1" x14ac:dyDescent="0.25">
      <c r="A26" s="1" t="s">
        <v>44</v>
      </c>
      <c r="B26" s="1" t="str">
        <f ca="1">$O$82</f>
        <v/>
      </c>
    </row>
    <row r="27" spans="1:7" hidden="1" outlineLevel="1" x14ac:dyDescent="0.25">
      <c r="A27" s="1" t="s">
        <v>45</v>
      </c>
      <c r="B27" s="11" t="s">
        <v>47</v>
      </c>
    </row>
    <row r="28" spans="1:7" hidden="1" outlineLevel="1" x14ac:dyDescent="0.25">
      <c r="A28" s="1" t="s">
        <v>46</v>
      </c>
      <c r="B28" s="1" t="s">
        <v>48</v>
      </c>
    </row>
    <row r="29" spans="1:7" hidden="1" outlineLevel="1" x14ac:dyDescent="0.25"/>
    <row r="30" spans="1:7" hidden="1" outlineLevel="1" x14ac:dyDescent="0.25">
      <c r="A30" s="24" t="s">
        <v>15</v>
      </c>
      <c r="B30" s="24"/>
    </row>
    <row r="31" spans="1:7" hidden="1" outlineLevel="1" x14ac:dyDescent="0.25">
      <c r="A31" s="2" t="s">
        <v>4</v>
      </c>
      <c r="B31" s="2" t="str">
        <f ca="1">_xll.VIEW(db_name&amp;":sys_application","!","!")</f>
        <v>dcceew_geus:sys_application</v>
      </c>
    </row>
    <row r="32" spans="1:7" hidden="1" outlineLevel="1" x14ac:dyDescent="0.25">
      <c r="A32" s="1"/>
      <c r="B32" s="3" t="s">
        <v>16</v>
      </c>
      <c r="C32" s="3" t="s">
        <v>17</v>
      </c>
      <c r="D32" s="3" t="s">
        <v>18</v>
      </c>
      <c r="E32" s="3" t="s">
        <v>19</v>
      </c>
      <c r="F32" s="3" t="s">
        <v>20</v>
      </c>
      <c r="G32" s="3" t="s">
        <v>21</v>
      </c>
    </row>
    <row r="33" spans="1:7" hidden="1" outlineLevel="1" x14ac:dyDescent="0.25">
      <c r="A33" s="1" t="s">
        <v>22</v>
      </c>
      <c r="B33" s="1" t="str">
        <f ca="1">_xll.DBR($B$31,$A33,B$32)</f>
        <v>*KEY_ERR</v>
      </c>
      <c r="C33" s="1" t="str">
        <f ca="1">_xll.DBR($B$31,$A33,C$32)</f>
        <v>*KEY_ERR</v>
      </c>
      <c r="D33" s="1" t="str">
        <f ca="1">_xll.DBR($B$31,$A33,D$32)</f>
        <v>*KEY_ERR</v>
      </c>
      <c r="E33" s="1" t="str">
        <f ca="1">_xll.DBR($B$31,$A33,E$32)</f>
        <v>*KEY_ERR</v>
      </c>
      <c r="F33" s="1" t="str">
        <f ca="1">_xll.DBR($B$31,$A33,F$32)</f>
        <v>*KEY_ERR</v>
      </c>
      <c r="G33" s="1" t="str">
        <f ca="1">_xll.DBR($B$31,$A33,G$32)</f>
        <v>*KEY_ERR</v>
      </c>
    </row>
    <row r="34" spans="1:7" hidden="1" outlineLevel="1" x14ac:dyDescent="0.25">
      <c r="A34" s="1" t="s">
        <v>23</v>
      </c>
      <c r="B34" s="1" t="str">
        <f ca="1">_xll.DBR($B$31,$A34,B$32)</f>
        <v>*KEY_ERR</v>
      </c>
      <c r="C34" s="1" t="str">
        <f ca="1">_xll.DBR($B$31,$A34,C$32)</f>
        <v>*KEY_ERR</v>
      </c>
      <c r="D34" s="1" t="str">
        <f ca="1">_xll.DBR($B$31,$A34,D$32)</f>
        <v>*KEY_ERR</v>
      </c>
      <c r="E34" s="1" t="str">
        <f ca="1">_xll.DBR($B$31,$A34,E$32)</f>
        <v>*KEY_ERR</v>
      </c>
      <c r="F34" s="1" t="str">
        <f ca="1">_xll.DBR($B$31,$A34,F$32)</f>
        <v>*KEY_ERR</v>
      </c>
      <c r="G34" s="1" t="str">
        <f ca="1">_xll.DBR($B$31,$A34,G$32)</f>
        <v>*KEY_ERR</v>
      </c>
    </row>
    <row r="35" spans="1:7" hidden="1" outlineLevel="1" x14ac:dyDescent="0.25">
      <c r="A35" s="1" t="s">
        <v>34</v>
      </c>
      <c r="B35" s="1" t="str">
        <f ca="1">_xll.DBR($B$31,$A35,B$32)</f>
        <v>*KEY_ERR</v>
      </c>
      <c r="C35" s="1" t="str">
        <f ca="1">_xll.DBR($B$31,$A35,C$32)</f>
        <v>*KEY_ERR</v>
      </c>
      <c r="D35" s="1" t="str">
        <f ca="1">_xll.DBR($B$31,$A35,D$32)</f>
        <v>*KEY_ERR</v>
      </c>
      <c r="E35" s="1" t="str">
        <f ca="1">_xll.DBR($B$31,$A35,E$32)</f>
        <v>*KEY_ERR</v>
      </c>
      <c r="F35" s="1" t="str">
        <f ca="1">_xll.DBR($B$31,$A35,F$32)</f>
        <v>*KEY_ERR</v>
      </c>
      <c r="G35" s="1" t="str">
        <f ca="1">_xll.DBR($B$31,$A35,G$32)</f>
        <v>*KEY_ERR</v>
      </c>
    </row>
    <row r="36" spans="1:7" hidden="1" outlineLevel="1" x14ac:dyDescent="0.25">
      <c r="A36" s="1" t="s">
        <v>35</v>
      </c>
      <c r="B36" s="1" t="str">
        <f ca="1">_xll.DBR($B$31,$A36,B$32)</f>
        <v>*KEY_ERR</v>
      </c>
      <c r="C36" s="1" t="str">
        <f ca="1">_xll.DBR($B$31,$A36,C$32)</f>
        <v>*KEY_ERR</v>
      </c>
      <c r="D36" s="1" t="str">
        <f ca="1">_xll.DBR($B$31,$A36,D$32)</f>
        <v>*KEY_ERR</v>
      </c>
      <c r="E36" s="1" t="str">
        <f ca="1">_xll.DBR($B$31,$A36,E$32)</f>
        <v>*KEY_ERR</v>
      </c>
      <c r="F36" s="1" t="str">
        <f ca="1">_xll.DBR($B$31,$A36,F$32)</f>
        <v>*KEY_ERR</v>
      </c>
      <c r="G36" s="1" t="str">
        <f ca="1">_xll.DBR($B$31,$A36,G$32)</f>
        <v>*KEY_ERR</v>
      </c>
    </row>
    <row r="37" spans="1:7" hidden="1" outlineLevel="1" x14ac:dyDescent="0.25">
      <c r="A37" s="1" t="s">
        <v>24</v>
      </c>
      <c r="B37" s="1" t="str">
        <f ca="1">_xll.DBR($B$31,$A37,B$32)</f>
        <v>*KEY_ERR</v>
      </c>
      <c r="C37" s="1" t="str">
        <f ca="1">_xll.DBR($B$31,$A37,C$32)</f>
        <v>*KEY_ERR</v>
      </c>
      <c r="D37" s="1" t="str">
        <f ca="1">_xll.DBR($B$31,$A37,D$32)</f>
        <v>*KEY_ERR</v>
      </c>
      <c r="E37" s="1" t="str">
        <f ca="1">_xll.DBR($B$31,$A37,E$32)</f>
        <v>*KEY_ERR</v>
      </c>
      <c r="F37" s="1" t="str">
        <f ca="1">_xll.DBR($B$31,$A37,F$32)</f>
        <v>*KEY_ERR</v>
      </c>
      <c r="G37" s="1" t="str">
        <f ca="1">_xll.DBR($B$31,$A37,G$32)</f>
        <v>*KEY_ERR</v>
      </c>
    </row>
    <row r="38" spans="1:7" hidden="1" outlineLevel="1" x14ac:dyDescent="0.25">
      <c r="A38" s="1" t="s">
        <v>25</v>
      </c>
      <c r="B38" s="1" t="str">
        <f ca="1">_xll.DBR($B$31,$A38,B$32)</f>
        <v>*KEY_ERR</v>
      </c>
      <c r="C38" s="1" t="str">
        <f ca="1">_xll.DBR($B$31,$A38,C$32)</f>
        <v>*KEY_ERR</v>
      </c>
      <c r="D38" s="1" t="str">
        <f ca="1">_xll.DBR($B$31,$A38,D$32)</f>
        <v>*KEY_ERR</v>
      </c>
      <c r="E38" s="1" t="str">
        <f ca="1">_xll.DBR($B$31,$A38,E$32)</f>
        <v>*KEY_ERR</v>
      </c>
      <c r="F38" s="1" t="str">
        <f ca="1">_xll.DBR($B$31,$A38,F$32)</f>
        <v>*KEY_ERR</v>
      </c>
      <c r="G38" s="1" t="str">
        <f ca="1">_xll.DBR($B$31,$A38,G$32)</f>
        <v>*KEY_ERR</v>
      </c>
    </row>
    <row r="39" spans="1:7" hidden="1" outlineLevel="1" x14ac:dyDescent="0.25">
      <c r="A39" s="1" t="s">
        <v>26</v>
      </c>
      <c r="B39" s="1" t="str">
        <f ca="1">_xll.DBR($B$31,$A39,B$32)</f>
        <v>*KEY_ERR</v>
      </c>
      <c r="C39" s="1" t="str">
        <f ca="1">_xll.DBR($B$31,$A39,C$32)</f>
        <v>*KEY_ERR</v>
      </c>
      <c r="D39" s="1" t="str">
        <f ca="1">_xll.DBR($B$31,$A39,D$32)</f>
        <v>*KEY_ERR</v>
      </c>
      <c r="E39" s="1" t="str">
        <f ca="1">_xll.DBR($B$31,$A39,E$32)</f>
        <v>*KEY_ERR</v>
      </c>
      <c r="F39" s="1" t="str">
        <f ca="1">_xll.DBR($B$31,$A39,F$32)</f>
        <v>*KEY_ERR</v>
      </c>
      <c r="G39" s="1" t="str">
        <f ca="1">_xll.DBR($B$31,$A39,G$32)</f>
        <v>*KEY_ERR</v>
      </c>
    </row>
    <row r="40" spans="1:7" hidden="1" outlineLevel="1" x14ac:dyDescent="0.25">
      <c r="A40" s="1" t="s">
        <v>36</v>
      </c>
      <c r="B40" s="1" t="str">
        <f ca="1">_xll.DBR($B$31,$A40,B$32)</f>
        <v>*KEY_ERR</v>
      </c>
      <c r="C40" s="1" t="str">
        <f ca="1">_xll.DBR($B$31,$A40,C$32)</f>
        <v>*KEY_ERR</v>
      </c>
      <c r="D40" s="1" t="str">
        <f ca="1">_xll.DBR($B$31,$A40,D$32)</f>
        <v>*KEY_ERR</v>
      </c>
      <c r="E40" s="1" t="str">
        <f ca="1">_xll.DBR($B$31,$A40,E$32)</f>
        <v>*KEY_ERR</v>
      </c>
      <c r="F40" s="1" t="str">
        <f ca="1">_xll.DBR($B$31,$A40,F$32)</f>
        <v>*KEY_ERR</v>
      </c>
      <c r="G40" s="1" t="str">
        <f ca="1">_xll.DBR($B$31,$A40,G$32)</f>
        <v>*KEY_ERR</v>
      </c>
    </row>
    <row r="41" spans="1:7" hidden="1" outlineLevel="1" x14ac:dyDescent="0.25">
      <c r="A41" s="1" t="s">
        <v>41</v>
      </c>
      <c r="B41" s="1" t="str">
        <f ca="1">_xll.DBR($B$31,$A41,B$32)</f>
        <v>*KEY_ERR</v>
      </c>
      <c r="C41" s="1" t="str">
        <f ca="1">_xll.DBR($B$31,$A41,C$32)</f>
        <v>*KEY_ERR</v>
      </c>
      <c r="D41" s="1" t="str">
        <f ca="1">_xll.DBR($B$31,$A41,D$32)</f>
        <v>*KEY_ERR</v>
      </c>
      <c r="E41" s="1" t="str">
        <f ca="1">_xll.DBR($B$31,$A41,E$32)</f>
        <v>*KEY_ERR</v>
      </c>
      <c r="F41" s="1" t="str">
        <f ca="1">_xll.DBR($B$31,$A41,F$32)</f>
        <v>*KEY_ERR</v>
      </c>
      <c r="G41" s="1" t="str">
        <f ca="1">_xll.DBR($B$31,$A41,G$32)</f>
        <v>*KEY_ERR</v>
      </c>
    </row>
    <row r="42" spans="1:7" hidden="1" outlineLevel="1" x14ac:dyDescent="0.25">
      <c r="A42" s="1" t="s">
        <v>69</v>
      </c>
      <c r="B42" s="1" t="str">
        <f ca="1">_xll.DBR($B$31,$A42,B$32)</f>
        <v>*KEY_ERR</v>
      </c>
      <c r="C42" s="1" t="str">
        <f ca="1">_xll.DBR($B$31,$A42,C$32)</f>
        <v>*KEY_ERR</v>
      </c>
      <c r="D42" s="1" t="str">
        <f ca="1">_xll.DBR($B$31,$A42,D$32)</f>
        <v>*KEY_ERR</v>
      </c>
      <c r="E42" s="1" t="str">
        <f ca="1">_xll.DBR($B$31,$A42,E$32)</f>
        <v>*KEY_ERR</v>
      </c>
      <c r="F42" s="1" t="str">
        <f ca="1">_xll.DBR($B$31,$A42,F$32)</f>
        <v>*KEY_ERR</v>
      </c>
      <c r="G42" s="1" t="str">
        <f ca="1">_xll.DBR($B$31,$A42,G$32)</f>
        <v>*KEY_ERR</v>
      </c>
    </row>
    <row r="43" spans="1:7" hidden="1" outlineLevel="1" x14ac:dyDescent="0.25">
      <c r="A43" s="1" t="s">
        <v>70</v>
      </c>
      <c r="B43" s="1" t="str">
        <f ca="1">_xll.DBR($B$31,$A43,B$32)</f>
        <v>*KEY_ERR</v>
      </c>
      <c r="C43" s="1" t="str">
        <f ca="1">_xll.DBR($B$31,$A43,C$32)</f>
        <v>*KEY_ERR</v>
      </c>
      <c r="D43" s="1" t="str">
        <f ca="1">_xll.DBR($B$31,$A43,D$32)</f>
        <v>*KEY_ERR</v>
      </c>
      <c r="E43" s="1" t="str">
        <f ca="1">_xll.DBR($B$31,$A43,E$32)</f>
        <v>*KEY_ERR</v>
      </c>
      <c r="F43" s="1" t="str">
        <f ca="1">_xll.DBR($B$31,$A43,F$32)</f>
        <v>*KEY_ERR</v>
      </c>
      <c r="G43" s="1" t="str">
        <f ca="1">_xll.DBR($B$31,$A43,G$32)</f>
        <v>*KEY_ERR</v>
      </c>
    </row>
    <row r="44" spans="1:7" hidden="1" outlineLevel="1" x14ac:dyDescent="0.25">
      <c r="A44" s="1" t="s">
        <v>71</v>
      </c>
      <c r="B44" s="1" t="str">
        <f ca="1">_xll.DBR($B$31,$A44,B$32)</f>
        <v>*KEY_ERR</v>
      </c>
      <c r="C44" s="1" t="str">
        <f ca="1">_xll.DBR($B$31,$A44,C$32)</f>
        <v>*KEY_ERR</v>
      </c>
      <c r="D44" s="1" t="str">
        <f ca="1">_xll.DBR($B$31,$A44,D$32)</f>
        <v>*KEY_ERR</v>
      </c>
      <c r="E44" s="1" t="str">
        <f ca="1">_xll.DBR($B$31,$A44,E$32)</f>
        <v>*KEY_ERR</v>
      </c>
      <c r="F44" s="1" t="str">
        <f ca="1">_xll.DBR($B$31,$A44,F$32)</f>
        <v>*KEY_ERR</v>
      </c>
      <c r="G44" s="1" t="str">
        <f ca="1">_xll.DBR($B$31,$A44,G$32)</f>
        <v>*KEY_ERR</v>
      </c>
    </row>
    <row r="45" spans="1:7" hidden="1" outlineLevel="1" x14ac:dyDescent="0.25">
      <c r="A45" s="1" t="s">
        <v>72</v>
      </c>
      <c r="B45" s="1" t="str">
        <f ca="1">_xll.DBR($B$31,$A45,B$32)</f>
        <v>*KEY_ERR</v>
      </c>
      <c r="C45" s="1" t="str">
        <f ca="1">_xll.DBR($B$31,$A45,C$32)</f>
        <v>*KEY_ERR</v>
      </c>
      <c r="D45" s="1" t="str">
        <f ca="1">_xll.DBR($B$31,$A45,D$32)</f>
        <v>*KEY_ERR</v>
      </c>
      <c r="E45" s="1" t="str">
        <f ca="1">_xll.DBR($B$31,$A45,E$32)</f>
        <v>*KEY_ERR</v>
      </c>
      <c r="F45" s="1" t="str">
        <f ca="1">_xll.DBR($B$31,$A45,F$32)</f>
        <v>*KEY_ERR</v>
      </c>
      <c r="G45" s="1" t="str">
        <f ca="1">_xll.DBR($B$31,$A45,G$32)</f>
        <v>*KEY_ERR</v>
      </c>
    </row>
    <row r="46" spans="1:7" hidden="1" outlineLevel="1" x14ac:dyDescent="0.25">
      <c r="A46" s="1" t="s">
        <v>76</v>
      </c>
      <c r="B46" s="1" t="str">
        <f ca="1">_xll.DBR($B$31,$A46,B$32)</f>
        <v>*KEY_ERR</v>
      </c>
      <c r="C46" s="1" t="str">
        <f ca="1">_xll.DBR($B$31,$A46,C$32)</f>
        <v>*KEY_ERR</v>
      </c>
      <c r="D46" s="1" t="str">
        <f ca="1">_xll.DBR($B$31,$A46,D$32)</f>
        <v>*KEY_ERR</v>
      </c>
      <c r="E46" s="1" t="str">
        <f ca="1">_xll.DBR($B$31,$A46,E$32)</f>
        <v>*KEY_ERR</v>
      </c>
      <c r="F46" s="1" t="str">
        <f ca="1">_xll.DBR($B$31,$A46,F$32)</f>
        <v>*KEY_ERR</v>
      </c>
      <c r="G46" s="1" t="str">
        <f ca="1">_xll.DBR($B$31,$A46,G$32)</f>
        <v>*KEY_ERR</v>
      </c>
    </row>
    <row r="47" spans="1:7" hidden="1" outlineLevel="1" x14ac:dyDescent="0.25">
      <c r="A47" s="1" t="s">
        <v>77</v>
      </c>
      <c r="B47" s="1" t="str">
        <f ca="1">_xll.DBR($B$31,$A47,B$32)</f>
        <v>*KEY_ERR</v>
      </c>
      <c r="C47" s="1" t="str">
        <f ca="1">_xll.DBR($B$31,$A47,C$32)</f>
        <v>*KEY_ERR</v>
      </c>
      <c r="D47" s="1" t="str">
        <f ca="1">_xll.DBR($B$31,$A47,D$32)</f>
        <v>*KEY_ERR</v>
      </c>
      <c r="E47" s="1" t="str">
        <f ca="1">_xll.DBR($B$31,$A47,E$32)</f>
        <v>*KEY_ERR</v>
      </c>
      <c r="F47" s="1" t="str">
        <f ca="1">_xll.DBR($B$31,$A47,F$32)</f>
        <v>*KEY_ERR</v>
      </c>
      <c r="G47" s="1" t="str">
        <f ca="1">_xll.DBR($B$31,$A47,G$32)</f>
        <v>*KEY_ERR</v>
      </c>
    </row>
    <row r="48" spans="1:7" hidden="1" outlineLevel="1" x14ac:dyDescent="0.25">
      <c r="A48" s="1" t="s">
        <v>78</v>
      </c>
      <c r="B48" s="1" t="str">
        <f ca="1">_xll.DBR($B$31,$A48,B$32)</f>
        <v>*KEY_ERR</v>
      </c>
      <c r="C48" s="1" t="str">
        <f ca="1">_xll.DBR($B$31,$A48,C$32)</f>
        <v>*KEY_ERR</v>
      </c>
      <c r="D48" s="1" t="str">
        <f ca="1">_xll.DBR($B$31,$A48,D$32)</f>
        <v>*KEY_ERR</v>
      </c>
      <c r="E48" s="1" t="str">
        <f ca="1">_xll.DBR($B$31,$A48,E$32)</f>
        <v>*KEY_ERR</v>
      </c>
      <c r="F48" s="1" t="str">
        <f ca="1">_xll.DBR($B$31,$A48,F$32)</f>
        <v>*KEY_ERR</v>
      </c>
      <c r="G48" s="1" t="str">
        <f ca="1">_xll.DBR($B$31,$A48,G$32)</f>
        <v>*KEY_ERR</v>
      </c>
    </row>
    <row r="49" spans="1:24" hidden="1" outlineLevel="1" x14ac:dyDescent="0.25">
      <c r="A49" s="1" t="s">
        <v>84</v>
      </c>
      <c r="B49" s="1" t="str">
        <f ca="1">_xll.DBR($B$31,$A49,B$32)</f>
        <v>*KEY_ERR</v>
      </c>
      <c r="C49" s="1" t="str">
        <f ca="1">_xll.DBR($B$31,$A49,C$32)</f>
        <v>*KEY_ERR</v>
      </c>
      <c r="D49" s="1" t="str">
        <f ca="1">_xll.DBR($B$31,$A49,D$32)</f>
        <v>*KEY_ERR</v>
      </c>
      <c r="E49" s="1" t="str">
        <f ca="1">_xll.DBR($B$31,$A49,E$32)</f>
        <v>*KEY_ERR</v>
      </c>
      <c r="F49" s="1" t="str">
        <f ca="1">_xll.DBR($B$31,$A49,F$32)</f>
        <v>*KEY_ERR</v>
      </c>
      <c r="G49" s="1" t="str">
        <f ca="1">_xll.DBR($B$31,$A49,G$32)</f>
        <v>*KEY_ERR</v>
      </c>
    </row>
    <row r="50" spans="1:24" hidden="1" outlineLevel="1" x14ac:dyDescent="0.25"/>
    <row r="51" spans="1:24" hidden="1" outlineLevel="1" x14ac:dyDescent="0.25"/>
    <row r="52" spans="1:24" hidden="1" outlineLevel="1" x14ac:dyDescent="0.25"/>
    <row r="53" spans="1:24" hidden="1" outlineLevel="1" x14ac:dyDescent="0.25"/>
    <row r="54" spans="1:24" ht="36" collapsed="1" x14ac:dyDescent="0.55000000000000004">
      <c r="I54" s="4"/>
      <c r="J54" s="4"/>
      <c r="K54" s="4"/>
      <c r="L54" s="4"/>
      <c r="M54" s="4"/>
      <c r="N54" s="4"/>
      <c r="O54" s="5"/>
      <c r="P54" s="5"/>
      <c r="Q54" s="5"/>
      <c r="R54" s="5"/>
      <c r="S54" s="5"/>
      <c r="T54" s="5"/>
      <c r="U54" s="5"/>
      <c r="V54" s="5"/>
      <c r="W54" s="5"/>
      <c r="X54" s="5" t="s">
        <v>27</v>
      </c>
    </row>
    <row r="55" spans="1:24" ht="5.0999999999999996" customHeight="1" x14ac:dyDescent="0.25"/>
    <row r="56" spans="1:24" ht="21" x14ac:dyDescent="0.35">
      <c r="J56" s="18" t="s">
        <v>51</v>
      </c>
      <c r="K56" s="18"/>
      <c r="L56" s="18"/>
      <c r="M56" s="18"/>
      <c r="N56" s="18"/>
      <c r="O56" s="18"/>
      <c r="P56" s="18"/>
    </row>
    <row r="57" spans="1:24" ht="5.0999999999999996" customHeight="1" x14ac:dyDescent="0.25"/>
    <row r="58" spans="1:24" x14ac:dyDescent="0.25">
      <c r="K58" s="19" t="s">
        <v>61</v>
      </c>
      <c r="L58" s="19"/>
      <c r="N58" s="20" t="s">
        <v>62</v>
      </c>
      <c r="O58" s="20"/>
      <c r="Q58" s="29" t="s">
        <v>50</v>
      </c>
      <c r="R58" s="29"/>
      <c r="S58" s="29"/>
      <c r="T58" s="29"/>
      <c r="U58" s="29"/>
      <c r="V58" s="29"/>
      <c r="W58" s="29"/>
      <c r="X58" s="29"/>
    </row>
    <row r="59" spans="1:24" x14ac:dyDescent="0.25">
      <c r="J59" s="13">
        <v>1.1000000000000001</v>
      </c>
      <c r="K59" s="6" t="s">
        <v>29</v>
      </c>
      <c r="L59" s="7" t="str">
        <f ca="1">_xll.SUBNM(db_name&amp;":headline year","",$B$7)</f>
        <v/>
      </c>
      <c r="N59" s="6" t="s">
        <v>29</v>
      </c>
      <c r="O59" s="7" t="str">
        <f ca="1">_xll.SUBNM(db_name&amp;":headline year","",$B$15)</f>
        <v/>
      </c>
      <c r="Q59" s="30" t="s">
        <v>56</v>
      </c>
      <c r="R59" s="30"/>
      <c r="S59" s="30"/>
      <c r="T59" s="30"/>
      <c r="U59" s="30"/>
      <c r="V59" s="30"/>
      <c r="W59" s="30"/>
      <c r="X59" s="30"/>
    </row>
    <row r="60" spans="1:24" x14ac:dyDescent="0.25">
      <c r="J60" s="13">
        <v>1.2</v>
      </c>
      <c r="K60" s="6" t="s">
        <v>30</v>
      </c>
      <c r="L60" s="7" t="str">
        <f ca="1">_xll.SUBNM(db_name&amp;":scenario","",$B$8)</f>
        <v/>
      </c>
      <c r="N60" s="6" t="s">
        <v>30</v>
      </c>
      <c r="O60" s="7" t="str">
        <f ca="1">_xll.SUBNM(db_name&amp;":scenario","",$B$21)</f>
        <v/>
      </c>
    </row>
    <row r="61" spans="1:24" x14ac:dyDescent="0.25">
      <c r="J61" s="13">
        <v>1.3</v>
      </c>
      <c r="K61" s="6" t="s">
        <v>31</v>
      </c>
      <c r="L61" s="7" t="str">
        <f ca="1">_xll.SUBNM(db_name&amp;":period","",$B$16)</f>
        <v/>
      </c>
    </row>
    <row r="62" spans="1:24" ht="5.0999999999999996" customHeight="1" x14ac:dyDescent="0.25">
      <c r="J62" s="13"/>
    </row>
    <row r="63" spans="1:24" x14ac:dyDescent="0.25">
      <c r="J63" s="13">
        <v>1.4</v>
      </c>
      <c r="K63" s="6" t="s">
        <v>32</v>
      </c>
      <c r="L63" s="21" t="str">
        <f ca="1">_xll.SUBNM(db_name&amp;":reason","",$B$19,"CBMS code and description")</f>
        <v/>
      </c>
      <c r="M63" s="21"/>
      <c r="N63" s="21"/>
      <c r="O63" s="21"/>
    </row>
    <row r="64" spans="1:24" ht="5.0999999999999996" customHeight="1" x14ac:dyDescent="0.25"/>
    <row r="65" spans="10:24" ht="13.9" customHeight="1" x14ac:dyDescent="0.25">
      <c r="K65" s="6" t="s">
        <v>33</v>
      </c>
      <c r="L65" s="22" t="str">
        <f ca="1">HYPERLINK($B$11)</f>
        <v>*KEY_ERR</v>
      </c>
      <c r="M65" s="23"/>
      <c r="N65" s="23"/>
      <c r="O65" s="23"/>
      <c r="Q65" s="28" t="s">
        <v>58</v>
      </c>
      <c r="R65" s="28"/>
      <c r="S65" s="28"/>
      <c r="T65" s="28"/>
      <c r="U65" s="28"/>
      <c r="V65" s="28"/>
      <c r="W65" s="28"/>
      <c r="X65" s="28"/>
    </row>
    <row r="66" spans="10:24" ht="5.0999999999999996" customHeight="1" x14ac:dyDescent="0.25"/>
    <row r="67" spans="10:24" ht="21" x14ac:dyDescent="0.35">
      <c r="J67" s="18" t="s">
        <v>52</v>
      </c>
      <c r="K67" s="18"/>
      <c r="L67" s="18"/>
      <c r="M67" s="18"/>
      <c r="N67" s="18"/>
      <c r="O67" s="18"/>
      <c r="P67" s="18"/>
      <c r="Q67" s="28" t="s">
        <v>68</v>
      </c>
      <c r="R67" s="28"/>
      <c r="S67" s="28"/>
      <c r="T67" s="28"/>
      <c r="U67" s="28"/>
      <c r="V67" s="28"/>
      <c r="W67" s="28"/>
      <c r="X67" s="28"/>
    </row>
    <row r="68" spans="10:24" ht="5.0999999999999996" customHeight="1" x14ac:dyDescent="0.25"/>
    <row r="69" spans="10:24" ht="30" customHeight="1" x14ac:dyDescent="0.25">
      <c r="J69" s="14">
        <v>2.1</v>
      </c>
      <c r="Q69" s="28" t="s">
        <v>66</v>
      </c>
      <c r="R69" s="28"/>
      <c r="S69" s="28"/>
      <c r="T69" s="28"/>
      <c r="U69" s="28"/>
      <c r="V69" s="28"/>
      <c r="W69" s="28"/>
      <c r="X69" s="28"/>
    </row>
    <row r="70" spans="10:24" ht="30" customHeight="1" x14ac:dyDescent="0.25">
      <c r="J70" s="14">
        <v>2.2000000000000002</v>
      </c>
      <c r="Q70" s="28" t="s">
        <v>65</v>
      </c>
      <c r="R70" s="28"/>
      <c r="S70" s="28"/>
      <c r="T70" s="28"/>
      <c r="U70" s="28"/>
      <c r="V70" s="28"/>
      <c r="W70" s="28"/>
      <c r="X70" s="28"/>
    </row>
    <row r="71" spans="10:24" ht="30" customHeight="1" x14ac:dyDescent="0.25">
      <c r="J71" s="14">
        <v>2.2999999999999998</v>
      </c>
      <c r="Q71" s="28" t="s">
        <v>73</v>
      </c>
      <c r="R71" s="28"/>
      <c r="S71" s="28"/>
      <c r="T71" s="28"/>
      <c r="U71" s="28"/>
      <c r="V71" s="28"/>
      <c r="W71" s="28"/>
      <c r="X71" s="28"/>
    </row>
    <row r="72" spans="10:24" ht="5.0999999999999996" customHeight="1" x14ac:dyDescent="0.25"/>
    <row r="73" spans="10:24" ht="5.0999999999999996" customHeight="1" x14ac:dyDescent="0.25"/>
    <row r="74" spans="10:24" ht="21" x14ac:dyDescent="0.35">
      <c r="J74" s="18" t="s">
        <v>53</v>
      </c>
      <c r="K74" s="18"/>
      <c r="L74" s="18"/>
      <c r="M74" s="18"/>
      <c r="N74" s="18"/>
      <c r="O74" s="18"/>
      <c r="P74" s="18"/>
    </row>
    <row r="75" spans="10:24" ht="4.5" customHeight="1" x14ac:dyDescent="0.25"/>
    <row r="76" spans="10:24" ht="30" customHeight="1" x14ac:dyDescent="0.25">
      <c r="J76" s="14">
        <v>3.1</v>
      </c>
      <c r="Q76" s="28" t="s">
        <v>63</v>
      </c>
      <c r="R76" s="28"/>
      <c r="S76" s="28"/>
      <c r="T76" s="28"/>
      <c r="U76" s="28"/>
      <c r="V76" s="28"/>
      <c r="W76" s="28"/>
      <c r="X76" s="28"/>
    </row>
    <row r="77" spans="10:24" ht="30" customHeight="1" x14ac:dyDescent="0.25">
      <c r="J77" s="14">
        <v>3.2</v>
      </c>
      <c r="N77" s="8"/>
      <c r="Q77" s="12" t="s">
        <v>60</v>
      </c>
    </row>
    <row r="78" spans="10:24" ht="30" customHeight="1" x14ac:dyDescent="0.25">
      <c r="J78" s="14">
        <v>3.3</v>
      </c>
      <c r="Q78" s="12" t="s">
        <v>83</v>
      </c>
    </row>
    <row r="79" spans="10:24" ht="30" customHeight="1" x14ac:dyDescent="0.25">
      <c r="J79" s="14">
        <v>3.4</v>
      </c>
      <c r="Q79" s="12" t="s">
        <v>74</v>
      </c>
    </row>
    <row r="80" spans="10:24" ht="30" customHeight="1" x14ac:dyDescent="0.25">
      <c r="J80" s="14">
        <v>3.5</v>
      </c>
      <c r="Q80" s="12" t="s">
        <v>67</v>
      </c>
    </row>
    <row r="81" spans="10:24" ht="30" customHeight="1" x14ac:dyDescent="0.25">
      <c r="J81" s="14">
        <v>3.6</v>
      </c>
      <c r="N81" s="10"/>
      <c r="O81" s="16"/>
      <c r="Q81" s="12" t="s">
        <v>64</v>
      </c>
    </row>
    <row r="82" spans="10:24" ht="30" customHeight="1" x14ac:dyDescent="0.25">
      <c r="J82" s="14">
        <v>3.7</v>
      </c>
      <c r="N82" s="10"/>
      <c r="O82" s="27" t="str">
        <f ca="1">_xll.SUBNM(db_name&amp;":programme","sys_ME Flatfile Extract","Administered programmes","code and description")</f>
        <v/>
      </c>
      <c r="P82" s="27"/>
      <c r="Q82" s="27"/>
      <c r="R82" s="27"/>
      <c r="S82" s="17" t="s">
        <v>59</v>
      </c>
    </row>
    <row r="83" spans="10:24" ht="4.5" customHeight="1" x14ac:dyDescent="0.25"/>
    <row r="84" spans="10:24" ht="21" x14ac:dyDescent="0.35">
      <c r="J84" s="18" t="s">
        <v>75</v>
      </c>
      <c r="K84" s="18"/>
      <c r="L84" s="18"/>
      <c r="M84" s="18"/>
      <c r="N84" s="18"/>
      <c r="O84" s="18"/>
      <c r="P84" s="18"/>
    </row>
    <row r="85" spans="10:24" ht="4.5" customHeight="1" x14ac:dyDescent="0.25"/>
    <row r="86" spans="10:24" ht="30" customHeight="1" x14ac:dyDescent="0.25">
      <c r="J86" s="14"/>
      <c r="Q86" s="28" t="s">
        <v>79</v>
      </c>
      <c r="R86" s="28"/>
      <c r="S86" s="28"/>
      <c r="T86" s="28"/>
      <c r="U86" s="28"/>
      <c r="V86" s="28"/>
      <c r="W86" s="28"/>
      <c r="X86" s="28"/>
    </row>
    <row r="87" spans="10:24" ht="30" customHeight="1" x14ac:dyDescent="0.25">
      <c r="J87" s="14"/>
      <c r="N87" s="8"/>
      <c r="Q87" s="28" t="s">
        <v>80</v>
      </c>
      <c r="R87" s="28"/>
      <c r="S87" s="28"/>
      <c r="T87" s="28"/>
      <c r="U87" s="28"/>
      <c r="V87" s="28"/>
      <c r="W87" s="28"/>
      <c r="X87" s="28"/>
    </row>
    <row r="88" spans="10:24" ht="30" customHeight="1" x14ac:dyDescent="0.25">
      <c r="J88" s="14"/>
      <c r="Q88" s="28" t="s">
        <v>81</v>
      </c>
      <c r="R88" s="28"/>
      <c r="S88" s="28"/>
      <c r="T88" s="28"/>
      <c r="U88" s="28"/>
      <c r="V88" s="28"/>
      <c r="W88" s="28"/>
      <c r="X88" s="28"/>
    </row>
    <row r="89" spans="10:24" ht="4.5" customHeight="1" x14ac:dyDescent="0.25"/>
    <row r="90" spans="10:24" ht="24.95" customHeight="1" x14ac:dyDescent="0.35">
      <c r="J90" s="18" t="s">
        <v>54</v>
      </c>
      <c r="K90" s="18"/>
      <c r="L90" s="18"/>
      <c r="M90" s="18"/>
      <c r="N90" s="18"/>
      <c r="O90" s="18"/>
      <c r="P90" s="18"/>
      <c r="Q90" s="12" t="s">
        <v>55</v>
      </c>
      <c r="R90" s="12"/>
      <c r="S90" s="12"/>
      <c r="T90" s="12"/>
      <c r="U90" s="12"/>
      <c r="V90" s="12"/>
      <c r="W90" s="12"/>
      <c r="X90" s="12"/>
    </row>
    <row r="91" spans="10:24" ht="5.0999999999999996" customHeight="1" x14ac:dyDescent="0.25"/>
    <row r="92" spans="10:24" ht="24.95" customHeight="1" x14ac:dyDescent="0.25">
      <c r="K92" s="25" t="s">
        <v>37</v>
      </c>
      <c r="L92" s="25"/>
      <c r="M92" s="15"/>
      <c r="N92" s="26" t="s">
        <v>28</v>
      </c>
      <c r="O92" s="26"/>
      <c r="Q92" s="12" t="s">
        <v>57</v>
      </c>
      <c r="R92" s="12"/>
      <c r="S92" s="12"/>
      <c r="T92" s="12"/>
      <c r="U92" s="12"/>
      <c r="V92" s="12"/>
      <c r="W92" s="12"/>
      <c r="X92" s="12"/>
    </row>
    <row r="93" spans="10:24" x14ac:dyDescent="0.25">
      <c r="J93" s="13">
        <v>4.0999999999999996</v>
      </c>
      <c r="K93" s="9" t="s">
        <v>29</v>
      </c>
      <c r="L93" s="7" t="str">
        <f ca="1">_xll.SUBNM(db_name&amp;":headline year","",$B$15)</f>
        <v/>
      </c>
      <c r="N93" s="9" t="s">
        <v>29</v>
      </c>
      <c r="O93" s="7" t="str">
        <f ca="1">_xll.SUBNM(db_name&amp;":headline year","",$L$93)</f>
        <v/>
      </c>
    </row>
    <row r="94" spans="10:24" x14ac:dyDescent="0.25">
      <c r="J94" s="13">
        <v>4.2</v>
      </c>
      <c r="K94" s="9" t="s">
        <v>30</v>
      </c>
      <c r="L94" s="7" t="str">
        <f ca="1">_xll.SUBNM(db_name&amp;":scenario","",$B$8)</f>
        <v/>
      </c>
      <c r="N94" s="9" t="s">
        <v>30</v>
      </c>
      <c r="O94" s="7" t="str">
        <f ca="1">_xll.SUBNM(db_name&amp;":scenario","",$B$21)</f>
        <v/>
      </c>
    </row>
    <row r="95" spans="10:24" ht="5.0999999999999996" customHeight="1" x14ac:dyDescent="0.25"/>
    <row r="99" spans="1:1" x14ac:dyDescent="0.25">
      <c r="A99" t="s">
        <v>49</v>
      </c>
    </row>
  </sheetData>
  <sheetProtection sheet="1" objects="1" scenarios="1"/>
  <mergeCells count="28">
    <mergeCell ref="Q58:X58"/>
    <mergeCell ref="Q65:X65"/>
    <mergeCell ref="Q67:X67"/>
    <mergeCell ref="Q59:X59"/>
    <mergeCell ref="J90:P90"/>
    <mergeCell ref="K92:L92"/>
    <mergeCell ref="N92:O92"/>
    <mergeCell ref="J67:P67"/>
    <mergeCell ref="J74:P74"/>
    <mergeCell ref="O82:R82"/>
    <mergeCell ref="Q76:X76"/>
    <mergeCell ref="Q69:X69"/>
    <mergeCell ref="Q70:X70"/>
    <mergeCell ref="Q71:X71"/>
    <mergeCell ref="J84:P84"/>
    <mergeCell ref="Q86:X86"/>
    <mergeCell ref="Q87:X87"/>
    <mergeCell ref="Q88:X88"/>
    <mergeCell ref="A1:B1"/>
    <mergeCell ref="A5:B5"/>
    <mergeCell ref="A13:B13"/>
    <mergeCell ref="A23:B23"/>
    <mergeCell ref="A30:B30"/>
    <mergeCell ref="J56:P56"/>
    <mergeCell ref="K58:L58"/>
    <mergeCell ref="N58:O58"/>
    <mergeCell ref="L63:O63"/>
    <mergeCell ref="L65:O6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8" r:id="rId4" name="TIButton10">
          <controlPr defaultSize="0" print="0" autoLine="0" r:id="rId5">
            <anchor moveWithCells="1" sizeWithCells="1">
              <from>
                <xdr:col>10</xdr:col>
                <xdr:colOff>57150</xdr:colOff>
                <xdr:row>77</xdr:row>
                <xdr:rowOff>19050</xdr:rowOff>
              </from>
              <to>
                <xdr:col>13</xdr:col>
                <xdr:colOff>1352550</xdr:colOff>
                <xdr:row>77</xdr:row>
                <xdr:rowOff>333375</xdr:rowOff>
              </to>
            </anchor>
          </controlPr>
        </control>
      </mc:Choice>
      <mc:Fallback>
        <control shapeId="1048" r:id="rId4" name="TIButton10"/>
      </mc:Fallback>
    </mc:AlternateContent>
    <mc:AlternateContent xmlns:mc="http://schemas.openxmlformats.org/markup-compatibility/2006">
      <mc:Choice Requires="x14">
        <control shapeId="1047" r:id="rId6" name="TIButton9">
          <controlPr defaultSize="0" print="0" autoLine="0" autoPict="0" r:id="rId7">
            <anchor moveWithCells="1" sizeWithCells="1">
              <from>
                <xdr:col>10</xdr:col>
                <xdr:colOff>57150</xdr:colOff>
                <xdr:row>76</xdr:row>
                <xdr:rowOff>19050</xdr:rowOff>
              </from>
              <to>
                <xdr:col>13</xdr:col>
                <xdr:colOff>1352550</xdr:colOff>
                <xdr:row>76</xdr:row>
                <xdr:rowOff>342900</xdr:rowOff>
              </to>
            </anchor>
          </controlPr>
        </control>
      </mc:Choice>
      <mc:Fallback>
        <control shapeId="1047" r:id="rId6" name="TIButton9"/>
      </mc:Fallback>
    </mc:AlternateContent>
    <mc:AlternateContent xmlns:mc="http://schemas.openxmlformats.org/markup-compatibility/2006">
      <mc:Choice Requires="x14">
        <control shapeId="1046" r:id="rId8" name="TIButton4">
          <controlPr defaultSize="0" print="0" autoLine="0" autoPict="0" r:id="rId9">
            <anchor moveWithCells="1" sizeWithCells="1">
              <from>
                <xdr:col>16</xdr:col>
                <xdr:colOff>85725</xdr:colOff>
                <xdr:row>60</xdr:row>
                <xdr:rowOff>76200</xdr:rowOff>
              </from>
              <to>
                <xdr:col>18</xdr:col>
                <xdr:colOff>19050</xdr:colOff>
                <xdr:row>62</xdr:row>
                <xdr:rowOff>95250</xdr:rowOff>
              </to>
            </anchor>
          </controlPr>
        </control>
      </mc:Choice>
      <mc:Fallback>
        <control shapeId="1046" r:id="rId8" name="TIButton4"/>
      </mc:Fallback>
    </mc:AlternateContent>
    <mc:AlternateContent xmlns:mc="http://schemas.openxmlformats.org/markup-compatibility/2006">
      <mc:Choice Requires="x14">
        <control shapeId="1037" r:id="rId10" name="TIButton12">
          <controlPr defaultSize="0" print="0" autoLine="0" autoPict="0" r:id="rId11">
            <anchor moveWithCells="1" sizeWithCells="1">
              <from>
                <xdr:col>10</xdr:col>
                <xdr:colOff>57150</xdr:colOff>
                <xdr:row>80</xdr:row>
                <xdr:rowOff>57150</xdr:rowOff>
              </from>
              <to>
                <xdr:col>13</xdr:col>
                <xdr:colOff>1352550</xdr:colOff>
                <xdr:row>80</xdr:row>
                <xdr:rowOff>361950</xdr:rowOff>
              </to>
            </anchor>
          </controlPr>
        </control>
      </mc:Choice>
      <mc:Fallback>
        <control shapeId="1037" r:id="rId10" name="TIButton12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autoPict="0" r:id="rId13">
            <anchor moveWithCells="1" sizeWithCells="1">
              <from>
                <xdr:col>10</xdr:col>
                <xdr:colOff>57150</xdr:colOff>
                <xdr:row>68</xdr:row>
                <xdr:rowOff>19050</xdr:rowOff>
              </from>
              <to>
                <xdr:col>13</xdr:col>
                <xdr:colOff>1352550</xdr:colOff>
                <xdr:row>68</xdr:row>
                <xdr:rowOff>342900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29" r:id="rId14" name="TIButton5">
          <controlPr defaultSize="0" print="0" autoLine="0" autoPict="0" r:id="rId15">
            <anchor moveWithCells="1" sizeWithCells="1">
              <from>
                <xdr:col>10</xdr:col>
                <xdr:colOff>57150</xdr:colOff>
                <xdr:row>79</xdr:row>
                <xdr:rowOff>57150</xdr:rowOff>
              </from>
              <to>
                <xdr:col>13</xdr:col>
                <xdr:colOff>1352550</xdr:colOff>
                <xdr:row>79</xdr:row>
                <xdr:rowOff>361950</xdr:rowOff>
              </to>
            </anchor>
          </controlPr>
        </control>
      </mc:Choice>
      <mc:Fallback>
        <control shapeId="1029" r:id="rId14" name="TIButton5"/>
      </mc:Fallback>
    </mc:AlternateContent>
    <mc:AlternateContent xmlns:mc="http://schemas.openxmlformats.org/markup-compatibility/2006">
      <mc:Choice Requires="x14">
        <control shapeId="1031" r:id="rId16" name="TIButton7">
          <controlPr defaultSize="0" print="0" autoLine="0" autoPict="0" r:id="rId17">
            <anchor moveWithCells="1" sizeWithCells="1">
              <from>
                <xdr:col>10</xdr:col>
                <xdr:colOff>57150</xdr:colOff>
                <xdr:row>69</xdr:row>
                <xdr:rowOff>19050</xdr:rowOff>
              </from>
              <to>
                <xdr:col>13</xdr:col>
                <xdr:colOff>1352550</xdr:colOff>
                <xdr:row>69</xdr:row>
                <xdr:rowOff>342900</xdr:rowOff>
              </to>
            </anchor>
          </controlPr>
        </control>
      </mc:Choice>
      <mc:Fallback>
        <control shapeId="1031" r:id="rId16" name="TIButton7"/>
      </mc:Fallback>
    </mc:AlternateContent>
    <mc:AlternateContent xmlns:mc="http://schemas.openxmlformats.org/markup-compatibility/2006">
      <mc:Choice Requires="x14">
        <control shapeId="1036" r:id="rId18" name="TIButton11">
          <controlPr defaultSize="0" print="0" autoLine="0" autoPict="0" r:id="rId19">
            <anchor moveWithCells="1" sizeWithCells="1">
              <from>
                <xdr:col>10</xdr:col>
                <xdr:colOff>57150</xdr:colOff>
                <xdr:row>75</xdr:row>
                <xdr:rowOff>19050</xdr:rowOff>
              </from>
              <to>
                <xdr:col>13</xdr:col>
                <xdr:colOff>1352550</xdr:colOff>
                <xdr:row>75</xdr:row>
                <xdr:rowOff>342900</xdr:rowOff>
              </to>
            </anchor>
          </controlPr>
        </control>
      </mc:Choice>
      <mc:Fallback>
        <control shapeId="1036" r:id="rId18" name="TIButton11"/>
      </mc:Fallback>
    </mc:AlternateContent>
    <mc:AlternateContent xmlns:mc="http://schemas.openxmlformats.org/markup-compatibility/2006">
      <mc:Choice Requires="x14">
        <control shapeId="1041" r:id="rId20" name="TIButton15">
          <controlPr defaultSize="0" print="0" autoLine="0" autoPict="0" r:id="rId21">
            <anchor moveWithCells="1" sizeWithCells="1">
              <from>
                <xdr:col>10</xdr:col>
                <xdr:colOff>57150</xdr:colOff>
                <xdr:row>81</xdr:row>
                <xdr:rowOff>38100</xdr:rowOff>
              </from>
              <to>
                <xdr:col>13</xdr:col>
                <xdr:colOff>1352550</xdr:colOff>
                <xdr:row>81</xdr:row>
                <xdr:rowOff>361950</xdr:rowOff>
              </to>
            </anchor>
          </controlPr>
        </control>
      </mc:Choice>
      <mc:Fallback>
        <control shapeId="1041" r:id="rId20" name="TIButton15"/>
      </mc:Fallback>
    </mc:AlternateContent>
    <mc:AlternateContent xmlns:mc="http://schemas.openxmlformats.org/markup-compatibility/2006">
      <mc:Choice Requires="x14">
        <control shapeId="1044" r:id="rId22" name="TIButton6">
          <controlPr defaultSize="0" print="0" autoLine="0" r:id="rId23">
            <anchor moveWithCells="1" sizeWithCells="1">
              <from>
                <xdr:col>10</xdr:col>
                <xdr:colOff>57150</xdr:colOff>
                <xdr:row>78</xdr:row>
                <xdr:rowOff>47625</xdr:rowOff>
              </from>
              <to>
                <xdr:col>13</xdr:col>
                <xdr:colOff>1352550</xdr:colOff>
                <xdr:row>78</xdr:row>
                <xdr:rowOff>352425</xdr:rowOff>
              </to>
            </anchor>
          </controlPr>
        </control>
      </mc:Choice>
      <mc:Fallback>
        <control shapeId="1044" r:id="rId22" name="TIButton6"/>
      </mc:Fallback>
    </mc:AlternateContent>
    <mc:AlternateContent xmlns:mc="http://schemas.openxmlformats.org/markup-compatibility/2006">
      <mc:Choice Requires="x14">
        <control shapeId="1045" r:id="rId24" name="TIButton8">
          <controlPr defaultSize="0" print="0" autoLine="0" autoPict="0" r:id="rId25">
            <anchor moveWithCells="1" sizeWithCells="1">
              <from>
                <xdr:col>15</xdr:col>
                <xdr:colOff>304800</xdr:colOff>
                <xdr:row>92</xdr:row>
                <xdr:rowOff>19050</xdr:rowOff>
              </from>
              <to>
                <xdr:col>17</xdr:col>
                <xdr:colOff>1885950</xdr:colOff>
                <xdr:row>93</xdr:row>
                <xdr:rowOff>152400</xdr:rowOff>
              </to>
            </anchor>
          </controlPr>
        </control>
      </mc:Choice>
      <mc:Fallback>
        <control shapeId="1045" r:id="rId24" name="TIButton8"/>
      </mc:Fallback>
    </mc:AlternateContent>
    <mc:AlternateContent xmlns:mc="http://schemas.openxmlformats.org/markup-compatibility/2006">
      <mc:Choice Requires="x14">
        <control shapeId="1049" r:id="rId26" name="TIButton2">
          <controlPr defaultSize="0" print="0" autoLine="0" autoPict="0" r:id="rId27">
            <anchor moveWithCells="1" sizeWithCells="1">
              <from>
                <xdr:col>10</xdr:col>
                <xdr:colOff>57150</xdr:colOff>
                <xdr:row>70</xdr:row>
                <xdr:rowOff>19050</xdr:rowOff>
              </from>
              <to>
                <xdr:col>13</xdr:col>
                <xdr:colOff>1352550</xdr:colOff>
                <xdr:row>70</xdr:row>
                <xdr:rowOff>342900</xdr:rowOff>
              </to>
            </anchor>
          </controlPr>
        </control>
      </mc:Choice>
      <mc:Fallback>
        <control shapeId="1049" r:id="rId26" name="TIButton2"/>
      </mc:Fallback>
    </mc:AlternateContent>
    <mc:AlternateContent xmlns:mc="http://schemas.openxmlformats.org/markup-compatibility/2006">
      <mc:Choice Requires="x14">
        <control shapeId="1050" r:id="rId28" name="TIButton3">
          <controlPr defaultSize="0" print="0" autoLine="0" r:id="rId29">
            <anchor moveWithCells="1" sizeWithCells="1">
              <from>
                <xdr:col>10</xdr:col>
                <xdr:colOff>57150</xdr:colOff>
                <xdr:row>85</xdr:row>
                <xdr:rowOff>57150</xdr:rowOff>
              </from>
              <to>
                <xdr:col>13</xdr:col>
                <xdr:colOff>1352550</xdr:colOff>
                <xdr:row>85</xdr:row>
                <xdr:rowOff>361950</xdr:rowOff>
              </to>
            </anchor>
          </controlPr>
        </control>
      </mc:Choice>
      <mc:Fallback>
        <control shapeId="1050" r:id="rId28" name="TIButton3"/>
      </mc:Fallback>
    </mc:AlternateContent>
    <mc:AlternateContent xmlns:mc="http://schemas.openxmlformats.org/markup-compatibility/2006">
      <mc:Choice Requires="x14">
        <control shapeId="1051" r:id="rId30" name="TIButton13">
          <controlPr defaultSize="0" print="0" autoLine="0" r:id="rId31">
            <anchor moveWithCells="1" sizeWithCells="1">
              <from>
                <xdr:col>10</xdr:col>
                <xdr:colOff>57150</xdr:colOff>
                <xdr:row>86</xdr:row>
                <xdr:rowOff>57150</xdr:rowOff>
              </from>
              <to>
                <xdr:col>13</xdr:col>
                <xdr:colOff>1352550</xdr:colOff>
                <xdr:row>86</xdr:row>
                <xdr:rowOff>361950</xdr:rowOff>
              </to>
            </anchor>
          </controlPr>
        </control>
      </mc:Choice>
      <mc:Fallback>
        <control shapeId="1051" r:id="rId30" name="TIButton13"/>
      </mc:Fallback>
    </mc:AlternateContent>
    <mc:AlternateContent xmlns:mc="http://schemas.openxmlformats.org/markup-compatibility/2006">
      <mc:Choice Requires="x14">
        <control shapeId="1052" r:id="rId32" name="TIButton14">
          <controlPr defaultSize="0" print="0" autoLine="0" r:id="rId33">
            <anchor moveWithCells="1" sizeWithCells="1">
              <from>
                <xdr:col>10</xdr:col>
                <xdr:colOff>57150</xdr:colOff>
                <xdr:row>87</xdr:row>
                <xdr:rowOff>57150</xdr:rowOff>
              </from>
              <to>
                <xdr:col>13</xdr:col>
                <xdr:colOff>1352550</xdr:colOff>
                <xdr:row>87</xdr:row>
                <xdr:rowOff>361950</xdr:rowOff>
              </to>
            </anchor>
          </controlPr>
        </control>
      </mc:Choice>
      <mc:Fallback>
        <control shapeId="1052" r:id="rId32" name="TIButton1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69</vt:i4>
      </vt:variant>
    </vt:vector>
  </HeadingPairs>
  <TitlesOfParts>
    <vt:vector size="70" baseType="lpstr">
      <vt:lpstr>Sheet1</vt:lpstr>
      <vt:lpstr>db_name</vt:lpstr>
      <vt:lpstr>Freeze_here</vt:lpstr>
      <vt:lpstr>psArcSourceHLYear</vt:lpstr>
      <vt:lpstr>psArcSourceScenario</vt:lpstr>
      <vt:lpstr>psArcTargetHLYear</vt:lpstr>
      <vt:lpstr>psArcTargetScenario</vt:lpstr>
      <vt:lpstr>psFFScenario</vt:lpstr>
      <vt:lpstr>psHLYear</vt:lpstr>
      <vt:lpstr>psID</vt:lpstr>
      <vt:lpstr>psProg</vt:lpstr>
      <vt:lpstr>psReasonCode</vt:lpstr>
      <vt:lpstr>psScenario</vt:lpstr>
      <vt:lpstr>psSourceHLYear</vt:lpstr>
      <vt:lpstr>psSourcePeriod</vt:lpstr>
      <vt:lpstr>psSourceScenario</vt:lpstr>
      <vt:lpstr>psTargetHLYear</vt:lpstr>
      <vt:lpstr>psTargetScenario</vt:lpstr>
      <vt:lpstr>psUser</vt:lpstr>
      <vt:lpstr>TM1AdminRDSAccTempCAP</vt:lpstr>
      <vt:lpstr>TM1AdminRDSAccTempWB</vt:lpstr>
      <vt:lpstr>TM1AdminRDSAccTempWS</vt:lpstr>
      <vt:lpstr>TM1HomeUnderCAP</vt:lpstr>
      <vt:lpstr>TM1HomeUnderWB</vt:lpstr>
      <vt:lpstr>TM1HomeUnderWS</vt:lpstr>
      <vt:lpstr>TM1MEAccTempCAP</vt:lpstr>
      <vt:lpstr>TM1MEAccTempWB</vt:lpstr>
      <vt:lpstr>TM1MEAccTempWS</vt:lpstr>
      <vt:lpstr>TM1MEAssignProgCAP</vt:lpstr>
      <vt:lpstr>TM1MEAssignProgWB</vt:lpstr>
      <vt:lpstr>TM1MEAssignProgWS</vt:lpstr>
      <vt:lpstr>TM1MEBSDataEntryCAP</vt:lpstr>
      <vt:lpstr>TM1MEBSDataEntryWB</vt:lpstr>
      <vt:lpstr>TM1MEBSDataEntryWS</vt:lpstr>
      <vt:lpstr>TM1MECCMapCAP</vt:lpstr>
      <vt:lpstr>TM1MECCMapWB</vt:lpstr>
      <vt:lpstr>TM1MECCMapWS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TM1MEPhasingCAP</vt:lpstr>
      <vt:lpstr>TM1MEPhasingWB</vt:lpstr>
      <vt:lpstr>TM1MEPhasingWS</vt:lpstr>
      <vt:lpstr>TM1MERepBSCAP</vt:lpstr>
      <vt:lpstr>TM1MERepBSWB</vt:lpstr>
      <vt:lpstr>TM1MERepBSWS</vt:lpstr>
      <vt:lpstr>TM1MERepCFCAP</vt:lpstr>
      <vt:lpstr>TM1MERepCFWB</vt:lpstr>
      <vt:lpstr>TM1MERepCFWS</vt:lpstr>
      <vt:lpstr>TM1MERepOSCAP</vt:lpstr>
      <vt:lpstr>TM1MERepOSWB</vt:lpstr>
      <vt:lpstr>TM1MERepOSWS</vt:lpstr>
      <vt:lpstr>TM1MESetActualsCAP</vt:lpstr>
      <vt:lpstr>TM1MESetActualsWB</vt:lpstr>
      <vt:lpstr>TM1MESetActualsWS</vt:lpstr>
      <vt:lpstr>TM1MESummaryCAP</vt:lpstr>
      <vt:lpstr>TM1MESummaryWB</vt:lpstr>
      <vt:lpstr>TM1MESummaryWS</vt:lpstr>
      <vt:lpstr>TM1MEUploadCAP</vt:lpstr>
      <vt:lpstr>TM1MEUploadWB</vt:lpstr>
      <vt:lpstr>TM1MEUploadWS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2019-04-18T01:08:21Z</dcterms:created>
  <dcterms:modified xsi:type="dcterms:W3CDTF">2025-08-05T04:35:29Z</dcterms:modified>
</cp:coreProperties>
</file>