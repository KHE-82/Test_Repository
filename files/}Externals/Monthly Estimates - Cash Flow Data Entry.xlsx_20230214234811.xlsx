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400DD5EF-990D-40D0-A875-7B44A1079CF7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cash flow" sheetId="1" r:id="rId1"/>
  </sheets>
  <definedNames>
    <definedName name="db_name">'cash flow'!$C$12</definedName>
    <definedName name="Freeze_Here">'cash flow'!$A$80</definedName>
    <definedName name="_xlnm.Print_Titles" localSheetId="0">'cash flow'!$81:$81</definedName>
    <definedName name="psHLYear">'cash flow'!$M$73</definedName>
    <definedName name="psID">'cash flow'!$F$16</definedName>
    <definedName name="psProg">'cash flow'!$M$75</definedName>
    <definedName name="psScenario">'cash flow'!$M$74</definedName>
    <definedName name="psUser">'cash flow'!$C$13</definedName>
    <definedName name="RangeName_List">'cash flow'!#REF!</definedName>
    <definedName name="TM1MEBSDataEntryCAP">'cash flow'!$D$57</definedName>
    <definedName name="TM1MEBSDataEntryWB">'cash flow'!$F$57</definedName>
    <definedName name="TM1MEBSDataEntryWS">'cash flow'!$H$57</definedName>
    <definedName name="TM1MECCMapCAP">'cash flow'!$D$58</definedName>
    <definedName name="TM1MECCMapWB">'cash flow'!$F$58</definedName>
    <definedName name="TM1MECCMapWS">'cash flow'!$H$58</definedName>
    <definedName name="TM1MECFDataEntryCAP">'cash flow'!$D$61</definedName>
    <definedName name="TM1MECFDataEntryWB">'cash flow'!$F$61</definedName>
    <definedName name="TM1MECFDataEntryWS">'cash flow'!$H$61</definedName>
    <definedName name="TM1MEDataEntryCAP">'cash flow'!$D$55</definedName>
    <definedName name="TM1MEDataEntryWB">'cash flow'!$F$55</definedName>
    <definedName name="TM1MEDataEntryWS">'cash flow'!$H$55</definedName>
    <definedName name="TM1MEGLMapCAP">'cash flow'!$D$59</definedName>
    <definedName name="TM1MEGLMapWB">'cash flow'!$F$59</definedName>
    <definedName name="TM1MEGLMapWS">'cash flow'!$H$59</definedName>
    <definedName name="TM1MEHomeCAP">'cash flow'!$D$54</definedName>
    <definedName name="TM1MEHomeWB">'cash flow'!$F$54</definedName>
    <definedName name="TM1MEHomeWS">'cash flow'!$H$54</definedName>
    <definedName name="TM1MEOSDataEntryCAP">'cash flow'!$D$56</definedName>
    <definedName name="TM1MEOSDataEntryWB">'cash flow'!$F$56</definedName>
    <definedName name="TM1MEOSDataEntryWS">'cash flow'!$H$56</definedName>
    <definedName name="TM1MESummaryCAP">'cash flow'!$D$60</definedName>
    <definedName name="TM1MESummaryWB">'cash flow'!$F$60</definedName>
    <definedName name="TM1MESummaryWS">'cash flow'!$H$60</definedName>
    <definedName name="TM1MEValidateCAP">'cash flow'!$D$62</definedName>
    <definedName name="TM1MEValidateWB">'cash flow'!$F$62</definedName>
    <definedName name="TM1MEValidateWS">'cash flow'!$H$62</definedName>
    <definedName name="TM1REBUILDOPTION">0</definedName>
    <definedName name="TM1RPTDATARNG2" localSheetId="0">'cash flow'!$82:$82</definedName>
    <definedName name="TM1RPTDATARNGARPT1" localSheetId="0">'cash flow'!$90:$90</definedName>
    <definedName name="TM1RPTDATARNGARPT2" localSheetId="0">'cash flow'!$98:$98</definedName>
    <definedName name="TM1RPTDATARNGARPT3" localSheetId="0">'cash flow'!$105:$105</definedName>
    <definedName name="TM1RPTDATARNGARPT3">'cash flow'!$105:$105</definedName>
    <definedName name="TM1RPTDATARNGARPT4" localSheetId="0">'cash flow'!$110:$110</definedName>
    <definedName name="TM1RPTDATARNGARPT4">'cash flow'!$110:$110</definedName>
    <definedName name="TM1RPTFMTIDCOL" localSheetId="0">'cash flow'!$A$1:$A$9</definedName>
    <definedName name="TM1RPTFMTRNG" localSheetId="0">'cash flow'!$L$1:$AH$9</definedName>
  </definedNames>
  <calcPr calcId="181029" calcMode="manual" concurrentCalc="0"/>
</workbook>
</file>

<file path=xl/calcChain.xml><?xml version="1.0" encoding="utf-8"?>
<calcChain xmlns="http://schemas.openxmlformats.org/spreadsheetml/2006/main">
  <c r="O75" i="1" l="1"/>
  <c r="D46" i="1"/>
  <c r="C46" i="1"/>
  <c r="M75" i="1"/>
  <c r="D35" i="1"/>
  <c r="E35" i="1"/>
  <c r="C35" i="1"/>
  <c r="O73" i="1"/>
  <c r="C33" i="1"/>
  <c r="C110" i="1"/>
  <c r="R110" i="1"/>
  <c r="C32" i="1"/>
  <c r="C105" i="1"/>
  <c r="R105" i="1"/>
  <c r="C31" i="1"/>
  <c r="C98" i="1"/>
  <c r="R98" i="1"/>
  <c r="C30" i="1"/>
  <c r="C90" i="1"/>
  <c r="R90" i="1"/>
  <c r="C29" i="1"/>
  <c r="C82" i="1"/>
  <c r="R82" i="1"/>
  <c r="H82" i="1"/>
  <c r="Q82" i="1"/>
  <c r="AF55" i="1"/>
  <c r="C21" i="1"/>
  <c r="C25" i="1"/>
  <c r="C26" i="1"/>
  <c r="AF56" i="1"/>
  <c r="AE55" i="1"/>
  <c r="AE56" i="1"/>
  <c r="AD55" i="1"/>
  <c r="AD56" i="1"/>
  <c r="AC55" i="1"/>
  <c r="AC56" i="1"/>
  <c r="AB55" i="1"/>
  <c r="AB56" i="1"/>
  <c r="AA55" i="1"/>
  <c r="AA56" i="1"/>
  <c r="Z55" i="1"/>
  <c r="Z56" i="1"/>
  <c r="Y55" i="1"/>
  <c r="Y56" i="1"/>
  <c r="X55" i="1"/>
  <c r="X56" i="1"/>
  <c r="W55" i="1"/>
  <c r="W56" i="1"/>
  <c r="V55" i="1"/>
  <c r="V56" i="1"/>
  <c r="U55" i="1"/>
  <c r="U56" i="1"/>
  <c r="B110" i="1"/>
  <c r="I110" i="1"/>
  <c r="B105" i="1"/>
  <c r="I105" i="1"/>
  <c r="B98" i="1"/>
  <c r="I98" i="1"/>
  <c r="B90" i="1"/>
  <c r="I90" i="1"/>
  <c r="B82" i="1"/>
  <c r="I82" i="1"/>
  <c r="C16" i="1"/>
  <c r="C17" i="1"/>
  <c r="C18" i="1"/>
  <c r="C49" i="1"/>
  <c r="F19" i="1" a="1"/>
  <c r="F19" i="1"/>
  <c r="W50" i="1"/>
  <c r="W54" i="1"/>
  <c r="X50" i="1"/>
  <c r="X54" i="1"/>
  <c r="Y50" i="1"/>
  <c r="Y54" i="1"/>
  <c r="Z50" i="1"/>
  <c r="Z54" i="1"/>
  <c r="AA50" i="1"/>
  <c r="AA54" i="1"/>
  <c r="AB50" i="1"/>
  <c r="AB54" i="1"/>
  <c r="AC50" i="1"/>
  <c r="AC54" i="1"/>
  <c r="AD50" i="1"/>
  <c r="AD54" i="1"/>
  <c r="AE50" i="1"/>
  <c r="AE54" i="1"/>
  <c r="AF50" i="1"/>
  <c r="AF54" i="1"/>
  <c r="U50" i="1"/>
  <c r="U54" i="1"/>
  <c r="V50" i="1"/>
  <c r="V54" i="1"/>
  <c r="F23" i="1"/>
  <c r="F22" i="1"/>
  <c r="C22" i="1"/>
  <c r="M73" i="1"/>
  <c r="M74" i="1"/>
  <c r="C34" i="1"/>
  <c r="M78" i="1"/>
  <c r="M77" i="1"/>
  <c r="C52" i="1"/>
  <c r="H62" i="1"/>
  <c r="G62" i="1"/>
  <c r="F62" i="1"/>
  <c r="E62" i="1"/>
  <c r="D62" i="1"/>
  <c r="C62" i="1"/>
  <c r="H61" i="1"/>
  <c r="G61" i="1"/>
  <c r="F61" i="1"/>
  <c r="E61" i="1"/>
  <c r="D61" i="1"/>
  <c r="C61" i="1"/>
  <c r="D110" i="1"/>
  <c r="F110" i="1"/>
  <c r="H110" i="1"/>
  <c r="E110" i="1"/>
  <c r="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A105" i="1"/>
  <c r="A110" i="1"/>
  <c r="B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AG110" i="1"/>
  <c r="AH110" i="1"/>
  <c r="S110" i="1"/>
  <c r="Q110" i="1"/>
  <c r="P110" i="1"/>
  <c r="O110" i="1"/>
  <c r="N110" i="1"/>
  <c r="M110" i="1"/>
  <c r="L110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S107" i="1"/>
  <c r="F105" i="1"/>
  <c r="H105" i="1"/>
  <c r="E105" i="1"/>
  <c r="D105" i="1"/>
  <c r="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B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AG105" i="1"/>
  <c r="AH105" i="1"/>
  <c r="S105" i="1"/>
  <c r="Q105" i="1"/>
  <c r="P105" i="1"/>
  <c r="O105" i="1"/>
  <c r="N105" i="1"/>
  <c r="M105" i="1"/>
  <c r="L105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S102" i="1"/>
  <c r="S93" i="1"/>
  <c r="S94" i="1"/>
  <c r="S86" i="1"/>
  <c r="B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B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B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101" i="1"/>
  <c r="S100" i="1"/>
  <c r="B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85" i="1"/>
  <c r="S84" i="1"/>
  <c r="S92" i="1"/>
  <c r="B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B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F98" i="1"/>
  <c r="H98" i="1"/>
  <c r="E98" i="1"/>
  <c r="D98" i="1"/>
  <c r="G98" i="1"/>
  <c r="S98" i="1"/>
  <c r="F90" i="1"/>
  <c r="H90" i="1"/>
  <c r="E90" i="1"/>
  <c r="D90" i="1"/>
  <c r="G90" i="1"/>
  <c r="S90" i="1"/>
  <c r="F82" i="1"/>
  <c r="E82" i="1"/>
  <c r="D82" i="1"/>
  <c r="G82" i="1"/>
  <c r="S82" i="1"/>
  <c r="AF53" i="1"/>
  <c r="AE53" i="1"/>
  <c r="AD53" i="1"/>
  <c r="AC53" i="1"/>
  <c r="AB53" i="1"/>
  <c r="AA53" i="1"/>
  <c r="Z53" i="1"/>
  <c r="Y53" i="1"/>
  <c r="X53" i="1"/>
  <c r="W53" i="1"/>
  <c r="V53" i="1"/>
  <c r="U53" i="1"/>
  <c r="AG97" i="1"/>
  <c r="AG89" i="1"/>
  <c r="AG81" i="1"/>
  <c r="A5" i="1"/>
  <c r="A4" i="1"/>
  <c r="A3" i="1"/>
  <c r="A2" i="1"/>
  <c r="C24" i="1"/>
  <c r="C13" i="1"/>
  <c r="G55" i="1"/>
  <c r="H59" i="1"/>
  <c r="D59" i="1"/>
  <c r="E58" i="1"/>
  <c r="E60" i="1"/>
  <c r="F55" i="1"/>
  <c r="E55" i="1"/>
  <c r="C57" i="1"/>
  <c r="D54" i="1"/>
  <c r="C56" i="1"/>
  <c r="C55" i="1"/>
  <c r="E57" i="1"/>
  <c r="G54" i="1"/>
  <c r="G58" i="1"/>
  <c r="D58" i="1"/>
  <c r="F56" i="1"/>
  <c r="C58" i="1"/>
  <c r="F58" i="1"/>
  <c r="F60" i="1"/>
  <c r="H55" i="1"/>
  <c r="G57" i="1"/>
  <c r="C59" i="1"/>
  <c r="G56" i="1"/>
  <c r="E56" i="1"/>
  <c r="G60" i="1"/>
  <c r="G59" i="1"/>
  <c r="E59" i="1"/>
  <c r="C60" i="1"/>
  <c r="F59" i="1"/>
  <c r="D55" i="1"/>
  <c r="D56" i="1"/>
  <c r="F54" i="1"/>
  <c r="D60" i="1"/>
  <c r="D57" i="1"/>
  <c r="E54" i="1"/>
  <c r="H54" i="1"/>
  <c r="H56" i="1"/>
  <c r="F57" i="1"/>
  <c r="H60" i="1"/>
  <c r="H57" i="1"/>
  <c r="H58" i="1"/>
  <c r="C54" i="1"/>
  <c r="M98" i="1"/>
  <c r="P90" i="1"/>
  <c r="O98" i="1"/>
  <c r="N98" i="1"/>
  <c r="O90" i="1"/>
  <c r="M82" i="1"/>
  <c r="Q90" i="1"/>
  <c r="Q98" i="1"/>
  <c r="N90" i="1"/>
  <c r="P98" i="1"/>
  <c r="F12" i="1"/>
  <c r="B78" i="1"/>
  <c r="B84" i="1"/>
  <c r="B100" i="1"/>
  <c r="B76" i="1"/>
  <c r="B73" i="1"/>
  <c r="B92" i="1"/>
  <c r="B77" i="1"/>
  <c r="B74" i="1"/>
  <c r="B75" i="1"/>
  <c r="F15" i="1"/>
  <c r="P82" i="1"/>
  <c r="O82" i="1"/>
  <c r="M90" i="1"/>
  <c r="N82" i="1"/>
  <c r="F14" i="1"/>
  <c r="C23" i="1"/>
  <c r="AE84" i="1"/>
  <c r="AD100" i="1"/>
  <c r="Y84" i="1"/>
  <c r="AH100" i="1"/>
  <c r="V73" i="1"/>
  <c r="AA77" i="1"/>
  <c r="AB92" i="1"/>
  <c r="AH84" i="1"/>
  <c r="X75" i="1"/>
  <c r="U77" i="1"/>
  <c r="AB76" i="1"/>
  <c r="AF84" i="1"/>
  <c r="T92" i="1"/>
  <c r="V100" i="1"/>
  <c r="Z76" i="1"/>
  <c r="AE76" i="1"/>
  <c r="AA82" i="1"/>
  <c r="AA74" i="1"/>
  <c r="W74" i="1"/>
  <c r="AG90" i="1"/>
  <c r="W92" i="1"/>
  <c r="AC73" i="1"/>
  <c r="AD75" i="1"/>
  <c r="X82" i="1"/>
  <c r="AB100" i="1"/>
  <c r="AD82" i="1"/>
  <c r="AA84" i="1"/>
  <c r="V77" i="1"/>
  <c r="AG84" i="1"/>
  <c r="Z73" i="1"/>
  <c r="W84" i="1"/>
  <c r="V92" i="1"/>
  <c r="W82" i="1"/>
  <c r="AD92" i="1"/>
  <c r="T100" i="1"/>
  <c r="Y98" i="1"/>
  <c r="Z92" i="1"/>
  <c r="Y76" i="1"/>
  <c r="AF100" i="1"/>
  <c r="Z75" i="1"/>
  <c r="Z100" i="1"/>
  <c r="AD90" i="1"/>
  <c r="AE74" i="1"/>
  <c r="AC82" i="1"/>
  <c r="Z77" i="1"/>
  <c r="T75" i="1"/>
  <c r="AE82" i="1"/>
  <c r="AB82" i="1"/>
  <c r="AC100" i="1"/>
  <c r="AF73" i="1"/>
  <c r="U92" i="1"/>
  <c r="AA76" i="1"/>
  <c r="AF75" i="1"/>
  <c r="Y92" i="1"/>
  <c r="AE90" i="1"/>
  <c r="Y90" i="1"/>
  <c r="AD84" i="1"/>
  <c r="W77" i="1"/>
  <c r="Z74" i="1"/>
  <c r="W73" i="1"/>
  <c r="W100" i="1"/>
  <c r="X77" i="1"/>
  <c r="V98" i="1"/>
  <c r="AB77" i="1"/>
  <c r="AD73" i="1"/>
  <c r="AF92" i="1"/>
  <c r="AG82" i="1"/>
  <c r="AE98" i="1"/>
  <c r="U90" i="1"/>
  <c r="AF74" i="1"/>
  <c r="AC84" i="1"/>
  <c r="U98" i="1"/>
  <c r="U76" i="1"/>
  <c r="AC77" i="1"/>
  <c r="AB84" i="1"/>
  <c r="AG92" i="1"/>
  <c r="U84" i="1"/>
  <c r="X100" i="1"/>
  <c r="X90" i="1"/>
  <c r="V82" i="1"/>
  <c r="AA92" i="1"/>
  <c r="T90" i="1"/>
  <c r="Z82" i="1"/>
  <c r="AA90" i="1"/>
  <c r="U82" i="1"/>
  <c r="AC74" i="1"/>
  <c r="T74" i="1"/>
  <c r="V76" i="1"/>
  <c r="AB75" i="1"/>
  <c r="AA100" i="1"/>
  <c r="AC98" i="1"/>
  <c r="V75" i="1"/>
  <c r="AC76" i="1"/>
  <c r="X73" i="1"/>
  <c r="T98" i="1"/>
  <c r="T84" i="1"/>
  <c r="AF76" i="1"/>
  <c r="W76" i="1"/>
  <c r="U73" i="1"/>
  <c r="V90" i="1"/>
  <c r="X74" i="1"/>
  <c r="Z84" i="1"/>
  <c r="AF82" i="1"/>
  <c r="X92" i="1"/>
  <c r="AB98" i="1"/>
  <c r="V84" i="1"/>
  <c r="X76" i="1"/>
  <c r="Y82" i="1"/>
  <c r="AE73" i="1"/>
  <c r="AB74" i="1"/>
  <c r="AA98" i="1"/>
  <c r="Z98" i="1"/>
  <c r="AE75" i="1"/>
  <c r="AA75" i="1"/>
  <c r="AE77" i="1"/>
  <c r="U74" i="1"/>
  <c r="T77" i="1"/>
  <c r="AH92" i="1"/>
  <c r="Z90" i="1"/>
  <c r="V74" i="1"/>
  <c r="AD74" i="1"/>
  <c r="AC90" i="1"/>
  <c r="T73" i="1"/>
  <c r="AF98" i="1"/>
  <c r="AF77" i="1"/>
  <c r="AB90" i="1"/>
  <c r="W98" i="1"/>
  <c r="Y77" i="1"/>
  <c r="AD77" i="1"/>
  <c r="AC75" i="1"/>
  <c r="X98" i="1"/>
  <c r="Y100" i="1"/>
  <c r="AB73" i="1"/>
  <c r="AF90" i="1"/>
  <c r="Y73" i="1"/>
  <c r="AE92" i="1"/>
  <c r="Y74" i="1"/>
  <c r="Y75" i="1"/>
  <c r="AD76" i="1"/>
  <c r="W90" i="1"/>
  <c r="AA73" i="1"/>
  <c r="AG100" i="1"/>
  <c r="T76" i="1"/>
  <c r="W75" i="1"/>
  <c r="AC92" i="1"/>
  <c r="AG98" i="1"/>
  <c r="U75" i="1"/>
  <c r="T82" i="1"/>
  <c r="X84" i="1"/>
  <c r="U100" i="1"/>
  <c r="AD98" i="1"/>
  <c r="AE100" i="1"/>
  <c r="F13" i="1"/>
  <c r="AH90" i="1"/>
  <c r="AH82" i="1"/>
  <c r="AH98" i="1"/>
  <c r="L90" i="1"/>
  <c r="L82" i="1"/>
  <c r="L98" i="1"/>
  <c r="AC89" i="1"/>
  <c r="AC97" i="1"/>
  <c r="AC81" i="1"/>
  <c r="AC72" i="1"/>
  <c r="W89" i="1"/>
  <c r="W97" i="1"/>
  <c r="W81" i="1"/>
  <c r="W72" i="1"/>
  <c r="Y97" i="1"/>
  <c r="Y81" i="1"/>
  <c r="Y72" i="1"/>
  <c r="Y89" i="1"/>
  <c r="AE97" i="1"/>
  <c r="AE81" i="1"/>
  <c r="AE89" i="1"/>
  <c r="AE72" i="1"/>
  <c r="AA89" i="1"/>
  <c r="AA72" i="1"/>
  <c r="AA97" i="1"/>
  <c r="AA81" i="1"/>
  <c r="AB72" i="1"/>
  <c r="AB89" i="1"/>
  <c r="AB81" i="1"/>
  <c r="AB97" i="1"/>
  <c r="U89" i="1"/>
  <c r="U81" i="1"/>
  <c r="U97" i="1"/>
  <c r="U72" i="1"/>
  <c r="V89" i="1"/>
  <c r="V97" i="1"/>
  <c r="V72" i="1"/>
  <c r="V81" i="1"/>
  <c r="X97" i="1"/>
  <c r="X89" i="1"/>
  <c r="X81" i="1"/>
  <c r="X72" i="1"/>
  <c r="Z81" i="1"/>
  <c r="Z89" i="1"/>
  <c r="Z72" i="1"/>
  <c r="Z97" i="1"/>
  <c r="AF97" i="1"/>
  <c r="AF89" i="1"/>
  <c r="AF81" i="1"/>
  <c r="AF72" i="1"/>
  <c r="AD72" i="1"/>
  <c r="AD97" i="1"/>
  <c r="AD81" i="1"/>
  <c r="AD89" i="1"/>
  <c r="A90" i="1"/>
  <c r="A98" i="1"/>
  <c r="A82" i="1"/>
</calcChain>
</file>

<file path=xl/sharedStrings.xml><?xml version="1.0" encoding="utf-8"?>
<sst xmlns="http://schemas.openxmlformats.org/spreadsheetml/2006/main" count="295" uniqueCount="152">
  <si>
    <t>headline year</t>
  </si>
  <si>
    <t>ME reporting measure</t>
  </si>
  <si>
    <t>Jun YTD</t>
  </si>
  <si>
    <t>Total approp item</t>
  </si>
  <si>
    <t>Total movement</t>
  </si>
  <si>
    <t>Total related entity</t>
  </si>
  <si>
    <t>Total jurisdictions</t>
  </si>
  <si>
    <t>Total SPP</t>
  </si>
  <si>
    <t>D</t>
  </si>
  <si>
    <t>N</t>
  </si>
  <si>
    <t>[Begin Format Range]</t>
  </si>
  <si>
    <t>[End Format Range]</t>
  </si>
  <si>
    <t>Account</t>
  </si>
  <si>
    <t>Related Entity</t>
  </si>
  <si>
    <t>Jurisdiction</t>
  </si>
  <si>
    <t xml:space="preserve"> SPP</t>
  </si>
  <si>
    <t>System Variables</t>
  </si>
  <si>
    <t>Database Name</t>
  </si>
  <si>
    <t>Current User</t>
  </si>
  <si>
    <t>ME Reporting</t>
  </si>
  <si>
    <t>Slice View</t>
  </si>
  <si>
    <t>ME System Variable</t>
  </si>
  <si>
    <t>Cube View</t>
  </si>
  <si>
    <t>ME_headline year</t>
  </si>
  <si>
    <t>ME_period</t>
  </si>
  <si>
    <t>ME year</t>
  </si>
  <si>
    <t>Appropriation Item MDX</t>
  </si>
  <si>
    <t>Movement Account MDX</t>
  </si>
  <si>
    <t>Related Entity MDX</t>
  </si>
  <si>
    <t>Jurisdiction MDX</t>
  </si>
  <si>
    <t>SPP MDX</t>
  </si>
  <si>
    <t>{TM1SORT( {TM1FILTERBYLEVEL( {TM1SUBSETALL( [spp] )}, 0)}, ASC)}</t>
  </si>
  <si>
    <t>{TM1SORT( {TM1FILTERBYLEVEL( {TM1SUBSETALL( [jurisdiction] )}, 0)}, ASC)}</t>
  </si>
  <si>
    <t>{TM1SORT( {TM1FILTERBYLEVEL( {TM1SUBSETALL( [related entity] )}, 0)}, ASC)}</t>
  </si>
  <si>
    <t>{TM1SORT( {TM1FILTERBYLEVEL( {TM1SUBSETALL( [appropriation item] )}, 0)}, ASC)}</t>
  </si>
  <si>
    <t>}ElementAttributes_variables</t>
  </si>
  <si>
    <t>headline scenario</t>
  </si>
  <si>
    <t>Parent</t>
  </si>
  <si>
    <t>N0</t>
  </si>
  <si>
    <t>ID</t>
  </si>
  <si>
    <t>Period</t>
  </si>
  <si>
    <t>0000A</t>
  </si>
  <si>
    <t>00001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</si>
  <si>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</si>
  <si>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</si>
  <si>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</si>
  <si>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</si>
  <si>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</si>
  <si>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</si>
  <si>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</si>
  <si>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</si>
  <si>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</si>
  <si>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</si>
  <si>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</si>
  <si>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</si>
  <si>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Annual Estimates</t>
  </si>
  <si>
    <t>Month To Date</t>
  </si>
  <si>
    <t>Year To Date</t>
  </si>
  <si>
    <t>Annual Est</t>
  </si>
  <si>
    <t>Variance</t>
  </si>
  <si>
    <t>SPP</t>
  </si>
  <si>
    <t>Headline Year :</t>
  </si>
  <si>
    <t>Scenario :</t>
  </si>
  <si>
    <t>REPORT PARAMETERS</t>
  </si>
  <si>
    <t>DISPLAY PARAMETERS</t>
  </si>
  <si>
    <t>Display :</t>
  </si>
  <si>
    <t>Active Form View (ASSETS)</t>
  </si>
  <si>
    <t>Active Form View (LIABILITY)</t>
  </si>
  <si>
    <t>Active Form View (EQUITY)</t>
  </si>
  <si>
    <t>{TM1SORT( {FILTER( {TM1FILTERBYLEVEL( {TM1SUBSETALL( [movement account] )}, 0)}, [movement account].[editable] = "")}, ASC)}</t>
  </si>
  <si>
    <t>Movement Account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</si>
  <si>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</si>
  <si>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</si>
  <si>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</si>
  <si>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</si>
  <si>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</si>
  <si>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</si>
  <si>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</si>
  <si>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</si>
  <si>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</si>
  <si>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OS Data Entry</t>
  </si>
  <si>
    <t>ME - BS Data Entry</t>
  </si>
  <si>
    <t>ME - CC Mapping</t>
  </si>
  <si>
    <t>ME - GL Mapping</t>
  </si>
  <si>
    <t>ME - Summary</t>
  </si>
  <si>
    <t>Action Button Parameters</t>
  </si>
  <si>
    <t>psUser</t>
  </si>
  <si>
    <t>psHLYear</t>
  </si>
  <si>
    <t>psScenario</t>
  </si>
  <si>
    <t>psProg</t>
  </si>
  <si>
    <t>psID</t>
  </si>
  <si>
    <t>Jur</t>
  </si>
  <si>
    <t>{TM1SORT( {TM1FILTERBYLEVEL( {TM1SUBSETALL( [movement account] )}, 0)}, ASC)}</t>
  </si>
  <si>
    <t>program MDX</t>
  </si>
  <si>
    <t>program Details</t>
  </si>
  <si>
    <t>Phasing Method</t>
  </si>
  <si>
    <t>P0</t>
  </si>
  <si>
    <t>Monthly Estimates - Cash Flow</t>
  </si>
  <si>
    <t>{TM1FILTERBYLEVEL( {TM1DRILLDOWNMEMBER( {[account].[6210000]}, ALL, RECURSIVE )}, 0)}</t>
  </si>
  <si>
    <t>{TM1FILTERBYLEVEL( {TM1DRILLDOWNMEMBER( {[account].[6220000]}, ALL, RECURSIVE )}, 0)}</t>
  </si>
  <si>
    <t>{TM1FILTERBYLEVEL( {TM1DRILLDOWNMEMBER( {[account].[6230000]}, ALL, RECURSIVE )}, 0)}</t>
  </si>
  <si>
    <t>{TM1FILTERBYLEVEL( {TM1DRILLDOWNMEMBER( {[account].[6800000]}, ALL, RECURSIVE )}, 0)}</t>
  </si>
  <si>
    <t>{TM1FILTERBYLEVEL( {TM1DRILLDOWNMEMBER( {[account].[6900000]}, ALL, RECURSIVE )}, 0)}</t>
  </si>
  <si>
    <t>Account OPERATING MDX</t>
  </si>
  <si>
    <t>Account INVESTING MDX</t>
  </si>
  <si>
    <t>Account FINANCING MDX</t>
  </si>
  <si>
    <t>Account CLEARING MDX</t>
  </si>
  <si>
    <t>Account MANUAL MDX</t>
  </si>
  <si>
    <t>6211000</t>
  </si>
  <si>
    <t>6212000</t>
  </si>
  <si>
    <t>NET CASH (FROM)/TO OPERATING ACTIVITIES</t>
  </si>
  <si>
    <t>NET CASH (FROM)/TO INVESTING ACTIVITIES</t>
  </si>
  <si>
    <t>6221000</t>
  </si>
  <si>
    <t>6221200</t>
  </si>
  <si>
    <t>6231000</t>
  </si>
  <si>
    <t>6232000</t>
  </si>
  <si>
    <t>6220000</t>
  </si>
  <si>
    <t>6210000</t>
  </si>
  <si>
    <t>6230000</t>
  </si>
  <si>
    <t>NET CASH (FROM)/TO FINANCING ACTIVITIES</t>
  </si>
  <si>
    <t>NET CASH (FROM)/TO CLEARING ACCOUNTS</t>
  </si>
  <si>
    <t>Active Form View (CLEARING)</t>
  </si>
  <si>
    <t>Active Form View (MANUAL)</t>
  </si>
  <si>
    <t>6800000</t>
  </si>
  <si>
    <t>MANUAL ALLOCATIONS</t>
  </si>
  <si>
    <t>6900000</t>
  </si>
  <si>
    <t xml:space="preserve">Net Cash (from)/to Operating Activities : </t>
  </si>
  <si>
    <t xml:space="preserve">Net Cash (from)/to Investing Activities : </t>
  </si>
  <si>
    <t xml:space="preserve">Net Cash (from)/to Financing Activities : </t>
  </si>
  <si>
    <t xml:space="preserve">Net Cash from/(to) Clearing Accounts : </t>
  </si>
  <si>
    <t xml:space="preserve">Manual Allocations : </t>
  </si>
  <si>
    <t>Program</t>
  </si>
  <si>
    <t>Program :</t>
  </si>
  <si>
    <t>ME - CF Data Entry</t>
  </si>
  <si>
    <t>ME - Validate</t>
  </si>
  <si>
    <t>Reviewed By :</t>
  </si>
  <si>
    <t>Reviewed Date :</t>
  </si>
  <si>
    <t>}ElementAttributes_Cube</t>
  </si>
  <si>
    <t>account</t>
  </si>
  <si>
    <t>movement account</t>
  </si>
  <si>
    <t>ME Actuals</t>
  </si>
  <si>
    <t>}ElementAttributes_period</t>
  </si>
  <si>
    <t>ME Actuals Period</t>
  </si>
  <si>
    <t>Index</t>
  </si>
  <si>
    <t>Month Index</t>
  </si>
  <si>
    <t>Month Prior Period</t>
  </si>
  <si>
    <t>Appropriation</t>
  </si>
  <si>
    <t>Collapse</t>
  </si>
  <si>
    <t>Expand</t>
  </si>
  <si>
    <t>Program Display :</t>
  </si>
  <si>
    <t>Note : This may not be required if you are using system derived cash flow in CBMS Monthly Estimates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</si>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</sst>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* \(#,##0\)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2C4E7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0" fillId="0" borderId="1" xfId="0" applyBorder="1"/>
    <xf numFmtId="49" fontId="0" fillId="0" borderId="0" xfId="0" applyNumberFormat="1"/>
    <xf numFmtId="0" fontId="2" fillId="6" borderId="0" xfId="0" applyFont="1" applyFill="1" applyAlignment="1">
      <alignment horizontal="center"/>
    </xf>
    <xf numFmtId="0" fontId="5" fillId="0" borderId="0" xfId="0" applyFont="1"/>
    <xf numFmtId="0" fontId="0" fillId="0" borderId="0" xfId="0" quotePrefix="1"/>
    <xf numFmtId="0" fontId="2" fillId="6" borderId="0" xfId="0" applyFont="1" applyFill="1" applyAlignment="1">
      <alignment horizontal="center" wrapText="1"/>
    </xf>
    <xf numFmtId="0" fontId="3" fillId="0" borderId="1" xfId="0" quotePrefix="1" applyFont="1" applyBorder="1"/>
    <xf numFmtId="0" fontId="0" fillId="0" borderId="1" xfId="0" quotePrefix="1" applyBorder="1"/>
    <xf numFmtId="0" fontId="2" fillId="6" borderId="1" xfId="0" applyFont="1" applyFill="1" applyBorder="1" applyAlignment="1">
      <alignment horizontal="center"/>
    </xf>
    <xf numFmtId="0" fontId="3" fillId="0" borderId="1" xfId="0" applyFont="1" applyBorder="1"/>
    <xf numFmtId="165" fontId="4" fillId="0" borderId="1" xfId="1" applyNumberFormat="1" applyFont="1" applyFill="1" applyBorder="1"/>
    <xf numFmtId="0" fontId="6" fillId="0" borderId="1" xfId="0" applyFont="1" applyBorder="1"/>
    <xf numFmtId="0" fontId="4" fillId="0" borderId="1" xfId="0" applyFont="1" applyBorder="1"/>
    <xf numFmtId="165" fontId="6" fillId="5" borderId="1" xfId="1" applyNumberFormat="1" applyFont="1" applyFill="1" applyBorder="1"/>
    <xf numFmtId="0" fontId="4" fillId="2" borderId="1" xfId="0" applyFont="1" applyFill="1" applyBorder="1"/>
    <xf numFmtId="49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 indent="1"/>
    </xf>
    <xf numFmtId="0" fontId="7" fillId="6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0" fillId="0" borderId="2" xfId="0" applyBorder="1"/>
    <xf numFmtId="0" fontId="3" fillId="5" borderId="1" xfId="0" applyFont="1" applyFill="1" applyBorder="1"/>
    <xf numFmtId="0" fontId="8" fillId="6" borderId="0" xfId="0" applyFont="1" applyFill="1" applyAlignment="1">
      <alignment horizontal="right" vertical="center"/>
    </xf>
    <xf numFmtId="165" fontId="4" fillId="2" borderId="1" xfId="1" applyNumberFormat="1" applyFont="1" applyFill="1" applyBorder="1" applyProtection="1">
      <protection locked="0"/>
    </xf>
    <xf numFmtId="165" fontId="4" fillId="0" borderId="1" xfId="1" applyNumberFormat="1" applyFont="1" applyFill="1" applyBorder="1" applyProtection="1"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2" fillId="7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2" fillId="6" borderId="0" xfId="0" applyFont="1" applyFill="1" applyAlignment="1">
      <alignment wrapTex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9" fillId="2" borderId="1" xfId="2" applyNumberFormat="1" applyFill="1" applyBorder="1"/>
    <xf numFmtId="0" fontId="10" fillId="0" borderId="0" xfId="0" applyFont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953"/>
  <ax:ocxPr ax:name="_ExtentY" ax:value="1138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Program Summa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SummaryWB"/>
  <ax:ocxPr ax:name="TargetWorksheetName" ax:value="=TM1MESumma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Summary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66"/>
  <ax:ocxPr ax:name="_ExtentY" ax:value="66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106"/>
  <ax:ocxPr ax:name="_ExtentY" ax:value="87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Operating Statemen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OSDataEntryWB"/>
  <ax:ocxPr ax:name="TargetWorksheetName" ax:value="=TM1MEOSDataEntry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OSDataEntry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02"/>
  <ax:ocxPr ax:name="_ExtentY" ax:value="87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916"/>
  <ax:ocxPr ax:name="_ExtentY" ax:value="87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lance Shee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BSDataEntryWB"/>
  <ax:ocxPr ax:name="TargetWorksheetName" ax:value="=TM1MEBSDataEntry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BSDataEntryCAP"/>
  <ax:ocxPr ax:name="ResizeButtonToCaption" ax:value="0"/>
</ax:ocx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5.emf"/><Relationship Id="rId7" Type="http://schemas.openxmlformats.org/officeDocument/2006/relationships/image" Target="../media/image2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8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66</xdr:row>
          <xdr:rowOff>0</xdr:rowOff>
        </xdr:from>
        <xdr:to>
          <xdr:col>11</xdr:col>
          <xdr:colOff>666750</xdr:colOff>
          <xdr:row>66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2047875</xdr:colOff>
          <xdr:row>65</xdr:row>
          <xdr:rowOff>57150</xdr:rowOff>
        </xdr:from>
        <xdr:to>
          <xdr:col>12</xdr:col>
          <xdr:colOff>438150</xdr:colOff>
          <xdr:row>66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609600</xdr:colOff>
          <xdr:row>66</xdr:row>
          <xdr:rowOff>0</xdr:rowOff>
        </xdr:from>
        <xdr:to>
          <xdr:col>17</xdr:col>
          <xdr:colOff>876300</xdr:colOff>
          <xdr:row>66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65</xdr:row>
          <xdr:rowOff>57150</xdr:rowOff>
        </xdr:from>
        <xdr:to>
          <xdr:col>12</xdr:col>
          <xdr:colOff>1562100</xdr:colOff>
          <xdr:row>66</xdr:row>
          <xdr:rowOff>247650</xdr:rowOff>
        </xdr:to>
        <xdr:sp macro="" textlink="">
          <xdr:nvSpPr>
            <xdr:cNvPr id="1032" name="TIButton4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11</xdr:col>
      <xdr:colOff>0</xdr:colOff>
      <xdr:row>0</xdr:row>
      <xdr:rowOff>0</xdr:rowOff>
    </xdr:from>
    <xdr:to>
      <xdr:col>11</xdr:col>
      <xdr:colOff>1809750</xdr:colOff>
      <xdr:row>65</xdr:row>
      <xdr:rowOff>19050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66</xdr:row>
          <xdr:rowOff>0</xdr:rowOff>
        </xdr:from>
        <xdr:to>
          <xdr:col>11</xdr:col>
          <xdr:colOff>2019300</xdr:colOff>
          <xdr:row>66</xdr:row>
          <xdr:rowOff>247650</xdr:rowOff>
        </xdr:to>
        <xdr:sp macro="" textlink="">
          <xdr:nvSpPr>
            <xdr:cNvPr id="1034" name="TIButton7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1590675</xdr:colOff>
          <xdr:row>66</xdr:row>
          <xdr:rowOff>0</xdr:rowOff>
        </xdr:from>
        <xdr:to>
          <xdr:col>13</xdr:col>
          <xdr:colOff>828675</xdr:colOff>
          <xdr:row>66</xdr:row>
          <xdr:rowOff>247650</xdr:rowOff>
        </xdr:to>
        <xdr:sp macro="" textlink="">
          <xdr:nvSpPr>
            <xdr:cNvPr id="1035" name="TIButton8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857250</xdr:colOff>
          <xdr:row>66</xdr:row>
          <xdr:rowOff>0</xdr:rowOff>
        </xdr:from>
        <xdr:to>
          <xdr:col>14</xdr:col>
          <xdr:colOff>0</xdr:colOff>
          <xdr:row>66</xdr:row>
          <xdr:rowOff>247650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66</xdr:row>
          <xdr:rowOff>0</xdr:rowOff>
        </xdr:from>
        <xdr:to>
          <xdr:col>14</xdr:col>
          <xdr:colOff>1028700</xdr:colOff>
          <xdr:row>66</xdr:row>
          <xdr:rowOff>247650</xdr:rowOff>
        </xdr:to>
        <xdr:sp macro="" textlink="">
          <xdr:nvSpPr>
            <xdr:cNvPr id="1037" name="TIButton6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1066800</xdr:colOff>
          <xdr:row>66</xdr:row>
          <xdr:rowOff>0</xdr:rowOff>
        </xdr:from>
        <xdr:to>
          <xdr:col>16</xdr:col>
          <xdr:colOff>581025</xdr:colOff>
          <xdr:row>66</xdr:row>
          <xdr:rowOff>247650</xdr:rowOff>
        </xdr:to>
        <xdr:sp macro="" textlink="">
          <xdr:nvSpPr>
            <xdr:cNvPr id="1038" name="TIButton5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13" Type="http://schemas.openxmlformats.org/officeDocument/2006/relationships/image" Target="../media/image4.emf"/><Relationship Id="rId18" Type="http://schemas.openxmlformats.org/officeDocument/2006/relationships/control" Target="../activeX/activeX7.xml"/><Relationship Id="rId3" Type="http://schemas.openxmlformats.org/officeDocument/2006/relationships/printerSettings" Target="../printerSettings/printerSettings1.bin"/><Relationship Id="rId21" Type="http://schemas.openxmlformats.org/officeDocument/2006/relationships/image" Target="../media/image8.emf"/><Relationship Id="rId7" Type="http://schemas.openxmlformats.org/officeDocument/2006/relationships/image" Target="../media/image1.emf"/><Relationship Id="rId12" Type="http://schemas.openxmlformats.org/officeDocument/2006/relationships/control" Target="../activeX/activeX4.xml"/><Relationship Id="rId17" Type="http://schemas.openxmlformats.org/officeDocument/2006/relationships/image" Target="../media/image6.emf"/><Relationship Id="rId2" Type="http://schemas.openxmlformats.org/officeDocument/2006/relationships/hyperlink" Target="mailto:=@TM1RPTROW($C$31,db_name&amp;%22:appropriation%20item%22,%22sys_all-n%22,%22%22,%22code%20and%20description%22,0)" TargetMode="External"/><Relationship Id="rId16" Type="http://schemas.openxmlformats.org/officeDocument/2006/relationships/control" Target="../activeX/activeX6.xml"/><Relationship Id="rId20" Type="http://schemas.openxmlformats.org/officeDocument/2006/relationships/control" Target="../activeX/activeX8.xml"/><Relationship Id="rId1" Type="http://schemas.openxmlformats.org/officeDocument/2006/relationships/hyperlink" Target="mailto:=@TM1RPTROW($C$30,db_name&amp;%22:appropriation%20item%22,%22sys_all-n%22,%22%22,%22code%20and%20description%22,0)" TargetMode="External"/><Relationship Id="rId6" Type="http://schemas.openxmlformats.org/officeDocument/2006/relationships/control" Target="../activeX/activeX1.xml"/><Relationship Id="rId11" Type="http://schemas.openxmlformats.org/officeDocument/2006/relationships/image" Target="../media/image3.emf"/><Relationship Id="rId5" Type="http://schemas.openxmlformats.org/officeDocument/2006/relationships/vmlDrawing" Target="../drawings/vmlDrawing1.vml"/><Relationship Id="rId15" Type="http://schemas.openxmlformats.org/officeDocument/2006/relationships/image" Target="../media/image5.emf"/><Relationship Id="rId23" Type="http://schemas.openxmlformats.org/officeDocument/2006/relationships/image" Target="../media/image9.emf"/><Relationship Id="rId10" Type="http://schemas.openxmlformats.org/officeDocument/2006/relationships/control" Target="../activeX/activeX3.xml"/><Relationship Id="rId19" Type="http://schemas.openxmlformats.org/officeDocument/2006/relationships/image" Target="../media/image7.emf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Relationship Id="rId14" Type="http://schemas.openxmlformats.org/officeDocument/2006/relationships/control" Target="../activeX/activeX5.xml"/><Relationship Id="rId22" Type="http://schemas.openxmlformats.org/officeDocument/2006/relationships/control" Target="../activeX/activeX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H112"/>
  <sheetViews>
    <sheetView showGridLines="0" tabSelected="1" showOutlineSymbols="0" topLeftCell="A65" workbookViewId="0">
      <pane xSplit="21" ySplit="17" topLeftCell="V82" activePane="bottomRight" state="frozen"/>
      <selection activeCell="K65" sqref="K65"/>
      <selection pane="topRight" activeCell="V65" sqref="V65"/>
      <selection pane="bottomLeft" activeCell="K81" sqref="K81"/>
      <selection pane="bottomRight" activeCell="L65" sqref="L65"/>
    </sheetView>
  </sheetViews>
  <sheetFormatPr defaultRowHeight="15" outlineLevelRow="1" outlineLevelCol="1" x14ac:dyDescent="0.25"/>
  <cols>
    <col min="1" max="1" width="20.28515625" hidden="1" customWidth="1" outlineLevel="1"/>
    <col min="2" max="2" width="22.7109375" hidden="1" customWidth="1" outlineLevel="1"/>
    <col min="3" max="3" width="40.7109375" hidden="1" customWidth="1" outlineLevel="1"/>
    <col min="4" max="4" width="26.7109375" hidden="1" customWidth="1" outlineLevel="1"/>
    <col min="5" max="9" width="20.7109375" hidden="1" customWidth="1" outlineLevel="1"/>
    <col min="10" max="10" width="20.28515625" hidden="1" customWidth="1" outlineLevel="1"/>
    <col min="11" max="11" width="0.85546875" customWidth="1" collapsed="1"/>
    <col min="12" max="12" width="45.7109375" customWidth="1"/>
    <col min="13" max="13" width="30.7109375" customWidth="1"/>
    <col min="14" max="14" width="27.7109375" customWidth="1"/>
    <col min="15" max="15" width="21.28515625" customWidth="1"/>
    <col min="16" max="16" width="12.7109375" customWidth="1"/>
    <col min="17" max="17" width="10.7109375" customWidth="1"/>
    <col min="18" max="18" width="30.7109375" customWidth="1"/>
    <col min="19" max="19" width="15.7109375" customWidth="1"/>
    <col min="20" max="20" width="11.7109375" customWidth="1"/>
    <col min="21" max="21" width="10.7109375" hidden="1" customWidth="1"/>
    <col min="22" max="34" width="10.7109375" customWidth="1"/>
  </cols>
  <sheetData>
    <row r="1" spans="1:34" hidden="1" outlineLevel="1" x14ac:dyDescent="0.25">
      <c r="A1" t="s">
        <v>10</v>
      </c>
    </row>
    <row r="2" spans="1:34" hidden="1" outlineLevel="1" x14ac:dyDescent="0.25">
      <c r="A2">
        <f>0</f>
        <v>0</v>
      </c>
      <c r="C2" s="13"/>
      <c r="D2" s="14"/>
      <c r="E2" s="14"/>
      <c r="F2" s="14"/>
      <c r="G2" s="14"/>
      <c r="H2" s="18"/>
      <c r="I2" s="18"/>
      <c r="L2" s="13"/>
      <c r="M2" s="14"/>
      <c r="N2" s="14"/>
      <c r="O2" s="14"/>
      <c r="P2" s="18"/>
      <c r="Q2" s="18"/>
      <c r="R2" s="14"/>
      <c r="S2" s="36"/>
      <c r="T2" s="15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5"/>
      <c r="AH2" s="15"/>
    </row>
    <row r="3" spans="1:34" hidden="1" outlineLevel="1" x14ac:dyDescent="0.25">
      <c r="A3">
        <f>1</f>
        <v>1</v>
      </c>
      <c r="C3" s="14"/>
      <c r="D3" s="14"/>
      <c r="E3" s="14"/>
      <c r="F3" s="14"/>
      <c r="G3" s="14"/>
      <c r="H3" s="18"/>
      <c r="I3" s="18"/>
      <c r="L3" s="14"/>
      <c r="M3" s="14"/>
      <c r="N3" s="14"/>
      <c r="O3" s="14"/>
      <c r="P3" s="18"/>
      <c r="Q3" s="18"/>
      <c r="R3" s="14"/>
      <c r="S3" s="36"/>
      <c r="T3" s="15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5"/>
      <c r="AH3" s="15"/>
    </row>
    <row r="4" spans="1:34" hidden="1" outlineLevel="1" x14ac:dyDescent="0.25">
      <c r="A4">
        <f>2</f>
        <v>2</v>
      </c>
      <c r="C4" s="14"/>
      <c r="D4" s="14"/>
      <c r="E4" s="14"/>
      <c r="F4" s="14"/>
      <c r="G4" s="14"/>
      <c r="H4" s="18"/>
      <c r="I4" s="18"/>
      <c r="L4" s="14"/>
      <c r="M4" s="14"/>
      <c r="N4" s="14"/>
      <c r="O4" s="14"/>
      <c r="P4" s="18"/>
      <c r="Q4" s="18"/>
      <c r="R4" s="14"/>
      <c r="S4" s="36"/>
      <c r="T4" s="15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5"/>
      <c r="AH4" s="15"/>
    </row>
    <row r="5" spans="1:34" hidden="1" outlineLevel="1" x14ac:dyDescent="0.25">
      <c r="A5">
        <f>3</f>
        <v>3</v>
      </c>
      <c r="C5" s="14"/>
      <c r="D5" s="14"/>
      <c r="E5" s="14"/>
      <c r="F5" s="14"/>
      <c r="G5" s="14"/>
      <c r="H5" s="18"/>
      <c r="I5" s="18"/>
      <c r="L5" s="14"/>
      <c r="M5" s="14"/>
      <c r="N5" s="14"/>
      <c r="O5" s="14"/>
      <c r="P5" s="18"/>
      <c r="Q5" s="18"/>
      <c r="R5" s="14"/>
      <c r="S5" s="36"/>
      <c r="T5" s="15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5"/>
      <c r="AH5" s="15"/>
    </row>
    <row r="6" spans="1:34" hidden="1" outlineLevel="1" x14ac:dyDescent="0.25">
      <c r="A6" t="s">
        <v>8</v>
      </c>
      <c r="C6" s="14"/>
      <c r="D6" s="14"/>
      <c r="E6" s="14"/>
      <c r="F6" s="14"/>
      <c r="G6" s="14"/>
      <c r="H6" s="18"/>
      <c r="I6" s="18"/>
      <c r="L6" s="14"/>
      <c r="M6" s="14"/>
      <c r="N6" s="14"/>
      <c r="O6" s="14"/>
      <c r="P6" s="18"/>
      <c r="Q6" s="18"/>
      <c r="R6" s="14"/>
      <c r="S6" s="36"/>
      <c r="T6" s="15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5"/>
      <c r="AH6" s="15"/>
    </row>
    <row r="7" spans="1:34" hidden="1" outlineLevel="1" x14ac:dyDescent="0.25">
      <c r="A7" t="s">
        <v>9</v>
      </c>
      <c r="C7" s="16"/>
      <c r="D7" s="16"/>
      <c r="E7" s="16"/>
      <c r="F7" s="16"/>
      <c r="G7" s="16"/>
      <c r="H7" s="19"/>
      <c r="I7" s="19"/>
      <c r="L7" s="16"/>
      <c r="M7" s="16"/>
      <c r="N7" s="16"/>
      <c r="O7" s="16"/>
      <c r="P7" s="19"/>
      <c r="Q7" s="19"/>
      <c r="R7" s="16"/>
      <c r="S7" s="37"/>
      <c r="T7" s="15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15"/>
      <c r="AH7" s="15"/>
    </row>
    <row r="8" spans="1:34" hidden="1" outlineLevel="1" x14ac:dyDescent="0.25">
      <c r="A8" t="s">
        <v>38</v>
      </c>
      <c r="C8" s="14"/>
      <c r="D8" s="14"/>
      <c r="E8" s="14"/>
      <c r="F8" s="14"/>
      <c r="G8" s="14"/>
      <c r="H8" s="18"/>
      <c r="I8" s="18"/>
      <c r="L8" s="14"/>
      <c r="M8" s="14"/>
      <c r="N8" s="14"/>
      <c r="O8" s="14"/>
      <c r="P8" s="18"/>
      <c r="Q8" s="18"/>
      <c r="R8" s="14"/>
      <c r="S8" s="36"/>
      <c r="T8" s="15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15"/>
      <c r="AH8" s="15"/>
    </row>
    <row r="9" spans="1:34" hidden="1" outlineLevel="1" x14ac:dyDescent="0.25">
      <c r="A9" t="s">
        <v>11</v>
      </c>
    </row>
    <row r="10" spans="1:34" hidden="1" outlineLevel="1" x14ac:dyDescent="0.25"/>
    <row r="11" spans="1:34" hidden="1" outlineLevel="1" x14ac:dyDescent="0.25">
      <c r="B11" s="41" t="s">
        <v>16</v>
      </c>
      <c r="C11" s="41"/>
      <c r="E11" s="41" t="s">
        <v>85</v>
      </c>
      <c r="F11" s="41"/>
    </row>
    <row r="12" spans="1:34" hidden="1" outlineLevel="1" x14ac:dyDescent="0.25">
      <c r="B12" s="2" t="s">
        <v>17</v>
      </c>
      <c r="C12" s="2" t="s">
        <v>151</v>
      </c>
      <c r="E12" s="2" t="s">
        <v>86</v>
      </c>
      <c r="F12" s="2" t="e">
        <f ca="1">psUser</f>
        <v>#NAME?</v>
      </c>
    </row>
    <row r="13" spans="1:34" hidden="1" outlineLevel="1" x14ac:dyDescent="0.25">
      <c r="B13" s="2" t="s">
        <v>18</v>
      </c>
      <c r="C13" s="2" t="e">
        <f ca="1">_xll.TM1USER(db_name)</f>
        <v>#NAME?</v>
      </c>
      <c r="E13" s="2" t="s">
        <v>87</v>
      </c>
      <c r="F13" s="2" t="e">
        <f ca="1">psHLYear</f>
        <v>#NAME?</v>
      </c>
    </row>
    <row r="14" spans="1:34" hidden="1" outlineLevel="1" x14ac:dyDescent="0.25">
      <c r="E14" s="2" t="s">
        <v>88</v>
      </c>
      <c r="F14" s="2" t="e">
        <f ca="1">psScenario</f>
        <v>#NAME?</v>
      </c>
    </row>
    <row r="15" spans="1:34" hidden="1" outlineLevel="1" x14ac:dyDescent="0.25">
      <c r="B15" s="41" t="s">
        <v>35</v>
      </c>
      <c r="C15" s="41"/>
      <c r="E15" s="2" t="s">
        <v>89</v>
      </c>
      <c r="F15" s="2" t="e">
        <f ca="1">psProg</f>
        <v>#NAME?</v>
      </c>
    </row>
    <row r="16" spans="1:34" hidden="1" outlineLevel="1" x14ac:dyDescent="0.25">
      <c r="B16" s="2" t="s">
        <v>22</v>
      </c>
      <c r="C16" s="2" t="e">
        <f ca="1">_xll.VIEW(db_name&amp;":}ElementAttributes_variables","!","!")</f>
        <v>#NAME?</v>
      </c>
      <c r="E16" s="2" t="s">
        <v>90</v>
      </c>
      <c r="F16" s="9" t="s">
        <v>42</v>
      </c>
    </row>
    <row r="17" spans="2:6" hidden="1" outlineLevel="1" x14ac:dyDescent="0.25">
      <c r="B17" s="2" t="s">
        <v>0</v>
      </c>
      <c r="C17" s="2" t="e">
        <f ca="1">_xll.DBR($C$16,$B17,"value")</f>
        <v>#NAME?</v>
      </c>
    </row>
    <row r="18" spans="2:6" hidden="1" outlineLevel="1" x14ac:dyDescent="0.25">
      <c r="B18" s="2" t="s">
        <v>36</v>
      </c>
      <c r="C18" s="2" t="e">
        <f ca="1">_xll.DBR($C$16,$B18,"value")</f>
        <v>#NAME?</v>
      </c>
      <c r="E18" s="41" t="s">
        <v>141</v>
      </c>
      <c r="F18" s="41"/>
    </row>
    <row r="19" spans="2:6" hidden="1" outlineLevel="1" x14ac:dyDescent="0.25">
      <c r="E19" s="2" t="s">
        <v>22</v>
      </c>
      <c r="F19" s="2" t="e">
        <f t="array" aca="1" ref="F19" ca="1">_xll.VIEW(db_name&amp;":}ElementAttributes_period","!","!")</f>
        <v>#NAME?</v>
      </c>
    </row>
    <row r="20" spans="2:6" hidden="1" outlineLevel="1" x14ac:dyDescent="0.25">
      <c r="B20" s="41" t="s">
        <v>21</v>
      </c>
      <c r="C20" s="41"/>
    </row>
    <row r="21" spans="2:6" hidden="1" outlineLevel="1" x14ac:dyDescent="0.25">
      <c r="B21" s="2" t="s">
        <v>22</v>
      </c>
      <c r="C21" s="2" t="e">
        <f ca="1">_xll.VIEW(db_name&amp;":sys_ME variable","!","!")</f>
        <v>#NAME?</v>
      </c>
      <c r="E21" s="41" t="s">
        <v>137</v>
      </c>
      <c r="F21" s="41"/>
    </row>
    <row r="22" spans="2:6" hidden="1" outlineLevel="1" x14ac:dyDescent="0.25">
      <c r="B22" s="2" t="s">
        <v>23</v>
      </c>
      <c r="C22" s="2" t="e">
        <f ca="1">_xll.DBR($C$21,$B22,"value")</f>
        <v>#NAME?</v>
      </c>
      <c r="E22" t="s">
        <v>138</v>
      </c>
      <c r="F22" s="2" t="e">
        <f ca="1">_xll.VIEW(db_name&amp;":}ElementAttributes_account","!","!")</f>
        <v>#NAME?</v>
      </c>
    </row>
    <row r="23" spans="2:6" hidden="1" outlineLevel="1" x14ac:dyDescent="0.25">
      <c r="B23" s="2" t="s">
        <v>25</v>
      </c>
      <c r="C23" s="2" t="e">
        <f ca="1">_xll.DBR($C$21,$B23,"value")</f>
        <v>#NAME?</v>
      </c>
      <c r="E23" t="s">
        <v>139</v>
      </c>
      <c r="F23" s="2" t="e">
        <f ca="1">_xll.VIEW(db_name&amp;":}ElementAttributes_movement account","!","!")</f>
        <v>#NAME?</v>
      </c>
    </row>
    <row r="24" spans="2:6" hidden="1" outlineLevel="1" x14ac:dyDescent="0.25">
      <c r="B24" s="2" t="s">
        <v>24</v>
      </c>
      <c r="C24" s="2" t="e">
        <f ca="1">_xll.DBR($C$21,$B24,"value")</f>
        <v>#NAME?</v>
      </c>
    </row>
    <row r="25" spans="2:6" hidden="1" outlineLevel="1" x14ac:dyDescent="0.25">
      <c r="B25" s="2" t="s">
        <v>142</v>
      </c>
      <c r="C25" s="2" t="e">
        <f ca="1">_xll.DBR($C$21,$B25,"value")</f>
        <v>#NAME?</v>
      </c>
    </row>
    <row r="26" spans="2:6" hidden="1" outlineLevel="1" x14ac:dyDescent="0.25">
      <c r="B26" s="2" t="s">
        <v>143</v>
      </c>
      <c r="C26" s="2" t="e">
        <f ca="1">_xll.DIMIX(db_name&amp;":period",$C$25)</f>
        <v>#NAME?</v>
      </c>
    </row>
    <row r="27" spans="2:6" hidden="1" outlineLevel="1" x14ac:dyDescent="0.25"/>
    <row r="28" spans="2:6" hidden="1" outlineLevel="1" x14ac:dyDescent="0.25">
      <c r="B28" s="41" t="s">
        <v>19</v>
      </c>
      <c r="C28" s="41"/>
    </row>
    <row r="29" spans="2:6" ht="16.5" hidden="1" customHeight="1" outlineLevel="1" x14ac:dyDescent="0.25">
      <c r="B29" s="2" t="s">
        <v>66</v>
      </c>
      <c r="C29" s="2" t="e">
        <f ca="1">_xll.TM1RPTVIEW(db_name&amp;":ME reporting:2", 1, _xll.TM1RPTTITLE(db_name&amp;":headline year",$M$73), _xll.TM1RPTTITLE(db_name&amp;":scenario",$M$74),_xll.TM1RPTTITLE(db_name&amp;":ME reporting measure",$C$46),TM1RPTFMTRNG,TM1RPTFMTIDCOL)</f>
        <v>#NAME?</v>
      </c>
    </row>
    <row r="30" spans="2:6" ht="16.5" hidden="1" customHeight="1" outlineLevel="1" x14ac:dyDescent="0.25">
      <c r="B30" s="2" t="s">
        <v>67</v>
      </c>
      <c r="C30" t="e">
        <f ca="1">_xll.TM1RPTVIEW(db_name&amp;":ME reporting:ARPT1", 1, _xll.TM1RPTTITLE(db_name&amp;":headline year",$M$73), _xll.TM1RPTTITLE(db_name&amp;":scenario",$M$74),_xll.TM1RPTTITLE(db_name&amp;":ME reporting measure",$C$46),TM1RPTFMTRNG,TM1RPTFMTIDCOL)</f>
        <v>#NAME?</v>
      </c>
    </row>
    <row r="31" spans="2:6" ht="16.5" hidden="1" customHeight="1" outlineLevel="1" x14ac:dyDescent="0.25">
      <c r="B31" s="2" t="s">
        <v>68</v>
      </c>
      <c r="C31" t="e">
        <f ca="1">_xll.TM1RPTVIEW(db_name&amp;":ME reporting:ARPT2", 1, _xll.TM1RPTTITLE(db_name&amp;":headline year",$M$73), _xll.TM1RPTTITLE(db_name&amp;":scenario",$M$74),_xll.TM1RPTTITLE(db_name&amp;":ME reporting measure",$C$46),TM1RPTFMTRNG,TM1RPTFMTIDCOL)</f>
        <v>#NAME?</v>
      </c>
    </row>
    <row r="32" spans="2:6" ht="16.5" hidden="1" customHeight="1" outlineLevel="1" x14ac:dyDescent="0.25">
      <c r="B32" s="2" t="s">
        <v>121</v>
      </c>
      <c r="C32" t="e">
        <f ca="1">_xll.TM1RPTVIEW(db_name&amp;":ME reporting:ARPT3", 1, _xll.TM1RPTTITLE(db_name&amp;":headline year",$M$73), _xll.TM1RPTTITLE(db_name&amp;":scenario",$M$74),_xll.TM1RPTTITLE(db_name&amp;":ME reporting measure",$C$46),TM1RPTFMTRNG,TM1RPTFMTIDCOL)</f>
        <v>#NAME?</v>
      </c>
    </row>
    <row r="33" spans="2:33" ht="16.5" hidden="1" customHeight="1" outlineLevel="1" x14ac:dyDescent="0.25">
      <c r="B33" s="2" t="s">
        <v>122</v>
      </c>
      <c r="C33" t="e">
        <f ca="1">_xll.TM1RPTVIEW(db_name&amp;":ME reporting:ARPT4", 1, _xll.TM1RPTTITLE(db_name&amp;":headline year",$M$73), _xll.TM1RPTTITLE(db_name&amp;":scenario",$M$74),_xll.TM1RPTTITLE(db_name&amp;":ME reporting measure",$C$46),TM1RPTFMTRNG,TM1RPTFMTIDCOL)</f>
        <v>#NAME?</v>
      </c>
    </row>
    <row r="34" spans="2:33" hidden="1" outlineLevel="1" x14ac:dyDescent="0.25">
      <c r="B34" s="2" t="s">
        <v>20</v>
      </c>
      <c r="C34" s="2" t="e">
        <f ca="1">_xll.VIEW(db_name&amp;":ME reporting",$M$73,$M$74,"!","!","!","!","!","!","!","!","!","!")</f>
        <v>#NAME?</v>
      </c>
      <c r="D34" t="s">
        <v>147</v>
      </c>
      <c r="E34" t="s">
        <v>148</v>
      </c>
    </row>
    <row r="35" spans="2:33" hidden="1" outlineLevel="1" x14ac:dyDescent="0.25">
      <c r="B35" s="2" t="s">
        <v>93</v>
      </c>
      <c r="C35" s="2" t="e">
        <f ca="1">IF($O$75 = "Collapse",$D$35,$E$35)</f>
        <v>#NAME?</v>
      </c>
      <c r="D35" t="e">
        <f ca="1">"{[programme].[" &amp; $M$75 &amp; "]}"</f>
        <v>#NAME?</v>
      </c>
      <c r="E35" t="e">
        <f ca="1">"{TM1FILTERBYLEVEL( {TM1DRILLDOWNMEMBER( {[programme].[" &amp; $M$75 &amp; "]}, ALL, RECURSIVE )}, 0)}"</f>
        <v>#NAME?</v>
      </c>
    </row>
    <row r="36" spans="2:33" hidden="1" outlineLevel="1" x14ac:dyDescent="0.25">
      <c r="B36" s="2" t="s">
        <v>26</v>
      </c>
      <c r="C36" s="2" t="s">
        <v>34</v>
      </c>
    </row>
    <row r="37" spans="2:33" hidden="1" outlineLevel="1" x14ac:dyDescent="0.25">
      <c r="B37" s="2" t="s">
        <v>103</v>
      </c>
      <c r="C37" s="2" t="s">
        <v>98</v>
      </c>
    </row>
    <row r="38" spans="2:33" hidden="1" outlineLevel="1" x14ac:dyDescent="0.25">
      <c r="B38" s="2" t="s">
        <v>104</v>
      </c>
      <c r="C38" s="2" t="s">
        <v>99</v>
      </c>
    </row>
    <row r="39" spans="2:33" hidden="1" outlineLevel="1" x14ac:dyDescent="0.25">
      <c r="B39" s="2" t="s">
        <v>105</v>
      </c>
      <c r="C39" s="2" t="s">
        <v>100</v>
      </c>
    </row>
    <row r="40" spans="2:33" hidden="1" outlineLevel="1" x14ac:dyDescent="0.25">
      <c r="B40" s="2" t="s">
        <v>106</v>
      </c>
      <c r="C40" s="2" t="s">
        <v>101</v>
      </c>
    </row>
    <row r="41" spans="2:33" hidden="1" outlineLevel="1" x14ac:dyDescent="0.25">
      <c r="B41" s="2" t="s">
        <v>107</v>
      </c>
      <c r="C41" s="2" t="s">
        <v>102</v>
      </c>
    </row>
    <row r="42" spans="2:33" hidden="1" outlineLevel="1" x14ac:dyDescent="0.25">
      <c r="B42" s="2" t="s">
        <v>27</v>
      </c>
      <c r="C42" s="2" t="s">
        <v>92</v>
      </c>
      <c r="D42" s="2" t="s">
        <v>69</v>
      </c>
    </row>
    <row r="43" spans="2:33" hidden="1" outlineLevel="1" x14ac:dyDescent="0.25">
      <c r="B43" s="2" t="s">
        <v>28</v>
      </c>
      <c r="C43" s="2" t="s">
        <v>33</v>
      </c>
    </row>
    <row r="44" spans="2:33" hidden="1" outlineLevel="1" x14ac:dyDescent="0.25">
      <c r="B44" s="2" t="s">
        <v>29</v>
      </c>
      <c r="C44" s="2" t="s">
        <v>32</v>
      </c>
    </row>
    <row r="45" spans="2:33" hidden="1" outlineLevel="1" x14ac:dyDescent="0.25">
      <c r="B45" s="2" t="s">
        <v>30</v>
      </c>
      <c r="C45" s="2" t="s">
        <v>31</v>
      </c>
    </row>
    <row r="46" spans="2:33" hidden="1" outlineLevel="1" x14ac:dyDescent="0.25">
      <c r="B46" s="11" t="s">
        <v>1</v>
      </c>
      <c r="C46" s="2" t="e">
        <f ca="1">_xll.SUBNM(db_name&amp;":ME reporting measure","",$D$46)</f>
        <v>#NAME?</v>
      </c>
      <c r="D46" s="2" t="e">
        <f ca="1">IF($O$75 = "Collapse","sys_value","Value")</f>
        <v>#NAME?</v>
      </c>
      <c r="L46" s="1"/>
    </row>
    <row r="47" spans="2:33" hidden="1" outlineLevel="1" x14ac:dyDescent="0.25">
      <c r="L47" s="1"/>
    </row>
    <row r="48" spans="2:33" hidden="1" outlineLevel="1" x14ac:dyDescent="0.25">
      <c r="B48" s="41" t="s">
        <v>94</v>
      </c>
      <c r="C48" s="41"/>
      <c r="L48" s="1"/>
      <c r="T48" s="11" t="s">
        <v>58</v>
      </c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</row>
    <row r="49" spans="2:33" hidden="1" outlineLevel="1" x14ac:dyDescent="0.25">
      <c r="B49" s="2" t="s">
        <v>22</v>
      </c>
      <c r="C49" s="2" t="e">
        <f ca="1">_xll.VIEW(db_name&amp;":programme details",$C$17,$C$18,"!","!")</f>
        <v>#NAME?</v>
      </c>
      <c r="L49" s="1"/>
      <c r="Q49" s="11" t="s">
        <v>39</v>
      </c>
      <c r="R49" s="11"/>
      <c r="S49" s="11" t="s">
        <v>95</v>
      </c>
      <c r="T49" s="8" t="s">
        <v>41</v>
      </c>
      <c r="U49" s="9" t="s">
        <v>42</v>
      </c>
      <c r="V49" s="9" t="s">
        <v>42</v>
      </c>
      <c r="W49" s="9" t="s">
        <v>42</v>
      </c>
      <c r="X49" s="9" t="s">
        <v>42</v>
      </c>
      <c r="Y49" s="9" t="s">
        <v>42</v>
      </c>
      <c r="Z49" s="9" t="s">
        <v>42</v>
      </c>
      <c r="AA49" s="9" t="s">
        <v>42</v>
      </c>
      <c r="AB49" s="9" t="s">
        <v>42</v>
      </c>
      <c r="AC49" s="9" t="s">
        <v>42</v>
      </c>
      <c r="AD49" s="9" t="s">
        <v>42</v>
      </c>
      <c r="AE49" s="9" t="s">
        <v>42</v>
      </c>
      <c r="AF49" s="9" t="s">
        <v>42</v>
      </c>
      <c r="AG49" s="9" t="s">
        <v>42</v>
      </c>
    </row>
    <row r="50" spans="2:33" hidden="1" outlineLevel="1" x14ac:dyDescent="0.25">
      <c r="L50" s="1"/>
      <c r="Q50" s="11" t="s">
        <v>40</v>
      </c>
      <c r="R50" s="1"/>
      <c r="S50" s="30" t="s">
        <v>96</v>
      </c>
      <c r="T50" s="10" t="s">
        <v>2</v>
      </c>
      <c r="U50" s="2" t="e">
        <f t="shared" ref="U50:AF50" ca="1" si="0">VLOOKUP($O$73,$Q$52:$AF$53,U$51,FALSE)</f>
        <v>#NAME?</v>
      </c>
      <c r="V50" s="2" t="e">
        <f t="shared" ca="1" si="0"/>
        <v>#NAME?</v>
      </c>
      <c r="W50" s="2" t="e">
        <f t="shared" ca="1" si="0"/>
        <v>#NAME?</v>
      </c>
      <c r="X50" s="2" t="e">
        <f t="shared" ca="1" si="0"/>
        <v>#NAME?</v>
      </c>
      <c r="Y50" s="2" t="e">
        <f t="shared" ca="1" si="0"/>
        <v>#NAME?</v>
      </c>
      <c r="Z50" s="2" t="e">
        <f t="shared" ca="1" si="0"/>
        <v>#NAME?</v>
      </c>
      <c r="AA50" s="2" t="e">
        <f t="shared" ca="1" si="0"/>
        <v>#NAME?</v>
      </c>
      <c r="AB50" s="2" t="e">
        <f t="shared" ca="1" si="0"/>
        <v>#NAME?</v>
      </c>
      <c r="AC50" s="2" t="e">
        <f t="shared" ca="1" si="0"/>
        <v>#NAME?</v>
      </c>
      <c r="AD50" s="2" t="e">
        <f t="shared" ca="1" si="0"/>
        <v>#NAME?</v>
      </c>
      <c r="AE50" s="2" t="e">
        <f t="shared" ca="1" si="0"/>
        <v>#NAME?</v>
      </c>
      <c r="AF50" s="2" t="e">
        <f t="shared" ca="1" si="0"/>
        <v>#NAME?</v>
      </c>
      <c r="AG50" s="2" t="s">
        <v>2</v>
      </c>
    </row>
    <row r="51" spans="2:33" hidden="1" outlineLevel="1" x14ac:dyDescent="0.25">
      <c r="B51" s="41" t="s">
        <v>71</v>
      </c>
      <c r="C51" s="41"/>
      <c r="L51" s="1"/>
      <c r="Q51" s="11"/>
      <c r="R51" s="11"/>
      <c r="S51" s="11"/>
      <c r="T51" s="2"/>
      <c r="U51" s="2">
        <v>4</v>
      </c>
      <c r="V51" s="2">
        <v>5</v>
      </c>
      <c r="W51" s="2">
        <v>6</v>
      </c>
      <c r="X51" s="2">
        <v>7</v>
      </c>
      <c r="Y51" s="2">
        <v>8</v>
      </c>
      <c r="Z51" s="2">
        <v>9</v>
      </c>
      <c r="AA51" s="2">
        <v>10</v>
      </c>
      <c r="AB51" s="2">
        <v>11</v>
      </c>
      <c r="AC51" s="2">
        <v>12</v>
      </c>
      <c r="AD51" s="2">
        <v>13</v>
      </c>
      <c r="AE51" s="2">
        <v>14</v>
      </c>
      <c r="AF51" s="2">
        <v>15</v>
      </c>
      <c r="AG51" s="2"/>
    </row>
    <row r="52" spans="2:33" hidden="1" outlineLevel="1" x14ac:dyDescent="0.25">
      <c r="B52" s="24" t="s">
        <v>22</v>
      </c>
      <c r="C52" s="24" t="e">
        <f ca="1">_xll.VIEW(db_name&amp;":sys_application","!","!")</f>
        <v>#NAME?</v>
      </c>
      <c r="L52" s="1"/>
      <c r="Q52" s="11" t="s">
        <v>56</v>
      </c>
      <c r="R52" s="11"/>
      <c r="S52" s="11"/>
      <c r="T52" s="2"/>
      <c r="U52" s="2" t="s">
        <v>43</v>
      </c>
      <c r="V52" s="2" t="s">
        <v>44</v>
      </c>
      <c r="W52" s="2" t="s">
        <v>45</v>
      </c>
      <c r="X52" s="2" t="s">
        <v>46</v>
      </c>
      <c r="Y52" s="2" t="s">
        <v>47</v>
      </c>
      <c r="Z52" s="2" t="s">
        <v>48</v>
      </c>
      <c r="AA52" s="2" t="s">
        <v>49</v>
      </c>
      <c r="AB52" s="2" t="s">
        <v>50</v>
      </c>
      <c r="AC52" s="2" t="s">
        <v>51</v>
      </c>
      <c r="AD52" s="2" t="s">
        <v>52</v>
      </c>
      <c r="AE52" s="2" t="s">
        <v>53</v>
      </c>
      <c r="AF52" s="2" t="s">
        <v>54</v>
      </c>
      <c r="AG52" s="2"/>
    </row>
    <row r="53" spans="2:33" hidden="1" outlineLevel="1" x14ac:dyDescent="0.25">
      <c r="B53" s="2"/>
      <c r="C53" s="25" t="s">
        <v>72</v>
      </c>
      <c r="D53" s="25" t="s">
        <v>73</v>
      </c>
      <c r="E53" s="25" t="s">
        <v>74</v>
      </c>
      <c r="F53" s="25" t="s">
        <v>75</v>
      </c>
      <c r="G53" s="25" t="s">
        <v>76</v>
      </c>
      <c r="H53" s="25" t="s">
        <v>77</v>
      </c>
      <c r="L53" s="1"/>
      <c r="Q53" s="11" t="s">
        <v>57</v>
      </c>
      <c r="R53" s="11"/>
      <c r="S53" s="11"/>
      <c r="T53" s="2"/>
      <c r="U53" s="2" t="str">
        <f>U52&amp; " YTD"</f>
        <v>Jul YTD</v>
      </c>
      <c r="V53" s="2" t="str">
        <f>V52&amp; " YTD"</f>
        <v>Aug YTD</v>
      </c>
      <c r="W53" s="2" t="str">
        <f t="shared" ref="W53:AF53" si="1">W52&amp; " YTD"</f>
        <v>Sep YTD</v>
      </c>
      <c r="X53" s="2" t="str">
        <f t="shared" si="1"/>
        <v>Oct YTD</v>
      </c>
      <c r="Y53" s="2" t="str">
        <f t="shared" si="1"/>
        <v>Nov YTD</v>
      </c>
      <c r="Z53" s="2" t="str">
        <f t="shared" si="1"/>
        <v>Dec YTD</v>
      </c>
      <c r="AA53" s="2" t="str">
        <f t="shared" si="1"/>
        <v>Jan YTD</v>
      </c>
      <c r="AB53" s="2" t="str">
        <f t="shared" si="1"/>
        <v>Feb YTD</v>
      </c>
      <c r="AC53" s="2" t="str">
        <f t="shared" si="1"/>
        <v>Mar YTD</v>
      </c>
      <c r="AD53" s="2" t="str">
        <f t="shared" si="1"/>
        <v>Apr YTD</v>
      </c>
      <c r="AE53" s="2" t="str">
        <f t="shared" si="1"/>
        <v>May YTD</v>
      </c>
      <c r="AF53" s="2" t="str">
        <f t="shared" si="1"/>
        <v>Jun YTD</v>
      </c>
      <c r="AG53" s="2"/>
    </row>
    <row r="54" spans="2:33" hidden="1" outlineLevel="1" x14ac:dyDescent="0.25">
      <c r="B54" s="2" t="s">
        <v>78</v>
      </c>
      <c r="C54" s="2" t="e">
        <f ca="1">_xll.DBR($C$52,$B54,C$53)</f>
        <v>#NAME?</v>
      </c>
      <c r="D54" s="2" t="e">
        <f ca="1">_xll.DBR($C$52,$B54,D$53)</f>
        <v>#NAME?</v>
      </c>
      <c r="E54" s="2" t="e">
        <f ca="1">_xll.DBR($C$52,$B54,E$53)</f>
        <v>#NAME?</v>
      </c>
      <c r="F54" s="2" t="e">
        <f ca="1">_xll.DBR($C$52,$B54,F$53)</f>
        <v>#NAME?</v>
      </c>
      <c r="G54" s="2" t="e">
        <f ca="1">_xll.DBR($C$52,$B54,G$53)</f>
        <v>#NAME?</v>
      </c>
      <c r="H54" s="2" t="e">
        <f ca="1">_xll.DBR($C$52,$B54,H$53)</f>
        <v>#NAME?</v>
      </c>
      <c r="L54" s="1"/>
      <c r="Q54" s="11" t="s">
        <v>140</v>
      </c>
      <c r="R54" s="11"/>
      <c r="S54" s="11"/>
      <c r="T54" s="2"/>
      <c r="U54" s="35" t="e">
        <f ca="1">_xll.DBR($F$19,U$50,$Q54)</f>
        <v>#NAME?</v>
      </c>
      <c r="V54" s="35" t="e">
        <f ca="1">_xll.DBR($F$19,V$50,$Q54)</f>
        <v>#NAME?</v>
      </c>
      <c r="W54" s="35" t="e">
        <f ca="1">_xll.DBR($F$19,W$50,$Q54)</f>
        <v>#NAME?</v>
      </c>
      <c r="X54" s="35" t="e">
        <f ca="1">_xll.DBR($F$19,X$50,$Q54)</f>
        <v>#NAME?</v>
      </c>
      <c r="Y54" s="35" t="e">
        <f ca="1">_xll.DBR($F$19,Y$50,$Q54)</f>
        <v>#NAME?</v>
      </c>
      <c r="Z54" s="35" t="e">
        <f ca="1">_xll.DBR($F$19,Z$50,$Q54)</f>
        <v>#NAME?</v>
      </c>
      <c r="AA54" s="35" t="e">
        <f ca="1">_xll.DBR($F$19,AA$50,$Q54)</f>
        <v>#NAME?</v>
      </c>
      <c r="AB54" s="35" t="e">
        <f ca="1">_xll.DBR($F$19,AB$50,$Q54)</f>
        <v>#NAME?</v>
      </c>
      <c r="AC54" s="35" t="e">
        <f ca="1">_xll.DBR($F$19,AC$50,$Q54)</f>
        <v>#NAME?</v>
      </c>
      <c r="AD54" s="35" t="e">
        <f ca="1">_xll.DBR($F$19,AD$50,$Q54)</f>
        <v>#NAME?</v>
      </c>
      <c r="AE54" s="35" t="e">
        <f ca="1">_xll.DBR($F$19,AE$50,$Q54)</f>
        <v>#NAME?</v>
      </c>
      <c r="AF54" s="35" t="e">
        <f ca="1">_xll.DBR($F$19,AF$50,$Q54)</f>
        <v>#NAME?</v>
      </c>
    </row>
    <row r="55" spans="2:33" hidden="1" outlineLevel="1" x14ac:dyDescent="0.25">
      <c r="B55" s="2" t="s">
        <v>79</v>
      </c>
      <c r="C55" s="2" t="e">
        <f ca="1">_xll.DBR($C$52,$B55,C$53)</f>
        <v>#NAME?</v>
      </c>
      <c r="D55" s="2" t="e">
        <f ca="1">_xll.DBR($C$52,$B55,D$53)</f>
        <v>#NAME?</v>
      </c>
      <c r="E55" s="2" t="e">
        <f ca="1">_xll.DBR($C$52,$B55,E$53)</f>
        <v>#NAME?</v>
      </c>
      <c r="F55" s="2" t="e">
        <f ca="1">_xll.DBR($C$52,$B55,F$53)</f>
        <v>#NAME?</v>
      </c>
      <c r="G55" s="2" t="e">
        <f ca="1">_xll.DBR($C$52,$B55,G$53)</f>
        <v>#NAME?</v>
      </c>
      <c r="H55" s="2" t="e">
        <f ca="1">_xll.DBR($C$52,$B55,H$53)</f>
        <v>#NAME?</v>
      </c>
      <c r="L55" s="1"/>
      <c r="Q55" s="11" t="s">
        <v>144</v>
      </c>
      <c r="R55" s="11"/>
      <c r="S55" s="11"/>
      <c r="T55" s="2"/>
      <c r="U55" s="2" t="e">
        <f ca="1">_xll.DIMIX(db_name&amp;":period",U$52)</f>
        <v>#NAME?</v>
      </c>
      <c r="V55" s="2" t="e">
        <f ca="1">_xll.DIMIX(db_name&amp;":period",V$52)</f>
        <v>#NAME?</v>
      </c>
      <c r="W55" s="2" t="e">
        <f ca="1">_xll.DIMIX(db_name&amp;":period",W$52)</f>
        <v>#NAME?</v>
      </c>
      <c r="X55" s="2" t="e">
        <f ca="1">_xll.DIMIX(db_name&amp;":period",X$52)</f>
        <v>#NAME?</v>
      </c>
      <c r="Y55" s="2" t="e">
        <f ca="1">_xll.DIMIX(db_name&amp;":period",Y$52)</f>
        <v>#NAME?</v>
      </c>
      <c r="Z55" s="2" t="e">
        <f ca="1">_xll.DIMIX(db_name&amp;":period",Z$52)</f>
        <v>#NAME?</v>
      </c>
      <c r="AA55" s="2" t="e">
        <f ca="1">_xll.DIMIX(db_name&amp;":period",AA$52)</f>
        <v>#NAME?</v>
      </c>
      <c r="AB55" s="2" t="e">
        <f ca="1">_xll.DIMIX(db_name&amp;":period",AB$52)</f>
        <v>#NAME?</v>
      </c>
      <c r="AC55" s="2" t="e">
        <f ca="1">_xll.DIMIX(db_name&amp;":period",AC$52)</f>
        <v>#NAME?</v>
      </c>
      <c r="AD55" s="2" t="e">
        <f ca="1">_xll.DIMIX(db_name&amp;":period",AD$52)</f>
        <v>#NAME?</v>
      </c>
      <c r="AE55" s="2" t="e">
        <f ca="1">_xll.DIMIX(db_name&amp;":period",AE$52)</f>
        <v>#NAME?</v>
      </c>
      <c r="AF55" s="2" t="e">
        <f ca="1">_xll.DIMIX(db_name&amp;":period",AF$52)</f>
        <v>#NAME?</v>
      </c>
      <c r="AG55" s="2"/>
    </row>
    <row r="56" spans="2:33" hidden="1" outlineLevel="1" x14ac:dyDescent="0.25">
      <c r="B56" s="2" t="s">
        <v>80</v>
      </c>
      <c r="C56" s="2" t="e">
        <f ca="1">_xll.DBR($C$52,$B56,C$53)</f>
        <v>#NAME?</v>
      </c>
      <c r="D56" s="2" t="e">
        <f ca="1">_xll.DBR($C$52,$B56,D$53)</f>
        <v>#NAME?</v>
      </c>
      <c r="E56" s="2" t="e">
        <f ca="1">_xll.DBR($C$52,$B56,E$53)</f>
        <v>#NAME?</v>
      </c>
      <c r="F56" s="2" t="e">
        <f ca="1">_xll.DBR($C$52,$B56,F$53)</f>
        <v>#NAME?</v>
      </c>
      <c r="G56" s="2" t="e">
        <f ca="1">_xll.DBR($C$52,$B56,G$53)</f>
        <v>#NAME?</v>
      </c>
      <c r="H56" s="2" t="e">
        <f ca="1">_xll.DBR($C$52,$B56,H$53)</f>
        <v>#NAME?</v>
      </c>
      <c r="L56" s="1"/>
      <c r="Q56" s="11" t="s">
        <v>145</v>
      </c>
      <c r="R56" s="11"/>
      <c r="S56" s="11"/>
      <c r="T56" s="2"/>
      <c r="U56" s="2" t="e">
        <f ca="1">IF(U$55&lt;=$C$26,"Y","")</f>
        <v>#NAME?</v>
      </c>
      <c r="V56" s="2" t="e">
        <f t="shared" ref="V56:AF56" ca="1" si="2">IF(V$55&lt;=$C$26,"Y","")</f>
        <v>#NAME?</v>
      </c>
      <c r="W56" s="2" t="e">
        <f t="shared" ca="1" si="2"/>
        <v>#NAME?</v>
      </c>
      <c r="X56" s="2" t="e">
        <f t="shared" ca="1" si="2"/>
        <v>#NAME?</v>
      </c>
      <c r="Y56" s="2" t="e">
        <f t="shared" ca="1" si="2"/>
        <v>#NAME?</v>
      </c>
      <c r="Z56" s="2" t="e">
        <f t="shared" ca="1" si="2"/>
        <v>#NAME?</v>
      </c>
      <c r="AA56" s="2" t="e">
        <f t="shared" ca="1" si="2"/>
        <v>#NAME?</v>
      </c>
      <c r="AB56" s="2" t="e">
        <f t="shared" ca="1" si="2"/>
        <v>#NAME?</v>
      </c>
      <c r="AC56" s="2" t="e">
        <f t="shared" ca="1" si="2"/>
        <v>#NAME?</v>
      </c>
      <c r="AD56" s="2" t="e">
        <f t="shared" ca="1" si="2"/>
        <v>#NAME?</v>
      </c>
      <c r="AE56" s="2" t="e">
        <f t="shared" ca="1" si="2"/>
        <v>#NAME?</v>
      </c>
      <c r="AF56" s="2" t="e">
        <f t="shared" ca="1" si="2"/>
        <v>#NAME?</v>
      </c>
      <c r="AG56" s="2"/>
    </row>
    <row r="57" spans="2:33" hidden="1" outlineLevel="1" x14ac:dyDescent="0.25">
      <c r="B57" s="2" t="s">
        <v>81</v>
      </c>
      <c r="C57" s="2" t="e">
        <f ca="1">_xll.DBR($C$52,$B57,C$53)</f>
        <v>#NAME?</v>
      </c>
      <c r="D57" s="2" t="e">
        <f ca="1">_xll.DBR($C$52,$B57,D$53)</f>
        <v>#NAME?</v>
      </c>
      <c r="E57" s="2" t="e">
        <f ca="1">_xll.DBR($C$52,$B57,E$53)</f>
        <v>#NAME?</v>
      </c>
      <c r="F57" s="2" t="e">
        <f ca="1">_xll.DBR($C$52,$B57,F$53)</f>
        <v>#NAME?</v>
      </c>
      <c r="G57" s="2" t="e">
        <f ca="1">_xll.DBR($C$52,$B57,G$53)</f>
        <v>#NAME?</v>
      </c>
      <c r="H57" s="2" t="e">
        <f ca="1">_xll.DBR($C$52,$B57,H$53)</f>
        <v>#NAME?</v>
      </c>
      <c r="L57" s="1"/>
    </row>
    <row r="58" spans="2:33" hidden="1" outlineLevel="1" x14ac:dyDescent="0.25">
      <c r="B58" s="2" t="s">
        <v>82</v>
      </c>
      <c r="C58" s="2" t="e">
        <f ca="1">_xll.DBR($C$52,$B58,C$53)</f>
        <v>#NAME?</v>
      </c>
      <c r="D58" s="2" t="e">
        <f ca="1">_xll.DBR($C$52,$B58,D$53)</f>
        <v>#NAME?</v>
      </c>
      <c r="E58" s="2" t="e">
        <f ca="1">_xll.DBR($C$52,$B58,E$53)</f>
        <v>#NAME?</v>
      </c>
      <c r="F58" s="2" t="e">
        <f ca="1">_xll.DBR($C$52,$B58,F$53)</f>
        <v>#NAME?</v>
      </c>
      <c r="G58" s="2" t="e">
        <f ca="1">_xll.DBR($C$52,$B58,G$53)</f>
        <v>#NAME?</v>
      </c>
      <c r="H58" s="2" t="e">
        <f ca="1">_xll.DBR($C$52,$B58,H$53)</f>
        <v>#NAME?</v>
      </c>
      <c r="L58" s="1"/>
    </row>
    <row r="59" spans="2:33" hidden="1" outlineLevel="1" x14ac:dyDescent="0.25">
      <c r="B59" s="2" t="s">
        <v>83</v>
      </c>
      <c r="C59" s="2" t="e">
        <f ca="1">_xll.DBR($C$52,$B59,C$53)</f>
        <v>#NAME?</v>
      </c>
      <c r="D59" s="2" t="e">
        <f ca="1">_xll.DBR($C$52,$B59,D$53)</f>
        <v>#NAME?</v>
      </c>
      <c r="E59" s="2" t="e">
        <f ca="1">_xll.DBR($C$52,$B59,E$53)</f>
        <v>#NAME?</v>
      </c>
      <c r="F59" s="2" t="e">
        <f ca="1">_xll.DBR($C$52,$B59,F$53)</f>
        <v>#NAME?</v>
      </c>
      <c r="G59" s="2" t="e">
        <f ca="1">_xll.DBR($C$52,$B59,G$53)</f>
        <v>#NAME?</v>
      </c>
      <c r="H59" s="2" t="e">
        <f ca="1">_xll.DBR($C$52,$B59,H$53)</f>
        <v>#NAME?</v>
      </c>
      <c r="L59" s="1"/>
    </row>
    <row r="60" spans="2:33" hidden="1" outlineLevel="1" x14ac:dyDescent="0.25">
      <c r="B60" s="2" t="s">
        <v>84</v>
      </c>
      <c r="C60" s="2" t="e">
        <f ca="1">_xll.DBR($C$52,$B60,C$53)</f>
        <v>#NAME?</v>
      </c>
      <c r="D60" s="2" t="e">
        <f ca="1">_xll.DBR($C$52,$B60,D$53)</f>
        <v>#NAME?</v>
      </c>
      <c r="E60" s="2" t="e">
        <f ca="1">_xll.DBR($C$52,$B60,E$53)</f>
        <v>#NAME?</v>
      </c>
      <c r="F60" s="2" t="e">
        <f ca="1">_xll.DBR($C$52,$B60,F$53)</f>
        <v>#NAME?</v>
      </c>
      <c r="G60" s="2" t="e">
        <f ca="1">_xll.DBR($C$52,$B60,G$53)</f>
        <v>#NAME?</v>
      </c>
      <c r="H60" s="2" t="e">
        <f ca="1">_xll.DBR($C$52,$B60,H$53)</f>
        <v>#NAME?</v>
      </c>
      <c r="L60" s="1"/>
    </row>
    <row r="61" spans="2:33" hidden="1" outlineLevel="1" x14ac:dyDescent="0.25">
      <c r="B61" s="2" t="s">
        <v>133</v>
      </c>
      <c r="C61" s="2" t="e">
        <f ca="1">_xll.DBR($C$52,$B61,C$53)</f>
        <v>#NAME?</v>
      </c>
      <c r="D61" s="2" t="e">
        <f ca="1">_xll.DBR($C$52,$B61,D$53)</f>
        <v>#NAME?</v>
      </c>
      <c r="E61" s="2" t="e">
        <f ca="1">_xll.DBR($C$52,$B61,E$53)</f>
        <v>#NAME?</v>
      </c>
      <c r="F61" s="2" t="e">
        <f ca="1">_xll.DBR($C$52,$B61,F$53)</f>
        <v>#NAME?</v>
      </c>
      <c r="G61" s="2" t="e">
        <f ca="1">_xll.DBR($C$52,$B61,G$53)</f>
        <v>#NAME?</v>
      </c>
      <c r="H61" s="2" t="e">
        <f ca="1">_xll.DBR($C$52,$B61,H$53)</f>
        <v>#NAME?</v>
      </c>
      <c r="L61" s="1"/>
    </row>
    <row r="62" spans="2:33" hidden="1" outlineLevel="1" x14ac:dyDescent="0.25">
      <c r="B62" s="2" t="s">
        <v>134</v>
      </c>
      <c r="C62" s="2" t="e">
        <f ca="1">_xll.DBR($C$52,$B62,C$53)</f>
        <v>#NAME?</v>
      </c>
      <c r="D62" s="2" t="e">
        <f ca="1">_xll.DBR($C$52,$B62,D$53)</f>
        <v>#NAME?</v>
      </c>
      <c r="E62" s="2" t="e">
        <f ca="1">_xll.DBR($C$52,$B62,E$53)</f>
        <v>#NAME?</v>
      </c>
      <c r="F62" s="2" t="e">
        <f ca="1">_xll.DBR($C$52,$B62,F$53)</f>
        <v>#NAME?</v>
      </c>
      <c r="G62" s="2" t="e">
        <f ca="1">_xll.DBR($C$52,$B62,G$53)</f>
        <v>#NAME?</v>
      </c>
      <c r="H62" s="2" t="e">
        <f ca="1">_xll.DBR($C$52,$B62,H$53)</f>
        <v>#NAME?</v>
      </c>
      <c r="L62" s="1"/>
    </row>
    <row r="63" spans="2:33" hidden="1" outlineLevel="1" x14ac:dyDescent="0.25">
      <c r="L63" s="1"/>
    </row>
    <row r="64" spans="2:33" hidden="1" outlineLevel="1" x14ac:dyDescent="0.25">
      <c r="L64" s="1"/>
    </row>
    <row r="65" spans="2:34" ht="34.5" customHeight="1" collapsed="1" x14ac:dyDescent="0.25">
      <c r="K65" s="4"/>
      <c r="L65" s="4"/>
      <c r="M65" s="4"/>
      <c r="N65" s="4"/>
      <c r="O65" s="4"/>
      <c r="P65" s="4"/>
      <c r="Q65" s="22" t="s">
        <v>97</v>
      </c>
      <c r="R65" s="22"/>
      <c r="S65" s="31"/>
      <c r="T65" s="22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2:34" ht="5.0999999999999996" customHeight="1" x14ac:dyDescent="0.25">
      <c r="L66" s="1"/>
    </row>
    <row r="67" spans="2:34" ht="24.75" customHeight="1" x14ac:dyDescent="0.25">
      <c r="L67" s="1"/>
    </row>
    <row r="68" spans="2:34" ht="1.5" customHeight="1" x14ac:dyDescent="0.25">
      <c r="K68" s="26"/>
      <c r="L68" s="26"/>
      <c r="M68" s="26"/>
      <c r="N68" s="26"/>
      <c r="O68" s="26"/>
      <c r="P68" s="26"/>
      <c r="Q68" s="26"/>
      <c r="R68" s="26"/>
      <c r="S68" s="32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</row>
    <row r="69" spans="2:34" ht="5.0999999999999996" customHeight="1" x14ac:dyDescent="0.25">
      <c r="L69" s="1"/>
    </row>
    <row r="70" spans="2:34" x14ac:dyDescent="0.25">
      <c r="L70" s="39" t="s">
        <v>150</v>
      </c>
    </row>
    <row r="71" spans="2:34" ht="4.5" customHeight="1" x14ac:dyDescent="0.25">
      <c r="L71" s="1"/>
    </row>
    <row r="72" spans="2:34" ht="30" x14ac:dyDescent="0.25">
      <c r="L72" s="1"/>
      <c r="M72" s="23" t="s">
        <v>63</v>
      </c>
      <c r="O72" s="23" t="s">
        <v>64</v>
      </c>
      <c r="T72" s="7" t="s">
        <v>55</v>
      </c>
      <c r="U72" s="7" t="e">
        <f t="shared" ref="U72:AF72" ca="1" si="3">U$50</f>
        <v>#NAME?</v>
      </c>
      <c r="V72" s="7" t="e">
        <f t="shared" ca="1" si="3"/>
        <v>#NAME?</v>
      </c>
      <c r="W72" s="7" t="e">
        <f t="shared" ca="1" si="3"/>
        <v>#NAME?</v>
      </c>
      <c r="X72" s="7" t="e">
        <f t="shared" ca="1" si="3"/>
        <v>#NAME?</v>
      </c>
      <c r="Y72" s="7" t="e">
        <f t="shared" ca="1" si="3"/>
        <v>#NAME?</v>
      </c>
      <c r="Z72" s="7" t="e">
        <f t="shared" ca="1" si="3"/>
        <v>#NAME?</v>
      </c>
      <c r="AA72" s="7" t="e">
        <f t="shared" ca="1" si="3"/>
        <v>#NAME?</v>
      </c>
      <c r="AB72" s="7" t="e">
        <f t="shared" ca="1" si="3"/>
        <v>#NAME?</v>
      </c>
      <c r="AC72" s="7" t="e">
        <f t="shared" ca="1" si="3"/>
        <v>#NAME?</v>
      </c>
      <c r="AD72" s="7" t="e">
        <f t="shared" ca="1" si="3"/>
        <v>#NAME?</v>
      </c>
      <c r="AE72" s="7" t="e">
        <f t="shared" ca="1" si="3"/>
        <v>#NAME?</v>
      </c>
      <c r="AF72" s="7" t="e">
        <f t="shared" ca="1" si="3"/>
        <v>#NAME?</v>
      </c>
    </row>
    <row r="73" spans="2:34" x14ac:dyDescent="0.25">
      <c r="B73" t="e">
        <f t="shared" ref="B73:B78" ca="1" si="4">$M$75</f>
        <v>#NAME?</v>
      </c>
      <c r="C73" t="s">
        <v>3</v>
      </c>
      <c r="D73" s="6" t="s">
        <v>117</v>
      </c>
      <c r="E73" t="s">
        <v>4</v>
      </c>
      <c r="F73" t="s">
        <v>5</v>
      </c>
      <c r="G73" t="s">
        <v>6</v>
      </c>
      <c r="H73" t="s">
        <v>7</v>
      </c>
      <c r="L73" s="21" t="s">
        <v>61</v>
      </c>
      <c r="M73" s="29" t="e">
        <f ca="1">_xll.SUBNM(db_name&amp;":headline year","",$C$22)</f>
        <v>#NAME?</v>
      </c>
      <c r="N73" s="21" t="s">
        <v>65</v>
      </c>
      <c r="O73" s="29" t="e">
        <f ca="1">_xll.SUBNM(db_name&amp;":sys_ME display","","Month To Date")</f>
        <v>#NAME?</v>
      </c>
      <c r="S73" s="21" t="s">
        <v>126</v>
      </c>
      <c r="T73" s="15" t="e">
        <f ca="1">_xll.DBRW($C$34,$M$73,$M$74,$F73,$H73,$E73,$B73,$C73,$D73,T$49,$G73,T$50,$C$46)</f>
        <v>#NAME?</v>
      </c>
      <c r="U73" s="15" t="e">
        <f ca="1">_xll.DBRW($C$34,$M$73,$M$74,$F73,$H73,$E73,$B73,$C73,$D73,U$49,$G73,U$50,$C$46)</f>
        <v>#NAME?</v>
      </c>
      <c r="V73" s="15" t="e">
        <f ca="1">_xll.DBRW($C$34,$M$73,$M$74,$F73,$H73,$E73,$B73,$C73,$D73,V$49,$G73,V$50,$C$46)</f>
        <v>#NAME?</v>
      </c>
      <c r="W73" s="15" t="e">
        <f ca="1">_xll.DBRW($C$34,$M$73,$M$74,$F73,$H73,$E73,$B73,$C73,$D73,W$49,$G73,W$50,$C$46)</f>
        <v>#NAME?</v>
      </c>
      <c r="X73" s="15" t="e">
        <f ca="1">_xll.DBRW($C$34,$M$73,$M$74,$F73,$H73,$E73,$B73,$C73,$D73,X$49,$G73,X$50,$C$46)</f>
        <v>#NAME?</v>
      </c>
      <c r="Y73" s="15" t="e">
        <f ca="1">_xll.DBRW($C$34,$M$73,$M$74,$F73,$H73,$E73,$B73,$C73,$D73,Y$49,$G73,Y$50,$C$46)</f>
        <v>#NAME?</v>
      </c>
      <c r="Z73" s="15" t="e">
        <f ca="1">_xll.DBRW($C$34,$M$73,$M$74,$F73,$H73,$E73,$B73,$C73,$D73,Z$49,$G73,Z$50,$C$46)</f>
        <v>#NAME?</v>
      </c>
      <c r="AA73" s="15" t="e">
        <f ca="1">_xll.DBRW($C$34,$M$73,$M$74,$F73,$H73,$E73,$B73,$C73,$D73,AA$49,$G73,AA$50,$C$46)</f>
        <v>#NAME?</v>
      </c>
      <c r="AB73" s="15" t="e">
        <f ca="1">_xll.DBRW($C$34,$M$73,$M$74,$F73,$H73,$E73,$B73,$C73,$D73,AB$49,$G73,AB$50,$C$46)</f>
        <v>#NAME?</v>
      </c>
      <c r="AC73" s="15" t="e">
        <f ca="1">_xll.DBRW($C$34,$M$73,$M$74,$F73,$H73,$E73,$B73,$C73,$D73,AC$49,$G73,AC$50,$C$46)</f>
        <v>#NAME?</v>
      </c>
      <c r="AD73" s="15" t="e">
        <f ca="1">_xll.DBRW($C$34,$M$73,$M$74,$F73,$H73,$E73,$B73,$C73,$D73,AD$49,$G73,AD$50,$C$46)</f>
        <v>#NAME?</v>
      </c>
      <c r="AE73" s="15" t="e">
        <f ca="1">_xll.DBRW($C$34,$M$73,$M$74,$F73,$H73,$E73,$B73,$C73,$D73,AE$49,$G73,AE$50,$C$46)</f>
        <v>#NAME?</v>
      </c>
      <c r="AF73" s="15" t="e">
        <f ca="1">_xll.DBRW($C$34,$M$73,$M$74,$F73,$H73,$E73,$B73,$C73,$D73,AF$49,$G73,AF$50,$C$46)</f>
        <v>#NAME?</v>
      </c>
    </row>
    <row r="74" spans="2:34" x14ac:dyDescent="0.25">
      <c r="B74" t="e">
        <f t="shared" ca="1" si="4"/>
        <v>#NAME?</v>
      </c>
      <c r="C74" t="s">
        <v>3</v>
      </c>
      <c r="D74" s="6" t="s">
        <v>116</v>
      </c>
      <c r="E74" t="s">
        <v>4</v>
      </c>
      <c r="F74" t="s">
        <v>5</v>
      </c>
      <c r="G74" t="s">
        <v>6</v>
      </c>
      <c r="H74" t="s">
        <v>7</v>
      </c>
      <c r="L74" s="21" t="s">
        <v>62</v>
      </c>
      <c r="M74" s="29" t="e">
        <f ca="1">_xll.SUBNM(db_name&amp;":scenario","","current")</f>
        <v>#NAME?</v>
      </c>
      <c r="S74" s="21" t="s">
        <v>127</v>
      </c>
      <c r="T74" s="15" t="e">
        <f ca="1">_xll.DBRW($C$34,$M$73,$M$74,$F74,$H74,$E74,$B74,$C74,$D74,T$49,$G74,T$50,$C$46)</f>
        <v>#NAME?</v>
      </c>
      <c r="U74" s="15" t="e">
        <f ca="1">_xll.DBRW($C$34,$M$73,$M$74,$F74,$H74,$E74,$B74,$C74,$D74,U$49,$G74,U$50,$C$46)</f>
        <v>#NAME?</v>
      </c>
      <c r="V74" s="15" t="e">
        <f ca="1">_xll.DBRW($C$34,$M$73,$M$74,$F74,$H74,$E74,$B74,$C74,$D74,V$49,$G74,V$50,$C$46)</f>
        <v>#NAME?</v>
      </c>
      <c r="W74" s="15" t="e">
        <f ca="1">_xll.DBRW($C$34,$M$73,$M$74,$F74,$H74,$E74,$B74,$C74,$D74,W$49,$G74,W$50,$C$46)</f>
        <v>#NAME?</v>
      </c>
      <c r="X74" s="15" t="e">
        <f ca="1">_xll.DBRW($C$34,$M$73,$M$74,$F74,$H74,$E74,$B74,$C74,$D74,X$49,$G74,X$50,$C$46)</f>
        <v>#NAME?</v>
      </c>
      <c r="Y74" s="15" t="e">
        <f ca="1">_xll.DBRW($C$34,$M$73,$M$74,$F74,$H74,$E74,$B74,$C74,$D74,Y$49,$G74,Y$50,$C$46)</f>
        <v>#NAME?</v>
      </c>
      <c r="Z74" s="15" t="e">
        <f ca="1">_xll.DBRW($C$34,$M$73,$M$74,$F74,$H74,$E74,$B74,$C74,$D74,Z$49,$G74,Z$50,$C$46)</f>
        <v>#NAME?</v>
      </c>
      <c r="AA74" s="15" t="e">
        <f ca="1">_xll.DBRW($C$34,$M$73,$M$74,$F74,$H74,$E74,$B74,$C74,$D74,AA$49,$G74,AA$50,$C$46)</f>
        <v>#NAME?</v>
      </c>
      <c r="AB74" s="15" t="e">
        <f ca="1">_xll.DBRW($C$34,$M$73,$M$74,$F74,$H74,$E74,$B74,$C74,$D74,AB$49,$G74,AB$50,$C$46)</f>
        <v>#NAME?</v>
      </c>
      <c r="AC74" s="15" t="e">
        <f ca="1">_xll.DBRW($C$34,$M$73,$M$74,$F74,$H74,$E74,$B74,$C74,$D74,AC$49,$G74,AC$50,$C$46)</f>
        <v>#NAME?</v>
      </c>
      <c r="AD74" s="15" t="e">
        <f ca="1">_xll.DBRW($C$34,$M$73,$M$74,$F74,$H74,$E74,$B74,$C74,$D74,AD$49,$G74,AD$50,$C$46)</f>
        <v>#NAME?</v>
      </c>
      <c r="AE74" s="15" t="e">
        <f ca="1">_xll.DBRW($C$34,$M$73,$M$74,$F74,$H74,$E74,$B74,$C74,$D74,AE$49,$G74,AE$50,$C$46)</f>
        <v>#NAME?</v>
      </c>
      <c r="AF74" s="15" t="e">
        <f ca="1">_xll.DBRW($C$34,$M$73,$M$74,$F74,$H74,$E74,$B74,$C74,$D74,AF$49,$G74,AF$50,$C$46)</f>
        <v>#NAME?</v>
      </c>
    </row>
    <row r="75" spans="2:34" x14ac:dyDescent="0.25">
      <c r="B75" t="e">
        <f t="shared" ca="1" si="4"/>
        <v>#NAME?</v>
      </c>
      <c r="C75" t="s">
        <v>3</v>
      </c>
      <c r="D75" s="6" t="s">
        <v>118</v>
      </c>
      <c r="E75" t="s">
        <v>4</v>
      </c>
      <c r="F75" t="s">
        <v>5</v>
      </c>
      <c r="G75" t="s">
        <v>6</v>
      </c>
      <c r="H75" t="s">
        <v>7</v>
      </c>
      <c r="L75" s="21" t="s">
        <v>132</v>
      </c>
      <c r="M75" s="29" t="e">
        <f ca="1">_xll.SUBNM(db_name&amp;":programme","sys_ME programs","Administered Programmes","code and description")</f>
        <v>#NAME?</v>
      </c>
      <c r="N75" s="21" t="s">
        <v>149</v>
      </c>
      <c r="O75" s="29" t="e">
        <f ca="1">_xll.SUBNM(db_name&amp;":sys_report display","","Expand")</f>
        <v>#NAME?</v>
      </c>
      <c r="S75" s="21" t="s">
        <v>128</v>
      </c>
      <c r="T75" s="15" t="e">
        <f ca="1">_xll.DBRW($C$34,$M$73,$M$74,$F75,$H75,$E75,$B75,$C75,$D75,T$49,$G75,T$50,$C$46)</f>
        <v>#NAME?</v>
      </c>
      <c r="U75" s="15" t="e">
        <f ca="1">_xll.DBRW($C$34,$M$73,$M$74,$F75,$H75,$E75,$B75,$C75,$D75,U$49,$G75,U$50,$C$46)</f>
        <v>#NAME?</v>
      </c>
      <c r="V75" s="15" t="e">
        <f ca="1">_xll.DBRW($C$34,$M$73,$M$74,$F75,$H75,$E75,$B75,$C75,$D75,V$49,$G75,V$50,$C$46)</f>
        <v>#NAME?</v>
      </c>
      <c r="W75" s="15" t="e">
        <f ca="1">_xll.DBRW($C$34,$M$73,$M$74,$F75,$H75,$E75,$B75,$C75,$D75,W$49,$G75,W$50,$C$46)</f>
        <v>#NAME?</v>
      </c>
      <c r="X75" s="15" t="e">
        <f ca="1">_xll.DBRW($C$34,$M$73,$M$74,$F75,$H75,$E75,$B75,$C75,$D75,X$49,$G75,X$50,$C$46)</f>
        <v>#NAME?</v>
      </c>
      <c r="Y75" s="15" t="e">
        <f ca="1">_xll.DBRW($C$34,$M$73,$M$74,$F75,$H75,$E75,$B75,$C75,$D75,Y$49,$G75,Y$50,$C$46)</f>
        <v>#NAME?</v>
      </c>
      <c r="Z75" s="15" t="e">
        <f ca="1">_xll.DBRW($C$34,$M$73,$M$74,$F75,$H75,$E75,$B75,$C75,$D75,Z$49,$G75,Z$50,$C$46)</f>
        <v>#NAME?</v>
      </c>
      <c r="AA75" s="15" t="e">
        <f ca="1">_xll.DBRW($C$34,$M$73,$M$74,$F75,$H75,$E75,$B75,$C75,$D75,AA$49,$G75,AA$50,$C$46)</f>
        <v>#NAME?</v>
      </c>
      <c r="AB75" s="15" t="e">
        <f ca="1">_xll.DBRW($C$34,$M$73,$M$74,$F75,$H75,$E75,$B75,$C75,$D75,AB$49,$G75,AB$50,$C$46)</f>
        <v>#NAME?</v>
      </c>
      <c r="AC75" s="15" t="e">
        <f ca="1">_xll.DBRW($C$34,$M$73,$M$74,$F75,$H75,$E75,$B75,$C75,$D75,AC$49,$G75,AC$50,$C$46)</f>
        <v>#NAME?</v>
      </c>
      <c r="AD75" s="15" t="e">
        <f ca="1">_xll.DBRW($C$34,$M$73,$M$74,$F75,$H75,$E75,$B75,$C75,$D75,AD$49,$G75,AD$50,$C$46)</f>
        <v>#NAME?</v>
      </c>
      <c r="AE75" s="15" t="e">
        <f ca="1">_xll.DBRW($C$34,$M$73,$M$74,$F75,$H75,$E75,$B75,$C75,$D75,AE$49,$G75,AE$50,$C$46)</f>
        <v>#NAME?</v>
      </c>
      <c r="AF75" s="15" t="e">
        <f ca="1">_xll.DBRW($C$34,$M$73,$M$74,$F75,$H75,$E75,$B75,$C75,$D75,AF$49,$G75,AF$50,$C$46)</f>
        <v>#NAME?</v>
      </c>
    </row>
    <row r="76" spans="2:34" x14ac:dyDescent="0.25">
      <c r="B76" t="e">
        <f t="shared" ca="1" si="4"/>
        <v>#NAME?</v>
      </c>
      <c r="C76" t="s">
        <v>3</v>
      </c>
      <c r="D76" s="6" t="s">
        <v>123</v>
      </c>
      <c r="E76" t="s">
        <v>4</v>
      </c>
      <c r="F76" t="s">
        <v>5</v>
      </c>
      <c r="G76" t="s">
        <v>6</v>
      </c>
      <c r="H76" t="s">
        <v>7</v>
      </c>
      <c r="S76" s="21" t="s">
        <v>129</v>
      </c>
      <c r="T76" s="15" t="e">
        <f ca="1">_xll.DBRW($C$34,$M$73,$M$74,$F76,$H76,$E76,$B76,$C76,$D76,T$49,$G76,T$50,$C$46)</f>
        <v>#NAME?</v>
      </c>
      <c r="U76" s="15" t="e">
        <f ca="1">_xll.DBRW($C$34,$M$73,$M$74,$F76,$H76,$E76,$B76,$C76,$D76,U$49,$G76,U$50,$C$46)</f>
        <v>#NAME?</v>
      </c>
      <c r="V76" s="15" t="e">
        <f ca="1">_xll.DBRW($C$34,$M$73,$M$74,$F76,$H76,$E76,$B76,$C76,$D76,V$49,$G76,V$50,$C$46)</f>
        <v>#NAME?</v>
      </c>
      <c r="W76" s="15" t="e">
        <f ca="1">_xll.DBRW($C$34,$M$73,$M$74,$F76,$H76,$E76,$B76,$C76,$D76,W$49,$G76,W$50,$C$46)</f>
        <v>#NAME?</v>
      </c>
      <c r="X76" s="15" t="e">
        <f ca="1">_xll.DBRW($C$34,$M$73,$M$74,$F76,$H76,$E76,$B76,$C76,$D76,X$49,$G76,X$50,$C$46)</f>
        <v>#NAME?</v>
      </c>
      <c r="Y76" s="15" t="e">
        <f ca="1">_xll.DBRW($C$34,$M$73,$M$74,$F76,$H76,$E76,$B76,$C76,$D76,Y$49,$G76,Y$50,$C$46)</f>
        <v>#NAME?</v>
      </c>
      <c r="Z76" s="15" t="e">
        <f ca="1">_xll.DBRW($C$34,$M$73,$M$74,$F76,$H76,$E76,$B76,$C76,$D76,Z$49,$G76,Z$50,$C$46)</f>
        <v>#NAME?</v>
      </c>
      <c r="AA76" s="15" t="e">
        <f ca="1">_xll.DBRW($C$34,$M$73,$M$74,$F76,$H76,$E76,$B76,$C76,$D76,AA$49,$G76,AA$50,$C$46)</f>
        <v>#NAME?</v>
      </c>
      <c r="AB76" s="15" t="e">
        <f ca="1">_xll.DBRW($C$34,$M$73,$M$74,$F76,$H76,$E76,$B76,$C76,$D76,AB$49,$G76,AB$50,$C$46)</f>
        <v>#NAME?</v>
      </c>
      <c r="AC76" s="15" t="e">
        <f ca="1">_xll.DBRW($C$34,$M$73,$M$74,$F76,$H76,$E76,$B76,$C76,$D76,AC$49,$G76,AC$50,$C$46)</f>
        <v>#NAME?</v>
      </c>
      <c r="AD76" s="15" t="e">
        <f ca="1">_xll.DBRW($C$34,$M$73,$M$74,$F76,$H76,$E76,$B76,$C76,$D76,AD$49,$G76,AD$50,$C$46)</f>
        <v>#NAME?</v>
      </c>
      <c r="AE76" s="15" t="e">
        <f ca="1">_xll.DBRW($C$34,$M$73,$M$74,$F76,$H76,$E76,$B76,$C76,$D76,AE$49,$G76,AE$50,$C$46)</f>
        <v>#NAME?</v>
      </c>
      <c r="AF76" s="15" t="e">
        <f ca="1">_xll.DBRW($C$34,$M$73,$M$74,$F76,$H76,$E76,$B76,$C76,$D76,AF$49,$G76,AF$50,$C$46)</f>
        <v>#NAME?</v>
      </c>
    </row>
    <row r="77" spans="2:34" x14ac:dyDescent="0.25">
      <c r="B77" t="e">
        <f t="shared" ca="1" si="4"/>
        <v>#NAME?</v>
      </c>
      <c r="C77" t="s">
        <v>3</v>
      </c>
      <c r="D77" s="6" t="s">
        <v>125</v>
      </c>
      <c r="E77" t="s">
        <v>4</v>
      </c>
      <c r="F77" t="s">
        <v>5</v>
      </c>
      <c r="G77" t="s">
        <v>6</v>
      </c>
      <c r="H77" t="s">
        <v>7</v>
      </c>
      <c r="L77" s="21" t="s">
        <v>135</v>
      </c>
      <c r="M77" s="34" t="e">
        <f ca="1">_xll.DBRW($C$34,$M$73,$M$74,"-","-","-",$M$75,"-","account template","00001","-","P0","reviewed by")</f>
        <v>#NAME?</v>
      </c>
      <c r="S77" s="21" t="s">
        <v>130</v>
      </c>
      <c r="T77" s="15" t="e">
        <f ca="1">_xll.DBRW($C$34,$M$73,$M$74,$F77,$H77,$E77,$B77,$C77,$D77,T$49,$G77,T$50,$C$46)</f>
        <v>#NAME?</v>
      </c>
      <c r="U77" s="15" t="e">
        <f ca="1">_xll.DBRW($C$34,$M$73,$M$74,$F77,$H77,$E77,$B77,$C77,$D77,U$49,$G77,U$50,$C$46)</f>
        <v>#NAME?</v>
      </c>
      <c r="V77" s="15" t="e">
        <f ca="1">_xll.DBRW($C$34,$M$73,$M$74,$F77,$H77,$E77,$B77,$C77,$D77,V$49,$G77,V$50,$C$46)</f>
        <v>#NAME?</v>
      </c>
      <c r="W77" s="15" t="e">
        <f ca="1">_xll.DBRW($C$34,$M$73,$M$74,$F77,$H77,$E77,$B77,$C77,$D77,W$49,$G77,W$50,$C$46)</f>
        <v>#NAME?</v>
      </c>
      <c r="X77" s="15" t="e">
        <f ca="1">_xll.DBRW($C$34,$M$73,$M$74,$F77,$H77,$E77,$B77,$C77,$D77,X$49,$G77,X$50,$C$46)</f>
        <v>#NAME?</v>
      </c>
      <c r="Y77" s="15" t="e">
        <f ca="1">_xll.DBRW($C$34,$M$73,$M$74,$F77,$H77,$E77,$B77,$C77,$D77,Y$49,$G77,Y$50,$C$46)</f>
        <v>#NAME?</v>
      </c>
      <c r="Z77" s="15" t="e">
        <f ca="1">_xll.DBRW($C$34,$M$73,$M$74,$F77,$H77,$E77,$B77,$C77,$D77,Z$49,$G77,Z$50,$C$46)</f>
        <v>#NAME?</v>
      </c>
      <c r="AA77" s="15" t="e">
        <f ca="1">_xll.DBRW($C$34,$M$73,$M$74,$F77,$H77,$E77,$B77,$C77,$D77,AA$49,$G77,AA$50,$C$46)</f>
        <v>#NAME?</v>
      </c>
      <c r="AB77" s="15" t="e">
        <f ca="1">_xll.DBRW($C$34,$M$73,$M$74,$F77,$H77,$E77,$B77,$C77,$D77,AB$49,$G77,AB$50,$C$46)</f>
        <v>#NAME?</v>
      </c>
      <c r="AC77" s="15" t="e">
        <f ca="1">_xll.DBRW($C$34,$M$73,$M$74,$F77,$H77,$E77,$B77,$C77,$D77,AC$49,$G77,AC$50,$C$46)</f>
        <v>#NAME?</v>
      </c>
      <c r="AD77" s="15" t="e">
        <f ca="1">_xll.DBRW($C$34,$M$73,$M$74,$F77,$H77,$E77,$B77,$C77,$D77,AD$49,$G77,AD$50,$C$46)</f>
        <v>#NAME?</v>
      </c>
      <c r="AE77" s="15" t="e">
        <f ca="1">_xll.DBRW($C$34,$M$73,$M$74,$F77,$H77,$E77,$B77,$C77,$D77,AE$49,$G77,AE$50,$C$46)</f>
        <v>#NAME?</v>
      </c>
      <c r="AF77" s="15" t="e">
        <f ca="1">_xll.DBRW($C$34,$M$73,$M$74,$F77,$H77,$E77,$B77,$C77,$D77,AF$49,$G77,AF$50,$C$46)</f>
        <v>#NAME?</v>
      </c>
    </row>
    <row r="78" spans="2:34" x14ac:dyDescent="0.25">
      <c r="B78" t="e">
        <f t="shared" ca="1" si="4"/>
        <v>#NAME?</v>
      </c>
      <c r="C78" t="s">
        <v>3</v>
      </c>
      <c r="D78" s="6"/>
      <c r="E78" t="s">
        <v>4</v>
      </c>
      <c r="F78" t="s">
        <v>5</v>
      </c>
      <c r="G78" t="s">
        <v>6</v>
      </c>
      <c r="H78" t="s">
        <v>7</v>
      </c>
      <c r="L78" s="21" t="s">
        <v>136</v>
      </c>
      <c r="M78" s="34" t="e">
        <f ca="1">_xll.DBRW($C$34,$M$73,$M$74,"-","-","-",$M$75,"-","account template","00001","-","P0","reviewed date")</f>
        <v>#NAME?</v>
      </c>
    </row>
    <row r="79" spans="2:34" ht="5.0999999999999996" customHeight="1" x14ac:dyDescent="0.25"/>
    <row r="80" spans="2:34" ht="15.75" x14ac:dyDescent="0.25">
      <c r="L80" s="5" t="s">
        <v>110</v>
      </c>
    </row>
    <row r="81" spans="1:34" ht="30" x14ac:dyDescent="0.25">
      <c r="I81" t="s">
        <v>37</v>
      </c>
      <c r="L81" s="4" t="s">
        <v>131</v>
      </c>
      <c r="M81" s="4" t="s">
        <v>12</v>
      </c>
      <c r="N81" s="4" t="s">
        <v>70</v>
      </c>
      <c r="O81" s="4" t="s">
        <v>13</v>
      </c>
      <c r="P81" s="4" t="s">
        <v>91</v>
      </c>
      <c r="Q81" s="4" t="s">
        <v>60</v>
      </c>
      <c r="R81" s="4" t="s">
        <v>146</v>
      </c>
      <c r="S81" s="33" t="s">
        <v>95</v>
      </c>
      <c r="T81" s="7" t="s">
        <v>55</v>
      </c>
      <c r="U81" s="7" t="e">
        <f ca="1">U$50</f>
        <v>#NAME?</v>
      </c>
      <c r="V81" s="7" t="e">
        <f t="shared" ref="V81:AG81" ca="1" si="5">V$50</f>
        <v>#NAME?</v>
      </c>
      <c r="W81" s="7" t="e">
        <f t="shared" ca="1" si="5"/>
        <v>#NAME?</v>
      </c>
      <c r="X81" s="7" t="e">
        <f t="shared" ca="1" si="5"/>
        <v>#NAME?</v>
      </c>
      <c r="Y81" s="7" t="e">
        <f t="shared" ca="1" si="5"/>
        <v>#NAME?</v>
      </c>
      <c r="Z81" s="7" t="e">
        <f t="shared" ca="1" si="5"/>
        <v>#NAME?</v>
      </c>
      <c r="AA81" s="7" t="e">
        <f t="shared" ca="1" si="5"/>
        <v>#NAME?</v>
      </c>
      <c r="AB81" s="7" t="e">
        <f t="shared" ca="1" si="5"/>
        <v>#NAME?</v>
      </c>
      <c r="AC81" s="7" t="e">
        <f t="shared" ca="1" si="5"/>
        <v>#NAME?</v>
      </c>
      <c r="AD81" s="7" t="e">
        <f t="shared" ca="1" si="5"/>
        <v>#NAME?</v>
      </c>
      <c r="AE81" s="7" t="e">
        <f t="shared" ca="1" si="5"/>
        <v>#NAME?</v>
      </c>
      <c r="AF81" s="7" t="e">
        <f t="shared" ca="1" si="5"/>
        <v>#NAME?</v>
      </c>
      <c r="AG81" s="7" t="str">
        <f t="shared" si="5"/>
        <v>Jun YTD</v>
      </c>
      <c r="AH81" s="7" t="s">
        <v>59</v>
      </c>
    </row>
    <row r="82" spans="1:34" x14ac:dyDescent="0.25">
      <c r="A82" t="e">
        <f ca="1">IF(_xll.TM1RPTELISCONSOLIDATED($H$82,$H82),IF(_xll.TM1RPTELLEV($H$82,$H82)&lt;=3,_xll.TM1RPTELLEV($H$82,$H82),"D"),IF($I82=$I81,"N0","N"))</f>
        <v>#NAME?</v>
      </c>
      <c r="B82" s="3" t="e">
        <f ca="1">_xll.TM1RPTROW($C$29,db_name&amp;":programme","","","code and description",0,$C$35)</f>
        <v>#NAME?</v>
      </c>
      <c r="C82" s="16" t="e">
        <f ca="1">_xll.TM1RPTROW($C$29,db_name&amp;":appropriation item","sys_all-n","","code and description",0)</f>
        <v>#NAME?</v>
      </c>
      <c r="D82" s="17" t="e">
        <f ca="1">_xll.TM1RPTROW($C$29,db_name&amp;":account","","","code and description",0,$C$37)</f>
        <v>#NAME?</v>
      </c>
      <c r="E82" s="17" t="e">
        <f ca="1">_xll.TM1RPTROW($C$29,db_name&amp;":movement account","","","code and description",0,$C$42)</f>
        <v>#NAME?</v>
      </c>
      <c r="F82" s="17" t="e">
        <f ca="1">_xll.TM1RPTROW($C$29,db_name&amp;":related entity","","","code and description",0,$C$43)</f>
        <v>#NAME?</v>
      </c>
      <c r="G82" s="17" t="e">
        <f ca="1">_xll.TM1RPTROW($C$29,db_name&amp;":jurisdiction","","","",0,$C$44)</f>
        <v>#NAME?</v>
      </c>
      <c r="H82" s="20" t="e">
        <f ca="1">_xll.TM1RPTROW($C$29,db_name&amp;":spp","","","",0,$C$45)</f>
        <v>#NAME?</v>
      </c>
      <c r="I82" s="19" t="e">
        <f ca="1">_xll.ELPAR(db_name&amp;":programme",$B82,1)</f>
        <v>#NAME?</v>
      </c>
      <c r="L82" s="16" t="e">
        <f ca="1">$B82</f>
        <v>#NAME?</v>
      </c>
      <c r="M82" s="16" t="e">
        <f ca="1">$D82</f>
        <v>#NAME?</v>
      </c>
      <c r="N82" s="16" t="e">
        <f ca="1">$E82</f>
        <v>#NAME?</v>
      </c>
      <c r="O82" s="16" t="e">
        <f ca="1">$F82</f>
        <v>#NAME?</v>
      </c>
      <c r="P82" s="19" t="e">
        <f ca="1">$G82</f>
        <v>#NAME?</v>
      </c>
      <c r="Q82" s="19" t="e">
        <f ca="1">$H82</f>
        <v>#NAME?</v>
      </c>
      <c r="R82" s="19" t="e">
        <f ca="1">$C82</f>
        <v>#NAME?</v>
      </c>
      <c r="S82" s="16" t="e">
        <f ca="1">_xll.DBRW($C$34,$M$73,$M$74,$F82,$H82,$E82,$B82,$C82,$D82,AG$49,$G82,S$50,$S$49)</f>
        <v>#NAME?</v>
      </c>
      <c r="T82" s="15" t="e">
        <f ca="1">_xll.DBRW($C$29,$M$73,$M$74,$F82,$H82,$E82,$B82,$C82,$D82,T$49,$G82,T$50,$C$46)</f>
        <v>#NAME?</v>
      </c>
      <c r="U82" s="27" t="e">
        <f ca="1">_xll.DBRW($C$29,$M$73,$M$74,$F82,$H82,$E82,$B82,$C82,$D82,U$49,$G82,U$50,$C$46)</f>
        <v>#NAME?</v>
      </c>
      <c r="V82" s="27" t="e">
        <f ca="1">_xll.DBRW($C$29,$M$73,$M$74,$F82,$H82,$E82,$B82,$C82,$D82,V$49,$G82,V$50,$C$46)</f>
        <v>#NAME?</v>
      </c>
      <c r="W82" s="27" t="e">
        <f ca="1">_xll.DBRW($C$29,$M$73,$M$74,$F82,$H82,$E82,$B82,$C82,$D82,W$49,$G82,W$50,$C$46)</f>
        <v>#NAME?</v>
      </c>
      <c r="X82" s="27" t="e">
        <f ca="1">_xll.DBRW($C$29,$M$73,$M$74,$F82,$H82,$E82,$B82,$C82,$D82,X$49,$G82,X$50,$C$46)</f>
        <v>#NAME?</v>
      </c>
      <c r="Y82" s="27" t="e">
        <f ca="1">_xll.DBRW($C$29,$M$73,$M$74,$F82,$H82,$E82,$B82,$C82,$D82,Y$49,$G82,Y$50,$C$46)</f>
        <v>#NAME?</v>
      </c>
      <c r="Z82" s="27" t="e">
        <f ca="1">_xll.DBRW($C$29,$M$73,$M$74,$F82,$H82,$E82,$B82,$C82,$D82,Z$49,$G82,Z$50,$C$46)</f>
        <v>#NAME?</v>
      </c>
      <c r="AA82" s="27" t="e">
        <f ca="1">_xll.DBRW($C$29,$M$73,$M$74,$F82,$H82,$E82,$B82,$C82,$D82,AA$49,$G82,AA$50,$C$46)</f>
        <v>#NAME?</v>
      </c>
      <c r="AB82" s="27" t="e">
        <f ca="1">_xll.DBRW($C$29,$M$73,$M$74,$F82,$H82,$E82,$B82,$C82,$D82,AB$49,$G82,AB$50,$C$46)</f>
        <v>#NAME?</v>
      </c>
      <c r="AC82" s="27" t="e">
        <f ca="1">_xll.DBRW($C$29,$M$73,$M$74,$F82,$H82,$E82,$B82,$C82,$D82,AC$49,$G82,AC$50,$C$46)</f>
        <v>#NAME?</v>
      </c>
      <c r="AD82" s="27" t="e">
        <f ca="1">_xll.DBRW($C$29,$M$73,$M$74,$F82,$H82,$E82,$B82,$C82,$D82,AD$49,$G82,AD$50,$C$46)</f>
        <v>#NAME?</v>
      </c>
      <c r="AE82" s="27" t="e">
        <f ca="1">_xll.DBRW($C$29,$M$73,$M$74,$F82,$H82,$E82,$B82,$C82,$D82,AE$49,$G82,AE$50,$C$46)</f>
        <v>#NAME?</v>
      </c>
      <c r="AF82" s="27" t="e">
        <f ca="1">_xll.DBRW($C$29,$M$73,$M$74,$F82,$H82,$E82,$B82,$C82,$D82,AF$49,$G82,AF$50,$C$46)</f>
        <v>#NAME?</v>
      </c>
      <c r="AG82" s="15" t="e">
        <f ca="1">_xll.DBRW($C$34,$M$73,$M$74,$F82,$H82,$E82,$B82,$C82,$D82,AG$49,$G82,AG$50,$C$46)</f>
        <v>#NAME?</v>
      </c>
      <c r="AH82" s="15" t="e">
        <f ca="1">T82-AG82</f>
        <v>#NAME?</v>
      </c>
    </row>
    <row r="83" spans="1:34" ht="5.0999999999999996" customHeight="1" x14ac:dyDescent="0.25"/>
    <row r="84" spans="1:34" x14ac:dyDescent="0.25">
      <c r="B84" t="e">
        <f ca="1">$M$75</f>
        <v>#NAME?</v>
      </c>
      <c r="C84" t="s">
        <v>3</v>
      </c>
      <c r="D84" s="6" t="s">
        <v>108</v>
      </c>
      <c r="E84" t="s">
        <v>4</v>
      </c>
      <c r="F84" t="s">
        <v>5</v>
      </c>
      <c r="G84" t="s">
        <v>6</v>
      </c>
      <c r="H84" t="s">
        <v>7</v>
      </c>
      <c r="S84" s="21" t="e">
        <f ca="1">"Total " &amp; $M$75 &amp; " Cash Received From Operating Activities :"</f>
        <v>#NAME?</v>
      </c>
      <c r="T84" s="15" t="e">
        <f ca="1">_xll.DBRW($C$34,$M$73,$M$74,$F84,$H84,$E84,$B84,$C84,$D84,T$49,$G84,T$50,$C$46)</f>
        <v>#NAME?</v>
      </c>
      <c r="U84" s="15" t="e">
        <f ca="1">_xll.DBRW($C$34,$M$73,$M$74,$F84,$H84,$E84,$B84,$C84,$D84,U$49,$G84,U$50,$C$46)</f>
        <v>#NAME?</v>
      </c>
      <c r="V84" s="15" t="e">
        <f ca="1">_xll.DBRW($C$34,$M$73,$M$74,$F84,$H84,$E84,$B84,$C84,$D84,V$49,$G84,V$50,$C$46)</f>
        <v>#NAME?</v>
      </c>
      <c r="W84" s="15" t="e">
        <f ca="1">_xll.DBRW($C$34,$M$73,$M$74,$F84,$H84,$E84,$B84,$C84,$D84,W$49,$G84,W$50,$C$46)</f>
        <v>#NAME?</v>
      </c>
      <c r="X84" s="15" t="e">
        <f ca="1">_xll.DBRW($C$34,$M$73,$M$74,$F84,$H84,$E84,$B84,$C84,$D84,X$49,$G84,X$50,$C$46)</f>
        <v>#NAME?</v>
      </c>
      <c r="Y84" s="15" t="e">
        <f ca="1">_xll.DBRW($C$34,$M$73,$M$74,$F84,$H84,$E84,$B84,$C84,$D84,Y$49,$G84,Y$50,$C$46)</f>
        <v>#NAME?</v>
      </c>
      <c r="Z84" s="15" t="e">
        <f ca="1">_xll.DBRW($C$34,$M$73,$M$74,$F84,$H84,$E84,$B84,$C84,$D84,Z$49,$G84,Z$50,$C$46)</f>
        <v>#NAME?</v>
      </c>
      <c r="AA84" s="15" t="e">
        <f ca="1">_xll.DBRW($C$34,$M$73,$M$74,$F84,$H84,$E84,$B84,$C84,$D84,AA$49,$G84,AA$50,$C$46)</f>
        <v>#NAME?</v>
      </c>
      <c r="AB84" s="15" t="e">
        <f ca="1">_xll.DBRW($C$34,$M$73,$M$74,$F84,$H84,$E84,$B84,$C84,$D84,AB$49,$G84,AB$50,$C$46)</f>
        <v>#NAME?</v>
      </c>
      <c r="AC84" s="15" t="e">
        <f ca="1">_xll.DBRW($C$34,$M$73,$M$74,$F84,$H84,$E84,$B84,$C84,$D84,AC$49,$G84,AC$50,$C$46)</f>
        <v>#NAME?</v>
      </c>
      <c r="AD84" s="15" t="e">
        <f ca="1">_xll.DBRW($C$34,$M$73,$M$74,$F84,$H84,$E84,$B84,$C84,$D84,AD$49,$G84,AD$50,$C$46)</f>
        <v>#NAME?</v>
      </c>
      <c r="AE84" s="15" t="e">
        <f ca="1">_xll.DBRW($C$34,$M$73,$M$74,$F84,$H84,$E84,$B84,$C84,$D84,AE$49,$G84,AE$50,$C$46)</f>
        <v>#NAME?</v>
      </c>
      <c r="AF84" s="15" t="e">
        <f ca="1">_xll.DBRW($C$34,$M$73,$M$74,$F84,$H84,$E84,$B84,$C84,$D84,AF$49,$G84,AF$50,$C$46)</f>
        <v>#NAME?</v>
      </c>
      <c r="AG84" s="15" t="e">
        <f ca="1">_xll.DBRW($C$34,$M$73,$M$74,$F84,$H84,$E84,$B84,$C84,$D84,AG$49,$G84,AG$50,$C$46)</f>
        <v>#NAME?</v>
      </c>
      <c r="AH84" s="15" t="e">
        <f ca="1">_xll.DBRW($C$34,$M$73,$M$74,$F84,$H84,$E84,$B84,$C84,$D84,AH$49,$G84,AH$50,$C$46)</f>
        <v>#NAME?</v>
      </c>
    </row>
    <row r="85" spans="1:34" x14ac:dyDescent="0.25">
      <c r="B85" t="e">
        <f ca="1">$M$75</f>
        <v>#NAME?</v>
      </c>
      <c r="C85" t="s">
        <v>3</v>
      </c>
      <c r="D85" s="6" t="s">
        <v>109</v>
      </c>
      <c r="E85" t="s">
        <v>4</v>
      </c>
      <c r="F85" t="s">
        <v>5</v>
      </c>
      <c r="G85" t="s">
        <v>6</v>
      </c>
      <c r="H85" t="s">
        <v>7</v>
      </c>
      <c r="S85" s="21" t="e">
        <f ca="1">"Total " &amp; $M$75 &amp; " Cash Used For Operating Activities :"</f>
        <v>#NAME?</v>
      </c>
      <c r="T85" s="15" t="e">
        <f ca="1">_xll.DBRW($C$34,$M$73,$M$74,$F85,$H85,$E85,$B85,$C85,$D85,T$49,$G85,T$50,$C$46)</f>
        <v>#NAME?</v>
      </c>
      <c r="U85" s="15" t="e">
        <f ca="1">_xll.DBRW($C$34,$M$73,$M$74,$F85,$H85,$E85,$B85,$C85,$D85,U$49,$G85,U$50,$C$46)</f>
        <v>#NAME?</v>
      </c>
      <c r="V85" s="15" t="e">
        <f ca="1">_xll.DBRW($C$34,$M$73,$M$74,$F85,$H85,$E85,$B85,$C85,$D85,V$49,$G85,V$50,$C$46)</f>
        <v>#NAME?</v>
      </c>
      <c r="W85" s="15" t="e">
        <f ca="1">_xll.DBRW($C$34,$M$73,$M$74,$F85,$H85,$E85,$B85,$C85,$D85,W$49,$G85,W$50,$C$46)</f>
        <v>#NAME?</v>
      </c>
      <c r="X85" s="15" t="e">
        <f ca="1">_xll.DBRW($C$34,$M$73,$M$74,$F85,$H85,$E85,$B85,$C85,$D85,X$49,$G85,X$50,$C$46)</f>
        <v>#NAME?</v>
      </c>
      <c r="Y85" s="15" t="e">
        <f ca="1">_xll.DBRW($C$34,$M$73,$M$74,$F85,$H85,$E85,$B85,$C85,$D85,Y$49,$G85,Y$50,$C$46)</f>
        <v>#NAME?</v>
      </c>
      <c r="Z85" s="15" t="e">
        <f ca="1">_xll.DBRW($C$34,$M$73,$M$74,$F85,$H85,$E85,$B85,$C85,$D85,Z$49,$G85,Z$50,$C$46)</f>
        <v>#NAME?</v>
      </c>
      <c r="AA85" s="15" t="e">
        <f ca="1">_xll.DBRW($C$34,$M$73,$M$74,$F85,$H85,$E85,$B85,$C85,$D85,AA$49,$G85,AA$50,$C$46)</f>
        <v>#NAME?</v>
      </c>
      <c r="AB85" s="15" t="e">
        <f ca="1">_xll.DBRW($C$34,$M$73,$M$74,$F85,$H85,$E85,$B85,$C85,$D85,AB$49,$G85,AB$50,$C$46)</f>
        <v>#NAME?</v>
      </c>
      <c r="AC85" s="15" t="e">
        <f ca="1">_xll.DBRW($C$34,$M$73,$M$74,$F85,$H85,$E85,$B85,$C85,$D85,AC$49,$G85,AC$50,$C$46)</f>
        <v>#NAME?</v>
      </c>
      <c r="AD85" s="15" t="e">
        <f ca="1">_xll.DBRW($C$34,$M$73,$M$74,$F85,$H85,$E85,$B85,$C85,$D85,AD$49,$G85,AD$50,$C$46)</f>
        <v>#NAME?</v>
      </c>
      <c r="AE85" s="15" t="e">
        <f ca="1">_xll.DBRW($C$34,$M$73,$M$74,$F85,$H85,$E85,$B85,$C85,$D85,AE$49,$G85,AE$50,$C$46)</f>
        <v>#NAME?</v>
      </c>
      <c r="AF85" s="15" t="e">
        <f ca="1">_xll.DBRW($C$34,$M$73,$M$74,$F85,$H85,$E85,$B85,$C85,$D85,AF$49,$G85,AF$50,$C$46)</f>
        <v>#NAME?</v>
      </c>
      <c r="AG85" s="15" t="e">
        <f ca="1">_xll.DBRW($C$34,$M$73,$M$74,$F85,$H85,$E85,$B85,$C85,$D85,AG$49,$G85,AG$50,$C$46)</f>
        <v>#NAME?</v>
      </c>
      <c r="AH85" s="15" t="e">
        <f ca="1">_xll.DBRW($C$34,$M$73,$M$74,$F85,$H85,$E85,$B85,$C85,$D85,AH$49,$G85,AH$50,$C$46)</f>
        <v>#NAME?</v>
      </c>
    </row>
    <row r="86" spans="1:34" x14ac:dyDescent="0.25">
      <c r="B86" t="e">
        <f ca="1">$M$75</f>
        <v>#NAME?</v>
      </c>
      <c r="C86" t="s">
        <v>3</v>
      </c>
      <c r="D86" s="6" t="s">
        <v>117</v>
      </c>
      <c r="E86" t="s">
        <v>4</v>
      </c>
      <c r="F86" t="s">
        <v>5</v>
      </c>
      <c r="G86" t="s">
        <v>6</v>
      </c>
      <c r="H86" t="s">
        <v>7</v>
      </c>
      <c r="S86" s="21" t="e">
        <f ca="1">"Total " &amp; $M$75 &amp; " Net (decrease)/increase in Cash Held :"</f>
        <v>#NAME?</v>
      </c>
      <c r="T86" s="15" t="e">
        <f ca="1">_xll.DBRW($C$34,$M$73,$M$74,$F86,$H86,$E86,$B86,$C86,$D86,T$49,$G86,T$50,$C$46)</f>
        <v>#NAME?</v>
      </c>
      <c r="U86" s="15" t="e">
        <f ca="1">_xll.DBRW($C$34,$M$73,$M$74,$F86,$H86,$E86,$B86,$C86,$D86,U$49,$G86,U$50,$C$46)</f>
        <v>#NAME?</v>
      </c>
      <c r="V86" s="15" t="e">
        <f ca="1">_xll.DBRW($C$34,$M$73,$M$74,$F86,$H86,$E86,$B86,$C86,$D86,V$49,$G86,V$50,$C$46)</f>
        <v>#NAME?</v>
      </c>
      <c r="W86" s="15" t="e">
        <f ca="1">_xll.DBRW($C$34,$M$73,$M$74,$F86,$H86,$E86,$B86,$C86,$D86,W$49,$G86,W$50,$C$46)</f>
        <v>#NAME?</v>
      </c>
      <c r="X86" s="15" t="e">
        <f ca="1">_xll.DBRW($C$34,$M$73,$M$74,$F86,$H86,$E86,$B86,$C86,$D86,X$49,$G86,X$50,$C$46)</f>
        <v>#NAME?</v>
      </c>
      <c r="Y86" s="15" t="e">
        <f ca="1">_xll.DBRW($C$34,$M$73,$M$74,$F86,$H86,$E86,$B86,$C86,$D86,Y$49,$G86,Y$50,$C$46)</f>
        <v>#NAME?</v>
      </c>
      <c r="Z86" s="15" t="e">
        <f ca="1">_xll.DBRW($C$34,$M$73,$M$74,$F86,$H86,$E86,$B86,$C86,$D86,Z$49,$G86,Z$50,$C$46)</f>
        <v>#NAME?</v>
      </c>
      <c r="AA86" s="15" t="e">
        <f ca="1">_xll.DBRW($C$34,$M$73,$M$74,$F86,$H86,$E86,$B86,$C86,$D86,AA$49,$G86,AA$50,$C$46)</f>
        <v>#NAME?</v>
      </c>
      <c r="AB86" s="15" t="e">
        <f ca="1">_xll.DBRW($C$34,$M$73,$M$74,$F86,$H86,$E86,$B86,$C86,$D86,AB$49,$G86,AB$50,$C$46)</f>
        <v>#NAME?</v>
      </c>
      <c r="AC86" s="15" t="e">
        <f ca="1">_xll.DBRW($C$34,$M$73,$M$74,$F86,$H86,$E86,$B86,$C86,$D86,AC$49,$G86,AC$50,$C$46)</f>
        <v>#NAME?</v>
      </c>
      <c r="AD86" s="15" t="e">
        <f ca="1">_xll.DBRW($C$34,$M$73,$M$74,$F86,$H86,$E86,$B86,$C86,$D86,AD$49,$G86,AD$50,$C$46)</f>
        <v>#NAME?</v>
      </c>
      <c r="AE86" s="15" t="e">
        <f ca="1">_xll.DBRW($C$34,$M$73,$M$74,$F86,$H86,$E86,$B86,$C86,$D86,AE$49,$G86,AE$50,$C$46)</f>
        <v>#NAME?</v>
      </c>
      <c r="AF86" s="15" t="e">
        <f ca="1">_xll.DBRW($C$34,$M$73,$M$74,$F86,$H86,$E86,$B86,$C86,$D86,AF$49,$G86,AF$50,$C$46)</f>
        <v>#NAME?</v>
      </c>
      <c r="AG86" s="15" t="e">
        <f ca="1">_xll.DBRW($C$34,$M$73,$M$74,$F86,$H86,$E86,$B86,$C86,$D86,AG$49,$G86,AG$50,$C$46)</f>
        <v>#NAME?</v>
      </c>
      <c r="AH86" s="15" t="e">
        <f ca="1">_xll.DBRW($C$34,$M$73,$M$74,$F86,$H86,$E86,$B86,$C86,$D86,AH$49,$G86,AH$50,$C$46)</f>
        <v>#NAME?</v>
      </c>
    </row>
    <row r="87" spans="1:34" ht="5.0999999999999996" customHeight="1" x14ac:dyDescent="0.25"/>
    <row r="88" spans="1:34" ht="15.75" x14ac:dyDescent="0.25">
      <c r="L88" s="5" t="s">
        <v>111</v>
      </c>
    </row>
    <row r="89" spans="1:34" ht="30" x14ac:dyDescent="0.25">
      <c r="I89" t="s">
        <v>37</v>
      </c>
      <c r="L89" s="4" t="s">
        <v>131</v>
      </c>
      <c r="M89" s="4" t="s">
        <v>12</v>
      </c>
      <c r="N89" s="4"/>
      <c r="O89" s="4" t="s">
        <v>13</v>
      </c>
      <c r="P89" s="4" t="s">
        <v>14</v>
      </c>
      <c r="Q89" s="4" t="s">
        <v>15</v>
      </c>
      <c r="R89" s="4" t="s">
        <v>146</v>
      </c>
      <c r="S89" s="33" t="s">
        <v>95</v>
      </c>
      <c r="T89" s="7" t="s">
        <v>55</v>
      </c>
      <c r="U89" s="7" t="e">
        <f ca="1">U$50</f>
        <v>#NAME?</v>
      </c>
      <c r="V89" s="7" t="e">
        <f t="shared" ref="V89:AG89" ca="1" si="6">V$50</f>
        <v>#NAME?</v>
      </c>
      <c r="W89" s="7" t="e">
        <f t="shared" ca="1" si="6"/>
        <v>#NAME?</v>
      </c>
      <c r="X89" s="7" t="e">
        <f t="shared" ca="1" si="6"/>
        <v>#NAME?</v>
      </c>
      <c r="Y89" s="7" t="e">
        <f t="shared" ca="1" si="6"/>
        <v>#NAME?</v>
      </c>
      <c r="Z89" s="7" t="e">
        <f t="shared" ca="1" si="6"/>
        <v>#NAME?</v>
      </c>
      <c r="AA89" s="7" t="e">
        <f t="shared" ca="1" si="6"/>
        <v>#NAME?</v>
      </c>
      <c r="AB89" s="7" t="e">
        <f t="shared" ca="1" si="6"/>
        <v>#NAME?</v>
      </c>
      <c r="AC89" s="7" t="e">
        <f t="shared" ca="1" si="6"/>
        <v>#NAME?</v>
      </c>
      <c r="AD89" s="7" t="e">
        <f t="shared" ca="1" si="6"/>
        <v>#NAME?</v>
      </c>
      <c r="AE89" s="7" t="e">
        <f t="shared" ca="1" si="6"/>
        <v>#NAME?</v>
      </c>
      <c r="AF89" s="7" t="e">
        <f t="shared" ca="1" si="6"/>
        <v>#NAME?</v>
      </c>
      <c r="AG89" s="7" t="str">
        <f t="shared" si="6"/>
        <v>Jun YTD</v>
      </c>
      <c r="AH89" s="7" t="s">
        <v>59</v>
      </c>
    </row>
    <row r="90" spans="1:34" x14ac:dyDescent="0.25">
      <c r="A90" t="e">
        <f ca="1">IF(_xll.TM1RPTELISCONSOLIDATED($H$90,$H90),IF(_xll.TM1RPTELLEV($H$90,$H90)&lt;=3,_xll.TM1RPTELLEV($H$90,$H90),"D"),IF($I90=$I89,"N0","N"))</f>
        <v>#NAME?</v>
      </c>
      <c r="B90" s="3" t="e">
        <f ca="1">_xll.TM1RPTROW($C$30,db_name&amp;":programme","","","code and description",0,$C$35)</f>
        <v>#NAME?</v>
      </c>
      <c r="C90" s="38" t="e">
        <f ca="1">_xll.TM1RPTROW($C$30,db_name&amp;":appropriation item","sys_all-n","","code and description",0)</f>
        <v>#NAME?</v>
      </c>
      <c r="D90" s="17" t="e">
        <f ca="1">_xll.TM1RPTROW($C$30,db_name&amp;":account","","","code and description",0,$C$38)</f>
        <v>#NAME?</v>
      </c>
      <c r="E90" s="17" t="e">
        <f ca="1">_xll.TM1RPTROW($C$30,db_name&amp;":movement account","","","code and description",0,$C$42)</f>
        <v>#NAME?</v>
      </c>
      <c r="F90" s="17" t="e">
        <f ca="1">_xll.TM1RPTROW($C$30,db_name&amp;":related entity","","","code and description",0,$C$43)</f>
        <v>#NAME?</v>
      </c>
      <c r="G90" s="17" t="e">
        <f ca="1">_xll.TM1RPTROW($C$30,db_name&amp;":jurisdiction","","","",0,$C$44)</f>
        <v>#NAME?</v>
      </c>
      <c r="H90" s="20" t="e">
        <f ca="1">_xll.TM1RPTROW($C$30,db_name&amp;":spp","","","",0,$C$45)</f>
        <v>#NAME?</v>
      </c>
      <c r="I90" s="19" t="e">
        <f ca="1">_xll.ELPAR(db_name&amp;":programme",$B90,1)</f>
        <v>#NAME?</v>
      </c>
      <c r="L90" s="16" t="e">
        <f ca="1">$B90</f>
        <v>#NAME?</v>
      </c>
      <c r="M90" s="16" t="e">
        <f ca="1">$D90</f>
        <v>#NAME?</v>
      </c>
      <c r="N90" s="16" t="e">
        <f t="shared" ref="N90" ca="1" si="7">$E90</f>
        <v>#NAME?</v>
      </c>
      <c r="O90" s="16" t="e">
        <f ca="1">$F90</f>
        <v>#NAME?</v>
      </c>
      <c r="P90" s="19" t="e">
        <f ca="1">$G90</f>
        <v>#NAME?</v>
      </c>
      <c r="Q90" s="19" t="e">
        <f ca="1">$H90</f>
        <v>#NAME?</v>
      </c>
      <c r="R90" s="19" t="e">
        <f ca="1">$C90</f>
        <v>#NAME?</v>
      </c>
      <c r="S90" s="16" t="e">
        <f ca="1">_xll.DBRW($C$34,$M$73,$M$74,$F90,$H90,$E90,$B90,$C90,$D90,AG$49,$G90,S$50,$S$49)</f>
        <v>#NAME?</v>
      </c>
      <c r="T90" s="15" t="e">
        <f ca="1">_xll.DBRW($C$30,$M$73,$M$74,$F90,$H90,$E90,$B90,$C90,$D90,T$49,$G90,T$50,$C$46)</f>
        <v>#NAME?</v>
      </c>
      <c r="U90" s="27" t="e">
        <f ca="1">_xll.DBRW($C$30,$M$73,$M$74,$F90,$H90,$E90,$B90,$C90,$D90,U$49,$G90,U$50,$C$46)</f>
        <v>#NAME?</v>
      </c>
      <c r="V90" s="27" t="e">
        <f ca="1">_xll.DBRW($C$30,$M$73,$M$74,$F90,$H90,$E90,$B90,$C90,$D90,V$49,$G90,V$50,$C$46)</f>
        <v>#NAME?</v>
      </c>
      <c r="W90" s="27" t="e">
        <f ca="1">_xll.DBRW($C$30,$M$73,$M$74,$F90,$H90,$E90,$B90,$C90,$D90,W$49,$G90,W$50,$C$46)</f>
        <v>#NAME?</v>
      </c>
      <c r="X90" s="27" t="e">
        <f ca="1">_xll.DBRW($C$30,$M$73,$M$74,$F90,$H90,$E90,$B90,$C90,$D90,X$49,$G90,X$50,$C$46)</f>
        <v>#NAME?</v>
      </c>
      <c r="Y90" s="27" t="e">
        <f ca="1">_xll.DBRW($C$30,$M$73,$M$74,$F90,$H90,$E90,$B90,$C90,$D90,Y$49,$G90,Y$50,$C$46)</f>
        <v>#NAME?</v>
      </c>
      <c r="Z90" s="27" t="e">
        <f ca="1">_xll.DBRW($C$30,$M$73,$M$74,$F90,$H90,$E90,$B90,$C90,$D90,Z$49,$G90,Z$50,$C$46)</f>
        <v>#NAME?</v>
      </c>
      <c r="AA90" s="27" t="e">
        <f ca="1">_xll.DBRW($C$30,$M$73,$M$74,$F90,$H90,$E90,$B90,$C90,$D90,AA$49,$G90,AA$50,$C$46)</f>
        <v>#NAME?</v>
      </c>
      <c r="AB90" s="27" t="e">
        <f ca="1">_xll.DBRW($C$30,$M$73,$M$74,$F90,$H90,$E90,$B90,$C90,$D90,AB$49,$G90,AB$50,$C$46)</f>
        <v>#NAME?</v>
      </c>
      <c r="AC90" s="27" t="e">
        <f ca="1">_xll.DBRW($C$30,$M$73,$M$74,$F90,$H90,$E90,$B90,$C90,$D90,AC$49,$G90,AC$50,$C$46)</f>
        <v>#NAME?</v>
      </c>
      <c r="AD90" s="27" t="e">
        <f ca="1">_xll.DBRW($C$30,$M$73,$M$74,$F90,$H90,$E90,$B90,$C90,$D90,AD$49,$G90,AD$50,$C$46)</f>
        <v>#NAME?</v>
      </c>
      <c r="AE90" s="27" t="e">
        <f ca="1">_xll.DBRW($C$30,$M$73,$M$74,$F90,$H90,$E90,$B90,$C90,$D90,AE$49,$G90,AE$50,$C$46)</f>
        <v>#NAME?</v>
      </c>
      <c r="AF90" s="27" t="e">
        <f ca="1">_xll.DBRW($C$30,$M$73,$M$74,$F90,$H90,$E90,$B90,$C90,$D90,AF$49,$G90,AF$50,$C$46)</f>
        <v>#NAME?</v>
      </c>
      <c r="AG90" s="15" t="e">
        <f ca="1">_xll.DBRW($C$34,$M$73,$M$74,$F90,$H90,$E90,$B90,$C90,$D90,AG$49,$G90,AG$50,$C$46)</f>
        <v>#NAME?</v>
      </c>
      <c r="AH90" s="15" t="e">
        <f ca="1">T90-AG90</f>
        <v>#NAME?</v>
      </c>
    </row>
    <row r="91" spans="1:34" ht="5.0999999999999996" customHeight="1" x14ac:dyDescent="0.25"/>
    <row r="92" spans="1:34" x14ac:dyDescent="0.25">
      <c r="B92" t="e">
        <f ca="1">$M$75</f>
        <v>#NAME?</v>
      </c>
      <c r="C92" t="s">
        <v>3</v>
      </c>
      <c r="D92" s="6" t="s">
        <v>112</v>
      </c>
      <c r="E92" t="s">
        <v>4</v>
      </c>
      <c r="F92" t="s">
        <v>5</v>
      </c>
      <c r="G92" t="s">
        <v>6</v>
      </c>
      <c r="H92" t="s">
        <v>7</v>
      </c>
      <c r="S92" s="21" t="e">
        <f ca="1">"Total " &amp; $M$75 &amp; " Cash Received From Investing Activities :"</f>
        <v>#NAME?</v>
      </c>
      <c r="T92" s="15" t="e">
        <f ca="1">_xll.DBRW($C$34,$M$73,$M$74,$F92,$H92,$E92,$B92,$C92,$D92,T$49,$G92,T$50,$C$46)</f>
        <v>#NAME?</v>
      </c>
      <c r="U92" s="15" t="e">
        <f ca="1">_xll.DBRW($C$34,$M$73,$M$74,$F92,$H92,$E92,$B92,$C92,$D92,U$49,$G92,U$50,$C$46)</f>
        <v>#NAME?</v>
      </c>
      <c r="V92" s="15" t="e">
        <f ca="1">_xll.DBRW($C$34,$M$73,$M$74,$F92,$H92,$E92,$B92,$C92,$D92,V$49,$G92,V$50,$C$46)</f>
        <v>#NAME?</v>
      </c>
      <c r="W92" s="15" t="e">
        <f ca="1">_xll.DBRW($C$34,$M$73,$M$74,$F92,$H92,$E92,$B92,$C92,$D92,W$49,$G92,W$50,$C$46)</f>
        <v>#NAME?</v>
      </c>
      <c r="X92" s="15" t="e">
        <f ca="1">_xll.DBRW($C$34,$M$73,$M$74,$F92,$H92,$E92,$B92,$C92,$D92,X$49,$G92,X$50,$C$46)</f>
        <v>#NAME?</v>
      </c>
      <c r="Y92" s="15" t="e">
        <f ca="1">_xll.DBRW($C$34,$M$73,$M$74,$F92,$H92,$E92,$B92,$C92,$D92,Y$49,$G92,Y$50,$C$46)</f>
        <v>#NAME?</v>
      </c>
      <c r="Z92" s="15" t="e">
        <f ca="1">_xll.DBRW($C$34,$M$73,$M$74,$F92,$H92,$E92,$B92,$C92,$D92,Z$49,$G92,Z$50,$C$46)</f>
        <v>#NAME?</v>
      </c>
      <c r="AA92" s="15" t="e">
        <f ca="1">_xll.DBRW($C$34,$M$73,$M$74,$F92,$H92,$E92,$B92,$C92,$D92,AA$49,$G92,AA$50,$C$46)</f>
        <v>#NAME?</v>
      </c>
      <c r="AB92" s="15" t="e">
        <f ca="1">_xll.DBRW($C$34,$M$73,$M$74,$F92,$H92,$E92,$B92,$C92,$D92,AB$49,$G92,AB$50,$C$46)</f>
        <v>#NAME?</v>
      </c>
      <c r="AC92" s="15" t="e">
        <f ca="1">_xll.DBRW($C$34,$M$73,$M$74,$F92,$H92,$E92,$B92,$C92,$D92,AC$49,$G92,AC$50,$C$46)</f>
        <v>#NAME?</v>
      </c>
      <c r="AD92" s="15" t="e">
        <f ca="1">_xll.DBRW($C$34,$M$73,$M$74,$F92,$H92,$E92,$B92,$C92,$D92,AD$49,$G92,AD$50,$C$46)</f>
        <v>#NAME?</v>
      </c>
      <c r="AE92" s="15" t="e">
        <f ca="1">_xll.DBRW($C$34,$M$73,$M$74,$F92,$H92,$E92,$B92,$C92,$D92,AE$49,$G92,AE$50,$C$46)</f>
        <v>#NAME?</v>
      </c>
      <c r="AF92" s="15" t="e">
        <f ca="1">_xll.DBRW($C$34,$M$73,$M$74,$F92,$H92,$E92,$B92,$C92,$D92,AF$49,$G92,AF$50,$C$46)</f>
        <v>#NAME?</v>
      </c>
      <c r="AG92" s="15" t="e">
        <f ca="1">_xll.DBRW($C$34,$M$73,$M$74,$F92,$H92,$E92,$B92,$C92,$D92,AG$49,$G92,AG$50,$C$46)</f>
        <v>#NAME?</v>
      </c>
      <c r="AH92" s="15" t="e">
        <f ca="1">_xll.DBRW($C$34,$M$73,$M$74,$F92,$H92,$E92,$B92,$C92,$D92,AH$49,$G92,AH$50,$C$46)</f>
        <v>#NAME?</v>
      </c>
    </row>
    <row r="93" spans="1:34" x14ac:dyDescent="0.25">
      <c r="B93" t="e">
        <f ca="1">$M$75</f>
        <v>#NAME?</v>
      </c>
      <c r="C93" t="s">
        <v>3</v>
      </c>
      <c r="D93" s="6" t="s">
        <v>113</v>
      </c>
      <c r="E93" t="s">
        <v>4</v>
      </c>
      <c r="F93" t="s">
        <v>5</v>
      </c>
      <c r="G93" t="s">
        <v>6</v>
      </c>
      <c r="H93" t="s">
        <v>7</v>
      </c>
      <c r="S93" s="21" t="e">
        <f ca="1">"Total " &amp; $M$75 &amp; " Cash Paid For Investing Activities :"</f>
        <v>#NAME?</v>
      </c>
      <c r="T93" s="15" t="e">
        <f ca="1">_xll.DBRW($C$34,$M$73,$M$74,$F93,$H93,$E93,$B93,$C93,$D93,T$49,$G93,T$50,$C$46)</f>
        <v>#NAME?</v>
      </c>
      <c r="U93" s="15" t="e">
        <f ca="1">_xll.DBRW($C$34,$M$73,$M$74,$F93,$H93,$E93,$B93,$C93,$D93,U$49,$G93,U$50,$C$46)</f>
        <v>#NAME?</v>
      </c>
      <c r="V93" s="15" t="e">
        <f ca="1">_xll.DBRW($C$34,$M$73,$M$74,$F93,$H93,$E93,$B93,$C93,$D93,V$49,$G93,V$50,$C$46)</f>
        <v>#NAME?</v>
      </c>
      <c r="W93" s="15" t="e">
        <f ca="1">_xll.DBRW($C$34,$M$73,$M$74,$F93,$H93,$E93,$B93,$C93,$D93,W$49,$G93,W$50,$C$46)</f>
        <v>#NAME?</v>
      </c>
      <c r="X93" s="15" t="e">
        <f ca="1">_xll.DBRW($C$34,$M$73,$M$74,$F93,$H93,$E93,$B93,$C93,$D93,X$49,$G93,X$50,$C$46)</f>
        <v>#NAME?</v>
      </c>
      <c r="Y93" s="15" t="e">
        <f ca="1">_xll.DBRW($C$34,$M$73,$M$74,$F93,$H93,$E93,$B93,$C93,$D93,Y$49,$G93,Y$50,$C$46)</f>
        <v>#NAME?</v>
      </c>
      <c r="Z93" s="15" t="e">
        <f ca="1">_xll.DBRW($C$34,$M$73,$M$74,$F93,$H93,$E93,$B93,$C93,$D93,Z$49,$G93,Z$50,$C$46)</f>
        <v>#NAME?</v>
      </c>
      <c r="AA93" s="15" t="e">
        <f ca="1">_xll.DBRW($C$34,$M$73,$M$74,$F93,$H93,$E93,$B93,$C93,$D93,AA$49,$G93,AA$50,$C$46)</f>
        <v>#NAME?</v>
      </c>
      <c r="AB93" s="15" t="e">
        <f ca="1">_xll.DBRW($C$34,$M$73,$M$74,$F93,$H93,$E93,$B93,$C93,$D93,AB$49,$G93,AB$50,$C$46)</f>
        <v>#NAME?</v>
      </c>
      <c r="AC93" s="15" t="e">
        <f ca="1">_xll.DBRW($C$34,$M$73,$M$74,$F93,$H93,$E93,$B93,$C93,$D93,AC$49,$G93,AC$50,$C$46)</f>
        <v>#NAME?</v>
      </c>
      <c r="AD93" s="15" t="e">
        <f ca="1">_xll.DBRW($C$34,$M$73,$M$74,$F93,$H93,$E93,$B93,$C93,$D93,AD$49,$G93,AD$50,$C$46)</f>
        <v>#NAME?</v>
      </c>
      <c r="AE93" s="15" t="e">
        <f ca="1">_xll.DBRW($C$34,$M$73,$M$74,$F93,$H93,$E93,$B93,$C93,$D93,AE$49,$G93,AE$50,$C$46)</f>
        <v>#NAME?</v>
      </c>
      <c r="AF93" s="15" t="e">
        <f ca="1">_xll.DBRW($C$34,$M$73,$M$74,$F93,$H93,$E93,$B93,$C93,$D93,AF$49,$G93,AF$50,$C$46)</f>
        <v>#NAME?</v>
      </c>
      <c r="AG93" s="15" t="e">
        <f ca="1">_xll.DBRW($C$34,$M$73,$M$74,$F93,$H93,$E93,$B93,$C93,$D93,AG$49,$G93,AG$50,$C$46)</f>
        <v>#NAME?</v>
      </c>
      <c r="AH93" s="15" t="e">
        <f ca="1">_xll.DBRW($C$34,$M$73,$M$74,$F93,$H93,$E93,$B93,$C93,$D93,AH$49,$G93,AH$50,$C$46)</f>
        <v>#NAME?</v>
      </c>
    </row>
    <row r="94" spans="1:34" x14ac:dyDescent="0.25">
      <c r="B94" t="e">
        <f ca="1">$M$75</f>
        <v>#NAME?</v>
      </c>
      <c r="C94" t="s">
        <v>3</v>
      </c>
      <c r="D94" s="6" t="s">
        <v>116</v>
      </c>
      <c r="E94" t="s">
        <v>4</v>
      </c>
      <c r="F94" t="s">
        <v>5</v>
      </c>
      <c r="G94" t="s">
        <v>6</v>
      </c>
      <c r="H94" t="s">
        <v>7</v>
      </c>
      <c r="S94" s="21" t="e">
        <f ca="1">"Total " &amp; $M$75 &amp; " Net Cash (from)/to Investing Activities :"</f>
        <v>#NAME?</v>
      </c>
      <c r="T94" s="15" t="e">
        <f ca="1">_xll.DBRW($C$34,$M$73,$M$74,$F94,$H94,$E94,$B94,$C94,$D94,T$49,$G94,T$50,$C$46)</f>
        <v>#NAME?</v>
      </c>
      <c r="U94" s="15" t="e">
        <f ca="1">_xll.DBRW($C$34,$M$73,$M$74,$F94,$H94,$E94,$B94,$C94,$D94,U$49,$G94,U$50,$C$46)</f>
        <v>#NAME?</v>
      </c>
      <c r="V94" s="15" t="e">
        <f ca="1">_xll.DBRW($C$34,$M$73,$M$74,$F94,$H94,$E94,$B94,$C94,$D94,V$49,$G94,V$50,$C$46)</f>
        <v>#NAME?</v>
      </c>
      <c r="W94" s="15" t="e">
        <f ca="1">_xll.DBRW($C$34,$M$73,$M$74,$F94,$H94,$E94,$B94,$C94,$D94,W$49,$G94,W$50,$C$46)</f>
        <v>#NAME?</v>
      </c>
      <c r="X94" s="15" t="e">
        <f ca="1">_xll.DBRW($C$34,$M$73,$M$74,$F94,$H94,$E94,$B94,$C94,$D94,X$49,$G94,X$50,$C$46)</f>
        <v>#NAME?</v>
      </c>
      <c r="Y94" s="15" t="e">
        <f ca="1">_xll.DBRW($C$34,$M$73,$M$74,$F94,$H94,$E94,$B94,$C94,$D94,Y$49,$G94,Y$50,$C$46)</f>
        <v>#NAME?</v>
      </c>
      <c r="Z94" s="15" t="e">
        <f ca="1">_xll.DBRW($C$34,$M$73,$M$74,$F94,$H94,$E94,$B94,$C94,$D94,Z$49,$G94,Z$50,$C$46)</f>
        <v>#NAME?</v>
      </c>
      <c r="AA94" s="15" t="e">
        <f ca="1">_xll.DBRW($C$34,$M$73,$M$74,$F94,$H94,$E94,$B94,$C94,$D94,AA$49,$G94,AA$50,$C$46)</f>
        <v>#NAME?</v>
      </c>
      <c r="AB94" s="15" t="e">
        <f ca="1">_xll.DBRW($C$34,$M$73,$M$74,$F94,$H94,$E94,$B94,$C94,$D94,AB$49,$G94,AB$50,$C$46)</f>
        <v>#NAME?</v>
      </c>
      <c r="AC94" s="15" t="e">
        <f ca="1">_xll.DBRW($C$34,$M$73,$M$74,$F94,$H94,$E94,$B94,$C94,$D94,AC$49,$G94,AC$50,$C$46)</f>
        <v>#NAME?</v>
      </c>
      <c r="AD94" s="15" t="e">
        <f ca="1">_xll.DBRW($C$34,$M$73,$M$74,$F94,$H94,$E94,$B94,$C94,$D94,AD$49,$G94,AD$50,$C$46)</f>
        <v>#NAME?</v>
      </c>
      <c r="AE94" s="15" t="e">
        <f ca="1">_xll.DBRW($C$34,$M$73,$M$74,$F94,$H94,$E94,$B94,$C94,$D94,AE$49,$G94,AE$50,$C$46)</f>
        <v>#NAME?</v>
      </c>
      <c r="AF94" s="15" t="e">
        <f ca="1">_xll.DBRW($C$34,$M$73,$M$74,$F94,$H94,$E94,$B94,$C94,$D94,AF$49,$G94,AF$50,$C$46)</f>
        <v>#NAME?</v>
      </c>
      <c r="AG94" s="15" t="e">
        <f ca="1">_xll.DBRW($C$34,$M$73,$M$74,$F94,$H94,$E94,$B94,$C94,$D94,AG$49,$G94,AG$50,$C$46)</f>
        <v>#NAME?</v>
      </c>
      <c r="AH94" s="15" t="e">
        <f ca="1">_xll.DBRW($C$34,$M$73,$M$74,$F94,$H94,$E94,$B94,$C94,$D94,AH$49,$G94,AH$50,$C$46)</f>
        <v>#NAME?</v>
      </c>
    </row>
    <row r="95" spans="1:34" ht="5.0999999999999996" customHeight="1" x14ac:dyDescent="0.25"/>
    <row r="96" spans="1:34" ht="15.75" x14ac:dyDescent="0.25">
      <c r="L96" s="5" t="s">
        <v>119</v>
      </c>
    </row>
    <row r="97" spans="1:34" ht="30" x14ac:dyDescent="0.25">
      <c r="I97" t="s">
        <v>37</v>
      </c>
      <c r="L97" s="4" t="s">
        <v>131</v>
      </c>
      <c r="M97" s="4" t="s">
        <v>12</v>
      </c>
      <c r="N97" s="4"/>
      <c r="O97" s="4" t="s">
        <v>13</v>
      </c>
      <c r="P97" s="4" t="s">
        <v>14</v>
      </c>
      <c r="Q97" s="4" t="s">
        <v>15</v>
      </c>
      <c r="R97" s="4" t="s">
        <v>146</v>
      </c>
      <c r="S97" s="33" t="s">
        <v>95</v>
      </c>
      <c r="T97" s="7" t="s">
        <v>55</v>
      </c>
      <c r="U97" s="7" t="e">
        <f ca="1">U$50</f>
        <v>#NAME?</v>
      </c>
      <c r="V97" s="7" t="e">
        <f t="shared" ref="V97:AG97" ca="1" si="8">V$50</f>
        <v>#NAME?</v>
      </c>
      <c r="W97" s="7" t="e">
        <f t="shared" ca="1" si="8"/>
        <v>#NAME?</v>
      </c>
      <c r="X97" s="7" t="e">
        <f t="shared" ca="1" si="8"/>
        <v>#NAME?</v>
      </c>
      <c r="Y97" s="7" t="e">
        <f t="shared" ca="1" si="8"/>
        <v>#NAME?</v>
      </c>
      <c r="Z97" s="7" t="e">
        <f t="shared" ca="1" si="8"/>
        <v>#NAME?</v>
      </c>
      <c r="AA97" s="7" t="e">
        <f t="shared" ca="1" si="8"/>
        <v>#NAME?</v>
      </c>
      <c r="AB97" s="7" t="e">
        <f t="shared" ca="1" si="8"/>
        <v>#NAME?</v>
      </c>
      <c r="AC97" s="7" t="e">
        <f t="shared" ca="1" si="8"/>
        <v>#NAME?</v>
      </c>
      <c r="AD97" s="7" t="e">
        <f t="shared" ca="1" si="8"/>
        <v>#NAME?</v>
      </c>
      <c r="AE97" s="7" t="e">
        <f t="shared" ca="1" si="8"/>
        <v>#NAME?</v>
      </c>
      <c r="AF97" s="7" t="e">
        <f t="shared" ca="1" si="8"/>
        <v>#NAME?</v>
      </c>
      <c r="AG97" s="7" t="str">
        <f t="shared" si="8"/>
        <v>Jun YTD</v>
      </c>
      <c r="AH97" s="7" t="s">
        <v>59</v>
      </c>
    </row>
    <row r="98" spans="1:34" x14ac:dyDescent="0.25">
      <c r="A98" t="e">
        <f ca="1">IF(_xll.TM1RPTELISCONSOLIDATED($H$98,$H98),IF(_xll.TM1RPTELLEV($H$98,$H98)&lt;=3,_xll.TM1RPTELLEV($H$98,$H98),"D"),IF($I98=$I97,"N0","N"))</f>
        <v>#NAME?</v>
      </c>
      <c r="B98" s="3" t="e">
        <f ca="1">_xll.TM1RPTROW($C$31,db_name&amp;":programme","","","code and description",0,$C$35)</f>
        <v>#NAME?</v>
      </c>
      <c r="C98" s="38" t="e">
        <f ca="1">_xll.TM1RPTROW($C$31,db_name&amp;":appropriation item","sys_all-n","","code and description",0)</f>
        <v>#NAME?</v>
      </c>
      <c r="D98" s="17" t="e">
        <f ca="1">_xll.TM1RPTROW($C$31,db_name&amp;":account","","","code and description",0,$C$39)</f>
        <v>#NAME?</v>
      </c>
      <c r="E98" s="17" t="e">
        <f ca="1">_xll.TM1RPTROW($C$31,db_name&amp;":movement account","","","code and description",0,$C$42)</f>
        <v>#NAME?</v>
      </c>
      <c r="F98" s="17" t="e">
        <f ca="1">_xll.TM1RPTROW($C$31,db_name&amp;":related entity","","","code and description",0,$C$43)</f>
        <v>#NAME?</v>
      </c>
      <c r="G98" s="17" t="e">
        <f ca="1">_xll.TM1RPTROW($C$31,db_name&amp;":jurisdiction","","","",0,$C$44)</f>
        <v>#NAME?</v>
      </c>
      <c r="H98" s="20" t="e">
        <f ca="1">_xll.TM1RPTROW($C$31,db_name&amp;":spp","","","",0,$C$45)</f>
        <v>#NAME?</v>
      </c>
      <c r="I98" s="19" t="e">
        <f ca="1">_xll.ELPAR(db_name&amp;":programme",$B98,1)</f>
        <v>#NAME?</v>
      </c>
      <c r="L98" s="16" t="e">
        <f ca="1">$B98</f>
        <v>#NAME?</v>
      </c>
      <c r="M98" s="16" t="e">
        <f ca="1">$D98</f>
        <v>#NAME?</v>
      </c>
      <c r="N98" s="16" t="e">
        <f t="shared" ref="N98" ca="1" si="9">$E98</f>
        <v>#NAME?</v>
      </c>
      <c r="O98" s="16" t="e">
        <f ca="1">$F98</f>
        <v>#NAME?</v>
      </c>
      <c r="P98" s="19" t="e">
        <f ca="1">$G98</f>
        <v>#NAME?</v>
      </c>
      <c r="Q98" s="19" t="e">
        <f ca="1">$H98</f>
        <v>#NAME?</v>
      </c>
      <c r="R98" s="19" t="e">
        <f ca="1">$C98</f>
        <v>#NAME?</v>
      </c>
      <c r="S98" s="16" t="e">
        <f ca="1">_xll.DBRW($C$34,$M$73,$M$74,$F98,$H98,$E98,$B98,$C98,$D98,AG$49,$G98,S$50,$S$49)</f>
        <v>#NAME?</v>
      </c>
      <c r="T98" s="15" t="e">
        <f ca="1">_xll.DBRW($C$31,$M$73,$M$74,$F98,$H98,$E98,$B98,$C98,$D98,T$49,$G98,T$50,$C$46)</f>
        <v>#NAME?</v>
      </c>
      <c r="U98" s="27" t="e">
        <f ca="1">_xll.DBRW($C$31,$M$73,$M$74,$F98,$H98,$E98,$B98,$C98,$D98,U$49,$G98,U$50,$C$46)</f>
        <v>#NAME?</v>
      </c>
      <c r="V98" s="27" t="e">
        <f ca="1">_xll.DBRW($C$31,$M$73,$M$74,$F98,$H98,$E98,$B98,$C98,$D98,V$49,$G98,V$50,$C$46)</f>
        <v>#NAME?</v>
      </c>
      <c r="W98" s="27" t="e">
        <f ca="1">_xll.DBRW($C$31,$M$73,$M$74,$F98,$H98,$E98,$B98,$C98,$D98,W$49,$G98,W$50,$C$46)</f>
        <v>#NAME?</v>
      </c>
      <c r="X98" s="27" t="e">
        <f ca="1">_xll.DBRW($C$31,$M$73,$M$74,$F98,$H98,$E98,$B98,$C98,$D98,X$49,$G98,X$50,$C$46)</f>
        <v>#NAME?</v>
      </c>
      <c r="Y98" s="27" t="e">
        <f ca="1">_xll.DBRW($C$31,$M$73,$M$74,$F98,$H98,$E98,$B98,$C98,$D98,Y$49,$G98,Y$50,$C$46)</f>
        <v>#NAME?</v>
      </c>
      <c r="Z98" s="27" t="e">
        <f ca="1">_xll.DBRW($C$31,$M$73,$M$74,$F98,$H98,$E98,$B98,$C98,$D98,Z$49,$G98,Z$50,$C$46)</f>
        <v>#NAME?</v>
      </c>
      <c r="AA98" s="27" t="e">
        <f ca="1">_xll.DBRW($C$31,$M$73,$M$74,$F98,$H98,$E98,$B98,$C98,$D98,AA$49,$G98,AA$50,$C$46)</f>
        <v>#NAME?</v>
      </c>
      <c r="AB98" s="27" t="e">
        <f ca="1">_xll.DBRW($C$31,$M$73,$M$74,$F98,$H98,$E98,$B98,$C98,$D98,AB$49,$G98,AB$50,$C$46)</f>
        <v>#NAME?</v>
      </c>
      <c r="AC98" s="27" t="e">
        <f ca="1">_xll.DBRW($C$31,$M$73,$M$74,$F98,$H98,$E98,$B98,$C98,$D98,AC$49,$G98,AC$50,$C$46)</f>
        <v>#NAME?</v>
      </c>
      <c r="AD98" s="27" t="e">
        <f ca="1">_xll.DBRW($C$31,$M$73,$M$74,$F98,$H98,$E98,$B98,$C98,$D98,AD$49,$G98,AD$50,$C$46)</f>
        <v>#NAME?</v>
      </c>
      <c r="AE98" s="27" t="e">
        <f ca="1">_xll.DBRW($C$31,$M$73,$M$74,$F98,$H98,$E98,$B98,$C98,$D98,AE$49,$G98,AE$50,$C$46)</f>
        <v>#NAME?</v>
      </c>
      <c r="AF98" s="27" t="e">
        <f ca="1">_xll.DBRW($C$31,$M$73,$M$74,$F98,$H98,$E98,$B98,$C98,$D98,AF$49,$G98,AF$50,$C$46)</f>
        <v>#NAME?</v>
      </c>
      <c r="AG98" s="15" t="e">
        <f ca="1">_xll.DBRW($C$34,$M$73,$M$74,$F98,$H98,$E98,$B98,$C98,$D98,AG$49,$G98,AG$50,$C$46)</f>
        <v>#NAME?</v>
      </c>
      <c r="AH98" s="15" t="e">
        <f ca="1">T98-AG98</f>
        <v>#NAME?</v>
      </c>
    </row>
    <row r="99" spans="1:34" ht="5.0999999999999996" customHeight="1" x14ac:dyDescent="0.25"/>
    <row r="100" spans="1:34" x14ac:dyDescent="0.25">
      <c r="B100" t="e">
        <f ca="1">$M$75</f>
        <v>#NAME?</v>
      </c>
      <c r="C100" t="s">
        <v>3</v>
      </c>
      <c r="D100" s="6" t="s">
        <v>114</v>
      </c>
      <c r="E100" t="s">
        <v>4</v>
      </c>
      <c r="F100" t="s">
        <v>5</v>
      </c>
      <c r="G100" t="s">
        <v>6</v>
      </c>
      <c r="H100" t="s">
        <v>7</v>
      </c>
      <c r="S100" s="21" t="e">
        <f ca="1">"Total " &amp; $M$75 &amp; " Cash Received From Financing Activities :"</f>
        <v>#NAME?</v>
      </c>
      <c r="T100" s="15" t="e">
        <f ca="1">_xll.DBRW($C$34,$M$73,$M$74,$F100,$H100,$E100,$B100,$C100,$D100,T$49,$G100,T$50,$C$46)</f>
        <v>#NAME?</v>
      </c>
      <c r="U100" s="15" t="e">
        <f ca="1">_xll.DBRW($C$34,$M$73,$M$74,$F100,$H100,$E100,$B100,$C100,$D100,U$49,$G100,U$50,$C$46)</f>
        <v>#NAME?</v>
      </c>
      <c r="V100" s="15" t="e">
        <f ca="1">_xll.DBRW($C$34,$M$73,$M$74,$F100,$H100,$E100,$B100,$C100,$D100,V$49,$G100,V$50,$C$46)</f>
        <v>#NAME?</v>
      </c>
      <c r="W100" s="15" t="e">
        <f ca="1">_xll.DBRW($C$34,$M$73,$M$74,$F100,$H100,$E100,$B100,$C100,$D100,W$49,$G100,W$50,$C$46)</f>
        <v>#NAME?</v>
      </c>
      <c r="X100" s="15" t="e">
        <f ca="1">_xll.DBRW($C$34,$M$73,$M$74,$F100,$H100,$E100,$B100,$C100,$D100,X$49,$G100,X$50,$C$46)</f>
        <v>#NAME?</v>
      </c>
      <c r="Y100" s="15" t="e">
        <f ca="1">_xll.DBRW($C$34,$M$73,$M$74,$F100,$H100,$E100,$B100,$C100,$D100,Y$49,$G100,Y$50,$C$46)</f>
        <v>#NAME?</v>
      </c>
      <c r="Z100" s="15" t="e">
        <f ca="1">_xll.DBRW($C$34,$M$73,$M$74,$F100,$H100,$E100,$B100,$C100,$D100,Z$49,$G100,Z$50,$C$46)</f>
        <v>#NAME?</v>
      </c>
      <c r="AA100" s="15" t="e">
        <f ca="1">_xll.DBRW($C$34,$M$73,$M$74,$F100,$H100,$E100,$B100,$C100,$D100,AA$49,$G100,AA$50,$C$46)</f>
        <v>#NAME?</v>
      </c>
      <c r="AB100" s="15" t="e">
        <f ca="1">_xll.DBRW($C$34,$M$73,$M$74,$F100,$H100,$E100,$B100,$C100,$D100,AB$49,$G100,AB$50,$C$46)</f>
        <v>#NAME?</v>
      </c>
      <c r="AC100" s="15" t="e">
        <f ca="1">_xll.DBRW($C$34,$M$73,$M$74,$F100,$H100,$E100,$B100,$C100,$D100,AC$49,$G100,AC$50,$C$46)</f>
        <v>#NAME?</v>
      </c>
      <c r="AD100" s="15" t="e">
        <f ca="1">_xll.DBRW($C$34,$M$73,$M$74,$F100,$H100,$E100,$B100,$C100,$D100,AD$49,$G100,AD$50,$C$46)</f>
        <v>#NAME?</v>
      </c>
      <c r="AE100" s="15" t="e">
        <f ca="1">_xll.DBRW($C$34,$M$73,$M$74,$F100,$H100,$E100,$B100,$C100,$D100,AE$49,$G100,AE$50,$C$46)</f>
        <v>#NAME?</v>
      </c>
      <c r="AF100" s="15" t="e">
        <f ca="1">_xll.DBRW($C$34,$M$73,$M$74,$F100,$H100,$E100,$B100,$C100,$D100,AF$49,$G100,AF$50,$C$46)</f>
        <v>#NAME?</v>
      </c>
      <c r="AG100" s="15" t="e">
        <f ca="1">_xll.DBRW($C$34,$M$73,$M$74,$F100,$H100,$E100,$B100,$C100,$D100,AG$49,$G100,AG$50,$C$46)</f>
        <v>#NAME?</v>
      </c>
      <c r="AH100" s="15" t="e">
        <f ca="1">_xll.DBRW($C$34,$M$73,$M$74,$F100,$H100,$E100,$B100,$C100,$D100,AH$49,$G100,AH$50,$C$46)</f>
        <v>#NAME?</v>
      </c>
    </row>
    <row r="101" spans="1:34" x14ac:dyDescent="0.25">
      <c r="B101" t="e">
        <f ca="1">$M$75</f>
        <v>#NAME?</v>
      </c>
      <c r="C101" t="s">
        <v>3</v>
      </c>
      <c r="D101" s="6" t="s">
        <v>115</v>
      </c>
      <c r="E101" t="s">
        <v>4</v>
      </c>
      <c r="F101" t="s">
        <v>5</v>
      </c>
      <c r="G101" t="s">
        <v>6</v>
      </c>
      <c r="H101" t="s">
        <v>7</v>
      </c>
      <c r="S101" s="21" t="e">
        <f ca="1">"Total " &amp; $M$75 &amp; " Used For Financing Activities :"</f>
        <v>#NAME?</v>
      </c>
      <c r="T101" s="15" t="e">
        <f ca="1">_xll.DBRW($C$34,$M$73,$M$74,$F101,$H101,$E101,$B101,$C101,$D101,T$49,$G101,T$50,$C$46)</f>
        <v>#NAME?</v>
      </c>
      <c r="U101" s="15" t="e">
        <f ca="1">_xll.DBRW($C$34,$M$73,$M$74,$F101,$H101,$E101,$B101,$C101,$D101,U$49,$G101,U$50,$C$46)</f>
        <v>#NAME?</v>
      </c>
      <c r="V101" s="15" t="e">
        <f ca="1">_xll.DBRW($C$34,$M$73,$M$74,$F101,$H101,$E101,$B101,$C101,$D101,V$49,$G101,V$50,$C$46)</f>
        <v>#NAME?</v>
      </c>
      <c r="W101" s="15" t="e">
        <f ca="1">_xll.DBRW($C$34,$M$73,$M$74,$F101,$H101,$E101,$B101,$C101,$D101,W$49,$G101,W$50,$C$46)</f>
        <v>#NAME?</v>
      </c>
      <c r="X101" s="15" t="e">
        <f ca="1">_xll.DBRW($C$34,$M$73,$M$74,$F101,$H101,$E101,$B101,$C101,$D101,X$49,$G101,X$50,$C$46)</f>
        <v>#NAME?</v>
      </c>
      <c r="Y101" s="15" t="e">
        <f ca="1">_xll.DBRW($C$34,$M$73,$M$74,$F101,$H101,$E101,$B101,$C101,$D101,Y$49,$G101,Y$50,$C$46)</f>
        <v>#NAME?</v>
      </c>
      <c r="Z101" s="15" t="e">
        <f ca="1">_xll.DBRW($C$34,$M$73,$M$74,$F101,$H101,$E101,$B101,$C101,$D101,Z$49,$G101,Z$50,$C$46)</f>
        <v>#NAME?</v>
      </c>
      <c r="AA101" s="15" t="e">
        <f ca="1">_xll.DBRW($C$34,$M$73,$M$74,$F101,$H101,$E101,$B101,$C101,$D101,AA$49,$G101,AA$50,$C$46)</f>
        <v>#NAME?</v>
      </c>
      <c r="AB101" s="15" t="e">
        <f ca="1">_xll.DBRW($C$34,$M$73,$M$74,$F101,$H101,$E101,$B101,$C101,$D101,AB$49,$G101,AB$50,$C$46)</f>
        <v>#NAME?</v>
      </c>
      <c r="AC101" s="15" t="e">
        <f ca="1">_xll.DBRW($C$34,$M$73,$M$74,$F101,$H101,$E101,$B101,$C101,$D101,AC$49,$G101,AC$50,$C$46)</f>
        <v>#NAME?</v>
      </c>
      <c r="AD101" s="15" t="e">
        <f ca="1">_xll.DBRW($C$34,$M$73,$M$74,$F101,$H101,$E101,$B101,$C101,$D101,AD$49,$G101,AD$50,$C$46)</f>
        <v>#NAME?</v>
      </c>
      <c r="AE101" s="15" t="e">
        <f ca="1">_xll.DBRW($C$34,$M$73,$M$74,$F101,$H101,$E101,$B101,$C101,$D101,AE$49,$G101,AE$50,$C$46)</f>
        <v>#NAME?</v>
      </c>
      <c r="AF101" s="15" t="e">
        <f ca="1">_xll.DBRW($C$34,$M$73,$M$74,$F101,$H101,$E101,$B101,$C101,$D101,AF$49,$G101,AF$50,$C$46)</f>
        <v>#NAME?</v>
      </c>
      <c r="AG101" s="15" t="e">
        <f ca="1">_xll.DBRW($C$34,$M$73,$M$74,$F101,$H101,$E101,$B101,$C101,$D101,AG$49,$G101,AG$50,$C$46)</f>
        <v>#NAME?</v>
      </c>
      <c r="AH101" s="15" t="e">
        <f ca="1">_xll.DBRW($C$34,$M$73,$M$74,$F101,$H101,$E101,$B101,$C101,$D101,AH$49,$G101,AH$50,$C$46)</f>
        <v>#NAME?</v>
      </c>
    </row>
    <row r="102" spans="1:34" x14ac:dyDescent="0.25">
      <c r="B102" t="e">
        <f ca="1">$M$75</f>
        <v>#NAME?</v>
      </c>
      <c r="C102" t="s">
        <v>3</v>
      </c>
      <c r="D102" s="6" t="s">
        <v>118</v>
      </c>
      <c r="E102" t="s">
        <v>4</v>
      </c>
      <c r="F102" t="s">
        <v>5</v>
      </c>
      <c r="G102" t="s">
        <v>6</v>
      </c>
      <c r="H102" t="s">
        <v>7</v>
      </c>
      <c r="S102" s="21" t="e">
        <f ca="1">"Total " &amp; $M$75 &amp; " Net Cash (from)/to Financing Activities :"</f>
        <v>#NAME?</v>
      </c>
      <c r="T102" s="15" t="e">
        <f ca="1">_xll.DBRW($C$34,$M$73,$M$74,$F102,$H102,$E102,$B102,$C102,$D102,T$49,$G102,T$50,$C$46)</f>
        <v>#NAME?</v>
      </c>
      <c r="U102" s="15" t="e">
        <f ca="1">_xll.DBRW($C$34,$M$73,$M$74,$F102,$H102,$E102,$B102,$C102,$D102,U$49,$G102,U$50,$C$46)</f>
        <v>#NAME?</v>
      </c>
      <c r="V102" s="15" t="e">
        <f ca="1">_xll.DBRW($C$34,$M$73,$M$74,$F102,$H102,$E102,$B102,$C102,$D102,V$49,$G102,V$50,$C$46)</f>
        <v>#NAME?</v>
      </c>
      <c r="W102" s="15" t="e">
        <f ca="1">_xll.DBRW($C$34,$M$73,$M$74,$F102,$H102,$E102,$B102,$C102,$D102,W$49,$G102,W$50,$C$46)</f>
        <v>#NAME?</v>
      </c>
      <c r="X102" s="15" t="e">
        <f ca="1">_xll.DBRW($C$34,$M$73,$M$74,$F102,$H102,$E102,$B102,$C102,$D102,X$49,$G102,X$50,$C$46)</f>
        <v>#NAME?</v>
      </c>
      <c r="Y102" s="15" t="e">
        <f ca="1">_xll.DBRW($C$34,$M$73,$M$74,$F102,$H102,$E102,$B102,$C102,$D102,Y$49,$G102,Y$50,$C$46)</f>
        <v>#NAME?</v>
      </c>
      <c r="Z102" s="15" t="e">
        <f ca="1">_xll.DBRW($C$34,$M$73,$M$74,$F102,$H102,$E102,$B102,$C102,$D102,Z$49,$G102,Z$50,$C$46)</f>
        <v>#NAME?</v>
      </c>
      <c r="AA102" s="15" t="e">
        <f ca="1">_xll.DBRW($C$34,$M$73,$M$74,$F102,$H102,$E102,$B102,$C102,$D102,AA$49,$G102,AA$50,$C$46)</f>
        <v>#NAME?</v>
      </c>
      <c r="AB102" s="15" t="e">
        <f ca="1">_xll.DBRW($C$34,$M$73,$M$74,$F102,$H102,$E102,$B102,$C102,$D102,AB$49,$G102,AB$50,$C$46)</f>
        <v>#NAME?</v>
      </c>
      <c r="AC102" s="15" t="e">
        <f ca="1">_xll.DBRW($C$34,$M$73,$M$74,$F102,$H102,$E102,$B102,$C102,$D102,AC$49,$G102,AC$50,$C$46)</f>
        <v>#NAME?</v>
      </c>
      <c r="AD102" s="15" t="e">
        <f ca="1">_xll.DBRW($C$34,$M$73,$M$74,$F102,$H102,$E102,$B102,$C102,$D102,AD$49,$G102,AD$50,$C$46)</f>
        <v>#NAME?</v>
      </c>
      <c r="AE102" s="15" t="e">
        <f ca="1">_xll.DBRW($C$34,$M$73,$M$74,$F102,$H102,$E102,$B102,$C102,$D102,AE$49,$G102,AE$50,$C$46)</f>
        <v>#NAME?</v>
      </c>
      <c r="AF102" s="15" t="e">
        <f ca="1">_xll.DBRW($C$34,$M$73,$M$74,$F102,$H102,$E102,$B102,$C102,$D102,AF$49,$G102,AF$50,$C$46)</f>
        <v>#NAME?</v>
      </c>
      <c r="AG102" s="15" t="e">
        <f ca="1">_xll.DBRW($C$34,$M$73,$M$74,$F102,$H102,$E102,$B102,$C102,$D102,AG$49,$G102,AG$50,$C$46)</f>
        <v>#NAME?</v>
      </c>
      <c r="AH102" s="15" t="e">
        <f ca="1">_xll.DBRW($C$34,$M$73,$M$74,$F102,$H102,$E102,$B102,$C102,$D102,AH$49,$G102,AH$50,$C$46)</f>
        <v>#NAME?</v>
      </c>
    </row>
    <row r="103" spans="1:34" ht="15.75" x14ac:dyDescent="0.25">
      <c r="L103" s="5" t="s">
        <v>120</v>
      </c>
    </row>
    <row r="104" spans="1:34" ht="30" x14ac:dyDescent="0.25">
      <c r="I104" t="s">
        <v>37</v>
      </c>
      <c r="L104" s="4" t="s">
        <v>131</v>
      </c>
      <c r="M104" s="4" t="s">
        <v>12</v>
      </c>
      <c r="N104" s="4"/>
      <c r="O104" s="4" t="s">
        <v>13</v>
      </c>
      <c r="P104" s="4" t="s">
        <v>14</v>
      </c>
      <c r="Q104" s="4" t="s">
        <v>15</v>
      </c>
      <c r="R104" s="4" t="s">
        <v>146</v>
      </c>
      <c r="S104" s="33" t="s">
        <v>95</v>
      </c>
      <c r="T104" s="7" t="s">
        <v>55</v>
      </c>
      <c r="U104" s="7" t="e">
        <f ca="1">U$50</f>
        <v>#NAME?</v>
      </c>
      <c r="V104" s="7" t="e">
        <f t="shared" ref="V104:AG104" ca="1" si="10">V$50</f>
        <v>#NAME?</v>
      </c>
      <c r="W104" s="7" t="e">
        <f t="shared" ca="1" si="10"/>
        <v>#NAME?</v>
      </c>
      <c r="X104" s="7" t="e">
        <f t="shared" ca="1" si="10"/>
        <v>#NAME?</v>
      </c>
      <c r="Y104" s="7" t="e">
        <f t="shared" ca="1" si="10"/>
        <v>#NAME?</v>
      </c>
      <c r="Z104" s="7" t="e">
        <f t="shared" ca="1" si="10"/>
        <v>#NAME?</v>
      </c>
      <c r="AA104" s="7" t="e">
        <f t="shared" ca="1" si="10"/>
        <v>#NAME?</v>
      </c>
      <c r="AB104" s="7" t="e">
        <f t="shared" ca="1" si="10"/>
        <v>#NAME?</v>
      </c>
      <c r="AC104" s="7" t="e">
        <f t="shared" ca="1" si="10"/>
        <v>#NAME?</v>
      </c>
      <c r="AD104" s="7" t="e">
        <f t="shared" ca="1" si="10"/>
        <v>#NAME?</v>
      </c>
      <c r="AE104" s="7" t="e">
        <f t="shared" ca="1" si="10"/>
        <v>#NAME?</v>
      </c>
      <c r="AF104" s="7" t="e">
        <f t="shared" ca="1" si="10"/>
        <v>#NAME?</v>
      </c>
      <c r="AG104" s="7" t="str">
        <f t="shared" si="10"/>
        <v>Jun YTD</v>
      </c>
      <c r="AH104" s="7" t="s">
        <v>59</v>
      </c>
    </row>
    <row r="105" spans="1:34" x14ac:dyDescent="0.25">
      <c r="A105" t="e">
        <f ca="1">IF(_xll.TM1RPTELISCONSOLIDATED($H$105,$H105),IF(_xll.TM1RPTELLEV($H$105,$H105)&lt;=3,_xll.TM1RPTELLEV($H$105,$H105),"D"),IF($I105=$I104,"N0","N"))</f>
        <v>#NAME?</v>
      </c>
      <c r="B105" t="e">
        <f ca="1">_xll.TM1RPTROW($C$32,db_name&amp;":programme","","","code and description",0,$C$35)</f>
        <v>#NAME?</v>
      </c>
      <c r="C105" s="16" t="e">
        <f ca="1">_xll.TM1RPTROW($C$32,db_name&amp;":appropriation item","sys_all-n","","code and description",0)</f>
        <v>#NAME?</v>
      </c>
      <c r="D105" s="16" t="e">
        <f ca="1">_xll.TM1RPTROW($C$32,db_name&amp;":account","","","code and description",0,$C$40)</f>
        <v>#NAME?</v>
      </c>
      <c r="E105" s="16" t="e">
        <f ca="1">_xll.TM1RPTROW($C$32,db_name&amp;":movement account","","","code and description",0,$C$42)</f>
        <v>#NAME?</v>
      </c>
      <c r="F105" s="16" t="e">
        <f ca="1">_xll.TM1RPTROW($C$32,db_name&amp;":related entity","","","code and description",0,$C$43)</f>
        <v>#NAME?</v>
      </c>
      <c r="G105" s="16" t="e">
        <f ca="1">_xll.TM1RPTROW($C$32,db_name&amp;":jurisdiction","","","",0,$C$44)</f>
        <v>#NAME?</v>
      </c>
      <c r="H105" s="19" t="e">
        <f ca="1">_xll.TM1RPTROW($C$32,db_name&amp;":spp","","","",0,$C$45)</f>
        <v>#NAME?</v>
      </c>
      <c r="I105" s="19" t="e">
        <f ca="1">_xll.ELPAR(db_name&amp;":programme",$B105,1)</f>
        <v>#NAME?</v>
      </c>
      <c r="L105" s="16" t="e">
        <f ca="1">$B105</f>
        <v>#NAME?</v>
      </c>
      <c r="M105" s="16" t="e">
        <f ca="1">$D105</f>
        <v>#NAME?</v>
      </c>
      <c r="N105" s="16" t="e">
        <f t="shared" ref="N105" ca="1" si="11">$E105</f>
        <v>#NAME?</v>
      </c>
      <c r="O105" s="16" t="e">
        <f ca="1">$F105</f>
        <v>#NAME?</v>
      </c>
      <c r="P105" s="19" t="e">
        <f ca="1">$G105</f>
        <v>#NAME?</v>
      </c>
      <c r="Q105" s="19" t="e">
        <f ca="1">$H105</f>
        <v>#NAME?</v>
      </c>
      <c r="R105" s="19" t="e">
        <f ca="1">$C105</f>
        <v>#NAME?</v>
      </c>
      <c r="S105" s="16" t="e">
        <f ca="1">_xll.DBRW($C$34,$M$73,$M$74,$F105,$H105,$E105,$B105,$C105,$D105,AG$49,$G105,S$50,$S$49)</f>
        <v>#NAME?</v>
      </c>
      <c r="T105" s="15" t="e">
        <f ca="1">_xll.DBRW($C$32,$M$73,$M$74,$F105,$H105,$E105,$B105,$C105,$D105,T$49,$G105,T$50,$C$46)</f>
        <v>#NAME?</v>
      </c>
      <c r="U105" s="27" t="e">
        <f ca="1">_xll.DBRW($C$32,$M$73,$M$74,$F105,$H105,$E105,$B105,$C105,$D105,U$49,$G105,U$50,$C$46)</f>
        <v>#NAME?</v>
      </c>
      <c r="V105" s="27" t="e">
        <f ca="1">_xll.DBRW($C$32,$M$73,$M$74,$F105,$H105,$E105,$B105,$C105,$D105,V$49,$G105,V$50,$C$46)</f>
        <v>#NAME?</v>
      </c>
      <c r="W105" s="27" t="e">
        <f ca="1">_xll.DBRW($C$32,$M$73,$M$74,$F105,$H105,$E105,$B105,$C105,$D105,W$49,$G105,W$50,$C$46)</f>
        <v>#NAME?</v>
      </c>
      <c r="X105" s="27" t="e">
        <f ca="1">_xll.DBRW($C$32,$M$73,$M$74,$F105,$H105,$E105,$B105,$C105,$D105,X$49,$G105,X$50,$C$46)</f>
        <v>#NAME?</v>
      </c>
      <c r="Y105" s="27" t="e">
        <f ca="1">_xll.DBRW($C$32,$M$73,$M$74,$F105,$H105,$E105,$B105,$C105,$D105,Y$49,$G105,Y$50,$C$46)</f>
        <v>#NAME?</v>
      </c>
      <c r="Z105" s="27" t="e">
        <f ca="1">_xll.DBRW($C$32,$M$73,$M$74,$F105,$H105,$E105,$B105,$C105,$D105,Z$49,$G105,Z$50,$C$46)</f>
        <v>#NAME?</v>
      </c>
      <c r="AA105" s="27" t="e">
        <f ca="1">_xll.DBRW($C$32,$M$73,$M$74,$F105,$H105,$E105,$B105,$C105,$D105,AA$49,$G105,AA$50,$C$46)</f>
        <v>#NAME?</v>
      </c>
      <c r="AB105" s="27" t="e">
        <f ca="1">_xll.DBRW($C$32,$M$73,$M$74,$F105,$H105,$E105,$B105,$C105,$D105,AB$49,$G105,AB$50,$C$46)</f>
        <v>#NAME?</v>
      </c>
      <c r="AC105" s="27" t="e">
        <f ca="1">_xll.DBRW($C$32,$M$73,$M$74,$F105,$H105,$E105,$B105,$C105,$D105,AC$49,$G105,AC$50,$C$46)</f>
        <v>#NAME?</v>
      </c>
      <c r="AD105" s="27" t="e">
        <f ca="1">_xll.DBRW($C$32,$M$73,$M$74,$F105,$H105,$E105,$B105,$C105,$D105,AD$49,$G105,AD$50,$C$46)</f>
        <v>#NAME?</v>
      </c>
      <c r="AE105" s="27" t="e">
        <f ca="1">_xll.DBRW($C$32,$M$73,$M$74,$F105,$H105,$E105,$B105,$C105,$D105,AE$49,$G105,AE$50,$C$46)</f>
        <v>#NAME?</v>
      </c>
      <c r="AF105" s="27" t="e">
        <f ca="1">_xll.DBRW($C$32,$M$73,$M$74,$F105,$H105,$E105,$B105,$C105,$D105,AF$49,$G105,AF$50,$C$46)</f>
        <v>#NAME?</v>
      </c>
      <c r="AG105" s="15" t="e">
        <f ca="1">_xll.DBRW($C$34,$M$73,$M$74,$F105,$H105,$E105,$B105,$C105,$D105,AG$49,$G105,AG$50,$C$46)</f>
        <v>#NAME?</v>
      </c>
      <c r="AH105" s="15" t="e">
        <f ca="1">T105-AG105</f>
        <v>#NAME?</v>
      </c>
    </row>
    <row r="106" spans="1:34" ht="5.0999999999999996" customHeight="1" x14ac:dyDescent="0.25"/>
    <row r="107" spans="1:34" x14ac:dyDescent="0.25">
      <c r="B107" t="e">
        <f ca="1">$M$75</f>
        <v>#NAME?</v>
      </c>
      <c r="C107" t="s">
        <v>3</v>
      </c>
      <c r="D107" s="6" t="s">
        <v>123</v>
      </c>
      <c r="E107" t="s">
        <v>4</v>
      </c>
      <c r="F107" t="s">
        <v>5</v>
      </c>
      <c r="G107" t="s">
        <v>6</v>
      </c>
      <c r="H107" t="s">
        <v>7</v>
      </c>
      <c r="S107" s="21" t="e">
        <f ca="1">"Total " &amp; $M$75 &amp; " Net Cash from/(to) Clearing Accounts :"</f>
        <v>#NAME?</v>
      </c>
      <c r="T107" s="15" t="e">
        <f ca="1">_xll.DBRW($C$34,$M$73,$M$74,$F107,$H107,$E107,$B107,$C107,$D107,T$49,$G107,T$50,$C$46)</f>
        <v>#NAME?</v>
      </c>
      <c r="U107" s="15" t="e">
        <f ca="1">_xll.DBRW($C$34,$M$73,$M$74,$F107,$H107,$E107,$B107,$C107,$D107,U$49,$G107,U$50,$C$46)</f>
        <v>#NAME?</v>
      </c>
      <c r="V107" s="15" t="e">
        <f ca="1">_xll.DBRW($C$34,$M$73,$M$74,$F107,$H107,$E107,$B107,$C107,$D107,V$49,$G107,V$50,$C$46)</f>
        <v>#NAME?</v>
      </c>
      <c r="W107" s="15" t="e">
        <f ca="1">_xll.DBRW($C$34,$M$73,$M$74,$F107,$H107,$E107,$B107,$C107,$D107,W$49,$G107,W$50,$C$46)</f>
        <v>#NAME?</v>
      </c>
      <c r="X107" s="15" t="e">
        <f ca="1">_xll.DBRW($C$34,$M$73,$M$74,$F107,$H107,$E107,$B107,$C107,$D107,X$49,$G107,X$50,$C$46)</f>
        <v>#NAME?</v>
      </c>
      <c r="Y107" s="15" t="e">
        <f ca="1">_xll.DBRW($C$34,$M$73,$M$74,$F107,$H107,$E107,$B107,$C107,$D107,Y$49,$G107,Y$50,$C$46)</f>
        <v>#NAME?</v>
      </c>
      <c r="Z107" s="15" t="e">
        <f ca="1">_xll.DBRW($C$34,$M$73,$M$74,$F107,$H107,$E107,$B107,$C107,$D107,Z$49,$G107,Z$50,$C$46)</f>
        <v>#NAME?</v>
      </c>
      <c r="AA107" s="15" t="e">
        <f ca="1">_xll.DBRW($C$34,$M$73,$M$74,$F107,$H107,$E107,$B107,$C107,$D107,AA$49,$G107,AA$50,$C$46)</f>
        <v>#NAME?</v>
      </c>
      <c r="AB107" s="15" t="e">
        <f ca="1">_xll.DBRW($C$34,$M$73,$M$74,$F107,$H107,$E107,$B107,$C107,$D107,AB$49,$G107,AB$50,$C$46)</f>
        <v>#NAME?</v>
      </c>
      <c r="AC107" s="15" t="e">
        <f ca="1">_xll.DBRW($C$34,$M$73,$M$74,$F107,$H107,$E107,$B107,$C107,$D107,AC$49,$G107,AC$50,$C$46)</f>
        <v>#NAME?</v>
      </c>
      <c r="AD107" s="15" t="e">
        <f ca="1">_xll.DBRW($C$34,$M$73,$M$74,$F107,$H107,$E107,$B107,$C107,$D107,AD$49,$G107,AD$50,$C$46)</f>
        <v>#NAME?</v>
      </c>
      <c r="AE107" s="15" t="e">
        <f ca="1">_xll.DBRW($C$34,$M$73,$M$74,$F107,$H107,$E107,$B107,$C107,$D107,AE$49,$G107,AE$50,$C$46)</f>
        <v>#NAME?</v>
      </c>
      <c r="AF107" s="15" t="e">
        <f ca="1">_xll.DBRW($C$34,$M$73,$M$74,$F107,$H107,$E107,$B107,$C107,$D107,AF$49,$G107,AF$50,$C$46)</f>
        <v>#NAME?</v>
      </c>
      <c r="AG107" s="15" t="e">
        <f ca="1">_xll.DBRW($C$34,$M$73,$M$74,$F107,$H107,$E107,$B107,$C107,$D107,AG$49,$G107,AG$50,$C$46)</f>
        <v>#NAME?</v>
      </c>
      <c r="AH107" s="15" t="e">
        <f ca="1">_xll.DBRW($C$34,$M$73,$M$74,$F107,$H107,$E107,$B107,$C107,$D107,AH$49,$G107,AH$50,$C$46)</f>
        <v>#NAME?</v>
      </c>
    </row>
    <row r="108" spans="1:34" ht="15.75" x14ac:dyDescent="0.25">
      <c r="L108" s="5" t="s">
        <v>124</v>
      </c>
    </row>
    <row r="109" spans="1:34" ht="30" x14ac:dyDescent="0.25">
      <c r="I109" t="s">
        <v>37</v>
      </c>
      <c r="L109" s="4" t="s">
        <v>131</v>
      </c>
      <c r="M109" s="4" t="s">
        <v>12</v>
      </c>
      <c r="N109" s="4"/>
      <c r="O109" s="4" t="s">
        <v>13</v>
      </c>
      <c r="P109" s="4" t="s">
        <v>14</v>
      </c>
      <c r="Q109" s="4" t="s">
        <v>15</v>
      </c>
      <c r="R109" s="4" t="s">
        <v>146</v>
      </c>
      <c r="S109" s="33" t="s">
        <v>95</v>
      </c>
      <c r="T109" s="7" t="s">
        <v>55</v>
      </c>
      <c r="U109" s="7" t="e">
        <f ca="1">U$50</f>
        <v>#NAME?</v>
      </c>
      <c r="V109" s="7" t="e">
        <f t="shared" ref="V109:AG109" ca="1" si="12">V$50</f>
        <v>#NAME?</v>
      </c>
      <c r="W109" s="7" t="e">
        <f t="shared" ca="1" si="12"/>
        <v>#NAME?</v>
      </c>
      <c r="X109" s="7" t="e">
        <f t="shared" ca="1" si="12"/>
        <v>#NAME?</v>
      </c>
      <c r="Y109" s="7" t="e">
        <f t="shared" ca="1" si="12"/>
        <v>#NAME?</v>
      </c>
      <c r="Z109" s="7" t="e">
        <f t="shared" ca="1" si="12"/>
        <v>#NAME?</v>
      </c>
      <c r="AA109" s="7" t="e">
        <f t="shared" ca="1" si="12"/>
        <v>#NAME?</v>
      </c>
      <c r="AB109" s="7" t="e">
        <f t="shared" ca="1" si="12"/>
        <v>#NAME?</v>
      </c>
      <c r="AC109" s="7" t="e">
        <f t="shared" ca="1" si="12"/>
        <v>#NAME?</v>
      </c>
      <c r="AD109" s="7" t="e">
        <f t="shared" ca="1" si="12"/>
        <v>#NAME?</v>
      </c>
      <c r="AE109" s="7" t="e">
        <f t="shared" ca="1" si="12"/>
        <v>#NAME?</v>
      </c>
      <c r="AF109" s="7" t="e">
        <f t="shared" ca="1" si="12"/>
        <v>#NAME?</v>
      </c>
      <c r="AG109" s="7" t="str">
        <f t="shared" si="12"/>
        <v>Jun YTD</v>
      </c>
      <c r="AH109" s="7" t="s">
        <v>59</v>
      </c>
    </row>
    <row r="110" spans="1:34" x14ac:dyDescent="0.25">
      <c r="A110" t="e">
        <f ca="1">IF(_xll.TM1RPTELISCONSOLIDATED($H$110,$H110),IF(_xll.TM1RPTELLEV($H$110,$H110)&lt;=3,_xll.TM1RPTELLEV($H$110,$H110),"D"),IF($I110=$I109,"N0","N"))</f>
        <v>#NAME?</v>
      </c>
      <c r="B110" t="e">
        <f ca="1">_xll.TM1RPTROW($C$33,db_name&amp;":programme","","","code and description",0,$C$35)</f>
        <v>#NAME?</v>
      </c>
      <c r="C110" s="16" t="e">
        <f ca="1">_xll.TM1RPTROW($C$33,db_name&amp;":appropriation item","sys_all-n","","code and description",0)</f>
        <v>#NAME?</v>
      </c>
      <c r="D110" s="16" t="e">
        <f ca="1">_xll.TM1RPTROW($C$33,db_name&amp;":account","","","code and description",0,$C$41)</f>
        <v>#NAME?</v>
      </c>
      <c r="E110" s="16" t="e">
        <f ca="1">_xll.TM1RPTROW($C$33,db_name&amp;":movement account","","","code and description",0,$C$42)</f>
        <v>#NAME?</v>
      </c>
      <c r="F110" s="16" t="e">
        <f ca="1">_xll.TM1RPTROW($C$33,db_name&amp;":related entity","","","code and description",0,$C$43)</f>
        <v>#NAME?</v>
      </c>
      <c r="G110" s="16" t="e">
        <f ca="1">_xll.TM1RPTROW($C$33,db_name&amp;":jurisdiction","","","",0,$C$44)</f>
        <v>#NAME?</v>
      </c>
      <c r="H110" s="19" t="e">
        <f ca="1">_xll.TM1RPTROW($C$33,db_name&amp;":spp","","","",0,$C$45)</f>
        <v>#NAME?</v>
      </c>
      <c r="I110" s="19" t="e">
        <f ca="1">_xll.ELPAR(db_name&amp;":programme",$B110,1)</f>
        <v>#NAME?</v>
      </c>
      <c r="L110" s="16" t="e">
        <f ca="1">$B110</f>
        <v>#NAME?</v>
      </c>
      <c r="M110" s="16" t="e">
        <f ca="1">$D110</f>
        <v>#NAME?</v>
      </c>
      <c r="N110" s="16" t="e">
        <f t="shared" ref="N110" ca="1" si="13">$E110</f>
        <v>#NAME?</v>
      </c>
      <c r="O110" s="16" t="e">
        <f ca="1">$F110</f>
        <v>#NAME?</v>
      </c>
      <c r="P110" s="19" t="e">
        <f ca="1">$G110</f>
        <v>#NAME?</v>
      </c>
      <c r="Q110" s="19" t="e">
        <f ca="1">$H110</f>
        <v>#NAME?</v>
      </c>
      <c r="R110" s="19" t="e">
        <f ca="1">$C110</f>
        <v>#NAME?</v>
      </c>
      <c r="S110" s="16" t="e">
        <f ca="1">_xll.DBRW($C$34,$M$73,$M$74,$F110,$H110,$E110,$B110,$C110,$D110,AG$49,$G110,S$50,$S$49)</f>
        <v>#NAME?</v>
      </c>
      <c r="T110" s="15" t="e">
        <f ca="1">_xll.DBRW($C$33,$M$73,$M$74,$F110,$H110,$E110,$B110,$C110,$D110,T$49,$G110,T$50,$C$46)</f>
        <v>#NAME?</v>
      </c>
      <c r="U110" s="27" t="e">
        <f ca="1">_xll.DBRW($C$33,$M$73,$M$74,$F110,$H110,$E110,$B110,$C110,$D110,U$49,$G110,U$50,$C$46)</f>
        <v>#NAME?</v>
      </c>
      <c r="V110" s="27" t="e">
        <f ca="1">_xll.DBRW($C$33,$M$73,$M$74,$F110,$H110,$E110,$B110,$C110,$D110,V$49,$G110,V$50,$C$46)</f>
        <v>#NAME?</v>
      </c>
      <c r="W110" s="27" t="e">
        <f ca="1">_xll.DBRW($C$33,$M$73,$M$74,$F110,$H110,$E110,$B110,$C110,$D110,W$49,$G110,W$50,$C$46)</f>
        <v>#NAME?</v>
      </c>
      <c r="X110" s="27" t="e">
        <f ca="1">_xll.DBRW($C$33,$M$73,$M$74,$F110,$H110,$E110,$B110,$C110,$D110,X$49,$G110,X$50,$C$46)</f>
        <v>#NAME?</v>
      </c>
      <c r="Y110" s="27" t="e">
        <f ca="1">_xll.DBRW($C$33,$M$73,$M$74,$F110,$H110,$E110,$B110,$C110,$D110,Y$49,$G110,Y$50,$C$46)</f>
        <v>#NAME?</v>
      </c>
      <c r="Z110" s="27" t="e">
        <f ca="1">_xll.DBRW($C$33,$M$73,$M$74,$F110,$H110,$E110,$B110,$C110,$D110,Z$49,$G110,Z$50,$C$46)</f>
        <v>#NAME?</v>
      </c>
      <c r="AA110" s="27" t="e">
        <f ca="1">_xll.DBRW($C$33,$M$73,$M$74,$F110,$H110,$E110,$B110,$C110,$D110,AA$49,$G110,AA$50,$C$46)</f>
        <v>#NAME?</v>
      </c>
      <c r="AB110" s="27" t="e">
        <f ca="1">_xll.DBRW($C$33,$M$73,$M$74,$F110,$H110,$E110,$B110,$C110,$D110,AB$49,$G110,AB$50,$C$46)</f>
        <v>#NAME?</v>
      </c>
      <c r="AC110" s="27" t="e">
        <f ca="1">_xll.DBRW($C$33,$M$73,$M$74,$F110,$H110,$E110,$B110,$C110,$D110,AC$49,$G110,AC$50,$C$46)</f>
        <v>#NAME?</v>
      </c>
      <c r="AD110" s="27" t="e">
        <f ca="1">_xll.DBRW($C$33,$M$73,$M$74,$F110,$H110,$E110,$B110,$C110,$D110,AD$49,$G110,AD$50,$C$46)</f>
        <v>#NAME?</v>
      </c>
      <c r="AE110" s="27" t="e">
        <f ca="1">_xll.DBRW($C$33,$M$73,$M$74,$F110,$H110,$E110,$B110,$C110,$D110,AE$49,$G110,AE$50,$C$46)</f>
        <v>#NAME?</v>
      </c>
      <c r="AF110" s="27" t="e">
        <f ca="1">_xll.DBRW($C$33,$M$73,$M$74,$F110,$H110,$E110,$B110,$C110,$D110,AF$49,$G110,AF$50,$C$46)</f>
        <v>#NAME?</v>
      </c>
      <c r="AG110" s="15" t="e">
        <f ca="1">_xll.DBRW($C$34,$M$73,$M$74,$F110,$H110,$E110,$B110,$C110,$D110,AG$49,$G110,AG$50,$C$46)</f>
        <v>#NAME?</v>
      </c>
      <c r="AH110" s="15" t="e">
        <f ca="1">T110-AG110</f>
        <v>#NAME?</v>
      </c>
    </row>
    <row r="111" spans="1:34" ht="5.0999999999999996" customHeight="1" x14ac:dyDescent="0.25"/>
    <row r="112" spans="1:34" x14ac:dyDescent="0.25">
      <c r="B112" t="e">
        <f ca="1">$M$75</f>
        <v>#NAME?</v>
      </c>
      <c r="C112" t="s">
        <v>3</v>
      </c>
      <c r="D112" s="6" t="s">
        <v>123</v>
      </c>
      <c r="E112" t="s">
        <v>4</v>
      </c>
      <c r="F112" t="s">
        <v>5</v>
      </c>
      <c r="G112" t="s">
        <v>6</v>
      </c>
      <c r="H112" t="s">
        <v>7</v>
      </c>
      <c r="S112" s="21" t="e">
        <f ca="1">"Total " &amp; $M$75 &amp; " Net Cash from/(to) Clearing Accounts :"</f>
        <v>#NAME?</v>
      </c>
      <c r="T112" s="15" t="e">
        <f ca="1">_xll.DBRW($C$34,$M$73,$M$74,$F112,$H112,$E112,$B112,$C112,$D112,T$49,$G112,T$50,$C$46)</f>
        <v>#NAME?</v>
      </c>
      <c r="U112" s="15" t="e">
        <f ca="1">_xll.DBRW($C$34,$M$73,$M$74,$F112,$H112,$E112,$B112,$C112,$D112,U$49,$G112,U$50,$C$46)</f>
        <v>#NAME?</v>
      </c>
      <c r="V112" s="15" t="e">
        <f ca="1">_xll.DBRW($C$34,$M$73,$M$74,$F112,$H112,$E112,$B112,$C112,$D112,V$49,$G112,V$50,$C$46)</f>
        <v>#NAME?</v>
      </c>
      <c r="W112" s="15" t="e">
        <f ca="1">_xll.DBRW($C$34,$M$73,$M$74,$F112,$H112,$E112,$B112,$C112,$D112,W$49,$G112,W$50,$C$46)</f>
        <v>#NAME?</v>
      </c>
      <c r="X112" s="15" t="e">
        <f ca="1">_xll.DBRW($C$34,$M$73,$M$74,$F112,$H112,$E112,$B112,$C112,$D112,X$49,$G112,X$50,$C$46)</f>
        <v>#NAME?</v>
      </c>
      <c r="Y112" s="15" t="e">
        <f ca="1">_xll.DBRW($C$34,$M$73,$M$74,$F112,$H112,$E112,$B112,$C112,$D112,Y$49,$G112,Y$50,$C$46)</f>
        <v>#NAME?</v>
      </c>
      <c r="Z112" s="15" t="e">
        <f ca="1">_xll.DBRW($C$34,$M$73,$M$74,$F112,$H112,$E112,$B112,$C112,$D112,Z$49,$G112,Z$50,$C$46)</f>
        <v>#NAME?</v>
      </c>
      <c r="AA112" s="15" t="e">
        <f ca="1">_xll.DBRW($C$34,$M$73,$M$74,$F112,$H112,$E112,$B112,$C112,$D112,AA$49,$G112,AA$50,$C$46)</f>
        <v>#NAME?</v>
      </c>
      <c r="AB112" s="15" t="e">
        <f ca="1">_xll.DBRW($C$34,$M$73,$M$74,$F112,$H112,$E112,$B112,$C112,$D112,AB$49,$G112,AB$50,$C$46)</f>
        <v>#NAME?</v>
      </c>
      <c r="AC112" s="15" t="e">
        <f ca="1">_xll.DBRW($C$34,$M$73,$M$74,$F112,$H112,$E112,$B112,$C112,$D112,AC$49,$G112,AC$50,$C$46)</f>
        <v>#NAME?</v>
      </c>
      <c r="AD112" s="15" t="e">
        <f ca="1">_xll.DBRW($C$34,$M$73,$M$74,$F112,$H112,$E112,$B112,$C112,$D112,AD$49,$G112,AD$50,$C$46)</f>
        <v>#NAME?</v>
      </c>
      <c r="AE112" s="15" t="e">
        <f ca="1">_xll.DBRW($C$34,$M$73,$M$74,$F112,$H112,$E112,$B112,$C112,$D112,AE$49,$G112,AE$50,$C$46)</f>
        <v>#NAME?</v>
      </c>
      <c r="AF112" s="15" t="e">
        <f ca="1">_xll.DBRW($C$34,$M$73,$M$74,$F112,$H112,$E112,$B112,$C112,$D112,AF$49,$G112,AF$50,$C$46)</f>
        <v>#NAME?</v>
      </c>
      <c r="AG112" s="15" t="e">
        <f ca="1">_xll.DBRW($C$34,$M$73,$M$74,$F112,$H112,$E112,$B112,$C112,$D112,AG$49,$G112,AG$50,$C$46)</f>
        <v>#NAME?</v>
      </c>
      <c r="AH112" s="15" t="e">
        <f ca="1">_xll.DBRW($C$34,$M$73,$M$74,$F112,$H112,$E112,$B112,$C112,$D112,AH$49,$G112,AH$50,$C$46)</f>
        <v>#NAME?</v>
      </c>
    </row>
  </sheetData>
  <sheetProtection sheet="1" objects="1" scenarios="1"/>
  <mergeCells count="10">
    <mergeCell ref="U48:AG48"/>
    <mergeCell ref="B51:C51"/>
    <mergeCell ref="E11:F11"/>
    <mergeCell ref="B11:C11"/>
    <mergeCell ref="B28:C28"/>
    <mergeCell ref="B20:C20"/>
    <mergeCell ref="B48:C48"/>
    <mergeCell ref="B15:C15"/>
    <mergeCell ref="E21:F21"/>
    <mergeCell ref="E18:F18"/>
  </mergeCells>
  <conditionalFormatting sqref="U2:AF8">
    <cfRule type="expression" dxfId="1" priority="1">
      <formula>U$56="Y"</formula>
    </cfRule>
  </conditionalFormatting>
  <conditionalFormatting sqref="V2:AF6">
    <cfRule type="expression" dxfId="0" priority="21">
      <formula>V$54="Y"</formula>
    </cfRule>
  </conditionalFormatting>
  <hyperlinks>
    <hyperlink ref="C90" r:id="rId1" display="=@TM1RPTROW($C$30,db_name&amp;&quot;:appropriation item&quot;,&quot;sys_all-n&quot;,&quot;&quot;,&quot;code and description&quot;,0)" xr:uid="{00000000-0004-0000-0000-000000000000}"/>
    <hyperlink ref="C98" r:id="rId2" display="=@TM1RPTROW($C$31,db_name&amp;&quot;:appropriation item&quot;,&quot;sys_all-n&quot;,&quot;&quot;,&quot;code and description&quot;,0)" xr:uid="{00000000-0004-0000-0000-000001000000}"/>
  </hyperlinks>
  <pageMargins left="0.70866141732283472" right="0.70866141732283472" top="0.74803149606299213" bottom="0.74803149606299213" header="0.31496062992125984" footer="0.31496062992125984"/>
  <pageSetup paperSize="9" scale="41" fitToHeight="0" orientation="landscape" r:id="rId3"/>
  <drawing r:id="rId4"/>
  <legacyDrawing r:id="rId5"/>
  <controls>
    <mc:AlternateContent xmlns:mc="http://schemas.openxmlformats.org/markup-compatibility/2006">
      <mc:Choice Requires="x14">
        <control shapeId="1037" r:id="rId6" name="TIButton6">
          <controlPr defaultSize="0" print="0" autoLine="0" r:id="rId7">
            <anchor moveWithCells="1" sizeWithCells="1">
              <from>
                <xdr:col>14</xdr:col>
                <xdr:colOff>28575</xdr:colOff>
                <xdr:row>66</xdr:row>
                <xdr:rowOff>0</xdr:rowOff>
              </from>
              <to>
                <xdr:col>14</xdr:col>
                <xdr:colOff>1028700</xdr:colOff>
                <xdr:row>66</xdr:row>
                <xdr:rowOff>247650</xdr:rowOff>
              </to>
            </anchor>
          </controlPr>
        </control>
      </mc:Choice>
      <mc:Fallback>
        <control shapeId="1037" r:id="rId6" name="TIButton6"/>
      </mc:Fallback>
    </mc:AlternateContent>
    <mc:AlternateContent xmlns:mc="http://schemas.openxmlformats.org/markup-compatibility/2006">
      <mc:Choice Requires="x14">
        <control shapeId="1036" r:id="rId8" name="TIButton9">
          <controlPr defaultSize="0" print="0" autoLine="0" autoPict="0" r:id="rId9">
            <anchor moveWithCells="1" sizeWithCells="1">
              <from>
                <xdr:col>13</xdr:col>
                <xdr:colOff>857250</xdr:colOff>
                <xdr:row>66</xdr:row>
                <xdr:rowOff>0</xdr:rowOff>
              </from>
              <to>
                <xdr:col>14</xdr:col>
                <xdr:colOff>0</xdr:colOff>
                <xdr:row>66</xdr:row>
                <xdr:rowOff>247650</xdr:rowOff>
              </to>
            </anchor>
          </controlPr>
        </control>
      </mc:Choice>
      <mc:Fallback>
        <control shapeId="1036" r:id="rId8" name="TIButton9"/>
      </mc:Fallback>
    </mc:AlternateContent>
    <mc:AlternateContent xmlns:mc="http://schemas.openxmlformats.org/markup-compatibility/2006">
      <mc:Choice Requires="x14">
        <control shapeId="1035" r:id="rId10" name="TIButton8">
          <controlPr defaultSize="0" print="0" autoLine="0" autoPict="0" r:id="rId11">
            <anchor moveWithCells="1" sizeWithCells="1">
              <from>
                <xdr:col>12</xdr:col>
                <xdr:colOff>1590675</xdr:colOff>
                <xdr:row>66</xdr:row>
                <xdr:rowOff>0</xdr:rowOff>
              </from>
              <to>
                <xdr:col>13</xdr:col>
                <xdr:colOff>828675</xdr:colOff>
                <xdr:row>66</xdr:row>
                <xdr:rowOff>247650</xdr:rowOff>
              </to>
            </anchor>
          </controlPr>
        </control>
      </mc:Choice>
      <mc:Fallback>
        <control shapeId="1035" r:id="rId10" name="TIButton8"/>
      </mc:Fallback>
    </mc:AlternateContent>
    <mc:AlternateContent xmlns:mc="http://schemas.openxmlformats.org/markup-compatibility/2006">
      <mc:Choice Requires="x14">
        <control shapeId="1034" r:id="rId12" name="TIButton7">
          <controlPr defaultSize="0" print="0" autoLine="0" autoPict="0" r:id="rId13">
            <anchor moveWithCells="1" sizeWithCells="1">
              <from>
                <xdr:col>11</xdr:col>
                <xdr:colOff>695325</xdr:colOff>
                <xdr:row>66</xdr:row>
                <xdr:rowOff>0</xdr:rowOff>
              </from>
              <to>
                <xdr:col>11</xdr:col>
                <xdr:colOff>2019300</xdr:colOff>
                <xdr:row>66</xdr:row>
                <xdr:rowOff>247650</xdr:rowOff>
              </to>
            </anchor>
          </controlPr>
        </control>
      </mc:Choice>
      <mc:Fallback>
        <control shapeId="1034" r:id="rId12" name="TIButton7"/>
      </mc:Fallback>
    </mc:AlternateContent>
    <mc:AlternateContent xmlns:mc="http://schemas.openxmlformats.org/markup-compatibility/2006">
      <mc:Choice Requires="x14">
        <control shapeId="1028" r:id="rId14" name="TIButton3">
          <controlPr defaultSize="0" print="0" autoLine="0" autoPict="0" r:id="rId15">
            <anchor moveWithCells="1" sizeWithCells="1">
              <from>
                <xdr:col>16</xdr:col>
                <xdr:colOff>609600</xdr:colOff>
                <xdr:row>66</xdr:row>
                <xdr:rowOff>0</xdr:rowOff>
              </from>
              <to>
                <xdr:col>17</xdr:col>
                <xdr:colOff>876300</xdr:colOff>
                <xdr:row>66</xdr:row>
                <xdr:rowOff>247650</xdr:rowOff>
              </to>
            </anchor>
          </controlPr>
        </control>
      </mc:Choice>
      <mc:Fallback>
        <control shapeId="1028" r:id="rId14" name="TIButton3"/>
      </mc:Fallback>
    </mc:AlternateContent>
    <mc:AlternateContent xmlns:mc="http://schemas.openxmlformats.org/markup-compatibility/2006">
      <mc:Choice Requires="x14">
        <control shapeId="1027" r:id="rId16" name="TIButton2">
          <controlPr defaultSize="0" print="0" autoLine="0" autoPict="0" r:id="rId17">
            <anchor moveWithCells="1" sizeWithCells="1">
              <from>
                <xdr:col>11</xdr:col>
                <xdr:colOff>2047875</xdr:colOff>
                <xdr:row>65</xdr:row>
                <xdr:rowOff>57150</xdr:rowOff>
              </from>
              <to>
                <xdr:col>12</xdr:col>
                <xdr:colOff>438150</xdr:colOff>
                <xdr:row>66</xdr:row>
                <xdr:rowOff>247650</xdr:rowOff>
              </to>
            </anchor>
          </controlPr>
        </control>
      </mc:Choice>
      <mc:Fallback>
        <control shapeId="1027" r:id="rId16" name="TIButton2"/>
      </mc:Fallback>
    </mc:AlternateContent>
    <mc:AlternateContent xmlns:mc="http://schemas.openxmlformats.org/markup-compatibility/2006">
      <mc:Choice Requires="x14">
        <control shapeId="1026" r:id="rId18" name="TIButton1">
          <controlPr defaultSize="0" print="0" autoLine="0" autoPict="0" r:id="rId19">
            <anchor moveWithCells="1" sizeWithCells="1">
              <from>
                <xdr:col>11</xdr:col>
                <xdr:colOff>19050</xdr:colOff>
                <xdr:row>66</xdr:row>
                <xdr:rowOff>0</xdr:rowOff>
              </from>
              <to>
                <xdr:col>11</xdr:col>
                <xdr:colOff>666750</xdr:colOff>
                <xdr:row>66</xdr:row>
                <xdr:rowOff>247650</xdr:rowOff>
              </to>
            </anchor>
          </controlPr>
        </control>
      </mc:Choice>
      <mc:Fallback>
        <control shapeId="1026" r:id="rId18" name="TIButton1"/>
      </mc:Fallback>
    </mc:AlternateContent>
    <mc:AlternateContent xmlns:mc="http://schemas.openxmlformats.org/markup-compatibility/2006">
      <mc:Choice Requires="x14">
        <control shapeId="1032" r:id="rId20" name="TIButton4">
          <controlPr defaultSize="0" print="0" autoLine="0" autoPict="0" r:id="rId21">
            <anchor moveWithCells="1" sizeWithCells="1">
              <from>
                <xdr:col>12</xdr:col>
                <xdr:colOff>466725</xdr:colOff>
                <xdr:row>65</xdr:row>
                <xdr:rowOff>57150</xdr:rowOff>
              </from>
              <to>
                <xdr:col>12</xdr:col>
                <xdr:colOff>1562100</xdr:colOff>
                <xdr:row>66</xdr:row>
                <xdr:rowOff>247650</xdr:rowOff>
              </to>
            </anchor>
          </controlPr>
        </control>
      </mc:Choice>
      <mc:Fallback>
        <control shapeId="1032" r:id="rId20" name="TIButton4"/>
      </mc:Fallback>
    </mc:AlternateContent>
    <mc:AlternateContent xmlns:mc="http://schemas.openxmlformats.org/markup-compatibility/2006">
      <mc:Choice Requires="x14">
        <control shapeId="1038" r:id="rId22" name="TIButton5">
          <controlPr defaultSize="0" print="0" autoLine="0" autoPict="0" r:id="rId23">
            <anchor moveWithCells="1" sizeWithCells="1">
              <from>
                <xdr:col>14</xdr:col>
                <xdr:colOff>1066800</xdr:colOff>
                <xdr:row>66</xdr:row>
                <xdr:rowOff>0</xdr:rowOff>
              </from>
              <to>
                <xdr:col>16</xdr:col>
                <xdr:colOff>581025</xdr:colOff>
                <xdr:row>66</xdr:row>
                <xdr:rowOff>247650</xdr:rowOff>
              </to>
            </anchor>
          </controlPr>
        </control>
      </mc:Choice>
      <mc:Fallback>
        <control shapeId="1038" r:id="rId2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44</vt:i4>
      </vt:variant>
    </vt:vector>
  </HeadingPairs>
  <TitlesOfParts>
    <vt:vector size="45" baseType="lpstr">
      <vt:lpstr>cash flow</vt:lpstr>
      <vt:lpstr>db_name</vt:lpstr>
      <vt:lpstr>Freeze_Here</vt:lpstr>
      <vt:lpstr>'cash flow'!Print_Titles</vt:lpstr>
      <vt:lpstr>psHLYear</vt:lpstr>
      <vt:lpstr>psID</vt:lpstr>
      <vt:lpstr>psProg</vt:lpstr>
      <vt:lpstr>psScenario</vt:lpstr>
      <vt:lpstr>psUser</vt:lpstr>
      <vt:lpstr>TM1MEBSDataEntryCAP</vt:lpstr>
      <vt:lpstr>TM1MEBSDataEntryWB</vt:lpstr>
      <vt:lpstr>TM1MEBSDataEntryWS</vt:lpstr>
      <vt:lpstr>TM1MECCMapCAP</vt:lpstr>
      <vt:lpstr>TM1MECCMapWB</vt:lpstr>
      <vt:lpstr>TM1MECCMapWS</vt:lpstr>
      <vt:lpstr>TM1MECFDataEntryCAP</vt:lpstr>
      <vt:lpstr>TM1MECFDataEntryWB</vt:lpstr>
      <vt:lpstr>TM1MECFDataEntryWS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TM1MESummaryCAP</vt:lpstr>
      <vt:lpstr>TM1MESummaryWB</vt:lpstr>
      <vt:lpstr>TM1MESummaryWS</vt:lpstr>
      <vt:lpstr>TM1MEValidateCAP</vt:lpstr>
      <vt:lpstr>TM1MEValidateWB</vt:lpstr>
      <vt:lpstr>TM1MEValidateWS</vt:lpstr>
      <vt:lpstr>'cash flow'!TM1RPTDATARNG2</vt:lpstr>
      <vt:lpstr>'cash flow'!TM1RPTDATARNGARPT1</vt:lpstr>
      <vt:lpstr>'cash flow'!TM1RPTDATARNGARPT2</vt:lpstr>
      <vt:lpstr>'cash flow'!TM1RPTDATARNGARPT3</vt:lpstr>
      <vt:lpstr>TM1RPTDATARNGARPT3</vt:lpstr>
      <vt:lpstr>'cash flow'!TM1RPTDATARNGARPT4</vt:lpstr>
      <vt:lpstr>TM1RPTDATARNGARPT4</vt:lpstr>
      <vt:lpstr>'cash flow'!TM1RPTFMTIDCOL</vt:lpstr>
      <vt:lpstr>'cash flow'!TM1RPTFMTRNG</vt:lpstr>
    </vt:vector>
  </TitlesOfParts>
  <Company>Australian Attorney General's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malizj</dc:creator>
  <cp:lastModifiedBy>Xin HE</cp:lastModifiedBy>
  <dcterms:created xsi:type="dcterms:W3CDTF">2019-04-16T01:02:10Z</dcterms:created>
  <dcterms:modified xsi:type="dcterms:W3CDTF">2025-08-05T04:34:53Z</dcterms:modified>
</cp:coreProperties>
</file>