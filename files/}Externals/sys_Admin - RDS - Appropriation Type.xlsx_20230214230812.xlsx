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1A74C5B4-D00C-4F55-916F-BEF21A0A35B4}" xr6:coauthVersionLast="47" xr6:coauthVersionMax="47" xr10:uidLastSave="{00000000-0000-0000-0000-000000000000}"/>
  <bookViews>
    <workbookView xWindow="57480" yWindow="-1965" windowWidth="29040" windowHeight="15840" xr2:uid="{7AC5B7A1-C614-4FB4-8672-FADC5619ADB6}"/>
  </bookViews>
  <sheets>
    <sheet name="RDS" sheetId="1" r:id="rId1"/>
  </sheets>
  <definedNames>
    <definedName name="db_name">RDS!$C$12</definedName>
    <definedName name="Freeze_here">RDS!$L$60</definedName>
    <definedName name="psApp">RDS!$C$29</definedName>
    <definedName name="psUser">RDS!$C$14</definedName>
    <definedName name="TM1HomeAdminCAP">RDS!$D$34</definedName>
    <definedName name="TM1HomeAdminRDSCAP">RDS!$D$35</definedName>
    <definedName name="TM1HomeAdminRDSWB">RDS!$F$35</definedName>
    <definedName name="TM1HomeAdminRDSWS">RDS!$H$35</definedName>
    <definedName name="TM1HomeAdminWB">RDS!$F$34</definedName>
    <definedName name="TM1HomeAdminWS">RDS!$H$34</definedName>
    <definedName name="TM1HomeAECAP">RDS!$D$32</definedName>
    <definedName name="TM1HomeAEWB">RDS!$F$32</definedName>
    <definedName name="TM1HomeAEWS">RDS!$H$32</definedName>
    <definedName name="TM1HomeCAP">RDS!$D$31</definedName>
    <definedName name="TM1HomeRepCAP">RDS!$D$33</definedName>
    <definedName name="TM1HomeRepWB">RDS!$F$33</definedName>
    <definedName name="TM1HomeRepWS">RDS!$H$33</definedName>
    <definedName name="TM1HomeWB">RDS!$F$31</definedName>
    <definedName name="TM1HomeWS">RDS!$H$31</definedName>
    <definedName name="TM1REBUILDOPTION">1</definedName>
    <definedName name="TM1RPTDATARNG1" localSheetId="0">RDS!$61:$61</definedName>
    <definedName name="TM1RPTFMTIDCOL" localSheetId="0">RDS!$A$1:$A$8</definedName>
    <definedName name="TM1RPTFMTRNG" localSheetId="0">RDS!$J$1:$R$8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9" i="1" l="1" a="1"/>
  <c r="C39" i="1"/>
  <c r="C41" i="1"/>
  <c r="J61" i="1"/>
  <c r="C28" i="1"/>
  <c r="A61" i="1" a="1"/>
  <c r="A61" i="1"/>
  <c r="L57" i="1" a="1"/>
  <c r="L57" i="1"/>
  <c r="C43" i="1"/>
  <c r="R61" i="1" a="1"/>
  <c r="R61" i="1"/>
  <c r="Q61" i="1" a="1"/>
  <c r="Q61" i="1"/>
  <c r="P61" i="1" a="1"/>
  <c r="P61" i="1"/>
  <c r="O61" i="1" a="1"/>
  <c r="O61" i="1"/>
  <c r="N61" i="1" a="1"/>
  <c r="N61" i="1"/>
  <c r="M61" i="1" a="1"/>
  <c r="M61" i="1"/>
  <c r="L61" i="1" a="1"/>
  <c r="L61" i="1"/>
  <c r="C40" i="1" a="1"/>
  <c r="C40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C20" i="1" a="1"/>
  <c r="C20" i="1"/>
  <c r="C25" i="1" a="1"/>
  <c r="C25" i="1"/>
  <c r="C24" i="1" a="1"/>
  <c r="C24" i="1"/>
  <c r="C23" i="1" a="1"/>
  <c r="C23" i="1"/>
  <c r="C22" i="1" a="1"/>
  <c r="C22" i="1"/>
  <c r="C21" i="1" a="1"/>
  <c r="C21" i="1"/>
  <c r="C13" i="1" a="1"/>
  <c r="C13" i="1"/>
  <c r="C14" i="1" a="1"/>
  <c r="C14" i="1"/>
  <c r="C16" i="1" a="1"/>
  <c r="C16" i="1"/>
  <c r="C15" i="1" a="1"/>
  <c r="C15" i="1"/>
  <c r="C17" i="1"/>
  <c r="A5" i="1"/>
  <c r="A4" i="1"/>
  <c r="A3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<sst xmlns="http://schemas.openxmlformats.org/spreadsheetml/2006/main" count="67" uniqueCount="64">
  <si>
    <t>description</t>
  </si>
  <si>
    <t>code and description</t>
  </si>
  <si>
    <t>disabled</t>
  </si>
  <si>
    <t>D</t>
  </si>
  <si>
    <t>N</t>
  </si>
  <si>
    <t>[Begin Format Range]</t>
  </si>
  <si>
    <t>[End Format Range]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</si>
  <si>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</si>
  <si>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</si>
  <si>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</si>
  <si>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</si>
  <si>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</si>
  <si>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</si>
  <si>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</si>
  <si>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</si>
  <si>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</si>
  <si>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</si>
  <si>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</si>
  <si>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</si>
  <si>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</si>
  <si>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current budget round</t>
  </si>
  <si>
    <t>Active Form</t>
  </si>
  <si>
    <t>Slice</t>
  </si>
  <si>
    <t>Dimension MDX To Use</t>
  </si>
  <si>
    <t>Filter :</t>
  </si>
  <si>
    <t>REPORT PARAMETERS</t>
  </si>
  <si>
    <t>All MDX</t>
  </si>
  <si>
    <t>Filter MDX</t>
  </si>
  <si>
    <t>Attribute Fields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</si>
  <si>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</si>
  <si>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</si>
  <si>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</si>
  <si>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</si>
  <si>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</si>
  <si>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</si>
  <si>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</si>
  <si>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</si>
  <si>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</si>
  <si>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</si>
  <si>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</si>
  <si>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</si>
  <si>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</si>
  <si>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Homepage - Administration - RDS</t>
  </si>
  <si>
    <t>=DBR($C$28,$B35,C$30)</t>
  </si>
  <si>
    <t>Application Formula (DO NOT DELETE)</t>
  </si>
  <si>
    <t>Description (ALIAS)</t>
  </si>
  <si>
    <t>Code and Description (ALIAS)</t>
  </si>
  <si>
    <t>}ElementAttributes_</t>
  </si>
  <si>
    <t>Appropriation Type  :</t>
  </si>
  <si>
    <t>{TM1SUBSETALL( [appropriation type] )}</t>
  </si>
  <si>
    <t>Appropriation Type</t>
  </si>
  <si>
    <t>CBMS-R Code</t>
  </si>
  <si>
    <t>CBMS-R Approp Item Mapping</t>
  </si>
  <si>
    <t>CBMS-R Approp Type Mapping</t>
  </si>
  <si>
    <t>approp item code required</t>
  </si>
  <si>
    <t>No</t>
  </si>
  <si>
    <t>Admin RDS - Appropriation Type</t>
  </si>
  <si>
    <t>Note : This screen is used to manage the Appropriation Type attribute cube which is required for GEUS.</t>
  </si>
  <si>
    <t>Administration RDS - Appropriation Type Attributes</t>
  </si>
  <si>
    <t>CBMS-R Appropriation Type are the first 4 chracters of the appropriation item and would now require an appropriation item code in GEUS.</t>
  </si>
  <si>
    <t>Disabled (Y)</t>
  </si>
  <si>
    <t>Approp Item Code Required (Y)</t>
  </si>
  <si>
    <t>Note : To search for a single approrpiation type, select an Appropriation Type, Set Filter to Yes and Click Refresh.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</si>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</sst>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- &quot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2" fillId="0" borderId="0" xfId="0" applyFont="1" applyAlignment="1">
      <alignment horizontal="right" indent="1"/>
    </xf>
    <xf numFmtId="0" fontId="1" fillId="4" borderId="4" xfId="0" applyFont="1" applyFill="1" applyBorder="1" applyAlignment="1">
      <alignment horizontal="center" wrapText="1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5" fillId="6" borderId="4" xfId="0" applyFont="1" applyFill="1" applyBorder="1"/>
    <xf numFmtId="0" fontId="5" fillId="0" borderId="4" xfId="0" applyFont="1" applyBorder="1"/>
    <xf numFmtId="0" fontId="0" fillId="6" borderId="4" xfId="0" applyFill="1" applyBorder="1"/>
    <xf numFmtId="0" fontId="0" fillId="6" borderId="4" xfId="0" quotePrefix="1" applyFill="1" applyBorder="1"/>
    <xf numFmtId="0" fontId="6" fillId="5" borderId="0" xfId="0" applyFont="1" applyFill="1" applyAlignment="1">
      <alignment horizontal="right" vertical="center"/>
    </xf>
    <xf numFmtId="0" fontId="5" fillId="6" borderId="4" xfId="0" applyFont="1" applyFill="1" applyBorder="1" applyProtection="1">
      <protection locked="0"/>
    </xf>
    <xf numFmtId="0" fontId="5" fillId="6" borderId="4" xfId="0" applyFont="1" applyFill="1" applyBorder="1" applyAlignment="1" applyProtection="1">
      <alignment horizontal="center"/>
      <protection locked="0"/>
    </xf>
    <xf numFmtId="0" fontId="5" fillId="0" borderId="4" xfId="0" applyFont="1" applyBorder="1" applyProtection="1"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4" fillId="0" borderId="4" xfId="0" applyFont="1" applyBorder="1" applyProtection="1"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left" indent="1"/>
      <protection locked="0"/>
    </xf>
    <xf numFmtId="0" fontId="0" fillId="0" borderId="5" xfId="0" applyBorder="1" applyAlignment="1" applyProtection="1">
      <alignment horizontal="left" indent="1"/>
      <protection locked="0"/>
    </xf>
    <xf numFmtId="0" fontId="4" fillId="0" borderId="4" xfId="0" applyFont="1" applyBorder="1"/>
    <xf numFmtId="164" fontId="5" fillId="6" borderId="4" xfId="0" applyNumberFormat="1" applyFont="1" applyFill="1" applyBorder="1"/>
    <xf numFmtId="0" fontId="7" fillId="0" borderId="0" xfId="0" applyFont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47</xdr:row>
      <xdr:rowOff>19050</xdr:rowOff>
    </xdr:from>
    <xdr:to>
      <xdr:col>9</xdr:col>
      <xdr:colOff>1805940</xdr:colOff>
      <xdr:row>47</xdr:row>
      <xdr:rowOff>472440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30480</xdr:colOff>
          <xdr:row>49</xdr:row>
          <xdr:rowOff>0</xdr:rowOff>
        </xdr:from>
        <xdr:to>
          <xdr:col>9</xdr:col>
          <xdr:colOff>670560</xdr:colOff>
          <xdr:row>49</xdr:row>
          <xdr:rowOff>251460</xdr:rowOff>
        </xdr:to>
        <xdr:sp macro="" textlink="">
          <xdr:nvSpPr>
            <xdr:cNvPr id="1026" name="TIButton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708660</xdr:colOff>
          <xdr:row>49</xdr:row>
          <xdr:rowOff>0</xdr:rowOff>
        </xdr:from>
        <xdr:to>
          <xdr:col>9</xdr:col>
          <xdr:colOff>1828800</xdr:colOff>
          <xdr:row>49</xdr:row>
          <xdr:rowOff>251460</xdr:rowOff>
        </xdr:to>
        <xdr:sp macro="" textlink="">
          <xdr:nvSpPr>
            <xdr:cNvPr id="1027" name="TIButton2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1889760</xdr:colOff>
          <xdr:row>49</xdr:row>
          <xdr:rowOff>0</xdr:rowOff>
        </xdr:from>
        <xdr:to>
          <xdr:col>11</xdr:col>
          <xdr:colOff>609600</xdr:colOff>
          <xdr:row>49</xdr:row>
          <xdr:rowOff>251460</xdr:rowOff>
        </xdr:to>
        <xdr:sp macro="" textlink="">
          <xdr:nvSpPr>
            <xdr:cNvPr id="1028" name="TIButton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960120</xdr:colOff>
          <xdr:row>48</xdr:row>
          <xdr:rowOff>30480</xdr:rowOff>
        </xdr:from>
        <xdr:to>
          <xdr:col>17</xdr:col>
          <xdr:colOff>1280160</xdr:colOff>
          <xdr:row>49</xdr:row>
          <xdr:rowOff>289560</xdr:rowOff>
        </xdr:to>
        <xdr:sp macro="" textlink="">
          <xdr:nvSpPr>
            <xdr:cNvPr id="1029" name="TIButton4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640080</xdr:colOff>
          <xdr:row>49</xdr:row>
          <xdr:rowOff>0</xdr:rowOff>
        </xdr:from>
        <xdr:to>
          <xdr:col>11</xdr:col>
          <xdr:colOff>1417320</xdr:colOff>
          <xdr:row>49</xdr:row>
          <xdr:rowOff>251460</xdr:rowOff>
        </xdr:to>
        <xdr:sp macro="" textlink="">
          <xdr:nvSpPr>
            <xdr:cNvPr id="1030" name="TIButton5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BE9D-B011-4FAC-A11E-C7C913D82F1F}">
  <sheetPr codeName="Sheet1">
    <outlinePr showOutlineSymbols="0"/>
  </sheetPr>
  <dimension ref="A1:R61"/>
  <sheetViews>
    <sheetView showGridLines="0" showRowColHeaders="0" tabSelected="1" showOutlineSymbols="0" topLeftCell="A48" workbookViewId="0">
      <pane ySplit="13" topLeftCell="A61" activePane="bottomLeft" state="frozen"/>
      <selection activeCell="I48" sqref="I48"/>
      <selection pane="bottomLeft" activeCell="L60" sqref="L60"/>
    </sheetView>
  </sheetViews>
  <sheetFormatPr defaultRowHeight="14.4" outlineLevelRow="1" outlineLevelCol="1" x14ac:dyDescent="0.3"/>
  <cols>
    <col min="1" max="1" width="2.6640625" hidden="1" customWidth="1" outlineLevel="1"/>
    <col min="2" max="2" width="31.44140625" hidden="1" customWidth="1" outlineLevel="1"/>
    <col min="3" max="8" width="16.109375" hidden="1" customWidth="1" outlineLevel="1"/>
    <col min="9" max="9" width="0.88671875" customWidth="1" collapsed="1"/>
    <col min="10" max="10" width="40.6640625" customWidth="1"/>
    <col min="11" max="11" width="0.88671875" customWidth="1"/>
    <col min="12" max="12" width="60.6640625" customWidth="1"/>
    <col min="13" max="13" width="58.6640625" bestFit="1" customWidth="1"/>
    <col min="14" max="14" width="15.6640625" customWidth="1"/>
    <col min="15" max="15" width="18.6640625" hidden="1" customWidth="1"/>
    <col min="16" max="16" width="21.6640625" hidden="1" customWidth="1"/>
    <col min="17" max="17" width="12.6640625" customWidth="1"/>
    <col min="18" max="18" width="19.33203125" customWidth="1"/>
  </cols>
  <sheetData>
    <row r="1" spans="1:18" hidden="1" outlineLevel="1" x14ac:dyDescent="0.3">
      <c r="A1" t="s">
        <v>5</v>
      </c>
    </row>
    <row r="2" spans="1:18" hidden="1" outlineLevel="1" x14ac:dyDescent="0.3">
      <c r="A2">
        <f>0</f>
        <v>0</v>
      </c>
      <c r="J2" s="12"/>
      <c r="L2" s="17"/>
      <c r="M2" s="17"/>
      <c r="N2" s="18"/>
      <c r="O2" s="18"/>
      <c r="P2" s="18"/>
      <c r="Q2" s="18"/>
      <c r="R2" s="18"/>
    </row>
    <row r="3" spans="1:18" hidden="1" outlineLevel="1" x14ac:dyDescent="0.3">
      <c r="A3">
        <f>1</f>
        <v>1</v>
      </c>
      <c r="J3" s="13"/>
      <c r="L3" s="19"/>
      <c r="M3" s="19"/>
      <c r="N3" s="20"/>
      <c r="O3" s="20"/>
      <c r="P3" s="20"/>
      <c r="Q3" s="20"/>
      <c r="R3" s="20"/>
    </row>
    <row r="4" spans="1:18" hidden="1" outlineLevel="1" x14ac:dyDescent="0.3">
      <c r="A4">
        <f>2</f>
        <v>2</v>
      </c>
      <c r="J4" s="13"/>
      <c r="L4" s="19"/>
      <c r="M4" s="19"/>
      <c r="N4" s="20"/>
      <c r="O4" s="20"/>
      <c r="P4" s="20"/>
      <c r="Q4" s="20"/>
      <c r="R4" s="20"/>
    </row>
    <row r="5" spans="1:18" hidden="1" outlineLevel="1" x14ac:dyDescent="0.3">
      <c r="A5">
        <f>3</f>
        <v>3</v>
      </c>
      <c r="J5" s="13"/>
      <c r="L5" s="19"/>
      <c r="M5" s="19"/>
      <c r="N5" s="20"/>
      <c r="O5" s="20"/>
      <c r="P5" s="20"/>
      <c r="Q5" s="20"/>
      <c r="R5" s="20"/>
    </row>
    <row r="6" spans="1:18" hidden="1" outlineLevel="1" x14ac:dyDescent="0.3">
      <c r="A6" t="s">
        <v>3</v>
      </c>
      <c r="J6" s="13"/>
      <c r="L6" s="19"/>
      <c r="M6" s="19"/>
      <c r="N6" s="20"/>
      <c r="O6" s="20"/>
      <c r="P6" s="20"/>
      <c r="Q6" s="20"/>
      <c r="R6" s="20"/>
    </row>
    <row r="7" spans="1:18" hidden="1" outlineLevel="1" x14ac:dyDescent="0.3">
      <c r="A7" t="s">
        <v>4</v>
      </c>
      <c r="J7" s="25"/>
      <c r="L7" s="21"/>
      <c r="M7" s="21"/>
      <c r="N7" s="22"/>
      <c r="O7" s="22"/>
      <c r="P7" s="22"/>
      <c r="Q7" s="22"/>
      <c r="R7" s="22"/>
    </row>
    <row r="8" spans="1:18" hidden="1" outlineLevel="1" x14ac:dyDescent="0.3">
      <c r="A8" t="s">
        <v>6</v>
      </c>
    </row>
    <row r="9" spans="1:18" hidden="1" outlineLevel="1" x14ac:dyDescent="0.3"/>
    <row r="10" spans="1:18" hidden="1" outlineLevel="1" x14ac:dyDescent="0.3"/>
    <row r="11" spans="1:18" hidden="1" outlineLevel="1" x14ac:dyDescent="0.3">
      <c r="B11" s="28" t="s">
        <v>7</v>
      </c>
      <c r="C11" s="29"/>
      <c r="D11" s="30"/>
    </row>
    <row r="12" spans="1:18" hidden="1" outlineLevel="1" x14ac:dyDescent="0.3">
      <c r="B12" s="3" t="s">
        <v>8</v>
      </c>
      <c r="C12" s="4" t="s">
        <v>63</v>
      </c>
      <c r="D12" s="5"/>
    </row>
    <row r="13" spans="1:18" hidden="1" outlineLevel="1" x14ac:dyDescent="0.3">
      <c r="B13" s="3" t="s">
        <v>9</v>
      </c>
      <c r="C13" s="6" t="str" cm="1">
        <f t="array" aca="1" ref="C13" ca="1">_xll.VIEW(db_name&amp;":}ElementAttributes_}Clients","!","!")</f>
        <v>dcceew_geus:}ElementAttributes_}Clients</v>
      </c>
      <c r="D13" s="5"/>
    </row>
    <row r="14" spans="1:18" hidden="1" outlineLevel="1" x14ac:dyDescent="0.3">
      <c r="B14" s="3" t="s">
        <v>10</v>
      </c>
      <c r="C14" s="4" t="str" cm="1">
        <f t="array" aca="1" ref="C14" ca="1">_xll.TM1USER(db_name)</f>
        <v/>
      </c>
      <c r="D14" s="5"/>
    </row>
    <row r="15" spans="1:18" hidden="1" outlineLevel="1" x14ac:dyDescent="0.3">
      <c r="B15" s="3" t="s">
        <v>11</v>
      </c>
      <c r="C15" s="4" t="str" cm="1">
        <f t="array" aca="1" ref="C15" ca="1">_xll.DBR($C$13,$C$14,$B15)</f>
        <v>*KEY_ERR</v>
      </c>
      <c r="D15" s="5"/>
    </row>
    <row r="16" spans="1:18" hidden="1" outlineLevel="1" x14ac:dyDescent="0.3">
      <c r="B16" s="3" t="s">
        <v>12</v>
      </c>
      <c r="C16" s="4" t="str" cm="1">
        <f t="array" aca="1" ref="C16" ca="1">_xll.DBR($C$13,$C$14,$B16)</f>
        <v>*KEY_ERR</v>
      </c>
      <c r="D16" s="5"/>
    </row>
    <row r="17" spans="2:8" hidden="1" outlineLevel="1" x14ac:dyDescent="0.3">
      <c r="B17" s="3" t="s">
        <v>13</v>
      </c>
      <c r="C17" s="4" t="str">
        <f ca="1">IF(LEFT($C$15,6)="CAM_AD",$C$16,$C$15)</f>
        <v>*KEY_ERR</v>
      </c>
      <c r="D17" s="7"/>
    </row>
    <row r="18" spans="2:8" hidden="1" outlineLevel="1" x14ac:dyDescent="0.3"/>
    <row r="19" spans="2:8" hidden="1" outlineLevel="1" x14ac:dyDescent="0.3">
      <c r="B19" s="28" t="s">
        <v>14</v>
      </c>
      <c r="C19" s="29"/>
      <c r="D19" s="30"/>
    </row>
    <row r="20" spans="2:8" hidden="1" outlineLevel="1" x14ac:dyDescent="0.3">
      <c r="B20" s="3" t="s">
        <v>15</v>
      </c>
      <c r="C20" s="7" t="str" cm="1">
        <f t="array" aca="1" ref="C20" ca="1">_xll.VIEW(db_name&amp;":}ElementAttributes_variables","!","!")</f>
        <v>dcceew_geus:}ElementAttributes_variables</v>
      </c>
      <c r="D20" s="7"/>
    </row>
    <row r="21" spans="2:8" hidden="1" outlineLevel="1" x14ac:dyDescent="0.3">
      <c r="B21" s="3" t="s">
        <v>16</v>
      </c>
      <c r="C21" s="7" t="str" cm="1">
        <f t="array" aca="1" ref="C21" ca="1">_xll.DBR($C$20,$B21,"value")</f>
        <v>*KEY_ERR</v>
      </c>
      <c r="D21" s="7"/>
    </row>
    <row r="22" spans="2:8" hidden="1" outlineLevel="1" x14ac:dyDescent="0.3">
      <c r="B22" s="3" t="s">
        <v>17</v>
      </c>
      <c r="C22" s="7" t="str" cm="1">
        <f t="array" aca="1" ref="C22" ca="1">_xll.DBR($C$20,$B22,"value")</f>
        <v>*KEY_ERR</v>
      </c>
      <c r="D22" s="7"/>
    </row>
    <row r="23" spans="2:8" hidden="1" outlineLevel="1" x14ac:dyDescent="0.3">
      <c r="B23" s="3" t="s">
        <v>18</v>
      </c>
      <c r="C23" s="7" t="str" cm="1">
        <f t="array" aca="1" ref="C23" ca="1">_xll.DBR($C$20,$B23,"value")</f>
        <v>*KEY_ERR</v>
      </c>
      <c r="D23" s="7"/>
    </row>
    <row r="24" spans="2:8" hidden="1" outlineLevel="1" x14ac:dyDescent="0.3">
      <c r="B24" s="3" t="s">
        <v>19</v>
      </c>
      <c r="C24" s="7" t="str" cm="1">
        <f t="array" aca="1" ref="C24" ca="1">_xll.DBR($C$20,$B24,"value")</f>
        <v>*KEY_ERR</v>
      </c>
      <c r="D24" s="7"/>
    </row>
    <row r="25" spans="2:8" hidden="1" outlineLevel="1" x14ac:dyDescent="0.3">
      <c r="B25" s="3" t="s">
        <v>20</v>
      </c>
      <c r="C25" s="7" t="str" cm="1">
        <f t="array" aca="1" ref="C25" ca="1">_xll.DBR($C$20,$B25,"value")</f>
        <v>*KEY_ERR</v>
      </c>
      <c r="D25" s="7"/>
    </row>
    <row r="26" spans="2:8" hidden="1" outlineLevel="1" x14ac:dyDescent="0.3"/>
    <row r="27" spans="2:8" hidden="1" outlineLevel="1" x14ac:dyDescent="0.3">
      <c r="B27" s="28" t="s">
        <v>29</v>
      </c>
      <c r="C27" s="29"/>
      <c r="D27" s="30"/>
    </row>
    <row r="28" spans="2:8" hidden="1" outlineLevel="1" x14ac:dyDescent="0.3">
      <c r="B28" s="3" t="s">
        <v>30</v>
      </c>
      <c r="C28" s="7" t="str">
        <f ca="1">_xll.VIEW(db_name&amp;":sys_application","!","!")</f>
        <v>dcceew_geus:sys_application</v>
      </c>
      <c r="D28" s="7"/>
    </row>
    <row r="29" spans="2:8" hidden="1" outlineLevel="1" x14ac:dyDescent="0.3">
      <c r="B29" s="3" t="s">
        <v>31</v>
      </c>
      <c r="C29" t="s">
        <v>56</v>
      </c>
      <c r="D29" s="7"/>
    </row>
    <row r="30" spans="2:8" hidden="1" outlineLevel="1" x14ac:dyDescent="0.3">
      <c r="B30" s="7"/>
      <c r="C30" s="3" t="s">
        <v>32</v>
      </c>
      <c r="D30" s="3" t="s">
        <v>33</v>
      </c>
      <c r="E30" s="3" t="s">
        <v>34</v>
      </c>
      <c r="F30" s="3" t="s">
        <v>35</v>
      </c>
      <c r="G30" s="3" t="s">
        <v>36</v>
      </c>
      <c r="H30" s="3" t="s">
        <v>37</v>
      </c>
    </row>
    <row r="31" spans="2:8" hidden="1" outlineLevel="1" x14ac:dyDescent="0.3">
      <c r="B31" s="7" t="s">
        <v>38</v>
      </c>
      <c r="C31" s="7" t="str" cm="1">
        <f t="array" aca="1" ref="C31" ca="1">_xll.DBR($C$28,$B31,C$30)</f>
        <v>*KEY_ERR</v>
      </c>
      <c r="D31" s="7" t="str" cm="1">
        <f t="array" aca="1" ref="D31" ca="1">_xll.DBR($C$28,$B31,D$30)</f>
        <v>*KEY_ERR</v>
      </c>
      <c r="E31" s="7" t="str" cm="1">
        <f t="array" aca="1" ref="E31" ca="1">_xll.DBR($C$28,$B31,E$30)</f>
        <v>*KEY_ERR</v>
      </c>
      <c r="F31" s="7" t="str" cm="1">
        <f t="array" aca="1" ref="F31" ca="1">_xll.DBR($C$28,$B31,F$30)</f>
        <v>*KEY_ERR</v>
      </c>
      <c r="G31" s="7" t="str" cm="1">
        <f t="array" aca="1" ref="G31" ca="1">_xll.DBR($C$28,$B31,G$30)</f>
        <v>*KEY_ERR</v>
      </c>
      <c r="H31" s="7" t="str" cm="1">
        <f t="array" aca="1" ref="H31" ca="1">_xll.DBR($C$28,$B31,H$30)</f>
        <v>*KEY_ERR</v>
      </c>
    </row>
    <row r="32" spans="2:8" hidden="1" outlineLevel="1" x14ac:dyDescent="0.3">
      <c r="B32" s="7" t="s">
        <v>39</v>
      </c>
      <c r="C32" s="7" t="str" cm="1">
        <f t="array" aca="1" ref="C32" ca="1">_xll.DBR($C$28,$B32,C$30)</f>
        <v>*KEY_ERR</v>
      </c>
      <c r="D32" s="7" t="str" cm="1">
        <f t="array" aca="1" ref="D32" ca="1">_xll.DBR($C$28,$B32,D$30)</f>
        <v>*KEY_ERR</v>
      </c>
      <c r="E32" s="7" t="str" cm="1">
        <f t="array" aca="1" ref="E32" ca="1">_xll.DBR($C$28,$B32,E$30)</f>
        <v>*KEY_ERR</v>
      </c>
      <c r="F32" s="7" t="str" cm="1">
        <f t="array" aca="1" ref="F32" ca="1">_xll.DBR($C$28,$B32,F$30)</f>
        <v>*KEY_ERR</v>
      </c>
      <c r="G32" s="7" t="str" cm="1">
        <f t="array" aca="1" ref="G32" ca="1">_xll.DBR($C$28,$B32,G$30)</f>
        <v>*KEY_ERR</v>
      </c>
      <c r="H32" s="7" t="str" cm="1">
        <f t="array" aca="1" ref="H32" ca="1">_xll.DBR($C$28,$B32,H$30)</f>
        <v>*KEY_ERR</v>
      </c>
    </row>
    <row r="33" spans="2:18" hidden="1" outlineLevel="1" x14ac:dyDescent="0.3">
      <c r="B33" s="7" t="s">
        <v>40</v>
      </c>
      <c r="C33" s="7" t="str" cm="1">
        <f t="array" aca="1" ref="C33" ca="1">_xll.DBR($C$28,$B33,C$30)</f>
        <v>*KEY_ERR</v>
      </c>
      <c r="D33" s="7" t="str" cm="1">
        <f t="array" aca="1" ref="D33" ca="1">_xll.DBR($C$28,$B33,D$30)</f>
        <v>*KEY_ERR</v>
      </c>
      <c r="E33" s="7" t="str" cm="1">
        <f t="array" aca="1" ref="E33" ca="1">_xll.DBR($C$28,$B33,E$30)</f>
        <v>*KEY_ERR</v>
      </c>
      <c r="F33" s="7" t="str" cm="1">
        <f t="array" aca="1" ref="F33" ca="1">_xll.DBR($C$28,$B33,F$30)</f>
        <v>*KEY_ERR</v>
      </c>
      <c r="G33" s="7" t="str" cm="1">
        <f t="array" aca="1" ref="G33" ca="1">_xll.DBR($C$28,$B33,G$30)</f>
        <v>*KEY_ERR</v>
      </c>
      <c r="H33" s="7" t="str" cm="1">
        <f t="array" aca="1" ref="H33" ca="1">_xll.DBR($C$28,$B33,H$30)</f>
        <v>*KEY_ERR</v>
      </c>
    </row>
    <row r="34" spans="2:18" hidden="1" outlineLevel="1" x14ac:dyDescent="0.3">
      <c r="B34" s="7" t="s">
        <v>41</v>
      </c>
      <c r="C34" s="7" t="str" cm="1">
        <f t="array" aca="1" ref="C34" ca="1">_xll.DBR($C$28,$B34,C$30)</f>
        <v>*KEY_ERR</v>
      </c>
      <c r="D34" s="7" t="str" cm="1">
        <f t="array" aca="1" ref="D34" ca="1">_xll.DBR($C$28,$B34,D$30)</f>
        <v>*KEY_ERR</v>
      </c>
      <c r="E34" s="7" t="str" cm="1">
        <f t="array" aca="1" ref="E34" ca="1">_xll.DBR($C$28,$B34,E$30)</f>
        <v>*KEY_ERR</v>
      </c>
      <c r="F34" s="7" t="str" cm="1">
        <f t="array" aca="1" ref="F34" ca="1">_xll.DBR($C$28,$B34,F$30)</f>
        <v>*KEY_ERR</v>
      </c>
      <c r="G34" s="7" t="str" cm="1">
        <f t="array" aca="1" ref="G34" ca="1">_xll.DBR($C$28,$B34,G$30)</f>
        <v>*KEY_ERR</v>
      </c>
      <c r="H34" s="7" t="str" cm="1">
        <f t="array" aca="1" ref="H34" ca="1">_xll.DBR($C$28,$B34,H$30)</f>
        <v>*KEY_ERR</v>
      </c>
    </row>
    <row r="35" spans="2:18" hidden="1" outlineLevel="1" x14ac:dyDescent="0.3">
      <c r="B35" s="7" t="s">
        <v>42</v>
      </c>
      <c r="C35" s="7" t="str" cm="1">
        <f t="array" aca="1" ref="C35" ca="1">_xll.DBR($C$28,$B35,C$30)</f>
        <v>*KEY_ERR</v>
      </c>
      <c r="D35" s="7" t="str" cm="1">
        <f t="array" aca="1" ref="D35" ca="1">_xll.DBR($C$28,$B35,D$30)</f>
        <v>*KEY_ERR</v>
      </c>
      <c r="E35" s="7" t="str" cm="1">
        <f t="array" aca="1" ref="E35" ca="1">_xll.DBR($C$28,$B35,E$30)</f>
        <v>*KEY_ERR</v>
      </c>
      <c r="F35" s="7" t="str" cm="1">
        <f t="array" aca="1" ref="F35" ca="1">_xll.DBR($C$28,$B35,F$30)</f>
        <v>*KEY_ERR</v>
      </c>
      <c r="G35" s="7" t="str" cm="1">
        <f t="array" aca="1" ref="G35" ca="1">_xll.DBR($C$28,$B35,G$30)</f>
        <v>*KEY_ERR</v>
      </c>
      <c r="H35" s="7" t="str" cm="1">
        <f t="array" aca="1" ref="H35" ca="1">_xll.DBR($C$28,$B35,H$30)</f>
        <v>*KEY_ERR</v>
      </c>
    </row>
    <row r="36" spans="2:18" hidden="1" outlineLevel="1" x14ac:dyDescent="0.3">
      <c r="B36" s="14" t="s">
        <v>44</v>
      </c>
      <c r="C36" s="15" t="s">
        <v>43</v>
      </c>
    </row>
    <row r="37" spans="2:18" ht="17.25" hidden="1" customHeight="1" outlineLevel="1" x14ac:dyDescent="0.3"/>
    <row r="38" spans="2:18" hidden="1" outlineLevel="1" x14ac:dyDescent="0.3">
      <c r="B38" s="28" t="s">
        <v>47</v>
      </c>
      <c r="C38" s="29"/>
      <c r="D38" s="30"/>
    </row>
    <row r="39" spans="2:18" hidden="1" outlineLevel="1" x14ac:dyDescent="0.3">
      <c r="B39" s="3" t="s">
        <v>21</v>
      </c>
      <c r="C39" s="7" t="str" cm="1">
        <f t="array" aca="1" ref="C39" ca="1">_xll.TM1RPTVIEW(db_name&amp;":}ElementAttributes_appropriation type:1", 0,TM1RPTFMTRNG,TM1RPTFMTIDCOL)</f>
        <v>dcceew_geus:}ElementAttributes_appropriation type:1</v>
      </c>
    </row>
    <row r="40" spans="2:18" hidden="1" outlineLevel="1" x14ac:dyDescent="0.3">
      <c r="B40" s="3" t="s">
        <v>22</v>
      </c>
      <c r="C40" s="7" t="str" cm="1">
        <f t="array" aca="1" ref="C40" ca="1">_xll.VIEW(db_name&amp;":}ElementAttributes_appropriation type","!","!")</f>
        <v>dcceew_geus:}ElementAttributes_appropriation type</v>
      </c>
    </row>
    <row r="41" spans="2:18" hidden="1" outlineLevel="1" x14ac:dyDescent="0.3">
      <c r="B41" s="3" t="s">
        <v>23</v>
      </c>
      <c r="C41" s="7" t="str">
        <f ca="1">IF($L$58="No",$C$42,$C$43)</f>
        <v>{TM1SUBSETALL( [appropriation type] )}</v>
      </c>
      <c r="D41" s="5"/>
    </row>
    <row r="42" spans="2:18" hidden="1" outlineLevel="1" x14ac:dyDescent="0.3">
      <c r="B42" s="3" t="s">
        <v>26</v>
      </c>
      <c r="C42" s="7" t="s">
        <v>49</v>
      </c>
    </row>
    <row r="43" spans="2:18" hidden="1" outlineLevel="1" x14ac:dyDescent="0.3">
      <c r="B43" s="3" t="s">
        <v>27</v>
      </c>
      <c r="C43" s="7" t="str">
        <f ca="1">"{TM1DRILLDOWNMEMBER( {[appropriation type].[" &amp; $L$57 &amp; "]}, ALL, RECURSIVE )}"</f>
        <v>{TM1DRILLDOWNMEMBER( {[appropriation type].[]}, ALL, RECURSIVE )}</v>
      </c>
    </row>
    <row r="44" spans="2:18" hidden="1" outlineLevel="1" x14ac:dyDescent="0.3"/>
    <row r="45" spans="2:18" hidden="1" outlineLevel="1" x14ac:dyDescent="0.3">
      <c r="J45" s="1" t="s">
        <v>28</v>
      </c>
      <c r="L45" s="2" t="s">
        <v>0</v>
      </c>
      <c r="M45" s="2" t="s">
        <v>1</v>
      </c>
      <c r="N45" s="2" t="s">
        <v>51</v>
      </c>
      <c r="O45" s="2" t="s">
        <v>52</v>
      </c>
      <c r="P45" s="2" t="s">
        <v>53</v>
      </c>
      <c r="Q45" s="2" t="s">
        <v>2</v>
      </c>
      <c r="R45" s="2" t="s">
        <v>54</v>
      </c>
    </row>
    <row r="46" spans="2:18" hidden="1" outlineLevel="1" x14ac:dyDescent="0.3"/>
    <row r="47" spans="2:18" hidden="1" outlineLevel="1" x14ac:dyDescent="0.3"/>
    <row r="48" spans="2:18" ht="39.75" customHeight="1" collapsed="1" x14ac:dyDescent="0.3">
      <c r="I48" s="16"/>
      <c r="J48" s="16"/>
      <c r="K48" s="16"/>
      <c r="L48" s="16"/>
      <c r="M48" s="16"/>
      <c r="N48" s="16"/>
      <c r="O48" s="16"/>
      <c r="P48" s="16"/>
      <c r="Q48" s="16"/>
      <c r="R48" s="16" t="s">
        <v>58</v>
      </c>
    </row>
    <row r="49" spans="1:18" ht="4.5" customHeight="1" x14ac:dyDescent="0.3"/>
    <row r="50" spans="1:18" ht="24" customHeight="1" x14ac:dyDescent="0.3">
      <c r="J50" s="1"/>
    </row>
    <row r="51" spans="1:18" ht="1.5" customHeight="1" x14ac:dyDescent="0.3">
      <c r="I51" s="16"/>
      <c r="J51" s="16"/>
      <c r="K51" s="16"/>
      <c r="L51" s="16"/>
      <c r="M51" s="16"/>
      <c r="N51" s="16"/>
      <c r="O51" s="16"/>
      <c r="P51" s="16"/>
      <c r="Q51" s="16"/>
      <c r="R51" s="16"/>
    </row>
    <row r="52" spans="1:18" x14ac:dyDescent="0.3">
      <c r="J52" s="27" t="s">
        <v>57</v>
      </c>
      <c r="K52" s="27"/>
      <c r="L52" s="27"/>
      <c r="M52" s="27"/>
    </row>
    <row r="53" spans="1:18" x14ac:dyDescent="0.3">
      <c r="J53" s="27" t="s">
        <v>59</v>
      </c>
      <c r="K53" s="27"/>
      <c r="L53" s="27"/>
      <c r="M53" s="27"/>
    </row>
    <row r="54" spans="1:18" x14ac:dyDescent="0.3">
      <c r="J54" s="27" t="s">
        <v>62</v>
      </c>
      <c r="K54" s="27"/>
      <c r="L54" s="27"/>
      <c r="M54" s="27"/>
    </row>
    <row r="55" spans="1:18" ht="5.0999999999999996" customHeight="1" x14ac:dyDescent="0.3"/>
    <row r="56" spans="1:18" x14ac:dyDescent="0.3">
      <c r="L56" s="9" t="s">
        <v>25</v>
      </c>
    </row>
    <row r="57" spans="1:18" x14ac:dyDescent="0.3">
      <c r="J57" s="8" t="s">
        <v>48</v>
      </c>
      <c r="L57" s="23" t="str" cm="1">
        <f t="array" aca="1" ref="L57" ca="1">_xll.SUBNM(db_name&amp;":appropriation type","","A001","code and description")</f>
        <v/>
      </c>
    </row>
    <row r="58" spans="1:18" x14ac:dyDescent="0.3">
      <c r="J58" s="8" t="s">
        <v>24</v>
      </c>
      <c r="L58" s="24" t="s">
        <v>55</v>
      </c>
    </row>
    <row r="59" spans="1:18" ht="5.0999999999999996" customHeight="1" x14ac:dyDescent="0.3"/>
    <row r="60" spans="1:18" ht="28.8" x14ac:dyDescent="0.3">
      <c r="J60" s="10" t="s">
        <v>50</v>
      </c>
      <c r="L60" s="11" t="s">
        <v>45</v>
      </c>
      <c r="M60" s="11" t="s">
        <v>46</v>
      </c>
      <c r="N60" s="11" t="s">
        <v>51</v>
      </c>
      <c r="O60" s="11" t="s">
        <v>52</v>
      </c>
      <c r="P60" s="11" t="s">
        <v>53</v>
      </c>
      <c r="Q60" s="11" t="s">
        <v>60</v>
      </c>
      <c r="R60" s="11" t="s">
        <v>61</v>
      </c>
    </row>
    <row r="61" spans="1:18" x14ac:dyDescent="0.3">
      <c r="A61" t="str" cm="1">
        <f t="array" aca="1" ref="A61" ca="1">IF(_xll.TM1RPTELISCONSOLIDATED($J$61,$J61),IF(_xll.TM1RPTELLEV($J$61,$J61)&lt;=3,_xll.TM1RPTELLEV($J$61,$J61),"D"),"N")</f>
        <v>N</v>
      </c>
      <c r="J61" s="26" t="str">
        <f ca="1">_xll.TM1RPTROW($C$39,db_name&amp;":appropriation type","","","",0,$C$41)</f>
        <v/>
      </c>
      <c r="L61" s="17" t="str" cm="1">
        <f t="array" aca="1" ref="L61" ca="1">_xll.DBRW($C$39,$J61,L$45)</f>
        <v/>
      </c>
      <c r="M61" s="17" t="str" cm="1">
        <f t="array" aca="1" ref="M61" ca="1">_xll.DBRW($C$39,$J61,M$45)</f>
        <v/>
      </c>
      <c r="N61" s="18" t="str" cm="1">
        <f t="array" aca="1" ref="N61" ca="1">_xll.DBRW($C$39,$J61,N$45)</f>
        <v/>
      </c>
      <c r="O61" s="18" t="str" cm="1">
        <f t="array" aca="1" ref="O61" ca="1">_xll.DBRW($C$39,$J61,O$45)</f>
        <v/>
      </c>
      <c r="P61" s="18" t="str" cm="1">
        <f t="array" aca="1" ref="P61" ca="1">_xll.DBRW($C$39,$J61,P$45)</f>
        <v/>
      </c>
      <c r="Q61" s="18" t="str" cm="1">
        <f t="array" aca="1" ref="Q61" ca="1">_xll.DBRW($C$39,$J61,Q$45)</f>
        <v/>
      </c>
      <c r="R61" s="18" t="str" cm="1">
        <f t="array" aca="1" ref="R61" ca="1">_xll.DBRW($C$39,$J61,R$45)</f>
        <v/>
      </c>
    </row>
  </sheetData>
  <sheetProtection sheet="1" objects="1" scenarios="1"/>
  <mergeCells count="7">
    <mergeCell ref="J54:M54"/>
    <mergeCell ref="J53:M53"/>
    <mergeCell ref="B11:D11"/>
    <mergeCell ref="B19:D19"/>
    <mergeCell ref="B38:D38"/>
    <mergeCell ref="B27:D27"/>
    <mergeCell ref="J52:M52"/>
  </mergeCells>
  <dataValidations count="1">
    <dataValidation type="list" allowBlank="1" showInputMessage="1" showErrorMessage="1" sqref="L58" xr:uid="{FAA0BFAE-9788-4D75-B3EC-011198533F1C}">
      <formula1>"Yes,No"</formula1>
    </dataValidation>
  </dataValidation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6" r:id="rId4" name="TIButton1">
          <controlPr defaultSize="0" print="0" autoLine="0" r:id="rId5">
            <anchor moveWithCells="1" sizeWithCells="1">
              <from>
                <xdr:col>9</xdr:col>
                <xdr:colOff>30480</xdr:colOff>
                <xdr:row>49</xdr:row>
                <xdr:rowOff>0</xdr:rowOff>
              </from>
              <to>
                <xdr:col>9</xdr:col>
                <xdr:colOff>670560</xdr:colOff>
                <xdr:row>49</xdr:row>
                <xdr:rowOff>251460</xdr:rowOff>
              </to>
            </anchor>
          </controlPr>
        </control>
      </mc:Choice>
      <mc:Fallback>
        <control shapeId="1026" r:id="rId4" name="TIButton1"/>
      </mc:Fallback>
    </mc:AlternateContent>
    <mc:AlternateContent xmlns:mc="http://schemas.openxmlformats.org/markup-compatibility/2006">
      <mc:Choice Requires="x14">
        <control shapeId="1027" r:id="rId6" name="TIButton2">
          <controlPr defaultSize="0" print="0" autoLine="0" r:id="rId7">
            <anchor moveWithCells="1" sizeWithCells="1">
              <from>
                <xdr:col>9</xdr:col>
                <xdr:colOff>708660</xdr:colOff>
                <xdr:row>49</xdr:row>
                <xdr:rowOff>0</xdr:rowOff>
              </from>
              <to>
                <xdr:col>9</xdr:col>
                <xdr:colOff>1828800</xdr:colOff>
                <xdr:row>49</xdr:row>
                <xdr:rowOff>251460</xdr:rowOff>
              </to>
            </anchor>
          </controlPr>
        </control>
      </mc:Choice>
      <mc:Fallback>
        <control shapeId="1027" r:id="rId6" name="TIButton2"/>
      </mc:Fallback>
    </mc:AlternateContent>
    <mc:AlternateContent xmlns:mc="http://schemas.openxmlformats.org/markup-compatibility/2006">
      <mc:Choice Requires="x14">
        <control shapeId="1028" r:id="rId8" name="TIButton3">
          <controlPr defaultSize="0" print="0" autoLine="0" r:id="rId9">
            <anchor moveWithCells="1" sizeWithCells="1">
              <from>
                <xdr:col>9</xdr:col>
                <xdr:colOff>1889760</xdr:colOff>
                <xdr:row>49</xdr:row>
                <xdr:rowOff>0</xdr:rowOff>
              </from>
              <to>
                <xdr:col>11</xdr:col>
                <xdr:colOff>609600</xdr:colOff>
                <xdr:row>49</xdr:row>
                <xdr:rowOff>251460</xdr:rowOff>
              </to>
            </anchor>
          </controlPr>
        </control>
      </mc:Choice>
      <mc:Fallback>
        <control shapeId="1028" r:id="rId8" name="TIButton3"/>
      </mc:Fallback>
    </mc:AlternateContent>
    <mc:AlternateContent xmlns:mc="http://schemas.openxmlformats.org/markup-compatibility/2006">
      <mc:Choice Requires="x14">
        <control shapeId="1029" r:id="rId10" name="TIButton4">
          <controlPr defaultSize="0" print="0" autoLine="0" r:id="rId11">
            <anchor moveWithCells="1" sizeWithCells="1">
              <from>
                <xdr:col>17</xdr:col>
                <xdr:colOff>960120</xdr:colOff>
                <xdr:row>48</xdr:row>
                <xdr:rowOff>30480</xdr:rowOff>
              </from>
              <to>
                <xdr:col>17</xdr:col>
                <xdr:colOff>1280160</xdr:colOff>
                <xdr:row>49</xdr:row>
                <xdr:rowOff>289560</xdr:rowOff>
              </to>
            </anchor>
          </controlPr>
        </control>
      </mc:Choice>
      <mc:Fallback>
        <control shapeId="1029" r:id="rId10" name="TIButton4"/>
      </mc:Fallback>
    </mc:AlternateContent>
    <mc:AlternateContent xmlns:mc="http://schemas.openxmlformats.org/markup-compatibility/2006">
      <mc:Choice Requires="x14">
        <control shapeId="1030" r:id="rId12" name="TIButton5">
          <controlPr defaultSize="0" print="0" autoLine="0" r:id="rId13">
            <anchor moveWithCells="1" sizeWithCells="1">
              <from>
                <xdr:col>11</xdr:col>
                <xdr:colOff>640080</xdr:colOff>
                <xdr:row>49</xdr:row>
                <xdr:rowOff>0</xdr:rowOff>
              </from>
              <to>
                <xdr:col>11</xdr:col>
                <xdr:colOff>1417320</xdr:colOff>
                <xdr:row>49</xdr:row>
                <xdr:rowOff>251460</xdr:rowOff>
              </to>
            </anchor>
          </controlPr>
        </control>
      </mc:Choice>
      <mc:Fallback>
        <control shapeId="1030" r:id="rId12" name="TIButton5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22</vt:i4>
      </vt:variant>
    </vt:vector>
  </HeadingPairs>
  <TitlesOfParts>
    <vt:vector size="23" baseType="lpstr">
      <vt:lpstr>RDS</vt:lpstr>
      <vt:lpstr>db_name</vt:lpstr>
      <vt:lpstr>Freeze_here</vt:lpstr>
      <vt:lpstr>psApp</vt:lpstr>
      <vt:lpstr>psUser</vt:lpstr>
      <vt:lpstr>TM1HomeAdminCAP</vt:lpstr>
      <vt:lpstr>TM1HomeAdminRDSCAP</vt:lpstr>
      <vt:lpstr>TM1HomeAdminRDSWB</vt:lpstr>
      <vt:lpstr>TM1HomeAdminRDSWS</vt:lpstr>
      <vt:lpstr>TM1HomeAdminWB</vt:lpstr>
      <vt:lpstr>TM1HomeAdminWS</vt:lpstr>
      <vt:lpstr>TM1HomeAECAP</vt:lpstr>
      <vt:lpstr>TM1HomeAEWB</vt:lpstr>
      <vt:lpstr>TM1HomeAEWS</vt:lpstr>
      <vt:lpstr>TM1HomeCAP</vt:lpstr>
      <vt:lpstr>TM1HomeRepCAP</vt:lpstr>
      <vt:lpstr>TM1HomeRepWB</vt:lpstr>
      <vt:lpstr>TM1HomeRepWS</vt:lpstr>
      <vt:lpstr>TM1HomeWB</vt:lpstr>
      <vt:lpstr>TM1HomeWS</vt:lpstr>
      <vt:lpstr>RDS!TM1RPTDATARNG1</vt:lpstr>
      <vt:lpstr>RDS!TM1RPTFMTIDCOL</vt:lpstr>
      <vt:lpstr>RDS!TM1RPTFMTRNG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blooyen</cp:lastModifiedBy>
  <dcterms:created xsi:type="dcterms:W3CDTF">2019-04-08T23:13:27Z</dcterms:created>
  <dcterms:modified xsi:type="dcterms:W3CDTF">2023-02-14T22:33:45Z</dcterms:modified>
</cp:coreProperties>
</file>