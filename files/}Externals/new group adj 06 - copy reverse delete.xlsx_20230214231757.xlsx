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FF653B8E-364A-4C74-A2E1-3DDC2C3F8A94}" xr6:coauthVersionLast="47" xr6:coauthVersionMax="47" xr10:uidLastSave="{00000000-0000-0000-0000-000000000000}"/>
  <bookViews>
    <workbookView xWindow="57480" yWindow="-1965" windowWidth="29040" windowHeight="15840" xr2:uid="{83410147-1F76-40A2-B161-B5614181CB11}"/>
  </bookViews>
  <sheets>
    <sheet name="authorise" sheetId="1" r:id="rId1"/>
    <sheet name="{PL}PickLst" sheetId="2" state="hidden" r:id="rId2"/>
  </sheets>
  <definedNames>
    <definedName name="db_name">authorise!$B$2</definedName>
    <definedName name="psHLYear">authorise!$B$39</definedName>
    <definedName name="psID">authorise!$B$41</definedName>
    <definedName name="psProcess">authorise!$M$82</definedName>
    <definedName name="psScenario">authorise!$B$40</definedName>
    <definedName name="psStatus">authorise!$B$49</definedName>
    <definedName name="psUser">authorise!$B$4</definedName>
    <definedName name="sys_ws_lookup">authorise!#REF!</definedName>
    <definedName name="TM1AdjIDListCAP">authorise!$C$22</definedName>
    <definedName name="TM1AdjIDListWB">authorise!$E$22</definedName>
    <definedName name="TM1AdjIDListWS">authorise!$G$22</definedName>
    <definedName name="TM1AuthWB">authorise!#REF!</definedName>
    <definedName name="TM1AuthWS">authorise!#REF!</definedName>
    <definedName name="TM1BackToAdjWB">authorise!$C$32</definedName>
    <definedName name="TM1BackToAdjWS">authorise!$D$32</definedName>
    <definedName name="TM1CancelWB">authorise!#REF!</definedName>
    <definedName name="TM1CancelWS">authorise!#REF!</definedName>
    <definedName name="TM1GrpNewAdj02ExpDataEntryCAP">authorise!$C$27</definedName>
    <definedName name="TM1GrpNewAdj02ExpDataEntryWB">authorise!$E$27</definedName>
    <definedName name="TM1GrpNewAdj02ExpDataEntryWS">authorise!$G$27</definedName>
    <definedName name="TM1GrpNewAdj08RecogDataEntryCAP">authorise!$C$29</definedName>
    <definedName name="TM1GrpNewAdj08RecogDataEntryWB">authorise!$E$29</definedName>
    <definedName name="TM1GrpNewAdj08RecogDataEntryWS">authorise!$G$29</definedName>
    <definedName name="TM1GrpNewAdj99ValidCAP">authorise!$C$28</definedName>
    <definedName name="TM1GrpNewAdj99ValidWB">authorise!$E$28</definedName>
    <definedName name="TM1GrpNewAdj99ValidWS">authorise!$G$28</definedName>
    <definedName name="TM1HomeAEAccVarCAP">authorise!$C$26</definedName>
    <definedName name="TM1HomeAEAccVarWB">authorise!$E$26</definedName>
    <definedName name="TM1HomeAEAccVarWS">authorise!$G$26</definedName>
    <definedName name="TM1HomeAECAP">authorise!$C$20</definedName>
    <definedName name="TM1HomeAEDataEntryCAP">authorise!$C$21</definedName>
    <definedName name="TM1HomeAEDataEntryWB">authorise!$E$21</definedName>
    <definedName name="TM1HomeAEDataEntryWS">authorise!$G$21</definedName>
    <definedName name="TM1HomeAEWB">authorise!$E$20</definedName>
    <definedName name="TM1HomeAEWS">authorise!$G$20</definedName>
    <definedName name="TM1HomeCAP">authorise!$C$19</definedName>
    <definedName name="TM1HomeWB">authorise!$E$19</definedName>
    <definedName name="TM1HomeWS">authorise!$G$19</definedName>
    <definedName name="TM1NewAdj02DataEntryCAP">authorise!$C$23</definedName>
    <definedName name="TM1NewAdj02DataEntryWB">authorise!$E$23</definedName>
    <definedName name="TM1NewAdj02DataEntryWS">authorise!$G$23</definedName>
    <definedName name="TM1NewAdj03AuthCAP">authorise!$C$24</definedName>
    <definedName name="TM1NewAdj03AuthWB">authorise!$E$24</definedName>
    <definedName name="TM1NewAdj03AuthWS">authorise!$G$24</definedName>
    <definedName name="TM1NewAdj99ValidCAP">authorise!$C$25</definedName>
    <definedName name="TM1NewAdj99ValidWB">authorise!$E$25</definedName>
    <definedName name="TM1NewAdj99ValidWS">authorise!$G$25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1" l="1"/>
  <c r="B36" i="1"/>
  <c r="B4" i="1"/>
  <c r="B39" i="1"/>
  <c r="B40" i="1"/>
  <c r="B41" i="1"/>
  <c r="B48" i="1"/>
  <c r="B63" i="1"/>
  <c r="B64" i="1"/>
  <c r="B32" i="1"/>
  <c r="D32" i="1" a="1"/>
  <c r="D32" i="1"/>
  <c r="C32" i="1" a="1"/>
  <c r="C32" i="1"/>
  <c r="B61" i="1"/>
  <c r="B60" i="1"/>
  <c r="G29" i="1"/>
  <c r="F29" i="1"/>
  <c r="E29" i="1"/>
  <c r="D29" i="1"/>
  <c r="C29" i="1"/>
  <c r="B29" i="1"/>
  <c r="G26" i="1"/>
  <c r="F26" i="1"/>
  <c r="E26" i="1"/>
  <c r="D26" i="1"/>
  <c r="C26" i="1"/>
  <c r="B26" i="1"/>
  <c r="G28" i="1"/>
  <c r="F28" i="1"/>
  <c r="E28" i="1"/>
  <c r="D28" i="1"/>
  <c r="C28" i="1"/>
  <c r="B28" i="1"/>
  <c r="G27" i="1"/>
  <c r="F27" i="1"/>
  <c r="E27" i="1"/>
  <c r="D27" i="1"/>
  <c r="C27" i="1"/>
  <c r="B27" i="1"/>
  <c r="B38" i="1"/>
  <c r="M82" i="1"/>
  <c r="B3" i="1"/>
  <c r="B5" i="1"/>
  <c r="B6" i="1"/>
  <c r="B44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B49" i="1"/>
  <c r="M73" i="1"/>
  <c r="B62" i="1"/>
  <c r="M77" i="1"/>
  <c r="B59" i="1"/>
  <c r="M75" i="1"/>
  <c r="M71" i="1"/>
  <c r="B45" i="1"/>
  <c r="C44" i="1"/>
  <c r="C43" i="1"/>
  <c r="B43" i="1"/>
  <c r="C42" i="1"/>
  <c r="B42" i="1"/>
  <c r="C41" i="1"/>
  <c r="C40" i="1"/>
  <c r="C39" i="1"/>
  <c r="B50" i="1"/>
  <c r="B58" i="1"/>
  <c r="B57" i="1"/>
  <c r="B56" i="1"/>
  <c r="B55" i="1"/>
  <c r="B54" i="1"/>
  <c r="B53" i="1"/>
  <c r="B52" i="1"/>
  <c r="B51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B10" i="1"/>
  <c r="B12" i="1"/>
  <c r="B11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<sst xmlns="http://schemas.openxmlformats.org/spreadsheetml/2006/main" count="82" uniqueCount="80">
  <si>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</si>
  <si>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</si>
  <si>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</si>
  <si>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</si>
  <si>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</si>
  <si>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</si>
  <si>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</si>
  <si>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</si>
  <si>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</si>
  <si>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</si>
  <si>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</si>
  <si>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</si>
  <si>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</si>
  <si>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</si>
  <si>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Data Entry - New Adj 01 - Header Details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</si>
  <si>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</si>
  <si>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</si>
  <si>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</si>
  <si>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</si>
  <si>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</si>
  <si>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</si>
  <si>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</si>
  <si>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</si>
  <si>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</si>
  <si>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</si>
  <si>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</si>
  <si>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</si>
  <si>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</si>
  <si>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</si>
  <si>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</si>
  <si>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</si>
  <si>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</si>
  <si>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</si>
  <si>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</si>
  <si>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AE ID Details</t>
  </si>
  <si>
    <t>Slice</t>
  </si>
  <si>
    <t>DESCRIPTIONS</t>
  </si>
  <si>
    <t>status</t>
  </si>
  <si>
    <t>status to use</t>
  </si>
  <si>
    <t>programme code</t>
  </si>
  <si>
    <t>appropriation type</t>
  </si>
  <si>
    <t>appropriation item</t>
  </si>
  <si>
    <t>spp</t>
  </si>
  <si>
    <t>outcome</t>
  </si>
  <si>
    <t>function</t>
  </si>
  <si>
    <t>reason</t>
  </si>
  <si>
    <t>measure</t>
  </si>
  <si>
    <t>title</t>
  </si>
  <si>
    <t>description</t>
  </si>
  <si>
    <t>disagree cash flow</t>
  </si>
  <si>
    <t>sys_approval process</t>
  </si>
  <si>
    <t>adj_approver comments</t>
  </si>
  <si>
    <t>adj_editable</t>
  </si>
  <si>
    <t>SUBNM ID</t>
  </si>
  <si>
    <t>ID :</t>
  </si>
  <si>
    <t>Title :</t>
  </si>
  <si>
    <t>comments</t>
  </si>
  <si>
    <t>Data Entry - New Adj 03 - Authorise</t>
  </si>
  <si>
    <t>Data Entry - New Adj 99 - Validations</t>
  </si>
  <si>
    <t>approved non-flat file</t>
  </si>
  <si>
    <t>CBMS</t>
  </si>
  <si>
    <t>Description :</t>
  </si>
  <si>
    <t>SELECT PROCESS :</t>
  </si>
  <si>
    <t>Status :</t>
  </si>
  <si>
    <t>sys_adj process</t>
  </si>
  <si>
    <t>Copy</t>
  </si>
  <si>
    <t>Reverse</t>
  </si>
  <si>
    <t>Copy and Reverse</t>
  </si>
  <si>
    <t>Delete</t>
  </si>
  <si>
    <t>adjustment type</t>
  </si>
  <si>
    <t>Group Copy/Reverse/Delete</t>
  </si>
  <si>
    <t>Group Data Entry - New Adj 02 - Expense Data Entry</t>
  </si>
  <si>
    <t>Group Data Entry - New Adj 99 - Validations</t>
  </si>
  <si>
    <t>Homepage - Annual Estimates - Account Variation</t>
  </si>
  <si>
    <t>Group Data Entry - New Adj 08 - Recognition</t>
  </si>
  <si>
    <t>Group Adj Type</t>
  </si>
  <si>
    <t>Back To Adj (Financials Button)</t>
  </si>
  <si>
    <t>sys_Application Element</t>
  </si>
  <si>
    <t>WorkBook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</si>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</sst>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rgb="FF9D202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rgb="FFBBDDE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4" fillId="4" borderId="4" xfId="0" applyFont="1" applyFill="1" applyBorder="1" applyAlignment="1">
      <alignment horizontal="center"/>
    </xf>
    <xf numFmtId="0" fontId="0" fillId="0" borderId="6" xfId="0" applyBorder="1"/>
    <xf numFmtId="0" fontId="5" fillId="0" borderId="0" xfId="0" applyFont="1" applyAlignment="1" applyProtection="1">
      <alignment vertical="top" wrapText="1"/>
      <protection locked="0"/>
    </xf>
    <xf numFmtId="0" fontId="0" fillId="4" borderId="4" xfId="0" applyFill="1" applyBorder="1"/>
    <xf numFmtId="0" fontId="6" fillId="4" borderId="4" xfId="0" applyFont="1" applyFill="1" applyBorder="1" applyAlignment="1">
      <alignment horizontal="center"/>
    </xf>
    <xf numFmtId="0" fontId="1" fillId="5" borderId="0" xfId="1" applyFont="1" applyFill="1" applyAlignment="1">
      <alignment horizontal="right" indent="1"/>
    </xf>
    <xf numFmtId="0" fontId="7" fillId="6" borderId="8" xfId="0" applyFont="1" applyFill="1" applyBorder="1" applyAlignment="1" applyProtection="1">
      <alignment horizontal="left" indent="1"/>
      <protection locked="0"/>
    </xf>
    <xf numFmtId="0" fontId="2" fillId="2" borderId="4" xfId="0" applyFont="1" applyFill="1" applyBorder="1"/>
    <xf numFmtId="0" fontId="0" fillId="4" borderId="6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Normal 3" xfId="1" xr:uid="{CB5C2425-6732-415A-940C-E939EE54FB20}"/>
  </cellStyles>
  <dxfs count="2"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88"/>
  <ax:ocxPr ax:name="_ExtentY" ax:value="265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=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99"/>
  <ax:ocxPr ax:name="_ExtentY" ax:value="397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05"/>
  <ax:ocxPr ax:name="_ExtentY" ax:value="397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65</xdr:row>
      <xdr:rowOff>28575</xdr:rowOff>
    </xdr:from>
    <xdr:to>
      <xdr:col>10</xdr:col>
      <xdr:colOff>1181100</xdr:colOff>
      <xdr:row>65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2545080</xdr:colOff>
          <xdr:row>67</xdr:row>
          <xdr:rowOff>0</xdr:rowOff>
        </xdr:from>
        <xdr:to>
          <xdr:col>12</xdr:col>
          <xdr:colOff>3322320</xdr:colOff>
          <xdr:row>67</xdr:row>
          <xdr:rowOff>251460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67</xdr:row>
          <xdr:rowOff>0</xdr:rowOff>
        </xdr:from>
        <xdr:to>
          <xdr:col>10</xdr:col>
          <xdr:colOff>99060</xdr:colOff>
          <xdr:row>67</xdr:row>
          <xdr:rowOff>251460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137160</xdr:colOff>
          <xdr:row>67</xdr:row>
          <xdr:rowOff>0</xdr:rowOff>
        </xdr:from>
        <xdr:to>
          <xdr:col>10</xdr:col>
          <xdr:colOff>1257300</xdr:colOff>
          <xdr:row>67</xdr:row>
          <xdr:rowOff>251460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1287780</xdr:colOff>
          <xdr:row>67</xdr:row>
          <xdr:rowOff>0</xdr:rowOff>
        </xdr:from>
        <xdr:to>
          <xdr:col>12</xdr:col>
          <xdr:colOff>373380</xdr:colOff>
          <xdr:row>67</xdr:row>
          <xdr:rowOff>251460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426720</xdr:colOff>
          <xdr:row>67</xdr:row>
          <xdr:rowOff>0</xdr:rowOff>
        </xdr:from>
        <xdr:to>
          <xdr:col>12</xdr:col>
          <xdr:colOff>1531620</xdr:colOff>
          <xdr:row>67</xdr:row>
          <xdr:rowOff>251460</xdr:rowOff>
        </xdr:to>
        <xdr:sp macro="" textlink="">
          <xdr:nvSpPr>
            <xdr:cNvPr id="1038" name="TIButton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1600200</xdr:colOff>
          <xdr:row>67</xdr:row>
          <xdr:rowOff>0</xdr:rowOff>
        </xdr:from>
        <xdr:to>
          <xdr:col>12</xdr:col>
          <xdr:colOff>2499360</xdr:colOff>
          <xdr:row>67</xdr:row>
          <xdr:rowOff>251460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A1-8F57-4B30-9DDA-F556E24C06F1}">
  <sheetPr codeName="Sheet1">
    <outlinePr showOutlineSymbols="0"/>
    <pageSetUpPr fitToPage="1"/>
  </sheetPr>
  <dimension ref="A1:O85"/>
  <sheetViews>
    <sheetView showGridLines="0" showRowColHeaders="0" tabSelected="1" showOutlineSymbols="0" topLeftCell="I66" workbookViewId="0">
      <selection sqref="A1:C1"/>
    </sheetView>
  </sheetViews>
  <sheetFormatPr defaultRowHeight="14.4" outlineLevelRow="1" outlineLevelCol="1" x14ac:dyDescent="0.3"/>
  <cols>
    <col min="1" max="1" width="25.109375" hidden="1" customWidth="1" outlineLevel="1"/>
    <col min="2" max="2" width="39.33203125" hidden="1" customWidth="1" outlineLevel="1"/>
    <col min="3" max="3" width="16.44140625" hidden="1" customWidth="1" outlineLevel="1"/>
    <col min="4" max="4" width="24.33203125" hidden="1" customWidth="1" outlineLevel="1"/>
    <col min="5" max="5" width="33.88671875" hidden="1" customWidth="1" outlineLevel="1"/>
    <col min="6" max="6" width="24.109375" hidden="1" customWidth="1" outlineLevel="1"/>
    <col min="7" max="7" width="10.88671875" hidden="1" customWidth="1" outlineLevel="1"/>
    <col min="8" max="8" width="9.109375" hidden="1" customWidth="1" outlineLevel="1"/>
    <col min="9" max="9" width="0.88671875" customWidth="1" collapsed="1"/>
    <col min="11" max="11" width="22.6640625" customWidth="1"/>
    <col min="12" max="12" width="0.88671875" customWidth="1"/>
    <col min="13" max="13" width="80.6640625" customWidth="1"/>
    <col min="14" max="14" width="1.6640625" customWidth="1"/>
    <col min="15" max="15" width="40.6640625" customWidth="1"/>
  </cols>
  <sheetData>
    <row r="1" spans="1:3" hidden="1" outlineLevel="1" x14ac:dyDescent="0.3">
      <c r="A1" s="23" t="s">
        <v>0</v>
      </c>
      <c r="B1" s="24"/>
      <c r="C1" s="25"/>
    </row>
    <row r="2" spans="1:3" hidden="1" outlineLevel="1" x14ac:dyDescent="0.3">
      <c r="A2" s="1" t="s">
        <v>1</v>
      </c>
      <c r="B2" s="2" t="s">
        <v>79</v>
      </c>
      <c r="C2" s="3"/>
    </row>
    <row r="3" spans="1:3" hidden="1" outlineLevel="1" x14ac:dyDescent="0.3">
      <c r="A3" s="1" t="s">
        <v>2</v>
      </c>
      <c r="B3" s="4" t="str">
        <f ca="1">_xll.VIEW(db_name&amp;":}ElementAttributes_}Clients","!","!")</f>
        <v>dcceew_geus:}ElementAttributes_}Clients</v>
      </c>
      <c r="C3" s="3"/>
    </row>
    <row r="4" spans="1:3" hidden="1" outlineLevel="1" x14ac:dyDescent="0.3">
      <c r="A4" s="1" t="s">
        <v>3</v>
      </c>
      <c r="B4" s="2" t="str">
        <f ca="1">_xll.TM1USER(db_name)</f>
        <v/>
      </c>
      <c r="C4" s="3"/>
    </row>
    <row r="5" spans="1:3" hidden="1" outlineLevel="1" x14ac:dyDescent="0.3">
      <c r="A5" s="1" t="s">
        <v>4</v>
      </c>
      <c r="B5" s="2" t="str">
        <f ca="1">_xll.DBR($B$3,$B$4,$A5)</f>
        <v>*KEY_ERR</v>
      </c>
      <c r="C5" s="3"/>
    </row>
    <row r="6" spans="1:3" hidden="1" outlineLevel="1" x14ac:dyDescent="0.3">
      <c r="A6" s="1" t="s">
        <v>5</v>
      </c>
      <c r="B6" s="2" t="str">
        <f ca="1">_xll.DBR($B$3,$B$4,$A6)</f>
        <v>*KEY_ERR</v>
      </c>
      <c r="C6" s="3"/>
    </row>
    <row r="7" spans="1:3" hidden="1" outlineLevel="1" x14ac:dyDescent="0.3">
      <c r="A7" s="1" t="s">
        <v>6</v>
      </c>
      <c r="B7" s="2" t="str">
        <f ca="1">IF(LEFT($B$5,6)="CAM_AD",$B$6,$B$5)</f>
        <v>*KEY_ERR</v>
      </c>
      <c r="C7" s="5"/>
    </row>
    <row r="8" spans="1:3" hidden="1" outlineLevel="1" x14ac:dyDescent="0.3"/>
    <row r="9" spans="1:3" hidden="1" outlineLevel="1" x14ac:dyDescent="0.3">
      <c r="A9" s="23" t="s">
        <v>7</v>
      </c>
      <c r="B9" s="24"/>
      <c r="C9" s="25"/>
    </row>
    <row r="10" spans="1:3" hidden="1" outlineLevel="1" x14ac:dyDescent="0.3">
      <c r="A10" s="1" t="s">
        <v>8</v>
      </c>
      <c r="B10" s="5" t="str">
        <f ca="1">_xll.VIEW(db_name&amp;":}ElementAttributes_variables","!","!")</f>
        <v>dcceew_geus:}ElementAttributes_variables</v>
      </c>
      <c r="C10" s="5"/>
    </row>
    <row r="11" spans="1:3" hidden="1" outlineLevel="1" x14ac:dyDescent="0.3">
      <c r="A11" s="1" t="s">
        <v>9</v>
      </c>
      <c r="B11" s="5" t="str">
        <f ca="1">_xll.DBR($B$10,$A11,"value")</f>
        <v>*KEY_ERR</v>
      </c>
      <c r="C11" s="5"/>
    </row>
    <row r="12" spans="1:3" hidden="1" outlineLevel="1" x14ac:dyDescent="0.3">
      <c r="A12" s="1" t="s">
        <v>10</v>
      </c>
      <c r="B12" s="5" t="str">
        <f ca="1">_xll.DBR($B$10,$A12,"value")</f>
        <v>*KEY_ERR</v>
      </c>
      <c r="C12" s="5"/>
    </row>
    <row r="13" spans="1:3" hidden="1" outlineLevel="1" x14ac:dyDescent="0.3"/>
    <row r="14" spans="1:3" hidden="1" outlineLevel="1" x14ac:dyDescent="0.3"/>
    <row r="15" spans="1:3" hidden="1" outlineLevel="1" x14ac:dyDescent="0.3">
      <c r="A15" s="23" t="s">
        <v>11</v>
      </c>
      <c r="B15" s="24"/>
      <c r="C15" s="25"/>
    </row>
    <row r="16" spans="1:3" hidden="1" outlineLevel="1" x14ac:dyDescent="0.3">
      <c r="A16" s="5" t="s">
        <v>12</v>
      </c>
      <c r="B16" s="5" t="str">
        <f ca="1">_xll.VIEW(db_name&amp;":sys_application","!","!")</f>
        <v>dcceew_geus:sys_application</v>
      </c>
    </row>
    <row r="17" spans="1:7" hidden="1" outlineLevel="1" x14ac:dyDescent="0.3">
      <c r="A17" s="5" t="s">
        <v>13</v>
      </c>
      <c r="B17" s="5" t="s">
        <v>14</v>
      </c>
    </row>
    <row r="18" spans="1:7" hidden="1" outlineLevel="1" x14ac:dyDescent="0.3">
      <c r="A18" s="6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</row>
    <row r="19" spans="1:7" hidden="1" outlineLevel="1" x14ac:dyDescent="0.3">
      <c r="A19" s="5" t="s">
        <v>22</v>
      </c>
      <c r="B19" s="5" t="str">
        <f ca="1">_xll.DBR($B$16,$A19,B$18)</f>
        <v>*KEY_ERR</v>
      </c>
      <c r="C19" s="5" t="str">
        <f ca="1">_xll.DBR($B$16,$A19,C$18)</f>
        <v>*KEY_ERR</v>
      </c>
      <c r="D19" s="5" t="str">
        <f ca="1">_xll.DBR($B$16,$A19,D$18)</f>
        <v>*KEY_ERR</v>
      </c>
      <c r="E19" s="5" t="str">
        <f ca="1">_xll.DBR($B$16,$A19,E$18)</f>
        <v>*KEY_ERR</v>
      </c>
      <c r="F19" s="5" t="str">
        <f ca="1">_xll.DBR($B$16,$A19,F$18)</f>
        <v>*KEY_ERR</v>
      </c>
      <c r="G19" s="5" t="str">
        <f ca="1">_xll.DBR($B$16,$A19,G$18)</f>
        <v>*KEY_ERR</v>
      </c>
    </row>
    <row r="20" spans="1:7" hidden="1" outlineLevel="1" x14ac:dyDescent="0.3">
      <c r="A20" s="5" t="s">
        <v>23</v>
      </c>
      <c r="B20" s="5" t="str">
        <f ca="1">_xll.DBR($B$16,$A20,B$18)</f>
        <v>*KEY_ERR</v>
      </c>
      <c r="C20" s="5" t="str">
        <f ca="1">_xll.DBR($B$16,$A20,C$18)</f>
        <v>*KEY_ERR</v>
      </c>
      <c r="D20" s="5" t="str">
        <f ca="1">_xll.DBR($B$16,$A20,D$18)</f>
        <v>*KEY_ERR</v>
      </c>
      <c r="E20" s="5" t="str">
        <f ca="1">_xll.DBR($B$16,$A20,E$18)</f>
        <v>*KEY_ERR</v>
      </c>
      <c r="F20" s="5" t="str">
        <f ca="1">_xll.DBR($B$16,$A20,F$18)</f>
        <v>*KEY_ERR</v>
      </c>
      <c r="G20" s="5" t="str">
        <f ca="1">_xll.DBR($B$16,$A20,G$18)</f>
        <v>*KEY_ERR</v>
      </c>
    </row>
    <row r="21" spans="1:7" hidden="1" outlineLevel="1" x14ac:dyDescent="0.3">
      <c r="A21" s="5" t="s">
        <v>24</v>
      </c>
      <c r="B21" s="5" t="str">
        <f ca="1">_xll.DBR($B$16,$A21,B$18)</f>
        <v>*KEY_ERR</v>
      </c>
      <c r="C21" s="5" t="str">
        <f ca="1">_xll.DBR($B$16,$A21,C$18)</f>
        <v>*KEY_ERR</v>
      </c>
      <c r="D21" s="5" t="str">
        <f ca="1">_xll.DBR($B$16,$A21,D$18)</f>
        <v>*KEY_ERR</v>
      </c>
      <c r="E21" s="5" t="str">
        <f ca="1">_xll.DBR($B$16,$A21,E$18)</f>
        <v>*KEY_ERR</v>
      </c>
      <c r="F21" s="5" t="str">
        <f ca="1">_xll.DBR($B$16,$A21,F$18)</f>
        <v>*KEY_ERR</v>
      </c>
      <c r="G21" s="5" t="str">
        <f ca="1">_xll.DBR($B$16,$A21,G$18)</f>
        <v>*KEY_ERR</v>
      </c>
    </row>
    <row r="22" spans="1:7" hidden="1" outlineLevel="1" x14ac:dyDescent="0.3">
      <c r="A22" s="5" t="s">
        <v>25</v>
      </c>
      <c r="B22" s="5" t="str">
        <f ca="1">_xll.DBR($B$16,$A22,B$18)</f>
        <v>*KEY_ERR</v>
      </c>
      <c r="C22" s="5" t="str">
        <f ca="1">_xll.DBR($B$16,$A22,C$18)</f>
        <v>*KEY_ERR</v>
      </c>
      <c r="D22" s="5" t="str">
        <f ca="1">_xll.DBR($B$16,$A22,D$18)</f>
        <v>*KEY_ERR</v>
      </c>
      <c r="E22" s="5" t="str">
        <f ca="1">_xll.DBR($B$16,$A22,E$18)</f>
        <v>*KEY_ERR</v>
      </c>
      <c r="F22" s="5" t="str">
        <f ca="1">_xll.DBR($B$16,$A22,F$18)</f>
        <v>*KEY_ERR</v>
      </c>
      <c r="G22" s="5" t="str">
        <f ca="1">_xll.DBR($B$16,$A22,G$18)</f>
        <v>*KEY_ERR</v>
      </c>
    </row>
    <row r="23" spans="1:7" hidden="1" outlineLevel="1" x14ac:dyDescent="0.3">
      <c r="A23" s="5" t="s">
        <v>26</v>
      </c>
      <c r="B23" s="5" t="str">
        <f ca="1">_xll.DBR($B$16,$A23,B$18)</f>
        <v>*KEY_ERR</v>
      </c>
      <c r="C23" s="5" t="str">
        <f ca="1">_xll.DBR($B$16,$A23,C$18)</f>
        <v>*KEY_ERR</v>
      </c>
      <c r="D23" s="5" t="str">
        <f ca="1">_xll.DBR($B$16,$A23,D$18)</f>
        <v>*KEY_ERR</v>
      </c>
      <c r="E23" s="5" t="str">
        <f ca="1">_xll.DBR($B$16,$A23,E$18)</f>
        <v>*KEY_ERR</v>
      </c>
      <c r="F23" s="5" t="str">
        <f ca="1">_xll.DBR($B$16,$A23,F$18)</f>
        <v>*KEY_ERR</v>
      </c>
      <c r="G23" s="5" t="str">
        <f ca="1">_xll.DBR($B$16,$A23,G$18)</f>
        <v>*KEY_ERR</v>
      </c>
    </row>
    <row r="24" spans="1:7" hidden="1" outlineLevel="1" x14ac:dyDescent="0.3">
      <c r="A24" s="5" t="s">
        <v>57</v>
      </c>
      <c r="B24" s="5" t="str">
        <f ca="1">_xll.DBR($B$16,$A24,B$18)</f>
        <v>*KEY_ERR</v>
      </c>
      <c r="C24" s="5" t="str">
        <f ca="1">_xll.DBR($B$16,$A24,C$18)</f>
        <v>*KEY_ERR</v>
      </c>
      <c r="D24" s="5" t="str">
        <f ca="1">_xll.DBR($B$16,$A24,D$18)</f>
        <v>*KEY_ERR</v>
      </c>
      <c r="E24" s="5" t="str">
        <f ca="1">_xll.DBR($B$16,$A24,E$18)</f>
        <v>*KEY_ERR</v>
      </c>
      <c r="F24" s="5" t="str">
        <f ca="1">_xll.DBR($B$16,$A24,F$18)</f>
        <v>*KEY_ERR</v>
      </c>
      <c r="G24" s="5" t="str">
        <f ca="1">_xll.DBR($B$16,$A24,G$18)</f>
        <v>*KEY_ERR</v>
      </c>
    </row>
    <row r="25" spans="1:7" hidden="1" outlineLevel="1" x14ac:dyDescent="0.3">
      <c r="A25" s="5" t="s">
        <v>58</v>
      </c>
      <c r="B25" s="5" t="str">
        <f ca="1">_xll.DBR($B$16,$A25,B$18)</f>
        <v>*KEY_ERR</v>
      </c>
      <c r="C25" s="5" t="str">
        <f ca="1">_xll.DBR($B$16,$A25,C$18)</f>
        <v>*KEY_ERR</v>
      </c>
      <c r="D25" s="5" t="str">
        <f ca="1">_xll.DBR($B$16,$A25,D$18)</f>
        <v>*KEY_ERR</v>
      </c>
      <c r="E25" s="5" t="str">
        <f ca="1">_xll.DBR($B$16,$A25,E$18)</f>
        <v>*KEY_ERR</v>
      </c>
      <c r="F25" s="5" t="str">
        <f ca="1">_xll.DBR($B$16,$A25,F$18)</f>
        <v>*KEY_ERR</v>
      </c>
      <c r="G25" s="5" t="str">
        <f ca="1">_xll.DBR($B$16,$A25,G$18)</f>
        <v>*KEY_ERR</v>
      </c>
    </row>
    <row r="26" spans="1:7" hidden="1" outlineLevel="1" x14ac:dyDescent="0.3">
      <c r="A26" s="5" t="s">
        <v>73</v>
      </c>
      <c r="B26" s="5" t="str">
        <f ca="1">_xll.DBR($B$16,$A26,B$18)</f>
        <v>*KEY_ERR</v>
      </c>
      <c r="C26" s="5" t="str">
        <f ca="1">_xll.DBR($B$16,$A26,C$18)</f>
        <v>*KEY_ERR</v>
      </c>
      <c r="D26" s="5" t="str">
        <f ca="1">_xll.DBR($B$16,$A26,D$18)</f>
        <v>*KEY_ERR</v>
      </c>
      <c r="E26" s="5" t="str">
        <f ca="1">_xll.DBR($B$16,$A26,E$18)</f>
        <v>*KEY_ERR</v>
      </c>
      <c r="F26" s="5" t="str">
        <f ca="1">_xll.DBR($B$16,$A26,F$18)</f>
        <v>*KEY_ERR</v>
      </c>
      <c r="G26" s="5" t="str">
        <f ca="1">_xll.DBR($B$16,$A26,G$18)</f>
        <v>*KEY_ERR</v>
      </c>
    </row>
    <row r="27" spans="1:7" hidden="1" outlineLevel="1" x14ac:dyDescent="0.3">
      <c r="A27" s="5" t="s">
        <v>71</v>
      </c>
      <c r="B27" s="5" t="str">
        <f ca="1">_xll.DBR($B$16,$A27,B$18)</f>
        <v>*KEY_ERR</v>
      </c>
      <c r="C27" s="5" t="str">
        <f ca="1">_xll.DBR($B$16,$A27,C$18)</f>
        <v>*KEY_ERR</v>
      </c>
      <c r="D27" s="5" t="str">
        <f ca="1">_xll.DBR($B$16,$A27,D$18)</f>
        <v>*KEY_ERR</v>
      </c>
      <c r="E27" s="5" t="str">
        <f ca="1">_xll.DBR($B$16,$A27,E$18)</f>
        <v>*KEY_ERR</v>
      </c>
      <c r="F27" s="5" t="str">
        <f ca="1">_xll.DBR($B$16,$A27,F$18)</f>
        <v>*KEY_ERR</v>
      </c>
      <c r="G27" s="5" t="str">
        <f ca="1">_xll.DBR($B$16,$A27,G$18)</f>
        <v>*KEY_ERR</v>
      </c>
    </row>
    <row r="28" spans="1:7" hidden="1" outlineLevel="1" x14ac:dyDescent="0.3">
      <c r="A28" s="5" t="s">
        <v>72</v>
      </c>
      <c r="B28" s="5" t="str">
        <f ca="1">_xll.DBR($B$16,$A28,B$18)</f>
        <v>*KEY_ERR</v>
      </c>
      <c r="C28" s="5" t="str">
        <f ca="1">_xll.DBR($B$16,$A28,C$18)</f>
        <v>*KEY_ERR</v>
      </c>
      <c r="D28" s="5" t="str">
        <f ca="1">_xll.DBR($B$16,$A28,D$18)</f>
        <v>*KEY_ERR</v>
      </c>
      <c r="E28" s="5" t="str">
        <f ca="1">_xll.DBR($B$16,$A28,E$18)</f>
        <v>*KEY_ERR</v>
      </c>
      <c r="F28" s="5" t="str">
        <f ca="1">_xll.DBR($B$16,$A28,F$18)</f>
        <v>*KEY_ERR</v>
      </c>
      <c r="G28" s="5" t="str">
        <f ca="1">_xll.DBR($B$16,$A28,G$18)</f>
        <v>*KEY_ERR</v>
      </c>
    </row>
    <row r="29" spans="1:7" hidden="1" outlineLevel="1" x14ac:dyDescent="0.3">
      <c r="A29" s="5" t="s">
        <v>74</v>
      </c>
      <c r="B29" s="5" t="str">
        <f ca="1">_xll.DBR($B$16,$A29,B$18)</f>
        <v>*KEY_ERR</v>
      </c>
      <c r="C29" s="5" t="str">
        <f ca="1">_xll.DBR($B$16,$A29,C$18)</f>
        <v>*KEY_ERR</v>
      </c>
      <c r="D29" s="5" t="str">
        <f ca="1">_xll.DBR($B$16,$A29,D$18)</f>
        <v>*KEY_ERR</v>
      </c>
      <c r="E29" s="5" t="str">
        <f ca="1">_xll.DBR($B$16,$A29,E$18)</f>
        <v>*KEY_ERR</v>
      </c>
      <c r="F29" s="5" t="str">
        <f ca="1">_xll.DBR($B$16,$A29,F$18)</f>
        <v>*KEY_ERR</v>
      </c>
      <c r="G29" s="5" t="str">
        <f ca="1">_xll.DBR($B$16,$A29,G$18)</f>
        <v>*KEY_ERR</v>
      </c>
    </row>
    <row r="30" spans="1:7" hidden="1" outlineLevel="1" x14ac:dyDescent="0.3"/>
    <row r="31" spans="1:7" hidden="1" outlineLevel="1" x14ac:dyDescent="0.3">
      <c r="B31" s="19" t="s">
        <v>77</v>
      </c>
      <c r="C31" s="8" t="s">
        <v>78</v>
      </c>
      <c r="D31" s="8" t="s">
        <v>21</v>
      </c>
    </row>
    <row r="32" spans="1:7" hidden="1" outlineLevel="1" x14ac:dyDescent="0.3">
      <c r="A32" s="1" t="s">
        <v>76</v>
      </c>
      <c r="B32" s="5" t="str">
        <f ca="1">IF($B$63="Group",IF($B$64="Compliance",$A$29,$A$27),$A$23)</f>
        <v>Data Entry - New Adj 02 - Adjustment Entry</v>
      </c>
      <c r="C32" s="5" t="str" cm="1">
        <f t="array" aca="1" ref="C32" ca="1">_xll.DBR($B$16,$B32,E$18)</f>
        <v>*KEY_ERR</v>
      </c>
      <c r="D32" s="5" t="str" cm="1">
        <f t="array" aca="1" ref="D32" ca="1">_xll.DBR($B$16,$B32,F$18)</f>
        <v>*KEY_ERR</v>
      </c>
    </row>
    <row r="33" spans="1:3" hidden="1" outlineLevel="1" x14ac:dyDescent="0.3"/>
    <row r="34" spans="1:3" hidden="1" outlineLevel="1" x14ac:dyDescent="0.3"/>
    <row r="35" spans="1:3" hidden="1" outlineLevel="1" x14ac:dyDescent="0.3">
      <c r="A35" s="23" t="s">
        <v>27</v>
      </c>
      <c r="B35" s="24"/>
      <c r="C35" s="25"/>
    </row>
    <row r="36" spans="1:3" hidden="1" outlineLevel="1" x14ac:dyDescent="0.3">
      <c r="A36" s="1" t="s">
        <v>8</v>
      </c>
      <c r="B36" s="5" t="str">
        <f ca="1">_xll.VIEW(db_name&amp;":sys_client preference","!","!","!")</f>
        <v>dcceew_geus:sys_client preference</v>
      </c>
      <c r="C36" s="5"/>
    </row>
    <row r="37" spans="1:3" hidden="1" outlineLevel="1" x14ac:dyDescent="0.3">
      <c r="A37" s="1"/>
      <c r="B37" s="8" t="s">
        <v>28</v>
      </c>
      <c r="C37" s="8" t="s">
        <v>29</v>
      </c>
    </row>
    <row r="38" spans="1:3" hidden="1" outlineLevel="1" x14ac:dyDescent="0.3">
      <c r="A38" s="1" t="s">
        <v>30</v>
      </c>
      <c r="B38" s="5" t="str">
        <f ca="1">_xll.SUBNM(db_name&amp;":sys_client preference measure","","value")</f>
        <v/>
      </c>
      <c r="C38" s="8"/>
    </row>
    <row r="39" spans="1:3" hidden="1" outlineLevel="1" x14ac:dyDescent="0.3">
      <c r="A39" s="1" t="s">
        <v>31</v>
      </c>
      <c r="B39" s="5" t="str">
        <f ca="1">_xll.DBR($B$36,psUser,$A39,B$37)</f>
        <v>*KEY_ERR</v>
      </c>
      <c r="C39" s="5" t="str">
        <f ca="1">_xll.DBR($B$36,psUser,$A39,C$37)</f>
        <v>*KEY_ERR</v>
      </c>
    </row>
    <row r="40" spans="1:3" hidden="1" outlineLevel="1" x14ac:dyDescent="0.3">
      <c r="A40" s="1" t="s">
        <v>32</v>
      </c>
      <c r="B40" s="5" t="str">
        <f ca="1">_xll.DBR($B$36,psUser,$A40,B$37)</f>
        <v>*KEY_ERR</v>
      </c>
      <c r="C40" s="5" t="str">
        <f ca="1">_xll.DBR($B$36,psUser,$A40,C$37)</f>
        <v>*KEY_ERR</v>
      </c>
    </row>
    <row r="41" spans="1:3" hidden="1" outlineLevel="1" x14ac:dyDescent="0.3">
      <c r="A41" s="1" t="s">
        <v>33</v>
      </c>
      <c r="B41" s="5" t="str">
        <f ca="1">_xll.DBR($B$36,psUser,$A41,B$37)</f>
        <v>*KEY_ERR</v>
      </c>
      <c r="C41" s="5" t="str">
        <f ca="1">_xll.DBR($B$36,psUser,$A41,C$37)</f>
        <v>*KEY_ERR</v>
      </c>
    </row>
    <row r="42" spans="1:3" hidden="1" outlineLevel="1" x14ac:dyDescent="0.3">
      <c r="A42" s="1" t="s">
        <v>50</v>
      </c>
      <c r="B42" s="5" t="str">
        <f ca="1">_xll.DBR($B$36,psUser,$A42,B$37)</f>
        <v>*KEY_ERR</v>
      </c>
      <c r="C42" s="5" t="str">
        <f ca="1">_xll.DBR($B$36,psUser,$A42,C$37)</f>
        <v>*KEY_ERR</v>
      </c>
    </row>
    <row r="43" spans="1:3" hidden="1" outlineLevel="1" x14ac:dyDescent="0.3">
      <c r="A43" s="1" t="s">
        <v>51</v>
      </c>
      <c r="B43" s="5" t="str">
        <f ca="1">_xll.DBR($B$36,psUser,$A43,B$37)</f>
        <v>*KEY_ERR</v>
      </c>
      <c r="C43" s="5" t="str">
        <f ca="1">_xll.DBR($B$36,psUser,$A43,C$37)</f>
        <v>*KEY_ERR</v>
      </c>
    </row>
    <row r="44" spans="1:3" hidden="1" outlineLevel="1" x14ac:dyDescent="0.3">
      <c r="A44" s="1" t="s">
        <v>52</v>
      </c>
      <c r="B44" s="13" t="str">
        <f ca="1">_xll.DBR($B$36,psUser,$A44,B$37)</f>
        <v>*KEY_ERR</v>
      </c>
      <c r="C44" s="5" t="str">
        <f ca="1">_xll.DBR($B$36,psUser,$A44,C$37)</f>
        <v>*KEY_ERR</v>
      </c>
    </row>
    <row r="45" spans="1:3" ht="15.6" hidden="1" outlineLevel="1" x14ac:dyDescent="0.3">
      <c r="A45" s="1" t="s">
        <v>53</v>
      </c>
      <c r="B45" s="12" t="str">
        <f ca="1">_xll.SUBNM(db_name&amp;":id","",psID)</f>
        <v/>
      </c>
    </row>
    <row r="46" spans="1:3" hidden="1" outlineLevel="1" x14ac:dyDescent="0.3"/>
    <row r="47" spans="1:3" hidden="1" outlineLevel="1" x14ac:dyDescent="0.3">
      <c r="A47" s="23" t="s">
        <v>34</v>
      </c>
      <c r="B47" s="24"/>
      <c r="C47" s="25"/>
    </row>
    <row r="48" spans="1:3" hidden="1" outlineLevel="1" x14ac:dyDescent="0.3">
      <c r="A48" s="1" t="s">
        <v>35</v>
      </c>
      <c r="B48" s="5" t="str">
        <f ca="1">_xll.VIEW(db_name&amp;":AE id details",$B$39,$B$40,$B$41,"!")</f>
        <v>dcceew_geus:AE id details</v>
      </c>
      <c r="C48" s="1" t="s">
        <v>36</v>
      </c>
    </row>
    <row r="49" spans="1:3" hidden="1" outlineLevel="1" x14ac:dyDescent="0.3">
      <c r="A49" s="1" t="s">
        <v>37</v>
      </c>
      <c r="B49" s="5" t="str">
        <f ca="1">_xll.DBR($B$48,$B$39,$B$40,$B$41,$A49)</f>
        <v>*KEY_ERR</v>
      </c>
      <c r="C49" s="5"/>
    </row>
    <row r="50" spans="1:3" hidden="1" outlineLevel="1" x14ac:dyDescent="0.3">
      <c r="A50" s="1" t="s">
        <v>38</v>
      </c>
      <c r="B50" s="5" t="str">
        <f ca="1">IF(OR($B$49="unauthorised",$B$49="draft",$B$49="unbalanced"),"data",$B$49)</f>
        <v>*KEY_ERR</v>
      </c>
      <c r="C50" s="5"/>
    </row>
    <row r="51" spans="1:3" hidden="1" outlineLevel="1" x14ac:dyDescent="0.3">
      <c r="A51" s="1" t="s">
        <v>39</v>
      </c>
      <c r="B51" s="5" t="str">
        <f ca="1">_xll.DBR($B$48,$B$39,$B$40,$B$41,$A51)</f>
        <v>*KEY_ERR</v>
      </c>
      <c r="C51" s="5"/>
    </row>
    <row r="52" spans="1:3" hidden="1" outlineLevel="1" x14ac:dyDescent="0.3">
      <c r="A52" s="1" t="s">
        <v>40</v>
      </c>
      <c r="B52" s="5" t="str">
        <f ca="1">_xll.DBR($B$48,$B$39,$B$40,$B$41,$A52)</f>
        <v>*KEY_ERR</v>
      </c>
      <c r="C52" s="5"/>
    </row>
    <row r="53" spans="1:3" hidden="1" outlineLevel="1" x14ac:dyDescent="0.3">
      <c r="A53" s="1" t="s">
        <v>41</v>
      </c>
      <c r="B53" s="5" t="str">
        <f ca="1">_xll.DBR($B$48,$B$39,$B$40,$B$41,$A53)</f>
        <v>*KEY_ERR</v>
      </c>
      <c r="C53" s="5"/>
    </row>
    <row r="54" spans="1:3" hidden="1" outlineLevel="1" x14ac:dyDescent="0.3">
      <c r="A54" s="1" t="s">
        <v>42</v>
      </c>
      <c r="B54" s="5" t="str">
        <f ca="1">_xll.DBR($B$48,$B$39,$B$40,$B$41,$A54)</f>
        <v>*KEY_ERR</v>
      </c>
      <c r="C54" s="5"/>
    </row>
    <row r="55" spans="1:3" hidden="1" outlineLevel="1" x14ac:dyDescent="0.3">
      <c r="A55" s="1" t="s">
        <v>43</v>
      </c>
      <c r="B55" s="5" t="str">
        <f ca="1">_xll.DBR($B$48,$B$39,$B$40,$B$41,$A55)</f>
        <v>*KEY_ERR</v>
      </c>
      <c r="C55" s="5"/>
    </row>
    <row r="56" spans="1:3" hidden="1" outlineLevel="1" x14ac:dyDescent="0.3">
      <c r="A56" s="1" t="s">
        <v>44</v>
      </c>
      <c r="B56" s="5" t="str">
        <f ca="1">_xll.DBR($B$48,$B$39,$B$40,$B$41,$A56)</f>
        <v>*KEY_ERR</v>
      </c>
      <c r="C56" s="5"/>
    </row>
    <row r="57" spans="1:3" hidden="1" outlineLevel="1" x14ac:dyDescent="0.3">
      <c r="A57" s="1" t="s">
        <v>45</v>
      </c>
      <c r="B57" s="5" t="str">
        <f ca="1">_xll.DBR($B$48,$B$39,$B$40,$B$41,$A57)</f>
        <v>*KEY_ERR</v>
      </c>
      <c r="C57" s="5"/>
    </row>
    <row r="58" spans="1:3" hidden="1" outlineLevel="1" x14ac:dyDescent="0.3">
      <c r="A58" s="1" t="s">
        <v>46</v>
      </c>
      <c r="B58" s="5" t="str">
        <f ca="1">_xll.DBR($B$48,$B$39,$B$40,$B$41,$A58)</f>
        <v>*KEY_ERR</v>
      </c>
      <c r="C58" s="5"/>
    </row>
    <row r="59" spans="1:3" hidden="1" outlineLevel="1" x14ac:dyDescent="0.3">
      <c r="A59" s="1" t="s">
        <v>47</v>
      </c>
      <c r="B59" s="5" t="str">
        <f ca="1">_xll.DBR($B$48,$B$39,$B$40,$B$41,$A59)</f>
        <v>*KEY_ERR</v>
      </c>
      <c r="C59" s="5"/>
    </row>
    <row r="60" spans="1:3" hidden="1" outlineLevel="1" x14ac:dyDescent="0.3">
      <c r="A60" s="1" t="s">
        <v>48</v>
      </c>
      <c r="B60" s="5" t="str">
        <f ca="1">_xll.DBR($B$48,$B$39,$B$40,$B$41,$A60)</f>
        <v>*KEY_ERR</v>
      </c>
      <c r="C60" s="5"/>
    </row>
    <row r="61" spans="1:3" hidden="1" outlineLevel="1" x14ac:dyDescent="0.3">
      <c r="A61" s="1" t="s">
        <v>49</v>
      </c>
      <c r="B61" s="9" t="str">
        <f ca="1">_xll.DBR($B$48,$B$39,$B$40,$B$41,$A61)</f>
        <v>*KEY_ERR</v>
      </c>
      <c r="C61" s="5"/>
    </row>
    <row r="62" spans="1:3" hidden="1" outlineLevel="1" x14ac:dyDescent="0.3">
      <c r="A62" s="1" t="s">
        <v>56</v>
      </c>
      <c r="B62" s="9" t="str">
        <f ca="1">_xll.DBR($B$48,$B$39,$B$40,$B$41,$A62)</f>
        <v>*KEY_ERR</v>
      </c>
      <c r="C62" s="5"/>
    </row>
    <row r="63" spans="1:3" hidden="1" outlineLevel="1" x14ac:dyDescent="0.3">
      <c r="A63" s="1" t="s">
        <v>69</v>
      </c>
      <c r="B63" s="9" t="str">
        <f ca="1">_xll.DBR($B$48,$B$39,$B$40,$B$41,$A63)</f>
        <v>*KEY_ERR</v>
      </c>
      <c r="C63" s="5"/>
    </row>
    <row r="64" spans="1:3" hidden="1" outlineLevel="1" x14ac:dyDescent="0.3">
      <c r="A64" s="1" t="s">
        <v>75</v>
      </c>
      <c r="B64" s="9" t="str">
        <f ca="1">_xll.DBR($B$48,$B$39,$B$40,$B$41,$A64)</f>
        <v>*KEY_ERR</v>
      </c>
      <c r="C64" s="5"/>
    </row>
    <row r="65" spans="9:15" hidden="1" outlineLevel="1" x14ac:dyDescent="0.3"/>
    <row r="66" spans="9:15" ht="39.75" customHeight="1" collapsed="1" x14ac:dyDescent="0.3">
      <c r="I66" s="10"/>
      <c r="J66" s="10"/>
      <c r="K66" s="10"/>
      <c r="L66" s="10"/>
      <c r="M66" s="10"/>
      <c r="N66" s="10"/>
      <c r="O66" s="10" t="s">
        <v>70</v>
      </c>
    </row>
    <row r="67" spans="9:15" ht="4.5" customHeight="1" x14ac:dyDescent="0.3"/>
    <row r="68" spans="9:15" ht="24" customHeight="1" x14ac:dyDescent="0.3"/>
    <row r="69" spans="9:15" ht="1.5" customHeight="1" x14ac:dyDescent="0.3">
      <c r="I69" s="10"/>
      <c r="J69" s="10"/>
      <c r="K69" s="10"/>
      <c r="L69" s="10"/>
      <c r="M69" s="10"/>
      <c r="N69" s="10"/>
      <c r="O69" s="10"/>
    </row>
    <row r="70" spans="9:15" ht="4.5" customHeight="1" x14ac:dyDescent="0.3"/>
    <row r="71" spans="9:15" ht="15.6" x14ac:dyDescent="0.3">
      <c r="K71" s="11" t="s">
        <v>54</v>
      </c>
      <c r="M71" s="12" t="str">
        <f ca="1">psID</f>
        <v>*KEY_ERR</v>
      </c>
    </row>
    <row r="72" spans="9:15" ht="4.5" customHeight="1" x14ac:dyDescent="0.3"/>
    <row r="73" spans="9:15" x14ac:dyDescent="0.3">
      <c r="K73" s="11" t="s">
        <v>63</v>
      </c>
      <c r="M73" s="16" t="str">
        <f ca="1">psStatus</f>
        <v>*KEY_ERR</v>
      </c>
    </row>
    <row r="74" spans="9:15" ht="5.0999999999999996" customHeight="1" x14ac:dyDescent="0.3"/>
    <row r="75" spans="9:15" x14ac:dyDescent="0.3">
      <c r="K75" s="11" t="s">
        <v>55</v>
      </c>
      <c r="M75" s="15" t="str">
        <f ca="1">$B$59</f>
        <v>*KEY_ERR</v>
      </c>
    </row>
    <row r="76" spans="9:15" ht="4.5" customHeight="1" x14ac:dyDescent="0.3"/>
    <row r="77" spans="9:15" x14ac:dyDescent="0.3">
      <c r="K77" s="11" t="s">
        <v>61</v>
      </c>
      <c r="M77" s="20" t="str">
        <f ca="1">$B$62</f>
        <v>*KEY_ERR</v>
      </c>
    </row>
    <row r="78" spans="9:15" x14ac:dyDescent="0.3">
      <c r="M78" s="21"/>
    </row>
    <row r="79" spans="9:15" x14ac:dyDescent="0.3">
      <c r="M79" s="21"/>
    </row>
    <row r="80" spans="9:15" x14ac:dyDescent="0.3">
      <c r="M80" s="22"/>
    </row>
    <row r="81" spans="1:13" ht="4.5" customHeight="1" x14ac:dyDescent="0.3"/>
    <row r="82" spans="1:13" x14ac:dyDescent="0.3">
      <c r="A82" t="s">
        <v>64</v>
      </c>
      <c r="K82" s="17" t="s">
        <v>62</v>
      </c>
      <c r="M82" s="18" t="str">
        <f ca="1">_xll.DBR($B$36,psUser,$A$82,$B$38)</f>
        <v>*KEY_ERR</v>
      </c>
    </row>
    <row r="83" spans="1:13" x14ac:dyDescent="0.3">
      <c r="M83" s="14"/>
    </row>
    <row r="84" spans="1:13" x14ac:dyDescent="0.3">
      <c r="M84" s="14"/>
    </row>
    <row r="85" spans="1:13" x14ac:dyDescent="0.3">
      <c r="M85" s="14"/>
    </row>
  </sheetData>
  <sheetProtection sheet="1" objects="1" scenarios="1"/>
  <mergeCells count="6">
    <mergeCell ref="M77:M80"/>
    <mergeCell ref="A1:C1"/>
    <mergeCell ref="A9:C9"/>
    <mergeCell ref="A15:C15"/>
    <mergeCell ref="A35:C35"/>
    <mergeCell ref="A47:C47"/>
  </mergeCells>
  <conditionalFormatting sqref="M73">
    <cfRule type="containsText" dxfId="1" priority="1" operator="containsText" text="approve">
      <formula>NOT(ISERROR(SEARCH("approve",M73)))</formula>
    </cfRule>
    <cfRule type="beginsWith" dxfId="0" priority="2" operator="beginsWith" text="un">
      <formula>LEFT(M73,LEN("un"))="un"</formula>
    </cfRule>
  </conditionalFormatting>
  <pageMargins left="0.70866141732283472" right="0.70866141732283472" top="0.74803149606299213" bottom="0.74803149606299213" header="0.31496062992125984" footer="0.31496062992125984"/>
  <pageSetup paperSize="9" scale="83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039" r:id="rId4" name="TIButton6">
          <controlPr defaultSize="0" print="0" autoLine="0" autoPict="0" r:id="rId5">
            <anchor moveWithCells="1" sizeWithCells="1">
              <from>
                <xdr:col>12</xdr:col>
                <xdr:colOff>1600200</xdr:colOff>
                <xdr:row>67</xdr:row>
                <xdr:rowOff>0</xdr:rowOff>
              </from>
              <to>
                <xdr:col>12</xdr:col>
                <xdr:colOff>2499360</xdr:colOff>
                <xdr:row>67</xdr:row>
                <xdr:rowOff>251460</xdr:rowOff>
              </to>
            </anchor>
          </controlPr>
        </control>
      </mc:Choice>
      <mc:Fallback>
        <control shapeId="1039" r:id="rId4" name="TIButton6"/>
      </mc:Fallback>
    </mc:AlternateContent>
    <mc:AlternateContent xmlns:mc="http://schemas.openxmlformats.org/markup-compatibility/2006">
      <mc:Choice Requires="x14">
        <control shapeId="1038" r:id="rId6" name="TIButton5">
          <controlPr defaultSize="0" print="0" autoLine="0" r:id="rId7">
            <anchor moveWithCells="1" sizeWithCells="1">
              <from>
                <xdr:col>12</xdr:col>
                <xdr:colOff>426720</xdr:colOff>
                <xdr:row>67</xdr:row>
                <xdr:rowOff>0</xdr:rowOff>
              </from>
              <to>
                <xdr:col>12</xdr:col>
                <xdr:colOff>1531620</xdr:colOff>
                <xdr:row>67</xdr:row>
                <xdr:rowOff>251460</xdr:rowOff>
              </to>
            </anchor>
          </controlPr>
        </control>
      </mc:Choice>
      <mc:Fallback>
        <control shapeId="1038" r:id="rId6" name="TIButton5"/>
      </mc:Fallback>
    </mc:AlternateContent>
    <mc:AlternateContent xmlns:mc="http://schemas.openxmlformats.org/markup-compatibility/2006">
      <mc:Choice Requires="x14">
        <control shapeId="1037" r:id="rId8" name="TIButton4">
          <controlPr defaultSize="0" print="0" autoLine="0" autoPict="0" r:id="rId9">
            <anchor moveWithCells="1" sizeWithCells="1">
              <from>
                <xdr:col>10</xdr:col>
                <xdr:colOff>1287780</xdr:colOff>
                <xdr:row>67</xdr:row>
                <xdr:rowOff>0</xdr:rowOff>
              </from>
              <to>
                <xdr:col>12</xdr:col>
                <xdr:colOff>373380</xdr:colOff>
                <xdr:row>67</xdr:row>
                <xdr:rowOff>251460</xdr:rowOff>
              </to>
            </anchor>
          </controlPr>
        </control>
      </mc:Choice>
      <mc:Fallback>
        <control shapeId="1037" r:id="rId8" name="TIButton4"/>
      </mc:Fallback>
    </mc:AlternateContent>
    <mc:AlternateContent xmlns:mc="http://schemas.openxmlformats.org/markup-compatibility/2006">
      <mc:Choice Requires="x14">
        <control shapeId="1036" r:id="rId10" name="TIButton2">
          <controlPr defaultSize="0" print="0" autoLine="0" autoPict="0" r:id="rId11">
            <anchor moveWithCells="1" sizeWithCells="1">
              <from>
                <xdr:col>10</xdr:col>
                <xdr:colOff>137160</xdr:colOff>
                <xdr:row>67</xdr:row>
                <xdr:rowOff>0</xdr:rowOff>
              </from>
              <to>
                <xdr:col>10</xdr:col>
                <xdr:colOff>1257300</xdr:colOff>
                <xdr:row>67</xdr:row>
                <xdr:rowOff>251460</xdr:rowOff>
              </to>
            </anchor>
          </controlPr>
        </control>
      </mc:Choice>
      <mc:Fallback>
        <control shapeId="1036" r:id="rId10" name="TIButton2"/>
      </mc:Fallback>
    </mc:AlternateContent>
    <mc:AlternateContent xmlns:mc="http://schemas.openxmlformats.org/markup-compatibility/2006">
      <mc:Choice Requires="x14">
        <control shapeId="1035" r:id="rId12" name="TIButton3">
          <controlPr defaultSize="0" print="0" autoLine="0" autoPict="0" r:id="rId13">
            <anchor moveWithCells="1" sizeWithCells="1">
              <from>
                <xdr:col>9</xdr:col>
                <xdr:colOff>68580</xdr:colOff>
                <xdr:row>67</xdr:row>
                <xdr:rowOff>0</xdr:rowOff>
              </from>
              <to>
                <xdr:col>10</xdr:col>
                <xdr:colOff>99060</xdr:colOff>
                <xdr:row>67</xdr:row>
                <xdr:rowOff>251460</xdr:rowOff>
              </to>
            </anchor>
          </controlPr>
        </control>
      </mc:Choice>
      <mc:Fallback>
        <control shapeId="1035" r:id="rId12" name="TIButton3"/>
      </mc:Fallback>
    </mc:AlternateContent>
    <mc:AlternateContent xmlns:mc="http://schemas.openxmlformats.org/markup-compatibility/2006">
      <mc:Choice Requires="x14">
        <control shapeId="1031" r:id="rId14" name="TIButton1">
          <controlPr defaultSize="0" print="0" autoLine="0" autoPict="0" r:id="rId15">
            <anchor moveWithCells="1" sizeWithCells="1">
              <from>
                <xdr:col>12</xdr:col>
                <xdr:colOff>2545080</xdr:colOff>
                <xdr:row>67</xdr:row>
                <xdr:rowOff>0</xdr:rowOff>
              </from>
              <to>
                <xdr:col>12</xdr:col>
                <xdr:colOff>3322320</xdr:colOff>
                <xdr:row>67</xdr:row>
                <xdr:rowOff>251460</xdr:rowOff>
              </to>
            </anchor>
          </controlPr>
        </control>
      </mc:Choice>
      <mc:Fallback>
        <control shapeId="1031" r:id="rId1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12F-8DC7-4BD1-9880-12F5990EA087}">
  <sheetPr codeName="Sheet2"/>
  <dimension ref="A1:A6"/>
  <sheetViews>
    <sheetView workbookViewId="0"/>
  </sheetViews>
  <sheetFormatPr defaultRowHeight="14.4" x14ac:dyDescent="0.3"/>
  <sheetData>
    <row r="1" spans="1:1" x14ac:dyDescent="0.3">
      <c r="A1" t="s">
        <v>65</v>
      </c>
    </row>
    <row r="2" spans="1:1" x14ac:dyDescent="0.3">
      <c r="A2" t="s">
        <v>66</v>
      </c>
    </row>
    <row r="3" spans="1:1" x14ac:dyDescent="0.3">
      <c r="A3" t="s">
        <v>67</v>
      </c>
    </row>
    <row r="4" spans="1:1" x14ac:dyDescent="0.3">
      <c r="A4" t="s">
        <v>68</v>
      </c>
    </row>
    <row r="5" spans="1:1" x14ac:dyDescent="0.3">
      <c r="A5" t="s">
        <v>59</v>
      </c>
    </row>
    <row r="6" spans="1:1" x14ac:dyDescent="0.3">
      <c r="A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42</vt:i4>
      </vt:variant>
    </vt:vector>
  </HeadingPairs>
  <TitlesOfParts>
    <vt:vector size="44" baseType="lpstr">
      <vt:lpstr>authorise</vt:lpstr>
      <vt:lpstr>{PL}PickLst</vt:lpstr>
      <vt:lpstr>db_name</vt:lpstr>
      <vt:lpstr>psHLYear</vt:lpstr>
      <vt:lpstr>psID</vt:lpstr>
      <vt:lpstr>psProcess</vt:lpstr>
      <vt:lpstr>psScenario</vt:lpstr>
      <vt:lpstr>psStatus</vt:lpstr>
      <vt:lpstr>psUser</vt:lpstr>
      <vt:lpstr>TM1AdjIDListCAP</vt:lpstr>
      <vt:lpstr>TM1AdjIDListWB</vt:lpstr>
      <vt:lpstr>TM1AdjIDListWS</vt:lpstr>
      <vt:lpstr>TM1BackToAdjWB</vt:lpstr>
      <vt:lpstr>TM1BackToAdjWS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TM1GrpNewAdj99ValidCAP</vt:lpstr>
      <vt:lpstr>TM1GrpNewAdj99ValidWB</vt:lpstr>
      <vt:lpstr>TM1GrpNewAdj99ValidWS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TM1NewAdj03AuthCAP</vt:lpstr>
      <vt:lpstr>TM1NewAdj03AuthWB</vt:lpstr>
      <vt:lpstr>TM1NewAdj03AuthWS</vt:lpstr>
      <vt:lpstr>TM1NewAdj99ValidCAP</vt:lpstr>
      <vt:lpstr>TM1NewAdj99ValidWB</vt:lpstr>
      <vt:lpstr>TM1NewAdj99ValidWS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2019-04-29T04:37:36Z</cp:lastPrinted>
  <dcterms:created xsi:type="dcterms:W3CDTF">2019-04-26T07:19:11Z</dcterms:created>
  <dcterms:modified xsi:type="dcterms:W3CDTF">2023-02-14T22:32:56Z</dcterms:modified>
</cp:coreProperties>
</file>