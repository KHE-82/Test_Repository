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40AFF8FB-7B27-4B78-B04F-8F3F6AE24896}" xr6:coauthVersionLast="47" xr6:coauthVersionMax="47" xr10:uidLastSave="{00000000-0000-0000-0000-000000000000}"/>
  <bookViews>
    <workbookView xWindow="57480" yWindow="-1965" windowWidth="29040" windowHeight="15840" xr2:uid="{00000000-000D-0000-FFFF-FFFF00000000}"/>
  </bookViews>
  <sheets>
    <sheet name="navigation" sheetId="1" r:id="rId1"/>
  </sheets>
  <definedNames>
    <definedName name="db_name">navigation!$C$2</definedName>
    <definedName name="psApp">navigation!$C$32</definedName>
    <definedName name="psFE2Year">navigation!$L$78</definedName>
    <definedName name="psFE3Year">navigation!$L$79</definedName>
    <definedName name="psID">navigation!$C$56</definedName>
    <definedName name="psProg">navigation!$L$77</definedName>
    <definedName name="psUser">navigation!$C$4</definedName>
    <definedName name="TM1AdjIDListCAP">navigation!$D$40</definedName>
    <definedName name="TM1AdjIDListWB">navigation!$F$40</definedName>
    <definedName name="TM1AdminProgDetCAP">navigation!$D$53</definedName>
    <definedName name="TM1AdminProgDetWB">navigation!$F$53</definedName>
    <definedName name="TM1AdminProgDetWS">navigation!$H$53</definedName>
    <definedName name="TM1EDCAP">navigation!$D$44</definedName>
    <definedName name="TM1EDWB">navigation!$F$44</definedName>
    <definedName name="TM1EDWS">navigation!$H$44</definedName>
    <definedName name="TM1FE3CAP">navigation!$D$41</definedName>
    <definedName name="TM1FE3DetCAP">navigation!$D$42</definedName>
    <definedName name="TM1FE3DetWB">navigation!$F$42</definedName>
    <definedName name="TM1FE3DetWS">navigation!$H$42</definedName>
    <definedName name="TM1FE3RecoCAP">navigation!$D$43</definedName>
    <definedName name="TM1FE3RecoWB">navigation!$F$43</definedName>
    <definedName name="TM1FE3RecoWS">navigation!$H$43</definedName>
    <definedName name="TM1FE3WB">navigation!$F$41</definedName>
    <definedName name="TM1FE3WS">navigation!$H$41</definedName>
    <definedName name="TM1GenerateRecoCAP">navigation!$D$51</definedName>
    <definedName name="TM1GenerateRecoWB">navigation!$F$51</definedName>
    <definedName name="TM1GenerateRecoWS">navigation!$H$51</definedName>
    <definedName name="TM1HomeAdminCAP">navigation!$D$38</definedName>
    <definedName name="TM1HomeAdminWB">navigation!$F$38</definedName>
    <definedName name="TM1HomeAdminWS">navigation!$H$38</definedName>
    <definedName name="TM1HomeAECAP">navigation!$D$35</definedName>
    <definedName name="TM1HomeAEDataEntryCAP">navigation!$D$36</definedName>
    <definedName name="TM1HomeAEDataEntryWB">navigation!$F$36</definedName>
    <definedName name="TM1HomeAEDataEntryWS">navigation!$H$36</definedName>
    <definedName name="TM1HomeAEWB">navigation!$F$35</definedName>
    <definedName name="TM1HomeAEWS">navigation!$H$35</definedName>
    <definedName name="TM1HomeCAP">navigation!$D$34</definedName>
    <definedName name="TM1HomeRepCAP">navigation!$D$37</definedName>
    <definedName name="TM1HomeRepWB">navigation!$F$37</definedName>
    <definedName name="TM1HomeRepWS">navigation!$H$37</definedName>
    <definedName name="TM1HomeUnderCAP">navigation!$D$39</definedName>
    <definedName name="TM1HomeUnderWB">navigation!$F$39</definedName>
    <definedName name="TM1HomeUnderWS">navigation!$H$39</definedName>
    <definedName name="TM1HomeWB">navigation!$F$34</definedName>
    <definedName name="TM1HomeWS">navigation!$H$34</definedName>
    <definedName name="TM1IDListWS">navigation!$H$40</definedName>
    <definedName name="TM1IndexCAP">navigation!$D$45</definedName>
    <definedName name="TM1IndexFE3MapCAP">navigation!$D$49</definedName>
    <definedName name="TM1IndexFE3MapWB">navigation!$F$49</definedName>
    <definedName name="TM1IndexFE3MapWS">navigation!$H$49</definedName>
    <definedName name="TM1IndexFinCAP">navigation!$D$46</definedName>
    <definedName name="TM1IndexFinDCBCAP">navigation!$D$47</definedName>
    <definedName name="TM1IndexFinDCBWB">navigation!$F$47</definedName>
    <definedName name="TM1IndexFinDCBWS">navigation!$H$47</definedName>
    <definedName name="TM1IndexFinSubsetCAP">navigation!$D$50</definedName>
    <definedName name="TM1IndexFinSubsetWB">navigation!$F$50</definedName>
    <definedName name="TM1IndexFinSubsetWS">navigation!$H$50</definedName>
    <definedName name="TM1IndexFinWB">navigation!$F$46</definedName>
    <definedName name="TM1IndexFinWS">navigation!$H$46</definedName>
    <definedName name="TM1IndexRatesCAP">navigation!$D$48</definedName>
    <definedName name="TM1IndexRatesWB">navigation!$F$48</definedName>
    <definedName name="TM1IndexRatesWS">navigation!$H$48</definedName>
    <definedName name="TM1IndexSetupCAP">navigation!$D$52</definedName>
    <definedName name="TM1IndexSetupWB">navigation!$F$52</definedName>
    <definedName name="TM1IndexSetupWS">navigation!$H$52</definedName>
    <definedName name="TM1IndexWB">navigation!$F$45</definedName>
    <definedName name="TM1IndexWS">navigation!$H$45</definedName>
    <definedName name="TM1REBUILDOPTION">1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77" i="1" l="1" a="1"/>
  <c r="L77" i="1"/>
  <c r="L76" i="1" a="1"/>
  <c r="L76" i="1"/>
  <c r="C31" i="1" a="1"/>
  <c r="C31" i="1"/>
  <c r="H53" i="1"/>
  <c r="G53" i="1"/>
  <c r="F53" i="1"/>
  <c r="E53" i="1"/>
  <c r="D53" i="1"/>
  <c r="C53" i="1"/>
  <c r="H52" i="1"/>
  <c r="G52" i="1"/>
  <c r="F52" i="1"/>
  <c r="E52" i="1"/>
  <c r="D52" i="1"/>
  <c r="C52" i="1"/>
  <c r="C10" i="1" a="1"/>
  <c r="C10" i="1"/>
  <c r="C12" i="1" a="1"/>
  <c r="C12" i="1"/>
  <c r="F10" i="1"/>
  <c r="G15" i="1" a="1"/>
  <c r="G15" i="1"/>
  <c r="L79" i="1" a="1"/>
  <c r="L79" i="1"/>
  <c r="G14" i="1" a="1"/>
  <c r="G14" i="1"/>
  <c r="L78" i="1" a="1"/>
  <c r="L78" i="1"/>
  <c r="H51" i="1" a="1"/>
  <c r="H51" i="1"/>
  <c r="G51" i="1" a="1"/>
  <c r="G51" i="1"/>
  <c r="F51" i="1" a="1"/>
  <c r="F51" i="1"/>
  <c r="E51" i="1" a="1"/>
  <c r="E51" i="1"/>
  <c r="D51" i="1" a="1"/>
  <c r="D51" i="1"/>
  <c r="C51" i="1" a="1"/>
  <c r="C51" i="1"/>
  <c r="H50" i="1" a="1"/>
  <c r="H50" i="1"/>
  <c r="G50" i="1" a="1"/>
  <c r="G50" i="1"/>
  <c r="F50" i="1" a="1"/>
  <c r="F50" i="1"/>
  <c r="E50" i="1" a="1"/>
  <c r="E50" i="1"/>
  <c r="D50" i="1" a="1"/>
  <c r="D50" i="1"/>
  <c r="C50" i="1" a="1"/>
  <c r="C50" i="1"/>
  <c r="H49" i="1" a="1"/>
  <c r="H49" i="1"/>
  <c r="G49" i="1" a="1"/>
  <c r="G49" i="1"/>
  <c r="F49" i="1" a="1"/>
  <c r="F49" i="1"/>
  <c r="E49" i="1" a="1"/>
  <c r="E49" i="1"/>
  <c r="D49" i="1" a="1"/>
  <c r="D49" i="1"/>
  <c r="C49" i="1" a="1"/>
  <c r="C49" i="1"/>
  <c r="H48" i="1" a="1"/>
  <c r="H48" i="1"/>
  <c r="G48" i="1" a="1"/>
  <c r="G48" i="1"/>
  <c r="F48" i="1" a="1"/>
  <c r="F48" i="1"/>
  <c r="E48" i="1" a="1"/>
  <c r="E48" i="1"/>
  <c r="D48" i="1" a="1"/>
  <c r="D48" i="1"/>
  <c r="C48" i="1" a="1"/>
  <c r="C48" i="1"/>
  <c r="H47" i="1" a="1"/>
  <c r="H47" i="1"/>
  <c r="G47" i="1" a="1"/>
  <c r="G47" i="1"/>
  <c r="F47" i="1" a="1"/>
  <c r="F47" i="1"/>
  <c r="E47" i="1" a="1"/>
  <c r="E47" i="1"/>
  <c r="D47" i="1" a="1"/>
  <c r="D47" i="1"/>
  <c r="C47" i="1" a="1"/>
  <c r="C47" i="1"/>
  <c r="H46" i="1" a="1"/>
  <c r="H46" i="1"/>
  <c r="G46" i="1" a="1"/>
  <c r="G46" i="1"/>
  <c r="F46" i="1" a="1"/>
  <c r="F46" i="1"/>
  <c r="E46" i="1" a="1"/>
  <c r="E46" i="1"/>
  <c r="D46" i="1" a="1"/>
  <c r="D46" i="1"/>
  <c r="C46" i="1" a="1"/>
  <c r="C46" i="1"/>
  <c r="H45" i="1" a="1"/>
  <c r="H45" i="1"/>
  <c r="G45" i="1" a="1"/>
  <c r="G45" i="1"/>
  <c r="F45" i="1" a="1"/>
  <c r="F45" i="1"/>
  <c r="E45" i="1" a="1"/>
  <c r="E45" i="1"/>
  <c r="D45" i="1" a="1"/>
  <c r="D45" i="1"/>
  <c r="C45" i="1" a="1"/>
  <c r="C45" i="1"/>
  <c r="H44" i="1" a="1"/>
  <c r="H44" i="1"/>
  <c r="G44" i="1" a="1"/>
  <c r="G44" i="1"/>
  <c r="F44" i="1" a="1"/>
  <c r="F44" i="1"/>
  <c r="E44" i="1" a="1"/>
  <c r="E44" i="1"/>
  <c r="D44" i="1" a="1"/>
  <c r="D44" i="1"/>
  <c r="C44" i="1" a="1"/>
  <c r="C44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C23" i="1" a="1"/>
  <c r="C23" i="1"/>
  <c r="C4" i="1" a="1"/>
  <c r="C4" i="1"/>
  <c r="C27" i="1" a="1"/>
  <c r="C27" i="1"/>
  <c r="C26" i="1" a="1"/>
  <c r="C26" i="1"/>
  <c r="C25" i="1" a="1"/>
  <c r="C25" i="1"/>
  <c r="C24" i="1" a="1"/>
  <c r="C24" i="1"/>
  <c r="C17" i="1" a="1"/>
  <c r="C17" i="1"/>
  <c r="C16" i="1" a="1"/>
  <c r="C16" i="1"/>
  <c r="C15" i="1" a="1"/>
  <c r="C15" i="1"/>
  <c r="C14" i="1" a="1"/>
  <c r="C14" i="1"/>
  <c r="G13" i="1" a="1"/>
  <c r="G13" i="1"/>
  <c r="C13" i="1" a="1"/>
  <c r="C13" i="1"/>
  <c r="G12" i="1" a="1"/>
  <c r="G12" i="1"/>
  <c r="G11" i="1" a="1"/>
  <c r="G11" i="1"/>
  <c r="C3" i="1" a="1"/>
  <c r="C3" i="1"/>
  <c r="C6" i="1" a="1"/>
  <c r="C6" i="1"/>
  <c r="C5" i="1" a="1"/>
  <c r="C5" i="1"/>
  <c r="C59" i="1"/>
  <c r="C58" i="1"/>
  <c r="C57" i="1"/>
  <c r="C56" i="1"/>
  <c r="C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<sst xmlns="http://schemas.openxmlformats.org/spreadsheetml/2006/main" count="108" uniqueCount="98">
  <si>
    <t>value</t>
  </si>
  <si>
    <t>save location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</si>
  <si>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</si>
  <si>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</si>
  <si>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</si>
  <si>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</si>
  <si>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</si>
  <si>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</si>
  <si>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</si>
  <si>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</si>
  <si>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</si>
  <si>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</si>
  <si>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</si>
  <si>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</si>
  <si>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</si>
  <si>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Message</t>
  </si>
  <si>
    <t>Client Preference</t>
  </si>
  <si>
    <t>geus hl year</t>
  </si>
  <si>
    <t>geus scenario</t>
  </si>
  <si>
    <t>geus adj</t>
  </si>
  <si>
    <t>geus programme</t>
  </si>
  <si>
    <t>Client Preference Measure</t>
  </si>
  <si>
    <t>favapp_application</t>
  </si>
  <si>
    <t>sys_application</t>
  </si>
  <si>
    <t>Slice View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</si>
  <si>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</si>
  <si>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</si>
  <si>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</si>
  <si>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</si>
  <si>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</si>
  <si>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</si>
  <si>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</si>
  <si>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</si>
  <si>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</si>
  <si>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Homepage - Reports</t>
  </si>
  <si>
    <t>Homepage - Administration</t>
  </si>
  <si>
    <t>Homepage - Under Construction</t>
  </si>
  <si>
    <t>Current Workbook</t>
  </si>
  <si>
    <t>validate</t>
  </si>
  <si>
    <t>ED Summary Calculation Workbook</t>
  </si>
  <si>
    <t>Parameters Summary Calculation Workbook</t>
  </si>
  <si>
    <t>Procedure</t>
  </si>
  <si>
    <t>FE3 Summary Calculation Workbook</t>
  </si>
  <si>
    <t>Adjustment - ID List</t>
  </si>
  <si>
    <t>Adjustment - Generate FE3</t>
  </si>
  <si>
    <t>Adjustment - Generate FE3 Detail</t>
  </si>
  <si>
    <t>Adjustment - Generate FE3 Reconciliation</t>
  </si>
  <si>
    <t>Adjustment - Generate ED</t>
  </si>
  <si>
    <t>Adjustment - Generate Indexation</t>
  </si>
  <si>
    <t>Adjustment - Indexation Finance Workbook</t>
  </si>
  <si>
    <t>Adjustment - Indexation Finance DCB Workbook</t>
  </si>
  <si>
    <t>Adjustment - Indexation Rates</t>
  </si>
  <si>
    <t>Adjustment - Indexation and FE3 Navigational Map</t>
  </si>
  <si>
    <t>STEP 2 PARAMETERS</t>
  </si>
  <si>
    <t>FE2 Period :</t>
  </si>
  <si>
    <t>FE3 Period :</t>
  </si>
  <si>
    <t>Program :</t>
  </si>
  <si>
    <t>ID :</t>
  </si>
  <si>
    <t>Period</t>
  </si>
  <si>
    <t>Action Button Parameters</t>
  </si>
  <si>
    <t>psID</t>
  </si>
  <si>
    <t>psProg</t>
  </si>
  <si>
    <t>psFE2Year</t>
  </si>
  <si>
    <t>psFE3Year</t>
  </si>
  <si>
    <t>STEP 3 : Navigate to individual workbooks to generate adjustments</t>
  </si>
  <si>
    <t>1. Select Dept/Admin programs, then REFRESH</t>
  </si>
  <si>
    <t>2. Confirm Program to APPLY ED?</t>
  </si>
  <si>
    <t>3. Review calculation columns</t>
  </si>
  <si>
    <t>5. Click 'Generate ED Adj' button</t>
  </si>
  <si>
    <t>6. Review adjustment &amp; Bulk Process</t>
  </si>
  <si>
    <t>2. Confirm correct Parameter Type applied</t>
  </si>
  <si>
    <t>4. Confirm 'Generate Parameters' column (Y/N)</t>
  </si>
  <si>
    <t>4. Confirm 'Generate ED' column (Y/N)</t>
  </si>
  <si>
    <t>5. Click 'Generate Param Adj' button</t>
  </si>
  <si>
    <t>3. Review FE3 Detailed Calculation</t>
  </si>
  <si>
    <t>4. Confirm 'Generate FE3' column (Y/N)</t>
  </si>
  <si>
    <t>5. Click 'Generate FE3 Adj' button</t>
  </si>
  <si>
    <t>2. Review calculation columns (ED,Parameters,FE3)</t>
  </si>
  <si>
    <t>STEP 4 : Review Reconciliation Worksheet</t>
  </si>
  <si>
    <t xml:space="preserve">Note : If adjustment has not been created, reconciliation worksheet may not be complete. </t>
  </si>
  <si>
    <t>Adjustment - Indexation Generate Subset</t>
  </si>
  <si>
    <t>Note : Navigate to FE3 Detailed Calculation to view by measures.</t>
  </si>
  <si>
    <t>7. Review Finance Reconciliation Worksheet (STEP 4 Below)</t>
  </si>
  <si>
    <t>Note : This screen is used to assist users the navigtional processes during the ED, Parameters and FE3</t>
  </si>
  <si>
    <t>ED, Parameters and FE3 Navigational Map</t>
  </si>
  <si>
    <t xml:space="preserve">Note : ED and Parameters are only calculated on Appropriations and if certain accounts are set to have Indexation applied. </t>
  </si>
  <si>
    <t xml:space="preserve">Note : Click the 'Update Calculation' to update the Parameters and FE3 Calculation cube with selected STEP 2 Parameters. </t>
  </si>
  <si>
    <t xml:space="preserve">Note : Navigate to 'Print Bulk Reconciliation Workbook' to select individual programs to print. </t>
  </si>
  <si>
    <t>Procedure (During MYEFO)</t>
  </si>
  <si>
    <t>Adjustment - Generate Reconciliation Workbook</t>
  </si>
  <si>
    <t>Note : Generation of ED must be applied to new FE3 base BEFORE Parameters. Generations of ED, Parameters and FE3 adjustments are done within individual workbooks</t>
  </si>
  <si>
    <t>STEP 1 : Review Administration Set Up and Indexation Rates</t>
  </si>
  <si>
    <t>Adjustment - Indexation Setup</t>
  </si>
  <si>
    <t>Note : Review Administration Setup and Update the indexation rates prior to Generating Parameters and ED</t>
  </si>
  <si>
    <t>Note : Opening Base is just 0000A, Closing Base is Total IDs</t>
  </si>
  <si>
    <t>STEP 2 : Transfer AE Adj Data To Calculation Cube</t>
  </si>
  <si>
    <t>Admin - Programme Details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</si>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</sst>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3" fillId="3" borderId="0" xfId="0" applyFont="1" applyFill="1" applyAlignment="1">
      <alignment horizontal="right" vertical="center"/>
    </xf>
    <xf numFmtId="0" fontId="0" fillId="3" borderId="0" xfId="0" applyFill="1"/>
    <xf numFmtId="0" fontId="6" fillId="0" borderId="4" xfId="0" applyFont="1" applyBorder="1" applyAlignment="1">
      <alignment horizontal="center"/>
    </xf>
    <xf numFmtId="0" fontId="2" fillId="0" borderId="0" xfId="0" applyFont="1"/>
    <xf numFmtId="0" fontId="7" fillId="0" borderId="0" xfId="0" applyFont="1"/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right" indent="1"/>
    </xf>
    <xf numFmtId="0" fontId="1" fillId="4" borderId="8" xfId="0" applyFont="1" applyFill="1" applyBorder="1" applyAlignment="1">
      <alignment horizontal="center"/>
    </xf>
    <xf numFmtId="0" fontId="8" fillId="0" borderId="6" xfId="0" applyFont="1" applyBorder="1"/>
    <xf numFmtId="0" fontId="8" fillId="0" borderId="0" xfId="0" applyFont="1"/>
    <xf numFmtId="0" fontId="8" fillId="0" borderId="7" xfId="0" applyFont="1" applyBorder="1"/>
    <xf numFmtId="0" fontId="5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9" fillId="0" borderId="6" xfId="0" applyFont="1" applyBorder="1"/>
    <xf numFmtId="0" fontId="0" fillId="0" borderId="4" xfId="0" applyBorder="1" applyAlignment="1" applyProtection="1">
      <alignment horizontal="left" indent="1"/>
      <protection locked="0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426A"/>
      <color rgb="FF333F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3.emf"/><Relationship Id="rId3" Type="http://schemas.openxmlformats.org/officeDocument/2006/relationships/image" Target="../media/image15.emf"/><Relationship Id="rId7" Type="http://schemas.openxmlformats.org/officeDocument/2006/relationships/image" Target="../media/image9.emf"/><Relationship Id="rId12" Type="http://schemas.openxmlformats.org/officeDocument/2006/relationships/image" Target="../media/image4.emf"/><Relationship Id="rId2" Type="http://schemas.openxmlformats.org/officeDocument/2006/relationships/image" Target="../media/image14.emf"/><Relationship Id="rId1" Type="http://schemas.openxmlformats.org/officeDocument/2006/relationships/image" Target="../media/image13.emf"/><Relationship Id="rId6" Type="http://schemas.openxmlformats.org/officeDocument/2006/relationships/image" Target="../media/image10.emf"/><Relationship Id="rId11" Type="http://schemas.openxmlformats.org/officeDocument/2006/relationships/image" Target="../media/image5.emf"/><Relationship Id="rId5" Type="http://schemas.openxmlformats.org/officeDocument/2006/relationships/image" Target="../media/image11.emf"/><Relationship Id="rId15" Type="http://schemas.openxmlformats.org/officeDocument/2006/relationships/image" Target="../media/image1.emf"/><Relationship Id="rId10" Type="http://schemas.openxmlformats.org/officeDocument/2006/relationships/image" Target="../media/image6.emf"/><Relationship Id="rId4" Type="http://schemas.openxmlformats.org/officeDocument/2006/relationships/image" Target="../media/image12.emf"/><Relationship Id="rId9" Type="http://schemas.openxmlformats.org/officeDocument/2006/relationships/image" Target="../media/image7.emf"/><Relationship Id="rId1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63</xdr:row>
      <xdr:rowOff>38100</xdr:rowOff>
    </xdr:from>
    <xdr:to>
      <xdr:col>9</xdr:col>
      <xdr:colOff>1769745</xdr:colOff>
      <xdr:row>63</xdr:row>
      <xdr:rowOff>495300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5725" y="3810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60960</xdr:colOff>
          <xdr:row>65</xdr:row>
          <xdr:rowOff>30480</xdr:rowOff>
        </xdr:from>
        <xdr:to>
          <xdr:col>9</xdr:col>
          <xdr:colOff>693420</xdr:colOff>
          <xdr:row>65</xdr:row>
          <xdr:rowOff>274320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1943100</xdr:colOff>
          <xdr:row>65</xdr:row>
          <xdr:rowOff>30480</xdr:rowOff>
        </xdr:from>
        <xdr:to>
          <xdr:col>9</xdr:col>
          <xdr:colOff>2727960</xdr:colOff>
          <xdr:row>65</xdr:row>
          <xdr:rowOff>274320</xdr:rowOff>
        </xdr:to>
        <xdr:sp macro="" textlink="">
          <xdr:nvSpPr>
            <xdr:cNvPr id="1027" name="TIButton4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731520</xdr:colOff>
          <xdr:row>65</xdr:row>
          <xdr:rowOff>30480</xdr:rowOff>
        </xdr:from>
        <xdr:to>
          <xdr:col>9</xdr:col>
          <xdr:colOff>1912620</xdr:colOff>
          <xdr:row>65</xdr:row>
          <xdr:rowOff>274320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2766060</xdr:colOff>
          <xdr:row>70</xdr:row>
          <xdr:rowOff>30480</xdr:rowOff>
        </xdr:from>
        <xdr:to>
          <xdr:col>13</xdr:col>
          <xdr:colOff>1554480</xdr:colOff>
          <xdr:row>70</xdr:row>
          <xdr:rowOff>274320</xdr:rowOff>
        </xdr:to>
        <xdr:sp macro="" textlink="">
          <xdr:nvSpPr>
            <xdr:cNvPr id="1029" name="TIButton2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441960</xdr:colOff>
          <xdr:row>85</xdr:row>
          <xdr:rowOff>38100</xdr:rowOff>
        </xdr:from>
        <xdr:to>
          <xdr:col>9</xdr:col>
          <xdr:colOff>2979420</xdr:colOff>
          <xdr:row>85</xdr:row>
          <xdr:rowOff>289560</xdr:rowOff>
        </xdr:to>
        <xdr:sp macro="" textlink="">
          <xdr:nvSpPr>
            <xdr:cNvPr id="1030" name="TIButton5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388620</xdr:colOff>
          <xdr:row>85</xdr:row>
          <xdr:rowOff>38100</xdr:rowOff>
        </xdr:from>
        <xdr:to>
          <xdr:col>11</xdr:col>
          <xdr:colOff>2933700</xdr:colOff>
          <xdr:row>85</xdr:row>
          <xdr:rowOff>289560</xdr:rowOff>
        </xdr:to>
        <xdr:sp macro="" textlink="">
          <xdr:nvSpPr>
            <xdr:cNvPr id="1031" name="TIButton6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457200</xdr:colOff>
          <xdr:row>85</xdr:row>
          <xdr:rowOff>38100</xdr:rowOff>
        </xdr:from>
        <xdr:to>
          <xdr:col>13</xdr:col>
          <xdr:colOff>3002280</xdr:colOff>
          <xdr:row>85</xdr:row>
          <xdr:rowOff>289560</xdr:rowOff>
        </xdr:to>
        <xdr:sp macro="" textlink="">
          <xdr:nvSpPr>
            <xdr:cNvPr id="1032" name="TIButton7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601980</xdr:colOff>
          <xdr:row>77</xdr:row>
          <xdr:rowOff>106680</xdr:rowOff>
        </xdr:from>
        <xdr:to>
          <xdr:col>13</xdr:col>
          <xdr:colOff>1813560</xdr:colOff>
          <xdr:row>78</xdr:row>
          <xdr:rowOff>160020</xdr:rowOff>
        </xdr:to>
        <xdr:sp macro="" textlink="">
          <xdr:nvSpPr>
            <xdr:cNvPr id="1033" name="TIButton8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457200</xdr:colOff>
          <xdr:row>97</xdr:row>
          <xdr:rowOff>38100</xdr:rowOff>
        </xdr:from>
        <xdr:to>
          <xdr:col>13</xdr:col>
          <xdr:colOff>3002280</xdr:colOff>
          <xdr:row>97</xdr:row>
          <xdr:rowOff>289560</xdr:rowOff>
        </xdr:to>
        <xdr:sp macro="" textlink="">
          <xdr:nvSpPr>
            <xdr:cNvPr id="1034" name="TIButton9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83820</xdr:colOff>
          <xdr:row>103</xdr:row>
          <xdr:rowOff>38100</xdr:rowOff>
        </xdr:from>
        <xdr:to>
          <xdr:col>9</xdr:col>
          <xdr:colOff>2628900</xdr:colOff>
          <xdr:row>103</xdr:row>
          <xdr:rowOff>289560</xdr:rowOff>
        </xdr:to>
        <xdr:sp macro="" textlink="">
          <xdr:nvSpPr>
            <xdr:cNvPr id="1035" name="TIButton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83820</xdr:colOff>
          <xdr:row>104</xdr:row>
          <xdr:rowOff>38100</xdr:rowOff>
        </xdr:from>
        <xdr:to>
          <xdr:col>9</xdr:col>
          <xdr:colOff>2628900</xdr:colOff>
          <xdr:row>104</xdr:row>
          <xdr:rowOff>289560</xdr:rowOff>
        </xdr:to>
        <xdr:sp macro="" textlink="">
          <xdr:nvSpPr>
            <xdr:cNvPr id="1036" name="TIButton11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83820</xdr:colOff>
          <xdr:row>105</xdr:row>
          <xdr:rowOff>60960</xdr:rowOff>
        </xdr:from>
        <xdr:to>
          <xdr:col>9</xdr:col>
          <xdr:colOff>2628900</xdr:colOff>
          <xdr:row>106</xdr:row>
          <xdr:rowOff>0</xdr:rowOff>
        </xdr:to>
        <xdr:sp macro="" textlink="">
          <xdr:nvSpPr>
            <xdr:cNvPr id="1038" name="TIButton12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3611880</xdr:colOff>
          <xdr:row>64</xdr:row>
          <xdr:rowOff>30480</xdr:rowOff>
        </xdr:from>
        <xdr:to>
          <xdr:col>14</xdr:col>
          <xdr:colOff>0</xdr:colOff>
          <xdr:row>65</xdr:row>
          <xdr:rowOff>289560</xdr:rowOff>
        </xdr:to>
        <xdr:sp macro="" textlink="">
          <xdr:nvSpPr>
            <xdr:cNvPr id="1039" name="TIButton13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403860</xdr:colOff>
          <xdr:row>70</xdr:row>
          <xdr:rowOff>30480</xdr:rowOff>
        </xdr:from>
        <xdr:to>
          <xdr:col>11</xdr:col>
          <xdr:colOff>2689860</xdr:colOff>
          <xdr:row>70</xdr:row>
          <xdr:rowOff>274320</xdr:rowOff>
        </xdr:to>
        <xdr:sp macro="" textlink="">
          <xdr:nvSpPr>
            <xdr:cNvPr id="1040" name="TIButton14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1645920</xdr:colOff>
          <xdr:row>70</xdr:row>
          <xdr:rowOff>30480</xdr:rowOff>
        </xdr:from>
        <xdr:to>
          <xdr:col>14</xdr:col>
          <xdr:colOff>7620</xdr:colOff>
          <xdr:row>70</xdr:row>
          <xdr:rowOff>274320</xdr:rowOff>
        </xdr:to>
        <xdr:sp macro="" textlink="">
          <xdr:nvSpPr>
            <xdr:cNvPr id="1041" name="TIButton15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32" Type="http://schemas.openxmlformats.org/officeDocument/2006/relationships/control" Target="../activeX/activeX15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ntrol" Target="../activeX/activeX13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Relationship Id="rId30" Type="http://schemas.openxmlformats.org/officeDocument/2006/relationships/control" Target="../activeX/activeX14.xml"/><Relationship Id="rId8" Type="http://schemas.openxmlformats.org/officeDocument/2006/relationships/control" Target="../activeX/activeX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</sheetPr>
  <dimension ref="A1:N106"/>
  <sheetViews>
    <sheetView showGridLines="0" showRowColHeaders="0" tabSelected="1" showOutlineSymbols="0" topLeftCell="A64" zoomScaleNormal="100" workbookViewId="0">
      <pane ySplit="5" topLeftCell="A69" activePane="bottomLeft" state="frozen"/>
      <selection activeCell="I64" sqref="I64"/>
      <selection pane="bottomLeft"/>
    </sheetView>
  </sheetViews>
  <sheetFormatPr defaultRowHeight="14.4" outlineLevelRow="1" outlineLevelCol="1" x14ac:dyDescent="0.3"/>
  <cols>
    <col min="1" max="1" width="9.109375" hidden="1" customWidth="1" outlineLevel="1"/>
    <col min="2" max="2" width="46.109375" hidden="1" customWidth="1" outlineLevel="1"/>
    <col min="3" max="3" width="16.109375" hidden="1" customWidth="1" outlineLevel="1"/>
    <col min="4" max="4" width="19.5546875" hidden="1" customWidth="1" outlineLevel="1"/>
    <col min="5" max="5" width="24.33203125" hidden="1" customWidth="1" outlineLevel="1"/>
    <col min="6" max="6" width="65.33203125" hidden="1" customWidth="1" outlineLevel="1"/>
    <col min="7" max="7" width="24.109375" hidden="1" customWidth="1" outlineLevel="1"/>
    <col min="8" max="8" width="18" hidden="1" customWidth="1" outlineLevel="1"/>
    <col min="9" max="9" width="0.88671875" customWidth="1" collapsed="1"/>
    <col min="10" max="10" width="50.6640625" customWidth="1"/>
    <col min="11" max="11" width="1.6640625" customWidth="1"/>
    <col min="12" max="12" width="50.6640625" customWidth="1"/>
    <col min="13" max="13" width="1.6640625" customWidth="1"/>
    <col min="14" max="14" width="58.88671875" customWidth="1"/>
    <col min="15" max="15" width="0.88671875" customWidth="1"/>
  </cols>
  <sheetData>
    <row r="1" spans="2:7" hidden="1" outlineLevel="1" x14ac:dyDescent="0.3">
      <c r="B1" s="25" t="s">
        <v>2</v>
      </c>
      <c r="C1" s="26"/>
      <c r="D1" s="27"/>
    </row>
    <row r="2" spans="2:7" hidden="1" outlineLevel="1" x14ac:dyDescent="0.3">
      <c r="B2" s="1" t="s">
        <v>3</v>
      </c>
      <c r="C2" s="2" t="s">
        <v>97</v>
      </c>
      <c r="D2" s="3"/>
    </row>
    <row r="3" spans="2:7" hidden="1" outlineLevel="1" x14ac:dyDescent="0.3">
      <c r="B3" s="1" t="s">
        <v>4</v>
      </c>
      <c r="C3" s="4" t="str" cm="1">
        <f t="array" aca="1" ref="C3" ca="1">_xll.VIEW(db_name&amp;":}ElementAttributes_}Clients","!","!")</f>
        <v>dcceew_geus:}ElementAttributes_}Clients</v>
      </c>
      <c r="D3" s="3"/>
    </row>
    <row r="4" spans="2:7" hidden="1" outlineLevel="1" x14ac:dyDescent="0.3">
      <c r="B4" s="1" t="s">
        <v>5</v>
      </c>
      <c r="C4" s="2" t="str" cm="1">
        <f t="array" aca="1" ref="C4" ca="1">_xll.TM1USER(db_name)</f>
        <v/>
      </c>
      <c r="D4" s="3"/>
    </row>
    <row r="5" spans="2:7" hidden="1" outlineLevel="1" x14ac:dyDescent="0.3">
      <c r="B5" s="1" t="s">
        <v>6</v>
      </c>
      <c r="C5" s="2" t="str" cm="1">
        <f t="array" aca="1" ref="C5" ca="1">_xll.DBR($C$3,$C$4,$B5)</f>
        <v>*KEY_ERR</v>
      </c>
      <c r="D5" s="3"/>
    </row>
    <row r="6" spans="2:7" hidden="1" outlineLevel="1" x14ac:dyDescent="0.3">
      <c r="B6" s="1" t="s">
        <v>7</v>
      </c>
      <c r="C6" s="2" t="str" cm="1">
        <f t="array" aca="1" ref="C6" ca="1">_xll.DBR($C$3,$C$4,$B6)</f>
        <v>*KEY_ERR</v>
      </c>
      <c r="D6" s="3"/>
    </row>
    <row r="7" spans="2:7" hidden="1" outlineLevel="1" x14ac:dyDescent="0.3">
      <c r="B7" s="1" t="s">
        <v>8</v>
      </c>
      <c r="C7" s="2" t="str">
        <f ca="1">IF(LEFT($C$4,6)="CAM_AD",$C$5,$C$4)</f>
        <v/>
      </c>
      <c r="D7" s="5"/>
    </row>
    <row r="8" spans="2:7" hidden="1" outlineLevel="1" x14ac:dyDescent="0.3"/>
    <row r="9" spans="2:7" hidden="1" outlineLevel="1" x14ac:dyDescent="0.3">
      <c r="B9" s="25" t="s">
        <v>9</v>
      </c>
      <c r="C9" s="26"/>
      <c r="D9" s="27"/>
      <c r="F9" s="10" t="s">
        <v>58</v>
      </c>
    </row>
    <row r="10" spans="2:7" hidden="1" outlineLevel="1" x14ac:dyDescent="0.3">
      <c r="B10" s="1" t="s">
        <v>10</v>
      </c>
      <c r="C10" s="5" t="str" cm="1">
        <f t="array" aca="1" ref="C10" ca="1">_xll.VIEW(db_name&amp;":}ElementAttributes_variables","!","!")</f>
        <v>dcceew_geus:}ElementAttributes_variables</v>
      </c>
      <c r="D10" s="5"/>
      <c r="F10" s="5" t="str">
        <f ca="1">RIGHT($C$12,9)</f>
        <v>*KEY_ERR</v>
      </c>
      <c r="G10" s="5"/>
    </row>
    <row r="11" spans="2:7" hidden="1" outlineLevel="1" x14ac:dyDescent="0.3">
      <c r="B11" s="1"/>
      <c r="C11" s="5" t="s">
        <v>0</v>
      </c>
      <c r="D11" s="5" t="s">
        <v>38</v>
      </c>
      <c r="F11" s="5">
        <v>-1</v>
      </c>
      <c r="G11" s="5" t="str" cm="1">
        <f t="array" aca="1" ref="G11" ca="1">_xll.DIMNM(db_name&amp;":period",_xll.DIMIX(db_name&amp;":period",$F$10)+$F11)</f>
        <v/>
      </c>
    </row>
    <row r="12" spans="2:7" hidden="1" outlineLevel="1" x14ac:dyDescent="0.3">
      <c r="B12" s="1" t="s">
        <v>11</v>
      </c>
      <c r="C12" s="5" t="str" cm="1">
        <f t="array" aca="1" ref="C12" ca="1">_xll.DBR($C$10,$B12,C$11)</f>
        <v>*KEY_ERR</v>
      </c>
      <c r="D12" s="5"/>
      <c r="F12" s="5">
        <v>0</v>
      </c>
      <c r="G12" s="5" t="str" cm="1">
        <f t="array" aca="1" ref="G12" ca="1">_xll.DIMNM(db_name&amp;":period",_xll.DIMIX(db_name&amp;":period",$F$10)+$F12)</f>
        <v/>
      </c>
    </row>
    <row r="13" spans="2:7" hidden="1" outlineLevel="1" x14ac:dyDescent="0.3">
      <c r="B13" s="1" t="s">
        <v>12</v>
      </c>
      <c r="C13" s="5" t="str" cm="1">
        <f t="array" aca="1" ref="C13" ca="1">_xll.DBR($C$10,$B13,C$11)</f>
        <v>*KEY_ERR</v>
      </c>
      <c r="D13" s="5"/>
      <c r="F13" s="5">
        <v>1</v>
      </c>
      <c r="G13" s="5" t="str" cm="1">
        <f t="array" aca="1" ref="G13" ca="1">_xll.DIMNM(db_name&amp;":period",_xll.DIMIX(db_name&amp;":period",$F$10)+$F13)</f>
        <v/>
      </c>
    </row>
    <row r="14" spans="2:7" hidden="1" outlineLevel="1" x14ac:dyDescent="0.3">
      <c r="B14" s="1" t="s">
        <v>13</v>
      </c>
      <c r="C14" s="5" t="str" cm="1">
        <f t="array" aca="1" ref="C14" ca="1">_xll.DBR($C$10,$B14,C$11)</f>
        <v>*KEY_ERR</v>
      </c>
      <c r="D14" s="5"/>
      <c r="F14" s="5">
        <v>2</v>
      </c>
      <c r="G14" s="5" t="str" cm="1">
        <f t="array" aca="1" ref="G14" ca="1">_xll.DIMNM(db_name&amp;":period",_xll.DIMIX(db_name&amp;":period",$F$10)+$F14)</f>
        <v/>
      </c>
    </row>
    <row r="15" spans="2:7" hidden="1" outlineLevel="1" x14ac:dyDescent="0.3">
      <c r="B15" s="1" t="s">
        <v>14</v>
      </c>
      <c r="C15" s="5" t="str" cm="1">
        <f t="array" aca="1" ref="C15" ca="1">_xll.DBR($C$10,$B15,C$11)</f>
        <v>*KEY_ERR</v>
      </c>
      <c r="D15" s="5"/>
      <c r="F15" s="5">
        <v>3</v>
      </c>
      <c r="G15" s="5" t="str" cm="1">
        <f t="array" aca="1" ref="G15" ca="1">_xll.DIMNM(db_name&amp;":period",_xll.DIMIX(db_name&amp;":period",$F$10)+$F15)</f>
        <v/>
      </c>
    </row>
    <row r="16" spans="2:7" hidden="1" outlineLevel="1" x14ac:dyDescent="0.3">
      <c r="B16" s="1" t="s">
        <v>15</v>
      </c>
      <c r="C16" s="5" t="str" cm="1">
        <f t="array" aca="1" ref="C16" ca="1">_xll.DBR($C$10,$B16,C$11)</f>
        <v>*KEY_ERR</v>
      </c>
      <c r="D16" s="5"/>
    </row>
    <row r="17" spans="2:4" hidden="1" outlineLevel="1" x14ac:dyDescent="0.3">
      <c r="B17" s="5" t="s">
        <v>1</v>
      </c>
      <c r="C17" s="5" t="str" cm="1">
        <f t="array" aca="1" ref="C17" ca="1">_xll.DBR($C$10,$B17,C$11)</f>
        <v>*KEY_ERR</v>
      </c>
      <c r="D17" s="5"/>
    </row>
    <row r="18" spans="2:4" hidden="1" outlineLevel="1" x14ac:dyDescent="0.3"/>
    <row r="19" spans="2:4" hidden="1" outlineLevel="1" x14ac:dyDescent="0.3"/>
    <row r="20" spans="2:4" hidden="1" outlineLevel="1" x14ac:dyDescent="0.3"/>
    <row r="21" spans="2:4" hidden="1" outlineLevel="1" x14ac:dyDescent="0.3"/>
    <row r="22" spans="2:4" hidden="1" outlineLevel="1" x14ac:dyDescent="0.3">
      <c r="B22" s="25" t="s">
        <v>16</v>
      </c>
      <c r="C22" s="26"/>
      <c r="D22" s="27"/>
    </row>
    <row r="23" spans="2:4" hidden="1" outlineLevel="1" x14ac:dyDescent="0.3">
      <c r="B23" s="1" t="s">
        <v>10</v>
      </c>
      <c r="C23" s="5" t="str" cm="1">
        <f t="array" aca="1" ref="C23" ca="1">_xll.VIEW(db_name&amp;":sys_client preference","!","!","!")</f>
        <v>dcceew_geus:sys_client preference</v>
      </c>
      <c r="D23" s="5"/>
    </row>
    <row r="24" spans="2:4" hidden="1" outlineLevel="1" x14ac:dyDescent="0.3">
      <c r="B24" s="1" t="s">
        <v>17</v>
      </c>
      <c r="C24" s="5" t="str" cm="1">
        <f t="array" aca="1" ref="C24" ca="1">_xll.DBR($C$23,psUser,$B24,"value")</f>
        <v>*KEY_ERR</v>
      </c>
      <c r="D24" s="5"/>
    </row>
    <row r="25" spans="2:4" hidden="1" outlineLevel="1" x14ac:dyDescent="0.3">
      <c r="B25" s="1" t="s">
        <v>18</v>
      </c>
      <c r="C25" s="5" t="str" cm="1">
        <f t="array" aca="1" ref="C25" ca="1">_xll.DBR($C$23,psUser,$B25,"value")</f>
        <v>*KEY_ERR</v>
      </c>
      <c r="D25" s="5"/>
    </row>
    <row r="26" spans="2:4" hidden="1" outlineLevel="1" x14ac:dyDescent="0.3">
      <c r="B26" s="1" t="s">
        <v>19</v>
      </c>
      <c r="C26" s="5" t="str" cm="1">
        <f t="array" aca="1" ref="C26" ca="1">_xll.DBR($C$23,psUser,$B26,"value")</f>
        <v>*KEY_ERR</v>
      </c>
      <c r="D26" s="5"/>
    </row>
    <row r="27" spans="2:4" hidden="1" outlineLevel="1" x14ac:dyDescent="0.3">
      <c r="B27" s="1" t="s">
        <v>20</v>
      </c>
      <c r="C27" s="5" t="str" cm="1">
        <f t="array" aca="1" ref="C27" ca="1">_xll.DBR($C$23,psUser,$B27,"value")</f>
        <v>*KEY_ERR</v>
      </c>
      <c r="D27" s="5"/>
    </row>
    <row r="28" spans="2:4" hidden="1" outlineLevel="1" x14ac:dyDescent="0.3">
      <c r="B28" s="1" t="s">
        <v>21</v>
      </c>
      <c r="C28" s="5" t="s">
        <v>22</v>
      </c>
      <c r="D28" s="5"/>
    </row>
    <row r="29" spans="2:4" hidden="1" outlineLevel="1" x14ac:dyDescent="0.3"/>
    <row r="30" spans="2:4" hidden="1" outlineLevel="1" x14ac:dyDescent="0.3">
      <c r="B30" s="25" t="s">
        <v>23</v>
      </c>
      <c r="C30" s="26"/>
      <c r="D30" s="27"/>
    </row>
    <row r="31" spans="2:4" hidden="1" outlineLevel="1" x14ac:dyDescent="0.3">
      <c r="B31" s="5" t="s">
        <v>24</v>
      </c>
      <c r="C31" s="6" t="str">
        <f t="array" aca="1" ref="C31" ca="1">_xll.VIEW(db_name&amp;":sys_application","!","!")</f>
        <v>dcceew_geus:sys_application</v>
      </c>
      <c r="D31" s="6"/>
    </row>
    <row r="32" spans="2:4" hidden="1" outlineLevel="1" x14ac:dyDescent="0.3">
      <c r="B32" s="1" t="s">
        <v>37</v>
      </c>
      <c r="C32" s="5" t="s">
        <v>52</v>
      </c>
      <c r="D32" s="6"/>
    </row>
    <row r="33" spans="2:8" hidden="1" outlineLevel="1" x14ac:dyDescent="0.3">
      <c r="C33" s="6" t="s">
        <v>25</v>
      </c>
      <c r="D33" s="6" t="s">
        <v>26</v>
      </c>
      <c r="E33" s="6" t="s">
        <v>27</v>
      </c>
      <c r="F33" s="6" t="s">
        <v>28</v>
      </c>
      <c r="G33" s="6" t="s">
        <v>29</v>
      </c>
      <c r="H33" s="6" t="s">
        <v>30</v>
      </c>
    </row>
    <row r="34" spans="2:8" hidden="1" outlineLevel="1" x14ac:dyDescent="0.3">
      <c r="B34" s="5" t="s">
        <v>31</v>
      </c>
      <c r="C34" s="5" t="str" cm="1">
        <f t="array" aca="1" ref="C34" ca="1">_xll.DBR($C$31,$B34,C$33)</f>
        <v>*KEY_ERR</v>
      </c>
      <c r="D34" s="5" t="str" cm="1">
        <f t="array" aca="1" ref="D34" ca="1">_xll.DBR($C$31,$B34,D$33)</f>
        <v>*KEY_ERR</v>
      </c>
      <c r="E34" s="5" t="str" cm="1">
        <f t="array" aca="1" ref="E34" ca="1">_xll.DBR($C$31,$B34,E$33)</f>
        <v>*KEY_ERR</v>
      </c>
      <c r="F34" s="5" t="str" cm="1">
        <f t="array" aca="1" ref="F34" ca="1">_xll.DBR($C$31,$B34,F$33)</f>
        <v>*KEY_ERR</v>
      </c>
      <c r="G34" s="5" t="str" cm="1">
        <f t="array" aca="1" ref="G34" ca="1">_xll.DBR($C$31,$B34,G$33)</f>
        <v>*KEY_ERR</v>
      </c>
      <c r="H34" s="5" t="str" cm="1">
        <f t="array" aca="1" ref="H34" ca="1">_xll.DBR($C$31,$B34,H$33)</f>
        <v>*KEY_ERR</v>
      </c>
    </row>
    <row r="35" spans="2:8" hidden="1" outlineLevel="1" x14ac:dyDescent="0.3">
      <c r="B35" s="5" t="s">
        <v>32</v>
      </c>
      <c r="C35" s="5" t="str" cm="1">
        <f t="array" aca="1" ref="C35" ca="1">_xll.DBR($C$31,$B35,C$33)</f>
        <v>*KEY_ERR</v>
      </c>
      <c r="D35" s="5" t="str" cm="1">
        <f t="array" aca="1" ref="D35" ca="1">_xll.DBR($C$31,$B35,D$33)</f>
        <v>*KEY_ERR</v>
      </c>
      <c r="E35" s="5" t="str" cm="1">
        <f t="array" aca="1" ref="E35" ca="1">_xll.DBR($C$31,$B35,E$33)</f>
        <v>*KEY_ERR</v>
      </c>
      <c r="F35" s="5" t="str" cm="1">
        <f t="array" aca="1" ref="F35" ca="1">_xll.DBR($C$31,$B35,F$33)</f>
        <v>*KEY_ERR</v>
      </c>
      <c r="G35" s="5" t="str" cm="1">
        <f t="array" aca="1" ref="G35" ca="1">_xll.DBR($C$31,$B35,G$33)</f>
        <v>*KEY_ERR</v>
      </c>
      <c r="H35" s="5" t="str" cm="1">
        <f t="array" aca="1" ref="H35" ca="1">_xll.DBR($C$31,$B35,H$33)</f>
        <v>*KEY_ERR</v>
      </c>
    </row>
    <row r="36" spans="2:8" hidden="1" outlineLevel="1" x14ac:dyDescent="0.3">
      <c r="B36" s="5" t="s">
        <v>33</v>
      </c>
      <c r="C36" s="5" t="str" cm="1">
        <f t="array" aca="1" ref="C36" ca="1">_xll.DBR($C$31,$B36,C$33)</f>
        <v>*KEY_ERR</v>
      </c>
      <c r="D36" s="5" t="str" cm="1">
        <f t="array" aca="1" ref="D36" ca="1">_xll.DBR($C$31,$B36,D$33)</f>
        <v>*KEY_ERR</v>
      </c>
      <c r="E36" s="5" t="str" cm="1">
        <f t="array" aca="1" ref="E36" ca="1">_xll.DBR($C$31,$B36,E$33)</f>
        <v>*KEY_ERR</v>
      </c>
      <c r="F36" s="5" t="str" cm="1">
        <f t="array" aca="1" ref="F36" ca="1">_xll.DBR($C$31,$B36,F$33)</f>
        <v>*KEY_ERR</v>
      </c>
      <c r="G36" s="5" t="str" cm="1">
        <f t="array" aca="1" ref="G36" ca="1">_xll.DBR($C$31,$B36,G$33)</f>
        <v>*KEY_ERR</v>
      </c>
      <c r="H36" s="5" t="str" cm="1">
        <f t="array" aca="1" ref="H36" ca="1">_xll.DBR($C$31,$B36,H$33)</f>
        <v>*KEY_ERR</v>
      </c>
    </row>
    <row r="37" spans="2:8" hidden="1" outlineLevel="1" x14ac:dyDescent="0.3">
      <c r="B37" s="5" t="s">
        <v>34</v>
      </c>
      <c r="C37" s="5" t="str" cm="1">
        <f t="array" aca="1" ref="C37" ca="1">_xll.DBR($C$31,$B37,C$33)</f>
        <v>*KEY_ERR</v>
      </c>
      <c r="D37" s="5" t="str" cm="1">
        <f t="array" aca="1" ref="D37" ca="1">_xll.DBR($C$31,$B37,D$33)</f>
        <v>*KEY_ERR</v>
      </c>
      <c r="E37" s="5" t="str" cm="1">
        <f t="array" aca="1" ref="E37" ca="1">_xll.DBR($C$31,$B37,E$33)</f>
        <v>*KEY_ERR</v>
      </c>
      <c r="F37" s="5" t="str" cm="1">
        <f t="array" aca="1" ref="F37" ca="1">_xll.DBR($C$31,$B37,F$33)</f>
        <v>*KEY_ERR</v>
      </c>
      <c r="G37" s="5" t="str" cm="1">
        <f t="array" aca="1" ref="G37" ca="1">_xll.DBR($C$31,$B37,G$33)</f>
        <v>*KEY_ERR</v>
      </c>
      <c r="H37" s="5" t="str" cm="1">
        <f t="array" aca="1" ref="H37" ca="1">_xll.DBR($C$31,$B37,H$33)</f>
        <v>*KEY_ERR</v>
      </c>
    </row>
    <row r="38" spans="2:8" hidden="1" outlineLevel="1" x14ac:dyDescent="0.3">
      <c r="B38" s="5" t="s">
        <v>35</v>
      </c>
      <c r="C38" s="5" t="str" cm="1">
        <f t="array" aca="1" ref="C38" ca="1">_xll.DBR($C$31,$B38,C$33)</f>
        <v>*KEY_ERR</v>
      </c>
      <c r="D38" s="5" t="str" cm="1">
        <f t="array" aca="1" ref="D38" ca="1">_xll.DBR($C$31,$B38,D$33)</f>
        <v>*KEY_ERR</v>
      </c>
      <c r="E38" s="5" t="str" cm="1">
        <f t="array" aca="1" ref="E38" ca="1">_xll.DBR($C$31,$B38,E$33)</f>
        <v>*KEY_ERR</v>
      </c>
      <c r="F38" s="5" t="str" cm="1">
        <f t="array" aca="1" ref="F38" ca="1">_xll.DBR($C$31,$B38,F$33)</f>
        <v>*KEY_ERR</v>
      </c>
      <c r="G38" s="5" t="str" cm="1">
        <f t="array" aca="1" ref="G38" ca="1">_xll.DBR($C$31,$B38,G$33)</f>
        <v>*KEY_ERR</v>
      </c>
      <c r="H38" s="5" t="str" cm="1">
        <f t="array" aca="1" ref="H38" ca="1">_xll.DBR($C$31,$B38,H$33)</f>
        <v>*KEY_ERR</v>
      </c>
    </row>
    <row r="39" spans="2:8" hidden="1" outlineLevel="1" x14ac:dyDescent="0.3">
      <c r="B39" s="5" t="s">
        <v>36</v>
      </c>
      <c r="C39" s="5" t="str" cm="1">
        <f t="array" aca="1" ref="C39" ca="1">_xll.DBR($C$31,$B39,C$33)</f>
        <v>*KEY_ERR</v>
      </c>
      <c r="D39" s="5" t="str" cm="1">
        <f t="array" aca="1" ref="D39" ca="1">_xll.DBR($C$31,$B39,D$33)</f>
        <v>*KEY_ERR</v>
      </c>
      <c r="E39" s="5" t="str" cm="1">
        <f t="array" aca="1" ref="E39" ca="1">_xll.DBR($C$31,$B39,E$33)</f>
        <v>*KEY_ERR</v>
      </c>
      <c r="F39" s="5" t="str" cm="1">
        <f t="array" aca="1" ref="F39" ca="1">_xll.DBR($C$31,$B39,F$33)</f>
        <v>*KEY_ERR</v>
      </c>
      <c r="G39" s="5" t="str" cm="1">
        <f t="array" aca="1" ref="G39" ca="1">_xll.DBR($C$31,$B39,G$33)</f>
        <v>*KEY_ERR</v>
      </c>
      <c r="H39" s="5" t="str" cm="1">
        <f t="array" aca="1" ref="H39" ca="1">_xll.DBR($C$31,$B39,H$33)</f>
        <v>*KEY_ERR</v>
      </c>
    </row>
    <row r="40" spans="2:8" hidden="1" outlineLevel="1" x14ac:dyDescent="0.3">
      <c r="B40" s="5" t="s">
        <v>43</v>
      </c>
      <c r="C40" s="5" t="str" cm="1">
        <f t="array" aca="1" ref="C40" ca="1">_xll.DBR($C$31,$B40,C$33)</f>
        <v>*KEY_ERR</v>
      </c>
      <c r="D40" s="5" t="str" cm="1">
        <f t="array" aca="1" ref="D40" ca="1">_xll.DBR($C$31,$B40,D$33)</f>
        <v>*KEY_ERR</v>
      </c>
      <c r="E40" s="5" t="str" cm="1">
        <f t="array" aca="1" ref="E40" ca="1">_xll.DBR($C$31,$B40,E$33)</f>
        <v>*KEY_ERR</v>
      </c>
      <c r="F40" s="5" t="str" cm="1">
        <f t="array" aca="1" ref="F40" ca="1">_xll.DBR($C$31,$B40,F$33)</f>
        <v>*KEY_ERR</v>
      </c>
      <c r="G40" s="5" t="str" cm="1">
        <f t="array" aca="1" ref="G40" ca="1">_xll.DBR($C$31,$B40,G$33)</f>
        <v>*KEY_ERR</v>
      </c>
      <c r="H40" s="5" t="str" cm="1">
        <f t="array" aca="1" ref="H40" ca="1">_xll.DBR($C$31,$B40,H$33)</f>
        <v>*KEY_ERR</v>
      </c>
    </row>
    <row r="41" spans="2:8" hidden="1" outlineLevel="1" x14ac:dyDescent="0.3">
      <c r="B41" s="5" t="s">
        <v>44</v>
      </c>
      <c r="C41" s="5" t="str" cm="1">
        <f t="array" aca="1" ref="C41" ca="1">_xll.DBR($C$31,$B41,C$33)</f>
        <v>*KEY_ERR</v>
      </c>
      <c r="D41" s="5" t="str" cm="1">
        <f t="array" aca="1" ref="D41" ca="1">_xll.DBR($C$31,$B41,D$33)</f>
        <v>*KEY_ERR</v>
      </c>
      <c r="E41" s="5" t="str" cm="1">
        <f t="array" aca="1" ref="E41" ca="1">_xll.DBR($C$31,$B41,E$33)</f>
        <v>*KEY_ERR</v>
      </c>
      <c r="F41" s="5" t="str" cm="1">
        <f t="array" aca="1" ref="F41" ca="1">_xll.DBR($C$31,$B41,F$33)</f>
        <v>*KEY_ERR</v>
      </c>
      <c r="G41" s="5" t="str" cm="1">
        <f t="array" aca="1" ref="G41" ca="1">_xll.DBR($C$31,$B41,G$33)</f>
        <v>*KEY_ERR</v>
      </c>
      <c r="H41" s="5" t="str" cm="1">
        <f t="array" aca="1" ref="H41" ca="1">_xll.DBR($C$31,$B41,H$33)</f>
        <v>*KEY_ERR</v>
      </c>
    </row>
    <row r="42" spans="2:8" hidden="1" outlineLevel="1" x14ac:dyDescent="0.3">
      <c r="B42" s="5" t="s">
        <v>45</v>
      </c>
      <c r="C42" s="5" t="str" cm="1">
        <f t="array" aca="1" ref="C42" ca="1">_xll.DBR($C$31,$B42,C$33)</f>
        <v>*KEY_ERR</v>
      </c>
      <c r="D42" s="5" t="str" cm="1">
        <f t="array" aca="1" ref="D42" ca="1">_xll.DBR($C$31,$B42,D$33)</f>
        <v>*KEY_ERR</v>
      </c>
      <c r="E42" s="5" t="str" cm="1">
        <f t="array" aca="1" ref="E42" ca="1">_xll.DBR($C$31,$B42,E$33)</f>
        <v>*KEY_ERR</v>
      </c>
      <c r="F42" s="5" t="str" cm="1">
        <f t="array" aca="1" ref="F42" ca="1">_xll.DBR($C$31,$B42,F$33)</f>
        <v>*KEY_ERR</v>
      </c>
      <c r="G42" s="5" t="str" cm="1">
        <f t="array" aca="1" ref="G42" ca="1">_xll.DBR($C$31,$B42,G$33)</f>
        <v>*KEY_ERR</v>
      </c>
      <c r="H42" s="5" t="str" cm="1">
        <f t="array" aca="1" ref="H42" ca="1">_xll.DBR($C$31,$B42,H$33)</f>
        <v>*KEY_ERR</v>
      </c>
    </row>
    <row r="43" spans="2:8" hidden="1" outlineLevel="1" x14ac:dyDescent="0.3">
      <c r="B43" s="5" t="s">
        <v>46</v>
      </c>
      <c r="C43" s="5" t="str" cm="1">
        <f t="array" aca="1" ref="C43" ca="1">_xll.DBR($C$31,$B43,C$33)</f>
        <v>*KEY_ERR</v>
      </c>
      <c r="D43" s="5" t="str" cm="1">
        <f t="array" aca="1" ref="D43" ca="1">_xll.DBR($C$31,$B43,D$33)</f>
        <v>*KEY_ERR</v>
      </c>
      <c r="E43" s="5" t="str" cm="1">
        <f t="array" aca="1" ref="E43" ca="1">_xll.DBR($C$31,$B43,E$33)</f>
        <v>*KEY_ERR</v>
      </c>
      <c r="F43" s="5" t="str" cm="1">
        <f t="array" aca="1" ref="F43" ca="1">_xll.DBR($C$31,$B43,F$33)</f>
        <v>*KEY_ERR</v>
      </c>
      <c r="G43" s="5" t="str" cm="1">
        <f t="array" aca="1" ref="G43" ca="1">_xll.DBR($C$31,$B43,G$33)</f>
        <v>*KEY_ERR</v>
      </c>
      <c r="H43" s="5" t="str" cm="1">
        <f t="array" aca="1" ref="H43" ca="1">_xll.DBR($C$31,$B43,H$33)</f>
        <v>*KEY_ERR</v>
      </c>
    </row>
    <row r="44" spans="2:8" hidden="1" outlineLevel="1" x14ac:dyDescent="0.3">
      <c r="B44" s="5" t="s">
        <v>47</v>
      </c>
      <c r="C44" s="5" t="str" cm="1">
        <f t="array" aca="1" ref="C44" ca="1">_xll.DBR($C$31,$B44,C$33)</f>
        <v>*KEY_ERR</v>
      </c>
      <c r="D44" s="5" t="str" cm="1">
        <f t="array" aca="1" ref="D44" ca="1">_xll.DBR($C$31,$B44,D$33)</f>
        <v>*KEY_ERR</v>
      </c>
      <c r="E44" s="5" t="str" cm="1">
        <f t="array" aca="1" ref="E44" ca="1">_xll.DBR($C$31,$B44,E$33)</f>
        <v>*KEY_ERR</v>
      </c>
      <c r="F44" s="5" t="str" cm="1">
        <f t="array" aca="1" ref="F44" ca="1">_xll.DBR($C$31,$B44,F$33)</f>
        <v>*KEY_ERR</v>
      </c>
      <c r="G44" s="5" t="str" cm="1">
        <f t="array" aca="1" ref="G44" ca="1">_xll.DBR($C$31,$B44,G$33)</f>
        <v>*KEY_ERR</v>
      </c>
      <c r="H44" s="5" t="str" cm="1">
        <f t="array" aca="1" ref="H44" ca="1">_xll.DBR($C$31,$B44,H$33)</f>
        <v>*KEY_ERR</v>
      </c>
    </row>
    <row r="45" spans="2:8" hidden="1" outlineLevel="1" x14ac:dyDescent="0.3">
      <c r="B45" s="5" t="s">
        <v>48</v>
      </c>
      <c r="C45" s="5" t="str" cm="1">
        <f t="array" aca="1" ref="C45" ca="1">_xll.DBR($C$31,$B45,C$33)</f>
        <v>*KEY_ERR</v>
      </c>
      <c r="D45" s="5" t="str" cm="1">
        <f t="array" aca="1" ref="D45" ca="1">_xll.DBR($C$31,$B45,D$33)</f>
        <v>*KEY_ERR</v>
      </c>
      <c r="E45" s="5" t="str" cm="1">
        <f t="array" aca="1" ref="E45" ca="1">_xll.DBR($C$31,$B45,E$33)</f>
        <v>*KEY_ERR</v>
      </c>
      <c r="F45" s="5" t="str" cm="1">
        <f t="array" aca="1" ref="F45" ca="1">_xll.DBR($C$31,$B45,F$33)</f>
        <v>*KEY_ERR</v>
      </c>
      <c r="G45" s="5" t="str" cm="1">
        <f t="array" aca="1" ref="G45" ca="1">_xll.DBR($C$31,$B45,G$33)</f>
        <v>*KEY_ERR</v>
      </c>
      <c r="H45" s="5" t="str" cm="1">
        <f t="array" aca="1" ref="H45" ca="1">_xll.DBR($C$31,$B45,H$33)</f>
        <v>*KEY_ERR</v>
      </c>
    </row>
    <row r="46" spans="2:8" hidden="1" outlineLevel="1" x14ac:dyDescent="0.3">
      <c r="B46" s="5" t="s">
        <v>49</v>
      </c>
      <c r="C46" s="5" t="str" cm="1">
        <f t="array" aca="1" ref="C46" ca="1">_xll.DBR($C$31,$B46,C$33)</f>
        <v>*KEY_ERR</v>
      </c>
      <c r="D46" s="5" t="str" cm="1">
        <f t="array" aca="1" ref="D46" ca="1">_xll.DBR($C$31,$B46,D$33)</f>
        <v>*KEY_ERR</v>
      </c>
      <c r="E46" s="5" t="str" cm="1">
        <f t="array" aca="1" ref="E46" ca="1">_xll.DBR($C$31,$B46,E$33)</f>
        <v>*KEY_ERR</v>
      </c>
      <c r="F46" s="5" t="str" cm="1">
        <f t="array" aca="1" ref="F46" ca="1">_xll.DBR($C$31,$B46,F$33)</f>
        <v>*KEY_ERR</v>
      </c>
      <c r="G46" s="5" t="str" cm="1">
        <f t="array" aca="1" ref="G46" ca="1">_xll.DBR($C$31,$B46,G$33)</f>
        <v>*KEY_ERR</v>
      </c>
      <c r="H46" s="5" t="str" cm="1">
        <f t="array" aca="1" ref="H46" ca="1">_xll.DBR($C$31,$B46,H$33)</f>
        <v>*KEY_ERR</v>
      </c>
    </row>
    <row r="47" spans="2:8" hidden="1" outlineLevel="1" x14ac:dyDescent="0.3">
      <c r="B47" s="5" t="s">
        <v>50</v>
      </c>
      <c r="C47" s="5" t="str" cm="1">
        <f t="array" aca="1" ref="C47" ca="1">_xll.DBR($C$31,$B47,C$33)</f>
        <v>*KEY_ERR</v>
      </c>
      <c r="D47" s="5" t="str" cm="1">
        <f t="array" aca="1" ref="D47" ca="1">_xll.DBR($C$31,$B47,D$33)</f>
        <v>*KEY_ERR</v>
      </c>
      <c r="E47" s="5" t="str" cm="1">
        <f t="array" aca="1" ref="E47" ca="1">_xll.DBR($C$31,$B47,E$33)</f>
        <v>*KEY_ERR</v>
      </c>
      <c r="F47" s="5" t="str" cm="1">
        <f t="array" aca="1" ref="F47" ca="1">_xll.DBR($C$31,$B47,F$33)</f>
        <v>*KEY_ERR</v>
      </c>
      <c r="G47" s="5" t="str" cm="1">
        <f t="array" aca="1" ref="G47" ca="1">_xll.DBR($C$31,$B47,G$33)</f>
        <v>*KEY_ERR</v>
      </c>
      <c r="H47" s="5" t="str" cm="1">
        <f t="array" aca="1" ref="H47" ca="1">_xll.DBR($C$31,$B47,H$33)</f>
        <v>*KEY_ERR</v>
      </c>
    </row>
    <row r="48" spans="2:8" hidden="1" outlineLevel="1" x14ac:dyDescent="0.3">
      <c r="B48" s="5" t="s">
        <v>51</v>
      </c>
      <c r="C48" s="5" t="str" cm="1">
        <f t="array" aca="1" ref="C48" ca="1">_xll.DBR($C$31,$B48,C$33)</f>
        <v>*KEY_ERR</v>
      </c>
      <c r="D48" s="5" t="str" cm="1">
        <f t="array" aca="1" ref="D48" ca="1">_xll.DBR($C$31,$B48,D$33)</f>
        <v>*KEY_ERR</v>
      </c>
      <c r="E48" s="5" t="str" cm="1">
        <f t="array" aca="1" ref="E48" ca="1">_xll.DBR($C$31,$B48,E$33)</f>
        <v>*KEY_ERR</v>
      </c>
      <c r="F48" s="5" t="str" cm="1">
        <f t="array" aca="1" ref="F48" ca="1">_xll.DBR($C$31,$B48,F$33)</f>
        <v>*KEY_ERR</v>
      </c>
      <c r="G48" s="5" t="str" cm="1">
        <f t="array" aca="1" ref="G48" ca="1">_xll.DBR($C$31,$B48,G$33)</f>
        <v>*KEY_ERR</v>
      </c>
      <c r="H48" s="5" t="str" cm="1">
        <f t="array" aca="1" ref="H48" ca="1">_xll.DBR($C$31,$B48,H$33)</f>
        <v>*KEY_ERR</v>
      </c>
    </row>
    <row r="49" spans="2:14" hidden="1" outlineLevel="1" x14ac:dyDescent="0.3">
      <c r="B49" s="5" t="s">
        <v>52</v>
      </c>
      <c r="C49" s="5" t="str" cm="1">
        <f t="array" aca="1" ref="C49" ca="1">_xll.DBR($C$31,$B49,C$33)</f>
        <v>*KEY_ERR</v>
      </c>
      <c r="D49" s="5" t="str" cm="1">
        <f t="array" aca="1" ref="D49" ca="1">_xll.DBR($C$31,$B49,D$33)</f>
        <v>*KEY_ERR</v>
      </c>
      <c r="E49" s="5" t="str" cm="1">
        <f t="array" aca="1" ref="E49" ca="1">_xll.DBR($C$31,$B49,E$33)</f>
        <v>*KEY_ERR</v>
      </c>
      <c r="F49" s="5" t="str" cm="1">
        <f t="array" aca="1" ref="F49" ca="1">_xll.DBR($C$31,$B49,F$33)</f>
        <v>*KEY_ERR</v>
      </c>
      <c r="G49" s="5" t="str" cm="1">
        <f t="array" aca="1" ref="G49" ca="1">_xll.DBR($C$31,$B49,G$33)</f>
        <v>*KEY_ERR</v>
      </c>
      <c r="H49" s="5" t="str" cm="1">
        <f t="array" aca="1" ref="H49" ca="1">_xll.DBR($C$31,$B49,H$33)</f>
        <v>*KEY_ERR</v>
      </c>
    </row>
    <row r="50" spans="2:14" hidden="1" outlineLevel="1" x14ac:dyDescent="0.3">
      <c r="B50" s="5" t="s">
        <v>80</v>
      </c>
      <c r="C50" s="5" t="str" cm="1">
        <f t="array" aca="1" ref="C50" ca="1">_xll.DBR($C$31,$B50,C$33)</f>
        <v>*KEY_ERR</v>
      </c>
      <c r="D50" s="5" t="str" cm="1">
        <f t="array" aca="1" ref="D50" ca="1">_xll.DBR($C$31,$B50,D$33)</f>
        <v>*KEY_ERR</v>
      </c>
      <c r="E50" s="5" t="str" cm="1">
        <f t="array" aca="1" ref="E50" ca="1">_xll.DBR($C$31,$B50,E$33)</f>
        <v>*KEY_ERR</v>
      </c>
      <c r="F50" s="5" t="str" cm="1">
        <f t="array" aca="1" ref="F50" ca="1">_xll.DBR($C$31,$B50,F$33)</f>
        <v>*KEY_ERR</v>
      </c>
      <c r="G50" s="5" t="str" cm="1">
        <f t="array" aca="1" ref="G50" ca="1">_xll.DBR($C$31,$B50,G$33)</f>
        <v>*KEY_ERR</v>
      </c>
      <c r="H50" s="5" t="str" cm="1">
        <f t="array" aca="1" ref="H50" ca="1">_xll.DBR($C$31,$B50,H$33)</f>
        <v>*KEY_ERR</v>
      </c>
    </row>
    <row r="51" spans="2:14" hidden="1" outlineLevel="1" x14ac:dyDescent="0.3">
      <c r="B51" s="5" t="s">
        <v>89</v>
      </c>
      <c r="C51" s="5" t="str" cm="1">
        <f t="array" aca="1" ref="C51" ca="1">_xll.DBR($C$31,$B51,C$33)</f>
        <v>*KEY_ERR</v>
      </c>
      <c r="D51" s="5" t="str" cm="1">
        <f t="array" aca="1" ref="D51" ca="1">_xll.DBR($C$31,$B51,D$33)</f>
        <v>*KEY_ERR</v>
      </c>
      <c r="E51" s="5" t="str" cm="1">
        <f t="array" aca="1" ref="E51" ca="1">_xll.DBR($C$31,$B51,E$33)</f>
        <v>*KEY_ERR</v>
      </c>
      <c r="F51" s="5" t="str" cm="1">
        <f t="array" aca="1" ref="F51" ca="1">_xll.DBR($C$31,$B51,F$33)</f>
        <v>*KEY_ERR</v>
      </c>
      <c r="G51" s="5" t="str" cm="1">
        <f t="array" aca="1" ref="G51" ca="1">_xll.DBR($C$31,$B51,G$33)</f>
        <v>*KEY_ERR</v>
      </c>
      <c r="H51" s="5" t="str" cm="1">
        <f t="array" aca="1" ref="H51" ca="1">_xll.DBR($C$31,$B51,H$33)</f>
        <v>*KEY_ERR</v>
      </c>
    </row>
    <row r="52" spans="2:14" hidden="1" outlineLevel="1" x14ac:dyDescent="0.3">
      <c r="B52" s="5" t="s">
        <v>92</v>
      </c>
      <c r="C52" s="5" t="str">
        <f ca="1">_xll.DBR($C$31,$B52,C$33)</f>
        <v>*KEY_ERR</v>
      </c>
      <c r="D52" s="5" t="str">
        <f ca="1">_xll.DBR($C$31,$B52,D$33)</f>
        <v>*KEY_ERR</v>
      </c>
      <c r="E52" s="5" t="str">
        <f ca="1">_xll.DBR($C$31,$B52,E$33)</f>
        <v>*KEY_ERR</v>
      </c>
      <c r="F52" s="5" t="str">
        <f ca="1">_xll.DBR($C$31,$B52,F$33)</f>
        <v>*KEY_ERR</v>
      </c>
      <c r="G52" s="5" t="str">
        <f ca="1">_xll.DBR($C$31,$B52,G$33)</f>
        <v>*KEY_ERR</v>
      </c>
      <c r="H52" s="5" t="str">
        <f ca="1">_xll.DBR($C$31,$B52,H$33)</f>
        <v>*KEY_ERR</v>
      </c>
    </row>
    <row r="53" spans="2:14" hidden="1" outlineLevel="1" x14ac:dyDescent="0.3">
      <c r="B53" s="5" t="s">
        <v>96</v>
      </c>
      <c r="C53" s="5" t="str">
        <f ca="1">_xll.DBR($C$31,$B53,C$33)</f>
        <v>*KEY_ERR</v>
      </c>
      <c r="D53" s="5" t="str">
        <f ca="1">_xll.DBR($C$31,$B53,D$33)</f>
        <v>*KEY_ERR</v>
      </c>
      <c r="E53" s="5" t="str">
        <f ca="1">_xll.DBR($C$31,$B53,E$33)</f>
        <v>*KEY_ERR</v>
      </c>
      <c r="F53" s="5" t="str">
        <f ca="1">_xll.DBR($C$31,$B53,F$33)</f>
        <v>*KEY_ERR</v>
      </c>
      <c r="G53" s="5" t="str">
        <f ca="1">_xll.DBR($C$31,$B53,G$33)</f>
        <v>*KEY_ERR</v>
      </c>
      <c r="H53" s="5" t="str">
        <f ca="1">_xll.DBR($C$31,$B53,H$33)</f>
        <v>*KEY_ERR</v>
      </c>
    </row>
    <row r="54" spans="2:14" hidden="1" outlineLevel="1" x14ac:dyDescent="0.3"/>
    <row r="55" spans="2:14" hidden="1" outlineLevel="1" x14ac:dyDescent="0.3">
      <c r="B55" s="25" t="s">
        <v>59</v>
      </c>
      <c r="C55" s="26"/>
      <c r="D55" s="27"/>
    </row>
    <row r="56" spans="2:14" hidden="1" outlineLevel="1" x14ac:dyDescent="0.3">
      <c r="B56" s="5" t="s">
        <v>60</v>
      </c>
      <c r="C56" s="5" t="str">
        <f ca="1">IF($L$76="Closing Base","Total IDs","0BASE")</f>
        <v>0BASE</v>
      </c>
      <c r="D56" s="5"/>
    </row>
    <row r="57" spans="2:14" hidden="1" outlineLevel="1" x14ac:dyDescent="0.3">
      <c r="B57" s="5" t="s">
        <v>61</v>
      </c>
      <c r="C57" s="5" t="str">
        <f ca="1">psProg</f>
        <v/>
      </c>
      <c r="D57" s="5"/>
    </row>
    <row r="58" spans="2:14" hidden="1" outlineLevel="1" x14ac:dyDescent="0.3">
      <c r="B58" s="5" t="s">
        <v>62</v>
      </c>
      <c r="C58" s="5" t="str">
        <f ca="1">psFE2Year</f>
        <v/>
      </c>
      <c r="D58" s="5"/>
    </row>
    <row r="59" spans="2:14" hidden="1" outlineLevel="1" x14ac:dyDescent="0.3">
      <c r="B59" s="5" t="s">
        <v>63</v>
      </c>
      <c r="C59" s="5" t="str">
        <f ca="1">psFE3Year</f>
        <v/>
      </c>
      <c r="D59" s="5"/>
    </row>
    <row r="60" spans="2:14" hidden="1" outlineLevel="1" x14ac:dyDescent="0.3"/>
    <row r="61" spans="2:14" hidden="1" outlineLevel="1" x14ac:dyDescent="0.3"/>
    <row r="62" spans="2:14" hidden="1" outlineLevel="1" x14ac:dyDescent="0.3"/>
    <row r="63" spans="2:14" hidden="1" outlineLevel="1" x14ac:dyDescent="0.3"/>
    <row r="64" spans="2:14" ht="39.9" customHeight="1" collapsed="1" x14ac:dyDescent="0.3">
      <c r="I64" s="7"/>
      <c r="J64" s="7"/>
      <c r="K64" s="7"/>
      <c r="L64" s="7"/>
      <c r="M64" s="7"/>
      <c r="N64" s="7" t="s">
        <v>84</v>
      </c>
    </row>
    <row r="65" spans="9:14" ht="4.5" customHeight="1" x14ac:dyDescent="0.3"/>
    <row r="66" spans="9:14" ht="24" customHeight="1" x14ac:dyDescent="0.3"/>
    <row r="67" spans="9:14" ht="1.5" customHeight="1" x14ac:dyDescent="0.3">
      <c r="I67" s="7"/>
      <c r="J67" s="7"/>
      <c r="K67" s="7"/>
      <c r="L67" s="7"/>
      <c r="M67" s="7"/>
      <c r="N67" s="7"/>
    </row>
    <row r="68" spans="9:14" ht="4.5" customHeight="1" x14ac:dyDescent="0.3"/>
    <row r="69" spans="9:14" x14ac:dyDescent="0.3">
      <c r="J69" s="28" t="s">
        <v>83</v>
      </c>
      <c r="K69" s="28"/>
      <c r="L69" s="28"/>
    </row>
    <row r="70" spans="9:14" ht="4.5" customHeight="1" x14ac:dyDescent="0.3"/>
    <row r="71" spans="9:14" ht="24" customHeight="1" x14ac:dyDescent="0.3">
      <c r="J71" s="11" t="s">
        <v>91</v>
      </c>
    </row>
    <row r="72" spans="9:14" x14ac:dyDescent="0.3">
      <c r="J72" s="24" t="s">
        <v>93</v>
      </c>
      <c r="K72" s="24"/>
      <c r="L72" s="24"/>
      <c r="M72" s="24"/>
      <c r="N72" s="24"/>
    </row>
    <row r="73" spans="9:14" ht="1.5" customHeight="1" x14ac:dyDescent="0.3">
      <c r="J73" s="18"/>
      <c r="K73" s="18"/>
      <c r="L73" s="18"/>
      <c r="M73" s="19"/>
      <c r="N73" s="19"/>
    </row>
    <row r="74" spans="9:14" ht="1.5" customHeight="1" x14ac:dyDescent="0.3"/>
    <row r="75" spans="9:14" x14ac:dyDescent="0.3">
      <c r="J75" s="11" t="s">
        <v>95</v>
      </c>
      <c r="L75" s="14" t="s">
        <v>53</v>
      </c>
    </row>
    <row r="76" spans="9:14" x14ac:dyDescent="0.3">
      <c r="J76" s="13" t="s">
        <v>57</v>
      </c>
      <c r="L76" s="22" t="str">
        <f t="array" aca="1" ref="L76" ca="1">_xll.SUBNM(db_name&amp;":sys_Parameter and FE3 ID","","Closing Base","")</f>
        <v/>
      </c>
      <c r="N76" s="23" t="s">
        <v>94</v>
      </c>
    </row>
    <row r="77" spans="9:14" x14ac:dyDescent="0.3">
      <c r="J77" s="13" t="s">
        <v>56</v>
      </c>
      <c r="L77" s="22" t="str">
        <f t="array" aca="1" ref="L77" ca="1">_xll.SUBNM(db_name&amp;":programme","","Total Programmes","code and description")</f>
        <v/>
      </c>
    </row>
    <row r="78" spans="9:14" x14ac:dyDescent="0.3">
      <c r="J78" s="13" t="s">
        <v>54</v>
      </c>
      <c r="L78" s="22" t="str" cm="1">
        <f t="array" aca="1" ref="L78" ca="1">_xll.SUBNM(db_name&amp;":period","",$G$14)</f>
        <v/>
      </c>
    </row>
    <row r="79" spans="9:14" x14ac:dyDescent="0.3">
      <c r="J79" s="13" t="s">
        <v>55</v>
      </c>
      <c r="L79" s="22" t="str" cm="1">
        <f t="array" aca="1" ref="L79" ca="1">_xll.SUBNM(db_name&amp;":period","",$G$15)</f>
        <v/>
      </c>
    </row>
    <row r="80" spans="9:14" x14ac:dyDescent="0.3">
      <c r="J80" s="24" t="s">
        <v>86</v>
      </c>
      <c r="K80" s="24"/>
      <c r="L80" s="24"/>
    </row>
    <row r="81" spans="10:14" ht="1.5" customHeight="1" x14ac:dyDescent="0.3">
      <c r="J81" s="18"/>
      <c r="K81" s="18"/>
      <c r="L81" s="18"/>
      <c r="M81" s="8"/>
      <c r="N81" s="8"/>
    </row>
    <row r="82" spans="10:14" ht="1.5" customHeight="1" x14ac:dyDescent="0.3"/>
    <row r="83" spans="10:14" x14ac:dyDescent="0.3">
      <c r="J83" s="11" t="s">
        <v>64</v>
      </c>
    </row>
    <row r="84" spans="10:14" x14ac:dyDescent="0.3">
      <c r="J84" s="24" t="s">
        <v>90</v>
      </c>
      <c r="K84" s="24"/>
      <c r="L84" s="24"/>
      <c r="M84" s="24"/>
      <c r="N84" s="24"/>
    </row>
    <row r="85" spans="10:14" x14ac:dyDescent="0.3">
      <c r="J85" s="24" t="s">
        <v>85</v>
      </c>
      <c r="K85" s="24"/>
      <c r="L85" s="24"/>
    </row>
    <row r="86" spans="10:14" ht="24" customHeight="1" x14ac:dyDescent="0.3">
      <c r="J86" s="12"/>
      <c r="L86" s="12"/>
      <c r="N86" s="12"/>
    </row>
    <row r="87" spans="10:14" x14ac:dyDescent="0.3">
      <c r="J87" s="9" t="s">
        <v>39</v>
      </c>
      <c r="L87" s="9" t="s">
        <v>40</v>
      </c>
      <c r="N87" s="9" t="s">
        <v>42</v>
      </c>
    </row>
    <row r="88" spans="10:14" x14ac:dyDescent="0.3">
      <c r="J88" s="21" t="s">
        <v>41</v>
      </c>
      <c r="L88" s="21" t="s">
        <v>41</v>
      </c>
      <c r="N88" s="21" t="s">
        <v>88</v>
      </c>
    </row>
    <row r="89" spans="10:14" x14ac:dyDescent="0.3">
      <c r="J89" s="15" t="s">
        <v>65</v>
      </c>
      <c r="K89" s="16"/>
      <c r="L89" s="15" t="s">
        <v>65</v>
      </c>
      <c r="M89" s="16"/>
      <c r="N89" s="15" t="s">
        <v>65</v>
      </c>
    </row>
    <row r="90" spans="10:14" x14ac:dyDescent="0.3">
      <c r="J90" s="15" t="s">
        <v>66</v>
      </c>
      <c r="K90" s="16"/>
      <c r="L90" s="15" t="s">
        <v>70</v>
      </c>
      <c r="M90" s="16"/>
      <c r="N90" s="15" t="s">
        <v>77</v>
      </c>
    </row>
    <row r="91" spans="10:14" x14ac:dyDescent="0.3">
      <c r="J91" s="15" t="s">
        <v>67</v>
      </c>
      <c r="K91" s="16"/>
      <c r="L91" s="15" t="s">
        <v>67</v>
      </c>
      <c r="M91" s="16"/>
      <c r="N91" s="15" t="s">
        <v>74</v>
      </c>
    </row>
    <row r="92" spans="10:14" x14ac:dyDescent="0.3">
      <c r="J92" s="15" t="s">
        <v>72</v>
      </c>
      <c r="K92" s="16"/>
      <c r="L92" s="15" t="s">
        <v>71</v>
      </c>
      <c r="M92" s="16"/>
      <c r="N92" s="15" t="s">
        <v>75</v>
      </c>
    </row>
    <row r="93" spans="10:14" x14ac:dyDescent="0.3">
      <c r="J93" s="15" t="s">
        <v>68</v>
      </c>
      <c r="K93" s="16"/>
      <c r="L93" s="15" t="s">
        <v>73</v>
      </c>
      <c r="M93" s="16"/>
      <c r="N93" s="15" t="s">
        <v>76</v>
      </c>
    </row>
    <row r="94" spans="10:14" x14ac:dyDescent="0.3">
      <c r="J94" s="15" t="s">
        <v>69</v>
      </c>
      <c r="K94" s="16"/>
      <c r="L94" s="15" t="s">
        <v>69</v>
      </c>
      <c r="M94" s="16"/>
      <c r="N94" s="15" t="s">
        <v>69</v>
      </c>
    </row>
    <row r="95" spans="10:14" x14ac:dyDescent="0.3">
      <c r="J95" s="15" t="s">
        <v>82</v>
      </c>
      <c r="K95" s="16"/>
      <c r="L95" s="15" t="s">
        <v>82</v>
      </c>
      <c r="M95" s="16"/>
      <c r="N95" s="15" t="s">
        <v>82</v>
      </c>
    </row>
    <row r="96" spans="10:14" ht="4.5" customHeight="1" x14ac:dyDescent="0.3">
      <c r="J96" s="17"/>
      <c r="K96" s="16"/>
      <c r="L96" s="17"/>
      <c r="M96" s="16"/>
      <c r="N96" s="17"/>
    </row>
    <row r="97" spans="10:14" ht="1.5" customHeight="1" x14ac:dyDescent="0.3"/>
    <row r="98" spans="10:14" ht="24" customHeight="1" x14ac:dyDescent="0.3">
      <c r="L98" s="20" t="s">
        <v>81</v>
      </c>
    </row>
    <row r="99" spans="10:14" ht="1.5" customHeight="1" x14ac:dyDescent="0.3">
      <c r="J99" s="8"/>
      <c r="K99" s="8"/>
      <c r="L99" s="8"/>
      <c r="M99" s="8"/>
      <c r="N99" s="8"/>
    </row>
    <row r="100" spans="10:14" ht="1.5" customHeight="1" x14ac:dyDescent="0.3"/>
    <row r="101" spans="10:14" x14ac:dyDescent="0.3">
      <c r="J101" s="11" t="s">
        <v>78</v>
      </c>
    </row>
    <row r="102" spans="10:14" x14ac:dyDescent="0.3">
      <c r="J102" s="24" t="s">
        <v>79</v>
      </c>
      <c r="K102" s="24"/>
      <c r="L102" s="24"/>
    </row>
    <row r="103" spans="10:14" x14ac:dyDescent="0.3">
      <c r="J103" s="24" t="s">
        <v>87</v>
      </c>
      <c r="K103" s="24"/>
      <c r="L103" s="24"/>
    </row>
    <row r="104" spans="10:14" ht="24" customHeight="1" x14ac:dyDescent="0.3"/>
    <row r="105" spans="10:14" ht="24" customHeight="1" x14ac:dyDescent="0.3"/>
    <row r="106" spans="10:14" ht="24" customHeight="1" x14ac:dyDescent="0.3"/>
  </sheetData>
  <sheetProtection sheet="1" objects="1" scenarios="1"/>
  <mergeCells count="12">
    <mergeCell ref="J80:L80"/>
    <mergeCell ref="J102:L102"/>
    <mergeCell ref="J103:L103"/>
    <mergeCell ref="J85:L85"/>
    <mergeCell ref="J84:N84"/>
    <mergeCell ref="J72:N72"/>
    <mergeCell ref="B1:D1"/>
    <mergeCell ref="B9:D9"/>
    <mergeCell ref="B22:D22"/>
    <mergeCell ref="B30:D30"/>
    <mergeCell ref="J69:L69"/>
    <mergeCell ref="B55:D55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41" r:id="rId4" name="TIButton15">
          <controlPr defaultSize="0" print="0" autoLine="0" r:id="rId5">
            <anchor moveWithCells="1" sizeWithCells="1">
              <from>
                <xdr:col>13</xdr:col>
                <xdr:colOff>1645920</xdr:colOff>
                <xdr:row>70</xdr:row>
                <xdr:rowOff>30480</xdr:rowOff>
              </from>
              <to>
                <xdr:col>14</xdr:col>
                <xdr:colOff>7620</xdr:colOff>
                <xdr:row>70</xdr:row>
                <xdr:rowOff>274320</xdr:rowOff>
              </to>
            </anchor>
          </controlPr>
        </control>
      </mc:Choice>
      <mc:Fallback>
        <control shapeId="1041" r:id="rId4" name="TIButton15"/>
      </mc:Fallback>
    </mc:AlternateContent>
    <mc:AlternateContent xmlns:mc="http://schemas.openxmlformats.org/markup-compatibility/2006">
      <mc:Choice Requires="x14">
        <control shapeId="1040" r:id="rId6" name="TIButton14">
          <controlPr defaultSize="0" print="0" autoLine="0" autoPict="0" r:id="rId7">
            <anchor moveWithCells="1" sizeWithCells="1">
              <from>
                <xdr:col>11</xdr:col>
                <xdr:colOff>403860</xdr:colOff>
                <xdr:row>70</xdr:row>
                <xdr:rowOff>30480</xdr:rowOff>
              </from>
              <to>
                <xdr:col>11</xdr:col>
                <xdr:colOff>2689860</xdr:colOff>
                <xdr:row>70</xdr:row>
                <xdr:rowOff>274320</xdr:rowOff>
              </to>
            </anchor>
          </controlPr>
        </control>
      </mc:Choice>
      <mc:Fallback>
        <control shapeId="1040" r:id="rId6" name="TIButton14"/>
      </mc:Fallback>
    </mc:AlternateContent>
    <mc:AlternateContent xmlns:mc="http://schemas.openxmlformats.org/markup-compatibility/2006">
      <mc:Choice Requires="x14">
        <control shapeId="1039" r:id="rId8" name="TIButton13">
          <controlPr defaultSize="0" print="0" autoLine="0" r:id="rId9">
            <anchor moveWithCells="1" sizeWithCells="1">
              <from>
                <xdr:col>13</xdr:col>
                <xdr:colOff>3611880</xdr:colOff>
                <xdr:row>64</xdr:row>
                <xdr:rowOff>30480</xdr:rowOff>
              </from>
              <to>
                <xdr:col>14</xdr:col>
                <xdr:colOff>0</xdr:colOff>
                <xdr:row>65</xdr:row>
                <xdr:rowOff>289560</xdr:rowOff>
              </to>
            </anchor>
          </controlPr>
        </control>
      </mc:Choice>
      <mc:Fallback>
        <control shapeId="1039" r:id="rId8" name="TIButton13"/>
      </mc:Fallback>
    </mc:AlternateContent>
    <mc:AlternateContent xmlns:mc="http://schemas.openxmlformats.org/markup-compatibility/2006">
      <mc:Choice Requires="x14">
        <control shapeId="1038" r:id="rId10" name="TIButton12">
          <controlPr defaultSize="0" print="0" autoLine="0" r:id="rId11">
            <anchor moveWithCells="1" sizeWithCells="1">
              <from>
                <xdr:col>9</xdr:col>
                <xdr:colOff>83820</xdr:colOff>
                <xdr:row>105</xdr:row>
                <xdr:rowOff>60960</xdr:rowOff>
              </from>
              <to>
                <xdr:col>9</xdr:col>
                <xdr:colOff>2628900</xdr:colOff>
                <xdr:row>106</xdr:row>
                <xdr:rowOff>0</xdr:rowOff>
              </to>
            </anchor>
          </controlPr>
        </control>
      </mc:Choice>
      <mc:Fallback>
        <control shapeId="1038" r:id="rId10" name="TIButton12"/>
      </mc:Fallback>
    </mc:AlternateContent>
    <mc:AlternateContent xmlns:mc="http://schemas.openxmlformats.org/markup-compatibility/2006">
      <mc:Choice Requires="x14">
        <control shapeId="1036" r:id="rId12" name="TIButton11">
          <controlPr defaultSize="0" print="0" autoLine="0" r:id="rId13">
            <anchor moveWithCells="1" sizeWithCells="1">
              <from>
                <xdr:col>9</xdr:col>
                <xdr:colOff>83820</xdr:colOff>
                <xdr:row>104</xdr:row>
                <xdr:rowOff>38100</xdr:rowOff>
              </from>
              <to>
                <xdr:col>9</xdr:col>
                <xdr:colOff>2628900</xdr:colOff>
                <xdr:row>104</xdr:row>
                <xdr:rowOff>289560</xdr:rowOff>
              </to>
            </anchor>
          </controlPr>
        </control>
      </mc:Choice>
      <mc:Fallback>
        <control shapeId="1036" r:id="rId12" name="TIButton11"/>
      </mc:Fallback>
    </mc:AlternateContent>
    <mc:AlternateContent xmlns:mc="http://schemas.openxmlformats.org/markup-compatibility/2006">
      <mc:Choice Requires="x14">
        <control shapeId="1035" r:id="rId14" name="TIButton10">
          <controlPr defaultSize="0" print="0" autoLine="0" r:id="rId15">
            <anchor moveWithCells="1" sizeWithCells="1">
              <from>
                <xdr:col>9</xdr:col>
                <xdr:colOff>83820</xdr:colOff>
                <xdr:row>103</xdr:row>
                <xdr:rowOff>38100</xdr:rowOff>
              </from>
              <to>
                <xdr:col>9</xdr:col>
                <xdr:colOff>2628900</xdr:colOff>
                <xdr:row>103</xdr:row>
                <xdr:rowOff>289560</xdr:rowOff>
              </to>
            </anchor>
          </controlPr>
        </control>
      </mc:Choice>
      <mc:Fallback>
        <control shapeId="1035" r:id="rId14" name="TIButton10"/>
      </mc:Fallback>
    </mc:AlternateContent>
    <mc:AlternateContent xmlns:mc="http://schemas.openxmlformats.org/markup-compatibility/2006">
      <mc:Choice Requires="x14">
        <control shapeId="1034" r:id="rId16" name="TIButton9">
          <controlPr defaultSize="0" print="0" autoLine="0" r:id="rId17">
            <anchor moveWithCells="1" sizeWithCells="1">
              <from>
                <xdr:col>13</xdr:col>
                <xdr:colOff>457200</xdr:colOff>
                <xdr:row>97</xdr:row>
                <xdr:rowOff>38100</xdr:rowOff>
              </from>
              <to>
                <xdr:col>13</xdr:col>
                <xdr:colOff>3002280</xdr:colOff>
                <xdr:row>97</xdr:row>
                <xdr:rowOff>289560</xdr:rowOff>
              </to>
            </anchor>
          </controlPr>
        </control>
      </mc:Choice>
      <mc:Fallback>
        <control shapeId="1034" r:id="rId16" name="TIButton9"/>
      </mc:Fallback>
    </mc:AlternateContent>
    <mc:AlternateContent xmlns:mc="http://schemas.openxmlformats.org/markup-compatibility/2006">
      <mc:Choice Requires="x14">
        <control shapeId="1033" r:id="rId18" name="TIButton8">
          <controlPr defaultSize="0" print="0" autoLine="0" r:id="rId19">
            <anchor moveWithCells="1" sizeWithCells="1">
              <from>
                <xdr:col>13</xdr:col>
                <xdr:colOff>601980</xdr:colOff>
                <xdr:row>77</xdr:row>
                <xdr:rowOff>106680</xdr:rowOff>
              </from>
              <to>
                <xdr:col>13</xdr:col>
                <xdr:colOff>1813560</xdr:colOff>
                <xdr:row>78</xdr:row>
                <xdr:rowOff>160020</xdr:rowOff>
              </to>
            </anchor>
          </controlPr>
        </control>
      </mc:Choice>
      <mc:Fallback>
        <control shapeId="1033" r:id="rId18" name="TIButton8"/>
      </mc:Fallback>
    </mc:AlternateContent>
    <mc:AlternateContent xmlns:mc="http://schemas.openxmlformats.org/markup-compatibility/2006">
      <mc:Choice Requires="x14">
        <control shapeId="1032" r:id="rId20" name="TIButton7">
          <controlPr defaultSize="0" print="0" autoLine="0" r:id="rId21">
            <anchor moveWithCells="1" sizeWithCells="1">
              <from>
                <xdr:col>13</xdr:col>
                <xdr:colOff>457200</xdr:colOff>
                <xdr:row>85</xdr:row>
                <xdr:rowOff>38100</xdr:rowOff>
              </from>
              <to>
                <xdr:col>13</xdr:col>
                <xdr:colOff>3002280</xdr:colOff>
                <xdr:row>85</xdr:row>
                <xdr:rowOff>289560</xdr:rowOff>
              </to>
            </anchor>
          </controlPr>
        </control>
      </mc:Choice>
      <mc:Fallback>
        <control shapeId="1032" r:id="rId20" name="TIButton7"/>
      </mc:Fallback>
    </mc:AlternateContent>
    <mc:AlternateContent xmlns:mc="http://schemas.openxmlformats.org/markup-compatibility/2006">
      <mc:Choice Requires="x14">
        <control shapeId="1031" r:id="rId22" name="TIButton6">
          <controlPr defaultSize="0" print="0" autoLine="0" r:id="rId23">
            <anchor moveWithCells="1" sizeWithCells="1">
              <from>
                <xdr:col>11</xdr:col>
                <xdr:colOff>388620</xdr:colOff>
                <xdr:row>85</xdr:row>
                <xdr:rowOff>38100</xdr:rowOff>
              </from>
              <to>
                <xdr:col>11</xdr:col>
                <xdr:colOff>2933700</xdr:colOff>
                <xdr:row>85</xdr:row>
                <xdr:rowOff>289560</xdr:rowOff>
              </to>
            </anchor>
          </controlPr>
        </control>
      </mc:Choice>
      <mc:Fallback>
        <control shapeId="1031" r:id="rId22" name="TIButton6"/>
      </mc:Fallback>
    </mc:AlternateContent>
    <mc:AlternateContent xmlns:mc="http://schemas.openxmlformats.org/markup-compatibility/2006">
      <mc:Choice Requires="x14">
        <control shapeId="1030" r:id="rId24" name="TIButton5">
          <controlPr defaultSize="0" print="0" autoLine="0" r:id="rId25">
            <anchor moveWithCells="1" sizeWithCells="1">
              <from>
                <xdr:col>9</xdr:col>
                <xdr:colOff>441960</xdr:colOff>
                <xdr:row>85</xdr:row>
                <xdr:rowOff>38100</xdr:rowOff>
              </from>
              <to>
                <xdr:col>9</xdr:col>
                <xdr:colOff>2979420</xdr:colOff>
                <xdr:row>85</xdr:row>
                <xdr:rowOff>289560</xdr:rowOff>
              </to>
            </anchor>
          </controlPr>
        </control>
      </mc:Choice>
      <mc:Fallback>
        <control shapeId="1030" r:id="rId24" name="TIButton5"/>
      </mc:Fallback>
    </mc:AlternateContent>
    <mc:AlternateContent xmlns:mc="http://schemas.openxmlformats.org/markup-compatibility/2006">
      <mc:Choice Requires="x14">
        <control shapeId="1029" r:id="rId26" name="TIButton2">
          <controlPr defaultSize="0" print="0" autoLine="0" r:id="rId27">
            <anchor moveWithCells="1" sizeWithCells="1">
              <from>
                <xdr:col>11</xdr:col>
                <xdr:colOff>2766060</xdr:colOff>
                <xdr:row>70</xdr:row>
                <xdr:rowOff>30480</xdr:rowOff>
              </from>
              <to>
                <xdr:col>13</xdr:col>
                <xdr:colOff>1554480</xdr:colOff>
                <xdr:row>70</xdr:row>
                <xdr:rowOff>274320</xdr:rowOff>
              </to>
            </anchor>
          </controlPr>
        </control>
      </mc:Choice>
      <mc:Fallback>
        <control shapeId="1029" r:id="rId26" name="TIButton2"/>
      </mc:Fallback>
    </mc:AlternateContent>
    <mc:AlternateContent xmlns:mc="http://schemas.openxmlformats.org/markup-compatibility/2006">
      <mc:Choice Requires="x14">
        <control shapeId="1025" r:id="rId28" name="TIButton1">
          <controlPr defaultSize="0" print="0" autoLine="0" r:id="rId29">
            <anchor moveWithCells="1" sizeWithCells="1">
              <from>
                <xdr:col>9</xdr:col>
                <xdr:colOff>60960</xdr:colOff>
                <xdr:row>65</xdr:row>
                <xdr:rowOff>30480</xdr:rowOff>
              </from>
              <to>
                <xdr:col>9</xdr:col>
                <xdr:colOff>693420</xdr:colOff>
                <xdr:row>65</xdr:row>
                <xdr:rowOff>274320</xdr:rowOff>
              </to>
            </anchor>
          </controlPr>
        </control>
      </mc:Choice>
      <mc:Fallback>
        <control shapeId="1025" r:id="rId28" name="TIButton1"/>
      </mc:Fallback>
    </mc:AlternateContent>
    <mc:AlternateContent xmlns:mc="http://schemas.openxmlformats.org/markup-compatibility/2006">
      <mc:Choice Requires="x14">
        <control shapeId="1027" r:id="rId30" name="TIButton4">
          <controlPr defaultSize="0" print="0" autoLine="0" r:id="rId31">
            <anchor moveWithCells="1" sizeWithCells="1">
              <from>
                <xdr:col>9</xdr:col>
                <xdr:colOff>1943100</xdr:colOff>
                <xdr:row>65</xdr:row>
                <xdr:rowOff>30480</xdr:rowOff>
              </from>
              <to>
                <xdr:col>9</xdr:col>
                <xdr:colOff>2727960</xdr:colOff>
                <xdr:row>65</xdr:row>
                <xdr:rowOff>274320</xdr:rowOff>
              </to>
            </anchor>
          </controlPr>
        </control>
      </mc:Choice>
      <mc:Fallback>
        <control shapeId="1027" r:id="rId30" name="TIButton4"/>
      </mc:Fallback>
    </mc:AlternateContent>
    <mc:AlternateContent xmlns:mc="http://schemas.openxmlformats.org/markup-compatibility/2006">
      <mc:Choice Requires="x14">
        <control shapeId="1028" r:id="rId32" name="TIButton3">
          <controlPr defaultSize="0" print="0" autoLine="0" r:id="rId33">
            <anchor moveWithCells="1" sizeWithCells="1">
              <from>
                <xdr:col>9</xdr:col>
                <xdr:colOff>731520</xdr:colOff>
                <xdr:row>65</xdr:row>
                <xdr:rowOff>30480</xdr:rowOff>
              </from>
              <to>
                <xdr:col>9</xdr:col>
                <xdr:colOff>1912620</xdr:colOff>
                <xdr:row>65</xdr:row>
                <xdr:rowOff>274320</xdr:rowOff>
              </to>
            </anchor>
          </controlPr>
        </control>
      </mc:Choice>
      <mc:Fallback>
        <control shapeId="1028" r:id="rId32" name="TIButton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67</vt:i4>
      </vt:variant>
    </vt:vector>
  </HeadingPairs>
  <TitlesOfParts>
    <vt:vector size="68" baseType="lpstr">
      <vt:lpstr>navigation</vt:lpstr>
      <vt:lpstr>db_name</vt:lpstr>
      <vt:lpstr>psApp</vt:lpstr>
      <vt:lpstr>psFE2Year</vt:lpstr>
      <vt:lpstr>psFE3Year</vt:lpstr>
      <vt:lpstr>psID</vt:lpstr>
      <vt:lpstr>psProg</vt:lpstr>
      <vt:lpstr>psUser</vt:lpstr>
      <vt:lpstr>TM1AdjIDListCAP</vt:lpstr>
      <vt:lpstr>TM1AdjIDListWB</vt:lpstr>
      <vt:lpstr>TM1AdminProgDetCAP</vt:lpstr>
      <vt:lpstr>TM1AdminProgDetWB</vt:lpstr>
      <vt:lpstr>TM1AdminProgDetWS</vt:lpstr>
      <vt:lpstr>TM1EDCAP</vt:lpstr>
      <vt:lpstr>TM1EDWB</vt:lpstr>
      <vt:lpstr>TM1EDWS</vt:lpstr>
      <vt:lpstr>TM1FE3CAP</vt:lpstr>
      <vt:lpstr>TM1FE3DetCAP</vt:lpstr>
      <vt:lpstr>TM1FE3DetWB</vt:lpstr>
      <vt:lpstr>TM1FE3DetWS</vt:lpstr>
      <vt:lpstr>TM1FE3RecoCAP</vt:lpstr>
      <vt:lpstr>TM1FE3RecoWB</vt:lpstr>
      <vt:lpstr>TM1FE3RecoWS</vt:lpstr>
      <vt:lpstr>TM1FE3WB</vt:lpstr>
      <vt:lpstr>TM1FE3WS</vt:lpstr>
      <vt:lpstr>TM1GenerateRecoCAP</vt:lpstr>
      <vt:lpstr>TM1GenerateRecoWB</vt:lpstr>
      <vt:lpstr>TM1GenerateRecoWS</vt:lpstr>
      <vt:lpstr>TM1HomeAdminCAP</vt:lpstr>
      <vt:lpstr>TM1HomeAdminWB</vt:lpstr>
      <vt:lpstr>TM1HomeAdminWS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  <vt:lpstr>TM1IDListWS</vt:lpstr>
      <vt:lpstr>TM1IndexCAP</vt:lpstr>
      <vt:lpstr>TM1IndexFE3MapCAP</vt:lpstr>
      <vt:lpstr>TM1IndexFE3MapWB</vt:lpstr>
      <vt:lpstr>TM1IndexFE3MapWS</vt:lpstr>
      <vt:lpstr>TM1IndexFinCAP</vt:lpstr>
      <vt:lpstr>TM1IndexFinDCBCAP</vt:lpstr>
      <vt:lpstr>TM1IndexFinDCBWB</vt:lpstr>
      <vt:lpstr>TM1IndexFinDCBWS</vt:lpstr>
      <vt:lpstr>TM1IndexFinSubsetCAP</vt:lpstr>
      <vt:lpstr>TM1IndexFinSubsetWB</vt:lpstr>
      <vt:lpstr>TM1IndexFinSubsetWS</vt:lpstr>
      <vt:lpstr>TM1IndexFinWB</vt:lpstr>
      <vt:lpstr>TM1IndexFinWS</vt:lpstr>
      <vt:lpstr>TM1IndexRatesCAP</vt:lpstr>
      <vt:lpstr>TM1IndexRatesWB</vt:lpstr>
      <vt:lpstr>TM1IndexRatesWS</vt:lpstr>
      <vt:lpstr>TM1IndexSetupCAP</vt:lpstr>
      <vt:lpstr>TM1IndexSetupWB</vt:lpstr>
      <vt:lpstr>TM1IndexSetupWS</vt:lpstr>
      <vt:lpstr>TM1IndexWB</vt:lpstr>
      <vt:lpstr>TM1IndexWS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dcterms:created xsi:type="dcterms:W3CDTF">2019-08-29T08:51:24Z</dcterms:created>
  <dcterms:modified xsi:type="dcterms:W3CDTF">2023-02-14T22:32:05Z</dcterms:modified>
</cp:coreProperties>
</file>