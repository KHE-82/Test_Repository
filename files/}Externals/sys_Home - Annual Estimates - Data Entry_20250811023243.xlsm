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7BB1868-DEB6-4CEE-9A3F-72FE4CB0BC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RangeName_List">#REF!</definedName>
    <definedName name="TM1AdjIDListCAP">Menu!$D$40</definedName>
    <definedName name="TM1AdjIDListWB">Menu!$F$40</definedName>
    <definedName name="TM1BulkProcessCAP">Menu!$D$41</definedName>
    <definedName name="TM1BulkProcessWB">Menu!$F$41</definedName>
    <definedName name="TM1BulkProcessWS">Menu!$H$41</definedName>
    <definedName name="TM1EDCAP">Menu!$D$45</definedName>
    <definedName name="TM1EDWB">Menu!$F$45</definedName>
    <definedName name="TM1EDWS">Menu!$H$45</definedName>
    <definedName name="TM1FBOCAP">Menu!$D$48</definedName>
    <definedName name="TM1FBOWB">Menu!$F$48</definedName>
    <definedName name="TM1FBOWS">Menu!$H$48</definedName>
    <definedName name="TM1FE3CAP">Menu!$D$43</definedName>
    <definedName name="TM1FE3WB">Menu!$F$43</definedName>
    <definedName name="TM1FE3WS">Menu!$H$43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Menu!$D$37:$H$37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IDListWS">Menu!$H$40</definedName>
    <definedName name="TM1IndexCAP">Menu!$D$44</definedName>
    <definedName name="TM1IndexFE3MapCAP">Menu!$D$47</definedName>
    <definedName name="TM1IndexFE3MapWB">Menu!$F$47</definedName>
    <definedName name="TM1IndexFE3MapWS">Menu!$H$47</definedName>
    <definedName name="TM1IndexWB">Menu!$F$44</definedName>
    <definedName name="TM1IndexWS">Menu!$H$44</definedName>
    <definedName name="TM1NewAdj01HeaderCAP">Menu!$D$39</definedName>
    <definedName name="TM1NewAdj01HeaderWB">Menu!$F$39</definedName>
    <definedName name="TM1NewAdj01HeaderWS">Menu!$H$39</definedName>
    <definedName name="TM1NewAdj97UploadCAP">Menu!$D$42</definedName>
    <definedName name="TM1NewAdj97UploadWB">Menu!$F$42</definedName>
    <definedName name="TM1NewAdj97UploadWS">Menu!$H$42</definedName>
    <definedName name="TM1ProgTransferCAP">Menu!$D$46</definedName>
    <definedName name="TM1ProgTransferWB">Menu!$F$46</definedName>
    <definedName name="TM1ProgTransferWS">Menu!$H$46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6" i="1"/>
  <c r="W51" i="1"/>
  <c r="C26" i="1"/>
  <c r="H48" i="1"/>
  <c r="G48" i="1"/>
  <c r="F48" i="1"/>
  <c r="E48" i="1"/>
  <c r="D48" i="1"/>
  <c r="C48" i="1"/>
  <c r="F37" i="1"/>
  <c r="H37" i="1"/>
  <c r="G37" i="1"/>
  <c r="E37" i="1"/>
  <c r="D37" i="1"/>
  <c r="C37" i="1"/>
  <c r="K87" i="1"/>
  <c r="C10" i="1"/>
  <c r="C12" i="1"/>
  <c r="C11" i="1"/>
  <c r="C13" i="1"/>
  <c r="C14" i="1"/>
  <c r="C15" i="1"/>
  <c r="K53" i="1"/>
  <c r="C7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5" i="1"/>
</calcChain>
</file>

<file path=xl/sharedStrings.xml><?xml version="1.0" encoding="utf-8"?>
<sst xmlns="http://schemas.openxmlformats.org/spreadsheetml/2006/main" count="63" uniqueCount="56">
  <si>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</si>
  <si>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</si>
  <si>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</si>
  <si>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</si>
  <si>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</si>
  <si>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</si>
  <si>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</si>
  <si>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</si>
  <si>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</si>
  <si>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</si>
  <si>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</si>
  <si>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</si>
  <si>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</si>
  <si>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</si>
  <si>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</si>
  <si>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</si>
  <si>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</si>
  <si>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</si>
  <si>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</si>
  <si>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</si>
  <si>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</si>
  <si>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</si>
  <si>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</si>
  <si>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</si>
  <si>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</si>
  <si>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</si>
  <si>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</si>
  <si>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</si>
  <si>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</si>
  <si>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</si>
  <si>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</si>
  <si>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</si>
  <si>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</si>
  <si>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</si>
  <si>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</si>
  <si>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</si>
  <si>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</si>
  <si>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</si>
  <si>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</si>
  <si>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</si>
  <si>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Data Entry - New Adj 01 - Header Details</t>
  </si>
  <si>
    <t>Adjustment - ID List</t>
  </si>
  <si>
    <t>Adjustment - Bulk Process</t>
  </si>
  <si>
    <t>Data Entry - New Adj 97 - Upload</t>
  </si>
  <si>
    <t>Adjustment - Generate FE3</t>
  </si>
  <si>
    <t>Adjustment - Generate Indexation</t>
  </si>
  <si>
    <t>Adjustment - Generate ED</t>
  </si>
  <si>
    <t>Adjustment - Programme Transfers</t>
  </si>
  <si>
    <t>Adjustment - Indexation and FE3 Navigational Map</t>
  </si>
  <si>
    <t>ANNUAL ESTIMATES</t>
  </si>
  <si>
    <t>DATA ENTRY MENU</t>
  </si>
  <si>
    <t>Navigate to the adjustment list</t>
  </si>
  <si>
    <t>Navigate to the Primary Financial Statements</t>
  </si>
  <si>
    <t>Homepage - Annual Estimates - CDM Extract</t>
  </si>
  <si>
    <t>Adjustment - FBO Upload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</si>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</sst>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23703726310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0" tint="-0.1499374370555742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3" xfId="0" applyBorder="1"/>
    <xf numFmtId="0" fontId="0" fillId="0" borderId="0" xfId="0" quotePrefix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/>
    <xf numFmtId="0" fontId="2" fillId="6" borderId="3" xfId="0" applyFont="1" applyFill="1" applyBorder="1"/>
    <xf numFmtId="0" fontId="4" fillId="2" borderId="0" xfId="0" applyFont="1" applyFill="1" applyAlignment="1">
      <alignment horizontal="right" vertical="center" indent="1"/>
    </xf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5000000}"/>
    <cellStyle name="Percent" xfId="1" xr:uid="{00000000-0005-0000-0000-000006000000}"/>
  </cellStyles>
  <dxfs count="1">
    <dxf>
      <font>
        <color theme="0"/>
      </font>
      <fill>
        <patternFill>
          <bgColor theme="9" tint="-0.499923703726310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52</xdr:row>
      <xdr:rowOff>55686</xdr:rowOff>
    </xdr:from>
    <xdr:to>
      <xdr:col>22</xdr:col>
      <xdr:colOff>206290</xdr:colOff>
      <xdr:row>52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57</xdr:row>
      <xdr:rowOff>57150</xdr:rowOff>
    </xdr:from>
    <xdr:to>
      <xdr:col>15</xdr:col>
      <xdr:colOff>307716</xdr:colOff>
      <xdr:row>57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28775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57</xdr:row>
      <xdr:rowOff>66675</xdr:rowOff>
    </xdr:from>
    <xdr:to>
      <xdr:col>22</xdr:col>
      <xdr:colOff>289046</xdr:colOff>
      <xdr:row>57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28575</xdr:rowOff>
    </xdr:from>
    <xdr:to>
      <xdr:col>12</xdr:col>
      <xdr:colOff>57150</xdr:colOff>
      <xdr:row>50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57</xdr:row>
      <xdr:rowOff>66675</xdr:rowOff>
    </xdr:from>
    <xdr:to>
      <xdr:col>22</xdr:col>
      <xdr:colOff>289046</xdr:colOff>
      <xdr:row>57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28576</xdr:colOff>
      <xdr:row>0</xdr:row>
      <xdr:rowOff>0</xdr:rowOff>
    </xdr:from>
    <xdr:to>
      <xdr:col>26</xdr:col>
      <xdr:colOff>55246</xdr:colOff>
      <xdr:row>57</xdr:row>
      <xdr:rowOff>281941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58</xdr:row>
      <xdr:rowOff>47625</xdr:rowOff>
    </xdr:from>
    <xdr:to>
      <xdr:col>14</xdr:col>
      <xdr:colOff>752475</xdr:colOff>
      <xdr:row>61</xdr:row>
      <xdr:rowOff>0</xdr:rowOff>
    </xdr:to>
    <xdr:sp macro="Sheet1.ExecuteAction_977e577a_9eec_4844_a9a3_b1b273297e21" textlink="TM1HomeAEDataEntryCAP">
      <xdr:nvSpPr>
        <xdr:cNvPr id="2" name="TM1Button_977e577a_9eec_4844_a9a3_b1b273297e21">
          <a:extLst>
            <a:ext uri="{FF2B5EF4-FFF2-40B4-BE49-F238E27FC236}">
              <a16:creationId xmlns:a16="http://schemas.microsoft.com/office/drawing/2014/main" id="{7F6D7B3E-78F2-72FF-FDFA-FA2537435132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660567C-E920-47E8-AAD9-5264D70A5E9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63</xdr:row>
      <xdr:rowOff>57150</xdr:rowOff>
    </xdr:to>
    <xdr:sp macro="Sheet1.ExecuteAction_0761ddaf_5930_44a0_b0d8_6e1319934a70" textlink="">
      <xdr:nvSpPr>
        <xdr:cNvPr id="4" name="TM1Button_0761ddaf_5930_44a0_b0d8_6e1319934a70">
          <a:extLst>
            <a:ext uri="{FF2B5EF4-FFF2-40B4-BE49-F238E27FC236}">
              <a16:creationId xmlns:a16="http://schemas.microsoft.com/office/drawing/2014/main" id="{675BF7B4-B901-CBF3-A158-415109B2716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Adjustment List</a:t>
          </a:r>
        </a:p>
      </xdr:txBody>
    </xdr:sp>
    <xdr:clientData/>
  </xdr:twoCellAnchor>
  <xdr:twoCellAnchor editAs="oneCell">
    <xdr:from>
      <xdr:col>18</xdr:col>
      <xdr:colOff>285750</xdr:colOff>
      <xdr:row>63</xdr:row>
      <xdr:rowOff>104775</xdr:rowOff>
    </xdr:from>
    <xdr:to>
      <xdr:col>21</xdr:col>
      <xdr:colOff>1038225</xdr:colOff>
      <xdr:row>65</xdr:row>
      <xdr:rowOff>114300</xdr:rowOff>
    </xdr:to>
    <xdr:sp macro="Sheet1.ExecuteAction_b3602012_f90f_4bb7_9b4d_2d5c3f934cc4" textlink="">
      <xdr:nvSpPr>
        <xdr:cNvPr id="5" name="TM1Button_b3602012_f90f_4bb7_9b4d_2d5c3f934cc4">
          <a:extLst>
            <a:ext uri="{FF2B5EF4-FFF2-40B4-BE49-F238E27FC236}">
              <a16:creationId xmlns:a16="http://schemas.microsoft.com/office/drawing/2014/main" id="{FE73442C-41EB-B8D9-ADA3-F607D7A85B74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Adjustment Processing</a:t>
          </a:r>
        </a:p>
      </xdr:txBody>
    </xdr:sp>
    <xdr:clientData/>
  </xdr:twoCellAnchor>
  <xdr:twoCellAnchor editAs="oneCell">
    <xdr:from>
      <xdr:col>18</xdr:col>
      <xdr:colOff>285750</xdr:colOff>
      <xdr:row>65</xdr:row>
      <xdr:rowOff>161925</xdr:rowOff>
    </xdr:from>
    <xdr:to>
      <xdr:col>21</xdr:col>
      <xdr:colOff>1038225</xdr:colOff>
      <xdr:row>67</xdr:row>
      <xdr:rowOff>38100</xdr:rowOff>
    </xdr:to>
    <xdr:sp macro="Sheet1.ExecuteAction_12c161fb_8e60_4b14_af37_73ddb867b312" textlink="">
      <xdr:nvSpPr>
        <xdr:cNvPr id="6" name="TM1Button_12c161fb_8e60_4b14_af37_73ddb867b312">
          <a:extLst>
            <a:ext uri="{FF2B5EF4-FFF2-40B4-BE49-F238E27FC236}">
              <a16:creationId xmlns:a16="http://schemas.microsoft.com/office/drawing/2014/main" id="{9F644C87-71CC-A998-8405-C7D5B733798A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Adjustments</a:t>
          </a:r>
        </a:p>
      </xdr:txBody>
    </xdr:sp>
    <xdr:clientData/>
  </xdr:twoCellAnchor>
  <xdr:twoCellAnchor editAs="oneCell">
    <xdr:from>
      <xdr:col>18</xdr:col>
      <xdr:colOff>285750</xdr:colOff>
      <xdr:row>67</xdr:row>
      <xdr:rowOff>85725</xdr:rowOff>
    </xdr:from>
    <xdr:to>
      <xdr:col>21</xdr:col>
      <xdr:colOff>1038225</xdr:colOff>
      <xdr:row>69</xdr:row>
      <xdr:rowOff>152400</xdr:rowOff>
    </xdr:to>
    <xdr:sp macro="Sheet1.ExecuteAction_40d4001f_7b6c_4943_b57a_626578aa48fc" textlink="">
      <xdr:nvSpPr>
        <xdr:cNvPr id="7" name="TM1Button_40d4001f_7b6c_4943_b57a_626578aa48fc">
          <a:extLst>
            <a:ext uri="{FF2B5EF4-FFF2-40B4-BE49-F238E27FC236}">
              <a16:creationId xmlns:a16="http://schemas.microsoft.com/office/drawing/2014/main" id="{3396C245-8681-B2C7-9CA7-E532BFB9D909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ED, Parameters and FE3 Navigational Guidelines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9525</xdr:rowOff>
    </xdr:from>
    <xdr:to>
      <xdr:col>21</xdr:col>
      <xdr:colOff>1038225</xdr:colOff>
      <xdr:row>73</xdr:row>
      <xdr:rowOff>19050</xdr:rowOff>
    </xdr:to>
    <xdr:sp macro="Sheet1.ExecuteAction_e23af2cc_3cb3_4738_8224_967d993b8cfa" textlink="">
      <xdr:nvSpPr>
        <xdr:cNvPr id="8" name="TM1Button_e23af2cc_3cb3_4738_8224_967d993b8cfa">
          <a:extLst>
            <a:ext uri="{FF2B5EF4-FFF2-40B4-BE49-F238E27FC236}">
              <a16:creationId xmlns:a16="http://schemas.microsoft.com/office/drawing/2014/main" id="{1E91D528-5A2E-3B59-BF11-0659D8C18C18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Efficiency Dividend Adjustments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66675</xdr:rowOff>
    </xdr:from>
    <xdr:to>
      <xdr:col>21</xdr:col>
      <xdr:colOff>1038225</xdr:colOff>
      <xdr:row>75</xdr:row>
      <xdr:rowOff>133350</xdr:rowOff>
    </xdr:to>
    <xdr:sp macro="Sheet1.ExecuteAction_de8b00d6_12c4_446c_b482_b15b928dbfbd" textlink="">
      <xdr:nvSpPr>
        <xdr:cNvPr id="10" name="TM1Button_de8b00d6_12c4_446c_b482_b15b928dbfbd">
          <a:extLst>
            <a:ext uri="{FF2B5EF4-FFF2-40B4-BE49-F238E27FC236}">
              <a16:creationId xmlns:a16="http://schemas.microsoft.com/office/drawing/2014/main" id="{166A56AD-47C4-7965-6BDB-A68C36162417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Parameter Adjustments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180975</xdr:rowOff>
    </xdr:from>
    <xdr:to>
      <xdr:col>21</xdr:col>
      <xdr:colOff>1038225</xdr:colOff>
      <xdr:row>79</xdr:row>
      <xdr:rowOff>0</xdr:rowOff>
    </xdr:to>
    <xdr:sp macro="Sheet1.ExecuteAction_adf688e0_31ab_4585_b2d7_d627b5dfa92b" textlink="">
      <xdr:nvSpPr>
        <xdr:cNvPr id="13" name="TM1Button_adf688e0_31ab_4585_b2d7_d627b5dfa92b">
          <a:extLst>
            <a:ext uri="{FF2B5EF4-FFF2-40B4-BE49-F238E27FC236}">
              <a16:creationId xmlns:a16="http://schemas.microsoft.com/office/drawing/2014/main" id="{93A76008-A3E1-A99A-4D54-34432C87B9B9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Forward Estimates 3 Adjustments</a:t>
          </a:r>
        </a:p>
      </xdr:txBody>
    </xdr:sp>
    <xdr:clientData/>
  </xdr:twoCellAnchor>
  <xdr:twoCellAnchor editAs="oneCell">
    <xdr:from>
      <xdr:col>18</xdr:col>
      <xdr:colOff>285750</xdr:colOff>
      <xdr:row>79</xdr:row>
      <xdr:rowOff>47625</xdr:rowOff>
    </xdr:from>
    <xdr:to>
      <xdr:col>21</xdr:col>
      <xdr:colOff>1038225</xdr:colOff>
      <xdr:row>81</xdr:row>
      <xdr:rowOff>114300</xdr:rowOff>
    </xdr:to>
    <xdr:sp macro="Sheet1.ExecuteAction_dc1170c7_c0ae_4575_9b6d_b8cad2603d40" textlink="">
      <xdr:nvSpPr>
        <xdr:cNvPr id="14" name="TM1Button_dc1170c7_c0ae_4575_9b6d_b8cad2603d40">
          <a:extLst>
            <a:ext uri="{FF2B5EF4-FFF2-40B4-BE49-F238E27FC236}">
              <a16:creationId xmlns:a16="http://schemas.microsoft.com/office/drawing/2014/main" id="{77ABF134-D7B0-C386-A579-CC51E02D5BF5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Transfers</a:t>
          </a:r>
        </a:p>
      </xdr:txBody>
    </xdr:sp>
    <xdr:clientData/>
  </xdr:twoCellAnchor>
  <xdr:twoCellAnchor editAs="oneCell">
    <xdr:from>
      <xdr:col>11</xdr:col>
      <xdr:colOff>0</xdr:colOff>
      <xdr:row>67</xdr:row>
      <xdr:rowOff>114300</xdr:rowOff>
    </xdr:from>
    <xdr:to>
      <xdr:col>14</xdr:col>
      <xdr:colOff>752475</xdr:colOff>
      <xdr:row>69</xdr:row>
      <xdr:rowOff>180975</xdr:rowOff>
    </xdr:to>
    <xdr:sp macro="Sheet1.ExecuteAction_dd1ad9fa_5928_43fa_8617_99362879d34a" textlink="TM1HomeAECDMCAP">
      <xdr:nvSpPr>
        <xdr:cNvPr id="15" name="TM1Button_dd1ad9fa_5928_43fa_8617_99362879d34a">
          <a:extLst>
            <a:ext uri="{FF2B5EF4-FFF2-40B4-BE49-F238E27FC236}">
              <a16:creationId xmlns:a16="http://schemas.microsoft.com/office/drawing/2014/main" id="{1D138D8E-2AD9-465D-08B7-C6334C0426FD}"/>
            </a:ext>
          </a:extLst>
        </xdr:cNvPr>
        <xdr:cNvSpPr txBox="1"/>
      </xdr:nvSpPr>
      <xdr:spPr>
        <a:xfrm>
          <a:off x="438150" y="3409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888D56-22A1-4A17-818A-046D6A2BE0E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81</xdr:row>
      <xdr:rowOff>171450</xdr:rowOff>
    </xdr:from>
    <xdr:to>
      <xdr:col>21</xdr:col>
      <xdr:colOff>1038225</xdr:colOff>
      <xdr:row>84</xdr:row>
      <xdr:rowOff>47625</xdr:rowOff>
    </xdr:to>
    <xdr:sp macro="Sheet1.ExecuteAction_940e9a17_598a_4a66_ae30_1415e335feac" textlink="">
      <xdr:nvSpPr>
        <xdr:cNvPr id="16" name="TM1Button_940e9a17_598a_4a66_ae30_1415e335feac">
          <a:extLst>
            <a:ext uri="{FF2B5EF4-FFF2-40B4-BE49-F238E27FC236}">
              <a16:creationId xmlns:a16="http://schemas.microsoft.com/office/drawing/2014/main" id="{B03E2C94-31CA-F3DA-4A9B-3C7BE9A42C5C}"/>
            </a:ext>
          </a:extLst>
        </xdr:cNvPr>
        <xdr:cNvSpPr txBox="1"/>
      </xdr:nvSpPr>
      <xdr:spPr>
        <a:xfrm>
          <a:off x="6858000" y="52006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FBO Upload</a:t>
          </a:r>
        </a:p>
      </xdr:txBody>
    </xdr:sp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63</xdr:row>
      <xdr:rowOff>57150</xdr:rowOff>
    </xdr:to>
    <xdr:sp macro="Sheet1.ExecuteAction_24f4c0c4_dda8_49e6_a5b1_d4507a0ff804" textlink="TM1HomeAEMeasuresCAP">
      <xdr:nvSpPr>
        <xdr:cNvPr id="17" name="TM1Button_24f4c0c4_dda8_49e6_a5b1_d4507a0ff804">
          <a:extLst>
            <a:ext uri="{FF2B5EF4-FFF2-40B4-BE49-F238E27FC236}">
              <a16:creationId xmlns:a16="http://schemas.microsoft.com/office/drawing/2014/main" id="{CE27CE6B-582A-0A49-DACC-E6A52174EAFC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0562DF-E496-436E-B832-9CA91E80658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63</xdr:row>
      <xdr:rowOff>104775</xdr:rowOff>
    </xdr:from>
    <xdr:to>
      <xdr:col>14</xdr:col>
      <xdr:colOff>752475</xdr:colOff>
      <xdr:row>65</xdr:row>
      <xdr:rowOff>114300</xdr:rowOff>
    </xdr:to>
    <xdr:sp macro="Sheet1.ExecuteAction_973c37e7_c8d6_41c0_9401_fe36e59da04e" textlink="TM1HomeAEFFCAP">
      <xdr:nvSpPr>
        <xdr:cNvPr id="18" name="TM1Button_973c37e7_c8d6_41c0_9401_fe36e59da04e">
          <a:extLst>
            <a:ext uri="{FF2B5EF4-FFF2-40B4-BE49-F238E27FC236}">
              <a16:creationId xmlns:a16="http://schemas.microsoft.com/office/drawing/2014/main" id="{B6E12EF7-A721-E490-86A1-0A735C540102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5781F4C-BF69-4D24-B38E-E925A602D9F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65</xdr:row>
      <xdr:rowOff>161925</xdr:rowOff>
    </xdr:from>
    <xdr:to>
      <xdr:col>14</xdr:col>
      <xdr:colOff>752475</xdr:colOff>
      <xdr:row>67</xdr:row>
      <xdr:rowOff>38100</xdr:rowOff>
    </xdr:to>
    <xdr:sp macro="Sheet1.ExecuteAction_8fb86087_ee19_4e44_b8a2_dd669b0f4c60" textlink="TM1HomeAEAccVarCAP">
      <xdr:nvSpPr>
        <xdr:cNvPr id="20" name="TM1Button_8fb86087_ee19_4e44_b8a2_dd669b0f4c60">
          <a:extLst>
            <a:ext uri="{FF2B5EF4-FFF2-40B4-BE49-F238E27FC236}">
              <a16:creationId xmlns:a16="http://schemas.microsoft.com/office/drawing/2014/main" id="{19522466-F5A4-A138-3636-DEEEB5B78160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86B84A-B705-40CE-9E74-6F92F1FB1ED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54</xdr:row>
      <xdr:rowOff>47625</xdr:rowOff>
    </xdr:from>
    <xdr:to>
      <xdr:col>13</xdr:col>
      <xdr:colOff>38100</xdr:colOff>
      <xdr:row>56</xdr:row>
      <xdr:rowOff>85725</xdr:rowOff>
    </xdr:to>
    <xdr:sp macro="Sheet1.ExecuteAction_548adf2a_08de_4505_bc90_0badd42512a8" textlink="TM1HomeCAP">
      <xdr:nvSpPr>
        <xdr:cNvPr id="22" name="TM1Button_548adf2a_08de_4505_bc90_0badd42512a8">
          <a:extLst>
            <a:ext uri="{FF2B5EF4-FFF2-40B4-BE49-F238E27FC236}">
              <a16:creationId xmlns:a16="http://schemas.microsoft.com/office/drawing/2014/main" id="{D369023C-CD76-47E6-6E2B-774CA613EE3D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710999-52FE-41BC-932D-55FFBEB5D21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54</xdr:row>
      <xdr:rowOff>47625</xdr:rowOff>
    </xdr:from>
    <xdr:to>
      <xdr:col>15</xdr:col>
      <xdr:colOff>352425</xdr:colOff>
      <xdr:row>56</xdr:row>
      <xdr:rowOff>85725</xdr:rowOff>
    </xdr:to>
    <xdr:sp macro="Sheet1.ExecuteAction_7662f9fb_e315_4c83_961a_377ff70db2b7" textlink="TM1HomeAECAP">
      <xdr:nvSpPr>
        <xdr:cNvPr id="23" name="TM1Button_7662f9fb_e315_4c83_961a_377ff70db2b7">
          <a:extLst>
            <a:ext uri="{FF2B5EF4-FFF2-40B4-BE49-F238E27FC236}">
              <a16:creationId xmlns:a16="http://schemas.microsoft.com/office/drawing/2014/main" id="{E1108F31-7B66-9BC8-D9CE-87283F1121DC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408EEC-092B-4CF5-BA0A-CC0D8E3F101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54</xdr:row>
      <xdr:rowOff>38100</xdr:rowOff>
    </xdr:from>
    <xdr:to>
      <xdr:col>19</xdr:col>
      <xdr:colOff>1104900</xdr:colOff>
      <xdr:row>56</xdr:row>
      <xdr:rowOff>76200</xdr:rowOff>
    </xdr:to>
    <xdr:sp macro="Sheet1.ExecuteAction_2191185e_4823_46d5_9765_325fb9ce87ca" textlink="TM1HomeRepCAP">
      <xdr:nvSpPr>
        <xdr:cNvPr id="24" name="TM1Button_2191185e_4823_46d5_9765_325fb9ce87ca">
          <a:extLst>
            <a:ext uri="{FF2B5EF4-FFF2-40B4-BE49-F238E27FC236}">
              <a16:creationId xmlns:a16="http://schemas.microsoft.com/office/drawing/2014/main" id="{7FB5D6E3-AE55-3090-8FD2-8823DE7B9A75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2107BF-3DDE-4CA5-AF78-702EB5AC4EA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54</xdr:row>
      <xdr:rowOff>38100</xdr:rowOff>
    </xdr:from>
    <xdr:to>
      <xdr:col>22</xdr:col>
      <xdr:colOff>114300</xdr:colOff>
      <xdr:row>56</xdr:row>
      <xdr:rowOff>76200</xdr:rowOff>
    </xdr:to>
    <xdr:sp macro="Sheet1.ExecuteAction_e24bbdf3_fb0e_46f6_8126_869ffdc54a9f" textlink="TM1HomeAdminCAP">
      <xdr:nvSpPr>
        <xdr:cNvPr id="25" name="TM1Button_e24bbdf3_fb0e_46f6_8126_869ffdc54a9f">
          <a:extLst>
            <a:ext uri="{FF2B5EF4-FFF2-40B4-BE49-F238E27FC236}">
              <a16:creationId xmlns:a16="http://schemas.microsoft.com/office/drawing/2014/main" id="{8E13C830-87FE-1F3B-A24C-ED2A07654C39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53FFAF7-CB90-4AE8-A35F-35956D727B3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58</xdr:row>
      <xdr:rowOff>47625</xdr:rowOff>
    </xdr:from>
    <xdr:to>
      <xdr:col>21</xdr:col>
      <xdr:colOff>1038225</xdr:colOff>
      <xdr:row>61</xdr:row>
      <xdr:rowOff>0</xdr:rowOff>
    </xdr:to>
    <xdr:sp macro="Sheet1.ExecuteAction_f2b98127_8a03_48b0_a35b_0f317922d588" textlink="">
      <xdr:nvSpPr>
        <xdr:cNvPr id="26" name="TM1Button_f2b98127_8a03_48b0_a35b_0f317922d588">
          <a:extLst>
            <a:ext uri="{FF2B5EF4-FFF2-40B4-BE49-F238E27FC236}">
              <a16:creationId xmlns:a16="http://schemas.microsoft.com/office/drawing/2014/main" id="{74FA05A1-468F-ECC5-CB3B-78D029981518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Enter New Adjustments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E87"/>
  <sheetViews>
    <sheetView showGridLines="0" tabSelected="1" showOutlineSymbols="0" topLeftCell="K51" workbookViewId="0">
      <pane ySplit="8" topLeftCell="A59" activePane="bottomLeft" state="frozen"/>
      <selection activeCell="J51" sqref="J51"/>
      <selection pane="bottomLeft"/>
    </sheetView>
  </sheetViews>
  <sheetFormatPr defaultRowHeight="15" customHeight="1" outlineLevelRow="1" outlineLevelCol="1" x14ac:dyDescent="0.25"/>
  <cols>
    <col min="1" max="1" width="5.7109375" hidden="1" customWidth="1" outlineLevel="1"/>
    <col min="2" max="2" width="55.28515625" hidden="1" customWidth="1" outlineLevel="1"/>
    <col min="3" max="4" width="20.28515625" hidden="1" customWidth="1" outlineLevel="1"/>
    <col min="5" max="5" width="24.42578125" hidden="1" customWidth="1" outlineLevel="1"/>
    <col min="6" max="6" width="6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5" hidden="1" customHeight="1" outlineLevel="1" x14ac:dyDescent="0.25">
      <c r="B1" s="19" t="s">
        <v>0</v>
      </c>
      <c r="C1" s="20"/>
      <c r="D1" s="21"/>
    </row>
    <row r="2" spans="2:4" ht="15" hidden="1" customHeight="1" outlineLevel="1" x14ac:dyDescent="0.25">
      <c r="B2" s="10" t="s">
        <v>1</v>
      </c>
      <c r="C2" s="11" t="s">
        <v>55</v>
      </c>
      <c r="D2" s="2"/>
    </row>
    <row r="3" spans="2:4" ht="15" hidden="1" customHeight="1" outlineLevel="1" x14ac:dyDescent="0.25">
      <c r="B3" s="10" t="s">
        <v>2</v>
      </c>
      <c r="C3" s="12" t="str">
        <f>_xll.VIEW((db_name&amp;":}ElementAttributes_}Clients"),"!","!")</f>
        <v>finance_geus:}ElementAttributes_}Clients:1264217196378968706</v>
      </c>
      <c r="D3" s="2"/>
    </row>
    <row r="4" spans="2:4" ht="15" hidden="1" customHeight="1" outlineLevel="1" x14ac:dyDescent="0.25">
      <c r="B4" s="10" t="s">
        <v>3</v>
      </c>
      <c r="C4" s="11" t="str">
        <f ca="1">_xll.TM1USER(db_name)</f>
        <v>RECALC_0_100_</v>
      </c>
      <c r="D4" s="2"/>
    </row>
    <row r="5" spans="2:4" ht="15" hidden="1" customHeight="1" outlineLevel="1" x14ac:dyDescent="0.25">
      <c r="B5" s="10" t="s">
        <v>4</v>
      </c>
      <c r="C5" s="11" t="str">
        <f ca="1">_xll.DBR($C$3,$C$4,$B5)</f>
        <v>RECALC_1_101_</v>
      </c>
      <c r="D5" s="2"/>
    </row>
    <row r="6" spans="2:4" ht="15" hidden="1" customHeight="1" outlineLevel="1" x14ac:dyDescent="0.25">
      <c r="B6" s="10" t="s">
        <v>5</v>
      </c>
      <c r="C6" s="11" t="str">
        <f ca="1">_xll.DBR($C$3,$C$4,$B6)</f>
        <v>RECALC_1_232_</v>
      </c>
      <c r="D6" s="2"/>
    </row>
    <row r="7" spans="2:4" ht="15" hidden="1" customHeight="1" outlineLevel="1" x14ac:dyDescent="0.25">
      <c r="B7" s="10" t="s">
        <v>6</v>
      </c>
      <c r="C7" s="11" t="str">
        <f ca="1">IF((LEFT($C$4,6)="CAM_AD"),$C$5,$C$4)</f>
        <v>RECALC_0_100_</v>
      </c>
      <c r="D7" s="1"/>
    </row>
    <row r="8" spans="2:4" ht="15" hidden="1" customHeight="1" outlineLevel="1" x14ac:dyDescent="0.25"/>
    <row r="9" spans="2:4" ht="15" hidden="1" customHeight="1" outlineLevel="1" x14ac:dyDescent="0.25">
      <c r="B9" s="19" t="s">
        <v>7</v>
      </c>
      <c r="C9" s="20"/>
      <c r="D9" s="21"/>
    </row>
    <row r="10" spans="2:4" ht="15" hidden="1" customHeight="1" outlineLevel="1" x14ac:dyDescent="0.25">
      <c r="B10" s="10" t="s">
        <v>8</v>
      </c>
      <c r="C10" s="1" t="str">
        <f>_xll.VIEW((db_name&amp;":}ElementAttributes_variables"),"!","!")</f>
        <v>finance_geus:}ElementAttributes_variables:1264217196-722900145</v>
      </c>
      <c r="D10" s="1"/>
    </row>
    <row r="11" spans="2:4" ht="15" hidden="1" customHeight="1" outlineLevel="1" x14ac:dyDescent="0.25">
      <c r="B11" s="10" t="s">
        <v>9</v>
      </c>
      <c r="C11" s="1" t="str">
        <f ca="1">_xll.DBR($C$10,$B11,"value")</f>
        <v>RECALC_0_231_</v>
      </c>
      <c r="D11" s="1"/>
    </row>
    <row r="12" spans="2:4" ht="15" hidden="1" customHeight="1" outlineLevel="1" x14ac:dyDescent="0.25">
      <c r="B12" s="10" t="s">
        <v>10</v>
      </c>
      <c r="C12" s="1" t="str">
        <f ca="1">_xll.DBR($C$10,$B12,"value")</f>
        <v>RECALC_0_230_</v>
      </c>
      <c r="D12" s="1"/>
    </row>
    <row r="13" spans="2:4" ht="15" hidden="1" customHeight="1" outlineLevel="1" x14ac:dyDescent="0.25">
      <c r="B13" s="10" t="s">
        <v>11</v>
      </c>
      <c r="C13" s="1" t="str">
        <f ca="1">_xll.DBR($C$10,$B13,"value")</f>
        <v>RECALC_0_484_</v>
      </c>
      <c r="D13" s="1"/>
    </row>
    <row r="14" spans="2:4" ht="15" hidden="1" customHeight="1" outlineLevel="1" x14ac:dyDescent="0.25">
      <c r="B14" s="10" t="s">
        <v>12</v>
      </c>
      <c r="C14" s="1" t="str">
        <f ca="1">_xll.DBR($C$10,$B14,"value")</f>
        <v>RECALC_0_483_</v>
      </c>
      <c r="D14" s="1"/>
    </row>
    <row r="15" spans="2:4" ht="15" hidden="1" customHeight="1" outlineLevel="1" x14ac:dyDescent="0.25">
      <c r="B15" s="10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5" hidden="1" customHeight="1" outlineLevel="1" x14ac:dyDescent="0.25"/>
    <row r="17" spans="2:13" ht="15" hidden="1" customHeight="1" outlineLevel="1" x14ac:dyDescent="0.25">
      <c r="B17" s="19" t="s">
        <v>14</v>
      </c>
      <c r="C17" s="20"/>
      <c r="D17" s="21"/>
    </row>
    <row r="18" spans="2:13" ht="15" hidden="1" customHeight="1" outlineLevel="1" x14ac:dyDescent="0.25">
      <c r="B18" s="10" t="s">
        <v>8</v>
      </c>
      <c r="C18" s="1" t="str">
        <f>_xll.VIEW((db_name&amp;":sys_client preference"),"!","!","!")</f>
        <v>finance_geus:sys_client preference:12642171961011186905</v>
      </c>
      <c r="D18" s="1"/>
    </row>
    <row r="19" spans="2:13" ht="15" hidden="1" customHeight="1" outlineLevel="1" x14ac:dyDescent="0.25">
      <c r="B19" s="10" t="s">
        <v>15</v>
      </c>
      <c r="C19" s="1" t="str">
        <f ca="1">_xll.DBR($C$18,psUser,$B19,"value")</f>
        <v>RECALC_1_416_</v>
      </c>
      <c r="D19" s="1"/>
    </row>
    <row r="20" spans="2:13" ht="15" hidden="1" customHeight="1" outlineLevel="1" x14ac:dyDescent="0.25">
      <c r="B20" s="10" t="s">
        <v>16</v>
      </c>
      <c r="C20" s="1" t="str">
        <f ca="1">_xll.DBR($C$18,psUser,$B20,"value")</f>
        <v>RECALC_1_414_</v>
      </c>
      <c r="D20" s="1"/>
    </row>
    <row r="21" spans="2:13" ht="15" hidden="1" customHeight="1" outlineLevel="1" x14ac:dyDescent="0.25">
      <c r="B21" s="10" t="s">
        <v>17</v>
      </c>
      <c r="C21" s="1" t="str">
        <f ca="1">_xll.DBR($C$18,psUser,$B21,"value")</f>
        <v>RECALC_1_412_</v>
      </c>
      <c r="D21" s="1"/>
    </row>
    <row r="22" spans="2:13" ht="15" hidden="1" customHeight="1" outlineLevel="1" x14ac:dyDescent="0.25">
      <c r="B22" s="10" t="s">
        <v>18</v>
      </c>
      <c r="C22" s="1" t="str">
        <f ca="1">_xll.DBR($C$18,psUser,$B22,"value")</f>
        <v>RECALC_1_493_</v>
      </c>
      <c r="D22" s="1"/>
    </row>
    <row r="23" spans="2:13" ht="15" hidden="1" customHeight="1" outlineLevel="1" x14ac:dyDescent="0.25">
      <c r="B23" s="10" t="s">
        <v>19</v>
      </c>
      <c r="C23" s="1" t="s">
        <v>20</v>
      </c>
      <c r="D23" s="1"/>
    </row>
    <row r="24" spans="2:13" ht="15" hidden="1" customHeight="1" outlineLevel="1" x14ac:dyDescent="0.25"/>
    <row r="25" spans="2:13" ht="15" hidden="1" customHeight="1" outlineLevel="1" x14ac:dyDescent="0.25">
      <c r="B25" s="19" t="s">
        <v>21</v>
      </c>
      <c r="C25" s="20"/>
      <c r="D25" s="21"/>
    </row>
    <row r="26" spans="2:13" ht="15" hidden="1" customHeight="1" outlineLevel="1" x14ac:dyDescent="0.25">
      <c r="B26" s="1" t="s">
        <v>22</v>
      </c>
      <c r="C26" s="8" t="str">
        <f>_xll.VIEW((db_name&amp;":sys_application"),"!","!")</f>
        <v>finance_geus:sys_application:12642171961661609659</v>
      </c>
      <c r="D26" s="8"/>
    </row>
    <row r="27" spans="2:13" ht="15" hidden="1" customHeight="1" outlineLevel="1" x14ac:dyDescent="0.25">
      <c r="B27" s="13" t="s">
        <v>23</v>
      </c>
      <c r="C27" s="14" t="s">
        <v>24</v>
      </c>
      <c r="D27" s="14" t="s">
        <v>25</v>
      </c>
      <c r="E27" s="14" t="s">
        <v>26</v>
      </c>
      <c r="F27" s="14" t="s">
        <v>27</v>
      </c>
      <c r="G27" s="14" t="s">
        <v>28</v>
      </c>
      <c r="H27" s="14" t="s">
        <v>29</v>
      </c>
    </row>
    <row r="28" spans="2:13" ht="15" hidden="1" customHeight="1" outlineLevel="1" x14ac:dyDescent="0.25">
      <c r="B28" s="1" t="s">
        <v>30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  <c r="M28" t="s">
        <v>25</v>
      </c>
    </row>
    <row r="29" spans="2:13" ht="15" hidden="1" customHeight="1" outlineLevel="1" x14ac:dyDescent="0.25">
      <c r="B29" s="1" t="s">
        <v>31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  <c r="M29" t="s">
        <v>26</v>
      </c>
    </row>
    <row r="30" spans="2:13" ht="15" hidden="1" customHeight="1" outlineLevel="1" x14ac:dyDescent="0.25">
      <c r="B30" s="1" t="s">
        <v>32</v>
      </c>
      <c r="C30" s="1" t="str">
        <f ca="1">_xll.DBR($C$26,$B30,C$27)</f>
        <v>RECALC_0_225_</v>
      </c>
      <c r="D30" s="1" t="str">
        <f ca="1">_xll.DBR($C$26,$B30,D$27)</f>
        <v>RECALC_0_224_</v>
      </c>
      <c r="E30" s="1" t="str">
        <f ca="1">_xll.DBR($C$26,$B30,E$27)</f>
        <v>RECALC_0_223_</v>
      </c>
      <c r="F30" s="1" t="str">
        <f ca="1">_xll.DBR($C$26,$B30,F$27)</f>
        <v>RECALC_0_222_</v>
      </c>
      <c r="G30" s="1" t="str">
        <f ca="1">_xll.DBR($C$26,$B30,G$27)</f>
        <v>RECALC_0_221_</v>
      </c>
      <c r="H30" s="1" t="str">
        <f ca="1">_xll.DBR($C$26,$B30,H$27)</f>
        <v>RECALC_0_220_</v>
      </c>
      <c r="M30" t="s">
        <v>27</v>
      </c>
    </row>
    <row r="31" spans="2:13" ht="15" hidden="1" customHeight="1" outlineLevel="1" x14ac:dyDescent="0.25">
      <c r="B31" s="1" t="s">
        <v>33</v>
      </c>
      <c r="C31" s="1" t="str">
        <f ca="1">_xll.DBR($C$26,$B31,C$27)</f>
        <v>RECALC_0_959_</v>
      </c>
      <c r="D31" s="1" t="str">
        <f ca="1">_xll.DBR($C$26,$B31,D$27)</f>
        <v>RECALC_0_958_</v>
      </c>
      <c r="E31" s="1" t="str">
        <f ca="1">_xll.DBR($C$26,$B31,E$27)</f>
        <v>RECALC_0_957_</v>
      </c>
      <c r="F31" s="1" t="str">
        <f ca="1">_xll.DBR($C$26,$B31,F$27)</f>
        <v>RECALC_0_956_</v>
      </c>
      <c r="G31" s="1" t="str">
        <f ca="1">_xll.DBR($C$26,$B31,G$27)</f>
        <v>RECALC_0_955_</v>
      </c>
      <c r="H31" s="1" t="str">
        <f ca="1">_xll.DBR($C$26,$B31,H$27)</f>
        <v>RECALC_0_954_</v>
      </c>
      <c r="M31" t="s">
        <v>28</v>
      </c>
    </row>
    <row r="32" spans="2:13" ht="15" hidden="1" customHeight="1" outlineLevel="1" x14ac:dyDescent="0.25">
      <c r="B32" s="1" t="s">
        <v>34</v>
      </c>
      <c r="C32" s="1" t="str">
        <f ca="1">_xll.DBR($C$26,$B32,C$27)</f>
        <v>RECALC_0_1008_</v>
      </c>
      <c r="D32" s="1" t="str">
        <f ca="1">_xll.DBR($C$26,$B32,D$27)</f>
        <v>RECALC_0_1007_</v>
      </c>
      <c r="E32" s="1" t="str">
        <f ca="1">_xll.DBR($C$26,$B32,E$27)</f>
        <v>RECALC_0_1006_</v>
      </c>
      <c r="F32" s="1" t="str">
        <f ca="1">_xll.DBR($C$26,$B32,F$27)</f>
        <v>RECALC_0_1005_</v>
      </c>
      <c r="G32" s="1" t="str">
        <f ca="1">_xll.DBR($C$26,$B32,G$27)</f>
        <v>RECALC_0_1004_</v>
      </c>
      <c r="H32" s="1" t="str">
        <f ca="1">_xll.DBR($C$26,$B32,H$27)</f>
        <v>RECALC_0_1003_</v>
      </c>
      <c r="M32" t="s">
        <v>29</v>
      </c>
    </row>
    <row r="33" spans="2:13" ht="15" hidden="1" customHeight="1" outlineLevel="1" x14ac:dyDescent="0.25">
      <c r="B33" s="1" t="s">
        <v>35</v>
      </c>
      <c r="C33" s="1" t="str">
        <f ca="1">_xll.DBR($C$26,$B33,C$27)</f>
        <v>RECALC_0_875_</v>
      </c>
      <c r="D33" s="1" t="str">
        <f ca="1">_xll.DBR($C$26,$B33,D$27)</f>
        <v>RECALC_0_874_</v>
      </c>
      <c r="E33" s="1" t="str">
        <f ca="1">_xll.DBR($C$26,$B33,E$27)</f>
        <v>RECALC_0_873_</v>
      </c>
      <c r="F33" s="1" t="str">
        <f ca="1">_xll.DBR($C$26,$B33,F$27)</f>
        <v>RECALC_0_872_</v>
      </c>
      <c r="G33" s="1" t="str">
        <f ca="1">_xll.DBR($C$26,$B33,G$27)</f>
        <v>RECALC_0_871_</v>
      </c>
      <c r="H33" s="1" t="str">
        <f ca="1">_xll.DBR($C$26,$B33,H$27)</f>
        <v>RECALC_0_870_</v>
      </c>
      <c r="M33" t="s">
        <v>36</v>
      </c>
    </row>
    <row r="34" spans="2:13" ht="15" hidden="1" customHeight="1" outlineLevel="1" x14ac:dyDescent="0.25">
      <c r="B34" s="1" t="s">
        <v>37</v>
      </c>
      <c r="C34" s="1" t="str">
        <f ca="1">_xll.DBR($C$26,$B34,C$27)</f>
        <v>RECALC_0_71_</v>
      </c>
      <c r="D34" s="1" t="str">
        <f ca="1">_xll.DBR($C$26,$B34,D$27)</f>
        <v>RECALC_0_70_</v>
      </c>
      <c r="E34" s="1" t="str">
        <f ca="1">_xll.DBR($C$26,$B34,E$27)</f>
        <v>RECALC_0_69_</v>
      </c>
      <c r="F34" s="1" t="str">
        <f ca="1">_xll.DBR($C$26,$B34,F$27)</f>
        <v>RECALC_0_68_</v>
      </c>
      <c r="G34" s="1" t="str">
        <f ca="1">_xll.DBR($C$26,$B34,G$27)</f>
        <v>RECALC_0_67_</v>
      </c>
      <c r="H34" s="1" t="str">
        <f ca="1">_xll.DBR($C$26,$B34,H$27)</f>
        <v>RECALC_0_66_</v>
      </c>
    </row>
    <row r="35" spans="2:13" ht="15" hidden="1" customHeight="1" outlineLevel="1" x14ac:dyDescent="0.25">
      <c r="B35" s="1" t="s">
        <v>38</v>
      </c>
      <c r="C35" s="1" t="str">
        <f ca="1">_xll.DBR($C$26,$B35,C$27)</f>
        <v>RECALC_0_65_</v>
      </c>
      <c r="D35" s="1" t="str">
        <f ca="1">_xll.DBR($C$26,$B35,D$27)</f>
        <v>RECALC_0_64_</v>
      </c>
      <c r="E35" s="1" t="str">
        <f ca="1">_xll.DBR($C$26,$B35,E$27)</f>
        <v>RECALC_0_63_</v>
      </c>
      <c r="F35" s="1" t="str">
        <f ca="1">_xll.DBR($C$26,$B35,F$27)</f>
        <v>RECALC_0_62_</v>
      </c>
      <c r="G35" s="1" t="str">
        <f ca="1">_xll.DBR($C$26,$B35,G$27)</f>
        <v>RECALC_0_61_</v>
      </c>
      <c r="H35" s="1" t="str">
        <f ca="1">_xll.DBR($C$26,$B35,H$27)</f>
        <v>RECALC_0_60_</v>
      </c>
    </row>
    <row r="36" spans="2:13" ht="15" hidden="1" customHeight="1" outlineLevel="1" x14ac:dyDescent="0.25">
      <c r="B36" s="1" t="s">
        <v>39</v>
      </c>
      <c r="C36" s="1" t="str">
        <f ca="1">_xll.DBR($C$26,$B36,C$27)</f>
        <v>RECALC_0_540_</v>
      </c>
      <c r="D36" s="1" t="str">
        <f ca="1">_xll.DBR($C$26,$B36,D$27)</f>
        <v>RECALC_0_539_</v>
      </c>
      <c r="E36" s="1" t="str">
        <f ca="1">_xll.DBR($C$26,$B36,E$27)</f>
        <v>RECALC_0_538_</v>
      </c>
      <c r="F36" s="1" t="str">
        <f ca="1">_xll.DBR($C$26,$B36,F$27)</f>
        <v>RECALC_0_537_</v>
      </c>
      <c r="G36" s="1" t="str">
        <f ca="1">_xll.DBR($C$26,$B36,G$27)</f>
        <v>RECALC_0_536_</v>
      </c>
      <c r="H36" s="1" t="str">
        <f ca="1">_xll.DBR($C$26,$B36,H$27)</f>
        <v>RECALC_0_535_</v>
      </c>
    </row>
    <row r="37" spans="2:13" ht="15" hidden="1" customHeight="1" outlineLevel="1" x14ac:dyDescent="0.25">
      <c r="B37" s="1" t="s">
        <v>53</v>
      </c>
      <c r="C37" s="1" t="str">
        <f ca="1">_xll.DBR($C$26,$B37,C$27)</f>
        <v>RECALC_0_3273_</v>
      </c>
      <c r="D37" s="1" t="str">
        <f ca="1">_xll.DBR($C$26,$B37,D$27)</f>
        <v>RECALC_0_3272_</v>
      </c>
      <c r="E37" s="1" t="str">
        <f ca="1">_xll.DBR($C$26,$B37,E$27)</f>
        <v>RECALC_0_3271_</v>
      </c>
      <c r="F37" s="1" t="str">
        <f ca="1">_xll.DBR($C$26,$B37,F$27)</f>
        <v>RECALC_0_3270_</v>
      </c>
      <c r="G37" s="1" t="str">
        <f ca="1">_xll.DBR($C$26,$B37,G$27)</f>
        <v>RECALC_0_3269_</v>
      </c>
      <c r="H37" s="1" t="str">
        <f ca="1">_xll.DBR($C$26,$B37,H$27)</f>
        <v>RECALC_0_3268_</v>
      </c>
    </row>
    <row r="38" spans="2:13" ht="15" hidden="1" customHeight="1" outlineLevel="1" x14ac:dyDescent="0.25"/>
    <row r="39" spans="2:13" ht="15" hidden="1" customHeight="1" outlineLevel="1" x14ac:dyDescent="0.25">
      <c r="B39" s="1" t="s">
        <v>40</v>
      </c>
      <c r="C39" s="1" t="str">
        <f ca="1">_xll.DBR($C$26,$B39,C$27)</f>
        <v>RECALC_0_1944_</v>
      </c>
      <c r="D39" s="1" t="str">
        <f ca="1">_xll.DBR($C$26,$B39,D$27)</f>
        <v>RECALC_0_1948_</v>
      </c>
      <c r="E39" s="1" t="str">
        <f ca="1">_xll.DBR($C$26,$B39,E$27)</f>
        <v>RECALC_0_1946_</v>
      </c>
      <c r="F39" s="1" t="str">
        <f ca="1">_xll.DBR($C$26,$B39,F$27)</f>
        <v>RECALC_0_1945_</v>
      </c>
      <c r="G39" s="1" t="str">
        <f ca="1">_xll.DBR($C$26,$B39,G$27)</f>
        <v>RECALC_0_1943_</v>
      </c>
      <c r="H39" s="1" t="str">
        <f ca="1">_xll.DBR($C$26,$B39,H$27)</f>
        <v>RECALC_0_1947_</v>
      </c>
    </row>
    <row r="40" spans="2:13" ht="15" hidden="1" customHeight="1" outlineLevel="1" x14ac:dyDescent="0.25">
      <c r="B40" s="1" t="s">
        <v>41</v>
      </c>
      <c r="C40" s="1" t="str">
        <f ca="1">_xll.DBR($C$26,$B40,C$27)</f>
        <v>RECALC_0_219_</v>
      </c>
      <c r="D40" s="1" t="str">
        <f ca="1">_xll.DBR($C$26,$B40,D$27)</f>
        <v>RECALC_0_218_</v>
      </c>
      <c r="E40" s="1" t="str">
        <f ca="1">_xll.DBR($C$26,$B40,E$27)</f>
        <v>RECALC_0_217_</v>
      </c>
      <c r="F40" s="1" t="str">
        <f ca="1">_xll.DBR($C$26,$B40,F$27)</f>
        <v>RECALC_0_216_</v>
      </c>
      <c r="G40" s="1" t="str">
        <f ca="1">_xll.DBR($C$26,$B40,G$27)</f>
        <v>RECALC_0_215_</v>
      </c>
      <c r="H40" s="1" t="str">
        <f ca="1">_xll.DBR($C$26,$B40,H$27)</f>
        <v>RECALC_0_214_</v>
      </c>
    </row>
    <row r="41" spans="2:13" ht="15" hidden="1" customHeight="1" outlineLevel="1" x14ac:dyDescent="0.25">
      <c r="B41" s="1" t="s">
        <v>42</v>
      </c>
      <c r="C41" s="1" t="str">
        <f ca="1">_xll.DBR($C$26,$B41,C$27)</f>
        <v>RECALC_0_201_</v>
      </c>
      <c r="D41" s="1" t="str">
        <f ca="1">_xll.DBR($C$26,$B41,D$27)</f>
        <v>RECALC_0_200_</v>
      </c>
      <c r="E41" s="1" t="str">
        <f ca="1">_xll.DBR($C$26,$B41,E$27)</f>
        <v>RECALC_0_199_</v>
      </c>
      <c r="F41" s="1" t="str">
        <f ca="1">_xll.DBR($C$26,$B41,F$27)</f>
        <v>RECALC_0_198_</v>
      </c>
      <c r="G41" s="1" t="str">
        <f ca="1">_xll.DBR($C$26,$B41,G$27)</f>
        <v>RECALC_0_197_</v>
      </c>
      <c r="H41" s="1" t="str">
        <f ca="1">_xll.DBR($C$26,$B41,H$27)</f>
        <v>RECALC_0_196_</v>
      </c>
    </row>
    <row r="42" spans="2:13" ht="15" hidden="1" customHeight="1" outlineLevel="1" x14ac:dyDescent="0.25">
      <c r="B42" s="1" t="s">
        <v>43</v>
      </c>
      <c r="C42" s="1" t="str">
        <f ca="1">_xll.DBR($C$26,$B42,C$27)</f>
        <v>RECALC_0_3279_</v>
      </c>
      <c r="D42" s="1" t="str">
        <f ca="1">_xll.DBR($C$26,$B42,D$27)</f>
        <v>RECALC_0_3278_</v>
      </c>
      <c r="E42" s="1" t="str">
        <f ca="1">_xll.DBR($C$26,$B42,E$27)</f>
        <v>RECALC_0_3277_</v>
      </c>
      <c r="F42" s="1" t="str">
        <f ca="1">_xll.DBR($C$26,$B42,F$27)</f>
        <v>RECALC_0_3276_</v>
      </c>
      <c r="G42" s="1" t="str">
        <f ca="1">_xll.DBR($C$26,$B42,G$27)</f>
        <v>RECALC_0_3275_</v>
      </c>
      <c r="H42" s="1" t="str">
        <f ca="1">_xll.DBR($C$26,$B42,H$27)</f>
        <v>RECALC_0_3274_</v>
      </c>
    </row>
    <row r="43" spans="2:13" ht="15" hidden="1" customHeight="1" outlineLevel="1" x14ac:dyDescent="0.25">
      <c r="B43" s="1" t="s">
        <v>44</v>
      </c>
      <c r="C43" s="1" t="str">
        <f ca="1">_xll.DBR($C$26,$B43,C$27)</f>
        <v>RECALC_0_385_</v>
      </c>
      <c r="D43" s="1" t="str">
        <f ca="1">_xll.DBR($C$26,$B43,D$27)</f>
        <v>RECALC_0_384_</v>
      </c>
      <c r="E43" s="1" t="str">
        <f ca="1">_xll.DBR($C$26,$B43,E$27)</f>
        <v>RECALC_0_383_</v>
      </c>
      <c r="F43" s="1" t="str">
        <f ca="1">_xll.DBR($C$26,$B43,F$27)</f>
        <v>RECALC_0_382_</v>
      </c>
      <c r="G43" s="1" t="str">
        <f ca="1">_xll.DBR($C$26,$B43,G$27)</f>
        <v>RECALC_0_381_</v>
      </c>
      <c r="H43" s="1" t="str">
        <f ca="1">_xll.DBR($C$26,$B43,H$27)</f>
        <v>RECALC_0_380_</v>
      </c>
    </row>
    <row r="44" spans="2:13" ht="15" hidden="1" customHeight="1" outlineLevel="1" x14ac:dyDescent="0.25">
      <c r="B44" s="1" t="s">
        <v>45</v>
      </c>
      <c r="C44" s="1" t="str">
        <f ca="1">_xll.DBR($C$26,$B44,C$27)</f>
        <v>RECALC_0_373_</v>
      </c>
      <c r="D44" s="1" t="str">
        <f ca="1">_xll.DBR($C$26,$B44,D$27)</f>
        <v>RECALC_0_372_</v>
      </c>
      <c r="E44" s="1" t="str">
        <f ca="1">_xll.DBR($C$26,$B44,E$27)</f>
        <v>RECALC_0_371_</v>
      </c>
      <c r="F44" s="1" t="str">
        <f ca="1">_xll.DBR($C$26,$B44,F$27)</f>
        <v>RECALC_0_370_</v>
      </c>
      <c r="G44" s="1" t="str">
        <f ca="1">_xll.DBR($C$26,$B44,G$27)</f>
        <v>RECALC_0_369_</v>
      </c>
      <c r="H44" s="1" t="str">
        <f ca="1">_xll.DBR($C$26,$B44,H$27)</f>
        <v>RECALC_0_368_</v>
      </c>
    </row>
    <row r="45" spans="2:13" ht="15" hidden="1" customHeight="1" outlineLevel="1" x14ac:dyDescent="0.25">
      <c r="B45" s="1" t="s">
        <v>46</v>
      </c>
      <c r="C45" s="1" t="str">
        <f ca="1">_xll.DBR($C$26,$B45,C$27)</f>
        <v>RECALC_0_379_</v>
      </c>
      <c r="D45" s="1" t="str">
        <f ca="1">_xll.DBR($C$26,$B45,D$27)</f>
        <v>RECALC_0_378_</v>
      </c>
      <c r="E45" s="1" t="str">
        <f ca="1">_xll.DBR($C$26,$B45,E$27)</f>
        <v>RECALC_0_377_</v>
      </c>
      <c r="F45" s="1" t="str">
        <f ca="1">_xll.DBR($C$26,$B45,F$27)</f>
        <v>RECALC_0_376_</v>
      </c>
      <c r="G45" s="1" t="str">
        <f ca="1">_xll.DBR($C$26,$B45,G$27)</f>
        <v>RECALC_0_375_</v>
      </c>
      <c r="H45" s="1" t="str">
        <f ca="1">_xll.DBR($C$26,$B45,H$27)</f>
        <v>RECALC_0_374_</v>
      </c>
    </row>
    <row r="46" spans="2:13" ht="15" hidden="1" customHeight="1" outlineLevel="1" x14ac:dyDescent="0.25">
      <c r="B46" s="1" t="s">
        <v>47</v>
      </c>
      <c r="C46" s="1" t="str">
        <f ca="1">_xll.DBR($C$26,$B46,C$27)</f>
        <v>RECALC_0_3291_</v>
      </c>
      <c r="D46" s="1" t="str">
        <f ca="1">_xll.DBR($C$26,$B46,D$27)</f>
        <v>RECALC_0_3290_</v>
      </c>
      <c r="E46" s="1" t="str">
        <f ca="1">_xll.DBR($C$26,$B46,E$27)</f>
        <v>RECALC_0_3289_</v>
      </c>
      <c r="F46" s="1" t="str">
        <f ca="1">_xll.DBR($C$26,$B46,F$27)</f>
        <v>RECALC_0_3288_</v>
      </c>
      <c r="G46" s="1" t="str">
        <f ca="1">_xll.DBR($C$26,$B46,G$27)</f>
        <v>RECALC_0_3287_</v>
      </c>
      <c r="H46" s="1" t="str">
        <f ca="1">_xll.DBR($C$26,$B46,H$27)</f>
        <v>RECALC_0_3286_</v>
      </c>
    </row>
    <row r="47" spans="2:13" ht="15" hidden="1" customHeight="1" outlineLevel="1" x14ac:dyDescent="0.25">
      <c r="B47" s="8" t="s">
        <v>48</v>
      </c>
      <c r="C47" s="8" t="str">
        <f ca="1">_xll.DBR($C$26,$B47,C$27)</f>
        <v>RECALC_0_355_</v>
      </c>
      <c r="D47" s="8" t="str">
        <f ca="1">_xll.DBR($C$26,$B47,D$27)</f>
        <v>RECALC_0_354_</v>
      </c>
      <c r="E47" s="8" t="str">
        <f ca="1">_xll.DBR($C$26,$B47,E$27)</f>
        <v>RECALC_0_353_</v>
      </c>
      <c r="F47" s="8" t="str">
        <f ca="1">_xll.DBR($C$26,$B47,F$27)</f>
        <v>RECALC_0_352_</v>
      </c>
      <c r="G47" s="8" t="str">
        <f ca="1">_xll.DBR($C$26,$B47,G$27)</f>
        <v>RECALC_0_351_</v>
      </c>
      <c r="H47" s="8" t="str">
        <f ca="1">_xll.DBR($C$26,$B47,H$27)</f>
        <v>RECALC_0_350_</v>
      </c>
    </row>
    <row r="48" spans="2:13" ht="15" hidden="1" customHeight="1" outlineLevel="1" x14ac:dyDescent="0.25">
      <c r="B48" s="1" t="s">
        <v>54</v>
      </c>
      <c r="C48" s="1" t="str">
        <f ca="1">_xll.DBR($C$26,$B48,C$27)</f>
        <v>RECALC_0_2397_</v>
      </c>
      <c r="D48" s="1" t="str">
        <f ca="1">_xll.DBR($C$26,$B48,D$27)</f>
        <v>RECALC_0_2392_</v>
      </c>
      <c r="E48" s="1" t="str">
        <f ca="1">_xll.DBR($C$26,$B48,E$27)</f>
        <v>RECALC_0_2396_</v>
      </c>
      <c r="F48" s="1" t="str">
        <f ca="1">_xll.DBR($C$26,$B48,F$27)</f>
        <v>RECALC_0_2395_</v>
      </c>
      <c r="G48" s="1" t="str">
        <f ca="1">_xll.DBR($C$26,$B48,G$27)</f>
        <v>RECALC_0_2394_</v>
      </c>
      <c r="H48" s="1" t="str">
        <f ca="1">_xll.DBR($C$26,$B48,H$27)</f>
        <v>RECALC_0_2393_</v>
      </c>
    </row>
    <row r="49" spans="10:31" ht="15" hidden="1" customHeight="1" outlineLevel="1" x14ac:dyDescent="0.25"/>
    <row r="50" spans="10:31" ht="15" hidden="1" customHeight="1" outlineLevel="1" x14ac:dyDescent="0.25"/>
    <row r="51" spans="10:31" ht="39.75" customHeight="1" collapsed="1" x14ac:dyDescent="0.25"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5" t="str">
        <f ca="1">("Welcome "&amp;$C$6)</f>
        <v>Welcome RECALC_1_232_</v>
      </c>
    </row>
    <row r="52" spans="10:31" ht="4.5" customHeight="1" x14ac:dyDescent="0.25"/>
    <row r="53" spans="10:31" ht="30" customHeight="1" x14ac:dyDescent="0.25">
      <c r="J53" s="4"/>
      <c r="K53" s="22" t="str">
        <f ca="1">$C$15</f>
        <v>The current scenario is "RECALC_0_230_" for the "RECALC_0_231_" Headline Year. Archive was done for "RECALC_0_484_" on scenario "RECALC_0_483_".</v>
      </c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4"/>
      <c r="W53" s="4"/>
    </row>
    <row r="54" spans="10:31" ht="4.5" customHeight="1" x14ac:dyDescent="0.25"/>
    <row r="58" spans="10:31" ht="24.75" customHeight="1" x14ac:dyDescent="0.25">
      <c r="J58" s="5"/>
      <c r="K58" s="5"/>
      <c r="L58" s="17" t="s">
        <v>49</v>
      </c>
      <c r="M58" s="17"/>
      <c r="N58" s="17"/>
      <c r="O58" s="17"/>
      <c r="P58" s="3"/>
      <c r="R58" s="6"/>
      <c r="S58" s="18" t="s">
        <v>50</v>
      </c>
      <c r="T58" s="18"/>
      <c r="U58" s="18"/>
      <c r="V58" s="18"/>
      <c r="W58" s="6"/>
    </row>
    <row r="59" spans="10:31" ht="4.5" customHeight="1" x14ac:dyDescent="0.25">
      <c r="J59" s="7"/>
      <c r="K59" s="7"/>
      <c r="L59" s="7"/>
      <c r="M59" s="7"/>
      <c r="N59" s="7"/>
      <c r="O59" s="7"/>
      <c r="P59" s="7"/>
      <c r="R59" s="7"/>
      <c r="S59" s="7"/>
      <c r="T59" s="7"/>
      <c r="U59" s="7"/>
      <c r="V59" s="7"/>
      <c r="W59" s="7"/>
    </row>
    <row r="60" spans="10:31" ht="19.5" customHeight="1" x14ac:dyDescent="0.25">
      <c r="J60" s="7"/>
      <c r="K60" s="7"/>
      <c r="L60" s="7"/>
      <c r="M60" s="7"/>
      <c r="N60" s="7"/>
      <c r="O60" s="7"/>
      <c r="P60" s="7"/>
      <c r="R60" s="7"/>
      <c r="S60" s="7"/>
      <c r="T60" s="7"/>
      <c r="U60" s="7"/>
      <c r="V60" s="7"/>
      <c r="W60" s="7"/>
    </row>
    <row r="61" spans="10:31" ht="4.5" customHeight="1" x14ac:dyDescent="0.25">
      <c r="J61" s="7"/>
      <c r="K61" s="7"/>
      <c r="L61" s="7"/>
      <c r="M61" s="7"/>
      <c r="N61" s="7"/>
      <c r="O61" s="7"/>
      <c r="P61" s="7"/>
      <c r="R61" s="7"/>
      <c r="S61" s="7"/>
      <c r="T61" s="7"/>
      <c r="U61" s="7"/>
      <c r="V61" s="7"/>
      <c r="W61" s="7"/>
    </row>
    <row r="62" spans="10:31" ht="19.5" customHeight="1" x14ac:dyDescent="0.25">
      <c r="J62" s="7"/>
      <c r="K62" s="7"/>
      <c r="L62" s="7"/>
      <c r="M62" s="7"/>
      <c r="N62" s="7"/>
      <c r="O62" s="7"/>
      <c r="P62" s="7"/>
      <c r="R62" s="7"/>
      <c r="S62" s="7"/>
      <c r="T62" s="7"/>
      <c r="U62" s="7"/>
      <c r="V62" s="7"/>
      <c r="W62" s="7"/>
      <c r="AE62" s="9"/>
    </row>
    <row r="63" spans="10:31" ht="4.5" customHeight="1" x14ac:dyDescent="0.25">
      <c r="J63" s="7"/>
      <c r="K63" s="7"/>
      <c r="L63" s="7"/>
      <c r="M63" s="7"/>
      <c r="N63" s="7"/>
      <c r="O63" s="7"/>
      <c r="P63" s="7"/>
      <c r="R63" s="7"/>
      <c r="S63" s="7"/>
      <c r="T63" s="7"/>
      <c r="U63" s="7"/>
      <c r="V63" s="7"/>
      <c r="W63" s="7"/>
    </row>
    <row r="64" spans="10:31" ht="19.5" customHeight="1" x14ac:dyDescent="0.25">
      <c r="J64" s="7"/>
      <c r="K64" s="7"/>
      <c r="L64" s="7"/>
      <c r="M64" s="7"/>
      <c r="N64" s="7"/>
      <c r="O64" s="7"/>
      <c r="P64" s="7"/>
      <c r="R64" s="7"/>
      <c r="S64" s="7"/>
      <c r="T64" s="7"/>
      <c r="U64" s="7"/>
      <c r="V64" s="7"/>
      <c r="W64" s="7"/>
      <c r="AE64" s="9"/>
    </row>
    <row r="65" spans="10:31" ht="4.5" customHeight="1" x14ac:dyDescent="0.25">
      <c r="J65" s="7"/>
      <c r="K65" s="7"/>
      <c r="L65" s="7"/>
      <c r="M65" s="7"/>
      <c r="N65" s="7"/>
      <c r="O65" s="7"/>
      <c r="P65" s="7"/>
      <c r="R65" s="7"/>
      <c r="S65" s="7"/>
      <c r="T65" s="7"/>
      <c r="U65" s="7"/>
      <c r="V65" s="7"/>
      <c r="W65" s="7"/>
    </row>
    <row r="66" spans="10:31" ht="19.5" customHeight="1" x14ac:dyDescent="0.25">
      <c r="J66" s="7"/>
      <c r="K66" s="7"/>
      <c r="L66" s="7"/>
      <c r="M66" s="7"/>
      <c r="N66" s="7"/>
      <c r="O66" s="7"/>
      <c r="P66" s="7"/>
      <c r="R66" s="7"/>
      <c r="S66" s="7"/>
      <c r="T66" s="7"/>
      <c r="U66" s="7"/>
      <c r="V66" s="7"/>
      <c r="W66" s="7"/>
      <c r="AE66" s="9"/>
    </row>
    <row r="67" spans="10:31" ht="15" customHeight="1" x14ac:dyDescent="0.25">
      <c r="J67" s="7"/>
      <c r="K67" s="7"/>
      <c r="L67" s="7"/>
      <c r="M67" s="7"/>
      <c r="N67" s="7"/>
      <c r="O67" s="7"/>
      <c r="P67" s="7"/>
      <c r="R67" s="7"/>
      <c r="S67" s="7"/>
      <c r="T67" s="7"/>
      <c r="U67" s="7"/>
      <c r="V67" s="7"/>
      <c r="W67" s="7"/>
    </row>
    <row r="68" spans="10:31" ht="15" customHeight="1" x14ac:dyDescent="0.25">
      <c r="J68" s="7"/>
      <c r="K68" s="7"/>
      <c r="L68" s="7"/>
      <c r="M68" s="7"/>
      <c r="N68" s="7"/>
      <c r="O68" s="7"/>
      <c r="P68" s="7"/>
      <c r="R68" s="7"/>
      <c r="S68" s="7"/>
      <c r="T68" s="7"/>
      <c r="U68" s="7"/>
      <c r="V68" s="7"/>
      <c r="W68" s="7"/>
    </row>
    <row r="69" spans="10:31" ht="4.5" customHeight="1" x14ac:dyDescent="0.25">
      <c r="J69" s="7"/>
      <c r="K69" s="7"/>
      <c r="L69" s="7"/>
      <c r="M69" s="7"/>
      <c r="N69" s="7"/>
      <c r="O69" s="7"/>
      <c r="P69" s="7"/>
      <c r="R69" s="7"/>
      <c r="S69" s="7"/>
      <c r="T69" s="7"/>
      <c r="U69" s="7"/>
      <c r="V69" s="7"/>
      <c r="W69" s="7"/>
    </row>
    <row r="70" spans="10:31" ht="15" customHeight="1" x14ac:dyDescent="0.25">
      <c r="J70" s="7"/>
      <c r="K70" s="7"/>
      <c r="L70" s="7"/>
      <c r="M70" s="7"/>
      <c r="N70" s="7"/>
      <c r="O70" s="7"/>
      <c r="P70" s="7"/>
      <c r="R70" s="7"/>
      <c r="S70" s="7"/>
      <c r="T70" s="7"/>
      <c r="U70" s="7"/>
      <c r="V70" s="7"/>
      <c r="W70" s="7"/>
    </row>
    <row r="71" spans="10:31" ht="4.5" customHeight="1" x14ac:dyDescent="0.25">
      <c r="J71" s="7"/>
      <c r="K71" s="7"/>
      <c r="L71" s="7"/>
      <c r="M71" s="7"/>
      <c r="N71" s="7"/>
      <c r="O71" s="7"/>
      <c r="P71" s="7"/>
      <c r="R71" s="7"/>
      <c r="S71" s="7"/>
      <c r="T71" s="7"/>
      <c r="U71" s="7"/>
      <c r="V71" s="7"/>
      <c r="W71" s="7"/>
    </row>
    <row r="72" spans="10:31" ht="15" customHeight="1" x14ac:dyDescent="0.25">
      <c r="J72" s="7"/>
      <c r="K72" s="7"/>
      <c r="L72" s="7"/>
      <c r="M72" s="7"/>
      <c r="N72" s="7"/>
      <c r="O72" s="7"/>
      <c r="P72" s="7"/>
      <c r="R72" s="7"/>
      <c r="S72" s="7"/>
      <c r="T72" s="7"/>
      <c r="U72" s="7"/>
      <c r="V72" s="7"/>
      <c r="W72" s="7"/>
    </row>
    <row r="73" spans="10:31" ht="4.5" customHeight="1" x14ac:dyDescent="0.25">
      <c r="J73" s="7"/>
      <c r="K73" s="7"/>
      <c r="L73" s="7"/>
      <c r="M73" s="7"/>
      <c r="N73" s="7"/>
      <c r="O73" s="7"/>
      <c r="P73" s="7"/>
      <c r="R73" s="7"/>
      <c r="S73" s="7"/>
      <c r="T73" s="7"/>
      <c r="U73" s="7"/>
      <c r="V73" s="7"/>
      <c r="W73" s="7"/>
    </row>
    <row r="74" spans="10:31" ht="15" customHeight="1" x14ac:dyDescent="0.25">
      <c r="J74" s="7"/>
      <c r="K74" s="7"/>
      <c r="L74" s="7"/>
      <c r="M74" s="7"/>
      <c r="N74" s="7"/>
      <c r="O74" s="7"/>
      <c r="P74" s="7"/>
      <c r="R74" s="7"/>
      <c r="S74" s="7"/>
      <c r="T74" s="7"/>
      <c r="U74" s="7"/>
      <c r="V74" s="7"/>
      <c r="W74" s="7"/>
    </row>
    <row r="75" spans="10:31" ht="4.5" customHeight="1" x14ac:dyDescent="0.25">
      <c r="J75" s="7"/>
      <c r="K75" s="7"/>
      <c r="L75" s="7"/>
      <c r="M75" s="7"/>
      <c r="N75" s="7"/>
      <c r="O75" s="7"/>
      <c r="P75" s="7"/>
      <c r="R75" s="7"/>
      <c r="S75" s="7"/>
      <c r="T75" s="7"/>
      <c r="U75" s="7"/>
      <c r="V75" s="7"/>
      <c r="W75" s="7"/>
    </row>
    <row r="76" spans="10:31" ht="15" customHeight="1" x14ac:dyDescent="0.25">
      <c r="J76" s="7"/>
      <c r="K76" s="7"/>
      <c r="L76" s="7"/>
      <c r="M76" s="7"/>
      <c r="N76" s="7"/>
      <c r="O76" s="7"/>
      <c r="P76" s="7"/>
      <c r="R76" s="7"/>
      <c r="S76" s="7"/>
      <c r="T76" s="7"/>
      <c r="U76" s="7"/>
      <c r="V76" s="7"/>
      <c r="W76" s="7"/>
    </row>
    <row r="77" spans="10:31" ht="4.5" customHeight="1" x14ac:dyDescent="0.25">
      <c r="J77" s="7"/>
      <c r="K77" s="7"/>
      <c r="L77" s="7"/>
      <c r="M77" s="7"/>
      <c r="N77" s="7"/>
      <c r="O77" s="7"/>
      <c r="P77" s="7"/>
      <c r="R77" s="7"/>
      <c r="S77" s="7"/>
      <c r="T77" s="7"/>
      <c r="U77" s="7"/>
      <c r="V77" s="7"/>
      <c r="W77" s="7"/>
    </row>
    <row r="78" spans="10:31" ht="15" customHeight="1" x14ac:dyDescent="0.25">
      <c r="J78" s="7"/>
      <c r="K78" s="7"/>
      <c r="L78" s="7"/>
      <c r="M78" s="7"/>
      <c r="N78" s="7"/>
      <c r="O78" s="7"/>
      <c r="P78" s="7"/>
      <c r="R78" s="7"/>
      <c r="S78" s="7"/>
      <c r="T78" s="7"/>
      <c r="U78" s="7"/>
      <c r="V78" s="7"/>
      <c r="W78" s="7"/>
    </row>
    <row r="79" spans="10:31" ht="4.5" customHeight="1" x14ac:dyDescent="0.25">
      <c r="J79" s="7"/>
      <c r="K79" s="7"/>
      <c r="L79" s="7"/>
      <c r="M79" s="7"/>
      <c r="N79" s="7"/>
      <c r="O79" s="7"/>
      <c r="P79" s="7"/>
      <c r="R79" s="7"/>
      <c r="S79" s="7"/>
      <c r="T79" s="7"/>
      <c r="U79" s="7"/>
      <c r="V79" s="7"/>
      <c r="W79" s="7"/>
    </row>
    <row r="80" spans="10:31" ht="15" customHeight="1" x14ac:dyDescent="0.25">
      <c r="J80" s="7"/>
      <c r="K80" s="7"/>
      <c r="L80" s="7"/>
      <c r="M80" s="7"/>
      <c r="N80" s="7"/>
      <c r="O80" s="7"/>
      <c r="P80" s="7"/>
      <c r="R80" s="7"/>
      <c r="S80" s="7"/>
      <c r="T80" s="7"/>
      <c r="U80" s="7"/>
      <c r="V80" s="7"/>
      <c r="W80" s="7"/>
    </row>
    <row r="81" spans="10:23" ht="4.5" customHeight="1" x14ac:dyDescent="0.25">
      <c r="J81" s="7"/>
      <c r="K81" s="7"/>
      <c r="L81" s="7"/>
      <c r="M81" s="7"/>
      <c r="N81" s="7"/>
      <c r="O81" s="7"/>
      <c r="P81" s="7"/>
      <c r="R81" s="7"/>
      <c r="S81" s="7"/>
      <c r="T81" s="7"/>
      <c r="U81" s="7"/>
      <c r="V81" s="7"/>
      <c r="W81" s="7"/>
    </row>
    <row r="82" spans="10:23" ht="15" customHeight="1" x14ac:dyDescent="0.25">
      <c r="J82" s="7"/>
      <c r="K82" s="7"/>
      <c r="L82" s="7"/>
      <c r="M82" s="7"/>
      <c r="N82" s="7"/>
      <c r="O82" s="7"/>
      <c r="P82" s="7"/>
      <c r="R82" s="7"/>
      <c r="S82" s="7"/>
      <c r="T82" s="7"/>
      <c r="U82" s="7"/>
      <c r="V82" s="7"/>
      <c r="W82" s="7"/>
    </row>
    <row r="83" spans="10:23" ht="4.5" customHeight="1" x14ac:dyDescent="0.25">
      <c r="J83" s="7"/>
      <c r="K83" s="7"/>
      <c r="L83" s="7"/>
      <c r="M83" s="7"/>
      <c r="N83" s="7"/>
      <c r="O83" s="7"/>
      <c r="P83" s="7"/>
      <c r="R83" s="7"/>
      <c r="S83" s="7"/>
      <c r="T83" s="7"/>
      <c r="U83" s="7"/>
      <c r="V83" s="7"/>
      <c r="W83" s="7"/>
    </row>
    <row r="84" spans="10:23" ht="15" customHeight="1" x14ac:dyDescent="0.25">
      <c r="J84" s="7"/>
      <c r="K84" s="7"/>
      <c r="L84" s="7"/>
      <c r="M84" s="7"/>
      <c r="N84" s="7"/>
      <c r="O84" s="7"/>
      <c r="P84" s="7"/>
      <c r="R84" s="7"/>
      <c r="S84" s="7"/>
      <c r="T84" s="7"/>
      <c r="U84" s="7"/>
      <c r="V84" s="7"/>
      <c r="W84" s="7"/>
    </row>
    <row r="85" spans="10:23" ht="4.5" customHeight="1" x14ac:dyDescent="0.25">
      <c r="J85" s="7"/>
      <c r="K85" s="7"/>
      <c r="L85" s="7"/>
      <c r="M85" s="7"/>
      <c r="N85" s="7"/>
      <c r="O85" s="7"/>
      <c r="P85" s="7"/>
      <c r="R85" s="7"/>
      <c r="S85" s="7"/>
      <c r="T85" s="7"/>
      <c r="U85" s="7"/>
      <c r="V85" s="7"/>
      <c r="W85" s="7"/>
    </row>
    <row r="86" spans="10:23" ht="15" customHeight="1" x14ac:dyDescent="0.25">
      <c r="J86" s="7"/>
      <c r="K86" s="7"/>
      <c r="L86" s="7"/>
      <c r="M86" s="7"/>
      <c r="N86" s="7"/>
      <c r="O86" s="7"/>
      <c r="P86" s="7"/>
      <c r="R86" s="7"/>
      <c r="S86" s="7"/>
      <c r="T86" s="7"/>
      <c r="U86" s="7"/>
      <c r="V86" s="7"/>
      <c r="W86" s="7"/>
    </row>
    <row r="87" spans="10:23" ht="15" customHeight="1" x14ac:dyDescent="0.25">
      <c r="K87" s="16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8:O58"/>
    <mergeCell ref="S58:V58"/>
    <mergeCell ref="B1:D1"/>
    <mergeCell ref="B9:D9"/>
    <mergeCell ref="B17:D17"/>
    <mergeCell ref="B25:D25"/>
    <mergeCell ref="K53:U53"/>
  </mergeCells>
  <conditionalFormatting sqref="R58:W58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customHeight="1" x14ac:dyDescent="0.25"/>
  <sheetData>
    <row r="1" spans="1:1" ht="15" customHeight="1" x14ac:dyDescent="0.25">
      <c r="A1" t="s">
        <v>51</v>
      </c>
    </row>
    <row r="2" spans="1:1" ht="15" customHeight="1" x14ac:dyDescent="0.25">
      <c r="A2" t="s">
        <v>40</v>
      </c>
    </row>
    <row r="3" spans="1:1" ht="15" customHeight="1" x14ac:dyDescent="0.25">
      <c r="A3" t="s">
        <v>52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TM1BulkProcessCAP</vt:lpstr>
      <vt:lpstr>TM1BulkProcessWB</vt:lpstr>
      <vt:lpstr>TM1BulkProcessWS</vt:lpstr>
      <vt:lpstr>TM1EDCAP</vt:lpstr>
      <vt:lpstr>TM1EDWB</vt:lpstr>
      <vt:lpstr>TM1EDWS</vt:lpstr>
      <vt:lpstr>TM1FBOCAP</vt:lpstr>
      <vt:lpstr>TM1FBOWB</vt:lpstr>
      <vt:lpstr>TM1FBOWS</vt:lpstr>
      <vt:lpstr>TM1FE3CAP</vt:lpstr>
      <vt:lpstr>TM1FE3WB</vt:lpstr>
      <vt:lpstr>TM1FE3WS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TM1IndexWB</vt:lpstr>
      <vt:lpstr>TM1IndexWS</vt:lpstr>
      <vt:lpstr>TM1NewAdj01HeaderCAP</vt:lpstr>
      <vt:lpstr>TM1NewAdj01HeaderWB</vt:lpstr>
      <vt:lpstr>TM1NewAdj01HeaderWS</vt:lpstr>
      <vt:lpstr>TM1NewAdj97UploadCAP</vt:lpstr>
      <vt:lpstr>TM1NewAdj97UploadWB</vt:lpstr>
      <vt:lpstr>TM1NewAdj97UploadWS</vt:lpstr>
      <vt:lpstr>TM1ProgTransferCAP</vt:lpstr>
      <vt:lpstr>TM1ProgTransferWB</vt:lpstr>
      <vt:lpstr>TM1ProgTransferWS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2023-04-03T05:51:28Z</dcterms:created>
  <dcterms:modified xsi:type="dcterms:W3CDTF">2025-08-11T02:59:41Z</dcterms:modified>
  <cp:category/>
  <cp:contentStatus/>
</cp:coreProperties>
</file>