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7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E4A6688-88DE-4EBD-A302-F35BD33EF48F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header" sheetId="1" r:id="rId1"/>
    <sheet name="{AR}01" sheetId="2" state="hidden" r:id="rId2"/>
    <sheet name="{PL}PickLst" sheetId="3" state="hidden" r:id="rId3"/>
  </sheets>
  <definedNames>
    <definedName name="db_name">header!$B$2</definedName>
    <definedName name="Freeze_Here">header!$I$98</definedName>
    <definedName name="psApp">header!$B$16</definedName>
    <definedName name="psControlType">header!$B$79</definedName>
    <definedName name="psDesc">header!$B$84</definedName>
    <definedName name="psFavID">#REF!</definedName>
    <definedName name="psFunc">header!$B$86</definedName>
    <definedName name="psHLYear">header!$B$29</definedName>
    <definedName name="psID">header!$B$31</definedName>
    <definedName name="psItem">header!$B$89</definedName>
    <definedName name="psMeasCode">header!$B$82</definedName>
    <definedName name="psOC">header!$B$85</definedName>
    <definedName name="psProg">header!$B$80</definedName>
    <definedName name="psReason">header!$B$81</definedName>
    <definedName name="psScenario">header!$B$30</definedName>
    <definedName name="psSPP">header!$B$87</definedName>
    <definedName name="psStatus">header!$B$51</definedName>
    <definedName name="psTitle">header!$B$83</definedName>
    <definedName name="psType">header!$B$88</definedName>
    <definedName name="psUser">header!$B$7</definedName>
    <definedName name="TM1AdjIDListCAP">header!$C$21</definedName>
    <definedName name="TM1AdjIDListWB">header!$E$21</definedName>
    <definedName name="TM1AdjIDListWS">header!$G$21</definedName>
    <definedName name="TM1HomeAECAP">header!$C$19</definedName>
    <definedName name="TM1HomeAEDataEntryCAP">header!$C$20</definedName>
    <definedName name="TM1HomeAEDataEntryWB">header!$E$20</definedName>
    <definedName name="TM1HomeAEDataEntryWS">header!$G$20</definedName>
    <definedName name="TM1HomeAEWB">header!$E$19</definedName>
    <definedName name="TM1HomeAEWS">header!$G$19</definedName>
    <definedName name="TM1HomeCAP">header!$C$18</definedName>
    <definedName name="TM1HomeWB">header!$E$18</definedName>
    <definedName name="TM1HomeWS">header!$G$18</definedName>
    <definedName name="TM1NewAdj02DataEntryCAP">header!$C$22</definedName>
    <definedName name="TM1NewAdj02DataEntryWB">header!$E$22</definedName>
    <definedName name="TM1NewAdj02DataEntryWS">header!$G$22</definedName>
    <definedName name="TM1REBUILDOPTION">0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  <c r="B3" i="1"/>
  <c r="B4" i="1"/>
  <c r="B5" i="1"/>
  <c r="B7" i="1"/>
  <c r="B34" i="1"/>
  <c r="B29" i="1"/>
  <c r="B48" i="1"/>
  <c r="B30" i="1"/>
  <c r="B49" i="1"/>
  <c r="B31" i="1"/>
  <c r="B50" i="1"/>
  <c r="B47" i="1"/>
  <c r="B10" i="1"/>
  <c r="B13" i="1"/>
  <c r="A52" i="1"/>
  <c r="B52" i="1"/>
  <c r="M138" i="1"/>
  <c r="A60" i="1"/>
  <c r="B11" i="1"/>
  <c r="B12" i="1"/>
  <c r="B59" i="1"/>
  <c r="M139" i="1"/>
  <c r="M104" i="1"/>
  <c r="F25" i="1"/>
  <c r="M106" i="1"/>
  <c r="B64" i="1"/>
  <c r="C64" i="1"/>
  <c r="M135" i="1"/>
  <c r="B27" i="1"/>
  <c r="B135" i="1"/>
  <c r="B63" i="1"/>
  <c r="C63" i="1"/>
  <c r="M133" i="1"/>
  <c r="B133" i="1"/>
  <c r="B65" i="1"/>
  <c r="C65" i="1"/>
  <c r="M131" i="1"/>
  <c r="B131" i="1"/>
  <c r="B28" i="1"/>
  <c r="Q129" i="1"/>
  <c r="M129" i="1"/>
  <c r="B61" i="1"/>
  <c r="C61" i="1"/>
  <c r="B129" i="1"/>
  <c r="Q127" i="1"/>
  <c r="M127" i="1"/>
  <c r="B62" i="1"/>
  <c r="C62" i="1"/>
  <c r="B127" i="1"/>
  <c r="B60" i="1"/>
  <c r="M125" i="1"/>
  <c r="Q122" i="1"/>
  <c r="M122" i="1"/>
  <c r="M120" i="1"/>
  <c r="M119" i="1"/>
  <c r="Q118" i="1"/>
  <c r="M118" i="1"/>
  <c r="M116" i="1"/>
  <c r="M115" i="1"/>
  <c r="Q114" i="1"/>
  <c r="M114" i="1"/>
  <c r="Q112" i="1"/>
  <c r="M112" i="1"/>
  <c r="Q110" i="1"/>
  <c r="B69" i="1"/>
  <c r="M108" i="1"/>
  <c r="B70" i="1"/>
  <c r="B75" i="1"/>
  <c r="B53" i="1"/>
  <c r="M110" i="1"/>
  <c r="B73" i="1"/>
  <c r="B110" i="1"/>
  <c r="Q108" i="1"/>
  <c r="Q106" i="1"/>
  <c r="B80" i="1"/>
  <c r="B106" i="1"/>
  <c r="B51" i="1"/>
  <c r="O102" i="1"/>
  <c r="M102" i="1"/>
  <c r="B90" i="1"/>
  <c r="B89" i="1"/>
  <c r="B88" i="1"/>
  <c r="B87" i="1"/>
  <c r="B86" i="1"/>
  <c r="B85" i="1"/>
  <c r="B84" i="1"/>
  <c r="B83" i="1"/>
  <c r="B82" i="1"/>
  <c r="B81" i="1"/>
  <c r="B79" i="1"/>
  <c r="B76" i="1"/>
  <c r="B66" i="1"/>
  <c r="C66" i="1"/>
  <c r="E65" i="1"/>
  <c r="E64" i="1"/>
  <c r="E63" i="1"/>
  <c r="E62" i="1"/>
  <c r="E61" i="1"/>
  <c r="E60" i="1"/>
  <c r="C60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C33" i="1"/>
  <c r="B33" i="1"/>
  <c r="C32" i="1"/>
  <c r="B32" i="1"/>
  <c r="C31" i="1"/>
  <c r="C30" i="1"/>
  <c r="C29" i="1"/>
  <c r="B15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B6" i="1"/>
</calcChain>
</file>

<file path=xl/sharedStrings.xml><?xml version="1.0" encoding="utf-8"?>
<sst xmlns="http://schemas.openxmlformats.org/spreadsheetml/2006/main" count="1480" uniqueCount="1466">
  <si>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</si>
  <si>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</si>
  <si>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</si>
  <si>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</si>
  <si>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</si>
  <si>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</si>
  <si>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</si>
  <si>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</si>
  <si>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</si>
  <si>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</si>
  <si>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</si>
  <si>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program dimension name</t>
  </si>
  <si>
    <t>sys_application MDX</t>
  </si>
  <si>
    <t>Slice View (sys_application)</t>
  </si>
  <si>
    <t>Current Workbook</t>
  </si>
  <si>
    <t>Data Entry - Edit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</si>
  <si>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</si>
  <si>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</si>
  <si>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</si>
  <si>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</si>
  <si>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</si>
  <si>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</si>
  <si>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</si>
  <si>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</si>
  <si>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</si>
  <si>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</si>
  <si>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</si>
  <si>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</si>
  <si>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Client Preference</t>
  </si>
  <si>
    <t>Subsets To Use In Data Entry</t>
  </si>
  <si>
    <t>Programme</t>
  </si>
  <si>
    <t>value</t>
  </si>
  <si>
    <t>validate</t>
  </si>
  <si>
    <t>sys_client preference measure</t>
  </si>
  <si>
    <t>geus hl year</t>
  </si>
  <si>
    <t>geus scenario</t>
  </si>
  <si>
    <t>geus adj</t>
  </si>
  <si>
    <t>geus programme</t>
  </si>
  <si>
    <t>sys_admin archive status</t>
  </si>
  <si>
    <t>adj_control type</t>
  </si>
  <si>
    <t>adj_programme code</t>
  </si>
  <si>
    <t>adj_reason</t>
  </si>
  <si>
    <t>adj_measure code</t>
  </si>
  <si>
    <t>adj_title</t>
  </si>
  <si>
    <t>adj_description</t>
  </si>
  <si>
    <t>adj_outcome</t>
  </si>
  <si>
    <t>adj_function</t>
  </si>
  <si>
    <t>adj_spp</t>
  </si>
  <si>
    <t>adj_appropriation type</t>
  </si>
  <si>
    <t>adj_appropriation item</t>
  </si>
  <si>
    <t>AE ID Details</t>
  </si>
  <si>
    <t>Slice</t>
  </si>
  <si>
    <t>Headline Year</t>
  </si>
  <si>
    <t>Scenario</t>
  </si>
  <si>
    <t>ID</t>
  </si>
  <si>
    <t>status</t>
  </si>
  <si>
    <t>measure</t>
  </si>
  <si>
    <t>Programme Details</t>
  </si>
  <si>
    <t>TO SEND TO CLIENT</t>
  </si>
  <si>
    <t>Attribute Cubes</t>
  </si>
  <si>
    <t>function</t>
  </si>
  <si>
    <t>outcome</t>
  </si>
  <si>
    <t>appropriation type</t>
  </si>
  <si>
    <t>appropriation item</t>
  </si>
  <si>
    <t>SPP</t>
  </si>
  <si>
    <t>default favourite template</t>
  </si>
  <si>
    <t>Reason Code Attributes</t>
  </si>
  <si>
    <t>reason</t>
  </si>
  <si>
    <t>measure required</t>
  </si>
  <si>
    <t>Prepopulate Values</t>
  </si>
  <si>
    <t>Measure Code</t>
  </si>
  <si>
    <t>Send Measure Code</t>
  </si>
  <si>
    <t>No Measure</t>
  </si>
  <si>
    <t>Subset Measure Code</t>
  </si>
  <si>
    <t>Subset Measure Code First Element</t>
  </si>
  <si>
    <t>Parameters To Send</t>
  </si>
  <si>
    <t>psControlType</t>
  </si>
  <si>
    <t>psProg</t>
  </si>
  <si>
    <t>psReason</t>
  </si>
  <si>
    <t>psMeasCode</t>
  </si>
  <si>
    <t>psTitle</t>
  </si>
  <si>
    <t>psDesc</t>
  </si>
  <si>
    <t>psOC</t>
  </si>
  <si>
    <t>psFunc</t>
  </si>
  <si>
    <t>psSPP</t>
  </si>
  <si>
    <t>psType</t>
  </si>
  <si>
    <t>psItem</t>
  </si>
  <si>
    <t>psApplyParam</t>
  </si>
  <si>
    <t>Edit Adjustment Details</t>
  </si>
  <si>
    <t>Note : Changing the program will not automatically update the appropriation type/appropriation item. This will need to be done in the adjustment screen.</t>
  </si>
  <si>
    <t>Values Used For Cube</t>
  </si>
  <si>
    <t>Values To Send</t>
  </si>
  <si>
    <t>GEUS ID :</t>
  </si>
  <si>
    <t>Status :</t>
  </si>
  <si>
    <t>Notes and Validation messages</t>
  </si>
  <si>
    <t>Control Type  :</t>
  </si>
  <si>
    <t>Note: Control type of an existing adjustment cannot be changed</t>
  </si>
  <si>
    <t>GEUS Program :</t>
  </si>
  <si>
    <t>Reason :</t>
  </si>
  <si>
    <t>Measure Code :</t>
  </si>
  <si>
    <t>Title :</t>
  </si>
  <si>
    <t>Description :</t>
  </si>
  <si>
    <t>adj_comments</t>
  </si>
  <si>
    <t>Comments :</t>
  </si>
  <si>
    <t>adj_apply param</t>
  </si>
  <si>
    <t>Apply Parameters :</t>
  </si>
  <si>
    <t>Program Details (Used in adjustment as default data point)</t>
  </si>
  <si>
    <t>CBMS Program Code :</t>
  </si>
  <si>
    <t>Outcome  :</t>
  </si>
  <si>
    <t>Function  :</t>
  </si>
  <si>
    <t>SPP  :</t>
  </si>
  <si>
    <t>Appropriation Type :</t>
  </si>
  <si>
    <t>Appropriation Item :</t>
  </si>
  <si>
    <t>SELECT NEW PROGRAM/APPROP ITEM:</t>
  </si>
  <si>
    <t>Change Program /Appropriation Item</t>
  </si>
  <si>
    <t>New GEUS Program :</t>
  </si>
  <si>
    <t>If a different program/Appropriation Item are not selected, current program and Appropriation item details will be retained</t>
  </si>
  <si>
    <t>New Appropriation Item :</t>
  </si>
  <si>
    <t>If a different program is selected, the default appropriation item will be displayed. If required, select a new appropriation item</t>
  </si>
  <si>
    <t>Total IDs</t>
  </si>
  <si>
    <t>00000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</si>
  <si>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</si>
  <si>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</si>
  <si>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</si>
  <si>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</si>
  <si>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</si>
  <si>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</si>
  <si>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</si>
  <si>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</si>
  <si>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</si>
  <si>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</si>
  <si>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</si>
  <si>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</si>
  <si>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</si>
  <si>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</si>
  <si>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</si>
  <si>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</si>
  <si>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</si>
  <si>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</si>
  <si>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</si>
  <si>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</si>
  <si>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</si>
  <si>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</si>
  <si>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</si>
  <si>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</si>
  <si>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</si>
  <si>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</si>
  <si>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</si>
  <si>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</si>
  <si>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</si>
  <si>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</si>
  <si>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</si>
  <si>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</si>
  <si>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</si>
  <si>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</si>
  <si>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</si>
  <si>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</si>
  <si>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</si>
  <si>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</si>
  <si>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</si>
  <si>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</si>
  <si>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</si>
  <si>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</si>
  <si>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</si>
  <si>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</si>
  <si>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</si>
  <si>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</si>
  <si>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</si>
  <si>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</si>
  <si>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</si>
  <si>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</si>
  <si>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</si>
  <si>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</si>
  <si>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</si>
  <si>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</si>
  <si>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</si>
  <si>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</si>
  <si>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</si>
  <si>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</si>
  <si>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</si>
  <si>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</si>
  <si>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</si>
  <si>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</si>
  <si>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</si>
  <si>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</si>
  <si>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</si>
  <si>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</si>
  <si>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</si>
  <si>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</si>
  <si>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</si>
  <si>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</si>
  <si>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</si>
  <si>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</si>
  <si>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</si>
  <si>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</si>
  <si>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</si>
  <si>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</si>
  <si>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</si>
  <si>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</si>
  <si>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</si>
  <si>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</si>
  <si>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</si>
  <si>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</si>
  <si>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</si>
  <si>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</si>
  <si>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</si>
  <si>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</si>
  <si>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</si>
  <si>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</si>
  <si>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</si>
  <si>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</si>
  <si>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</si>
  <si>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</si>
  <si>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</si>
  <si>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</si>
  <si>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</si>
  <si>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</si>
  <si>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</si>
  <si>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</si>
  <si>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</si>
  <si>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</si>
  <si>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</si>
  <si>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</si>
  <si>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</si>
  <si>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</si>
  <si>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</si>
  <si>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</si>
  <si>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</si>
  <si>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</si>
  <si>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</si>
  <si>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</si>
  <si>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</si>
  <si>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</si>
  <si>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</si>
  <si>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</si>
  <si>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</si>
  <si>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</si>
  <si>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</si>
  <si>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</si>
  <si>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</si>
  <si>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</si>
  <si>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</si>
  <si>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</si>
  <si>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</si>
  <si>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</si>
  <si>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</si>
  <si>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</si>
  <si>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</si>
  <si>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</si>
  <si>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</si>
  <si>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</si>
  <si>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</si>
  <si>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</si>
  <si>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</si>
  <si>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</si>
  <si>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</si>
  <si>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</si>
  <si>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</si>
  <si>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</si>
  <si>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</si>
  <si>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</si>
  <si>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</si>
  <si>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</si>
  <si>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</si>
  <si>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</si>
  <si>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</si>
  <si>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</si>
  <si>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</si>
  <si>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</si>
  <si>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</si>
  <si>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</si>
  <si>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</si>
  <si>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</si>
  <si>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</si>
  <si>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</si>
  <si>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</si>
  <si>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</si>
  <si>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</si>
  <si>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</si>
  <si>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</si>
  <si>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</si>
  <si>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</si>
  <si>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</si>
  <si>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</si>
  <si>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</si>
  <si>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</si>
  <si>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</si>
  <si>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</si>
  <si>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</si>
  <si>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</si>
  <si>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</si>
  <si>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</si>
  <si>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</si>
  <si>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</si>
  <si>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</si>
  <si>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</si>
  <si>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</si>
  <si>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</si>
  <si>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</si>
  <si>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</si>
  <si>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</si>
  <si>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</si>
  <si>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</si>
  <si>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</si>
  <si>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</si>
  <si>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</si>
  <si>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</si>
  <si>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</si>
  <si>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</si>
  <si>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</si>
  <si>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</si>
  <si>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</si>
  <si>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</si>
  <si>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</si>
  <si>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</si>
  <si>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</si>
  <si>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</si>
  <si>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</si>
  <si>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</si>
  <si>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</si>
  <si>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</si>
  <si>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</si>
  <si>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</si>
  <si>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</si>
  <si>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</si>
  <si>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</si>
  <si>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</si>
  <si>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</si>
  <si>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</si>
  <si>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</si>
  <si>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</si>
  <si>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</si>
  <si>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</si>
  <si>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</si>
  <si>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</si>
  <si>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</si>
  <si>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</si>
  <si>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</si>
  <si>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</si>
  <si>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</si>
  <si>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</si>
  <si>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</si>
  <si>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</si>
  <si>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</si>
  <si>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</si>
  <si>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</si>
  <si>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</si>
  <si>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</si>
  <si>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</si>
  <si>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</si>
  <si>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</si>
  <si>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</si>
  <si>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</si>
  <si>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</si>
  <si>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</si>
  <si>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</si>
  <si>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</si>
  <si>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</si>
  <si>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</si>
  <si>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</si>
  <si>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</si>
  <si>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</si>
  <si>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</si>
  <si>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</si>
  <si>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</si>
  <si>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</si>
  <si>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</si>
  <si>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</si>
  <si>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</si>
  <si>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</si>
  <si>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</si>
  <si>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</si>
  <si>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</si>
  <si>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</si>
  <si>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</si>
  <si>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</si>
  <si>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</si>
  <si>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</si>
  <si>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</si>
  <si>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</si>
  <si>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</si>
  <si>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</si>
  <si>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</si>
  <si>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</si>
  <si>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</si>
  <si>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</si>
  <si>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</si>
  <si>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</si>
  <si>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</si>
  <si>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</si>
  <si>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</si>
  <si>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</si>
  <si>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</si>
  <si>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</si>
  <si>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</si>
  <si>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</si>
  <si>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</si>
  <si>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</si>
  <si>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</si>
  <si>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</si>
  <si>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</si>
  <si>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</si>
  <si>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</si>
  <si>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</si>
  <si>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</si>
  <si>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</si>
  <si>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</si>
  <si>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</si>
  <si>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</si>
  <si>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</si>
  <si>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</si>
  <si>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</si>
  <si>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</si>
  <si>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</si>
  <si>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</si>
  <si>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</si>
  <si>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</si>
  <si>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</si>
  <si>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</si>
  <si>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</si>
  <si>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</si>
  <si>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</si>
  <si>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</si>
  <si>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</si>
  <si>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</si>
  <si>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</si>
  <si>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</si>
  <si>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</si>
  <si>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</si>
  <si>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</si>
  <si>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</si>
  <si>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</si>
  <si>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</si>
  <si>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</si>
  <si>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</si>
  <si>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</si>
  <si>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</si>
  <si>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</si>
  <si>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</si>
  <si>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</si>
  <si>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</si>
  <si>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</si>
  <si>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</si>
  <si>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</si>
  <si>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</si>
  <si>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</si>
  <si>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</si>
  <si>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</si>
  <si>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</si>
  <si>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</si>
  <si>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</si>
  <si>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</si>
  <si>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</si>
  <si>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</si>
  <si>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</si>
  <si>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</si>
  <si>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</si>
  <si>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</si>
  <si>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</si>
  <si>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</si>
  <si>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</si>
  <si>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</si>
  <si>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</si>
  <si>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</si>
  <si>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</si>
  <si>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</si>
  <si>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</si>
  <si>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</si>
  <si>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</si>
  <si>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</si>
  <si>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</si>
  <si>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</si>
  <si>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</si>
  <si>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</si>
  <si>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</si>
  <si>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</si>
  <si>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</si>
  <si>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</si>
  <si>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</si>
  <si>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</si>
  <si>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</si>
  <si>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</si>
  <si>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</si>
  <si>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</si>
  <si>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</si>
  <si>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</si>
  <si>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</si>
  <si>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</si>
  <si>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</si>
  <si>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</si>
  <si>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</si>
  <si>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</si>
  <si>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</si>
  <si>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</si>
  <si>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</si>
  <si>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</si>
  <si>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</si>
  <si>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</si>
  <si>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</si>
  <si>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</si>
  <si>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</si>
  <si>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</si>
  <si>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</si>
  <si>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</si>
  <si>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</si>
  <si>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</si>
  <si>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</si>
  <si>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</si>
  <si>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</si>
  <si>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</si>
  <si>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</si>
  <si>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</si>
  <si>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</si>
  <si>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</si>
  <si>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</si>
  <si>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</si>
  <si>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</si>
  <si>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</si>
  <si>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</si>
  <si>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</si>
  <si>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</si>
  <si>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</si>
  <si>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</si>
  <si>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</si>
  <si>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</si>
  <si>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</si>
  <si>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</si>
  <si>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</si>
  <si>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</si>
  <si>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</si>
  <si>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</si>
  <si>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</si>
  <si>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</si>
  <si>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</si>
  <si>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</si>
  <si>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</si>
  <si>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</si>
  <si>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</si>
  <si>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</si>
  <si>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</si>
  <si>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</si>
  <si>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</si>
  <si>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</si>
  <si>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</si>
  <si>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</si>
  <si>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</si>
  <si>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</si>
  <si>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</si>
  <si>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</si>
  <si>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</si>
  <si>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</si>
  <si>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</si>
  <si>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</si>
  <si>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</si>
  <si>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</si>
  <si>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</si>
  <si>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</si>
  <si>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</si>
  <si>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</si>
  <si>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</si>
  <si>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</si>
  <si>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</si>
  <si>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</si>
  <si>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</si>
  <si>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</si>
  <si>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</si>
  <si>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</si>
  <si>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</si>
  <si>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</si>
  <si>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</si>
  <si>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</si>
  <si>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</si>
  <si>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</si>
  <si>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</si>
  <si>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</si>
  <si>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</si>
  <si>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</si>
  <si>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</si>
  <si>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</si>
  <si>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</si>
  <si>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</si>
  <si>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</si>
  <si>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</si>
  <si>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</si>
  <si>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</si>
  <si>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</si>
  <si>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</si>
  <si>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</si>
  <si>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</si>
  <si>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</si>
  <si>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</si>
  <si>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</si>
  <si>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</si>
  <si>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</si>
  <si>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</si>
  <si>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</si>
  <si>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</si>
  <si>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</si>
  <si>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</si>
  <si>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</si>
  <si>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</si>
  <si>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</si>
  <si>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</si>
  <si>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</si>
  <si>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</si>
  <si>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</si>
  <si>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</si>
  <si>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</si>
  <si>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</si>
  <si>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</si>
  <si>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</si>
  <si>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</si>
  <si>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</si>
  <si>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</si>
  <si>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</si>
  <si>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</si>
  <si>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</si>
  <si>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</si>
  <si>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</si>
  <si>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</si>
  <si>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</si>
  <si>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</si>
  <si>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</si>
  <si>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</si>
  <si>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</si>
  <si>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</si>
  <si>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</si>
  <si>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</si>
  <si>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</si>
  <si>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</si>
  <si>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</si>
  <si>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</si>
  <si>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</si>
  <si>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</si>
  <si>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</si>
  <si>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</si>
  <si>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</si>
  <si>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</si>
  <si>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</si>
  <si>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</si>
  <si>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</si>
  <si>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</si>
  <si>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</si>
  <si>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</si>
  <si>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</si>
  <si>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</si>
  <si>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</si>
  <si>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</si>
  <si>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</si>
  <si>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</si>
  <si>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</si>
  <si>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</si>
  <si>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</si>
  <si>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</si>
  <si>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</si>
  <si>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</si>
  <si>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</si>
  <si>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</si>
  <si>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</si>
  <si>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</si>
  <si>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</si>
  <si>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</si>
  <si>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</si>
  <si>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</si>
  <si>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</si>
  <si>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</si>
  <si>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</si>
  <si>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</si>
  <si>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</si>
  <si>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</si>
  <si>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</si>
  <si>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</si>
  <si>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</si>
  <si>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</si>
  <si>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</si>
  <si>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</si>
  <si>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</si>
  <si>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</si>
  <si>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</si>
  <si>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</si>
  <si>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</si>
  <si>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</si>
  <si>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</si>
  <si>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</si>
  <si>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</si>
  <si>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</si>
  <si>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</si>
  <si>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</si>
  <si>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</si>
  <si>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</si>
  <si>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</si>
  <si>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</si>
  <si>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</si>
  <si>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</si>
  <si>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</si>
  <si>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</si>
  <si>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</si>
  <si>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</si>
  <si>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</si>
  <si>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</si>
  <si>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</si>
  <si>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</si>
  <si>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</si>
  <si>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</si>
  <si>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</si>
  <si>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</si>
  <si>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</si>
  <si>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</si>
  <si>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</si>
  <si>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</si>
  <si>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</si>
  <si>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</si>
  <si>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</si>
  <si>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</si>
  <si>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</si>
  <si>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</si>
  <si>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</si>
  <si>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</si>
  <si>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</si>
  <si>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</si>
  <si>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</si>
  <si>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</si>
  <si>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</si>
  <si>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</si>
  <si>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</si>
  <si>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</si>
  <si>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</si>
  <si>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</si>
  <si>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</si>
  <si>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</si>
  <si>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</si>
  <si>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</si>
  <si>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</si>
  <si>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</si>
  <si>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</si>
  <si>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</si>
  <si>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</si>
  <si>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</si>
  <si>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</si>
  <si>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</si>
  <si>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</si>
  <si>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</si>
  <si>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</si>
  <si>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</si>
  <si>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</si>
  <si>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</si>
  <si>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</si>
  <si>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</si>
  <si>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</si>
  <si>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</si>
  <si>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</si>
  <si>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</si>
  <si>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</si>
  <si>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</si>
  <si>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</si>
  <si>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</si>
  <si>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</si>
  <si>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</si>
  <si>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</si>
  <si>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</si>
  <si>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</si>
  <si>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</si>
  <si>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</si>
  <si>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</si>
  <si>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</si>
  <si>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</si>
  <si>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</si>
  <si>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</si>
  <si>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</si>
  <si>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</si>
  <si>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</si>
  <si>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</si>
  <si>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</si>
  <si>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</si>
  <si>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</si>
  <si>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</si>
  <si>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</si>
  <si>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</si>
  <si>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</si>
  <si>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</si>
  <si>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</si>
  <si>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</si>
  <si>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</si>
  <si>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</si>
  <si>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</si>
  <si>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</si>
  <si>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</si>
  <si>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</si>
  <si>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</si>
  <si>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</si>
  <si>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</si>
  <si>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</si>
  <si>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</si>
  <si>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</si>
  <si>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</si>
  <si>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</si>
  <si>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</si>
  <si>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</si>
  <si>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</si>
  <si>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</si>
  <si>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</si>
  <si>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</si>
  <si>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</si>
  <si>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</si>
  <si>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</si>
  <si>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</si>
  <si>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</si>
  <si>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</si>
  <si>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</si>
  <si>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</si>
  <si>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</si>
  <si>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</si>
  <si>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</si>
  <si>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</si>
  <si>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</si>
  <si>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</si>
  <si>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</si>
  <si>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</si>
  <si>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</si>
  <si>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</si>
  <si>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</si>
  <si>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</si>
  <si>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</si>
  <si>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</si>
  <si>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</si>
  <si>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</si>
  <si>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</si>
  <si>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</si>
  <si>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</si>
  <si>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</si>
  <si>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</si>
  <si>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</si>
  <si>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</si>
  <si>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</si>
  <si>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</si>
  <si>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</si>
  <si>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</si>
  <si>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</si>
  <si>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</si>
  <si>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</si>
  <si>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</si>
  <si>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</si>
  <si>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</si>
  <si>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</si>
  <si>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</si>
  <si>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</si>
  <si>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</si>
  <si>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</si>
  <si>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</si>
  <si>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</si>
  <si>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</si>
  <si>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</si>
  <si>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</si>
  <si>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</si>
  <si>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</si>
  <si>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</si>
  <si>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</si>
  <si>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</si>
  <si>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</si>
  <si>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</si>
  <si>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</si>
  <si>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</si>
  <si>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</si>
  <si>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</si>
  <si>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</si>
  <si>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</si>
  <si>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</si>
  <si>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</si>
  <si>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</si>
  <si>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</si>
  <si>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</si>
  <si>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</si>
  <si>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</si>
  <si>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</si>
  <si>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</si>
  <si>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</si>
  <si>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</si>
  <si>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</si>
  <si>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</si>
  <si>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</si>
  <si>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</si>
  <si>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</si>
  <si>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</si>
  <si>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</si>
  <si>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</si>
  <si>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</si>
  <si>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</si>
  <si>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</si>
  <si>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</si>
  <si>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</si>
  <si>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</si>
  <si>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</si>
  <si>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</si>
  <si>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</si>
  <si>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</si>
  <si>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</si>
  <si>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</si>
  <si>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</si>
  <si>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</si>
  <si>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</si>
  <si>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</si>
  <si>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</si>
  <si>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</si>
  <si>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</si>
  <si>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</si>
  <si>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</si>
  <si>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</si>
  <si>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</si>
  <si>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</si>
  <si>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</si>
  <si>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</si>
  <si>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</si>
  <si>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</si>
  <si>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</si>
  <si>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</si>
  <si>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</si>
  <si>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</si>
  <si>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</si>
  <si>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</si>
  <si>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</si>
  <si>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</si>
  <si>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</si>
  <si>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</si>
  <si>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</si>
  <si>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</si>
  <si>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</si>
  <si>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</si>
  <si>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</si>
  <si>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</si>
  <si>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</si>
  <si>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</si>
  <si>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</si>
  <si>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</si>
  <si>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</si>
  <si>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</si>
  <si>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</si>
  <si>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</si>
  <si>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</si>
  <si>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</si>
  <si>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</si>
  <si>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</si>
  <si>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</si>
  <si>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</si>
  <si>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</si>
  <si>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</si>
  <si>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</si>
  <si>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</si>
  <si>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</si>
  <si>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</si>
  <si>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</si>
  <si>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</si>
  <si>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</si>
  <si>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</si>
  <si>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</si>
  <si>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</si>
  <si>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</si>
  <si>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</si>
  <si>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</si>
  <si>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</si>
  <si>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</si>
  <si>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</si>
  <si>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</si>
  <si>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</si>
  <si>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</si>
  <si>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</si>
  <si>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</si>
  <si>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</si>
  <si>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</si>
  <si>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</si>
  <si>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</si>
  <si>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</si>
  <si>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</si>
  <si>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</si>
  <si>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</si>
  <si>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</si>
  <si>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</si>
  <si>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</si>
  <si>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</si>
  <si>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</si>
  <si>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</si>
  <si>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</si>
  <si>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</si>
  <si>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</si>
  <si>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</si>
  <si>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</si>
  <si>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</si>
  <si>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</si>
  <si>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</si>
  <si>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</si>
  <si>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</si>
  <si>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</si>
  <si>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</si>
  <si>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</si>
  <si>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</si>
  <si>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</si>
  <si>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</si>
  <si>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</si>
  <si>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</si>
  <si>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</si>
  <si>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</si>
  <si>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</si>
  <si>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</si>
  <si>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</si>
  <si>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</si>
  <si>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</si>
  <si>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</si>
  <si>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</si>
  <si>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</si>
  <si>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</si>
  <si>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</si>
  <si>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</si>
  <si>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</si>
  <si>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</si>
  <si>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</si>
  <si>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</si>
  <si>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</si>
  <si>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</si>
  <si>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</si>
  <si>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</si>
  <si>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</si>
  <si>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</si>
  <si>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</si>
  <si>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</si>
  <si>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</si>
  <si>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</si>
  <si>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</si>
  <si>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</si>
  <si>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</si>
  <si>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</si>
  <si>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</si>
  <si>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</si>
  <si>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</si>
  <si>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</si>
  <si>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</si>
  <si>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</si>
  <si>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</si>
  <si>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</si>
  <si>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</si>
  <si>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</si>
  <si>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</si>
  <si>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</si>
  <si>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</si>
  <si>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</si>
  <si>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</si>
  <si>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</si>
  <si>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</si>
  <si>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</si>
  <si>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</si>
  <si>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</si>
  <si>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</si>
  <si>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</si>
  <si>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</si>
  <si>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</si>
  <si>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</si>
  <si>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</si>
  <si>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</si>
  <si>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</si>
  <si>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</si>
  <si>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</si>
  <si>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</si>
  <si>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</si>
  <si>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</si>
  <si>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</si>
  <si>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</si>
  <si>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</si>
  <si>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</si>
  <si>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</si>
  <si>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</si>
  <si>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</si>
  <si>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</si>
  <si>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</si>
  <si>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</si>
  <si>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</si>
  <si>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</si>
  <si>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</si>
  <si>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</si>
  <si>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</si>
  <si>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</si>
  <si>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</si>
  <si>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</si>
  <si>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</si>
  <si>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</si>
  <si>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</si>
  <si>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</si>
  <si>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</si>
  <si>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</si>
  <si>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</si>
  <si>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</si>
  <si>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</si>
  <si>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</si>
  <si>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</si>
  <si>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</si>
  <si>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</si>
  <si>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</si>
  <si>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</si>
  <si>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</si>
  <si>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</si>
  <si>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</si>
  <si>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</si>
  <si>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</si>
  <si>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</si>
  <si>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</si>
  <si>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</si>
  <si>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</si>
  <si>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</si>
  <si>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</si>
  <si>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</si>
  <si>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</si>
  <si>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</si>
  <si>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</si>
  <si>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</si>
  <si>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</si>
  <si>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</si>
  <si>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</si>
  <si>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</si>
  <si>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</si>
  <si>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</si>
  <si>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</si>
  <si>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</si>
  <si>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</si>
  <si>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</si>
  <si>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-</t>
  </si>
  <si>
    <t>A001-00001-05000</t>
  </si>
  <si>
    <t>A001-00001-05001</t>
  </si>
  <si>
    <t>A001-00002-05000</t>
  </si>
  <si>
    <t>A001-00002-05001</t>
  </si>
  <si>
    <t>A001-00003-05000</t>
  </si>
  <si>
    <t>A001-00003-05001</t>
  </si>
  <si>
    <t>A001-00004-05000</t>
  </si>
  <si>
    <t>A001-00004-05001</t>
  </si>
  <si>
    <t>A001-00016-05000</t>
  </si>
  <si>
    <t>A001-00016-05001</t>
  </si>
  <si>
    <t>A002-00005-05002</t>
  </si>
  <si>
    <t>A002-00005-05003</t>
  </si>
  <si>
    <t>A002-00005-05004</t>
  </si>
  <si>
    <t>A002-00005-05005</t>
  </si>
  <si>
    <t>A002-00005-05007</t>
  </si>
  <si>
    <t>A002-00006-05002</t>
  </si>
  <si>
    <t>A002-00006-05003</t>
  </si>
  <si>
    <t>A002-00006-05004</t>
  </si>
  <si>
    <t>A002-00006-05005</t>
  </si>
  <si>
    <t>A002-00006-05007</t>
  </si>
  <si>
    <t>A002-00007-05002</t>
  </si>
  <si>
    <t>A002-00007-05003</t>
  </si>
  <si>
    <t>A002-00007-05004</t>
  </si>
  <si>
    <t>A002-00007-05005</t>
  </si>
  <si>
    <t>A002-00007-05007</t>
  </si>
  <si>
    <t>A002-00008-05002</t>
  </si>
  <si>
    <t>A002-00008-05003</t>
  </si>
  <si>
    <t>A002-00008-05004</t>
  </si>
  <si>
    <t>A002-00008-05005</t>
  </si>
  <si>
    <t>A002-00008-05007</t>
  </si>
  <si>
    <t>A002-00017-05002</t>
  </si>
  <si>
    <t>A002-00017-05003</t>
  </si>
  <si>
    <t>A002-00017-05004</t>
  </si>
  <si>
    <t>A002-00017-05005</t>
  </si>
  <si>
    <t>A002-00017-05007</t>
  </si>
  <si>
    <t>A006-00019-05000</t>
  </si>
  <si>
    <t>A006-00019-05001</t>
  </si>
  <si>
    <t>A007-00020-05002</t>
  </si>
  <si>
    <t>A007-00020-05004</t>
  </si>
  <si>
    <t>A009-00013-05006</t>
  </si>
  <si>
    <t>A010-00014-01436</t>
  </si>
  <si>
    <t>A100-10000-04200</t>
  </si>
  <si>
    <t>A100-10000-04201</t>
  </si>
  <si>
    <t>A100-10000-04271</t>
  </si>
  <si>
    <t>A100-10022-04062</t>
  </si>
  <si>
    <t>A100-10105-04073</t>
  </si>
  <si>
    <t>A100-10196-04061</t>
  </si>
  <si>
    <t>A100-10256-04107</t>
  </si>
  <si>
    <t>A100-10262-04247</t>
  </si>
  <si>
    <t>A200-20061-04076</t>
  </si>
  <si>
    <t>A200-20132-04183</t>
  </si>
  <si>
    <t>A200-20162-04066</t>
  </si>
  <si>
    <t>A300-30029-04202</t>
  </si>
  <si>
    <t>A300-30031-04035</t>
  </si>
  <si>
    <t>A300-30032-04031</t>
  </si>
  <si>
    <t>A300-30056-04047</t>
  </si>
  <si>
    <t>A300-30081-04106</t>
  </si>
  <si>
    <t>1038</t>
  </si>
  <si>
    <t>1039</t>
  </si>
  <si>
    <t>1070</t>
  </si>
  <si>
    <t>1078</t>
  </si>
  <si>
    <t>1085</t>
  </si>
  <si>
    <t>1097</t>
  </si>
  <si>
    <t>1128</t>
  </si>
  <si>
    <t>1139</t>
  </si>
  <si>
    <t>1171</t>
  </si>
  <si>
    <t>1173</t>
  </si>
  <si>
    <t>1208</t>
  </si>
  <si>
    <t>1296</t>
  </si>
  <si>
    <t>1313</t>
  </si>
  <si>
    <t>1314</t>
  </si>
  <si>
    <t>1319</t>
  </si>
  <si>
    <t>1322</t>
  </si>
  <si>
    <t>1331</t>
  </si>
  <si>
    <t>1350</t>
  </si>
  <si>
    <t>1351</t>
  </si>
  <si>
    <t>1352</t>
  </si>
  <si>
    <t>1355</t>
  </si>
  <si>
    <t>1365</t>
  </si>
  <si>
    <t>1373</t>
  </si>
  <si>
    <t>1376</t>
  </si>
  <si>
    <t>1379</t>
  </si>
  <si>
    <t>1380</t>
  </si>
  <si>
    <t>1381</t>
  </si>
  <si>
    <t>1382</t>
  </si>
  <si>
    <t>1383</t>
  </si>
  <si>
    <t>1385</t>
  </si>
  <si>
    <t>1386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</si>
  <si>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</si>
  <si>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</si>
  <si>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</si>
  <si>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</si>
  <si>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</si>
  <si>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</si>
  <si>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</si>
  <si>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</si>
  <si>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</si>
  <si>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</si>
  <si>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</si>
  <si>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</si>
  <si>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</si>
  <si>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</si>
  <si>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1431</t>
  </si>
  <si>
    <t>1436</t>
  </si>
  <si>
    <t>1438</t>
  </si>
  <si>
    <t>1439</t>
  </si>
  <si>
    <t>1468</t>
  </si>
  <si>
    <t>1470</t>
  </si>
  <si>
    <t>1629</t>
  </si>
  <si>
    <t>1633</t>
  </si>
  <si>
    <t>1725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</si>
  <si>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</si>
  <si>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</si>
  <si>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</si>
  <si>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</si>
  <si>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</si>
  <si>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</si>
  <si>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</si>
  <si>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</si>
  <si>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</si>
  <si>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</si>
  <si>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</si>
  <si>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</si>
  <si>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</si>
  <si>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</si>
  <si>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</si>
  <si>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</si>
  <si>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</si>
  <si>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</si>
  <si>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</si>
  <si>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</si>
  <si>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</si>
  <si>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</si>
  <si>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</si>
  <si>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</si>
  <si>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</si>
  <si>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</si>
  <si>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</si>
  <si>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</si>
  <si>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</si>
  <si>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</si>
  <si>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</si>
  <si>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</si>
  <si>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</si>
  <si>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</si>
  <si>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</si>
  <si>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</si>
  <si>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</si>
  <si>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</si>
  <si>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</si>
  <si>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</si>
  <si>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</si>
  <si>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</si>
  <si>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</si>
  <si>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</si>
  <si>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</si>
  <si>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</si>
  <si>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</si>
  <si>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</si>
  <si>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</si>
  <si>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</si>
  <si>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</si>
  <si>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</si>
  <si>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</si>
  <si>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</si>
  <si>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</si>
  <si>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</si>
  <si>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</si>
  <si>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</si>
  <si>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</si>
  <si>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</si>
  <si>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</si>
  <si>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</si>
  <si>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</si>
  <si>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</si>
  <si>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</si>
  <si>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</si>
  <si>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</si>
  <si>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</si>
  <si>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</si>
  <si>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</si>
  <si>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</si>
  <si>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</si>
  <si>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</si>
  <si>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</si>
  <si>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</si>
  <si>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</si>
  <si>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</si>
  <si>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</si>
  <si>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</si>
  <si>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</si>
  <si>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</si>
  <si>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</si>
  <si>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</si>
  <si>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</si>
  <si>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</si>
  <si>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</si>
  <si>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</si>
  <si>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</si>
  <si>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</si>
  <si>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</si>
  <si>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</si>
  <si>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</si>
  <si>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</si>
  <si>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</si>
  <si>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</si>
  <si>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</si>
  <si>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</si>
  <si>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</si>
  <si>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</si>
  <si>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</si>
  <si>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</si>
  <si>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</si>
  <si>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</si>
  <si>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</si>
  <si>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</si>
  <si>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</si>
  <si>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</si>
  <si>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</si>
  <si>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</si>
  <si>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</si>
  <si>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</si>
  <si>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</si>
  <si>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</si>
  <si>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</si>
  <si>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</si>
  <si>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</si>
  <si>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</si>
  <si>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</si>
  <si>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</si>
  <si>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</si>
  <si>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</si>
  <si>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</si>
  <si>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</si>
  <si>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</si>
  <si>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</si>
  <si>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</si>
  <si>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</si>
  <si>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</si>
  <si>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</si>
  <si>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</si>
  <si>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</si>
  <si>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</si>
  <si>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</si>
  <si>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</si>
  <si>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</si>
  <si>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</si>
  <si>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</si>
  <si>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</si>
  <si>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</si>
  <si>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</si>
  <si>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</si>
  <si>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</si>
  <si>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</si>
  <si>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</si>
  <si>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</si>
  <si>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</si>
  <si>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2272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</si>
  <si>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</si>
  <si>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</si>
  <si>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</si>
  <si>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</si>
  <si>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</si>
  <si>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</si>
  <si>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</si>
  <si>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</si>
  <si>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</si>
  <si>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</si>
  <si>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</si>
  <si>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</si>
  <si>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</si>
  <si>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</si>
  <si>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</si>
  <si>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</si>
  <si>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</si>
  <si>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</si>
  <si>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</si>
  <si>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</si>
  <si>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</si>
  <si>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</si>
  <si>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</si>
  <si>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</si>
  <si>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</si>
  <si>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</si>
  <si>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</si>
  <si>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</si>
  <si>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</si>
  <si>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</si>
  <si>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</si>
  <si>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</si>
  <si>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</si>
  <si>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</si>
  <si>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</si>
  <si>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</si>
  <si>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</si>
  <si>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</si>
  <si>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3935</t>
  </si>
  <si>
    <t>3945</t>
  </si>
  <si>
    <t>3953</t>
  </si>
  <si>
    <t>3954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</si>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</sst>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BBDDE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3" fillId="3" borderId="0" xfId="0" applyFont="1" applyFill="1" applyAlignment="1">
      <alignment horizontal="right" vertical="center" indent="1"/>
    </xf>
    <xf numFmtId="0" fontId="6" fillId="0" borderId="0" xfId="0" applyFont="1" applyAlignment="1">
      <alignment horizontal="left" indent="1"/>
    </xf>
    <xf numFmtId="0" fontId="8" fillId="0" borderId="7" xfId="0" applyFont="1" applyBorder="1" applyAlignment="1">
      <alignment horizontal="center"/>
    </xf>
    <xf numFmtId="0" fontId="0" fillId="0" borderId="0" xfId="0" applyAlignment="1" applyProtection="1">
      <alignment horizontal="left" indent="1"/>
      <protection locked="0"/>
    </xf>
    <xf numFmtId="0" fontId="0" fillId="0" borderId="7" xfId="0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6" borderId="6" xfId="0" applyFill="1" applyBorder="1" applyAlignment="1" applyProtection="1">
      <alignment horizontal="left" vertical="center" indent="1"/>
      <protection locked="0"/>
    </xf>
    <xf numFmtId="0" fontId="0" fillId="6" borderId="2" xfId="0" applyFill="1" applyBorder="1" applyAlignment="1" applyProtection="1">
      <alignment horizontal="left" vertical="center" indent="1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1" xfId="0" applyFont="1" applyFill="1" applyBorder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right" indent="1"/>
    </xf>
    <xf numFmtId="0" fontId="8" fillId="4" borderId="1" xfId="0" applyFont="1" applyFill="1" applyBorder="1" applyAlignment="1">
      <alignment horizontal="center"/>
    </xf>
    <xf numFmtId="0" fontId="2" fillId="0" borderId="8" xfId="0" applyFont="1" applyBorder="1" applyAlignment="1">
      <alignment horizontal="right" indent="1"/>
    </xf>
    <xf numFmtId="0" fontId="7" fillId="0" borderId="1" xfId="0" applyFont="1" applyBorder="1" applyAlignment="1" applyProtection="1">
      <alignment horizontal="center"/>
      <protection locked="0"/>
    </xf>
    <xf numFmtId="0" fontId="9" fillId="5" borderId="0" xfId="6" applyFont="1" applyFill="1" applyAlignment="1">
      <alignment horizontal="right" indent="1"/>
    </xf>
    <xf numFmtId="0" fontId="2" fillId="0" borderId="0" xfId="0" applyFont="1" applyAlignment="1">
      <alignment horizontal="right" vertical="center"/>
    </xf>
    <xf numFmtId="0" fontId="0" fillId="6" borderId="5" xfId="0" applyFill="1" applyBorder="1" applyAlignment="1" applyProtection="1">
      <alignment horizontal="left" vertical="center" indent="1"/>
      <protection locked="0"/>
    </xf>
    <xf numFmtId="0" fontId="0" fillId="6" borderId="1" xfId="0" applyFill="1" applyBorder="1" applyAlignment="1" applyProtection="1">
      <alignment horizontal="left" vertical="center" indent="1"/>
      <protection locked="0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indent="1"/>
    </xf>
    <xf numFmtId="0" fontId="0" fillId="0" borderId="5" xfId="0" applyBorder="1" applyAlignment="1" applyProtection="1">
      <alignment horizontal="left" indent="1"/>
      <protection locked="0"/>
    </xf>
    <xf numFmtId="0" fontId="0" fillId="0" borderId="6" xfId="0" applyBorder="1" applyAlignment="1" applyProtection="1">
      <alignment horizontal="left" indent="1"/>
      <protection locked="0"/>
    </xf>
    <xf numFmtId="0" fontId="0" fillId="0" borderId="2" xfId="0" applyBorder="1" applyAlignment="1" applyProtection="1">
      <alignment horizontal="left" indent="1"/>
      <protection locked="0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2" borderId="5" xfId="0" applyFill="1" applyBorder="1" applyAlignment="1">
      <alignment horizontal="left" indent="1"/>
    </xf>
    <xf numFmtId="0" fontId="0" fillId="2" borderId="6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5" fillId="0" borderId="9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 applyProtection="1">
      <alignment horizontal="left" vertical="top" wrapText="1" indent="1"/>
      <protection locked="0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0" borderId="0" xfId="0" applyFont="1" applyAlignment="1">
      <alignment horizontal="left" vertical="top" indent="1"/>
    </xf>
    <xf numFmtId="0" fontId="0" fillId="2" borderId="5" xfId="0" applyFill="1" applyBorder="1" applyAlignment="1" applyProtection="1">
      <alignment horizontal="left" indent="1"/>
      <protection locked="0"/>
    </xf>
    <xf numFmtId="0" fontId="0" fillId="2" borderId="6" xfId="0" applyFill="1" applyBorder="1" applyAlignment="1" applyProtection="1">
      <alignment horizontal="left" indent="1"/>
      <protection locked="0"/>
    </xf>
    <xf numFmtId="0" fontId="0" fillId="2" borderId="2" xfId="0" applyFill="1" applyBorder="1" applyAlignment="1" applyProtection="1">
      <alignment horizontal="left" indent="1"/>
      <protection locked="0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3" xfId="6" xr:uid="{00000000-0005-0000-0000-000005000000}"/>
    <cellStyle name="Percent" xfId="1" xr:uid="{00000000-0005-0000-0000-000006000000}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37"/>
  <ax:ocxPr ax:name="_ExtentY" ax:value="60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jIDListWB"/>
  <ax:ocxPr ax:name="TargetWorksheetName" ax:value="-TM1AdjID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AdjIDList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05"/>
  <ax:ocxPr ax:name="_ExtentY" ax:value="60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DataEntryWB"/>
  <ax:ocxPr ax:name="TargetWorksheetName" ax:value="=TM1HomeAE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DataEntry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35"/>
  <ax:ocxPr ax:name="_ExtentY" ax:value="609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96</xdr:row>
          <xdr:rowOff>0</xdr:rowOff>
        </xdr:from>
        <xdr:to>
          <xdr:col>9</xdr:col>
          <xdr:colOff>685800</xdr:colOff>
          <xdr:row>96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723900</xdr:colOff>
          <xdr:row>96</xdr:row>
          <xdr:rowOff>0</xdr:rowOff>
        </xdr:from>
        <xdr:to>
          <xdr:col>10</xdr:col>
          <xdr:colOff>819150</xdr:colOff>
          <xdr:row>96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152400</xdr:colOff>
          <xdr:row>96</xdr:row>
          <xdr:rowOff>0</xdr:rowOff>
        </xdr:from>
        <xdr:to>
          <xdr:col>12</xdr:col>
          <xdr:colOff>933450</xdr:colOff>
          <xdr:row>96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866775</xdr:colOff>
          <xdr:row>96</xdr:row>
          <xdr:rowOff>0</xdr:rowOff>
        </xdr:from>
        <xdr:to>
          <xdr:col>10</xdr:col>
          <xdr:colOff>1704975</xdr:colOff>
          <xdr:row>96</xdr:row>
          <xdr:rowOff>247650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57150</xdr:colOff>
          <xdr:row>139</xdr:row>
          <xdr:rowOff>219075</xdr:rowOff>
        </xdr:from>
        <xdr:to>
          <xdr:col>12</xdr:col>
          <xdr:colOff>914400</xdr:colOff>
          <xdr:row>141</xdr:row>
          <xdr:rowOff>66675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990600</xdr:colOff>
          <xdr:row>139</xdr:row>
          <xdr:rowOff>219075</xdr:rowOff>
        </xdr:from>
        <xdr:to>
          <xdr:col>12</xdr:col>
          <xdr:colOff>1790700</xdr:colOff>
          <xdr:row>141</xdr:row>
          <xdr:rowOff>66675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1771650</xdr:colOff>
          <xdr:row>96</xdr:row>
          <xdr:rowOff>0</xdr:rowOff>
        </xdr:from>
        <xdr:to>
          <xdr:col>12</xdr:col>
          <xdr:colOff>104775</xdr:colOff>
          <xdr:row>96</xdr:row>
          <xdr:rowOff>247650</xdr:rowOff>
        </xdr:to>
        <xdr:sp macro="" textlink="">
          <xdr:nvSpPr>
            <xdr:cNvPr id="1040" name="TIButton8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0</xdr:row>
      <xdr:rowOff>0</xdr:rowOff>
    </xdr:from>
    <xdr:to>
      <xdr:col>9</xdr:col>
      <xdr:colOff>1011555</xdr:colOff>
      <xdr:row>0</xdr:row>
      <xdr:rowOff>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0"/>
          <a:ext cx="100965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94</xdr:row>
      <xdr:rowOff>19050</xdr:rowOff>
    </xdr:from>
    <xdr:to>
      <xdr:col>10</xdr:col>
      <xdr:colOff>744855</xdr:colOff>
      <xdr:row>94</xdr:row>
      <xdr:rowOff>472440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8002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42"/>
  <sheetViews>
    <sheetView showGridLines="0" tabSelected="1" topLeftCell="A95" zoomScaleNormal="100" workbookViewId="0">
      <pane ySplit="3" topLeftCell="A98" activePane="bottomLeft" state="frozen"/>
      <selection activeCell="I95" sqref="I95"/>
      <selection pane="bottomLeft" activeCell="K95" sqref="K95"/>
    </sheetView>
  </sheetViews>
  <sheetFormatPr defaultRowHeight="14.45" customHeight="1" outlineLevelRow="1" outlineLevelCol="1" x14ac:dyDescent="0.25"/>
  <cols>
    <col min="1" max="8" width="20.140625" hidden="1" customWidth="1" outlineLevel="1"/>
    <col min="9" max="9" width="0.85546875" customWidth="1" collapsed="1"/>
    <col min="10" max="10" width="15.42578125" customWidth="1"/>
    <col min="11" max="11" width="35.7109375" customWidth="1"/>
    <col min="12" max="12" width="0.85546875" customWidth="1"/>
    <col min="13" max="13" width="35.7109375" customWidth="1"/>
    <col min="14" max="14" width="10.7109375" customWidth="1"/>
    <col min="15" max="15" width="35.7109375" customWidth="1"/>
    <col min="16" max="16" width="0.85546875" customWidth="1"/>
    <col min="17" max="17" width="34.5703125" customWidth="1"/>
    <col min="18" max="18" width="20.7109375" customWidth="1"/>
  </cols>
  <sheetData>
    <row r="1" spans="1:3" ht="14.45" hidden="1" customHeight="1" outlineLevel="1" x14ac:dyDescent="0.25">
      <c r="A1" s="51" t="s">
        <v>0</v>
      </c>
      <c r="B1" s="52"/>
      <c r="C1" s="53"/>
    </row>
    <row r="2" spans="1:3" ht="14.45" hidden="1" customHeight="1" outlineLevel="1" x14ac:dyDescent="0.25">
      <c r="A2" s="2" t="s">
        <v>1</v>
      </c>
      <c r="B2" s="21" t="s">
        <v>1465</v>
      </c>
      <c r="C2" s="3"/>
    </row>
    <row r="3" spans="1:3" ht="14.45" hidden="1" customHeight="1" outlineLevel="1" x14ac:dyDescent="0.25">
      <c r="A3" s="2" t="s">
        <v>2</v>
      </c>
      <c r="B3" s="22" t="e">
        <f ca="1">_xll.VIEW((db_name&amp;":}ElementAttributes_}Clients"),"!","!")</f>
        <v>#NAME?</v>
      </c>
      <c r="C3" s="3"/>
    </row>
    <row r="4" spans="1:3" ht="14.45" hidden="1" customHeight="1" outlineLevel="1" x14ac:dyDescent="0.25">
      <c r="A4" s="2" t="s">
        <v>3</v>
      </c>
      <c r="B4" s="21" t="e">
        <f ca="1">_xll.TM1USER(db_name)</f>
        <v>#NAME?</v>
      </c>
      <c r="C4" s="3"/>
    </row>
    <row r="5" spans="1:3" ht="14.45" hidden="1" customHeight="1" outlineLevel="1" x14ac:dyDescent="0.25">
      <c r="A5" s="2" t="s">
        <v>4</v>
      </c>
      <c r="B5" s="21" t="e">
        <f ca="1">_xll.DBR($B$3,$B$4,$A5)</f>
        <v>#NAME?</v>
      </c>
      <c r="C5" s="3"/>
    </row>
    <row r="6" spans="1:3" ht="14.45" hidden="1" customHeight="1" outlineLevel="1" x14ac:dyDescent="0.25">
      <c r="A6" s="2" t="s">
        <v>5</v>
      </c>
      <c r="B6" s="21" t="e">
        <f ca="1">_xll.DBR($B$3,$B$4,$A6)</f>
        <v>#NAME?</v>
      </c>
      <c r="C6" s="3"/>
    </row>
    <row r="7" spans="1:3" ht="14.45" hidden="1" customHeight="1" outlineLevel="1" x14ac:dyDescent="0.25">
      <c r="A7" s="2" t="s">
        <v>6</v>
      </c>
      <c r="B7" s="21" t="e">
        <f ca="1">IF((LEFT($B$5,6)="CAM_AD"),$B$6,$B$5)</f>
        <v>#NAME?</v>
      </c>
      <c r="C7" s="4"/>
    </row>
    <row r="8" spans="1:3" ht="14.45" hidden="1" customHeight="1" outlineLevel="1" x14ac:dyDescent="0.25"/>
    <row r="9" spans="1:3" ht="14.45" hidden="1" customHeight="1" outlineLevel="1" x14ac:dyDescent="0.25">
      <c r="A9" s="51" t="s">
        <v>7</v>
      </c>
      <c r="B9" s="52"/>
      <c r="C9" s="53"/>
    </row>
    <row r="10" spans="1:3" ht="14.45" hidden="1" customHeight="1" outlineLevel="1" x14ac:dyDescent="0.25">
      <c r="A10" s="2" t="s">
        <v>8</v>
      </c>
      <c r="B10" s="4" t="e">
        <f ca="1">_xll.VIEW((db_name&amp;":}ElementAttributes_variables"),"!","!")</f>
        <v>#NAME?</v>
      </c>
      <c r="C10" s="4"/>
    </row>
    <row r="11" spans="1:3" ht="14.45" hidden="1" customHeight="1" outlineLevel="1" x14ac:dyDescent="0.25">
      <c r="A11" s="2" t="s">
        <v>9</v>
      </c>
      <c r="B11" s="4" t="e">
        <f ca="1">_xll.DBR($B$10,$A11,"value")</f>
        <v>#NAME?</v>
      </c>
      <c r="C11" s="4"/>
    </row>
    <row r="12" spans="1:3" ht="14.45" hidden="1" customHeight="1" outlineLevel="1" x14ac:dyDescent="0.25">
      <c r="A12" s="2" t="s">
        <v>10</v>
      </c>
      <c r="B12" s="4" t="e">
        <f ca="1">_xll.DBR($B$10,$A12,"value")</f>
        <v>#NAME?</v>
      </c>
      <c r="C12" s="4"/>
    </row>
    <row r="13" spans="1:3" ht="14.45" hidden="1" customHeight="1" outlineLevel="1" x14ac:dyDescent="0.25">
      <c r="A13" t="s">
        <v>11</v>
      </c>
      <c r="B13" s="4" t="e">
        <f ca="1">_xll.DBR($B$10,$A13,"value")</f>
        <v>#NAME?</v>
      </c>
    </row>
    <row r="14" spans="1:3" ht="14.45" hidden="1" customHeight="1" outlineLevel="1" x14ac:dyDescent="0.25">
      <c r="A14" s="51" t="s">
        <v>12</v>
      </c>
      <c r="B14" s="52"/>
      <c r="C14" s="53"/>
    </row>
    <row r="15" spans="1:3" ht="14.45" hidden="1" customHeight="1" outlineLevel="1" x14ac:dyDescent="0.25">
      <c r="A15" s="4" t="s">
        <v>13</v>
      </c>
      <c r="B15" s="4" t="e">
        <f ca="1">_xll.VIEW((db_name&amp;":sys_Application"),"!","!")</f>
        <v>#NAME?</v>
      </c>
    </row>
    <row r="16" spans="1:3" ht="14.45" hidden="1" customHeight="1" outlineLevel="1" x14ac:dyDescent="0.25">
      <c r="A16" s="4" t="s">
        <v>14</v>
      </c>
      <c r="B16" s="4" t="s">
        <v>15</v>
      </c>
    </row>
    <row r="17" spans="1:7" ht="14.45" hidden="1" customHeight="1" outlineLevel="1" x14ac:dyDescent="0.25">
      <c r="A17" s="23" t="s">
        <v>16</v>
      </c>
      <c r="B17" s="24" t="s">
        <v>17</v>
      </c>
      <c r="C17" s="24" t="s">
        <v>18</v>
      </c>
      <c r="D17" s="24" t="s">
        <v>19</v>
      </c>
      <c r="E17" s="24" t="s">
        <v>20</v>
      </c>
      <c r="F17" s="24" t="s">
        <v>21</v>
      </c>
      <c r="G17" s="24" t="s">
        <v>22</v>
      </c>
    </row>
    <row r="18" spans="1:7" ht="14.45" hidden="1" customHeight="1" outlineLevel="1" x14ac:dyDescent="0.25">
      <c r="A18" s="4" t="s">
        <v>23</v>
      </c>
      <c r="B18" s="4" t="e">
        <f ca="1">_xll.DBR($B$15,$A18,B$17)</f>
        <v>#NAME?</v>
      </c>
      <c r="C18" s="4" t="e">
        <f ca="1">_xll.DBR($B$15,$A18,C$17)</f>
        <v>#NAME?</v>
      </c>
      <c r="D18" s="4" t="e">
        <f ca="1">_xll.DBR($B$15,$A18,D$17)</f>
        <v>#NAME?</v>
      </c>
      <c r="E18" s="4" t="e">
        <f ca="1">_xll.DBR($B$15,$A18,E$17)</f>
        <v>#NAME?</v>
      </c>
      <c r="F18" s="4" t="e">
        <f ca="1">_xll.DBR($B$15,$A18,F$17)</f>
        <v>#NAME?</v>
      </c>
      <c r="G18" s="4" t="e">
        <f ca="1">_xll.DBR($B$15,$A18,G$17)</f>
        <v>#NAME?</v>
      </c>
    </row>
    <row r="19" spans="1:7" ht="14.45" hidden="1" customHeight="1" outlineLevel="1" x14ac:dyDescent="0.25">
      <c r="A19" s="4" t="s">
        <v>24</v>
      </c>
      <c r="B19" s="4" t="e">
        <f ca="1">_xll.DBR($B$15,$A19,B$17)</f>
        <v>#NAME?</v>
      </c>
      <c r="C19" s="4" t="e">
        <f ca="1">_xll.DBR($B$15,$A19,C$17)</f>
        <v>#NAME?</v>
      </c>
      <c r="D19" s="4" t="e">
        <f ca="1">_xll.DBR($B$15,$A19,D$17)</f>
        <v>#NAME?</v>
      </c>
      <c r="E19" s="4" t="e">
        <f ca="1">_xll.DBR($B$15,$A19,E$17)</f>
        <v>#NAME?</v>
      </c>
      <c r="F19" s="4" t="e">
        <f ca="1">_xll.DBR($B$15,$A19,F$17)</f>
        <v>#NAME?</v>
      </c>
      <c r="G19" s="4" t="e">
        <f ca="1">_xll.DBR($B$15,$A19,G$17)</f>
        <v>#NAME?</v>
      </c>
    </row>
    <row r="20" spans="1:7" ht="14.45" hidden="1" customHeight="1" outlineLevel="1" x14ac:dyDescent="0.25">
      <c r="A20" s="4" t="s">
        <v>25</v>
      </c>
      <c r="B20" s="4" t="e">
        <f ca="1">_xll.DBR($B$15,$A20,B$17)</f>
        <v>#NAME?</v>
      </c>
      <c r="C20" s="4" t="e">
        <f ca="1">_xll.DBR($B$15,$A20,C$17)</f>
        <v>#NAME?</v>
      </c>
      <c r="D20" s="4" t="e">
        <f ca="1">_xll.DBR($B$15,$A20,D$17)</f>
        <v>#NAME?</v>
      </c>
      <c r="E20" s="4" t="e">
        <f ca="1">_xll.DBR($B$15,$A20,E$17)</f>
        <v>#NAME?</v>
      </c>
      <c r="F20" s="4" t="e">
        <f ca="1">_xll.DBR($B$15,$A20,F$17)</f>
        <v>#NAME?</v>
      </c>
      <c r="G20" s="4" t="e">
        <f ca="1">_xll.DBR($B$15,$A20,G$17)</f>
        <v>#NAME?</v>
      </c>
    </row>
    <row r="21" spans="1:7" ht="14.45" hidden="1" customHeight="1" outlineLevel="1" x14ac:dyDescent="0.25">
      <c r="A21" s="4" t="s">
        <v>26</v>
      </c>
      <c r="B21" s="4" t="e">
        <f ca="1">_xll.DBR($B$15,$A21,B$17)</f>
        <v>#NAME?</v>
      </c>
      <c r="C21" s="4" t="e">
        <f ca="1">_xll.DBR($B$15,$A21,C$17)</f>
        <v>#NAME?</v>
      </c>
      <c r="D21" s="4" t="e">
        <f ca="1">_xll.DBR($B$15,$A21,D$17)</f>
        <v>#NAME?</v>
      </c>
      <c r="E21" s="4" t="e">
        <f ca="1">_xll.DBR($B$15,$A21,E$17)</f>
        <v>#NAME?</v>
      </c>
      <c r="F21" s="4" t="e">
        <f ca="1">_xll.DBR($B$15,$A21,F$17)</f>
        <v>#NAME?</v>
      </c>
      <c r="G21" s="4" t="e">
        <f ca="1">_xll.DBR($B$15,$A21,G$17)</f>
        <v>#NAME?</v>
      </c>
    </row>
    <row r="22" spans="1:7" ht="14.45" hidden="1" customHeight="1" outlineLevel="1" x14ac:dyDescent="0.25">
      <c r="A22" s="4" t="s">
        <v>27</v>
      </c>
      <c r="B22" s="4" t="e">
        <f ca="1">_xll.DBR($B$15,$A22,B$17)</f>
        <v>#NAME?</v>
      </c>
      <c r="C22" s="4" t="e">
        <f ca="1">_xll.DBR($B$15,$A22,C$17)</f>
        <v>#NAME?</v>
      </c>
      <c r="D22" s="4" t="e">
        <f ca="1">_xll.DBR($B$15,$A22,D$17)</f>
        <v>#NAME?</v>
      </c>
      <c r="E22" s="4" t="e">
        <f ca="1">_xll.DBR($B$15,$A22,E$17)</f>
        <v>#NAME?</v>
      </c>
      <c r="F22" s="4" t="e">
        <f ca="1">_xll.DBR($B$15,$A22,F$17)</f>
        <v>#NAME?</v>
      </c>
      <c r="G22" s="4" t="e">
        <f ca="1">_xll.DBR($B$15,$A22,G$17)</f>
        <v>#NAME?</v>
      </c>
    </row>
    <row r="23" spans="1:7" ht="14.45" hidden="1" customHeight="1" outlineLevel="1" x14ac:dyDescent="0.25"/>
    <row r="24" spans="1:7" ht="14.45" hidden="1" customHeight="1" outlineLevel="1" x14ac:dyDescent="0.25">
      <c r="A24" s="51" t="s">
        <v>28</v>
      </c>
      <c r="B24" s="52"/>
      <c r="C24" s="53"/>
      <c r="E24" s="51" t="s">
        <v>29</v>
      </c>
      <c r="F24" s="52"/>
      <c r="G24" s="53"/>
    </row>
    <row r="25" spans="1:7" ht="14.45" hidden="1" customHeight="1" outlineLevel="1" x14ac:dyDescent="0.25">
      <c r="A25" s="2" t="s">
        <v>8</v>
      </c>
      <c r="B25" s="4" t="e">
        <f ca="1">_xll.VIEW((db_name&amp;":sys_client preference"),"!","!","!")</f>
        <v>#NAME?</v>
      </c>
      <c r="C25" s="4"/>
      <c r="E25" s="4" t="s">
        <v>30</v>
      </c>
      <c r="F25" s="4" t="e">
        <f ca="1">("sys_ae_"&amp;$M$104)</f>
        <v>#NAME?</v>
      </c>
      <c r="G25" s="4"/>
    </row>
    <row r="26" spans="1:7" ht="14.45" hidden="1" customHeight="1" outlineLevel="1" x14ac:dyDescent="0.25">
      <c r="A26" s="2"/>
      <c r="B26" s="5" t="s">
        <v>31</v>
      </c>
      <c r="C26" s="5" t="s">
        <v>32</v>
      </c>
    </row>
    <row r="27" spans="1:7" ht="14.45" hidden="1" customHeight="1" outlineLevel="1" x14ac:dyDescent="0.25">
      <c r="A27" s="2" t="s">
        <v>33</v>
      </c>
      <c r="B27" s="4" t="e">
        <f ca="1">_xll.SUBNM((db_name&amp;":sys_client preference measure"),"","value")</f>
        <v>#NAME?</v>
      </c>
      <c r="C27" s="5"/>
    </row>
    <row r="28" spans="1:7" ht="14.45" hidden="1" customHeight="1" outlineLevel="1" x14ac:dyDescent="0.25">
      <c r="A28" s="2" t="s">
        <v>33</v>
      </c>
      <c r="B28" s="4" t="e">
        <f ca="1">_xll.SUBNM((db_name&amp;":sys_client preference measure"),"","validate")</f>
        <v>#NAME?</v>
      </c>
      <c r="C28" s="5"/>
    </row>
    <row r="29" spans="1:7" ht="14.45" hidden="1" customHeight="1" outlineLevel="1" x14ac:dyDescent="0.25">
      <c r="A29" s="2" t="s">
        <v>34</v>
      </c>
      <c r="B29" s="4" t="e">
        <f ca="1">_xll.DBR($B$25,psUser,$A29,"value")</f>
        <v>#NAME?</v>
      </c>
      <c r="C29" s="4" t="e">
        <f ca="1">_xll.DBR($B$25,psUser,$A29,C$26)</f>
        <v>#NAME?</v>
      </c>
    </row>
    <row r="30" spans="1:7" ht="14.45" hidden="1" customHeight="1" outlineLevel="1" x14ac:dyDescent="0.25">
      <c r="A30" s="2" t="s">
        <v>35</v>
      </c>
      <c r="B30" s="4" t="e">
        <f ca="1">_xll.DBR($B$25,psUser,$A30,"value")</f>
        <v>#NAME?</v>
      </c>
      <c r="C30" s="4" t="e">
        <f ca="1">_xll.DBR($B$25,psUser,$A30,C$26)</f>
        <v>#NAME?</v>
      </c>
    </row>
    <row r="31" spans="1:7" ht="14.45" hidden="1" customHeight="1" outlineLevel="1" x14ac:dyDescent="0.25">
      <c r="A31" s="2" t="s">
        <v>36</v>
      </c>
      <c r="B31" s="4" t="e">
        <f ca="1">_xll.DBR($B$25,psUser,$A31,"value")</f>
        <v>#NAME?</v>
      </c>
      <c r="C31" s="4" t="e">
        <f ca="1">_xll.DBR($B$25,psUser,$A31,C$26)</f>
        <v>#NAME?</v>
      </c>
    </row>
    <row r="32" spans="1:7" ht="14.45" hidden="1" customHeight="1" outlineLevel="1" x14ac:dyDescent="0.25">
      <c r="A32" s="2" t="s">
        <v>37</v>
      </c>
      <c r="B32" s="4" t="e">
        <f ca="1">_xll.DBR($B$25,psUser,$A32,"value")</f>
        <v>#NAME?</v>
      </c>
      <c r="C32" s="4" t="e">
        <f ca="1">_xll.DBR($B$25,psUser,$A32,"value")</f>
        <v>#NAME?</v>
      </c>
    </row>
    <row r="33" spans="1:3" ht="14.45" hidden="1" customHeight="1" outlineLevel="1" x14ac:dyDescent="0.25">
      <c r="A33" s="2" t="s">
        <v>38</v>
      </c>
      <c r="B33" s="4" t="e">
        <f ca="1">_xll.DBR($B$25,psUser,$A33,B$26)</f>
        <v>#NAME?</v>
      </c>
      <c r="C33" s="4" t="e">
        <f ca="1">_xll.DBR($B$25,psUser,$A33,C$26)</f>
        <v>#NAME?</v>
      </c>
    </row>
    <row r="34" spans="1:3" ht="14.45" hidden="1" customHeight="1" outlineLevel="1" x14ac:dyDescent="0.25">
      <c r="A34" s="4" t="s">
        <v>39</v>
      </c>
      <c r="B34" s="4" t="e">
        <f ca="1">_xll.DBR($B$25,psUser,$A34,B$26)</f>
        <v>#NAME?</v>
      </c>
      <c r="C34" s="4" t="e">
        <f ca="1">_xll.DBR($B$25,psUser,$A34,C$26)</f>
        <v>#NAME?</v>
      </c>
    </row>
    <row r="35" spans="1:3" ht="14.45" hidden="1" customHeight="1" outlineLevel="1" x14ac:dyDescent="0.25">
      <c r="A35" s="4" t="s">
        <v>40</v>
      </c>
      <c r="B35" s="4" t="e">
        <f ca="1">_xll.DBR($B$25,psUser,$A35,B$26)</f>
        <v>#NAME?</v>
      </c>
      <c r="C35" s="4" t="e">
        <f ca="1">_xll.DBR($B$25,psUser,$A35,C$26)</f>
        <v>#NAME?</v>
      </c>
    </row>
    <row r="36" spans="1:3" ht="14.45" hidden="1" customHeight="1" outlineLevel="1" x14ac:dyDescent="0.25">
      <c r="A36" s="4" t="s">
        <v>41</v>
      </c>
      <c r="B36" s="4" t="e">
        <f ca="1">_xll.DBR($B$25,psUser,$A36,B$26)</f>
        <v>#NAME?</v>
      </c>
      <c r="C36" s="4" t="e">
        <f ca="1">_xll.DBR($B$25,psUser,$A36,C$26)</f>
        <v>#NAME?</v>
      </c>
    </row>
    <row r="37" spans="1:3" ht="14.45" hidden="1" customHeight="1" outlineLevel="1" x14ac:dyDescent="0.25">
      <c r="A37" s="4" t="s">
        <v>42</v>
      </c>
      <c r="B37" s="4" t="e">
        <f ca="1">_xll.DBR($B$25,psUser,$A37,B$26)</f>
        <v>#NAME?</v>
      </c>
      <c r="C37" s="4" t="e">
        <f ca="1">_xll.DBR($B$25,psUser,$A37,C$26)</f>
        <v>#NAME?</v>
      </c>
    </row>
    <row r="38" spans="1:3" ht="14.45" hidden="1" customHeight="1" outlineLevel="1" x14ac:dyDescent="0.25">
      <c r="A38" s="4" t="s">
        <v>43</v>
      </c>
      <c r="B38" s="4" t="e">
        <f ca="1">_xll.DBR($B$25,psUser,$A38,B$26)</f>
        <v>#NAME?</v>
      </c>
      <c r="C38" s="4" t="e">
        <f ca="1">_xll.DBR($B$25,psUser,$A38,C$26)</f>
        <v>#NAME?</v>
      </c>
    </row>
    <row r="39" spans="1:3" ht="14.45" hidden="1" customHeight="1" outlineLevel="1" x14ac:dyDescent="0.25">
      <c r="A39" s="4" t="s">
        <v>44</v>
      </c>
      <c r="B39" s="4" t="e">
        <f ca="1">_xll.DBR($B$25,psUser,$A39,B$26)</f>
        <v>#NAME?</v>
      </c>
      <c r="C39" s="4" t="e">
        <f ca="1">_xll.DBR($B$25,psUser,$A39,C$26)</f>
        <v>#NAME?</v>
      </c>
    </row>
    <row r="40" spans="1:3" ht="14.45" hidden="1" customHeight="1" outlineLevel="1" x14ac:dyDescent="0.25">
      <c r="A40" s="4" t="s">
        <v>45</v>
      </c>
      <c r="B40" s="4" t="e">
        <f ca="1">_xll.DBR($B$25,psUser,$A40,B$26)</f>
        <v>#NAME?</v>
      </c>
      <c r="C40" s="4" t="e">
        <f ca="1">_xll.DBR($B$25,psUser,$A40,C$26)</f>
        <v>#NAME?</v>
      </c>
    </row>
    <row r="41" spans="1:3" ht="14.45" hidden="1" customHeight="1" outlineLevel="1" x14ac:dyDescent="0.25">
      <c r="A41" s="4" t="s">
        <v>46</v>
      </c>
      <c r="B41" s="4" t="e">
        <f ca="1">_xll.DBR($B$25,psUser,$A41,B$26)</f>
        <v>#NAME?</v>
      </c>
      <c r="C41" s="4" t="e">
        <f ca="1">_xll.DBR($B$25,psUser,$A41,C$26)</f>
        <v>#NAME?</v>
      </c>
    </row>
    <row r="42" spans="1:3" ht="14.45" hidden="1" customHeight="1" outlineLevel="1" x14ac:dyDescent="0.25">
      <c r="A42" s="4" t="s">
        <v>47</v>
      </c>
      <c r="B42" s="4" t="e">
        <f ca="1">_xll.DBR($B$25,psUser,$A42,B$26)</f>
        <v>#NAME?</v>
      </c>
      <c r="C42" s="4" t="e">
        <f ca="1">_xll.DBR($B$25,psUser,$A42,C$26)</f>
        <v>#NAME?</v>
      </c>
    </row>
    <row r="43" spans="1:3" ht="14.45" hidden="1" customHeight="1" outlineLevel="1" x14ac:dyDescent="0.25">
      <c r="A43" s="4" t="s">
        <v>48</v>
      </c>
      <c r="B43" s="4" t="e">
        <f ca="1">_xll.DBR($B$25,psUser,$A43,B$26)</f>
        <v>#NAME?</v>
      </c>
      <c r="C43" s="4" t="e">
        <f ca="1">_xll.DBR($B$25,psUser,$A43,C$26)</f>
        <v>#NAME?</v>
      </c>
    </row>
    <row r="44" spans="1:3" ht="14.45" hidden="1" customHeight="1" outlineLevel="1" x14ac:dyDescent="0.25">
      <c r="A44" s="4" t="s">
        <v>49</v>
      </c>
      <c r="B44" s="4" t="e">
        <f ca="1">_xll.DBR($B$25,psUser,$A44,B$26)</f>
        <v>#NAME?</v>
      </c>
      <c r="C44" s="4" t="e">
        <f ca="1">_xll.DBR($B$25,psUser,$A44,C$26)</f>
        <v>#NAME?</v>
      </c>
    </row>
    <row r="45" spans="1:3" ht="14.45" hidden="1" customHeight="1" outlineLevel="1" x14ac:dyDescent="0.25"/>
    <row r="46" spans="1:3" ht="14.45" hidden="1" customHeight="1" outlineLevel="1" x14ac:dyDescent="0.25">
      <c r="A46" s="51" t="s">
        <v>50</v>
      </c>
      <c r="B46" s="52"/>
      <c r="C46" s="53"/>
    </row>
    <row r="47" spans="1:3" ht="14.45" hidden="1" customHeight="1" outlineLevel="1" x14ac:dyDescent="0.25">
      <c r="A47" s="2" t="s">
        <v>51</v>
      </c>
      <c r="B47" s="4" t="e">
        <f ca="1">_xll.VIEW((db_name&amp;":AE id details"),$B$48,$B$49,$B$50,"!")</f>
        <v>#NAME?</v>
      </c>
      <c r="C47" s="4"/>
    </row>
    <row r="48" spans="1:3" ht="14.45" hidden="1" customHeight="1" outlineLevel="1" x14ac:dyDescent="0.25">
      <c r="A48" s="2" t="s">
        <v>52</v>
      </c>
      <c r="B48" s="4" t="e">
        <f ca="1">_xll.SUBNM((db_name&amp;":headline year"),"Default",$B$29)</f>
        <v>#NAME?</v>
      </c>
      <c r="C48" s="4"/>
    </row>
    <row r="49" spans="1:5" ht="14.45" hidden="1" customHeight="1" outlineLevel="1" x14ac:dyDescent="0.25">
      <c r="A49" s="2" t="s">
        <v>53</v>
      </c>
      <c r="B49" s="4" t="e">
        <f ca="1">_xll.SUBNM((db_name&amp;":scenario"),"Default",$B$30)</f>
        <v>#NAME?</v>
      </c>
      <c r="C49" s="4"/>
    </row>
    <row r="50" spans="1:5" ht="14.45" hidden="1" customHeight="1" outlineLevel="1" x14ac:dyDescent="0.25">
      <c r="A50" s="2" t="s">
        <v>54</v>
      </c>
      <c r="B50" s="4" t="e">
        <f ca="1">_xll.SUBNM((db_name&amp;":id"),"",$B$31)</f>
        <v>#NAME?</v>
      </c>
      <c r="C50" s="4"/>
    </row>
    <row r="51" spans="1:5" ht="14.45" hidden="1" customHeight="1" outlineLevel="1" x14ac:dyDescent="0.25">
      <c r="A51" s="2" t="s">
        <v>55</v>
      </c>
      <c r="B51" s="4" t="e">
        <f ca="1">_xll.DBR($B$47,$B$48,$B$49,$B$50,$A51)</f>
        <v>#NAME?</v>
      </c>
      <c r="C51" s="4"/>
    </row>
    <row r="52" spans="1:5" ht="14.45" hidden="1" customHeight="1" outlineLevel="1" x14ac:dyDescent="0.25">
      <c r="A52" s="2" t="e">
        <f ca="1">IF(OR(($B$13=""),($B$13="programme")),"programme code","program code")</f>
        <v>#NAME?</v>
      </c>
      <c r="B52" s="4" t="e">
        <f ca="1">_xll.DBR($B$47,$B$48,$B$49,$B$50,$A52)</f>
        <v>#NAME?</v>
      </c>
    </row>
    <row r="53" spans="1:5" ht="14.45" hidden="1" customHeight="1" outlineLevel="1" x14ac:dyDescent="0.25">
      <c r="A53" s="2" t="s">
        <v>56</v>
      </c>
      <c r="B53" s="4" t="e">
        <f ca="1">_xll.DBR($B$47,$B$48,$B$49,$B$50,$A53)</f>
        <v>#NAME?</v>
      </c>
    </row>
    <row r="54" spans="1:5" ht="14.45" hidden="1" customHeight="1" outlineLevel="1" x14ac:dyDescent="0.25"/>
    <row r="55" spans="1:5" ht="14.45" hidden="1" customHeight="1" outlineLevel="1" x14ac:dyDescent="0.25"/>
    <row r="56" spans="1:5" ht="14.45" hidden="1" customHeight="1" outlineLevel="1" x14ac:dyDescent="0.25"/>
    <row r="57" spans="1:5" ht="14.45" hidden="1" customHeight="1" outlineLevel="1" x14ac:dyDescent="0.25"/>
    <row r="58" spans="1:5" ht="14.45" hidden="1" customHeight="1" outlineLevel="1" x14ac:dyDescent="0.25">
      <c r="A58" s="51" t="s">
        <v>57</v>
      </c>
      <c r="B58" s="52"/>
      <c r="C58" s="53"/>
      <c r="D58" s="25" t="s">
        <v>58</v>
      </c>
      <c r="E58" s="25" t="s">
        <v>59</v>
      </c>
    </row>
    <row r="59" spans="1:5" ht="14.45" hidden="1" customHeight="1" outlineLevel="1" x14ac:dyDescent="0.25">
      <c r="A59" s="2" t="s">
        <v>51</v>
      </c>
      <c r="B59" s="4" t="e">
        <f ca="1">_xll.VIEW((db_name&amp;(":"&amp;($A$60&amp;" details"))),$B$11,$B$12,"!","!")</f>
        <v>#NAME?</v>
      </c>
      <c r="C59" s="4"/>
    </row>
    <row r="60" spans="1:5" ht="14.45" hidden="1" customHeight="1" outlineLevel="1" x14ac:dyDescent="0.25">
      <c r="A60" s="4" t="e">
        <f ca="1">IF(OR(($B$13=""),($B$13="programme")),"programme","program")</f>
        <v>#NAME?</v>
      </c>
      <c r="B60" s="4" t="e">
        <f ca="1">_xll.DBR($B$59,psHLYear,psScenario,$M$106,$A60)</f>
        <v>#NAME?</v>
      </c>
      <c r="C60" s="4" t="e">
        <f ca="1">_xll.DBRA((db_name&amp;(":"&amp;$A60)),$B60,"code and description")</f>
        <v>#NAME?</v>
      </c>
      <c r="E60" t="e">
        <f ca="1">_xll.VIEW((db_name&amp;(":}ElementAttributes_"&amp;$A60)),"!","!")</f>
        <v>#NAME?</v>
      </c>
    </row>
    <row r="61" spans="1:5" ht="14.45" hidden="1" customHeight="1" outlineLevel="1" x14ac:dyDescent="0.25">
      <c r="A61" s="4" t="s">
        <v>60</v>
      </c>
      <c r="B61" s="4" t="e">
        <f ca="1">_xll.DBR($B$59,psHLYear,psScenario,$M$106,$A61)</f>
        <v>#NAME?</v>
      </c>
      <c r="C61" s="4" t="e">
        <f ca="1">_xll.DBRA((db_name&amp;(":"&amp;$A61)),$B61,"code and description")</f>
        <v>#NAME?</v>
      </c>
      <c r="E61" t="e">
        <f ca="1">_xll.VIEW((db_name&amp;(":}ElementAttributes_"&amp;$A61)),"!","!")</f>
        <v>#NAME?</v>
      </c>
    </row>
    <row r="62" spans="1:5" ht="14.45" hidden="1" customHeight="1" outlineLevel="1" x14ac:dyDescent="0.25">
      <c r="A62" s="4" t="s">
        <v>61</v>
      </c>
      <c r="B62" s="4" t="e">
        <f ca="1">_xll.DBR($B$59,psHLYear,psScenario,$M$106,$A62)</f>
        <v>#NAME?</v>
      </c>
      <c r="C62" s="4" t="e">
        <f ca="1">_xll.DBRA((db_name&amp;(":"&amp;$A62)),$B62,"code and description")</f>
        <v>#NAME?</v>
      </c>
      <c r="E62" t="e">
        <f ca="1">_xll.VIEW((db_name&amp;(":}ElementAttributes_"&amp;$A62)),"!","!")</f>
        <v>#NAME?</v>
      </c>
    </row>
    <row r="63" spans="1:5" ht="14.45" hidden="1" customHeight="1" outlineLevel="1" x14ac:dyDescent="0.25">
      <c r="A63" s="4" t="s">
        <v>62</v>
      </c>
      <c r="B63" s="4" t="e">
        <f ca="1">_xll.DBR($B$59,psHLYear,psScenario,$M$106,$A63)</f>
        <v>#NAME?</v>
      </c>
      <c r="C63" s="4" t="e">
        <f ca="1">_xll.DBRA((db_name&amp;(":"&amp;$A63)),$B63,"code and description")</f>
        <v>#NAME?</v>
      </c>
      <c r="E63" t="e">
        <f ca="1">_xll.VIEW((db_name&amp;(":}ElementAttributes_"&amp;$A63)),"!","!")</f>
        <v>#NAME?</v>
      </c>
    </row>
    <row r="64" spans="1:5" ht="14.45" hidden="1" customHeight="1" outlineLevel="1" x14ac:dyDescent="0.25">
      <c r="A64" s="4" t="s">
        <v>63</v>
      </c>
      <c r="B64" s="4" t="e">
        <f ca="1">_xll.DBR($B$59,psHLYear,psScenario,$M$106,$A64)</f>
        <v>#NAME?</v>
      </c>
      <c r="C64" s="4" t="e">
        <f ca="1">_xll.DBRA((db_name&amp;(":"&amp;$A64)),$B64,"code and description")</f>
        <v>#NAME?</v>
      </c>
      <c r="E64" t="e">
        <f ca="1">_xll.VIEW((db_name&amp;(":}ElementAttributes_"&amp;$A64)),"!","!")</f>
        <v>#NAME?</v>
      </c>
    </row>
    <row r="65" spans="1:5" ht="14.45" hidden="1" customHeight="1" outlineLevel="1" x14ac:dyDescent="0.25">
      <c r="A65" s="4" t="s">
        <v>64</v>
      </c>
      <c r="B65" s="4" t="e">
        <f ca="1">_xll.DBR($B$59,psHLYear,psScenario,$M$106,$A65)</f>
        <v>#NAME?</v>
      </c>
      <c r="C65" s="4" t="e">
        <f ca="1">_xll.DBRA((db_name&amp;(":"&amp;$A65)),$B65,"code and description")</f>
        <v>#NAME?</v>
      </c>
      <c r="E65" t="e">
        <f ca="1">_xll.VIEW((db_name&amp;(":}ElementAttributes_"&amp;$A65)),"!","!")</f>
        <v>#NAME?</v>
      </c>
    </row>
    <row r="66" spans="1:5" ht="14.45" hidden="1" customHeight="1" outlineLevel="1" x14ac:dyDescent="0.25">
      <c r="A66" s="4" t="s">
        <v>65</v>
      </c>
      <c r="B66" s="4" t="e">
        <f ca="1">_xll.DBR($B$59,psHLYear,psScenario,$M$106,$A66)</f>
        <v>#NAME?</v>
      </c>
      <c r="C66" s="4" t="e">
        <f ca="1">TRIM(B66)</f>
        <v>#NAME?</v>
      </c>
    </row>
    <row r="67" spans="1:5" ht="14.45" hidden="1" customHeight="1" outlineLevel="1" x14ac:dyDescent="0.25"/>
    <row r="68" spans="1:5" ht="14.45" hidden="1" customHeight="1" outlineLevel="1" x14ac:dyDescent="0.25">
      <c r="A68" s="54" t="s">
        <v>66</v>
      </c>
      <c r="B68" s="55"/>
    </row>
    <row r="69" spans="1:5" ht="14.45" hidden="1" customHeight="1" outlineLevel="1" x14ac:dyDescent="0.25">
      <c r="A69" s="4" t="s">
        <v>67</v>
      </c>
      <c r="B69" s="4" t="e">
        <f ca="1">_xll.VIEW((db_name&amp;(":}ElementAttributes_"&amp;A69)),"!","!")</f>
        <v>#NAME?</v>
      </c>
    </row>
    <row r="70" spans="1:5" ht="14.45" hidden="1" customHeight="1" outlineLevel="1" x14ac:dyDescent="0.25">
      <c r="A70" s="4" t="s">
        <v>68</v>
      </c>
      <c r="B70" s="4" t="e">
        <f ca="1">_xll.DBR($B$69,$M$108,$A70)</f>
        <v>#NAME?</v>
      </c>
    </row>
    <row r="71" spans="1:5" ht="14.45" hidden="1" customHeight="1" outlineLevel="1" x14ac:dyDescent="0.25"/>
    <row r="72" spans="1:5" ht="14.45" hidden="1" customHeight="1" outlineLevel="1" x14ac:dyDescent="0.25">
      <c r="A72" s="51" t="s">
        <v>69</v>
      </c>
      <c r="B72" s="52"/>
      <c r="C72" s="53"/>
    </row>
    <row r="73" spans="1:5" ht="14.45" hidden="1" customHeight="1" outlineLevel="1" x14ac:dyDescent="0.25">
      <c r="A73" s="2" t="s">
        <v>70</v>
      </c>
      <c r="B73" s="4" t="e">
        <f ca="1">IF(($M$108=""),"",IF(AND(($B$70="Y"),($M$110&lt;&gt;"")),$M$110,"No Measure"))</f>
        <v>#NAME?</v>
      </c>
    </row>
    <row r="74" spans="1:5" ht="14.45" hidden="1" customHeight="1" outlineLevel="1" x14ac:dyDescent="0.25">
      <c r="A74" s="2" t="s">
        <v>71</v>
      </c>
      <c r="B74" s="4"/>
      <c r="D74" t="s">
        <v>72</v>
      </c>
    </row>
    <row r="75" spans="1:5" ht="14.45" hidden="1" customHeight="1" outlineLevel="1" x14ac:dyDescent="0.25">
      <c r="A75" s="2" t="s">
        <v>73</v>
      </c>
      <c r="B75" s="4" t="e">
        <f ca="1">IF(($B$70="Y"),"sys_adj measure code only","sys_adj no measure code")</f>
        <v>#NAME?</v>
      </c>
    </row>
    <row r="76" spans="1:5" ht="14.45" hidden="1" customHeight="1" outlineLevel="1" x14ac:dyDescent="0.25">
      <c r="A76" s="2" t="s">
        <v>74</v>
      </c>
      <c r="B76" s="4" t="e">
        <f ca="1">_xll.SUBNM((db_name&amp;":measure code"),$B$75,1)</f>
        <v>#NAME?</v>
      </c>
    </row>
    <row r="77" spans="1:5" ht="14.45" hidden="1" customHeight="1" outlineLevel="1" x14ac:dyDescent="0.25"/>
    <row r="78" spans="1:5" ht="14.45" hidden="1" customHeight="1" outlineLevel="1" x14ac:dyDescent="0.25">
      <c r="A78" s="51" t="s">
        <v>75</v>
      </c>
      <c r="B78" s="52"/>
      <c r="C78" s="53"/>
    </row>
    <row r="79" spans="1:5" ht="14.45" hidden="1" customHeight="1" outlineLevel="1" x14ac:dyDescent="0.25">
      <c r="A79" s="4" t="s">
        <v>76</v>
      </c>
      <c r="B79" s="4" t="e">
        <f ca="1">$M$104</f>
        <v>#NAME?</v>
      </c>
    </row>
    <row r="80" spans="1:5" ht="14.45" hidden="1" customHeight="1" outlineLevel="1" x14ac:dyDescent="0.25">
      <c r="A80" s="4" t="s">
        <v>77</v>
      </c>
      <c r="B80" s="4" t="e">
        <f ca="1">$M$106</f>
        <v>#NAME?</v>
      </c>
    </row>
    <row r="81" spans="1:19" ht="14.45" hidden="1" customHeight="1" outlineLevel="1" x14ac:dyDescent="0.25">
      <c r="A81" s="4" t="s">
        <v>78</v>
      </c>
      <c r="B81" s="4" t="e">
        <f ca="1">$M$108</f>
        <v>#NAME?</v>
      </c>
    </row>
    <row r="82" spans="1:19" ht="14.45" hidden="1" customHeight="1" outlineLevel="1" x14ac:dyDescent="0.25">
      <c r="A82" s="4" t="s">
        <v>79</v>
      </c>
      <c r="B82" s="4" t="e">
        <f ca="1">$M$110</f>
        <v>#NAME?</v>
      </c>
    </row>
    <row r="83" spans="1:19" ht="14.45" hidden="1" customHeight="1" outlineLevel="1" x14ac:dyDescent="0.25">
      <c r="A83" s="4" t="s">
        <v>80</v>
      </c>
      <c r="B83" s="4" t="e">
        <f ca="1">$M$112</f>
        <v>#NAME?</v>
      </c>
    </row>
    <row r="84" spans="1:19" ht="14.45" hidden="1" customHeight="1" outlineLevel="1" x14ac:dyDescent="0.25">
      <c r="A84" s="4" t="s">
        <v>81</v>
      </c>
      <c r="B84" s="4" t="e">
        <f ca="1">$M$114</f>
        <v>#NAME?</v>
      </c>
    </row>
    <row r="85" spans="1:19" ht="14.45" hidden="1" customHeight="1" outlineLevel="1" x14ac:dyDescent="0.25">
      <c r="A85" s="4" t="s">
        <v>82</v>
      </c>
      <c r="B85" s="4" t="e">
        <f ca="1">$M$127</f>
        <v>#NAME?</v>
      </c>
    </row>
    <row r="86" spans="1:19" ht="14.45" hidden="1" customHeight="1" outlineLevel="1" x14ac:dyDescent="0.25">
      <c r="A86" s="4" t="s">
        <v>83</v>
      </c>
      <c r="B86" s="4" t="e">
        <f ca="1">$M$129</f>
        <v>#NAME?</v>
      </c>
    </row>
    <row r="87" spans="1:19" ht="14.45" hidden="1" customHeight="1" outlineLevel="1" x14ac:dyDescent="0.25">
      <c r="A87" s="4" t="s">
        <v>84</v>
      </c>
      <c r="B87" s="4" t="e">
        <f ca="1">$M$131</f>
        <v>#NAME?</v>
      </c>
    </row>
    <row r="88" spans="1:19" ht="14.45" hidden="1" customHeight="1" outlineLevel="1" x14ac:dyDescent="0.25">
      <c r="A88" s="4" t="s">
        <v>85</v>
      </c>
      <c r="B88" s="4" t="e">
        <f ca="1">$M$133</f>
        <v>#NAME?</v>
      </c>
    </row>
    <row r="89" spans="1:19" ht="14.45" hidden="1" customHeight="1" outlineLevel="1" x14ac:dyDescent="0.25">
      <c r="A89" s="4" t="s">
        <v>86</v>
      </c>
      <c r="B89" s="4" t="e">
        <f ca="1">$M$135</f>
        <v>#NAME?</v>
      </c>
    </row>
    <row r="90" spans="1:19" ht="14.45" hidden="1" customHeight="1" outlineLevel="1" x14ac:dyDescent="0.25">
      <c r="A90" s="4" t="s">
        <v>87</v>
      </c>
      <c r="B90" s="4" t="e">
        <f ca="1">$M$122</f>
        <v>#NAME?</v>
      </c>
    </row>
    <row r="91" spans="1:19" ht="14.45" hidden="1" customHeight="1" outlineLevel="1" x14ac:dyDescent="0.25"/>
    <row r="92" spans="1:19" ht="14.45" hidden="1" customHeight="1" outlineLevel="1" x14ac:dyDescent="0.25"/>
    <row r="93" spans="1:19" ht="14.45" hidden="1" customHeight="1" outlineLevel="1" x14ac:dyDescent="0.25"/>
    <row r="94" spans="1:19" ht="14.45" hidden="1" customHeight="1" outlineLevel="1" x14ac:dyDescent="0.25"/>
    <row r="95" spans="1:19" ht="39.75" customHeight="1" collapsed="1" x14ac:dyDescent="0.25">
      <c r="I95" s="6"/>
      <c r="J95" s="6"/>
      <c r="K95" s="6"/>
      <c r="L95" s="6"/>
      <c r="M95" s="6"/>
      <c r="N95" s="6"/>
      <c r="O95" s="6"/>
      <c r="P95" s="6"/>
      <c r="Q95" s="6"/>
      <c r="R95" s="9"/>
      <c r="S95" s="9" t="s">
        <v>88</v>
      </c>
    </row>
    <row r="96" spans="1:19" ht="4.5" customHeight="1" x14ac:dyDescent="0.25"/>
    <row r="97" spans="1:19" ht="24" customHeight="1" x14ac:dyDescent="0.25"/>
    <row r="98" spans="1:19" ht="2.1" customHeight="1" x14ac:dyDescent="0.25"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ht="5.0999999999999996" customHeight="1" x14ac:dyDescent="0.25"/>
    <row r="100" spans="1:19" ht="14.45" customHeight="1" x14ac:dyDescent="0.25">
      <c r="J100" s="26" t="s">
        <v>89</v>
      </c>
    </row>
    <row r="101" spans="1:19" ht="5.0999999999999996" customHeight="1" x14ac:dyDescent="0.25"/>
    <row r="102" spans="1:19" ht="15.6" customHeight="1" x14ac:dyDescent="0.25">
      <c r="A102" s="1" t="s">
        <v>90</v>
      </c>
      <c r="B102" s="1" t="s">
        <v>91</v>
      </c>
      <c r="K102" s="7" t="s">
        <v>92</v>
      </c>
      <c r="M102" s="27" t="e">
        <f ca="1">psID</f>
        <v>#NAME?</v>
      </c>
      <c r="N102" s="28" t="s">
        <v>93</v>
      </c>
      <c r="O102" s="29" t="e">
        <f ca="1">psStatus</f>
        <v>#NAME?</v>
      </c>
      <c r="P102" s="11"/>
      <c r="Q102" s="36" t="s">
        <v>94</v>
      </c>
      <c r="R102" s="36"/>
      <c r="S102" s="36"/>
    </row>
    <row r="103" spans="1:19" ht="5.0999999999999996" customHeight="1" x14ac:dyDescent="0.25">
      <c r="Q103" s="7"/>
      <c r="R103" s="7"/>
      <c r="S103" s="7"/>
    </row>
    <row r="104" spans="1:19" ht="14.45" customHeight="1" x14ac:dyDescent="0.25">
      <c r="A104" s="4" t="s">
        <v>39</v>
      </c>
      <c r="B104" s="4"/>
      <c r="K104" s="7" t="s">
        <v>95</v>
      </c>
      <c r="M104" s="57" t="e">
        <f ca="1">$B$34</f>
        <v>#NAME?</v>
      </c>
      <c r="N104" s="58"/>
      <c r="O104" s="59"/>
      <c r="P104" s="12"/>
      <c r="Q104" s="38" t="s">
        <v>96</v>
      </c>
      <c r="R104" s="38"/>
      <c r="S104" s="38"/>
    </row>
    <row r="105" spans="1:19" ht="5.0999999999999996" customHeight="1" x14ac:dyDescent="0.25"/>
    <row r="106" spans="1:19" ht="14.45" customHeight="1" x14ac:dyDescent="0.25">
      <c r="A106" s="4" t="s">
        <v>40</v>
      </c>
      <c r="B106" s="4" t="e">
        <f ca="1">IF(($M$106=""),_xll.DBSS($B$80,$B$25,$B$4,$A106,$B$27),"")</f>
        <v>#NAME?</v>
      </c>
      <c r="K106" s="7" t="s">
        <v>97</v>
      </c>
      <c r="M106" s="42" t="e">
        <f ca="1">_xll.SUBNM((db_name&amp;":programme"),$F$25,$B$52,"code and description")</f>
        <v>#NAME?</v>
      </c>
      <c r="N106" s="43"/>
      <c r="O106" s="44"/>
      <c r="P106" s="12"/>
      <c r="Q106" s="38" t="e">
        <f ca="1">_xll.DBR($B$25,$B$4,$A106,$B$28)</f>
        <v>#NAME?</v>
      </c>
      <c r="R106" s="38"/>
      <c r="S106" s="38"/>
    </row>
    <row r="107" spans="1:19" ht="5.0999999999999996" customHeight="1" x14ac:dyDescent="0.25"/>
    <row r="108" spans="1:19" ht="14.45" customHeight="1" x14ac:dyDescent="0.25">
      <c r="A108" s="4" t="s">
        <v>41</v>
      </c>
      <c r="K108" s="7" t="s">
        <v>98</v>
      </c>
      <c r="M108" s="39" t="e">
        <f ca="1">_xll.DBR($B$25,$B$4,$A108,$B$27)</f>
        <v>#NAME?</v>
      </c>
      <c r="N108" s="40"/>
      <c r="O108" s="41"/>
      <c r="P108" s="12"/>
      <c r="Q108" s="38" t="e">
        <f ca="1">_xll.DBR($B$25,$B$4,$A108,$B$28)</f>
        <v>#NAME?</v>
      </c>
      <c r="R108" s="38"/>
      <c r="S108" s="38"/>
    </row>
    <row r="109" spans="1:19" ht="5.0999999999999996" customHeight="1" x14ac:dyDescent="0.25"/>
    <row r="110" spans="1:19" ht="14.45" customHeight="1" x14ac:dyDescent="0.25">
      <c r="A110" s="4" t="s">
        <v>42</v>
      </c>
      <c r="B110" s="4" t="e">
        <f ca="1">IF(($M$110=""),_xll.DBSS($B$73,$B$25,$B$4,$A110,$B$27),"")</f>
        <v>#NAME?</v>
      </c>
      <c r="K110" s="7" t="s">
        <v>99</v>
      </c>
      <c r="M110" s="39" t="e">
        <f ca="1">_xll.SUBNM((db_name&amp;":measure code"),$B$75,$B$53,"CBMS code and description")</f>
        <v>#NAME?</v>
      </c>
      <c r="N110" s="40"/>
      <c r="O110" s="41"/>
      <c r="P110" s="12"/>
      <c r="Q110" s="38" t="e">
        <f ca="1">_xll.DBR($B$25,$B$4,$A110,$B$28)</f>
        <v>#NAME?</v>
      </c>
      <c r="R110" s="38"/>
      <c r="S110" s="38"/>
    </row>
    <row r="111" spans="1:19" ht="5.0999999999999996" customHeight="1" x14ac:dyDescent="0.25"/>
    <row r="112" spans="1:19" ht="14.45" customHeight="1" x14ac:dyDescent="0.25">
      <c r="A112" s="4" t="s">
        <v>43</v>
      </c>
      <c r="K112" s="7" t="s">
        <v>100</v>
      </c>
      <c r="M112" s="39" t="e">
        <f ca="1">_xll.DBR($B$25,$B$4,$A112,$B$27)</f>
        <v>#NAME?</v>
      </c>
      <c r="N112" s="40"/>
      <c r="O112" s="41"/>
      <c r="P112" s="12"/>
      <c r="Q112" s="38" t="e">
        <f ca="1">_xll.DBR($B$25,$B$4,$A112,$B$28)</f>
        <v>#NAME?</v>
      </c>
      <c r="R112" s="38"/>
      <c r="S112" s="38"/>
    </row>
    <row r="113" spans="1:19" ht="5.0999999999999996" customHeight="1" x14ac:dyDescent="0.25"/>
    <row r="114" spans="1:19" ht="14.45" customHeight="1" x14ac:dyDescent="0.25">
      <c r="A114" s="4" t="s">
        <v>44</v>
      </c>
      <c r="K114" s="7" t="s">
        <v>101</v>
      </c>
      <c r="M114" s="50" t="e">
        <f ca="1">_xll.DBR($B$25,$B$4,$A114,$B$27)</f>
        <v>#NAME?</v>
      </c>
      <c r="N114" s="50"/>
      <c r="O114" s="50"/>
      <c r="P114" s="13"/>
      <c r="Q114" s="56" t="e">
        <f ca="1">_xll.DBR($B$25,$B$4,$A114,$B$28)</f>
        <v>#NAME?</v>
      </c>
      <c r="R114" s="56"/>
      <c r="S114" s="56"/>
    </row>
    <row r="115" spans="1:19" ht="14.45" customHeight="1" x14ac:dyDescent="0.25">
      <c r="M115" s="50" t="e">
        <f ca="1">_xll.DBR($B$25,$B$4,$A115,$B$27)</f>
        <v>#NAME?</v>
      </c>
      <c r="N115" s="50"/>
      <c r="O115" s="50"/>
      <c r="P115" s="13"/>
      <c r="Q115" s="56"/>
      <c r="R115" s="56"/>
      <c r="S115" s="56"/>
    </row>
    <row r="116" spans="1:19" ht="14.45" customHeight="1" x14ac:dyDescent="0.25">
      <c r="K116" s="1"/>
      <c r="L116" s="1"/>
      <c r="M116" s="50" t="e">
        <f ca="1">_xll.DBR($B$25,$B$4,$A116,$B$27)</f>
        <v>#NAME?</v>
      </c>
      <c r="N116" s="50"/>
      <c r="O116" s="50"/>
      <c r="P116" s="13"/>
      <c r="Q116" s="56"/>
      <c r="R116" s="56"/>
      <c r="S116" s="56"/>
    </row>
    <row r="117" spans="1:19" ht="6" customHeight="1" x14ac:dyDescent="0.25">
      <c r="K117" s="1"/>
      <c r="L117" s="1"/>
    </row>
    <row r="118" spans="1:19" ht="14.45" customHeight="1" x14ac:dyDescent="0.25">
      <c r="A118" s="4" t="s">
        <v>102</v>
      </c>
      <c r="K118" s="7" t="s">
        <v>103</v>
      </c>
      <c r="M118" s="50" t="e">
        <f ca="1">_xll.DBR($B$25,$B$4,$A118,$B$27)</f>
        <v>#NAME?</v>
      </c>
      <c r="N118" s="50"/>
      <c r="O118" s="50"/>
      <c r="P118" s="13"/>
      <c r="Q118" s="56" t="e">
        <f ca="1">_xll.DBR($B$25,$B$4,$A118,$B$28)</f>
        <v>#NAME?</v>
      </c>
      <c r="R118" s="56"/>
      <c r="S118" s="56"/>
    </row>
    <row r="119" spans="1:19" ht="14.45" customHeight="1" x14ac:dyDescent="0.25">
      <c r="M119" s="50" t="e">
        <f ca="1">_xll.DBR($B$25,$B$4,$A119,$B$27)</f>
        <v>#NAME?</v>
      </c>
      <c r="N119" s="50"/>
      <c r="O119" s="50"/>
      <c r="P119" s="13"/>
      <c r="Q119" s="56"/>
      <c r="R119" s="56"/>
      <c r="S119" s="56"/>
    </row>
    <row r="120" spans="1:19" ht="14.45" customHeight="1" x14ac:dyDescent="0.25">
      <c r="K120" s="1"/>
      <c r="L120" s="1"/>
      <c r="M120" s="50" t="e">
        <f ca="1">_xll.DBR($B$25,$B$4,$A120,$B$27)</f>
        <v>#NAME?</v>
      </c>
      <c r="N120" s="50"/>
      <c r="O120" s="50"/>
      <c r="P120" s="13"/>
      <c r="Q120" s="56"/>
      <c r="R120" s="56"/>
      <c r="S120" s="56"/>
    </row>
    <row r="121" spans="1:19" ht="5.0999999999999996" customHeight="1" x14ac:dyDescent="0.25">
      <c r="K121" s="1"/>
      <c r="L121" s="1"/>
    </row>
    <row r="122" spans="1:19" ht="14.45" customHeight="1" x14ac:dyDescent="0.25">
      <c r="A122" s="4" t="s">
        <v>104</v>
      </c>
      <c r="K122" s="1"/>
      <c r="L122" s="30" t="s">
        <v>105</v>
      </c>
      <c r="M122" s="31" t="e">
        <f ca="1">_xll.DBR($B$25,$B$4,$A122,$B$27)</f>
        <v>#NAME?</v>
      </c>
      <c r="Q122" s="38" t="e">
        <f ca="1">_xll.DBR($B$25,$B$4,$A122,$B$28)</f>
        <v>#NAME?</v>
      </c>
      <c r="R122" s="38"/>
      <c r="S122" s="38"/>
    </row>
    <row r="123" spans="1:19" ht="5.0999999999999996" customHeight="1" x14ac:dyDescent="0.25">
      <c r="K123" s="1"/>
      <c r="L123" s="1"/>
    </row>
    <row r="124" spans="1:19" ht="14.45" customHeight="1" x14ac:dyDescent="0.25">
      <c r="K124" s="1"/>
      <c r="L124" s="1"/>
      <c r="M124" s="48" t="s">
        <v>106</v>
      </c>
      <c r="N124" s="49"/>
      <c r="O124" s="49"/>
      <c r="P124" s="14"/>
    </row>
    <row r="125" spans="1:19" ht="14.45" customHeight="1" x14ac:dyDescent="0.25">
      <c r="K125" s="7" t="s">
        <v>107</v>
      </c>
      <c r="L125" s="1"/>
      <c r="M125" s="45" t="e">
        <f ca="1">$B$60</f>
        <v>#NAME?</v>
      </c>
      <c r="N125" s="46"/>
      <c r="O125" s="47"/>
      <c r="P125" s="8"/>
    </row>
    <row r="126" spans="1:19" ht="5.0999999999999996" customHeight="1" x14ac:dyDescent="0.25">
      <c r="K126" s="7"/>
      <c r="L126" s="1"/>
      <c r="M126" s="8"/>
      <c r="N126" s="8"/>
      <c r="O126" s="8"/>
      <c r="P126" s="8"/>
    </row>
    <row r="127" spans="1:19" ht="14.45" customHeight="1" x14ac:dyDescent="0.25">
      <c r="A127" s="4" t="s">
        <v>45</v>
      </c>
      <c r="B127" s="4" t="e">
        <f ca="1">IF(($M$127=""),_xll.DBSS($C$62,$B$25,$B$4,$A127,$B$27),"")</f>
        <v>#NAME?</v>
      </c>
      <c r="K127" s="7" t="s">
        <v>108</v>
      </c>
      <c r="L127" s="1"/>
      <c r="M127" s="39" t="e">
        <f ca="1">_xll.DBR($B$25,$B$4,$A127,$B$27)</f>
        <v>#NAME?</v>
      </c>
      <c r="N127" s="40"/>
      <c r="O127" s="41"/>
      <c r="P127" s="12"/>
      <c r="Q127" s="38" t="e">
        <f ca="1">_xll.DBR($B$25,$B$4,$A127,$B$28)</f>
        <v>#NAME?</v>
      </c>
      <c r="R127" s="38"/>
      <c r="S127" s="38"/>
    </row>
    <row r="128" spans="1:19" ht="5.0999999999999996" customHeight="1" x14ac:dyDescent="0.25">
      <c r="K128" s="7"/>
      <c r="L128" s="1"/>
    </row>
    <row r="129" spans="1:19" ht="14.45" customHeight="1" x14ac:dyDescent="0.25">
      <c r="A129" s="4" t="s">
        <v>46</v>
      </c>
      <c r="B129" s="4" t="e">
        <f ca="1">IF(($M$129=""),_xll.DBSS($C$61,$B$25,$B$4,$A129,$B$27),"")</f>
        <v>#NAME?</v>
      </c>
      <c r="K129" s="7" t="s">
        <v>109</v>
      </c>
      <c r="L129" s="1"/>
      <c r="M129" s="39" t="e">
        <f ca="1">_xll.DBR($B$25,$B$4,$A129,$B$27)</f>
        <v>#NAME?</v>
      </c>
      <c r="N129" s="40"/>
      <c r="O129" s="41"/>
      <c r="P129" s="12"/>
      <c r="Q129" s="38" t="e">
        <f ca="1">_xll.DBR($B$25,$B$4,$A129,$B$28)</f>
        <v>#NAME?</v>
      </c>
      <c r="R129" s="38"/>
      <c r="S129" s="38"/>
    </row>
    <row r="130" spans="1:19" ht="5.0999999999999996" customHeight="1" x14ac:dyDescent="0.25">
      <c r="K130" s="7"/>
      <c r="L130" s="1"/>
    </row>
    <row r="131" spans="1:19" ht="14.45" customHeight="1" x14ac:dyDescent="0.25">
      <c r="A131" s="4" t="s">
        <v>47</v>
      </c>
      <c r="B131" s="4" t="e">
        <f ca="1">IF(($M$131=""),_xll.DBSS($C$65,$B$25,$B$4,$A131,$B$27),"")</f>
        <v>#NAME?</v>
      </c>
      <c r="K131" s="7" t="s">
        <v>110</v>
      </c>
      <c r="L131" s="1"/>
      <c r="M131" s="45" t="e">
        <f ca="1">$C$65</f>
        <v>#NAME?</v>
      </c>
      <c r="N131" s="46"/>
      <c r="O131" s="47"/>
      <c r="P131" s="8"/>
      <c r="Q131" s="38"/>
      <c r="R131" s="38"/>
      <c r="S131" s="38"/>
    </row>
    <row r="132" spans="1:19" ht="5.0999999999999996" customHeight="1" x14ac:dyDescent="0.25">
      <c r="K132" s="7"/>
      <c r="L132" s="1"/>
    </row>
    <row r="133" spans="1:19" ht="14.45" customHeight="1" x14ac:dyDescent="0.25">
      <c r="A133" s="4" t="s">
        <v>48</v>
      </c>
      <c r="B133" s="4" t="e">
        <f ca="1">IF(($M$133=""),_xll.DBSS($C$63,$B$25,$B$4,$A133,$B$27),"")</f>
        <v>#NAME?</v>
      </c>
      <c r="K133" s="7" t="s">
        <v>111</v>
      </c>
      <c r="L133" s="1"/>
      <c r="M133" s="45" t="e">
        <f ca="1">$C$63</f>
        <v>#NAME?</v>
      </c>
      <c r="N133" s="46"/>
      <c r="O133" s="47"/>
      <c r="P133" s="8"/>
      <c r="Q133" s="38"/>
      <c r="R133" s="38"/>
      <c r="S133" s="38"/>
    </row>
    <row r="134" spans="1:19" ht="5.0999999999999996" customHeight="1" x14ac:dyDescent="0.25">
      <c r="K134" s="7"/>
      <c r="L134" s="1"/>
    </row>
    <row r="135" spans="1:19" ht="14.45" customHeight="1" x14ac:dyDescent="0.25">
      <c r="A135" s="4" t="s">
        <v>49</v>
      </c>
      <c r="B135" s="4" t="e">
        <f ca="1">IF(($M$135=""),_xll.DBSS($C$64,$B$25,$B$4,$A135,$B$27),"")</f>
        <v>#NAME?</v>
      </c>
      <c r="K135" s="7" t="s">
        <v>112</v>
      </c>
      <c r="L135" s="1"/>
      <c r="M135" s="45" t="e">
        <f ca="1">$C$64</f>
        <v>#NAME?</v>
      </c>
      <c r="N135" s="46"/>
      <c r="O135" s="47"/>
      <c r="P135" s="8"/>
      <c r="Q135" s="38"/>
      <c r="R135" s="38"/>
      <c r="S135" s="38"/>
    </row>
    <row r="136" spans="1:19" ht="5.0999999999999996" customHeight="1" x14ac:dyDescent="0.25">
      <c r="K136" s="1"/>
      <c r="L136" s="1"/>
    </row>
    <row r="137" spans="1:19" ht="14.45" hidden="1" customHeight="1" x14ac:dyDescent="0.25">
      <c r="K137" s="32" t="s">
        <v>113</v>
      </c>
      <c r="L137" s="1"/>
      <c r="M137" s="48" t="s">
        <v>114</v>
      </c>
      <c r="N137" s="49"/>
      <c r="O137" s="49"/>
      <c r="P137" s="14"/>
    </row>
    <row r="138" spans="1:19" s="15" customFormat="1" ht="30" hidden="1" customHeight="1" x14ac:dyDescent="0.25">
      <c r="K138" s="33" t="s">
        <v>115</v>
      </c>
      <c r="L138" s="16"/>
      <c r="M138" s="35" t="e">
        <f ca="1">_xll.SUBNM(db_name&amp;":Programme",$B$34,$B$52,"code and Description")</f>
        <v>#NAME?</v>
      </c>
      <c r="N138" s="35"/>
      <c r="O138" s="35"/>
      <c r="P138" s="17"/>
      <c r="Q138" s="37" t="s">
        <v>116</v>
      </c>
      <c r="R138" s="37"/>
      <c r="S138" s="37"/>
    </row>
    <row r="139" spans="1:19" s="15" customFormat="1" ht="30" hidden="1" customHeight="1" x14ac:dyDescent="0.25">
      <c r="K139" s="33" t="s">
        <v>117</v>
      </c>
      <c r="L139" s="16"/>
      <c r="M139" s="34" t="e">
        <f ca="1">_xll.DBR($B$59,psHLYear,psScenario,$M$138,"appropriation item")</f>
        <v>#NAME?</v>
      </c>
      <c r="N139" s="19"/>
      <c r="O139" s="20"/>
      <c r="P139" s="18"/>
      <c r="Q139" s="37" t="s">
        <v>118</v>
      </c>
      <c r="R139" s="37"/>
      <c r="S139" s="37"/>
    </row>
    <row r="140" spans="1:19" ht="27" customHeight="1" x14ac:dyDescent="0.25">
      <c r="M140" s="10"/>
    </row>
    <row r="141" spans="1:19" ht="5.0999999999999996" customHeight="1" x14ac:dyDescent="0.25">
      <c r="K141" s="1"/>
      <c r="L141" s="1"/>
    </row>
    <row r="142" spans="1:19" ht="15" customHeight="1" x14ac:dyDescent="0.25"/>
  </sheetData>
  <sheetProtection sheet="1" objects="1" scenarios="1"/>
  <mergeCells count="42">
    <mergeCell ref="Q122:S122"/>
    <mergeCell ref="A72:C72"/>
    <mergeCell ref="A58:C58"/>
    <mergeCell ref="A78:C78"/>
    <mergeCell ref="A68:B68"/>
    <mergeCell ref="Q112:S112"/>
    <mergeCell ref="Q110:S110"/>
    <mergeCell ref="Q108:S108"/>
    <mergeCell ref="Q106:S106"/>
    <mergeCell ref="Q114:S116"/>
    <mergeCell ref="M104:O104"/>
    <mergeCell ref="M108:O108"/>
    <mergeCell ref="M112:O112"/>
    <mergeCell ref="M110:O110"/>
    <mergeCell ref="Q118:S120"/>
    <mergeCell ref="M114:O116"/>
    <mergeCell ref="A1:C1"/>
    <mergeCell ref="A9:C9"/>
    <mergeCell ref="A24:C24"/>
    <mergeCell ref="A46:C46"/>
    <mergeCell ref="A14:C14"/>
    <mergeCell ref="M129:O129"/>
    <mergeCell ref="M131:O131"/>
    <mergeCell ref="M133:O133"/>
    <mergeCell ref="M137:O137"/>
    <mergeCell ref="E24:G24"/>
    <mergeCell ref="M138:O138"/>
    <mergeCell ref="Q102:S102"/>
    <mergeCell ref="Q138:S138"/>
    <mergeCell ref="Q139:S139"/>
    <mergeCell ref="Q104:S104"/>
    <mergeCell ref="M127:O127"/>
    <mergeCell ref="M106:O106"/>
    <mergeCell ref="Q135:S135"/>
    <mergeCell ref="Q131:S131"/>
    <mergeCell ref="Q129:S129"/>
    <mergeCell ref="Q127:S127"/>
    <mergeCell ref="Q133:S133"/>
    <mergeCell ref="M135:O135"/>
    <mergeCell ref="M124:O124"/>
    <mergeCell ref="M125:O125"/>
    <mergeCell ref="M118:O120"/>
  </mergeCells>
  <conditionalFormatting sqref="O102:P102">
    <cfRule type="containsText" dxfId="1" priority="1" operator="containsText" text="approve">
      <formula>NOT(ISERROR(SEARCH("approve",O102)))</formula>
    </cfRule>
    <cfRule type="beginsWith" dxfId="0" priority="2" operator="beginsWith" text="un">
      <formula>LEFT(O102,LEN("un"))="un"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0" r:id="rId4" name="TIButton8">
          <controlPr defaultSize="0" print="0" autoLine="0" r:id="rId5">
            <anchor moveWithCells="1" sizeWithCells="1">
              <from>
                <xdr:col>10</xdr:col>
                <xdr:colOff>1771650</xdr:colOff>
                <xdr:row>96</xdr:row>
                <xdr:rowOff>0</xdr:rowOff>
              </from>
              <to>
                <xdr:col>12</xdr:col>
                <xdr:colOff>104775</xdr:colOff>
                <xdr:row>96</xdr:row>
                <xdr:rowOff>247650</xdr:rowOff>
              </to>
            </anchor>
          </controlPr>
        </control>
      </mc:Choice>
      <mc:Fallback>
        <control shapeId="1040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r:id="rId7">
            <anchor moveWithCells="1" sizeWithCells="1">
              <from>
                <xdr:col>12</xdr:col>
                <xdr:colOff>990600</xdr:colOff>
                <xdr:row>139</xdr:row>
                <xdr:rowOff>219075</xdr:rowOff>
              </from>
              <to>
                <xdr:col>12</xdr:col>
                <xdr:colOff>1790700</xdr:colOff>
                <xdr:row>141</xdr:row>
                <xdr:rowOff>66675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r:id="rId9">
            <anchor moveWithCells="1" sizeWithCells="1">
              <from>
                <xdr:col>12</xdr:col>
                <xdr:colOff>57150</xdr:colOff>
                <xdr:row>139</xdr:row>
                <xdr:rowOff>219075</xdr:rowOff>
              </from>
              <to>
                <xdr:col>12</xdr:col>
                <xdr:colOff>914400</xdr:colOff>
                <xdr:row>141</xdr:row>
                <xdr:rowOff>66675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29" r:id="rId10" name="TIButton5">
          <controlPr defaultSize="0" print="0" autoLine="0" r:id="rId11">
            <anchor moveWithCells="1" sizeWithCells="1">
              <from>
                <xdr:col>10</xdr:col>
                <xdr:colOff>866775</xdr:colOff>
                <xdr:row>96</xdr:row>
                <xdr:rowOff>0</xdr:rowOff>
              </from>
              <to>
                <xdr:col>10</xdr:col>
                <xdr:colOff>1704975</xdr:colOff>
                <xdr:row>96</xdr:row>
                <xdr:rowOff>247650</xdr:rowOff>
              </to>
            </anchor>
          </controlPr>
        </control>
      </mc:Choice>
      <mc:Fallback>
        <control shapeId="1029" r:id="rId10" name="TIButton5"/>
      </mc:Fallback>
    </mc:AlternateContent>
    <mc:AlternateContent xmlns:mc="http://schemas.openxmlformats.org/markup-compatibility/2006">
      <mc:Choice Requires="x14">
        <control shapeId="1027" r:id="rId12" name="TIButton3">
          <controlPr defaultSize="0" print="0" autoLine="0" r:id="rId13">
            <anchor moveWithCells="1" sizeWithCells="1">
              <from>
                <xdr:col>12</xdr:col>
                <xdr:colOff>152400</xdr:colOff>
                <xdr:row>96</xdr:row>
                <xdr:rowOff>0</xdr:rowOff>
              </from>
              <to>
                <xdr:col>12</xdr:col>
                <xdr:colOff>933450</xdr:colOff>
                <xdr:row>96</xdr:row>
                <xdr:rowOff>247650</xdr:rowOff>
              </to>
            </anchor>
          </controlPr>
        </control>
      </mc:Choice>
      <mc:Fallback>
        <control shapeId="1027" r:id="rId12" name="TIButton3"/>
      </mc:Fallback>
    </mc:AlternateContent>
    <mc:AlternateContent xmlns:mc="http://schemas.openxmlformats.org/markup-compatibility/2006">
      <mc:Choice Requires="x14">
        <control shapeId="1026" r:id="rId14" name="TIButton2">
          <controlPr defaultSize="0" print="0" autoLine="0" r:id="rId15">
            <anchor moveWithCells="1" sizeWithCells="1">
              <from>
                <xdr:col>9</xdr:col>
                <xdr:colOff>723900</xdr:colOff>
                <xdr:row>96</xdr:row>
                <xdr:rowOff>0</xdr:rowOff>
              </from>
              <to>
                <xdr:col>10</xdr:col>
                <xdr:colOff>819150</xdr:colOff>
                <xdr:row>96</xdr:row>
                <xdr:rowOff>247650</xdr:rowOff>
              </to>
            </anchor>
          </controlPr>
        </control>
      </mc:Choice>
      <mc:Fallback>
        <control shapeId="1026" r:id="rId14" name="TIButton2"/>
      </mc:Fallback>
    </mc:AlternateContent>
    <mc:AlternateContent xmlns:mc="http://schemas.openxmlformats.org/markup-compatibility/2006">
      <mc:Choice Requires="x14">
        <control shapeId="1025" r:id="rId16" name="TIButton1">
          <controlPr defaultSize="0" print="0" autoLine="0" r:id="rId17">
            <anchor moveWithCells="1" sizeWithCells="1">
              <from>
                <xdr:col>9</xdr:col>
                <xdr:colOff>57150</xdr:colOff>
                <xdr:row>96</xdr:row>
                <xdr:rowOff>0</xdr:rowOff>
              </from>
              <to>
                <xdr:col>9</xdr:col>
                <xdr:colOff>685800</xdr:colOff>
                <xdr:row>96</xdr:row>
                <xdr:rowOff>247650</xdr:rowOff>
              </to>
            </anchor>
          </controlPr>
        </control>
      </mc:Choice>
      <mc:Fallback>
        <control shapeId="1025" r:id="rId1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6:B1017"/>
  <sheetViews>
    <sheetView workbookViewId="0"/>
  </sheetViews>
  <sheetFormatPr defaultRowHeight="14.45" customHeight="1" x14ac:dyDescent="0.25"/>
  <sheetData>
    <row r="16" spans="2:2" ht="14.45" customHeight="1" x14ac:dyDescent="0.25">
      <c r="B16" t="s">
        <v>119</v>
      </c>
    </row>
    <row r="17" spans="2:2" ht="14.45" customHeight="1" x14ac:dyDescent="0.25">
      <c r="B17" t="s">
        <v>120</v>
      </c>
    </row>
    <row r="18" spans="2:2" ht="14.45" customHeight="1" x14ac:dyDescent="0.25">
      <c r="B18" t="s">
        <v>121</v>
      </c>
    </row>
    <row r="19" spans="2:2" ht="14.45" customHeight="1" x14ac:dyDescent="0.25">
      <c r="B19" t="s">
        <v>122</v>
      </c>
    </row>
    <row r="20" spans="2:2" ht="14.45" customHeight="1" x14ac:dyDescent="0.25">
      <c r="B20" t="s">
        <v>123</v>
      </c>
    </row>
    <row r="21" spans="2:2" ht="14.45" customHeight="1" x14ac:dyDescent="0.25">
      <c r="B21" t="s">
        <v>124</v>
      </c>
    </row>
    <row r="22" spans="2:2" ht="14.45" customHeight="1" x14ac:dyDescent="0.25">
      <c r="B22" t="s">
        <v>125</v>
      </c>
    </row>
    <row r="23" spans="2:2" ht="14.45" customHeight="1" x14ac:dyDescent="0.25">
      <c r="B23" t="s">
        <v>126</v>
      </c>
    </row>
    <row r="24" spans="2:2" ht="14.45" customHeight="1" x14ac:dyDescent="0.25">
      <c r="B24" t="s">
        <v>127</v>
      </c>
    </row>
    <row r="25" spans="2:2" ht="14.45" customHeight="1" x14ac:dyDescent="0.25">
      <c r="B25" t="s">
        <v>128</v>
      </c>
    </row>
    <row r="26" spans="2:2" ht="14.45" customHeight="1" x14ac:dyDescent="0.25">
      <c r="B26" t="s">
        <v>129</v>
      </c>
    </row>
    <row r="27" spans="2:2" ht="14.45" customHeight="1" x14ac:dyDescent="0.25">
      <c r="B27" t="s">
        <v>130</v>
      </c>
    </row>
    <row r="28" spans="2:2" ht="14.45" customHeight="1" x14ac:dyDescent="0.25">
      <c r="B28" t="s">
        <v>131</v>
      </c>
    </row>
    <row r="29" spans="2:2" ht="14.45" customHeight="1" x14ac:dyDescent="0.25">
      <c r="B29" t="s">
        <v>132</v>
      </c>
    </row>
    <row r="30" spans="2:2" ht="14.45" customHeight="1" x14ac:dyDescent="0.25">
      <c r="B30" t="s">
        <v>133</v>
      </c>
    </row>
    <row r="31" spans="2:2" ht="14.45" customHeight="1" x14ac:dyDescent="0.25">
      <c r="B31" t="s">
        <v>134</v>
      </c>
    </row>
    <row r="32" spans="2:2" ht="14.45" customHeight="1" x14ac:dyDescent="0.25">
      <c r="B32" t="s">
        <v>135</v>
      </c>
    </row>
    <row r="33" spans="2:2" ht="14.45" customHeight="1" x14ac:dyDescent="0.25">
      <c r="B33" t="s">
        <v>136</v>
      </c>
    </row>
    <row r="34" spans="2:2" ht="14.45" customHeight="1" x14ac:dyDescent="0.25">
      <c r="B34" t="s">
        <v>137</v>
      </c>
    </row>
    <row r="35" spans="2:2" ht="14.45" customHeight="1" x14ac:dyDescent="0.25">
      <c r="B35" t="s">
        <v>138</v>
      </c>
    </row>
    <row r="36" spans="2:2" ht="14.45" customHeight="1" x14ac:dyDescent="0.25">
      <c r="B36" t="s">
        <v>139</v>
      </c>
    </row>
    <row r="37" spans="2:2" ht="14.45" customHeight="1" x14ac:dyDescent="0.25">
      <c r="B37" t="s">
        <v>140</v>
      </c>
    </row>
    <row r="38" spans="2:2" ht="14.45" customHeight="1" x14ac:dyDescent="0.25">
      <c r="B38" t="s">
        <v>141</v>
      </c>
    </row>
    <row r="39" spans="2:2" ht="14.45" customHeight="1" x14ac:dyDescent="0.25">
      <c r="B39" t="s">
        <v>142</v>
      </c>
    </row>
    <row r="40" spans="2:2" ht="14.45" customHeight="1" x14ac:dyDescent="0.25">
      <c r="B40" t="s">
        <v>143</v>
      </c>
    </row>
    <row r="41" spans="2:2" ht="14.45" customHeight="1" x14ac:dyDescent="0.25">
      <c r="B41" t="s">
        <v>144</v>
      </c>
    </row>
    <row r="42" spans="2:2" ht="14.45" customHeight="1" x14ac:dyDescent="0.25">
      <c r="B42" t="s">
        <v>145</v>
      </c>
    </row>
    <row r="43" spans="2:2" ht="14.45" customHeight="1" x14ac:dyDescent="0.25">
      <c r="B43" t="s">
        <v>146</v>
      </c>
    </row>
    <row r="44" spans="2:2" ht="14.45" customHeight="1" x14ac:dyDescent="0.25">
      <c r="B44" t="s">
        <v>147</v>
      </c>
    </row>
    <row r="45" spans="2:2" ht="14.45" customHeight="1" x14ac:dyDescent="0.25">
      <c r="B45" t="s">
        <v>148</v>
      </c>
    </row>
    <row r="46" spans="2:2" ht="14.45" customHeight="1" x14ac:dyDescent="0.25">
      <c r="B46" t="s">
        <v>149</v>
      </c>
    </row>
    <row r="47" spans="2:2" ht="14.45" customHeight="1" x14ac:dyDescent="0.25">
      <c r="B47" t="s">
        <v>150</v>
      </c>
    </row>
    <row r="48" spans="2:2" ht="14.45" customHeight="1" x14ac:dyDescent="0.25">
      <c r="B48" t="s">
        <v>151</v>
      </c>
    </row>
    <row r="49" spans="2:2" ht="14.45" customHeight="1" x14ac:dyDescent="0.25">
      <c r="B49" t="s">
        <v>152</v>
      </c>
    </row>
    <row r="50" spans="2:2" ht="14.45" customHeight="1" x14ac:dyDescent="0.25">
      <c r="B50" t="s">
        <v>153</v>
      </c>
    </row>
    <row r="51" spans="2:2" ht="14.45" customHeight="1" x14ac:dyDescent="0.25">
      <c r="B51" t="s">
        <v>154</v>
      </c>
    </row>
    <row r="52" spans="2:2" ht="14.45" customHeight="1" x14ac:dyDescent="0.25">
      <c r="B52" t="s">
        <v>155</v>
      </c>
    </row>
    <row r="53" spans="2:2" ht="14.45" customHeight="1" x14ac:dyDescent="0.25">
      <c r="B53" t="s">
        <v>156</v>
      </c>
    </row>
    <row r="54" spans="2:2" ht="14.45" customHeight="1" x14ac:dyDescent="0.25">
      <c r="B54" t="s">
        <v>157</v>
      </c>
    </row>
    <row r="55" spans="2:2" ht="14.45" customHeight="1" x14ac:dyDescent="0.25">
      <c r="B55" t="s">
        <v>158</v>
      </c>
    </row>
    <row r="56" spans="2:2" ht="14.45" customHeight="1" x14ac:dyDescent="0.25">
      <c r="B56" t="s">
        <v>159</v>
      </c>
    </row>
    <row r="57" spans="2:2" ht="14.45" customHeight="1" x14ac:dyDescent="0.25">
      <c r="B57" t="s">
        <v>160</v>
      </c>
    </row>
    <row r="58" spans="2:2" ht="14.45" customHeight="1" x14ac:dyDescent="0.25">
      <c r="B58" t="s">
        <v>161</v>
      </c>
    </row>
    <row r="59" spans="2:2" ht="14.45" customHeight="1" x14ac:dyDescent="0.25">
      <c r="B59" t="s">
        <v>162</v>
      </c>
    </row>
    <row r="60" spans="2:2" ht="14.45" customHeight="1" x14ac:dyDescent="0.25">
      <c r="B60" t="s">
        <v>163</v>
      </c>
    </row>
    <row r="61" spans="2:2" ht="14.45" customHeight="1" x14ac:dyDescent="0.25">
      <c r="B61" t="s">
        <v>164</v>
      </c>
    </row>
    <row r="62" spans="2:2" ht="14.45" customHeight="1" x14ac:dyDescent="0.25">
      <c r="B62" t="s">
        <v>165</v>
      </c>
    </row>
    <row r="63" spans="2:2" ht="14.45" customHeight="1" x14ac:dyDescent="0.25">
      <c r="B63" t="s">
        <v>166</v>
      </c>
    </row>
    <row r="64" spans="2:2" ht="14.45" customHeight="1" x14ac:dyDescent="0.25">
      <c r="B64" t="s">
        <v>167</v>
      </c>
    </row>
    <row r="65" spans="2:2" ht="14.45" customHeight="1" x14ac:dyDescent="0.25">
      <c r="B65" t="s">
        <v>168</v>
      </c>
    </row>
    <row r="66" spans="2:2" ht="14.45" customHeight="1" x14ac:dyDescent="0.25">
      <c r="B66" t="s">
        <v>169</v>
      </c>
    </row>
    <row r="67" spans="2:2" ht="14.45" customHeight="1" x14ac:dyDescent="0.25">
      <c r="B67" t="s">
        <v>170</v>
      </c>
    </row>
    <row r="68" spans="2:2" ht="14.45" customHeight="1" x14ac:dyDescent="0.25">
      <c r="B68" t="s">
        <v>171</v>
      </c>
    </row>
    <row r="69" spans="2:2" ht="14.45" customHeight="1" x14ac:dyDescent="0.25">
      <c r="B69" t="s">
        <v>172</v>
      </c>
    </row>
    <row r="70" spans="2:2" ht="14.45" customHeight="1" x14ac:dyDescent="0.25">
      <c r="B70" t="s">
        <v>173</v>
      </c>
    </row>
    <row r="71" spans="2:2" ht="14.45" customHeight="1" x14ac:dyDescent="0.25">
      <c r="B71" t="s">
        <v>174</v>
      </c>
    </row>
    <row r="72" spans="2:2" ht="14.45" customHeight="1" x14ac:dyDescent="0.25">
      <c r="B72" t="s">
        <v>175</v>
      </c>
    </row>
    <row r="73" spans="2:2" ht="14.45" customHeight="1" x14ac:dyDescent="0.25">
      <c r="B73" t="s">
        <v>176</v>
      </c>
    </row>
    <row r="74" spans="2:2" ht="14.45" customHeight="1" x14ac:dyDescent="0.25">
      <c r="B74" t="s">
        <v>177</v>
      </c>
    </row>
    <row r="75" spans="2:2" ht="14.45" customHeight="1" x14ac:dyDescent="0.25">
      <c r="B75" t="s">
        <v>178</v>
      </c>
    </row>
    <row r="76" spans="2:2" ht="14.45" customHeight="1" x14ac:dyDescent="0.25">
      <c r="B76" t="s">
        <v>179</v>
      </c>
    </row>
    <row r="77" spans="2:2" ht="14.45" customHeight="1" x14ac:dyDescent="0.25">
      <c r="B77" t="s">
        <v>180</v>
      </c>
    </row>
    <row r="78" spans="2:2" ht="14.45" customHeight="1" x14ac:dyDescent="0.25">
      <c r="B78" t="s">
        <v>181</v>
      </c>
    </row>
    <row r="79" spans="2:2" ht="14.45" customHeight="1" x14ac:dyDescent="0.25">
      <c r="B79" t="s">
        <v>182</v>
      </c>
    </row>
    <row r="80" spans="2:2" ht="14.45" customHeight="1" x14ac:dyDescent="0.25">
      <c r="B80" t="s">
        <v>183</v>
      </c>
    </row>
    <row r="81" spans="2:2" ht="14.45" customHeight="1" x14ac:dyDescent="0.25">
      <c r="B81" t="s">
        <v>184</v>
      </c>
    </row>
    <row r="82" spans="2:2" ht="14.45" customHeight="1" x14ac:dyDescent="0.25">
      <c r="B82" t="s">
        <v>185</v>
      </c>
    </row>
    <row r="83" spans="2:2" ht="14.45" customHeight="1" x14ac:dyDescent="0.25">
      <c r="B83" t="s">
        <v>186</v>
      </c>
    </row>
    <row r="84" spans="2:2" ht="14.45" customHeight="1" x14ac:dyDescent="0.25">
      <c r="B84" t="s">
        <v>187</v>
      </c>
    </row>
    <row r="85" spans="2:2" ht="14.45" customHeight="1" x14ac:dyDescent="0.25">
      <c r="B85" t="s">
        <v>188</v>
      </c>
    </row>
    <row r="86" spans="2:2" ht="14.45" customHeight="1" x14ac:dyDescent="0.25">
      <c r="B86" t="s">
        <v>189</v>
      </c>
    </row>
    <row r="87" spans="2:2" ht="14.45" customHeight="1" x14ac:dyDescent="0.25">
      <c r="B87" t="s">
        <v>190</v>
      </c>
    </row>
    <row r="88" spans="2:2" ht="14.45" customHeight="1" x14ac:dyDescent="0.25">
      <c r="B88" t="s">
        <v>191</v>
      </c>
    </row>
    <row r="89" spans="2:2" ht="14.45" customHeight="1" x14ac:dyDescent="0.25">
      <c r="B89" t="s">
        <v>192</v>
      </c>
    </row>
    <row r="90" spans="2:2" ht="14.45" customHeight="1" x14ac:dyDescent="0.25">
      <c r="B90" t="s">
        <v>193</v>
      </c>
    </row>
    <row r="91" spans="2:2" ht="14.45" customHeight="1" x14ac:dyDescent="0.25">
      <c r="B91" t="s">
        <v>194</v>
      </c>
    </row>
    <row r="92" spans="2:2" ht="14.45" customHeight="1" x14ac:dyDescent="0.25">
      <c r="B92" t="s">
        <v>195</v>
      </c>
    </row>
    <row r="93" spans="2:2" ht="14.45" customHeight="1" x14ac:dyDescent="0.25">
      <c r="B93" t="s">
        <v>196</v>
      </c>
    </row>
    <row r="94" spans="2:2" ht="14.45" customHeight="1" x14ac:dyDescent="0.25">
      <c r="B94" t="s">
        <v>197</v>
      </c>
    </row>
    <row r="95" spans="2:2" ht="14.45" customHeight="1" x14ac:dyDescent="0.25">
      <c r="B95" t="s">
        <v>198</v>
      </c>
    </row>
    <row r="96" spans="2:2" ht="14.45" customHeight="1" x14ac:dyDescent="0.25">
      <c r="B96" t="s">
        <v>199</v>
      </c>
    </row>
    <row r="97" spans="2:2" ht="14.45" customHeight="1" x14ac:dyDescent="0.25">
      <c r="B97" t="s">
        <v>200</v>
      </c>
    </row>
    <row r="98" spans="2:2" ht="14.45" customHeight="1" x14ac:dyDescent="0.25">
      <c r="B98" t="s">
        <v>201</v>
      </c>
    </row>
    <row r="99" spans="2:2" ht="14.45" customHeight="1" x14ac:dyDescent="0.25">
      <c r="B99" t="s">
        <v>202</v>
      </c>
    </row>
    <row r="100" spans="2:2" ht="14.45" customHeight="1" x14ac:dyDescent="0.25">
      <c r="B100" t="s">
        <v>203</v>
      </c>
    </row>
    <row r="101" spans="2:2" ht="14.45" customHeight="1" x14ac:dyDescent="0.25">
      <c r="B101" t="s">
        <v>204</v>
      </c>
    </row>
    <row r="102" spans="2:2" ht="14.45" customHeight="1" x14ac:dyDescent="0.25">
      <c r="B102" t="s">
        <v>205</v>
      </c>
    </row>
    <row r="103" spans="2:2" ht="14.45" customHeight="1" x14ac:dyDescent="0.25">
      <c r="B103" t="s">
        <v>206</v>
      </c>
    </row>
    <row r="104" spans="2:2" ht="14.45" customHeight="1" x14ac:dyDescent="0.25">
      <c r="B104" t="s">
        <v>207</v>
      </c>
    </row>
    <row r="105" spans="2:2" ht="14.45" customHeight="1" x14ac:dyDescent="0.25">
      <c r="B105" t="s">
        <v>208</v>
      </c>
    </row>
    <row r="106" spans="2:2" ht="14.45" customHeight="1" x14ac:dyDescent="0.25">
      <c r="B106" t="s">
        <v>209</v>
      </c>
    </row>
    <row r="107" spans="2:2" ht="14.45" customHeight="1" x14ac:dyDescent="0.25">
      <c r="B107" t="s">
        <v>210</v>
      </c>
    </row>
    <row r="108" spans="2:2" ht="14.45" customHeight="1" x14ac:dyDescent="0.25">
      <c r="B108" t="s">
        <v>211</v>
      </c>
    </row>
    <row r="109" spans="2:2" ht="14.45" customHeight="1" x14ac:dyDescent="0.25">
      <c r="B109" t="s">
        <v>212</v>
      </c>
    </row>
    <row r="110" spans="2:2" ht="14.45" customHeight="1" x14ac:dyDescent="0.25">
      <c r="B110" t="s">
        <v>213</v>
      </c>
    </row>
    <row r="111" spans="2:2" ht="14.45" customHeight="1" x14ac:dyDescent="0.25">
      <c r="B111" t="s">
        <v>214</v>
      </c>
    </row>
    <row r="112" spans="2:2" ht="14.45" customHeight="1" x14ac:dyDescent="0.25">
      <c r="B112" t="s">
        <v>215</v>
      </c>
    </row>
    <row r="113" spans="2:2" ht="14.45" customHeight="1" x14ac:dyDescent="0.25">
      <c r="B113" t="s">
        <v>216</v>
      </c>
    </row>
    <row r="114" spans="2:2" ht="14.45" customHeight="1" x14ac:dyDescent="0.25">
      <c r="B114" t="s">
        <v>217</v>
      </c>
    </row>
    <row r="115" spans="2:2" ht="14.45" customHeight="1" x14ac:dyDescent="0.25">
      <c r="B115" t="s">
        <v>218</v>
      </c>
    </row>
    <row r="116" spans="2:2" ht="14.45" customHeight="1" x14ac:dyDescent="0.25">
      <c r="B116" t="s">
        <v>219</v>
      </c>
    </row>
    <row r="117" spans="2:2" ht="14.45" customHeight="1" x14ac:dyDescent="0.25">
      <c r="B117" t="s">
        <v>220</v>
      </c>
    </row>
    <row r="118" spans="2:2" ht="14.45" customHeight="1" x14ac:dyDescent="0.25">
      <c r="B118" t="s">
        <v>221</v>
      </c>
    </row>
    <row r="119" spans="2:2" ht="14.45" customHeight="1" x14ac:dyDescent="0.25">
      <c r="B119" t="s">
        <v>222</v>
      </c>
    </row>
    <row r="120" spans="2:2" ht="14.45" customHeight="1" x14ac:dyDescent="0.25">
      <c r="B120" t="s">
        <v>223</v>
      </c>
    </row>
    <row r="121" spans="2:2" ht="14.45" customHeight="1" x14ac:dyDescent="0.25">
      <c r="B121" t="s">
        <v>224</v>
      </c>
    </row>
    <row r="122" spans="2:2" ht="14.45" customHeight="1" x14ac:dyDescent="0.25">
      <c r="B122" t="s">
        <v>225</v>
      </c>
    </row>
    <row r="123" spans="2:2" ht="14.45" customHeight="1" x14ac:dyDescent="0.25">
      <c r="B123" t="s">
        <v>226</v>
      </c>
    </row>
    <row r="124" spans="2:2" ht="14.45" customHeight="1" x14ac:dyDescent="0.25">
      <c r="B124" t="s">
        <v>227</v>
      </c>
    </row>
    <row r="125" spans="2:2" ht="14.45" customHeight="1" x14ac:dyDescent="0.25">
      <c r="B125" t="s">
        <v>228</v>
      </c>
    </row>
    <row r="126" spans="2:2" ht="14.45" customHeight="1" x14ac:dyDescent="0.25">
      <c r="B126" t="s">
        <v>229</v>
      </c>
    </row>
    <row r="127" spans="2:2" ht="14.45" customHeight="1" x14ac:dyDescent="0.25">
      <c r="B127" t="s">
        <v>230</v>
      </c>
    </row>
    <row r="128" spans="2:2" ht="14.45" customHeight="1" x14ac:dyDescent="0.25">
      <c r="B128" t="s">
        <v>231</v>
      </c>
    </row>
    <row r="129" spans="2:2" ht="14.45" customHeight="1" x14ac:dyDescent="0.25">
      <c r="B129" t="s">
        <v>232</v>
      </c>
    </row>
    <row r="130" spans="2:2" ht="14.45" customHeight="1" x14ac:dyDescent="0.25">
      <c r="B130" t="s">
        <v>233</v>
      </c>
    </row>
    <row r="131" spans="2:2" ht="14.45" customHeight="1" x14ac:dyDescent="0.25">
      <c r="B131" t="s">
        <v>234</v>
      </c>
    </row>
    <row r="132" spans="2:2" ht="14.45" customHeight="1" x14ac:dyDescent="0.25">
      <c r="B132" t="s">
        <v>235</v>
      </c>
    </row>
    <row r="133" spans="2:2" ht="14.45" customHeight="1" x14ac:dyDescent="0.25">
      <c r="B133" t="s">
        <v>236</v>
      </c>
    </row>
    <row r="134" spans="2:2" ht="14.45" customHeight="1" x14ac:dyDescent="0.25">
      <c r="B134" t="s">
        <v>237</v>
      </c>
    </row>
    <row r="135" spans="2:2" ht="14.45" customHeight="1" x14ac:dyDescent="0.25">
      <c r="B135" t="s">
        <v>238</v>
      </c>
    </row>
    <row r="136" spans="2:2" ht="14.45" customHeight="1" x14ac:dyDescent="0.25">
      <c r="B136" t="s">
        <v>239</v>
      </c>
    </row>
    <row r="137" spans="2:2" ht="14.45" customHeight="1" x14ac:dyDescent="0.25">
      <c r="B137" t="s">
        <v>240</v>
      </c>
    </row>
    <row r="138" spans="2:2" ht="14.45" customHeight="1" x14ac:dyDescent="0.25">
      <c r="B138" t="s">
        <v>241</v>
      </c>
    </row>
    <row r="139" spans="2:2" ht="14.45" customHeight="1" x14ac:dyDescent="0.25">
      <c r="B139" t="s">
        <v>242</v>
      </c>
    </row>
    <row r="140" spans="2:2" ht="14.45" customHeight="1" x14ac:dyDescent="0.25">
      <c r="B140" t="s">
        <v>243</v>
      </c>
    </row>
    <row r="141" spans="2:2" ht="14.45" customHeight="1" x14ac:dyDescent="0.25">
      <c r="B141" t="s">
        <v>244</v>
      </c>
    </row>
    <row r="142" spans="2:2" ht="14.45" customHeight="1" x14ac:dyDescent="0.25">
      <c r="B142" t="s">
        <v>245</v>
      </c>
    </row>
    <row r="143" spans="2:2" ht="14.45" customHeight="1" x14ac:dyDescent="0.25">
      <c r="B143" t="s">
        <v>246</v>
      </c>
    </row>
    <row r="144" spans="2:2" ht="14.45" customHeight="1" x14ac:dyDescent="0.25">
      <c r="B144" t="s">
        <v>247</v>
      </c>
    </row>
    <row r="145" spans="2:2" ht="14.45" customHeight="1" x14ac:dyDescent="0.25">
      <c r="B145" t="s">
        <v>248</v>
      </c>
    </row>
    <row r="146" spans="2:2" ht="14.45" customHeight="1" x14ac:dyDescent="0.25">
      <c r="B146" t="s">
        <v>249</v>
      </c>
    </row>
    <row r="147" spans="2:2" ht="14.45" customHeight="1" x14ac:dyDescent="0.25">
      <c r="B147" t="s">
        <v>250</v>
      </c>
    </row>
    <row r="148" spans="2:2" ht="14.45" customHeight="1" x14ac:dyDescent="0.25">
      <c r="B148" t="s">
        <v>251</v>
      </c>
    </row>
    <row r="149" spans="2:2" ht="14.45" customHeight="1" x14ac:dyDescent="0.25">
      <c r="B149" t="s">
        <v>252</v>
      </c>
    </row>
    <row r="150" spans="2:2" ht="14.45" customHeight="1" x14ac:dyDescent="0.25">
      <c r="B150" t="s">
        <v>253</v>
      </c>
    </row>
    <row r="151" spans="2:2" ht="14.45" customHeight="1" x14ac:dyDescent="0.25">
      <c r="B151" t="s">
        <v>254</v>
      </c>
    </row>
    <row r="152" spans="2:2" ht="14.45" customHeight="1" x14ac:dyDescent="0.25">
      <c r="B152" t="s">
        <v>255</v>
      </c>
    </row>
    <row r="153" spans="2:2" ht="14.45" customHeight="1" x14ac:dyDescent="0.25">
      <c r="B153" t="s">
        <v>256</v>
      </c>
    </row>
    <row r="154" spans="2:2" ht="14.45" customHeight="1" x14ac:dyDescent="0.25">
      <c r="B154" t="s">
        <v>257</v>
      </c>
    </row>
    <row r="155" spans="2:2" ht="14.45" customHeight="1" x14ac:dyDescent="0.25">
      <c r="B155" t="s">
        <v>258</v>
      </c>
    </row>
    <row r="156" spans="2:2" ht="14.45" customHeight="1" x14ac:dyDescent="0.25">
      <c r="B156" t="s">
        <v>259</v>
      </c>
    </row>
    <row r="157" spans="2:2" ht="14.45" customHeight="1" x14ac:dyDescent="0.25">
      <c r="B157" t="s">
        <v>260</v>
      </c>
    </row>
    <row r="158" spans="2:2" ht="14.45" customHeight="1" x14ac:dyDescent="0.25">
      <c r="B158" t="s">
        <v>261</v>
      </c>
    </row>
    <row r="159" spans="2:2" ht="14.45" customHeight="1" x14ac:dyDescent="0.25">
      <c r="B159" t="s">
        <v>262</v>
      </c>
    </row>
    <row r="160" spans="2:2" ht="14.45" customHeight="1" x14ac:dyDescent="0.25">
      <c r="B160" t="s">
        <v>263</v>
      </c>
    </row>
    <row r="161" spans="2:2" ht="14.45" customHeight="1" x14ac:dyDescent="0.25">
      <c r="B161" t="s">
        <v>264</v>
      </c>
    </row>
    <row r="162" spans="2:2" ht="14.45" customHeight="1" x14ac:dyDescent="0.25">
      <c r="B162" t="s">
        <v>265</v>
      </c>
    </row>
    <row r="163" spans="2:2" ht="14.45" customHeight="1" x14ac:dyDescent="0.25">
      <c r="B163" t="s">
        <v>266</v>
      </c>
    </row>
    <row r="164" spans="2:2" ht="14.45" customHeight="1" x14ac:dyDescent="0.25">
      <c r="B164" t="s">
        <v>267</v>
      </c>
    </row>
    <row r="165" spans="2:2" ht="14.45" customHeight="1" x14ac:dyDescent="0.25">
      <c r="B165" t="s">
        <v>268</v>
      </c>
    </row>
    <row r="166" spans="2:2" ht="14.45" customHeight="1" x14ac:dyDescent="0.25">
      <c r="B166" t="s">
        <v>269</v>
      </c>
    </row>
    <row r="167" spans="2:2" ht="14.45" customHeight="1" x14ac:dyDescent="0.25">
      <c r="B167" t="s">
        <v>270</v>
      </c>
    </row>
    <row r="168" spans="2:2" ht="14.45" customHeight="1" x14ac:dyDescent="0.25">
      <c r="B168" t="s">
        <v>271</v>
      </c>
    </row>
    <row r="169" spans="2:2" ht="14.45" customHeight="1" x14ac:dyDescent="0.25">
      <c r="B169" t="s">
        <v>272</v>
      </c>
    </row>
    <row r="170" spans="2:2" ht="14.45" customHeight="1" x14ac:dyDescent="0.25">
      <c r="B170" t="s">
        <v>273</v>
      </c>
    </row>
    <row r="171" spans="2:2" ht="14.45" customHeight="1" x14ac:dyDescent="0.25">
      <c r="B171" t="s">
        <v>274</v>
      </c>
    </row>
    <row r="172" spans="2:2" ht="14.45" customHeight="1" x14ac:dyDescent="0.25">
      <c r="B172" t="s">
        <v>275</v>
      </c>
    </row>
    <row r="173" spans="2:2" ht="14.45" customHeight="1" x14ac:dyDescent="0.25">
      <c r="B173" t="s">
        <v>276</v>
      </c>
    </row>
    <row r="174" spans="2:2" ht="14.45" customHeight="1" x14ac:dyDescent="0.25">
      <c r="B174" t="s">
        <v>277</v>
      </c>
    </row>
    <row r="175" spans="2:2" ht="14.45" customHeight="1" x14ac:dyDescent="0.25">
      <c r="B175" t="s">
        <v>278</v>
      </c>
    </row>
    <row r="176" spans="2:2" ht="14.45" customHeight="1" x14ac:dyDescent="0.25">
      <c r="B176" t="s">
        <v>279</v>
      </c>
    </row>
    <row r="177" spans="2:2" ht="14.45" customHeight="1" x14ac:dyDescent="0.25">
      <c r="B177" t="s">
        <v>280</v>
      </c>
    </row>
    <row r="178" spans="2:2" ht="14.45" customHeight="1" x14ac:dyDescent="0.25">
      <c r="B178" t="s">
        <v>281</v>
      </c>
    </row>
    <row r="179" spans="2:2" ht="14.45" customHeight="1" x14ac:dyDescent="0.25">
      <c r="B179" t="s">
        <v>282</v>
      </c>
    </row>
    <row r="180" spans="2:2" ht="14.45" customHeight="1" x14ac:dyDescent="0.25">
      <c r="B180" t="s">
        <v>283</v>
      </c>
    </row>
    <row r="181" spans="2:2" ht="14.45" customHeight="1" x14ac:dyDescent="0.25">
      <c r="B181" t="s">
        <v>284</v>
      </c>
    </row>
    <row r="182" spans="2:2" ht="14.45" customHeight="1" x14ac:dyDescent="0.25">
      <c r="B182" t="s">
        <v>285</v>
      </c>
    </row>
    <row r="183" spans="2:2" ht="14.45" customHeight="1" x14ac:dyDescent="0.25">
      <c r="B183" t="s">
        <v>286</v>
      </c>
    </row>
    <row r="184" spans="2:2" ht="14.45" customHeight="1" x14ac:dyDescent="0.25">
      <c r="B184" t="s">
        <v>287</v>
      </c>
    </row>
    <row r="185" spans="2:2" ht="14.45" customHeight="1" x14ac:dyDescent="0.25">
      <c r="B185" t="s">
        <v>288</v>
      </c>
    </row>
    <row r="186" spans="2:2" ht="14.45" customHeight="1" x14ac:dyDescent="0.25">
      <c r="B186" t="s">
        <v>289</v>
      </c>
    </row>
    <row r="187" spans="2:2" ht="14.45" customHeight="1" x14ac:dyDescent="0.25">
      <c r="B187" t="s">
        <v>290</v>
      </c>
    </row>
    <row r="188" spans="2:2" ht="14.45" customHeight="1" x14ac:dyDescent="0.25">
      <c r="B188" t="s">
        <v>291</v>
      </c>
    </row>
    <row r="189" spans="2:2" ht="14.45" customHeight="1" x14ac:dyDescent="0.25">
      <c r="B189" t="s">
        <v>292</v>
      </c>
    </row>
    <row r="190" spans="2:2" ht="14.45" customHeight="1" x14ac:dyDescent="0.25">
      <c r="B190" t="s">
        <v>293</v>
      </c>
    </row>
    <row r="191" spans="2:2" ht="14.45" customHeight="1" x14ac:dyDescent="0.25">
      <c r="B191" t="s">
        <v>294</v>
      </c>
    </row>
    <row r="192" spans="2:2" ht="14.45" customHeight="1" x14ac:dyDescent="0.25">
      <c r="B192" t="s">
        <v>295</v>
      </c>
    </row>
    <row r="193" spans="2:2" ht="14.45" customHeight="1" x14ac:dyDescent="0.25">
      <c r="B193" t="s">
        <v>296</v>
      </c>
    </row>
    <row r="194" spans="2:2" ht="14.45" customHeight="1" x14ac:dyDescent="0.25">
      <c r="B194" t="s">
        <v>297</v>
      </c>
    </row>
    <row r="195" spans="2:2" ht="14.45" customHeight="1" x14ac:dyDescent="0.25">
      <c r="B195" t="s">
        <v>298</v>
      </c>
    </row>
    <row r="196" spans="2:2" ht="14.45" customHeight="1" x14ac:dyDescent="0.25">
      <c r="B196" t="s">
        <v>299</v>
      </c>
    </row>
    <row r="197" spans="2:2" ht="14.45" customHeight="1" x14ac:dyDescent="0.25">
      <c r="B197" t="s">
        <v>300</v>
      </c>
    </row>
    <row r="198" spans="2:2" ht="14.45" customHeight="1" x14ac:dyDescent="0.25">
      <c r="B198" t="s">
        <v>301</v>
      </c>
    </row>
    <row r="199" spans="2:2" ht="14.45" customHeight="1" x14ac:dyDescent="0.25">
      <c r="B199" t="s">
        <v>302</v>
      </c>
    </row>
    <row r="200" spans="2:2" ht="14.45" customHeight="1" x14ac:dyDescent="0.25">
      <c r="B200" t="s">
        <v>303</v>
      </c>
    </row>
    <row r="201" spans="2:2" ht="14.45" customHeight="1" x14ac:dyDescent="0.25">
      <c r="B201" t="s">
        <v>304</v>
      </c>
    </row>
    <row r="202" spans="2:2" ht="14.45" customHeight="1" x14ac:dyDescent="0.25">
      <c r="B202" t="s">
        <v>305</v>
      </c>
    </row>
    <row r="203" spans="2:2" ht="14.45" customHeight="1" x14ac:dyDescent="0.25">
      <c r="B203" t="s">
        <v>306</v>
      </c>
    </row>
    <row r="204" spans="2:2" ht="14.45" customHeight="1" x14ac:dyDescent="0.25">
      <c r="B204" t="s">
        <v>307</v>
      </c>
    </row>
    <row r="205" spans="2:2" ht="14.45" customHeight="1" x14ac:dyDescent="0.25">
      <c r="B205" t="s">
        <v>308</v>
      </c>
    </row>
    <row r="206" spans="2:2" ht="14.45" customHeight="1" x14ac:dyDescent="0.25">
      <c r="B206" t="s">
        <v>309</v>
      </c>
    </row>
    <row r="207" spans="2:2" ht="14.45" customHeight="1" x14ac:dyDescent="0.25">
      <c r="B207" t="s">
        <v>310</v>
      </c>
    </row>
    <row r="208" spans="2:2" ht="14.45" customHeight="1" x14ac:dyDescent="0.25">
      <c r="B208" t="s">
        <v>311</v>
      </c>
    </row>
    <row r="209" spans="2:2" ht="14.45" customHeight="1" x14ac:dyDescent="0.25">
      <c r="B209" t="s">
        <v>312</v>
      </c>
    </row>
    <row r="210" spans="2:2" ht="14.45" customHeight="1" x14ac:dyDescent="0.25">
      <c r="B210" t="s">
        <v>313</v>
      </c>
    </row>
    <row r="211" spans="2:2" ht="14.45" customHeight="1" x14ac:dyDescent="0.25">
      <c r="B211" t="s">
        <v>314</v>
      </c>
    </row>
    <row r="212" spans="2:2" ht="14.45" customHeight="1" x14ac:dyDescent="0.25">
      <c r="B212" t="s">
        <v>315</v>
      </c>
    </row>
    <row r="213" spans="2:2" ht="14.45" customHeight="1" x14ac:dyDescent="0.25">
      <c r="B213" t="s">
        <v>316</v>
      </c>
    </row>
    <row r="214" spans="2:2" ht="14.45" customHeight="1" x14ac:dyDescent="0.25">
      <c r="B214" t="s">
        <v>317</v>
      </c>
    </row>
    <row r="215" spans="2:2" ht="14.45" customHeight="1" x14ac:dyDescent="0.25">
      <c r="B215" t="s">
        <v>318</v>
      </c>
    </row>
    <row r="216" spans="2:2" ht="14.45" customHeight="1" x14ac:dyDescent="0.25">
      <c r="B216" t="s">
        <v>319</v>
      </c>
    </row>
    <row r="217" spans="2:2" ht="14.45" customHeight="1" x14ac:dyDescent="0.25">
      <c r="B217" t="s">
        <v>320</v>
      </c>
    </row>
    <row r="218" spans="2:2" ht="14.45" customHeight="1" x14ac:dyDescent="0.25">
      <c r="B218" t="s">
        <v>321</v>
      </c>
    </row>
    <row r="219" spans="2:2" ht="14.45" customHeight="1" x14ac:dyDescent="0.25">
      <c r="B219" t="s">
        <v>322</v>
      </c>
    </row>
    <row r="220" spans="2:2" ht="14.45" customHeight="1" x14ac:dyDescent="0.25">
      <c r="B220" t="s">
        <v>323</v>
      </c>
    </row>
    <row r="221" spans="2:2" ht="14.45" customHeight="1" x14ac:dyDescent="0.25">
      <c r="B221" t="s">
        <v>324</v>
      </c>
    </row>
    <row r="222" spans="2:2" ht="14.45" customHeight="1" x14ac:dyDescent="0.25">
      <c r="B222" t="s">
        <v>325</v>
      </c>
    </row>
    <row r="223" spans="2:2" ht="14.45" customHeight="1" x14ac:dyDescent="0.25">
      <c r="B223" t="s">
        <v>326</v>
      </c>
    </row>
    <row r="224" spans="2:2" ht="14.45" customHeight="1" x14ac:dyDescent="0.25">
      <c r="B224" t="s">
        <v>327</v>
      </c>
    </row>
    <row r="225" spans="2:2" ht="14.45" customHeight="1" x14ac:dyDescent="0.25">
      <c r="B225" t="s">
        <v>328</v>
      </c>
    </row>
    <row r="226" spans="2:2" ht="14.45" customHeight="1" x14ac:dyDescent="0.25">
      <c r="B226" t="s">
        <v>329</v>
      </c>
    </row>
    <row r="227" spans="2:2" ht="14.45" customHeight="1" x14ac:dyDescent="0.25">
      <c r="B227" t="s">
        <v>330</v>
      </c>
    </row>
    <row r="228" spans="2:2" ht="14.45" customHeight="1" x14ac:dyDescent="0.25">
      <c r="B228" t="s">
        <v>331</v>
      </c>
    </row>
    <row r="229" spans="2:2" ht="14.45" customHeight="1" x14ac:dyDescent="0.25">
      <c r="B229" t="s">
        <v>332</v>
      </c>
    </row>
    <row r="230" spans="2:2" ht="14.45" customHeight="1" x14ac:dyDescent="0.25">
      <c r="B230" t="s">
        <v>333</v>
      </c>
    </row>
    <row r="231" spans="2:2" ht="14.45" customHeight="1" x14ac:dyDescent="0.25">
      <c r="B231" t="s">
        <v>334</v>
      </c>
    </row>
    <row r="232" spans="2:2" ht="14.45" customHeight="1" x14ac:dyDescent="0.25">
      <c r="B232" t="s">
        <v>335</v>
      </c>
    </row>
    <row r="233" spans="2:2" ht="14.45" customHeight="1" x14ac:dyDescent="0.25">
      <c r="B233" t="s">
        <v>336</v>
      </c>
    </row>
    <row r="234" spans="2:2" ht="14.45" customHeight="1" x14ac:dyDescent="0.25">
      <c r="B234" t="s">
        <v>337</v>
      </c>
    </row>
    <row r="235" spans="2:2" ht="14.45" customHeight="1" x14ac:dyDescent="0.25">
      <c r="B235" t="s">
        <v>338</v>
      </c>
    </row>
    <row r="236" spans="2:2" ht="14.45" customHeight="1" x14ac:dyDescent="0.25">
      <c r="B236" t="s">
        <v>339</v>
      </c>
    </row>
    <row r="237" spans="2:2" ht="14.45" customHeight="1" x14ac:dyDescent="0.25">
      <c r="B237" t="s">
        <v>340</v>
      </c>
    </row>
    <row r="238" spans="2:2" ht="14.45" customHeight="1" x14ac:dyDescent="0.25">
      <c r="B238" t="s">
        <v>341</v>
      </c>
    </row>
    <row r="239" spans="2:2" ht="14.45" customHeight="1" x14ac:dyDescent="0.25">
      <c r="B239" t="s">
        <v>342</v>
      </c>
    </row>
    <row r="240" spans="2:2" ht="14.45" customHeight="1" x14ac:dyDescent="0.25">
      <c r="B240" t="s">
        <v>343</v>
      </c>
    </row>
    <row r="241" spans="2:2" ht="14.45" customHeight="1" x14ac:dyDescent="0.25">
      <c r="B241" t="s">
        <v>344</v>
      </c>
    </row>
    <row r="242" spans="2:2" ht="14.45" customHeight="1" x14ac:dyDescent="0.25">
      <c r="B242" t="s">
        <v>345</v>
      </c>
    </row>
    <row r="243" spans="2:2" ht="14.45" customHeight="1" x14ac:dyDescent="0.25">
      <c r="B243" t="s">
        <v>346</v>
      </c>
    </row>
    <row r="244" spans="2:2" ht="14.45" customHeight="1" x14ac:dyDescent="0.25">
      <c r="B244" t="s">
        <v>347</v>
      </c>
    </row>
    <row r="245" spans="2:2" ht="14.45" customHeight="1" x14ac:dyDescent="0.25">
      <c r="B245" t="s">
        <v>348</v>
      </c>
    </row>
    <row r="246" spans="2:2" ht="14.45" customHeight="1" x14ac:dyDescent="0.25">
      <c r="B246" t="s">
        <v>349</v>
      </c>
    </row>
    <row r="247" spans="2:2" ht="14.45" customHeight="1" x14ac:dyDescent="0.25">
      <c r="B247" t="s">
        <v>350</v>
      </c>
    </row>
    <row r="248" spans="2:2" ht="14.45" customHeight="1" x14ac:dyDescent="0.25">
      <c r="B248" t="s">
        <v>351</v>
      </c>
    </row>
    <row r="249" spans="2:2" ht="14.45" customHeight="1" x14ac:dyDescent="0.25">
      <c r="B249" t="s">
        <v>352</v>
      </c>
    </row>
    <row r="250" spans="2:2" ht="14.45" customHeight="1" x14ac:dyDescent="0.25">
      <c r="B250" t="s">
        <v>353</v>
      </c>
    </row>
    <row r="251" spans="2:2" ht="14.45" customHeight="1" x14ac:dyDescent="0.25">
      <c r="B251" t="s">
        <v>354</v>
      </c>
    </row>
    <row r="252" spans="2:2" ht="14.45" customHeight="1" x14ac:dyDescent="0.25">
      <c r="B252" t="s">
        <v>355</v>
      </c>
    </row>
    <row r="253" spans="2:2" ht="14.45" customHeight="1" x14ac:dyDescent="0.25">
      <c r="B253" t="s">
        <v>356</v>
      </c>
    </row>
    <row r="254" spans="2:2" ht="14.45" customHeight="1" x14ac:dyDescent="0.25">
      <c r="B254" t="s">
        <v>357</v>
      </c>
    </row>
    <row r="255" spans="2:2" ht="14.45" customHeight="1" x14ac:dyDescent="0.25">
      <c r="B255" t="s">
        <v>358</v>
      </c>
    </row>
    <row r="256" spans="2:2" ht="14.45" customHeight="1" x14ac:dyDescent="0.25">
      <c r="B256" t="s">
        <v>359</v>
      </c>
    </row>
    <row r="257" spans="2:2" ht="14.45" customHeight="1" x14ac:dyDescent="0.25">
      <c r="B257" t="s">
        <v>360</v>
      </c>
    </row>
    <row r="258" spans="2:2" ht="14.45" customHeight="1" x14ac:dyDescent="0.25">
      <c r="B258" t="s">
        <v>361</v>
      </c>
    </row>
    <row r="259" spans="2:2" ht="14.45" customHeight="1" x14ac:dyDescent="0.25">
      <c r="B259" t="s">
        <v>362</v>
      </c>
    </row>
    <row r="260" spans="2:2" ht="14.45" customHeight="1" x14ac:dyDescent="0.25">
      <c r="B260" t="s">
        <v>363</v>
      </c>
    </row>
    <row r="261" spans="2:2" ht="14.45" customHeight="1" x14ac:dyDescent="0.25">
      <c r="B261" t="s">
        <v>364</v>
      </c>
    </row>
    <row r="262" spans="2:2" ht="14.45" customHeight="1" x14ac:dyDescent="0.25">
      <c r="B262" t="s">
        <v>365</v>
      </c>
    </row>
    <row r="263" spans="2:2" ht="14.45" customHeight="1" x14ac:dyDescent="0.25">
      <c r="B263" t="s">
        <v>366</v>
      </c>
    </row>
    <row r="264" spans="2:2" ht="14.45" customHeight="1" x14ac:dyDescent="0.25">
      <c r="B264" t="s">
        <v>367</v>
      </c>
    </row>
    <row r="265" spans="2:2" ht="14.45" customHeight="1" x14ac:dyDescent="0.25">
      <c r="B265" t="s">
        <v>368</v>
      </c>
    </row>
    <row r="266" spans="2:2" ht="14.45" customHeight="1" x14ac:dyDescent="0.25">
      <c r="B266" t="s">
        <v>369</v>
      </c>
    </row>
    <row r="267" spans="2:2" ht="14.45" customHeight="1" x14ac:dyDescent="0.25">
      <c r="B267" t="s">
        <v>370</v>
      </c>
    </row>
    <row r="268" spans="2:2" ht="14.45" customHeight="1" x14ac:dyDescent="0.25">
      <c r="B268" t="s">
        <v>371</v>
      </c>
    </row>
    <row r="269" spans="2:2" ht="14.45" customHeight="1" x14ac:dyDescent="0.25">
      <c r="B269" t="s">
        <v>372</v>
      </c>
    </row>
    <row r="270" spans="2:2" ht="14.45" customHeight="1" x14ac:dyDescent="0.25">
      <c r="B270" t="s">
        <v>373</v>
      </c>
    </row>
    <row r="271" spans="2:2" ht="14.45" customHeight="1" x14ac:dyDescent="0.25">
      <c r="B271" t="s">
        <v>374</v>
      </c>
    </row>
    <row r="272" spans="2:2" ht="14.45" customHeight="1" x14ac:dyDescent="0.25">
      <c r="B272" t="s">
        <v>375</v>
      </c>
    </row>
    <row r="273" spans="2:2" ht="14.45" customHeight="1" x14ac:dyDescent="0.25">
      <c r="B273" t="s">
        <v>376</v>
      </c>
    </row>
    <row r="274" spans="2:2" ht="14.45" customHeight="1" x14ac:dyDescent="0.25">
      <c r="B274" t="s">
        <v>377</v>
      </c>
    </row>
    <row r="275" spans="2:2" ht="14.45" customHeight="1" x14ac:dyDescent="0.25">
      <c r="B275" t="s">
        <v>378</v>
      </c>
    </row>
    <row r="276" spans="2:2" ht="14.45" customHeight="1" x14ac:dyDescent="0.25">
      <c r="B276" t="s">
        <v>379</v>
      </c>
    </row>
    <row r="277" spans="2:2" ht="14.45" customHeight="1" x14ac:dyDescent="0.25">
      <c r="B277" t="s">
        <v>380</v>
      </c>
    </row>
    <row r="278" spans="2:2" ht="14.45" customHeight="1" x14ac:dyDescent="0.25">
      <c r="B278" t="s">
        <v>381</v>
      </c>
    </row>
    <row r="279" spans="2:2" ht="14.45" customHeight="1" x14ac:dyDescent="0.25">
      <c r="B279" t="s">
        <v>382</v>
      </c>
    </row>
    <row r="280" spans="2:2" ht="14.45" customHeight="1" x14ac:dyDescent="0.25">
      <c r="B280" t="s">
        <v>383</v>
      </c>
    </row>
    <row r="281" spans="2:2" ht="14.45" customHeight="1" x14ac:dyDescent="0.25">
      <c r="B281" t="s">
        <v>384</v>
      </c>
    </row>
    <row r="282" spans="2:2" ht="14.45" customHeight="1" x14ac:dyDescent="0.25">
      <c r="B282" t="s">
        <v>385</v>
      </c>
    </row>
    <row r="283" spans="2:2" ht="14.45" customHeight="1" x14ac:dyDescent="0.25">
      <c r="B283" t="s">
        <v>386</v>
      </c>
    </row>
    <row r="284" spans="2:2" ht="14.45" customHeight="1" x14ac:dyDescent="0.25">
      <c r="B284" t="s">
        <v>387</v>
      </c>
    </row>
    <row r="285" spans="2:2" ht="14.45" customHeight="1" x14ac:dyDescent="0.25">
      <c r="B285" t="s">
        <v>388</v>
      </c>
    </row>
    <row r="286" spans="2:2" ht="14.45" customHeight="1" x14ac:dyDescent="0.25">
      <c r="B286" t="s">
        <v>389</v>
      </c>
    </row>
    <row r="287" spans="2:2" ht="14.45" customHeight="1" x14ac:dyDescent="0.25">
      <c r="B287" t="s">
        <v>390</v>
      </c>
    </row>
    <row r="288" spans="2:2" ht="14.45" customHeight="1" x14ac:dyDescent="0.25">
      <c r="B288" t="s">
        <v>391</v>
      </c>
    </row>
    <row r="289" spans="2:2" ht="14.45" customHeight="1" x14ac:dyDescent="0.25">
      <c r="B289" t="s">
        <v>392</v>
      </c>
    </row>
    <row r="290" spans="2:2" ht="14.45" customHeight="1" x14ac:dyDescent="0.25">
      <c r="B290" t="s">
        <v>393</v>
      </c>
    </row>
    <row r="291" spans="2:2" ht="14.45" customHeight="1" x14ac:dyDescent="0.25">
      <c r="B291" t="s">
        <v>394</v>
      </c>
    </row>
    <row r="292" spans="2:2" ht="14.45" customHeight="1" x14ac:dyDescent="0.25">
      <c r="B292" t="s">
        <v>395</v>
      </c>
    </row>
    <row r="293" spans="2:2" ht="14.45" customHeight="1" x14ac:dyDescent="0.25">
      <c r="B293" t="s">
        <v>396</v>
      </c>
    </row>
    <row r="294" spans="2:2" ht="14.45" customHeight="1" x14ac:dyDescent="0.25">
      <c r="B294" t="s">
        <v>397</v>
      </c>
    </row>
    <row r="295" spans="2:2" ht="14.45" customHeight="1" x14ac:dyDescent="0.25">
      <c r="B295" t="s">
        <v>398</v>
      </c>
    </row>
    <row r="296" spans="2:2" ht="14.45" customHeight="1" x14ac:dyDescent="0.25">
      <c r="B296" t="s">
        <v>399</v>
      </c>
    </row>
    <row r="297" spans="2:2" ht="14.45" customHeight="1" x14ac:dyDescent="0.25">
      <c r="B297" t="s">
        <v>400</v>
      </c>
    </row>
    <row r="298" spans="2:2" ht="14.45" customHeight="1" x14ac:dyDescent="0.25">
      <c r="B298" t="s">
        <v>401</v>
      </c>
    </row>
    <row r="299" spans="2:2" ht="14.45" customHeight="1" x14ac:dyDescent="0.25">
      <c r="B299" t="s">
        <v>402</v>
      </c>
    </row>
    <row r="300" spans="2:2" ht="14.45" customHeight="1" x14ac:dyDescent="0.25">
      <c r="B300" t="s">
        <v>403</v>
      </c>
    </row>
    <row r="301" spans="2:2" ht="14.45" customHeight="1" x14ac:dyDescent="0.25">
      <c r="B301" t="s">
        <v>404</v>
      </c>
    </row>
    <row r="302" spans="2:2" ht="14.45" customHeight="1" x14ac:dyDescent="0.25">
      <c r="B302" t="s">
        <v>405</v>
      </c>
    </row>
    <row r="303" spans="2:2" ht="14.45" customHeight="1" x14ac:dyDescent="0.25">
      <c r="B303" t="s">
        <v>406</v>
      </c>
    </row>
    <row r="304" spans="2:2" ht="14.45" customHeight="1" x14ac:dyDescent="0.25">
      <c r="B304" t="s">
        <v>407</v>
      </c>
    </row>
    <row r="305" spans="2:2" ht="14.45" customHeight="1" x14ac:dyDescent="0.25">
      <c r="B305" t="s">
        <v>408</v>
      </c>
    </row>
    <row r="306" spans="2:2" ht="14.45" customHeight="1" x14ac:dyDescent="0.25">
      <c r="B306" t="s">
        <v>409</v>
      </c>
    </row>
    <row r="307" spans="2:2" ht="14.45" customHeight="1" x14ac:dyDescent="0.25">
      <c r="B307" t="s">
        <v>410</v>
      </c>
    </row>
    <row r="308" spans="2:2" ht="14.45" customHeight="1" x14ac:dyDescent="0.25">
      <c r="B308" t="s">
        <v>411</v>
      </c>
    </row>
    <row r="309" spans="2:2" ht="14.45" customHeight="1" x14ac:dyDescent="0.25">
      <c r="B309" t="s">
        <v>412</v>
      </c>
    </row>
    <row r="310" spans="2:2" ht="14.45" customHeight="1" x14ac:dyDescent="0.25">
      <c r="B310" t="s">
        <v>413</v>
      </c>
    </row>
    <row r="311" spans="2:2" ht="14.45" customHeight="1" x14ac:dyDescent="0.25">
      <c r="B311" t="s">
        <v>414</v>
      </c>
    </row>
    <row r="312" spans="2:2" ht="14.45" customHeight="1" x14ac:dyDescent="0.25">
      <c r="B312" t="s">
        <v>415</v>
      </c>
    </row>
    <row r="313" spans="2:2" ht="14.45" customHeight="1" x14ac:dyDescent="0.25">
      <c r="B313" t="s">
        <v>416</v>
      </c>
    </row>
    <row r="314" spans="2:2" ht="14.45" customHeight="1" x14ac:dyDescent="0.25">
      <c r="B314" t="s">
        <v>417</v>
      </c>
    </row>
    <row r="315" spans="2:2" ht="14.45" customHeight="1" x14ac:dyDescent="0.25">
      <c r="B315" t="s">
        <v>418</v>
      </c>
    </row>
    <row r="316" spans="2:2" ht="14.45" customHeight="1" x14ac:dyDescent="0.25">
      <c r="B316" t="s">
        <v>419</v>
      </c>
    </row>
    <row r="317" spans="2:2" ht="14.45" customHeight="1" x14ac:dyDescent="0.25">
      <c r="B317" t="s">
        <v>420</v>
      </c>
    </row>
    <row r="318" spans="2:2" ht="14.45" customHeight="1" x14ac:dyDescent="0.25">
      <c r="B318" t="s">
        <v>421</v>
      </c>
    </row>
    <row r="319" spans="2:2" ht="14.45" customHeight="1" x14ac:dyDescent="0.25">
      <c r="B319" t="s">
        <v>422</v>
      </c>
    </row>
    <row r="320" spans="2:2" ht="14.45" customHeight="1" x14ac:dyDescent="0.25">
      <c r="B320" t="s">
        <v>423</v>
      </c>
    </row>
    <row r="321" spans="2:2" ht="14.45" customHeight="1" x14ac:dyDescent="0.25">
      <c r="B321" t="s">
        <v>424</v>
      </c>
    </row>
    <row r="322" spans="2:2" ht="14.45" customHeight="1" x14ac:dyDescent="0.25">
      <c r="B322" t="s">
        <v>425</v>
      </c>
    </row>
    <row r="323" spans="2:2" ht="14.45" customHeight="1" x14ac:dyDescent="0.25">
      <c r="B323" t="s">
        <v>426</v>
      </c>
    </row>
    <row r="324" spans="2:2" ht="14.45" customHeight="1" x14ac:dyDescent="0.25">
      <c r="B324" t="s">
        <v>427</v>
      </c>
    </row>
    <row r="325" spans="2:2" ht="14.45" customHeight="1" x14ac:dyDescent="0.25">
      <c r="B325" t="s">
        <v>428</v>
      </c>
    </row>
    <row r="326" spans="2:2" ht="14.45" customHeight="1" x14ac:dyDescent="0.25">
      <c r="B326" t="s">
        <v>429</v>
      </c>
    </row>
    <row r="327" spans="2:2" ht="14.45" customHeight="1" x14ac:dyDescent="0.25">
      <c r="B327" t="s">
        <v>430</v>
      </c>
    </row>
    <row r="328" spans="2:2" ht="14.45" customHeight="1" x14ac:dyDescent="0.25">
      <c r="B328" t="s">
        <v>431</v>
      </c>
    </row>
    <row r="329" spans="2:2" ht="14.45" customHeight="1" x14ac:dyDescent="0.25">
      <c r="B329" t="s">
        <v>432</v>
      </c>
    </row>
    <row r="330" spans="2:2" ht="14.45" customHeight="1" x14ac:dyDescent="0.25">
      <c r="B330" t="s">
        <v>433</v>
      </c>
    </row>
    <row r="331" spans="2:2" ht="14.45" customHeight="1" x14ac:dyDescent="0.25">
      <c r="B331" t="s">
        <v>434</v>
      </c>
    </row>
    <row r="332" spans="2:2" ht="14.45" customHeight="1" x14ac:dyDescent="0.25">
      <c r="B332" t="s">
        <v>435</v>
      </c>
    </row>
    <row r="333" spans="2:2" ht="14.45" customHeight="1" x14ac:dyDescent="0.25">
      <c r="B333" t="s">
        <v>436</v>
      </c>
    </row>
    <row r="334" spans="2:2" ht="14.45" customHeight="1" x14ac:dyDescent="0.25">
      <c r="B334" t="s">
        <v>437</v>
      </c>
    </row>
    <row r="335" spans="2:2" ht="14.45" customHeight="1" x14ac:dyDescent="0.25">
      <c r="B335" t="s">
        <v>438</v>
      </c>
    </row>
    <row r="336" spans="2:2" ht="14.45" customHeight="1" x14ac:dyDescent="0.25">
      <c r="B336" t="s">
        <v>439</v>
      </c>
    </row>
    <row r="337" spans="2:2" ht="14.45" customHeight="1" x14ac:dyDescent="0.25">
      <c r="B337" t="s">
        <v>440</v>
      </c>
    </row>
    <row r="338" spans="2:2" ht="14.45" customHeight="1" x14ac:dyDescent="0.25">
      <c r="B338" t="s">
        <v>441</v>
      </c>
    </row>
    <row r="339" spans="2:2" ht="14.45" customHeight="1" x14ac:dyDescent="0.25">
      <c r="B339" t="s">
        <v>442</v>
      </c>
    </row>
    <row r="340" spans="2:2" ht="14.45" customHeight="1" x14ac:dyDescent="0.25">
      <c r="B340" t="s">
        <v>443</v>
      </c>
    </row>
    <row r="341" spans="2:2" ht="14.45" customHeight="1" x14ac:dyDescent="0.25">
      <c r="B341" t="s">
        <v>444</v>
      </c>
    </row>
    <row r="342" spans="2:2" ht="14.45" customHeight="1" x14ac:dyDescent="0.25">
      <c r="B342" t="s">
        <v>445</v>
      </c>
    </row>
    <row r="343" spans="2:2" ht="14.45" customHeight="1" x14ac:dyDescent="0.25">
      <c r="B343" t="s">
        <v>446</v>
      </c>
    </row>
    <row r="344" spans="2:2" ht="14.45" customHeight="1" x14ac:dyDescent="0.25">
      <c r="B344" t="s">
        <v>447</v>
      </c>
    </row>
    <row r="345" spans="2:2" ht="14.45" customHeight="1" x14ac:dyDescent="0.25">
      <c r="B345" t="s">
        <v>448</v>
      </c>
    </row>
    <row r="346" spans="2:2" ht="14.45" customHeight="1" x14ac:dyDescent="0.25">
      <c r="B346" t="s">
        <v>449</v>
      </c>
    </row>
    <row r="347" spans="2:2" ht="14.45" customHeight="1" x14ac:dyDescent="0.25">
      <c r="B347" t="s">
        <v>450</v>
      </c>
    </row>
    <row r="348" spans="2:2" ht="14.45" customHeight="1" x14ac:dyDescent="0.25">
      <c r="B348" t="s">
        <v>451</v>
      </c>
    </row>
    <row r="349" spans="2:2" ht="14.45" customHeight="1" x14ac:dyDescent="0.25">
      <c r="B349" t="s">
        <v>452</v>
      </c>
    </row>
    <row r="350" spans="2:2" ht="14.45" customHeight="1" x14ac:dyDescent="0.25">
      <c r="B350" t="s">
        <v>453</v>
      </c>
    </row>
    <row r="351" spans="2:2" ht="14.45" customHeight="1" x14ac:dyDescent="0.25">
      <c r="B351" t="s">
        <v>454</v>
      </c>
    </row>
    <row r="352" spans="2:2" ht="14.45" customHeight="1" x14ac:dyDescent="0.25">
      <c r="B352" t="s">
        <v>455</v>
      </c>
    </row>
    <row r="353" spans="2:2" ht="14.45" customHeight="1" x14ac:dyDescent="0.25">
      <c r="B353" t="s">
        <v>456</v>
      </c>
    </row>
    <row r="354" spans="2:2" ht="14.45" customHeight="1" x14ac:dyDescent="0.25">
      <c r="B354" t="s">
        <v>457</v>
      </c>
    </row>
    <row r="355" spans="2:2" ht="14.45" customHeight="1" x14ac:dyDescent="0.25">
      <c r="B355" t="s">
        <v>458</v>
      </c>
    </row>
    <row r="356" spans="2:2" ht="14.45" customHeight="1" x14ac:dyDescent="0.25">
      <c r="B356" t="s">
        <v>459</v>
      </c>
    </row>
    <row r="357" spans="2:2" ht="14.45" customHeight="1" x14ac:dyDescent="0.25">
      <c r="B357" t="s">
        <v>460</v>
      </c>
    </row>
    <row r="358" spans="2:2" ht="14.45" customHeight="1" x14ac:dyDescent="0.25">
      <c r="B358" t="s">
        <v>461</v>
      </c>
    </row>
    <row r="359" spans="2:2" ht="14.45" customHeight="1" x14ac:dyDescent="0.25">
      <c r="B359" t="s">
        <v>462</v>
      </c>
    </row>
    <row r="360" spans="2:2" ht="14.45" customHeight="1" x14ac:dyDescent="0.25">
      <c r="B360" t="s">
        <v>463</v>
      </c>
    </row>
    <row r="361" spans="2:2" ht="14.45" customHeight="1" x14ac:dyDescent="0.25">
      <c r="B361" t="s">
        <v>464</v>
      </c>
    </row>
    <row r="362" spans="2:2" ht="14.45" customHeight="1" x14ac:dyDescent="0.25">
      <c r="B362" t="s">
        <v>465</v>
      </c>
    </row>
    <row r="363" spans="2:2" ht="14.45" customHeight="1" x14ac:dyDescent="0.25">
      <c r="B363" t="s">
        <v>466</v>
      </c>
    </row>
    <row r="364" spans="2:2" ht="14.45" customHeight="1" x14ac:dyDescent="0.25">
      <c r="B364" t="s">
        <v>467</v>
      </c>
    </row>
    <row r="365" spans="2:2" ht="14.45" customHeight="1" x14ac:dyDescent="0.25">
      <c r="B365" t="s">
        <v>468</v>
      </c>
    </row>
    <row r="366" spans="2:2" ht="14.45" customHeight="1" x14ac:dyDescent="0.25">
      <c r="B366" t="s">
        <v>469</v>
      </c>
    </row>
    <row r="367" spans="2:2" ht="14.45" customHeight="1" x14ac:dyDescent="0.25">
      <c r="B367" t="s">
        <v>470</v>
      </c>
    </row>
    <row r="368" spans="2:2" ht="14.45" customHeight="1" x14ac:dyDescent="0.25">
      <c r="B368" t="s">
        <v>471</v>
      </c>
    </row>
    <row r="369" spans="2:2" ht="14.45" customHeight="1" x14ac:dyDescent="0.25">
      <c r="B369" t="s">
        <v>472</v>
      </c>
    </row>
    <row r="370" spans="2:2" ht="14.45" customHeight="1" x14ac:dyDescent="0.25">
      <c r="B370" t="s">
        <v>473</v>
      </c>
    </row>
    <row r="371" spans="2:2" ht="14.45" customHeight="1" x14ac:dyDescent="0.25">
      <c r="B371" t="s">
        <v>474</v>
      </c>
    </row>
    <row r="372" spans="2:2" ht="14.45" customHeight="1" x14ac:dyDescent="0.25">
      <c r="B372" t="s">
        <v>475</v>
      </c>
    </row>
    <row r="373" spans="2:2" ht="14.45" customHeight="1" x14ac:dyDescent="0.25">
      <c r="B373" t="s">
        <v>476</v>
      </c>
    </row>
    <row r="374" spans="2:2" ht="14.45" customHeight="1" x14ac:dyDescent="0.25">
      <c r="B374" t="s">
        <v>477</v>
      </c>
    </row>
    <row r="375" spans="2:2" ht="14.45" customHeight="1" x14ac:dyDescent="0.25">
      <c r="B375" t="s">
        <v>478</v>
      </c>
    </row>
    <row r="376" spans="2:2" ht="14.45" customHeight="1" x14ac:dyDescent="0.25">
      <c r="B376" t="s">
        <v>479</v>
      </c>
    </row>
    <row r="377" spans="2:2" ht="14.45" customHeight="1" x14ac:dyDescent="0.25">
      <c r="B377" t="s">
        <v>480</v>
      </c>
    </row>
    <row r="378" spans="2:2" ht="14.45" customHeight="1" x14ac:dyDescent="0.25">
      <c r="B378" t="s">
        <v>481</v>
      </c>
    </row>
    <row r="379" spans="2:2" ht="14.45" customHeight="1" x14ac:dyDescent="0.25">
      <c r="B379" t="s">
        <v>482</v>
      </c>
    </row>
    <row r="380" spans="2:2" ht="14.45" customHeight="1" x14ac:dyDescent="0.25">
      <c r="B380" t="s">
        <v>483</v>
      </c>
    </row>
    <row r="381" spans="2:2" ht="14.45" customHeight="1" x14ac:dyDescent="0.25">
      <c r="B381" t="s">
        <v>484</v>
      </c>
    </row>
    <row r="382" spans="2:2" ht="14.45" customHeight="1" x14ac:dyDescent="0.25">
      <c r="B382" t="s">
        <v>485</v>
      </c>
    </row>
    <row r="383" spans="2:2" ht="14.45" customHeight="1" x14ac:dyDescent="0.25">
      <c r="B383" t="s">
        <v>486</v>
      </c>
    </row>
    <row r="384" spans="2:2" ht="14.45" customHeight="1" x14ac:dyDescent="0.25">
      <c r="B384" t="s">
        <v>487</v>
      </c>
    </row>
    <row r="385" spans="2:2" ht="14.45" customHeight="1" x14ac:dyDescent="0.25">
      <c r="B385" t="s">
        <v>488</v>
      </c>
    </row>
    <row r="386" spans="2:2" ht="14.45" customHeight="1" x14ac:dyDescent="0.25">
      <c r="B386" t="s">
        <v>489</v>
      </c>
    </row>
    <row r="387" spans="2:2" ht="14.45" customHeight="1" x14ac:dyDescent="0.25">
      <c r="B387" t="s">
        <v>490</v>
      </c>
    </row>
    <row r="388" spans="2:2" ht="14.45" customHeight="1" x14ac:dyDescent="0.25">
      <c r="B388" t="s">
        <v>491</v>
      </c>
    </row>
    <row r="389" spans="2:2" ht="14.45" customHeight="1" x14ac:dyDescent="0.25">
      <c r="B389" t="s">
        <v>492</v>
      </c>
    </row>
    <row r="390" spans="2:2" ht="14.45" customHeight="1" x14ac:dyDescent="0.25">
      <c r="B390" t="s">
        <v>493</v>
      </c>
    </row>
    <row r="391" spans="2:2" ht="14.45" customHeight="1" x14ac:dyDescent="0.25">
      <c r="B391" t="s">
        <v>494</v>
      </c>
    </row>
    <row r="392" spans="2:2" ht="14.45" customHeight="1" x14ac:dyDescent="0.25">
      <c r="B392" t="s">
        <v>495</v>
      </c>
    </row>
    <row r="393" spans="2:2" ht="14.45" customHeight="1" x14ac:dyDescent="0.25">
      <c r="B393" t="s">
        <v>496</v>
      </c>
    </row>
    <row r="394" spans="2:2" ht="14.45" customHeight="1" x14ac:dyDescent="0.25">
      <c r="B394" t="s">
        <v>497</v>
      </c>
    </row>
    <row r="395" spans="2:2" ht="14.45" customHeight="1" x14ac:dyDescent="0.25">
      <c r="B395" t="s">
        <v>498</v>
      </c>
    </row>
    <row r="396" spans="2:2" ht="14.45" customHeight="1" x14ac:dyDescent="0.25">
      <c r="B396" t="s">
        <v>499</v>
      </c>
    </row>
    <row r="397" spans="2:2" ht="14.45" customHeight="1" x14ac:dyDescent="0.25">
      <c r="B397" t="s">
        <v>500</v>
      </c>
    </row>
    <row r="398" spans="2:2" ht="14.45" customHeight="1" x14ac:dyDescent="0.25">
      <c r="B398" t="s">
        <v>501</v>
      </c>
    </row>
    <row r="399" spans="2:2" ht="14.45" customHeight="1" x14ac:dyDescent="0.25">
      <c r="B399" t="s">
        <v>502</v>
      </c>
    </row>
    <row r="400" spans="2:2" ht="14.45" customHeight="1" x14ac:dyDescent="0.25">
      <c r="B400" t="s">
        <v>503</v>
      </c>
    </row>
    <row r="401" spans="2:2" ht="14.45" customHeight="1" x14ac:dyDescent="0.25">
      <c r="B401" t="s">
        <v>504</v>
      </c>
    </row>
    <row r="402" spans="2:2" ht="14.45" customHeight="1" x14ac:dyDescent="0.25">
      <c r="B402" t="s">
        <v>505</v>
      </c>
    </row>
    <row r="403" spans="2:2" ht="14.45" customHeight="1" x14ac:dyDescent="0.25">
      <c r="B403" t="s">
        <v>506</v>
      </c>
    </row>
    <row r="404" spans="2:2" ht="14.45" customHeight="1" x14ac:dyDescent="0.25">
      <c r="B404" t="s">
        <v>507</v>
      </c>
    </row>
    <row r="405" spans="2:2" ht="14.45" customHeight="1" x14ac:dyDescent="0.25">
      <c r="B405" t="s">
        <v>508</v>
      </c>
    </row>
    <row r="406" spans="2:2" ht="14.45" customHeight="1" x14ac:dyDescent="0.25">
      <c r="B406" t="s">
        <v>509</v>
      </c>
    </row>
    <row r="407" spans="2:2" ht="14.45" customHeight="1" x14ac:dyDescent="0.25">
      <c r="B407" t="s">
        <v>510</v>
      </c>
    </row>
    <row r="408" spans="2:2" ht="14.45" customHeight="1" x14ac:dyDescent="0.25">
      <c r="B408" t="s">
        <v>511</v>
      </c>
    </row>
    <row r="409" spans="2:2" ht="14.45" customHeight="1" x14ac:dyDescent="0.25">
      <c r="B409" t="s">
        <v>512</v>
      </c>
    </row>
    <row r="410" spans="2:2" ht="14.45" customHeight="1" x14ac:dyDescent="0.25">
      <c r="B410" t="s">
        <v>513</v>
      </c>
    </row>
    <row r="411" spans="2:2" ht="14.45" customHeight="1" x14ac:dyDescent="0.25">
      <c r="B411" t="s">
        <v>514</v>
      </c>
    </row>
    <row r="412" spans="2:2" ht="14.45" customHeight="1" x14ac:dyDescent="0.25">
      <c r="B412" t="s">
        <v>515</v>
      </c>
    </row>
    <row r="413" spans="2:2" ht="14.45" customHeight="1" x14ac:dyDescent="0.25">
      <c r="B413" t="s">
        <v>516</v>
      </c>
    </row>
    <row r="414" spans="2:2" ht="14.45" customHeight="1" x14ac:dyDescent="0.25">
      <c r="B414" t="s">
        <v>517</v>
      </c>
    </row>
    <row r="415" spans="2:2" ht="14.45" customHeight="1" x14ac:dyDescent="0.25">
      <c r="B415" t="s">
        <v>518</v>
      </c>
    </row>
    <row r="416" spans="2:2" ht="14.45" customHeight="1" x14ac:dyDescent="0.25">
      <c r="B416" t="s">
        <v>519</v>
      </c>
    </row>
    <row r="417" spans="2:2" ht="14.45" customHeight="1" x14ac:dyDescent="0.25">
      <c r="B417" t="s">
        <v>520</v>
      </c>
    </row>
    <row r="418" spans="2:2" ht="14.45" customHeight="1" x14ac:dyDescent="0.25">
      <c r="B418" t="s">
        <v>521</v>
      </c>
    </row>
    <row r="419" spans="2:2" ht="14.45" customHeight="1" x14ac:dyDescent="0.25">
      <c r="B419" t="s">
        <v>522</v>
      </c>
    </row>
    <row r="420" spans="2:2" ht="14.45" customHeight="1" x14ac:dyDescent="0.25">
      <c r="B420" t="s">
        <v>523</v>
      </c>
    </row>
    <row r="421" spans="2:2" ht="14.45" customHeight="1" x14ac:dyDescent="0.25">
      <c r="B421" t="s">
        <v>524</v>
      </c>
    </row>
    <row r="422" spans="2:2" ht="14.45" customHeight="1" x14ac:dyDescent="0.25">
      <c r="B422" t="s">
        <v>525</v>
      </c>
    </row>
    <row r="423" spans="2:2" ht="14.45" customHeight="1" x14ac:dyDescent="0.25">
      <c r="B423" t="s">
        <v>526</v>
      </c>
    </row>
    <row r="424" spans="2:2" ht="14.45" customHeight="1" x14ac:dyDescent="0.25">
      <c r="B424" t="s">
        <v>527</v>
      </c>
    </row>
    <row r="425" spans="2:2" ht="14.45" customHeight="1" x14ac:dyDescent="0.25">
      <c r="B425" t="s">
        <v>528</v>
      </c>
    </row>
    <row r="426" spans="2:2" ht="14.45" customHeight="1" x14ac:dyDescent="0.25">
      <c r="B426" t="s">
        <v>529</v>
      </c>
    </row>
    <row r="427" spans="2:2" ht="14.45" customHeight="1" x14ac:dyDescent="0.25">
      <c r="B427" t="s">
        <v>530</v>
      </c>
    </row>
    <row r="428" spans="2:2" ht="14.45" customHeight="1" x14ac:dyDescent="0.25">
      <c r="B428" t="s">
        <v>531</v>
      </c>
    </row>
    <row r="429" spans="2:2" ht="14.45" customHeight="1" x14ac:dyDescent="0.25">
      <c r="B429" t="s">
        <v>532</v>
      </c>
    </row>
    <row r="430" spans="2:2" ht="14.45" customHeight="1" x14ac:dyDescent="0.25">
      <c r="B430" t="s">
        <v>533</v>
      </c>
    </row>
    <row r="431" spans="2:2" ht="14.45" customHeight="1" x14ac:dyDescent="0.25">
      <c r="B431" t="s">
        <v>534</v>
      </c>
    </row>
    <row r="432" spans="2:2" ht="14.45" customHeight="1" x14ac:dyDescent="0.25">
      <c r="B432" t="s">
        <v>535</v>
      </c>
    </row>
    <row r="433" spans="2:2" ht="14.45" customHeight="1" x14ac:dyDescent="0.25">
      <c r="B433" t="s">
        <v>536</v>
      </c>
    </row>
    <row r="434" spans="2:2" ht="14.45" customHeight="1" x14ac:dyDescent="0.25">
      <c r="B434" t="s">
        <v>537</v>
      </c>
    </row>
    <row r="435" spans="2:2" ht="14.45" customHeight="1" x14ac:dyDescent="0.25">
      <c r="B435" t="s">
        <v>538</v>
      </c>
    </row>
    <row r="436" spans="2:2" ht="14.45" customHeight="1" x14ac:dyDescent="0.25">
      <c r="B436" t="s">
        <v>539</v>
      </c>
    </row>
    <row r="437" spans="2:2" ht="14.45" customHeight="1" x14ac:dyDescent="0.25">
      <c r="B437" t="s">
        <v>540</v>
      </c>
    </row>
    <row r="438" spans="2:2" ht="14.45" customHeight="1" x14ac:dyDescent="0.25">
      <c r="B438" t="s">
        <v>541</v>
      </c>
    </row>
    <row r="439" spans="2:2" ht="14.45" customHeight="1" x14ac:dyDescent="0.25">
      <c r="B439" t="s">
        <v>542</v>
      </c>
    </row>
    <row r="440" spans="2:2" ht="14.45" customHeight="1" x14ac:dyDescent="0.25">
      <c r="B440" t="s">
        <v>543</v>
      </c>
    </row>
    <row r="441" spans="2:2" ht="14.45" customHeight="1" x14ac:dyDescent="0.25">
      <c r="B441" t="s">
        <v>544</v>
      </c>
    </row>
    <row r="442" spans="2:2" ht="14.45" customHeight="1" x14ac:dyDescent="0.25">
      <c r="B442" t="s">
        <v>545</v>
      </c>
    </row>
    <row r="443" spans="2:2" ht="14.45" customHeight="1" x14ac:dyDescent="0.25">
      <c r="B443" t="s">
        <v>546</v>
      </c>
    </row>
    <row r="444" spans="2:2" ht="14.45" customHeight="1" x14ac:dyDescent="0.25">
      <c r="B444" t="s">
        <v>547</v>
      </c>
    </row>
    <row r="445" spans="2:2" ht="14.45" customHeight="1" x14ac:dyDescent="0.25">
      <c r="B445" t="s">
        <v>548</v>
      </c>
    </row>
    <row r="446" spans="2:2" ht="14.45" customHeight="1" x14ac:dyDescent="0.25">
      <c r="B446" t="s">
        <v>549</v>
      </c>
    </row>
    <row r="447" spans="2:2" ht="14.45" customHeight="1" x14ac:dyDescent="0.25">
      <c r="B447" t="s">
        <v>550</v>
      </c>
    </row>
    <row r="448" spans="2:2" ht="14.45" customHeight="1" x14ac:dyDescent="0.25">
      <c r="B448" t="s">
        <v>551</v>
      </c>
    </row>
    <row r="449" spans="2:2" ht="14.45" customHeight="1" x14ac:dyDescent="0.25">
      <c r="B449" t="s">
        <v>552</v>
      </c>
    </row>
    <row r="450" spans="2:2" ht="14.45" customHeight="1" x14ac:dyDescent="0.25">
      <c r="B450" t="s">
        <v>553</v>
      </c>
    </row>
    <row r="451" spans="2:2" ht="14.45" customHeight="1" x14ac:dyDescent="0.25">
      <c r="B451" t="s">
        <v>554</v>
      </c>
    </row>
    <row r="452" spans="2:2" ht="14.45" customHeight="1" x14ac:dyDescent="0.25">
      <c r="B452" t="s">
        <v>555</v>
      </c>
    </row>
    <row r="453" spans="2:2" ht="14.45" customHeight="1" x14ac:dyDescent="0.25">
      <c r="B453" t="s">
        <v>556</v>
      </c>
    </row>
    <row r="454" spans="2:2" ht="14.45" customHeight="1" x14ac:dyDescent="0.25">
      <c r="B454" t="s">
        <v>557</v>
      </c>
    </row>
    <row r="455" spans="2:2" ht="14.45" customHeight="1" x14ac:dyDescent="0.25">
      <c r="B455" t="s">
        <v>558</v>
      </c>
    </row>
    <row r="456" spans="2:2" ht="14.45" customHeight="1" x14ac:dyDescent="0.25">
      <c r="B456" t="s">
        <v>559</v>
      </c>
    </row>
    <row r="457" spans="2:2" ht="14.45" customHeight="1" x14ac:dyDescent="0.25">
      <c r="B457" t="s">
        <v>560</v>
      </c>
    </row>
    <row r="458" spans="2:2" ht="14.45" customHeight="1" x14ac:dyDescent="0.25">
      <c r="B458" t="s">
        <v>561</v>
      </c>
    </row>
    <row r="459" spans="2:2" ht="14.45" customHeight="1" x14ac:dyDescent="0.25">
      <c r="B459" t="s">
        <v>562</v>
      </c>
    </row>
    <row r="460" spans="2:2" ht="14.45" customHeight="1" x14ac:dyDescent="0.25">
      <c r="B460" t="s">
        <v>563</v>
      </c>
    </row>
    <row r="461" spans="2:2" ht="14.45" customHeight="1" x14ac:dyDescent="0.25">
      <c r="B461" t="s">
        <v>564</v>
      </c>
    </row>
    <row r="462" spans="2:2" ht="14.45" customHeight="1" x14ac:dyDescent="0.25">
      <c r="B462" t="s">
        <v>565</v>
      </c>
    </row>
    <row r="463" spans="2:2" ht="14.45" customHeight="1" x14ac:dyDescent="0.25">
      <c r="B463" t="s">
        <v>566</v>
      </c>
    </row>
    <row r="464" spans="2:2" ht="14.45" customHeight="1" x14ac:dyDescent="0.25">
      <c r="B464" t="s">
        <v>567</v>
      </c>
    </row>
    <row r="465" spans="2:2" ht="14.45" customHeight="1" x14ac:dyDescent="0.25">
      <c r="B465" t="s">
        <v>568</v>
      </c>
    </row>
    <row r="466" spans="2:2" ht="14.45" customHeight="1" x14ac:dyDescent="0.25">
      <c r="B466" t="s">
        <v>569</v>
      </c>
    </row>
    <row r="467" spans="2:2" ht="14.45" customHeight="1" x14ac:dyDescent="0.25">
      <c r="B467" t="s">
        <v>570</v>
      </c>
    </row>
    <row r="468" spans="2:2" ht="14.45" customHeight="1" x14ac:dyDescent="0.25">
      <c r="B468" t="s">
        <v>571</v>
      </c>
    </row>
    <row r="469" spans="2:2" ht="14.45" customHeight="1" x14ac:dyDescent="0.25">
      <c r="B469" t="s">
        <v>572</v>
      </c>
    </row>
    <row r="470" spans="2:2" ht="14.45" customHeight="1" x14ac:dyDescent="0.25">
      <c r="B470" t="s">
        <v>573</v>
      </c>
    </row>
    <row r="471" spans="2:2" ht="14.45" customHeight="1" x14ac:dyDescent="0.25">
      <c r="B471" t="s">
        <v>574</v>
      </c>
    </row>
    <row r="472" spans="2:2" ht="14.45" customHeight="1" x14ac:dyDescent="0.25">
      <c r="B472" t="s">
        <v>575</v>
      </c>
    </row>
    <row r="473" spans="2:2" ht="14.45" customHeight="1" x14ac:dyDescent="0.25">
      <c r="B473" t="s">
        <v>576</v>
      </c>
    </row>
    <row r="474" spans="2:2" ht="14.45" customHeight="1" x14ac:dyDescent="0.25">
      <c r="B474" t="s">
        <v>577</v>
      </c>
    </row>
    <row r="475" spans="2:2" ht="14.45" customHeight="1" x14ac:dyDescent="0.25">
      <c r="B475" t="s">
        <v>578</v>
      </c>
    </row>
    <row r="476" spans="2:2" ht="14.45" customHeight="1" x14ac:dyDescent="0.25">
      <c r="B476" t="s">
        <v>579</v>
      </c>
    </row>
    <row r="477" spans="2:2" ht="14.45" customHeight="1" x14ac:dyDescent="0.25">
      <c r="B477" t="s">
        <v>580</v>
      </c>
    </row>
    <row r="478" spans="2:2" ht="14.45" customHeight="1" x14ac:dyDescent="0.25">
      <c r="B478" t="s">
        <v>581</v>
      </c>
    </row>
    <row r="479" spans="2:2" ht="14.45" customHeight="1" x14ac:dyDescent="0.25">
      <c r="B479" t="s">
        <v>582</v>
      </c>
    </row>
    <row r="480" spans="2:2" ht="14.45" customHeight="1" x14ac:dyDescent="0.25">
      <c r="B480" t="s">
        <v>583</v>
      </c>
    </row>
    <row r="481" spans="2:2" ht="14.45" customHeight="1" x14ac:dyDescent="0.25">
      <c r="B481" t="s">
        <v>584</v>
      </c>
    </row>
    <row r="482" spans="2:2" ht="14.45" customHeight="1" x14ac:dyDescent="0.25">
      <c r="B482" t="s">
        <v>585</v>
      </c>
    </row>
    <row r="483" spans="2:2" ht="14.45" customHeight="1" x14ac:dyDescent="0.25">
      <c r="B483" t="s">
        <v>586</v>
      </c>
    </row>
    <row r="484" spans="2:2" ht="14.45" customHeight="1" x14ac:dyDescent="0.25">
      <c r="B484" t="s">
        <v>587</v>
      </c>
    </row>
    <row r="485" spans="2:2" ht="14.45" customHeight="1" x14ac:dyDescent="0.25">
      <c r="B485" t="s">
        <v>588</v>
      </c>
    </row>
    <row r="486" spans="2:2" ht="14.45" customHeight="1" x14ac:dyDescent="0.25">
      <c r="B486" t="s">
        <v>589</v>
      </c>
    </row>
    <row r="487" spans="2:2" ht="14.45" customHeight="1" x14ac:dyDescent="0.25">
      <c r="B487" t="s">
        <v>590</v>
      </c>
    </row>
    <row r="488" spans="2:2" ht="14.45" customHeight="1" x14ac:dyDescent="0.25">
      <c r="B488" t="s">
        <v>591</v>
      </c>
    </row>
    <row r="489" spans="2:2" ht="14.45" customHeight="1" x14ac:dyDescent="0.25">
      <c r="B489" t="s">
        <v>592</v>
      </c>
    </row>
    <row r="490" spans="2:2" ht="14.45" customHeight="1" x14ac:dyDescent="0.25">
      <c r="B490" t="s">
        <v>593</v>
      </c>
    </row>
    <row r="491" spans="2:2" ht="14.45" customHeight="1" x14ac:dyDescent="0.25">
      <c r="B491" t="s">
        <v>594</v>
      </c>
    </row>
    <row r="492" spans="2:2" ht="14.45" customHeight="1" x14ac:dyDescent="0.25">
      <c r="B492" t="s">
        <v>595</v>
      </c>
    </row>
    <row r="493" spans="2:2" ht="14.45" customHeight="1" x14ac:dyDescent="0.25">
      <c r="B493" t="s">
        <v>596</v>
      </c>
    </row>
    <row r="494" spans="2:2" ht="14.45" customHeight="1" x14ac:dyDescent="0.25">
      <c r="B494" t="s">
        <v>597</v>
      </c>
    </row>
    <row r="495" spans="2:2" ht="14.45" customHeight="1" x14ac:dyDescent="0.25">
      <c r="B495" t="s">
        <v>598</v>
      </c>
    </row>
    <row r="496" spans="2:2" ht="14.45" customHeight="1" x14ac:dyDescent="0.25">
      <c r="B496" t="s">
        <v>599</v>
      </c>
    </row>
    <row r="497" spans="2:2" ht="14.45" customHeight="1" x14ac:dyDescent="0.25">
      <c r="B497" t="s">
        <v>600</v>
      </c>
    </row>
    <row r="498" spans="2:2" ht="14.45" customHeight="1" x14ac:dyDescent="0.25">
      <c r="B498" t="s">
        <v>601</v>
      </c>
    </row>
    <row r="499" spans="2:2" ht="14.45" customHeight="1" x14ac:dyDescent="0.25">
      <c r="B499" t="s">
        <v>602</v>
      </c>
    </row>
    <row r="500" spans="2:2" ht="14.45" customHeight="1" x14ac:dyDescent="0.25">
      <c r="B500" t="s">
        <v>603</v>
      </c>
    </row>
    <row r="501" spans="2:2" ht="14.45" customHeight="1" x14ac:dyDescent="0.25">
      <c r="B501" t="s">
        <v>604</v>
      </c>
    </row>
    <row r="502" spans="2:2" ht="14.45" customHeight="1" x14ac:dyDescent="0.25">
      <c r="B502" t="s">
        <v>605</v>
      </c>
    </row>
    <row r="503" spans="2:2" ht="14.45" customHeight="1" x14ac:dyDescent="0.25">
      <c r="B503" t="s">
        <v>606</v>
      </c>
    </row>
    <row r="504" spans="2:2" ht="14.45" customHeight="1" x14ac:dyDescent="0.25">
      <c r="B504" t="s">
        <v>607</v>
      </c>
    </row>
    <row r="505" spans="2:2" ht="14.45" customHeight="1" x14ac:dyDescent="0.25">
      <c r="B505" t="s">
        <v>608</v>
      </c>
    </row>
    <row r="506" spans="2:2" ht="14.45" customHeight="1" x14ac:dyDescent="0.25">
      <c r="B506" t="s">
        <v>609</v>
      </c>
    </row>
    <row r="507" spans="2:2" ht="14.45" customHeight="1" x14ac:dyDescent="0.25">
      <c r="B507" t="s">
        <v>610</v>
      </c>
    </row>
    <row r="508" spans="2:2" ht="14.45" customHeight="1" x14ac:dyDescent="0.25">
      <c r="B508" t="s">
        <v>611</v>
      </c>
    </row>
    <row r="509" spans="2:2" ht="14.45" customHeight="1" x14ac:dyDescent="0.25">
      <c r="B509" t="s">
        <v>612</v>
      </c>
    </row>
    <row r="510" spans="2:2" ht="14.45" customHeight="1" x14ac:dyDescent="0.25">
      <c r="B510" t="s">
        <v>613</v>
      </c>
    </row>
    <row r="511" spans="2:2" ht="14.45" customHeight="1" x14ac:dyDescent="0.25">
      <c r="B511" t="s">
        <v>614</v>
      </c>
    </row>
    <row r="512" spans="2:2" ht="14.45" customHeight="1" x14ac:dyDescent="0.25">
      <c r="B512" t="s">
        <v>615</v>
      </c>
    </row>
    <row r="513" spans="2:2" ht="14.45" customHeight="1" x14ac:dyDescent="0.25">
      <c r="B513" t="s">
        <v>616</v>
      </c>
    </row>
    <row r="514" spans="2:2" ht="14.45" customHeight="1" x14ac:dyDescent="0.25">
      <c r="B514" t="s">
        <v>617</v>
      </c>
    </row>
    <row r="515" spans="2:2" ht="14.45" customHeight="1" x14ac:dyDescent="0.25">
      <c r="B515" t="s">
        <v>618</v>
      </c>
    </row>
    <row r="516" spans="2:2" ht="14.45" customHeight="1" x14ac:dyDescent="0.25">
      <c r="B516" t="s">
        <v>619</v>
      </c>
    </row>
    <row r="517" spans="2:2" ht="14.45" customHeight="1" x14ac:dyDescent="0.25">
      <c r="B517" t="s">
        <v>620</v>
      </c>
    </row>
    <row r="518" spans="2:2" ht="14.45" customHeight="1" x14ac:dyDescent="0.25">
      <c r="B518" t="s">
        <v>621</v>
      </c>
    </row>
    <row r="519" spans="2:2" ht="14.45" customHeight="1" x14ac:dyDescent="0.25">
      <c r="B519" t="s">
        <v>622</v>
      </c>
    </row>
    <row r="520" spans="2:2" ht="14.45" customHeight="1" x14ac:dyDescent="0.25">
      <c r="B520" t="s">
        <v>623</v>
      </c>
    </row>
    <row r="521" spans="2:2" ht="14.45" customHeight="1" x14ac:dyDescent="0.25">
      <c r="B521" t="s">
        <v>624</v>
      </c>
    </row>
    <row r="522" spans="2:2" ht="14.45" customHeight="1" x14ac:dyDescent="0.25">
      <c r="B522" t="s">
        <v>625</v>
      </c>
    </row>
    <row r="523" spans="2:2" ht="14.45" customHeight="1" x14ac:dyDescent="0.25">
      <c r="B523" t="s">
        <v>626</v>
      </c>
    </row>
    <row r="524" spans="2:2" ht="14.45" customHeight="1" x14ac:dyDescent="0.25">
      <c r="B524" t="s">
        <v>627</v>
      </c>
    </row>
    <row r="525" spans="2:2" ht="14.45" customHeight="1" x14ac:dyDescent="0.25">
      <c r="B525" t="s">
        <v>628</v>
      </c>
    </row>
    <row r="526" spans="2:2" ht="14.45" customHeight="1" x14ac:dyDescent="0.25">
      <c r="B526" t="s">
        <v>629</v>
      </c>
    </row>
    <row r="527" spans="2:2" ht="14.45" customHeight="1" x14ac:dyDescent="0.25">
      <c r="B527" t="s">
        <v>630</v>
      </c>
    </row>
    <row r="528" spans="2:2" ht="14.45" customHeight="1" x14ac:dyDescent="0.25">
      <c r="B528" t="s">
        <v>631</v>
      </c>
    </row>
    <row r="529" spans="2:2" ht="14.45" customHeight="1" x14ac:dyDescent="0.25">
      <c r="B529" t="s">
        <v>632</v>
      </c>
    </row>
    <row r="530" spans="2:2" ht="14.45" customHeight="1" x14ac:dyDescent="0.25">
      <c r="B530" t="s">
        <v>633</v>
      </c>
    </row>
    <row r="531" spans="2:2" ht="14.45" customHeight="1" x14ac:dyDescent="0.25">
      <c r="B531" t="s">
        <v>634</v>
      </c>
    </row>
    <row r="532" spans="2:2" ht="14.45" customHeight="1" x14ac:dyDescent="0.25">
      <c r="B532" t="s">
        <v>635</v>
      </c>
    </row>
    <row r="533" spans="2:2" ht="14.45" customHeight="1" x14ac:dyDescent="0.25">
      <c r="B533" t="s">
        <v>636</v>
      </c>
    </row>
    <row r="534" spans="2:2" ht="14.45" customHeight="1" x14ac:dyDescent="0.25">
      <c r="B534" t="s">
        <v>637</v>
      </c>
    </row>
    <row r="535" spans="2:2" ht="14.45" customHeight="1" x14ac:dyDescent="0.25">
      <c r="B535" t="s">
        <v>638</v>
      </c>
    </row>
    <row r="536" spans="2:2" ht="14.45" customHeight="1" x14ac:dyDescent="0.25">
      <c r="B536" t="s">
        <v>639</v>
      </c>
    </row>
    <row r="537" spans="2:2" ht="14.45" customHeight="1" x14ac:dyDescent="0.25">
      <c r="B537" t="s">
        <v>640</v>
      </c>
    </row>
    <row r="538" spans="2:2" ht="14.45" customHeight="1" x14ac:dyDescent="0.25">
      <c r="B538" t="s">
        <v>641</v>
      </c>
    </row>
    <row r="539" spans="2:2" ht="14.45" customHeight="1" x14ac:dyDescent="0.25">
      <c r="B539" t="s">
        <v>642</v>
      </c>
    </row>
    <row r="540" spans="2:2" ht="14.45" customHeight="1" x14ac:dyDescent="0.25">
      <c r="B540" t="s">
        <v>643</v>
      </c>
    </row>
    <row r="541" spans="2:2" ht="14.45" customHeight="1" x14ac:dyDescent="0.25">
      <c r="B541" t="s">
        <v>644</v>
      </c>
    </row>
    <row r="542" spans="2:2" ht="14.45" customHeight="1" x14ac:dyDescent="0.25">
      <c r="B542" t="s">
        <v>645</v>
      </c>
    </row>
    <row r="543" spans="2:2" ht="14.45" customHeight="1" x14ac:dyDescent="0.25">
      <c r="B543" t="s">
        <v>646</v>
      </c>
    </row>
    <row r="544" spans="2:2" ht="14.45" customHeight="1" x14ac:dyDescent="0.25">
      <c r="B544" t="s">
        <v>647</v>
      </c>
    </row>
    <row r="545" spans="2:2" ht="14.45" customHeight="1" x14ac:dyDescent="0.25">
      <c r="B545" t="s">
        <v>648</v>
      </c>
    </row>
    <row r="546" spans="2:2" ht="14.45" customHeight="1" x14ac:dyDescent="0.25">
      <c r="B546" t="s">
        <v>649</v>
      </c>
    </row>
    <row r="547" spans="2:2" ht="14.45" customHeight="1" x14ac:dyDescent="0.25">
      <c r="B547" t="s">
        <v>650</v>
      </c>
    </row>
    <row r="548" spans="2:2" ht="14.45" customHeight="1" x14ac:dyDescent="0.25">
      <c r="B548" t="s">
        <v>651</v>
      </c>
    </row>
    <row r="549" spans="2:2" ht="14.45" customHeight="1" x14ac:dyDescent="0.25">
      <c r="B549" t="s">
        <v>652</v>
      </c>
    </row>
    <row r="550" spans="2:2" ht="14.45" customHeight="1" x14ac:dyDescent="0.25">
      <c r="B550" t="s">
        <v>653</v>
      </c>
    </row>
    <row r="551" spans="2:2" ht="14.45" customHeight="1" x14ac:dyDescent="0.25">
      <c r="B551" t="s">
        <v>654</v>
      </c>
    </row>
    <row r="552" spans="2:2" ht="14.45" customHeight="1" x14ac:dyDescent="0.25">
      <c r="B552" t="s">
        <v>655</v>
      </c>
    </row>
    <row r="553" spans="2:2" ht="14.45" customHeight="1" x14ac:dyDescent="0.25">
      <c r="B553" t="s">
        <v>656</v>
      </c>
    </row>
    <row r="554" spans="2:2" ht="14.45" customHeight="1" x14ac:dyDescent="0.25">
      <c r="B554" t="s">
        <v>657</v>
      </c>
    </row>
    <row r="555" spans="2:2" ht="14.45" customHeight="1" x14ac:dyDescent="0.25">
      <c r="B555" t="s">
        <v>658</v>
      </c>
    </row>
    <row r="556" spans="2:2" ht="14.45" customHeight="1" x14ac:dyDescent="0.25">
      <c r="B556" t="s">
        <v>659</v>
      </c>
    </row>
    <row r="557" spans="2:2" ht="14.45" customHeight="1" x14ac:dyDescent="0.25">
      <c r="B557" t="s">
        <v>660</v>
      </c>
    </row>
    <row r="558" spans="2:2" ht="14.45" customHeight="1" x14ac:dyDescent="0.25">
      <c r="B558" t="s">
        <v>661</v>
      </c>
    </row>
    <row r="559" spans="2:2" ht="14.45" customHeight="1" x14ac:dyDescent="0.25">
      <c r="B559" t="s">
        <v>662</v>
      </c>
    </row>
    <row r="560" spans="2:2" ht="14.45" customHeight="1" x14ac:dyDescent="0.25">
      <c r="B560" t="s">
        <v>663</v>
      </c>
    </row>
    <row r="561" spans="2:2" ht="14.45" customHeight="1" x14ac:dyDescent="0.25">
      <c r="B561" t="s">
        <v>664</v>
      </c>
    </row>
    <row r="562" spans="2:2" ht="14.45" customHeight="1" x14ac:dyDescent="0.25">
      <c r="B562" t="s">
        <v>665</v>
      </c>
    </row>
    <row r="563" spans="2:2" ht="14.45" customHeight="1" x14ac:dyDescent="0.25">
      <c r="B563" t="s">
        <v>666</v>
      </c>
    </row>
    <row r="564" spans="2:2" ht="14.45" customHeight="1" x14ac:dyDescent="0.25">
      <c r="B564" t="s">
        <v>667</v>
      </c>
    </row>
    <row r="565" spans="2:2" ht="14.45" customHeight="1" x14ac:dyDescent="0.25">
      <c r="B565" t="s">
        <v>668</v>
      </c>
    </row>
    <row r="566" spans="2:2" ht="14.45" customHeight="1" x14ac:dyDescent="0.25">
      <c r="B566" t="s">
        <v>669</v>
      </c>
    </row>
    <row r="567" spans="2:2" ht="14.45" customHeight="1" x14ac:dyDescent="0.25">
      <c r="B567" t="s">
        <v>670</v>
      </c>
    </row>
    <row r="568" spans="2:2" ht="14.45" customHeight="1" x14ac:dyDescent="0.25">
      <c r="B568" t="s">
        <v>671</v>
      </c>
    </row>
    <row r="569" spans="2:2" ht="14.45" customHeight="1" x14ac:dyDescent="0.25">
      <c r="B569" t="s">
        <v>672</v>
      </c>
    </row>
    <row r="570" spans="2:2" ht="14.45" customHeight="1" x14ac:dyDescent="0.25">
      <c r="B570" t="s">
        <v>673</v>
      </c>
    </row>
    <row r="571" spans="2:2" ht="14.45" customHeight="1" x14ac:dyDescent="0.25">
      <c r="B571" t="s">
        <v>674</v>
      </c>
    </row>
    <row r="572" spans="2:2" ht="14.45" customHeight="1" x14ac:dyDescent="0.25">
      <c r="B572" t="s">
        <v>675</v>
      </c>
    </row>
    <row r="573" spans="2:2" ht="14.45" customHeight="1" x14ac:dyDescent="0.25">
      <c r="B573" t="s">
        <v>676</v>
      </c>
    </row>
    <row r="574" spans="2:2" ht="14.45" customHeight="1" x14ac:dyDescent="0.25">
      <c r="B574" t="s">
        <v>677</v>
      </c>
    </row>
    <row r="575" spans="2:2" ht="14.45" customHeight="1" x14ac:dyDescent="0.25">
      <c r="B575" t="s">
        <v>678</v>
      </c>
    </row>
    <row r="576" spans="2:2" ht="14.45" customHeight="1" x14ac:dyDescent="0.25">
      <c r="B576" t="s">
        <v>679</v>
      </c>
    </row>
    <row r="577" spans="2:2" ht="14.45" customHeight="1" x14ac:dyDescent="0.25">
      <c r="B577" t="s">
        <v>680</v>
      </c>
    </row>
    <row r="578" spans="2:2" ht="14.45" customHeight="1" x14ac:dyDescent="0.25">
      <c r="B578" t="s">
        <v>681</v>
      </c>
    </row>
    <row r="579" spans="2:2" ht="14.45" customHeight="1" x14ac:dyDescent="0.25">
      <c r="B579" t="s">
        <v>682</v>
      </c>
    </row>
    <row r="580" spans="2:2" ht="14.45" customHeight="1" x14ac:dyDescent="0.25">
      <c r="B580" t="s">
        <v>683</v>
      </c>
    </row>
    <row r="581" spans="2:2" ht="14.45" customHeight="1" x14ac:dyDescent="0.25">
      <c r="B581" t="s">
        <v>684</v>
      </c>
    </row>
    <row r="582" spans="2:2" ht="14.45" customHeight="1" x14ac:dyDescent="0.25">
      <c r="B582" t="s">
        <v>685</v>
      </c>
    </row>
    <row r="583" spans="2:2" ht="14.45" customHeight="1" x14ac:dyDescent="0.25">
      <c r="B583" t="s">
        <v>686</v>
      </c>
    </row>
    <row r="584" spans="2:2" ht="14.45" customHeight="1" x14ac:dyDescent="0.25">
      <c r="B584" t="s">
        <v>687</v>
      </c>
    </row>
    <row r="585" spans="2:2" ht="14.45" customHeight="1" x14ac:dyDescent="0.25">
      <c r="B585" t="s">
        <v>688</v>
      </c>
    </row>
    <row r="586" spans="2:2" ht="14.45" customHeight="1" x14ac:dyDescent="0.25">
      <c r="B586" t="s">
        <v>689</v>
      </c>
    </row>
    <row r="587" spans="2:2" ht="14.45" customHeight="1" x14ac:dyDescent="0.25">
      <c r="B587" t="s">
        <v>690</v>
      </c>
    </row>
    <row r="588" spans="2:2" ht="14.45" customHeight="1" x14ac:dyDescent="0.25">
      <c r="B588" t="s">
        <v>691</v>
      </c>
    </row>
    <row r="589" spans="2:2" ht="14.45" customHeight="1" x14ac:dyDescent="0.25">
      <c r="B589" t="s">
        <v>692</v>
      </c>
    </row>
    <row r="590" spans="2:2" ht="14.45" customHeight="1" x14ac:dyDescent="0.25">
      <c r="B590" t="s">
        <v>693</v>
      </c>
    </row>
    <row r="591" spans="2:2" ht="14.45" customHeight="1" x14ac:dyDescent="0.25">
      <c r="B591" t="s">
        <v>694</v>
      </c>
    </row>
    <row r="592" spans="2:2" ht="14.45" customHeight="1" x14ac:dyDescent="0.25">
      <c r="B592" t="s">
        <v>695</v>
      </c>
    </row>
    <row r="593" spans="2:2" ht="14.45" customHeight="1" x14ac:dyDescent="0.25">
      <c r="B593" t="s">
        <v>696</v>
      </c>
    </row>
    <row r="594" spans="2:2" ht="14.45" customHeight="1" x14ac:dyDescent="0.25">
      <c r="B594" t="s">
        <v>697</v>
      </c>
    </row>
    <row r="595" spans="2:2" ht="14.45" customHeight="1" x14ac:dyDescent="0.25">
      <c r="B595" t="s">
        <v>698</v>
      </c>
    </row>
    <row r="596" spans="2:2" ht="14.45" customHeight="1" x14ac:dyDescent="0.25">
      <c r="B596" t="s">
        <v>699</v>
      </c>
    </row>
    <row r="597" spans="2:2" ht="14.45" customHeight="1" x14ac:dyDescent="0.25">
      <c r="B597" t="s">
        <v>700</v>
      </c>
    </row>
    <row r="598" spans="2:2" ht="14.45" customHeight="1" x14ac:dyDescent="0.25">
      <c r="B598" t="s">
        <v>701</v>
      </c>
    </row>
    <row r="599" spans="2:2" ht="14.45" customHeight="1" x14ac:dyDescent="0.25">
      <c r="B599" t="s">
        <v>702</v>
      </c>
    </row>
    <row r="600" spans="2:2" ht="14.45" customHeight="1" x14ac:dyDescent="0.25">
      <c r="B600" t="s">
        <v>703</v>
      </c>
    </row>
    <row r="601" spans="2:2" ht="14.45" customHeight="1" x14ac:dyDescent="0.25">
      <c r="B601" t="s">
        <v>704</v>
      </c>
    </row>
    <row r="602" spans="2:2" ht="14.45" customHeight="1" x14ac:dyDescent="0.25">
      <c r="B602" t="s">
        <v>705</v>
      </c>
    </row>
    <row r="603" spans="2:2" ht="14.45" customHeight="1" x14ac:dyDescent="0.25">
      <c r="B603" t="s">
        <v>706</v>
      </c>
    </row>
    <row r="604" spans="2:2" ht="14.45" customHeight="1" x14ac:dyDescent="0.25">
      <c r="B604" t="s">
        <v>707</v>
      </c>
    </row>
    <row r="605" spans="2:2" ht="14.45" customHeight="1" x14ac:dyDescent="0.25">
      <c r="B605" t="s">
        <v>708</v>
      </c>
    </row>
    <row r="606" spans="2:2" ht="14.45" customHeight="1" x14ac:dyDescent="0.25">
      <c r="B606" t="s">
        <v>709</v>
      </c>
    </row>
    <row r="607" spans="2:2" ht="14.45" customHeight="1" x14ac:dyDescent="0.25">
      <c r="B607" t="s">
        <v>710</v>
      </c>
    </row>
    <row r="608" spans="2:2" ht="14.45" customHeight="1" x14ac:dyDescent="0.25">
      <c r="B608" t="s">
        <v>711</v>
      </c>
    </row>
    <row r="609" spans="2:2" ht="14.45" customHeight="1" x14ac:dyDescent="0.25">
      <c r="B609" t="s">
        <v>712</v>
      </c>
    </row>
    <row r="610" spans="2:2" ht="14.45" customHeight="1" x14ac:dyDescent="0.25">
      <c r="B610" t="s">
        <v>713</v>
      </c>
    </row>
    <row r="611" spans="2:2" ht="14.45" customHeight="1" x14ac:dyDescent="0.25">
      <c r="B611" t="s">
        <v>714</v>
      </c>
    </row>
    <row r="612" spans="2:2" ht="14.45" customHeight="1" x14ac:dyDescent="0.25">
      <c r="B612" t="s">
        <v>715</v>
      </c>
    </row>
    <row r="613" spans="2:2" ht="14.45" customHeight="1" x14ac:dyDescent="0.25">
      <c r="B613" t="s">
        <v>716</v>
      </c>
    </row>
    <row r="614" spans="2:2" ht="14.45" customHeight="1" x14ac:dyDescent="0.25">
      <c r="B614" t="s">
        <v>717</v>
      </c>
    </row>
    <row r="615" spans="2:2" ht="14.45" customHeight="1" x14ac:dyDescent="0.25">
      <c r="B615" t="s">
        <v>718</v>
      </c>
    </row>
    <row r="616" spans="2:2" ht="14.45" customHeight="1" x14ac:dyDescent="0.25">
      <c r="B616" t="s">
        <v>719</v>
      </c>
    </row>
    <row r="617" spans="2:2" ht="14.45" customHeight="1" x14ac:dyDescent="0.25">
      <c r="B617" t="s">
        <v>720</v>
      </c>
    </row>
    <row r="618" spans="2:2" ht="14.45" customHeight="1" x14ac:dyDescent="0.25">
      <c r="B618" t="s">
        <v>721</v>
      </c>
    </row>
    <row r="619" spans="2:2" ht="14.45" customHeight="1" x14ac:dyDescent="0.25">
      <c r="B619" t="s">
        <v>722</v>
      </c>
    </row>
    <row r="620" spans="2:2" ht="14.45" customHeight="1" x14ac:dyDescent="0.25">
      <c r="B620" t="s">
        <v>723</v>
      </c>
    </row>
    <row r="621" spans="2:2" ht="14.45" customHeight="1" x14ac:dyDescent="0.25">
      <c r="B621" t="s">
        <v>724</v>
      </c>
    </row>
    <row r="622" spans="2:2" ht="14.45" customHeight="1" x14ac:dyDescent="0.25">
      <c r="B622" t="s">
        <v>725</v>
      </c>
    </row>
    <row r="623" spans="2:2" ht="14.45" customHeight="1" x14ac:dyDescent="0.25">
      <c r="B623" t="s">
        <v>726</v>
      </c>
    </row>
    <row r="624" spans="2:2" ht="14.45" customHeight="1" x14ac:dyDescent="0.25">
      <c r="B624" t="s">
        <v>727</v>
      </c>
    </row>
    <row r="625" spans="2:2" ht="14.45" customHeight="1" x14ac:dyDescent="0.25">
      <c r="B625" t="s">
        <v>728</v>
      </c>
    </row>
    <row r="626" spans="2:2" ht="14.45" customHeight="1" x14ac:dyDescent="0.25">
      <c r="B626" t="s">
        <v>729</v>
      </c>
    </row>
    <row r="627" spans="2:2" ht="14.45" customHeight="1" x14ac:dyDescent="0.25">
      <c r="B627" t="s">
        <v>730</v>
      </c>
    </row>
    <row r="628" spans="2:2" ht="14.45" customHeight="1" x14ac:dyDescent="0.25">
      <c r="B628" t="s">
        <v>731</v>
      </c>
    </row>
    <row r="629" spans="2:2" ht="14.45" customHeight="1" x14ac:dyDescent="0.25">
      <c r="B629" t="s">
        <v>732</v>
      </c>
    </row>
    <row r="630" spans="2:2" ht="14.45" customHeight="1" x14ac:dyDescent="0.25">
      <c r="B630" t="s">
        <v>733</v>
      </c>
    </row>
    <row r="631" spans="2:2" ht="14.45" customHeight="1" x14ac:dyDescent="0.25">
      <c r="B631" t="s">
        <v>734</v>
      </c>
    </row>
    <row r="632" spans="2:2" ht="14.45" customHeight="1" x14ac:dyDescent="0.25">
      <c r="B632" t="s">
        <v>735</v>
      </c>
    </row>
    <row r="633" spans="2:2" ht="14.45" customHeight="1" x14ac:dyDescent="0.25">
      <c r="B633" t="s">
        <v>736</v>
      </c>
    </row>
    <row r="634" spans="2:2" ht="14.45" customHeight="1" x14ac:dyDescent="0.25">
      <c r="B634" t="s">
        <v>737</v>
      </c>
    </row>
    <row r="635" spans="2:2" ht="14.45" customHeight="1" x14ac:dyDescent="0.25">
      <c r="B635" t="s">
        <v>738</v>
      </c>
    </row>
    <row r="636" spans="2:2" ht="14.45" customHeight="1" x14ac:dyDescent="0.25">
      <c r="B636" t="s">
        <v>739</v>
      </c>
    </row>
    <row r="637" spans="2:2" ht="14.45" customHeight="1" x14ac:dyDescent="0.25">
      <c r="B637" t="s">
        <v>740</v>
      </c>
    </row>
    <row r="638" spans="2:2" ht="14.45" customHeight="1" x14ac:dyDescent="0.25">
      <c r="B638" t="s">
        <v>741</v>
      </c>
    </row>
    <row r="639" spans="2:2" ht="14.45" customHeight="1" x14ac:dyDescent="0.25">
      <c r="B639" t="s">
        <v>742</v>
      </c>
    </row>
    <row r="640" spans="2:2" ht="14.45" customHeight="1" x14ac:dyDescent="0.25">
      <c r="B640" t="s">
        <v>743</v>
      </c>
    </row>
    <row r="641" spans="2:2" ht="14.45" customHeight="1" x14ac:dyDescent="0.25">
      <c r="B641" t="s">
        <v>744</v>
      </c>
    </row>
    <row r="642" spans="2:2" ht="14.45" customHeight="1" x14ac:dyDescent="0.25">
      <c r="B642" t="s">
        <v>745</v>
      </c>
    </row>
    <row r="643" spans="2:2" ht="14.45" customHeight="1" x14ac:dyDescent="0.25">
      <c r="B643" t="s">
        <v>746</v>
      </c>
    </row>
    <row r="644" spans="2:2" ht="14.45" customHeight="1" x14ac:dyDescent="0.25">
      <c r="B644" t="s">
        <v>747</v>
      </c>
    </row>
    <row r="645" spans="2:2" ht="14.45" customHeight="1" x14ac:dyDescent="0.25">
      <c r="B645" t="s">
        <v>748</v>
      </c>
    </row>
    <row r="646" spans="2:2" ht="14.45" customHeight="1" x14ac:dyDescent="0.25">
      <c r="B646" t="s">
        <v>749</v>
      </c>
    </row>
    <row r="647" spans="2:2" ht="14.45" customHeight="1" x14ac:dyDescent="0.25">
      <c r="B647" t="s">
        <v>750</v>
      </c>
    </row>
    <row r="648" spans="2:2" ht="14.45" customHeight="1" x14ac:dyDescent="0.25">
      <c r="B648" t="s">
        <v>751</v>
      </c>
    </row>
    <row r="649" spans="2:2" ht="14.45" customHeight="1" x14ac:dyDescent="0.25">
      <c r="B649" t="s">
        <v>752</v>
      </c>
    </row>
    <row r="650" spans="2:2" ht="14.45" customHeight="1" x14ac:dyDescent="0.25">
      <c r="B650" t="s">
        <v>753</v>
      </c>
    </row>
    <row r="651" spans="2:2" ht="14.45" customHeight="1" x14ac:dyDescent="0.25">
      <c r="B651" t="s">
        <v>754</v>
      </c>
    </row>
    <row r="652" spans="2:2" ht="14.45" customHeight="1" x14ac:dyDescent="0.25">
      <c r="B652" t="s">
        <v>755</v>
      </c>
    </row>
    <row r="653" spans="2:2" ht="14.45" customHeight="1" x14ac:dyDescent="0.25">
      <c r="B653" t="s">
        <v>756</v>
      </c>
    </row>
    <row r="654" spans="2:2" ht="14.45" customHeight="1" x14ac:dyDescent="0.25">
      <c r="B654" t="s">
        <v>757</v>
      </c>
    </row>
    <row r="655" spans="2:2" ht="14.45" customHeight="1" x14ac:dyDescent="0.25">
      <c r="B655" t="s">
        <v>758</v>
      </c>
    </row>
    <row r="656" spans="2:2" ht="14.45" customHeight="1" x14ac:dyDescent="0.25">
      <c r="B656" t="s">
        <v>759</v>
      </c>
    </row>
    <row r="657" spans="2:2" ht="14.45" customHeight="1" x14ac:dyDescent="0.25">
      <c r="B657" t="s">
        <v>760</v>
      </c>
    </row>
    <row r="658" spans="2:2" ht="14.45" customHeight="1" x14ac:dyDescent="0.25">
      <c r="B658" t="s">
        <v>761</v>
      </c>
    </row>
    <row r="659" spans="2:2" ht="14.45" customHeight="1" x14ac:dyDescent="0.25">
      <c r="B659" t="s">
        <v>762</v>
      </c>
    </row>
    <row r="660" spans="2:2" ht="14.45" customHeight="1" x14ac:dyDescent="0.25">
      <c r="B660" t="s">
        <v>763</v>
      </c>
    </row>
    <row r="661" spans="2:2" ht="14.45" customHeight="1" x14ac:dyDescent="0.25">
      <c r="B661" t="s">
        <v>764</v>
      </c>
    </row>
    <row r="662" spans="2:2" ht="14.45" customHeight="1" x14ac:dyDescent="0.25">
      <c r="B662" t="s">
        <v>765</v>
      </c>
    </row>
    <row r="663" spans="2:2" ht="14.45" customHeight="1" x14ac:dyDescent="0.25">
      <c r="B663" t="s">
        <v>766</v>
      </c>
    </row>
    <row r="664" spans="2:2" ht="14.45" customHeight="1" x14ac:dyDescent="0.25">
      <c r="B664" t="s">
        <v>767</v>
      </c>
    </row>
    <row r="665" spans="2:2" ht="14.45" customHeight="1" x14ac:dyDescent="0.25">
      <c r="B665" t="s">
        <v>768</v>
      </c>
    </row>
    <row r="666" spans="2:2" ht="14.45" customHeight="1" x14ac:dyDescent="0.25">
      <c r="B666" t="s">
        <v>769</v>
      </c>
    </row>
    <row r="667" spans="2:2" ht="14.45" customHeight="1" x14ac:dyDescent="0.25">
      <c r="B667" t="s">
        <v>770</v>
      </c>
    </row>
    <row r="668" spans="2:2" ht="14.45" customHeight="1" x14ac:dyDescent="0.25">
      <c r="B668" t="s">
        <v>771</v>
      </c>
    </row>
    <row r="669" spans="2:2" ht="14.45" customHeight="1" x14ac:dyDescent="0.25">
      <c r="B669" t="s">
        <v>772</v>
      </c>
    </row>
    <row r="670" spans="2:2" ht="14.45" customHeight="1" x14ac:dyDescent="0.25">
      <c r="B670" t="s">
        <v>773</v>
      </c>
    </row>
    <row r="671" spans="2:2" ht="14.45" customHeight="1" x14ac:dyDescent="0.25">
      <c r="B671" t="s">
        <v>774</v>
      </c>
    </row>
    <row r="672" spans="2:2" ht="14.45" customHeight="1" x14ac:dyDescent="0.25">
      <c r="B672" t="s">
        <v>775</v>
      </c>
    </row>
    <row r="673" spans="2:2" ht="14.45" customHeight="1" x14ac:dyDescent="0.25">
      <c r="B673" t="s">
        <v>776</v>
      </c>
    </row>
    <row r="674" spans="2:2" ht="14.45" customHeight="1" x14ac:dyDescent="0.25">
      <c r="B674" t="s">
        <v>777</v>
      </c>
    </row>
    <row r="675" spans="2:2" ht="14.45" customHeight="1" x14ac:dyDescent="0.25">
      <c r="B675" t="s">
        <v>778</v>
      </c>
    </row>
    <row r="676" spans="2:2" ht="14.45" customHeight="1" x14ac:dyDescent="0.25">
      <c r="B676" t="s">
        <v>779</v>
      </c>
    </row>
    <row r="677" spans="2:2" ht="14.45" customHeight="1" x14ac:dyDescent="0.25">
      <c r="B677" t="s">
        <v>780</v>
      </c>
    </row>
    <row r="678" spans="2:2" ht="14.45" customHeight="1" x14ac:dyDescent="0.25">
      <c r="B678" t="s">
        <v>781</v>
      </c>
    </row>
    <row r="679" spans="2:2" ht="14.45" customHeight="1" x14ac:dyDescent="0.25">
      <c r="B679" t="s">
        <v>782</v>
      </c>
    </row>
    <row r="680" spans="2:2" ht="14.45" customHeight="1" x14ac:dyDescent="0.25">
      <c r="B680" t="s">
        <v>783</v>
      </c>
    </row>
    <row r="681" spans="2:2" ht="14.45" customHeight="1" x14ac:dyDescent="0.25">
      <c r="B681" t="s">
        <v>784</v>
      </c>
    </row>
    <row r="682" spans="2:2" ht="14.45" customHeight="1" x14ac:dyDescent="0.25">
      <c r="B682" t="s">
        <v>785</v>
      </c>
    </row>
    <row r="683" spans="2:2" ht="14.45" customHeight="1" x14ac:dyDescent="0.25">
      <c r="B683" t="s">
        <v>786</v>
      </c>
    </row>
    <row r="684" spans="2:2" ht="14.45" customHeight="1" x14ac:dyDescent="0.25">
      <c r="B684" t="s">
        <v>787</v>
      </c>
    </row>
    <row r="685" spans="2:2" ht="14.45" customHeight="1" x14ac:dyDescent="0.25">
      <c r="B685" t="s">
        <v>788</v>
      </c>
    </row>
    <row r="686" spans="2:2" ht="14.45" customHeight="1" x14ac:dyDescent="0.25">
      <c r="B686" t="s">
        <v>789</v>
      </c>
    </row>
    <row r="687" spans="2:2" ht="14.45" customHeight="1" x14ac:dyDescent="0.25">
      <c r="B687" t="s">
        <v>790</v>
      </c>
    </row>
    <row r="688" spans="2:2" ht="14.45" customHeight="1" x14ac:dyDescent="0.25">
      <c r="B688" t="s">
        <v>791</v>
      </c>
    </row>
    <row r="689" spans="2:2" ht="14.45" customHeight="1" x14ac:dyDescent="0.25">
      <c r="B689" t="s">
        <v>792</v>
      </c>
    </row>
    <row r="690" spans="2:2" ht="14.45" customHeight="1" x14ac:dyDescent="0.25">
      <c r="B690" t="s">
        <v>793</v>
      </c>
    </row>
    <row r="691" spans="2:2" ht="14.45" customHeight="1" x14ac:dyDescent="0.25">
      <c r="B691" t="s">
        <v>794</v>
      </c>
    </row>
    <row r="692" spans="2:2" ht="14.45" customHeight="1" x14ac:dyDescent="0.25">
      <c r="B692" t="s">
        <v>795</v>
      </c>
    </row>
    <row r="693" spans="2:2" ht="14.45" customHeight="1" x14ac:dyDescent="0.25">
      <c r="B693" t="s">
        <v>796</v>
      </c>
    </row>
    <row r="694" spans="2:2" ht="14.45" customHeight="1" x14ac:dyDescent="0.25">
      <c r="B694" t="s">
        <v>797</v>
      </c>
    </row>
    <row r="695" spans="2:2" ht="14.45" customHeight="1" x14ac:dyDescent="0.25">
      <c r="B695" t="s">
        <v>798</v>
      </c>
    </row>
    <row r="696" spans="2:2" ht="14.45" customHeight="1" x14ac:dyDescent="0.25">
      <c r="B696" t="s">
        <v>799</v>
      </c>
    </row>
    <row r="697" spans="2:2" ht="14.45" customHeight="1" x14ac:dyDescent="0.25">
      <c r="B697" t="s">
        <v>800</v>
      </c>
    </row>
    <row r="698" spans="2:2" ht="14.45" customHeight="1" x14ac:dyDescent="0.25">
      <c r="B698" t="s">
        <v>801</v>
      </c>
    </row>
    <row r="699" spans="2:2" ht="14.45" customHeight="1" x14ac:dyDescent="0.25">
      <c r="B699" t="s">
        <v>802</v>
      </c>
    </row>
    <row r="700" spans="2:2" ht="14.45" customHeight="1" x14ac:dyDescent="0.25">
      <c r="B700" t="s">
        <v>803</v>
      </c>
    </row>
    <row r="701" spans="2:2" ht="14.45" customHeight="1" x14ac:dyDescent="0.25">
      <c r="B701" t="s">
        <v>804</v>
      </c>
    </row>
    <row r="702" spans="2:2" ht="14.45" customHeight="1" x14ac:dyDescent="0.25">
      <c r="B702" t="s">
        <v>805</v>
      </c>
    </row>
    <row r="703" spans="2:2" ht="14.45" customHeight="1" x14ac:dyDescent="0.25">
      <c r="B703" t="s">
        <v>806</v>
      </c>
    </row>
    <row r="704" spans="2:2" ht="14.45" customHeight="1" x14ac:dyDescent="0.25">
      <c r="B704" t="s">
        <v>807</v>
      </c>
    </row>
    <row r="705" spans="2:2" ht="14.45" customHeight="1" x14ac:dyDescent="0.25">
      <c r="B705" t="s">
        <v>808</v>
      </c>
    </row>
    <row r="706" spans="2:2" ht="14.45" customHeight="1" x14ac:dyDescent="0.25">
      <c r="B706" t="s">
        <v>809</v>
      </c>
    </row>
    <row r="707" spans="2:2" ht="14.45" customHeight="1" x14ac:dyDescent="0.25">
      <c r="B707" t="s">
        <v>810</v>
      </c>
    </row>
    <row r="708" spans="2:2" ht="14.45" customHeight="1" x14ac:dyDescent="0.25">
      <c r="B708" t="s">
        <v>811</v>
      </c>
    </row>
    <row r="709" spans="2:2" ht="14.45" customHeight="1" x14ac:dyDescent="0.25">
      <c r="B709" t="s">
        <v>812</v>
      </c>
    </row>
    <row r="710" spans="2:2" ht="14.45" customHeight="1" x14ac:dyDescent="0.25">
      <c r="B710" t="s">
        <v>813</v>
      </c>
    </row>
    <row r="711" spans="2:2" ht="14.45" customHeight="1" x14ac:dyDescent="0.25">
      <c r="B711" t="s">
        <v>814</v>
      </c>
    </row>
    <row r="712" spans="2:2" ht="14.45" customHeight="1" x14ac:dyDescent="0.25">
      <c r="B712" t="s">
        <v>815</v>
      </c>
    </row>
    <row r="713" spans="2:2" ht="14.45" customHeight="1" x14ac:dyDescent="0.25">
      <c r="B713" t="s">
        <v>816</v>
      </c>
    </row>
    <row r="714" spans="2:2" ht="14.45" customHeight="1" x14ac:dyDescent="0.25">
      <c r="B714" t="s">
        <v>817</v>
      </c>
    </row>
    <row r="715" spans="2:2" ht="14.45" customHeight="1" x14ac:dyDescent="0.25">
      <c r="B715" t="s">
        <v>818</v>
      </c>
    </row>
    <row r="716" spans="2:2" ht="14.45" customHeight="1" x14ac:dyDescent="0.25">
      <c r="B716" t="s">
        <v>819</v>
      </c>
    </row>
    <row r="717" spans="2:2" ht="14.45" customHeight="1" x14ac:dyDescent="0.25">
      <c r="B717" t="s">
        <v>820</v>
      </c>
    </row>
    <row r="718" spans="2:2" ht="14.45" customHeight="1" x14ac:dyDescent="0.25">
      <c r="B718" t="s">
        <v>821</v>
      </c>
    </row>
    <row r="719" spans="2:2" ht="14.45" customHeight="1" x14ac:dyDescent="0.25">
      <c r="B719" t="s">
        <v>822</v>
      </c>
    </row>
    <row r="720" spans="2:2" ht="14.45" customHeight="1" x14ac:dyDescent="0.25">
      <c r="B720" t="s">
        <v>823</v>
      </c>
    </row>
    <row r="721" spans="2:2" ht="14.45" customHeight="1" x14ac:dyDescent="0.25">
      <c r="B721" t="s">
        <v>824</v>
      </c>
    </row>
    <row r="722" spans="2:2" ht="14.45" customHeight="1" x14ac:dyDescent="0.25">
      <c r="B722" t="s">
        <v>825</v>
      </c>
    </row>
    <row r="723" spans="2:2" ht="14.45" customHeight="1" x14ac:dyDescent="0.25">
      <c r="B723" t="s">
        <v>826</v>
      </c>
    </row>
    <row r="724" spans="2:2" ht="14.45" customHeight="1" x14ac:dyDescent="0.25">
      <c r="B724" t="s">
        <v>827</v>
      </c>
    </row>
    <row r="725" spans="2:2" ht="14.45" customHeight="1" x14ac:dyDescent="0.25">
      <c r="B725" t="s">
        <v>828</v>
      </c>
    </row>
    <row r="726" spans="2:2" ht="14.45" customHeight="1" x14ac:dyDescent="0.25">
      <c r="B726" t="s">
        <v>829</v>
      </c>
    </row>
    <row r="727" spans="2:2" ht="14.45" customHeight="1" x14ac:dyDescent="0.25">
      <c r="B727" t="s">
        <v>830</v>
      </c>
    </row>
    <row r="728" spans="2:2" ht="14.45" customHeight="1" x14ac:dyDescent="0.25">
      <c r="B728" t="s">
        <v>831</v>
      </c>
    </row>
    <row r="729" spans="2:2" ht="14.45" customHeight="1" x14ac:dyDescent="0.25">
      <c r="B729" t="s">
        <v>832</v>
      </c>
    </row>
    <row r="730" spans="2:2" ht="14.45" customHeight="1" x14ac:dyDescent="0.25">
      <c r="B730" t="s">
        <v>833</v>
      </c>
    </row>
    <row r="731" spans="2:2" ht="14.45" customHeight="1" x14ac:dyDescent="0.25">
      <c r="B731" t="s">
        <v>834</v>
      </c>
    </row>
    <row r="732" spans="2:2" ht="14.45" customHeight="1" x14ac:dyDescent="0.25">
      <c r="B732" t="s">
        <v>835</v>
      </c>
    </row>
    <row r="733" spans="2:2" ht="14.45" customHeight="1" x14ac:dyDescent="0.25">
      <c r="B733" t="s">
        <v>836</v>
      </c>
    </row>
    <row r="734" spans="2:2" ht="14.45" customHeight="1" x14ac:dyDescent="0.25">
      <c r="B734" t="s">
        <v>837</v>
      </c>
    </row>
    <row r="735" spans="2:2" ht="14.45" customHeight="1" x14ac:dyDescent="0.25">
      <c r="B735" t="s">
        <v>838</v>
      </c>
    </row>
    <row r="736" spans="2:2" ht="14.45" customHeight="1" x14ac:dyDescent="0.25">
      <c r="B736" t="s">
        <v>839</v>
      </c>
    </row>
    <row r="737" spans="2:2" ht="14.45" customHeight="1" x14ac:dyDescent="0.25">
      <c r="B737" t="s">
        <v>840</v>
      </c>
    </row>
    <row r="738" spans="2:2" ht="14.45" customHeight="1" x14ac:dyDescent="0.25">
      <c r="B738" t="s">
        <v>841</v>
      </c>
    </row>
    <row r="739" spans="2:2" ht="14.45" customHeight="1" x14ac:dyDescent="0.25">
      <c r="B739" t="s">
        <v>842</v>
      </c>
    </row>
    <row r="740" spans="2:2" ht="14.45" customHeight="1" x14ac:dyDescent="0.25">
      <c r="B740" t="s">
        <v>843</v>
      </c>
    </row>
    <row r="741" spans="2:2" ht="14.45" customHeight="1" x14ac:dyDescent="0.25">
      <c r="B741" t="s">
        <v>844</v>
      </c>
    </row>
    <row r="742" spans="2:2" ht="14.45" customHeight="1" x14ac:dyDescent="0.25">
      <c r="B742" t="s">
        <v>845</v>
      </c>
    </row>
    <row r="743" spans="2:2" ht="14.45" customHeight="1" x14ac:dyDescent="0.25">
      <c r="B743" t="s">
        <v>846</v>
      </c>
    </row>
    <row r="744" spans="2:2" ht="14.45" customHeight="1" x14ac:dyDescent="0.25">
      <c r="B744" t="s">
        <v>847</v>
      </c>
    </row>
    <row r="745" spans="2:2" ht="14.45" customHeight="1" x14ac:dyDescent="0.25">
      <c r="B745" t="s">
        <v>848</v>
      </c>
    </row>
    <row r="746" spans="2:2" ht="14.45" customHeight="1" x14ac:dyDescent="0.25">
      <c r="B746" t="s">
        <v>849</v>
      </c>
    </row>
    <row r="747" spans="2:2" ht="14.45" customHeight="1" x14ac:dyDescent="0.25">
      <c r="B747" t="s">
        <v>850</v>
      </c>
    </row>
    <row r="748" spans="2:2" ht="14.45" customHeight="1" x14ac:dyDescent="0.25">
      <c r="B748" t="s">
        <v>851</v>
      </c>
    </row>
    <row r="749" spans="2:2" ht="14.45" customHeight="1" x14ac:dyDescent="0.25">
      <c r="B749" t="s">
        <v>852</v>
      </c>
    </row>
    <row r="750" spans="2:2" ht="14.45" customHeight="1" x14ac:dyDescent="0.25">
      <c r="B750" t="s">
        <v>853</v>
      </c>
    </row>
    <row r="751" spans="2:2" ht="14.45" customHeight="1" x14ac:dyDescent="0.25">
      <c r="B751" t="s">
        <v>854</v>
      </c>
    </row>
    <row r="752" spans="2:2" ht="14.45" customHeight="1" x14ac:dyDescent="0.25">
      <c r="B752" t="s">
        <v>855</v>
      </c>
    </row>
    <row r="753" spans="2:2" ht="14.45" customHeight="1" x14ac:dyDescent="0.25">
      <c r="B753" t="s">
        <v>856</v>
      </c>
    </row>
    <row r="754" spans="2:2" ht="14.45" customHeight="1" x14ac:dyDescent="0.25">
      <c r="B754" t="s">
        <v>857</v>
      </c>
    </row>
    <row r="755" spans="2:2" ht="14.45" customHeight="1" x14ac:dyDescent="0.25">
      <c r="B755" t="s">
        <v>858</v>
      </c>
    </row>
    <row r="756" spans="2:2" ht="14.45" customHeight="1" x14ac:dyDescent="0.25">
      <c r="B756" t="s">
        <v>859</v>
      </c>
    </row>
    <row r="757" spans="2:2" ht="14.45" customHeight="1" x14ac:dyDescent="0.25">
      <c r="B757" t="s">
        <v>860</v>
      </c>
    </row>
    <row r="758" spans="2:2" ht="14.45" customHeight="1" x14ac:dyDescent="0.25">
      <c r="B758" t="s">
        <v>861</v>
      </c>
    </row>
    <row r="759" spans="2:2" ht="14.45" customHeight="1" x14ac:dyDescent="0.25">
      <c r="B759" t="s">
        <v>862</v>
      </c>
    </row>
    <row r="760" spans="2:2" ht="14.45" customHeight="1" x14ac:dyDescent="0.25">
      <c r="B760" t="s">
        <v>863</v>
      </c>
    </row>
    <row r="761" spans="2:2" ht="14.45" customHeight="1" x14ac:dyDescent="0.25">
      <c r="B761" t="s">
        <v>864</v>
      </c>
    </row>
    <row r="762" spans="2:2" ht="14.45" customHeight="1" x14ac:dyDescent="0.25">
      <c r="B762" t="s">
        <v>865</v>
      </c>
    </row>
    <row r="763" spans="2:2" ht="14.45" customHeight="1" x14ac:dyDescent="0.25">
      <c r="B763" t="s">
        <v>866</v>
      </c>
    </row>
    <row r="764" spans="2:2" ht="14.45" customHeight="1" x14ac:dyDescent="0.25">
      <c r="B764" t="s">
        <v>867</v>
      </c>
    </row>
    <row r="765" spans="2:2" ht="14.45" customHeight="1" x14ac:dyDescent="0.25">
      <c r="B765" t="s">
        <v>868</v>
      </c>
    </row>
    <row r="766" spans="2:2" ht="14.45" customHeight="1" x14ac:dyDescent="0.25">
      <c r="B766" t="s">
        <v>869</v>
      </c>
    </row>
    <row r="767" spans="2:2" ht="14.45" customHeight="1" x14ac:dyDescent="0.25">
      <c r="B767" t="s">
        <v>870</v>
      </c>
    </row>
    <row r="768" spans="2:2" ht="14.45" customHeight="1" x14ac:dyDescent="0.25">
      <c r="B768" t="s">
        <v>871</v>
      </c>
    </row>
    <row r="769" spans="2:2" ht="14.45" customHeight="1" x14ac:dyDescent="0.25">
      <c r="B769" t="s">
        <v>872</v>
      </c>
    </row>
    <row r="770" spans="2:2" ht="14.45" customHeight="1" x14ac:dyDescent="0.25">
      <c r="B770" t="s">
        <v>873</v>
      </c>
    </row>
    <row r="771" spans="2:2" ht="14.45" customHeight="1" x14ac:dyDescent="0.25">
      <c r="B771" t="s">
        <v>874</v>
      </c>
    </row>
    <row r="772" spans="2:2" ht="14.45" customHeight="1" x14ac:dyDescent="0.25">
      <c r="B772" t="s">
        <v>875</v>
      </c>
    </row>
    <row r="773" spans="2:2" ht="14.45" customHeight="1" x14ac:dyDescent="0.25">
      <c r="B773" t="s">
        <v>876</v>
      </c>
    </row>
    <row r="774" spans="2:2" ht="14.45" customHeight="1" x14ac:dyDescent="0.25">
      <c r="B774" t="s">
        <v>877</v>
      </c>
    </row>
    <row r="775" spans="2:2" ht="14.45" customHeight="1" x14ac:dyDescent="0.25">
      <c r="B775" t="s">
        <v>878</v>
      </c>
    </row>
    <row r="776" spans="2:2" ht="14.45" customHeight="1" x14ac:dyDescent="0.25">
      <c r="B776" t="s">
        <v>879</v>
      </c>
    </row>
    <row r="777" spans="2:2" ht="14.45" customHeight="1" x14ac:dyDescent="0.25">
      <c r="B777" t="s">
        <v>880</v>
      </c>
    </row>
    <row r="778" spans="2:2" ht="14.45" customHeight="1" x14ac:dyDescent="0.25">
      <c r="B778" t="s">
        <v>881</v>
      </c>
    </row>
    <row r="779" spans="2:2" ht="14.45" customHeight="1" x14ac:dyDescent="0.25">
      <c r="B779" t="s">
        <v>882</v>
      </c>
    </row>
    <row r="780" spans="2:2" ht="14.45" customHeight="1" x14ac:dyDescent="0.25">
      <c r="B780" t="s">
        <v>883</v>
      </c>
    </row>
    <row r="781" spans="2:2" ht="14.45" customHeight="1" x14ac:dyDescent="0.25">
      <c r="B781" t="s">
        <v>884</v>
      </c>
    </row>
    <row r="782" spans="2:2" ht="14.45" customHeight="1" x14ac:dyDescent="0.25">
      <c r="B782" t="s">
        <v>885</v>
      </c>
    </row>
    <row r="783" spans="2:2" ht="14.45" customHeight="1" x14ac:dyDescent="0.25">
      <c r="B783" t="s">
        <v>886</v>
      </c>
    </row>
    <row r="784" spans="2:2" ht="14.45" customHeight="1" x14ac:dyDescent="0.25">
      <c r="B784" t="s">
        <v>887</v>
      </c>
    </row>
    <row r="785" spans="2:2" ht="14.45" customHeight="1" x14ac:dyDescent="0.25">
      <c r="B785" t="s">
        <v>888</v>
      </c>
    </row>
    <row r="786" spans="2:2" ht="14.45" customHeight="1" x14ac:dyDescent="0.25">
      <c r="B786" t="s">
        <v>889</v>
      </c>
    </row>
    <row r="787" spans="2:2" ht="14.45" customHeight="1" x14ac:dyDescent="0.25">
      <c r="B787" t="s">
        <v>890</v>
      </c>
    </row>
    <row r="788" spans="2:2" ht="14.45" customHeight="1" x14ac:dyDescent="0.25">
      <c r="B788" t="s">
        <v>891</v>
      </c>
    </row>
    <row r="789" spans="2:2" ht="14.45" customHeight="1" x14ac:dyDescent="0.25">
      <c r="B789" t="s">
        <v>892</v>
      </c>
    </row>
    <row r="790" spans="2:2" ht="14.45" customHeight="1" x14ac:dyDescent="0.25">
      <c r="B790" t="s">
        <v>893</v>
      </c>
    </row>
    <row r="791" spans="2:2" ht="14.45" customHeight="1" x14ac:dyDescent="0.25">
      <c r="B791" t="s">
        <v>894</v>
      </c>
    </row>
    <row r="792" spans="2:2" ht="14.45" customHeight="1" x14ac:dyDescent="0.25">
      <c r="B792" t="s">
        <v>895</v>
      </c>
    </row>
    <row r="793" spans="2:2" ht="14.45" customHeight="1" x14ac:dyDescent="0.25">
      <c r="B793" t="s">
        <v>896</v>
      </c>
    </row>
    <row r="794" spans="2:2" ht="14.45" customHeight="1" x14ac:dyDescent="0.25">
      <c r="B794" t="s">
        <v>897</v>
      </c>
    </row>
    <row r="795" spans="2:2" ht="14.45" customHeight="1" x14ac:dyDescent="0.25">
      <c r="B795" t="s">
        <v>898</v>
      </c>
    </row>
    <row r="796" spans="2:2" ht="14.45" customHeight="1" x14ac:dyDescent="0.25">
      <c r="B796" t="s">
        <v>899</v>
      </c>
    </row>
    <row r="797" spans="2:2" ht="14.45" customHeight="1" x14ac:dyDescent="0.25">
      <c r="B797" t="s">
        <v>900</v>
      </c>
    </row>
    <row r="798" spans="2:2" ht="14.45" customHeight="1" x14ac:dyDescent="0.25">
      <c r="B798" t="s">
        <v>901</v>
      </c>
    </row>
    <row r="799" spans="2:2" ht="14.45" customHeight="1" x14ac:dyDescent="0.25">
      <c r="B799" t="s">
        <v>902</v>
      </c>
    </row>
    <row r="800" spans="2:2" ht="14.45" customHeight="1" x14ac:dyDescent="0.25">
      <c r="B800" t="s">
        <v>903</v>
      </c>
    </row>
    <row r="801" spans="2:2" ht="14.45" customHeight="1" x14ac:dyDescent="0.25">
      <c r="B801" t="s">
        <v>904</v>
      </c>
    </row>
    <row r="802" spans="2:2" ht="14.45" customHeight="1" x14ac:dyDescent="0.25">
      <c r="B802" t="s">
        <v>905</v>
      </c>
    </row>
    <row r="803" spans="2:2" ht="14.45" customHeight="1" x14ac:dyDescent="0.25">
      <c r="B803" t="s">
        <v>906</v>
      </c>
    </row>
    <row r="804" spans="2:2" ht="14.45" customHeight="1" x14ac:dyDescent="0.25">
      <c r="B804" t="s">
        <v>907</v>
      </c>
    </row>
    <row r="805" spans="2:2" ht="14.45" customHeight="1" x14ac:dyDescent="0.25">
      <c r="B805" t="s">
        <v>908</v>
      </c>
    </row>
    <row r="806" spans="2:2" ht="14.45" customHeight="1" x14ac:dyDescent="0.25">
      <c r="B806" t="s">
        <v>909</v>
      </c>
    </row>
    <row r="807" spans="2:2" ht="14.45" customHeight="1" x14ac:dyDescent="0.25">
      <c r="B807" t="s">
        <v>910</v>
      </c>
    </row>
    <row r="808" spans="2:2" ht="14.45" customHeight="1" x14ac:dyDescent="0.25">
      <c r="B808" t="s">
        <v>911</v>
      </c>
    </row>
    <row r="809" spans="2:2" ht="14.45" customHeight="1" x14ac:dyDescent="0.25">
      <c r="B809" t="s">
        <v>912</v>
      </c>
    </row>
    <row r="810" spans="2:2" ht="14.45" customHeight="1" x14ac:dyDescent="0.25">
      <c r="B810" t="s">
        <v>913</v>
      </c>
    </row>
    <row r="811" spans="2:2" ht="14.45" customHeight="1" x14ac:dyDescent="0.25">
      <c r="B811" t="s">
        <v>914</v>
      </c>
    </row>
    <row r="812" spans="2:2" ht="14.45" customHeight="1" x14ac:dyDescent="0.25">
      <c r="B812" t="s">
        <v>915</v>
      </c>
    </row>
    <row r="813" spans="2:2" ht="14.45" customHeight="1" x14ac:dyDescent="0.25">
      <c r="B813" t="s">
        <v>916</v>
      </c>
    </row>
    <row r="814" spans="2:2" ht="14.45" customHeight="1" x14ac:dyDescent="0.25">
      <c r="B814" t="s">
        <v>917</v>
      </c>
    </row>
    <row r="815" spans="2:2" ht="14.45" customHeight="1" x14ac:dyDescent="0.25">
      <c r="B815" t="s">
        <v>918</v>
      </c>
    </row>
    <row r="816" spans="2:2" ht="14.45" customHeight="1" x14ac:dyDescent="0.25">
      <c r="B816" t="s">
        <v>919</v>
      </c>
    </row>
    <row r="817" spans="2:2" ht="14.45" customHeight="1" x14ac:dyDescent="0.25">
      <c r="B817" t="s">
        <v>920</v>
      </c>
    </row>
    <row r="818" spans="2:2" ht="14.45" customHeight="1" x14ac:dyDescent="0.25">
      <c r="B818" t="s">
        <v>921</v>
      </c>
    </row>
    <row r="819" spans="2:2" ht="14.45" customHeight="1" x14ac:dyDescent="0.25">
      <c r="B819" t="s">
        <v>922</v>
      </c>
    </row>
    <row r="820" spans="2:2" ht="14.45" customHeight="1" x14ac:dyDescent="0.25">
      <c r="B820" t="s">
        <v>923</v>
      </c>
    </row>
    <row r="821" spans="2:2" ht="14.45" customHeight="1" x14ac:dyDescent="0.25">
      <c r="B821" t="s">
        <v>924</v>
      </c>
    </row>
    <row r="822" spans="2:2" ht="14.45" customHeight="1" x14ac:dyDescent="0.25">
      <c r="B822" t="s">
        <v>925</v>
      </c>
    </row>
    <row r="823" spans="2:2" ht="14.45" customHeight="1" x14ac:dyDescent="0.25">
      <c r="B823" t="s">
        <v>926</v>
      </c>
    </row>
    <row r="824" spans="2:2" ht="14.45" customHeight="1" x14ac:dyDescent="0.25">
      <c r="B824" t="s">
        <v>927</v>
      </c>
    </row>
    <row r="825" spans="2:2" ht="14.45" customHeight="1" x14ac:dyDescent="0.25">
      <c r="B825" t="s">
        <v>928</v>
      </c>
    </row>
    <row r="826" spans="2:2" ht="14.45" customHeight="1" x14ac:dyDescent="0.25">
      <c r="B826" t="s">
        <v>929</v>
      </c>
    </row>
    <row r="827" spans="2:2" ht="14.45" customHeight="1" x14ac:dyDescent="0.25">
      <c r="B827" t="s">
        <v>930</v>
      </c>
    </row>
    <row r="828" spans="2:2" ht="14.45" customHeight="1" x14ac:dyDescent="0.25">
      <c r="B828" t="s">
        <v>931</v>
      </c>
    </row>
    <row r="829" spans="2:2" ht="14.45" customHeight="1" x14ac:dyDescent="0.25">
      <c r="B829" t="s">
        <v>932</v>
      </c>
    </row>
    <row r="830" spans="2:2" ht="14.45" customHeight="1" x14ac:dyDescent="0.25">
      <c r="B830" t="s">
        <v>933</v>
      </c>
    </row>
    <row r="831" spans="2:2" ht="14.45" customHeight="1" x14ac:dyDescent="0.25">
      <c r="B831" t="s">
        <v>934</v>
      </c>
    </row>
    <row r="832" spans="2:2" ht="14.45" customHeight="1" x14ac:dyDescent="0.25">
      <c r="B832" t="s">
        <v>935</v>
      </c>
    </row>
    <row r="833" spans="2:2" ht="14.45" customHeight="1" x14ac:dyDescent="0.25">
      <c r="B833" t="s">
        <v>936</v>
      </c>
    </row>
    <row r="834" spans="2:2" ht="14.45" customHeight="1" x14ac:dyDescent="0.25">
      <c r="B834" t="s">
        <v>937</v>
      </c>
    </row>
    <row r="835" spans="2:2" ht="14.45" customHeight="1" x14ac:dyDescent="0.25">
      <c r="B835" t="s">
        <v>938</v>
      </c>
    </row>
    <row r="836" spans="2:2" ht="14.45" customHeight="1" x14ac:dyDescent="0.25">
      <c r="B836" t="s">
        <v>939</v>
      </c>
    </row>
    <row r="837" spans="2:2" ht="14.45" customHeight="1" x14ac:dyDescent="0.25">
      <c r="B837" t="s">
        <v>940</v>
      </c>
    </row>
    <row r="838" spans="2:2" ht="14.45" customHeight="1" x14ac:dyDescent="0.25">
      <c r="B838" t="s">
        <v>941</v>
      </c>
    </row>
    <row r="839" spans="2:2" ht="14.45" customHeight="1" x14ac:dyDescent="0.25">
      <c r="B839" t="s">
        <v>942</v>
      </c>
    </row>
    <row r="840" spans="2:2" ht="14.45" customHeight="1" x14ac:dyDescent="0.25">
      <c r="B840" t="s">
        <v>943</v>
      </c>
    </row>
    <row r="841" spans="2:2" ht="14.45" customHeight="1" x14ac:dyDescent="0.25">
      <c r="B841" t="s">
        <v>944</v>
      </c>
    </row>
    <row r="842" spans="2:2" ht="14.45" customHeight="1" x14ac:dyDescent="0.25">
      <c r="B842" t="s">
        <v>945</v>
      </c>
    </row>
    <row r="843" spans="2:2" ht="14.45" customHeight="1" x14ac:dyDescent="0.25">
      <c r="B843" t="s">
        <v>946</v>
      </c>
    </row>
    <row r="844" spans="2:2" ht="14.45" customHeight="1" x14ac:dyDescent="0.25">
      <c r="B844" t="s">
        <v>947</v>
      </c>
    </row>
    <row r="845" spans="2:2" ht="14.45" customHeight="1" x14ac:dyDescent="0.25">
      <c r="B845" t="s">
        <v>948</v>
      </c>
    </row>
    <row r="846" spans="2:2" ht="14.45" customHeight="1" x14ac:dyDescent="0.25">
      <c r="B846" t="s">
        <v>949</v>
      </c>
    </row>
    <row r="847" spans="2:2" ht="14.45" customHeight="1" x14ac:dyDescent="0.25">
      <c r="B847" t="s">
        <v>950</v>
      </c>
    </row>
    <row r="848" spans="2:2" ht="14.45" customHeight="1" x14ac:dyDescent="0.25">
      <c r="B848" t="s">
        <v>951</v>
      </c>
    </row>
    <row r="849" spans="2:2" ht="14.45" customHeight="1" x14ac:dyDescent="0.25">
      <c r="B849" t="s">
        <v>952</v>
      </c>
    </row>
    <row r="850" spans="2:2" ht="14.45" customHeight="1" x14ac:dyDescent="0.25">
      <c r="B850" t="s">
        <v>953</v>
      </c>
    </row>
    <row r="851" spans="2:2" ht="14.45" customHeight="1" x14ac:dyDescent="0.25">
      <c r="B851" t="s">
        <v>954</v>
      </c>
    </row>
    <row r="852" spans="2:2" ht="14.45" customHeight="1" x14ac:dyDescent="0.25">
      <c r="B852" t="s">
        <v>955</v>
      </c>
    </row>
    <row r="853" spans="2:2" ht="14.45" customHeight="1" x14ac:dyDescent="0.25">
      <c r="B853" t="s">
        <v>956</v>
      </c>
    </row>
    <row r="854" spans="2:2" ht="14.45" customHeight="1" x14ac:dyDescent="0.25">
      <c r="B854" t="s">
        <v>957</v>
      </c>
    </row>
    <row r="855" spans="2:2" ht="14.45" customHeight="1" x14ac:dyDescent="0.25">
      <c r="B855" t="s">
        <v>958</v>
      </c>
    </row>
    <row r="856" spans="2:2" ht="14.45" customHeight="1" x14ac:dyDescent="0.25">
      <c r="B856" t="s">
        <v>959</v>
      </c>
    </row>
    <row r="857" spans="2:2" ht="14.45" customHeight="1" x14ac:dyDescent="0.25">
      <c r="B857" t="s">
        <v>960</v>
      </c>
    </row>
    <row r="858" spans="2:2" ht="14.45" customHeight="1" x14ac:dyDescent="0.25">
      <c r="B858" t="s">
        <v>961</v>
      </c>
    </row>
    <row r="859" spans="2:2" ht="14.45" customHeight="1" x14ac:dyDescent="0.25">
      <c r="B859" t="s">
        <v>962</v>
      </c>
    </row>
    <row r="860" spans="2:2" ht="14.45" customHeight="1" x14ac:dyDescent="0.25">
      <c r="B860" t="s">
        <v>963</v>
      </c>
    </row>
    <row r="861" spans="2:2" ht="14.45" customHeight="1" x14ac:dyDescent="0.25">
      <c r="B861" t="s">
        <v>964</v>
      </c>
    </row>
    <row r="862" spans="2:2" ht="14.45" customHeight="1" x14ac:dyDescent="0.25">
      <c r="B862" t="s">
        <v>965</v>
      </c>
    </row>
    <row r="863" spans="2:2" ht="14.45" customHeight="1" x14ac:dyDescent="0.25">
      <c r="B863" t="s">
        <v>966</v>
      </c>
    </row>
    <row r="864" spans="2:2" ht="14.45" customHeight="1" x14ac:dyDescent="0.25">
      <c r="B864" t="s">
        <v>967</v>
      </c>
    </row>
    <row r="865" spans="2:2" ht="14.45" customHeight="1" x14ac:dyDescent="0.25">
      <c r="B865" t="s">
        <v>968</v>
      </c>
    </row>
    <row r="866" spans="2:2" ht="14.45" customHeight="1" x14ac:dyDescent="0.25">
      <c r="B866" t="s">
        <v>969</v>
      </c>
    </row>
    <row r="867" spans="2:2" ht="14.45" customHeight="1" x14ac:dyDescent="0.25">
      <c r="B867" t="s">
        <v>970</v>
      </c>
    </row>
    <row r="868" spans="2:2" ht="14.45" customHeight="1" x14ac:dyDescent="0.25">
      <c r="B868" t="s">
        <v>971</v>
      </c>
    </row>
    <row r="869" spans="2:2" ht="14.45" customHeight="1" x14ac:dyDescent="0.25">
      <c r="B869" t="s">
        <v>972</v>
      </c>
    </row>
    <row r="870" spans="2:2" ht="14.45" customHeight="1" x14ac:dyDescent="0.25">
      <c r="B870" t="s">
        <v>973</v>
      </c>
    </row>
    <row r="871" spans="2:2" ht="14.45" customHeight="1" x14ac:dyDescent="0.25">
      <c r="B871" t="s">
        <v>974</v>
      </c>
    </row>
    <row r="872" spans="2:2" ht="14.45" customHeight="1" x14ac:dyDescent="0.25">
      <c r="B872" t="s">
        <v>975</v>
      </c>
    </row>
    <row r="873" spans="2:2" ht="14.45" customHeight="1" x14ac:dyDescent="0.25">
      <c r="B873" t="s">
        <v>976</v>
      </c>
    </row>
    <row r="874" spans="2:2" ht="14.45" customHeight="1" x14ac:dyDescent="0.25">
      <c r="B874" t="s">
        <v>977</v>
      </c>
    </row>
    <row r="875" spans="2:2" ht="14.45" customHeight="1" x14ac:dyDescent="0.25">
      <c r="B875" t="s">
        <v>978</v>
      </c>
    </row>
    <row r="876" spans="2:2" ht="14.45" customHeight="1" x14ac:dyDescent="0.25">
      <c r="B876" t="s">
        <v>979</v>
      </c>
    </row>
    <row r="877" spans="2:2" ht="14.45" customHeight="1" x14ac:dyDescent="0.25">
      <c r="B877" t="s">
        <v>980</v>
      </c>
    </row>
    <row r="878" spans="2:2" ht="14.45" customHeight="1" x14ac:dyDescent="0.25">
      <c r="B878" t="s">
        <v>981</v>
      </c>
    </row>
    <row r="879" spans="2:2" ht="14.45" customHeight="1" x14ac:dyDescent="0.25">
      <c r="B879" t="s">
        <v>982</v>
      </c>
    </row>
    <row r="880" spans="2:2" ht="14.45" customHeight="1" x14ac:dyDescent="0.25">
      <c r="B880" t="s">
        <v>983</v>
      </c>
    </row>
    <row r="881" spans="2:2" ht="14.45" customHeight="1" x14ac:dyDescent="0.25">
      <c r="B881" t="s">
        <v>984</v>
      </c>
    </row>
    <row r="882" spans="2:2" ht="14.45" customHeight="1" x14ac:dyDescent="0.25">
      <c r="B882" t="s">
        <v>985</v>
      </c>
    </row>
    <row r="883" spans="2:2" ht="14.45" customHeight="1" x14ac:dyDescent="0.25">
      <c r="B883" t="s">
        <v>986</v>
      </c>
    </row>
    <row r="884" spans="2:2" ht="14.45" customHeight="1" x14ac:dyDescent="0.25">
      <c r="B884" t="s">
        <v>987</v>
      </c>
    </row>
    <row r="885" spans="2:2" ht="14.45" customHeight="1" x14ac:dyDescent="0.25">
      <c r="B885" t="s">
        <v>988</v>
      </c>
    </row>
    <row r="886" spans="2:2" ht="14.45" customHeight="1" x14ac:dyDescent="0.25">
      <c r="B886" t="s">
        <v>989</v>
      </c>
    </row>
    <row r="887" spans="2:2" ht="14.45" customHeight="1" x14ac:dyDescent="0.25">
      <c r="B887" t="s">
        <v>990</v>
      </c>
    </row>
    <row r="888" spans="2:2" ht="14.45" customHeight="1" x14ac:dyDescent="0.25">
      <c r="B888" t="s">
        <v>991</v>
      </c>
    </row>
    <row r="889" spans="2:2" ht="14.45" customHeight="1" x14ac:dyDescent="0.25">
      <c r="B889" t="s">
        <v>992</v>
      </c>
    </row>
    <row r="890" spans="2:2" ht="14.45" customHeight="1" x14ac:dyDescent="0.25">
      <c r="B890" t="s">
        <v>993</v>
      </c>
    </row>
    <row r="891" spans="2:2" ht="14.45" customHeight="1" x14ac:dyDescent="0.25">
      <c r="B891" t="s">
        <v>994</v>
      </c>
    </row>
    <row r="892" spans="2:2" ht="14.45" customHeight="1" x14ac:dyDescent="0.25">
      <c r="B892" t="s">
        <v>995</v>
      </c>
    </row>
    <row r="893" spans="2:2" ht="14.45" customHeight="1" x14ac:dyDescent="0.25">
      <c r="B893" t="s">
        <v>996</v>
      </c>
    </row>
    <row r="894" spans="2:2" ht="14.45" customHeight="1" x14ac:dyDescent="0.25">
      <c r="B894" t="s">
        <v>997</v>
      </c>
    </row>
    <row r="895" spans="2:2" ht="14.45" customHeight="1" x14ac:dyDescent="0.25">
      <c r="B895" t="s">
        <v>998</v>
      </c>
    </row>
    <row r="896" spans="2:2" ht="14.45" customHeight="1" x14ac:dyDescent="0.25">
      <c r="B896" t="s">
        <v>999</v>
      </c>
    </row>
    <row r="897" spans="2:2" ht="14.45" customHeight="1" x14ac:dyDescent="0.25">
      <c r="B897" t="s">
        <v>1000</v>
      </c>
    </row>
    <row r="898" spans="2:2" ht="14.45" customHeight="1" x14ac:dyDescent="0.25">
      <c r="B898" t="s">
        <v>1001</v>
      </c>
    </row>
    <row r="899" spans="2:2" ht="14.45" customHeight="1" x14ac:dyDescent="0.25">
      <c r="B899" t="s">
        <v>1002</v>
      </c>
    </row>
    <row r="900" spans="2:2" ht="14.45" customHeight="1" x14ac:dyDescent="0.25">
      <c r="B900" t="s">
        <v>1003</v>
      </c>
    </row>
    <row r="901" spans="2:2" ht="14.45" customHeight="1" x14ac:dyDescent="0.25">
      <c r="B901" t="s">
        <v>1004</v>
      </c>
    </row>
    <row r="902" spans="2:2" ht="14.45" customHeight="1" x14ac:dyDescent="0.25">
      <c r="B902" t="s">
        <v>1005</v>
      </c>
    </row>
    <row r="903" spans="2:2" ht="14.45" customHeight="1" x14ac:dyDescent="0.25">
      <c r="B903" t="s">
        <v>1006</v>
      </c>
    </row>
    <row r="904" spans="2:2" ht="14.45" customHeight="1" x14ac:dyDescent="0.25">
      <c r="B904" t="s">
        <v>1007</v>
      </c>
    </row>
    <row r="905" spans="2:2" ht="14.45" customHeight="1" x14ac:dyDescent="0.25">
      <c r="B905" t="s">
        <v>1008</v>
      </c>
    </row>
    <row r="906" spans="2:2" ht="14.45" customHeight="1" x14ac:dyDescent="0.25">
      <c r="B906" t="s">
        <v>1009</v>
      </c>
    </row>
    <row r="907" spans="2:2" ht="14.45" customHeight="1" x14ac:dyDescent="0.25">
      <c r="B907" t="s">
        <v>1010</v>
      </c>
    </row>
    <row r="908" spans="2:2" ht="14.45" customHeight="1" x14ac:dyDescent="0.25">
      <c r="B908" t="s">
        <v>1011</v>
      </c>
    </row>
    <row r="909" spans="2:2" ht="14.45" customHeight="1" x14ac:dyDescent="0.25">
      <c r="B909" t="s">
        <v>1012</v>
      </c>
    </row>
    <row r="910" spans="2:2" ht="14.45" customHeight="1" x14ac:dyDescent="0.25">
      <c r="B910" t="s">
        <v>1013</v>
      </c>
    </row>
    <row r="911" spans="2:2" ht="14.45" customHeight="1" x14ac:dyDescent="0.25">
      <c r="B911" t="s">
        <v>1014</v>
      </c>
    </row>
    <row r="912" spans="2:2" ht="14.45" customHeight="1" x14ac:dyDescent="0.25">
      <c r="B912" t="s">
        <v>1015</v>
      </c>
    </row>
    <row r="913" spans="2:2" ht="14.45" customHeight="1" x14ac:dyDescent="0.25">
      <c r="B913" t="s">
        <v>1016</v>
      </c>
    </row>
    <row r="914" spans="2:2" ht="14.45" customHeight="1" x14ac:dyDescent="0.25">
      <c r="B914" t="s">
        <v>1017</v>
      </c>
    </row>
    <row r="915" spans="2:2" ht="14.45" customHeight="1" x14ac:dyDescent="0.25">
      <c r="B915" t="s">
        <v>1018</v>
      </c>
    </row>
    <row r="916" spans="2:2" ht="14.45" customHeight="1" x14ac:dyDescent="0.25">
      <c r="B916" t="s">
        <v>1019</v>
      </c>
    </row>
    <row r="917" spans="2:2" ht="14.45" customHeight="1" x14ac:dyDescent="0.25">
      <c r="B917" t="s">
        <v>1020</v>
      </c>
    </row>
    <row r="918" spans="2:2" ht="14.45" customHeight="1" x14ac:dyDescent="0.25">
      <c r="B918" t="s">
        <v>1021</v>
      </c>
    </row>
    <row r="919" spans="2:2" ht="14.45" customHeight="1" x14ac:dyDescent="0.25">
      <c r="B919" t="s">
        <v>1022</v>
      </c>
    </row>
    <row r="920" spans="2:2" ht="14.45" customHeight="1" x14ac:dyDescent="0.25">
      <c r="B920" t="s">
        <v>1023</v>
      </c>
    </row>
    <row r="921" spans="2:2" ht="14.45" customHeight="1" x14ac:dyDescent="0.25">
      <c r="B921" t="s">
        <v>1024</v>
      </c>
    </row>
    <row r="922" spans="2:2" ht="14.45" customHeight="1" x14ac:dyDescent="0.25">
      <c r="B922" t="s">
        <v>1025</v>
      </c>
    </row>
    <row r="923" spans="2:2" ht="14.45" customHeight="1" x14ac:dyDescent="0.25">
      <c r="B923" t="s">
        <v>1026</v>
      </c>
    </row>
    <row r="924" spans="2:2" ht="14.45" customHeight="1" x14ac:dyDescent="0.25">
      <c r="B924" t="s">
        <v>1027</v>
      </c>
    </row>
    <row r="925" spans="2:2" ht="14.45" customHeight="1" x14ac:dyDescent="0.25">
      <c r="B925" t="s">
        <v>1028</v>
      </c>
    </row>
    <row r="926" spans="2:2" ht="14.45" customHeight="1" x14ac:dyDescent="0.25">
      <c r="B926" t="s">
        <v>1029</v>
      </c>
    </row>
    <row r="927" spans="2:2" ht="14.45" customHeight="1" x14ac:dyDescent="0.25">
      <c r="B927" t="s">
        <v>1030</v>
      </c>
    </row>
    <row r="928" spans="2:2" ht="14.45" customHeight="1" x14ac:dyDescent="0.25">
      <c r="B928" t="s">
        <v>1031</v>
      </c>
    </row>
    <row r="929" spans="2:2" ht="14.45" customHeight="1" x14ac:dyDescent="0.25">
      <c r="B929" t="s">
        <v>1032</v>
      </c>
    </row>
    <row r="930" spans="2:2" ht="14.45" customHeight="1" x14ac:dyDescent="0.25">
      <c r="B930" t="s">
        <v>1033</v>
      </c>
    </row>
    <row r="931" spans="2:2" ht="14.45" customHeight="1" x14ac:dyDescent="0.25">
      <c r="B931" t="s">
        <v>1034</v>
      </c>
    </row>
    <row r="932" spans="2:2" ht="14.45" customHeight="1" x14ac:dyDescent="0.25">
      <c r="B932" t="s">
        <v>1035</v>
      </c>
    </row>
    <row r="933" spans="2:2" ht="14.45" customHeight="1" x14ac:dyDescent="0.25">
      <c r="B933" t="s">
        <v>1036</v>
      </c>
    </row>
    <row r="934" spans="2:2" ht="14.45" customHeight="1" x14ac:dyDescent="0.25">
      <c r="B934" t="s">
        <v>1037</v>
      </c>
    </row>
    <row r="935" spans="2:2" ht="14.45" customHeight="1" x14ac:dyDescent="0.25">
      <c r="B935" t="s">
        <v>1038</v>
      </c>
    </row>
    <row r="936" spans="2:2" ht="14.45" customHeight="1" x14ac:dyDescent="0.25">
      <c r="B936" t="s">
        <v>1039</v>
      </c>
    </row>
    <row r="937" spans="2:2" ht="14.45" customHeight="1" x14ac:dyDescent="0.25">
      <c r="B937" t="s">
        <v>1040</v>
      </c>
    </row>
    <row r="938" spans="2:2" ht="14.45" customHeight="1" x14ac:dyDescent="0.25">
      <c r="B938" t="s">
        <v>1041</v>
      </c>
    </row>
    <row r="939" spans="2:2" ht="14.45" customHeight="1" x14ac:dyDescent="0.25">
      <c r="B939" t="s">
        <v>1042</v>
      </c>
    </row>
    <row r="940" spans="2:2" ht="14.45" customHeight="1" x14ac:dyDescent="0.25">
      <c r="B940" t="s">
        <v>1043</v>
      </c>
    </row>
    <row r="941" spans="2:2" ht="14.45" customHeight="1" x14ac:dyDescent="0.25">
      <c r="B941" t="s">
        <v>1044</v>
      </c>
    </row>
    <row r="942" spans="2:2" ht="14.45" customHeight="1" x14ac:dyDescent="0.25">
      <c r="B942" t="s">
        <v>1045</v>
      </c>
    </row>
    <row r="943" spans="2:2" ht="14.45" customHeight="1" x14ac:dyDescent="0.25">
      <c r="B943" t="s">
        <v>1046</v>
      </c>
    </row>
    <row r="944" spans="2:2" ht="14.45" customHeight="1" x14ac:dyDescent="0.25">
      <c r="B944" t="s">
        <v>1047</v>
      </c>
    </row>
    <row r="945" spans="2:2" ht="14.45" customHeight="1" x14ac:dyDescent="0.25">
      <c r="B945" t="s">
        <v>1048</v>
      </c>
    </row>
    <row r="946" spans="2:2" ht="14.45" customHeight="1" x14ac:dyDescent="0.25">
      <c r="B946" t="s">
        <v>1049</v>
      </c>
    </row>
    <row r="947" spans="2:2" ht="14.45" customHeight="1" x14ac:dyDescent="0.25">
      <c r="B947" t="s">
        <v>1050</v>
      </c>
    </row>
    <row r="948" spans="2:2" ht="14.45" customHeight="1" x14ac:dyDescent="0.25">
      <c r="B948" t="s">
        <v>1051</v>
      </c>
    </row>
    <row r="949" spans="2:2" ht="14.45" customHeight="1" x14ac:dyDescent="0.25">
      <c r="B949" t="s">
        <v>1052</v>
      </c>
    </row>
    <row r="950" spans="2:2" ht="14.45" customHeight="1" x14ac:dyDescent="0.25">
      <c r="B950" t="s">
        <v>1053</v>
      </c>
    </row>
    <row r="951" spans="2:2" ht="14.45" customHeight="1" x14ac:dyDescent="0.25">
      <c r="B951" t="s">
        <v>1054</v>
      </c>
    </row>
    <row r="952" spans="2:2" ht="14.45" customHeight="1" x14ac:dyDescent="0.25">
      <c r="B952" t="s">
        <v>1055</v>
      </c>
    </row>
    <row r="953" spans="2:2" ht="14.45" customHeight="1" x14ac:dyDescent="0.25">
      <c r="B953" t="s">
        <v>1056</v>
      </c>
    </row>
    <row r="954" spans="2:2" ht="14.45" customHeight="1" x14ac:dyDescent="0.25">
      <c r="B954" t="s">
        <v>1057</v>
      </c>
    </row>
    <row r="955" spans="2:2" ht="14.45" customHeight="1" x14ac:dyDescent="0.25">
      <c r="B955" t="s">
        <v>1058</v>
      </c>
    </row>
    <row r="956" spans="2:2" ht="14.45" customHeight="1" x14ac:dyDescent="0.25">
      <c r="B956" t="s">
        <v>1059</v>
      </c>
    </row>
    <row r="957" spans="2:2" ht="14.45" customHeight="1" x14ac:dyDescent="0.25">
      <c r="B957" t="s">
        <v>1060</v>
      </c>
    </row>
    <row r="958" spans="2:2" ht="14.45" customHeight="1" x14ac:dyDescent="0.25">
      <c r="B958" t="s">
        <v>1061</v>
      </c>
    </row>
    <row r="959" spans="2:2" ht="14.45" customHeight="1" x14ac:dyDescent="0.25">
      <c r="B959" t="s">
        <v>1062</v>
      </c>
    </row>
    <row r="960" spans="2:2" ht="14.45" customHeight="1" x14ac:dyDescent="0.25">
      <c r="B960" t="s">
        <v>1063</v>
      </c>
    </row>
    <row r="961" spans="2:2" ht="14.45" customHeight="1" x14ac:dyDescent="0.25">
      <c r="B961" t="s">
        <v>1064</v>
      </c>
    </row>
    <row r="962" spans="2:2" ht="14.45" customHeight="1" x14ac:dyDescent="0.25">
      <c r="B962" t="s">
        <v>1065</v>
      </c>
    </row>
    <row r="963" spans="2:2" ht="14.45" customHeight="1" x14ac:dyDescent="0.25">
      <c r="B963" t="s">
        <v>1066</v>
      </c>
    </row>
    <row r="964" spans="2:2" ht="14.45" customHeight="1" x14ac:dyDescent="0.25">
      <c r="B964" t="s">
        <v>1067</v>
      </c>
    </row>
    <row r="965" spans="2:2" ht="14.45" customHeight="1" x14ac:dyDescent="0.25">
      <c r="B965" t="s">
        <v>1068</v>
      </c>
    </row>
    <row r="966" spans="2:2" ht="14.45" customHeight="1" x14ac:dyDescent="0.25">
      <c r="B966" t="s">
        <v>1069</v>
      </c>
    </row>
    <row r="967" spans="2:2" ht="14.45" customHeight="1" x14ac:dyDescent="0.25">
      <c r="B967" t="s">
        <v>1070</v>
      </c>
    </row>
    <row r="968" spans="2:2" ht="14.45" customHeight="1" x14ac:dyDescent="0.25">
      <c r="B968" t="s">
        <v>1071</v>
      </c>
    </row>
    <row r="969" spans="2:2" ht="14.45" customHeight="1" x14ac:dyDescent="0.25">
      <c r="B969" t="s">
        <v>1072</v>
      </c>
    </row>
    <row r="970" spans="2:2" ht="14.45" customHeight="1" x14ac:dyDescent="0.25">
      <c r="B970" t="s">
        <v>1073</v>
      </c>
    </row>
    <row r="971" spans="2:2" ht="14.45" customHeight="1" x14ac:dyDescent="0.25">
      <c r="B971" t="s">
        <v>1074</v>
      </c>
    </row>
    <row r="972" spans="2:2" ht="14.45" customHeight="1" x14ac:dyDescent="0.25">
      <c r="B972" t="s">
        <v>1075</v>
      </c>
    </row>
    <row r="973" spans="2:2" ht="14.45" customHeight="1" x14ac:dyDescent="0.25">
      <c r="B973" t="s">
        <v>1076</v>
      </c>
    </row>
    <row r="974" spans="2:2" ht="14.45" customHeight="1" x14ac:dyDescent="0.25">
      <c r="B974" t="s">
        <v>1077</v>
      </c>
    </row>
    <row r="975" spans="2:2" ht="14.45" customHeight="1" x14ac:dyDescent="0.25">
      <c r="B975" t="s">
        <v>1078</v>
      </c>
    </row>
    <row r="976" spans="2:2" ht="14.45" customHeight="1" x14ac:dyDescent="0.25">
      <c r="B976" t="s">
        <v>1079</v>
      </c>
    </row>
    <row r="977" spans="2:2" ht="14.45" customHeight="1" x14ac:dyDescent="0.25">
      <c r="B977" t="s">
        <v>1080</v>
      </c>
    </row>
    <row r="978" spans="2:2" ht="14.45" customHeight="1" x14ac:dyDescent="0.25">
      <c r="B978" t="s">
        <v>1081</v>
      </c>
    </row>
    <row r="979" spans="2:2" ht="14.45" customHeight="1" x14ac:dyDescent="0.25">
      <c r="B979" t="s">
        <v>1082</v>
      </c>
    </row>
    <row r="980" spans="2:2" ht="14.45" customHeight="1" x14ac:dyDescent="0.25">
      <c r="B980" t="s">
        <v>1083</v>
      </c>
    </row>
    <row r="981" spans="2:2" ht="14.45" customHeight="1" x14ac:dyDescent="0.25">
      <c r="B981" t="s">
        <v>1084</v>
      </c>
    </row>
    <row r="982" spans="2:2" ht="14.45" customHeight="1" x14ac:dyDescent="0.25">
      <c r="B982" t="s">
        <v>1085</v>
      </c>
    </row>
    <row r="983" spans="2:2" ht="14.45" customHeight="1" x14ac:dyDescent="0.25">
      <c r="B983" t="s">
        <v>1086</v>
      </c>
    </row>
    <row r="984" spans="2:2" ht="14.45" customHeight="1" x14ac:dyDescent="0.25">
      <c r="B984" t="s">
        <v>1087</v>
      </c>
    </row>
    <row r="985" spans="2:2" ht="14.45" customHeight="1" x14ac:dyDescent="0.25">
      <c r="B985" t="s">
        <v>1088</v>
      </c>
    </row>
    <row r="986" spans="2:2" ht="14.45" customHeight="1" x14ac:dyDescent="0.25">
      <c r="B986" t="s">
        <v>1089</v>
      </c>
    </row>
    <row r="987" spans="2:2" ht="14.45" customHeight="1" x14ac:dyDescent="0.25">
      <c r="B987" t="s">
        <v>1090</v>
      </c>
    </row>
    <row r="988" spans="2:2" ht="14.45" customHeight="1" x14ac:dyDescent="0.25">
      <c r="B988" t="s">
        <v>1091</v>
      </c>
    </row>
    <row r="989" spans="2:2" ht="14.45" customHeight="1" x14ac:dyDescent="0.25">
      <c r="B989" t="s">
        <v>1092</v>
      </c>
    </row>
    <row r="990" spans="2:2" ht="14.45" customHeight="1" x14ac:dyDescent="0.25">
      <c r="B990" t="s">
        <v>1093</v>
      </c>
    </row>
    <row r="991" spans="2:2" ht="14.45" customHeight="1" x14ac:dyDescent="0.25">
      <c r="B991" t="s">
        <v>1094</v>
      </c>
    </row>
    <row r="992" spans="2:2" ht="14.45" customHeight="1" x14ac:dyDescent="0.25">
      <c r="B992" t="s">
        <v>1095</v>
      </c>
    </row>
    <row r="993" spans="2:2" ht="14.45" customHeight="1" x14ac:dyDescent="0.25">
      <c r="B993" t="s">
        <v>1096</v>
      </c>
    </row>
    <row r="994" spans="2:2" ht="14.45" customHeight="1" x14ac:dyDescent="0.25">
      <c r="B994" t="s">
        <v>1097</v>
      </c>
    </row>
    <row r="995" spans="2:2" ht="14.45" customHeight="1" x14ac:dyDescent="0.25">
      <c r="B995" t="s">
        <v>1098</v>
      </c>
    </row>
    <row r="996" spans="2:2" ht="14.45" customHeight="1" x14ac:dyDescent="0.25">
      <c r="B996" t="s">
        <v>1099</v>
      </c>
    </row>
    <row r="997" spans="2:2" ht="14.45" customHeight="1" x14ac:dyDescent="0.25">
      <c r="B997" t="s">
        <v>1100</v>
      </c>
    </row>
    <row r="998" spans="2:2" ht="14.45" customHeight="1" x14ac:dyDescent="0.25">
      <c r="B998" t="s">
        <v>1101</v>
      </c>
    </row>
    <row r="999" spans="2:2" ht="14.45" customHeight="1" x14ac:dyDescent="0.25">
      <c r="B999" t="s">
        <v>1102</v>
      </c>
    </row>
    <row r="1000" spans="2:2" ht="14.45" customHeight="1" x14ac:dyDescent="0.25">
      <c r="B1000" t="s">
        <v>1103</v>
      </c>
    </row>
    <row r="1001" spans="2:2" ht="14.45" customHeight="1" x14ac:dyDescent="0.25">
      <c r="B1001" t="s">
        <v>1104</v>
      </c>
    </row>
    <row r="1002" spans="2:2" ht="14.45" customHeight="1" x14ac:dyDescent="0.25">
      <c r="B1002" t="s">
        <v>1105</v>
      </c>
    </row>
    <row r="1003" spans="2:2" ht="14.45" customHeight="1" x14ac:dyDescent="0.25">
      <c r="B1003" t="s">
        <v>1106</v>
      </c>
    </row>
    <row r="1004" spans="2:2" ht="14.45" customHeight="1" x14ac:dyDescent="0.25">
      <c r="B1004" t="s">
        <v>1107</v>
      </c>
    </row>
    <row r="1005" spans="2:2" ht="14.45" customHeight="1" x14ac:dyDescent="0.25">
      <c r="B1005" t="s">
        <v>1108</v>
      </c>
    </row>
    <row r="1006" spans="2:2" ht="14.45" customHeight="1" x14ac:dyDescent="0.25">
      <c r="B1006" t="s">
        <v>1109</v>
      </c>
    </row>
    <row r="1007" spans="2:2" ht="14.45" customHeight="1" x14ac:dyDescent="0.25">
      <c r="B1007" t="s">
        <v>1110</v>
      </c>
    </row>
    <row r="1008" spans="2:2" ht="14.45" customHeight="1" x14ac:dyDescent="0.25">
      <c r="B1008" t="s">
        <v>1111</v>
      </c>
    </row>
    <row r="1009" spans="2:2" ht="14.45" customHeight="1" x14ac:dyDescent="0.25">
      <c r="B1009" t="s">
        <v>1112</v>
      </c>
    </row>
    <row r="1010" spans="2:2" ht="14.45" customHeight="1" x14ac:dyDescent="0.25">
      <c r="B1010" t="s">
        <v>1113</v>
      </c>
    </row>
    <row r="1011" spans="2:2" ht="14.45" customHeight="1" x14ac:dyDescent="0.25">
      <c r="B1011" t="s">
        <v>1114</v>
      </c>
    </row>
    <row r="1012" spans="2:2" ht="14.45" customHeight="1" x14ac:dyDescent="0.25">
      <c r="B1012" t="s">
        <v>1115</v>
      </c>
    </row>
    <row r="1013" spans="2:2" ht="14.45" customHeight="1" x14ac:dyDescent="0.25">
      <c r="B1013" t="s">
        <v>1116</v>
      </c>
    </row>
    <row r="1014" spans="2:2" ht="14.45" customHeight="1" x14ac:dyDescent="0.25">
      <c r="B1014" t="s">
        <v>1117</v>
      </c>
    </row>
    <row r="1015" spans="2:2" ht="14.45" customHeight="1" x14ac:dyDescent="0.25">
      <c r="B1015" t="s">
        <v>1118</v>
      </c>
    </row>
    <row r="1016" spans="2:2" ht="14.45" customHeight="1" x14ac:dyDescent="0.25">
      <c r="B1016" t="s">
        <v>1119</v>
      </c>
    </row>
    <row r="1017" spans="2:2" ht="14.45" customHeight="1" x14ac:dyDescent="0.25">
      <c r="B1017" t="s">
        <v>1120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44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1121</v>
      </c>
    </row>
    <row r="2" spans="1:1" ht="14.45" customHeight="1" x14ac:dyDescent="0.25">
      <c r="A2" t="s">
        <v>1122</v>
      </c>
    </row>
    <row r="3" spans="1:1" ht="14.45" customHeight="1" x14ac:dyDescent="0.25">
      <c r="A3" t="s">
        <v>1123</v>
      </c>
    </row>
    <row r="4" spans="1:1" ht="14.45" customHeight="1" x14ac:dyDescent="0.25">
      <c r="A4" t="s">
        <v>1124</v>
      </c>
    </row>
    <row r="5" spans="1:1" ht="14.45" customHeight="1" x14ac:dyDescent="0.25">
      <c r="A5" t="s">
        <v>1125</v>
      </c>
    </row>
    <row r="6" spans="1:1" ht="14.45" customHeight="1" x14ac:dyDescent="0.25">
      <c r="A6" t="s">
        <v>1126</v>
      </c>
    </row>
    <row r="7" spans="1:1" ht="14.45" customHeight="1" x14ac:dyDescent="0.25">
      <c r="A7" t="s">
        <v>1127</v>
      </c>
    </row>
    <row r="8" spans="1:1" ht="14.45" customHeight="1" x14ac:dyDescent="0.25">
      <c r="A8" t="s">
        <v>1128</v>
      </c>
    </row>
    <row r="9" spans="1:1" ht="14.45" customHeight="1" x14ac:dyDescent="0.25">
      <c r="A9" t="s">
        <v>1129</v>
      </c>
    </row>
    <row r="10" spans="1:1" ht="14.45" customHeight="1" x14ac:dyDescent="0.25">
      <c r="A10" t="s">
        <v>1130</v>
      </c>
    </row>
    <row r="11" spans="1:1" ht="14.45" customHeight="1" x14ac:dyDescent="0.25">
      <c r="A11" t="s">
        <v>1131</v>
      </c>
    </row>
    <row r="12" spans="1:1" ht="14.45" customHeight="1" x14ac:dyDescent="0.25">
      <c r="A12" t="s">
        <v>1132</v>
      </c>
    </row>
    <row r="13" spans="1:1" ht="14.45" customHeight="1" x14ac:dyDescent="0.25">
      <c r="A13" t="s">
        <v>1133</v>
      </c>
    </row>
    <row r="14" spans="1:1" ht="14.45" customHeight="1" x14ac:dyDescent="0.25">
      <c r="A14" t="s">
        <v>1134</v>
      </c>
    </row>
    <row r="15" spans="1:1" ht="14.45" customHeight="1" x14ac:dyDescent="0.25">
      <c r="A15" t="s">
        <v>1135</v>
      </c>
    </row>
    <row r="16" spans="1:1" ht="14.45" customHeight="1" x14ac:dyDescent="0.25">
      <c r="A16" t="s">
        <v>1136</v>
      </c>
    </row>
    <row r="17" spans="1:1" ht="14.45" customHeight="1" x14ac:dyDescent="0.25">
      <c r="A17" t="s">
        <v>1137</v>
      </c>
    </row>
    <row r="18" spans="1:1" ht="14.45" customHeight="1" x14ac:dyDescent="0.25">
      <c r="A18" t="s">
        <v>1138</v>
      </c>
    </row>
    <row r="19" spans="1:1" ht="14.45" customHeight="1" x14ac:dyDescent="0.25">
      <c r="A19" t="s">
        <v>1139</v>
      </c>
    </row>
    <row r="20" spans="1:1" ht="14.45" customHeight="1" x14ac:dyDescent="0.25">
      <c r="A20" t="s">
        <v>1140</v>
      </c>
    </row>
    <row r="21" spans="1:1" ht="14.45" customHeight="1" x14ac:dyDescent="0.25">
      <c r="A21" t="s">
        <v>1141</v>
      </c>
    </row>
    <row r="22" spans="1:1" ht="14.45" customHeight="1" x14ac:dyDescent="0.25">
      <c r="A22" t="s">
        <v>1142</v>
      </c>
    </row>
    <row r="23" spans="1:1" ht="14.45" customHeight="1" x14ac:dyDescent="0.25">
      <c r="A23" t="s">
        <v>1143</v>
      </c>
    </row>
    <row r="24" spans="1:1" ht="14.45" customHeight="1" x14ac:dyDescent="0.25">
      <c r="A24" t="s">
        <v>1144</v>
      </c>
    </row>
    <row r="25" spans="1:1" ht="14.45" customHeight="1" x14ac:dyDescent="0.25">
      <c r="A25" t="s">
        <v>1145</v>
      </c>
    </row>
    <row r="26" spans="1:1" ht="14.45" customHeight="1" x14ac:dyDescent="0.25">
      <c r="A26" t="s">
        <v>1146</v>
      </c>
    </row>
    <row r="27" spans="1:1" ht="14.45" customHeight="1" x14ac:dyDescent="0.25">
      <c r="A27" t="s">
        <v>1147</v>
      </c>
    </row>
    <row r="28" spans="1:1" ht="14.45" customHeight="1" x14ac:dyDescent="0.25">
      <c r="A28" t="s">
        <v>1148</v>
      </c>
    </row>
    <row r="29" spans="1:1" ht="14.45" customHeight="1" x14ac:dyDescent="0.25">
      <c r="A29" t="s">
        <v>1149</v>
      </c>
    </row>
    <row r="30" spans="1:1" ht="14.45" customHeight="1" x14ac:dyDescent="0.25">
      <c r="A30" t="s">
        <v>1150</v>
      </c>
    </row>
    <row r="31" spans="1:1" ht="14.45" customHeight="1" x14ac:dyDescent="0.25">
      <c r="A31" t="s">
        <v>1151</v>
      </c>
    </row>
    <row r="32" spans="1:1" ht="14.45" customHeight="1" x14ac:dyDescent="0.25">
      <c r="A32" t="s">
        <v>1152</v>
      </c>
    </row>
    <row r="33" spans="1:1" ht="14.45" customHeight="1" x14ac:dyDescent="0.25">
      <c r="A33" t="s">
        <v>1153</v>
      </c>
    </row>
    <row r="34" spans="1:1" ht="14.45" customHeight="1" x14ac:dyDescent="0.25">
      <c r="A34" t="s">
        <v>1154</v>
      </c>
    </row>
    <row r="35" spans="1:1" ht="14.45" customHeight="1" x14ac:dyDescent="0.25">
      <c r="A35" t="s">
        <v>1155</v>
      </c>
    </row>
    <row r="36" spans="1:1" ht="14.45" customHeight="1" x14ac:dyDescent="0.25">
      <c r="A36" t="s">
        <v>1156</v>
      </c>
    </row>
    <row r="37" spans="1:1" ht="14.45" customHeight="1" x14ac:dyDescent="0.25">
      <c r="A37" t="s">
        <v>1157</v>
      </c>
    </row>
    <row r="38" spans="1:1" ht="14.45" customHeight="1" x14ac:dyDescent="0.25">
      <c r="A38" t="s">
        <v>1158</v>
      </c>
    </row>
    <row r="39" spans="1:1" ht="14.45" customHeight="1" x14ac:dyDescent="0.25">
      <c r="A39" t="s">
        <v>1159</v>
      </c>
    </row>
    <row r="40" spans="1:1" ht="14.45" customHeight="1" x14ac:dyDescent="0.25">
      <c r="A40" t="s">
        <v>1160</v>
      </c>
    </row>
    <row r="41" spans="1:1" ht="14.45" customHeight="1" x14ac:dyDescent="0.25">
      <c r="A41" t="s">
        <v>1161</v>
      </c>
    </row>
    <row r="42" spans="1:1" ht="14.45" customHeight="1" x14ac:dyDescent="0.25">
      <c r="A42" t="s">
        <v>1162</v>
      </c>
    </row>
    <row r="43" spans="1:1" ht="14.45" customHeight="1" x14ac:dyDescent="0.25">
      <c r="A43" t="s">
        <v>1163</v>
      </c>
    </row>
    <row r="44" spans="1:1" ht="14.45" customHeight="1" x14ac:dyDescent="0.25">
      <c r="A44" t="s">
        <v>1164</v>
      </c>
    </row>
    <row r="45" spans="1:1" ht="14.45" customHeight="1" x14ac:dyDescent="0.25">
      <c r="A45" t="s">
        <v>1165</v>
      </c>
    </row>
    <row r="46" spans="1:1" ht="14.45" customHeight="1" x14ac:dyDescent="0.25">
      <c r="A46" t="s">
        <v>1166</v>
      </c>
    </row>
    <row r="47" spans="1:1" ht="14.45" customHeight="1" x14ac:dyDescent="0.25">
      <c r="A47" t="s">
        <v>1167</v>
      </c>
    </row>
    <row r="48" spans="1:1" ht="14.45" customHeight="1" x14ac:dyDescent="0.25">
      <c r="A48" t="s">
        <v>1168</v>
      </c>
    </row>
    <row r="49" spans="1:1" ht="14.45" customHeight="1" x14ac:dyDescent="0.25">
      <c r="A49" t="s">
        <v>1169</v>
      </c>
    </row>
    <row r="50" spans="1:1" ht="14.45" customHeight="1" x14ac:dyDescent="0.25">
      <c r="A50" t="s">
        <v>1170</v>
      </c>
    </row>
    <row r="51" spans="1:1" ht="14.45" customHeight="1" x14ac:dyDescent="0.25">
      <c r="A51" t="s">
        <v>1171</v>
      </c>
    </row>
    <row r="52" spans="1:1" ht="14.45" customHeight="1" x14ac:dyDescent="0.25">
      <c r="A52" t="s">
        <v>1172</v>
      </c>
    </row>
    <row r="53" spans="1:1" ht="14.45" customHeight="1" x14ac:dyDescent="0.25">
      <c r="A53" t="s">
        <v>1173</v>
      </c>
    </row>
    <row r="54" spans="1:1" ht="14.45" customHeight="1" x14ac:dyDescent="0.25">
      <c r="A54" t="s">
        <v>1174</v>
      </c>
    </row>
    <row r="55" spans="1:1" ht="14.45" customHeight="1" x14ac:dyDescent="0.25">
      <c r="A55" t="s">
        <v>1175</v>
      </c>
    </row>
    <row r="56" spans="1:1" ht="14.45" customHeight="1" x14ac:dyDescent="0.25">
      <c r="A56" t="s">
        <v>1176</v>
      </c>
    </row>
    <row r="57" spans="1:1" ht="14.45" customHeight="1" x14ac:dyDescent="0.25">
      <c r="A57" t="s">
        <v>1177</v>
      </c>
    </row>
    <row r="58" spans="1:1" ht="14.45" customHeight="1" x14ac:dyDescent="0.25">
      <c r="A58" t="s">
        <v>1178</v>
      </c>
    </row>
    <row r="59" spans="1:1" ht="14.45" customHeight="1" x14ac:dyDescent="0.25">
      <c r="A59" t="s">
        <v>1179</v>
      </c>
    </row>
    <row r="60" spans="1:1" ht="14.45" customHeight="1" x14ac:dyDescent="0.25">
      <c r="A60" t="s">
        <v>1180</v>
      </c>
    </row>
    <row r="61" spans="1:1" ht="14.45" customHeight="1" x14ac:dyDescent="0.25">
      <c r="A61" t="s">
        <v>1181</v>
      </c>
    </row>
    <row r="62" spans="1:1" ht="14.45" customHeight="1" x14ac:dyDescent="0.25">
      <c r="A62" t="s">
        <v>1182</v>
      </c>
    </row>
    <row r="63" spans="1:1" ht="14.45" customHeight="1" x14ac:dyDescent="0.25">
      <c r="A63" t="s">
        <v>1183</v>
      </c>
    </row>
    <row r="64" spans="1:1" ht="14.45" customHeight="1" x14ac:dyDescent="0.25">
      <c r="A64" t="s">
        <v>1184</v>
      </c>
    </row>
    <row r="65" spans="1:1" ht="14.45" customHeight="1" x14ac:dyDescent="0.25">
      <c r="A65" t="s">
        <v>1185</v>
      </c>
    </row>
    <row r="66" spans="1:1" ht="14.45" customHeight="1" x14ac:dyDescent="0.25">
      <c r="A66" t="s">
        <v>1186</v>
      </c>
    </row>
    <row r="67" spans="1:1" ht="14.45" customHeight="1" x14ac:dyDescent="0.25">
      <c r="A67" t="s">
        <v>1187</v>
      </c>
    </row>
    <row r="68" spans="1:1" ht="14.45" customHeight="1" x14ac:dyDescent="0.25">
      <c r="A68" t="s">
        <v>1188</v>
      </c>
    </row>
    <row r="69" spans="1:1" ht="14.45" customHeight="1" x14ac:dyDescent="0.25">
      <c r="A69" t="s">
        <v>1189</v>
      </c>
    </row>
    <row r="70" spans="1:1" ht="14.45" customHeight="1" x14ac:dyDescent="0.25">
      <c r="A70" t="s">
        <v>1190</v>
      </c>
    </row>
    <row r="71" spans="1:1" ht="14.45" customHeight="1" x14ac:dyDescent="0.25">
      <c r="A71" t="s">
        <v>1191</v>
      </c>
    </row>
    <row r="72" spans="1:1" ht="14.45" customHeight="1" x14ac:dyDescent="0.25">
      <c r="A72" t="s">
        <v>1192</v>
      </c>
    </row>
    <row r="73" spans="1:1" ht="14.45" customHeight="1" x14ac:dyDescent="0.25">
      <c r="A73" t="s">
        <v>1193</v>
      </c>
    </row>
    <row r="74" spans="1:1" ht="14.45" customHeight="1" x14ac:dyDescent="0.25">
      <c r="A74" t="s">
        <v>1194</v>
      </c>
    </row>
    <row r="75" spans="1:1" ht="14.45" customHeight="1" x14ac:dyDescent="0.25">
      <c r="A75" t="s">
        <v>1195</v>
      </c>
    </row>
    <row r="76" spans="1:1" ht="14.45" customHeight="1" x14ac:dyDescent="0.25">
      <c r="A76" t="s">
        <v>1196</v>
      </c>
    </row>
    <row r="77" spans="1:1" ht="14.45" customHeight="1" x14ac:dyDescent="0.25">
      <c r="A77" t="s">
        <v>1197</v>
      </c>
    </row>
    <row r="78" spans="1:1" ht="14.45" customHeight="1" x14ac:dyDescent="0.25">
      <c r="A78" t="s">
        <v>1198</v>
      </c>
    </row>
    <row r="79" spans="1:1" ht="14.45" customHeight="1" x14ac:dyDescent="0.25">
      <c r="A79" t="s">
        <v>1199</v>
      </c>
    </row>
    <row r="80" spans="1:1" ht="14.45" customHeight="1" x14ac:dyDescent="0.25">
      <c r="A80" t="s">
        <v>1200</v>
      </c>
    </row>
    <row r="81" spans="1:1" ht="14.45" customHeight="1" x14ac:dyDescent="0.25">
      <c r="A81" t="s">
        <v>1201</v>
      </c>
    </row>
    <row r="82" spans="1:1" ht="14.45" customHeight="1" x14ac:dyDescent="0.25">
      <c r="A82" t="s">
        <v>1202</v>
      </c>
    </row>
    <row r="83" spans="1:1" ht="14.45" customHeight="1" x14ac:dyDescent="0.25">
      <c r="A83" t="s">
        <v>1203</v>
      </c>
    </row>
    <row r="84" spans="1:1" ht="14.45" customHeight="1" x14ac:dyDescent="0.25">
      <c r="A84" t="s">
        <v>1204</v>
      </c>
    </row>
    <row r="85" spans="1:1" ht="14.45" customHeight="1" x14ac:dyDescent="0.25">
      <c r="A85" t="s">
        <v>1205</v>
      </c>
    </row>
    <row r="86" spans="1:1" ht="14.45" customHeight="1" x14ac:dyDescent="0.25">
      <c r="A86" t="s">
        <v>1206</v>
      </c>
    </row>
    <row r="87" spans="1:1" ht="14.45" customHeight="1" x14ac:dyDescent="0.25">
      <c r="A87" t="s">
        <v>1207</v>
      </c>
    </row>
    <row r="88" spans="1:1" ht="14.45" customHeight="1" x14ac:dyDescent="0.25">
      <c r="A88" t="s">
        <v>1208</v>
      </c>
    </row>
    <row r="89" spans="1:1" ht="14.45" customHeight="1" x14ac:dyDescent="0.25">
      <c r="A89" t="s">
        <v>1209</v>
      </c>
    </row>
    <row r="90" spans="1:1" ht="14.45" customHeight="1" x14ac:dyDescent="0.25">
      <c r="A90" t="s">
        <v>1210</v>
      </c>
    </row>
    <row r="91" spans="1:1" ht="14.45" customHeight="1" x14ac:dyDescent="0.25">
      <c r="A91" t="s">
        <v>1211</v>
      </c>
    </row>
    <row r="92" spans="1:1" ht="14.45" customHeight="1" x14ac:dyDescent="0.25">
      <c r="A92" t="s">
        <v>1212</v>
      </c>
    </row>
    <row r="93" spans="1:1" ht="14.45" customHeight="1" x14ac:dyDescent="0.25">
      <c r="A93" t="s">
        <v>1213</v>
      </c>
    </row>
    <row r="94" spans="1:1" ht="14.45" customHeight="1" x14ac:dyDescent="0.25">
      <c r="A94" t="s">
        <v>1214</v>
      </c>
    </row>
    <row r="95" spans="1:1" ht="14.45" customHeight="1" x14ac:dyDescent="0.25">
      <c r="A95" t="s">
        <v>1215</v>
      </c>
    </row>
    <row r="96" spans="1:1" ht="14.45" customHeight="1" x14ac:dyDescent="0.25">
      <c r="A96" t="s">
        <v>1216</v>
      </c>
    </row>
    <row r="97" spans="1:1" ht="14.45" customHeight="1" x14ac:dyDescent="0.25">
      <c r="A97" t="s">
        <v>1217</v>
      </c>
    </row>
    <row r="98" spans="1:1" ht="14.45" customHeight="1" x14ac:dyDescent="0.25">
      <c r="A98" t="s">
        <v>1218</v>
      </c>
    </row>
    <row r="99" spans="1:1" ht="14.45" customHeight="1" x14ac:dyDescent="0.25">
      <c r="A99" t="s">
        <v>1219</v>
      </c>
    </row>
    <row r="100" spans="1:1" ht="14.45" customHeight="1" x14ac:dyDescent="0.25">
      <c r="A100" t="s">
        <v>1220</v>
      </c>
    </row>
    <row r="101" spans="1:1" ht="14.45" customHeight="1" x14ac:dyDescent="0.25">
      <c r="A101" t="s">
        <v>1221</v>
      </c>
    </row>
    <row r="102" spans="1:1" ht="14.45" customHeight="1" x14ac:dyDescent="0.25">
      <c r="A102" t="s">
        <v>1222</v>
      </c>
    </row>
    <row r="103" spans="1:1" ht="14.45" customHeight="1" x14ac:dyDescent="0.25">
      <c r="A103" t="s">
        <v>1223</v>
      </c>
    </row>
    <row r="104" spans="1:1" ht="14.45" customHeight="1" x14ac:dyDescent="0.25">
      <c r="A104" t="s">
        <v>1224</v>
      </c>
    </row>
    <row r="105" spans="1:1" ht="14.45" customHeight="1" x14ac:dyDescent="0.25">
      <c r="A105" t="s">
        <v>1225</v>
      </c>
    </row>
    <row r="106" spans="1:1" ht="14.45" customHeight="1" x14ac:dyDescent="0.25">
      <c r="A106" t="s">
        <v>1226</v>
      </c>
    </row>
    <row r="107" spans="1:1" ht="14.45" customHeight="1" x14ac:dyDescent="0.25">
      <c r="A107" t="s">
        <v>1227</v>
      </c>
    </row>
    <row r="108" spans="1:1" ht="14.45" customHeight="1" x14ac:dyDescent="0.25">
      <c r="A108" t="s">
        <v>1228</v>
      </c>
    </row>
    <row r="109" spans="1:1" ht="14.45" customHeight="1" x14ac:dyDescent="0.25">
      <c r="A109" t="s">
        <v>1229</v>
      </c>
    </row>
    <row r="110" spans="1:1" ht="14.45" customHeight="1" x14ac:dyDescent="0.25">
      <c r="A110" t="s">
        <v>1230</v>
      </c>
    </row>
    <row r="111" spans="1:1" ht="14.45" customHeight="1" x14ac:dyDescent="0.25">
      <c r="A111" t="s">
        <v>1231</v>
      </c>
    </row>
    <row r="112" spans="1:1" ht="14.45" customHeight="1" x14ac:dyDescent="0.25">
      <c r="A112" t="s">
        <v>1232</v>
      </c>
    </row>
    <row r="113" spans="1:1" ht="14.45" customHeight="1" x14ac:dyDescent="0.25">
      <c r="A113" t="s">
        <v>1233</v>
      </c>
    </row>
    <row r="114" spans="1:1" ht="14.45" customHeight="1" x14ac:dyDescent="0.25">
      <c r="A114" t="s">
        <v>1234</v>
      </c>
    </row>
    <row r="115" spans="1:1" ht="14.45" customHeight="1" x14ac:dyDescent="0.25">
      <c r="A115" t="s">
        <v>1235</v>
      </c>
    </row>
    <row r="116" spans="1:1" ht="14.45" customHeight="1" x14ac:dyDescent="0.25">
      <c r="A116" t="s">
        <v>1236</v>
      </c>
    </row>
    <row r="117" spans="1:1" ht="14.45" customHeight="1" x14ac:dyDescent="0.25">
      <c r="A117" t="s">
        <v>1237</v>
      </c>
    </row>
    <row r="118" spans="1:1" ht="14.45" customHeight="1" x14ac:dyDescent="0.25">
      <c r="A118" t="s">
        <v>1238</v>
      </c>
    </row>
    <row r="119" spans="1:1" ht="14.45" customHeight="1" x14ac:dyDescent="0.25">
      <c r="A119" t="s">
        <v>1239</v>
      </c>
    </row>
    <row r="120" spans="1:1" ht="14.45" customHeight="1" x14ac:dyDescent="0.25">
      <c r="A120" t="s">
        <v>1240</v>
      </c>
    </row>
    <row r="121" spans="1:1" ht="14.45" customHeight="1" x14ac:dyDescent="0.25">
      <c r="A121" t="s">
        <v>1241</v>
      </c>
    </row>
    <row r="122" spans="1:1" ht="14.45" customHeight="1" x14ac:dyDescent="0.25">
      <c r="A122" t="s">
        <v>1242</v>
      </c>
    </row>
    <row r="123" spans="1:1" ht="14.45" customHeight="1" x14ac:dyDescent="0.25">
      <c r="A123" t="s">
        <v>1243</v>
      </c>
    </row>
    <row r="124" spans="1:1" ht="14.45" customHeight="1" x14ac:dyDescent="0.25">
      <c r="A124" t="s">
        <v>1244</v>
      </c>
    </row>
    <row r="125" spans="1:1" ht="14.45" customHeight="1" x14ac:dyDescent="0.25">
      <c r="A125" t="s">
        <v>1245</v>
      </c>
    </row>
    <row r="126" spans="1:1" ht="14.45" customHeight="1" x14ac:dyDescent="0.25">
      <c r="A126" t="s">
        <v>1246</v>
      </c>
    </row>
    <row r="127" spans="1:1" ht="14.45" customHeight="1" x14ac:dyDescent="0.25">
      <c r="A127" t="s">
        <v>1247</v>
      </c>
    </row>
    <row r="128" spans="1:1" ht="14.45" customHeight="1" x14ac:dyDescent="0.25">
      <c r="A128" t="s">
        <v>1248</v>
      </c>
    </row>
    <row r="129" spans="1:1" ht="14.45" customHeight="1" x14ac:dyDescent="0.25">
      <c r="A129" t="s">
        <v>1249</v>
      </c>
    </row>
    <row r="130" spans="1:1" ht="14.45" customHeight="1" x14ac:dyDescent="0.25">
      <c r="A130" t="s">
        <v>1250</v>
      </c>
    </row>
    <row r="131" spans="1:1" ht="14.45" customHeight="1" x14ac:dyDescent="0.25">
      <c r="A131" t="s">
        <v>1251</v>
      </c>
    </row>
    <row r="132" spans="1:1" ht="14.45" customHeight="1" x14ac:dyDescent="0.25">
      <c r="A132" t="s">
        <v>1252</v>
      </c>
    </row>
    <row r="133" spans="1:1" ht="14.45" customHeight="1" x14ac:dyDescent="0.25">
      <c r="A133" t="s">
        <v>1253</v>
      </c>
    </row>
    <row r="134" spans="1:1" ht="14.45" customHeight="1" x14ac:dyDescent="0.25">
      <c r="A134" t="s">
        <v>1254</v>
      </c>
    </row>
    <row r="135" spans="1:1" ht="14.45" customHeight="1" x14ac:dyDescent="0.25">
      <c r="A135" t="s">
        <v>1255</v>
      </c>
    </row>
    <row r="136" spans="1:1" ht="14.45" customHeight="1" x14ac:dyDescent="0.25">
      <c r="A136" t="s">
        <v>1256</v>
      </c>
    </row>
    <row r="137" spans="1:1" ht="14.45" customHeight="1" x14ac:dyDescent="0.25">
      <c r="A137" t="s">
        <v>1257</v>
      </c>
    </row>
    <row r="138" spans="1:1" ht="14.45" customHeight="1" x14ac:dyDescent="0.25">
      <c r="A138" t="s">
        <v>1258</v>
      </c>
    </row>
    <row r="139" spans="1:1" ht="14.45" customHeight="1" x14ac:dyDescent="0.25">
      <c r="A139" t="s">
        <v>1259</v>
      </c>
    </row>
    <row r="140" spans="1:1" ht="14.45" customHeight="1" x14ac:dyDescent="0.25">
      <c r="A140" t="s">
        <v>1260</v>
      </c>
    </row>
    <row r="141" spans="1:1" ht="14.45" customHeight="1" x14ac:dyDescent="0.25">
      <c r="A141" t="s">
        <v>1261</v>
      </c>
    </row>
    <row r="142" spans="1:1" ht="14.45" customHeight="1" x14ac:dyDescent="0.25">
      <c r="A142" t="s">
        <v>1262</v>
      </c>
    </row>
    <row r="143" spans="1:1" ht="14.45" customHeight="1" x14ac:dyDescent="0.25">
      <c r="A143" t="s">
        <v>1263</v>
      </c>
    </row>
    <row r="144" spans="1:1" ht="14.45" customHeight="1" x14ac:dyDescent="0.25">
      <c r="A144" t="s">
        <v>1264</v>
      </c>
    </row>
    <row r="145" spans="1:1" ht="14.45" customHeight="1" x14ac:dyDescent="0.25">
      <c r="A145" t="s">
        <v>1265</v>
      </c>
    </row>
    <row r="146" spans="1:1" ht="14.45" customHeight="1" x14ac:dyDescent="0.25">
      <c r="A146" t="s">
        <v>1266</v>
      </c>
    </row>
    <row r="147" spans="1:1" ht="14.45" customHeight="1" x14ac:dyDescent="0.25">
      <c r="A147" t="s">
        <v>1267</v>
      </c>
    </row>
    <row r="148" spans="1:1" ht="14.45" customHeight="1" x14ac:dyDescent="0.25">
      <c r="A148" t="s">
        <v>1268</v>
      </c>
    </row>
    <row r="149" spans="1:1" ht="14.45" customHeight="1" x14ac:dyDescent="0.25">
      <c r="A149" t="s">
        <v>1269</v>
      </c>
    </row>
    <row r="150" spans="1:1" ht="14.45" customHeight="1" x14ac:dyDescent="0.25">
      <c r="A150" t="s">
        <v>1270</v>
      </c>
    </row>
    <row r="151" spans="1:1" ht="14.45" customHeight="1" x14ac:dyDescent="0.25">
      <c r="A151" t="s">
        <v>1271</v>
      </c>
    </row>
    <row r="152" spans="1:1" ht="14.45" customHeight="1" x14ac:dyDescent="0.25">
      <c r="A152" t="s">
        <v>1272</v>
      </c>
    </row>
    <row r="153" spans="1:1" ht="14.45" customHeight="1" x14ac:dyDescent="0.25">
      <c r="A153" t="s">
        <v>1273</v>
      </c>
    </row>
    <row r="154" spans="1:1" ht="14.45" customHeight="1" x14ac:dyDescent="0.25">
      <c r="A154" t="s">
        <v>1274</v>
      </c>
    </row>
    <row r="155" spans="1:1" ht="14.45" customHeight="1" x14ac:dyDescent="0.25">
      <c r="A155" t="s">
        <v>1275</v>
      </c>
    </row>
    <row r="156" spans="1:1" ht="14.45" customHeight="1" x14ac:dyDescent="0.25">
      <c r="A156" t="s">
        <v>1276</v>
      </c>
    </row>
    <row r="157" spans="1:1" ht="14.45" customHeight="1" x14ac:dyDescent="0.25">
      <c r="A157" t="s">
        <v>1277</v>
      </c>
    </row>
    <row r="158" spans="1:1" ht="14.45" customHeight="1" x14ac:dyDescent="0.25">
      <c r="A158" t="s">
        <v>1278</v>
      </c>
    </row>
    <row r="159" spans="1:1" ht="14.45" customHeight="1" x14ac:dyDescent="0.25">
      <c r="A159" t="s">
        <v>1279</v>
      </c>
    </row>
    <row r="160" spans="1:1" ht="14.45" customHeight="1" x14ac:dyDescent="0.25">
      <c r="A160" t="s">
        <v>1280</v>
      </c>
    </row>
    <row r="161" spans="1:1" ht="14.45" customHeight="1" x14ac:dyDescent="0.25">
      <c r="A161" t="s">
        <v>1281</v>
      </c>
    </row>
    <row r="162" spans="1:1" ht="14.45" customHeight="1" x14ac:dyDescent="0.25">
      <c r="A162" t="s">
        <v>1282</v>
      </c>
    </row>
    <row r="163" spans="1:1" ht="14.45" customHeight="1" x14ac:dyDescent="0.25">
      <c r="A163" t="s">
        <v>1283</v>
      </c>
    </row>
    <row r="164" spans="1:1" ht="14.45" customHeight="1" x14ac:dyDescent="0.25">
      <c r="A164" t="s">
        <v>1284</v>
      </c>
    </row>
    <row r="165" spans="1:1" ht="14.45" customHeight="1" x14ac:dyDescent="0.25">
      <c r="A165" t="s">
        <v>1285</v>
      </c>
    </row>
    <row r="166" spans="1:1" ht="14.45" customHeight="1" x14ac:dyDescent="0.25">
      <c r="A166" t="s">
        <v>1286</v>
      </c>
    </row>
    <row r="167" spans="1:1" ht="14.45" customHeight="1" x14ac:dyDescent="0.25">
      <c r="A167" t="s">
        <v>1287</v>
      </c>
    </row>
    <row r="168" spans="1:1" ht="14.45" customHeight="1" x14ac:dyDescent="0.25">
      <c r="A168" t="s">
        <v>1288</v>
      </c>
    </row>
    <row r="169" spans="1:1" ht="14.45" customHeight="1" x14ac:dyDescent="0.25">
      <c r="A169" t="s">
        <v>1289</v>
      </c>
    </row>
    <row r="170" spans="1:1" ht="14.45" customHeight="1" x14ac:dyDescent="0.25">
      <c r="A170" t="s">
        <v>1290</v>
      </c>
    </row>
    <row r="171" spans="1:1" ht="14.45" customHeight="1" x14ac:dyDescent="0.25">
      <c r="A171" t="s">
        <v>1291</v>
      </c>
    </row>
    <row r="172" spans="1:1" ht="14.45" customHeight="1" x14ac:dyDescent="0.25">
      <c r="A172" t="s">
        <v>1292</v>
      </c>
    </row>
    <row r="173" spans="1:1" ht="14.45" customHeight="1" x14ac:dyDescent="0.25">
      <c r="A173" t="s">
        <v>1293</v>
      </c>
    </row>
    <row r="174" spans="1:1" ht="14.45" customHeight="1" x14ac:dyDescent="0.25">
      <c r="A174" t="s">
        <v>1294</v>
      </c>
    </row>
    <row r="175" spans="1:1" ht="14.45" customHeight="1" x14ac:dyDescent="0.25">
      <c r="A175" t="s">
        <v>1295</v>
      </c>
    </row>
    <row r="176" spans="1:1" ht="14.45" customHeight="1" x14ac:dyDescent="0.25">
      <c r="A176" t="s">
        <v>1296</v>
      </c>
    </row>
    <row r="177" spans="1:1" ht="14.45" customHeight="1" x14ac:dyDescent="0.25">
      <c r="A177" t="s">
        <v>1297</v>
      </c>
    </row>
    <row r="178" spans="1:1" ht="14.45" customHeight="1" x14ac:dyDescent="0.25">
      <c r="A178" t="s">
        <v>1298</v>
      </c>
    </row>
    <row r="179" spans="1:1" ht="14.45" customHeight="1" x14ac:dyDescent="0.25">
      <c r="A179" t="s">
        <v>1299</v>
      </c>
    </row>
    <row r="180" spans="1:1" ht="14.45" customHeight="1" x14ac:dyDescent="0.25">
      <c r="A180" t="s">
        <v>1300</v>
      </c>
    </row>
    <row r="181" spans="1:1" ht="14.45" customHeight="1" x14ac:dyDescent="0.25">
      <c r="A181" t="s">
        <v>1301</v>
      </c>
    </row>
    <row r="182" spans="1:1" ht="14.45" customHeight="1" x14ac:dyDescent="0.25">
      <c r="A182" t="s">
        <v>1302</v>
      </c>
    </row>
    <row r="183" spans="1:1" ht="14.45" customHeight="1" x14ac:dyDescent="0.25">
      <c r="A183" t="s">
        <v>1303</v>
      </c>
    </row>
    <row r="184" spans="1:1" ht="14.45" customHeight="1" x14ac:dyDescent="0.25">
      <c r="A184" t="s">
        <v>1304</v>
      </c>
    </row>
    <row r="185" spans="1:1" ht="14.45" customHeight="1" x14ac:dyDescent="0.25">
      <c r="A185" t="s">
        <v>1305</v>
      </c>
    </row>
    <row r="186" spans="1:1" ht="14.45" customHeight="1" x14ac:dyDescent="0.25">
      <c r="A186" t="s">
        <v>1306</v>
      </c>
    </row>
    <row r="187" spans="1:1" ht="14.45" customHeight="1" x14ac:dyDescent="0.25">
      <c r="A187" t="s">
        <v>1307</v>
      </c>
    </row>
    <row r="188" spans="1:1" ht="14.45" customHeight="1" x14ac:dyDescent="0.25">
      <c r="A188" t="s">
        <v>1308</v>
      </c>
    </row>
    <row r="189" spans="1:1" ht="14.45" customHeight="1" x14ac:dyDescent="0.25">
      <c r="A189" t="s">
        <v>1309</v>
      </c>
    </row>
    <row r="190" spans="1:1" ht="14.45" customHeight="1" x14ac:dyDescent="0.25">
      <c r="A190" t="s">
        <v>1310</v>
      </c>
    </row>
    <row r="191" spans="1:1" ht="14.45" customHeight="1" x14ac:dyDescent="0.25">
      <c r="A191" t="s">
        <v>1311</v>
      </c>
    </row>
    <row r="192" spans="1:1" ht="14.45" customHeight="1" x14ac:dyDescent="0.25">
      <c r="A192" t="s">
        <v>1312</v>
      </c>
    </row>
    <row r="193" spans="1:1" ht="14.45" customHeight="1" x14ac:dyDescent="0.25">
      <c r="A193" t="s">
        <v>1313</v>
      </c>
    </row>
    <row r="194" spans="1:1" ht="14.45" customHeight="1" x14ac:dyDescent="0.25">
      <c r="A194" t="s">
        <v>1314</v>
      </c>
    </row>
    <row r="195" spans="1:1" ht="14.45" customHeight="1" x14ac:dyDescent="0.25">
      <c r="A195" t="s">
        <v>1315</v>
      </c>
    </row>
    <row r="196" spans="1:1" ht="14.45" customHeight="1" x14ac:dyDescent="0.25">
      <c r="A196" t="s">
        <v>1316</v>
      </c>
    </row>
    <row r="197" spans="1:1" ht="14.45" customHeight="1" x14ac:dyDescent="0.25">
      <c r="A197" t="s">
        <v>1317</v>
      </c>
    </row>
    <row r="198" spans="1:1" ht="14.45" customHeight="1" x14ac:dyDescent="0.25">
      <c r="A198" t="s">
        <v>1318</v>
      </c>
    </row>
    <row r="199" spans="1:1" ht="14.45" customHeight="1" x14ac:dyDescent="0.25">
      <c r="A199" t="s">
        <v>1319</v>
      </c>
    </row>
    <row r="200" spans="1:1" ht="14.45" customHeight="1" x14ac:dyDescent="0.25">
      <c r="A200" t="s">
        <v>1320</v>
      </c>
    </row>
    <row r="201" spans="1:1" ht="14.45" customHeight="1" x14ac:dyDescent="0.25">
      <c r="A201" t="s">
        <v>1321</v>
      </c>
    </row>
    <row r="202" spans="1:1" ht="14.45" customHeight="1" x14ac:dyDescent="0.25">
      <c r="A202" t="s">
        <v>1322</v>
      </c>
    </row>
    <row r="203" spans="1:1" ht="14.45" customHeight="1" x14ac:dyDescent="0.25">
      <c r="A203" t="s">
        <v>1323</v>
      </c>
    </row>
    <row r="204" spans="1:1" ht="14.45" customHeight="1" x14ac:dyDescent="0.25">
      <c r="A204" t="s">
        <v>1324</v>
      </c>
    </row>
    <row r="205" spans="1:1" ht="14.45" customHeight="1" x14ac:dyDescent="0.25">
      <c r="A205" t="s">
        <v>1325</v>
      </c>
    </row>
    <row r="206" spans="1:1" ht="14.45" customHeight="1" x14ac:dyDescent="0.25">
      <c r="A206" t="s">
        <v>1326</v>
      </c>
    </row>
    <row r="207" spans="1:1" ht="14.45" customHeight="1" x14ac:dyDescent="0.25">
      <c r="A207" t="s">
        <v>1327</v>
      </c>
    </row>
    <row r="208" spans="1:1" ht="14.45" customHeight="1" x14ac:dyDescent="0.25">
      <c r="A208" t="s">
        <v>1328</v>
      </c>
    </row>
    <row r="209" spans="1:1" ht="14.45" customHeight="1" x14ac:dyDescent="0.25">
      <c r="A209" t="s">
        <v>1329</v>
      </c>
    </row>
    <row r="210" spans="1:1" ht="14.45" customHeight="1" x14ac:dyDescent="0.25">
      <c r="A210" t="s">
        <v>1330</v>
      </c>
    </row>
    <row r="211" spans="1:1" ht="14.45" customHeight="1" x14ac:dyDescent="0.25">
      <c r="A211" t="s">
        <v>1331</v>
      </c>
    </row>
    <row r="212" spans="1:1" ht="14.45" customHeight="1" x14ac:dyDescent="0.25">
      <c r="A212" t="s">
        <v>1332</v>
      </c>
    </row>
    <row r="213" spans="1:1" ht="14.45" customHeight="1" x14ac:dyDescent="0.25">
      <c r="A213" t="s">
        <v>1333</v>
      </c>
    </row>
    <row r="214" spans="1:1" ht="14.45" customHeight="1" x14ac:dyDescent="0.25">
      <c r="A214" t="s">
        <v>1334</v>
      </c>
    </row>
    <row r="215" spans="1:1" ht="14.45" customHeight="1" x14ac:dyDescent="0.25">
      <c r="A215" t="s">
        <v>1335</v>
      </c>
    </row>
    <row r="216" spans="1:1" ht="14.45" customHeight="1" x14ac:dyDescent="0.25">
      <c r="A216" t="s">
        <v>1336</v>
      </c>
    </row>
    <row r="217" spans="1:1" ht="14.45" customHeight="1" x14ac:dyDescent="0.25">
      <c r="A217" t="s">
        <v>1337</v>
      </c>
    </row>
    <row r="218" spans="1:1" ht="14.45" customHeight="1" x14ac:dyDescent="0.25">
      <c r="A218" t="s">
        <v>1338</v>
      </c>
    </row>
    <row r="219" spans="1:1" ht="14.45" customHeight="1" x14ac:dyDescent="0.25">
      <c r="A219" t="s">
        <v>1339</v>
      </c>
    </row>
    <row r="220" spans="1:1" ht="14.45" customHeight="1" x14ac:dyDescent="0.25">
      <c r="A220" t="s">
        <v>1340</v>
      </c>
    </row>
    <row r="221" spans="1:1" ht="14.45" customHeight="1" x14ac:dyDescent="0.25">
      <c r="A221" t="s">
        <v>1341</v>
      </c>
    </row>
    <row r="222" spans="1:1" ht="14.45" customHeight="1" x14ac:dyDescent="0.25">
      <c r="A222" t="s">
        <v>1342</v>
      </c>
    </row>
    <row r="223" spans="1:1" ht="14.45" customHeight="1" x14ac:dyDescent="0.25">
      <c r="A223" t="s">
        <v>1343</v>
      </c>
    </row>
    <row r="224" spans="1:1" ht="14.45" customHeight="1" x14ac:dyDescent="0.25">
      <c r="A224" t="s">
        <v>1344</v>
      </c>
    </row>
    <row r="225" spans="1:1" ht="14.45" customHeight="1" x14ac:dyDescent="0.25">
      <c r="A225" t="s">
        <v>1345</v>
      </c>
    </row>
    <row r="226" spans="1:1" ht="14.45" customHeight="1" x14ac:dyDescent="0.25">
      <c r="A226" t="s">
        <v>1346</v>
      </c>
    </row>
    <row r="227" spans="1:1" ht="14.45" customHeight="1" x14ac:dyDescent="0.25">
      <c r="A227" t="s">
        <v>1347</v>
      </c>
    </row>
    <row r="228" spans="1:1" ht="14.45" customHeight="1" x14ac:dyDescent="0.25">
      <c r="A228" t="s">
        <v>1348</v>
      </c>
    </row>
    <row r="229" spans="1:1" ht="14.45" customHeight="1" x14ac:dyDescent="0.25">
      <c r="A229" t="s">
        <v>1349</v>
      </c>
    </row>
    <row r="230" spans="1:1" ht="14.45" customHeight="1" x14ac:dyDescent="0.25">
      <c r="A230" t="s">
        <v>1350</v>
      </c>
    </row>
    <row r="231" spans="1:1" ht="14.45" customHeight="1" x14ac:dyDescent="0.25">
      <c r="A231" t="s">
        <v>1351</v>
      </c>
    </row>
    <row r="232" spans="1:1" ht="14.45" customHeight="1" x14ac:dyDescent="0.25">
      <c r="A232" t="s">
        <v>1352</v>
      </c>
    </row>
    <row r="233" spans="1:1" ht="14.45" customHeight="1" x14ac:dyDescent="0.25">
      <c r="A233" t="s">
        <v>1353</v>
      </c>
    </row>
    <row r="234" spans="1:1" ht="14.45" customHeight="1" x14ac:dyDescent="0.25">
      <c r="A234" t="s">
        <v>1354</v>
      </c>
    </row>
    <row r="235" spans="1:1" ht="14.45" customHeight="1" x14ac:dyDescent="0.25">
      <c r="A235" t="s">
        <v>1355</v>
      </c>
    </row>
    <row r="236" spans="1:1" ht="14.45" customHeight="1" x14ac:dyDescent="0.25">
      <c r="A236" t="s">
        <v>1356</v>
      </c>
    </row>
    <row r="237" spans="1:1" ht="14.45" customHeight="1" x14ac:dyDescent="0.25">
      <c r="A237" t="s">
        <v>1357</v>
      </c>
    </row>
    <row r="238" spans="1:1" ht="14.45" customHeight="1" x14ac:dyDescent="0.25">
      <c r="A238" t="s">
        <v>1358</v>
      </c>
    </row>
    <row r="239" spans="1:1" ht="14.45" customHeight="1" x14ac:dyDescent="0.25">
      <c r="A239" t="s">
        <v>1359</v>
      </c>
    </row>
    <row r="240" spans="1:1" ht="14.45" customHeight="1" x14ac:dyDescent="0.25">
      <c r="A240" t="s">
        <v>1360</v>
      </c>
    </row>
    <row r="241" spans="1:1" ht="14.45" customHeight="1" x14ac:dyDescent="0.25">
      <c r="A241" t="s">
        <v>1361</v>
      </c>
    </row>
    <row r="242" spans="1:1" ht="14.45" customHeight="1" x14ac:dyDescent="0.25">
      <c r="A242" t="s">
        <v>1362</v>
      </c>
    </row>
    <row r="243" spans="1:1" ht="14.45" customHeight="1" x14ac:dyDescent="0.25">
      <c r="A243" t="s">
        <v>1363</v>
      </c>
    </row>
    <row r="244" spans="1:1" ht="14.45" customHeight="1" x14ac:dyDescent="0.25">
      <c r="A244" t="s">
        <v>1364</v>
      </c>
    </row>
    <row r="245" spans="1:1" ht="14.45" customHeight="1" x14ac:dyDescent="0.25">
      <c r="A245" t="s">
        <v>1365</v>
      </c>
    </row>
    <row r="246" spans="1:1" ht="14.45" customHeight="1" x14ac:dyDescent="0.25">
      <c r="A246" t="s">
        <v>1366</v>
      </c>
    </row>
    <row r="247" spans="1:1" ht="14.45" customHeight="1" x14ac:dyDescent="0.25">
      <c r="A247" t="s">
        <v>1367</v>
      </c>
    </row>
    <row r="248" spans="1:1" ht="14.45" customHeight="1" x14ac:dyDescent="0.25">
      <c r="A248" t="s">
        <v>1368</v>
      </c>
    </row>
    <row r="249" spans="1:1" ht="14.45" customHeight="1" x14ac:dyDescent="0.25">
      <c r="A249" t="s">
        <v>1369</v>
      </c>
    </row>
    <row r="250" spans="1:1" ht="14.45" customHeight="1" x14ac:dyDescent="0.25">
      <c r="A250" t="s">
        <v>1370</v>
      </c>
    </row>
    <row r="251" spans="1:1" ht="14.45" customHeight="1" x14ac:dyDescent="0.25">
      <c r="A251" t="s">
        <v>1371</v>
      </c>
    </row>
    <row r="252" spans="1:1" ht="14.45" customHeight="1" x14ac:dyDescent="0.25">
      <c r="A252" t="s">
        <v>1372</v>
      </c>
    </row>
    <row r="253" spans="1:1" ht="14.45" customHeight="1" x14ac:dyDescent="0.25">
      <c r="A253" t="s">
        <v>1373</v>
      </c>
    </row>
    <row r="254" spans="1:1" ht="14.45" customHeight="1" x14ac:dyDescent="0.25">
      <c r="A254" t="s">
        <v>1374</v>
      </c>
    </row>
    <row r="255" spans="1:1" ht="14.45" customHeight="1" x14ac:dyDescent="0.25">
      <c r="A255" t="s">
        <v>1375</v>
      </c>
    </row>
    <row r="256" spans="1:1" ht="14.45" customHeight="1" x14ac:dyDescent="0.25">
      <c r="A256" t="s">
        <v>1376</v>
      </c>
    </row>
    <row r="257" spans="1:1" ht="14.45" customHeight="1" x14ac:dyDescent="0.25">
      <c r="A257" t="s">
        <v>1377</v>
      </c>
    </row>
    <row r="258" spans="1:1" ht="14.45" customHeight="1" x14ac:dyDescent="0.25">
      <c r="A258" t="s">
        <v>1378</v>
      </c>
    </row>
    <row r="259" spans="1:1" ht="14.45" customHeight="1" x14ac:dyDescent="0.25">
      <c r="A259" t="s">
        <v>1379</v>
      </c>
    </row>
    <row r="260" spans="1:1" ht="14.45" customHeight="1" x14ac:dyDescent="0.25">
      <c r="A260" t="s">
        <v>1380</v>
      </c>
    </row>
    <row r="261" spans="1:1" ht="14.45" customHeight="1" x14ac:dyDescent="0.25">
      <c r="A261" t="s">
        <v>1381</v>
      </c>
    </row>
    <row r="262" spans="1:1" ht="14.45" customHeight="1" x14ac:dyDescent="0.25">
      <c r="A262" t="s">
        <v>1382</v>
      </c>
    </row>
    <row r="263" spans="1:1" ht="14.45" customHeight="1" x14ac:dyDescent="0.25">
      <c r="A263" t="s">
        <v>1383</v>
      </c>
    </row>
    <row r="264" spans="1:1" ht="14.45" customHeight="1" x14ac:dyDescent="0.25">
      <c r="A264" t="s">
        <v>1384</v>
      </c>
    </row>
    <row r="265" spans="1:1" ht="14.45" customHeight="1" x14ac:dyDescent="0.25">
      <c r="A265" t="s">
        <v>1385</v>
      </c>
    </row>
    <row r="266" spans="1:1" ht="14.45" customHeight="1" x14ac:dyDescent="0.25">
      <c r="A266" t="s">
        <v>1386</v>
      </c>
    </row>
    <row r="267" spans="1:1" ht="14.45" customHeight="1" x14ac:dyDescent="0.25">
      <c r="A267" t="s">
        <v>1387</v>
      </c>
    </row>
    <row r="268" spans="1:1" ht="14.45" customHeight="1" x14ac:dyDescent="0.25">
      <c r="A268" t="s">
        <v>1388</v>
      </c>
    </row>
    <row r="269" spans="1:1" ht="14.45" customHeight="1" x14ac:dyDescent="0.25">
      <c r="A269" t="s">
        <v>1389</v>
      </c>
    </row>
    <row r="270" spans="1:1" ht="14.45" customHeight="1" x14ac:dyDescent="0.25">
      <c r="A270" t="s">
        <v>1390</v>
      </c>
    </row>
    <row r="271" spans="1:1" ht="14.45" customHeight="1" x14ac:dyDescent="0.25">
      <c r="A271" t="s">
        <v>1391</v>
      </c>
    </row>
    <row r="272" spans="1:1" ht="14.45" customHeight="1" x14ac:dyDescent="0.25">
      <c r="A272" t="s">
        <v>1392</v>
      </c>
    </row>
    <row r="273" spans="1:1" ht="14.45" customHeight="1" x14ac:dyDescent="0.25">
      <c r="A273" t="s">
        <v>1393</v>
      </c>
    </row>
    <row r="274" spans="1:1" ht="14.45" customHeight="1" x14ac:dyDescent="0.25">
      <c r="A274" t="s">
        <v>1394</v>
      </c>
    </row>
    <row r="275" spans="1:1" ht="14.45" customHeight="1" x14ac:dyDescent="0.25">
      <c r="A275" t="s">
        <v>1395</v>
      </c>
    </row>
    <row r="276" spans="1:1" ht="14.45" customHeight="1" x14ac:dyDescent="0.25">
      <c r="A276" t="s">
        <v>1396</v>
      </c>
    </row>
    <row r="277" spans="1:1" ht="14.45" customHeight="1" x14ac:dyDescent="0.25">
      <c r="A277" t="s">
        <v>1397</v>
      </c>
    </row>
    <row r="278" spans="1:1" ht="14.45" customHeight="1" x14ac:dyDescent="0.25">
      <c r="A278" t="s">
        <v>1398</v>
      </c>
    </row>
    <row r="279" spans="1:1" ht="14.45" customHeight="1" x14ac:dyDescent="0.25">
      <c r="A279" t="s">
        <v>1399</v>
      </c>
    </row>
    <row r="280" spans="1:1" ht="14.45" customHeight="1" x14ac:dyDescent="0.25">
      <c r="A280" t="s">
        <v>1400</v>
      </c>
    </row>
    <row r="281" spans="1:1" ht="14.45" customHeight="1" x14ac:dyDescent="0.25">
      <c r="A281" t="s">
        <v>1401</v>
      </c>
    </row>
    <row r="282" spans="1:1" ht="14.45" customHeight="1" x14ac:dyDescent="0.25">
      <c r="A282" t="s">
        <v>1402</v>
      </c>
    </row>
    <row r="283" spans="1:1" ht="14.45" customHeight="1" x14ac:dyDescent="0.25">
      <c r="A283" t="s">
        <v>1403</v>
      </c>
    </row>
    <row r="284" spans="1:1" ht="14.45" customHeight="1" x14ac:dyDescent="0.25">
      <c r="A284" t="s">
        <v>1404</v>
      </c>
    </row>
    <row r="285" spans="1:1" ht="14.45" customHeight="1" x14ac:dyDescent="0.25">
      <c r="A285" t="s">
        <v>1405</v>
      </c>
    </row>
    <row r="286" spans="1:1" ht="14.45" customHeight="1" x14ac:dyDescent="0.25">
      <c r="A286" t="s">
        <v>1406</v>
      </c>
    </row>
    <row r="287" spans="1:1" ht="14.45" customHeight="1" x14ac:dyDescent="0.25">
      <c r="A287" t="s">
        <v>1407</v>
      </c>
    </row>
    <row r="288" spans="1:1" ht="14.45" customHeight="1" x14ac:dyDescent="0.25">
      <c r="A288" t="s">
        <v>1408</v>
      </c>
    </row>
    <row r="289" spans="1:1" ht="14.45" customHeight="1" x14ac:dyDescent="0.25">
      <c r="A289" t="s">
        <v>1409</v>
      </c>
    </row>
    <row r="290" spans="1:1" ht="14.45" customHeight="1" x14ac:dyDescent="0.25">
      <c r="A290" t="s">
        <v>1410</v>
      </c>
    </row>
    <row r="291" spans="1:1" ht="14.45" customHeight="1" x14ac:dyDescent="0.25">
      <c r="A291" t="s">
        <v>1411</v>
      </c>
    </row>
    <row r="292" spans="1:1" ht="14.45" customHeight="1" x14ac:dyDescent="0.25">
      <c r="A292" t="s">
        <v>1412</v>
      </c>
    </row>
    <row r="293" spans="1:1" ht="14.45" customHeight="1" x14ac:dyDescent="0.25">
      <c r="A293" t="s">
        <v>1413</v>
      </c>
    </row>
    <row r="294" spans="1:1" ht="14.45" customHeight="1" x14ac:dyDescent="0.25">
      <c r="A294" t="s">
        <v>1414</v>
      </c>
    </row>
    <row r="295" spans="1:1" ht="14.45" customHeight="1" x14ac:dyDescent="0.25">
      <c r="A295" t="s">
        <v>1415</v>
      </c>
    </row>
    <row r="296" spans="1:1" ht="14.45" customHeight="1" x14ac:dyDescent="0.25">
      <c r="A296" t="s">
        <v>1416</v>
      </c>
    </row>
    <row r="297" spans="1:1" ht="14.45" customHeight="1" x14ac:dyDescent="0.25">
      <c r="A297" t="s">
        <v>1417</v>
      </c>
    </row>
    <row r="298" spans="1:1" ht="14.45" customHeight="1" x14ac:dyDescent="0.25">
      <c r="A298" t="s">
        <v>1418</v>
      </c>
    </row>
    <row r="299" spans="1:1" ht="14.45" customHeight="1" x14ac:dyDescent="0.25">
      <c r="A299" t="s">
        <v>1419</v>
      </c>
    </row>
    <row r="300" spans="1:1" ht="14.45" customHeight="1" x14ac:dyDescent="0.25">
      <c r="A300" t="s">
        <v>1420</v>
      </c>
    </row>
    <row r="301" spans="1:1" ht="14.45" customHeight="1" x14ac:dyDescent="0.25">
      <c r="A301" t="s">
        <v>1421</v>
      </c>
    </row>
    <row r="302" spans="1:1" ht="14.45" customHeight="1" x14ac:dyDescent="0.25">
      <c r="A302" t="s">
        <v>1422</v>
      </c>
    </row>
    <row r="303" spans="1:1" ht="14.45" customHeight="1" x14ac:dyDescent="0.25">
      <c r="A303" t="s">
        <v>1423</v>
      </c>
    </row>
    <row r="304" spans="1:1" ht="14.45" customHeight="1" x14ac:dyDescent="0.25">
      <c r="A304" t="s">
        <v>1424</v>
      </c>
    </row>
    <row r="305" spans="1:1" ht="14.45" customHeight="1" x14ac:dyDescent="0.25">
      <c r="A305" t="s">
        <v>1425</v>
      </c>
    </row>
    <row r="306" spans="1:1" ht="14.45" customHeight="1" x14ac:dyDescent="0.25">
      <c r="A306" t="s">
        <v>1426</v>
      </c>
    </row>
    <row r="307" spans="1:1" ht="14.45" customHeight="1" x14ac:dyDescent="0.25">
      <c r="A307" t="s">
        <v>1427</v>
      </c>
    </row>
    <row r="308" spans="1:1" ht="14.45" customHeight="1" x14ac:dyDescent="0.25">
      <c r="A308" t="s">
        <v>1428</v>
      </c>
    </row>
    <row r="309" spans="1:1" ht="14.45" customHeight="1" x14ac:dyDescent="0.25">
      <c r="A309" t="s">
        <v>1429</v>
      </c>
    </row>
    <row r="310" spans="1:1" ht="14.45" customHeight="1" x14ac:dyDescent="0.25">
      <c r="A310" t="s">
        <v>1430</v>
      </c>
    </row>
    <row r="311" spans="1:1" ht="14.45" customHeight="1" x14ac:dyDescent="0.25">
      <c r="A311" t="s">
        <v>1431</v>
      </c>
    </row>
    <row r="312" spans="1:1" ht="14.45" customHeight="1" x14ac:dyDescent="0.25">
      <c r="A312" t="s">
        <v>1432</v>
      </c>
    </row>
    <row r="313" spans="1:1" ht="14.45" customHeight="1" x14ac:dyDescent="0.25">
      <c r="A313" t="s">
        <v>1433</v>
      </c>
    </row>
    <row r="314" spans="1:1" ht="14.45" customHeight="1" x14ac:dyDescent="0.25">
      <c r="A314" t="s">
        <v>1434</v>
      </c>
    </row>
    <row r="315" spans="1:1" ht="14.45" customHeight="1" x14ac:dyDescent="0.25">
      <c r="A315" t="s">
        <v>1435</v>
      </c>
    </row>
    <row r="316" spans="1:1" ht="14.45" customHeight="1" x14ac:dyDescent="0.25">
      <c r="A316" t="s">
        <v>1436</v>
      </c>
    </row>
    <row r="317" spans="1:1" ht="14.45" customHeight="1" x14ac:dyDescent="0.25">
      <c r="A317" t="s">
        <v>1437</v>
      </c>
    </row>
    <row r="318" spans="1:1" ht="14.45" customHeight="1" x14ac:dyDescent="0.25">
      <c r="A318" t="s">
        <v>1438</v>
      </c>
    </row>
    <row r="319" spans="1:1" ht="14.45" customHeight="1" x14ac:dyDescent="0.25">
      <c r="A319" t="s">
        <v>1439</v>
      </c>
    </row>
    <row r="320" spans="1:1" ht="14.45" customHeight="1" x14ac:dyDescent="0.25">
      <c r="A320" t="s">
        <v>1440</v>
      </c>
    </row>
    <row r="321" spans="1:1" ht="14.45" customHeight="1" x14ac:dyDescent="0.25">
      <c r="A321" t="s">
        <v>1441</v>
      </c>
    </row>
    <row r="322" spans="1:1" ht="14.45" customHeight="1" x14ac:dyDescent="0.25">
      <c r="A322" t="s">
        <v>1442</v>
      </c>
    </row>
    <row r="323" spans="1:1" ht="14.45" customHeight="1" x14ac:dyDescent="0.25">
      <c r="A323" t="s">
        <v>1443</v>
      </c>
    </row>
    <row r="324" spans="1:1" ht="14.45" customHeight="1" x14ac:dyDescent="0.25">
      <c r="A324" t="s">
        <v>1444</v>
      </c>
    </row>
    <row r="325" spans="1:1" ht="14.45" customHeight="1" x14ac:dyDescent="0.25">
      <c r="A325" t="s">
        <v>1445</v>
      </c>
    </row>
    <row r="326" spans="1:1" ht="14.45" customHeight="1" x14ac:dyDescent="0.25">
      <c r="A326" t="s">
        <v>1446</v>
      </c>
    </row>
    <row r="327" spans="1:1" ht="14.45" customHeight="1" x14ac:dyDescent="0.25">
      <c r="A327" t="s">
        <v>1447</v>
      </c>
    </row>
    <row r="328" spans="1:1" ht="14.45" customHeight="1" x14ac:dyDescent="0.25">
      <c r="A328" t="s">
        <v>1448</v>
      </c>
    </row>
    <row r="329" spans="1:1" ht="14.45" customHeight="1" x14ac:dyDescent="0.25">
      <c r="A329" t="s">
        <v>1449</v>
      </c>
    </row>
    <row r="330" spans="1:1" ht="14.45" customHeight="1" x14ac:dyDescent="0.25">
      <c r="A330" t="s">
        <v>1450</v>
      </c>
    </row>
    <row r="331" spans="1:1" ht="14.45" customHeight="1" x14ac:dyDescent="0.25">
      <c r="A331" t="s">
        <v>1451</v>
      </c>
    </row>
    <row r="332" spans="1:1" ht="14.45" customHeight="1" x14ac:dyDescent="0.25">
      <c r="A332" t="s">
        <v>1452</v>
      </c>
    </row>
    <row r="333" spans="1:1" ht="14.45" customHeight="1" x14ac:dyDescent="0.25">
      <c r="A333" t="s">
        <v>1453</v>
      </c>
    </row>
    <row r="334" spans="1:1" ht="14.45" customHeight="1" x14ac:dyDescent="0.25">
      <c r="A334" t="s">
        <v>1454</v>
      </c>
    </row>
    <row r="335" spans="1:1" ht="14.45" customHeight="1" x14ac:dyDescent="0.25">
      <c r="A335" t="s">
        <v>1455</v>
      </c>
    </row>
    <row r="336" spans="1:1" ht="14.45" customHeight="1" x14ac:dyDescent="0.25">
      <c r="A336" t="s">
        <v>1456</v>
      </c>
    </row>
    <row r="337" spans="1:1" ht="14.45" customHeight="1" x14ac:dyDescent="0.25">
      <c r="A337" t="s">
        <v>1457</v>
      </c>
    </row>
    <row r="338" spans="1:1" ht="14.45" customHeight="1" x14ac:dyDescent="0.25">
      <c r="A338" t="s">
        <v>1458</v>
      </c>
    </row>
    <row r="339" spans="1:1" ht="14.45" customHeight="1" x14ac:dyDescent="0.25">
      <c r="A339" t="s">
        <v>1459</v>
      </c>
    </row>
    <row r="340" spans="1:1" ht="14.45" customHeight="1" x14ac:dyDescent="0.25">
      <c r="A340" t="s">
        <v>1460</v>
      </c>
    </row>
    <row r="341" spans="1:1" ht="14.45" customHeight="1" x14ac:dyDescent="0.25">
      <c r="A341" t="s">
        <v>1461</v>
      </c>
    </row>
    <row r="342" spans="1:1" ht="14.45" customHeight="1" x14ac:dyDescent="0.25">
      <c r="A342" t="s">
        <v>1462</v>
      </c>
    </row>
    <row r="343" spans="1:1" ht="14.45" customHeight="1" x14ac:dyDescent="0.25">
      <c r="A343" t="s">
        <v>1463</v>
      </c>
    </row>
    <row r="344" spans="1:1" ht="14.45" customHeight="1" x14ac:dyDescent="0.25">
      <c r="A344" t="s">
        <v>1464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header</vt:lpstr>
      <vt:lpstr>{AR}01</vt:lpstr>
      <vt:lpstr>{PL}PickLst</vt:lpstr>
      <vt:lpstr>db_name</vt:lpstr>
      <vt:lpstr>Freeze_Here</vt:lpstr>
      <vt:lpstr>psApp</vt:lpstr>
      <vt:lpstr>psControlType</vt:lpstr>
      <vt:lpstr>psDesc</vt:lpstr>
      <vt:lpstr>psFunc</vt:lpstr>
      <vt:lpstr>psHLYear</vt:lpstr>
      <vt:lpstr>psID</vt:lpstr>
      <vt:lpstr>psItem</vt:lpstr>
      <vt:lpstr>psMeasCode</vt:lpstr>
      <vt:lpstr>psOC</vt:lpstr>
      <vt:lpstr>psProg</vt:lpstr>
      <vt:lpstr>psReason</vt:lpstr>
      <vt:lpstr>psScenario</vt:lpstr>
      <vt:lpstr>psSPP</vt:lpstr>
      <vt:lpstr>psStatus</vt:lpstr>
      <vt:lpstr>psTitle</vt:lpstr>
      <vt:lpstr>psType</vt:lpstr>
      <vt:lpstr>psUser</vt:lpstr>
      <vt:lpstr>TM1AdjIDListCAP</vt:lpstr>
      <vt:lpstr>TM1AdjIDListWB</vt:lpstr>
      <vt:lpstr>TM1AdjIDListWS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Looyen</dc:creator>
  <cp:keywords/>
  <dc:description/>
  <cp:lastModifiedBy>Xin HE</cp:lastModifiedBy>
  <dcterms:created xsi:type="dcterms:W3CDTF">2021-01-19T02:35:47Z</dcterms:created>
  <dcterms:modified xsi:type="dcterms:W3CDTF">2025-08-05T04:32:06Z</dcterms:modified>
  <cp:category/>
  <cp:contentStatus/>
</cp:coreProperties>
</file>