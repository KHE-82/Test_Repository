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D07AF1FA-4A21-4BD8-AFEC-D049432DC741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group adj cash" sheetId="1" r:id="rId1"/>
    <sheet name="{PL}PickLst" sheetId="2" state="hidden" r:id="rId2"/>
  </sheets>
  <definedNames>
    <definedName name="ae_grpadj_pyflag">'group adj cash'!$R$78</definedName>
    <definedName name="db_name">'group adj cash'!$C$12</definedName>
    <definedName name="Freeze_Here">'group adj cash'!$J$138</definedName>
    <definedName name="grp_newadj_ctrltype">'group adj cash'!$W$123</definedName>
    <definedName name="grp_per_display">'group adj cash'!$U$134</definedName>
    <definedName name="psAccTemp">'group adj cash'!$L$134</definedName>
    <definedName name="psAccType">'group adj cash'!$C$89</definedName>
    <definedName name="psApp">'group adj cash'!$C$31</definedName>
    <definedName name="psHLYear">'group adj cash'!$C$56</definedName>
    <definedName name="psID">'group adj cash'!$C$58</definedName>
    <definedName name="psJur">'group adj cash'!$P$134</definedName>
    <definedName name="psProg">'group adj cash'!$J$134</definedName>
    <definedName name="psProgDimName">'group adj cash'!$C$27</definedName>
    <definedName name="psRE">'group adj cash'!$N$134</definedName>
    <definedName name="psScenario">'group adj cash'!$C$57</definedName>
    <definedName name="psUser">'group adj cash'!$C$14</definedName>
    <definedName name="sys_perdisplay_list">'group adj cash'!$G$81:$G$82</definedName>
    <definedName name="TargetCells">'group adj cash'!$B$138</definedName>
    <definedName name="TM1AdjIDListCAP">'group adj cash'!$D$37</definedName>
    <definedName name="TM1AdjIDListWB">'group adj cash'!$F$37</definedName>
    <definedName name="TM1GrpEditAdj01CAP">'group adj cash'!$D$39</definedName>
    <definedName name="TM1GrpEditAdj01WB">'group adj cash'!$F$39</definedName>
    <definedName name="TM1GrpEditAdj01WS">'group adj cash'!$H$39</definedName>
    <definedName name="TM1GrpNewAdj01HeaderCAP">'group adj cash'!$D$40</definedName>
    <definedName name="TM1GrpNewAdj01HeaderWB">'group adj cash'!$F$40</definedName>
    <definedName name="TM1GrpNewAdj01HeaderWS">'group adj cash'!$H$40</definedName>
    <definedName name="TM1GrpNewAdj02ExpDataEntryCAP">'group adj cash'!$D$41</definedName>
    <definedName name="TM1GrpNewAdj02ExpDataEntryWB">'group adj cash'!$F$41</definedName>
    <definedName name="TM1GrpNewAdj02ExpDataEntryWS">'group adj cash'!$H$41</definedName>
    <definedName name="TM1GrpNewAdj03CashDataEntryCAP">'group adj cash'!$D$42</definedName>
    <definedName name="TM1GrpNewAdj03CashDataEntryWB">'group adj cash'!$F$42</definedName>
    <definedName name="TM1GrpNewAdj03CashDataEntryWS">'group adj cash'!$H$42</definedName>
    <definedName name="TM1GrpNewAdj04CBMSViewCAP">'group adj cash'!$D$43</definedName>
    <definedName name="TM1GrpNewAdj04CBMSViewWB">'group adj cash'!$F$43</definedName>
    <definedName name="TM1GrpNewAdj04CBMSViewWS">'group adj cash'!$H$43</definedName>
    <definedName name="TM1GrpNewAdj05AuthCAP">'group adj cash'!$D$44</definedName>
    <definedName name="TM1GrpNewAdj05AuthWB">'group adj cash'!$F$44</definedName>
    <definedName name="TM1GrpNewAdj05AuthWS">'group adj cash'!$H$44</definedName>
    <definedName name="TM1GrpNewAdj06CopyCAP">'group adj cash'!$D$45</definedName>
    <definedName name="TM1GrpNewAdj06CopyWB">'group adj cash'!$F$45</definedName>
    <definedName name="TM1GrpNewAdj06CopyWS">'group adj cash'!$H$45</definedName>
    <definedName name="TM1GrpNewAdj07CustNoDataEntryCAP">'group adj cash'!$D$46</definedName>
    <definedName name="TM1GrpNewAdj07CustNoDataEntryWB">'group adj cash'!$F$46</definedName>
    <definedName name="TM1GrpNewAdj07CustNoDataEntryWS">'group adj cash'!$H$46</definedName>
    <definedName name="TM1GrpNewAdj97UploadCAP">'group adj cash'!$D$48</definedName>
    <definedName name="TM1GrpNewAdj97UploadWB">'group adj cash'!$F$48</definedName>
    <definedName name="TM1GrpNewAdj97UploadWS">'group adj cash'!$H$48</definedName>
    <definedName name="TM1GrpNewAdj98AttachCAP">'group adj cash'!$D$49</definedName>
    <definedName name="TM1GrpNewAdj98AttachWB">'group adj cash'!$F$49</definedName>
    <definedName name="TM1GrpNewAdj98AttachWS">'group adj cash'!$H$49</definedName>
    <definedName name="TM1GrpNewAdj99ValidCAP">'group adj cash'!$D$50</definedName>
    <definedName name="TM1GrpNewAdj99ValidWB">'group adj cash'!$F$50</definedName>
    <definedName name="TM1GrpNewAdj99ValidWS">'group adj cash'!$H$50</definedName>
    <definedName name="TM1GrpViewAdj01HeaderCAP">'group adj cash'!$D$47</definedName>
    <definedName name="TM1GrpViewAdj01HeaderWB">'group adj cash'!$F$47</definedName>
    <definedName name="TM1GrpViewAdj01HeaderWS">'group adj cash'!$H$47</definedName>
    <definedName name="TM1HomeAEAccVarCAP">'group adj cash'!$D$36</definedName>
    <definedName name="TM1HomeAEAccVarWB">'group adj cash'!$F$36</definedName>
    <definedName name="TM1HomeAEAccVarWS">'group adj cash'!$H$36</definedName>
    <definedName name="TM1HomeAECAP">'group adj cash'!$D$34</definedName>
    <definedName name="TM1HomeAEDataEntryCAP">'group adj cash'!$D$35</definedName>
    <definedName name="TM1HomeAEDataEntryWB">'group adj cash'!$F$35</definedName>
    <definedName name="TM1HomeAEDataEntryWS">'group adj cash'!$H$35</definedName>
    <definedName name="TM1HomeAEWB">'group adj cash'!$F$34</definedName>
    <definedName name="TM1HomeAEWS">'group adj cash'!$H$34</definedName>
    <definedName name="TM1HomeCAP">'group adj cash'!$D$33</definedName>
    <definedName name="TM1HomeWB">'group adj cash'!$F$33</definedName>
    <definedName name="TM1HomeWS">'group adj cash'!$H$33</definedName>
    <definedName name="TM1IDListWS">'group adj cash'!$H$37</definedName>
    <definedName name="TM1NewAdj03AuthCAP">'group adj cash'!$D$38</definedName>
    <definedName name="TM1NewAdj03AuthWB">'group adj cash'!$F$38</definedName>
    <definedName name="TM1NewAdj03AuthWS">'group adj cash'!$H$38</definedName>
    <definedName name="TM1REBUILDOPTION">0</definedName>
    <definedName name="TM1RPTDATARNG1" localSheetId="0">'group adj cash'!$138:$138</definedName>
    <definedName name="TM1RPTFMTIDCOL" localSheetId="0">'group adj cash'!$A$1:$A$8</definedName>
    <definedName name="TM1RPTFMTRNG" localSheetId="0">'group adj cash'!$B$1:$AE$8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3" i="1" l="1" a="1"/>
  <c r="C53" i="1"/>
  <c r="C14" i="1" a="1"/>
  <c r="C14" i="1"/>
  <c r="C57" i="1" a="1"/>
  <c r="C57" i="1"/>
  <c r="C74" i="1"/>
  <c r="C56" i="1" a="1"/>
  <c r="C56" i="1"/>
  <c r="C73" i="1"/>
  <c r="C30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C58" i="1" a="1"/>
  <c r="C58" i="1"/>
  <c r="E82" i="1" a="1"/>
  <c r="E82" i="1"/>
  <c r="C75" i="1"/>
  <c r="C65" i="1" a="1"/>
  <c r="C65" i="1"/>
  <c r="C80" i="1" a="1"/>
  <c r="C80" i="1"/>
  <c r="C86" i="1" a="1"/>
  <c r="C86" i="1"/>
  <c r="E86" i="1"/>
  <c r="E81" i="1" a="1"/>
  <c r="D138" i="1" a="1"/>
  <c r="C87" i="1" a="1"/>
  <c r="C84" i="1" a="1"/>
  <c r="C84" i="1"/>
  <c r="C67" i="1"/>
  <c r="B138" i="1" a="1"/>
  <c r="E83" i="1" a="1"/>
  <c r="C138" i="1" a="1"/>
  <c r="E138" i="1" a="1"/>
  <c r="P88" i="1"/>
  <c r="U134" i="1" a="1"/>
  <c r="U134" i="1"/>
  <c r="AA84" i="1"/>
  <c r="AA85" i="1"/>
  <c r="AA88" i="1" a="1"/>
  <c r="AA88" i="1"/>
  <c r="AA137" i="1"/>
  <c r="E81" i="1"/>
  <c r="D138" i="1"/>
  <c r="C87" i="1"/>
  <c r="B138" i="1"/>
  <c r="E83" i="1"/>
  <c r="C138" i="1"/>
  <c r="E138" i="1"/>
  <c r="AA138" i="1" a="1"/>
  <c r="AA138" i="1"/>
  <c r="Z84" i="1"/>
  <c r="Z85" i="1"/>
  <c r="Z88" i="1" a="1"/>
  <c r="Z88" i="1"/>
  <c r="Z137" i="1"/>
  <c r="Z138" i="1" a="1"/>
  <c r="Z138" i="1"/>
  <c r="Y84" i="1"/>
  <c r="Y85" i="1"/>
  <c r="Y88" i="1" a="1"/>
  <c r="Y88" i="1"/>
  <c r="Y137" i="1"/>
  <c r="Y138" i="1" a="1"/>
  <c r="Y138" i="1"/>
  <c r="X84" i="1"/>
  <c r="X85" i="1"/>
  <c r="X88" i="1" a="1"/>
  <c r="X88" i="1"/>
  <c r="X137" i="1"/>
  <c r="X138" i="1" a="1"/>
  <c r="X138" i="1"/>
  <c r="W84" i="1"/>
  <c r="W85" i="1"/>
  <c r="W88" i="1" a="1"/>
  <c r="W88" i="1"/>
  <c r="W137" i="1"/>
  <c r="W138" i="1" a="1"/>
  <c r="W138" i="1"/>
  <c r="V84" i="1"/>
  <c r="V85" i="1"/>
  <c r="V88" i="1" a="1"/>
  <c r="V88" i="1"/>
  <c r="V137" i="1"/>
  <c r="V138" i="1" a="1"/>
  <c r="V138" i="1"/>
  <c r="U84" i="1"/>
  <c r="U85" i="1"/>
  <c r="U88" i="1" a="1"/>
  <c r="U88" i="1"/>
  <c r="U137" i="1"/>
  <c r="U138" i="1" a="1"/>
  <c r="U138" i="1"/>
  <c r="T84" i="1"/>
  <c r="T85" i="1"/>
  <c r="T88" i="1" a="1"/>
  <c r="T88" i="1"/>
  <c r="T137" i="1"/>
  <c r="T138" i="1" a="1"/>
  <c r="T138" i="1"/>
  <c r="S84" i="1"/>
  <c r="S85" i="1"/>
  <c r="S88" i="1" a="1"/>
  <c r="S88" i="1"/>
  <c r="S137" i="1"/>
  <c r="S138" i="1" a="1"/>
  <c r="S138" i="1"/>
  <c r="R84" i="1"/>
  <c r="R85" i="1"/>
  <c r="R88" i="1" a="1"/>
  <c r="R88" i="1"/>
  <c r="R137" i="1"/>
  <c r="R138" i="1" a="1"/>
  <c r="R138" i="1"/>
  <c r="H138" i="1" a="1"/>
  <c r="H138" i="1"/>
  <c r="G138" i="1" a="1"/>
  <c r="G138" i="1"/>
  <c r="F138" i="1" a="1"/>
  <c r="F138" i="1"/>
  <c r="A138" i="1" a="1"/>
  <c r="A138" i="1"/>
  <c r="P134" i="1" a="1"/>
  <c r="P134" i="1"/>
  <c r="N134" i="1" a="1"/>
  <c r="N134" i="1"/>
  <c r="L134" i="1" a="1"/>
  <c r="L134" i="1"/>
  <c r="C20" i="1" a="1"/>
  <c r="C20" i="1"/>
  <c r="C27" i="1" a="1"/>
  <c r="C27" i="1"/>
  <c r="C93" i="1"/>
  <c r="J134" i="1" a="1"/>
  <c r="J134" i="1"/>
  <c r="E134" i="1" a="1"/>
  <c r="E134" i="1"/>
  <c r="D134" i="1" a="1"/>
  <c r="D134" i="1"/>
  <c r="C101" i="1" a="1"/>
  <c r="C101" i="1"/>
  <c r="C102" i="1"/>
  <c r="C113" i="1" a="1"/>
  <c r="C113" i="1"/>
  <c r="C111" i="1" a="1"/>
  <c r="C111" i="1"/>
  <c r="C110" i="1" a="1"/>
  <c r="C110" i="1"/>
  <c r="C112" i="1" a="1"/>
  <c r="C112" i="1"/>
  <c r="C96" i="1" a="1"/>
  <c r="C96" i="1"/>
  <c r="C98" i="1" a="1"/>
  <c r="C98" i="1"/>
  <c r="G97" i="1"/>
  <c r="C107" i="1" a="1"/>
  <c r="C107" i="1"/>
  <c r="C97" i="1" a="1"/>
  <c r="C97" i="1"/>
  <c r="G96" i="1"/>
  <c r="C106" i="1" a="1"/>
  <c r="C106" i="1"/>
  <c r="C103" i="1"/>
  <c r="C105" i="1" a="1"/>
  <c r="C105" i="1"/>
  <c r="C104" i="1" a="1"/>
  <c r="C104" i="1"/>
  <c r="C88" i="1" a="1"/>
  <c r="C88" i="1"/>
  <c r="D88" i="1" a="1"/>
  <c r="D88" i="1"/>
  <c r="D87" i="1" a="1"/>
  <c r="D87" i="1"/>
  <c r="C85" i="1" a="1"/>
  <c r="C85" i="1"/>
  <c r="C83" i="1" a="1"/>
  <c r="C83" i="1"/>
  <c r="C82" i="1" a="1"/>
  <c r="C82" i="1"/>
  <c r="C81" i="1" a="1"/>
  <c r="C81" i="1"/>
  <c r="C66" i="1" a="1"/>
  <c r="C66" i="1"/>
  <c r="D62" i="1" a="1"/>
  <c r="D62" i="1"/>
  <c r="C62" i="1" a="1"/>
  <c r="C62" i="1"/>
  <c r="D61" i="1" a="1"/>
  <c r="D61" i="1"/>
  <c r="C61" i="1" a="1"/>
  <c r="C61" i="1"/>
  <c r="D60" i="1" a="1"/>
  <c r="D60" i="1"/>
  <c r="C60" i="1" a="1"/>
  <c r="C60" i="1"/>
  <c r="D59" i="1" a="1"/>
  <c r="D59" i="1"/>
  <c r="C59" i="1" a="1"/>
  <c r="C59" i="1"/>
  <c r="D58" i="1" a="1"/>
  <c r="D58" i="1"/>
  <c r="D57" i="1" a="1"/>
  <c r="D57" i="1"/>
  <c r="D56" i="1" a="1"/>
  <c r="D56" i="1"/>
  <c r="C55" i="1" a="1"/>
  <c r="C55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C26" i="1" a="1"/>
  <c r="C26" i="1"/>
  <c r="C25" i="1" a="1"/>
  <c r="C25" i="1"/>
  <c r="C24" i="1" a="1"/>
  <c r="C24" i="1"/>
  <c r="C23" i="1" a="1"/>
  <c r="C23" i="1"/>
  <c r="C22" i="1" a="1"/>
  <c r="C22" i="1"/>
  <c r="C21" i="1" a="1"/>
  <c r="C21" i="1"/>
  <c r="C13" i="1" a="1"/>
  <c r="C13" i="1"/>
  <c r="C16" i="1" a="1"/>
  <c r="C16" i="1"/>
  <c r="C15" i="1" a="1"/>
  <c r="C15" i="1"/>
  <c r="S127" i="1"/>
  <c r="P135" i="1"/>
  <c r="N135" i="1"/>
  <c r="L135" i="1"/>
  <c r="J135" i="1"/>
  <c r="S125" i="1"/>
  <c r="P123" i="1"/>
  <c r="L123" i="1"/>
  <c r="C17" i="1"/>
  <c r="P138" i="1"/>
  <c r="N138" i="1"/>
  <c r="L138" i="1"/>
  <c r="J138" i="1"/>
  <c r="W123" i="1"/>
  <c r="L125" i="1"/>
  <c r="L127" i="1"/>
  <c r="S123" i="1"/>
  <c r="R82" i="1"/>
  <c r="S82" i="1"/>
  <c r="T82" i="1"/>
  <c r="U82" i="1"/>
  <c r="V82" i="1"/>
  <c r="W82" i="1"/>
  <c r="X82" i="1"/>
  <c r="Y82" i="1"/>
  <c r="Z82" i="1"/>
  <c r="AA82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<sst xmlns="http://schemas.openxmlformats.org/spreadsheetml/2006/main" count="348" uniqueCount="302">
  <si>
    <t>[Begin Format Range]</t>
  </si>
  <si>
    <t>D</t>
  </si>
  <si>
    <t>N</t>
  </si>
  <si>
    <t>[End Format Range]</t>
  </si>
  <si>
    <t>Prior Year Flag</t>
  </si>
  <si>
    <t>Prior Year Selection</t>
  </si>
  <si>
    <t>Database</t>
  </si>
  <si>
    <t>PY Cur Title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</si>
  <si>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</si>
  <si>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</si>
  <si>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</si>
  <si>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</si>
  <si>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</si>
  <si>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</si>
  <si>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</si>
  <si>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</si>
  <si>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</si>
  <si>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</si>
  <si>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Active Form View</t>
  </si>
  <si>
    <t>PY Next 10 Title</t>
  </si>
  <si>
    <t>FE9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</si>
  <si>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</si>
  <si>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</si>
  <si>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</si>
  <si>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</si>
  <si>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</si>
  <si>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</si>
  <si>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</si>
  <si>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</si>
  <si>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</si>
  <si>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Cube Slice View</t>
  </si>
  <si>
    <t>Programme MDX</t>
  </si>
  <si>
    <t>Current</t>
  </si>
  <si>
    <t>Account Template MDX</t>
  </si>
  <si>
    <t>{TM1FILTERBYLEVEL( {TM1SUBSETALL( [account template] )}, 0)}</t>
  </si>
  <si>
    <t>Use</t>
  </si>
  <si>
    <t>Related Entity MDX</t>
  </si>
  <si>
    <t>{TM1FILTERBYLEVEL( {TM1SUBSETALL( [related entity] )}, 0)}</t>
  </si>
  <si>
    <t>PA</t>
  </si>
  <si>
    <t>Jurisdiction MDX</t>
  </si>
  <si>
    <t>{TM1FILTERBYLEVEL( {TM1SUBSETALL( [jurisdiction] )}, 0)}</t>
  </si>
  <si>
    <t>Current User</t>
  </si>
  <si>
    <t>Selected User ID Details</t>
  </si>
  <si>
    <t>Used For Active Form</t>
  </si>
  <si>
    <t>Cube View</t>
  </si>
  <si>
    <t>Dimensions</t>
  </si>
  <si>
    <t>Standard</t>
  </si>
  <si>
    <t>title</t>
  </si>
  <si>
    <t>status</t>
  </si>
  <si>
    <t>description</t>
  </si>
  <si>
    <t>id</t>
  </si>
  <si>
    <t>outcome</t>
  </si>
  <si>
    <t>Account type</t>
  </si>
  <si>
    <t>Control Type</t>
  </si>
  <si>
    <t>Adjustment Type</t>
  </si>
  <si>
    <t>measure</t>
  </si>
  <si>
    <t>reason</t>
  </si>
  <si>
    <t>Account Type Navigation</t>
  </si>
  <si>
    <t>related entity enabled</t>
  </si>
  <si>
    <t>jurisdiction required</t>
  </si>
  <si>
    <t>2. Account Template</t>
  </si>
  <si>
    <t>3. Related Entity</t>
  </si>
  <si>
    <t xml:space="preserve"> </t>
  </si>
  <si>
    <t>4. Jurisdiction</t>
  </si>
  <si>
    <t>0000-0000</t>
  </si>
  <si>
    <t>Programme</t>
  </si>
  <si>
    <t>Account Template</t>
  </si>
  <si>
    <t>Related Entity</t>
  </si>
  <si>
    <t>Jurisdiction</t>
  </si>
  <si>
    <t>flag</t>
  </si>
  <si>
    <t>Programme Desc</t>
  </si>
  <si>
    <t>Account Template Descripton</t>
  </si>
  <si>
    <t>value</t>
  </si>
  <si>
    <t>Title:</t>
  </si>
  <si>
    <t>Control Type:</t>
  </si>
  <si>
    <t>Scenario:</t>
  </si>
  <si>
    <t xml:space="preserve">Status: </t>
  </si>
  <si>
    <t xml:space="preserve">ID: </t>
  </si>
  <si>
    <t>Reason:</t>
  </si>
  <si>
    <t xml:space="preserve">Periods: </t>
  </si>
  <si>
    <t>sys_perdisplay_list</t>
  </si>
  <si>
    <t>Next 10 FE</t>
  </si>
  <si>
    <t>}Clients</t>
  </si>
  <si>
    <t>TM1 User</t>
  </si>
  <si>
    <t>}TM1_DefaultDisplayValue</t>
  </si>
  <si>
    <t>GEUS User Name</t>
  </si>
  <si>
    <t>Database Variables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</si>
  <si>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</si>
  <si>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</si>
  <si>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</si>
  <si>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</si>
  <si>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</si>
  <si>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</si>
  <si>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</si>
  <si>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</si>
  <si>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</si>
  <si>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</si>
  <si>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</si>
  <si>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</si>
  <si>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</si>
  <si>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</si>
  <si>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</si>
  <si>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</si>
  <si>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</si>
  <si>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</si>
  <si>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</si>
  <si>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</si>
  <si>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</si>
  <si>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</si>
  <si>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03 - Authorise</t>
  </si>
  <si>
    <t>Group Data Entry - Edit Adj 01 - Header Details</t>
  </si>
  <si>
    <t>Group Data Entry - New Adj 01 - Header Details</t>
  </si>
  <si>
    <t>Group Data Entry - New Adj 02 - Expense Data Entry</t>
  </si>
  <si>
    <t>Group Data Entry - New Adj 03 - Cash Data Entry</t>
  </si>
  <si>
    <t>Group Data Entry - New Adj 04 - CBMS Adj View</t>
  </si>
  <si>
    <t>Group Data Entry - View Adj 01 - Header Details</t>
  </si>
  <si>
    <t>Group Data Entry - New Adj 97 - Upload</t>
  </si>
  <si>
    <t>Group Data Entry - New Adj 98 - Attachments</t>
  </si>
  <si>
    <t>Group Data Entry - New Adj 99 - Validations</t>
  </si>
  <si>
    <t>Client Preference</t>
  </si>
  <si>
    <t>validate</t>
  </si>
  <si>
    <t>sys_client preference measure</t>
  </si>
  <si>
    <t>geus hl year</t>
  </si>
  <si>
    <t>geus scenario</t>
  </si>
  <si>
    <t>geus adj</t>
  </si>
  <si>
    <t>group adj_program</t>
  </si>
  <si>
    <t>group adj_account template</t>
  </si>
  <si>
    <t>AE Group Adjustment Entry</t>
  </si>
  <si>
    <t>Measure</t>
  </si>
  <si>
    <t>Flag Period</t>
  </si>
  <si>
    <t>Headline Year :</t>
  </si>
  <si>
    <t>Measure:</t>
  </si>
  <si>
    <t>PERIOD DISPLAY</t>
  </si>
  <si>
    <t>program dimension name</t>
  </si>
  <si>
    <t>Program Subset</t>
  </si>
  <si>
    <t>Subset To Use</t>
  </si>
  <si>
    <t>Homepage - Annual Estimates - Account Variation</t>
  </si>
  <si>
    <t>1. Program</t>
  </si>
  <si>
    <t>11700 - DPP</t>
  </si>
  <si>
    <t>12000 - DCITA</t>
  </si>
  <si>
    <t>12100 - NAA</t>
  </si>
  <si>
    <t>12200 - DEFENCE</t>
  </si>
  <si>
    <t>12300 - DVA</t>
  </si>
  <si>
    <t>12400 - DEST</t>
  </si>
  <si>
    <t>12500 - ENVIRO</t>
  </si>
  <si>
    <t>12600 - FINANCE</t>
  </si>
  <si>
    <t>12700 - AEC</t>
  </si>
  <si>
    <t>12800 - ANAO</t>
  </si>
  <si>
    <t>12900 - Old Comsuper</t>
  </si>
  <si>
    <t>13200 - DFAT</t>
  </si>
  <si>
    <t>13300 - AusAID</t>
  </si>
  <si>
    <t>13700 - HEALTH</t>
  </si>
  <si>
    <t>13800 - PSR</t>
  </si>
  <si>
    <t>13900 - DIBP</t>
  </si>
  <si>
    <t>14000</t>
  </si>
  <si>
    <t>14100 - IPA</t>
  </si>
  <si>
    <t>14300 - AGRI</t>
  </si>
  <si>
    <t>14400 - PMC</t>
  </si>
  <si>
    <t>14500</t>
  </si>
  <si>
    <t>14600 - OOSG</t>
  </si>
  <si>
    <t>14700 - OCO</t>
  </si>
  <si>
    <t>15000 - APSC</t>
  </si>
  <si>
    <t>15100 - DSS</t>
  </si>
  <si>
    <t>15200 - CENTRELINK</t>
  </si>
  <si>
    <t>15300 - DIRD</t>
  </si>
  <si>
    <t>15500 - TREASURY</t>
  </si>
  <si>
    <t>15600 - ABS</t>
  </si>
  <si>
    <t>15700 - ATO</t>
  </si>
  <si>
    <t>15800 - ACCC</t>
  </si>
  <si>
    <t>16100 - PC</t>
  </si>
  <si>
    <t>16300 - DEWR</t>
  </si>
  <si>
    <t>16400 - WGEA</t>
  </si>
  <si>
    <t>17700 - AFSA</t>
  </si>
  <si>
    <t>17800 - CRIMTRAC</t>
  </si>
  <si>
    <t>17900 - DPS</t>
  </si>
  <si>
    <t>18300 - ARC</t>
  </si>
  <si>
    <t>19800 - SMALL</t>
  </si>
  <si>
    <t>20400 - AHL</t>
  </si>
  <si>
    <t>20900 - CSC</t>
  </si>
  <si>
    <t>21100 - BOM</t>
  </si>
  <si>
    <t>21300 - NBA</t>
  </si>
  <si>
    <t>22000 - DHS</t>
  </si>
  <si>
    <t>22400</t>
  </si>
  <si>
    <t>22700 - ACMA</t>
  </si>
  <si>
    <t>22900</t>
  </si>
  <si>
    <t>23100</t>
  </si>
  <si>
    <t>23200</t>
  </si>
  <si>
    <t>23400 - CancerA</t>
  </si>
  <si>
    <t>23800 - DCCEE</t>
  </si>
  <si>
    <t>23900 - DEEWR</t>
  </si>
  <si>
    <t>24100 - COMMS</t>
  </si>
  <si>
    <t>24200 - INDUSTRY</t>
  </si>
  <si>
    <t>24400 - RET</t>
  </si>
  <si>
    <t>24500 - AOTDTA</t>
  </si>
  <si>
    <t>24700</t>
  </si>
  <si>
    <t>24800</t>
  </si>
  <si>
    <t>24900 - SWA</t>
  </si>
  <si>
    <t>25000 - DRALGAS</t>
  </si>
  <si>
    <t>25100</t>
  </si>
  <si>
    <t>25200 - ANPHA</t>
  </si>
  <si>
    <t>25300</t>
  </si>
  <si>
    <t>25600 - NHPA</t>
  </si>
  <si>
    <t>25700 - IHPA</t>
  </si>
  <si>
    <t>26200</t>
  </si>
  <si>
    <t>26300 - NHFB</t>
  </si>
  <si>
    <t>30100 - EMPLOYMENT</t>
  </si>
  <si>
    <t>30200</t>
  </si>
  <si>
    <t>30300</t>
  </si>
  <si>
    <t>40000 - AIC</t>
  </si>
  <si>
    <t>40900</t>
  </si>
  <si>
    <t>41500 - LIBRARY</t>
  </si>
  <si>
    <t>41600 - MUSEUM</t>
  </si>
  <si>
    <t>42000 - DHA</t>
  </si>
  <si>
    <t>42300 - AWM</t>
  </si>
  <si>
    <t>43100 - AUSTRADE</t>
  </si>
  <si>
    <t>43200 - ACSAA</t>
  </si>
  <si>
    <t>43300 - FSANZ</t>
  </si>
  <si>
    <t>43400</t>
  </si>
  <si>
    <t>43500 - AIHW</t>
  </si>
  <si>
    <t>43600 - AIFS</t>
  </si>
  <si>
    <t>43700 - ARPANSA</t>
  </si>
  <si>
    <t>43800 - HIC</t>
  </si>
  <si>
    <t>43900 - PHIAC</t>
  </si>
  <si>
    <t>44000 - PHIO</t>
  </si>
  <si>
    <t>44300 - AIMS</t>
  </si>
  <si>
    <t>44500 - ANSTO</t>
  </si>
  <si>
    <t>44600 - ASPORTC</t>
  </si>
  <si>
    <t>44800 - ATG</t>
  </si>
  <si>
    <t>45000 - CSIRO</t>
  </si>
  <si>
    <t>45400 - ACSQHC</t>
  </si>
  <si>
    <t>45500 - NVETR</t>
  </si>
  <si>
    <t>46800 - APVMA</t>
  </si>
  <si>
    <t>47300 - IBA</t>
  </si>
  <si>
    <t>47500 - AIATSIS</t>
  </si>
  <si>
    <t>47600 - ILC</t>
  </si>
  <si>
    <t>47700</t>
  </si>
  <si>
    <t>47800</t>
  </si>
  <si>
    <t>48000 - CASA</t>
  </si>
  <si>
    <t>48100 - ASIC</t>
  </si>
  <si>
    <t>49100 - ALTC</t>
  </si>
  <si>
    <t>49200 - Comcare</t>
  </si>
  <si>
    <t>50600 - IIFI</t>
  </si>
  <si>
    <t>50700 - IIFCM</t>
  </si>
  <si>
    <t>50800 - IIFB</t>
  </si>
  <si>
    <t>50900 - IIFF</t>
  </si>
  <si>
    <t>51200 - GPET</t>
  </si>
  <si>
    <t>51400 - IIFN</t>
  </si>
  <si>
    <t>51600 - NHMRC</t>
  </si>
  <si>
    <t>52700</t>
  </si>
  <si>
    <t>53000</t>
  </si>
  <si>
    <t>53200</t>
  </si>
  <si>
    <t>53400 - HWA</t>
  </si>
  <si>
    <t>53600</t>
  </si>
  <si>
    <t>53700</t>
  </si>
  <si>
    <t>53800 - TEQSA</t>
  </si>
  <si>
    <t>54200 - NDIS</t>
  </si>
  <si>
    <t>54300</t>
  </si>
  <si>
    <t>70100 - AusPost</t>
  </si>
  <si>
    <t>70300</t>
  </si>
  <si>
    <t>72000</t>
  </si>
  <si>
    <t>72200 - AGS</t>
  </si>
  <si>
    <t>80500 - RBA</t>
  </si>
  <si>
    <t>80600</t>
  </si>
  <si>
    <t>80900</t>
  </si>
  <si>
    <t>99100 - Unallocated</t>
  </si>
  <si>
    <t>99999</t>
  </si>
  <si>
    <t>group adj_related entity</t>
  </si>
  <si>
    <t>group adj_jurisdiction</t>
  </si>
  <si>
    <t>}ElementAttributes_account template</t>
  </si>
  <si>
    <t>SLICE VIEW</t>
  </si>
  <si>
    <t>Identify Default Values To Send</t>
  </si>
  <si>
    <t>Send to Client Preference (For Default Values In Adding Accounts)</t>
  </si>
  <si>
    <t>Program Principal Name</t>
  </si>
  <si>
    <t>Acc Template Subset</t>
  </si>
  <si>
    <t>Acc Template Default</t>
  </si>
  <si>
    <t>AE account template mapping</t>
  </si>
  <si>
    <t>VIEW</t>
  </si>
  <si>
    <t>Count of Mapping</t>
  </si>
  <si>
    <t>Default Account Template</t>
  </si>
  <si>
    <t>DBSS(group adj_account template)</t>
  </si>
  <si>
    <t>DBSS(group adj_jurisdiction)</t>
  </si>
  <si>
    <t>DBSS(group adj_related entity)</t>
  </si>
  <si>
    <t>CAC Body Appropriations</t>
  </si>
  <si>
    <t>Grants Other</t>
  </si>
  <si>
    <t>Grants to overseas non profit organisation</t>
  </si>
  <si>
    <t>Grants to Related Entities</t>
  </si>
  <si>
    <t>GST Cash Receipt and Payments</t>
  </si>
  <si>
    <t>HHF Grants - External</t>
  </si>
  <si>
    <t>HHF Grants to States</t>
  </si>
  <si>
    <t>Other grants to overseas</t>
  </si>
  <si>
    <t>Other Non Tax Revenue - Administered</t>
  </si>
  <si>
    <t>Group Data Entry - New Adj 05 - Authorise</t>
  </si>
  <si>
    <t>AE Group Adjustment HEADER TITLES</t>
  </si>
  <si>
    <t>scenario</t>
  </si>
  <si>
    <t>Group Data Entry - New Adj 06 - Copy</t>
  </si>
  <si>
    <t>DBSS(group adj_program)</t>
  </si>
  <si>
    <t>Cash Payment</t>
  </si>
  <si>
    <t>Group Adjustment - Cash</t>
  </si>
  <si>
    <t>Prior Year Actual</t>
  </si>
  <si>
    <t>Program</t>
  </si>
  <si>
    <t>Group Data Entry - New Adj 07 - Customer Numbers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</si>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</sst>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[Red]* \(#,##0\)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F2F3F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1" xfId="0" applyFont="1" applyBorder="1"/>
    <xf numFmtId="0" fontId="4" fillId="0" borderId="0" xfId="0" applyFont="1"/>
    <xf numFmtId="0" fontId="4" fillId="0" borderId="2" xfId="0" applyFont="1" applyBorder="1"/>
    <xf numFmtId="165" fontId="4" fillId="0" borderId="2" xfId="1" applyNumberFormat="1" applyFont="1" applyBorder="1" applyProtection="1">
      <protection locked="0"/>
    </xf>
    <xf numFmtId="0" fontId="5" fillId="6" borderId="0" xfId="0" applyFont="1" applyFill="1" applyAlignment="1">
      <alignment horizontal="right" vertical="center"/>
    </xf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0" xfId="0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3" fillId="7" borderId="2" xfId="0" applyFont="1" applyFill="1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7" fillId="0" borderId="0" xfId="0" applyFont="1" applyAlignment="1">
      <alignment horizontal="right" inden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 indent="1"/>
    </xf>
    <xf numFmtId="0" fontId="8" fillId="0" borderId="0" xfId="0" applyFont="1"/>
    <xf numFmtId="0" fontId="2" fillId="6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2" fillId="0" borderId="0" xfId="0" applyFont="1" applyAlignment="1">
      <alignment horizontal="center"/>
    </xf>
    <xf numFmtId="0" fontId="3" fillId="5" borderId="1" xfId="0" applyFont="1" applyFill="1" applyBorder="1"/>
    <xf numFmtId="0" fontId="3" fillId="5" borderId="14" xfId="0" applyFont="1" applyFill="1" applyBorder="1"/>
    <xf numFmtId="0" fontId="3" fillId="0" borderId="2" xfId="0" applyFont="1" applyBorder="1" applyAlignment="1">
      <alignment horizontal="center"/>
    </xf>
    <xf numFmtId="49" fontId="0" fillId="0" borderId="2" xfId="0" applyNumberFormat="1" applyBorder="1"/>
    <xf numFmtId="0" fontId="6" fillId="9" borderId="2" xfId="0" applyFont="1" applyFill="1" applyBorder="1" applyAlignment="1">
      <alignment horizontal="center" vertical="center"/>
    </xf>
    <xf numFmtId="0" fontId="6" fillId="0" borderId="0" xfId="2" applyFont="1" applyAlignment="1">
      <alignment horizontal="right" indent="1"/>
    </xf>
    <xf numFmtId="0" fontId="0" fillId="10" borderId="2" xfId="0" applyFill="1" applyBorder="1" applyAlignment="1">
      <alignment horizontal="left" indent="1"/>
    </xf>
    <xf numFmtId="0" fontId="3" fillId="0" borderId="0" xfId="0" applyFont="1" applyAlignment="1">
      <alignment horizontal="right" indent="1"/>
    </xf>
    <xf numFmtId="0" fontId="0" fillId="0" borderId="2" xfId="0" applyBorder="1" applyAlignment="1">
      <alignment horizontal="right"/>
    </xf>
    <xf numFmtId="0" fontId="9" fillId="0" borderId="0" xfId="0" applyFont="1" applyAlignment="1">
      <alignment horizontal="left" vertical="top" wrapText="1"/>
    </xf>
    <xf numFmtId="0" fontId="0" fillId="5" borderId="0" xfId="0" applyFill="1"/>
    <xf numFmtId="0" fontId="0" fillId="5" borderId="7" xfId="0" applyFill="1" applyBorder="1"/>
    <xf numFmtId="0" fontId="3" fillId="10" borderId="2" xfId="0" applyFont="1" applyFill="1" applyBorder="1" applyAlignment="1">
      <alignment horizontal="center"/>
    </xf>
    <xf numFmtId="0" fontId="0" fillId="10" borderId="10" xfId="0" applyFill="1" applyBorder="1" applyAlignment="1">
      <alignment horizontal="left" indent="1"/>
    </xf>
    <xf numFmtId="0" fontId="0" fillId="10" borderId="12" xfId="0" applyFill="1" applyBorder="1" applyAlignment="1">
      <alignment horizontal="left" indent="1"/>
    </xf>
    <xf numFmtId="0" fontId="0" fillId="10" borderId="11" xfId="0" applyFill="1" applyBorder="1" applyAlignment="1">
      <alignment horizontal="left" indent="1"/>
    </xf>
    <xf numFmtId="0" fontId="8" fillId="10" borderId="1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0" fillId="10" borderId="2" xfId="0" applyFill="1" applyBorder="1" applyAlignment="1">
      <alignment horizontal="left" indent="1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2" fillId="6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2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14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12" Type="http://schemas.openxmlformats.org/officeDocument/2006/relationships/image" Target="../media/image13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5" Type="http://schemas.openxmlformats.org/officeDocument/2006/relationships/image" Target="../media/image6.emf"/><Relationship Id="rId15" Type="http://schemas.openxmlformats.org/officeDocument/2006/relationships/image" Target="../media/image1.emf"/><Relationship Id="rId10" Type="http://schemas.openxmlformats.org/officeDocument/2006/relationships/image" Target="../media/image11.emf"/><Relationship Id="rId4" Type="http://schemas.openxmlformats.org/officeDocument/2006/relationships/image" Target="../media/image5.emf"/><Relationship Id="rId9" Type="http://schemas.openxmlformats.org/officeDocument/2006/relationships/image" Target="../media/image10.emf"/><Relationship Id="rId14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</xdr:colOff>
          <xdr:row>119</xdr:row>
          <xdr:rowOff>0</xdr:rowOff>
        </xdr:from>
        <xdr:to>
          <xdr:col>9</xdr:col>
          <xdr:colOff>708660</xdr:colOff>
          <xdr:row>119</xdr:row>
          <xdr:rowOff>251460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746760</xdr:colOff>
          <xdr:row>119</xdr:row>
          <xdr:rowOff>0</xdr:rowOff>
        </xdr:from>
        <xdr:to>
          <xdr:col>9</xdr:col>
          <xdr:colOff>1866900</xdr:colOff>
          <xdr:row>119</xdr:row>
          <xdr:rowOff>251460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1188720</xdr:colOff>
          <xdr:row>119</xdr:row>
          <xdr:rowOff>0</xdr:rowOff>
        </xdr:from>
        <xdr:to>
          <xdr:col>17</xdr:col>
          <xdr:colOff>457200</xdr:colOff>
          <xdr:row>119</xdr:row>
          <xdr:rowOff>251460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1897380</xdr:colOff>
          <xdr:row>119</xdr:row>
          <xdr:rowOff>0</xdr:rowOff>
        </xdr:from>
        <xdr:to>
          <xdr:col>11</xdr:col>
          <xdr:colOff>0</xdr:colOff>
          <xdr:row>119</xdr:row>
          <xdr:rowOff>251460</xdr:rowOff>
        </xdr:to>
        <xdr:sp macro="" textlink="">
          <xdr:nvSpPr>
            <xdr:cNvPr id="1031" name="TIButton4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274320</xdr:colOff>
          <xdr:row>119</xdr:row>
          <xdr:rowOff>0</xdr:rowOff>
        </xdr:from>
        <xdr:to>
          <xdr:col>15</xdr:col>
          <xdr:colOff>1150620</xdr:colOff>
          <xdr:row>119</xdr:row>
          <xdr:rowOff>251460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30480</xdr:colOff>
          <xdr:row>119</xdr:row>
          <xdr:rowOff>0</xdr:rowOff>
        </xdr:from>
        <xdr:to>
          <xdr:col>11</xdr:col>
          <xdr:colOff>1318260</xdr:colOff>
          <xdr:row>119</xdr:row>
          <xdr:rowOff>251460</xdr:rowOff>
        </xdr:to>
        <xdr:sp macro="" textlink="">
          <xdr:nvSpPr>
            <xdr:cNvPr id="1033" name="TIButton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160020</xdr:colOff>
          <xdr:row>119</xdr:row>
          <xdr:rowOff>0</xdr:rowOff>
        </xdr:from>
        <xdr:to>
          <xdr:col>13</xdr:col>
          <xdr:colOff>1066800</xdr:colOff>
          <xdr:row>119</xdr:row>
          <xdr:rowOff>251460</xdr:rowOff>
        </xdr:to>
        <xdr:sp macro="" textlink="">
          <xdr:nvSpPr>
            <xdr:cNvPr id="1036" name="TIButton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1089660</xdr:colOff>
          <xdr:row>119</xdr:row>
          <xdr:rowOff>0</xdr:rowOff>
        </xdr:from>
        <xdr:to>
          <xdr:col>15</xdr:col>
          <xdr:colOff>251460</xdr:colOff>
          <xdr:row>119</xdr:row>
          <xdr:rowOff>251460</xdr:rowOff>
        </xdr:to>
        <xdr:sp macro="" textlink="">
          <xdr:nvSpPr>
            <xdr:cNvPr id="1037" name="TIButton10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1325880</xdr:colOff>
          <xdr:row>119</xdr:row>
          <xdr:rowOff>0</xdr:rowOff>
        </xdr:from>
        <xdr:to>
          <xdr:col>13</xdr:col>
          <xdr:colOff>121920</xdr:colOff>
          <xdr:row>119</xdr:row>
          <xdr:rowOff>251460</xdr:rowOff>
        </xdr:to>
        <xdr:sp macro="" textlink="">
          <xdr:nvSpPr>
            <xdr:cNvPr id="1038" name="TIButton11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130</xdr:row>
          <xdr:rowOff>30480</xdr:rowOff>
        </xdr:from>
        <xdr:to>
          <xdr:col>9</xdr:col>
          <xdr:colOff>1318260</xdr:colOff>
          <xdr:row>130</xdr:row>
          <xdr:rowOff>289560</xdr:rowOff>
        </xdr:to>
        <xdr:sp macro="" textlink="">
          <xdr:nvSpPr>
            <xdr:cNvPr id="1039" name="TIButton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1341120</xdr:colOff>
          <xdr:row>130</xdr:row>
          <xdr:rowOff>30480</xdr:rowOff>
        </xdr:from>
        <xdr:to>
          <xdr:col>9</xdr:col>
          <xdr:colOff>2628900</xdr:colOff>
          <xdr:row>130</xdr:row>
          <xdr:rowOff>289560</xdr:rowOff>
        </xdr:to>
        <xdr:sp macro="" textlink="">
          <xdr:nvSpPr>
            <xdr:cNvPr id="1040" name="TIButton12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1188720</xdr:colOff>
          <xdr:row>130</xdr:row>
          <xdr:rowOff>30480</xdr:rowOff>
        </xdr:from>
        <xdr:to>
          <xdr:col>13</xdr:col>
          <xdr:colOff>304800</xdr:colOff>
          <xdr:row>130</xdr:row>
          <xdr:rowOff>289560</xdr:rowOff>
        </xdr:to>
        <xdr:sp macro="" textlink="">
          <xdr:nvSpPr>
            <xdr:cNvPr id="1041" name="TIButton1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327660</xdr:colOff>
          <xdr:row>130</xdr:row>
          <xdr:rowOff>30480</xdr:rowOff>
        </xdr:from>
        <xdr:to>
          <xdr:col>14</xdr:col>
          <xdr:colOff>30480</xdr:colOff>
          <xdr:row>130</xdr:row>
          <xdr:rowOff>289560</xdr:rowOff>
        </xdr:to>
        <xdr:sp macro="" textlink="">
          <xdr:nvSpPr>
            <xdr:cNvPr id="1042" name="TIButton1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556260</xdr:colOff>
          <xdr:row>132</xdr:row>
          <xdr:rowOff>83820</xdr:rowOff>
        </xdr:from>
        <xdr:to>
          <xdr:col>18</xdr:col>
          <xdr:colOff>792480</xdr:colOff>
          <xdr:row>133</xdr:row>
          <xdr:rowOff>152400</xdr:rowOff>
        </xdr:to>
        <xdr:sp macro="" textlink="">
          <xdr:nvSpPr>
            <xdr:cNvPr id="1043" name="TIButton15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28575</xdr:colOff>
      <xdr:row>117</xdr:row>
      <xdr:rowOff>19050</xdr:rowOff>
    </xdr:from>
    <xdr:to>
      <xdr:col>9</xdr:col>
      <xdr:colOff>1769745</xdr:colOff>
      <xdr:row>117</xdr:row>
      <xdr:rowOff>476250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2659380</xdr:colOff>
          <xdr:row>130</xdr:row>
          <xdr:rowOff>30480</xdr:rowOff>
        </xdr:from>
        <xdr:to>
          <xdr:col>11</xdr:col>
          <xdr:colOff>1173480</xdr:colOff>
          <xdr:row>130</xdr:row>
          <xdr:rowOff>289560</xdr:rowOff>
        </xdr:to>
        <xdr:sp macro="" textlink="">
          <xdr:nvSpPr>
            <xdr:cNvPr id="1044" name="TIButton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8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outlinePr showOutlineSymbols="0"/>
    <pageSetUpPr fitToPage="1"/>
  </sheetPr>
  <dimension ref="A1:AA138"/>
  <sheetViews>
    <sheetView showGridLines="0" showRowColHeaders="0" tabSelected="1" showOutlineSymbols="0" topLeftCell="A118" zoomScaleNormal="100" workbookViewId="0">
      <pane ySplit="20" topLeftCell="A138" activePane="bottomLeft" state="frozen"/>
      <selection activeCell="I118" sqref="I118"/>
      <selection pane="bottomLeft" activeCell="J138" sqref="J138"/>
    </sheetView>
  </sheetViews>
  <sheetFormatPr defaultColWidth="9.109375" defaultRowHeight="14.4" outlineLevelRow="1" outlineLevelCol="1" x14ac:dyDescent="0.3"/>
  <cols>
    <col min="1" max="1" width="2.6640625" style="9" hidden="1" customWidth="1" outlineLevel="1"/>
    <col min="2" max="2" width="53" style="9" hidden="1" customWidth="1" outlineLevel="1"/>
    <col min="3" max="8" width="19.109375" style="9" hidden="1" customWidth="1" outlineLevel="1"/>
    <col min="9" max="9" width="0.88671875" style="9" customWidth="1" collapsed="1"/>
    <col min="10" max="10" width="40.6640625" style="9" customWidth="1"/>
    <col min="11" max="11" width="0.88671875" style="9" customWidth="1"/>
    <col min="12" max="12" width="31.6640625" style="9" bestFit="1" customWidth="1"/>
    <col min="13" max="13" width="0.88671875" style="9" customWidth="1"/>
    <col min="14" max="14" width="23.6640625" style="9" customWidth="1"/>
    <col min="15" max="15" width="0.88671875" style="9" customWidth="1"/>
    <col min="16" max="16" width="21.88671875" style="9" customWidth="1"/>
    <col min="17" max="17" width="0.88671875" style="9" customWidth="1"/>
    <col min="18" max="27" width="15.6640625" style="9" customWidth="1"/>
    <col min="28" max="31" width="9.6640625" style="9" bestFit="1" customWidth="1"/>
    <col min="32" max="16384" width="9.109375" style="9"/>
  </cols>
  <sheetData>
    <row r="1" spans="1:27" customFormat="1" ht="15" hidden="1" customHeight="1" outlineLevel="1" x14ac:dyDescent="0.3">
      <c r="A1" t="s">
        <v>0</v>
      </c>
    </row>
    <row r="2" spans="1:27" customFormat="1" ht="15" hidden="1" customHeight="1" outlineLevel="1" x14ac:dyDescent="0.3">
      <c r="A2">
        <f>0</f>
        <v>0</v>
      </c>
      <c r="B2" s="1"/>
    </row>
    <row r="3" spans="1:27" customFormat="1" ht="15" hidden="1" customHeight="1" outlineLevel="1" x14ac:dyDescent="0.3">
      <c r="A3">
        <f>1</f>
        <v>1</v>
      </c>
      <c r="B3" s="8"/>
    </row>
    <row r="4" spans="1:27" customFormat="1" ht="15" hidden="1" customHeight="1" outlineLevel="1" x14ac:dyDescent="0.3">
      <c r="A4">
        <f>2</f>
        <v>2</v>
      </c>
      <c r="B4" s="8"/>
    </row>
    <row r="5" spans="1:27" customFormat="1" ht="15" hidden="1" customHeight="1" outlineLevel="1" x14ac:dyDescent="0.3">
      <c r="A5">
        <f>3</f>
        <v>3</v>
      </c>
      <c r="B5" s="8"/>
    </row>
    <row r="6" spans="1:27" customFormat="1" ht="15" hidden="1" customHeight="1" outlineLevel="1" x14ac:dyDescent="0.3">
      <c r="A6" t="s">
        <v>1</v>
      </c>
      <c r="B6" s="8"/>
    </row>
    <row r="7" spans="1:27" customFormat="1" ht="15" hidden="1" customHeight="1" outlineLevel="1" x14ac:dyDescent="0.3">
      <c r="A7" t="s">
        <v>2</v>
      </c>
      <c r="B7" s="7"/>
      <c r="C7" s="7"/>
      <c r="D7" s="7"/>
      <c r="E7" s="7"/>
      <c r="F7" s="7"/>
      <c r="G7" s="7"/>
      <c r="H7" s="7"/>
      <c r="J7" s="3"/>
      <c r="K7" s="2"/>
      <c r="L7" s="3"/>
      <c r="M7" s="2"/>
      <c r="N7" s="3"/>
      <c r="O7" s="2"/>
      <c r="P7" s="3"/>
      <c r="Q7" s="2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customFormat="1" ht="15" hidden="1" customHeight="1" outlineLevel="1" x14ac:dyDescent="0.3">
      <c r="A8" t="s">
        <v>3</v>
      </c>
    </row>
    <row r="9" spans="1:27" customFormat="1" ht="4.5" hidden="1" customHeight="1" outlineLevel="1" x14ac:dyDescent="0.3"/>
    <row r="10" spans="1:27" customFormat="1" hidden="1" outlineLevel="1" x14ac:dyDescent="0.3"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customFormat="1" hidden="1" outlineLevel="1" x14ac:dyDescent="0.3">
      <c r="B11" s="59" t="s">
        <v>86</v>
      </c>
      <c r="C11" s="60"/>
      <c r="D11" s="6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customFormat="1" hidden="1" outlineLevel="1" x14ac:dyDescent="0.3">
      <c r="B12" s="6" t="s">
        <v>6</v>
      </c>
      <c r="C12" s="7" t="s">
        <v>301</v>
      </c>
      <c r="D12" s="7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customFormat="1" hidden="1" outlineLevel="1" x14ac:dyDescent="0.3">
      <c r="B13" s="6" t="s">
        <v>82</v>
      </c>
      <c r="C13" s="10" t="str" cm="1">
        <f t="array" aca="1" ref="C13" ca="1">_xll.VIEW(db_name&amp;":}ElementAttributes_}Clients","!","!")</f>
        <v>dcceew_geus:}ElementAttributes_}Clients</v>
      </c>
      <c r="D13" s="7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customFormat="1" hidden="1" outlineLevel="1" x14ac:dyDescent="0.3">
      <c r="B14" s="6" t="s">
        <v>83</v>
      </c>
      <c r="C14" s="11" t="str" cm="1">
        <f t="array" aca="1" ref="C14" ca="1">_xll.TM1USER(db_name)</f>
        <v/>
      </c>
      <c r="D14" s="7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customFormat="1" hidden="1" outlineLevel="1" x14ac:dyDescent="0.3">
      <c r="B15" s="6" t="s">
        <v>84</v>
      </c>
      <c r="C15" s="11" t="str" cm="1">
        <f t="array" aca="1" ref="C15" ca="1">_xll.DBR($C$13,$C$14,$B15)</f>
        <v>*KEY_ERR</v>
      </c>
      <c r="D15" s="7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customFormat="1" hidden="1" outlineLevel="1" x14ac:dyDescent="0.3">
      <c r="B16" s="6" t="s">
        <v>85</v>
      </c>
      <c r="C16" s="11" t="str" cm="1">
        <f t="array" aca="1" ref="C16" ca="1">_xll.DBR($C$13,$C$14,$B16)</f>
        <v>*KEY_ERR</v>
      </c>
      <c r="D16" s="7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2:27" customFormat="1" hidden="1" outlineLevel="1" x14ac:dyDescent="0.3">
      <c r="B17" s="6" t="s">
        <v>41</v>
      </c>
      <c r="C17" s="11" t="str">
        <f ca="1">IF(LEFT($C$15,6)="CAM_AD",$C$16,$C$15)</f>
        <v>*KEY_ERR</v>
      </c>
      <c r="D17" s="7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customFormat="1" hidden="1" outlineLevel="1" x14ac:dyDescent="0.3"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customFormat="1" hidden="1" outlineLevel="1" x14ac:dyDescent="0.3">
      <c r="B19" s="59" t="s">
        <v>87</v>
      </c>
      <c r="C19" s="60"/>
      <c r="D19" s="61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customFormat="1" hidden="1" outlineLevel="1" x14ac:dyDescent="0.3">
      <c r="B20" s="6" t="s">
        <v>88</v>
      </c>
      <c r="C20" s="7" t="str" cm="1">
        <f t="array" aca="1" ref="C20" ca="1">_xll.VIEW(db_name&amp;":}ElementAttributes_variables","!","!")</f>
        <v>dcceew_geus:}ElementAttributes_variables</v>
      </c>
      <c r="D20" s="7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2:27" customFormat="1" hidden="1" outlineLevel="1" x14ac:dyDescent="0.3">
      <c r="B21" s="6" t="s">
        <v>89</v>
      </c>
      <c r="C21" s="7" t="str" cm="1">
        <f t="array" aca="1" ref="C21" ca="1">_xll.DBR($C$20,$B21,"value")</f>
        <v>*KEY_ERR</v>
      </c>
      <c r="D21" s="7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customFormat="1" hidden="1" outlineLevel="1" x14ac:dyDescent="0.3">
      <c r="B22" s="6" t="s">
        <v>90</v>
      </c>
      <c r="C22" s="7" t="str" cm="1">
        <f t="array" aca="1" ref="C22" ca="1">_xll.DBR($C$20,$B22,"value")</f>
        <v>*KEY_ERR</v>
      </c>
      <c r="D22" s="7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2:27" customFormat="1" hidden="1" outlineLevel="1" x14ac:dyDescent="0.3">
      <c r="B23" s="6" t="s">
        <v>91</v>
      </c>
      <c r="C23" s="7" t="str" cm="1">
        <f t="array" aca="1" ref="C23" ca="1">_xll.DBR($C$20,$B23,"value")</f>
        <v>*KEY_ERR</v>
      </c>
      <c r="D23" s="7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customFormat="1" hidden="1" outlineLevel="1" x14ac:dyDescent="0.3">
      <c r="B24" s="6" t="s">
        <v>92</v>
      </c>
      <c r="C24" s="7" t="str" cm="1">
        <f t="array" aca="1" ref="C24" ca="1">_xll.DBR($C$20,$B24,"value")</f>
        <v>*KEY_ERR</v>
      </c>
      <c r="D24" s="7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customFormat="1" hidden="1" outlineLevel="1" x14ac:dyDescent="0.3">
      <c r="B25" s="6" t="s">
        <v>93</v>
      </c>
      <c r="C25" s="7" t="str" cm="1">
        <f t="array" aca="1" ref="C25" ca="1">_xll.DBR($C$20,$B25,"value")</f>
        <v>*KEY_ERR</v>
      </c>
      <c r="D25" s="7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2:27" customFormat="1" hidden="1" outlineLevel="1" x14ac:dyDescent="0.3">
      <c r="B26" s="6" t="s">
        <v>94</v>
      </c>
      <c r="C26" s="7" t="str" cm="1">
        <f t="array" aca="1" ref="C26" ca="1">_xll.DBR($C$20,$B26,"value")</f>
        <v>*KEY_ERR</v>
      </c>
      <c r="D26" s="7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2:27" customFormat="1" hidden="1" outlineLevel="1" x14ac:dyDescent="0.3">
      <c r="B27" s="20" t="s">
        <v>133</v>
      </c>
      <c r="C27" s="7" t="str" cm="1">
        <f t="array" aca="1" ref="C27" ca="1">_xll.DBR($C$20,$B27,"value")</f>
        <v>*KEY_ERR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customFormat="1" hidden="1" outlineLevel="1" x14ac:dyDescent="0.3"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2:27" customFormat="1" hidden="1" outlineLevel="1" x14ac:dyDescent="0.3">
      <c r="B29" s="59" t="s">
        <v>95</v>
      </c>
      <c r="C29" s="60"/>
      <c r="D29" s="61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2:27" customFormat="1" hidden="1" outlineLevel="1" x14ac:dyDescent="0.3">
      <c r="B30" s="7" t="s">
        <v>96</v>
      </c>
      <c r="C30" s="7" t="str">
        <f ca="1">_xll.VIEW(db_name&amp;":sys_application","!","!")</f>
        <v>dcceew_geus:sys_application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2:27" customFormat="1" hidden="1" outlineLevel="1" x14ac:dyDescent="0.3">
      <c r="B31" s="7" t="s">
        <v>97</v>
      </c>
      <c r="C31" s="7" t="s">
        <v>112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2:27" customFormat="1" hidden="1" outlineLevel="1" x14ac:dyDescent="0.3">
      <c r="B32" s="32" t="s">
        <v>98</v>
      </c>
      <c r="C32" s="33" t="s">
        <v>99</v>
      </c>
      <c r="D32" s="33" t="s">
        <v>100</v>
      </c>
      <c r="E32" s="33" t="s">
        <v>101</v>
      </c>
      <c r="F32" s="33" t="s">
        <v>102</v>
      </c>
      <c r="G32" s="33" t="s">
        <v>103</v>
      </c>
      <c r="H32" s="33" t="s">
        <v>104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2:27" customFormat="1" hidden="1" outlineLevel="1" x14ac:dyDescent="0.3">
      <c r="B33" s="7" t="s">
        <v>105</v>
      </c>
      <c r="C33" s="7" t="str" cm="1">
        <f t="array" aca="1" ref="C33" ca="1">_xll.DBR($C$30,$B33,C$32)</f>
        <v>*KEY_ERR</v>
      </c>
      <c r="D33" s="7" t="str" cm="1">
        <f t="array" aca="1" ref="D33" ca="1">_xll.DBR($C$30,$B33,D$32)</f>
        <v>*KEY_ERR</v>
      </c>
      <c r="E33" s="7" t="str" cm="1">
        <f t="array" aca="1" ref="E33" ca="1">_xll.DBR($C$30,$B33,E$32)</f>
        <v>*KEY_ERR</v>
      </c>
      <c r="F33" s="7" t="str" cm="1">
        <f t="array" aca="1" ref="F33" ca="1">_xll.DBR($C$30,$B33,F$32)</f>
        <v>*KEY_ERR</v>
      </c>
      <c r="G33" s="7" t="str" cm="1">
        <f t="array" aca="1" ref="G33" ca="1">_xll.DBR($C$30,$B33,G$32)</f>
        <v>*KEY_ERR</v>
      </c>
      <c r="H33" s="7" t="str" cm="1">
        <f t="array" aca="1" ref="H33" ca="1">_xll.DBR($C$30,$B33,H$32)</f>
        <v>*KEY_ERR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customFormat="1" hidden="1" outlineLevel="1" x14ac:dyDescent="0.3">
      <c r="B34" s="7" t="s">
        <v>106</v>
      </c>
      <c r="C34" s="7" t="str" cm="1">
        <f t="array" aca="1" ref="C34" ca="1">_xll.DBR($C$30,$B34,C$32)</f>
        <v>*KEY_ERR</v>
      </c>
      <c r="D34" s="7" t="str" cm="1">
        <f t="array" aca="1" ref="D34" ca="1">_xll.DBR($C$30,$B34,D$32)</f>
        <v>*KEY_ERR</v>
      </c>
      <c r="E34" s="7" t="str" cm="1">
        <f t="array" aca="1" ref="E34" ca="1">_xll.DBR($C$30,$B34,E$32)</f>
        <v>*KEY_ERR</v>
      </c>
      <c r="F34" s="7" t="str" cm="1">
        <f t="array" aca="1" ref="F34" ca="1">_xll.DBR($C$30,$B34,F$32)</f>
        <v>*KEY_ERR</v>
      </c>
      <c r="G34" s="7" t="str" cm="1">
        <f t="array" aca="1" ref="G34" ca="1">_xll.DBR($C$30,$B34,G$32)</f>
        <v>*KEY_ERR</v>
      </c>
      <c r="H34" s="7" t="str" cm="1">
        <f t="array" aca="1" ref="H34" ca="1">_xll.DBR($C$30,$B34,H$32)</f>
        <v>*KEY_ERR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2:27" customFormat="1" hidden="1" outlineLevel="1" x14ac:dyDescent="0.3">
      <c r="B35" s="7" t="s">
        <v>107</v>
      </c>
      <c r="C35" s="7" t="str" cm="1">
        <f t="array" aca="1" ref="C35" ca="1">_xll.DBR($C$30,$B35,C$32)</f>
        <v>*KEY_ERR</v>
      </c>
      <c r="D35" s="7" t="str" cm="1">
        <f t="array" aca="1" ref="D35" ca="1">_xll.DBR($C$30,$B35,D$32)</f>
        <v>*KEY_ERR</v>
      </c>
      <c r="E35" s="7" t="str" cm="1">
        <f t="array" aca="1" ref="E35" ca="1">_xll.DBR($C$30,$B35,E$32)</f>
        <v>*KEY_ERR</v>
      </c>
      <c r="F35" s="7" t="str" cm="1">
        <f t="array" aca="1" ref="F35" ca="1">_xll.DBR($C$30,$B35,F$32)</f>
        <v>*KEY_ERR</v>
      </c>
      <c r="G35" s="7" t="str" cm="1">
        <f t="array" aca="1" ref="G35" ca="1">_xll.DBR($C$30,$B35,G$32)</f>
        <v>*KEY_ERR</v>
      </c>
      <c r="H35" s="7" t="str" cm="1">
        <f t="array" aca="1" ref="H35" ca="1">_xll.DBR($C$30,$B35,H$32)</f>
        <v>*KEY_ERR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2:27" customFormat="1" hidden="1" outlineLevel="1" x14ac:dyDescent="0.3">
      <c r="B36" s="7" t="s">
        <v>136</v>
      </c>
      <c r="C36" s="7" t="str" cm="1">
        <f t="array" aca="1" ref="C36" ca="1">_xll.DBR($C$30,$B36,C$32)</f>
        <v>*KEY_ERR</v>
      </c>
      <c r="D36" s="7" t="str" cm="1">
        <f t="array" aca="1" ref="D36" ca="1">_xll.DBR($C$30,$B36,D$32)</f>
        <v>*KEY_ERR</v>
      </c>
      <c r="E36" s="7" t="str" cm="1">
        <f t="array" aca="1" ref="E36" ca="1">_xll.DBR($C$30,$B36,E$32)</f>
        <v>*KEY_ERR</v>
      </c>
      <c r="F36" s="7" t="str" cm="1">
        <f t="array" aca="1" ref="F36" ca="1">_xll.DBR($C$30,$B36,F$32)</f>
        <v>*KEY_ERR</v>
      </c>
      <c r="G36" s="7" t="str" cm="1">
        <f t="array" aca="1" ref="G36" ca="1">_xll.DBR($C$30,$B36,G$32)</f>
        <v>*KEY_ERR</v>
      </c>
      <c r="H36" s="7" t="str" cm="1">
        <f t="array" aca="1" ref="H36" ca="1">_xll.DBR($C$30,$B36,H$32)</f>
        <v>*KEY_ERR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27" customFormat="1" hidden="1" outlineLevel="1" x14ac:dyDescent="0.3">
      <c r="B37" s="7" t="s">
        <v>108</v>
      </c>
      <c r="C37" s="7" t="str" cm="1">
        <f t="array" aca="1" ref="C37" ca="1">_xll.DBR($C$30,$B37,C$32)</f>
        <v>*KEY_ERR</v>
      </c>
      <c r="D37" s="7" t="str" cm="1">
        <f t="array" aca="1" ref="D37" ca="1">_xll.DBR($C$30,$B37,D$32)</f>
        <v>*KEY_ERR</v>
      </c>
      <c r="E37" s="7" t="str" cm="1">
        <f t="array" aca="1" ref="E37" ca="1">_xll.DBR($C$30,$B37,E$32)</f>
        <v>*KEY_ERR</v>
      </c>
      <c r="F37" s="7" t="str" cm="1">
        <f t="array" aca="1" ref="F37" ca="1">_xll.DBR($C$30,$B37,F$32)</f>
        <v>*KEY_ERR</v>
      </c>
      <c r="G37" s="7" t="str" cm="1">
        <f t="array" aca="1" ref="G37" ca="1">_xll.DBR($C$30,$B37,G$32)</f>
        <v>*KEY_ERR</v>
      </c>
      <c r="H37" s="7" t="str" cm="1">
        <f t="array" aca="1" ref="H37" ca="1">_xll.DBR($C$30,$B37,H$32)</f>
        <v>*KEY_ERR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2:27" customFormat="1" hidden="1" outlineLevel="1" x14ac:dyDescent="0.3">
      <c r="B38" s="7" t="s">
        <v>109</v>
      </c>
      <c r="C38" s="7" t="str" cm="1">
        <f t="array" aca="1" ref="C38" ca="1">_xll.DBR($C$30,$B38,C$32)</f>
        <v>*KEY_ERR</v>
      </c>
      <c r="D38" s="7" t="str" cm="1">
        <f t="array" aca="1" ref="D38" ca="1">_xll.DBR($C$30,$B38,D$32)</f>
        <v>*KEY_ERR</v>
      </c>
      <c r="E38" s="7" t="str" cm="1">
        <f t="array" aca="1" ref="E38" ca="1">_xll.DBR($C$30,$B38,E$32)</f>
        <v>*KEY_ERR</v>
      </c>
      <c r="F38" s="7" t="str" cm="1">
        <f t="array" aca="1" ref="F38" ca="1">_xll.DBR($C$30,$B38,F$32)</f>
        <v>*KEY_ERR</v>
      </c>
      <c r="G38" s="7" t="str" cm="1">
        <f t="array" aca="1" ref="G38" ca="1">_xll.DBR($C$30,$B38,G$32)</f>
        <v>*KEY_ERR</v>
      </c>
      <c r="H38" s="7" t="str" cm="1">
        <f t="array" aca="1" ref="H38" ca="1">_xll.DBR($C$30,$B38,H$32)</f>
        <v>*KEY_ERR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2:27" customFormat="1" hidden="1" outlineLevel="1" x14ac:dyDescent="0.3">
      <c r="B39" s="7" t="s">
        <v>110</v>
      </c>
      <c r="C39" s="7" t="str" cm="1">
        <f t="array" aca="1" ref="C39" ca="1">_xll.DBR($C$30,$B39,C$32)</f>
        <v>*KEY_ERR</v>
      </c>
      <c r="D39" s="7" t="str" cm="1">
        <f t="array" aca="1" ref="D39" ca="1">_xll.DBR($C$30,$B39,D$32)</f>
        <v>*KEY_ERR</v>
      </c>
      <c r="E39" s="7" t="str" cm="1">
        <f t="array" aca="1" ref="E39" ca="1">_xll.DBR($C$30,$B39,E$32)</f>
        <v>*KEY_ERR</v>
      </c>
      <c r="F39" s="7" t="str" cm="1">
        <f t="array" aca="1" ref="F39" ca="1">_xll.DBR($C$30,$B39,F$32)</f>
        <v>*KEY_ERR</v>
      </c>
      <c r="G39" s="7" t="str" cm="1">
        <f t="array" aca="1" ref="G39" ca="1">_xll.DBR($C$30,$B39,G$32)</f>
        <v>*KEY_ERR</v>
      </c>
      <c r="H39" s="7" t="str" cm="1">
        <f t="array" aca="1" ref="H39" ca="1">_xll.DBR($C$30,$B39,H$32)</f>
        <v>*KEY_ERR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2:27" customFormat="1" hidden="1" outlineLevel="1" x14ac:dyDescent="0.3">
      <c r="B40" s="7" t="s">
        <v>111</v>
      </c>
      <c r="C40" s="7" t="str" cm="1">
        <f t="array" aca="1" ref="C40" ca="1">_xll.DBR($C$30,$B40,C$32)</f>
        <v>*KEY_ERR</v>
      </c>
      <c r="D40" s="7" t="str" cm="1">
        <f t="array" aca="1" ref="D40" ca="1">_xll.DBR($C$30,$B40,D$32)</f>
        <v>*KEY_ERR</v>
      </c>
      <c r="E40" s="7" t="str" cm="1">
        <f t="array" aca="1" ref="E40" ca="1">_xll.DBR($C$30,$B40,E$32)</f>
        <v>*KEY_ERR</v>
      </c>
      <c r="F40" s="7" t="str" cm="1">
        <f t="array" aca="1" ref="F40" ca="1">_xll.DBR($C$30,$B40,F$32)</f>
        <v>*KEY_ERR</v>
      </c>
      <c r="G40" s="7" t="str" cm="1">
        <f t="array" aca="1" ref="G40" ca="1">_xll.DBR($C$30,$B40,G$32)</f>
        <v>*KEY_ERR</v>
      </c>
      <c r="H40" s="7" t="str" cm="1">
        <f t="array" aca="1" ref="H40" ca="1">_xll.DBR($C$30,$B40,H$32)</f>
        <v>*KEY_ERR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customFormat="1" hidden="1" outlineLevel="1" x14ac:dyDescent="0.3">
      <c r="B41" s="7" t="s">
        <v>112</v>
      </c>
      <c r="C41" s="7" t="str" cm="1">
        <f t="array" aca="1" ref="C41" ca="1">_xll.DBR($C$30,$B41,C$32)</f>
        <v>*KEY_ERR</v>
      </c>
      <c r="D41" s="7" t="str" cm="1">
        <f t="array" aca="1" ref="D41" ca="1">_xll.DBR($C$30,$B41,D$32)</f>
        <v>*KEY_ERR</v>
      </c>
      <c r="E41" s="7" t="str" cm="1">
        <f t="array" aca="1" ref="E41" ca="1">_xll.DBR($C$30,$B41,E$32)</f>
        <v>*KEY_ERR</v>
      </c>
      <c r="F41" s="7" t="str" cm="1">
        <f t="array" aca="1" ref="F41" ca="1">_xll.DBR($C$30,$B41,F$32)</f>
        <v>*KEY_ERR</v>
      </c>
      <c r="G41" s="7" t="str" cm="1">
        <f t="array" aca="1" ref="G41" ca="1">_xll.DBR($C$30,$B41,G$32)</f>
        <v>*KEY_ERR</v>
      </c>
      <c r="H41" s="7" t="str" cm="1">
        <f t="array" aca="1" ref="H41" ca="1">_xll.DBR($C$30,$B41,H$32)</f>
        <v>*KEY_ERR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2:27" customFormat="1" hidden="1" outlineLevel="1" x14ac:dyDescent="0.3">
      <c r="B42" s="7" t="s">
        <v>113</v>
      </c>
      <c r="C42" s="7" t="str" cm="1">
        <f t="array" aca="1" ref="C42" ca="1">_xll.DBR($C$30,$B42,C$32)</f>
        <v>*KEY_ERR</v>
      </c>
      <c r="D42" s="7" t="str" cm="1">
        <f t="array" aca="1" ref="D42" ca="1">_xll.DBR($C$30,$B42,D$32)</f>
        <v>*KEY_ERR</v>
      </c>
      <c r="E42" s="7" t="str" cm="1">
        <f t="array" aca="1" ref="E42" ca="1">_xll.DBR($C$30,$B42,E$32)</f>
        <v>*KEY_ERR</v>
      </c>
      <c r="F42" s="7" t="str" cm="1">
        <f t="array" aca="1" ref="F42" ca="1">_xll.DBR($C$30,$B42,F$32)</f>
        <v>*KEY_ERR</v>
      </c>
      <c r="G42" s="7" t="str" cm="1">
        <f t="array" aca="1" ref="G42" ca="1">_xll.DBR($C$30,$B42,G$32)</f>
        <v>*KEY_ERR</v>
      </c>
      <c r="H42" s="7" t="str" cm="1">
        <f t="array" aca="1" ref="H42" ca="1">_xll.DBR($C$30,$B42,H$32)</f>
        <v>*KEY_ERR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2:27" customFormat="1" hidden="1" outlineLevel="1" x14ac:dyDescent="0.3">
      <c r="B43" s="7" t="s">
        <v>114</v>
      </c>
      <c r="C43" s="7" t="str" cm="1">
        <f t="array" aca="1" ref="C43" ca="1">_xll.DBR($C$30,$B43,C$32)</f>
        <v>*KEY_ERR</v>
      </c>
      <c r="D43" s="7" t="str" cm="1">
        <f t="array" aca="1" ref="D43" ca="1">_xll.DBR($C$30,$B43,D$32)</f>
        <v>*KEY_ERR</v>
      </c>
      <c r="E43" s="7" t="str" cm="1">
        <f t="array" aca="1" ref="E43" ca="1">_xll.DBR($C$30,$B43,E$32)</f>
        <v>*KEY_ERR</v>
      </c>
      <c r="F43" s="7" t="str" cm="1">
        <f t="array" aca="1" ref="F43" ca="1">_xll.DBR($C$30,$B43,F$32)</f>
        <v>*KEY_ERR</v>
      </c>
      <c r="G43" s="7" t="str" cm="1">
        <f t="array" aca="1" ref="G43" ca="1">_xll.DBR($C$30,$B43,G$32)</f>
        <v>*KEY_ERR</v>
      </c>
      <c r="H43" s="7" t="str" cm="1">
        <f t="array" aca="1" ref="H43" ca="1">_xll.DBR($C$30,$B43,H$32)</f>
        <v>*KEY_ERR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2:27" customFormat="1" hidden="1" outlineLevel="1" x14ac:dyDescent="0.3">
      <c r="B44" s="7" t="s">
        <v>291</v>
      </c>
      <c r="C44" s="7" t="str" cm="1">
        <f t="array" aca="1" ref="C44" ca="1">_xll.DBR($C$30,$B44,C$32)</f>
        <v>*KEY_ERR</v>
      </c>
      <c r="D44" s="7" t="str" cm="1">
        <f t="array" aca="1" ref="D44" ca="1">_xll.DBR($C$30,$B44,D$32)</f>
        <v>*KEY_ERR</v>
      </c>
      <c r="E44" s="7" t="str" cm="1">
        <f t="array" aca="1" ref="E44" ca="1">_xll.DBR($C$30,$B44,E$32)</f>
        <v>*KEY_ERR</v>
      </c>
      <c r="F44" s="7" t="str" cm="1">
        <f t="array" aca="1" ref="F44" ca="1">_xll.DBR($C$30,$B44,F$32)</f>
        <v>*KEY_ERR</v>
      </c>
      <c r="G44" s="7" t="str" cm="1">
        <f t="array" aca="1" ref="G44" ca="1">_xll.DBR($C$30,$B44,G$32)</f>
        <v>*KEY_ERR</v>
      </c>
      <c r="H44" s="7" t="str" cm="1">
        <f t="array" aca="1" ref="H44" ca="1">_xll.DBR($C$30,$B44,H$32)</f>
        <v>*KEY_ERR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2:27" customFormat="1" hidden="1" outlineLevel="1" x14ac:dyDescent="0.3">
      <c r="B45" s="7" t="s">
        <v>294</v>
      </c>
      <c r="C45" s="7" t="str" cm="1">
        <f t="array" aca="1" ref="C45" ca="1">_xll.DBR($C$30,$B45,C$32)</f>
        <v>*KEY_ERR</v>
      </c>
      <c r="D45" s="7" t="str" cm="1">
        <f t="array" aca="1" ref="D45" ca="1">_xll.DBR($C$30,$B45,D$32)</f>
        <v>*KEY_ERR</v>
      </c>
      <c r="E45" s="7" t="str" cm="1">
        <f t="array" aca="1" ref="E45" ca="1">_xll.DBR($C$30,$B45,E$32)</f>
        <v>*KEY_ERR</v>
      </c>
      <c r="F45" s="7" t="str" cm="1">
        <f t="array" aca="1" ref="F45" ca="1">_xll.DBR($C$30,$B45,F$32)</f>
        <v>*KEY_ERR</v>
      </c>
      <c r="G45" s="7" t="str" cm="1">
        <f t="array" aca="1" ref="G45" ca="1">_xll.DBR($C$30,$B45,G$32)</f>
        <v>*KEY_ERR</v>
      </c>
      <c r="H45" s="7" t="str" cm="1">
        <f t="array" aca="1" ref="H45" ca="1">_xll.DBR($C$30,$B45,H$32)</f>
        <v>*KEY_ERR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2:27" customFormat="1" hidden="1" outlineLevel="1" x14ac:dyDescent="0.3">
      <c r="B46" s="7" t="s">
        <v>300</v>
      </c>
      <c r="C46" s="7" t="str" cm="1">
        <f t="array" aca="1" ref="C46" ca="1">_xll.DBR($C$30,$B46,C$32)</f>
        <v>*KEY_ERR</v>
      </c>
      <c r="D46" s="7" t="str" cm="1">
        <f t="array" aca="1" ref="D46" ca="1">_xll.DBR($C$30,$B46,D$32)</f>
        <v>*KEY_ERR</v>
      </c>
      <c r="E46" s="7" t="str" cm="1">
        <f t="array" aca="1" ref="E46" ca="1">_xll.DBR($C$30,$B46,E$32)</f>
        <v>*KEY_ERR</v>
      </c>
      <c r="F46" s="7" t="str" cm="1">
        <f t="array" aca="1" ref="F46" ca="1">_xll.DBR($C$30,$B46,F$32)</f>
        <v>*KEY_ERR</v>
      </c>
      <c r="G46" s="7" t="str" cm="1">
        <f t="array" aca="1" ref="G46" ca="1">_xll.DBR($C$30,$B46,G$32)</f>
        <v>*KEY_ERR</v>
      </c>
      <c r="H46" s="7" t="str" cm="1">
        <f t="array" aca="1" ref="H46" ca="1">_xll.DBR($C$30,$B46,H$32)</f>
        <v>*KEY_ERR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2:27" customFormat="1" hidden="1" outlineLevel="1" x14ac:dyDescent="0.3">
      <c r="B47" s="7" t="s">
        <v>115</v>
      </c>
      <c r="C47" s="7" t="str" cm="1">
        <f t="array" aca="1" ref="C47" ca="1">_xll.DBR($C$30,$B47,C$32)</f>
        <v>*KEY_ERR</v>
      </c>
      <c r="D47" s="7" t="str" cm="1">
        <f t="array" aca="1" ref="D47" ca="1">_xll.DBR($C$30,$B47,D$32)</f>
        <v>*KEY_ERR</v>
      </c>
      <c r="E47" s="7" t="str" cm="1">
        <f t="array" aca="1" ref="E47" ca="1">_xll.DBR($C$30,$B47,E$32)</f>
        <v>*KEY_ERR</v>
      </c>
      <c r="F47" s="7" t="str" cm="1">
        <f t="array" aca="1" ref="F47" ca="1">_xll.DBR($C$30,$B47,F$32)</f>
        <v>*KEY_ERR</v>
      </c>
      <c r="G47" s="7" t="str" cm="1">
        <f t="array" aca="1" ref="G47" ca="1">_xll.DBR($C$30,$B47,G$32)</f>
        <v>*KEY_ERR</v>
      </c>
      <c r="H47" s="7" t="str" cm="1">
        <f t="array" aca="1" ref="H47" ca="1">_xll.DBR($C$30,$B47,H$32)</f>
        <v>*KEY_ERR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2:27" customFormat="1" hidden="1" outlineLevel="1" x14ac:dyDescent="0.3">
      <c r="B48" s="7" t="s">
        <v>116</v>
      </c>
      <c r="C48" s="7" t="str" cm="1">
        <f t="array" aca="1" ref="C48" ca="1">_xll.DBR($C$30,$B48,C$32)</f>
        <v>*KEY_ERR</v>
      </c>
      <c r="D48" s="7" t="str" cm="1">
        <f t="array" aca="1" ref="D48" ca="1">_xll.DBR($C$30,$B48,D$32)</f>
        <v>*KEY_ERR</v>
      </c>
      <c r="E48" s="7" t="str" cm="1">
        <f t="array" aca="1" ref="E48" ca="1">_xll.DBR($C$30,$B48,E$32)</f>
        <v>*KEY_ERR</v>
      </c>
      <c r="F48" s="7" t="str" cm="1">
        <f t="array" aca="1" ref="F48" ca="1">_xll.DBR($C$30,$B48,F$32)</f>
        <v>*KEY_ERR</v>
      </c>
      <c r="G48" s="7" t="str" cm="1">
        <f t="array" aca="1" ref="G48" ca="1">_xll.DBR($C$30,$B48,G$32)</f>
        <v>*KEY_ERR</v>
      </c>
      <c r="H48" s="7" t="str" cm="1">
        <f t="array" aca="1" ref="H48" ca="1">_xll.DBR($C$30,$B48,H$32)</f>
        <v>*KEY_ERR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2:27" customFormat="1" hidden="1" outlineLevel="1" x14ac:dyDescent="0.3">
      <c r="B49" s="7" t="s">
        <v>117</v>
      </c>
      <c r="C49" s="7" t="str" cm="1">
        <f t="array" aca="1" ref="C49" ca="1">_xll.DBR($C$30,$B49,C$32)</f>
        <v>*KEY_ERR</v>
      </c>
      <c r="D49" s="7" t="str" cm="1">
        <f t="array" aca="1" ref="D49" ca="1">_xll.DBR($C$30,$B49,D$32)</f>
        <v>*KEY_ERR</v>
      </c>
      <c r="E49" s="7" t="str" cm="1">
        <f t="array" aca="1" ref="E49" ca="1">_xll.DBR($C$30,$B49,E$32)</f>
        <v>*KEY_ERR</v>
      </c>
      <c r="F49" s="7" t="str" cm="1">
        <f t="array" aca="1" ref="F49" ca="1">_xll.DBR($C$30,$B49,F$32)</f>
        <v>*KEY_ERR</v>
      </c>
      <c r="G49" s="7" t="str" cm="1">
        <f t="array" aca="1" ref="G49" ca="1">_xll.DBR($C$30,$B49,G$32)</f>
        <v>*KEY_ERR</v>
      </c>
      <c r="H49" s="7" t="str" cm="1">
        <f t="array" aca="1" ref="H49" ca="1">_xll.DBR($C$30,$B49,H$32)</f>
        <v>*KEY_ERR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2:27" customFormat="1" hidden="1" outlineLevel="1" x14ac:dyDescent="0.3">
      <c r="B50" s="7" t="s">
        <v>118</v>
      </c>
      <c r="C50" s="7" t="str" cm="1">
        <f t="array" aca="1" ref="C50" ca="1">_xll.DBR($C$30,$B50,C$32)</f>
        <v>*KEY_ERR</v>
      </c>
      <c r="D50" s="7" t="str" cm="1">
        <f t="array" aca="1" ref="D50" ca="1">_xll.DBR($C$30,$B50,D$32)</f>
        <v>*KEY_ERR</v>
      </c>
      <c r="E50" s="7" t="str" cm="1">
        <f t="array" aca="1" ref="E50" ca="1">_xll.DBR($C$30,$B50,E$32)</f>
        <v>*KEY_ERR</v>
      </c>
      <c r="F50" s="7" t="str" cm="1">
        <f t="array" aca="1" ref="F50" ca="1">_xll.DBR($C$30,$B50,F$32)</f>
        <v>*KEY_ERR</v>
      </c>
      <c r="G50" s="7" t="str" cm="1">
        <f t="array" aca="1" ref="G50" ca="1">_xll.DBR($C$30,$B50,G$32)</f>
        <v>*KEY_ERR</v>
      </c>
      <c r="H50" s="7" t="str" cm="1">
        <f t="array" aca="1" ref="H50" ca="1">_xll.DBR($C$30,$B50,H$32)</f>
        <v>*KEY_ERR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2:27" customFormat="1" hidden="1" outlineLevel="1" x14ac:dyDescent="0.3"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2:27" customFormat="1" hidden="1" outlineLevel="1" x14ac:dyDescent="0.3">
      <c r="B52" s="59" t="s">
        <v>119</v>
      </c>
      <c r="C52" s="60"/>
      <c r="D52" s="61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2:27" customFormat="1" hidden="1" outlineLevel="1" x14ac:dyDescent="0.3">
      <c r="B53" s="6" t="s">
        <v>88</v>
      </c>
      <c r="C53" s="7" t="str" cm="1">
        <f t="array" aca="1" ref="C53" ca="1">_xll.VIEW(db_name&amp;":sys_client preference","!","!","!")</f>
        <v>dcceew_geus:sys_client preference</v>
      </c>
      <c r="D53" s="7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2:27" customFormat="1" hidden="1" outlineLevel="1" x14ac:dyDescent="0.3">
      <c r="B54" s="6"/>
      <c r="C54" s="34" t="s">
        <v>72</v>
      </c>
      <c r="D54" s="34" t="s">
        <v>120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2:27" customFormat="1" hidden="1" outlineLevel="1" x14ac:dyDescent="0.3">
      <c r="B55" s="7" t="s">
        <v>121</v>
      </c>
      <c r="C55" s="7" t="str" cm="1">
        <f t="array" aca="1" ref="C55" ca="1">_xll.SUBNM(db_name&amp;":sys_client preference measure","","value")</f>
        <v/>
      </c>
      <c r="D55" s="3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customFormat="1" hidden="1" outlineLevel="1" x14ac:dyDescent="0.3">
      <c r="B56" s="7" t="s">
        <v>122</v>
      </c>
      <c r="C56" s="7" t="str" cm="1">
        <f t="array" aca="1" ref="C56" ca="1">_xll.DBR($C$53,psUser,$B56,C$54)</f>
        <v>*KEY_ERR</v>
      </c>
      <c r="D56" s="7" t="str" cm="1">
        <f t="array" aca="1" ref="D56" ca="1">_xll.DBR($C$53,psUser,$B56,D$54)</f>
        <v>*KEY_ERR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7" customFormat="1" hidden="1" outlineLevel="1" x14ac:dyDescent="0.3">
      <c r="B57" s="7" t="s">
        <v>123</v>
      </c>
      <c r="C57" s="7" t="str" cm="1">
        <f t="array" aca="1" ref="C57" ca="1">_xll.DBR($C$53,psUser,$B57,C$54)</f>
        <v>*KEY_ERR</v>
      </c>
      <c r="D57" s="7" t="str" cm="1">
        <f t="array" aca="1" ref="D57" ca="1">_xll.DBR($C$53,psUser,$B57,D$54)</f>
        <v>*KEY_ERR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2:27" customFormat="1" hidden="1" outlineLevel="1" x14ac:dyDescent="0.3">
      <c r="B58" s="7" t="s">
        <v>124</v>
      </c>
      <c r="C58" s="7" t="str" cm="1">
        <f t="array" aca="1" ref="C58" ca="1">_xll.DBR($C$53,psUser,$B58,C$54)</f>
        <v>*KEY_ERR</v>
      </c>
      <c r="D58" s="7" t="str" cm="1">
        <f t="array" aca="1" ref="D58" ca="1">_xll.DBR($C$53,psUser,$B58,D$54)</f>
        <v>*KEY_ERR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2:27" customFormat="1" hidden="1" outlineLevel="1" x14ac:dyDescent="0.3">
      <c r="B59" s="7" t="s">
        <v>125</v>
      </c>
      <c r="C59" s="7" t="str" cm="1">
        <f t="array" aca="1" ref="C59" ca="1">_xll.DBR($C$53,psUser,$B59,C$54)</f>
        <v>*KEY_ERR</v>
      </c>
      <c r="D59" s="7" t="str" cm="1">
        <f t="array" aca="1" ref="D59" ca="1">_xll.DBR($C$53,psUser,$B59,D$54)</f>
        <v>*KEY_ERR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2:27" customFormat="1" hidden="1" outlineLevel="1" x14ac:dyDescent="0.3">
      <c r="B60" s="7" t="s">
        <v>126</v>
      </c>
      <c r="C60" s="7" t="str" cm="1">
        <f t="array" aca="1" ref="C60" ca="1">_xll.DBR($C$53,psUser,$B60,C$54)</f>
        <v>*KEY_ERR</v>
      </c>
      <c r="D60" s="7" t="str" cm="1">
        <f t="array" aca="1" ref="D60" ca="1">_xll.DBR($C$53,psUser,$B60,D$54)</f>
        <v>*KEY_ERR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2:27" customFormat="1" hidden="1" outlineLevel="1" x14ac:dyDescent="0.3">
      <c r="B61" t="s">
        <v>266</v>
      </c>
      <c r="C61" s="7" t="str" cm="1">
        <f t="array" aca="1" ref="C61" ca="1">_xll.DBR($C$53,psUser,$B61,C$54)</f>
        <v>*KEY_ERR</v>
      </c>
      <c r="D61" s="7" t="str" cm="1">
        <f t="array" aca="1" ref="D61" ca="1">_xll.DBR($C$53,psUser,$B61,D$54)</f>
        <v>*KEY_ERR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2:27" customFormat="1" hidden="1" outlineLevel="1" x14ac:dyDescent="0.3">
      <c r="B62" t="s">
        <v>267</v>
      </c>
      <c r="C62" s="7" t="str" cm="1">
        <f t="array" aca="1" ref="C62" ca="1">_xll.DBR($C$53,psUser,$B62,C$54)</f>
        <v>*KEY_ERR</v>
      </c>
      <c r="D62" s="7" t="str" cm="1">
        <f t="array" aca="1" ref="D62" ca="1">_xll.DBR($C$53,psUser,$B62,D$54)</f>
        <v>*KEY_ERR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2:27" customFormat="1" hidden="1" outlineLevel="1" x14ac:dyDescent="0.3"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2:27" customFormat="1" hidden="1" outlineLevel="1" x14ac:dyDescent="0.3">
      <c r="B64" s="59" t="s">
        <v>127</v>
      </c>
      <c r="C64" s="60"/>
      <c r="D64" s="61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2:27" customFormat="1" hidden="1" outlineLevel="1" x14ac:dyDescent="0.3">
      <c r="B65" s="6" t="s">
        <v>18</v>
      </c>
      <c r="C65" t="str" cm="1">
        <f t="array" aca="1" ref="C65" ca="1">_xll.TM1RPTVIEW(db_name&amp;":AE group adjustment entry:1", 1, _xll.TM1RPTTITLE(db_name&amp;":headline year",$C$56), _xll.TM1RPTTITLE(db_name&amp;":scenario",$C$57), _xll.TM1RPTTITLE(db_name&amp;":status",$E$81), _xll.TM1RPTTITLE(db_name&amp;":measure code",$C$87),_xll.TM1RPTTITLE(db_name&amp;":account type",$E$83), _xll.TM1RPTTITLE(db_name&amp;":id",$E$82),TM1RPTFMTRNG,TM1RPTFMTIDCOL)</f>
        <v>dcceew_geus:AE group adjustment entry:1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2:27" customFormat="1" hidden="1" outlineLevel="1" x14ac:dyDescent="0.3">
      <c r="B66" s="6" t="s">
        <v>30</v>
      </c>
      <c r="C66" s="7" t="str" cm="1">
        <f t="array" aca="1" ref="C66" ca="1">_xll.VIEW(db_name&amp;":AE group adjustment entry",$C$56,$C$57,$E$81,$C$87,"!","!",$E$83,"!",$E$82,"!","!","!")</f>
        <v>dcceew_geus:AE group adjustment entry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2:27" customFormat="1" hidden="1" outlineLevel="1" x14ac:dyDescent="0.3">
      <c r="B67" s="6" t="s">
        <v>31</v>
      </c>
      <c r="C67" s="7" t="str">
        <f ca="1">"{TM1FILTERBYLEVEL( {TM1DRILLDOWNMEMBER( {[programme].[" &amp; $C$84 &amp; " programmes]}, ALL, RECURSIVE )}, 0)}"</f>
        <v>{TM1FILTERBYLEVEL( {TM1DRILLDOWNMEMBER( {[programme].[*KEY_ERR programmes]}, ALL, RECURSIVE )}, 0)}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2:27" customFormat="1" hidden="1" outlineLevel="1" x14ac:dyDescent="0.3">
      <c r="B68" s="6" t="s">
        <v>33</v>
      </c>
      <c r="C68" s="7" t="s">
        <v>34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2:27" customFormat="1" hidden="1" outlineLevel="1" x14ac:dyDescent="0.3">
      <c r="B69" s="6" t="s">
        <v>36</v>
      </c>
      <c r="C69" s="7" t="s">
        <v>37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2:27" customFormat="1" hidden="1" outlineLevel="1" x14ac:dyDescent="0.3">
      <c r="B70" s="6" t="s">
        <v>39</v>
      </c>
      <c r="C70" s="7" t="s">
        <v>40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2:27" customFormat="1" hidden="1" outlineLevel="1" x14ac:dyDescent="0.3">
      <c r="B71" s="2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2:27" customFormat="1" hidden="1" outlineLevel="1" x14ac:dyDescent="0.3">
      <c r="B72" s="59" t="s">
        <v>292</v>
      </c>
      <c r="C72" s="60"/>
      <c r="D72" s="61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2:27" customFormat="1" hidden="1" outlineLevel="1" x14ac:dyDescent="0.3">
      <c r="B73" s="6" t="s">
        <v>89</v>
      </c>
      <c r="C73" s="7" t="str">
        <f ca="1">_xll.SUBNM(db_name&amp;":headline year","",psHLYear)</f>
        <v/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2:27" customFormat="1" hidden="1" outlineLevel="1" x14ac:dyDescent="0.3">
      <c r="B74" s="6" t="s">
        <v>293</v>
      </c>
      <c r="C74" s="7" t="str">
        <f ca="1">_xll.SUBNM(db_name&amp;":scenario","",psScenario)</f>
        <v/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2:27" customFormat="1" hidden="1" outlineLevel="1" x14ac:dyDescent="0.3">
      <c r="B75" s="6" t="s">
        <v>50</v>
      </c>
      <c r="C75" s="7" t="str">
        <f ca="1">$C$58</f>
        <v>*KEY_ERR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2:27" customFormat="1" hidden="1" outlineLevel="1" x14ac:dyDescent="0.3">
      <c r="B76" s="2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2:27" customFormat="1" ht="15" hidden="1" outlineLevel="1" thickBot="1" x14ac:dyDescent="0.35">
      <c r="B77" s="2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2:27" customFormat="1" hidden="1" outlineLevel="1" x14ac:dyDescent="0.3">
      <c r="P78" s="12" t="s">
        <v>4</v>
      </c>
      <c r="Q78" s="13"/>
      <c r="R78" s="13">
        <v>1</v>
      </c>
      <c r="S78" s="13"/>
      <c r="T78" s="13"/>
      <c r="U78" s="13"/>
      <c r="V78" s="13"/>
      <c r="W78" s="13"/>
      <c r="X78" s="13"/>
      <c r="Y78" s="13"/>
      <c r="Z78" s="13"/>
      <c r="AA78" s="14"/>
    </row>
    <row r="79" spans="2:27" customFormat="1" hidden="1" outlineLevel="1" x14ac:dyDescent="0.3">
      <c r="B79" s="55" t="s">
        <v>42</v>
      </c>
      <c r="C79" s="55"/>
      <c r="D79" s="56" t="s">
        <v>43</v>
      </c>
      <c r="E79" s="56"/>
      <c r="P79" s="15" t="s">
        <v>5</v>
      </c>
      <c r="R79">
        <v>-2</v>
      </c>
      <c r="S79">
        <v>-1</v>
      </c>
      <c r="T79">
        <v>0</v>
      </c>
      <c r="U79">
        <v>1</v>
      </c>
      <c r="V79">
        <v>2</v>
      </c>
      <c r="W79">
        <v>3</v>
      </c>
      <c r="X79">
        <v>4</v>
      </c>
      <c r="Y79">
        <v>5</v>
      </c>
      <c r="Z79">
        <v>6</v>
      </c>
      <c r="AA79" s="16">
        <v>7</v>
      </c>
    </row>
    <row r="80" spans="2:27" customFormat="1" hidden="1" outlineLevel="1" x14ac:dyDescent="0.3">
      <c r="B80" s="6" t="s">
        <v>44</v>
      </c>
      <c r="C80" s="7" t="str" cm="1">
        <f t="array" aca="1" ref="C80" ca="1">_xll.VIEW(db_name&amp;":AE id details",$C$56,$C$57,$C$58,"!")</f>
        <v>dcceew_geus:AE id details</v>
      </c>
      <c r="D80" s="6" t="s">
        <v>45</v>
      </c>
      <c r="E80" s="6" t="s">
        <v>46</v>
      </c>
      <c r="G80" s="17" t="s">
        <v>80</v>
      </c>
      <c r="P80" s="15" t="s">
        <v>7</v>
      </c>
      <c r="R80" t="s">
        <v>8</v>
      </c>
      <c r="S80" t="s">
        <v>9</v>
      </c>
      <c r="T80" t="s">
        <v>10</v>
      </c>
      <c r="U80" t="s">
        <v>11</v>
      </c>
      <c r="V80" t="s">
        <v>12</v>
      </c>
      <c r="W80" t="s">
        <v>13</v>
      </c>
      <c r="X80" t="s">
        <v>14</v>
      </c>
      <c r="Y80" t="s">
        <v>15</v>
      </c>
      <c r="Z80" t="s">
        <v>16</v>
      </c>
      <c r="AA80" s="16" t="s">
        <v>17</v>
      </c>
    </row>
    <row r="81" spans="2:27" customFormat="1" ht="15" hidden="1" outlineLevel="1" thickBot="1" x14ac:dyDescent="0.35">
      <c r="B81" s="6" t="s">
        <v>47</v>
      </c>
      <c r="C81" s="7" t="str" cm="1">
        <f t="array" aca="1" ref="C81" ca="1">_xll.DBR($C$80,$C$56,$C$57,$C$58,$B81)</f>
        <v>*KEY_ERR</v>
      </c>
      <c r="D81" s="7" t="s">
        <v>48</v>
      </c>
      <c r="E81" s="7" t="str" cm="1">
        <f t="array" aca="1" ref="E81" ca="1">_xll.SUBNM(db_name&amp;":status","",$E$86)</f>
        <v/>
      </c>
      <c r="G81" s="7" t="s">
        <v>32</v>
      </c>
      <c r="P81" s="15" t="s">
        <v>19</v>
      </c>
      <c r="R81" t="s">
        <v>20</v>
      </c>
      <c r="S81" t="s">
        <v>21</v>
      </c>
      <c r="T81" t="s">
        <v>22</v>
      </c>
      <c r="U81" t="s">
        <v>23</v>
      </c>
      <c r="V81" t="s">
        <v>24</v>
      </c>
      <c r="W81" t="s">
        <v>25</v>
      </c>
      <c r="X81" t="s">
        <v>26</v>
      </c>
      <c r="Y81" t="s">
        <v>27</v>
      </c>
      <c r="Z81" t="s">
        <v>28</v>
      </c>
      <c r="AA81" s="16" t="s">
        <v>29</v>
      </c>
    </row>
    <row r="82" spans="2:27" customFormat="1" hidden="1" outlineLevel="1" x14ac:dyDescent="0.3">
      <c r="B82" s="6" t="s">
        <v>49</v>
      </c>
      <c r="C82" s="7" t="str" cm="1">
        <f t="array" aca="1" ref="C82" ca="1">_xll.DBR($C$80,$C$56,$C$57,$C$58,$B82)</f>
        <v>*KEY_ERR</v>
      </c>
      <c r="D82" s="7" t="s">
        <v>50</v>
      </c>
      <c r="E82" s="7" t="str" cm="1">
        <f t="array" aca="1" ref="E82" ca="1">_xll.SUBNM(db_name&amp;":id","Default",$C$58)</f>
        <v/>
      </c>
      <c r="G82" s="7" t="s">
        <v>81</v>
      </c>
      <c r="P82" s="15" t="s">
        <v>81</v>
      </c>
      <c r="R82" s="13">
        <f ca="1">AA84+1</f>
        <v>9</v>
      </c>
      <c r="S82" s="13">
        <f ca="1">R82+1</f>
        <v>10</v>
      </c>
      <c r="T82" s="13">
        <f ca="1">S82+1</f>
        <v>11</v>
      </c>
      <c r="U82" s="13">
        <f t="shared" ref="U82:AA82" ca="1" si="0">T82+1</f>
        <v>12</v>
      </c>
      <c r="V82" s="13">
        <f t="shared" ca="1" si="0"/>
        <v>13</v>
      </c>
      <c r="W82" s="13">
        <f t="shared" ca="1" si="0"/>
        <v>14</v>
      </c>
      <c r="X82" s="13">
        <f t="shared" ca="1" si="0"/>
        <v>15</v>
      </c>
      <c r="Y82" s="13">
        <f t="shared" ca="1" si="0"/>
        <v>16</v>
      </c>
      <c r="Z82" s="13">
        <f t="shared" ca="1" si="0"/>
        <v>17</v>
      </c>
      <c r="AA82" s="14">
        <f t="shared" ca="1" si="0"/>
        <v>18</v>
      </c>
    </row>
    <row r="83" spans="2:27" customFormat="1" hidden="1" outlineLevel="1" x14ac:dyDescent="0.3">
      <c r="B83" s="6" t="s">
        <v>51</v>
      </c>
      <c r="C83" s="7" t="str" cm="1">
        <f t="array" aca="1" ref="C83" ca="1">_xll.DBR($C$80,$C$56,$C$57,$C$58,$B83)</f>
        <v>*KEY_ERR</v>
      </c>
      <c r="D83" s="7" t="s">
        <v>52</v>
      </c>
      <c r="E83" s="7" t="str" cm="1">
        <f t="array" aca="1" ref="E83" ca="1">_xll.SUBNM(db_name&amp;":account type","",psAccType)</f>
        <v/>
      </c>
      <c r="P83" s="15" t="s">
        <v>298</v>
      </c>
      <c r="R83">
        <v>-2</v>
      </c>
      <c r="S83">
        <v>-1</v>
      </c>
      <c r="T83">
        <v>0</v>
      </c>
      <c r="U83">
        <v>1</v>
      </c>
      <c r="V83">
        <v>2</v>
      </c>
      <c r="W83">
        <v>3</v>
      </c>
      <c r="X83">
        <v>4</v>
      </c>
      <c r="Y83">
        <v>5</v>
      </c>
      <c r="Z83">
        <v>6</v>
      </c>
      <c r="AA83" s="16">
        <v>7</v>
      </c>
    </row>
    <row r="84" spans="2:27" customFormat="1" hidden="1" outlineLevel="1" x14ac:dyDescent="0.3">
      <c r="B84" s="6" t="s">
        <v>53</v>
      </c>
      <c r="C84" s="7" t="str" cm="1">
        <f t="array" aca="1" ref="C84" ca="1">_xll.DBR($C$80,$C$56,$C$57,$C$58,$B84)</f>
        <v>*KEY_ERR</v>
      </c>
      <c r="D84" s="7"/>
      <c r="E84" s="7"/>
      <c r="P84" s="15" t="s">
        <v>32</v>
      </c>
      <c r="R84">
        <f t="shared" ref="R84:AA84" ca="1" si="1">IF($R$78&lt;&gt;1,R79,R79+$R$78)</f>
        <v>-1</v>
      </c>
      <c r="S84">
        <f t="shared" ca="1" si="1"/>
        <v>0</v>
      </c>
      <c r="T84">
        <f t="shared" ca="1" si="1"/>
        <v>1</v>
      </c>
      <c r="U84">
        <f t="shared" ca="1" si="1"/>
        <v>2</v>
      </c>
      <c r="V84">
        <f t="shared" ca="1" si="1"/>
        <v>3</v>
      </c>
      <c r="W84">
        <f t="shared" ca="1" si="1"/>
        <v>4</v>
      </c>
      <c r="X84">
        <f t="shared" ca="1" si="1"/>
        <v>5</v>
      </c>
      <c r="Y84">
        <f t="shared" ca="1" si="1"/>
        <v>6</v>
      </c>
      <c r="Z84">
        <f t="shared" ca="1" si="1"/>
        <v>7</v>
      </c>
      <c r="AA84" s="16">
        <f t="shared" ca="1" si="1"/>
        <v>8</v>
      </c>
    </row>
    <row r="85" spans="2:27" customFormat="1" hidden="1" outlineLevel="1" x14ac:dyDescent="0.3">
      <c r="B85" s="6" t="s">
        <v>54</v>
      </c>
      <c r="C85" s="7" t="str" cm="1">
        <f t="array" aca="1" ref="C85" ca="1">_xll.DBR($C$80,$C$56,$C$57,$C$58,$B85)</f>
        <v>*KEY_ERR</v>
      </c>
      <c r="D85" s="7"/>
      <c r="E85" s="7"/>
      <c r="P85" s="15" t="s">
        <v>35</v>
      </c>
      <c r="R85" s="42" t="e">
        <f ca="1">VLOOKUP(grp_per_display,$P$82:$AA$84,3,FALSE)</f>
        <v>#N/A</v>
      </c>
      <c r="S85" s="42" t="e">
        <f ca="1">VLOOKUP(grp_per_display,$P$82:$AA$84,4,FALSE)</f>
        <v>#N/A</v>
      </c>
      <c r="T85" s="42" t="e">
        <f ca="1">VLOOKUP(grp_per_display,$P$82:$AA$84,5,FALSE)</f>
        <v>#N/A</v>
      </c>
      <c r="U85" s="42" t="e">
        <f ca="1">VLOOKUP(grp_per_display,$P$82:$AA$84,6,FALSE)</f>
        <v>#N/A</v>
      </c>
      <c r="V85" s="42" t="e">
        <f ca="1">VLOOKUP(grp_per_display,$P$82:$AA$84,7,FALSE)</f>
        <v>#N/A</v>
      </c>
      <c r="W85" s="42" t="e">
        <f ca="1">VLOOKUP(grp_per_display,$P$82:$AA$84,8,FALSE)</f>
        <v>#N/A</v>
      </c>
      <c r="X85" s="42" t="e">
        <f ca="1">VLOOKUP(grp_per_display,$P$82:$AA$84,9,FALSE)</f>
        <v>#N/A</v>
      </c>
      <c r="Y85" s="42" t="e">
        <f ca="1">VLOOKUP(grp_per_display,$P$82:$AA$84,10,FALSE)</f>
        <v>#N/A</v>
      </c>
      <c r="Z85" s="42" t="e">
        <f ca="1">VLOOKUP(grp_per_display,$P$82:$AA$84,11,FALSE)</f>
        <v>#N/A</v>
      </c>
      <c r="AA85" s="43" t="e">
        <f ca="1">VLOOKUP(grp_per_display,$P$82:$AA$84,12,FALSE)</f>
        <v>#N/A</v>
      </c>
    </row>
    <row r="86" spans="2:27" customFormat="1" hidden="1" outlineLevel="1" x14ac:dyDescent="0.3">
      <c r="B86" s="6" t="s">
        <v>48</v>
      </c>
      <c r="C86" s="7" t="str" cm="1">
        <f t="array" aca="1" ref="C86" ca="1">_xll.DBR($C$80,$C$56,$C$57,$C$58,$B86)</f>
        <v>*KEY_ERR</v>
      </c>
      <c r="D86" s="7"/>
      <c r="E86" s="7" t="str">
        <f ca="1">IF(OR($C$86="draft",LEFT($C$86,2) = "un"),"data",$C$86)</f>
        <v>*KEY_ERR</v>
      </c>
      <c r="P86" s="15" t="s">
        <v>32</v>
      </c>
      <c r="R86" t="s">
        <v>38</v>
      </c>
      <c r="S86" t="s">
        <v>8</v>
      </c>
      <c r="T86" t="s">
        <v>9</v>
      </c>
      <c r="U86" t="s">
        <v>10</v>
      </c>
      <c r="V86" t="s">
        <v>11</v>
      </c>
      <c r="W86" t="s">
        <v>12</v>
      </c>
      <c r="X86" t="s">
        <v>13</v>
      </c>
      <c r="Y86" t="s">
        <v>14</v>
      </c>
      <c r="Z86" t="s">
        <v>15</v>
      </c>
      <c r="AA86" s="16" t="s">
        <v>16</v>
      </c>
    </row>
    <row r="87" spans="2:27" customFormat="1" hidden="1" outlineLevel="1" x14ac:dyDescent="0.3">
      <c r="B87" s="6" t="s">
        <v>55</v>
      </c>
      <c r="C87" s="7" t="str" cm="1">
        <f t="array" aca="1" ref="C87" ca="1">_xll.DBR($C$80,$C$56,$C$57,$C$58,$B87)</f>
        <v>*KEY_ERR</v>
      </c>
      <c r="D87" s="7" t="str" cm="1">
        <f t="array" aca="1" ref="D87" ca="1">_xll.DBRA($C$12&amp;":measure code",$C$87,"CBMS code and description")</f>
        <v/>
      </c>
      <c r="E87" s="7"/>
      <c r="P87" s="15" t="s">
        <v>81</v>
      </c>
      <c r="R87" t="s">
        <v>17</v>
      </c>
      <c r="S87" t="s">
        <v>20</v>
      </c>
      <c r="T87" t="s">
        <v>21</v>
      </c>
      <c r="U87" t="s">
        <v>22</v>
      </c>
      <c r="V87" t="s">
        <v>23</v>
      </c>
      <c r="W87" t="s">
        <v>24</v>
      </c>
      <c r="X87" t="s">
        <v>25</v>
      </c>
      <c r="Y87" t="s">
        <v>26</v>
      </c>
      <c r="Z87" t="s">
        <v>27</v>
      </c>
      <c r="AA87" s="16" t="s">
        <v>28</v>
      </c>
    </row>
    <row r="88" spans="2:27" customFormat="1" ht="15" hidden="1" outlineLevel="1" thickBot="1" x14ac:dyDescent="0.35">
      <c r="B88" s="6" t="s">
        <v>56</v>
      </c>
      <c r="C88" s="7" t="str" cm="1">
        <f t="array" aca="1" ref="C88" ca="1">_xll.DBR($C$80,$C$56,$C$57,$C$58,$B88)</f>
        <v>*KEY_ERR</v>
      </c>
      <c r="D88" s="7" t="str" cm="1">
        <f t="array" aca="1" ref="D88" ca="1">_xll.DBRA($C$12&amp;":reason",$C$88,"CBMS code and description")</f>
        <v/>
      </c>
      <c r="E88" s="7"/>
      <c r="P88" s="15" t="str">
        <f ca="1">MID($C$56,3,9)</f>
        <v>EY_ERR</v>
      </c>
      <c r="Q88" s="18"/>
      <c r="R88" s="18" t="e" cm="1">
        <f t="array" aca="1" ref="R88" ca="1">_xll.DIMNM(db_name&amp;":period",_xll.DIMIX(db_name&amp;":period",$P88)+R85)</f>
        <v>#VALUE!</v>
      </c>
      <c r="S88" s="18" t="e" cm="1">
        <f t="array" aca="1" ref="S88" ca="1">_xll.DIMNM(db_name&amp;":period",_xll.DIMIX(db_name&amp;":period",$P88)+S85)</f>
        <v>#VALUE!</v>
      </c>
      <c r="T88" s="18" t="e" cm="1">
        <f t="array" aca="1" ref="T88" ca="1">_xll.DIMNM(db_name&amp;":period",_xll.DIMIX(db_name&amp;":period",$P88)+T85)</f>
        <v>#VALUE!</v>
      </c>
      <c r="U88" s="18" t="e" cm="1">
        <f t="array" aca="1" ref="U88" ca="1">_xll.DIMNM(db_name&amp;":period",_xll.DIMIX(db_name&amp;":period",$P88)+U85)</f>
        <v>#VALUE!</v>
      </c>
      <c r="V88" s="18" t="e" cm="1">
        <f t="array" aca="1" ref="V88" ca="1">_xll.DIMNM(db_name&amp;":period",_xll.DIMIX(db_name&amp;":period",$P88)+V85)</f>
        <v>#VALUE!</v>
      </c>
      <c r="W88" s="18" t="e" cm="1">
        <f t="array" aca="1" ref="W88" ca="1">_xll.DIMNM(db_name&amp;":period",_xll.DIMIX(db_name&amp;":period",$P88)+W85)</f>
        <v>#VALUE!</v>
      </c>
      <c r="X88" s="18" t="e" cm="1">
        <f t="array" aca="1" ref="X88" ca="1">_xll.DIMNM(db_name&amp;":period",_xll.DIMIX(db_name&amp;":period",$P88)+X85)</f>
        <v>#VALUE!</v>
      </c>
      <c r="Y88" s="18" t="e" cm="1">
        <f t="array" aca="1" ref="Y88" ca="1">_xll.DIMNM(db_name&amp;":period",_xll.DIMIX(db_name&amp;":period",$P88)+Y85)</f>
        <v>#VALUE!</v>
      </c>
      <c r="Z88" s="18" t="e" cm="1">
        <f t="array" aca="1" ref="Z88" ca="1">_xll.DIMNM(db_name&amp;":period",_xll.DIMIX(db_name&amp;":period",$P88)+Z85)</f>
        <v>#VALUE!</v>
      </c>
      <c r="AA88" s="19" t="e" cm="1">
        <f t="array" aca="1" ref="AA88" ca="1">_xll.DIMNM(db_name&amp;":period",_xll.DIMIX(db_name&amp;":period",$P88)+AA85)</f>
        <v>#VALUE!</v>
      </c>
    </row>
    <row r="89" spans="2:27" customFormat="1" hidden="1" outlineLevel="1" x14ac:dyDescent="0.3">
      <c r="B89" s="6" t="s">
        <v>57</v>
      </c>
      <c r="C89" s="7" t="s">
        <v>296</v>
      </c>
      <c r="D89" s="7"/>
      <c r="E89" s="7"/>
      <c r="P89" s="40" t="s">
        <v>128</v>
      </c>
      <c r="R89" s="26" t="s">
        <v>72</v>
      </c>
      <c r="S89" s="26" t="s">
        <v>72</v>
      </c>
      <c r="T89" s="26" t="s">
        <v>72</v>
      </c>
      <c r="U89" s="26" t="s">
        <v>72</v>
      </c>
      <c r="V89" s="26" t="s">
        <v>72</v>
      </c>
      <c r="W89" s="26" t="s">
        <v>72</v>
      </c>
      <c r="X89" s="26" t="s">
        <v>72</v>
      </c>
      <c r="Y89" s="26" t="s">
        <v>72</v>
      </c>
      <c r="Z89" s="26" t="s">
        <v>72</v>
      </c>
      <c r="AA89" s="26" t="s">
        <v>72</v>
      </c>
    </row>
    <row r="90" spans="2:27" customFormat="1" hidden="1" outlineLevel="1" x14ac:dyDescent="0.3">
      <c r="B90" s="6" t="s">
        <v>129</v>
      </c>
      <c r="C90" s="7" t="s">
        <v>64</v>
      </c>
    </row>
    <row r="91" spans="2:27" customFormat="1" hidden="1" outlineLevel="1" x14ac:dyDescent="0.3"/>
    <row r="92" spans="2:27" customFormat="1" hidden="1" outlineLevel="1" x14ac:dyDescent="0.3">
      <c r="B92" s="55" t="s">
        <v>134</v>
      </c>
      <c r="C92" s="55"/>
    </row>
    <row r="93" spans="2:27" customFormat="1" hidden="1" outlineLevel="1" x14ac:dyDescent="0.3">
      <c r="B93" s="20" t="s">
        <v>135</v>
      </c>
      <c r="C93" t="str">
        <f ca="1">"sys_ae_" &amp;$C$84</f>
        <v>sys_ae_*KEY_ERR</v>
      </c>
    </row>
    <row r="94" spans="2:27" customFormat="1" hidden="1" outlineLevel="1" x14ac:dyDescent="0.3"/>
    <row r="95" spans="2:27" customFormat="1" hidden="1" outlineLevel="1" x14ac:dyDescent="0.3">
      <c r="B95" s="59" t="s">
        <v>268</v>
      </c>
      <c r="C95" s="60"/>
      <c r="D95" s="61"/>
      <c r="F95" s="62" t="s">
        <v>270</v>
      </c>
      <c r="G95" s="63"/>
      <c r="H95" s="64"/>
    </row>
    <row r="96" spans="2:27" customFormat="1" hidden="1" outlineLevel="1" x14ac:dyDescent="0.3">
      <c r="B96" s="7" t="s">
        <v>269</v>
      </c>
      <c r="C96" s="7" t="str" cm="1">
        <f t="array" aca="1" ref="C96" ca="1">_xll.VIEW(db_name&amp;":}ElementAttributes_account template","!","!")</f>
        <v>dcceew_geus:}ElementAttributes_account template</v>
      </c>
      <c r="D96" s="7"/>
      <c r="F96" s="7" t="s">
        <v>67</v>
      </c>
      <c r="G96" s="7" t="str">
        <f ca="1">IF($C$97="",$C$24,"")</f>
        <v/>
      </c>
      <c r="H96" s="7"/>
    </row>
    <row r="97" spans="2:8" customFormat="1" hidden="1" outlineLevel="1" x14ac:dyDescent="0.3">
      <c r="B97" s="7" t="s">
        <v>58</v>
      </c>
      <c r="C97" s="7" t="str" cm="1">
        <f t="array" aca="1" ref="C97" ca="1">_xll.DBR($C$96,psAccTemp,$B97)</f>
        <v>*KEY_ERR</v>
      </c>
      <c r="D97" s="7"/>
      <c r="F97" s="7" t="s">
        <v>68</v>
      </c>
      <c r="G97" s="7" t="str">
        <f ca="1">IF($C$98="",$C$25,"")</f>
        <v/>
      </c>
      <c r="H97" s="7"/>
    </row>
    <row r="98" spans="2:8" customFormat="1" hidden="1" outlineLevel="1" x14ac:dyDescent="0.3">
      <c r="B98" s="7" t="s">
        <v>59</v>
      </c>
      <c r="C98" s="7" t="str" cm="1">
        <f t="array" aca="1" ref="C98" ca="1">_xll.DBR($C$96,psAccTemp,$B98)</f>
        <v>*KEY_ERR</v>
      </c>
      <c r="D98" s="7"/>
    </row>
    <row r="99" spans="2:8" customFormat="1" hidden="1" outlineLevel="1" x14ac:dyDescent="0.3"/>
    <row r="100" spans="2:8" customFormat="1" hidden="1" outlineLevel="1" x14ac:dyDescent="0.3">
      <c r="B100" s="62" t="s">
        <v>271</v>
      </c>
      <c r="C100" s="63"/>
      <c r="D100" s="64"/>
    </row>
    <row r="101" spans="2:8" customFormat="1" hidden="1" outlineLevel="1" x14ac:dyDescent="0.3">
      <c r="B101" s="7" t="s">
        <v>272</v>
      </c>
      <c r="C101" t="str" cm="1">
        <f t="array" aca="1" ref="C101" ca="1">_xll.DIMNM(db_name&amp;":"&amp; psProgDimName,_xll.DIMIX(db_name&amp;":"&amp;psProgDimName,psProg))</f>
        <v/>
      </c>
    </row>
    <row r="102" spans="2:8" customFormat="1" hidden="1" outlineLevel="1" x14ac:dyDescent="0.3">
      <c r="B102" s="7" t="s">
        <v>273</v>
      </c>
      <c r="C102" t="str">
        <f ca="1">"sys_" &amp;$C$101</f>
        <v>sys_</v>
      </c>
    </row>
    <row r="103" spans="2:8" customFormat="1" hidden="1" outlineLevel="1" x14ac:dyDescent="0.3">
      <c r="B103" s="7" t="s">
        <v>274</v>
      </c>
      <c r="C103" t="str">
        <f ca="1">$C$113</f>
        <v/>
      </c>
    </row>
    <row r="104" spans="2:8" customFormat="1" hidden="1" outlineLevel="1" x14ac:dyDescent="0.3">
      <c r="B104" s="7" t="s">
        <v>295</v>
      </c>
      <c r="C104" t="str" cm="1">
        <f t="array" aca="1" ref="C104" ca="1">_xll.DBSS($C$101,$C$53,psUser,$B$59,C$54)</f>
        <v>*KEY_ERR</v>
      </c>
    </row>
    <row r="105" spans="2:8" customFormat="1" hidden="1" outlineLevel="1" x14ac:dyDescent="0.3">
      <c r="B105" s="7" t="s">
        <v>279</v>
      </c>
      <c r="C105" t="str" cm="1">
        <f t="array" aca="1" ref="C105" ca="1">IF(psAccTemp="",_xll.DBSS($C$103,$C$53,psUser,$B$60,C$54),"")</f>
        <v/>
      </c>
    </row>
    <row r="106" spans="2:8" customFormat="1" hidden="1" outlineLevel="1" x14ac:dyDescent="0.3">
      <c r="B106" s="7" t="s">
        <v>281</v>
      </c>
      <c r="C106" t="str" cm="1">
        <f t="array" aca="1" ref="C106" ca="1">IF(psRE="",_xll.DBSS($G$96,$C$53,psUser,$B$61,C$54),"")</f>
        <v/>
      </c>
    </row>
    <row r="107" spans="2:8" customFormat="1" hidden="1" outlineLevel="1" x14ac:dyDescent="0.3">
      <c r="B107" s="7" t="s">
        <v>280</v>
      </c>
      <c r="C107" t="str" cm="1">
        <f t="array" aca="1" ref="C107" ca="1">IF(psJur="",_xll.DBSS($G$97,$C$53,psUser,$B$62,C$54),"")</f>
        <v/>
      </c>
    </row>
    <row r="108" spans="2:8" customFormat="1" hidden="1" outlineLevel="1" x14ac:dyDescent="0.3"/>
    <row r="109" spans="2:8" customFormat="1" hidden="1" outlineLevel="1" x14ac:dyDescent="0.3">
      <c r="B109" s="62" t="s">
        <v>275</v>
      </c>
      <c r="C109" s="63"/>
      <c r="D109" s="64"/>
    </row>
    <row r="110" spans="2:8" customFormat="1" hidden="1" outlineLevel="1" x14ac:dyDescent="0.3">
      <c r="B110" s="7" t="s">
        <v>276</v>
      </c>
      <c r="C110" s="7" t="str" cm="1">
        <f t="array" aca="1" ref="C110" ca="1">_xll.VIEW(db_name&amp;":AE account template mapping","!","!",$C$111)</f>
        <v>dcceew_geus:AE account template mapping</v>
      </c>
    </row>
    <row r="111" spans="2:8" customFormat="1" hidden="1" outlineLevel="1" x14ac:dyDescent="0.3">
      <c r="B111" s="7" t="s">
        <v>128</v>
      </c>
      <c r="C111" s="7" t="str" cm="1">
        <f t="array" aca="1" ref="C111" ca="1">_xll.SUBNM(db_name&amp;":account template measure","","flag")</f>
        <v/>
      </c>
    </row>
    <row r="112" spans="2:8" customFormat="1" hidden="1" outlineLevel="1" x14ac:dyDescent="0.3">
      <c r="B112" s="7" t="s">
        <v>277</v>
      </c>
      <c r="C112" s="7" t="str" cm="1">
        <f t="array" aca="1" ref="C112" ca="1">_xll.DBR($C$110,"Total account templates",psProg,$C$111)</f>
        <v>*KEY_ERR</v>
      </c>
    </row>
    <row r="113" spans="2:27" customFormat="1" hidden="1" outlineLevel="1" x14ac:dyDescent="0.3">
      <c r="B113" s="7" t="s">
        <v>278</v>
      </c>
      <c r="C113" s="7" t="str" cm="1">
        <f t="array" aca="1" ref="C113" ca="1">_xll.SUBNM(db_name&amp;":account template",$C$102,1)</f>
        <v/>
      </c>
    </row>
    <row r="114" spans="2:27" customFormat="1" hidden="1" outlineLevel="1" x14ac:dyDescent="0.3">
      <c r="T114" s="21"/>
    </row>
    <row r="115" spans="2:27" customFormat="1" hidden="1" outlineLevel="1" x14ac:dyDescent="0.3"/>
    <row r="116" spans="2:27" customFormat="1" hidden="1" outlineLevel="1" x14ac:dyDescent="0.3">
      <c r="B116" s="20"/>
    </row>
    <row r="117" spans="2:27" customFormat="1" hidden="1" outlineLevel="1" x14ac:dyDescent="0.3">
      <c r="B117" s="20"/>
    </row>
    <row r="118" spans="2:27" customFormat="1" ht="39.9" customHeight="1" collapsed="1" x14ac:dyDescent="0.3">
      <c r="B118" s="20"/>
      <c r="I118" s="22"/>
      <c r="J118" s="22"/>
      <c r="K118" s="23"/>
      <c r="L118" s="24"/>
      <c r="M118" s="23"/>
      <c r="N118" s="23"/>
      <c r="O118" s="23"/>
      <c r="P118" s="22"/>
      <c r="Q118" s="23"/>
      <c r="R118" s="23"/>
      <c r="S118" s="23"/>
      <c r="T118" s="23"/>
      <c r="U118" s="23"/>
      <c r="V118" s="23"/>
      <c r="W118" s="5" t="s">
        <v>297</v>
      </c>
      <c r="X118" s="23"/>
      <c r="Y118" s="5"/>
      <c r="Z118" s="23"/>
      <c r="AA118" s="23"/>
    </row>
    <row r="119" spans="2:27" customFormat="1" ht="4.5" customHeight="1" x14ac:dyDescent="0.3">
      <c r="B119" s="20"/>
    </row>
    <row r="120" spans="2:27" customFormat="1" ht="24" customHeight="1" x14ac:dyDescent="0.3">
      <c r="B120" s="20"/>
      <c r="J120" s="25"/>
      <c r="W120" s="25"/>
    </row>
    <row r="121" spans="2:27" customFormat="1" ht="1.5" customHeight="1" x14ac:dyDescent="0.3">
      <c r="B121" s="20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2:27" customFormat="1" ht="4.5" customHeight="1" x14ac:dyDescent="0.3">
      <c r="B122" s="20"/>
    </row>
    <row r="123" spans="2:27" customFormat="1" x14ac:dyDescent="0.3">
      <c r="J123" s="39" t="s">
        <v>130</v>
      </c>
      <c r="K123" s="21"/>
      <c r="L123" s="36" t="str">
        <f ca="1">$C$56</f>
        <v>*KEY_ERR</v>
      </c>
      <c r="N123" s="37" t="s">
        <v>75</v>
      </c>
      <c r="O123" s="21"/>
      <c r="P123" s="44" t="str">
        <f ca="1">$C$57</f>
        <v>*KEY_ERR</v>
      </c>
      <c r="R123" s="39" t="s">
        <v>76</v>
      </c>
      <c r="S123" s="57" t="str">
        <f ca="1">$C$86</f>
        <v>*KEY_ERR</v>
      </c>
      <c r="T123" s="58"/>
      <c r="V123" s="39" t="s">
        <v>74</v>
      </c>
      <c r="W123" s="38" t="str">
        <f ca="1">$C$84</f>
        <v>*KEY_ERR</v>
      </c>
    </row>
    <row r="124" spans="2:27" customFormat="1" ht="3" customHeight="1" x14ac:dyDescent="0.3"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2:27" customFormat="1" x14ac:dyDescent="0.3">
      <c r="J125" s="39" t="s">
        <v>73</v>
      </c>
      <c r="K125" s="21"/>
      <c r="L125" s="45" t="str">
        <f ca="1">$C$81</f>
        <v>*KEY_ERR</v>
      </c>
      <c r="M125" s="46"/>
      <c r="N125" s="46"/>
      <c r="O125" s="46"/>
      <c r="P125" s="47"/>
      <c r="R125" s="39" t="s">
        <v>77</v>
      </c>
      <c r="S125" s="48" t="str">
        <f ca="1">$C$58</f>
        <v>*KEY_ERR</v>
      </c>
      <c r="T125" s="49"/>
    </row>
    <row r="126" spans="2:27" customFormat="1" ht="3" customHeight="1" x14ac:dyDescent="0.3"/>
    <row r="127" spans="2:27" customFormat="1" x14ac:dyDescent="0.3">
      <c r="J127" s="39" t="s">
        <v>131</v>
      </c>
      <c r="L127" s="50" t="str">
        <f ca="1">$D$87</f>
        <v/>
      </c>
      <c r="M127" s="50"/>
      <c r="N127" s="50"/>
      <c r="R127" s="39" t="s">
        <v>78</v>
      </c>
      <c r="S127" s="50" t="str">
        <f ca="1">$D$88</f>
        <v/>
      </c>
      <c r="T127" s="50"/>
      <c r="U127" s="50"/>
      <c r="V127" s="50"/>
      <c r="W127" s="50"/>
      <c r="X127" s="50"/>
      <c r="Y127" s="50"/>
    </row>
    <row r="128" spans="2:27" customFormat="1" ht="4.5" customHeight="1" x14ac:dyDescent="0.3"/>
    <row r="129" spans="1:27" customFormat="1" ht="1.5" customHeight="1" x14ac:dyDescent="0.3"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customFormat="1" ht="3" customHeight="1" x14ac:dyDescent="0.3"/>
    <row r="131" spans="1:27" customFormat="1" ht="24" customHeight="1" x14ac:dyDescent="0.3"/>
    <row r="132" spans="1:27" customFormat="1" ht="3" customHeight="1" x14ac:dyDescent="0.3"/>
    <row r="133" spans="1:27" customFormat="1" x14ac:dyDescent="0.3">
      <c r="D133" s="26" t="s">
        <v>58</v>
      </c>
      <c r="E133" s="26" t="s">
        <v>59</v>
      </c>
      <c r="J133" s="27" t="s">
        <v>137</v>
      </c>
      <c r="K133" s="28"/>
      <c r="L133" s="27" t="s">
        <v>60</v>
      </c>
      <c r="M133" s="28"/>
      <c r="N133" s="27" t="s">
        <v>61</v>
      </c>
      <c r="O133" s="28" t="s">
        <v>62</v>
      </c>
      <c r="P133" s="27" t="s">
        <v>63</v>
      </c>
      <c r="U133" s="54" t="s">
        <v>132</v>
      </c>
      <c r="V133" s="54"/>
      <c r="W133" s="54"/>
    </row>
    <row r="134" spans="1:27" customFormat="1" x14ac:dyDescent="0.3">
      <c r="D134" t="str" cm="1">
        <f t="array" aca="1" ref="D134" ca="1">_xll.DBRA(db_name&amp;":account template",$L$134,D$133)</f>
        <v/>
      </c>
      <c r="E134" t="str" cm="1">
        <f t="array" aca="1" ref="E134" ca="1">_xll.DBRA(db_name&amp;":account template",$L$134,E$133)</f>
        <v/>
      </c>
      <c r="J134" s="29" t="str" cm="1">
        <f t="array" aca="1" ref="J134" ca="1">_xll.SUBNM(db_name&amp;":"&amp;psProgDimName,$C$93,1,"Code and description")</f>
        <v/>
      </c>
      <c r="L134" s="30" t="str" cm="1">
        <f t="array" aca="1" ref="L134" ca="1">_xll.DBR($C$53,psUser,$B60,C$54)</f>
        <v>*KEY_ERR</v>
      </c>
      <c r="N134" s="30" t="str" cm="1">
        <f t="array" aca="1" ref="N134" ca="1">_xll.DBR($C$53,psUser,$B61,C$54)</f>
        <v>*KEY_ERR</v>
      </c>
      <c r="P134" s="30" t="str" cm="1">
        <f t="array" aca="1" ref="P134" ca="1">_xll.DBR($C$53,psUser,$B62,C$54)</f>
        <v>*KEY_ERR</v>
      </c>
      <c r="T134" s="39" t="s">
        <v>79</v>
      </c>
      <c r="U134" s="51" t="str" cm="1">
        <f t="array" aca="1" ref="U134" ca="1">_xll.SUBNM(db_name&amp;":sys_period display","","Current")</f>
        <v/>
      </c>
      <c r="V134" s="52"/>
      <c r="W134" s="53"/>
    </row>
    <row r="135" spans="1:27" customFormat="1" ht="30" customHeight="1" x14ac:dyDescent="0.3">
      <c r="J135" s="41" t="str">
        <f ca="1">$D$59</f>
        <v>*KEY_ERR</v>
      </c>
      <c r="L135" s="41" t="str">
        <f ca="1">$D$60</f>
        <v>*KEY_ERR</v>
      </c>
      <c r="N135" s="41" t="str">
        <f ca="1">$D$61</f>
        <v>*KEY_ERR</v>
      </c>
      <c r="P135" s="41" t="str">
        <f ca="1">$D$62</f>
        <v>*KEY_ERR</v>
      </c>
    </row>
    <row r="136" spans="1:27" customFormat="1" ht="4.5" customHeight="1" x14ac:dyDescent="0.3"/>
    <row r="137" spans="1:27" customFormat="1" x14ac:dyDescent="0.3">
      <c r="B137" s="26" t="s">
        <v>65</v>
      </c>
      <c r="C137" s="26" t="s">
        <v>66</v>
      </c>
      <c r="D137" s="26" t="s">
        <v>67</v>
      </c>
      <c r="E137" s="26" t="s">
        <v>68</v>
      </c>
      <c r="F137" s="26" t="s">
        <v>69</v>
      </c>
      <c r="G137" s="26" t="s">
        <v>70</v>
      </c>
      <c r="H137" s="26" t="s">
        <v>71</v>
      </c>
      <c r="I137" s="31"/>
      <c r="J137" s="26" t="s">
        <v>299</v>
      </c>
      <c r="K137" s="31"/>
      <c r="L137" s="26" t="s">
        <v>66</v>
      </c>
      <c r="M137" s="31"/>
      <c r="N137" s="26" t="s">
        <v>67</v>
      </c>
      <c r="O137" s="31"/>
      <c r="P137" s="26" t="s">
        <v>68</v>
      </c>
      <c r="Q137" s="31"/>
      <c r="R137" s="26" t="e">
        <f t="shared" ref="R137:AA137" ca="1" si="2">R$88</f>
        <v>#VALUE!</v>
      </c>
      <c r="S137" s="26" t="e">
        <f t="shared" ca="1" si="2"/>
        <v>#VALUE!</v>
      </c>
      <c r="T137" s="26" t="e">
        <f t="shared" ca="1" si="2"/>
        <v>#VALUE!</v>
      </c>
      <c r="U137" s="26" t="e">
        <f t="shared" ca="1" si="2"/>
        <v>#VALUE!</v>
      </c>
      <c r="V137" s="26" t="e">
        <f t="shared" ca="1" si="2"/>
        <v>#VALUE!</v>
      </c>
      <c r="W137" s="26" t="e">
        <f t="shared" ca="1" si="2"/>
        <v>#VALUE!</v>
      </c>
      <c r="X137" s="26" t="e">
        <f t="shared" ca="1" si="2"/>
        <v>#VALUE!</v>
      </c>
      <c r="Y137" s="26" t="e">
        <f t="shared" ca="1" si="2"/>
        <v>#VALUE!</v>
      </c>
      <c r="Z137" s="26" t="e">
        <f t="shared" ca="1" si="2"/>
        <v>#VALUE!</v>
      </c>
      <c r="AA137" s="26" t="e">
        <f t="shared" ca="1" si="2"/>
        <v>#VALUE!</v>
      </c>
    </row>
    <row r="138" spans="1:27" customFormat="1" ht="14.25" customHeight="1" x14ac:dyDescent="0.3">
      <c r="A138" t="str" cm="1">
        <f t="array" aca="1" ref="A138" ca="1">IF(_xll.TM1RPTELISCONSOLIDATED($D$138,$D138),IF(_xll.TM1RPTELLEV($D$138,$D138)&lt;=3,_xll.TM1RPTELLEV($D$138,$D138),"D"),"N")</f>
        <v>N</v>
      </c>
      <c r="B138" s="35" t="str" cm="1">
        <f t="array" aca="1" ref="B138" ca="1">_xll.TM1RPTROW($C$65,db_name&amp;":programme","","","",0,$C$67)</f>
        <v/>
      </c>
      <c r="C138" s="35" t="str" cm="1">
        <f t="array" aca="1" ref="C138" ca="1">_xll.TM1RPTROW($C$65,db_name&amp;":account template","","","",0,$C$68)</f>
        <v/>
      </c>
      <c r="D138" s="35" t="str" cm="1">
        <f t="array" aca="1" ref="D138" ca="1">_xll.TM1RPTROW($C$65,db_name&amp;":related entity","","","code and description",0,$C$69)</f>
        <v/>
      </c>
      <c r="E138" s="35" t="str" cm="1">
        <f t="array" aca="1" ref="E138" ca="1">_xll.TM1RPTROW($C$65,db_name&amp;":jurisdiction","","","",0,$C$70)</f>
        <v/>
      </c>
      <c r="F138" s="7" t="str" cm="1">
        <f t="array" aca="1" ref="F138" ca="1">_xll.DBRW($C$65,$C$56,$C$57,$E$81,$D138,$C$87,$B138,$E$83,$C138,$E$82,$E138,C$90,F$137)</f>
        <v/>
      </c>
      <c r="G138" s="7" t="str" cm="1">
        <f t="array" aca="1" ref="G138" ca="1">_xll.DBRA(db_name&amp;":programme",$B138,"code and description")</f>
        <v/>
      </c>
      <c r="H138" s="7" t="str" cm="1">
        <f t="array" aca="1" ref="H138" ca="1">_xll.DBRA(db_name&amp;":account template",$C138,"title")</f>
        <v/>
      </c>
      <c r="J138" s="3" t="str">
        <f ca="1">$G138</f>
        <v/>
      </c>
      <c r="K138" s="2"/>
      <c r="L138" s="3" t="str">
        <f ca="1">$H138</f>
        <v/>
      </c>
      <c r="M138" s="2"/>
      <c r="N138" s="3" t="str">
        <f ca="1">D138</f>
        <v/>
      </c>
      <c r="O138" s="2"/>
      <c r="P138" s="3" t="str">
        <f ca="1">E138</f>
        <v/>
      </c>
      <c r="Q138" s="2"/>
      <c r="R138" s="4" t="str" cm="1">
        <f t="array" aca="1" ref="R138" ca="1">_xll.DBRW($C$65,$C$56,$C$57,$E$81,$D138,$C$87,$B138,$E$83,$C138,$E$82,$E138,R$137,R$89)</f>
        <v/>
      </c>
      <c r="S138" s="4" t="str" cm="1">
        <f t="array" aca="1" ref="S138" ca="1">_xll.DBRW($C$65,$C$56,$C$57,$E$81,$D138,$C$87,$B138,$E$83,$C138,$E$82,$E138,S$137,S$89)</f>
        <v/>
      </c>
      <c r="T138" s="4" t="str" cm="1">
        <f t="array" aca="1" ref="T138" ca="1">_xll.DBRW($C$65,$C$56,$C$57,$E$81,$D138,$C$87,$B138,$E$83,$C138,$E$82,$E138,T$137,T$89)</f>
        <v/>
      </c>
      <c r="U138" s="4" t="str" cm="1">
        <f t="array" aca="1" ref="U138" ca="1">_xll.DBRW($C$65,$C$56,$C$57,$E$81,$D138,$C$87,$B138,$E$83,$C138,$E$82,$E138,U$137,U$89)</f>
        <v/>
      </c>
      <c r="V138" s="4" t="str" cm="1">
        <f t="array" aca="1" ref="V138" ca="1">_xll.DBRW($C$65,$C$56,$C$57,$E$81,$D138,$C$87,$B138,$E$83,$C138,$E$82,$E138,V$137,V$89)</f>
        <v/>
      </c>
      <c r="W138" s="4" t="str" cm="1">
        <f t="array" aca="1" ref="W138" ca="1">_xll.DBRW($C$65,$C$56,$C$57,$E$81,$D138,$C$87,$B138,$E$83,$C138,$E$82,$E138,W$137,W$89)</f>
        <v/>
      </c>
      <c r="X138" s="4" t="str" cm="1">
        <f t="array" aca="1" ref="X138" ca="1">_xll.DBRW($C$65,$C$56,$C$57,$E$81,$D138,$C$87,$B138,$E$83,$C138,$E$82,$E138,X$137,X$89)</f>
        <v/>
      </c>
      <c r="Y138" s="4" t="str" cm="1">
        <f t="array" aca="1" ref="Y138" ca="1">_xll.DBRW($C$65,$C$56,$C$57,$E$81,$D138,$C$87,$B138,$E$83,$C138,$E$82,$E138,Y$137,Y$89)</f>
        <v/>
      </c>
      <c r="Z138" s="4" t="str" cm="1">
        <f t="array" aca="1" ref="Z138" ca="1">_xll.DBRW($C$65,$C$56,$C$57,$E$81,$D138,$C$87,$B138,$E$83,$C138,$E$82,$E138,Z$137,Z$89)</f>
        <v/>
      </c>
      <c r="AA138" s="4" t="str" cm="1">
        <f t="array" aca="1" ref="AA138" ca="1">_xll.DBRW($C$65,$C$56,$C$57,$E$81,$D138,$C$87,$B138,$E$83,$C138,$E$82,$E138,AA$137,AA$89)</f>
        <v/>
      </c>
    </row>
  </sheetData>
  <sheetProtection sheet="1" objects="1" scenarios="1"/>
  <mergeCells count="20">
    <mergeCell ref="B79:C79"/>
    <mergeCell ref="D79:E79"/>
    <mergeCell ref="S123:T123"/>
    <mergeCell ref="B11:D11"/>
    <mergeCell ref="B19:D19"/>
    <mergeCell ref="B29:D29"/>
    <mergeCell ref="B64:D64"/>
    <mergeCell ref="B52:D52"/>
    <mergeCell ref="B92:C92"/>
    <mergeCell ref="B95:D95"/>
    <mergeCell ref="F95:H95"/>
    <mergeCell ref="B100:D100"/>
    <mergeCell ref="B109:D109"/>
    <mergeCell ref="B72:D72"/>
    <mergeCell ref="L125:P125"/>
    <mergeCell ref="S125:T125"/>
    <mergeCell ref="S127:Y127"/>
    <mergeCell ref="U134:W134"/>
    <mergeCell ref="L127:N127"/>
    <mergeCell ref="U133:W133"/>
  </mergeCells>
  <conditionalFormatting sqref="S123:T123">
    <cfRule type="containsText" dxfId="4" priority="3" operator="containsText" text="CBMS">
      <formula>NOT(ISERROR(SEARCH("CBMS",S123)))</formula>
    </cfRule>
    <cfRule type="beginsWith" dxfId="3" priority="4" operator="beginsWith" text="un">
      <formula>LEFT(S123,LEN("un"))="un"</formula>
    </cfRule>
    <cfRule type="containsText" dxfId="2" priority="5" operator="containsText" text="approve">
      <formula>NOT(ISERROR(SEARCH("approve",S123)))</formula>
    </cfRule>
  </conditionalFormatting>
  <conditionalFormatting sqref="N134">
    <cfRule type="expression" dxfId="1" priority="2">
      <formula>$D$134&lt;&gt;"Y"</formula>
    </cfRule>
  </conditionalFormatting>
  <conditionalFormatting sqref="P134">
    <cfRule type="expression" dxfId="0" priority="1">
      <formula>$E$134&lt;&gt;"Y"</formula>
    </cfRule>
  </conditionalFormatting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4" r:id="rId4" name="TIButton8">
          <controlPr defaultSize="0" print="0" autoLine="0" r:id="rId5">
            <anchor moveWithCells="1" sizeWithCells="1">
              <from>
                <xdr:col>9</xdr:col>
                <xdr:colOff>2659380</xdr:colOff>
                <xdr:row>130</xdr:row>
                <xdr:rowOff>30480</xdr:rowOff>
              </from>
              <to>
                <xdr:col>11</xdr:col>
                <xdr:colOff>1173480</xdr:colOff>
                <xdr:row>130</xdr:row>
                <xdr:rowOff>289560</xdr:rowOff>
              </to>
            </anchor>
          </controlPr>
        </control>
      </mc:Choice>
      <mc:Fallback>
        <control shapeId="1044" r:id="rId4" name="TIButton8"/>
      </mc:Fallback>
    </mc:AlternateContent>
    <mc:AlternateContent xmlns:mc="http://schemas.openxmlformats.org/markup-compatibility/2006">
      <mc:Choice Requires="x14">
        <control shapeId="1028" r:id="rId6" name="TIButton1">
          <controlPr defaultSize="0" print="0" autoLine="0" autoPict="0" r:id="rId7">
            <anchor moveWithCells="1" sizeWithCells="1">
              <from>
                <xdr:col>9</xdr:col>
                <xdr:colOff>68580</xdr:colOff>
                <xdr:row>119</xdr:row>
                <xdr:rowOff>0</xdr:rowOff>
              </from>
              <to>
                <xdr:col>9</xdr:col>
                <xdr:colOff>708660</xdr:colOff>
                <xdr:row>119</xdr:row>
                <xdr:rowOff>251460</xdr:rowOff>
              </to>
            </anchor>
          </controlPr>
        </control>
      </mc:Choice>
      <mc:Fallback>
        <control shapeId="1028" r:id="rId6" name="TIButton1"/>
      </mc:Fallback>
    </mc:AlternateContent>
    <mc:AlternateContent xmlns:mc="http://schemas.openxmlformats.org/markup-compatibility/2006">
      <mc:Choice Requires="x14">
        <control shapeId="1029" r:id="rId8" name="TIButton2">
          <controlPr defaultSize="0" print="0" autoLine="0" autoPict="0" r:id="rId9">
            <anchor moveWithCells="1" sizeWithCells="1">
              <from>
                <xdr:col>9</xdr:col>
                <xdr:colOff>746760</xdr:colOff>
                <xdr:row>119</xdr:row>
                <xdr:rowOff>0</xdr:rowOff>
              </from>
              <to>
                <xdr:col>9</xdr:col>
                <xdr:colOff>1866900</xdr:colOff>
                <xdr:row>119</xdr:row>
                <xdr:rowOff>251460</xdr:rowOff>
              </to>
            </anchor>
          </controlPr>
        </control>
      </mc:Choice>
      <mc:Fallback>
        <control shapeId="1029" r:id="rId8" name="TIButton2"/>
      </mc:Fallback>
    </mc:AlternateContent>
    <mc:AlternateContent xmlns:mc="http://schemas.openxmlformats.org/markup-compatibility/2006">
      <mc:Choice Requires="x14">
        <control shapeId="1030" r:id="rId10" name="TIButton3">
          <controlPr defaultSize="0" print="0" autoLine="0" autoPict="0" r:id="rId11">
            <anchor moveWithCells="1" sizeWithCells="1">
              <from>
                <xdr:col>15</xdr:col>
                <xdr:colOff>1188720</xdr:colOff>
                <xdr:row>119</xdr:row>
                <xdr:rowOff>0</xdr:rowOff>
              </from>
              <to>
                <xdr:col>17</xdr:col>
                <xdr:colOff>457200</xdr:colOff>
                <xdr:row>119</xdr:row>
                <xdr:rowOff>251460</xdr:rowOff>
              </to>
            </anchor>
          </controlPr>
        </control>
      </mc:Choice>
      <mc:Fallback>
        <control shapeId="1030" r:id="rId10" name="TIButton3"/>
      </mc:Fallback>
    </mc:AlternateContent>
    <mc:AlternateContent xmlns:mc="http://schemas.openxmlformats.org/markup-compatibility/2006">
      <mc:Choice Requires="x14">
        <control shapeId="1031" r:id="rId12" name="TIButton4">
          <controlPr defaultSize="0" print="0" autoLine="0" autoPict="0" r:id="rId13">
            <anchor moveWithCells="1" sizeWithCells="1">
              <from>
                <xdr:col>9</xdr:col>
                <xdr:colOff>1897380</xdr:colOff>
                <xdr:row>119</xdr:row>
                <xdr:rowOff>0</xdr:rowOff>
              </from>
              <to>
                <xdr:col>11</xdr:col>
                <xdr:colOff>0</xdr:colOff>
                <xdr:row>119</xdr:row>
                <xdr:rowOff>251460</xdr:rowOff>
              </to>
            </anchor>
          </controlPr>
        </control>
      </mc:Choice>
      <mc:Fallback>
        <control shapeId="1031" r:id="rId12" name="TIButton4"/>
      </mc:Fallback>
    </mc:AlternateContent>
    <mc:AlternateContent xmlns:mc="http://schemas.openxmlformats.org/markup-compatibility/2006">
      <mc:Choice Requires="x14">
        <control shapeId="1032" r:id="rId14" name="TIButton5">
          <controlPr defaultSize="0" print="0" autoLine="0" r:id="rId15">
            <anchor moveWithCells="1" sizeWithCells="1">
              <from>
                <xdr:col>15</xdr:col>
                <xdr:colOff>274320</xdr:colOff>
                <xdr:row>119</xdr:row>
                <xdr:rowOff>0</xdr:rowOff>
              </from>
              <to>
                <xdr:col>15</xdr:col>
                <xdr:colOff>1150620</xdr:colOff>
                <xdr:row>119</xdr:row>
                <xdr:rowOff>251460</xdr:rowOff>
              </to>
            </anchor>
          </controlPr>
        </control>
      </mc:Choice>
      <mc:Fallback>
        <control shapeId="1032" r:id="rId14" name="TIButton5"/>
      </mc:Fallback>
    </mc:AlternateContent>
    <mc:AlternateContent xmlns:mc="http://schemas.openxmlformats.org/markup-compatibility/2006">
      <mc:Choice Requires="x14">
        <control shapeId="1033" r:id="rId16" name="TIButton6">
          <controlPr defaultSize="0" print="0" autoLine="0" r:id="rId17">
            <anchor moveWithCells="1" sizeWithCells="1">
              <from>
                <xdr:col>11</xdr:col>
                <xdr:colOff>30480</xdr:colOff>
                <xdr:row>119</xdr:row>
                <xdr:rowOff>0</xdr:rowOff>
              </from>
              <to>
                <xdr:col>11</xdr:col>
                <xdr:colOff>1318260</xdr:colOff>
                <xdr:row>119</xdr:row>
                <xdr:rowOff>251460</xdr:rowOff>
              </to>
            </anchor>
          </controlPr>
        </control>
      </mc:Choice>
      <mc:Fallback>
        <control shapeId="1033" r:id="rId16" name="TIButton6"/>
      </mc:Fallback>
    </mc:AlternateContent>
    <mc:AlternateContent xmlns:mc="http://schemas.openxmlformats.org/markup-compatibility/2006">
      <mc:Choice Requires="x14">
        <control shapeId="1036" r:id="rId18" name="TIButton9">
          <controlPr defaultSize="0" print="0" autoLine="0" r:id="rId19">
            <anchor moveWithCells="1" sizeWithCells="1">
              <from>
                <xdr:col>13</xdr:col>
                <xdr:colOff>160020</xdr:colOff>
                <xdr:row>119</xdr:row>
                <xdr:rowOff>0</xdr:rowOff>
              </from>
              <to>
                <xdr:col>13</xdr:col>
                <xdr:colOff>1066800</xdr:colOff>
                <xdr:row>119</xdr:row>
                <xdr:rowOff>251460</xdr:rowOff>
              </to>
            </anchor>
          </controlPr>
        </control>
      </mc:Choice>
      <mc:Fallback>
        <control shapeId="1036" r:id="rId18" name="TIButton9"/>
      </mc:Fallback>
    </mc:AlternateContent>
    <mc:AlternateContent xmlns:mc="http://schemas.openxmlformats.org/markup-compatibility/2006">
      <mc:Choice Requires="x14">
        <control shapeId="1037" r:id="rId20" name="TIButton10">
          <controlPr defaultSize="0" print="0" autoLine="0" r:id="rId21">
            <anchor moveWithCells="1" sizeWithCells="1">
              <from>
                <xdr:col>13</xdr:col>
                <xdr:colOff>1089660</xdr:colOff>
                <xdr:row>119</xdr:row>
                <xdr:rowOff>0</xdr:rowOff>
              </from>
              <to>
                <xdr:col>15</xdr:col>
                <xdr:colOff>251460</xdr:colOff>
                <xdr:row>119</xdr:row>
                <xdr:rowOff>251460</xdr:rowOff>
              </to>
            </anchor>
          </controlPr>
        </control>
      </mc:Choice>
      <mc:Fallback>
        <control shapeId="1037" r:id="rId20" name="TIButton10"/>
      </mc:Fallback>
    </mc:AlternateContent>
    <mc:AlternateContent xmlns:mc="http://schemas.openxmlformats.org/markup-compatibility/2006">
      <mc:Choice Requires="x14">
        <control shapeId="1038" r:id="rId22" name="TIButton11">
          <controlPr defaultSize="0" print="0" autoLine="0" r:id="rId23">
            <anchor moveWithCells="1" sizeWithCells="1">
              <from>
                <xdr:col>11</xdr:col>
                <xdr:colOff>1325880</xdr:colOff>
                <xdr:row>119</xdr:row>
                <xdr:rowOff>0</xdr:rowOff>
              </from>
              <to>
                <xdr:col>13</xdr:col>
                <xdr:colOff>121920</xdr:colOff>
                <xdr:row>119</xdr:row>
                <xdr:rowOff>251460</xdr:rowOff>
              </to>
            </anchor>
          </controlPr>
        </control>
      </mc:Choice>
      <mc:Fallback>
        <control shapeId="1038" r:id="rId22" name="TIButton11"/>
      </mc:Fallback>
    </mc:AlternateContent>
    <mc:AlternateContent xmlns:mc="http://schemas.openxmlformats.org/markup-compatibility/2006">
      <mc:Choice Requires="x14">
        <control shapeId="1039" r:id="rId24" name="TIButton7">
          <controlPr defaultSize="0" print="0" autoLine="0" autoPict="0" r:id="rId25">
            <anchor moveWithCells="1" sizeWithCells="1">
              <from>
                <xdr:col>9</xdr:col>
                <xdr:colOff>30480</xdr:colOff>
                <xdr:row>130</xdr:row>
                <xdr:rowOff>30480</xdr:rowOff>
              </from>
              <to>
                <xdr:col>9</xdr:col>
                <xdr:colOff>1318260</xdr:colOff>
                <xdr:row>130</xdr:row>
                <xdr:rowOff>289560</xdr:rowOff>
              </to>
            </anchor>
          </controlPr>
        </control>
      </mc:Choice>
      <mc:Fallback>
        <control shapeId="1039" r:id="rId24" name="TIButton7"/>
      </mc:Fallback>
    </mc:AlternateContent>
    <mc:AlternateContent xmlns:mc="http://schemas.openxmlformats.org/markup-compatibility/2006">
      <mc:Choice Requires="x14">
        <control shapeId="1040" r:id="rId26" name="TIButton12">
          <controlPr defaultSize="0" print="0" autoLine="0" autoPict="0" r:id="rId27">
            <anchor moveWithCells="1" sizeWithCells="1">
              <from>
                <xdr:col>9</xdr:col>
                <xdr:colOff>1341120</xdr:colOff>
                <xdr:row>130</xdr:row>
                <xdr:rowOff>30480</xdr:rowOff>
              </from>
              <to>
                <xdr:col>9</xdr:col>
                <xdr:colOff>2628900</xdr:colOff>
                <xdr:row>130</xdr:row>
                <xdr:rowOff>289560</xdr:rowOff>
              </to>
            </anchor>
          </controlPr>
        </control>
      </mc:Choice>
      <mc:Fallback>
        <control shapeId="1040" r:id="rId26" name="TIButton12"/>
      </mc:Fallback>
    </mc:AlternateContent>
    <mc:AlternateContent xmlns:mc="http://schemas.openxmlformats.org/markup-compatibility/2006">
      <mc:Choice Requires="x14">
        <control shapeId="1041" r:id="rId28" name="TIButton13">
          <controlPr defaultSize="0" print="0" autoLine="0" r:id="rId29">
            <anchor moveWithCells="1" sizeWithCells="1">
              <from>
                <xdr:col>11</xdr:col>
                <xdr:colOff>1188720</xdr:colOff>
                <xdr:row>130</xdr:row>
                <xdr:rowOff>30480</xdr:rowOff>
              </from>
              <to>
                <xdr:col>13</xdr:col>
                <xdr:colOff>304800</xdr:colOff>
                <xdr:row>130</xdr:row>
                <xdr:rowOff>289560</xdr:rowOff>
              </to>
            </anchor>
          </controlPr>
        </control>
      </mc:Choice>
      <mc:Fallback>
        <control shapeId="1041" r:id="rId28" name="TIButton13"/>
      </mc:Fallback>
    </mc:AlternateContent>
    <mc:AlternateContent xmlns:mc="http://schemas.openxmlformats.org/markup-compatibility/2006">
      <mc:Choice Requires="x14">
        <control shapeId="1042" r:id="rId30" name="TIButton14">
          <controlPr defaultSize="0" print="0" autoLine="0" r:id="rId31">
            <anchor moveWithCells="1" sizeWithCells="1">
              <from>
                <xdr:col>13</xdr:col>
                <xdr:colOff>327660</xdr:colOff>
                <xdr:row>130</xdr:row>
                <xdr:rowOff>30480</xdr:rowOff>
              </from>
              <to>
                <xdr:col>14</xdr:col>
                <xdr:colOff>30480</xdr:colOff>
                <xdr:row>130</xdr:row>
                <xdr:rowOff>289560</xdr:rowOff>
              </to>
            </anchor>
          </controlPr>
        </control>
      </mc:Choice>
      <mc:Fallback>
        <control shapeId="1042" r:id="rId30" name="TIButton14"/>
      </mc:Fallback>
    </mc:AlternateContent>
    <mc:AlternateContent xmlns:mc="http://schemas.openxmlformats.org/markup-compatibility/2006">
      <mc:Choice Requires="x14">
        <control shapeId="1043" r:id="rId32" name="TIButton15">
          <controlPr defaultSize="0" print="0" autoLine="0" autoPict="0" r:id="rId33">
            <anchor moveWithCells="1" sizeWithCells="1">
              <from>
                <xdr:col>17</xdr:col>
                <xdr:colOff>556260</xdr:colOff>
                <xdr:row>132</xdr:row>
                <xdr:rowOff>83820</xdr:rowOff>
              </from>
              <to>
                <xdr:col>18</xdr:col>
                <xdr:colOff>792480</xdr:colOff>
                <xdr:row>133</xdr:row>
                <xdr:rowOff>152400</xdr:rowOff>
              </to>
            </anchor>
          </controlPr>
        </control>
      </mc:Choice>
      <mc:Fallback>
        <control shapeId="1043" r:id="rId32" name="TIButton1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137"/>
  <sheetViews>
    <sheetView workbookViewId="0"/>
  </sheetViews>
  <sheetFormatPr defaultRowHeight="14.4" x14ac:dyDescent="0.3"/>
  <sheetData>
    <row r="1" spans="1:1" x14ac:dyDescent="0.3">
      <c r="A1" t="s">
        <v>282</v>
      </c>
    </row>
    <row r="2" spans="1:1" x14ac:dyDescent="0.3">
      <c r="A2" t="s">
        <v>283</v>
      </c>
    </row>
    <row r="3" spans="1:1" x14ac:dyDescent="0.3">
      <c r="A3" t="s">
        <v>284</v>
      </c>
    </row>
    <row r="4" spans="1:1" x14ac:dyDescent="0.3">
      <c r="A4" t="s">
        <v>285</v>
      </c>
    </row>
    <row r="5" spans="1:1" x14ac:dyDescent="0.3">
      <c r="A5" t="s">
        <v>286</v>
      </c>
    </row>
    <row r="6" spans="1:1" x14ac:dyDescent="0.3">
      <c r="A6" t="s">
        <v>287</v>
      </c>
    </row>
    <row r="7" spans="1:1" x14ac:dyDescent="0.3">
      <c r="A7" t="s">
        <v>288</v>
      </c>
    </row>
    <row r="8" spans="1:1" x14ac:dyDescent="0.3">
      <c r="A8" t="s">
        <v>289</v>
      </c>
    </row>
    <row r="9" spans="1:1" x14ac:dyDescent="0.3">
      <c r="A9" t="s">
        <v>290</v>
      </c>
    </row>
    <row r="10" spans="1:1" x14ac:dyDescent="0.3">
      <c r="A10" t="s">
        <v>138</v>
      </c>
    </row>
    <row r="11" spans="1:1" x14ac:dyDescent="0.3">
      <c r="A11" t="s">
        <v>139</v>
      </c>
    </row>
    <row r="12" spans="1:1" x14ac:dyDescent="0.3">
      <c r="A12" t="s">
        <v>140</v>
      </c>
    </row>
    <row r="13" spans="1:1" x14ac:dyDescent="0.3">
      <c r="A13" t="s">
        <v>141</v>
      </c>
    </row>
    <row r="14" spans="1:1" x14ac:dyDescent="0.3">
      <c r="A14" t="s">
        <v>142</v>
      </c>
    </row>
    <row r="15" spans="1:1" x14ac:dyDescent="0.3">
      <c r="A15" t="s">
        <v>143</v>
      </c>
    </row>
    <row r="16" spans="1:1" x14ac:dyDescent="0.3">
      <c r="A16" t="s">
        <v>144</v>
      </c>
    </row>
    <row r="17" spans="1:1" x14ac:dyDescent="0.3">
      <c r="A17" t="s">
        <v>145</v>
      </c>
    </row>
    <row r="18" spans="1:1" x14ac:dyDescent="0.3">
      <c r="A18" t="s">
        <v>146</v>
      </c>
    </row>
    <row r="19" spans="1:1" x14ac:dyDescent="0.3">
      <c r="A19" t="s">
        <v>147</v>
      </c>
    </row>
    <row r="20" spans="1:1" x14ac:dyDescent="0.3">
      <c r="A20" t="s">
        <v>148</v>
      </c>
    </row>
    <row r="21" spans="1:1" x14ac:dyDescent="0.3">
      <c r="A21" t="s">
        <v>149</v>
      </c>
    </row>
    <row r="22" spans="1:1" x14ac:dyDescent="0.3">
      <c r="A22" t="s">
        <v>150</v>
      </c>
    </row>
    <row r="23" spans="1:1" x14ac:dyDescent="0.3">
      <c r="A23" t="s">
        <v>151</v>
      </c>
    </row>
    <row r="24" spans="1:1" x14ac:dyDescent="0.3">
      <c r="A24" t="s">
        <v>152</v>
      </c>
    </row>
    <row r="25" spans="1:1" x14ac:dyDescent="0.3">
      <c r="A25" t="s">
        <v>153</v>
      </c>
    </row>
    <row r="26" spans="1:1" x14ac:dyDescent="0.3">
      <c r="A26" t="s">
        <v>154</v>
      </c>
    </row>
    <row r="27" spans="1:1" x14ac:dyDescent="0.3">
      <c r="A27" t="s">
        <v>155</v>
      </c>
    </row>
    <row r="28" spans="1:1" x14ac:dyDescent="0.3">
      <c r="A28" t="s">
        <v>156</v>
      </c>
    </row>
    <row r="29" spans="1:1" x14ac:dyDescent="0.3">
      <c r="A29" t="s">
        <v>157</v>
      </c>
    </row>
    <row r="30" spans="1:1" x14ac:dyDescent="0.3">
      <c r="A30" t="s">
        <v>158</v>
      </c>
    </row>
    <row r="31" spans="1:1" x14ac:dyDescent="0.3">
      <c r="A31" t="s">
        <v>159</v>
      </c>
    </row>
    <row r="32" spans="1:1" x14ac:dyDescent="0.3">
      <c r="A32" t="s">
        <v>160</v>
      </c>
    </row>
    <row r="33" spans="1:1" x14ac:dyDescent="0.3">
      <c r="A33" t="s">
        <v>161</v>
      </c>
    </row>
    <row r="34" spans="1:1" x14ac:dyDescent="0.3">
      <c r="A34" t="s">
        <v>162</v>
      </c>
    </row>
    <row r="35" spans="1:1" x14ac:dyDescent="0.3">
      <c r="A35" t="s">
        <v>163</v>
      </c>
    </row>
    <row r="36" spans="1:1" x14ac:dyDescent="0.3">
      <c r="A36" t="s">
        <v>164</v>
      </c>
    </row>
    <row r="37" spans="1:1" x14ac:dyDescent="0.3">
      <c r="A37" t="s">
        <v>165</v>
      </c>
    </row>
    <row r="38" spans="1:1" x14ac:dyDescent="0.3">
      <c r="A38" t="s">
        <v>166</v>
      </c>
    </row>
    <row r="39" spans="1:1" x14ac:dyDescent="0.3">
      <c r="A39" t="s">
        <v>167</v>
      </c>
    </row>
    <row r="40" spans="1:1" x14ac:dyDescent="0.3">
      <c r="A40" t="s">
        <v>168</v>
      </c>
    </row>
    <row r="41" spans="1:1" x14ac:dyDescent="0.3">
      <c r="A41" t="s">
        <v>169</v>
      </c>
    </row>
    <row r="42" spans="1:1" x14ac:dyDescent="0.3">
      <c r="A42" t="s">
        <v>170</v>
      </c>
    </row>
    <row r="43" spans="1:1" x14ac:dyDescent="0.3">
      <c r="A43" t="s">
        <v>171</v>
      </c>
    </row>
    <row r="44" spans="1:1" x14ac:dyDescent="0.3">
      <c r="A44" t="s">
        <v>172</v>
      </c>
    </row>
    <row r="45" spans="1:1" x14ac:dyDescent="0.3">
      <c r="A45" t="s">
        <v>173</v>
      </c>
    </row>
    <row r="46" spans="1:1" x14ac:dyDescent="0.3">
      <c r="A46" t="s">
        <v>174</v>
      </c>
    </row>
    <row r="47" spans="1:1" x14ac:dyDescent="0.3">
      <c r="A47" t="s">
        <v>175</v>
      </c>
    </row>
    <row r="48" spans="1:1" x14ac:dyDescent="0.3">
      <c r="A48" t="s">
        <v>176</v>
      </c>
    </row>
    <row r="49" spans="1:1" x14ac:dyDescent="0.3">
      <c r="A49" t="s">
        <v>177</v>
      </c>
    </row>
    <row r="50" spans="1:1" x14ac:dyDescent="0.3">
      <c r="A50" t="s">
        <v>178</v>
      </c>
    </row>
    <row r="51" spans="1:1" x14ac:dyDescent="0.3">
      <c r="A51" t="s">
        <v>179</v>
      </c>
    </row>
    <row r="52" spans="1:1" x14ac:dyDescent="0.3">
      <c r="A52" t="s">
        <v>180</v>
      </c>
    </row>
    <row r="53" spans="1:1" x14ac:dyDescent="0.3">
      <c r="A53" t="s">
        <v>181</v>
      </c>
    </row>
    <row r="54" spans="1:1" x14ac:dyDescent="0.3">
      <c r="A54" t="s">
        <v>182</v>
      </c>
    </row>
    <row r="55" spans="1:1" x14ac:dyDescent="0.3">
      <c r="A55" t="s">
        <v>183</v>
      </c>
    </row>
    <row r="56" spans="1:1" x14ac:dyDescent="0.3">
      <c r="A56" t="s">
        <v>184</v>
      </c>
    </row>
    <row r="57" spans="1:1" x14ac:dyDescent="0.3">
      <c r="A57" t="s">
        <v>185</v>
      </c>
    </row>
    <row r="58" spans="1:1" x14ac:dyDescent="0.3">
      <c r="A58" t="s">
        <v>186</v>
      </c>
    </row>
    <row r="59" spans="1:1" x14ac:dyDescent="0.3">
      <c r="A59" t="s">
        <v>187</v>
      </c>
    </row>
    <row r="60" spans="1:1" x14ac:dyDescent="0.3">
      <c r="A60" t="s">
        <v>188</v>
      </c>
    </row>
    <row r="61" spans="1:1" x14ac:dyDescent="0.3">
      <c r="A61" t="s">
        <v>189</v>
      </c>
    </row>
    <row r="62" spans="1:1" x14ac:dyDescent="0.3">
      <c r="A62" t="s">
        <v>190</v>
      </c>
    </row>
    <row r="63" spans="1:1" x14ac:dyDescent="0.3">
      <c r="A63" t="s">
        <v>191</v>
      </c>
    </row>
    <row r="64" spans="1:1" x14ac:dyDescent="0.3">
      <c r="A64" t="s">
        <v>192</v>
      </c>
    </row>
    <row r="65" spans="1:1" x14ac:dyDescent="0.3">
      <c r="A65" t="s">
        <v>193</v>
      </c>
    </row>
    <row r="66" spans="1:1" x14ac:dyDescent="0.3">
      <c r="A66" t="s">
        <v>194</v>
      </c>
    </row>
    <row r="67" spans="1:1" x14ac:dyDescent="0.3">
      <c r="A67" t="s">
        <v>195</v>
      </c>
    </row>
    <row r="68" spans="1:1" x14ac:dyDescent="0.3">
      <c r="A68" t="s">
        <v>196</v>
      </c>
    </row>
    <row r="69" spans="1:1" x14ac:dyDescent="0.3">
      <c r="A69" t="s">
        <v>197</v>
      </c>
    </row>
    <row r="70" spans="1:1" x14ac:dyDescent="0.3">
      <c r="A70" t="s">
        <v>198</v>
      </c>
    </row>
    <row r="71" spans="1:1" x14ac:dyDescent="0.3">
      <c r="A71" t="s">
        <v>199</v>
      </c>
    </row>
    <row r="72" spans="1:1" x14ac:dyDescent="0.3">
      <c r="A72" t="s">
        <v>200</v>
      </c>
    </row>
    <row r="73" spans="1:1" x14ac:dyDescent="0.3">
      <c r="A73" t="s">
        <v>201</v>
      </c>
    </row>
    <row r="74" spans="1:1" x14ac:dyDescent="0.3">
      <c r="A74" t="s">
        <v>202</v>
      </c>
    </row>
    <row r="75" spans="1:1" x14ac:dyDescent="0.3">
      <c r="A75" t="s">
        <v>203</v>
      </c>
    </row>
    <row r="76" spans="1:1" x14ac:dyDescent="0.3">
      <c r="A76" t="s">
        <v>204</v>
      </c>
    </row>
    <row r="77" spans="1:1" x14ac:dyDescent="0.3">
      <c r="A77" t="s">
        <v>205</v>
      </c>
    </row>
    <row r="78" spans="1:1" x14ac:dyDescent="0.3">
      <c r="A78" t="s">
        <v>206</v>
      </c>
    </row>
    <row r="79" spans="1:1" x14ac:dyDescent="0.3">
      <c r="A79" t="s">
        <v>207</v>
      </c>
    </row>
    <row r="80" spans="1:1" x14ac:dyDescent="0.3">
      <c r="A80" t="s">
        <v>208</v>
      </c>
    </row>
    <row r="81" spans="1:1" x14ac:dyDescent="0.3">
      <c r="A81" t="s">
        <v>209</v>
      </c>
    </row>
    <row r="82" spans="1:1" x14ac:dyDescent="0.3">
      <c r="A82" t="s">
        <v>210</v>
      </c>
    </row>
    <row r="83" spans="1:1" x14ac:dyDescent="0.3">
      <c r="A83" t="s">
        <v>211</v>
      </c>
    </row>
    <row r="84" spans="1:1" x14ac:dyDescent="0.3">
      <c r="A84" t="s">
        <v>212</v>
      </c>
    </row>
    <row r="85" spans="1:1" x14ac:dyDescent="0.3">
      <c r="A85" t="s">
        <v>213</v>
      </c>
    </row>
    <row r="86" spans="1:1" x14ac:dyDescent="0.3">
      <c r="A86" t="s">
        <v>214</v>
      </c>
    </row>
    <row r="87" spans="1:1" x14ac:dyDescent="0.3">
      <c r="A87" t="s">
        <v>215</v>
      </c>
    </row>
    <row r="88" spans="1:1" x14ac:dyDescent="0.3">
      <c r="A88" t="s">
        <v>216</v>
      </c>
    </row>
    <row r="89" spans="1:1" x14ac:dyDescent="0.3">
      <c r="A89" t="s">
        <v>217</v>
      </c>
    </row>
    <row r="90" spans="1:1" x14ac:dyDescent="0.3">
      <c r="A90" t="s">
        <v>218</v>
      </c>
    </row>
    <row r="91" spans="1:1" x14ac:dyDescent="0.3">
      <c r="A91" t="s">
        <v>219</v>
      </c>
    </row>
    <row r="92" spans="1:1" x14ac:dyDescent="0.3">
      <c r="A92" t="s">
        <v>220</v>
      </c>
    </row>
    <row r="93" spans="1:1" x14ac:dyDescent="0.3">
      <c r="A93" t="s">
        <v>221</v>
      </c>
    </row>
    <row r="94" spans="1:1" x14ac:dyDescent="0.3">
      <c r="A94" t="s">
        <v>222</v>
      </c>
    </row>
    <row r="95" spans="1:1" x14ac:dyDescent="0.3">
      <c r="A95" t="s">
        <v>223</v>
      </c>
    </row>
    <row r="96" spans="1:1" x14ac:dyDescent="0.3">
      <c r="A96" t="s">
        <v>224</v>
      </c>
    </row>
    <row r="97" spans="1:1" x14ac:dyDescent="0.3">
      <c r="A97" t="s">
        <v>225</v>
      </c>
    </row>
    <row r="98" spans="1:1" x14ac:dyDescent="0.3">
      <c r="A98" t="s">
        <v>226</v>
      </c>
    </row>
    <row r="99" spans="1:1" x14ac:dyDescent="0.3">
      <c r="A99" t="s">
        <v>227</v>
      </c>
    </row>
    <row r="100" spans="1:1" x14ac:dyDescent="0.3">
      <c r="A100" t="s">
        <v>228</v>
      </c>
    </row>
    <row r="101" spans="1:1" x14ac:dyDescent="0.3">
      <c r="A101" t="s">
        <v>229</v>
      </c>
    </row>
    <row r="102" spans="1:1" x14ac:dyDescent="0.3">
      <c r="A102" t="s">
        <v>230</v>
      </c>
    </row>
    <row r="103" spans="1:1" x14ac:dyDescent="0.3">
      <c r="A103" t="s">
        <v>231</v>
      </c>
    </row>
    <row r="104" spans="1:1" x14ac:dyDescent="0.3">
      <c r="A104" t="s">
        <v>232</v>
      </c>
    </row>
    <row r="105" spans="1:1" x14ac:dyDescent="0.3">
      <c r="A105" t="s">
        <v>233</v>
      </c>
    </row>
    <row r="106" spans="1:1" x14ac:dyDescent="0.3">
      <c r="A106" t="s">
        <v>234</v>
      </c>
    </row>
    <row r="107" spans="1:1" x14ac:dyDescent="0.3">
      <c r="A107" t="s">
        <v>235</v>
      </c>
    </row>
    <row r="108" spans="1:1" x14ac:dyDescent="0.3">
      <c r="A108" t="s">
        <v>236</v>
      </c>
    </row>
    <row r="109" spans="1:1" x14ac:dyDescent="0.3">
      <c r="A109" t="s">
        <v>237</v>
      </c>
    </row>
    <row r="110" spans="1:1" x14ac:dyDescent="0.3">
      <c r="A110" t="s">
        <v>238</v>
      </c>
    </row>
    <row r="111" spans="1:1" x14ac:dyDescent="0.3">
      <c r="A111" t="s">
        <v>239</v>
      </c>
    </row>
    <row r="112" spans="1:1" x14ac:dyDescent="0.3">
      <c r="A112" t="s">
        <v>240</v>
      </c>
    </row>
    <row r="113" spans="1:1" x14ac:dyDescent="0.3">
      <c r="A113" t="s">
        <v>241</v>
      </c>
    </row>
    <row r="114" spans="1:1" x14ac:dyDescent="0.3">
      <c r="A114" t="s">
        <v>242</v>
      </c>
    </row>
    <row r="115" spans="1:1" x14ac:dyDescent="0.3">
      <c r="A115" t="s">
        <v>243</v>
      </c>
    </row>
    <row r="116" spans="1:1" x14ac:dyDescent="0.3">
      <c r="A116" t="s">
        <v>244</v>
      </c>
    </row>
    <row r="117" spans="1:1" x14ac:dyDescent="0.3">
      <c r="A117" t="s">
        <v>245</v>
      </c>
    </row>
    <row r="118" spans="1:1" x14ac:dyDescent="0.3">
      <c r="A118" t="s">
        <v>246</v>
      </c>
    </row>
    <row r="119" spans="1:1" x14ac:dyDescent="0.3">
      <c r="A119" t="s">
        <v>247</v>
      </c>
    </row>
    <row r="120" spans="1:1" x14ac:dyDescent="0.3">
      <c r="A120" t="s">
        <v>248</v>
      </c>
    </row>
    <row r="121" spans="1:1" x14ac:dyDescent="0.3">
      <c r="A121" t="s">
        <v>249</v>
      </c>
    </row>
    <row r="122" spans="1:1" x14ac:dyDescent="0.3">
      <c r="A122" t="s">
        <v>250</v>
      </c>
    </row>
    <row r="123" spans="1:1" x14ac:dyDescent="0.3">
      <c r="A123" t="s">
        <v>251</v>
      </c>
    </row>
    <row r="124" spans="1:1" x14ac:dyDescent="0.3">
      <c r="A124" t="s">
        <v>252</v>
      </c>
    </row>
    <row r="125" spans="1:1" x14ac:dyDescent="0.3">
      <c r="A125" t="s">
        <v>253</v>
      </c>
    </row>
    <row r="126" spans="1:1" x14ac:dyDescent="0.3">
      <c r="A126" t="s">
        <v>254</v>
      </c>
    </row>
    <row r="127" spans="1:1" x14ac:dyDescent="0.3">
      <c r="A127" t="s">
        <v>255</v>
      </c>
    </row>
    <row r="128" spans="1:1" x14ac:dyDescent="0.3">
      <c r="A128" t="s">
        <v>256</v>
      </c>
    </row>
    <row r="129" spans="1:1" x14ac:dyDescent="0.3">
      <c r="A129" t="s">
        <v>257</v>
      </c>
    </row>
    <row r="130" spans="1:1" x14ac:dyDescent="0.3">
      <c r="A130" t="s">
        <v>258</v>
      </c>
    </row>
    <row r="131" spans="1:1" x14ac:dyDescent="0.3">
      <c r="A131" t="s">
        <v>259</v>
      </c>
    </row>
    <row r="132" spans="1:1" x14ac:dyDescent="0.3">
      <c r="A132" t="s">
        <v>260</v>
      </c>
    </row>
    <row r="133" spans="1:1" x14ac:dyDescent="0.3">
      <c r="A133" t="s">
        <v>261</v>
      </c>
    </row>
    <row r="134" spans="1:1" x14ac:dyDescent="0.3">
      <c r="A134" t="s">
        <v>262</v>
      </c>
    </row>
    <row r="135" spans="1:1" x14ac:dyDescent="0.3">
      <c r="A135" t="s">
        <v>263</v>
      </c>
    </row>
    <row r="136" spans="1:1" x14ac:dyDescent="0.3">
      <c r="A136" t="s">
        <v>264</v>
      </c>
    </row>
    <row r="137" spans="1:1" x14ac:dyDescent="0.3">
      <c r="A137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75</vt:i4>
      </vt:variant>
    </vt:vector>
  </HeadingPairs>
  <TitlesOfParts>
    <vt:vector size="77" baseType="lpstr">
      <vt:lpstr>group adj cash</vt:lpstr>
      <vt:lpstr>{PL}PickLst</vt:lpstr>
      <vt:lpstr>ae_grpadj_pyflag</vt:lpstr>
      <vt:lpstr>db_name</vt:lpstr>
      <vt:lpstr>Freeze_Here</vt:lpstr>
      <vt:lpstr>grp_newadj_ctrltype</vt:lpstr>
      <vt:lpstr>grp_per_display</vt:lpstr>
      <vt:lpstr>psAccTemp</vt:lpstr>
      <vt:lpstr>psAccType</vt:lpstr>
      <vt:lpstr>psApp</vt:lpstr>
      <vt:lpstr>psHLYear</vt:lpstr>
      <vt:lpstr>psID</vt:lpstr>
      <vt:lpstr>psJur</vt:lpstr>
      <vt:lpstr>psProg</vt:lpstr>
      <vt:lpstr>psProgDimName</vt:lpstr>
      <vt:lpstr>psRE</vt:lpstr>
      <vt:lpstr>psScenario</vt:lpstr>
      <vt:lpstr>psUser</vt:lpstr>
      <vt:lpstr>sys_perdisplay_list</vt:lpstr>
      <vt:lpstr>TargetCells</vt:lpstr>
      <vt:lpstr>TM1AdjIDListCAP</vt:lpstr>
      <vt:lpstr>TM1AdjIDListWB</vt:lpstr>
      <vt:lpstr>TM1GrpEditAdj01CAP</vt:lpstr>
      <vt:lpstr>TM1GrpEditAdj01WB</vt:lpstr>
      <vt:lpstr>TM1GrpEditAdj01WS</vt:lpstr>
      <vt:lpstr>TM1GrpNewAdj01HeaderCAP</vt:lpstr>
      <vt:lpstr>TM1GrpNewAdj01HeaderWB</vt:lpstr>
      <vt:lpstr>TM1GrpNewAdj01HeaderWS</vt:lpstr>
      <vt:lpstr>TM1GrpNewAdj02ExpDataEntryCAP</vt:lpstr>
      <vt:lpstr>TM1GrpNewAdj02ExpDataEntryWB</vt:lpstr>
      <vt:lpstr>TM1GrpNewAdj02ExpDataEntryWS</vt:lpstr>
      <vt:lpstr>TM1GrpNewAdj03CashDataEntryCAP</vt:lpstr>
      <vt:lpstr>TM1GrpNewAdj03CashDataEntryWB</vt:lpstr>
      <vt:lpstr>TM1GrpNewAdj03CashDataEntryWS</vt:lpstr>
      <vt:lpstr>TM1GrpNewAdj04CBMSViewCAP</vt:lpstr>
      <vt:lpstr>TM1GrpNewAdj04CBMSViewWB</vt:lpstr>
      <vt:lpstr>TM1GrpNewAdj04CBMSViewWS</vt:lpstr>
      <vt:lpstr>TM1GrpNewAdj05AuthCAP</vt:lpstr>
      <vt:lpstr>TM1GrpNewAdj05AuthWB</vt:lpstr>
      <vt:lpstr>TM1GrpNewAdj05AuthWS</vt:lpstr>
      <vt:lpstr>TM1GrpNewAdj06CopyCAP</vt:lpstr>
      <vt:lpstr>TM1GrpNewAdj06CopyWB</vt:lpstr>
      <vt:lpstr>TM1GrpNewAdj06CopyWS</vt:lpstr>
      <vt:lpstr>TM1GrpNewAdj07CustNoDataEntryCAP</vt:lpstr>
      <vt:lpstr>TM1GrpNewAdj07CustNoDataEntryWB</vt:lpstr>
      <vt:lpstr>TM1GrpNewAdj07CustNoDataEntryWS</vt:lpstr>
      <vt:lpstr>TM1GrpNewAdj97UploadCAP</vt:lpstr>
      <vt:lpstr>TM1GrpNewAdj97UploadWB</vt:lpstr>
      <vt:lpstr>TM1GrpNewAdj97UploadWS</vt:lpstr>
      <vt:lpstr>TM1GrpNewAdj98AttachCAP</vt:lpstr>
      <vt:lpstr>TM1GrpNewAdj98AttachWB</vt:lpstr>
      <vt:lpstr>TM1GrpNewAdj98AttachWS</vt:lpstr>
      <vt:lpstr>TM1GrpNewAdj99ValidCAP</vt:lpstr>
      <vt:lpstr>TM1GrpNewAdj99ValidWB</vt:lpstr>
      <vt:lpstr>TM1GrpNewAdj99ValidWS</vt:lpstr>
      <vt:lpstr>TM1GrpViewAdj01HeaderCAP</vt:lpstr>
      <vt:lpstr>TM1GrpViewAdj01HeaderWB</vt:lpstr>
      <vt:lpstr>TM1GrpViewAdj01HeaderWS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TM1NewAdj03AuthCAP</vt:lpstr>
      <vt:lpstr>TM1NewAdj03AuthWB</vt:lpstr>
      <vt:lpstr>TM1NewAdj03AuthWS</vt:lpstr>
      <vt:lpstr>'group adj cash'!TM1RPTDATARNG1</vt:lpstr>
      <vt:lpstr>'group adj cash'!TM1RPTFMTIDCOL</vt:lpstr>
      <vt:lpstr>'group adj cash'!TM1RPTFMTRNG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2019-08-15T00:28:21Z</dcterms:created>
  <dcterms:modified xsi:type="dcterms:W3CDTF">2023-02-14T22:32:54Z</dcterms:modified>
</cp:coreProperties>
</file>