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361DC652-04D8-4738-ABD7-9FF4C1261664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variables" sheetId="1" r:id="rId1"/>
    <sheet name="{PL}PickLst" sheetId="2" state="hidden" r:id="rId2"/>
  </sheets>
  <definedNames>
    <definedName name="db_name">variables!$C$2</definedName>
    <definedName name="psApp">variables!$C$32</definedName>
    <definedName name="psUser">variables!$C$4</definedName>
    <definedName name="TM1FFExtractCAP">variables!$D$41</definedName>
    <definedName name="TM1FFExtractWB">variables!$F$41</definedName>
    <definedName name="TM1FFExtractWS">variables!$H$41</definedName>
    <definedName name="TM1FFSetSaveLocCAP">variables!$D$40</definedName>
    <definedName name="TM1FFSetSaveLocWB">variables!$F$40</definedName>
    <definedName name="TM1FFSetSaveLocWS">variables!$H$40</definedName>
    <definedName name="TM1HomeAdminCAP">variables!$D$38</definedName>
    <definedName name="TM1HomeAdminGEUSCAP">variables!$D$42</definedName>
    <definedName name="TM1HomeAdminGEUSWB">variables!$F$42</definedName>
    <definedName name="TM1HomeAdminGEUSWS">variables!$H$42</definedName>
    <definedName name="TM1HomeAdminRDSCAP">variables!$D$43</definedName>
    <definedName name="TM1HomeAdminRDSMapCAP">variables!$D$44</definedName>
    <definedName name="TM1HomeAdminRDSMapWB">variables!$F$44</definedName>
    <definedName name="TM1HomeAdminRDSMapWS">variables!$H$44</definedName>
    <definedName name="TM1HomeAdminRDSWB">variables!$F$43</definedName>
    <definedName name="TM1HomeAdminRDSWS">variables!$H$43</definedName>
    <definedName name="TM1HomeAdminWB">variables!$F$38</definedName>
    <definedName name="TM1HomeAdminWS">variables!$H$38</definedName>
    <definedName name="TM1HomeAECAP">variables!$D$35</definedName>
    <definedName name="TM1HomeAEDataEntryCAP">variables!$D$36</definedName>
    <definedName name="TM1HomeAEDataEntryWB">variables!$F$36</definedName>
    <definedName name="TM1HomeAEDataEntryWS">variables!$H$36</definedName>
    <definedName name="TM1HomeAEWB">variables!$F$35</definedName>
    <definedName name="TM1HomeAEWS">variables!$H$35</definedName>
    <definedName name="TM1HomeCAP">variables!$D$34</definedName>
    <definedName name="TM1HomeRepCAP">variables!$D$37</definedName>
    <definedName name="TM1HomeRepWB">variables!$F$37</definedName>
    <definedName name="TM1HomeRepWS">variables!$H$37</definedName>
    <definedName name="TM1HomeUnderCAP">variables!$D$39</definedName>
    <definedName name="TM1HomeUnderWB">variables!$F$39</definedName>
    <definedName name="TM1HomeUnderWS">variables!$H$39</definedName>
    <definedName name="TM1HomeWB">variables!$F$34</definedName>
    <definedName name="TM1HomeWS">variables!$H$34</definedName>
    <definedName name="TM1PICKLIST">'{PL}PickLst'!$A$1:$A$80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 a="1"/>
  <c r="C10" i="1"/>
  <c r="L79" i="1"/>
  <c r="L78" i="1" a="1"/>
  <c r="L78" i="1"/>
  <c r="L77" i="1" a="1"/>
  <c r="L77" i="1"/>
  <c r="C31" i="1"/>
  <c r="L135" i="1" a="1"/>
  <c r="L135" i="1"/>
  <c r="L134" i="1" a="1"/>
  <c r="L134" i="1"/>
  <c r="L130" i="1" a="1"/>
  <c r="L130" i="1"/>
  <c r="L129" i="1" a="1"/>
  <c r="L129" i="1"/>
  <c r="L128" i="1" a="1"/>
  <c r="L128" i="1"/>
  <c r="L127" i="1" a="1"/>
  <c r="L127" i="1"/>
  <c r="L126" i="1" a="1"/>
  <c r="L126" i="1"/>
  <c r="L125" i="1" a="1"/>
  <c r="L125" i="1"/>
  <c r="L124" i="1" a="1"/>
  <c r="L124" i="1"/>
  <c r="L123" i="1" a="1"/>
  <c r="L123" i="1"/>
  <c r="L122" i="1" a="1"/>
  <c r="L122" i="1"/>
  <c r="L118" i="1" a="1"/>
  <c r="L118" i="1"/>
  <c r="L117" i="1" a="1"/>
  <c r="L117" i="1"/>
  <c r="L116" i="1" a="1"/>
  <c r="L116" i="1"/>
  <c r="L115" i="1" a="1"/>
  <c r="L115" i="1"/>
  <c r="L114" i="1" a="1"/>
  <c r="L114" i="1"/>
  <c r="L113" i="1" a="1"/>
  <c r="L113" i="1"/>
  <c r="L112" i="1" a="1"/>
  <c r="L112" i="1"/>
  <c r="L111" i="1" a="1"/>
  <c r="L111" i="1"/>
  <c r="L110" i="1" a="1"/>
  <c r="L110" i="1"/>
  <c r="L109" i="1" a="1"/>
  <c r="L109" i="1"/>
  <c r="L108" i="1" a="1"/>
  <c r="L108" i="1"/>
  <c r="L107" i="1" a="1"/>
  <c r="L107" i="1"/>
  <c r="L103" i="1" a="1"/>
  <c r="L103" i="1"/>
  <c r="L102" i="1" a="1"/>
  <c r="L102" i="1"/>
  <c r="L101" i="1" a="1"/>
  <c r="L101" i="1"/>
  <c r="L100" i="1" a="1"/>
  <c r="L100" i="1"/>
  <c r="L99" i="1" a="1"/>
  <c r="L99" i="1"/>
  <c r="L98" i="1" a="1"/>
  <c r="L98" i="1"/>
  <c r="L97" i="1" a="1"/>
  <c r="L97" i="1"/>
  <c r="L96" i="1" a="1"/>
  <c r="L96" i="1"/>
  <c r="L95" i="1" a="1"/>
  <c r="L95" i="1"/>
  <c r="L94" i="1" a="1"/>
  <c r="L94" i="1"/>
  <c r="L90" i="1" a="1"/>
  <c r="L90" i="1"/>
  <c r="L89" i="1" a="1"/>
  <c r="L89" i="1"/>
  <c r="L88" i="1" a="1"/>
  <c r="L88" i="1"/>
  <c r="L87" i="1" a="1"/>
  <c r="L87" i="1"/>
  <c r="L86" i="1" a="1"/>
  <c r="L86" i="1"/>
  <c r="L85" i="1" a="1"/>
  <c r="L85" i="1"/>
  <c r="L84" i="1" a="1"/>
  <c r="L84" i="1"/>
  <c r="L83" i="1" a="1"/>
  <c r="L83" i="1"/>
  <c r="L76" i="1" a="1"/>
  <c r="L76" i="1"/>
  <c r="L75" i="1" a="1"/>
  <c r="L75" i="1"/>
  <c r="L74" i="1" a="1"/>
  <c r="L74" i="1"/>
  <c r="L73" i="1" a="1"/>
  <c r="L73" i="1"/>
  <c r="L72" i="1" a="1"/>
  <c r="L72" i="1"/>
  <c r="L71" i="1" a="1"/>
  <c r="L71" i="1"/>
  <c r="L70" i="1" a="1"/>
  <c r="L70" i="1"/>
  <c r="L69" i="1" a="1"/>
  <c r="L69" i="1"/>
  <c r="L68" i="1" a="1"/>
  <c r="L68" i="1"/>
  <c r="L67" i="1" a="1"/>
  <c r="L67" i="1"/>
  <c r="L66" i="1" a="1"/>
  <c r="L66" i="1"/>
  <c r="L65" i="1" a="1"/>
  <c r="L65" i="1"/>
  <c r="L64" i="1" a="1"/>
  <c r="L64" i="1"/>
  <c r="L63" i="1" a="1"/>
  <c r="L63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3" i="1" a="1"/>
  <c r="C23" i="1"/>
  <c r="C4" i="1" a="1"/>
  <c r="C4" i="1"/>
  <c r="C27" i="1" a="1"/>
  <c r="C27" i="1"/>
  <c r="C26" i="1" a="1"/>
  <c r="C26" i="1"/>
  <c r="C25" i="1" a="1"/>
  <c r="C25" i="1"/>
  <c r="C24" i="1" a="1"/>
  <c r="C24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C3" i="1" a="1"/>
  <c r="C3" i="1"/>
  <c r="C6" i="1" a="1"/>
  <c r="C6" i="1"/>
  <c r="C5" i="1" a="1"/>
  <c r="C5" i="1"/>
  <c r="C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<sst xmlns="http://schemas.openxmlformats.org/spreadsheetml/2006/main" count="315" uniqueCount="304">
  <si>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</si>
  <si>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</si>
  <si>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</si>
  <si>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</si>
  <si>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</si>
  <si>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</si>
  <si>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</si>
  <si>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</si>
  <si>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</si>
  <si>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</si>
  <si>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</si>
  <si>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</si>
  <si>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</si>
  <si>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</si>
  <si>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</si>
  <si>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</si>
  <si>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</si>
  <si>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</si>
  <si>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</si>
  <si>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</si>
  <si>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</si>
  <si>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</si>
  <si>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</si>
  <si>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</si>
  <si>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</si>
  <si>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</si>
  <si>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</si>
  <si>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</si>
  <si>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</si>
  <si>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</si>
  <si>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</si>
  <si>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</si>
  <si>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</si>
  <si>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</si>
  <si>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Reports</t>
  </si>
  <si>
    <t>Homepage - Administration</t>
  </si>
  <si>
    <t>Homepage - Under Construction</t>
  </si>
  <si>
    <t>Current Workbook</t>
  </si>
  <si>
    <t>validate</t>
  </si>
  <si>
    <t>FlatFile - Set Save Location</t>
  </si>
  <si>
    <t>FlatFile - Prepare Extracts</t>
  </si>
  <si>
    <t>Homepage - Administration - GEUS Setup</t>
  </si>
  <si>
    <t>Homepage - Administration - RDS</t>
  </si>
  <si>
    <t>TM1 Fields</t>
  </si>
  <si>
    <t>agency code</t>
  </si>
  <si>
    <t>ME save location</t>
  </si>
  <si>
    <t>parameter reason code</t>
  </si>
  <si>
    <t>efficiency dividend reason code</t>
  </si>
  <si>
    <t>validation status</t>
  </si>
  <si>
    <t>AE Default Outcome</t>
  </si>
  <si>
    <t>AE Default Function</t>
  </si>
  <si>
    <t>AE Detault SPP</t>
  </si>
  <si>
    <t>AE Default App Type</t>
  </si>
  <si>
    <t>AE Default App Item</t>
  </si>
  <si>
    <t>No MA</t>
  </si>
  <si>
    <t>No Jur</t>
  </si>
  <si>
    <t>No RE</t>
  </si>
  <si>
    <t>Default Cash Flow account</t>
  </si>
  <si>
    <t>sys_Data Directory</t>
  </si>
  <si>
    <t>sys_Database Name</t>
  </si>
  <si>
    <t>sys_file transfer directory</t>
  </si>
  <si>
    <t>sys_ASCII Directory</t>
  </si>
  <si>
    <t>sys_Backup Directory</t>
  </si>
  <si>
    <t>sys_Costings Export Directory</t>
  </si>
  <si>
    <t>sys_CostingsImport Directory</t>
  </si>
  <si>
    <t>sys_ImpFileExceptionLogs</t>
  </si>
  <si>
    <t>sys_ImpFileValidation</t>
  </si>
  <si>
    <t>WorkersComp Acc</t>
  </si>
  <si>
    <t>WorkersComp RE</t>
  </si>
  <si>
    <t>SuperAnn Acc</t>
  </si>
  <si>
    <t>SuperAnn RE</t>
  </si>
  <si>
    <t>WorkersComp Reason Code</t>
  </si>
  <si>
    <t>sys_CBMSR GoLive</t>
  </si>
  <si>
    <t>sys_CBMSR GoLive Headline Year</t>
  </si>
  <si>
    <t>current budget round</t>
  </si>
  <si>
    <t>No Measure Code</t>
  </si>
  <si>
    <t>Default favourite id template</t>
  </si>
  <si>
    <t>No SPP</t>
  </si>
  <si>
    <t>sys_upload directory</t>
  </si>
  <si>
    <t>sys_shared directory</t>
  </si>
  <si>
    <t>sys_Web URL</t>
  </si>
  <si>
    <t>sys_Web URL Linked Folder</t>
  </si>
  <si>
    <t>sys_GEUSAdmin01 Name</t>
  </si>
  <si>
    <t>sys_GEUSAdmin02 Name</t>
  </si>
  <si>
    <t>sys_GEUSAdmin01 Contact</t>
  </si>
  <si>
    <t>sys_GEUSAdmin02 Contact</t>
  </si>
  <si>
    <t>sys_TM1Admin01 Name</t>
  </si>
  <si>
    <t>sys_TM1Admin02 Name</t>
  </si>
  <si>
    <t>sys_TM1Admin01 Contact</t>
  </si>
  <si>
    <t>sys_TM1Admin02 Contact</t>
  </si>
  <si>
    <t>FE3 reason code</t>
  </si>
  <si>
    <t>FE2 Period</t>
  </si>
  <si>
    <t>FE3 Period</t>
  </si>
  <si>
    <t>GEUS System Variables</t>
  </si>
  <si>
    <t>GEUS Data Directory :</t>
  </si>
  <si>
    <t>GEUS Database Directory Location. This is used for TI Processes.</t>
  </si>
  <si>
    <t>FIELDS</t>
  </si>
  <si>
    <t>VALUE</t>
  </si>
  <si>
    <t>COMMENTS</t>
  </si>
  <si>
    <t>Headline Year :</t>
  </si>
  <si>
    <t>Headline Scenario :</t>
  </si>
  <si>
    <t>Always 'current' for current Headline Scenario. System Initial set up during Rollover/Baseline Process</t>
  </si>
  <si>
    <t>During Rollover process, administrator selects current round. Used for reports and display purposes and lets users know where to save attachments</t>
  </si>
  <si>
    <t>Current Budget Round :</t>
  </si>
  <si>
    <t>Archive Year :</t>
  </si>
  <si>
    <t>Archive Scenario :</t>
  </si>
  <si>
    <t>Populated during Rollover process. Provides details of previous archived data set</t>
  </si>
  <si>
    <t>Agency Code :</t>
  </si>
  <si>
    <t>Agency Code used for GEUS Flatfiles</t>
  </si>
  <si>
    <t>Save Location :</t>
  </si>
  <si>
    <t>Validation Status :</t>
  </si>
  <si>
    <t>ME Save Location :</t>
  </si>
  <si>
    <t>Earliest workflow status when validation is calculated</t>
  </si>
  <si>
    <t>System location for extract files. Primarily for Monthly Estimates Process</t>
  </si>
  <si>
    <t>System location for extract files. Primarily for Flatfile Creation and CSV Extracts</t>
  </si>
  <si>
    <t>Adjustment Setup (Reason Codes/Account Used)</t>
  </si>
  <si>
    <t>Indexation Reason Code :</t>
  </si>
  <si>
    <t>Efficiency Dividend Reason Code :</t>
  </si>
  <si>
    <t>FE3 Reason Code :</t>
  </si>
  <si>
    <t>FE2 Period :</t>
  </si>
  <si>
    <t>FE3 Period :</t>
  </si>
  <si>
    <t>AE Default Outcome  :</t>
  </si>
  <si>
    <t>AE Default Function :</t>
  </si>
  <si>
    <t>AE Detault SPP :</t>
  </si>
  <si>
    <t>AE Default App Type :</t>
  </si>
  <si>
    <t>AE Default App Item :</t>
  </si>
  <si>
    <t>No Measure Code :</t>
  </si>
  <si>
    <t>No MA :</t>
  </si>
  <si>
    <t>No Jur :</t>
  </si>
  <si>
    <t>No RE :</t>
  </si>
  <si>
    <t>No SPP :</t>
  </si>
  <si>
    <t>Default Cash Flow account :</t>
  </si>
  <si>
    <t>WorkersComp Reason Code :</t>
  </si>
  <si>
    <t>WorkersComp Acc :</t>
  </si>
  <si>
    <t>WorkersComp RE :</t>
  </si>
  <si>
    <t>SuperAnn Acc :</t>
  </si>
  <si>
    <t>SuperAnn RE :</t>
  </si>
  <si>
    <t>Default favourite id template :</t>
  </si>
  <si>
    <t>Reason code used for the creation of indexation/parameters</t>
  </si>
  <si>
    <t>Reason code used for the creation of efficiency dividend</t>
  </si>
  <si>
    <t>Reason code used for the creation of Forward Estimates 3 (FE3)</t>
  </si>
  <si>
    <t>FE2 period uses during the creation of FE3</t>
  </si>
  <si>
    <t>FE3 period uses during the creation of FE3</t>
  </si>
  <si>
    <t>Default Appropriation Item Code if NO code has been selected in the creation of Adjustments</t>
  </si>
  <si>
    <t>Default Outcome Code if NO Code has been selected in the creation of Adjustments</t>
  </si>
  <si>
    <t>Default Function Code if NO Code has been selected in the creation of Adjustments</t>
  </si>
  <si>
    <t>Default SPP Code if NO Code has been selected in the creation of Adjustments</t>
  </si>
  <si>
    <t>Default Appropriation Tye Code if NO Code has been selected in the creation of Adjustments</t>
  </si>
  <si>
    <t>TM1 System Principal Element Name for No Measure Code</t>
  </si>
  <si>
    <t>TM1 System Principal Element Name for No Jurisdiction (-)</t>
  </si>
  <si>
    <t>TM1 System Principal Element Name for No Related Entity (-)</t>
  </si>
  <si>
    <t>TM1 System Principal Element Name for No Movement Account (-)</t>
  </si>
  <si>
    <t>TM1 System Principal Element Name for No SPP (-)</t>
  </si>
  <si>
    <t>Default Cash Flow Account used for the 'No Cash Flow' method. Used prior to CBMS-R</t>
  </si>
  <si>
    <t xml:space="preserve">Account Code used for the Workers Compensation Adjustments. Used during adjustments relating to Measures. </t>
  </si>
  <si>
    <t xml:space="preserve">Reason code used for the Workers Compensation Adjustments. Used during adjustments relating to Measures. </t>
  </si>
  <si>
    <t xml:space="preserve">Related Entity Code used for the Workers Compensation Adjustments. Used during adjustments relating to Measures. </t>
  </si>
  <si>
    <t xml:space="preserve">Account Code used for the Superannuation Adjustments. Used during adjustments relating to Measures. </t>
  </si>
  <si>
    <t xml:space="preserve">Related Entity Code used for the Superannuation Adjustments. Used during adjustments relating to Measures. </t>
  </si>
  <si>
    <t xml:space="preserve">Default Favourite ID template used if NO template has been selected for a Program. </t>
  </si>
  <si>
    <t>CBMSR Go Live Headline Year :</t>
  </si>
  <si>
    <t>Flag to indicate to GEUS to use CBMSR functions</t>
  </si>
  <si>
    <t>Headline Year to identify when CBMRS has gone live. Used in processes and reports to adapt to historical structures.</t>
  </si>
  <si>
    <t>CBMSR Go Live :</t>
  </si>
  <si>
    <t>Default Values Used for Processes/Rules and Adjustments</t>
  </si>
  <si>
    <t>GEUS Admin Contact Number 01 :</t>
  </si>
  <si>
    <t>GEUS Admin Contact Number 02 :</t>
  </si>
  <si>
    <t>GEUS Administrator Name 01 :</t>
  </si>
  <si>
    <t>GEUS Administrator Name 02 :</t>
  </si>
  <si>
    <t>TM1 Administrator Name 01 :</t>
  </si>
  <si>
    <t>TM1 Administrator Name 02 :</t>
  </si>
  <si>
    <t>TM1 Admin Contact Number 01 :</t>
  </si>
  <si>
    <t>TM1 Admin Contact Number 02 :</t>
  </si>
  <si>
    <t>GEUS Admininstrator 02 Contact Detail shown on Main Menu</t>
  </si>
  <si>
    <t>GEUS Admininstrator 01 Contact Detail shown on Main Menu</t>
  </si>
  <si>
    <t>GEUS Contact Details Displayed on Home Screen</t>
  </si>
  <si>
    <t>TM1 Admininstrator 01 Contact Detail shown on Main Menu</t>
  </si>
  <si>
    <t>TM1 Admininstrator 02 Contact Detail shown on Main Menu</t>
  </si>
  <si>
    <t>Exception Log Directory :</t>
  </si>
  <si>
    <t>Import File Validation :</t>
  </si>
  <si>
    <t>System location to create error log files during Upload/Import into GEUS that identifies issues with the files.</t>
  </si>
  <si>
    <t>Validation Status during Upload/Import into GEUS such as CBMS Reco, Flatfile Upload. (Status is either PASS/FAIL)</t>
  </si>
  <si>
    <t>Other System Directories Used During Archving</t>
  </si>
  <si>
    <t>Database Name :</t>
  </si>
  <si>
    <t>File Transfer Directory :</t>
  </si>
  <si>
    <t>URL Used for hyperlink (Changed based on server). Do NOT put a "/" at the end</t>
  </si>
  <si>
    <t>Root Directory Location where the folders for Agency access to add Attachments/Upload/Extracts</t>
  </si>
  <si>
    <t>Website Setup (Required for Attachments and Hyperlinks)</t>
  </si>
  <si>
    <t>WEB URL :</t>
  </si>
  <si>
    <t>WEB URL Linked Folder :</t>
  </si>
  <si>
    <t>Shared Directory Location required to identify the location for flatfiles/attachments/exports</t>
  </si>
  <si>
    <t>Flatfile Upload Directory Used by GEUS to identify location of file</t>
  </si>
  <si>
    <t>Costings Import Directory used during the upload of Costings to Generate Measures</t>
  </si>
  <si>
    <t>Costings Export Directory used during the creation of Costings and Measures</t>
  </si>
  <si>
    <t>Backup Directory used during the archive/backup process done overnight</t>
  </si>
  <si>
    <t>Log File Directory</t>
  </si>
  <si>
    <t>Shared System File Transfrer Directory</t>
  </si>
  <si>
    <t>Database Name used to identify name of backup</t>
  </si>
  <si>
    <t>Homepage - Administration - RDS Mapping</t>
  </si>
  <si>
    <t>Note : This screen is a copy of the }ElementAttributes_variable cube and maintains the system variables required for GEUS</t>
  </si>
  <si>
    <t>Note : Some fields are automatically populated.</t>
  </si>
  <si>
    <t>System Variable Management</t>
  </si>
  <si>
    <t>Admin - System Variables</t>
  </si>
  <si>
    <t>sys_CBMS Upload directory</t>
  </si>
  <si>
    <t>Flatfile Upload Directory Used by GEUS to identify location of file for CBMS Upload</t>
  </si>
  <si>
    <t>ASCII Directory :</t>
  </si>
  <si>
    <t>Backup Directory :</t>
  </si>
  <si>
    <t>Costings Export Directory :</t>
  </si>
  <si>
    <t>Costings Import Directory :</t>
  </si>
  <si>
    <t>Upload Directory :</t>
  </si>
  <si>
    <t>CBMS Upload Directory :</t>
  </si>
  <si>
    <t>Shared Directory :</t>
  </si>
  <si>
    <t>Note : Any Directory/File Location must have a trailing '\' at the end of the directory. Such as C:\generic_geus\ not C:\generic_geus</t>
  </si>
  <si>
    <t>Current Headline Year. System Initial set up during Rollover/Baseline Process</t>
  </si>
  <si>
    <t>sys_Transaction Listing From</t>
  </si>
  <si>
    <t>sys_Transaction Listing To</t>
  </si>
  <si>
    <t>These define the default periods used for the Transaction Listing Report. (FROM Period)</t>
  </si>
  <si>
    <t>These define the default periods used for the Transaction Listing Report. (TO Period)</t>
  </si>
  <si>
    <t>Transaction Listing Report Period FROM :</t>
  </si>
  <si>
    <t>Transaction Listing Report Period TO :</t>
  </si>
  <si>
    <t>sys_rep extract max rows</t>
  </si>
  <si>
    <t>Report Maximum Rows :</t>
  </si>
  <si>
    <t>This define the maximum row extract used for the Data Extract CSV - Report (mainly used for CLOUD Clients)</t>
  </si>
  <si>
    <t>2020-2021 Pre-ERC</t>
  </si>
  <si>
    <t>2020-2021 Economic Update</t>
  </si>
  <si>
    <t>2020-2021 Budget</t>
  </si>
  <si>
    <t>2021-2022 MYEFO</t>
  </si>
  <si>
    <t>2021-2022 Pre-ERC</t>
  </si>
  <si>
    <t>2021-2022 Budget</t>
  </si>
  <si>
    <t>2022-2023 MYEFO</t>
  </si>
  <si>
    <t>2022-2023 Additional Estimates</t>
  </si>
  <si>
    <t>2022-2023 Budget</t>
  </si>
  <si>
    <t>2022-2023 Budget(2)</t>
  </si>
  <si>
    <t>2023-2024 MYEFO</t>
  </si>
  <si>
    <t>2023-2024 Budget</t>
  </si>
  <si>
    <t>2024-2025 MYEFO</t>
  </si>
  <si>
    <t>2024-2025 Pre-ERC</t>
  </si>
  <si>
    <t>2024-2025 Budget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</si>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</sst>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0" fillId="2" borderId="4" xfId="0" applyFill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6" fillId="0" borderId="4" xfId="0" applyFont="1" applyBorder="1" applyAlignment="1" applyProtection="1">
      <alignment horizontal="left" vertical="top" indent="1"/>
      <protection locked="0"/>
    </xf>
    <xf numFmtId="0" fontId="6" fillId="2" borderId="4" xfId="0" applyFont="1" applyFill="1" applyBorder="1" applyAlignment="1" applyProtection="1">
      <alignment horizontal="left" vertical="top" indent="1"/>
      <protection locked="0"/>
    </xf>
    <xf numFmtId="0" fontId="6" fillId="0" borderId="4" xfId="0" applyFont="1" applyBorder="1" applyAlignment="1" applyProtection="1">
      <alignment horizontal="left" vertical="top" wrapText="1" inden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0" fillId="2" borderId="0" xfId="0" applyFill="1"/>
    <xf numFmtId="0" fontId="8" fillId="0" borderId="0" xfId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/>
    </xf>
  </cellXfs>
  <cellStyles count="2">
    <cellStyle name="Normal" xfId="0" builtinId="0"/>
    <cellStyle name="Normal_Curr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49</xdr:row>
      <xdr:rowOff>38100</xdr:rowOff>
    </xdr:from>
    <xdr:to>
      <xdr:col>9</xdr:col>
      <xdr:colOff>1769745</xdr:colOff>
      <xdr:row>49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51</xdr:row>
          <xdr:rowOff>28575</xdr:rowOff>
        </xdr:from>
        <xdr:to>
          <xdr:col>9</xdr:col>
          <xdr:colOff>695325</xdr:colOff>
          <xdr:row>51</xdr:row>
          <xdr:rowOff>276225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51</xdr:row>
          <xdr:rowOff>28575</xdr:rowOff>
        </xdr:from>
        <xdr:to>
          <xdr:col>11</xdr:col>
          <xdr:colOff>933450</xdr:colOff>
          <xdr:row>51</xdr:row>
          <xdr:rowOff>276225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3076575</xdr:colOff>
          <xdr:row>51</xdr:row>
          <xdr:rowOff>28575</xdr:rowOff>
        </xdr:from>
        <xdr:to>
          <xdr:col>11</xdr:col>
          <xdr:colOff>3857625</xdr:colOff>
          <xdr:row>51</xdr:row>
          <xdr:rowOff>276225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942975</xdr:colOff>
          <xdr:row>51</xdr:row>
          <xdr:rowOff>28575</xdr:rowOff>
        </xdr:from>
        <xdr:to>
          <xdr:col>11</xdr:col>
          <xdr:colOff>3057525</xdr:colOff>
          <xdr:row>51</xdr:row>
          <xdr:rowOff>276225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5076825</xdr:colOff>
          <xdr:row>50</xdr:row>
          <xdr:rowOff>28575</xdr:rowOff>
        </xdr:from>
        <xdr:to>
          <xdr:col>13</xdr:col>
          <xdr:colOff>5467350</xdr:colOff>
          <xdr:row>51</xdr:row>
          <xdr:rowOff>304800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51</xdr:row>
          <xdr:rowOff>28575</xdr:rowOff>
        </xdr:from>
        <xdr:to>
          <xdr:col>9</xdr:col>
          <xdr:colOff>1838325</xdr:colOff>
          <xdr:row>51</xdr:row>
          <xdr:rowOff>276225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N135"/>
  <sheetViews>
    <sheetView showGridLines="0" tabSelected="1" showOutlineSymbols="0" topLeftCell="I50" workbookViewId="0">
      <pane ySplit="11" topLeftCell="A61" activePane="bottomLeft" state="frozen"/>
      <selection activeCell="I50" sqref="I50"/>
      <selection pane="bottomLeft" activeCell="N50" sqref="N50"/>
    </sheetView>
  </sheetViews>
  <sheetFormatPr defaultRowHeight="15" outlineLevelRow="1" outlineLevelCol="1" x14ac:dyDescent="0.25"/>
  <cols>
    <col min="1" max="1" width="9.140625" hidden="1" customWidth="1" outlineLevel="1"/>
    <col min="2" max="2" width="46.140625" hidden="1" customWidth="1" outlineLevel="1"/>
    <col min="3" max="3" width="16.140625" hidden="1" customWidth="1" outlineLevel="1"/>
    <col min="4" max="4" width="19.5703125" hidden="1" customWidth="1" outlineLevel="1"/>
    <col min="5" max="5" width="24.28515625" hidden="1" customWidth="1" outlineLevel="1"/>
    <col min="6" max="6" width="28.28515625" hidden="1" customWidth="1" outlineLevel="1"/>
    <col min="7" max="7" width="24.140625" hidden="1" customWidth="1" outlineLevel="1"/>
    <col min="8" max="8" width="18" hidden="1" customWidth="1" outlineLevel="1"/>
    <col min="9" max="9" width="0.85546875" customWidth="1" collapsed="1"/>
    <col min="10" max="10" width="35.7109375" customWidth="1"/>
    <col min="11" max="11" width="0.85546875" customWidth="1"/>
    <col min="12" max="12" width="60.7109375" customWidth="1"/>
    <col min="13" max="13" width="0.85546875" customWidth="1"/>
    <col min="14" max="14" width="85.7109375" customWidth="1"/>
  </cols>
  <sheetData>
    <row r="1" spans="2:4" hidden="1" outlineLevel="1" x14ac:dyDescent="0.25">
      <c r="B1" s="21" t="s">
        <v>2</v>
      </c>
      <c r="C1" s="22"/>
      <c r="D1" s="23"/>
    </row>
    <row r="2" spans="2:4" hidden="1" outlineLevel="1" x14ac:dyDescent="0.25">
      <c r="B2" s="1" t="s">
        <v>3</v>
      </c>
      <c r="C2" s="2" t="s">
        <v>303</v>
      </c>
      <c r="D2" s="3"/>
    </row>
    <row r="3" spans="2:4" hidden="1" outlineLevel="1" x14ac:dyDescent="0.25">
      <c r="B3" s="1" t="s">
        <v>4</v>
      </c>
      <c r="C3" s="4" t="e" cm="1">
        <f t="array" aca="1" ref="C3" ca="1">_xll.VIEW(db_name&amp;":}ElementAttributes_}Clients","!","!")</f>
        <v>#NAME?</v>
      </c>
      <c r="D3" s="3"/>
    </row>
    <row r="4" spans="2:4" hidden="1" outlineLevel="1" x14ac:dyDescent="0.25">
      <c r="B4" s="1" t="s">
        <v>5</v>
      </c>
      <c r="C4" s="2" t="e" cm="1">
        <f t="array" aca="1" ref="C4" ca="1">_xll.TM1USER(db_name)</f>
        <v>#NAME?</v>
      </c>
      <c r="D4" s="3"/>
    </row>
    <row r="5" spans="2:4" hidden="1" outlineLevel="1" x14ac:dyDescent="0.25">
      <c r="B5" s="1" t="s">
        <v>6</v>
      </c>
      <c r="C5" s="2" t="e" cm="1">
        <f t="array" aca="1" ref="C5" ca="1">_xll.DBR($C$3,$C$4,$B5)</f>
        <v>#NAME?</v>
      </c>
      <c r="D5" s="3"/>
    </row>
    <row r="6" spans="2:4" hidden="1" outlineLevel="1" x14ac:dyDescent="0.25">
      <c r="B6" s="1" t="s">
        <v>7</v>
      </c>
      <c r="C6" s="2" t="e" cm="1">
        <f t="array" aca="1" ref="C6" ca="1">_xll.DBR($C$3,$C$4,$B6)</f>
        <v>#NAME?</v>
      </c>
      <c r="D6" s="3"/>
    </row>
    <row r="7" spans="2:4" hidden="1" outlineLevel="1" x14ac:dyDescent="0.25">
      <c r="B7" s="1" t="s">
        <v>8</v>
      </c>
      <c r="C7" s="2" t="e">
        <f ca="1">IF(LEFT($C$4,6)="CAM_AD",$C$5,$C$4)</f>
        <v>#NAME?</v>
      </c>
      <c r="D7" s="5"/>
    </row>
    <row r="8" spans="2:4" hidden="1" outlineLevel="1" x14ac:dyDescent="0.25"/>
    <row r="9" spans="2:4" hidden="1" outlineLevel="1" x14ac:dyDescent="0.25">
      <c r="B9" s="21" t="s">
        <v>9</v>
      </c>
      <c r="C9" s="22"/>
      <c r="D9" s="23"/>
    </row>
    <row r="10" spans="2:4" hidden="1" outlineLevel="1" x14ac:dyDescent="0.25">
      <c r="B10" s="1" t="s">
        <v>10</v>
      </c>
      <c r="C10" s="5" t="e" cm="1">
        <f t="array" aca="1" ref="C10" ca="1">_xll.VIEW(db_name&amp;":}ElementAttributes_variables","!","!")</f>
        <v>#NAME?</v>
      </c>
      <c r="D10" s="5"/>
    </row>
    <row r="11" spans="2:4" hidden="1" outlineLevel="1" x14ac:dyDescent="0.25">
      <c r="B11" s="1"/>
      <c r="C11" s="5" t="s">
        <v>0</v>
      </c>
      <c r="D11" s="5" t="s">
        <v>38</v>
      </c>
    </row>
    <row r="12" spans="2:4" hidden="1" outlineLevel="1" x14ac:dyDescent="0.25">
      <c r="B12" s="1" t="s">
        <v>11</v>
      </c>
      <c r="C12" s="5" t="e" cm="1">
        <f t="array" aca="1" ref="C12" ca="1">_xll.DBR($C$10,$B12,C$11)</f>
        <v>#NAME?</v>
      </c>
      <c r="D12" s="5"/>
    </row>
    <row r="13" spans="2:4" hidden="1" outlineLevel="1" x14ac:dyDescent="0.25">
      <c r="B13" s="1" t="s">
        <v>12</v>
      </c>
      <c r="C13" s="5" t="e" cm="1">
        <f t="array" aca="1" ref="C13" ca="1">_xll.DBR($C$10,$B13,C$11)</f>
        <v>#NAME?</v>
      </c>
      <c r="D13" s="5"/>
    </row>
    <row r="14" spans="2:4" hidden="1" outlineLevel="1" x14ac:dyDescent="0.25">
      <c r="B14" s="1" t="s">
        <v>13</v>
      </c>
      <c r="C14" s="5" t="e" cm="1">
        <f t="array" aca="1" ref="C14" ca="1">_xll.DBR($C$10,$B14,C$11)</f>
        <v>#NAME?</v>
      </c>
      <c r="D14" s="5"/>
    </row>
    <row r="15" spans="2:4" hidden="1" outlineLevel="1" x14ac:dyDescent="0.25">
      <c r="B15" s="1" t="s">
        <v>14</v>
      </c>
      <c r="C15" s="5" t="e" cm="1">
        <f t="array" aca="1" ref="C15" ca="1">_xll.DBR($C$10,$B15,C$11)</f>
        <v>#NAME?</v>
      </c>
      <c r="D15" s="5"/>
    </row>
    <row r="16" spans="2:4" hidden="1" outlineLevel="1" x14ac:dyDescent="0.25">
      <c r="B16" s="1" t="s">
        <v>15</v>
      </c>
      <c r="C16" s="5" t="e" cm="1">
        <f t="array" aca="1" ref="C16" ca="1">_xll.DBR($C$10,$B16,C$11)</f>
        <v>#NAME?</v>
      </c>
      <c r="D16" s="5"/>
    </row>
    <row r="17" spans="2:4" hidden="1" outlineLevel="1" x14ac:dyDescent="0.25">
      <c r="B17" s="5" t="s">
        <v>1</v>
      </c>
      <c r="C17" s="5" t="e" cm="1">
        <f t="array" aca="1" ref="C17" ca="1">_xll.DBR($C$10,$B17,C$11)</f>
        <v>#NAME?</v>
      </c>
      <c r="D17" s="5"/>
    </row>
    <row r="18" spans="2:4" hidden="1" outlineLevel="1" x14ac:dyDescent="0.25"/>
    <row r="19" spans="2:4" hidden="1" outlineLevel="1" x14ac:dyDescent="0.25"/>
    <row r="20" spans="2:4" hidden="1" outlineLevel="1" x14ac:dyDescent="0.25"/>
    <row r="21" spans="2:4" hidden="1" outlineLevel="1" x14ac:dyDescent="0.25"/>
    <row r="22" spans="2:4" hidden="1" outlineLevel="1" x14ac:dyDescent="0.25">
      <c r="B22" s="21" t="s">
        <v>16</v>
      </c>
      <c r="C22" s="22"/>
      <c r="D22" s="23"/>
    </row>
    <row r="23" spans="2:4" hidden="1" outlineLevel="1" x14ac:dyDescent="0.25">
      <c r="B23" s="1" t="s">
        <v>10</v>
      </c>
      <c r="C23" s="5" t="e" cm="1">
        <f t="array" aca="1" ref="C23" ca="1">_xll.VIEW(db_name&amp;":sys_client preference","!","!","!")</f>
        <v>#NAME?</v>
      </c>
      <c r="D23" s="5"/>
    </row>
    <row r="24" spans="2:4" hidden="1" outlineLevel="1" x14ac:dyDescent="0.25">
      <c r="B24" s="1" t="s">
        <v>17</v>
      </c>
      <c r="C24" s="5" t="e" cm="1">
        <f t="array" aca="1" ref="C24" ca="1">_xll.DBR($C$23,psUser,$B24,"value")</f>
        <v>#NAME?</v>
      </c>
      <c r="D24" s="5"/>
    </row>
    <row r="25" spans="2:4" hidden="1" outlineLevel="1" x14ac:dyDescent="0.25">
      <c r="B25" s="1" t="s">
        <v>18</v>
      </c>
      <c r="C25" s="5" t="e" cm="1">
        <f t="array" aca="1" ref="C25" ca="1">_xll.DBR($C$23,psUser,$B25,"value")</f>
        <v>#NAME?</v>
      </c>
      <c r="D25" s="5"/>
    </row>
    <row r="26" spans="2:4" hidden="1" outlineLevel="1" x14ac:dyDescent="0.25">
      <c r="B26" s="1" t="s">
        <v>19</v>
      </c>
      <c r="C26" s="5" t="e" cm="1">
        <f t="array" aca="1" ref="C26" ca="1">_xll.DBR($C$23,psUser,$B26,"value")</f>
        <v>#NAME?</v>
      </c>
      <c r="D26" s="5"/>
    </row>
    <row r="27" spans="2:4" hidden="1" outlineLevel="1" x14ac:dyDescent="0.25">
      <c r="B27" s="1" t="s">
        <v>20</v>
      </c>
      <c r="C27" s="5" t="e" cm="1">
        <f t="array" aca="1" ref="C27" ca="1">_xll.DBR($C$23,psUser,$B27,"value")</f>
        <v>#NAME?</v>
      </c>
      <c r="D27" s="5"/>
    </row>
    <row r="28" spans="2:4" hidden="1" outlineLevel="1" x14ac:dyDescent="0.25">
      <c r="B28" s="1" t="s">
        <v>21</v>
      </c>
      <c r="C28" s="5" t="s">
        <v>22</v>
      </c>
      <c r="D28" s="5"/>
    </row>
    <row r="29" spans="2:4" hidden="1" outlineLevel="1" x14ac:dyDescent="0.25"/>
    <row r="30" spans="2:4" hidden="1" outlineLevel="1" x14ac:dyDescent="0.25">
      <c r="B30" s="21" t="s">
        <v>23</v>
      </c>
      <c r="C30" s="22"/>
      <c r="D30" s="23"/>
    </row>
    <row r="31" spans="2:4" hidden="1" outlineLevel="1" x14ac:dyDescent="0.25">
      <c r="B31" s="5" t="s">
        <v>24</v>
      </c>
      <c r="C31" s="6" t="e">
        <f ca="1">_xll.VIEW(db_name&amp;":sys_application","!","!")</f>
        <v>#NAME?</v>
      </c>
      <c r="D31" s="6"/>
    </row>
    <row r="32" spans="2:4" hidden="1" outlineLevel="1" x14ac:dyDescent="0.25">
      <c r="B32" s="1" t="s">
        <v>37</v>
      </c>
      <c r="C32" t="s">
        <v>202</v>
      </c>
      <c r="D32" s="6"/>
    </row>
    <row r="33" spans="2:8" hidden="1" outlineLevel="1" x14ac:dyDescent="0.25">
      <c r="C33" s="6" t="s">
        <v>25</v>
      </c>
      <c r="D33" s="6" t="s">
        <v>26</v>
      </c>
      <c r="E33" s="6" t="s">
        <v>27</v>
      </c>
      <c r="F33" s="6" t="s">
        <v>28</v>
      </c>
      <c r="G33" s="6" t="s">
        <v>29</v>
      </c>
      <c r="H33" s="6" t="s">
        <v>30</v>
      </c>
    </row>
    <row r="34" spans="2:8" hidden="1" outlineLevel="1" x14ac:dyDescent="0.25">
      <c r="B34" s="5" t="s">
        <v>31</v>
      </c>
      <c r="C34" s="5" t="e" cm="1">
        <f t="array" aca="1" ref="C34" ca="1">_xll.DBR($C$31,$B34,C$33)</f>
        <v>#NAME?</v>
      </c>
      <c r="D34" s="5" t="e" cm="1">
        <f t="array" aca="1" ref="D34" ca="1">_xll.DBR($C$31,$B34,D$33)</f>
        <v>#NAME?</v>
      </c>
      <c r="E34" s="5" t="e" cm="1">
        <f t="array" aca="1" ref="E34" ca="1">_xll.DBR($C$31,$B34,E$33)</f>
        <v>#NAME?</v>
      </c>
      <c r="F34" s="5" t="e" cm="1">
        <f t="array" aca="1" ref="F34" ca="1">_xll.DBR($C$31,$B34,F$33)</f>
        <v>#NAME?</v>
      </c>
      <c r="G34" s="5" t="e" cm="1">
        <f t="array" aca="1" ref="G34" ca="1">_xll.DBR($C$31,$B34,G$33)</f>
        <v>#NAME?</v>
      </c>
      <c r="H34" s="5" t="e" cm="1">
        <f t="array" aca="1" ref="H34" ca="1">_xll.DBR($C$31,$B34,H$33)</f>
        <v>#NAME?</v>
      </c>
    </row>
    <row r="35" spans="2:8" hidden="1" outlineLevel="1" x14ac:dyDescent="0.25">
      <c r="B35" s="5" t="s">
        <v>32</v>
      </c>
      <c r="C35" s="5" t="e" cm="1">
        <f t="array" aca="1" ref="C35" ca="1">_xll.DBR($C$31,$B35,C$33)</f>
        <v>#NAME?</v>
      </c>
      <c r="D35" s="5" t="e" cm="1">
        <f t="array" aca="1" ref="D35" ca="1">_xll.DBR($C$31,$B35,D$33)</f>
        <v>#NAME?</v>
      </c>
      <c r="E35" s="5" t="e" cm="1">
        <f t="array" aca="1" ref="E35" ca="1">_xll.DBR($C$31,$B35,E$33)</f>
        <v>#NAME?</v>
      </c>
      <c r="F35" s="5" t="e" cm="1">
        <f t="array" aca="1" ref="F35" ca="1">_xll.DBR($C$31,$B35,F$33)</f>
        <v>#NAME?</v>
      </c>
      <c r="G35" s="5" t="e" cm="1">
        <f t="array" aca="1" ref="G35" ca="1">_xll.DBR($C$31,$B35,G$33)</f>
        <v>#NAME?</v>
      </c>
      <c r="H35" s="5" t="e" cm="1">
        <f t="array" aca="1" ref="H35" ca="1">_xll.DBR($C$31,$B35,H$33)</f>
        <v>#NAME?</v>
      </c>
    </row>
    <row r="36" spans="2:8" hidden="1" outlineLevel="1" x14ac:dyDescent="0.25">
      <c r="B36" s="5" t="s">
        <v>33</v>
      </c>
      <c r="C36" s="5" t="e" cm="1">
        <f t="array" aca="1" ref="C36" ca="1">_xll.DBR($C$31,$B36,C$33)</f>
        <v>#NAME?</v>
      </c>
      <c r="D36" s="5" t="e" cm="1">
        <f t="array" aca="1" ref="D36" ca="1">_xll.DBR($C$31,$B36,D$33)</f>
        <v>#NAME?</v>
      </c>
      <c r="E36" s="5" t="e" cm="1">
        <f t="array" aca="1" ref="E36" ca="1">_xll.DBR($C$31,$B36,E$33)</f>
        <v>#NAME?</v>
      </c>
      <c r="F36" s="5" t="e" cm="1">
        <f t="array" aca="1" ref="F36" ca="1">_xll.DBR($C$31,$B36,F$33)</f>
        <v>#NAME?</v>
      </c>
      <c r="G36" s="5" t="e" cm="1">
        <f t="array" aca="1" ref="G36" ca="1">_xll.DBR($C$31,$B36,G$33)</f>
        <v>#NAME?</v>
      </c>
      <c r="H36" s="5" t="e" cm="1">
        <f t="array" aca="1" ref="H36" ca="1">_xll.DBR($C$31,$B36,H$33)</f>
        <v>#NAME?</v>
      </c>
    </row>
    <row r="37" spans="2:8" hidden="1" outlineLevel="1" x14ac:dyDescent="0.25">
      <c r="B37" s="5" t="s">
        <v>34</v>
      </c>
      <c r="C37" s="5" t="e" cm="1">
        <f t="array" aca="1" ref="C37" ca="1">_xll.DBR($C$31,$B37,C$33)</f>
        <v>#NAME?</v>
      </c>
      <c r="D37" s="5" t="e" cm="1">
        <f t="array" aca="1" ref="D37" ca="1">_xll.DBR($C$31,$B37,D$33)</f>
        <v>#NAME?</v>
      </c>
      <c r="E37" s="5" t="e" cm="1">
        <f t="array" aca="1" ref="E37" ca="1">_xll.DBR($C$31,$B37,E$33)</f>
        <v>#NAME?</v>
      </c>
      <c r="F37" s="5" t="e" cm="1">
        <f t="array" aca="1" ref="F37" ca="1">_xll.DBR($C$31,$B37,F$33)</f>
        <v>#NAME?</v>
      </c>
      <c r="G37" s="5" t="e" cm="1">
        <f t="array" aca="1" ref="G37" ca="1">_xll.DBR($C$31,$B37,G$33)</f>
        <v>#NAME?</v>
      </c>
      <c r="H37" s="5" t="e" cm="1">
        <f t="array" aca="1" ref="H37" ca="1">_xll.DBR($C$31,$B37,H$33)</f>
        <v>#NAME?</v>
      </c>
    </row>
    <row r="38" spans="2:8" hidden="1" outlineLevel="1" x14ac:dyDescent="0.25">
      <c r="B38" s="5" t="s">
        <v>35</v>
      </c>
      <c r="C38" s="5" t="e" cm="1">
        <f t="array" aca="1" ref="C38" ca="1">_xll.DBR($C$31,$B38,C$33)</f>
        <v>#NAME?</v>
      </c>
      <c r="D38" s="5" t="e" cm="1">
        <f t="array" aca="1" ref="D38" ca="1">_xll.DBR($C$31,$B38,D$33)</f>
        <v>#NAME?</v>
      </c>
      <c r="E38" s="5" t="e" cm="1">
        <f t="array" aca="1" ref="E38" ca="1">_xll.DBR($C$31,$B38,E$33)</f>
        <v>#NAME?</v>
      </c>
      <c r="F38" s="5" t="e" cm="1">
        <f t="array" aca="1" ref="F38" ca="1">_xll.DBR($C$31,$B38,F$33)</f>
        <v>#NAME?</v>
      </c>
      <c r="G38" s="5" t="e" cm="1">
        <f t="array" aca="1" ref="G38" ca="1">_xll.DBR($C$31,$B38,G$33)</f>
        <v>#NAME?</v>
      </c>
      <c r="H38" s="5" t="e" cm="1">
        <f t="array" aca="1" ref="H38" ca="1">_xll.DBR($C$31,$B38,H$33)</f>
        <v>#NAME?</v>
      </c>
    </row>
    <row r="39" spans="2:8" hidden="1" outlineLevel="1" x14ac:dyDescent="0.25">
      <c r="B39" s="5" t="s">
        <v>36</v>
      </c>
      <c r="C39" s="5" t="e" cm="1">
        <f t="array" aca="1" ref="C39" ca="1">_xll.DBR($C$31,$B39,C$33)</f>
        <v>#NAME?</v>
      </c>
      <c r="D39" s="5" t="e" cm="1">
        <f t="array" aca="1" ref="D39" ca="1">_xll.DBR($C$31,$B39,D$33)</f>
        <v>#NAME?</v>
      </c>
      <c r="E39" s="5" t="e" cm="1">
        <f t="array" aca="1" ref="E39" ca="1">_xll.DBR($C$31,$B39,E$33)</f>
        <v>#NAME?</v>
      </c>
      <c r="F39" s="5" t="e" cm="1">
        <f t="array" aca="1" ref="F39" ca="1">_xll.DBR($C$31,$B39,F$33)</f>
        <v>#NAME?</v>
      </c>
      <c r="G39" s="5" t="e" cm="1">
        <f t="array" aca="1" ref="G39" ca="1">_xll.DBR($C$31,$B39,G$33)</f>
        <v>#NAME?</v>
      </c>
      <c r="H39" s="5" t="e" cm="1">
        <f t="array" aca="1" ref="H39" ca="1">_xll.DBR($C$31,$B39,H$33)</f>
        <v>#NAME?</v>
      </c>
    </row>
    <row r="40" spans="2:8" hidden="1" outlineLevel="1" x14ac:dyDescent="0.25">
      <c r="B40" s="5" t="s">
        <v>39</v>
      </c>
      <c r="C40" s="5" t="e" cm="1">
        <f t="array" aca="1" ref="C40" ca="1">_xll.DBR($C$31,$B40,C$33)</f>
        <v>#NAME?</v>
      </c>
      <c r="D40" s="5" t="e" cm="1">
        <f t="array" aca="1" ref="D40" ca="1">_xll.DBR($C$31,$B40,D$33)</f>
        <v>#NAME?</v>
      </c>
      <c r="E40" s="5" t="e" cm="1">
        <f t="array" aca="1" ref="E40" ca="1">_xll.DBR($C$31,$B40,E$33)</f>
        <v>#NAME?</v>
      </c>
      <c r="F40" s="5" t="e" cm="1">
        <f t="array" aca="1" ref="F40" ca="1">_xll.DBR($C$31,$B40,F$33)</f>
        <v>#NAME?</v>
      </c>
      <c r="G40" s="5" t="e" cm="1">
        <f t="array" aca="1" ref="G40" ca="1">_xll.DBR($C$31,$B40,G$33)</f>
        <v>#NAME?</v>
      </c>
      <c r="H40" s="5" t="e" cm="1">
        <f t="array" aca="1" ref="H40" ca="1">_xll.DBR($C$31,$B40,H$33)</f>
        <v>#NAME?</v>
      </c>
    </row>
    <row r="41" spans="2:8" hidden="1" outlineLevel="1" x14ac:dyDescent="0.25">
      <c r="B41" s="5" t="s">
        <v>40</v>
      </c>
      <c r="C41" s="5" t="e" cm="1">
        <f t="array" aca="1" ref="C41" ca="1">_xll.DBR($C$31,$B41,C$33)</f>
        <v>#NAME?</v>
      </c>
      <c r="D41" s="5" t="e" cm="1">
        <f t="array" aca="1" ref="D41" ca="1">_xll.DBR($C$31,$B41,D$33)</f>
        <v>#NAME?</v>
      </c>
      <c r="E41" s="5" t="e" cm="1">
        <f t="array" aca="1" ref="E41" ca="1">_xll.DBR($C$31,$B41,E$33)</f>
        <v>#NAME?</v>
      </c>
      <c r="F41" s="5" t="e" cm="1">
        <f t="array" aca="1" ref="F41" ca="1">_xll.DBR($C$31,$B41,F$33)</f>
        <v>#NAME?</v>
      </c>
      <c r="G41" s="5" t="e" cm="1">
        <f t="array" aca="1" ref="G41" ca="1">_xll.DBR($C$31,$B41,G$33)</f>
        <v>#NAME?</v>
      </c>
      <c r="H41" s="5" t="e" cm="1">
        <f t="array" aca="1" ref="H41" ca="1">_xll.DBR($C$31,$B41,H$33)</f>
        <v>#NAME?</v>
      </c>
    </row>
    <row r="42" spans="2:8" hidden="1" outlineLevel="1" x14ac:dyDescent="0.25">
      <c r="B42" s="5" t="s">
        <v>41</v>
      </c>
      <c r="C42" s="5" t="e" cm="1">
        <f t="array" aca="1" ref="C42" ca="1">_xll.DBR($C$31,$B42,C$33)</f>
        <v>#NAME?</v>
      </c>
      <c r="D42" s="5" t="e" cm="1">
        <f t="array" aca="1" ref="D42" ca="1">_xll.DBR($C$31,$B42,D$33)</f>
        <v>#NAME?</v>
      </c>
      <c r="E42" s="5" t="e" cm="1">
        <f t="array" aca="1" ref="E42" ca="1">_xll.DBR($C$31,$B42,E$33)</f>
        <v>#NAME?</v>
      </c>
      <c r="F42" s="5" t="e" cm="1">
        <f t="array" aca="1" ref="F42" ca="1">_xll.DBR($C$31,$B42,F$33)</f>
        <v>#NAME?</v>
      </c>
      <c r="G42" s="5" t="e" cm="1">
        <f t="array" aca="1" ref="G42" ca="1">_xll.DBR($C$31,$B42,G$33)</f>
        <v>#NAME?</v>
      </c>
      <c r="H42" s="5" t="e" cm="1">
        <f t="array" aca="1" ref="H42" ca="1">_xll.DBR($C$31,$B42,H$33)</f>
        <v>#NAME?</v>
      </c>
    </row>
    <row r="43" spans="2:8" hidden="1" outlineLevel="1" x14ac:dyDescent="0.25">
      <c r="B43" s="5" t="s">
        <v>42</v>
      </c>
      <c r="C43" s="5" t="e" cm="1">
        <f t="array" aca="1" ref="C43" ca="1">_xll.DBR($C$31,$B43,C$33)</f>
        <v>#NAME?</v>
      </c>
      <c r="D43" s="5" t="e" cm="1">
        <f t="array" aca="1" ref="D43" ca="1">_xll.DBR($C$31,$B43,D$33)</f>
        <v>#NAME?</v>
      </c>
      <c r="E43" s="5" t="e" cm="1">
        <f t="array" aca="1" ref="E43" ca="1">_xll.DBR($C$31,$B43,E$33)</f>
        <v>#NAME?</v>
      </c>
      <c r="F43" s="5" t="e" cm="1">
        <f t="array" aca="1" ref="F43" ca="1">_xll.DBR($C$31,$B43,F$33)</f>
        <v>#NAME?</v>
      </c>
      <c r="G43" s="5" t="e" cm="1">
        <f t="array" aca="1" ref="G43" ca="1">_xll.DBR($C$31,$B43,G$33)</f>
        <v>#NAME?</v>
      </c>
      <c r="H43" s="5" t="e" cm="1">
        <f t="array" aca="1" ref="H43" ca="1">_xll.DBR($C$31,$B43,H$33)</f>
        <v>#NAME?</v>
      </c>
    </row>
    <row r="44" spans="2:8" hidden="1" outlineLevel="1" x14ac:dyDescent="0.25">
      <c r="B44" s="5" t="s">
        <v>198</v>
      </c>
      <c r="C44" s="5" t="e" cm="1">
        <f t="array" aca="1" ref="C44" ca="1">_xll.DBR($C$31,$B44,C$33)</f>
        <v>#NAME?</v>
      </c>
      <c r="D44" s="5" t="e" cm="1">
        <f t="array" aca="1" ref="D44" ca="1">_xll.DBR($C$31,$B44,D$33)</f>
        <v>#NAME?</v>
      </c>
      <c r="E44" s="5" t="e" cm="1">
        <f t="array" aca="1" ref="E44" ca="1">_xll.DBR($C$31,$B44,E$33)</f>
        <v>#NAME?</v>
      </c>
      <c r="F44" s="5" t="e" cm="1">
        <f t="array" aca="1" ref="F44" ca="1">_xll.DBR($C$31,$B44,F$33)</f>
        <v>#NAME?</v>
      </c>
      <c r="G44" s="5" t="e" cm="1">
        <f t="array" aca="1" ref="G44" ca="1">_xll.DBR($C$31,$B44,G$33)</f>
        <v>#NAME?</v>
      </c>
      <c r="H44" s="5" t="e" cm="1">
        <f t="array" aca="1" ref="H44" ca="1">_xll.DBR($C$31,$B44,H$33)</f>
        <v>#NAME?</v>
      </c>
    </row>
    <row r="45" spans="2:8" hidden="1" outlineLevel="1" x14ac:dyDescent="0.25"/>
    <row r="46" spans="2:8" hidden="1" outlineLevel="1" x14ac:dyDescent="0.25"/>
    <row r="47" spans="2:8" hidden="1" outlineLevel="1" x14ac:dyDescent="0.25"/>
    <row r="48" spans="2:8" hidden="1" outlineLevel="1" x14ac:dyDescent="0.25"/>
    <row r="49" spans="2:14" hidden="1" outlineLevel="1" x14ac:dyDescent="0.25"/>
    <row r="50" spans="2:14" ht="39.950000000000003" customHeight="1" collapsed="1" x14ac:dyDescent="0.25">
      <c r="I50" s="7"/>
      <c r="J50" s="7"/>
      <c r="K50" s="7"/>
      <c r="L50" s="7"/>
      <c r="M50" s="7"/>
      <c r="N50" s="7" t="s">
        <v>201</v>
      </c>
    </row>
    <row r="51" spans="2:14" ht="4.5" customHeight="1" x14ac:dyDescent="0.25"/>
    <row r="52" spans="2:14" ht="24" customHeight="1" x14ac:dyDescent="0.25"/>
    <row r="53" spans="2:14" ht="1.5" customHeight="1" x14ac:dyDescent="0.25">
      <c r="I53" s="7"/>
      <c r="J53" s="7"/>
      <c r="K53" s="7"/>
      <c r="L53" s="7"/>
      <c r="M53" s="7"/>
      <c r="N53" s="7"/>
    </row>
    <row r="54" spans="2:14" ht="4.5" customHeight="1" x14ac:dyDescent="0.25"/>
    <row r="55" spans="2:14" x14ac:dyDescent="0.25">
      <c r="J55" s="24" t="s">
        <v>199</v>
      </c>
      <c r="K55" s="24"/>
      <c r="L55" s="24"/>
      <c r="M55" s="24"/>
      <c r="N55" s="24"/>
    </row>
    <row r="56" spans="2:14" x14ac:dyDescent="0.25">
      <c r="J56" s="24" t="s">
        <v>200</v>
      </c>
      <c r="K56" s="24"/>
      <c r="L56" s="24"/>
      <c r="M56" s="24"/>
      <c r="N56" s="24"/>
    </row>
    <row r="57" spans="2:14" x14ac:dyDescent="0.25">
      <c r="J57" s="24" t="s">
        <v>212</v>
      </c>
      <c r="K57" s="24"/>
      <c r="L57" s="24"/>
      <c r="M57" s="24"/>
      <c r="N57" s="24"/>
    </row>
    <row r="58" spans="2:14" ht="4.5" customHeight="1" x14ac:dyDescent="0.25"/>
    <row r="59" spans="2:14" x14ac:dyDescent="0.25">
      <c r="B59" s="8" t="s">
        <v>43</v>
      </c>
      <c r="C59" s="8"/>
      <c r="D59" s="8"/>
      <c r="E59" s="8"/>
      <c r="F59" s="8"/>
      <c r="J59" s="11" t="s">
        <v>96</v>
      </c>
      <c r="L59" s="11" t="s">
        <v>97</v>
      </c>
      <c r="N59" s="11" t="s">
        <v>98</v>
      </c>
    </row>
    <row r="60" spans="2:14" ht="4.5" customHeight="1" x14ac:dyDescent="0.25">
      <c r="B60" s="19"/>
      <c r="C60" s="19"/>
      <c r="D60" s="19"/>
      <c r="E60" s="19"/>
      <c r="F60" s="19"/>
    </row>
    <row r="61" spans="2:14" x14ac:dyDescent="0.25">
      <c r="J61" s="25" t="s">
        <v>93</v>
      </c>
      <c r="K61" s="25"/>
      <c r="L61" s="25"/>
      <c r="M61" s="25"/>
      <c r="N61" s="25"/>
    </row>
    <row r="62" spans="2:14" ht="4.5" customHeight="1" x14ac:dyDescent="0.25"/>
    <row r="63" spans="2:14" ht="16.5" customHeight="1" x14ac:dyDescent="0.25">
      <c r="B63" t="s">
        <v>58</v>
      </c>
      <c r="J63" s="12" t="s">
        <v>94</v>
      </c>
      <c r="L63" s="13" t="e" cm="1">
        <f t="array" aca="1" ref="L63" ca="1">_xll.DBRW($C$10,$B63,$C$11)</f>
        <v>#NAME?</v>
      </c>
      <c r="N63" s="17" t="s">
        <v>95</v>
      </c>
    </row>
    <row r="64" spans="2:14" ht="16.5" customHeight="1" x14ac:dyDescent="0.25">
      <c r="B64" t="s">
        <v>44</v>
      </c>
      <c r="J64" s="12" t="s">
        <v>107</v>
      </c>
      <c r="L64" s="13" t="e" cm="1">
        <f t="array" aca="1" ref="L64" ca="1">_xll.DBRW($C$10,$B64,$C$11)</f>
        <v>#NAME?</v>
      </c>
      <c r="N64" s="17" t="s">
        <v>108</v>
      </c>
    </row>
    <row r="65" spans="2:14" x14ac:dyDescent="0.25">
      <c r="B65" t="s">
        <v>11</v>
      </c>
      <c r="J65" s="12" t="s">
        <v>99</v>
      </c>
      <c r="L65" s="14" t="e" cm="1">
        <f t="array" aca="1" ref="L65" ca="1">_xll.DBRW($C$10,$B65,$C$11)</f>
        <v>#NAME?</v>
      </c>
      <c r="N65" s="18" t="s">
        <v>213</v>
      </c>
    </row>
    <row r="66" spans="2:14" ht="24" x14ac:dyDescent="0.25">
      <c r="B66" t="s">
        <v>12</v>
      </c>
      <c r="J66" s="12" t="s">
        <v>100</v>
      </c>
      <c r="L66" s="14" t="e" cm="1">
        <f t="array" aca="1" ref="L66" ca="1">_xll.DBRW($C$10,$B66,$C$11)</f>
        <v>#NAME?</v>
      </c>
      <c r="N66" s="18" t="s">
        <v>101</v>
      </c>
    </row>
    <row r="67" spans="2:14" ht="24" x14ac:dyDescent="0.25">
      <c r="B67" t="s">
        <v>74</v>
      </c>
      <c r="J67" s="12" t="s">
        <v>103</v>
      </c>
      <c r="L67" s="13" t="e" cm="1">
        <f t="array" aca="1" ref="L67" ca="1">_xll.DBRW($C$10,$B67,$C$11)</f>
        <v>#NAME?</v>
      </c>
      <c r="N67" s="17" t="s">
        <v>102</v>
      </c>
    </row>
    <row r="68" spans="2:14" x14ac:dyDescent="0.25">
      <c r="B68" t="s">
        <v>13</v>
      </c>
      <c r="J68" s="12" t="s">
        <v>104</v>
      </c>
      <c r="L68" s="14" t="e" cm="1">
        <f t="array" aca="1" ref="L68" ca="1">_xll.DBRW($C$10,$B68,$C$11)</f>
        <v>#NAME?</v>
      </c>
      <c r="N68" s="17" t="s">
        <v>106</v>
      </c>
    </row>
    <row r="69" spans="2:14" x14ac:dyDescent="0.25">
      <c r="B69" t="s">
        <v>14</v>
      </c>
      <c r="J69" s="12" t="s">
        <v>105</v>
      </c>
      <c r="L69" s="14" t="e" cm="1">
        <f t="array" aca="1" ref="L69" ca="1">_xll.DBRW($C$10,$B69,$C$11)</f>
        <v>#NAME?</v>
      </c>
      <c r="N69" s="17" t="s">
        <v>106</v>
      </c>
    </row>
    <row r="70" spans="2:14" x14ac:dyDescent="0.25">
      <c r="B70" t="s">
        <v>1</v>
      </c>
      <c r="J70" s="12" t="s">
        <v>109</v>
      </c>
      <c r="L70" s="13" t="e" cm="1">
        <f t="array" aca="1" ref="L70" ca="1">_xll.DBRW($C$10,$B70,$C$11)</f>
        <v>#NAME?</v>
      </c>
      <c r="N70" s="17" t="s">
        <v>114</v>
      </c>
    </row>
    <row r="71" spans="2:14" x14ac:dyDescent="0.25">
      <c r="B71" t="s">
        <v>45</v>
      </c>
      <c r="J71" s="12" t="s">
        <v>111</v>
      </c>
      <c r="L71" s="13" t="e" cm="1">
        <f t="array" aca="1" ref="L71" ca="1">_xll.DBRW($C$10,$B71,$C$11)</f>
        <v>#NAME?</v>
      </c>
      <c r="N71" s="17" t="s">
        <v>113</v>
      </c>
    </row>
    <row r="72" spans="2:14" ht="24" x14ac:dyDescent="0.25">
      <c r="B72" t="s">
        <v>65</v>
      </c>
      <c r="J72" s="12" t="s">
        <v>178</v>
      </c>
      <c r="L72" s="15" t="e" cm="1">
        <f t="array" aca="1" ref="L72" ca="1">_xll.DBRW($C$10,$B72,$C$11)</f>
        <v>#NAME?</v>
      </c>
      <c r="N72" s="17" t="s">
        <v>180</v>
      </c>
    </row>
    <row r="73" spans="2:14" ht="24" x14ac:dyDescent="0.25">
      <c r="B73" t="s">
        <v>66</v>
      </c>
      <c r="J73" s="12" t="s">
        <v>179</v>
      </c>
      <c r="L73" s="13" t="e" cm="1">
        <f t="array" aca="1" ref="L73" ca="1">_xll.DBRW($C$10,$B73,$C$11)</f>
        <v>#NAME?</v>
      </c>
      <c r="N73" s="17" t="s">
        <v>181</v>
      </c>
    </row>
    <row r="74" spans="2:14" x14ac:dyDescent="0.25">
      <c r="B74" t="s">
        <v>48</v>
      </c>
      <c r="J74" s="12" t="s">
        <v>110</v>
      </c>
      <c r="L74" s="13" t="e" cm="1">
        <f t="array" aca="1" ref="L74" ca="1">_xll.DBRW($C$10,$B74,$C$11)</f>
        <v>#NAME?</v>
      </c>
      <c r="N74" s="17" t="s">
        <v>112</v>
      </c>
    </row>
    <row r="75" spans="2:14" x14ac:dyDescent="0.25">
      <c r="B75" t="s">
        <v>72</v>
      </c>
      <c r="J75" s="12" t="s">
        <v>163</v>
      </c>
      <c r="L75" s="13" t="e" cm="1">
        <f t="array" aca="1" ref="L75" ca="1">_xll.DBRW($C$10,$B75,$C$11)</f>
        <v>#NAME?</v>
      </c>
      <c r="N75" s="17" t="s">
        <v>161</v>
      </c>
    </row>
    <row r="76" spans="2:14" ht="24" x14ac:dyDescent="0.25">
      <c r="B76" t="s">
        <v>73</v>
      </c>
      <c r="J76" s="12" t="s">
        <v>160</v>
      </c>
      <c r="L76" s="13" t="e" cm="1">
        <f t="array" aca="1" ref="L76" ca="1">_xll.DBRW($C$10,$B76,$C$11)</f>
        <v>#NAME?</v>
      </c>
      <c r="N76" s="17" t="s">
        <v>162</v>
      </c>
    </row>
    <row r="77" spans="2:14" x14ac:dyDescent="0.25">
      <c r="B77" s="20" t="s">
        <v>214</v>
      </c>
      <c r="J77" s="12" t="s">
        <v>218</v>
      </c>
      <c r="L77" s="13" t="e" cm="1">
        <f t="array" aca="1" ref="L77" ca="1">_xll.DBRW($C$10,$B77,$C$11)</f>
        <v>#NAME?</v>
      </c>
      <c r="N77" s="17" t="s">
        <v>216</v>
      </c>
    </row>
    <row r="78" spans="2:14" x14ac:dyDescent="0.25">
      <c r="B78" s="20" t="s">
        <v>215</v>
      </c>
      <c r="J78" s="12" t="s">
        <v>219</v>
      </c>
      <c r="L78" s="13" t="e" cm="1">
        <f t="array" aca="1" ref="L78" ca="1">_xll.DBRW($C$10,$B78,$C$11)</f>
        <v>#NAME?</v>
      </c>
      <c r="N78" s="17" t="s">
        <v>217</v>
      </c>
    </row>
    <row r="79" spans="2:14" ht="13.5" customHeight="1" x14ac:dyDescent="0.25">
      <c r="B79" s="20" t="s">
        <v>220</v>
      </c>
      <c r="J79" s="12" t="s">
        <v>221</v>
      </c>
      <c r="L79" s="13" t="e">
        <f ca="1">_xll.DBRW($C$10,$B79,$C$11)</f>
        <v>#NAME?</v>
      </c>
      <c r="N79" s="17" t="s">
        <v>222</v>
      </c>
    </row>
    <row r="80" spans="2:14" ht="4.5" customHeight="1" x14ac:dyDescent="0.25">
      <c r="J80" s="9"/>
      <c r="K80" s="9"/>
      <c r="L80" s="9"/>
      <c r="M80" s="9"/>
      <c r="N80" s="10"/>
    </row>
    <row r="81" spans="2:14" x14ac:dyDescent="0.25">
      <c r="J81" s="25" t="s">
        <v>175</v>
      </c>
      <c r="K81" s="25"/>
      <c r="L81" s="25"/>
      <c r="M81" s="25"/>
      <c r="N81" s="25"/>
    </row>
    <row r="82" spans="2:14" ht="4.5" customHeight="1" x14ac:dyDescent="0.25"/>
    <row r="83" spans="2:14" x14ac:dyDescent="0.25">
      <c r="B83" t="s">
        <v>82</v>
      </c>
      <c r="J83" s="12" t="s">
        <v>167</v>
      </c>
      <c r="L83" s="15" t="e" cm="1">
        <f t="array" aca="1" ref="L83" ca="1">_xll.DBRW($C$10,$B83,$C$11)</f>
        <v>#NAME?</v>
      </c>
      <c r="N83" s="17" t="s">
        <v>174</v>
      </c>
    </row>
    <row r="84" spans="2:14" x14ac:dyDescent="0.25">
      <c r="B84" t="s">
        <v>83</v>
      </c>
      <c r="J84" s="12" t="s">
        <v>168</v>
      </c>
      <c r="L84" s="15" t="e" cm="1">
        <f t="array" aca="1" ref="L84" ca="1">_xll.DBRW($C$10,$B84,$C$11)</f>
        <v>#NAME?</v>
      </c>
      <c r="N84" s="17" t="s">
        <v>173</v>
      </c>
    </row>
    <row r="85" spans="2:14" x14ac:dyDescent="0.25">
      <c r="B85" t="s">
        <v>84</v>
      </c>
      <c r="J85" s="12" t="s">
        <v>165</v>
      </c>
      <c r="L85" s="15" t="e" cm="1">
        <f t="array" aca="1" ref="L85" ca="1">_xll.DBRW($C$10,$B85,$C$11)</f>
        <v>#NAME?</v>
      </c>
      <c r="N85" s="17" t="s">
        <v>174</v>
      </c>
    </row>
    <row r="86" spans="2:14" x14ac:dyDescent="0.25">
      <c r="B86" t="s">
        <v>85</v>
      </c>
      <c r="J86" s="12" t="s">
        <v>166</v>
      </c>
      <c r="L86" s="15" t="e" cm="1">
        <f t="array" aca="1" ref="L86" ca="1">_xll.DBRW($C$10,$B86,$C$11)</f>
        <v>#NAME?</v>
      </c>
      <c r="N86" s="17" t="s">
        <v>173</v>
      </c>
    </row>
    <row r="87" spans="2:14" x14ac:dyDescent="0.25">
      <c r="B87" t="s">
        <v>86</v>
      </c>
      <c r="J87" s="12" t="s">
        <v>169</v>
      </c>
      <c r="L87" s="15" t="e" cm="1">
        <f t="array" aca="1" ref="L87" ca="1">_xll.DBRW($C$10,$B87,$C$11)</f>
        <v>#NAME?</v>
      </c>
      <c r="N87" s="17" t="s">
        <v>176</v>
      </c>
    </row>
    <row r="88" spans="2:14" x14ac:dyDescent="0.25">
      <c r="B88" t="s">
        <v>87</v>
      </c>
      <c r="J88" s="12" t="s">
        <v>170</v>
      </c>
      <c r="L88" s="15" t="e" cm="1">
        <f t="array" aca="1" ref="L88" ca="1">_xll.DBRW($C$10,$B88,$C$11)</f>
        <v>#NAME?</v>
      </c>
      <c r="N88" s="17" t="s">
        <v>177</v>
      </c>
    </row>
    <row r="89" spans="2:14" x14ac:dyDescent="0.25">
      <c r="B89" t="s">
        <v>88</v>
      </c>
      <c r="J89" s="12" t="s">
        <v>171</v>
      </c>
      <c r="L89" s="15" t="e" cm="1">
        <f t="array" aca="1" ref="L89" ca="1">_xll.DBRW($C$10,$B89,$C$11)</f>
        <v>#NAME?</v>
      </c>
      <c r="N89" s="17" t="s">
        <v>176</v>
      </c>
    </row>
    <row r="90" spans="2:14" x14ac:dyDescent="0.25">
      <c r="B90" t="s">
        <v>89</v>
      </c>
      <c r="J90" s="12" t="s">
        <v>172</v>
      </c>
      <c r="L90" s="16" t="e" cm="1">
        <f t="array" aca="1" ref="L90" ca="1">_xll.DBRW($C$10,$B90,$C$11)</f>
        <v>#NAME?</v>
      </c>
      <c r="N90" s="17" t="s">
        <v>177</v>
      </c>
    </row>
    <row r="91" spans="2:14" ht="4.5" customHeight="1" x14ac:dyDescent="0.25"/>
    <row r="92" spans="2:14" x14ac:dyDescent="0.25">
      <c r="J92" s="25" t="s">
        <v>115</v>
      </c>
      <c r="K92" s="25"/>
      <c r="L92" s="25"/>
      <c r="M92" s="25"/>
      <c r="N92" s="25"/>
    </row>
    <row r="93" spans="2:14" ht="4.5" customHeight="1" x14ac:dyDescent="0.25"/>
    <row r="94" spans="2:14" x14ac:dyDescent="0.25">
      <c r="B94" t="s">
        <v>46</v>
      </c>
      <c r="J94" s="12" t="s">
        <v>116</v>
      </c>
      <c r="L94" s="13" t="e" cm="1">
        <f t="array" aca="1" ref="L94" ca="1">_xll.DBRW($C$10,$B94,$C$11)</f>
        <v>#NAME?</v>
      </c>
      <c r="N94" s="17" t="s">
        <v>138</v>
      </c>
    </row>
    <row r="95" spans="2:14" x14ac:dyDescent="0.25">
      <c r="B95" t="s">
        <v>47</v>
      </c>
      <c r="J95" s="12" t="s">
        <v>117</v>
      </c>
      <c r="L95" s="13" t="e" cm="1">
        <f t="array" aca="1" ref="L95" ca="1">_xll.DBRW($C$10,$B95,$C$11)</f>
        <v>#NAME?</v>
      </c>
      <c r="N95" s="17" t="s">
        <v>139</v>
      </c>
    </row>
    <row r="96" spans="2:14" x14ac:dyDescent="0.25">
      <c r="B96" t="s">
        <v>90</v>
      </c>
      <c r="J96" s="12" t="s">
        <v>118</v>
      </c>
      <c r="L96" s="13" t="e" cm="1">
        <f t="array" aca="1" ref="L96" ca="1">_xll.DBRW($C$10,$B96,$C$11)</f>
        <v>#NAME?</v>
      </c>
      <c r="N96" s="17" t="s">
        <v>140</v>
      </c>
    </row>
    <row r="97" spans="2:14" x14ac:dyDescent="0.25">
      <c r="B97" t="s">
        <v>91</v>
      </c>
      <c r="J97" s="12" t="s">
        <v>119</v>
      </c>
      <c r="L97" s="13" t="e" cm="1">
        <f t="array" aca="1" ref="L97" ca="1">_xll.DBRW($C$10,$B97,$C$11)</f>
        <v>#NAME?</v>
      </c>
      <c r="N97" s="17" t="s">
        <v>141</v>
      </c>
    </row>
    <row r="98" spans="2:14" x14ac:dyDescent="0.25">
      <c r="B98" t="s">
        <v>92</v>
      </c>
      <c r="J98" s="12" t="s">
        <v>120</v>
      </c>
      <c r="L98" s="13" t="e" cm="1">
        <f t="array" aca="1" ref="L98" ca="1">_xll.DBRW($C$10,$B98,$C$11)</f>
        <v>#NAME?</v>
      </c>
      <c r="N98" s="17" t="s">
        <v>142</v>
      </c>
    </row>
    <row r="99" spans="2:14" ht="24" x14ac:dyDescent="0.25">
      <c r="B99" t="s">
        <v>71</v>
      </c>
      <c r="J99" s="12" t="s">
        <v>132</v>
      </c>
      <c r="L99" s="13" t="e" cm="1">
        <f t="array" aca="1" ref="L99" ca="1">_xll.DBRW($C$10,$B99,$C$11)</f>
        <v>#NAME?</v>
      </c>
      <c r="N99" s="17" t="s">
        <v>155</v>
      </c>
    </row>
    <row r="100" spans="2:14" ht="24" x14ac:dyDescent="0.25">
      <c r="B100" t="s">
        <v>67</v>
      </c>
      <c r="J100" s="12" t="s">
        <v>133</v>
      </c>
      <c r="L100" s="13" t="e" cm="1">
        <f t="array" aca="1" ref="L100" ca="1">_xll.DBRW($C$10,$B100,$C$11)</f>
        <v>#NAME?</v>
      </c>
      <c r="N100" s="17" t="s">
        <v>154</v>
      </c>
    </row>
    <row r="101" spans="2:14" ht="24" x14ac:dyDescent="0.25">
      <c r="B101" t="s">
        <v>68</v>
      </c>
      <c r="J101" s="12" t="s">
        <v>134</v>
      </c>
      <c r="L101" s="13" t="e" cm="1">
        <f t="array" aca="1" ref="L101" ca="1">_xll.DBRW($C$10,$B101,$C$11)</f>
        <v>#NAME?</v>
      </c>
      <c r="N101" s="17" t="s">
        <v>156</v>
      </c>
    </row>
    <row r="102" spans="2:14" x14ac:dyDescent="0.25">
      <c r="B102" t="s">
        <v>69</v>
      </c>
      <c r="J102" s="12" t="s">
        <v>135</v>
      </c>
      <c r="L102" s="13" t="e" cm="1">
        <f t="array" aca="1" ref="L102" ca="1">_xll.DBRW($C$10,$B102,$C$11)</f>
        <v>#NAME?</v>
      </c>
      <c r="N102" s="17" t="s">
        <v>157</v>
      </c>
    </row>
    <row r="103" spans="2:14" ht="24" x14ac:dyDescent="0.25">
      <c r="B103" t="s">
        <v>70</v>
      </c>
      <c r="J103" s="12" t="s">
        <v>136</v>
      </c>
      <c r="L103" s="13" t="e" cm="1">
        <f t="array" aca="1" ref="L103" ca="1">_xll.DBRW($C$10,$B103,$C$11)</f>
        <v>#NAME?</v>
      </c>
      <c r="N103" s="17" t="s">
        <v>158</v>
      </c>
    </row>
    <row r="104" spans="2:14" ht="4.5" customHeight="1" x14ac:dyDescent="0.25">
      <c r="J104" s="9"/>
      <c r="K104" s="9"/>
      <c r="L104" s="9"/>
      <c r="M104" s="9"/>
      <c r="N104" s="10"/>
    </row>
    <row r="105" spans="2:14" x14ac:dyDescent="0.25">
      <c r="J105" s="25" t="s">
        <v>164</v>
      </c>
      <c r="K105" s="25"/>
      <c r="L105" s="25"/>
      <c r="M105" s="25"/>
      <c r="N105" s="25"/>
    </row>
    <row r="106" spans="2:14" ht="4.5" customHeight="1" x14ac:dyDescent="0.25">
      <c r="J106" s="9"/>
      <c r="K106" s="9"/>
      <c r="L106" s="9"/>
      <c r="M106" s="9"/>
      <c r="N106" s="10"/>
    </row>
    <row r="107" spans="2:14" x14ac:dyDescent="0.25">
      <c r="B107" t="s">
        <v>49</v>
      </c>
      <c r="J107" s="12" t="s">
        <v>121</v>
      </c>
      <c r="L107" s="15" t="e" cm="1">
        <f t="array" aca="1" ref="L107" ca="1">_xll.DBRW($C$10,$B107,$C$11)</f>
        <v>#NAME?</v>
      </c>
      <c r="N107" s="17" t="s">
        <v>144</v>
      </c>
    </row>
    <row r="108" spans="2:14" x14ac:dyDescent="0.25">
      <c r="B108" t="s">
        <v>50</v>
      </c>
      <c r="J108" s="12" t="s">
        <v>122</v>
      </c>
      <c r="L108" s="15" t="e" cm="1">
        <f t="array" aca="1" ref="L108" ca="1">_xll.DBRW($C$10,$B108,$C$11)</f>
        <v>#NAME?</v>
      </c>
      <c r="N108" s="17" t="s">
        <v>145</v>
      </c>
    </row>
    <row r="109" spans="2:14" x14ac:dyDescent="0.25">
      <c r="B109" t="s">
        <v>51</v>
      </c>
      <c r="J109" s="12" t="s">
        <v>123</v>
      </c>
      <c r="L109" s="15" t="e" cm="1">
        <f t="array" aca="1" ref="L109" ca="1">_xll.DBRW($C$10,$B109,$C$11)</f>
        <v>#NAME?</v>
      </c>
      <c r="N109" s="17" t="s">
        <v>146</v>
      </c>
    </row>
    <row r="110" spans="2:14" x14ac:dyDescent="0.25">
      <c r="B110" t="s">
        <v>52</v>
      </c>
      <c r="J110" s="12" t="s">
        <v>124</v>
      </c>
      <c r="L110" s="15" t="e" cm="1">
        <f t="array" aca="1" ref="L110" ca="1">_xll.DBRW($C$10,$B110,$C$11)</f>
        <v>#NAME?</v>
      </c>
      <c r="N110" s="17" t="s">
        <v>147</v>
      </c>
    </row>
    <row r="111" spans="2:14" x14ac:dyDescent="0.25">
      <c r="B111" t="s">
        <v>53</v>
      </c>
      <c r="J111" s="12" t="s">
        <v>125</v>
      </c>
      <c r="L111" s="15" t="e" cm="1">
        <f t="array" aca="1" ref="L111" ca="1">_xll.DBRW($C$10,$B111,$C$11)</f>
        <v>#NAME?</v>
      </c>
      <c r="N111" s="17" t="s">
        <v>143</v>
      </c>
    </row>
    <row r="112" spans="2:14" x14ac:dyDescent="0.25">
      <c r="B112" t="s">
        <v>57</v>
      </c>
      <c r="J112" s="12" t="s">
        <v>131</v>
      </c>
      <c r="L112" s="15" t="e" cm="1">
        <f t="array" aca="1" ref="L112" ca="1">_xll.DBRW($C$10,$B112,$C$11)</f>
        <v>#NAME?</v>
      </c>
      <c r="N112" s="17" t="s">
        <v>153</v>
      </c>
    </row>
    <row r="113" spans="2:14" x14ac:dyDescent="0.25">
      <c r="B113" t="s">
        <v>76</v>
      </c>
      <c r="J113" s="12" t="s">
        <v>137</v>
      </c>
      <c r="L113" s="15" t="e" cm="1">
        <f t="array" aca="1" ref="L113" ca="1">_xll.DBRW($C$10,$B113,$C$11)</f>
        <v>#NAME?</v>
      </c>
      <c r="N113" s="17" t="s">
        <v>159</v>
      </c>
    </row>
    <row r="114" spans="2:14" x14ac:dyDescent="0.25">
      <c r="B114" t="s">
        <v>75</v>
      </c>
      <c r="J114" s="12" t="s">
        <v>126</v>
      </c>
      <c r="L114" s="15" t="e" cm="1">
        <f t="array" aca="1" ref="L114" ca="1">_xll.DBRW($C$10,$B114,$C$11)</f>
        <v>#NAME?</v>
      </c>
      <c r="N114" s="17" t="s">
        <v>148</v>
      </c>
    </row>
    <row r="115" spans="2:14" x14ac:dyDescent="0.25">
      <c r="B115" t="s">
        <v>54</v>
      </c>
      <c r="J115" s="12" t="s">
        <v>127</v>
      </c>
      <c r="L115" s="15" t="e" cm="1">
        <f t="array" aca="1" ref="L115" ca="1">_xll.DBRW($C$10,$B115,$C$11)</f>
        <v>#NAME?</v>
      </c>
      <c r="N115" s="17" t="s">
        <v>151</v>
      </c>
    </row>
    <row r="116" spans="2:14" x14ac:dyDescent="0.25">
      <c r="B116" t="s">
        <v>55</v>
      </c>
      <c r="J116" s="12" t="s">
        <v>128</v>
      </c>
      <c r="L116" s="15" t="e" cm="1">
        <f t="array" aca="1" ref="L116" ca="1">_xll.DBRW($C$10,$B116,$C$11)</f>
        <v>#NAME?</v>
      </c>
      <c r="N116" s="17" t="s">
        <v>149</v>
      </c>
    </row>
    <row r="117" spans="2:14" x14ac:dyDescent="0.25">
      <c r="B117" t="s">
        <v>56</v>
      </c>
      <c r="J117" s="12" t="s">
        <v>129</v>
      </c>
      <c r="L117" s="15" t="e" cm="1">
        <f t="array" aca="1" ref="L117" ca="1">_xll.DBRW($C$10,$B117,$C$11)</f>
        <v>#NAME?</v>
      </c>
      <c r="N117" s="17" t="s">
        <v>150</v>
      </c>
    </row>
    <row r="118" spans="2:14" x14ac:dyDescent="0.25">
      <c r="B118" t="s">
        <v>77</v>
      </c>
      <c r="J118" s="12" t="s">
        <v>130</v>
      </c>
      <c r="L118" s="15" t="e" cm="1">
        <f t="array" aca="1" ref="L118" ca="1">_xll.DBRW($C$10,$B118,$C$11)</f>
        <v>#NAME?</v>
      </c>
      <c r="N118" s="17" t="s">
        <v>152</v>
      </c>
    </row>
    <row r="119" spans="2:14" ht="4.5" customHeight="1" x14ac:dyDescent="0.25"/>
    <row r="120" spans="2:14" x14ac:dyDescent="0.25">
      <c r="J120" s="25" t="s">
        <v>182</v>
      </c>
      <c r="K120" s="25"/>
      <c r="L120" s="25"/>
      <c r="M120" s="25"/>
      <c r="N120" s="25"/>
    </row>
    <row r="121" spans="2:14" ht="4.5" customHeight="1" x14ac:dyDescent="0.25">
      <c r="J121" s="9"/>
      <c r="K121" s="9"/>
      <c r="L121" s="9"/>
      <c r="M121" s="9"/>
      <c r="N121" s="10"/>
    </row>
    <row r="122" spans="2:14" x14ac:dyDescent="0.25">
      <c r="B122" t="s">
        <v>59</v>
      </c>
      <c r="J122" s="12" t="s">
        <v>183</v>
      </c>
      <c r="L122" s="15" t="e" cm="1">
        <f t="array" aca="1" ref="L122" ca="1">_xll.DBRW($C$10,$B122,$C$11)</f>
        <v>#NAME?</v>
      </c>
      <c r="N122" s="17" t="s">
        <v>197</v>
      </c>
    </row>
    <row r="123" spans="2:14" x14ac:dyDescent="0.25">
      <c r="B123" t="s">
        <v>60</v>
      </c>
      <c r="J123" s="12" t="s">
        <v>184</v>
      </c>
      <c r="L123" s="15" t="e" cm="1">
        <f t="array" aca="1" ref="L123" ca="1">_xll.DBRW($C$10,$B123,$C$11)</f>
        <v>#NAME?</v>
      </c>
      <c r="N123" s="17" t="s">
        <v>196</v>
      </c>
    </row>
    <row r="124" spans="2:14" x14ac:dyDescent="0.25">
      <c r="B124" t="s">
        <v>61</v>
      </c>
      <c r="J124" s="12" t="s">
        <v>205</v>
      </c>
      <c r="L124" s="15" t="e" cm="1">
        <f t="array" aca="1" ref="L124" ca="1">_xll.DBRW($C$10,$B124,$C$11)</f>
        <v>#NAME?</v>
      </c>
      <c r="N124" s="17" t="s">
        <v>195</v>
      </c>
    </row>
    <row r="125" spans="2:14" x14ac:dyDescent="0.25">
      <c r="B125" t="s">
        <v>62</v>
      </c>
      <c r="J125" s="12" t="s">
        <v>206</v>
      </c>
      <c r="L125" s="15" t="e" cm="1">
        <f t="array" aca="1" ref="L125" ca="1">_xll.DBRW($C$10,$B125,$C$11)</f>
        <v>#NAME?</v>
      </c>
      <c r="N125" s="17" t="s">
        <v>194</v>
      </c>
    </row>
    <row r="126" spans="2:14" x14ac:dyDescent="0.25">
      <c r="B126" t="s">
        <v>63</v>
      </c>
      <c r="J126" s="12" t="s">
        <v>207</v>
      </c>
      <c r="L126" s="15" t="e" cm="1">
        <f t="array" aca="1" ref="L126" ca="1">_xll.DBRW($C$10,$B126,$C$11)</f>
        <v>#NAME?</v>
      </c>
      <c r="N126" s="17" t="s">
        <v>193</v>
      </c>
    </row>
    <row r="127" spans="2:14" x14ac:dyDescent="0.25">
      <c r="B127" t="s">
        <v>64</v>
      </c>
      <c r="J127" s="12" t="s">
        <v>208</v>
      </c>
      <c r="L127" s="15" t="e" cm="1">
        <f t="array" aca="1" ref="L127" ca="1">_xll.DBRW($C$10,$B127,$C$11)</f>
        <v>#NAME?</v>
      </c>
      <c r="N127" s="17" t="s">
        <v>192</v>
      </c>
    </row>
    <row r="128" spans="2:14" x14ac:dyDescent="0.25">
      <c r="B128" t="s">
        <v>78</v>
      </c>
      <c r="J128" s="12" t="s">
        <v>209</v>
      </c>
      <c r="L128" s="15" t="e" cm="1">
        <f t="array" aca="1" ref="L128" ca="1">_xll.DBRW($C$10,$B128,$C$11)</f>
        <v>#NAME?</v>
      </c>
      <c r="N128" s="17" t="s">
        <v>191</v>
      </c>
    </row>
    <row r="129" spans="2:14" ht="24" x14ac:dyDescent="0.25">
      <c r="B129" t="s">
        <v>203</v>
      </c>
      <c r="J129" s="12" t="s">
        <v>210</v>
      </c>
      <c r="L129" s="15" t="e" cm="1">
        <f t="array" aca="1" ref="L129" ca="1">_xll.DBRW($C$10,$B129,$C$11)</f>
        <v>#NAME?</v>
      </c>
      <c r="N129" s="17" t="s">
        <v>204</v>
      </c>
    </row>
    <row r="130" spans="2:14" x14ac:dyDescent="0.25">
      <c r="B130" t="s">
        <v>79</v>
      </c>
      <c r="J130" s="12" t="s">
        <v>211</v>
      </c>
      <c r="L130" s="15" t="e" cm="1">
        <f t="array" aca="1" ref="L130" ca="1">_xll.DBRW($C$10,$B130,$C$11)</f>
        <v>#NAME?</v>
      </c>
      <c r="N130" s="17" t="s">
        <v>190</v>
      </c>
    </row>
    <row r="131" spans="2:14" ht="4.5" customHeight="1" x14ac:dyDescent="0.25">
      <c r="J131" s="9"/>
    </row>
    <row r="132" spans="2:14" x14ac:dyDescent="0.25">
      <c r="J132" s="25" t="s">
        <v>187</v>
      </c>
      <c r="K132" s="25"/>
      <c r="L132" s="25"/>
      <c r="M132" s="25"/>
      <c r="N132" s="25"/>
    </row>
    <row r="133" spans="2:14" ht="4.5" customHeight="1" x14ac:dyDescent="0.25">
      <c r="J133" s="9"/>
      <c r="K133" s="9"/>
      <c r="L133" s="9"/>
      <c r="M133" s="9"/>
      <c r="N133" s="10"/>
    </row>
    <row r="134" spans="2:14" x14ac:dyDescent="0.25">
      <c r="B134" t="s">
        <v>80</v>
      </c>
      <c r="J134" s="12" t="s">
        <v>188</v>
      </c>
      <c r="L134" s="15" t="e" cm="1">
        <f t="array" aca="1" ref="L134" ca="1">_xll.DBRW($C$10,$B134,$C$11)</f>
        <v>#NAME?</v>
      </c>
      <c r="N134" s="17" t="s">
        <v>185</v>
      </c>
    </row>
    <row r="135" spans="2:14" x14ac:dyDescent="0.25">
      <c r="B135" t="s">
        <v>81</v>
      </c>
      <c r="J135" s="12" t="s">
        <v>189</v>
      </c>
      <c r="L135" s="15" t="e" cm="1">
        <f t="array" aca="1" ref="L135" ca="1">_xll.DBRW($C$10,$B135,$C$11)</f>
        <v>#NAME?</v>
      </c>
      <c r="N135" s="17" t="s">
        <v>186</v>
      </c>
    </row>
  </sheetData>
  <sheetProtection sheet="1" objects="1" scenarios="1"/>
  <mergeCells count="13">
    <mergeCell ref="J120:N120"/>
    <mergeCell ref="J132:N132"/>
    <mergeCell ref="J61:N61"/>
    <mergeCell ref="J92:N92"/>
    <mergeCell ref="J105:N105"/>
    <mergeCell ref="J81:N81"/>
    <mergeCell ref="B1:D1"/>
    <mergeCell ref="B9:D9"/>
    <mergeCell ref="B22:D22"/>
    <mergeCell ref="B30:D30"/>
    <mergeCell ref="J57:N57"/>
    <mergeCell ref="J56:N56"/>
    <mergeCell ref="J55:N55"/>
  </mergeCells>
  <pageMargins left="0.70866141732283472" right="0.70866141732283472" top="0.74803149606299213" bottom="0.74803149606299213" header="0.31496062992125984" footer="0.31496062992125984"/>
  <pageSetup paperSize="9" scale="48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autoPict="0" r:id="rId5">
            <anchor moveWithCells="1" sizeWithCells="1">
              <from>
                <xdr:col>13</xdr:col>
                <xdr:colOff>5076825</xdr:colOff>
                <xdr:row>50</xdr:row>
                <xdr:rowOff>28575</xdr:rowOff>
              </from>
              <to>
                <xdr:col>13</xdr:col>
                <xdr:colOff>5467350</xdr:colOff>
                <xdr:row>51</xdr:row>
                <xdr:rowOff>304800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3">
          <controlPr defaultSize="0" print="0" autoLine="0" r:id="rId7">
            <anchor moveWithCells="1" sizeWithCells="1">
              <from>
                <xdr:col>11</xdr:col>
                <xdr:colOff>942975</xdr:colOff>
                <xdr:row>51</xdr:row>
                <xdr:rowOff>28575</xdr:rowOff>
              </from>
              <to>
                <xdr:col>11</xdr:col>
                <xdr:colOff>3057525</xdr:colOff>
                <xdr:row>51</xdr:row>
                <xdr:rowOff>276225</xdr:rowOff>
              </to>
            </anchor>
          </controlPr>
        </control>
      </mc:Choice>
      <mc:Fallback>
        <control shapeId="1028" r:id="rId6" name="TIButton3"/>
      </mc:Fallback>
    </mc:AlternateContent>
    <mc:AlternateContent xmlns:mc="http://schemas.openxmlformats.org/markup-compatibility/2006">
      <mc:Choice Requires="x14">
        <control shapeId="1027" r:id="rId8" name="TIButton4">
          <controlPr defaultSize="0" print="0" autoLine="0" r:id="rId9">
            <anchor moveWithCells="1" sizeWithCells="1">
              <from>
                <xdr:col>11</xdr:col>
                <xdr:colOff>3076575</xdr:colOff>
                <xdr:row>51</xdr:row>
                <xdr:rowOff>28575</xdr:rowOff>
              </from>
              <to>
                <xdr:col>11</xdr:col>
                <xdr:colOff>3857625</xdr:colOff>
                <xdr:row>51</xdr:row>
                <xdr:rowOff>276225</xdr:rowOff>
              </to>
            </anchor>
          </controlPr>
        </control>
      </mc:Choice>
      <mc:Fallback>
        <control shapeId="1027" r:id="rId8" name="TIButton4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1866900</xdr:colOff>
                <xdr:row>51</xdr:row>
                <xdr:rowOff>28575</xdr:rowOff>
              </from>
              <to>
                <xdr:col>11</xdr:col>
                <xdr:colOff>933450</xdr:colOff>
                <xdr:row>51</xdr:row>
                <xdr:rowOff>276225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57150</xdr:colOff>
                <xdr:row>51</xdr:row>
                <xdr:rowOff>28575</xdr:rowOff>
              </from>
              <to>
                <xdr:col>9</xdr:col>
                <xdr:colOff>695325</xdr:colOff>
                <xdr:row>51</xdr:row>
                <xdr:rowOff>276225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30" r:id="rId14" name="TIButton6">
          <controlPr defaultSize="0" print="0" autoLine="0" r:id="rId15">
            <anchor moveWithCells="1" sizeWithCells="1">
              <from>
                <xdr:col>9</xdr:col>
                <xdr:colOff>714375</xdr:colOff>
                <xdr:row>51</xdr:row>
                <xdr:rowOff>28575</xdr:rowOff>
              </from>
              <to>
                <xdr:col>9</xdr:col>
                <xdr:colOff>1838325</xdr:colOff>
                <xdr:row>51</xdr:row>
                <xdr:rowOff>276225</xdr:rowOff>
              </to>
            </anchor>
          </controlPr>
        </control>
      </mc:Choice>
      <mc:Fallback>
        <control shapeId="1030" r:id="rId14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80"/>
  <sheetViews>
    <sheetView workbookViewId="0"/>
  </sheetViews>
  <sheetFormatPr defaultRowHeight="15" x14ac:dyDescent="0.25"/>
  <sheetData>
    <row r="1" spans="1:1" x14ac:dyDescent="0.25">
      <c r="A1" t="s">
        <v>223</v>
      </c>
    </row>
    <row r="2" spans="1:1" x14ac:dyDescent="0.25">
      <c r="A2" t="s">
        <v>224</v>
      </c>
    </row>
    <row r="3" spans="1:1" x14ac:dyDescent="0.25">
      <c r="A3" t="s">
        <v>225</v>
      </c>
    </row>
    <row r="4" spans="1:1" x14ac:dyDescent="0.25">
      <c r="A4" t="s">
        <v>226</v>
      </c>
    </row>
    <row r="5" spans="1:1" x14ac:dyDescent="0.25">
      <c r="A5" t="s">
        <v>227</v>
      </c>
    </row>
    <row r="6" spans="1:1" x14ac:dyDescent="0.25">
      <c r="A6" t="s">
        <v>228</v>
      </c>
    </row>
    <row r="7" spans="1:1" x14ac:dyDescent="0.25">
      <c r="A7" t="s">
        <v>229</v>
      </c>
    </row>
    <row r="8" spans="1:1" x14ac:dyDescent="0.25">
      <c r="A8" t="s">
        <v>230</v>
      </c>
    </row>
    <row r="9" spans="1:1" x14ac:dyDescent="0.25">
      <c r="A9" t="s">
        <v>231</v>
      </c>
    </row>
    <row r="10" spans="1:1" x14ac:dyDescent="0.25">
      <c r="A10" t="s">
        <v>232</v>
      </c>
    </row>
    <row r="11" spans="1:1" x14ac:dyDescent="0.25">
      <c r="A11" t="s">
        <v>233</v>
      </c>
    </row>
    <row r="12" spans="1:1" x14ac:dyDescent="0.25">
      <c r="A12" t="s">
        <v>234</v>
      </c>
    </row>
    <row r="13" spans="1:1" x14ac:dyDescent="0.25">
      <c r="A13" t="s">
        <v>235</v>
      </c>
    </row>
    <row r="14" spans="1:1" x14ac:dyDescent="0.25">
      <c r="A14" t="s">
        <v>236</v>
      </c>
    </row>
    <row r="15" spans="1:1" x14ac:dyDescent="0.25">
      <c r="A15" t="s">
        <v>237</v>
      </c>
    </row>
    <row r="16" spans="1:1" x14ac:dyDescent="0.25">
      <c r="A16" t="s">
        <v>238</v>
      </c>
    </row>
    <row r="17" spans="1:1" x14ac:dyDescent="0.25">
      <c r="A17" t="s">
        <v>239</v>
      </c>
    </row>
    <row r="18" spans="1:1" x14ac:dyDescent="0.25">
      <c r="A18" t="s">
        <v>240</v>
      </c>
    </row>
    <row r="19" spans="1:1" x14ac:dyDescent="0.25">
      <c r="A19" t="s">
        <v>241</v>
      </c>
    </row>
    <row r="20" spans="1:1" x14ac:dyDescent="0.25">
      <c r="A20" t="s">
        <v>242</v>
      </c>
    </row>
    <row r="21" spans="1:1" x14ac:dyDescent="0.25">
      <c r="A21" t="s">
        <v>243</v>
      </c>
    </row>
    <row r="22" spans="1:1" x14ac:dyDescent="0.25">
      <c r="A22" t="s">
        <v>244</v>
      </c>
    </row>
    <row r="23" spans="1:1" x14ac:dyDescent="0.25">
      <c r="A23" t="s">
        <v>245</v>
      </c>
    </row>
    <row r="24" spans="1:1" x14ac:dyDescent="0.25">
      <c r="A24" t="s">
        <v>246</v>
      </c>
    </row>
    <row r="25" spans="1:1" x14ac:dyDescent="0.25">
      <c r="A25" t="s">
        <v>247</v>
      </c>
    </row>
    <row r="26" spans="1:1" x14ac:dyDescent="0.25">
      <c r="A26" t="s">
        <v>248</v>
      </c>
    </row>
    <row r="27" spans="1:1" x14ac:dyDescent="0.25">
      <c r="A27" t="s">
        <v>249</v>
      </c>
    </row>
    <row r="28" spans="1:1" x14ac:dyDescent="0.25">
      <c r="A28" t="s">
        <v>250</v>
      </c>
    </row>
    <row r="29" spans="1:1" x14ac:dyDescent="0.25">
      <c r="A29" t="s">
        <v>251</v>
      </c>
    </row>
    <row r="30" spans="1:1" x14ac:dyDescent="0.25">
      <c r="A30" t="s">
        <v>252</v>
      </c>
    </row>
    <row r="31" spans="1:1" x14ac:dyDescent="0.25">
      <c r="A31" t="s">
        <v>253</v>
      </c>
    </row>
    <row r="32" spans="1:1" x14ac:dyDescent="0.25">
      <c r="A32" t="s">
        <v>254</v>
      </c>
    </row>
    <row r="33" spans="1:1" x14ac:dyDescent="0.25">
      <c r="A33" t="s">
        <v>255</v>
      </c>
    </row>
    <row r="34" spans="1:1" x14ac:dyDescent="0.25">
      <c r="A34" t="s">
        <v>256</v>
      </c>
    </row>
    <row r="35" spans="1:1" x14ac:dyDescent="0.25">
      <c r="A35" t="s">
        <v>257</v>
      </c>
    </row>
    <row r="36" spans="1:1" x14ac:dyDescent="0.25">
      <c r="A36" t="s">
        <v>258</v>
      </c>
    </row>
    <row r="37" spans="1:1" x14ac:dyDescent="0.25">
      <c r="A37" t="s">
        <v>259</v>
      </c>
    </row>
    <row r="38" spans="1:1" x14ac:dyDescent="0.25">
      <c r="A38" t="s">
        <v>260</v>
      </c>
    </row>
    <row r="39" spans="1:1" x14ac:dyDescent="0.25">
      <c r="A39" t="s">
        <v>261</v>
      </c>
    </row>
    <row r="40" spans="1:1" x14ac:dyDescent="0.25">
      <c r="A40" t="s">
        <v>262</v>
      </c>
    </row>
    <row r="41" spans="1:1" x14ac:dyDescent="0.25">
      <c r="A41" t="s">
        <v>263</v>
      </c>
    </row>
    <row r="42" spans="1:1" x14ac:dyDescent="0.25">
      <c r="A42" t="s">
        <v>264</v>
      </c>
    </row>
    <row r="43" spans="1:1" x14ac:dyDescent="0.25">
      <c r="A43" t="s">
        <v>265</v>
      </c>
    </row>
    <row r="44" spans="1:1" x14ac:dyDescent="0.25">
      <c r="A44" t="s">
        <v>266</v>
      </c>
    </row>
    <row r="45" spans="1:1" x14ac:dyDescent="0.25">
      <c r="A45" t="s">
        <v>267</v>
      </c>
    </row>
    <row r="46" spans="1:1" x14ac:dyDescent="0.25">
      <c r="A46" t="s">
        <v>268</v>
      </c>
    </row>
    <row r="47" spans="1:1" x14ac:dyDescent="0.25">
      <c r="A47" t="s">
        <v>269</v>
      </c>
    </row>
    <row r="48" spans="1:1" x14ac:dyDescent="0.25">
      <c r="A48" t="s">
        <v>270</v>
      </c>
    </row>
    <row r="49" spans="1:1" x14ac:dyDescent="0.25">
      <c r="A49" t="s">
        <v>271</v>
      </c>
    </row>
    <row r="50" spans="1:1" x14ac:dyDescent="0.25">
      <c r="A50" t="s">
        <v>272</v>
      </c>
    </row>
    <row r="51" spans="1:1" x14ac:dyDescent="0.25">
      <c r="A51" t="s">
        <v>273</v>
      </c>
    </row>
    <row r="52" spans="1:1" x14ac:dyDescent="0.25">
      <c r="A52" t="s">
        <v>274</v>
      </c>
    </row>
    <row r="53" spans="1:1" x14ac:dyDescent="0.25">
      <c r="A53" t="s">
        <v>275</v>
      </c>
    </row>
    <row r="54" spans="1:1" x14ac:dyDescent="0.25">
      <c r="A54" t="s">
        <v>276</v>
      </c>
    </row>
    <row r="55" spans="1:1" x14ac:dyDescent="0.25">
      <c r="A55" t="s">
        <v>277</v>
      </c>
    </row>
    <row r="56" spans="1:1" x14ac:dyDescent="0.25">
      <c r="A56" t="s">
        <v>278</v>
      </c>
    </row>
    <row r="57" spans="1:1" x14ac:dyDescent="0.25">
      <c r="A57" t="s">
        <v>279</v>
      </c>
    </row>
    <row r="58" spans="1:1" x14ac:dyDescent="0.25">
      <c r="A58" t="s">
        <v>280</v>
      </c>
    </row>
    <row r="59" spans="1:1" x14ac:dyDescent="0.25">
      <c r="A59" t="s">
        <v>281</v>
      </c>
    </row>
    <row r="60" spans="1:1" x14ac:dyDescent="0.25">
      <c r="A60" t="s">
        <v>282</v>
      </c>
    </row>
    <row r="61" spans="1:1" x14ac:dyDescent="0.25">
      <c r="A61" t="s">
        <v>283</v>
      </c>
    </row>
    <row r="62" spans="1:1" x14ac:dyDescent="0.25">
      <c r="A62" t="s">
        <v>284</v>
      </c>
    </row>
    <row r="63" spans="1:1" x14ac:dyDescent="0.25">
      <c r="A63" t="s">
        <v>285</v>
      </c>
    </row>
    <row r="64" spans="1:1" x14ac:dyDescent="0.25">
      <c r="A64" t="s">
        <v>286</v>
      </c>
    </row>
    <row r="65" spans="1:1" x14ac:dyDescent="0.25">
      <c r="A65" t="s">
        <v>287</v>
      </c>
    </row>
    <row r="66" spans="1:1" x14ac:dyDescent="0.25">
      <c r="A66" t="s">
        <v>288</v>
      </c>
    </row>
    <row r="67" spans="1:1" x14ac:dyDescent="0.25">
      <c r="A67" t="s">
        <v>289</v>
      </c>
    </row>
    <row r="68" spans="1:1" x14ac:dyDescent="0.25">
      <c r="A68" t="s">
        <v>290</v>
      </c>
    </row>
    <row r="69" spans="1:1" x14ac:dyDescent="0.25">
      <c r="A69" t="s">
        <v>291</v>
      </c>
    </row>
    <row r="70" spans="1:1" x14ac:dyDescent="0.25">
      <c r="A70" t="s">
        <v>292</v>
      </c>
    </row>
    <row r="71" spans="1:1" x14ac:dyDescent="0.25">
      <c r="A71" t="s">
        <v>293</v>
      </c>
    </row>
    <row r="72" spans="1:1" x14ac:dyDescent="0.25">
      <c r="A72" t="s">
        <v>294</v>
      </c>
    </row>
    <row r="73" spans="1:1" x14ac:dyDescent="0.25">
      <c r="A73" t="s">
        <v>295</v>
      </c>
    </row>
    <row r="74" spans="1:1" x14ac:dyDescent="0.25">
      <c r="A74" t="s">
        <v>296</v>
      </c>
    </row>
    <row r="75" spans="1:1" x14ac:dyDescent="0.25">
      <c r="A75" t="s">
        <v>297</v>
      </c>
    </row>
    <row r="76" spans="1:1" x14ac:dyDescent="0.25">
      <c r="A76" t="s">
        <v>298</v>
      </c>
    </row>
    <row r="77" spans="1:1" x14ac:dyDescent="0.25">
      <c r="A77" t="s">
        <v>299</v>
      </c>
    </row>
    <row r="78" spans="1:1" x14ac:dyDescent="0.25">
      <c r="A78" t="s">
        <v>300</v>
      </c>
    </row>
    <row r="79" spans="1:1" x14ac:dyDescent="0.25">
      <c r="A79" t="s">
        <v>301</v>
      </c>
    </row>
    <row r="80" spans="1:1" x14ac:dyDescent="0.25">
      <c r="A80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37</vt:i4>
      </vt:variant>
    </vt:vector>
  </HeadingPairs>
  <TitlesOfParts>
    <vt:vector size="39" baseType="lpstr">
      <vt:lpstr>variables</vt:lpstr>
      <vt:lpstr>{PL}PickLst</vt:lpstr>
      <vt:lpstr>db_name</vt:lpstr>
      <vt:lpstr>psApp</vt:lpstr>
      <vt:lpstr>psUser</vt:lpstr>
      <vt:lpstr>TM1FFExtractCAP</vt:lpstr>
      <vt:lpstr>TM1FFExtractWB</vt:lpstr>
      <vt:lpstr>TM1FFExtractWS</vt:lpstr>
      <vt:lpstr>TM1FFSetSaveLocCAP</vt:lpstr>
      <vt:lpstr>TM1FFSetSaveLocWB</vt:lpstr>
      <vt:lpstr>TM1FFSetSaveLocWS</vt:lpstr>
      <vt:lpstr>TM1HomeAdminCAP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TM1PICKLIST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2019-08-29T12:39:39Z</cp:lastPrinted>
  <dcterms:created xsi:type="dcterms:W3CDTF">2019-08-29T08:51:24Z</dcterms:created>
  <dcterms:modified xsi:type="dcterms:W3CDTF">2025-08-05T04:53:26Z</dcterms:modified>
</cp:coreProperties>
</file>