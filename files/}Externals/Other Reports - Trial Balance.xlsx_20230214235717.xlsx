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rod\DCCEEW_GEUS\Templates\"/>
    </mc:Choice>
  </mc:AlternateContent>
  <bookViews>
    <workbookView xWindow="0" yWindow="0" windowWidth="18105" windowHeight="8055"/>
  </bookViews>
  <sheets>
    <sheet name="TBAL" sheetId="1" r:id="rId1"/>
  </sheets>
  <definedNames>
    <definedName name="db_name">TBAL!$C$12</definedName>
    <definedName name="psApp">TBAL!$C$29</definedName>
    <definedName name="psHLYear">TBAL!$N$68</definedName>
    <definedName name="psScenario">TBAL!$N$69</definedName>
    <definedName name="psUser">TBAL!$C$14</definedName>
    <definedName name="TM1HomeAdminCAP">TBAL!$D$34</definedName>
    <definedName name="TM1HomeAdminWB">TBAL!$F$34</definedName>
    <definedName name="TM1HomeAdminWS">TBAL!$H$34</definedName>
    <definedName name="TM1HomeAECAP">TBAL!$D$32</definedName>
    <definedName name="TM1HomeAEWB">TBAL!$F$32</definedName>
    <definedName name="TM1HomeAEWS">TBAL!$H$32</definedName>
    <definedName name="TM1HomeCAP">TBAL!$D$31</definedName>
    <definedName name="TM1HomeRepAnalyticalCAP">TBAL!$D$36</definedName>
    <definedName name="TM1HomeRepAnalyticalWB">TBAL!$F$36</definedName>
    <definedName name="TM1HomeRepAnalyticalWS">TBAL!$H$36</definedName>
    <definedName name="TM1HomeRepCAP">TBAL!$D$33</definedName>
    <definedName name="TM1HomeRepOtherCAP">TBAL!$D$35</definedName>
    <definedName name="TM1HomeRepOtherWB">TBAL!$F$35</definedName>
    <definedName name="TM1HomeRepOtherWS">TBAL!$H$35</definedName>
    <definedName name="TM1HomeRepWB">TBAL!$F$33</definedName>
    <definedName name="TM1HomeRepWS">TBAL!$H$33</definedName>
    <definedName name="TM1HomeWB">TBAL!$F$31</definedName>
    <definedName name="TM1HomeWS">TBAL!$H$31</definedName>
    <definedName name="TM1OthRprTBalAccCAP">TBAL!$D$38</definedName>
    <definedName name="TM1OthRprTBalAccWB">TBAL!$F$38</definedName>
    <definedName name="TM1OthRprTBalAccWS">TBAL!$H$38</definedName>
    <definedName name="TM1OthRprTBalCAP">TBAL!$D$37</definedName>
    <definedName name="TM1OthRprTBalDetailCAP">TBAL!$D$39</definedName>
    <definedName name="TM1OthRprTBalDetailWB">TBAL!$F$39</definedName>
    <definedName name="TM1OthRprTBalDetailWS">TBAL!$H$39</definedName>
    <definedName name="TM1OthRprTBalDrillCAP">TBAL!$D$40</definedName>
    <definedName name="TM1OthRprTBalDrillWB">TBAL!$F$40</definedName>
    <definedName name="TM1OthRprTBalDrillWS">TBAL!$H$40</definedName>
    <definedName name="TM1OthRprTBalWB">TBAL!$F$37</definedName>
    <definedName name="TM1OthRprTBalWS">TBAL!$H$37</definedName>
    <definedName name="TM1REBUILDOPTION">0</definedName>
    <definedName name="TM1RPTDATARNG6" localSheetId="0">TBAL!$80:$80</definedName>
    <definedName name="TM1RPTFMTIDCOL" localSheetId="0">TBAL!$A$1:$A$8</definedName>
    <definedName name="TM1RPTFMTRNG" localSheetId="0">TBAL!$B$1:$S$8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 a="1"/>
  <c r="C45" i="1"/>
  <c r="S68" i="1" a="1"/>
  <c r="S68" i="1"/>
  <c r="N76" i="1"/>
  <c r="E52" i="1"/>
  <c r="D52" i="1"/>
  <c r="C52" i="1"/>
  <c r="F80" i="1" a="1"/>
  <c r="F80" i="1"/>
  <c r="C51" i="1"/>
  <c r="E80" i="1" a="1"/>
  <c r="E80" i="1"/>
  <c r="C50" i="1"/>
  <c r="D80" i="1" a="1"/>
  <c r="D80" i="1"/>
  <c r="C49" i="1"/>
  <c r="C80" i="1" a="1"/>
  <c r="C80" i="1"/>
  <c r="N71" i="1"/>
  <c r="E48" i="1"/>
  <c r="D48" i="1"/>
  <c r="C48" i="1"/>
  <c r="B80" i="1" a="1"/>
  <c r="B80" i="1"/>
  <c r="N75" i="1"/>
  <c r="N74" i="1"/>
  <c r="N73" i="1"/>
  <c r="N72" i="1"/>
  <c r="N70" i="1"/>
  <c r="C20" i="1" a="1"/>
  <c r="C20" i="1"/>
  <c r="C22" i="1" a="1"/>
  <c r="C22" i="1"/>
  <c r="N69" i="1"/>
  <c r="C21" i="1" a="1"/>
  <c r="C21" i="1"/>
  <c r="N68" i="1"/>
  <c r="C59" i="1" a="1"/>
  <c r="C59" i="1"/>
  <c r="C58" i="1" a="1"/>
  <c r="C58" i="1"/>
  <c r="C57" i="1" a="1"/>
  <c r="C57" i="1"/>
  <c r="C56" i="1" a="1"/>
  <c r="C56" i="1"/>
  <c r="C55" i="1" a="1"/>
  <c r="C55" i="1"/>
  <c r="C28" i="1" a="1"/>
  <c r="C28" i="1"/>
  <c r="M54" i="1"/>
  <c r="S56" i="1" a="1"/>
  <c r="S56" i="1"/>
  <c r="S79" i="1"/>
  <c r="R56" i="1" a="1"/>
  <c r="R56" i="1"/>
  <c r="R79" i="1"/>
  <c r="Q56" i="1" a="1"/>
  <c r="Q56" i="1"/>
  <c r="Q79" i="1"/>
  <c r="P56" i="1" a="1"/>
  <c r="P56" i="1"/>
  <c r="P79" i="1"/>
  <c r="O56" i="1" a="1"/>
  <c r="O56" i="1"/>
  <c r="O79" i="1"/>
  <c r="N56" i="1" a="1"/>
  <c r="N56" i="1"/>
  <c r="N79" i="1"/>
  <c r="N80" i="1" a="1"/>
  <c r="N80" i="1"/>
  <c r="S80" i="1" a="1"/>
  <c r="S80" i="1"/>
  <c r="R80" i="1" a="1"/>
  <c r="R80" i="1"/>
  <c r="Q80" i="1" a="1"/>
  <c r="Q80" i="1"/>
  <c r="P80" i="1" a="1"/>
  <c r="P80" i="1"/>
  <c r="O80" i="1" a="1"/>
  <c r="O80" i="1"/>
  <c r="A80" i="1" a="1"/>
  <c r="A80" i="1"/>
  <c r="C46" i="1" a="1"/>
  <c r="C46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S82" i="1"/>
  <c r="S76" i="1"/>
  <c r="L80" i="1"/>
  <c r="M80" i="1"/>
  <c r="K80" i="1"/>
  <c r="J80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<sst xmlns="http://schemas.openxmlformats.org/spreadsheetml/2006/main" count="91" uniqueCount="83">
  <si>
    <t>headline year</t>
  </si>
  <si>
    <t>related entity</t>
  </si>
  <si>
    <t>function</t>
  </si>
  <si>
    <t>spp</t>
  </si>
  <si>
    <t>id</t>
  </si>
  <si>
    <t>jurisdiction</t>
  </si>
  <si>
    <t>D</t>
  </si>
  <si>
    <t>N</t>
  </si>
  <si>
    <t>[Begin Format Range]</t>
  </si>
  <si>
    <t>[End Format Range]</t>
  </si>
  <si>
    <t>Account</t>
  </si>
  <si>
    <t>Movement Account</t>
  </si>
  <si>
    <t>Measure Code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</si>
  <si>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</si>
  <si>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</si>
  <si>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</si>
  <si>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</si>
  <si>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</si>
  <si>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</si>
  <si>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</si>
  <si>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</si>
  <si>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</si>
  <si>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</si>
  <si>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</si>
  <si>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</si>
  <si>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</si>
  <si>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</si>
  <si>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</si>
  <si>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</si>
  <si>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</si>
  <si>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</si>
  <si>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</si>
  <si>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</si>
  <si>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</si>
  <si>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</si>
  <si>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</si>
  <si>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</si>
  <si>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</si>
  <si>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</si>
  <si>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Application Formula (DO NOT DELETE)</t>
  </si>
  <si>
    <t>=DBR($C$28,$B35,C$30)</t>
  </si>
  <si>
    <t>Active Form</t>
  </si>
  <si>
    <t>Slice</t>
  </si>
  <si>
    <t>Account MDX</t>
  </si>
  <si>
    <t>Movement Account MDX</t>
  </si>
  <si>
    <t>Measure Code MDX</t>
  </si>
  <si>
    <t>To Use</t>
  </si>
  <si>
    <t>Collapse</t>
  </si>
  <si>
    <t>Expand</t>
  </si>
  <si>
    <t>{TM1SORT( {TM1FILTERBYLEVEL( {TM1SUBSETALL( [account] )}, 0)}, ASC)}</t>
  </si>
  <si>
    <t>{[movement account].[Total movement]}</t>
  </si>
  <si>
    <t>{TM1SORT( {TM1FILTERBYLEVEL( {TM1SUBSETALL( [movement account] )}, 0)}, ASC)}</t>
  </si>
  <si>
    <t>Headline Year :</t>
  </si>
  <si>
    <t>Scenario :</t>
  </si>
  <si>
    <t>Status :</t>
  </si>
  <si>
    <t>Outcome :</t>
  </si>
  <si>
    <t>Reason :</t>
  </si>
  <si>
    <t>Appropriation Type :</t>
  </si>
  <si>
    <t>Appropriation Item :</t>
  </si>
  <si>
    <t>Measure Code :</t>
  </si>
  <si>
    <t>AE Adjustments</t>
  </si>
  <si>
    <t>AE Adjustments - Header Titles</t>
  </si>
  <si>
    <t>Related Entity</t>
  </si>
  <si>
    <t>{[related entity].[Total related entity]}</t>
  </si>
  <si>
    <t>{TM1SORT( {TM1FILTERBYLEVEL( {TM1SUBSETALL( [related entity] )}, 0)}, ASC)}</t>
  </si>
  <si>
    <t>REPORT PARAMETERS</t>
  </si>
  <si>
    <t xml:space="preserve"> DISPLAY SETTINGS</t>
  </si>
  <si>
    <t>Report Display :</t>
  </si>
  <si>
    <t>Index Change</t>
  </si>
  <si>
    <t>Trial Balance Report</t>
  </si>
  <si>
    <t>Homepage - Reports - Other</t>
  </si>
  <si>
    <t>Other Reports - Trial Balance</t>
  </si>
  <si>
    <t>Other Reports - Trial Balance Detail</t>
  </si>
  <si>
    <t>Other Reports - Trial Balance Drill</t>
  </si>
  <si>
    <t>Note : Click along these columns to drill</t>
  </si>
  <si>
    <t>As at</t>
  </si>
  <si>
    <t>Other Reports - Trial Balance Acc By Prog</t>
  </si>
  <si>
    <t>Period</t>
  </si>
  <si>
    <t>Homepage - Reports - Analytical</t>
  </si>
  <si>
    <t>programmeme  MDX</t>
  </si>
  <si>
    <t>programmeme</t>
  </si>
  <si>
    <t>Program :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</si>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</sst>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+ &quot;@"/>
    <numFmt numFmtId="165" formatCode="_(* #,##0_);[Red]_(* \(#,##0\);_(* &quot;-&quot;??_);_(@_)"/>
    <numFmt numFmtId="166" formatCode="dd\ mmmm\ yyyy\ h:mm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3" borderId="5" xfId="0" applyFill="1" applyBorder="1"/>
    <xf numFmtId="0" fontId="0" fillId="3" borderId="5" xfId="0" quotePrefix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0" fontId="2" fillId="4" borderId="5" xfId="0" applyFont="1" applyFill="1" applyBorder="1" applyAlignment="1">
      <alignment horizontal="center"/>
    </xf>
    <xf numFmtId="165" fontId="3" fillId="0" borderId="5" xfId="0" applyNumberFormat="1" applyFont="1" applyBorder="1"/>
    <xf numFmtId="0" fontId="3" fillId="0" borderId="5" xfId="0" applyFont="1" applyBorder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49" fontId="0" fillId="0" borderId="0" xfId="0" applyNumberFormat="1"/>
    <xf numFmtId="0" fontId="1" fillId="5" borderId="0" xfId="0" applyFont="1" applyFill="1" applyAlignment="1">
      <alignment horizontal="center" vertical="center"/>
    </xf>
    <xf numFmtId="0" fontId="0" fillId="7" borderId="8" xfId="0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>
      <alignment horizontal="right" vertical="center"/>
    </xf>
    <xf numFmtId="164" fontId="0" fillId="0" borderId="0" xfId="0" applyNumberFormat="1"/>
    <xf numFmtId="166" fontId="2" fillId="0" borderId="0" xfId="0" applyNumberFormat="1" applyFont="1" applyAlignment="1">
      <alignment horizontal="left" indent="1"/>
    </xf>
    <xf numFmtId="0" fontId="0" fillId="0" borderId="5" xfId="0" applyBorder="1" applyAlignment="1" applyProtection="1">
      <alignment horizontal="left" indent="1"/>
      <protection locked="0"/>
    </xf>
    <xf numFmtId="0" fontId="4" fillId="0" borderId="5" xfId="0" applyFont="1" applyBorder="1" applyAlignment="1" applyProtection="1">
      <alignment horizontal="left" indent="1"/>
      <protection locked="0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5.emf"/><Relationship Id="rId7" Type="http://schemas.openxmlformats.org/officeDocument/2006/relationships/image" Target="../media/image2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61</xdr:row>
      <xdr:rowOff>19050</xdr:rowOff>
    </xdr:from>
    <xdr:to>
      <xdr:col>9</xdr:col>
      <xdr:colOff>1769745</xdr:colOff>
      <xdr:row>61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62</xdr:row>
          <xdr:rowOff>47625</xdr:rowOff>
        </xdr:from>
        <xdr:to>
          <xdr:col>9</xdr:col>
          <xdr:colOff>666750</xdr:colOff>
          <xdr:row>63</xdr:row>
          <xdr:rowOff>238125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62</xdr:row>
          <xdr:rowOff>47625</xdr:rowOff>
        </xdr:from>
        <xdr:to>
          <xdr:col>9</xdr:col>
          <xdr:colOff>1524000</xdr:colOff>
          <xdr:row>63</xdr:row>
          <xdr:rowOff>238125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1562100</xdr:colOff>
          <xdr:row>62</xdr:row>
          <xdr:rowOff>47625</xdr:rowOff>
        </xdr:from>
        <xdr:to>
          <xdr:col>10</xdr:col>
          <xdr:colOff>200025</xdr:colOff>
          <xdr:row>63</xdr:row>
          <xdr:rowOff>238125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247650</xdr:colOff>
          <xdr:row>62</xdr:row>
          <xdr:rowOff>47625</xdr:rowOff>
        </xdr:from>
        <xdr:to>
          <xdr:col>12</xdr:col>
          <xdr:colOff>1028700</xdr:colOff>
          <xdr:row>63</xdr:row>
          <xdr:rowOff>238125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390525</xdr:colOff>
          <xdr:row>62</xdr:row>
          <xdr:rowOff>47625</xdr:rowOff>
        </xdr:from>
        <xdr:to>
          <xdr:col>12</xdr:col>
          <xdr:colOff>219075</xdr:colOff>
          <xdr:row>63</xdr:row>
          <xdr:rowOff>238125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533400</xdr:colOff>
          <xdr:row>62</xdr:row>
          <xdr:rowOff>19050</xdr:rowOff>
        </xdr:from>
        <xdr:to>
          <xdr:col>19</xdr:col>
          <xdr:colOff>0</xdr:colOff>
          <xdr:row>63</xdr:row>
          <xdr:rowOff>276225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1809750</xdr:colOff>
          <xdr:row>62</xdr:row>
          <xdr:rowOff>47625</xdr:rowOff>
        </xdr:from>
        <xdr:to>
          <xdr:col>11</xdr:col>
          <xdr:colOff>352425</xdr:colOff>
          <xdr:row>63</xdr:row>
          <xdr:rowOff>238125</xdr:rowOff>
        </xdr:to>
        <xdr:sp macro="" textlink="">
          <xdr:nvSpPr>
            <xdr:cNvPr id="1032" name="TIButton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228600</xdr:colOff>
          <xdr:row>62</xdr:row>
          <xdr:rowOff>47625</xdr:rowOff>
        </xdr:from>
        <xdr:to>
          <xdr:col>10</xdr:col>
          <xdr:colOff>1781175</xdr:colOff>
          <xdr:row>63</xdr:row>
          <xdr:rowOff>238125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T82"/>
  <sheetViews>
    <sheetView showGridLines="0" tabSelected="1" showOutlineSymbols="0" topLeftCell="J62" workbookViewId="0">
      <pane ySplit="18" topLeftCell="A80" activePane="bottomLeft" state="frozen"/>
      <selection activeCell="I62" sqref="I62"/>
      <selection pane="bottomLeft" activeCell="K62" sqref="K62"/>
    </sheetView>
  </sheetViews>
  <sheetFormatPr defaultRowHeight="15" outlineLevelRow="1" outlineLevelCol="1" x14ac:dyDescent="0.25"/>
  <cols>
    <col min="1" max="1" width="2.7109375" hidden="1" customWidth="1" outlineLevel="1"/>
    <col min="2" max="2" width="58.42578125" hidden="1" customWidth="1" outlineLevel="1"/>
    <col min="3" max="3" width="24.5703125" hidden="1" customWidth="1" outlineLevel="1"/>
    <col min="4" max="4" width="17.28515625" hidden="1" customWidth="1" outlineLevel="1"/>
    <col min="5" max="5" width="16" hidden="1" customWidth="1" outlineLevel="1"/>
    <col min="6" max="6" width="93.42578125" hidden="1" customWidth="1" outlineLevel="1"/>
    <col min="7" max="8" width="16" hidden="1" customWidth="1" outlineLevel="1"/>
    <col min="9" max="9" width="0.85546875" customWidth="1" collapsed="1"/>
    <col min="10" max="11" width="40.7109375" customWidth="1"/>
    <col min="12" max="12" width="20.7109375" customWidth="1"/>
    <col min="13" max="13" width="40.7109375" customWidth="1"/>
    <col min="14" max="19" width="12.7109375" customWidth="1"/>
    <col min="20" max="20" width="16.42578125" customWidth="1"/>
  </cols>
  <sheetData>
    <row r="1" spans="1:19" hidden="1" outlineLevel="1" x14ac:dyDescent="0.25">
      <c r="A1" t="s">
        <v>8</v>
      </c>
    </row>
    <row r="2" spans="1:19" hidden="1" outlineLevel="1" x14ac:dyDescent="0.25">
      <c r="A2">
        <f>0</f>
        <v>0</v>
      </c>
      <c r="B2" s="14"/>
      <c r="J2" s="13"/>
      <c r="K2" s="13"/>
      <c r="L2" s="13"/>
      <c r="M2" s="13"/>
      <c r="N2" s="12"/>
      <c r="O2" s="12"/>
      <c r="P2" s="12"/>
      <c r="Q2" s="12"/>
      <c r="R2" s="12"/>
      <c r="S2" s="12"/>
    </row>
    <row r="3" spans="1:19" hidden="1" outlineLevel="1" x14ac:dyDescent="0.25">
      <c r="A3">
        <f>1</f>
        <v>1</v>
      </c>
      <c r="B3" s="15"/>
      <c r="J3" s="13"/>
      <c r="K3" s="13"/>
      <c r="L3" s="13"/>
      <c r="M3" s="13"/>
      <c r="N3" s="12"/>
      <c r="O3" s="12"/>
      <c r="P3" s="12"/>
      <c r="Q3" s="12"/>
      <c r="R3" s="12"/>
      <c r="S3" s="12"/>
    </row>
    <row r="4" spans="1:19" hidden="1" outlineLevel="1" x14ac:dyDescent="0.25">
      <c r="A4">
        <f>2</f>
        <v>2</v>
      </c>
      <c r="B4" s="15"/>
      <c r="J4" s="13"/>
      <c r="K4" s="13"/>
      <c r="L4" s="13"/>
      <c r="M4" s="13"/>
      <c r="N4" s="12"/>
      <c r="O4" s="12"/>
      <c r="P4" s="12"/>
      <c r="Q4" s="12"/>
      <c r="R4" s="12"/>
      <c r="S4" s="12"/>
    </row>
    <row r="5" spans="1:19" hidden="1" outlineLevel="1" x14ac:dyDescent="0.25">
      <c r="A5">
        <f>3</f>
        <v>3</v>
      </c>
      <c r="B5" s="15"/>
      <c r="J5" s="13"/>
      <c r="K5" s="13"/>
      <c r="L5" s="13"/>
      <c r="M5" s="13"/>
      <c r="N5" s="12"/>
      <c r="O5" s="12"/>
      <c r="P5" s="12"/>
      <c r="Q5" s="12"/>
      <c r="R5" s="12"/>
      <c r="S5" s="12"/>
    </row>
    <row r="6" spans="1:19" hidden="1" outlineLevel="1" x14ac:dyDescent="0.25">
      <c r="A6" t="s">
        <v>6</v>
      </c>
      <c r="B6" s="15"/>
      <c r="J6" s="13"/>
      <c r="K6" s="13"/>
      <c r="L6" s="13"/>
      <c r="M6" s="13"/>
      <c r="N6" s="12"/>
      <c r="O6" s="12"/>
      <c r="P6" s="12"/>
      <c r="Q6" s="12"/>
      <c r="R6" s="12"/>
      <c r="S6" s="12"/>
    </row>
    <row r="7" spans="1:19" hidden="1" outlineLevel="1" x14ac:dyDescent="0.25">
      <c r="A7" t="s">
        <v>7</v>
      </c>
      <c r="B7" s="15"/>
      <c r="J7" s="13"/>
      <c r="K7" s="13"/>
      <c r="L7" s="13"/>
      <c r="M7" s="13"/>
      <c r="N7" s="12"/>
      <c r="O7" s="12"/>
      <c r="P7" s="12"/>
      <c r="Q7" s="12"/>
      <c r="R7" s="12"/>
      <c r="S7" s="12"/>
    </row>
    <row r="8" spans="1:19" hidden="1" outlineLevel="1" x14ac:dyDescent="0.25">
      <c r="A8" t="s">
        <v>9</v>
      </c>
    </row>
    <row r="9" spans="1:19" hidden="1" outlineLevel="1" x14ac:dyDescent="0.25"/>
    <row r="10" spans="1:19" hidden="1" outlineLevel="1" x14ac:dyDescent="0.25"/>
    <row r="11" spans="1:19" hidden="1" outlineLevel="1" x14ac:dyDescent="0.25">
      <c r="B11" s="28" t="s">
        <v>13</v>
      </c>
      <c r="C11" s="29"/>
      <c r="D11" s="30"/>
    </row>
    <row r="12" spans="1:19" hidden="1" outlineLevel="1" x14ac:dyDescent="0.25">
      <c r="B12" s="2" t="s">
        <v>14</v>
      </c>
      <c r="C12" s="3" t="s">
        <v>82</v>
      </c>
      <c r="D12" s="4"/>
    </row>
    <row r="13" spans="1:19" hidden="1" outlineLevel="1" x14ac:dyDescent="0.25">
      <c r="B13" s="2" t="s">
        <v>15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19" hidden="1" outlineLevel="1" x14ac:dyDescent="0.25">
      <c r="B14" s="2" t="s">
        <v>16</v>
      </c>
      <c r="C14" s="3" t="str" cm="1">
        <f t="array" aca="1" ref="C14" ca="1">_xll.TM1USER(db_name)</f>
        <v>CAMID("pans:u:kgimena@excelerated.com.au")</v>
      </c>
      <c r="D14" s="4"/>
    </row>
    <row r="15" spans="1:19" hidden="1" outlineLevel="1" x14ac:dyDescent="0.25">
      <c r="B15" s="2" t="s">
        <v>17</v>
      </c>
      <c r="C15" s="3" t="str" cm="1">
        <f t="array" aca="1" ref="C15" ca="1">_xll.DBR($C$13,$C$14,$B15)</f>
        <v>Business Analytics/Khristian Gimena</v>
      </c>
      <c r="D15" s="4"/>
    </row>
    <row r="16" spans="1:19" hidden="1" outlineLevel="1" x14ac:dyDescent="0.25">
      <c r="B16" s="2" t="s">
        <v>18</v>
      </c>
      <c r="C16" s="3" t="str" cm="1">
        <f t="array" aca="1" ref="C16" ca="1">_xll.DBR($C$13,$C$14,$B16)</f>
        <v>Khristian Gimena</v>
      </c>
      <c r="D16" s="4"/>
    </row>
    <row r="17" spans="2:8" hidden="1" outlineLevel="1" x14ac:dyDescent="0.25">
      <c r="B17" s="2" t="s">
        <v>19</v>
      </c>
      <c r="C17" s="3" t="str">
        <f ca="1">IF(LEFT($C$15,6)="CAM_AD",$C$16,$C$15)</f>
        <v>Business Analytics/Khristian Gimena</v>
      </c>
      <c r="D17" s="6"/>
    </row>
    <row r="18" spans="2:8" hidden="1" outlineLevel="1" x14ac:dyDescent="0.25"/>
    <row r="19" spans="2:8" hidden="1" outlineLevel="1" x14ac:dyDescent="0.25">
      <c r="B19" s="28" t="s">
        <v>20</v>
      </c>
      <c r="C19" s="29"/>
      <c r="D19" s="30"/>
    </row>
    <row r="20" spans="2:8" hidden="1" outlineLevel="1" x14ac:dyDescent="0.25">
      <c r="B20" s="2" t="s">
        <v>21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8" hidden="1" outlineLevel="1" x14ac:dyDescent="0.25">
      <c r="B21" s="2" t="s">
        <v>0</v>
      </c>
      <c r="C21" s="6" t="str" cm="1">
        <f t="array" aca="1" ref="C21" ca="1">_xll.DBR($C$20,$B21,"value")</f>
        <v>HL2023-2024</v>
      </c>
      <c r="D21" s="6"/>
    </row>
    <row r="22" spans="2:8" hidden="1" outlineLevel="1" x14ac:dyDescent="0.25">
      <c r="B22" s="2" t="s">
        <v>22</v>
      </c>
      <c r="C22" s="6" t="str" cm="1">
        <f t="array" aca="1" ref="C22" ca="1">_xll.DBR($C$20,$B22,"value")</f>
        <v>current</v>
      </c>
      <c r="D22" s="6"/>
    </row>
    <row r="23" spans="2:8" hidden="1" outlineLevel="1" x14ac:dyDescent="0.25">
      <c r="B23" s="2" t="s">
        <v>23</v>
      </c>
      <c r="C23" s="6" t="str" cm="1">
        <f t="array" aca="1" ref="C23" ca="1">_xll.DBR($C$20,$B23,"value")</f>
        <v>HL2023-2024</v>
      </c>
      <c r="D23" s="6"/>
    </row>
    <row r="24" spans="2:8" hidden="1" outlineLevel="1" x14ac:dyDescent="0.25">
      <c r="B24" s="2" t="s">
        <v>24</v>
      </c>
      <c r="C24" s="6" t="str" cm="1">
        <f t="array" aca="1" ref="C24" ca="1">_xll.DBR($C$20,$B24,"value")</f>
        <v>MYEFO</v>
      </c>
      <c r="D24" s="6"/>
    </row>
    <row r="25" spans="2:8" hidden="1" outlineLevel="1" x14ac:dyDescent="0.25">
      <c r="B25" s="2" t="s">
        <v>25</v>
      </c>
      <c r="C25" s="6" t="str" cm="1">
        <f t="array" aca="1" ref="C25" ca="1">_xll.DBR($C$20,$B25,"value")</f>
        <v>Budget</v>
      </c>
      <c r="D25" s="6"/>
    </row>
    <row r="26" spans="2:8" hidden="1" outlineLevel="1" x14ac:dyDescent="0.25"/>
    <row r="27" spans="2:8" hidden="1" outlineLevel="1" x14ac:dyDescent="0.25">
      <c r="B27" s="28" t="s">
        <v>26</v>
      </c>
      <c r="C27" s="29"/>
      <c r="D27" s="30"/>
    </row>
    <row r="28" spans="2:8" hidden="1" outlineLevel="1" x14ac:dyDescent="0.25">
      <c r="B28" s="2" t="s">
        <v>27</v>
      </c>
      <c r="C28" s="6" t="str">
        <f t="array" aca="1" ref="C28" ca="1">_xll.VIEW("dcceew_geus:sys_application","!","!")</f>
        <v>dcceew_geus:sys_application</v>
      </c>
      <c r="D28" s="6"/>
    </row>
    <row r="29" spans="2:8" hidden="1" outlineLevel="1" x14ac:dyDescent="0.25">
      <c r="B29" s="2" t="s">
        <v>28</v>
      </c>
      <c r="C29" s="6" t="s">
        <v>71</v>
      </c>
      <c r="D29" s="6"/>
    </row>
    <row r="30" spans="2:8" hidden="1" outlineLevel="1" x14ac:dyDescent="0.25">
      <c r="B30" s="6"/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</row>
    <row r="31" spans="2:8" hidden="1" outlineLevel="1" x14ac:dyDescent="0.25">
      <c r="B31" s="6" t="s">
        <v>35</v>
      </c>
      <c r="C31" s="6" t="str" cm="1">
        <f t="array" aca="1" ref="C31" ca="1">_xll.DBR($C$28,$B31,C$30)</f>
        <v>TM1HomeCAP</v>
      </c>
      <c r="D31" s="6" t="str" cm="1">
        <f t="array" aca="1" ref="D31" ca="1">_xll.DBR($C$28,$B31,D$30)</f>
        <v>Home</v>
      </c>
      <c r="E31" s="6" t="str" cm="1">
        <f t="array" aca="1" ref="E31" ca="1">_xll.DBR($C$28,$B31,E$30)</f>
        <v>TM1HomeWB</v>
      </c>
      <c r="F31" s="6" t="str" cm="1">
        <f t="array" aca="1" ref="F31" ca="1">_xll.DBR($C$28,$B31,F$30)</f>
        <v>PRIMUS\GEUS WEB\Homepage\sys_Home.xlsx</v>
      </c>
      <c r="G31" s="6" t="str" cm="1">
        <f t="array" aca="1" ref="G31" ca="1">_xll.DBR($C$28,$B31,G$30)</f>
        <v>TM1HomeWS</v>
      </c>
      <c r="H31" s="6" t="str" cm="1">
        <f t="array" aca="1" ref="H31" ca="1">_xll.DBR($C$28,$B31,H$30)</f>
        <v>home</v>
      </c>
    </row>
    <row r="32" spans="2:8" hidden="1" outlineLevel="1" x14ac:dyDescent="0.25">
      <c r="B32" s="6" t="s">
        <v>36</v>
      </c>
      <c r="C32" s="6" t="str" cm="1">
        <f t="array" aca="1" ref="C32" ca="1">_xll.DBR($C$28,$B32,C$30)</f>
        <v>TM1HomeAECAP</v>
      </c>
      <c r="D32" s="6" t="str" cm="1">
        <f t="array" aca="1" ref="D32" ca="1">_xll.DBR($C$28,$B32,D$30)</f>
        <v>Annual Estimates</v>
      </c>
      <c r="E32" s="6" t="str" cm="1">
        <f t="array" aca="1" ref="E32" ca="1">_xll.DBR($C$28,$B32,E$30)</f>
        <v>TM1HomeAEWB</v>
      </c>
      <c r="F32" s="6" t="str" cm="1">
        <f t="array" aca="1" ref="F32" ca="1">_xll.DBR($C$28,$B32,F$30)</f>
        <v>PRIMUS\GEUS WEB\Homepage\sys_Home - Annual Estimates - Data Entry.xlsx</v>
      </c>
      <c r="G32" s="6" t="str" cm="1">
        <f t="array" aca="1" ref="G32" ca="1">_xll.DBR($C$28,$B32,G$30)</f>
        <v>TM1HomeAEWS</v>
      </c>
      <c r="H32" s="6" t="str" cm="1">
        <f t="array" aca="1" ref="H32" ca="1">_xll.DBR($C$28,$B32,H$30)</f>
        <v>Menu</v>
      </c>
    </row>
    <row r="33" spans="2:8" hidden="1" outlineLevel="1" x14ac:dyDescent="0.25">
      <c r="B33" s="6" t="s">
        <v>37</v>
      </c>
      <c r="C33" s="6" t="str" cm="1">
        <f t="array" aca="1" ref="C33" ca="1">_xll.DBR($C$28,$B33,C$30)</f>
        <v>TM1HomeRepCAP</v>
      </c>
      <c r="D33" s="6" t="str" cm="1">
        <f t="array" aca="1" ref="D33" ca="1">_xll.DBR($C$28,$B33,D$30)</f>
        <v>Reports</v>
      </c>
      <c r="E33" s="6" t="str" cm="1">
        <f t="array" aca="1" ref="E33" ca="1">_xll.DBR($C$28,$B33,E$30)</f>
        <v>TM1HomeRepWB</v>
      </c>
      <c r="F33" s="6" t="str" cm="1">
        <f t="array" aca="1" ref="F33" ca="1">_xll.DBR($C$28,$B33,F$30)</f>
        <v>PRIMUS\GEUS WEB\Homepage\sys_Home - Reports - PFS.xlsx</v>
      </c>
      <c r="G33" s="6" t="str" cm="1">
        <f t="array" aca="1" ref="G33" ca="1">_xll.DBR($C$28,$B33,G$30)</f>
        <v>TM1HomeRepWS</v>
      </c>
      <c r="H33" s="6" t="str" cm="1">
        <f t="array" aca="1" ref="H33" ca="1">_xll.DBR($C$28,$B33,H$30)</f>
        <v>Menu</v>
      </c>
    </row>
    <row r="34" spans="2:8" hidden="1" outlineLevel="1" x14ac:dyDescent="0.25">
      <c r="B34" s="6" t="s">
        <v>38</v>
      </c>
      <c r="C34" s="6" t="str" cm="1">
        <f t="array" aca="1" ref="C34" ca="1">_xll.DBR($C$28,$B34,C$30)</f>
        <v>TM1HomeAdminCAP</v>
      </c>
      <c r="D34" s="6" t="str" cm="1">
        <f t="array" aca="1" ref="D34" ca="1">_xll.DBR($C$28,$B34,D$30)</f>
        <v>Administration</v>
      </c>
      <c r="E34" s="6" t="str" cm="1">
        <f t="array" aca="1" ref="E34" ca="1">_xll.DBR($C$28,$B34,E$30)</f>
        <v>TM1HomeAdminWB</v>
      </c>
      <c r="F34" s="6" t="str" cm="1">
        <f t="array" aca="1" ref="F34" ca="1">_xll.DBR($C$28,$B34,F$30)</f>
        <v>PRIMUS\GEUS WEB\Homepage\sys_Home - Administration - GEUS Setup.xlsx</v>
      </c>
      <c r="G34" s="6" t="str" cm="1">
        <f t="array" aca="1" ref="G34" ca="1">_xll.DBR($C$28,$B34,G$30)</f>
        <v>TM1HomeAdminWS</v>
      </c>
      <c r="H34" s="6" t="str" cm="1">
        <f t="array" aca="1" ref="H34" ca="1">_xll.DBR($C$28,$B34,H$30)</f>
        <v>Menu</v>
      </c>
    </row>
    <row r="35" spans="2:8" hidden="1" outlineLevel="1" x14ac:dyDescent="0.25">
      <c r="B35" s="6" t="s">
        <v>70</v>
      </c>
      <c r="C35" s="6" t="str" cm="1">
        <f t="array" aca="1" ref="C35" ca="1">_xll.DBR($C$28,$B35,C$30)</f>
        <v>TM1HomeRepOtherCAP</v>
      </c>
      <c r="D35" s="6" t="str" cm="1">
        <f t="array" aca="1" ref="D35" ca="1">_xll.DBR($C$28,$B35,D$30)</f>
        <v>Other Reports Menu</v>
      </c>
      <c r="E35" s="6" t="str" cm="1">
        <f t="array" aca="1" ref="E35" ca="1">_xll.DBR($C$28,$B35,E$30)</f>
        <v>TM1HomeRepOtherWB</v>
      </c>
      <c r="F35" s="6" t="str" cm="1">
        <f t="array" aca="1" ref="F35" ca="1">_xll.DBR($C$28,$B35,F$30)</f>
        <v>PRIMUS\GEUS WEB\Homepage\sys_Home - Reports - Other.xlsx</v>
      </c>
      <c r="G35" s="6" t="str" cm="1">
        <f t="array" aca="1" ref="G35" ca="1">_xll.DBR($C$28,$B35,G$30)</f>
        <v>TM1HomeRepOtherWS</v>
      </c>
      <c r="H35" s="6" t="str" cm="1">
        <f t="array" aca="1" ref="H35" ca="1">_xll.DBR($C$28,$B35,H$30)</f>
        <v>Menu</v>
      </c>
    </row>
    <row r="36" spans="2:8" hidden="1" outlineLevel="1" x14ac:dyDescent="0.25">
      <c r="B36" s="6" t="s">
        <v>78</v>
      </c>
      <c r="C36" s="6" t="str" cm="1">
        <f t="array" aca="1" ref="C36" ca="1">_xll.DBR($C$28,$B36,C$30)</f>
        <v>TM1HomeRepAnalyticalCAP</v>
      </c>
      <c r="D36" s="6" t="str" cm="1">
        <f t="array" aca="1" ref="D36" ca="1">_xll.DBR($C$28,$B36,D$30)</f>
        <v>Analytical Reports Menu</v>
      </c>
      <c r="E36" s="6" t="str" cm="1">
        <f t="array" aca="1" ref="E36" ca="1">_xll.DBR($C$28,$B36,E$30)</f>
        <v>TM1HomeRepAnalyticalWB</v>
      </c>
      <c r="F36" s="6" t="str" cm="1">
        <f t="array" aca="1" ref="F36" ca="1">_xll.DBR($C$28,$B36,F$30)</f>
        <v>PRIMUS\GEUS WEB\Homepage\sys_Home - Reports - Analytical.xlsx</v>
      </c>
      <c r="G36" s="6" t="str" cm="1">
        <f t="array" aca="1" ref="G36" ca="1">_xll.DBR($C$28,$B36,G$30)</f>
        <v>TM1HomeRepAnalyticalWS</v>
      </c>
      <c r="H36" s="6" t="str" cm="1">
        <f t="array" aca="1" ref="H36" ca="1">_xll.DBR($C$28,$B36,H$30)</f>
        <v>Menu</v>
      </c>
    </row>
    <row r="37" spans="2:8" hidden="1" outlineLevel="1" x14ac:dyDescent="0.25">
      <c r="B37" s="6" t="s">
        <v>71</v>
      </c>
      <c r="C37" s="6" t="str" cm="1">
        <f t="array" aca="1" ref="C37" ca="1">_xll.DBR($C$28,$B37,C$30)</f>
        <v>TM1OthRprTBalCAP</v>
      </c>
      <c r="D37" s="6" t="str" cm="1">
        <f t="array" aca="1" ref="D37" ca="1">_xll.DBR($C$28,$B37,D$30)</f>
        <v>Trial Balance Report</v>
      </c>
      <c r="E37" s="6" t="str" cm="1">
        <f t="array" aca="1" ref="E37" ca="1">_xll.DBR($C$28,$B37,E$30)</f>
        <v>TM1OthRprTBalWB</v>
      </c>
      <c r="F37" s="6" t="str" cm="1">
        <f t="array" aca="1" ref="F37" ca="1">_xll.DBR($C$28,$B37,F$30)</f>
        <v>PRIMUS\GEUS WEB\Reports\Other Reports\Other Reports - Trial Balance.xlsx</v>
      </c>
      <c r="G37" s="6" t="str" cm="1">
        <f t="array" aca="1" ref="G37" ca="1">_xll.DBR($C$28,$B37,G$30)</f>
        <v>TM1OthRprTBalWS</v>
      </c>
      <c r="H37" s="6" t="str" cm="1">
        <f t="array" aca="1" ref="H37" ca="1">_xll.DBR($C$28,$B37,H$30)</f>
        <v>TBAL</v>
      </c>
    </row>
    <row r="38" spans="2:8" hidden="1" outlineLevel="1" x14ac:dyDescent="0.25">
      <c r="B38" s="6" t="s">
        <v>76</v>
      </c>
      <c r="C38" s="6" t="str" cm="1">
        <f t="array" aca="1" ref="C38" ca="1">_xll.DBR($C$28,$B38,C$30)</f>
        <v>TM1OthRprTBalAccCAP</v>
      </c>
      <c r="D38" s="6" t="str" cm="1">
        <f t="array" aca="1" ref="D38" ca="1">_xll.DBR($C$28,$B38,D$30)</f>
        <v/>
      </c>
      <c r="E38" s="6" t="str" cm="1">
        <f t="array" aca="1" ref="E38" ca="1">_xll.DBR($C$28,$B38,E$30)</f>
        <v>TM1OthRprTBalAccWB</v>
      </c>
      <c r="F38" s="6" t="str" cm="1">
        <f t="array" aca="1" ref="F38" ca="1">_xll.DBR($C$28,$B38,F$30)</f>
        <v>PRIMUS\GEUS WEB\Reports\Other Reports\Other Reports - Trial Balance Account By Prog.xlsx</v>
      </c>
      <c r="G38" s="6" t="str" cm="1">
        <f t="array" aca="1" ref="G38" ca="1">_xll.DBR($C$28,$B38,G$30)</f>
        <v>TM1OthRprTBalAccWS</v>
      </c>
      <c r="H38" s="6" t="str" cm="1">
        <f t="array" aca="1" ref="H38" ca="1">_xll.DBR($C$28,$B38,H$30)</f>
        <v>TBAL</v>
      </c>
    </row>
    <row r="39" spans="2:8" hidden="1" outlineLevel="1" x14ac:dyDescent="0.25">
      <c r="B39" s="6" t="s">
        <v>72</v>
      </c>
      <c r="C39" s="6" t="str" cm="1">
        <f t="array" aca="1" ref="C39" ca="1">_xll.DBR($C$28,$B39,C$30)</f>
        <v>TM1OthRprTBalDetailCAP</v>
      </c>
      <c r="D39" s="6" t="str" cm="1">
        <f t="array" aca="1" ref="D39" ca="1">_xll.DBR($C$28,$B39,D$30)</f>
        <v/>
      </c>
      <c r="E39" s="6" t="str" cm="1">
        <f t="array" aca="1" ref="E39" ca="1">_xll.DBR($C$28,$B39,E$30)</f>
        <v>TM1OthRprTBalDetailWB</v>
      </c>
      <c r="F39" s="6" t="str" cm="1">
        <f t="array" aca="1" ref="F39" ca="1">_xll.DBR($C$28,$B39,F$30)</f>
        <v>PRIMUS\GEUS WEB\Reports\Other Reports\Other Reports - Trial Balance.xlsx</v>
      </c>
      <c r="G39" s="6" t="str" cm="1">
        <f t="array" aca="1" ref="G39" ca="1">_xll.DBR($C$28,$B39,G$30)</f>
        <v>TM1OthRprTBalDetailWS</v>
      </c>
      <c r="H39" s="6" t="str" cm="1">
        <f t="array" aca="1" ref="H39" ca="1">_xll.DBR($C$28,$B39,H$30)</f>
        <v>TBAL</v>
      </c>
    </row>
    <row r="40" spans="2:8" hidden="1" outlineLevel="1" x14ac:dyDescent="0.25">
      <c r="B40" s="6" t="s">
        <v>73</v>
      </c>
      <c r="C40" s="6" t="str" cm="1">
        <f t="array" aca="1" ref="C40" ca="1">_xll.DBR($C$28,$B40,C$30)</f>
        <v>TM1OthRprTBalDrillCAP</v>
      </c>
      <c r="D40" s="6" t="str" cm="1">
        <f t="array" aca="1" ref="D40" ca="1">_xll.DBR($C$28,$B40,D$30)</f>
        <v/>
      </c>
      <c r="E40" s="6" t="str" cm="1">
        <f t="array" aca="1" ref="E40" ca="1">_xll.DBR($C$28,$B40,E$30)</f>
        <v>TM1OthRprTBalDrillWB</v>
      </c>
      <c r="F40" s="6" t="str" cm="1">
        <f t="array" aca="1" ref="F40" ca="1">_xll.DBR($C$28,$B40,F$30)</f>
        <v>PRIMUS\GEUS WEB\Reports\Other Reports\Other Reports - Trial Balance Drill Down.xlsx</v>
      </c>
      <c r="G40" s="6" t="str" cm="1">
        <f t="array" aca="1" ref="G40" ca="1">_xll.DBR($C$28,$B40,G$30)</f>
        <v>TM1OthRprTBalDrillWS</v>
      </c>
      <c r="H40" s="6" t="str" cm="1">
        <f t="array" aca="1" ref="H40" ca="1">_xll.DBR($C$28,$B40,H$30)</f>
        <v>TBAL</v>
      </c>
    </row>
    <row r="41" spans="2:8" hidden="1" outlineLevel="1" x14ac:dyDescent="0.25">
      <c r="B41" s="6"/>
      <c r="C41" s="6"/>
      <c r="D41" s="6"/>
      <c r="E41" s="6"/>
      <c r="F41" s="6"/>
      <c r="G41" s="6"/>
      <c r="H41" s="6"/>
    </row>
    <row r="42" spans="2:8" hidden="1" outlineLevel="1" x14ac:dyDescent="0.25">
      <c r="B42" s="7" t="s">
        <v>39</v>
      </c>
      <c r="C42" s="8" t="s">
        <v>40</v>
      </c>
    </row>
    <row r="43" spans="2:8" hidden="1" outlineLevel="1" x14ac:dyDescent="0.25"/>
    <row r="44" spans="2:8" hidden="1" outlineLevel="1" x14ac:dyDescent="0.25">
      <c r="B44" s="28" t="s">
        <v>60</v>
      </c>
      <c r="C44" s="29"/>
      <c r="D44" s="30"/>
    </row>
    <row r="45" spans="2:8" hidden="1" outlineLevel="1" x14ac:dyDescent="0.25">
      <c r="B45" s="6" t="s">
        <v>41</v>
      </c>
      <c r="C45" s="6" t="str">
        <f t="array" aca="1" ref="C45" ca="1">_xll.TM1RPTVIEW("dcceew_geus:AE adjustments:6", 1, _xll.TM1RPTTITLE("dcceew_geus:headline year",$N$68), _xll.TM1RPTTITLE("dcceew_geus:scenario",$N$69), _xll.TM1RPTTITLE("dcceew_geus:status",$N$70), _xll.TM1RPTTITLE("dcceew_geus:outcome",$N$72), _xll.TM1RPTTITLE("dcceew_geus:function",$C$56), _xll.TM1RPTTITLE("dcceew_geus:reason",$N$73), _xll.TM1RPTTITLE("dcceew_geus:spp",$C$57), _xll.TM1RPTTITLE("dcceew_geus:appropriation type",$N$74), _xll.TM1RPTTITLE("dcceew_geus:appropriation item",$N$75), _xll.TM1RPTTITLE("dcceew_geus:id",$C$58), _xll.TM1RPTTITLE("dcceew_geus:jurisdiction",$C$59),TM1RPTFMTRNG,TM1RPTFMTIDCOL)</f>
        <v>dcceew_geus:AE adjustments:6</v>
      </c>
      <c r="D45" s="6"/>
    </row>
    <row r="46" spans="2:8" hidden="1" outlineLevel="1" x14ac:dyDescent="0.25">
      <c r="B46" s="6" t="s">
        <v>42</v>
      </c>
      <c r="C46" s="6" t="str" cm="1">
        <f t="array" aca="1" ref="C46" ca="1">_xll.VIEW(db_name&amp;":AE adjustments",$N$68,$N$69,$N$70,$N$72,$C$55,"!",$N$73,$C$57,"!",$N$74,"!",$N$75,"!","!",$C$58,$C$59,"!")</f>
        <v>dcceew_geus:AE adjustments</v>
      </c>
      <c r="D46" s="6"/>
    </row>
    <row r="47" spans="2:8" hidden="1" outlineLevel="1" x14ac:dyDescent="0.25">
      <c r="B47" s="6"/>
      <c r="C47" s="11" t="s">
        <v>46</v>
      </c>
      <c r="D47" s="11" t="s">
        <v>47</v>
      </c>
      <c r="E47" s="11" t="s">
        <v>48</v>
      </c>
    </row>
    <row r="48" spans="2:8" hidden="1" outlineLevel="1" x14ac:dyDescent="0.25">
      <c r="B48" s="6" t="s">
        <v>79</v>
      </c>
      <c r="C48" s="6" t="str">
        <f ca="1">IF($S$68="Collapse",$D48,$E48)</f>
        <v>{[programme].[Total Programmes]}</v>
      </c>
      <c r="D48" s="6" t="str">
        <f ca="1">"{[programme].[" &amp; $N$71 &amp; "]}"</f>
        <v>{[programme].[Total Programmes]}</v>
      </c>
      <c r="E48" s="6" t="str">
        <f ca="1">"{[programme].[" &amp; $N$71 &amp; "]}"</f>
        <v>{[programme].[Total Programmes]}</v>
      </c>
    </row>
    <row r="49" spans="2:19" hidden="1" outlineLevel="1" x14ac:dyDescent="0.25">
      <c r="B49" s="6" t="s">
        <v>43</v>
      </c>
      <c r="C49" s="6" t="str">
        <f ca="1">IF($S$68="Collapse",$D49,$E49)</f>
        <v>{TM1SORT( {TM1FILTERBYLEVEL( {TM1SUBSETALL( [account] )}, 0)}, ASC)}</v>
      </c>
      <c r="D49" s="6" t="s">
        <v>49</v>
      </c>
      <c r="E49" s="6" t="s">
        <v>49</v>
      </c>
    </row>
    <row r="50" spans="2:19" hidden="1" outlineLevel="1" x14ac:dyDescent="0.25">
      <c r="B50" s="6" t="s">
        <v>44</v>
      </c>
      <c r="C50" s="6" t="str">
        <f ca="1">IF($S$68="Collapse",$D50,$E50)</f>
        <v>{[movement account].[Total movement]}</v>
      </c>
      <c r="D50" s="6" t="s">
        <v>50</v>
      </c>
      <c r="E50" s="6" t="s">
        <v>51</v>
      </c>
    </row>
    <row r="51" spans="2:19" hidden="1" outlineLevel="1" x14ac:dyDescent="0.25">
      <c r="B51" s="6" t="s">
        <v>62</v>
      </c>
      <c r="C51" s="6" t="str">
        <f ca="1">IF($S$68="Collapse",$D51,$E51)</f>
        <v>{[related entity].[Total related entity]}</v>
      </c>
      <c r="D51" s="6" t="s">
        <v>63</v>
      </c>
      <c r="E51" s="6" t="s">
        <v>64</v>
      </c>
    </row>
    <row r="52" spans="2:19" hidden="1" outlineLevel="1" x14ac:dyDescent="0.25">
      <c r="B52" s="6" t="s">
        <v>45</v>
      </c>
      <c r="C52" s="6" t="str">
        <f ca="1">IF($S$68="Collapse",$D52,$E52)</f>
        <v>{[measure code].[Total Measures - ]}</v>
      </c>
      <c r="D52" s="6" t="str">
        <f ca="1">"{[measure code].[" &amp; $N$76 &amp; "]}"</f>
        <v>{[measure code].[Total Measures - ]}</v>
      </c>
      <c r="E52" s="6" t="str">
        <f ca="1">"{TM1FILTERBYLEVEL( {TM1DRILLDOWNMEMBER( {[measure code].[" &amp; $N$76 &amp; "]}, ALL, RECURSIVE )}, 0)}"</f>
        <v>{TM1FILTERBYLEVEL( {TM1DRILLDOWNMEMBER( {[measure code].[Total Measures - ]}, ALL, RECURSIVE )}, 0)}</v>
      </c>
    </row>
    <row r="53" spans="2:19" hidden="1" outlineLevel="1" x14ac:dyDescent="0.25"/>
    <row r="54" spans="2:19" hidden="1" outlineLevel="1" x14ac:dyDescent="0.25">
      <c r="B54" s="28" t="s">
        <v>61</v>
      </c>
      <c r="C54" s="29"/>
      <c r="D54" s="30"/>
      <c r="M54" s="6" t="str">
        <f ca="1">RIGHT(psHLYear,9)</f>
        <v>2023-2024</v>
      </c>
    </row>
    <row r="55" spans="2:19" hidden="1" outlineLevel="1" x14ac:dyDescent="0.25">
      <c r="B55" s="2" t="s">
        <v>1</v>
      </c>
      <c r="C55" s="6" t="str">
        <f t="array" aca="1" ref="C55" ca="1">_xll.SUBNM("dcceew_geus:related entity","","Total related entity")</f>
        <v>Total related entity</v>
      </c>
      <c r="M55" s="6" t="s">
        <v>68</v>
      </c>
      <c r="N55" s="6">
        <v>-2</v>
      </c>
      <c r="O55" s="6">
        <v>-1</v>
      </c>
      <c r="P55" s="6">
        <v>0</v>
      </c>
      <c r="Q55" s="6">
        <v>1</v>
      </c>
      <c r="R55" s="6">
        <v>2</v>
      </c>
      <c r="S55" s="6">
        <v>3</v>
      </c>
    </row>
    <row r="56" spans="2:19" hidden="1" outlineLevel="1" x14ac:dyDescent="0.25">
      <c r="B56" s="2" t="s">
        <v>2</v>
      </c>
      <c r="C56" s="6" t="str">
        <f t="array" aca="1" ref="C56" ca="1">_xll.SUBNM("dcceew_geus:function","","Total functions")</f>
        <v>Total functions</v>
      </c>
      <c r="M56" t="s">
        <v>77</v>
      </c>
      <c r="N56" s="6" t="str" cm="1">
        <f t="array" aca="1" ref="N56" ca="1">_xll.DIMNM(db_name&amp;":period",_xll.DIMIX(db_name&amp;":period",$M$54)+N55)</f>
        <v>2021-2022</v>
      </c>
      <c r="O56" s="6" t="str" cm="1">
        <f t="array" aca="1" ref="O56" ca="1">_xll.DIMNM(db_name&amp;":period",_xll.DIMIX(db_name&amp;":period",$M$54)+O55)</f>
        <v>2022-2023</v>
      </c>
      <c r="P56" s="6" t="str" cm="1">
        <f t="array" aca="1" ref="P56" ca="1">_xll.DIMNM(db_name&amp;":period",_xll.DIMIX(db_name&amp;":period",$M$54)+P55)</f>
        <v>2023-2024</v>
      </c>
      <c r="Q56" s="6" t="str" cm="1">
        <f t="array" aca="1" ref="Q56" ca="1">_xll.DIMNM(db_name&amp;":period",_xll.DIMIX(db_name&amp;":period",$M$54)+Q55)</f>
        <v>2024-2025</v>
      </c>
      <c r="R56" s="6" t="str" cm="1">
        <f t="array" aca="1" ref="R56" ca="1">_xll.DIMNM(db_name&amp;":period",_xll.DIMIX(db_name&amp;":period",$M$54)+R55)</f>
        <v>2025-2026</v>
      </c>
      <c r="S56" s="6" t="str" cm="1">
        <f t="array" aca="1" ref="S56" ca="1">_xll.DIMNM(db_name&amp;":period",_xll.DIMIX(db_name&amp;":period",$M$54)+S55)</f>
        <v>2026-2027</v>
      </c>
    </row>
    <row r="57" spans="2:19" hidden="1" outlineLevel="1" x14ac:dyDescent="0.25">
      <c r="B57" s="2" t="s">
        <v>3</v>
      </c>
      <c r="C57" s="6" t="str">
        <f t="array" aca="1" ref="C57" ca="1">_xll.SUBNM("dcceew_geus:spp","","Total SPP")</f>
        <v>Total SPP</v>
      </c>
    </row>
    <row r="58" spans="2:19" hidden="1" outlineLevel="1" x14ac:dyDescent="0.25">
      <c r="B58" s="2" t="s">
        <v>4</v>
      </c>
      <c r="C58" s="6" t="str">
        <f t="array" aca="1" ref="C58" ca="1">_xll.SUBNM("dcceew_geus:id","","Total IDs")</f>
        <v>Total IDs</v>
      </c>
    </row>
    <row r="59" spans="2:19" hidden="1" outlineLevel="1" x14ac:dyDescent="0.25">
      <c r="B59" s="2" t="s">
        <v>5</v>
      </c>
      <c r="C59" s="6" t="str">
        <f t="array" aca="1" ref="C59" ca="1">_xll.SUBNM("dcceew_geus:jurisdiction","","Total jurisdictions")</f>
        <v>Total jurisdictions</v>
      </c>
    </row>
    <row r="60" spans="2:19" hidden="1" outlineLevel="1" x14ac:dyDescent="0.25"/>
    <row r="61" spans="2:19" hidden="1" outlineLevel="1" x14ac:dyDescent="0.25"/>
    <row r="62" spans="2:19" ht="39.75" customHeight="1" collapsed="1" x14ac:dyDescent="0.25"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 t="s">
        <v>69</v>
      </c>
    </row>
    <row r="63" spans="2:19" ht="4.5" customHeight="1" x14ac:dyDescent="0.25"/>
    <row r="64" spans="2:19" ht="24" customHeight="1" x14ac:dyDescent="0.25"/>
    <row r="65" spans="1:20" ht="1.5" customHeight="1" x14ac:dyDescent="0.25"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20" ht="4.5" customHeight="1" x14ac:dyDescent="0.25"/>
    <row r="67" spans="1:20" ht="15.75" thickBot="1" x14ac:dyDescent="0.3">
      <c r="N67" s="25" t="s">
        <v>65</v>
      </c>
      <c r="O67" s="26"/>
      <c r="R67" s="25" t="s">
        <v>66</v>
      </c>
      <c r="S67" s="26"/>
    </row>
    <row r="68" spans="1:20" ht="15.75" thickBot="1" x14ac:dyDescent="0.3">
      <c r="M68" s="10" t="s">
        <v>52</v>
      </c>
      <c r="N68" s="23" t="str">
        <f ca="1">_xll.SUBNM("dcceew_geus:headline year","",$C$21)</f>
        <v>HL2023-2024</v>
      </c>
      <c r="O68" s="23"/>
      <c r="R68" s="10" t="s">
        <v>67</v>
      </c>
      <c r="S68" s="19" t="str" cm="1">
        <f t="array" aca="1" ref="S68" ca="1">_xll.SUBNM(db_name&amp;":sys_report display","","Collapse")</f>
        <v>Collapse</v>
      </c>
    </row>
    <row r="69" spans="1:20" x14ac:dyDescent="0.25">
      <c r="M69" s="10" t="s">
        <v>53</v>
      </c>
      <c r="N69" s="23" t="str">
        <f ca="1">_xll.SUBNM("dcceew_geus:scenario","sys_BudgetRound",$C$22)</f>
        <v>current</v>
      </c>
      <c r="O69" s="23"/>
    </row>
    <row r="70" spans="1:20" x14ac:dyDescent="0.25">
      <c r="M70" s="10" t="s">
        <v>54</v>
      </c>
      <c r="N70" s="23" t="str">
        <f ca="1">_xll.SUBNM("dcceew_geus:status","","Total approved")</f>
        <v>Total approved</v>
      </c>
      <c r="O70" s="23"/>
    </row>
    <row r="71" spans="1:20" x14ac:dyDescent="0.25">
      <c r="M71" s="10" t="s">
        <v>81</v>
      </c>
      <c r="N71" s="24" t="str">
        <f ca="1">_xll.SUBNM("dcceew_geus:programme","","Total programmes","code and description")</f>
        <v>Total Programmes</v>
      </c>
      <c r="O71" s="24"/>
    </row>
    <row r="72" spans="1:20" x14ac:dyDescent="0.25">
      <c r="M72" s="10" t="s">
        <v>55</v>
      </c>
      <c r="N72" s="23" t="str">
        <f ca="1">_xll.SUBNM("dcceew_geus:outcome","","Total outcomes","code and description")</f>
        <v>Total outcomes</v>
      </c>
      <c r="O72" s="23"/>
    </row>
    <row r="73" spans="1:20" x14ac:dyDescent="0.25">
      <c r="M73" s="10" t="s">
        <v>56</v>
      </c>
      <c r="N73" s="23" t="str">
        <f ca="1">_xll.SUBNM("dcceew_geus:reason","","Total reason","CBMS code and description")</f>
        <v>Total reason</v>
      </c>
      <c r="O73" s="23"/>
    </row>
    <row r="74" spans="1:20" x14ac:dyDescent="0.25">
      <c r="M74" s="10" t="s">
        <v>57</v>
      </c>
      <c r="N74" s="23" t="str">
        <f ca="1">_xll.SUBNM("dcceew_geus:appropriation type","","Total approp types","code and description")</f>
        <v>Total approp types</v>
      </c>
      <c r="O74" s="23"/>
    </row>
    <row r="75" spans="1:20" x14ac:dyDescent="0.25">
      <c r="M75" s="10" t="s">
        <v>58</v>
      </c>
      <c r="N75" s="23" t="str">
        <f ca="1">_xll.SUBNM("dcceew_geus:appropriation item","","Total approp item","code and description")</f>
        <v>Total approp item</v>
      </c>
      <c r="O75" s="23"/>
    </row>
    <row r="76" spans="1:20" x14ac:dyDescent="0.25">
      <c r="M76" s="10" t="s">
        <v>59</v>
      </c>
      <c r="N76" s="24" t="str">
        <f ca="1">_xll.SUBNM("dcceew_geus:measure code","","Total Measures","CBMS code and description")</f>
        <v xml:space="preserve">Total Measures - </v>
      </c>
      <c r="O76" s="24"/>
      <c r="R76" s="9" t="s">
        <v>75</v>
      </c>
      <c r="S76" s="22">
        <f ca="1">NOW()</f>
        <v>45183.04714988426</v>
      </c>
      <c r="T76" s="22"/>
    </row>
    <row r="77" spans="1:20" ht="4.5" customHeight="1" x14ac:dyDescent="0.25"/>
    <row r="78" spans="1:20" x14ac:dyDescent="0.25">
      <c r="N78" s="27" t="s">
        <v>74</v>
      </c>
      <c r="O78" s="27"/>
      <c r="P78" s="27"/>
      <c r="Q78" s="27"/>
      <c r="R78" s="27"/>
      <c r="S78" s="27"/>
    </row>
    <row r="79" spans="1:20" x14ac:dyDescent="0.25">
      <c r="B79" s="1" t="s">
        <v>80</v>
      </c>
      <c r="C79" t="s">
        <v>10</v>
      </c>
      <c r="D79" t="s">
        <v>11</v>
      </c>
      <c r="E79" t="s">
        <v>62</v>
      </c>
      <c r="F79" t="s">
        <v>12</v>
      </c>
      <c r="J79" s="18" t="s">
        <v>10</v>
      </c>
      <c r="K79" s="18" t="s">
        <v>11</v>
      </c>
      <c r="L79" s="18" t="s">
        <v>62</v>
      </c>
      <c r="M79" s="18" t="s">
        <v>12</v>
      </c>
      <c r="N79" s="18" t="str">
        <f ca="1">N$56</f>
        <v>2021-2022</v>
      </c>
      <c r="O79" s="18" t="str">
        <f ca="1">O$56</f>
        <v>2022-2023</v>
      </c>
      <c r="P79" s="18" t="str">
        <f t="shared" ref="P79:S79" ca="1" si="0">P$56</f>
        <v>2023-2024</v>
      </c>
      <c r="Q79" s="18" t="str">
        <f t="shared" ca="1" si="0"/>
        <v>2024-2025</v>
      </c>
      <c r="R79" s="18" t="str">
        <f t="shared" ca="1" si="0"/>
        <v>2025-2026</v>
      </c>
      <c r="S79" s="18" t="str">
        <f t="shared" ca="1" si="0"/>
        <v>2026-2027</v>
      </c>
    </row>
    <row r="80" spans="1:20" x14ac:dyDescent="0.25">
      <c r="A80" t="str" cm="1">
        <f t="array" aca="1" ref="A80" ca="1">IF(_xll.TM1RPTELISCONSOLIDATED($C$80,$C80),IF(_xll.TM1RPTELLEV($C$80,$C80)&lt;=3,_xll.TM1RPTELLEV($C$80,$C80),"D"),"N")</f>
        <v>N</v>
      </c>
      <c r="B80" s="16" t="str">
        <f t="array" aca="1" ref="B80" ca="1">_xll.TM1RPTROW($C$45,"dcceew_geus:programme","","","code and description",0,$C$48)</f>
        <v/>
      </c>
      <c r="C80" s="17" t="str">
        <f t="array" aca="1" ref="C80" ca="1">_xll.TM1RPTROW($C$45,"dcceew_geus:account","","","code and description",0,$C$49)</f>
        <v/>
      </c>
      <c r="D80" s="21" t="str">
        <f t="array" aca="1" ref="D80" ca="1">_xll.TM1RPTROW($C$45,"dcceew_geus:movement account","","","code and description",0,$C$50)</f>
        <v/>
      </c>
      <c r="E80" s="21" t="str">
        <f t="array" aca="1" ref="E80" ca="1">_xll.TM1RPTROW($C$45,"dcceew_geus:related entity","","","code and description",0,$C$51)</f>
        <v/>
      </c>
      <c r="F80" s="21" t="str">
        <f t="array" aca="1" ref="F80" ca="1">_xll.TM1RPTROW($C$45,"dcceew_geus:measure code","","","CBMS code and description",0,$C$52)</f>
        <v/>
      </c>
      <c r="J80" s="13" t="str">
        <f ca="1">$C80</f>
        <v/>
      </c>
      <c r="K80" s="13" t="str">
        <f ca="1">$D80</f>
        <v/>
      </c>
      <c r="L80" s="13" t="str">
        <f ca="1">$E80</f>
        <v/>
      </c>
      <c r="M80" s="13" t="str">
        <f ca="1">$F80</f>
        <v/>
      </c>
      <c r="N80" s="12" t="str" cm="1">
        <f t="array" aca="1" ref="N80" ca="1">_xll.DBRW($C$45,$N$68,$N$69,$N$70,$N$72,$E80,$C$56,$N$73,$C$57,$F80,$N$74,$D80,$N$75,$B80,$C80,$C$58,$C$59,N$79)</f>
        <v/>
      </c>
      <c r="O80" s="12" t="str" cm="1">
        <f t="array" aca="1" ref="O80" ca="1">_xll.DBRW($C$45,$N$68,$N$69,$N$70,$N$72,$E80,$C$56,$N$73,$C$57,$F80,$N$74,$D80,$N$75,$B80,$C80,$C$58,$C$59,O$79)</f>
        <v/>
      </c>
      <c r="P80" s="12" t="str" cm="1">
        <f t="array" aca="1" ref="P80" ca="1">_xll.DBRW($C$45,$N$68,$N$69,$N$70,$N$72,$E80,$C$56,$N$73,$C$57,$F80,$N$74,$D80,$N$75,$B80,$C80,$C$58,$C$59,P$79)</f>
        <v/>
      </c>
      <c r="Q80" s="12" t="str" cm="1">
        <f t="array" aca="1" ref="Q80" ca="1">_xll.DBRW($C$45,$N$68,$N$69,$N$70,$N$72,$E80,$C$56,$N$73,$C$57,$F80,$N$74,$D80,$N$75,$B80,$C80,$C$58,$C$59,Q$79)</f>
        <v/>
      </c>
      <c r="R80" s="12" t="str" cm="1">
        <f t="array" aca="1" ref="R80" ca="1">_xll.DBRW($C$45,$N$68,$N$69,$N$70,$N$72,$E80,$C$56,$N$73,$C$57,$F80,$N$74,$D80,$N$75,$B80,$C80,$C$58,$C$59,R$79)</f>
        <v/>
      </c>
      <c r="S80" s="12" t="str" cm="1">
        <f t="array" aca="1" ref="S80" ca="1">_xll.DBRW($C$45,$N$68,$N$69,$N$70,$N$72,$E80,$C$56,$N$73,$C$57,$F80,$N$74,$D80,$N$75,$B80,$C80,$C$58,$C$59,S$79)</f>
        <v/>
      </c>
    </row>
    <row r="81" spans="18:20" ht="4.5" customHeight="1" x14ac:dyDescent="0.25"/>
    <row r="82" spans="18:20" x14ac:dyDescent="0.25">
      <c r="R82" s="9" t="s">
        <v>75</v>
      </c>
      <c r="S82" s="22">
        <f ca="1">NOW()</f>
        <v>45183.04714988426</v>
      </c>
      <c r="T82" s="22"/>
    </row>
  </sheetData>
  <sheetProtection sheet="1" objects="1" scenarios="1"/>
  <mergeCells count="19">
    <mergeCell ref="B11:D11"/>
    <mergeCell ref="B19:D19"/>
    <mergeCell ref="B27:D27"/>
    <mergeCell ref="B44:D44"/>
    <mergeCell ref="B54:D54"/>
    <mergeCell ref="S82:T82"/>
    <mergeCell ref="N75:O75"/>
    <mergeCell ref="N76:O76"/>
    <mergeCell ref="N67:O67"/>
    <mergeCell ref="R67:S67"/>
    <mergeCell ref="S76:T76"/>
    <mergeCell ref="N69:O69"/>
    <mergeCell ref="N70:O70"/>
    <mergeCell ref="N71:O71"/>
    <mergeCell ref="N72:O72"/>
    <mergeCell ref="N73:O73"/>
    <mergeCell ref="N74:O74"/>
    <mergeCell ref="N68:O68"/>
    <mergeCell ref="N78:S78"/>
  </mergeCell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3" r:id="rId4" name="TIButton5">
          <controlPr defaultSize="0" print="0" autoLine="0" r:id="rId5">
            <anchor moveWithCells="1" sizeWithCells="1">
              <from>
                <xdr:col>10</xdr:col>
                <xdr:colOff>228600</xdr:colOff>
                <xdr:row>62</xdr:row>
                <xdr:rowOff>47625</xdr:rowOff>
              </from>
              <to>
                <xdr:col>10</xdr:col>
                <xdr:colOff>1781175</xdr:colOff>
                <xdr:row>63</xdr:row>
                <xdr:rowOff>238125</xdr:rowOff>
              </to>
            </anchor>
          </controlPr>
        </control>
      </mc:Choice>
      <mc:Fallback>
        <control shapeId="1033" r:id="rId4" name="TIButton5"/>
      </mc:Fallback>
    </mc:AlternateContent>
    <mc:AlternateContent xmlns:mc="http://schemas.openxmlformats.org/markup-compatibility/2006">
      <mc:Choice Requires="x14">
        <control shapeId="1032" r:id="rId6" name="TIButton8">
          <controlPr defaultSize="0" print="0" autoLine="0" r:id="rId7">
            <anchor moveWithCells="1" sizeWithCells="1">
              <from>
                <xdr:col>10</xdr:col>
                <xdr:colOff>1809750</xdr:colOff>
                <xdr:row>62</xdr:row>
                <xdr:rowOff>47625</xdr:rowOff>
              </from>
              <to>
                <xdr:col>11</xdr:col>
                <xdr:colOff>352425</xdr:colOff>
                <xdr:row>63</xdr:row>
                <xdr:rowOff>238125</xdr:rowOff>
              </to>
            </anchor>
          </controlPr>
        </control>
      </mc:Choice>
      <mc:Fallback>
        <control shapeId="1032" r:id="rId6" name="TIButton8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r:id="rId9">
            <anchor moveWithCells="1" sizeWithCells="1">
              <from>
                <xdr:col>9</xdr:col>
                <xdr:colOff>28575</xdr:colOff>
                <xdr:row>62</xdr:row>
                <xdr:rowOff>47625</xdr:rowOff>
              </from>
              <to>
                <xdr:col>9</xdr:col>
                <xdr:colOff>666750</xdr:colOff>
                <xdr:row>63</xdr:row>
                <xdr:rowOff>238125</xdr:rowOff>
              </to>
            </anchor>
          </controlPr>
        </control>
      </mc:Choice>
      <mc:Fallback>
        <control shapeId="1025" r:id="rId8" name="TIButton1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704850</xdr:colOff>
                <xdr:row>62</xdr:row>
                <xdr:rowOff>47625</xdr:rowOff>
              </from>
              <to>
                <xdr:col>9</xdr:col>
                <xdr:colOff>1524000</xdr:colOff>
                <xdr:row>63</xdr:row>
                <xdr:rowOff>238125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r:id="rId13">
            <anchor moveWithCells="1" sizeWithCells="1">
              <from>
                <xdr:col>9</xdr:col>
                <xdr:colOff>1562100</xdr:colOff>
                <xdr:row>62</xdr:row>
                <xdr:rowOff>47625</xdr:rowOff>
              </from>
              <to>
                <xdr:col>10</xdr:col>
                <xdr:colOff>200025</xdr:colOff>
                <xdr:row>63</xdr:row>
                <xdr:rowOff>238125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8" r:id="rId14" name="TIButton4">
          <controlPr defaultSize="0" print="0" autoLine="0" r:id="rId15">
            <anchor moveWithCells="1" sizeWithCells="1">
              <from>
                <xdr:col>12</xdr:col>
                <xdr:colOff>247650</xdr:colOff>
                <xdr:row>62</xdr:row>
                <xdr:rowOff>47625</xdr:rowOff>
              </from>
              <to>
                <xdr:col>12</xdr:col>
                <xdr:colOff>1028700</xdr:colOff>
                <xdr:row>63</xdr:row>
                <xdr:rowOff>238125</xdr:rowOff>
              </to>
            </anchor>
          </controlPr>
        </control>
      </mc:Choice>
      <mc:Fallback>
        <control shapeId="1028" r:id="rId14" name="TIButton4"/>
      </mc:Fallback>
    </mc:AlternateContent>
    <mc:AlternateContent xmlns:mc="http://schemas.openxmlformats.org/markup-compatibility/2006">
      <mc:Choice Requires="x14">
        <control shapeId="1030" r:id="rId16" name="TIButton6">
          <controlPr defaultSize="0" print="0" autoLine="0" r:id="rId17">
            <anchor moveWithCells="1" sizeWithCells="1">
              <from>
                <xdr:col>11</xdr:col>
                <xdr:colOff>390525</xdr:colOff>
                <xdr:row>62</xdr:row>
                <xdr:rowOff>47625</xdr:rowOff>
              </from>
              <to>
                <xdr:col>12</xdr:col>
                <xdr:colOff>219075</xdr:colOff>
                <xdr:row>63</xdr:row>
                <xdr:rowOff>238125</xdr:rowOff>
              </to>
            </anchor>
          </controlPr>
        </control>
      </mc:Choice>
      <mc:Fallback>
        <control shapeId="1030" r:id="rId16" name="TIButton6"/>
      </mc:Fallback>
    </mc:AlternateContent>
    <mc:AlternateContent xmlns:mc="http://schemas.openxmlformats.org/markup-compatibility/2006">
      <mc:Choice Requires="x14">
        <control shapeId="1031" r:id="rId18" name="TIButton7">
          <controlPr defaultSize="0" print="0" autoLine="0" r:id="rId19">
            <anchor moveWithCells="1" sizeWithCells="1">
              <from>
                <xdr:col>18</xdr:col>
                <xdr:colOff>533400</xdr:colOff>
                <xdr:row>62</xdr:row>
                <xdr:rowOff>19050</xdr:rowOff>
              </from>
              <to>
                <xdr:col>19</xdr:col>
                <xdr:colOff>0</xdr:colOff>
                <xdr:row>63</xdr:row>
                <xdr:rowOff>276225</xdr:rowOff>
              </to>
            </anchor>
          </controlPr>
        </control>
      </mc:Choice>
      <mc:Fallback>
        <control shapeId="1031" r:id="rId18" name="TIButton7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F2B6B0-14E0-4C9D-B4D8-05F625357EC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TBAL</vt:lpstr>
      <vt:lpstr>db_name</vt:lpstr>
      <vt:lpstr>psApp</vt:lpstr>
      <vt:lpstr>psHLYear</vt:lpstr>
      <vt:lpstr>psScenario</vt:lpstr>
      <vt:lpstr>psUser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TM1OthRprTBalAccCAP</vt:lpstr>
      <vt:lpstr>TM1OthRprTBalAccWB</vt:lpstr>
      <vt:lpstr>TM1OthRprTBalAccWS</vt:lpstr>
      <vt:lpstr>TM1OthRprTBalCAP</vt:lpstr>
      <vt:lpstr>TM1OthRprTBalDetailCAP</vt:lpstr>
      <vt:lpstr>TM1OthRprTBalDetailWB</vt:lpstr>
      <vt:lpstr>TM1OthRprTBalDetailWS</vt:lpstr>
      <vt:lpstr>TM1OthRprTBalDrillCAP</vt:lpstr>
      <vt:lpstr>TM1OthRprTBalDrillWB</vt:lpstr>
      <vt:lpstr>TM1OthRprTBalDrillWS</vt:lpstr>
      <vt:lpstr>TM1OthRprTBalWB</vt:lpstr>
      <vt:lpstr>TM1OthRprTBalWS</vt:lpstr>
      <vt:lpstr>TBAL!TM1RPTDATARNG6</vt:lpstr>
      <vt:lpstr>TBAL!TM1RPTFMTIDCOL</vt:lpstr>
      <vt:lpstr>TBAL!TM1RPTFMTRNG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cp:lastPrinted>2019-06-10T08:12:13Z</cp:lastPrinted>
  <dcterms:created xsi:type="dcterms:W3CDTF">2019-06-10T07:32:40Z</dcterms:created>
  <dcterms:modified xsi:type="dcterms:W3CDTF">2023-09-14T01:08:00Z</dcterms:modified>
</cp:coreProperties>
</file>