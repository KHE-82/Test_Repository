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5\"/>
    </mc:Choice>
  </mc:AlternateContent>
  <bookViews>
    <workbookView xWindow="0" yWindow="0" windowWidth="38400" windowHeight="17700"/>
  </bookViews>
  <sheets>
    <sheet name="transaction listing" sheetId="1" r:id="rId1"/>
    <sheet name="{PL}PickLst" sheetId="2" state="hidden" r:id="rId2"/>
  </sheets>
  <definedNames>
    <definedName name="cbRpt">'transaction listing'!$C$55</definedName>
    <definedName name="db_name">'transaction listing'!$C$18</definedName>
    <definedName name="EndStage">'transaction listing'!$R$137</definedName>
    <definedName name="home">'transaction listing'!$H$41:$H$50</definedName>
    <definedName name="periodselection">'transaction listing'!$T$119:$T$122</definedName>
    <definedName name="psAcc">'transaction listing'!$V$135</definedName>
    <definedName name="psACCDisplayDetail">'transaction listing'!$X$135</definedName>
    <definedName name="psApp">'transaction listing'!$C$38</definedName>
    <definedName name="psIDDisplayDetail">'transaction listing'!$X$139</definedName>
    <definedName name="psMA">'transaction listing'!$V$136</definedName>
    <definedName name="psMADisplayDetail">'transaction listing'!$X$136</definedName>
    <definedName name="psMsrCode">'transaction listing'!$V$138</definedName>
    <definedName name="psMSRDisplayDetail">'transaction listing'!$X$138</definedName>
    <definedName name="psPRog">'transaction listing'!$V$134</definedName>
    <definedName name="psProgDisplayDetail">'transaction listing'!$X$134</definedName>
    <definedName name="psReason">'transaction listing'!$V$137</definedName>
    <definedName name="psReasonDisplayDetail">'transaction listing'!$X$137</definedName>
    <definedName name="psUser">'transaction listing'!$C$20</definedName>
    <definedName name="psYr1">'transaction listing'!$V$114</definedName>
    <definedName name="psYr10">'transaction listing'!$AE$114</definedName>
    <definedName name="psYr2">'transaction listing'!$W$114</definedName>
    <definedName name="psYr3">'transaction listing'!$X$114</definedName>
    <definedName name="psYr4">'transaction listing'!$Y$114</definedName>
    <definedName name="psYr5">'transaction listing'!$Z$114</definedName>
    <definedName name="psYr6">'transaction listing'!$AA$114</definedName>
    <definedName name="psYr7">'transaction listing'!$AB$114</definedName>
    <definedName name="psYr8">'transaction listing'!$AC$114</definedName>
    <definedName name="psYr9">'transaction listing'!$AD$114</definedName>
    <definedName name="sID">'transaction listing'!$C$112</definedName>
    <definedName name="sID0000A">'transaction listing'!$C$109</definedName>
    <definedName name="sID00FBO">'transaction listing'!$C$110</definedName>
    <definedName name="sIDNewadj">'transaction listing'!$C$112</definedName>
    <definedName name="sIDTotal">'transaction listing'!$C$111</definedName>
    <definedName name="StartStage">'transaction listing'!$R$135</definedName>
    <definedName name="TM1AnalRptARTRecoCAP">'transaction listing'!$D$49</definedName>
    <definedName name="TM1AnalRptARTRecoWB">'transaction listing'!$F$49</definedName>
    <definedName name="TM1AnalRptARTRecoWS">'transaction listing'!$H$49</definedName>
    <definedName name="TM1AnalRptDashboardCAP">'transaction listing'!$D$48</definedName>
    <definedName name="TM1AnalRptDashboardWB">'transaction listing'!$F$48</definedName>
    <definedName name="TM1AnalRptDashboardWS">'transaction listing'!$H$48</definedName>
    <definedName name="TM1AnalRptExportToCSVCAP">'transaction listing'!$D$50</definedName>
    <definedName name="TM1AnalRptExportToCSVWB">'transaction listing'!$F$50</definedName>
    <definedName name="TM1AnalRptExportToCSVWS">'transaction listing'!$H$50</definedName>
    <definedName name="TM1AnalRptRecoCAP">'transaction listing'!$D$47</definedName>
    <definedName name="TM1AnalRptRecoWB">'transaction listing'!$F$47</definedName>
    <definedName name="TM1AnalRptRecoWS">'transaction listing'!$H$47</definedName>
    <definedName name="TM1AnalRptRepAdjRecoCAP">'transaction listing'!$D$46</definedName>
    <definedName name="TM1AnalRptRepAdjRecoWB">'transaction listing'!$F$46</definedName>
    <definedName name="TM1AnalRptRepAdjRecoWS">'transaction listing'!$H$46</definedName>
    <definedName name="TM1AnalRptRepStageMaintCAP">'transaction listing'!$D$51</definedName>
    <definedName name="TM1AnalRptRepStageMaintWB">'transaction listing'!$F$51</definedName>
    <definedName name="TM1AnalRptRepStageMaintWS">'transaction listing'!$H$51</definedName>
    <definedName name="TM1AnalRptTransCAP">'transaction listing'!$D$45</definedName>
    <definedName name="TM1AnalRptTransWB">'transaction listing'!$F$45</definedName>
    <definedName name="TM1AnalRptTransWS">'transaction listing'!$H$45</definedName>
    <definedName name="TM1HomeAECAP">'transaction listing'!$D$41</definedName>
    <definedName name="TM1HomeAEWB">'transaction listing'!$F$41</definedName>
    <definedName name="TM1HomeAEWS">'transaction listing'!$H$41</definedName>
    <definedName name="TM1HomeCAP">'transaction listing'!$D$40</definedName>
    <definedName name="TM1HomeRepAnalyticalCAP">'transaction listing'!$D$44</definedName>
    <definedName name="TM1HomeRepAnalyticalWB">'transaction listing'!$F$44</definedName>
    <definedName name="TM1HomeRepAnalyticalWS">'transaction listing'!$H$44</definedName>
    <definedName name="TM1HomeRepCAP">'transaction listing'!$D$42</definedName>
    <definedName name="TM1HomeRepOtherCAP">'transaction listing'!$D$43</definedName>
    <definedName name="TM1HomeRepOtherWB">'transaction listing'!$F$43</definedName>
    <definedName name="TM1HomeRepOtherWS">'transaction listing'!$H$43</definedName>
    <definedName name="TM1HomeRepWB">'transaction listing'!$F$42</definedName>
    <definedName name="TM1HomeRepWS">'transaction listing'!$H$42</definedName>
    <definedName name="TM1HomeWB">'transaction listing'!$F$40</definedName>
    <definedName name="TM1HomeWS">'transaction listing'!$H$40</definedName>
    <definedName name="TM1PICKLIST">'{PL}PickLst'!$A$1:$A$80</definedName>
    <definedName name="TM1RPTDATARNG4" localSheetId="0">'transaction listing'!$149:$149</definedName>
    <definedName name="TM1RPTFMTIDCOL" localSheetId="0">'transaction listing'!$A$1:$A$15</definedName>
    <definedName name="TM1RPTFMTRNG" localSheetId="0">'transaction listing'!$B$1:$AH$15</definedName>
    <definedName name="TM1ViewAdj01HeaderCAP">'transaction listing'!$D$52</definedName>
    <definedName name="TM1ViewAdj01HeaderWB">'transaction listing'!$F$52</definedName>
    <definedName name="TM1ViewAdj01HeaderWS">'transaction listing'!$H$52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 a="1"/>
  <c r="C26" i="1"/>
  <c r="C34" i="1" a="1"/>
  <c r="C34" i="1"/>
  <c r="R137" i="1"/>
  <c r="C33" i="1" a="1"/>
  <c r="C33" i="1"/>
  <c r="R135" i="1"/>
  <c r="V142" i="1" a="1"/>
  <c r="V142" i="1"/>
  <c r="V141" i="1" a="1"/>
  <c r="V141" i="1"/>
  <c r="C37" i="1"/>
  <c r="R134" i="1" a="1"/>
  <c r="R134" i="1"/>
  <c r="V140" i="1" a="1"/>
  <c r="C96" i="1" a="1"/>
  <c r="C97" i="1" a="1"/>
  <c r="V137" i="1" a="1"/>
  <c r="C98" i="1" a="1"/>
  <c r="V138" i="1" a="1"/>
  <c r="V136" i="1" a="1"/>
  <c r="V134" i="1" a="1"/>
  <c r="V135" i="1" a="1"/>
  <c r="C109" i="1" a="1"/>
  <c r="C105" i="1" a="1"/>
  <c r="C106" i="1" a="1"/>
  <c r="V140" i="1"/>
  <c r="C96" i="1"/>
  <c r="C97" i="1"/>
  <c r="V137" i="1"/>
  <c r="C98" i="1"/>
  <c r="V138" i="1"/>
  <c r="V136" i="1"/>
  <c r="V134" i="1"/>
  <c r="V135" i="1"/>
  <c r="C109" i="1"/>
  <c r="C105" i="1"/>
  <c r="C106" i="1"/>
  <c r="C57" i="1" a="1"/>
  <c r="C57" i="1"/>
  <c r="P153" i="1"/>
  <c r="S153" i="1"/>
  <c r="T153" i="1"/>
  <c r="R153" i="1"/>
  <c r="Q153" i="1"/>
  <c r="C111" i="1" a="1"/>
  <c r="C111" i="1"/>
  <c r="U153" i="1"/>
  <c r="AE116" i="1" a="1"/>
  <c r="AE116" i="1"/>
  <c r="AE114" i="1"/>
  <c r="AE144" i="1"/>
  <c r="AE153" i="1" a="1"/>
  <c r="AE153" i="1"/>
  <c r="AD116" i="1" a="1"/>
  <c r="AD116" i="1"/>
  <c r="AD114" i="1"/>
  <c r="AD144" i="1"/>
  <c r="AD153" i="1" a="1"/>
  <c r="AD153" i="1"/>
  <c r="AC116" i="1" a="1"/>
  <c r="AC116" i="1"/>
  <c r="AC114" i="1"/>
  <c r="AC144" i="1"/>
  <c r="AC153" i="1" a="1"/>
  <c r="AC153" i="1"/>
  <c r="AB116" i="1" a="1"/>
  <c r="AB116" i="1"/>
  <c r="AB114" i="1"/>
  <c r="AB144" i="1"/>
  <c r="AB153" i="1" a="1"/>
  <c r="AB153" i="1"/>
  <c r="AA116" i="1" a="1"/>
  <c r="AA116" i="1"/>
  <c r="AA114" i="1"/>
  <c r="AA144" i="1"/>
  <c r="AA153" i="1" a="1"/>
  <c r="AA153" i="1"/>
  <c r="Z116" i="1" a="1"/>
  <c r="Z116" i="1"/>
  <c r="Z114" i="1"/>
  <c r="Z144" i="1"/>
  <c r="Z153" i="1" a="1"/>
  <c r="Z153" i="1"/>
  <c r="Y116" i="1" a="1"/>
  <c r="Y116" i="1"/>
  <c r="Y114" i="1"/>
  <c r="Y144" i="1"/>
  <c r="Y153" i="1" a="1"/>
  <c r="Y153" i="1"/>
  <c r="X116" i="1" a="1"/>
  <c r="X116" i="1"/>
  <c r="X114" i="1"/>
  <c r="X144" i="1"/>
  <c r="X153" i="1" a="1"/>
  <c r="X153" i="1"/>
  <c r="W116" i="1" a="1"/>
  <c r="W116" i="1"/>
  <c r="W114" i="1"/>
  <c r="W144" i="1"/>
  <c r="W153" i="1" a="1"/>
  <c r="W153" i="1"/>
  <c r="V116" i="1" a="1"/>
  <c r="V116" i="1"/>
  <c r="V114" i="1"/>
  <c r="V144" i="1"/>
  <c r="V153" i="1" a="1"/>
  <c r="V153" i="1"/>
  <c r="C56" i="1" a="1"/>
  <c r="C56" i="1"/>
  <c r="C67" i="1"/>
  <c r="P149" i="1" a="1"/>
  <c r="P149" i="1"/>
  <c r="X137" i="1" a="1"/>
  <c r="X137" i="1"/>
  <c r="C77" i="1"/>
  <c r="C75" i="1"/>
  <c r="S149" i="1" a="1"/>
  <c r="X138" i="1" a="1"/>
  <c r="X138" i="1"/>
  <c r="C82" i="1"/>
  <c r="C80" i="1"/>
  <c r="T149" i="1" a="1"/>
  <c r="X136" i="1" a="1"/>
  <c r="X136" i="1"/>
  <c r="C72" i="1"/>
  <c r="C70" i="1"/>
  <c r="R149" i="1" a="1"/>
  <c r="X135" i="1" a="1"/>
  <c r="X135" i="1"/>
  <c r="C64" i="1"/>
  <c r="C62" i="1"/>
  <c r="Q149" i="1" a="1"/>
  <c r="X139" i="1" a="1"/>
  <c r="X139" i="1"/>
  <c r="C112" i="1" a="1"/>
  <c r="C112" i="1"/>
  <c r="C86" i="1"/>
  <c r="C84" i="1"/>
  <c r="U149" i="1" a="1"/>
  <c r="S149" i="1"/>
  <c r="T149" i="1"/>
  <c r="R149" i="1"/>
  <c r="Q149" i="1"/>
  <c r="U149" i="1"/>
  <c r="AE149" i="1" a="1"/>
  <c r="AE149" i="1"/>
  <c r="AD149" i="1" a="1"/>
  <c r="AD149" i="1"/>
  <c r="AC149" i="1" a="1"/>
  <c r="AC149" i="1"/>
  <c r="AB149" i="1" a="1"/>
  <c r="AB149" i="1"/>
  <c r="AA149" i="1" a="1"/>
  <c r="AA149" i="1"/>
  <c r="Z149" i="1" a="1"/>
  <c r="Z149" i="1"/>
  <c r="Y149" i="1" a="1"/>
  <c r="Y149" i="1"/>
  <c r="X149" i="1" a="1"/>
  <c r="X149" i="1"/>
  <c r="W149" i="1" a="1"/>
  <c r="W149" i="1"/>
  <c r="V149" i="1" a="1"/>
  <c r="V149" i="1"/>
  <c r="C115" i="1" a="1"/>
  <c r="C115" i="1"/>
  <c r="K149" i="1"/>
  <c r="L149" i="1"/>
  <c r="M149" i="1" a="1"/>
  <c r="M149" i="1"/>
  <c r="A149" i="1" a="1"/>
  <c r="A149" i="1"/>
  <c r="P145" i="1"/>
  <c r="S145" i="1"/>
  <c r="T145" i="1"/>
  <c r="R145" i="1"/>
  <c r="Q145" i="1"/>
  <c r="U145" i="1"/>
  <c r="AE145" i="1" a="1"/>
  <c r="AE145" i="1"/>
  <c r="AD145" i="1" a="1"/>
  <c r="AD145" i="1"/>
  <c r="AC145" i="1" a="1"/>
  <c r="AC145" i="1"/>
  <c r="AB145" i="1" a="1"/>
  <c r="AB145" i="1"/>
  <c r="AA145" i="1" a="1"/>
  <c r="AA145" i="1"/>
  <c r="Z145" i="1" a="1"/>
  <c r="Z145" i="1"/>
  <c r="Y145" i="1" a="1"/>
  <c r="Y145" i="1"/>
  <c r="X145" i="1" a="1"/>
  <c r="X145" i="1"/>
  <c r="W145" i="1" a="1"/>
  <c r="W145" i="1"/>
  <c r="V145" i="1" a="1"/>
  <c r="V145" i="1"/>
  <c r="X134" i="1" a="1"/>
  <c r="X134" i="1"/>
  <c r="AE122" i="1" a="1"/>
  <c r="AE122" i="1"/>
  <c r="AD122" i="1" a="1"/>
  <c r="AD122" i="1"/>
  <c r="AC122" i="1" a="1"/>
  <c r="AC122" i="1"/>
  <c r="AB122" i="1" a="1"/>
  <c r="AB122" i="1"/>
  <c r="AA122" i="1" a="1"/>
  <c r="AA122" i="1"/>
  <c r="Z122" i="1" a="1"/>
  <c r="Z122" i="1"/>
  <c r="Y122" i="1" a="1"/>
  <c r="Y122" i="1"/>
  <c r="X122" i="1" a="1"/>
  <c r="X122" i="1"/>
  <c r="W122" i="1" a="1"/>
  <c r="W122" i="1"/>
  <c r="V122" i="1" a="1"/>
  <c r="V122" i="1"/>
  <c r="AE120" i="1" a="1"/>
  <c r="AE120" i="1"/>
  <c r="AD120" i="1" a="1"/>
  <c r="AD120" i="1"/>
  <c r="AC120" i="1" a="1"/>
  <c r="AC120" i="1"/>
  <c r="AB120" i="1" a="1"/>
  <c r="AB120" i="1"/>
  <c r="AA120" i="1" a="1"/>
  <c r="AA120" i="1"/>
  <c r="Z120" i="1" a="1"/>
  <c r="Z120" i="1"/>
  <c r="Y120" i="1" a="1"/>
  <c r="Y120" i="1"/>
  <c r="X120" i="1" a="1"/>
  <c r="X120" i="1"/>
  <c r="W120" i="1" a="1"/>
  <c r="W120" i="1"/>
  <c r="V120" i="1" a="1"/>
  <c r="V120" i="1"/>
  <c r="AE118" i="1" a="1"/>
  <c r="AE118" i="1"/>
  <c r="AD118" i="1" a="1"/>
  <c r="AD118" i="1"/>
  <c r="AC118" i="1" a="1"/>
  <c r="AC118" i="1"/>
  <c r="AB118" i="1" a="1"/>
  <c r="AB118" i="1"/>
  <c r="AA118" i="1" a="1"/>
  <c r="AA118" i="1"/>
  <c r="Z118" i="1" a="1"/>
  <c r="Z118" i="1"/>
  <c r="Y118" i="1" a="1"/>
  <c r="Y118" i="1"/>
  <c r="X118" i="1" a="1"/>
  <c r="X118" i="1"/>
  <c r="W118" i="1" a="1"/>
  <c r="W118" i="1"/>
  <c r="V118" i="1" a="1"/>
  <c r="V118" i="1"/>
  <c r="C110" i="1" a="1"/>
  <c r="C110" i="1"/>
  <c r="C103" i="1" a="1"/>
  <c r="C103" i="1"/>
  <c r="C58" i="1" a="1"/>
  <c r="C58" i="1"/>
  <c r="H52" i="1" a="1"/>
  <c r="H52" i="1"/>
  <c r="G52" i="1" a="1"/>
  <c r="G52" i="1"/>
  <c r="F52" i="1" a="1"/>
  <c r="F52" i="1"/>
  <c r="E52" i="1" a="1"/>
  <c r="E52" i="1"/>
  <c r="D52" i="1" a="1"/>
  <c r="D52" i="1"/>
  <c r="C52" i="1" a="1"/>
  <c r="C52" i="1"/>
  <c r="H51" i="1" a="1"/>
  <c r="H51" i="1"/>
  <c r="G51" i="1" a="1"/>
  <c r="G51" i="1"/>
  <c r="F51" i="1" a="1"/>
  <c r="F51" i="1"/>
  <c r="E51" i="1" a="1"/>
  <c r="E51" i="1"/>
  <c r="D51" i="1" a="1"/>
  <c r="D51" i="1"/>
  <c r="C51" i="1" a="1"/>
  <c r="C51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C32" i="1" a="1"/>
  <c r="C32" i="1"/>
  <c r="C31" i="1" a="1"/>
  <c r="C31" i="1"/>
  <c r="C30" i="1" a="1"/>
  <c r="C30" i="1"/>
  <c r="C29" i="1" a="1"/>
  <c r="C29" i="1"/>
  <c r="C28" i="1" a="1"/>
  <c r="C28" i="1"/>
  <c r="C19" i="1" a="1"/>
  <c r="C19" i="1"/>
  <c r="C20" i="1" a="1"/>
  <c r="C20" i="1"/>
  <c r="C22" i="1" a="1"/>
  <c r="C22" i="1"/>
  <c r="C21" i="1" a="1"/>
  <c r="C21" i="1"/>
  <c r="T143" i="1"/>
  <c r="AF153" i="1"/>
  <c r="AE152" i="1"/>
  <c r="AD152" i="1"/>
  <c r="AC152" i="1"/>
  <c r="AB152" i="1"/>
  <c r="AA152" i="1"/>
  <c r="Z152" i="1"/>
  <c r="Y152" i="1"/>
  <c r="X152" i="1"/>
  <c r="W152" i="1"/>
  <c r="V152" i="1"/>
  <c r="C85" i="1"/>
  <c r="AG149" i="1"/>
  <c r="C23" i="1"/>
  <c r="C91" i="1"/>
  <c r="C90" i="1"/>
  <c r="C89" i="1"/>
  <c r="C76" i="1"/>
  <c r="C81" i="1"/>
  <c r="C63" i="1"/>
  <c r="C71" i="1"/>
  <c r="AE148" i="1"/>
  <c r="AD148" i="1"/>
  <c r="AC148" i="1"/>
  <c r="AB148" i="1"/>
  <c r="AA148" i="1"/>
  <c r="Z148" i="1"/>
  <c r="Y148" i="1"/>
  <c r="X148" i="1"/>
  <c r="W148" i="1"/>
  <c r="V148" i="1"/>
  <c r="A14" i="1"/>
  <c r="A13" i="1"/>
  <c r="A12" i="1"/>
  <c r="A11" i="1"/>
  <c r="A10" i="1"/>
  <c r="A9" i="1"/>
  <c r="AF145" i="1"/>
  <c r="AF149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<sst xmlns="http://schemas.openxmlformats.org/spreadsheetml/2006/main" count="248" uniqueCount="194">
  <si>
    <t>status</t>
  </si>
  <si>
    <t>outcome</t>
  </si>
  <si>
    <t>related entity</t>
  </si>
  <si>
    <t>function</t>
  </si>
  <si>
    <t>spp</t>
  </si>
  <si>
    <t>appropriation type</t>
  </si>
  <si>
    <t>appropriation item</t>
  </si>
  <si>
    <t>programme</t>
  </si>
  <si>
    <t>id</t>
  </si>
  <si>
    <t>jurisdiction</t>
  </si>
  <si>
    <t>AE reporting measure</t>
  </si>
  <si>
    <t>D</t>
  </si>
  <si>
    <t>N</t>
  </si>
  <si>
    <t>[Begin Format Range]</t>
  </si>
  <si>
    <t>[End Format Range]</t>
  </si>
  <si>
    <t>System Parameters</t>
  </si>
  <si>
    <t>Database Name</t>
  </si>
  <si>
    <t>Current User</t>
  </si>
  <si>
    <t>Cube</t>
  </si>
  <si>
    <t>Name</t>
  </si>
  <si>
    <t>AE Reporting</t>
  </si>
  <si>
    <t>value</t>
  </si>
  <si>
    <t>headline year</t>
  </si>
  <si>
    <t>headline scenario</t>
  </si>
  <si>
    <t xml:space="preserve">From : </t>
  </si>
  <si>
    <t xml:space="preserve">To : </t>
  </si>
  <si>
    <t>MDX</t>
  </si>
  <si>
    <t>Account</t>
  </si>
  <si>
    <t>nlevel elements</t>
  </si>
  <si>
    <t>drilldown with single element</t>
  </si>
  <si>
    <t>Stage</t>
  </si>
  <si>
    <t>ID - total</t>
  </si>
  <si>
    <t>Title Dimension - Active Form</t>
  </si>
  <si>
    <t>Other Dimension</t>
  </si>
  <si>
    <t>Total 10 yrs</t>
  </si>
  <si>
    <t>Opening Balances</t>
  </si>
  <si>
    <t>Closing Balances</t>
  </si>
  <si>
    <t>Estimate Adjustments</t>
  </si>
  <si>
    <t>TM1rptview - New Adjustments</t>
  </si>
  <si>
    <t>ID - 0000A</t>
  </si>
  <si>
    <t>Movement Account</t>
  </si>
  <si>
    <t>Reason</t>
  </si>
  <si>
    <t>Measure Code</t>
  </si>
  <si>
    <t xml:space="preserve">Reason : </t>
  </si>
  <si>
    <t xml:space="preserve">Measure code : </t>
  </si>
  <si>
    <t>ID</t>
  </si>
  <si>
    <t>ID - 00FBO</t>
  </si>
  <si>
    <t>ID - New adjustments</t>
  </si>
  <si>
    <t>Starting Period - Standard</t>
  </si>
  <si>
    <t>Closing Period - Standard</t>
  </si>
  <si>
    <t>Closing Period - Extended</t>
  </si>
  <si>
    <t>Closing Period - Historical</t>
  </si>
  <si>
    <t xml:space="preserve">Reporting Period : </t>
  </si>
  <si>
    <t>Yes</t>
  </si>
  <si>
    <t>No</t>
  </si>
  <si>
    <t>Not selectable</t>
  </si>
  <si>
    <t>Sliceview - opening bal</t>
  </si>
  <si>
    <t>Sliceview - ending bal</t>
  </si>
  <si>
    <t xml:space="preserve">ID : </t>
  </si>
  <si>
    <t>Reports - Transaction Listing</t>
  </si>
  <si>
    <t xml:space="preserve">Programme : </t>
  </si>
  <si>
    <t xml:space="preserve">Account : </t>
  </si>
  <si>
    <t>REPORT PARAMETERS</t>
  </si>
  <si>
    <t>}Clients</t>
  </si>
  <si>
    <t>TM1 User</t>
  </si>
  <si>
    <t>}TM1_DefaultDisplayValue</t>
  </si>
  <si>
    <t>GEUS User Name</t>
  </si>
  <si>
    <t>System Variables</t>
  </si>
  <si>
    <t>View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</si>
  <si>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</si>
  <si>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</si>
  <si>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</si>
  <si>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</si>
  <si>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</si>
  <si>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</si>
  <si>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</si>
  <si>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</si>
  <si>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</si>
  <si>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</si>
  <si>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</si>
  <si>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</si>
  <si>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</si>
  <si>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</si>
  <si>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</si>
  <si>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</si>
  <si>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Analytical Reports - Transcation Listing</t>
  </si>
  <si>
    <t>Analytical Reports - Reporting Cube and AE Adj Reconciliation</t>
  </si>
  <si>
    <t>Analytical Reports - Validations and Reconciliation</t>
  </si>
  <si>
    <t>Analytical Reports - Agency Resourcing Table Reconciliation</t>
  </si>
  <si>
    <t>Analytical Reports - Export To CSV</t>
  </si>
  <si>
    <t>Homepage - Reports - Analytical</t>
  </si>
  <si>
    <t>Analytical Reports - Dashboard Reporting</t>
  </si>
  <si>
    <t xml:space="preserve">Note : Ensure that the Stage Maintenance has been updated to ensure validatity of the repot. </t>
  </si>
  <si>
    <t>Note : 'CURRENT' scenario has not been added unless it is included in the STAGE Maintenance screen.</t>
  </si>
  <si>
    <t>Analytical Reports - Transaction Listing</t>
  </si>
  <si>
    <t>Analytical Reports - Reporting Stage Maintenance</t>
  </si>
  <si>
    <t>DISPLAY SETTINGS (FILTER / EXPAND)</t>
  </si>
  <si>
    <t>Data Entry - View Adj 01 - Header Details</t>
  </si>
  <si>
    <t>Adjustment Title</t>
  </si>
  <si>
    <t>AE Id Details</t>
  </si>
  <si>
    <t>SLICE VIEW</t>
  </si>
  <si>
    <t>Headline Year</t>
  </si>
  <si>
    <t>Scenario</t>
  </si>
  <si>
    <t>Title</t>
  </si>
  <si>
    <t xml:space="preserve">Movement Account : </t>
  </si>
  <si>
    <t xml:space="preserve">Note : Click along these columns to View Adjustment. </t>
  </si>
  <si>
    <t>As at</t>
  </si>
  <si>
    <t xml:space="preserve">Appropriation Item : </t>
  </si>
  <si>
    <t xml:space="preserve">Outcomes : </t>
  </si>
  <si>
    <t xml:space="preserve">Appropriation Type : </t>
  </si>
  <si>
    <t>dcceew_geus</t>
  </si>
  <si>
    <t xml:space="preserve">Status : </t>
  </si>
  <si>
    <t>sys_Transaction Listing From</t>
  </si>
  <si>
    <t>sys_Transaction Listing To</t>
  </si>
  <si>
    <t>2020-2021 Pre-ERC</t>
  </si>
  <si>
    <t>2020-2021 Economic Update</t>
  </si>
  <si>
    <t>2020-2021 Budget</t>
  </si>
  <si>
    <t>2021-2022 MYEFO</t>
  </si>
  <si>
    <t>2021-2022 Pre-ERC</t>
  </si>
  <si>
    <t>2021-2022 Budget</t>
  </si>
  <si>
    <t>2022-2023 MYEFO</t>
  </si>
  <si>
    <t>2022-2023 Additional Estimates</t>
  </si>
  <si>
    <t>2022-2023 Budget</t>
  </si>
  <si>
    <t>2022-2023 Budget(2)</t>
  </si>
  <si>
    <t>2023-2024 MYEFO</t>
  </si>
  <si>
    <t>2023-2024 Budget</t>
  </si>
  <si>
    <t>2024-2025 MYEFO</t>
  </si>
  <si>
    <t>2024-2025 Pre-ERC</t>
  </si>
  <si>
    <t>2024-2025 Budget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</si>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</sst>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+ &quot;@"/>
    <numFmt numFmtId="165" formatCode="_-* #,##0_-;[Red]* \(#,##0\)_-;_-* &quot;-&quot;??_-;_-@_-"/>
    <numFmt numFmtId="166" formatCode="dd\ mmmm\ yyyy\ h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4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1" applyFont="1" applyAlignment="1">
      <alignment horizontal="right"/>
    </xf>
    <xf numFmtId="0" fontId="0" fillId="0" borderId="3" xfId="0" applyBorder="1"/>
    <xf numFmtId="0" fontId="2" fillId="0" borderId="0" xfId="0" applyFont="1" applyAlignment="1">
      <alignment horizontal="left" indent="1"/>
    </xf>
    <xf numFmtId="0" fontId="1" fillId="0" borderId="4" xfId="0" applyFont="1" applyBorder="1"/>
    <xf numFmtId="0" fontId="1" fillId="0" borderId="0" xfId="0" applyFont="1"/>
    <xf numFmtId="49" fontId="9" fillId="0" borderId="0" xfId="0" applyNumberFormat="1" applyFont="1"/>
    <xf numFmtId="0" fontId="0" fillId="0" borderId="0" xfId="0" quotePrefix="1"/>
    <xf numFmtId="0" fontId="7" fillId="5" borderId="9" xfId="0" applyFont="1" applyFill="1" applyBorder="1" applyAlignment="1">
      <alignment horizontal="right"/>
    </xf>
    <xf numFmtId="0" fontId="5" fillId="0" borderId="0" xfId="0" applyFont="1"/>
    <xf numFmtId="0" fontId="7" fillId="5" borderId="0" xfId="0" applyFont="1" applyFill="1" applyAlignment="1">
      <alignment horizontal="right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/>
    <xf numFmtId="0" fontId="0" fillId="0" borderId="0" xfId="0" applyAlignment="1">
      <alignment horizontal="left"/>
    </xf>
    <xf numFmtId="0" fontId="11" fillId="0" borderId="0" xfId="1" applyFont="1" applyAlignment="1">
      <alignment horizontal="right"/>
    </xf>
    <xf numFmtId="0" fontId="0" fillId="0" borderId="0" xfId="0" applyAlignment="1">
      <alignment horizontal="left" vertical="top" wrapText="1"/>
    </xf>
    <xf numFmtId="49" fontId="5" fillId="0" borderId="4" xfId="0" applyNumberFormat="1" applyFont="1" applyBorder="1"/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4" xfId="0" applyNumberFormat="1" applyFont="1" applyBorder="1"/>
    <xf numFmtId="165" fontId="6" fillId="0" borderId="4" xfId="0" applyNumberFormat="1" applyFont="1" applyBorder="1"/>
    <xf numFmtId="165" fontId="5" fillId="0" borderId="0" xfId="0" applyNumberFormat="1" applyFont="1"/>
    <xf numFmtId="165" fontId="6" fillId="0" borderId="0" xfId="0" applyNumberFormat="1" applyFont="1"/>
    <xf numFmtId="0" fontId="12" fillId="6" borderId="0" xfId="0" applyFont="1" applyFill="1" applyAlignment="1">
      <alignment horizontal="center" vertical="center"/>
    </xf>
    <xf numFmtId="49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165" fontId="2" fillId="0" borderId="4" xfId="0" applyNumberFormat="1" applyFont="1" applyBorder="1" applyAlignment="1">
      <alignment vertical="top"/>
    </xf>
    <xf numFmtId="165" fontId="13" fillId="0" borderId="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4" xfId="0" applyNumberFormat="1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8" fillId="6" borderId="0" xfId="0" applyFont="1" applyFill="1" applyAlignment="1">
      <alignment horizontal="right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14" fillId="0" borderId="0" xfId="0" applyFont="1"/>
    <xf numFmtId="0" fontId="13" fillId="2" borderId="1" xfId="0" applyFont="1" applyFill="1" applyBorder="1"/>
    <xf numFmtId="0" fontId="2" fillId="2" borderId="1" xfId="0" applyFont="1" applyFill="1" applyBorder="1"/>
    <xf numFmtId="0" fontId="5" fillId="0" borderId="4" xfId="0" applyFont="1" applyBorder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left" indent="1"/>
    </xf>
    <xf numFmtId="0" fontId="2" fillId="0" borderId="4" xfId="0" applyFont="1" applyBorder="1" applyAlignment="1" applyProtection="1">
      <alignment horizontal="left" indent="1"/>
      <protection locked="0"/>
    </xf>
    <xf numFmtId="0" fontId="10" fillId="4" borderId="4" xfId="0" applyFont="1" applyFill="1" applyBorder="1" applyAlignment="1" applyProtection="1">
      <alignment horizontal="center"/>
      <protection locked="0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2" xfId="0" applyFont="1" applyBorder="1" applyAlignment="1" applyProtection="1">
      <alignment horizontal="left" indent="1"/>
      <protection locked="0"/>
    </xf>
    <xf numFmtId="0" fontId="2" fillId="0" borderId="3" xfId="0" applyFont="1" applyBorder="1" applyAlignment="1" applyProtection="1">
      <alignment horizontal="left" indent="1"/>
      <protection locked="0"/>
    </xf>
    <xf numFmtId="0" fontId="2" fillId="4" borderId="5" xfId="0" applyFont="1" applyFill="1" applyBorder="1" applyAlignment="1">
      <alignment horizontal="left" indent="1"/>
    </xf>
    <xf numFmtId="0" fontId="12" fillId="7" borderId="9" xfId="0" applyFont="1" applyFill="1" applyBorder="1" applyAlignment="1">
      <alignment horizontal="center"/>
    </xf>
    <xf numFmtId="0" fontId="3" fillId="0" borderId="4" xfId="2" applyFill="1" applyBorder="1"/>
  </cellXfs>
  <cellStyles count="3">
    <cellStyle name="Normal" xfId="0" builtinId="0"/>
    <cellStyle name="Normal 3" xfId="1"/>
    <cellStyle name="Normal_Current" xfId="2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7.emf"/><Relationship Id="rId7" Type="http://schemas.openxmlformats.org/officeDocument/2006/relationships/image" Target="../media/image3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4.emf"/><Relationship Id="rId5" Type="http://schemas.openxmlformats.org/officeDocument/2006/relationships/image" Target="../media/image5.emf"/><Relationship Id="rId4" Type="http://schemas.openxmlformats.org/officeDocument/2006/relationships/image" Target="../media/image6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28575</xdr:colOff>
          <xdr:row>126</xdr:row>
          <xdr:rowOff>0</xdr:rowOff>
        </xdr:from>
        <xdr:to>
          <xdr:col>15</xdr:col>
          <xdr:colOff>666750</xdr:colOff>
          <xdr:row>126</xdr:row>
          <xdr:rowOff>247650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704850</xdr:colOff>
          <xdr:row>126</xdr:row>
          <xdr:rowOff>0</xdr:rowOff>
        </xdr:from>
        <xdr:to>
          <xdr:col>15</xdr:col>
          <xdr:colOff>1524000</xdr:colOff>
          <xdr:row>126</xdr:row>
          <xdr:rowOff>247650</xdr:rowOff>
        </xdr:to>
        <xdr:sp macro="" textlink="">
          <xdr:nvSpPr>
            <xdr:cNvPr id="1028" name="TI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1295400</xdr:colOff>
          <xdr:row>126</xdr:row>
          <xdr:rowOff>0</xdr:rowOff>
        </xdr:from>
        <xdr:to>
          <xdr:col>17</xdr:col>
          <xdr:colOff>733425</xdr:colOff>
          <xdr:row>126</xdr:row>
          <xdr:rowOff>247650</xdr:rowOff>
        </xdr:to>
        <xdr:sp macro="" textlink="">
          <xdr:nvSpPr>
            <xdr:cNvPr id="1029" name="TIButton3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1028700</xdr:colOff>
          <xdr:row>126</xdr:row>
          <xdr:rowOff>0</xdr:rowOff>
        </xdr:from>
        <xdr:to>
          <xdr:col>20</xdr:col>
          <xdr:colOff>171450</xdr:colOff>
          <xdr:row>126</xdr:row>
          <xdr:rowOff>247650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771525</xdr:colOff>
          <xdr:row>125</xdr:row>
          <xdr:rowOff>38100</xdr:rowOff>
        </xdr:from>
        <xdr:to>
          <xdr:col>20</xdr:col>
          <xdr:colOff>1085850</xdr:colOff>
          <xdr:row>126</xdr:row>
          <xdr:rowOff>295275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126</xdr:row>
          <xdr:rowOff>0</xdr:rowOff>
        </xdr:from>
        <xdr:to>
          <xdr:col>18</xdr:col>
          <xdr:colOff>466725</xdr:colOff>
          <xdr:row>126</xdr:row>
          <xdr:rowOff>247650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485775</xdr:colOff>
          <xdr:row>126</xdr:row>
          <xdr:rowOff>0</xdr:rowOff>
        </xdr:from>
        <xdr:to>
          <xdr:col>19</xdr:col>
          <xdr:colOff>95250</xdr:colOff>
          <xdr:row>126</xdr:row>
          <xdr:rowOff>247650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123825</xdr:colOff>
          <xdr:row>126</xdr:row>
          <xdr:rowOff>0</xdr:rowOff>
        </xdr:from>
        <xdr:to>
          <xdr:col>19</xdr:col>
          <xdr:colOff>981075</xdr:colOff>
          <xdr:row>126</xdr:row>
          <xdr:rowOff>247650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1552575</xdr:colOff>
          <xdr:row>126</xdr:row>
          <xdr:rowOff>0</xdr:rowOff>
        </xdr:from>
        <xdr:to>
          <xdr:col>16</xdr:col>
          <xdr:colOff>1266825</xdr:colOff>
          <xdr:row>126</xdr:row>
          <xdr:rowOff>247650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14</xdr:col>
      <xdr:colOff>19050</xdr:colOff>
      <xdr:row>0</xdr:row>
      <xdr:rowOff>0</xdr:rowOff>
    </xdr:from>
    <xdr:to>
      <xdr:col>16</xdr:col>
      <xdr:colOff>133350</xdr:colOff>
      <xdr:row>125</xdr:row>
      <xdr:rowOff>1905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AG153"/>
  <sheetViews>
    <sheetView showGridLines="0" tabSelected="1" showOutlineSymbols="0" topLeftCell="O125" zoomScaleNormal="100" workbookViewId="0">
      <pane xSplit="7" ySplit="20" topLeftCell="V145" activePane="bottomRight" state="frozen"/>
      <selection activeCell="O125" sqref="O125"/>
      <selection pane="topRight" activeCell="V125" sqref="V125"/>
      <selection pane="bottomLeft" activeCell="O145" sqref="O145"/>
      <selection pane="bottomRight" activeCell="Q125" sqref="Q125"/>
    </sheetView>
  </sheetViews>
  <sheetFormatPr defaultRowHeight="15" outlineLevelRow="1" outlineLevelCol="1" x14ac:dyDescent="0.25"/>
  <cols>
    <col min="1" max="1" width="20.28515625" hidden="1" customWidth="1" outlineLevel="1"/>
    <col min="2" max="2" width="36.5703125" hidden="1" customWidth="1" outlineLevel="1"/>
    <col min="3" max="3" width="29.85546875" hidden="1" customWidth="1" outlineLevel="1"/>
    <col min="4" max="6" width="9.7109375" hidden="1" customWidth="1" outlineLevel="1"/>
    <col min="7" max="7" width="15.85546875" hidden="1" customWidth="1" outlineLevel="1"/>
    <col min="8" max="10" width="9.7109375" hidden="1" customWidth="1" outlineLevel="1"/>
    <col min="11" max="14" width="9.140625" hidden="1" customWidth="1" outlineLevel="1"/>
    <col min="15" max="15" width="0.85546875" customWidth="1" collapsed="1"/>
    <col min="16" max="16" width="24.7109375" customWidth="1"/>
    <col min="17" max="18" width="30.7109375" customWidth="1"/>
    <col min="19" max="19" width="25.7109375" customWidth="1"/>
    <col min="20" max="20" width="24.5703125" customWidth="1"/>
    <col min="21" max="21" width="16.7109375" customWidth="1"/>
    <col min="22" max="32" width="12.7109375" customWidth="1"/>
    <col min="33" max="33" width="80.7109375" customWidth="1"/>
  </cols>
  <sheetData>
    <row r="1" spans="1:33" hidden="1" outlineLevel="1" x14ac:dyDescent="0.25">
      <c r="A1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R1" s="26"/>
      <c r="S1" s="26"/>
      <c r="T1" s="26"/>
    </row>
    <row r="2" spans="1:33" hidden="1" outlineLevel="1" x14ac:dyDescent="0.25">
      <c r="A2">
        <f>0</f>
        <v>0</v>
      </c>
      <c r="B2" s="54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P2" s="37"/>
      <c r="Q2" s="37"/>
      <c r="R2" s="37"/>
      <c r="S2" s="38"/>
      <c r="T2" s="38"/>
      <c r="U2" s="39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43"/>
    </row>
    <row r="3" spans="1:33" hidden="1" outlineLevel="1" x14ac:dyDescent="0.25">
      <c r="A3">
        <f>1</f>
        <v>1</v>
      </c>
      <c r="B3" s="55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P3" s="37"/>
      <c r="Q3" s="37"/>
      <c r="R3" s="37"/>
      <c r="S3" s="38"/>
      <c r="T3" s="38"/>
      <c r="U3" s="39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1"/>
      <c r="AG3" s="43"/>
    </row>
    <row r="4" spans="1:33" hidden="1" outlineLevel="1" x14ac:dyDescent="0.25">
      <c r="A4">
        <f>2</f>
        <v>2</v>
      </c>
      <c r="B4" s="55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P4" s="37"/>
      <c r="Q4" s="37"/>
      <c r="R4" s="37"/>
      <c r="S4" s="38"/>
      <c r="T4" s="38"/>
      <c r="U4" s="39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/>
      <c r="AG4" s="43"/>
    </row>
    <row r="5" spans="1:33" hidden="1" outlineLevel="1" x14ac:dyDescent="0.25">
      <c r="A5">
        <f>3</f>
        <v>3</v>
      </c>
      <c r="B5" s="55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P5" s="37"/>
      <c r="Q5" s="37"/>
      <c r="R5" s="37"/>
      <c r="S5" s="38"/>
      <c r="T5" s="38"/>
      <c r="U5" s="39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1"/>
      <c r="AG5" s="43"/>
    </row>
    <row r="6" spans="1:33" hidden="1" outlineLevel="1" x14ac:dyDescent="0.25">
      <c r="A6" t="s">
        <v>11</v>
      </c>
      <c r="B6" s="55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P6" s="37"/>
      <c r="Q6" s="37"/>
      <c r="R6" s="37"/>
      <c r="S6" s="38"/>
      <c r="T6" s="38"/>
      <c r="U6" s="39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1"/>
      <c r="AG6" s="43"/>
    </row>
    <row r="7" spans="1:33" hidden="1" outlineLevel="1" x14ac:dyDescent="0.25">
      <c r="A7" t="s">
        <v>12</v>
      </c>
      <c r="B7" s="5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P7" s="37"/>
      <c r="Q7" s="37"/>
      <c r="R7" s="37"/>
      <c r="S7" s="38"/>
      <c r="T7" s="38"/>
      <c r="U7" s="39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  <c r="AG7" s="43"/>
    </row>
    <row r="8" spans="1:33" hidden="1" outlineLevel="1" x14ac:dyDescent="0.25">
      <c r="B8" s="5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P8" s="37"/>
      <c r="Q8" s="37"/>
      <c r="R8" s="37"/>
      <c r="S8" s="38"/>
      <c r="T8" s="38"/>
      <c r="U8" s="39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1"/>
      <c r="AG8" s="43"/>
    </row>
    <row r="9" spans="1:33" hidden="1" outlineLevel="1" x14ac:dyDescent="0.25">
      <c r="A9" t="str">
        <f>"X0"</f>
        <v>X0</v>
      </c>
      <c r="B9" s="54"/>
      <c r="C9" s="1"/>
      <c r="D9" s="1"/>
      <c r="E9" s="1"/>
      <c r="F9" s="1"/>
      <c r="G9" s="1"/>
      <c r="H9" s="1"/>
      <c r="I9" s="1"/>
      <c r="J9" s="1"/>
      <c r="K9" s="3"/>
      <c r="L9" s="3"/>
      <c r="M9" s="3"/>
      <c r="O9" s="28"/>
      <c r="P9" s="42"/>
      <c r="Q9" s="42"/>
      <c r="R9" s="42"/>
      <c r="S9" s="43"/>
      <c r="T9" s="43"/>
      <c r="U9" s="44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1"/>
      <c r="AG9" s="43"/>
    </row>
    <row r="10" spans="1:33" hidden="1" outlineLevel="1" x14ac:dyDescent="0.25">
      <c r="A10" t="str">
        <f>"X1"</f>
        <v>X1</v>
      </c>
      <c r="B10" s="55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O10" s="28"/>
      <c r="P10" s="42"/>
      <c r="Q10" s="42"/>
      <c r="R10" s="42"/>
      <c r="S10" s="43"/>
      <c r="T10" s="43"/>
      <c r="U10" s="44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1"/>
      <c r="AG10" s="43"/>
    </row>
    <row r="11" spans="1:33" hidden="1" outlineLevel="1" x14ac:dyDescent="0.25">
      <c r="A11" t="str">
        <f>"X2"</f>
        <v>X2</v>
      </c>
      <c r="B11" s="55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O11" s="28"/>
      <c r="P11" s="42"/>
      <c r="Q11" s="42"/>
      <c r="R11" s="42"/>
      <c r="S11" s="43"/>
      <c r="T11" s="43"/>
      <c r="U11" s="44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1"/>
      <c r="AG11" s="43"/>
    </row>
    <row r="12" spans="1:33" hidden="1" outlineLevel="1" x14ac:dyDescent="0.25">
      <c r="A12" t="str">
        <f>"X3"</f>
        <v>X3</v>
      </c>
      <c r="B12" s="55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O12" s="28"/>
      <c r="P12" s="42"/>
      <c r="Q12" s="42"/>
      <c r="R12" s="42"/>
      <c r="S12" s="43"/>
      <c r="T12" s="43"/>
      <c r="U12" s="44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1"/>
      <c r="AG12" s="43"/>
    </row>
    <row r="13" spans="1:33" hidden="1" outlineLevel="1" x14ac:dyDescent="0.25">
      <c r="A13" t="str">
        <f>"XD"</f>
        <v>XD</v>
      </c>
      <c r="B13" s="55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O13" s="28"/>
      <c r="P13" s="42"/>
      <c r="Q13" s="42"/>
      <c r="R13" s="42"/>
      <c r="S13" s="43"/>
      <c r="T13" s="43"/>
      <c r="U13" s="44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1"/>
      <c r="AG13" s="43"/>
    </row>
    <row r="14" spans="1:33" hidden="1" outlineLevel="1" x14ac:dyDescent="0.25">
      <c r="A14" t="str">
        <f>"XN"</f>
        <v>XN</v>
      </c>
      <c r="B14" s="5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28"/>
      <c r="P14" s="42"/>
      <c r="Q14" s="42"/>
      <c r="R14" s="42"/>
      <c r="S14" s="43"/>
      <c r="T14" s="43"/>
      <c r="U14" s="44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1"/>
      <c r="AG14" s="43"/>
    </row>
    <row r="15" spans="1:33" hidden="1" outlineLevel="1" x14ac:dyDescent="0.25">
      <c r="A15" t="s">
        <v>14</v>
      </c>
    </row>
    <row r="16" spans="1:33" hidden="1" outlineLevel="1" x14ac:dyDescent="0.25"/>
    <row r="17" spans="2:4" hidden="1" outlineLevel="1" x14ac:dyDescent="0.25">
      <c r="B17" s="61" t="s">
        <v>15</v>
      </c>
      <c r="C17" s="62"/>
    </row>
    <row r="18" spans="2:4" hidden="1" outlineLevel="1" x14ac:dyDescent="0.25">
      <c r="B18" s="4" t="s">
        <v>16</v>
      </c>
      <c r="C18" s="4" t="s">
        <v>110</v>
      </c>
    </row>
    <row r="19" spans="2:4" hidden="1" outlineLevel="1" x14ac:dyDescent="0.25">
      <c r="B19" s="13" t="s">
        <v>63</v>
      </c>
      <c r="C19" s="51" t="str" cm="1">
        <f t="array" aca="1" ref="C19" ca="1">_xll.VIEW(db_name&amp;":}ElementAttributes_}Clients","!","!")</f>
        <v>dcceew_geus:}ElementAttributes_}Clients</v>
      </c>
      <c r="D19" s="11"/>
    </row>
    <row r="20" spans="2:4" hidden="1" outlineLevel="1" x14ac:dyDescent="0.25">
      <c r="B20" s="13" t="s">
        <v>64</v>
      </c>
      <c r="C20" s="52" t="str" cm="1">
        <f t="array" aca="1" ref="C20" ca="1">_xll.TM1USER(db_name)</f>
        <v>CAMID("pans:u:kgimena@excelerated.com.au")</v>
      </c>
      <c r="D20" s="11"/>
    </row>
    <row r="21" spans="2:4" hidden="1" outlineLevel="1" x14ac:dyDescent="0.25">
      <c r="B21" s="13" t="s">
        <v>65</v>
      </c>
      <c r="C21" s="52" t="str" cm="1">
        <f t="array" aca="1" ref="C21" ca="1">_xll.DBR($C$19,psUser,$B21)</f>
        <v>Business Analytics/Khristian Gimena</v>
      </c>
      <c r="D21" s="11"/>
    </row>
    <row r="22" spans="2:4" hidden="1" outlineLevel="1" x14ac:dyDescent="0.25">
      <c r="B22" s="13" t="s">
        <v>66</v>
      </c>
      <c r="C22" s="52" t="str" cm="1">
        <f t="array" aca="1" ref="C22" ca="1">_xll.DBR($C$19,psUser,$B22)</f>
        <v>Khristian Gimena</v>
      </c>
      <c r="D22" s="11"/>
    </row>
    <row r="23" spans="2:4" hidden="1" outlineLevel="1" x14ac:dyDescent="0.25">
      <c r="B23" s="13" t="s">
        <v>17</v>
      </c>
      <c r="C23" s="52" t="str">
        <f ca="1">IF(LEFT($C$21,6)="CAM_AD",$C$22,$C$21)</f>
        <v>Business Analytics/Khristian Gimena</v>
      </c>
      <c r="D23" s="4"/>
    </row>
    <row r="24" spans="2:4" hidden="1" outlineLevel="1" x14ac:dyDescent="0.25"/>
    <row r="25" spans="2:4" hidden="1" outlineLevel="1" x14ac:dyDescent="0.25">
      <c r="B25" s="63" t="s">
        <v>67</v>
      </c>
      <c r="C25" s="65"/>
      <c r="D25" s="64"/>
    </row>
    <row r="26" spans="2:4" hidden="1" outlineLevel="1" x14ac:dyDescent="0.25">
      <c r="B26" s="13" t="s">
        <v>68</v>
      </c>
      <c r="C26" s="7" t="str" cm="1">
        <f t="array" aca="1" ref="C26" ca="1">_xll.VIEW(db_name&amp;":}ElementAttributes_variables","!","!")</f>
        <v>dcceew_geus:}ElementAttributes_variables</v>
      </c>
    </row>
    <row r="27" spans="2:4" hidden="1" outlineLevel="1" x14ac:dyDescent="0.25">
      <c r="B27" s="13"/>
      <c r="C27" s="4" t="s">
        <v>21</v>
      </c>
      <c r="D27" s="4"/>
    </row>
    <row r="28" spans="2:4" hidden="1" outlineLevel="1" x14ac:dyDescent="0.25">
      <c r="B28" s="13" t="s">
        <v>22</v>
      </c>
      <c r="C28" s="7" t="str" cm="1">
        <f t="array" aca="1" ref="C28" ca="1">_xll.DBR($C$26,$B28,$C$27)</f>
        <v>HL2025-2026</v>
      </c>
    </row>
    <row r="29" spans="2:4" hidden="1" outlineLevel="1" x14ac:dyDescent="0.25">
      <c r="B29" s="13" t="s">
        <v>23</v>
      </c>
      <c r="C29" s="9" t="str" cm="1">
        <f t="array" aca="1" ref="C29" ca="1">_xll.DBR($C$26,$B29,$C$27)</f>
        <v>current</v>
      </c>
    </row>
    <row r="30" spans="2:4" hidden="1" outlineLevel="1" x14ac:dyDescent="0.25">
      <c r="B30" s="13" t="s">
        <v>69</v>
      </c>
      <c r="C30" s="9" t="str" cm="1">
        <f t="array" aca="1" ref="C30" ca="1">_xll.DBR($C$26,$B30,$C$27)</f>
        <v>HL2024-2025</v>
      </c>
    </row>
    <row r="31" spans="2:4" hidden="1" outlineLevel="1" x14ac:dyDescent="0.25">
      <c r="B31" s="13" t="s">
        <v>70</v>
      </c>
      <c r="C31" s="9" t="str" cm="1">
        <f t="array" aca="1" ref="C31" ca="1">_xll.DBR($C$26,$B31,$C$27)</f>
        <v>Budget</v>
      </c>
    </row>
    <row r="32" spans="2:4" hidden="1" outlineLevel="1" x14ac:dyDescent="0.25">
      <c r="B32" s="13" t="s">
        <v>71</v>
      </c>
      <c r="C32" s="9" t="str" cm="1">
        <f t="array" aca="1" ref="C32" ca="1">_xll.DBR($C$26,$B32,$C$27)</f>
        <v>MYEFO</v>
      </c>
    </row>
    <row r="33" spans="2:8" hidden="1" outlineLevel="1" x14ac:dyDescent="0.25">
      <c r="B33" s="73" t="s">
        <v>112</v>
      </c>
      <c r="C33" s="4" t="str" cm="1">
        <f t="array" aca="1" ref="C33" ca="1">_xll.DBR($C$26,$B33,$C$27)</f>
        <v>2024-2025 MYEFO</v>
      </c>
    </row>
    <row r="34" spans="2:8" hidden="1" outlineLevel="1" x14ac:dyDescent="0.25">
      <c r="B34" s="73" t="s">
        <v>113</v>
      </c>
      <c r="C34" s="4" t="str" cm="1">
        <f t="array" aca="1" ref="C34" ca="1">_xll.DBR($C$26,$B34,$C$27)</f>
        <v>2024-2025 Budget</v>
      </c>
    </row>
    <row r="35" spans="2:8" hidden="1" outlineLevel="1" x14ac:dyDescent="0.25"/>
    <row r="36" spans="2:8" hidden="1" outlineLevel="1" x14ac:dyDescent="0.25">
      <c r="B36" s="63" t="s">
        <v>72</v>
      </c>
      <c r="C36" s="65"/>
      <c r="D36" s="64"/>
    </row>
    <row r="37" spans="2:8" hidden="1" outlineLevel="1" x14ac:dyDescent="0.25">
      <c r="B37" s="13" t="s">
        <v>73</v>
      </c>
      <c r="C37" s="4" t="str">
        <f ca="1">_xll.VIEW(db_name&amp;":sys_application","!","!")</f>
        <v>dcceew_geus:sys_application</v>
      </c>
      <c r="D37" s="4"/>
    </row>
    <row r="38" spans="2:8" hidden="1" outlineLevel="1" x14ac:dyDescent="0.25">
      <c r="B38" s="13" t="s">
        <v>74</v>
      </c>
      <c r="C38" s="4" t="s">
        <v>85</v>
      </c>
      <c r="D38" s="4"/>
    </row>
    <row r="39" spans="2:8" hidden="1" outlineLevel="1" x14ac:dyDescent="0.25">
      <c r="B39" s="4"/>
      <c r="C39" s="13" t="s">
        <v>75</v>
      </c>
      <c r="D39" s="13" t="s">
        <v>76</v>
      </c>
      <c r="E39" s="13" t="s">
        <v>77</v>
      </c>
      <c r="F39" s="13" t="s">
        <v>78</v>
      </c>
      <c r="G39" s="13" t="s">
        <v>79</v>
      </c>
      <c r="H39" s="13" t="s">
        <v>80</v>
      </c>
    </row>
    <row r="40" spans="2:8" hidden="1" outlineLevel="1" x14ac:dyDescent="0.25">
      <c r="B40" s="4" t="s">
        <v>81</v>
      </c>
      <c r="C40" s="4" t="str" cm="1">
        <f t="array" aca="1" ref="C40" ca="1">_xll.DBR($C$37,$B40,C$39)</f>
        <v>TM1HomeCAP</v>
      </c>
      <c r="D40" s="4" t="str" cm="1">
        <f t="array" aca="1" ref="D40" ca="1">_xll.DBR($C$37,$B40,D$39)</f>
        <v>Home</v>
      </c>
      <c r="E40" s="4" t="str" cm="1">
        <f t="array" aca="1" ref="E40" ca="1">_xll.DBR($C$37,$B40,E$39)</f>
        <v>TM1HomeWB</v>
      </c>
      <c r="F40" s="4" t="str" cm="1">
        <f t="array" aca="1" ref="F40" ca="1">_xll.DBR($C$37,$B40,F$39)</f>
        <v>PRIMUS\GEUS WEB\Homepage\sys_Home.xlsx</v>
      </c>
      <c r="G40" s="4" t="str" cm="1">
        <f t="array" aca="1" ref="G40" ca="1">_xll.DBR($C$37,$B40,G$39)</f>
        <v>TM1HomeWS</v>
      </c>
      <c r="H40" s="4" t="str" cm="1">
        <f t="array" aca="1" ref="H40" ca="1">_xll.DBR($C$37,$B40,H$39)</f>
        <v>home</v>
      </c>
    </row>
    <row r="41" spans="2:8" hidden="1" outlineLevel="1" x14ac:dyDescent="0.25">
      <c r="B41" s="4" t="s">
        <v>82</v>
      </c>
      <c r="C41" s="4" t="str" cm="1">
        <f t="array" aca="1" ref="C41" ca="1">_xll.DBR($C$37,$B41,C$39)</f>
        <v>TM1HomeAECAP</v>
      </c>
      <c r="D41" s="4" t="str" cm="1">
        <f t="array" aca="1" ref="D41" ca="1">_xll.DBR($C$37,$B41,D$39)</f>
        <v>Annual Estimates</v>
      </c>
      <c r="E41" s="4" t="str" cm="1">
        <f t="array" aca="1" ref="E41" ca="1">_xll.DBR($C$37,$B41,E$39)</f>
        <v>TM1HomeAEWB</v>
      </c>
      <c r="F41" s="4" t="str" cm="1">
        <f t="array" aca="1" ref="F41" ca="1">_xll.DBR($C$37,$B41,F$39)</f>
        <v>PRIMUS\GEUS WEB\Homepage\sys_Home - Annual Estimates - Data Entry.xlsx</v>
      </c>
      <c r="G41" s="4" t="str" cm="1">
        <f t="array" aca="1" ref="G41" ca="1">_xll.DBR($C$37,$B41,G$39)</f>
        <v>TM1HomeAEWS</v>
      </c>
      <c r="H41" s="4" t="str" cm="1">
        <f t="array" aca="1" ref="H41" ca="1">_xll.DBR($C$37,$B41,H$39)</f>
        <v>Menu</v>
      </c>
    </row>
    <row r="42" spans="2:8" hidden="1" outlineLevel="1" x14ac:dyDescent="0.25">
      <c r="B42" s="4" t="s">
        <v>83</v>
      </c>
      <c r="C42" s="4" t="str" cm="1">
        <f t="array" aca="1" ref="C42" ca="1">_xll.DBR($C$37,$B42,C$39)</f>
        <v>TM1HomeRepCAP</v>
      </c>
      <c r="D42" s="4" t="str" cm="1">
        <f t="array" aca="1" ref="D42" ca="1">_xll.DBR($C$37,$B42,D$39)</f>
        <v>Reports</v>
      </c>
      <c r="E42" s="4" t="str" cm="1">
        <f t="array" aca="1" ref="E42" ca="1">_xll.DBR($C$37,$B42,E$39)</f>
        <v>TM1HomeRepWB</v>
      </c>
      <c r="F42" s="4" t="str" cm="1">
        <f t="array" aca="1" ref="F42" ca="1">_xll.DBR($C$37,$B42,F$39)</f>
        <v>PRIMUS\GEUS WEB\Homepage\sys_Home - Reports - PFS.xlsx</v>
      </c>
      <c r="G42" s="4" t="str" cm="1">
        <f t="array" aca="1" ref="G42" ca="1">_xll.DBR($C$37,$B42,G$39)</f>
        <v>TM1HomeRepWS</v>
      </c>
      <c r="H42" s="4" t="str" cm="1">
        <f t="array" aca="1" ref="H42" ca="1">_xll.DBR($C$37,$B42,H$39)</f>
        <v>Menu</v>
      </c>
    </row>
    <row r="43" spans="2:8" hidden="1" outlineLevel="1" x14ac:dyDescent="0.25">
      <c r="B43" s="4" t="s">
        <v>84</v>
      </c>
      <c r="C43" s="4" t="str" cm="1">
        <f t="array" aca="1" ref="C43" ca="1">_xll.DBR($C$37,$B43,C$39)</f>
        <v>TM1HomeRepOtherCAP</v>
      </c>
      <c r="D43" s="4" t="str" cm="1">
        <f t="array" aca="1" ref="D43" ca="1">_xll.DBR($C$37,$B43,D$39)</f>
        <v>Other Reports Menu</v>
      </c>
      <c r="E43" s="4" t="str" cm="1">
        <f t="array" aca="1" ref="E43" ca="1">_xll.DBR($C$37,$B43,E$39)</f>
        <v>TM1HomeRepOtherWB</v>
      </c>
      <c r="F43" s="4" t="str" cm="1">
        <f t="array" aca="1" ref="F43" ca="1">_xll.DBR($C$37,$B43,F$39)</f>
        <v>PRIMUS\GEUS WEB\Homepage\sys_Home - Reports - Other.xlsx</v>
      </c>
      <c r="G43" s="4" t="str" cm="1">
        <f t="array" aca="1" ref="G43" ca="1">_xll.DBR($C$37,$B43,G$39)</f>
        <v>TM1HomeRepOtherWS</v>
      </c>
      <c r="H43" s="4" t="str" cm="1">
        <f t="array" aca="1" ref="H43" ca="1">_xll.DBR($C$37,$B43,H$39)</f>
        <v>Menu</v>
      </c>
    </row>
    <row r="44" spans="2:8" hidden="1" outlineLevel="1" x14ac:dyDescent="0.25">
      <c r="B44" s="4" t="s">
        <v>90</v>
      </c>
      <c r="C44" s="4" t="str" cm="1">
        <f t="array" aca="1" ref="C44" ca="1">_xll.DBR($C$37,$B44,C$39)</f>
        <v>TM1HomeRepAnalyticalCAP</v>
      </c>
      <c r="D44" s="4" t="str" cm="1">
        <f t="array" aca="1" ref="D44" ca="1">_xll.DBR($C$37,$B44,D$39)</f>
        <v>Analytical Reports Menu</v>
      </c>
      <c r="E44" s="4" t="str" cm="1">
        <f t="array" aca="1" ref="E44" ca="1">_xll.DBR($C$37,$B44,E$39)</f>
        <v>TM1HomeRepAnalyticalWB</v>
      </c>
      <c r="F44" s="4" t="str" cm="1">
        <f t="array" aca="1" ref="F44" ca="1">_xll.DBR($C$37,$B44,F$39)</f>
        <v>PRIMUS\GEUS WEB\Homepage\sys_Home - Reports - Analytical.xlsx</v>
      </c>
      <c r="G44" s="4" t="str" cm="1">
        <f t="array" aca="1" ref="G44" ca="1">_xll.DBR($C$37,$B44,G$39)</f>
        <v>TM1HomeRepAnalyticalWS</v>
      </c>
      <c r="H44" s="4" t="str" cm="1">
        <f t="array" aca="1" ref="H44" ca="1">_xll.DBR($C$37,$B44,H$39)</f>
        <v>Menu</v>
      </c>
    </row>
    <row r="45" spans="2:8" hidden="1" outlineLevel="1" x14ac:dyDescent="0.25">
      <c r="B45" s="4" t="s">
        <v>94</v>
      </c>
      <c r="C45" s="4" t="str" cm="1">
        <f t="array" aca="1" ref="C45" ca="1">_xll.DBR($C$37,$B45,C$39)</f>
        <v>TM1AnalRptTransCAP</v>
      </c>
      <c r="D45" s="4" t="str" cm="1">
        <f t="array" aca="1" ref="D45" ca="1">_xll.DBR($C$37,$B45,D$39)</f>
        <v/>
      </c>
      <c r="E45" s="4" t="str" cm="1">
        <f t="array" aca="1" ref="E45" ca="1">_xll.DBR($C$37,$B45,E$39)</f>
        <v>TM1AnalRptTransWB</v>
      </c>
      <c r="F45" s="4" t="str" cm="1">
        <f t="array" aca="1" ref="F45" ca="1">_xll.DBR($C$37,$B45,F$39)</f>
        <v>PRIMUS\GEUS WEB\Reports\Analytical Reports\Analytical Reports - Transaction Listing.xlsx</v>
      </c>
      <c r="G45" s="4" t="str" cm="1">
        <f t="array" aca="1" ref="G45" ca="1">_xll.DBR($C$37,$B45,G$39)</f>
        <v>TM1AnalRptTransWS</v>
      </c>
      <c r="H45" s="4" t="str" cm="1">
        <f t="array" aca="1" ref="H45" ca="1">_xll.DBR($C$37,$B45,H$39)</f>
        <v>transaction listing</v>
      </c>
    </row>
    <row r="46" spans="2:8" hidden="1" outlineLevel="1" x14ac:dyDescent="0.25">
      <c r="B46" s="4" t="s">
        <v>86</v>
      </c>
      <c r="C46" s="4" t="str" cm="1">
        <f t="array" aca="1" ref="C46" ca="1">_xll.DBR($C$37,$B46,C$39)</f>
        <v>TM1AnalRptRepAdjRecoCAP</v>
      </c>
      <c r="D46" s="4" t="str" cm="1">
        <f t="array" aca="1" ref="D46" ca="1">_xll.DBR($C$37,$B46,D$39)</f>
        <v/>
      </c>
      <c r="E46" s="4" t="str" cm="1">
        <f t="array" aca="1" ref="E46" ca="1">_xll.DBR($C$37,$B46,E$39)</f>
        <v>TM1AnalRptRepAdjRecoWB</v>
      </c>
      <c r="F46" s="4" t="str" cm="1">
        <f t="array" aca="1" ref="F46" ca="1">_xll.DBR($C$37,$B46,F$39)</f>
        <v>PRIMUS\GEUS WEB\Reports\Analytical Reports\Analytical Reports - AE Adj and AE Reporting Reconciliation.xlsx</v>
      </c>
      <c r="G46" s="4" t="str" cm="1">
        <f t="array" aca="1" ref="G46" ca="1">_xll.DBR($C$37,$B46,G$39)</f>
        <v>TM1AnalRptRepAdjRecoWS</v>
      </c>
      <c r="H46" s="4" t="str" cm="1">
        <f t="array" aca="1" ref="H46" ca="1">_xll.DBR($C$37,$B46,H$39)</f>
        <v>reco</v>
      </c>
    </row>
    <row r="47" spans="2:8" hidden="1" outlineLevel="1" x14ac:dyDescent="0.25">
      <c r="B47" s="4" t="s">
        <v>87</v>
      </c>
      <c r="C47" s="4" t="str" cm="1">
        <f t="array" aca="1" ref="C47" ca="1">_xll.DBR($C$37,$B47,C$39)</f>
        <v>TM1AnalRptRecoCAP</v>
      </c>
      <c r="D47" s="4" t="str" cm="1">
        <f t="array" aca="1" ref="D47" ca="1">_xll.DBR($C$37,$B47,D$39)</f>
        <v/>
      </c>
      <c r="E47" s="4" t="str" cm="1">
        <f t="array" aca="1" ref="E47" ca="1">_xll.DBR($C$37,$B47,E$39)</f>
        <v>TM1AnalRptRecoWB</v>
      </c>
      <c r="F47" s="4" t="str" cm="1">
        <f t="array" aca="1" ref="F47" ca="1">_xll.DBR($C$37,$B47,F$39)</f>
        <v>PRIMUS\GEUS WEB\Reports\Analytical Reports\Analytical Reports - Reconciliation and Validations.xlsx</v>
      </c>
      <c r="G47" s="4" t="str" cm="1">
        <f t="array" aca="1" ref="G47" ca="1">_xll.DBR($C$37,$B47,G$39)</f>
        <v>TM1AnalRptRecoWS</v>
      </c>
      <c r="H47" s="4" t="str" cm="1">
        <f t="array" aca="1" ref="H47" ca="1">_xll.DBR($C$37,$B47,H$39)</f>
        <v>reco</v>
      </c>
    </row>
    <row r="48" spans="2:8" hidden="1" outlineLevel="1" x14ac:dyDescent="0.25">
      <c r="B48" s="4" t="s">
        <v>91</v>
      </c>
      <c r="C48" s="4" t="str" cm="1">
        <f t="array" aca="1" ref="C48" ca="1">_xll.DBR($C$37,$B48,C$39)</f>
        <v>TM1AnalRptDashboardCAP</v>
      </c>
      <c r="D48" s="4" t="str" cm="1">
        <f t="array" aca="1" ref="D48" ca="1">_xll.DBR($C$37,$B48,D$39)</f>
        <v/>
      </c>
      <c r="E48" s="4" t="str" cm="1">
        <f t="array" aca="1" ref="E48" ca="1">_xll.DBR($C$37,$B48,E$39)</f>
        <v>TM1AnalRptDashboardWB</v>
      </c>
      <c r="F48" s="4" t="str" cm="1">
        <f t="array" aca="1" ref="F48" ca="1">_xll.DBR($C$37,$B48,F$39)</f>
        <v/>
      </c>
      <c r="G48" s="4" t="str" cm="1">
        <f t="array" aca="1" ref="G48" ca="1">_xll.DBR($C$37,$B48,G$39)</f>
        <v>TM1AnalRptDashboardWS</v>
      </c>
      <c r="H48" s="4" t="str" cm="1">
        <f t="array" aca="1" ref="H48" ca="1">_xll.DBR($C$37,$B48,H$39)</f>
        <v/>
      </c>
    </row>
    <row r="49" spans="2:8" hidden="1" outlineLevel="1" x14ac:dyDescent="0.25">
      <c r="B49" s="4" t="s">
        <v>88</v>
      </c>
      <c r="C49" s="4" t="str" cm="1">
        <f t="array" aca="1" ref="C49" ca="1">_xll.DBR($C$37,$B49,C$39)</f>
        <v>TM1AnalRptARTRecoCAP</v>
      </c>
      <c r="D49" s="4" t="str" cm="1">
        <f t="array" aca="1" ref="D49" ca="1">_xll.DBR($C$37,$B49,D$39)</f>
        <v/>
      </c>
      <c r="E49" s="4" t="str" cm="1">
        <f t="array" aca="1" ref="E49" ca="1">_xll.DBR($C$37,$B49,E$39)</f>
        <v>TM1AnalRptARTRecoWB</v>
      </c>
      <c r="F49" s="4" t="str" cm="1">
        <f t="array" aca="1" ref="F49" ca="1">_xll.DBR($C$37,$B49,F$39)</f>
        <v/>
      </c>
      <c r="G49" s="4" t="str" cm="1">
        <f t="array" aca="1" ref="G49" ca="1">_xll.DBR($C$37,$B49,G$39)</f>
        <v>TM1AnalRptARTRecoWS</v>
      </c>
      <c r="H49" s="4" t="str" cm="1">
        <f t="array" aca="1" ref="H49" ca="1">_xll.DBR($C$37,$B49,H$39)</f>
        <v/>
      </c>
    </row>
    <row r="50" spans="2:8" hidden="1" outlineLevel="1" x14ac:dyDescent="0.25">
      <c r="B50" s="4" t="s">
        <v>89</v>
      </c>
      <c r="C50" s="4" t="str" cm="1">
        <f t="array" aca="1" ref="C50" ca="1">_xll.DBR($C$37,$B50,C$39)</f>
        <v>TM1AnalRptExportToCSVCAP</v>
      </c>
      <c r="D50" s="4" t="str" cm="1">
        <f t="array" aca="1" ref="D50" ca="1">_xll.DBR($C$37,$B50,D$39)</f>
        <v/>
      </c>
      <c r="E50" s="4" t="str" cm="1">
        <f t="array" aca="1" ref="E50" ca="1">_xll.DBR($C$37,$B50,E$39)</f>
        <v>TM1AnalRptExportToCSVWB</v>
      </c>
      <c r="F50" s="4" t="str" cm="1">
        <f t="array" aca="1" ref="F50" ca="1">_xll.DBR($C$37,$B50,F$39)</f>
        <v>PRIMUS\GEUS WEB\Reports\Analytical Reports\Analytical Reports - Data Extract To CSV.xlsx</v>
      </c>
      <c r="G50" s="4" t="str" cm="1">
        <f t="array" aca="1" ref="G50" ca="1">_xll.DBR($C$37,$B50,G$39)</f>
        <v>TM1AnalRptExportToCSVWS</v>
      </c>
      <c r="H50" s="4" t="str" cm="1">
        <f t="array" aca="1" ref="H50" ca="1">_xll.DBR($C$37,$B50,H$39)</f>
        <v>data etxract</v>
      </c>
    </row>
    <row r="51" spans="2:8" hidden="1" outlineLevel="1" x14ac:dyDescent="0.25">
      <c r="B51" s="4" t="s">
        <v>95</v>
      </c>
      <c r="C51" s="4" t="str" cm="1">
        <f t="array" aca="1" ref="C51" ca="1">_xll.DBR($C$37,$B51,C$39)</f>
        <v>TM1AnalRptRepStageMaintCAP</v>
      </c>
      <c r="D51" s="4" t="str" cm="1">
        <f t="array" aca="1" ref="D51" ca="1">_xll.DBR($C$37,$B51,D$39)</f>
        <v/>
      </c>
      <c r="E51" s="4" t="str" cm="1">
        <f t="array" aca="1" ref="E51" ca="1">_xll.DBR($C$37,$B51,E$39)</f>
        <v>TM1AnalRptRepStageMaintWB</v>
      </c>
      <c r="F51" s="4" t="str" cm="1">
        <f t="array" aca="1" ref="F51" ca="1">_xll.DBR($C$37,$B51,F$39)</f>
        <v>PRIMUS\GEUS WEB\Reports\Analytical Reports\Analytical Reports - Reporting Stage Maintenance.xlsx</v>
      </c>
      <c r="G51" s="4" t="str" cm="1">
        <f t="array" aca="1" ref="G51" ca="1">_xll.DBR($C$37,$B51,G$39)</f>
        <v>TM1AnalRptRepStageMaintWS</v>
      </c>
      <c r="H51" s="4" t="str" cm="1">
        <f t="array" aca="1" ref="H51" ca="1">_xll.DBR($C$37,$B51,H$39)</f>
        <v>stage maintenance</v>
      </c>
    </row>
    <row r="52" spans="2:8" hidden="1" outlineLevel="1" x14ac:dyDescent="0.25">
      <c r="B52" s="4" t="s">
        <v>97</v>
      </c>
      <c r="C52" s="4" t="str" cm="1">
        <f t="array" aca="1" ref="C52" ca="1">_xll.DBR($C$37,$B52,C$39)</f>
        <v>TM1ViewAdj01HeaderCAP</v>
      </c>
      <c r="D52" s="4" t="str" cm="1">
        <f t="array" aca="1" ref="D52" ca="1">_xll.DBR($C$37,$B52,D$39)</f>
        <v>Edit Adj Details</v>
      </c>
      <c r="E52" s="4" t="str" cm="1">
        <f t="array" aca="1" ref="E52" ca="1">_xll.DBR($C$37,$B52,E$39)</f>
        <v>TM1ViewAdj01HeaderWB</v>
      </c>
      <c r="F52" s="4" t="str" cm="1">
        <f t="array" aca="1" ref="F52" ca="1">_xll.DBR($C$37,$B52,F$39)</f>
        <v>PRIMUS\GEUS WEB\Annual Estimates\Data Entry\view adj 01 - header details.xlsx</v>
      </c>
      <c r="G52" s="4" t="str" cm="1">
        <f t="array" aca="1" ref="G52" ca="1">_xll.DBR($C$37,$B52,G$39)</f>
        <v>TM1ViewAdj01HeaderWS</v>
      </c>
      <c r="H52" s="4" t="str" cm="1">
        <f t="array" aca="1" ref="H52" ca="1">_xll.DBR($C$37,$B52,H$39)</f>
        <v>header</v>
      </c>
    </row>
    <row r="53" spans="2:8" hidden="1" outlineLevel="1" x14ac:dyDescent="0.25"/>
    <row r="54" spans="2:8" hidden="1" outlineLevel="1" x14ac:dyDescent="0.25">
      <c r="B54" s="63" t="s">
        <v>18</v>
      </c>
      <c r="C54" s="64"/>
    </row>
    <row r="55" spans="2:8" hidden="1" outlineLevel="1" x14ac:dyDescent="0.25">
      <c r="B55" s="5" t="s">
        <v>19</v>
      </c>
      <c r="C55" s="5" t="s">
        <v>20</v>
      </c>
    </row>
    <row r="56" spans="2:8" hidden="1" outlineLevel="1" x14ac:dyDescent="0.25">
      <c r="B56" s="6" t="s">
        <v>38</v>
      </c>
      <c r="C56" t="str" cm="1">
        <f t="array" aca="1" ref="C56" ca="1">_xll.TM1RPTVIEW(db_name&amp;":"&amp;cbRpt&amp;":"&amp;"4", 1, _xll.TM1RPTTITLE(db_name&amp;":"&amp;"status",$R$134), _xll.TM1RPTTITLE(db_name&amp;":"&amp;"outcome",$V$140), _xll.TM1RPTTITLE(db_name&amp;":"&amp;"related entity",$C$96), _xll.TM1RPTTITLE(db_name&amp;":"&amp;"function",$C$97), _xll.TM1RPTTITLE(db_name&amp;":"&amp;"spp",$C$98),  _xll.TM1RPTTITLE(db_name&amp;":"&amp;"appropriation type",$V$141), _xll.TM1RPTTITLE(db_name&amp;":"&amp;"appropriation item",$V$142), _xll.TM1RPTTITLE(db_name&amp;":"&amp;"programme",psPRog),  _xll.TM1RPTTITLE(db_name&amp;":"&amp;"jurisdiction",$C$105), _xll.TM1RPTTITLE(db_name&amp;":"&amp;"AE reporting measure",$C$106),TM1RPTFMTRNG,TM1RPTFMTIDCOL)</f>
        <v>dcceew_geus:AE Reporting:4</v>
      </c>
    </row>
    <row r="57" spans="2:8" hidden="1" outlineLevel="1" x14ac:dyDescent="0.25">
      <c r="B57" s="6" t="s">
        <v>56</v>
      </c>
      <c r="C57" t="str" cm="1">
        <f t="array" aca="1" ref="C57" ca="1">_xll.VIEW(db_name&amp;":"&amp;cbRpt,StartStage,$R$134,$V$140,$C$96,$C$97,psReason,$C$98,psMsrCode,$V$141,psMA,$V$142,psPRog,psAcc,sID0000A,$C$105,"!",$C$106)</f>
        <v>dcceew_geus:AE Reporting</v>
      </c>
    </row>
    <row r="58" spans="2:8" hidden="1" outlineLevel="1" x14ac:dyDescent="0.25">
      <c r="B58" s="8" t="s">
        <v>57</v>
      </c>
      <c r="C58" s="8" t="str" cm="1">
        <f t="array" aca="1" ref="C58" ca="1">_xll.VIEW(db_name&amp;":"&amp;cbRpt,EndStage,$R$134,$V$140,$C$96,$C$97,psReason,$C$98,psMsrCode,$V$141,psMA,$V$142,psPRog,psAcc,sIDTotal,$C$105,"!",$C$106)</f>
        <v>dcceew_geus:AE Reporting</v>
      </c>
    </row>
    <row r="59" spans="2:8" hidden="1" outlineLevel="1" x14ac:dyDescent="0.25"/>
    <row r="60" spans="2:8" hidden="1" outlineLevel="1" x14ac:dyDescent="0.25">
      <c r="B60" s="63" t="s">
        <v>26</v>
      </c>
      <c r="C60" s="64"/>
    </row>
    <row r="61" spans="2:8" hidden="1" outlineLevel="1" x14ac:dyDescent="0.25">
      <c r="B61" s="4" t="s">
        <v>26</v>
      </c>
      <c r="C61" s="4" t="s">
        <v>27</v>
      </c>
    </row>
    <row r="62" spans="2:8" hidden="1" outlineLevel="1" x14ac:dyDescent="0.25">
      <c r="B62" s="4"/>
      <c r="C62" s="4" t="str">
        <f ca="1">IF(psACCDisplayDetail=D63,C63,C64)</f>
        <v>{[account].[2000000 - Total Expenses]}</v>
      </c>
    </row>
    <row r="63" spans="2:8" hidden="1" outlineLevel="1" x14ac:dyDescent="0.25">
      <c r="B63" s="4" t="s">
        <v>28</v>
      </c>
      <c r="C63" s="4" t="str">
        <f ca="1">"{TM1FILTERBYLEVEL( {TM1DRILLDOWNMEMBER( {[account].["&amp;psAcc&amp;"]}, ALL, RECURSIVE )}, 0)}"</f>
        <v>{TM1FILTERBYLEVEL( {TM1DRILLDOWNMEMBER( {[account].[2000000 - Total Expenses]}, ALL, RECURSIVE )}, 0)}</v>
      </c>
      <c r="D63" t="s">
        <v>53</v>
      </c>
    </row>
    <row r="64" spans="2:8" hidden="1" outlineLevel="1" x14ac:dyDescent="0.25">
      <c r="B64" s="4" t="s">
        <v>29</v>
      </c>
      <c r="C64" s="4" t="str">
        <f ca="1">"{[account].["&amp;psAcc&amp;"]}"</f>
        <v>{[account].[2000000 - Total Expenses]}</v>
      </c>
      <c r="D64" t="s">
        <v>54</v>
      </c>
    </row>
    <row r="65" spans="2:4" hidden="1" outlineLevel="1" x14ac:dyDescent="0.25">
      <c r="B65" s="4"/>
      <c r="C65" s="4"/>
    </row>
    <row r="66" spans="2:4" hidden="1" outlineLevel="1" x14ac:dyDescent="0.25">
      <c r="B66" s="4" t="s">
        <v>26</v>
      </c>
      <c r="C66" s="4" t="s">
        <v>30</v>
      </c>
    </row>
    <row r="67" spans="2:4" hidden="1" outlineLevel="1" x14ac:dyDescent="0.25">
      <c r="B67" s="4" t="s">
        <v>28</v>
      </c>
      <c r="C67" s="4" t="str">
        <f ca="1">"{[reporting stage].["&amp;StartStage&amp;"]:[reporting stage].["&amp;EndStage&amp;"]}"</f>
        <v>{[reporting stage].[2024-2025 MYEFO]:[reporting stage].[2024-2025 Budget]}</v>
      </c>
    </row>
    <row r="68" spans="2:4" hidden="1" outlineLevel="1" x14ac:dyDescent="0.25">
      <c r="B68" s="4"/>
      <c r="C68" s="4"/>
    </row>
    <row r="69" spans="2:4" hidden="1" outlineLevel="1" x14ac:dyDescent="0.25">
      <c r="B69" s="4" t="s">
        <v>26</v>
      </c>
      <c r="C69" s="4" t="s">
        <v>40</v>
      </c>
    </row>
    <row r="70" spans="2:4" hidden="1" outlineLevel="1" x14ac:dyDescent="0.25">
      <c r="B70" s="4"/>
      <c r="C70" s="4" t="str">
        <f ca="1">IF(psMADisplayDetail=D71,C71,C72)</f>
        <v>{[movement account].[Total movement]}</v>
      </c>
    </row>
    <row r="71" spans="2:4" hidden="1" outlineLevel="1" x14ac:dyDescent="0.25">
      <c r="B71" s="4" t="s">
        <v>28</v>
      </c>
      <c r="C71" s="4" t="str">
        <f ca="1">"{TM1FILTERBYLEVEL( {TM1DRILLDOWNMEMBER( {[movement account].["&amp;psMA&amp;"]}, ALL, RECURSIVE )}, 0)}"</f>
        <v>{TM1FILTERBYLEVEL( {TM1DRILLDOWNMEMBER( {[movement account].[Total movement]}, ALL, RECURSIVE )}, 0)}</v>
      </c>
      <c r="D71" t="s">
        <v>53</v>
      </c>
    </row>
    <row r="72" spans="2:4" hidden="1" outlineLevel="1" x14ac:dyDescent="0.25">
      <c r="B72" s="4" t="s">
        <v>29</v>
      </c>
      <c r="C72" s="4" t="str">
        <f ca="1">"{[movement account].["&amp;psMA&amp;"]}"</f>
        <v>{[movement account].[Total movement]}</v>
      </c>
      <c r="D72" t="s">
        <v>54</v>
      </c>
    </row>
    <row r="73" spans="2:4" hidden="1" outlineLevel="1" x14ac:dyDescent="0.25">
      <c r="B73" s="8"/>
    </row>
    <row r="74" spans="2:4" hidden="1" outlineLevel="1" x14ac:dyDescent="0.25">
      <c r="B74" s="4" t="s">
        <v>26</v>
      </c>
      <c r="C74" s="4" t="s">
        <v>41</v>
      </c>
    </row>
    <row r="75" spans="2:4" hidden="1" outlineLevel="1" x14ac:dyDescent="0.25">
      <c r="B75" s="4"/>
      <c r="C75" s="4" t="str">
        <f ca="1">IF(psReasonDisplayDetail=D76,C76,C77)</f>
        <v>{[Reason].[sys_Total Reason]}</v>
      </c>
    </row>
    <row r="76" spans="2:4" hidden="1" outlineLevel="1" x14ac:dyDescent="0.25">
      <c r="B76" s="4" t="s">
        <v>28</v>
      </c>
      <c r="C76" s="4" t="str">
        <f ca="1">"{TM1FILTERBYLEVEL( {TM1DRILLDOWNMEMBER( {[Reason].["&amp;psReason&amp;"]}, ALL, RECURSIVE )}, 0)}"</f>
        <v>{TM1FILTERBYLEVEL( {TM1DRILLDOWNMEMBER( {[Reason].[sys_Total Reason]}, ALL, RECURSIVE )}, 0)}</v>
      </c>
      <c r="D76" t="s">
        <v>53</v>
      </c>
    </row>
    <row r="77" spans="2:4" hidden="1" outlineLevel="1" x14ac:dyDescent="0.25">
      <c r="B77" s="4" t="s">
        <v>29</v>
      </c>
      <c r="C77" s="4" t="str">
        <f ca="1">"{[Reason].["&amp;psReason&amp;"]}"</f>
        <v>{[Reason].[sys_Total Reason]}</v>
      </c>
      <c r="D77" t="s">
        <v>54</v>
      </c>
    </row>
    <row r="78" spans="2:4" hidden="1" outlineLevel="1" x14ac:dyDescent="0.25">
      <c r="B78" s="8"/>
    </row>
    <row r="79" spans="2:4" hidden="1" outlineLevel="1" x14ac:dyDescent="0.25">
      <c r="B79" s="4" t="s">
        <v>26</v>
      </c>
      <c r="C79" s="4" t="s">
        <v>42</v>
      </c>
    </row>
    <row r="80" spans="2:4" hidden="1" outlineLevel="1" x14ac:dyDescent="0.25">
      <c r="B80" s="4"/>
      <c r="C80" s="4" t="str">
        <f ca="1">IF(psMSRDisplayDetail=D81,C81,C82)</f>
        <v>{[measure code].[Total Measures - ]}</v>
      </c>
    </row>
    <row r="81" spans="2:4" hidden="1" outlineLevel="1" x14ac:dyDescent="0.25">
      <c r="B81" s="4" t="s">
        <v>28</v>
      </c>
      <c r="C81" s="4" t="str">
        <f ca="1">"{TM1FILTERBYLEVEL( {TM1DRILLDOWNMEMBER( {[measure code].["&amp;psMsrCode&amp;"]}, ALL, RECURSIVE )}, 0)}"</f>
        <v>{TM1FILTERBYLEVEL( {TM1DRILLDOWNMEMBER( {[measure code].[Total Measures - ]}, ALL, RECURSIVE )}, 0)}</v>
      </c>
      <c r="D81" t="s">
        <v>53</v>
      </c>
    </row>
    <row r="82" spans="2:4" hidden="1" outlineLevel="1" x14ac:dyDescent="0.25">
      <c r="B82" s="4" t="s">
        <v>29</v>
      </c>
      <c r="C82" s="4" t="str">
        <f ca="1">"{[measure code].["&amp;psMsrCode&amp;"]}"</f>
        <v>{[measure code].[Total Measures - ]}</v>
      </c>
      <c r="D82" t="s">
        <v>54</v>
      </c>
    </row>
    <row r="83" spans="2:4" hidden="1" outlineLevel="1" x14ac:dyDescent="0.25">
      <c r="B83" s="4" t="s">
        <v>26</v>
      </c>
      <c r="C83" s="4" t="s">
        <v>8</v>
      </c>
    </row>
    <row r="84" spans="2:4" hidden="1" outlineLevel="1" x14ac:dyDescent="0.25">
      <c r="B84" s="4"/>
      <c r="C84" s="4" t="str">
        <f ca="1">IF(psIDDisplayDetail=D85,C85,C86)</f>
        <v>{[id].[New Adjustments]}</v>
      </c>
    </row>
    <row r="85" spans="2:4" hidden="1" outlineLevel="1" x14ac:dyDescent="0.25">
      <c r="B85" s="4" t="s">
        <v>28</v>
      </c>
      <c r="C85" s="4" t="str">
        <f ca="1">"{TM1FILTERBYLEVEL( {TM1DRILLDOWNMEMBER( {[id].["&amp;sID&amp;"]}, ALL, RECURSIVE )}, 0)}"</f>
        <v>{TM1FILTERBYLEVEL( {TM1DRILLDOWNMEMBER( {[id].[New Adjustments]}, ALL, RECURSIVE )}, 0)}</v>
      </c>
      <c r="D85" t="s">
        <v>53</v>
      </c>
    </row>
    <row r="86" spans="2:4" hidden="1" outlineLevel="1" x14ac:dyDescent="0.25">
      <c r="B86" s="4" t="s">
        <v>29</v>
      </c>
      <c r="C86" s="4" t="str">
        <f ca="1">"{[id].["&amp;sID&amp;"]}"</f>
        <v>{[id].[New Adjustments]}</v>
      </c>
      <c r="D86" t="s">
        <v>54</v>
      </c>
    </row>
    <row r="87" spans="2:4" hidden="1" outlineLevel="1" x14ac:dyDescent="0.25"/>
    <row r="88" spans="2:4" hidden="1" outlineLevel="1" x14ac:dyDescent="0.25">
      <c r="B88" s="4" t="s">
        <v>26</v>
      </c>
      <c r="C88" s="4" t="s">
        <v>8</v>
      </c>
    </row>
    <row r="89" spans="2:4" hidden="1" outlineLevel="1" x14ac:dyDescent="0.25">
      <c r="B89" s="4"/>
      <c r="C89" s="4" t="str">
        <f ca="1">IF(psIDDisplayDetail=D90,C90,C91)</f>
        <v>{[id].[00FBO]}</v>
      </c>
    </row>
    <row r="90" spans="2:4" hidden="1" outlineLevel="1" x14ac:dyDescent="0.25">
      <c r="B90" s="4" t="s">
        <v>28</v>
      </c>
      <c r="C90" s="4" t="str">
        <f ca="1">"{TM1FILTERBYLEVEL( {TM1DRILLDOWNMEMBER( {[id].["&amp;sID00FBO&amp;"]}, ALL, RECURSIVE )}, 0)}"</f>
        <v>{TM1FILTERBYLEVEL( {TM1DRILLDOWNMEMBER( {[id].[00FBO]}, ALL, RECURSIVE )}, 0)}</v>
      </c>
      <c r="D90" t="s">
        <v>53</v>
      </c>
    </row>
    <row r="91" spans="2:4" hidden="1" outlineLevel="1" x14ac:dyDescent="0.25">
      <c r="B91" s="4" t="s">
        <v>29</v>
      </c>
      <c r="C91" s="4" t="str">
        <f ca="1">"{[id].["&amp;sID00FBO&amp;"]}"</f>
        <v>{[id].[00FBO]}</v>
      </c>
      <c r="D91" t="s">
        <v>54</v>
      </c>
    </row>
    <row r="92" spans="2:4" hidden="1" outlineLevel="1" x14ac:dyDescent="0.25"/>
    <row r="93" spans="2:4" hidden="1" outlineLevel="1" x14ac:dyDescent="0.25">
      <c r="B93" s="63" t="s">
        <v>32</v>
      </c>
      <c r="C93" s="64"/>
    </row>
    <row r="94" spans="2:4" hidden="1" outlineLevel="1" x14ac:dyDescent="0.25">
      <c r="B94" s="13" t="s">
        <v>0</v>
      </c>
    </row>
    <row r="95" spans="2:4" hidden="1" outlineLevel="1" x14ac:dyDescent="0.25">
      <c r="B95" s="13" t="s">
        <v>1</v>
      </c>
    </row>
    <row r="96" spans="2:4" hidden="1" outlineLevel="1" x14ac:dyDescent="0.25">
      <c r="B96" s="13" t="s">
        <v>2</v>
      </c>
      <c r="C96" s="4" t="str" cm="1">
        <f t="array" aca="1" ref="C96" ca="1">_xll.SUBNM(db_name&amp;":"&amp;"related entity","","Total related entity")</f>
        <v>Total related entity</v>
      </c>
    </row>
    <row r="97" spans="2:33" hidden="1" outlineLevel="1" x14ac:dyDescent="0.25">
      <c r="B97" s="13" t="s">
        <v>3</v>
      </c>
      <c r="C97" s="4" t="str" cm="1">
        <f t="array" aca="1" ref="C97" ca="1">_xll.SUBNM(db_name&amp;":"&amp;"function","","Total functions")</f>
        <v>Total functions</v>
      </c>
    </row>
    <row r="98" spans="2:33" hidden="1" outlineLevel="1" x14ac:dyDescent="0.25">
      <c r="B98" s="13" t="s">
        <v>4</v>
      </c>
      <c r="C98" s="4" t="str" cm="1">
        <f t="array" aca="1" ref="C98" ca="1">_xll.SUBNM(db_name&amp;":"&amp;"spp","","Total SPP")</f>
        <v>Total SPP</v>
      </c>
    </row>
    <row r="99" spans="2:33" hidden="1" outlineLevel="1" x14ac:dyDescent="0.25"/>
    <row r="100" spans="2:33" hidden="1" outlineLevel="1" x14ac:dyDescent="0.25">
      <c r="B100" s="13" t="s">
        <v>5</v>
      </c>
    </row>
    <row r="101" spans="2:33" hidden="1" outlineLevel="1" x14ac:dyDescent="0.25"/>
    <row r="102" spans="2:33" hidden="1" outlineLevel="1" x14ac:dyDescent="0.25">
      <c r="B102" s="13" t="s">
        <v>6</v>
      </c>
    </row>
    <row r="103" spans="2:33" hidden="1" outlineLevel="1" x14ac:dyDescent="0.25">
      <c r="B103" s="13" t="s">
        <v>7</v>
      </c>
      <c r="C103" s="4" t="str" cm="1">
        <f t="array" aca="1" ref="C103" ca="1">_xll.SUBNM(db_name&amp;":"&amp;"programme","Default","Total Programmes","code and description")</f>
        <v>Total Programmes</v>
      </c>
    </row>
    <row r="104" spans="2:33" hidden="1" outlineLevel="1" x14ac:dyDescent="0.25">
      <c r="AG104" s="17"/>
    </row>
    <row r="105" spans="2:33" hidden="1" outlineLevel="1" x14ac:dyDescent="0.25">
      <c r="B105" s="13" t="s">
        <v>9</v>
      </c>
      <c r="C105" s="4" t="str" cm="1">
        <f t="array" aca="1" ref="C105" ca="1">_xll.SUBNM(db_name&amp;":"&amp;"jurisdiction","","Total jurisdictions")</f>
        <v>Total jurisdictions</v>
      </c>
    </row>
    <row r="106" spans="2:33" hidden="1" outlineLevel="1" x14ac:dyDescent="0.25">
      <c r="B106" s="13" t="s">
        <v>10</v>
      </c>
      <c r="C106" s="4" t="str" cm="1">
        <f t="array" aca="1" ref="C106" ca="1">_xll.SUBNM(db_name&amp;":"&amp;"AE reporting measure","","value")</f>
        <v>value</v>
      </c>
    </row>
    <row r="107" spans="2:33" hidden="1" outlineLevel="1" x14ac:dyDescent="0.25"/>
    <row r="108" spans="2:33" hidden="1" outlineLevel="1" x14ac:dyDescent="0.25">
      <c r="B108" s="63" t="s">
        <v>33</v>
      </c>
      <c r="C108" s="64"/>
    </row>
    <row r="109" spans="2:33" hidden="1" outlineLevel="1" x14ac:dyDescent="0.25">
      <c r="B109" s="13" t="s">
        <v>39</v>
      </c>
      <c r="C109" s="4" t="str" cm="1">
        <f t="array" aca="1" ref="C109" ca="1">_xll.SUBNM(db_name&amp;":"&amp;"id","","0BASE")</f>
        <v>0BASE</v>
      </c>
    </row>
    <row r="110" spans="2:33" hidden="1" outlineLevel="1" x14ac:dyDescent="0.25">
      <c r="B110" s="13" t="s">
        <v>46</v>
      </c>
      <c r="C110" s="4" t="str" cm="1">
        <f t="array" aca="1" ref="C110" ca="1">_xll.SUBNM(db_name&amp;":"&amp;"id","","00FBO")</f>
        <v>00FBO</v>
      </c>
    </row>
    <row r="111" spans="2:33" hidden="1" outlineLevel="1" x14ac:dyDescent="0.25">
      <c r="B111" s="13" t="s">
        <v>31</v>
      </c>
      <c r="C111" s="4" t="str" cm="1">
        <f t="array" aca="1" ref="C111" ca="1">_xll.SUBNM(db_name&amp;":"&amp;"id","","Total IDs")</f>
        <v>Total IDs</v>
      </c>
    </row>
    <row r="112" spans="2:33" hidden="1" outlineLevel="1" x14ac:dyDescent="0.25">
      <c r="B112" s="13" t="s">
        <v>47</v>
      </c>
      <c r="C112" s="4" t="str" cm="1">
        <f t="array" aca="1" ref="C112" ca="1">_xll.SUBNM(db_name&amp;":"&amp;"id","","New Adjustments")</f>
        <v>New Adjustments</v>
      </c>
    </row>
    <row r="113" spans="1:33" hidden="1" outlineLevel="1" x14ac:dyDescent="0.25"/>
    <row r="114" spans="1:33" hidden="1" outlineLevel="1" x14ac:dyDescent="0.25">
      <c r="A114" s="18"/>
      <c r="B114" s="63" t="s">
        <v>99</v>
      </c>
      <c r="C114" s="64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9" t="str">
        <f t="shared" ref="V114:AE114" ca="1" si="0">IF($R$136=$T$119,V116,IF($R$136=$T$120,V118,IF($R$136=$T$121,V120,V122)))</f>
        <v>2022-2023</v>
      </c>
      <c r="W114" s="19" t="str">
        <f t="shared" ca="1" si="0"/>
        <v>2023-2024</v>
      </c>
      <c r="X114" s="19" t="str">
        <f t="shared" ca="1" si="0"/>
        <v>2024-2025</v>
      </c>
      <c r="Y114" s="19" t="str">
        <f t="shared" ca="1" si="0"/>
        <v>2025-2026</v>
      </c>
      <c r="Z114" s="19" t="str">
        <f t="shared" ca="1" si="0"/>
        <v>2026-2027</v>
      </c>
      <c r="AA114" s="19" t="str">
        <f t="shared" ca="1" si="0"/>
        <v>2027-2028</v>
      </c>
      <c r="AB114" s="19" t="str">
        <f t="shared" ca="1" si="0"/>
        <v>2028-2029</v>
      </c>
      <c r="AC114" s="19" t="str">
        <f t="shared" ca="1" si="0"/>
        <v>2029-2030</v>
      </c>
      <c r="AD114" s="19" t="str">
        <f t="shared" ca="1" si="0"/>
        <v>2030-2031</v>
      </c>
      <c r="AE114" s="19" t="str">
        <f t="shared" ca="1" si="0"/>
        <v>2031-2032</v>
      </c>
      <c r="AF114" s="19" t="s">
        <v>34</v>
      </c>
    </row>
    <row r="115" spans="1:33" hidden="1" outlineLevel="1" x14ac:dyDescent="0.25">
      <c r="A115" s="18"/>
      <c r="B115" s="18" t="s">
        <v>100</v>
      </c>
      <c r="C115" s="18" t="str" cm="1">
        <f t="array" aca="1" ref="C115" ca="1">_xll.VIEW(db_name&amp;":AE id details","!","!","!","!")</f>
        <v>dcceew_geus:AE id details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20" t="s">
        <v>48</v>
      </c>
      <c r="V115" s="21">
        <v>-2</v>
      </c>
      <c r="W115" s="21">
        <v>-1</v>
      </c>
      <c r="X115" s="21">
        <v>0</v>
      </c>
      <c r="Y115" s="21">
        <v>1</v>
      </c>
      <c r="Z115" s="21">
        <v>2</v>
      </c>
      <c r="AA115" s="21">
        <v>3</v>
      </c>
      <c r="AB115" s="21">
        <v>4</v>
      </c>
      <c r="AC115" s="21">
        <v>5</v>
      </c>
      <c r="AD115" s="21">
        <v>6</v>
      </c>
      <c r="AE115" s="21">
        <v>7</v>
      </c>
      <c r="AF115" s="22"/>
    </row>
    <row r="116" spans="1:33" hidden="1" outlineLevel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R116" s="18"/>
      <c r="T116" s="18"/>
      <c r="U116" s="23"/>
      <c r="V116" s="24" t="str" cm="1">
        <f t="array" aca="1" ref="V116" ca="1">_xll.DIMNM(db_name&amp;":"&amp;"period",_xll.DIMIX(db_name&amp;":"&amp;"period",LEFT(StartStage,9))+V115)</f>
        <v>2022-2023</v>
      </c>
      <c r="W116" s="24" t="str" cm="1">
        <f t="array" aca="1" ref="W116" ca="1">_xll.DIMNM(db_name&amp;":"&amp;"period",_xll.DIMIX(db_name&amp;":"&amp;"period",LEFT(StartStage,9))+W115)</f>
        <v>2023-2024</v>
      </c>
      <c r="X116" s="24" t="str" cm="1">
        <f t="array" aca="1" ref="X116" ca="1">_xll.DIMNM(db_name&amp;":"&amp;"period",_xll.DIMIX(db_name&amp;":"&amp;"period",LEFT(StartStage,9))+X115)</f>
        <v>2024-2025</v>
      </c>
      <c r="Y116" s="24" t="str" cm="1">
        <f t="array" aca="1" ref="Y116" ca="1">_xll.DIMNM(db_name&amp;":"&amp;"period",_xll.DIMIX(db_name&amp;":"&amp;"period",LEFT(StartStage,9))+Y115)</f>
        <v>2025-2026</v>
      </c>
      <c r="Z116" s="24" t="str" cm="1">
        <f t="array" aca="1" ref="Z116" ca="1">_xll.DIMNM(db_name&amp;":"&amp;"period",_xll.DIMIX(db_name&amp;":"&amp;"period",LEFT(StartStage,9))+Z115)</f>
        <v>2026-2027</v>
      </c>
      <c r="AA116" s="24" t="str" cm="1">
        <f t="array" aca="1" ref="AA116" ca="1">_xll.DIMNM(db_name&amp;":"&amp;"period",_xll.DIMIX(db_name&amp;":"&amp;"period",LEFT(StartStage,9))+AA115)</f>
        <v>2027-2028</v>
      </c>
      <c r="AB116" s="24" t="str" cm="1">
        <f t="array" aca="1" ref="AB116" ca="1">_xll.DIMNM(db_name&amp;":"&amp;"period",_xll.DIMIX(db_name&amp;":"&amp;"period",LEFT(StartStage,9))+AB115)</f>
        <v>2028-2029</v>
      </c>
      <c r="AC116" s="24" t="str" cm="1">
        <f t="array" aca="1" ref="AC116" ca="1">_xll.DIMNM(db_name&amp;":"&amp;"period",_xll.DIMIX(db_name&amp;":"&amp;"period",LEFT(StartStage,9))+AC115)</f>
        <v>2029-2030</v>
      </c>
      <c r="AD116" s="24" t="str" cm="1">
        <f t="array" aca="1" ref="AD116" ca="1">_xll.DIMNM(db_name&amp;":"&amp;"period",_xll.DIMIX(db_name&amp;":"&amp;"period",LEFT(StartStage,9))+AD115)</f>
        <v>2030-2031</v>
      </c>
      <c r="AE116" s="24" t="str" cm="1">
        <f t="array" aca="1" ref="AE116" ca="1">_xll.DIMNM(db_name&amp;":"&amp;"period",_xll.DIMIX(db_name&amp;":"&amp;"period",LEFT(StartStage,9))+AE115)</f>
        <v>2031-2032</v>
      </c>
      <c r="AF116" s="25"/>
    </row>
    <row r="117" spans="1:33" hidden="1" outlineLevel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20" t="s">
        <v>49</v>
      </c>
      <c r="V117" s="21">
        <v>-4</v>
      </c>
      <c r="W117" s="21">
        <v>-3</v>
      </c>
      <c r="X117" s="21">
        <v>-2</v>
      </c>
      <c r="Y117" s="21">
        <v>-1</v>
      </c>
      <c r="Z117" s="21">
        <v>0</v>
      </c>
      <c r="AA117" s="21">
        <v>1</v>
      </c>
      <c r="AB117" s="21">
        <v>2</v>
      </c>
      <c r="AC117" s="21">
        <v>3</v>
      </c>
      <c r="AD117" s="21">
        <v>4</v>
      </c>
      <c r="AE117" s="21">
        <v>5</v>
      </c>
      <c r="AF117" s="22"/>
    </row>
    <row r="118" spans="1:33" hidden="1" outlineLevel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23"/>
      <c r="V118" s="24" t="str" cm="1">
        <f t="array" aca="1" ref="V118" ca="1">_xll.DIMNM(db_name&amp;":"&amp;"period",_xll.DIMIX(db_name&amp;":"&amp;"period",LEFT(EndStage,9))+V117)</f>
        <v>2020-2021</v>
      </c>
      <c r="W118" s="24" t="str" cm="1">
        <f t="array" aca="1" ref="W118" ca="1">_xll.DIMNM(db_name&amp;":"&amp;"period",_xll.DIMIX(db_name&amp;":"&amp;"period",LEFT(EndStage,9))+W117)</f>
        <v>2021-2022</v>
      </c>
      <c r="X118" s="24" t="str" cm="1">
        <f t="array" aca="1" ref="X118" ca="1">_xll.DIMNM(db_name&amp;":"&amp;"period",_xll.DIMIX(db_name&amp;":"&amp;"period",LEFT(EndStage,9))+X117)</f>
        <v>2022-2023</v>
      </c>
      <c r="Y118" s="24" t="str" cm="1">
        <f t="array" aca="1" ref="Y118" ca="1">_xll.DIMNM(db_name&amp;":"&amp;"period",_xll.DIMIX(db_name&amp;":"&amp;"period",LEFT(EndStage,9))+Y117)</f>
        <v>2023-2024</v>
      </c>
      <c r="Z118" s="24" t="str" cm="1">
        <f t="array" aca="1" ref="Z118" ca="1">_xll.DIMNM(db_name&amp;":"&amp;"period",_xll.DIMIX(db_name&amp;":"&amp;"period",LEFT(EndStage,9))+Z117)</f>
        <v>2024-2025</v>
      </c>
      <c r="AA118" s="24" t="str" cm="1">
        <f t="array" aca="1" ref="AA118" ca="1">_xll.DIMNM(db_name&amp;":"&amp;"period",_xll.DIMIX(db_name&amp;":"&amp;"period",LEFT(EndStage,9))+AA117)</f>
        <v>2025-2026</v>
      </c>
      <c r="AB118" s="24" t="str" cm="1">
        <f t="array" aca="1" ref="AB118" ca="1">_xll.DIMNM(db_name&amp;":"&amp;"period",_xll.DIMIX(db_name&amp;":"&amp;"period",LEFT(EndStage,9))+AB117)</f>
        <v>2026-2027</v>
      </c>
      <c r="AC118" s="24" t="str" cm="1">
        <f t="array" aca="1" ref="AC118" ca="1">_xll.DIMNM(db_name&amp;":"&amp;"period",_xll.DIMIX(db_name&amp;":"&amp;"period",LEFT(EndStage,9))+AC117)</f>
        <v>2027-2028</v>
      </c>
      <c r="AD118" s="24" t="str" cm="1">
        <f t="array" aca="1" ref="AD118" ca="1">_xll.DIMNM(db_name&amp;":"&amp;"period",_xll.DIMIX(db_name&amp;":"&amp;"period",LEFT(EndStage,9))+AD117)</f>
        <v>2028-2029</v>
      </c>
      <c r="AE118" s="24" t="str" cm="1">
        <f t="array" aca="1" ref="AE118" ca="1">_xll.DIMNM(db_name&amp;":"&amp;"period",_xll.DIMIX(db_name&amp;":"&amp;"period",LEFT(EndStage,9))+AE117)</f>
        <v>2029-2030</v>
      </c>
      <c r="AF118" s="25"/>
    </row>
    <row r="119" spans="1:33" hidden="1" outlineLevel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48</v>
      </c>
      <c r="U119" s="20" t="s">
        <v>50</v>
      </c>
      <c r="V119" s="21">
        <v>-2</v>
      </c>
      <c r="W119" s="21">
        <v>-1</v>
      </c>
      <c r="X119" s="21">
        <v>0</v>
      </c>
      <c r="Y119" s="21">
        <v>1</v>
      </c>
      <c r="Z119" s="21">
        <v>2</v>
      </c>
      <c r="AA119" s="21">
        <v>3</v>
      </c>
      <c r="AB119" s="21">
        <v>4</v>
      </c>
      <c r="AC119" s="21">
        <v>5</v>
      </c>
      <c r="AD119" s="21">
        <v>6</v>
      </c>
      <c r="AE119" s="21">
        <v>7</v>
      </c>
      <c r="AF119" s="22"/>
    </row>
    <row r="120" spans="1:33" hidden="1" outlineLevel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49</v>
      </c>
      <c r="U120" s="23"/>
      <c r="V120" s="24" t="str" cm="1">
        <f t="array" aca="1" ref="V120" ca="1">_xll.DIMNM(db_name&amp;":"&amp;"period",_xll.DIMIX(db_name&amp;":"&amp;"period",LEFT(EndStage,9))+V119)</f>
        <v>2022-2023</v>
      </c>
      <c r="W120" s="24" t="str" cm="1">
        <f t="array" aca="1" ref="W120" ca="1">_xll.DIMNM(db_name&amp;":"&amp;"period",_xll.DIMIX(db_name&amp;":"&amp;"period",LEFT(EndStage,9))+W119)</f>
        <v>2023-2024</v>
      </c>
      <c r="X120" s="24" t="str" cm="1">
        <f t="array" aca="1" ref="X120" ca="1">_xll.DIMNM(db_name&amp;":"&amp;"period",_xll.DIMIX(db_name&amp;":"&amp;"period",LEFT(EndStage,9))+X119)</f>
        <v>2024-2025</v>
      </c>
      <c r="Y120" s="24" t="str" cm="1">
        <f t="array" aca="1" ref="Y120" ca="1">_xll.DIMNM(db_name&amp;":"&amp;"period",_xll.DIMIX(db_name&amp;":"&amp;"period",LEFT(EndStage,9))+Y119)</f>
        <v>2025-2026</v>
      </c>
      <c r="Z120" s="24" t="str" cm="1">
        <f t="array" aca="1" ref="Z120" ca="1">_xll.DIMNM(db_name&amp;":"&amp;"period",_xll.DIMIX(db_name&amp;":"&amp;"period",LEFT(EndStage,9))+Z119)</f>
        <v>2026-2027</v>
      </c>
      <c r="AA120" s="24" t="str" cm="1">
        <f t="array" aca="1" ref="AA120" ca="1">_xll.DIMNM(db_name&amp;":"&amp;"period",_xll.DIMIX(db_name&amp;":"&amp;"period",LEFT(EndStage,9))+AA119)</f>
        <v>2027-2028</v>
      </c>
      <c r="AB120" s="24" t="str" cm="1">
        <f t="array" aca="1" ref="AB120" ca="1">_xll.DIMNM(db_name&amp;":"&amp;"period",_xll.DIMIX(db_name&amp;":"&amp;"period",LEFT(EndStage,9))+AB119)</f>
        <v>2028-2029</v>
      </c>
      <c r="AC120" s="24" t="str" cm="1">
        <f t="array" aca="1" ref="AC120" ca="1">_xll.DIMNM(db_name&amp;":"&amp;"period",_xll.DIMIX(db_name&amp;":"&amp;"period",LEFT(EndStage,9))+AC119)</f>
        <v>2029-2030</v>
      </c>
      <c r="AD120" s="24" t="str" cm="1">
        <f t="array" aca="1" ref="AD120" ca="1">_xll.DIMNM(db_name&amp;":"&amp;"period",_xll.DIMIX(db_name&amp;":"&amp;"period",LEFT(EndStage,9))+AD119)</f>
        <v>2030-2031</v>
      </c>
      <c r="AE120" s="24" t="str" cm="1">
        <f t="array" aca="1" ref="AE120" ca="1">_xll.DIMNM(db_name&amp;":"&amp;"period",_xll.DIMIX(db_name&amp;":"&amp;"period",LEFT(EndStage,9))+AE119)</f>
        <v>2031-2032</v>
      </c>
      <c r="AF120" s="25"/>
    </row>
    <row r="121" spans="1:33" hidden="1" outlineLevel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50</v>
      </c>
      <c r="U121" s="20" t="s">
        <v>51</v>
      </c>
      <c r="V121" s="21">
        <v>-7</v>
      </c>
      <c r="W121" s="21">
        <v>-6</v>
      </c>
      <c r="X121" s="21">
        <v>-5</v>
      </c>
      <c r="Y121" s="21">
        <v>-4</v>
      </c>
      <c r="Z121" s="21">
        <v>-3</v>
      </c>
      <c r="AA121" s="21">
        <v>-2</v>
      </c>
      <c r="AB121" s="21">
        <v>-1</v>
      </c>
      <c r="AC121" s="21">
        <v>0</v>
      </c>
      <c r="AD121" s="21">
        <v>1</v>
      </c>
      <c r="AE121" s="21">
        <v>2</v>
      </c>
      <c r="AF121" s="22"/>
    </row>
    <row r="122" spans="1:33" hidden="1" outlineLevel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51</v>
      </c>
      <c r="U122" s="23"/>
      <c r="V122" s="24" t="str" cm="1">
        <f t="array" aca="1" ref="V122" ca="1">_xll.DIMNM(db_name&amp;":"&amp;"period",_xll.DIMIX(db_name&amp;":"&amp;"period",LEFT(EndStage,9))+V121)</f>
        <v>2017-2018</v>
      </c>
      <c r="W122" s="24" t="str" cm="1">
        <f t="array" aca="1" ref="W122" ca="1">_xll.DIMNM(db_name&amp;":"&amp;"period",_xll.DIMIX(db_name&amp;":"&amp;"period",LEFT(EndStage,9))+W121)</f>
        <v>2018-2019</v>
      </c>
      <c r="X122" s="24" t="str" cm="1">
        <f t="array" aca="1" ref="X122" ca="1">_xll.DIMNM(db_name&amp;":"&amp;"period",_xll.DIMIX(db_name&amp;":"&amp;"period",LEFT(EndStage,9))+X121)</f>
        <v>2019-2020</v>
      </c>
      <c r="Y122" s="24" t="str" cm="1">
        <f t="array" aca="1" ref="Y122" ca="1">_xll.DIMNM(db_name&amp;":"&amp;"period",_xll.DIMIX(db_name&amp;":"&amp;"period",LEFT(EndStage,9))+Y121)</f>
        <v>2020-2021</v>
      </c>
      <c r="Z122" s="24" t="str" cm="1">
        <f t="array" aca="1" ref="Z122" ca="1">_xll.DIMNM(db_name&amp;":"&amp;"period",_xll.DIMIX(db_name&amp;":"&amp;"period",LEFT(EndStage,9))+Z121)</f>
        <v>2021-2022</v>
      </c>
      <c r="AA122" s="24" t="str" cm="1">
        <f t="array" aca="1" ref="AA122" ca="1">_xll.DIMNM(db_name&amp;":"&amp;"period",_xll.DIMIX(db_name&amp;":"&amp;"period",LEFT(EndStage,9))+AA121)</f>
        <v>2022-2023</v>
      </c>
      <c r="AB122" s="24" t="str" cm="1">
        <f t="array" aca="1" ref="AB122" ca="1">_xll.DIMNM(db_name&amp;":"&amp;"period",_xll.DIMIX(db_name&amp;":"&amp;"period",LEFT(EndStage,9))+AB121)</f>
        <v>2023-2024</v>
      </c>
      <c r="AC122" s="24" t="str" cm="1">
        <f t="array" aca="1" ref="AC122" ca="1">_xll.DIMNM(db_name&amp;":"&amp;"period",_xll.DIMIX(db_name&amp;":"&amp;"period",LEFT(EndStage,9))+AC121)</f>
        <v>2024-2025</v>
      </c>
      <c r="AD122" s="24" t="str" cm="1">
        <f t="array" aca="1" ref="AD122" ca="1">_xll.DIMNM(db_name&amp;":"&amp;"period",_xll.DIMIX(db_name&amp;":"&amp;"period",LEFT(EndStage,9))+AD121)</f>
        <v>2025-2026</v>
      </c>
      <c r="AE122" s="24" t="str" cm="1">
        <f t="array" aca="1" ref="AE122" ca="1">_xll.DIMNM(db_name&amp;":"&amp;"period",_xll.DIMIX(db_name&amp;":"&amp;"period",LEFT(EndStage,9))+AE121)</f>
        <v>2026-2027</v>
      </c>
      <c r="AF122" s="25"/>
    </row>
    <row r="123" spans="1:33" hidden="1" outlineLevel="1" x14ac:dyDescent="0.25"/>
    <row r="124" spans="1:33" hidden="1" outlineLevel="1" x14ac:dyDescent="0.25">
      <c r="B124" s="14"/>
    </row>
    <row r="125" spans="1:33" ht="36" collapsed="1" x14ac:dyDescent="0.25">
      <c r="B125" s="14"/>
      <c r="O125" s="50"/>
      <c r="P125" s="50"/>
      <c r="Q125" s="50"/>
      <c r="R125" s="50"/>
      <c r="S125" s="50"/>
      <c r="T125" s="50"/>
      <c r="U125" s="50" t="s">
        <v>59</v>
      </c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ht="4.5" customHeight="1" x14ac:dyDescent="0.25">
      <c r="B126" s="14"/>
    </row>
    <row r="127" spans="1:33" ht="24" customHeight="1" x14ac:dyDescent="0.25">
      <c r="B127" s="14"/>
    </row>
    <row r="128" spans="1:33" ht="1.5" customHeight="1" x14ac:dyDescent="0.25">
      <c r="B128" s="14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2:32" ht="4.5" customHeight="1" x14ac:dyDescent="0.25">
      <c r="B129" s="14"/>
    </row>
    <row r="130" spans="2:32" x14ac:dyDescent="0.25">
      <c r="B130" s="14"/>
      <c r="P130" s="53" t="s">
        <v>92</v>
      </c>
    </row>
    <row r="131" spans="2:32" x14ac:dyDescent="0.25">
      <c r="B131" s="14"/>
      <c r="P131" s="53" t="s">
        <v>93</v>
      </c>
    </row>
    <row r="132" spans="2:32" ht="4.5" customHeight="1" x14ac:dyDescent="0.25">
      <c r="B132" s="14"/>
    </row>
    <row r="133" spans="2:32" x14ac:dyDescent="0.25">
      <c r="B133" s="14"/>
      <c r="Q133" s="72" t="s">
        <v>62</v>
      </c>
      <c r="R133" s="72"/>
      <c r="V133" s="72" t="s">
        <v>96</v>
      </c>
      <c r="W133" s="72"/>
      <c r="X133" s="72"/>
    </row>
    <row r="134" spans="2:32" x14ac:dyDescent="0.25">
      <c r="B134" s="14"/>
      <c r="Q134" s="10" t="s">
        <v>111</v>
      </c>
      <c r="R134" s="59" t="str" cm="1">
        <f t="array" aca="1" ref="R134" ca="1">_xll.SUBNM(db_name&amp;":"&amp;"status","","Total approved")</f>
        <v>Total approved</v>
      </c>
      <c r="U134" s="10" t="s">
        <v>60</v>
      </c>
      <c r="V134" s="69" t="str" cm="1">
        <f t="array" aca="1" ref="V134" ca="1">_xll.SUBNM(db_name&amp;":programme","","Administered Programmes","code and description")</f>
        <v>Administered Programmes</v>
      </c>
      <c r="W134" s="70"/>
      <c r="X134" s="60" t="str" cm="1">
        <f t="array" aca="1" ref="X134" ca="1">_xll.SUBNM(db_name&amp;":sys_YesNo","","No")</f>
        <v>No</v>
      </c>
      <c r="AA134" s="10"/>
      <c r="AB134" s="12"/>
    </row>
    <row r="135" spans="2:32" x14ac:dyDescent="0.25">
      <c r="B135" s="14"/>
      <c r="Q135" s="10" t="s">
        <v>24</v>
      </c>
      <c r="R135" s="59" t="str">
        <f ca="1">_xll.SUBNM(db_name&amp;":reporting stage","",$C$33,"AE Stage Description")</f>
        <v>2024-2025 MYEFO</v>
      </c>
      <c r="U135" s="10" t="s">
        <v>61</v>
      </c>
      <c r="V135" s="69" t="str" cm="1">
        <f t="array" aca="1" ref="V135" ca="1">_xll.SUBNM(db_name&amp;":account","","2000000","code and description")</f>
        <v>2000000 - Total Expenses</v>
      </c>
      <c r="W135" s="70"/>
      <c r="X135" s="60" t="str" cm="1">
        <f t="array" aca="1" ref="X135" ca="1">_xll.SUBNM(db_name&amp;":sys_YesNo","","No")</f>
        <v>No</v>
      </c>
      <c r="AA135" s="10"/>
      <c r="AB135" s="12"/>
    </row>
    <row r="136" spans="2:32" x14ac:dyDescent="0.25">
      <c r="B136" s="14"/>
      <c r="Q136" s="10" t="s">
        <v>52</v>
      </c>
      <c r="R136" s="59" t="s">
        <v>48</v>
      </c>
      <c r="U136" s="10" t="s">
        <v>104</v>
      </c>
      <c r="V136" s="69" t="str" cm="1">
        <f t="array" aca="1" ref="V136" ca="1">_xll.SUBNM(db_name&amp;":"&amp;"movement account","","Total movement")</f>
        <v>Total movement</v>
      </c>
      <c r="W136" s="70"/>
      <c r="X136" s="60" t="str" cm="1">
        <f t="array" aca="1" ref="X136" ca="1">_xll.SUBNM(db_name&amp;":sys_YesNo","","No")</f>
        <v>No</v>
      </c>
      <c r="AA136" s="10"/>
      <c r="AB136" s="12"/>
    </row>
    <row r="137" spans="2:32" x14ac:dyDescent="0.25">
      <c r="B137" s="14"/>
      <c r="Q137" s="10" t="s">
        <v>25</v>
      </c>
      <c r="R137" s="59" t="str">
        <f ca="1">_xll.SUBNM(db_name&amp;":reporting stage","",$C$34,"AE Stage Description")</f>
        <v>2024-2025 Budget</v>
      </c>
      <c r="S137" s="10"/>
      <c r="U137" s="10" t="s">
        <v>43</v>
      </c>
      <c r="V137" s="69" t="str" cm="1">
        <f t="array" aca="1" ref="V137" ca="1">_xll.SUBNM(db_name&amp;":"&amp;"reason","$sys_reasonCBMSCBMSR","sys_Total Reason","CBMS code and description")</f>
        <v>sys_Total Reason</v>
      </c>
      <c r="W137" s="70"/>
      <c r="X137" s="60" t="str" cm="1">
        <f t="array" aca="1" ref="X137" ca="1">_xll.SUBNM(db_name&amp;":sys_YesNo","","No")</f>
        <v>No</v>
      </c>
      <c r="AA137" s="10"/>
      <c r="AB137" s="12"/>
    </row>
    <row r="138" spans="2:32" x14ac:dyDescent="0.25">
      <c r="B138" s="14"/>
      <c r="R138" s="10"/>
      <c r="S138" s="10"/>
      <c r="U138" s="10" t="s">
        <v>44</v>
      </c>
      <c r="V138" s="69" t="str" cm="1">
        <f t="array" aca="1" ref="V138" ca="1">_xll.SUBNM(db_name&amp;":"&amp;"measure code","","Total Measures","CBMS code and description")</f>
        <v xml:space="preserve">Total Measures - </v>
      </c>
      <c r="W138" s="70"/>
      <c r="X138" s="60" t="str" cm="1">
        <f t="array" aca="1" ref="X138" ca="1">_xll.SUBNM(db_name&amp;":sys_YesNo","","No")</f>
        <v>No</v>
      </c>
      <c r="AC138" s="27"/>
    </row>
    <row r="139" spans="2:32" ht="15.75" customHeight="1" x14ac:dyDescent="0.25">
      <c r="B139" s="14"/>
      <c r="T139" s="10"/>
      <c r="U139" s="10" t="s">
        <v>58</v>
      </c>
      <c r="V139" s="71" t="s">
        <v>55</v>
      </c>
      <c r="W139" s="71"/>
      <c r="X139" s="60" t="str" cm="1">
        <f t="array" aca="1" ref="X139" ca="1">_xll.SUBNM(db_name&amp;":sys_YesNo","","No")</f>
        <v>No</v>
      </c>
      <c r="Y139" s="10"/>
      <c r="Z139" s="12"/>
    </row>
    <row r="140" spans="2:32" ht="15.75" customHeight="1" x14ac:dyDescent="0.25">
      <c r="B140" s="14"/>
      <c r="T140" s="10"/>
      <c r="U140" s="10" t="s">
        <v>108</v>
      </c>
      <c r="V140" s="69" t="str" cm="1">
        <f t="array" aca="1" ref="V140" ca="1">_xll.SUBNM(db_name&amp;":"&amp;"outcome","Default","Total outcomes")</f>
        <v>Total outcomes</v>
      </c>
      <c r="W140" s="70"/>
      <c r="X140" s="10"/>
      <c r="Y140" s="10"/>
      <c r="Z140" s="12"/>
    </row>
    <row r="141" spans="2:32" x14ac:dyDescent="0.25">
      <c r="B141" s="14"/>
      <c r="T141" s="10"/>
      <c r="U141" s="10" t="s">
        <v>109</v>
      </c>
      <c r="V141" s="69" t="str" cm="1">
        <f t="array" aca="1" ref="V141" ca="1">_xll.SUBNM(db_name&amp;":"&amp;"appropriation type","","Total approp types","code and description")</f>
        <v>Total approp types</v>
      </c>
      <c r="W141" s="70"/>
      <c r="X141" s="10"/>
      <c r="Y141" s="10"/>
      <c r="Z141" s="12"/>
    </row>
    <row r="142" spans="2:32" ht="14.25" customHeight="1" x14ac:dyDescent="0.25">
      <c r="B142" s="14"/>
      <c r="T142" s="10"/>
      <c r="U142" s="10" t="s">
        <v>107</v>
      </c>
      <c r="V142" s="69" t="str" cm="1">
        <f t="array" aca="1" ref="V142" ca="1">_xll.SUBNM(db_name&amp;":"&amp;"appropriation item","","Total approp item","code and description")</f>
        <v>Total approp item</v>
      </c>
      <c r="W142" s="70"/>
      <c r="X142" s="10"/>
      <c r="Y142" s="10"/>
      <c r="Z142" s="12"/>
    </row>
    <row r="143" spans="2:32" ht="15.75" x14ac:dyDescent="0.25">
      <c r="B143" s="14"/>
      <c r="P143" s="15" t="s">
        <v>35</v>
      </c>
      <c r="S143" s="57" t="s">
        <v>106</v>
      </c>
      <c r="T143" s="58">
        <f ca="1">NOW()</f>
        <v>45553.960833796293</v>
      </c>
      <c r="V143" s="66" t="s">
        <v>105</v>
      </c>
      <c r="W143" s="67"/>
      <c r="X143" s="67"/>
      <c r="Y143" s="67"/>
      <c r="Z143" s="67"/>
      <c r="AA143" s="67"/>
      <c r="AB143" s="67"/>
      <c r="AC143" s="67"/>
      <c r="AD143" s="67"/>
      <c r="AE143" s="68"/>
    </row>
    <row r="144" spans="2:32" x14ac:dyDescent="0.25">
      <c r="P144" s="36" t="s">
        <v>30</v>
      </c>
      <c r="Q144" s="36" t="s">
        <v>27</v>
      </c>
      <c r="R144" s="36" t="s">
        <v>40</v>
      </c>
      <c r="S144" s="36" t="s">
        <v>41</v>
      </c>
      <c r="T144" s="36" t="s">
        <v>42</v>
      </c>
      <c r="U144" s="36" t="s">
        <v>45</v>
      </c>
      <c r="V144" s="36" t="str">
        <f ca="1">psYr1</f>
        <v>2022-2023</v>
      </c>
      <c r="W144" s="36" t="str">
        <f ca="1">psYr2</f>
        <v>2023-2024</v>
      </c>
      <c r="X144" s="36" t="str">
        <f ca="1">psYr3</f>
        <v>2024-2025</v>
      </c>
      <c r="Y144" s="36" t="str">
        <f ca="1">psYr4</f>
        <v>2025-2026</v>
      </c>
      <c r="Z144" s="36" t="str">
        <f ca="1">psYr5</f>
        <v>2026-2027</v>
      </c>
      <c r="AA144" s="36" t="str">
        <f ca="1">psYr6</f>
        <v>2027-2028</v>
      </c>
      <c r="AB144" s="36" t="str">
        <f ca="1">psYr7</f>
        <v>2028-2029</v>
      </c>
      <c r="AC144" s="36" t="str">
        <f ca="1">psYr8</f>
        <v>2029-2030</v>
      </c>
      <c r="AD144" s="36" t="str">
        <f ca="1">psYr9</f>
        <v>2030-2031</v>
      </c>
      <c r="AE144" s="36" t="str">
        <f ca="1">psYr10</f>
        <v>2031-2032</v>
      </c>
      <c r="AF144" s="36" t="s">
        <v>34</v>
      </c>
    </row>
    <row r="145" spans="1:33" x14ac:dyDescent="0.25">
      <c r="B145" s="14"/>
      <c r="N145" s="16"/>
      <c r="O145" s="16"/>
      <c r="P145" s="29" t="str">
        <f ca="1">+StartStage</f>
        <v>2024-2025 MYEFO</v>
      </c>
      <c r="Q145" s="30" t="str">
        <f ca="1">psAcc</f>
        <v>2000000 - Total Expenses</v>
      </c>
      <c r="R145" s="30" t="str">
        <f ca="1">psMA</f>
        <v>Total movement</v>
      </c>
      <c r="S145" s="31" t="str">
        <f ca="1">psReason</f>
        <v>sys_Total Reason</v>
      </c>
      <c r="T145" s="30" t="str">
        <f ca="1">psMsrCode</f>
        <v xml:space="preserve">Total Measures - </v>
      </c>
      <c r="U145" s="31" t="str">
        <f ca="1">sID0000A</f>
        <v>0BASE</v>
      </c>
      <c r="V145" s="32" cm="1">
        <f t="array" aca="1" ref="V145" ca="1">_xll.DBRW($C$57,$P145,$R$134,$V$140,$C$96,$C$97,$S145,$C$98,$T145,$V$141,$R145,$V$142,$V$134,$Q145,$U$145,$C$105,V$144,$C$106)</f>
        <v>966801</v>
      </c>
      <c r="W145" s="32" cm="1">
        <f t="array" aca="1" ref="W145" ca="1">_xll.DBRW($C$57,$P145,$R$134,$V$140,$C$96,$C$97,$S145,$C$98,$T145,$V$141,$R145,$V$142,$V$134,$Q145,$U$145,$C$105,W$144,$C$106)</f>
        <v>2990286</v>
      </c>
      <c r="X145" s="32" cm="1">
        <f t="array" aca="1" ref="X145" ca="1">_xll.DBRW($C$57,$P145,$R$134,$V$140,$C$96,$C$97,$S145,$C$98,$T145,$V$141,$R145,$V$142,$V$134,$Q145,$U$145,$C$105,X$144,$C$106)</f>
        <v>1890798</v>
      </c>
      <c r="Y145" s="32" cm="1">
        <f t="array" aca="1" ref="Y145" ca="1">_xll.DBRW($C$57,$P145,$R$134,$V$140,$C$96,$C$97,$S145,$C$98,$T145,$V$141,$R145,$V$142,$V$134,$Q145,$U$145,$C$105,Y$144,$C$106)</f>
        <v>1935906</v>
      </c>
      <c r="Z145" s="32" cm="1">
        <f t="array" aca="1" ref="Z145" ca="1">_xll.DBRW($C$57,$P145,$R$134,$V$140,$C$96,$C$97,$S145,$C$98,$T145,$V$141,$R145,$V$142,$V$134,$Q145,$U$145,$C$105,Z$144,$C$106)</f>
        <v>1415552</v>
      </c>
      <c r="AA145" s="32" cm="1">
        <f t="array" aca="1" ref="AA145" ca="1">_xll.DBRW($C$57,$P145,$R$134,$V$140,$C$96,$C$97,$S145,$C$98,$T145,$V$141,$R145,$V$142,$V$134,$Q145,$U$145,$C$105,AA$144,$C$106)</f>
        <v>4333</v>
      </c>
      <c r="AB145" s="32" cm="1">
        <f t="array" aca="1" ref="AB145" ca="1">_xll.DBRW($C$57,$P145,$R$134,$V$140,$C$96,$C$97,$S145,$C$98,$T145,$V$141,$R145,$V$142,$V$134,$Q145,$U$145,$C$105,AB$144,$C$106)</f>
        <v>4350</v>
      </c>
      <c r="AC145" s="32" cm="1">
        <f t="array" aca="1" ref="AC145" ca="1">_xll.DBRW($C$57,$P145,$R$134,$V$140,$C$96,$C$97,$S145,$C$98,$T145,$V$141,$R145,$V$142,$V$134,$Q145,$U$145,$C$105,AC$144,$C$106)</f>
        <v>4366</v>
      </c>
      <c r="AD145" s="32" cm="1">
        <f t="array" aca="1" ref="AD145" ca="1">_xll.DBRW($C$57,$P145,$R$134,$V$140,$C$96,$C$97,$S145,$C$98,$T145,$V$141,$R145,$V$142,$V$134,$Q145,$U$145,$C$105,AD$144,$C$106)</f>
        <v>0</v>
      </c>
      <c r="AE145" s="32" cm="1">
        <f t="array" aca="1" ref="AE145" ca="1">_xll.DBRW($C$57,$P145,$R$134,$V$140,$C$96,$C$97,$S145,$C$98,$T145,$V$141,$R145,$V$142,$V$134,$Q145,$U$145,$C$105,AE$144,$C$106)</f>
        <v>0</v>
      </c>
      <c r="AF145" s="33">
        <f ca="1">SUM(V145:AE145)</f>
        <v>9212392</v>
      </c>
    </row>
    <row r="146" spans="1:33" ht="4.5" customHeight="1" x14ac:dyDescent="0.25">
      <c r="B146" s="14"/>
      <c r="N146" s="16"/>
      <c r="O146" s="16"/>
      <c r="P146" s="45"/>
      <c r="Q146" s="46"/>
      <c r="R146" s="46"/>
      <c r="S146" s="47"/>
      <c r="T146" s="46"/>
      <c r="U146" s="47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5"/>
    </row>
    <row r="147" spans="1:33" ht="15.75" x14ac:dyDescent="0.25">
      <c r="P147" s="15" t="s">
        <v>37</v>
      </c>
    </row>
    <row r="148" spans="1:33" x14ac:dyDescent="0.25">
      <c r="K148" t="s">
        <v>101</v>
      </c>
      <c r="L148" t="s">
        <v>102</v>
      </c>
      <c r="M148" t="s">
        <v>103</v>
      </c>
      <c r="P148" s="36" t="s">
        <v>30</v>
      </c>
      <c r="Q148" s="36" t="s">
        <v>27</v>
      </c>
      <c r="R148" s="36" t="s">
        <v>40</v>
      </c>
      <c r="S148" s="36" t="s">
        <v>41</v>
      </c>
      <c r="T148" s="36" t="s">
        <v>42</v>
      </c>
      <c r="U148" s="36" t="s">
        <v>45</v>
      </c>
      <c r="V148" s="36" t="str">
        <f ca="1">psYr1</f>
        <v>2022-2023</v>
      </c>
      <c r="W148" s="36" t="str">
        <f ca="1">psYr2</f>
        <v>2023-2024</v>
      </c>
      <c r="X148" s="36" t="str">
        <f ca="1">psYr3</f>
        <v>2024-2025</v>
      </c>
      <c r="Y148" s="36" t="str">
        <f ca="1">psYr4</f>
        <v>2025-2026</v>
      </c>
      <c r="Z148" s="36" t="str">
        <f ca="1">psYr5</f>
        <v>2026-2027</v>
      </c>
      <c r="AA148" s="36" t="str">
        <f ca="1">psYr6</f>
        <v>2027-2028</v>
      </c>
      <c r="AB148" s="36" t="str">
        <f ca="1">psYr7</f>
        <v>2028-2029</v>
      </c>
      <c r="AC148" s="36" t="str">
        <f ca="1">psYr8</f>
        <v>2029-2030</v>
      </c>
      <c r="AD148" s="36" t="str">
        <f ca="1">psYr9</f>
        <v>2030-2031</v>
      </c>
      <c r="AE148" s="36" t="str">
        <f ca="1">psYr10</f>
        <v>2031-2032</v>
      </c>
      <c r="AF148" s="36" t="s">
        <v>34</v>
      </c>
      <c r="AG148" s="36" t="s">
        <v>98</v>
      </c>
    </row>
    <row r="149" spans="1:33" x14ac:dyDescent="0.25">
      <c r="A149" t="str" cm="1">
        <f t="array" aca="1" ref="A149" ca="1">"X"&amp;IF(_xll.TM1RPTELISCONSOLIDATED($Q$149,$Q149),IF(_xll.TM1RPTELLEV($Q$149,$Q149)&lt;=3,_xll.TM1RPTELLEV($Q$149,$Q149),"D"),"N")</f>
        <v>XN</v>
      </c>
      <c r="B149" s="54"/>
      <c r="C149" s="1"/>
      <c r="D149" s="1"/>
      <c r="E149" s="1"/>
      <c r="F149" s="1"/>
      <c r="G149" s="1"/>
      <c r="H149" s="1"/>
      <c r="I149" s="1"/>
      <c r="J149" s="1"/>
      <c r="K149" s="3" t="str">
        <f ca="1">"HL"&amp;LEFT($P149,9)</f>
        <v>HL</v>
      </c>
      <c r="L149" s="3" t="str">
        <f ca="1">TRIM(MID(P149,10,100))</f>
        <v/>
      </c>
      <c r="M149" s="3" t="str" cm="1">
        <f t="array" aca="1" ref="M149" ca="1">_xll.DBR($C$115,$K149,$L149,$U149,M$148)</f>
        <v>*KEY_ERR</v>
      </c>
      <c r="O149" s="28"/>
      <c r="P149" s="42" t="str" cm="1">
        <f t="array" aca="1" ref="P149" ca="1">_xll.TM1RPTROW($C$56,db_name&amp;":"&amp;"reporting stage","",,"AE Stage Description",0,$C$67)</f>
        <v/>
      </c>
      <c r="Q149" s="48" t="str" cm="1">
        <f t="array" aca="1" ref="Q149" ca="1">_xll.TM1RPTROW($C$56,db_name&amp;":"&amp;"account","",,"code and description",0,$C$62,2,1)</f>
        <v/>
      </c>
      <c r="R149" s="48" t="str" cm="1">
        <f t="array" aca="1" ref="R149" ca="1">_xll.TM1RPTROW($C$56,db_name&amp;":"&amp;"movement account",,,"code and description",0,$C$70,2,1)</f>
        <v/>
      </c>
      <c r="S149" s="48" t="str" cm="1">
        <f t="array" aca="1" ref="S149" ca="1">_xll.TM1RPTROW($C$56,db_name&amp;":"&amp;"reason",,," CBMS",0,$C$75,2,1)</f>
        <v/>
      </c>
      <c r="T149" s="48" t="str" cm="1">
        <f t="array" aca="1" ref="T149" ca="1">_xll.TM1RPTROW($C$56,db_name&amp;":"&amp;"measure code",,,"CBMS code and description",0,$C$80,2,1)</f>
        <v/>
      </c>
      <c r="U149" s="49" t="str" cm="1">
        <f t="array" aca="1" ref="U149" ca="1">_xll.TM1RPTROW($C$56,db_name&amp;":"&amp;"id",,,,0,$C$84,2,1)</f>
        <v/>
      </c>
      <c r="V149" s="40" t="str" cm="1">
        <f t="array" aca="1" ref="V149" ca="1">_xll.DBRW($C$56,$P149,$R$134,$V$140,$C$96,$C$97,$S149,$C$98,$T149,$V$141,$R149,$V$142,$V$134,$Q149,$U149,$C$105,V$144,$C$106)</f>
        <v/>
      </c>
      <c r="W149" s="40" t="str" cm="1">
        <f t="array" aca="1" ref="W149" ca="1">_xll.DBRW($C$56,$P149,$R$134,$V$140,$C$96,$C$97,$S149,$C$98,$T149,$V$141,$R149,$V$142,$V$134,$Q149,$U149,$C$105,W$144,$C$106)</f>
        <v/>
      </c>
      <c r="X149" s="40" t="str" cm="1">
        <f t="array" aca="1" ref="X149" ca="1">_xll.DBRW($C$56,$P149,$R$134,$V$140,$C$96,$C$97,$S149,$C$98,$T149,$V$141,$R149,$V$142,$V$134,$Q149,$U149,$C$105,X$144,$C$106)</f>
        <v/>
      </c>
      <c r="Y149" s="40" t="str" cm="1">
        <f t="array" aca="1" ref="Y149" ca="1">_xll.DBRW($C$56,$P149,$R$134,$V$140,$C$96,$C$97,$S149,$C$98,$T149,$V$141,$R149,$V$142,$V$134,$Q149,$U149,$C$105,Y$144,$C$106)</f>
        <v/>
      </c>
      <c r="Z149" s="40" t="str" cm="1">
        <f t="array" aca="1" ref="Z149" ca="1">_xll.DBRW($C$56,$P149,$R$134,$V$140,$C$96,$C$97,$S149,$C$98,$T149,$V$141,$R149,$V$142,$V$134,$Q149,$U149,$C$105,Z$144,$C$106)</f>
        <v/>
      </c>
      <c r="AA149" s="40" t="str" cm="1">
        <f t="array" aca="1" ref="AA149" ca="1">_xll.DBRW($C$56,$P149,$R$134,$V$140,$C$96,$C$97,$S149,$C$98,$T149,$V$141,$R149,$V$142,$V$134,$Q149,$U149,$C$105,AA$144,$C$106)</f>
        <v/>
      </c>
      <c r="AB149" s="40" t="str" cm="1">
        <f t="array" aca="1" ref="AB149" ca="1">_xll.DBRW($C$56,$P149,$R$134,$V$140,$C$96,$C$97,$S149,$C$98,$T149,$V$141,$R149,$V$142,$V$134,$Q149,$U149,$C$105,AB$144,$C$106)</f>
        <v/>
      </c>
      <c r="AC149" s="40" t="str" cm="1">
        <f t="array" aca="1" ref="AC149" ca="1">_xll.DBRW($C$56,$P149,$R$134,$V$140,$C$96,$C$97,$S149,$C$98,$T149,$V$141,$R149,$V$142,$V$134,$Q149,$U149,$C$105,AC$144,$C$106)</f>
        <v/>
      </c>
      <c r="AD149" s="40" t="str" cm="1">
        <f t="array" aca="1" ref="AD149" ca="1">_xll.DBRW($C$56,$P149,$R$134,$V$140,$C$96,$C$97,$S149,$C$98,$T149,$V$141,$R149,$V$142,$V$134,$Q149,$U149,$C$105,AD$144,$C$106)</f>
        <v/>
      </c>
      <c r="AE149" s="40" t="str" cm="1">
        <f t="array" aca="1" ref="AE149" ca="1">_xll.DBRW($C$56,$P149,$R$134,$V$140,$C$96,$C$97,$S149,$C$98,$T149,$V$141,$R149,$V$142,$V$134,$Q149,$U149,$C$105,AE$144,$C$106)</f>
        <v/>
      </c>
      <c r="AF149" s="41">
        <f ca="1">SUM(V149:AE149)</f>
        <v>0</v>
      </c>
      <c r="AG149" s="43" t="str">
        <f ca="1">$M149</f>
        <v>*KEY_ERR</v>
      </c>
    </row>
    <row r="150" spans="1:33" ht="4.5" customHeight="1" x14ac:dyDescent="0.25"/>
    <row r="151" spans="1:33" ht="15.75" x14ac:dyDescent="0.25">
      <c r="B151" s="14"/>
      <c r="P151" s="15" t="s">
        <v>36</v>
      </c>
    </row>
    <row r="152" spans="1:33" x14ac:dyDescent="0.25">
      <c r="P152" s="36" t="s">
        <v>30</v>
      </c>
      <c r="Q152" s="36" t="s">
        <v>27</v>
      </c>
      <c r="R152" s="36" t="s">
        <v>40</v>
      </c>
      <c r="S152" s="36" t="s">
        <v>41</v>
      </c>
      <c r="T152" s="36" t="s">
        <v>42</v>
      </c>
      <c r="U152" s="36" t="s">
        <v>45</v>
      </c>
      <c r="V152" s="36" t="str">
        <f ca="1">psYr1</f>
        <v>2022-2023</v>
      </c>
      <c r="W152" s="36" t="str">
        <f ca="1">psYr2</f>
        <v>2023-2024</v>
      </c>
      <c r="X152" s="36" t="str">
        <f ca="1">psYr3</f>
        <v>2024-2025</v>
      </c>
      <c r="Y152" s="36" t="str">
        <f ca="1">psYr4</f>
        <v>2025-2026</v>
      </c>
      <c r="Z152" s="36" t="str">
        <f ca="1">psYr5</f>
        <v>2026-2027</v>
      </c>
      <c r="AA152" s="36" t="str">
        <f ca="1">psYr6</f>
        <v>2027-2028</v>
      </c>
      <c r="AB152" s="36" t="str">
        <f ca="1">psYr7</f>
        <v>2028-2029</v>
      </c>
      <c r="AC152" s="36" t="str">
        <f ca="1">psYr8</f>
        <v>2029-2030</v>
      </c>
      <c r="AD152" s="36" t="str">
        <f ca="1">psYr9</f>
        <v>2030-2031</v>
      </c>
      <c r="AE152" s="36" t="str">
        <f ca="1">psYr10</f>
        <v>2031-2032</v>
      </c>
      <c r="AF152" s="36" t="s">
        <v>34</v>
      </c>
    </row>
    <row r="153" spans="1:33" x14ac:dyDescent="0.25">
      <c r="B153" s="14"/>
      <c r="N153" s="16"/>
      <c r="O153" s="16"/>
      <c r="P153" s="56" t="str">
        <f ca="1">EndStage</f>
        <v>2024-2025 Budget</v>
      </c>
      <c r="Q153" s="30" t="str">
        <f ca="1">psAcc</f>
        <v>2000000 - Total Expenses</v>
      </c>
      <c r="R153" s="30" t="str">
        <f ca="1">psMA</f>
        <v>Total movement</v>
      </c>
      <c r="S153" s="31" t="str">
        <f ca="1">psReason</f>
        <v>sys_Total Reason</v>
      </c>
      <c r="T153" s="30" t="str">
        <f ca="1">psMsrCode</f>
        <v xml:space="preserve">Total Measures - </v>
      </c>
      <c r="U153" s="31" t="str">
        <f ca="1">sIDTotal</f>
        <v>Total IDs</v>
      </c>
      <c r="V153" s="32" cm="1">
        <f t="array" aca="1" ref="V153" ca="1">_xll.DBRW($C$57,$P153,$R$134,$V$140,$C$96,$C$97,$S153,$C$98,$T153,$V$141,$R153,$V$142,$V$134,$Q153,$U$153,$C$105,V$144,$C$106)</f>
        <v>906149</v>
      </c>
      <c r="W153" s="32" cm="1">
        <f t="array" aca="1" ref="W153" ca="1">_xll.DBRW($C$57,$P153,$R$134,$V$140,$C$96,$C$97,$S153,$C$98,$T153,$V$141,$R153,$V$142,$V$134,$Q153,$U$153,$C$105,W$144,$C$106)</f>
        <v>2003942</v>
      </c>
      <c r="X153" s="32" cm="1">
        <f t="array" aca="1" ref="X153" ca="1">_xll.DBRW($C$57,$P153,$R$134,$V$140,$C$96,$C$97,$S153,$C$98,$T153,$V$141,$R153,$V$142,$V$134,$Q153,$U$153,$C$105,X$144,$C$106)</f>
        <v>2643641</v>
      </c>
      <c r="Y153" s="32" cm="1">
        <f t="array" aca="1" ref="Y153" ca="1">_xll.DBRW($C$57,$P153,$R$134,$V$140,$C$96,$C$97,$S153,$C$98,$T153,$V$141,$R153,$V$142,$V$134,$Q153,$U$153,$C$105,Y$144,$C$106)</f>
        <v>2386481</v>
      </c>
      <c r="Z153" s="32" cm="1">
        <f t="array" aca="1" ref="Z153" ca="1">_xll.DBRW($C$57,$P153,$R$134,$V$140,$C$96,$C$97,$S153,$C$98,$T153,$V$141,$R153,$V$142,$V$134,$Q153,$U$153,$C$105,Z$144,$C$106)</f>
        <v>1985969</v>
      </c>
      <c r="AA153" s="32" cm="1">
        <f t="array" aca="1" ref="AA153" ca="1">_xll.DBRW($C$57,$P153,$R$134,$V$140,$C$96,$C$97,$S153,$C$98,$T153,$V$141,$R153,$V$142,$V$134,$Q153,$U$153,$C$105,AA$144,$C$106)</f>
        <v>1874920</v>
      </c>
      <c r="AB153" s="32" cm="1">
        <f t="array" aca="1" ref="AB153" ca="1">_xll.DBRW($C$57,$P153,$R$134,$V$140,$C$96,$C$97,$S153,$C$98,$T153,$V$141,$R153,$V$142,$V$134,$Q153,$U$153,$C$105,AB$144,$C$106)</f>
        <v>-17101</v>
      </c>
      <c r="AC153" s="32" cm="1">
        <f t="array" aca="1" ref="AC153" ca="1">_xll.DBRW($C$57,$P153,$R$134,$V$140,$C$96,$C$97,$S153,$C$98,$T153,$V$141,$R153,$V$142,$V$134,$Q153,$U$153,$C$105,AC$144,$C$106)</f>
        <v>0</v>
      </c>
      <c r="AD153" s="32" cm="1">
        <f t="array" aca="1" ref="AD153" ca="1">_xll.DBRW($C$57,$P153,$R$134,$V$140,$C$96,$C$97,$S153,$C$98,$T153,$V$141,$R153,$V$142,$V$134,$Q153,$U$153,$C$105,AD$144,$C$106)</f>
        <v>0</v>
      </c>
      <c r="AE153" s="32" cm="1">
        <f t="array" aca="1" ref="AE153" ca="1">_xll.DBRW($C$57,$P153,$R$134,$V$140,$C$96,$C$97,$S153,$C$98,$T153,$V$141,$R153,$V$142,$V$134,$Q153,$U$153,$C$105,AE$144,$C$106)</f>
        <v>0</v>
      </c>
      <c r="AF153" s="33">
        <f ca="1">SUM(V153:AE153)</f>
        <v>11784001</v>
      </c>
    </row>
  </sheetData>
  <sheetProtection sheet="1" objects="1" scenarios="1"/>
  <mergeCells count="20">
    <mergeCell ref="V143:AE143"/>
    <mergeCell ref="V137:W137"/>
    <mergeCell ref="V138:W138"/>
    <mergeCell ref="V139:W139"/>
    <mergeCell ref="B108:C108"/>
    <mergeCell ref="B114:C114"/>
    <mergeCell ref="V133:X133"/>
    <mergeCell ref="Q133:R133"/>
    <mergeCell ref="V134:W134"/>
    <mergeCell ref="V135:W135"/>
    <mergeCell ref="V136:W136"/>
    <mergeCell ref="V142:W142"/>
    <mergeCell ref="V140:W140"/>
    <mergeCell ref="V141:W141"/>
    <mergeCell ref="B17:C17"/>
    <mergeCell ref="B54:C54"/>
    <mergeCell ref="B93:C93"/>
    <mergeCell ref="B60:C60"/>
    <mergeCell ref="B25:D25"/>
    <mergeCell ref="B36:D36"/>
  </mergeCells>
  <conditionalFormatting sqref="R2:T14">
    <cfRule type="cellIs" dxfId="1" priority="150" operator="notEqual">
      <formula>"hghg"</formula>
    </cfRule>
  </conditionalFormatting>
  <conditionalFormatting sqref="R149:T149">
    <cfRule type="cellIs" dxfId="0" priority="1" operator="notEqual">
      <formula>"hghg"</formula>
    </cfRule>
  </conditionalFormatting>
  <dataValidations count="1">
    <dataValidation type="list" allowBlank="1" showInputMessage="1" showErrorMessage="1" sqref="R136">
      <formula1>periodselection</formula1>
    </dataValidation>
  </dataValidations>
  <pageMargins left="0.70866141732283472" right="0.70866141732283472" top="0.74803149606299213" bottom="0.74803149606299213" header="0.31496062992125984" footer="0.31496062992125984"/>
  <pageSetup paperSize="9" scale="3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5" r:id="rId4" name="TIButton9">
          <controlPr defaultSize="0" print="0" autoLine="0" r:id="rId5">
            <anchor moveWithCells="1" sizeWithCells="1">
              <from>
                <xdr:col>15</xdr:col>
                <xdr:colOff>1552575</xdr:colOff>
                <xdr:row>126</xdr:row>
                <xdr:rowOff>0</xdr:rowOff>
              </from>
              <to>
                <xdr:col>16</xdr:col>
                <xdr:colOff>1266825</xdr:colOff>
                <xdr:row>126</xdr:row>
                <xdr:rowOff>247650</xdr:rowOff>
              </to>
            </anchor>
          </controlPr>
        </control>
      </mc:Choice>
      <mc:Fallback>
        <control shapeId="1035" r:id="rId4" name="TIButton9"/>
      </mc:Fallback>
    </mc:AlternateContent>
    <mc:AlternateContent xmlns:mc="http://schemas.openxmlformats.org/markup-compatibility/2006">
      <mc:Choice Requires="x14">
        <control shapeId="1034" r:id="rId6" name="TIButton8">
          <controlPr defaultSize="0" print="0" autoLine="0" r:id="rId7">
            <anchor moveWithCells="1" sizeWithCells="1">
              <from>
                <xdr:col>19</xdr:col>
                <xdr:colOff>123825</xdr:colOff>
                <xdr:row>126</xdr:row>
                <xdr:rowOff>0</xdr:rowOff>
              </from>
              <to>
                <xdr:col>19</xdr:col>
                <xdr:colOff>981075</xdr:colOff>
                <xdr:row>126</xdr:row>
                <xdr:rowOff>247650</xdr:rowOff>
              </to>
            </anchor>
          </controlPr>
        </control>
      </mc:Choice>
      <mc:Fallback>
        <control shapeId="1034" r:id="rId6" name="TIButton8"/>
      </mc:Fallback>
    </mc:AlternateContent>
    <mc:AlternateContent xmlns:mc="http://schemas.openxmlformats.org/markup-compatibility/2006">
      <mc:Choice Requires="x14">
        <control shapeId="1033" r:id="rId8" name="TIButton7">
          <controlPr defaultSize="0" print="0" autoLine="0" r:id="rId9">
            <anchor moveWithCells="1" sizeWithCells="1">
              <from>
                <xdr:col>18</xdr:col>
                <xdr:colOff>485775</xdr:colOff>
                <xdr:row>126</xdr:row>
                <xdr:rowOff>0</xdr:rowOff>
              </from>
              <to>
                <xdr:col>19</xdr:col>
                <xdr:colOff>95250</xdr:colOff>
                <xdr:row>126</xdr:row>
                <xdr:rowOff>247650</xdr:rowOff>
              </to>
            </anchor>
          </controlPr>
        </control>
      </mc:Choice>
      <mc:Fallback>
        <control shapeId="1033" r:id="rId8" name="TIButton7"/>
      </mc:Fallback>
    </mc:AlternateContent>
    <mc:AlternateContent xmlns:mc="http://schemas.openxmlformats.org/markup-compatibility/2006">
      <mc:Choice Requires="x14">
        <control shapeId="1032" r:id="rId10" name="TIButton6">
          <controlPr defaultSize="0" print="0" autoLine="0" r:id="rId11">
            <anchor moveWithCells="1" sizeWithCells="1">
              <from>
                <xdr:col>17</xdr:col>
                <xdr:colOff>752475</xdr:colOff>
                <xdr:row>126</xdr:row>
                <xdr:rowOff>0</xdr:rowOff>
              </from>
              <to>
                <xdr:col>18</xdr:col>
                <xdr:colOff>466725</xdr:colOff>
                <xdr:row>126</xdr:row>
                <xdr:rowOff>247650</xdr:rowOff>
              </to>
            </anchor>
          </controlPr>
        </control>
      </mc:Choice>
      <mc:Fallback>
        <control shapeId="1032" r:id="rId10" name="TIButton6"/>
      </mc:Fallback>
    </mc:AlternateContent>
    <mc:AlternateContent xmlns:mc="http://schemas.openxmlformats.org/markup-compatibility/2006">
      <mc:Choice Requires="x14">
        <control shapeId="1031" r:id="rId12" name="TIButton5">
          <controlPr defaultSize="0" print="0" autoLine="0" r:id="rId13">
            <anchor moveWithCells="1" sizeWithCells="1">
              <from>
                <xdr:col>20</xdr:col>
                <xdr:colOff>771525</xdr:colOff>
                <xdr:row>125</xdr:row>
                <xdr:rowOff>38100</xdr:rowOff>
              </from>
              <to>
                <xdr:col>20</xdr:col>
                <xdr:colOff>1085850</xdr:colOff>
                <xdr:row>126</xdr:row>
                <xdr:rowOff>295275</xdr:rowOff>
              </to>
            </anchor>
          </controlPr>
        </control>
      </mc:Choice>
      <mc:Fallback>
        <control shapeId="1031" r:id="rId12" name="TIButton5"/>
      </mc:Fallback>
    </mc:AlternateContent>
    <mc:AlternateContent xmlns:mc="http://schemas.openxmlformats.org/markup-compatibility/2006">
      <mc:Choice Requires="x14">
        <control shapeId="1030" r:id="rId14" name="TIButton4">
          <controlPr defaultSize="0" print="0" autoLine="0" r:id="rId15">
            <anchor moveWithCells="1" sizeWithCells="1">
              <from>
                <xdr:col>19</xdr:col>
                <xdr:colOff>1028700</xdr:colOff>
                <xdr:row>126</xdr:row>
                <xdr:rowOff>0</xdr:rowOff>
              </from>
              <to>
                <xdr:col>20</xdr:col>
                <xdr:colOff>171450</xdr:colOff>
                <xdr:row>126</xdr:row>
                <xdr:rowOff>247650</xdr:rowOff>
              </to>
            </anchor>
          </controlPr>
        </control>
      </mc:Choice>
      <mc:Fallback>
        <control shapeId="1030" r:id="rId14" name="TIButton4"/>
      </mc:Fallback>
    </mc:AlternateContent>
    <mc:AlternateContent xmlns:mc="http://schemas.openxmlformats.org/markup-compatibility/2006">
      <mc:Choice Requires="x14">
        <control shapeId="1029" r:id="rId16" name="TIButton3">
          <controlPr defaultSize="0" print="0" autoLine="0" r:id="rId17">
            <anchor moveWithCells="1" sizeWithCells="1">
              <from>
                <xdr:col>16</xdr:col>
                <xdr:colOff>1295400</xdr:colOff>
                <xdr:row>126</xdr:row>
                <xdr:rowOff>0</xdr:rowOff>
              </from>
              <to>
                <xdr:col>17</xdr:col>
                <xdr:colOff>733425</xdr:colOff>
                <xdr:row>126</xdr:row>
                <xdr:rowOff>247650</xdr:rowOff>
              </to>
            </anchor>
          </controlPr>
        </control>
      </mc:Choice>
      <mc:Fallback>
        <control shapeId="1029" r:id="rId16" name="TIButton3"/>
      </mc:Fallback>
    </mc:AlternateContent>
    <mc:AlternateContent xmlns:mc="http://schemas.openxmlformats.org/markup-compatibility/2006">
      <mc:Choice Requires="x14">
        <control shapeId="1028" r:id="rId18" name="TIButton2">
          <controlPr defaultSize="0" print="0" autoLine="0" r:id="rId19">
            <anchor moveWithCells="1" sizeWithCells="1">
              <from>
                <xdr:col>15</xdr:col>
                <xdr:colOff>704850</xdr:colOff>
                <xdr:row>126</xdr:row>
                <xdr:rowOff>0</xdr:rowOff>
              </from>
              <to>
                <xdr:col>15</xdr:col>
                <xdr:colOff>1524000</xdr:colOff>
                <xdr:row>126</xdr:row>
                <xdr:rowOff>247650</xdr:rowOff>
              </to>
            </anchor>
          </controlPr>
        </control>
      </mc:Choice>
      <mc:Fallback>
        <control shapeId="1028" r:id="rId18" name="TIButton2"/>
      </mc:Fallback>
    </mc:AlternateContent>
    <mc:AlternateContent xmlns:mc="http://schemas.openxmlformats.org/markup-compatibility/2006">
      <mc:Choice Requires="x14">
        <control shapeId="1027" r:id="rId20" name="TIButton1">
          <controlPr defaultSize="0" print="0" autoLine="0" r:id="rId21">
            <anchor moveWithCells="1" sizeWithCells="1">
              <from>
                <xdr:col>15</xdr:col>
                <xdr:colOff>28575</xdr:colOff>
                <xdr:row>126</xdr:row>
                <xdr:rowOff>0</xdr:rowOff>
              </from>
              <to>
                <xdr:col>15</xdr:col>
                <xdr:colOff>666750</xdr:colOff>
                <xdr:row>126</xdr:row>
                <xdr:rowOff>247650</xdr:rowOff>
              </to>
            </anchor>
          </controlPr>
        </control>
      </mc:Choice>
      <mc:Fallback>
        <control shapeId="1027" r:id="rId20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77</vt:i4>
      </vt:variant>
    </vt:vector>
  </HeadingPairs>
  <TitlesOfParts>
    <vt:vector size="79" baseType="lpstr">
      <vt:lpstr>transaction listing</vt:lpstr>
      <vt:lpstr>{PL}PickLst</vt:lpstr>
      <vt:lpstr>cbRpt</vt:lpstr>
      <vt:lpstr>db_name</vt:lpstr>
      <vt:lpstr>EndStage</vt:lpstr>
      <vt:lpstr>home</vt:lpstr>
      <vt:lpstr>periodselection</vt:lpstr>
      <vt:lpstr>psAcc</vt:lpstr>
      <vt:lpstr>psACCDisplayDetail</vt:lpstr>
      <vt:lpstr>psApp</vt:lpstr>
      <vt:lpstr>psIDDisplayDetail</vt:lpstr>
      <vt:lpstr>psMA</vt:lpstr>
      <vt:lpstr>psMADisplayDetail</vt:lpstr>
      <vt:lpstr>psMsrCode</vt:lpstr>
      <vt:lpstr>psMSRDisplayDetail</vt:lpstr>
      <vt:lpstr>psPRog</vt:lpstr>
      <vt:lpstr>psProgDisplayDetail</vt:lpstr>
      <vt:lpstr>psReason</vt:lpstr>
      <vt:lpstr>psReasonDisplayDetail</vt:lpstr>
      <vt:lpstr>psUser</vt:lpstr>
      <vt:lpstr>psYr1</vt:lpstr>
      <vt:lpstr>psYr10</vt:lpstr>
      <vt:lpstr>psYr2</vt:lpstr>
      <vt:lpstr>psYr3</vt:lpstr>
      <vt:lpstr>psYr4</vt:lpstr>
      <vt:lpstr>psYr5</vt:lpstr>
      <vt:lpstr>psYr6</vt:lpstr>
      <vt:lpstr>psYr7</vt:lpstr>
      <vt:lpstr>psYr8</vt:lpstr>
      <vt:lpstr>psYr9</vt:lpstr>
      <vt:lpstr>sID</vt:lpstr>
      <vt:lpstr>sID0000A</vt:lpstr>
      <vt:lpstr>sID00FBO</vt:lpstr>
      <vt:lpstr>sIDNewadj</vt:lpstr>
      <vt:lpstr>sIDTotal</vt:lpstr>
      <vt:lpstr>StartStage</vt:lpstr>
      <vt:lpstr>TM1AnalRptARTRecoCAP</vt:lpstr>
      <vt:lpstr>TM1AnalRptARTRecoWB</vt:lpstr>
      <vt:lpstr>TM1AnalRptARTRecoWS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TM1AnalRptTransCAP</vt:lpstr>
      <vt:lpstr>TM1AnalRptTransWB</vt:lpstr>
      <vt:lpstr>TM1AnalRptTransWS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TM1PICKLIST</vt:lpstr>
      <vt:lpstr>'transaction listing'!TM1RPTDATARNG4</vt:lpstr>
      <vt:lpstr>'transaction listing'!TM1RPTFMTIDCOL</vt:lpstr>
      <vt:lpstr>'transaction listing'!TM1RPTFMTRNG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</dc:creator>
  <cp:lastModifiedBy>modeler1</cp:lastModifiedBy>
  <cp:lastPrinted>2019-09-04T00:59:34Z</cp:lastPrinted>
  <dcterms:created xsi:type="dcterms:W3CDTF">2019-01-10T06:26:27Z</dcterms:created>
  <dcterms:modified xsi:type="dcterms:W3CDTF">2024-09-18T23:04:04Z</dcterms:modified>
</cp:coreProperties>
</file>