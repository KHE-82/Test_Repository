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40F31609-B2F6-4362-8A26-D77C50446B27}" xr6:coauthVersionLast="47" xr6:coauthVersionMax="47" xr10:uidLastSave="{00000000-0000-0000-0000-000000000000}"/>
  <bookViews>
    <workbookView xWindow="57480" yWindow="-1965" windowWidth="29040" windowHeight="15840" xr2:uid="{D23E4CCB-5E32-4CCA-B899-1F9AF0631798}"/>
  </bookViews>
  <sheets>
    <sheet name="report" sheetId="1" r:id="rId1"/>
  </sheets>
  <definedNames>
    <definedName name="db_name">report!$C$12</definedName>
    <definedName name="Freeze_Here">report!#REF!</definedName>
    <definedName name="PL_jurtype_lookup">report!$F$80:$H$81</definedName>
    <definedName name="PL_progtype_list">report!$B$70:$B$71</definedName>
    <definedName name="PL_progtype_lookup">report!$B$70:$D$71</definedName>
    <definedName name="PL_spptype_lookup">report!$B$80:$D$81</definedName>
    <definedName name="psApp">report!$C$27</definedName>
    <definedName name="psProgDimName">report!$C$23</definedName>
    <definedName name="psUser">report!$C$14</definedName>
    <definedName name="TargetCells">report!$N$123:$N$123</definedName>
    <definedName name="TM1HomeAECAP">report!$D$30</definedName>
    <definedName name="TM1HomeAEWB">report!$F$30</definedName>
    <definedName name="TM1HomeAEWS">report!$H$30</definedName>
    <definedName name="TM1HomeCAP">report!$D$29</definedName>
    <definedName name="TM1HomeRepAnalyticalCAP">report!$D$33</definedName>
    <definedName name="TM1HomeRepAnalyticalWB">report!$F$33</definedName>
    <definedName name="TM1HomeRepAnalyticalWS">report!$H$33</definedName>
    <definedName name="TM1HomeRepCAP">report!$D$31</definedName>
    <definedName name="TM1HomeRepOtherCAP">report!$D$32</definedName>
    <definedName name="TM1HomeRepOtherWB">report!$F$32</definedName>
    <definedName name="TM1HomeRepOtherWS">report!$H$32</definedName>
    <definedName name="TM1HomeRepWB">report!$F$31</definedName>
    <definedName name="TM1HomeRepWS">report!$H$31</definedName>
    <definedName name="TM1HomeWB">report!$F$29</definedName>
    <definedName name="TM1HomeWS">report!$H$29</definedName>
    <definedName name="TM1OthRprTBalDrillCAP">report!$D$34</definedName>
    <definedName name="TM1OthRprTBalDrillWB">report!$F$34</definedName>
    <definedName name="TM1OthRprTBalDrillWS">report!$H$34</definedName>
    <definedName name="TM1REBUILDOPTION">0</definedName>
    <definedName name="TM1RPTDATARNG1" localSheetId="0">report!$117:$117</definedName>
    <definedName name="TM1RPTDATARNGARPT1" localSheetId="0">report!$120:$120</definedName>
    <definedName name="TM1RPTDATARNGARPT1">report!$120:$120</definedName>
    <definedName name="TM1RPTDATARNGARPT2" localSheetId="0">report!$123:$123</definedName>
    <definedName name="TM1RPTFMTIDCOL" localSheetId="0">report!$A$1:$A$8</definedName>
    <definedName name="TM1RPTFMTRNG" localSheetId="0">report!$B$1:$W$8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/>
  <c r="C23" i="1" a="1"/>
  <c r="C23" i="1"/>
  <c r="O108" i="1"/>
  <c r="C39" i="1"/>
  <c r="D66" i="1"/>
  <c r="N123" i="1"/>
  <c r="D65" i="1"/>
  <c r="C38" i="1"/>
  <c r="N120" i="1"/>
  <c r="C37" i="1"/>
  <c r="D64" i="1"/>
  <c r="N117" i="1"/>
  <c r="T107" i="1" a="1"/>
  <c r="T107" i="1"/>
  <c r="H85" i="1"/>
  <c r="T106" i="1" a="1"/>
  <c r="T106" i="1"/>
  <c r="H84" i="1"/>
  <c r="O110" i="1"/>
  <c r="G80" i="1"/>
  <c r="G85" i="1"/>
  <c r="G84" i="1"/>
  <c r="D85" i="1"/>
  <c r="D84" i="1"/>
  <c r="O109" i="1"/>
  <c r="C80" i="1"/>
  <c r="C85" i="1"/>
  <c r="C84" i="1"/>
  <c r="Q112" i="1"/>
  <c r="C21" i="1" a="1"/>
  <c r="C21" i="1"/>
  <c r="O105" i="1" a="1"/>
  <c r="O105" i="1"/>
  <c r="C22" i="1" a="1"/>
  <c r="C22" i="1"/>
  <c r="O106" i="1" a="1"/>
  <c r="O106" i="1"/>
  <c r="O107" i="1"/>
  <c r="C44" i="1" a="1"/>
  <c r="C45" i="1" a="1"/>
  <c r="C46" i="1" a="1"/>
  <c r="C47" i="1" a="1"/>
  <c r="C48" i="1" a="1"/>
  <c r="T105" i="1" a="1"/>
  <c r="T105" i="1"/>
  <c r="P123" i="1"/>
  <c r="C50" i="1" a="1"/>
  <c r="C51" i="1" a="1"/>
  <c r="C52" i="1" a="1"/>
  <c r="C53" i="1" a="1"/>
  <c r="C70" i="1"/>
  <c r="C75" i="1"/>
  <c r="D75" i="1"/>
  <c r="O123" i="1" a="1"/>
  <c r="D63" i="1"/>
  <c r="C56" i="1" a="1"/>
  <c r="Q123" i="1"/>
  <c r="N20" i="1"/>
  <c r="W20" i="1" a="1"/>
  <c r="C44" i="1"/>
  <c r="C45" i="1"/>
  <c r="C46" i="1"/>
  <c r="C47" i="1"/>
  <c r="C48" i="1"/>
  <c r="C50" i="1"/>
  <c r="C51" i="1"/>
  <c r="C52" i="1"/>
  <c r="C53" i="1"/>
  <c r="O123" i="1"/>
  <c r="C56" i="1"/>
  <c r="W20" i="1"/>
  <c r="W123" i="1"/>
  <c r="V20" i="1" a="1"/>
  <c r="V20" i="1"/>
  <c r="V123" i="1"/>
  <c r="U20" i="1" a="1"/>
  <c r="U20" i="1"/>
  <c r="U123" i="1"/>
  <c r="T20" i="1" a="1"/>
  <c r="T20" i="1"/>
  <c r="T123" i="1"/>
  <c r="P120" i="1"/>
  <c r="C74" i="1"/>
  <c r="D74" i="1"/>
  <c r="O120" i="1" a="1"/>
  <c r="D62" i="1"/>
  <c r="Q120" i="1"/>
  <c r="O120" i="1"/>
  <c r="W120" i="1"/>
  <c r="V120" i="1"/>
  <c r="U120" i="1"/>
  <c r="T120" i="1"/>
  <c r="S20" i="1" a="1"/>
  <c r="S20" i="1"/>
  <c r="S123" i="1"/>
  <c r="S120" i="1"/>
  <c r="G83" i="1"/>
  <c r="C83" i="1"/>
  <c r="P117" i="1"/>
  <c r="C73" i="1"/>
  <c r="D73" i="1"/>
  <c r="O117" i="1" a="1"/>
  <c r="D61" i="1"/>
  <c r="Q117" i="1"/>
  <c r="O117" i="1"/>
  <c r="W117" i="1"/>
  <c r="V117" i="1"/>
  <c r="U117" i="1"/>
  <c r="T117" i="1"/>
  <c r="S117" i="1"/>
  <c r="H83" i="1"/>
  <c r="G81" i="1"/>
  <c r="D83" i="1"/>
  <c r="C81" i="1"/>
  <c r="V110" i="1"/>
  <c r="C40" i="1"/>
  <c r="C26" i="1"/>
  <c r="C41" i="1" a="1"/>
  <c r="C41" i="1"/>
  <c r="K123" i="1" a="1"/>
  <c r="K123" i="1"/>
  <c r="A123" i="1" a="1"/>
  <c r="A123" i="1"/>
  <c r="K120" i="1" a="1"/>
  <c r="K120" i="1"/>
  <c r="A120" i="1" a="1"/>
  <c r="A120" i="1"/>
  <c r="K117" i="1" a="1"/>
  <c r="K117" i="1"/>
  <c r="A117" i="1" a="1"/>
  <c r="A117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H30" i="1" a="1"/>
  <c r="H30" i="1"/>
  <c r="G30" i="1" a="1"/>
  <c r="G30" i="1"/>
  <c r="F30" i="1" a="1"/>
  <c r="F30" i="1"/>
  <c r="E30" i="1" a="1"/>
  <c r="E30" i="1"/>
  <c r="D30" i="1" a="1"/>
  <c r="D30" i="1"/>
  <c r="C30" i="1" a="1"/>
  <c r="C30" i="1"/>
  <c r="H29" i="1" a="1"/>
  <c r="H29" i="1"/>
  <c r="G29" i="1" a="1"/>
  <c r="G29" i="1"/>
  <c r="F29" i="1" a="1"/>
  <c r="F29" i="1"/>
  <c r="E29" i="1" a="1"/>
  <c r="E29" i="1"/>
  <c r="D29" i="1" a="1"/>
  <c r="D29" i="1"/>
  <c r="C29" i="1" a="1"/>
  <c r="C29" i="1"/>
  <c r="C13" i="1" a="1"/>
  <c r="C13" i="1"/>
  <c r="C14" i="1" a="1"/>
  <c r="C14" i="1"/>
  <c r="C16" i="1" a="1"/>
  <c r="C16" i="1"/>
  <c r="C15" i="1" a="1"/>
  <c r="C15" i="1"/>
  <c r="C17" i="1"/>
  <c r="R123" i="1"/>
  <c r="R120" i="1"/>
  <c r="R117" i="1"/>
  <c r="C77" i="1"/>
  <c r="C76" i="1"/>
  <c r="C71" i="1"/>
  <c r="W112" i="1"/>
  <c r="V112" i="1"/>
  <c r="U112" i="1"/>
  <c r="T112" i="1"/>
  <c r="S112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<sst xmlns="http://schemas.openxmlformats.org/spreadsheetml/2006/main" count="133" uniqueCount="106">
  <si>
    <t>headline year</t>
  </si>
  <si>
    <t>status</t>
  </si>
  <si>
    <t>outcome</t>
  </si>
  <si>
    <t>related entity</t>
  </si>
  <si>
    <t>function</t>
  </si>
  <si>
    <t>reason</t>
  </si>
  <si>
    <t>spp</t>
  </si>
  <si>
    <t>measure code</t>
  </si>
  <si>
    <t>appropriation type</t>
  </si>
  <si>
    <t>movement account</t>
  </si>
  <si>
    <t>appropriation item</t>
  </si>
  <si>
    <t>id</t>
  </si>
  <si>
    <t>jurisdiction</t>
  </si>
  <si>
    <t>D</t>
  </si>
  <si>
    <t>N</t>
  </si>
  <si>
    <t>[Begin Format Range]</t>
  </si>
  <si>
    <t>[End Format Range]</t>
  </si>
  <si>
    <t>System Parameters</t>
  </si>
  <si>
    <t>Dataabase Name</t>
  </si>
  <si>
    <t xml:space="preserve">System Variables </t>
  </si>
  <si>
    <t>Period Variables</t>
  </si>
  <si>
    <t>headline scenario</t>
  </si>
  <si>
    <t>current</t>
  </si>
  <si>
    <t>Report Variables</t>
  </si>
  <si>
    <t>IS AF RPTView</t>
  </si>
  <si>
    <t>BS AF RPTView</t>
  </si>
  <si>
    <t>CFS AF RPT View</t>
  </si>
  <si>
    <t>AE Adj Cube Slice</t>
  </si>
  <si>
    <t>DR/CR Slice View</t>
  </si>
  <si>
    <t xml:space="preserve">Headline year:    </t>
  </si>
  <si>
    <t>See Rreport Parameters</t>
  </si>
  <si>
    <t xml:space="preserve">Scenario:    </t>
  </si>
  <si>
    <t xml:space="preserve">Programme:    </t>
  </si>
  <si>
    <t>Account:</t>
  </si>
  <si>
    <t>See MDX</t>
  </si>
  <si>
    <t>Period</t>
  </si>
  <si>
    <t>See Period Variables</t>
  </si>
  <si>
    <t>Report MDX</t>
  </si>
  <si>
    <t>IS Account MDX</t>
  </si>
  <si>
    <t>BS Account MDX</t>
  </si>
  <si>
    <t>CFS Account MDX</t>
  </si>
  <si>
    <t>Programmes MDX</t>
  </si>
  <si>
    <t>Drill Function</t>
  </si>
  <si>
    <t/>
  </si>
  <si>
    <t>Report Parameters:</t>
  </si>
  <si>
    <t>Income</t>
  </si>
  <si>
    <t>Balance Sheet</t>
  </si>
  <si>
    <t>CashFlow</t>
  </si>
  <si>
    <t>Income Statement</t>
  </si>
  <si>
    <t>Cash Flow Statement</t>
  </si>
  <si>
    <t>MDX To Use</t>
  </si>
  <si>
    <t>Cash Flow</t>
  </si>
  <si>
    <t>REPORT PARAMETERS</t>
  </si>
  <si>
    <t>RB</t>
  </si>
  <si>
    <t>NB</t>
  </si>
  <si>
    <t>FE1</t>
  </si>
  <si>
    <t>FE2</t>
  </si>
  <si>
    <t>FE3</t>
  </si>
  <si>
    <t>ACCOUNT</t>
  </si>
  <si>
    <t>DR/CR</t>
  </si>
  <si>
    <t>$'000</t>
  </si>
  <si>
    <t>PROGRAM</t>
  </si>
  <si>
    <t>sys_application</t>
  </si>
  <si>
    <t>Slice View</t>
  </si>
  <si>
    <t>Current Workbook</t>
  </si>
  <si>
    <t>Reports - Primary Financial Statements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</si>
  <si>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</si>
  <si>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</si>
  <si>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</si>
  <si>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</si>
  <si>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</si>
  <si>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</si>
  <si>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</si>
  <si>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</si>
  <si>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</si>
  <si>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program dimension name</t>
  </si>
  <si>
    <t>VIEW</t>
  </si>
  <si>
    <t xml:space="preserve">Financial Statements </t>
  </si>
  <si>
    <t>DISPLAY SETTINGS</t>
  </si>
  <si>
    <t>Collapse</t>
  </si>
  <si>
    <t>Expand</t>
  </si>
  <si>
    <t>Homepage - Reports - Other</t>
  </si>
  <si>
    <t>As at</t>
  </si>
  <si>
    <t>}Clients</t>
  </si>
  <si>
    <t>TM1 User</t>
  </si>
  <si>
    <t>}TM1_DefaultDisplayValue</t>
  </si>
  <si>
    <t>GEUS User Name</t>
  </si>
  <si>
    <t>Current User</t>
  </si>
  <si>
    <t xml:space="preserve">Headline Year : </t>
  </si>
  <si>
    <t>Scenario :</t>
  </si>
  <si>
    <t>Status :</t>
  </si>
  <si>
    <t>Program :</t>
  </si>
  <si>
    <t>Homepage - Reports - Analytical</t>
  </si>
  <si>
    <t>Other Reports - Trial Balance Drill</t>
  </si>
  <si>
    <t>SPP :</t>
  </si>
  <si>
    <t>Jurisdiction :</t>
  </si>
  <si>
    <t>SPP</t>
  </si>
  <si>
    <t>SPP MDX</t>
  </si>
  <si>
    <t>Jur MDX</t>
  </si>
  <si>
    <t>Account - Jur Required - IS</t>
  </si>
  <si>
    <t>Account - Jur Required - BC</t>
  </si>
  <si>
    <t>Account - Jur Required - CFS</t>
  </si>
  <si>
    <t>Double Quo</t>
  </si>
  <si>
    <t>"</t>
  </si>
  <si>
    <t>Note : It only displays accounts that require Jurisdiction and SPP codes.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</si>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</sst>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+ &quot;@"/>
    <numFmt numFmtId="165" formatCode="_(* #,##0.00_);_(* \(#,##0.00\);_(* &quot;-&quot;??_);_(@_)"/>
    <numFmt numFmtId="166" formatCode="_-* #,##0_-;[Red]* \(#,##0\)_-;_-* &quot;-&quot;??_-;_-@_-"/>
    <numFmt numFmtId="167" formatCode="dd\ mmmm\ yyyy\ h:mm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28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00426A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33F4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165" fontId="1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3" fillId="0" borderId="6" xfId="0" applyFont="1" applyBorder="1"/>
    <xf numFmtId="0" fontId="0" fillId="0" borderId="11" xfId="0" applyBorder="1"/>
    <xf numFmtId="0" fontId="0" fillId="0" borderId="12" xfId="0" applyBorder="1"/>
    <xf numFmtId="0" fontId="3" fillId="0" borderId="11" xfId="0" applyFont="1" applyBorder="1"/>
    <xf numFmtId="0" fontId="0" fillId="2" borderId="12" xfId="0" applyFill="1" applyBorder="1"/>
    <xf numFmtId="0" fontId="3" fillId="0" borderId="9" xfId="0" applyFont="1" applyBorder="1"/>
    <xf numFmtId="0" fontId="0" fillId="2" borderId="10" xfId="0" applyFill="1" applyBorder="1"/>
    <xf numFmtId="0" fontId="5" fillId="0" borderId="8" xfId="0" quotePrefix="1" applyFont="1" applyBorder="1"/>
    <xf numFmtId="0" fontId="6" fillId="0" borderId="7" xfId="0" applyFont="1" applyBorder="1"/>
    <xf numFmtId="0" fontId="5" fillId="0" borderId="8" xfId="0" applyFont="1" applyBorder="1"/>
    <xf numFmtId="0" fontId="6" fillId="0" borderId="0" xfId="0" applyFont="1"/>
    <xf numFmtId="0" fontId="3" fillId="2" borderId="2" xfId="0" applyFont="1" applyFill="1" applyBorder="1"/>
    <xf numFmtId="0" fontId="3" fillId="2" borderId="15" xfId="0" applyFont="1" applyFill="1" applyBorder="1"/>
    <xf numFmtId="0" fontId="7" fillId="2" borderId="16" xfId="0" applyFont="1" applyFill="1" applyBorder="1"/>
    <xf numFmtId="0" fontId="5" fillId="0" borderId="17" xfId="0" applyFont="1" applyBorder="1"/>
    <xf numFmtId="0" fontId="5" fillId="0" borderId="18" xfId="0" applyFont="1" applyBorder="1"/>
    <xf numFmtId="0" fontId="5" fillId="0" borderId="7" xfId="0" applyFont="1" applyBorder="1"/>
    <xf numFmtId="0" fontId="0" fillId="0" borderId="0" xfId="0" quotePrefix="1"/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7" fillId="4" borderId="0" xfId="2" applyNumberFormat="1" applyFont="1" applyFill="1"/>
    <xf numFmtId="166" fontId="7" fillId="4" borderId="19" xfId="2" applyNumberFormat="1" applyFont="1" applyFill="1" applyBorder="1"/>
    <xf numFmtId="166" fontId="5" fillId="0" borderId="0" xfId="2" applyNumberFormat="1" applyFont="1"/>
    <xf numFmtId="166" fontId="5" fillId="0" borderId="19" xfId="2" applyNumberFormat="1" applyFont="1" applyBorder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21" xfId="0" applyBorder="1"/>
    <xf numFmtId="0" fontId="7" fillId="4" borderId="1" xfId="0" applyFont="1" applyFill="1" applyBorder="1"/>
    <xf numFmtId="0" fontId="5" fillId="0" borderId="1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6" fillId="0" borderId="8" xfId="0" applyFont="1" applyBorder="1"/>
    <xf numFmtId="0" fontId="0" fillId="0" borderId="0" xfId="0" applyProtection="1"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0" fontId="2" fillId="5" borderId="8" xfId="0" applyFont="1" applyFill="1" applyBorder="1" applyAlignment="1">
      <alignment horizontal="center" wrapText="1"/>
    </xf>
    <xf numFmtId="0" fontId="3" fillId="0" borderId="1" xfId="0" applyFont="1" applyBorder="1"/>
    <xf numFmtId="0" fontId="0" fillId="0" borderId="1" xfId="0" applyBorder="1"/>
    <xf numFmtId="0" fontId="7" fillId="4" borderId="19" xfId="0" applyFont="1" applyFill="1" applyBorder="1"/>
    <xf numFmtId="0" fontId="7" fillId="4" borderId="1" xfId="0" applyFont="1" applyFill="1" applyBorder="1" applyAlignment="1">
      <alignment horizontal="center"/>
    </xf>
    <xf numFmtId="166" fontId="7" fillId="4" borderId="26" xfId="2" applyNumberFormat="1" applyFont="1" applyFill="1" applyBorder="1"/>
    <xf numFmtId="0" fontId="5" fillId="0" borderId="19" xfId="0" applyFont="1" applyBorder="1"/>
    <xf numFmtId="0" fontId="5" fillId="0" borderId="1" xfId="0" applyFont="1" applyBorder="1" applyAlignment="1">
      <alignment horizontal="center"/>
    </xf>
    <xf numFmtId="166" fontId="5" fillId="0" borderId="26" xfId="2" applyNumberFormat="1" applyFont="1" applyBorder="1"/>
    <xf numFmtId="164" fontId="5" fillId="0" borderId="19" xfId="0" applyNumberFormat="1" applyFont="1" applyBorder="1"/>
    <xf numFmtId="0" fontId="12" fillId="0" borderId="5" xfId="0" applyFont="1" applyBorder="1"/>
    <xf numFmtId="0" fontId="11" fillId="0" borderId="5" xfId="0" applyFont="1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3" fillId="0" borderId="8" xfId="0" applyFont="1" applyBorder="1"/>
    <xf numFmtId="0" fontId="0" fillId="0" borderId="14" xfId="0" applyBorder="1"/>
    <xf numFmtId="0" fontId="0" fillId="0" borderId="22" xfId="0" applyBorder="1"/>
    <xf numFmtId="0" fontId="0" fillId="0" borderId="8" xfId="0" quotePrefix="1" applyBorder="1"/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right" vertical="center"/>
    </xf>
    <xf numFmtId="0" fontId="0" fillId="0" borderId="8" xfId="0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 applyProtection="1">
      <alignment horizontal="left" indent="1"/>
      <protection locked="0"/>
    </xf>
    <xf numFmtId="0" fontId="0" fillId="0" borderId="0" xfId="0" applyAlignment="1" applyProtection="1">
      <alignment horizontal="left" indent="1"/>
      <protection locked="0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5" fillId="0" borderId="1" xfId="0" applyFont="1" applyBorder="1" applyAlignment="1">
      <alignment horizontal="left" indent="7"/>
    </xf>
    <xf numFmtId="0" fontId="5" fillId="0" borderId="1" xfId="0" applyFont="1" applyBorder="1" applyAlignment="1">
      <alignment horizontal="left" indent="6"/>
    </xf>
    <xf numFmtId="0" fontId="5" fillId="0" borderId="1" xfId="0" applyFont="1" applyBorder="1" applyAlignment="1">
      <alignment horizontal="left" indent="2"/>
    </xf>
    <xf numFmtId="0" fontId="14" fillId="0" borderId="0" xfId="0" applyFont="1" applyAlignment="1" applyProtection="1">
      <alignment horizontal="left" indent="1"/>
      <protection locked="0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167" fontId="3" fillId="0" borderId="0" xfId="0" applyNumberFormat="1" applyFont="1" applyAlignment="1">
      <alignment horizontal="left" indent="1"/>
    </xf>
    <xf numFmtId="0" fontId="2" fillId="5" borderId="26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/>
    </xf>
  </cellXfs>
  <cellStyles count="3">
    <cellStyle name="Comma 4" xfId="2" xr:uid="{06906776-0D6D-4496-8F37-C8AE0AC44E8D}"/>
    <cellStyle name="Normal" xfId="0" builtinId="0"/>
    <cellStyle name="Normal 3" xfId="1" xr:uid="{494BE47B-15C7-4454-878E-EB9C91A5A9B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28575</xdr:colOff>
      <xdr:row>98</xdr:row>
      <xdr:rowOff>28575</xdr:rowOff>
    </xdr:from>
    <xdr:to>
      <xdr:col>13</xdr:col>
      <xdr:colOff>1845522</xdr:colOff>
      <xdr:row>98</xdr:row>
      <xdr:rowOff>474345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864572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30480</xdr:colOff>
          <xdr:row>100</xdr:row>
          <xdr:rowOff>0</xdr:rowOff>
        </xdr:from>
        <xdr:to>
          <xdr:col>13</xdr:col>
          <xdr:colOff>670560</xdr:colOff>
          <xdr:row>100</xdr:row>
          <xdr:rowOff>251460</xdr:rowOff>
        </xdr:to>
        <xdr:sp macro="" textlink="">
          <xdr:nvSpPr>
            <xdr:cNvPr id="1034" name="TIButton2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2689860</xdr:colOff>
          <xdr:row>100</xdr:row>
          <xdr:rowOff>0</xdr:rowOff>
        </xdr:from>
        <xdr:to>
          <xdr:col>15</xdr:col>
          <xdr:colOff>0</xdr:colOff>
          <xdr:row>100</xdr:row>
          <xdr:rowOff>251460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708660</xdr:colOff>
          <xdr:row>100</xdr:row>
          <xdr:rowOff>0</xdr:rowOff>
        </xdr:from>
        <xdr:to>
          <xdr:col>13</xdr:col>
          <xdr:colOff>1828800</xdr:colOff>
          <xdr:row>100</xdr:row>
          <xdr:rowOff>251460</xdr:rowOff>
        </xdr:to>
        <xdr:sp macro="" textlink="">
          <xdr:nvSpPr>
            <xdr:cNvPr id="1036" name="TIButton1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723900</xdr:colOff>
          <xdr:row>99</xdr:row>
          <xdr:rowOff>38100</xdr:rowOff>
        </xdr:from>
        <xdr:to>
          <xdr:col>22</xdr:col>
          <xdr:colOff>1051560</xdr:colOff>
          <xdr:row>100</xdr:row>
          <xdr:rowOff>289560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1859280</xdr:colOff>
          <xdr:row>100</xdr:row>
          <xdr:rowOff>0</xdr:rowOff>
        </xdr:from>
        <xdr:to>
          <xdr:col>13</xdr:col>
          <xdr:colOff>3208020</xdr:colOff>
          <xdr:row>100</xdr:row>
          <xdr:rowOff>251460</xdr:rowOff>
        </xdr:to>
        <xdr:sp macro="" textlink="">
          <xdr:nvSpPr>
            <xdr:cNvPr id="1038" name="TIButton5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3230880</xdr:colOff>
          <xdr:row>100</xdr:row>
          <xdr:rowOff>0</xdr:rowOff>
        </xdr:from>
        <xdr:to>
          <xdr:col>14</xdr:col>
          <xdr:colOff>1402080</xdr:colOff>
          <xdr:row>100</xdr:row>
          <xdr:rowOff>251460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1432560</xdr:colOff>
          <xdr:row>100</xdr:row>
          <xdr:rowOff>0</xdr:rowOff>
        </xdr:from>
        <xdr:to>
          <xdr:col>14</xdr:col>
          <xdr:colOff>2636520</xdr:colOff>
          <xdr:row>100</xdr:row>
          <xdr:rowOff>251460</xdr:rowOff>
        </xdr:to>
        <xdr:sp macro="" textlink="">
          <xdr:nvSpPr>
            <xdr:cNvPr id="1040" name="TIButton7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689E-463C-4E3C-A9ED-D00C7FCCF1BB}">
  <sheetPr codeName="Sheet1">
    <outlinePr showOutlineSymbols="0"/>
    <pageSetUpPr fitToPage="1"/>
  </sheetPr>
  <dimension ref="A1:BN124"/>
  <sheetViews>
    <sheetView showGridLines="0" showRowColHeaders="0" tabSelected="1" showOutlineSymbols="0" topLeftCell="A99" workbookViewId="0">
      <pane xSplit="15" ySplit="18" topLeftCell="P117" activePane="bottomRight" state="frozen"/>
      <selection activeCell="M99" sqref="M99"/>
      <selection pane="topRight" activeCell="P99" sqref="P99"/>
      <selection pane="bottomLeft" activeCell="M117" sqref="M117"/>
      <selection pane="bottomRight"/>
    </sheetView>
  </sheetViews>
  <sheetFormatPr defaultColWidth="15.6640625" defaultRowHeight="14.4" outlineLevelRow="1" outlineLevelCol="1" x14ac:dyDescent="0.3"/>
  <cols>
    <col min="1" max="1" width="20.33203125" hidden="1" customWidth="1" outlineLevel="1"/>
    <col min="2" max="2" width="15.6640625" hidden="1" customWidth="1" outlineLevel="1"/>
    <col min="3" max="3" width="33.6640625" hidden="1" customWidth="1" outlineLevel="1"/>
    <col min="4" max="6" width="15.6640625" hidden="1" customWidth="1" outlineLevel="1"/>
    <col min="7" max="7" width="33.6640625" hidden="1" customWidth="1" outlineLevel="1"/>
    <col min="8" max="12" width="15.6640625" hidden="1" customWidth="1" outlineLevel="1"/>
    <col min="13" max="13" width="0.88671875" customWidth="1" collapsed="1"/>
    <col min="14" max="15" width="50.6640625" customWidth="1"/>
    <col min="16" max="16" width="33.88671875" customWidth="1"/>
    <col min="17" max="17" width="20.44140625" customWidth="1"/>
    <col min="18" max="18" width="6.6640625" customWidth="1"/>
  </cols>
  <sheetData>
    <row r="1" spans="1:23" hidden="1" outlineLevel="1" x14ac:dyDescent="0.3">
      <c r="A1" t="s">
        <v>15</v>
      </c>
    </row>
    <row r="2" spans="1:23" hidden="1" outlineLevel="1" x14ac:dyDescent="0.3">
      <c r="A2">
        <f>0</f>
        <v>0</v>
      </c>
      <c r="B2" s="49"/>
      <c r="D2" s="2"/>
      <c r="E2" s="2"/>
      <c r="F2" s="2"/>
      <c r="G2" s="2"/>
      <c r="H2" s="2"/>
      <c r="I2" s="2"/>
      <c r="J2" s="2"/>
      <c r="K2" s="20"/>
      <c r="L2" s="2"/>
      <c r="M2" s="2"/>
      <c r="N2" s="38"/>
      <c r="O2" s="51"/>
      <c r="P2" s="51"/>
      <c r="Q2" s="51"/>
      <c r="R2" s="52"/>
      <c r="S2" s="53"/>
      <c r="T2" s="31"/>
      <c r="U2" s="31"/>
      <c r="V2" s="31"/>
      <c r="W2" s="32"/>
    </row>
    <row r="3" spans="1:23" hidden="1" outlineLevel="1" x14ac:dyDescent="0.3">
      <c r="A3">
        <f>1</f>
        <v>1</v>
      </c>
      <c r="B3" s="50"/>
      <c r="D3" s="2"/>
      <c r="E3" s="2"/>
      <c r="F3" s="2"/>
      <c r="G3" s="2"/>
      <c r="H3" s="2"/>
      <c r="I3" s="2"/>
      <c r="J3" s="2"/>
      <c r="K3" s="20"/>
      <c r="L3" s="2"/>
      <c r="M3" s="2"/>
      <c r="N3" s="38"/>
      <c r="O3" s="51"/>
      <c r="P3" s="51"/>
      <c r="Q3" s="51"/>
      <c r="R3" s="52"/>
      <c r="S3" s="53"/>
      <c r="T3" s="31"/>
      <c r="U3" s="31"/>
      <c r="V3" s="31"/>
      <c r="W3" s="32"/>
    </row>
    <row r="4" spans="1:23" hidden="1" outlineLevel="1" x14ac:dyDescent="0.3">
      <c r="A4">
        <f>2</f>
        <v>2</v>
      </c>
      <c r="B4" s="50"/>
      <c r="D4" s="2"/>
      <c r="E4" s="2"/>
      <c r="F4" s="2"/>
      <c r="G4" s="2"/>
      <c r="H4" s="2"/>
      <c r="I4" s="2"/>
      <c r="J4" s="2"/>
      <c r="K4" s="20"/>
      <c r="L4" s="2"/>
      <c r="M4" s="2"/>
      <c r="N4" s="38"/>
      <c r="O4" s="51"/>
      <c r="P4" s="51"/>
      <c r="Q4" s="51"/>
      <c r="R4" s="52"/>
      <c r="S4" s="53"/>
      <c r="T4" s="31"/>
      <c r="U4" s="31"/>
      <c r="V4" s="31"/>
      <c r="W4" s="32"/>
    </row>
    <row r="5" spans="1:23" hidden="1" outlineLevel="1" x14ac:dyDescent="0.3">
      <c r="A5">
        <f>3</f>
        <v>3</v>
      </c>
      <c r="B5" s="50"/>
      <c r="D5" s="2"/>
      <c r="E5" s="2"/>
      <c r="F5" s="2"/>
      <c r="G5" s="2"/>
      <c r="H5" s="2"/>
      <c r="I5" s="2"/>
      <c r="J5" s="2"/>
      <c r="K5" s="20"/>
      <c r="L5" s="2"/>
      <c r="M5" s="2"/>
      <c r="N5" s="38"/>
      <c r="O5" s="51"/>
      <c r="P5" s="51"/>
      <c r="Q5" s="51"/>
      <c r="R5" s="52"/>
      <c r="S5" s="53"/>
      <c r="T5" s="31"/>
      <c r="U5" s="31"/>
      <c r="V5" s="31"/>
      <c r="W5" s="32"/>
    </row>
    <row r="6" spans="1:23" hidden="1" outlineLevel="1" x14ac:dyDescent="0.3">
      <c r="A6" t="s">
        <v>13</v>
      </c>
      <c r="B6" s="50"/>
      <c r="D6" s="2"/>
      <c r="E6" s="2"/>
      <c r="F6" s="2"/>
      <c r="G6" s="2"/>
      <c r="H6" s="2"/>
      <c r="I6" s="2"/>
      <c r="J6" s="2"/>
      <c r="K6" s="20"/>
      <c r="L6" s="2"/>
      <c r="M6" s="2"/>
      <c r="N6" s="38"/>
      <c r="O6" s="51"/>
      <c r="P6" s="51"/>
      <c r="Q6" s="51"/>
      <c r="R6" s="52"/>
      <c r="S6" s="53"/>
      <c r="T6" s="31"/>
      <c r="U6" s="31"/>
      <c r="V6" s="31"/>
      <c r="W6" s="32"/>
    </row>
    <row r="7" spans="1:23" hidden="1" outlineLevel="1" x14ac:dyDescent="0.3">
      <c r="A7" t="s">
        <v>14</v>
      </c>
      <c r="B7" s="50"/>
      <c r="D7" s="2"/>
      <c r="E7" s="2"/>
      <c r="F7" s="2"/>
      <c r="G7" s="2"/>
      <c r="H7" s="2"/>
      <c r="I7" s="2"/>
      <c r="J7" s="2"/>
      <c r="K7" s="20"/>
      <c r="L7" s="2"/>
      <c r="M7" s="2"/>
      <c r="N7" s="39"/>
      <c r="O7" s="54"/>
      <c r="P7" s="54"/>
      <c r="Q7" s="54"/>
      <c r="R7" s="55"/>
      <c r="S7" s="56"/>
      <c r="T7" s="33"/>
      <c r="U7" s="33"/>
      <c r="V7" s="33"/>
      <c r="W7" s="34"/>
    </row>
    <row r="8" spans="1:23" hidden="1" outlineLevel="1" x14ac:dyDescent="0.3">
      <c r="A8" t="s">
        <v>16</v>
      </c>
      <c r="S8" s="3"/>
    </row>
    <row r="9" spans="1:23" hidden="1" outlineLevel="1" x14ac:dyDescent="0.3"/>
    <row r="10" spans="1:23" hidden="1" outlineLevel="1" x14ac:dyDescent="0.3"/>
    <row r="11" spans="1:23" hidden="1" outlineLevel="1" x14ac:dyDescent="0.3">
      <c r="B11" s="83" t="s">
        <v>17</v>
      </c>
      <c r="C11" s="83"/>
    </row>
    <row r="12" spans="1:23" hidden="1" outlineLevel="1" x14ac:dyDescent="0.3">
      <c r="B12" s="63" t="s">
        <v>18</v>
      </c>
      <c r="C12" s="10" t="s">
        <v>105</v>
      </c>
    </row>
    <row r="13" spans="1:23" hidden="1" outlineLevel="1" x14ac:dyDescent="0.3">
      <c r="B13" s="63" t="s">
        <v>83</v>
      </c>
      <c r="C13" s="71" t="str" cm="1">
        <f t="array" aca="1" ref="C13" ca="1">_xll.VIEW(db_name&amp;":}ElementAttributes_}Clients","!","!")</f>
        <v>dcceew_geus:}ElementAttributes_}Clients</v>
      </c>
    </row>
    <row r="14" spans="1:23" hidden="1" outlineLevel="1" x14ac:dyDescent="0.3">
      <c r="B14" s="63" t="s">
        <v>84</v>
      </c>
      <c r="C14" s="10" t="str" cm="1">
        <f t="array" aca="1" ref="C14" ca="1">_xll.TM1USER(db_name)</f>
        <v/>
      </c>
    </row>
    <row r="15" spans="1:23" hidden="1" outlineLevel="1" x14ac:dyDescent="0.3">
      <c r="B15" s="63" t="s">
        <v>85</v>
      </c>
      <c r="C15" s="10" t="str" cm="1">
        <f t="array" aca="1" ref="C15" ca="1">_xll.DBR($C$13,$C$14,$B15)</f>
        <v>*KEY_ERR</v>
      </c>
    </row>
    <row r="16" spans="1:23" hidden="1" outlineLevel="1" x14ac:dyDescent="0.3">
      <c r="B16" s="63" t="s">
        <v>86</v>
      </c>
      <c r="C16" s="10" t="str" cm="1">
        <f t="array" aca="1" ref="C16" ca="1">_xll.DBR($C$13,$C$14,$B16)</f>
        <v>*KEY_ERR</v>
      </c>
    </row>
    <row r="17" spans="2:23" hidden="1" outlineLevel="1" x14ac:dyDescent="0.3">
      <c r="B17" s="63" t="s">
        <v>87</v>
      </c>
      <c r="C17" s="10" t="str">
        <f ca="1">IF(LEFT($C$15,6)="CAM_AD",$C$16,$C$15)</f>
        <v>*KEY_ERR</v>
      </c>
    </row>
    <row r="18" spans="2:23" hidden="1" outlineLevel="1" x14ac:dyDescent="0.3">
      <c r="B18" s="1"/>
      <c r="C18" s="3"/>
      <c r="D18" s="3"/>
      <c r="S18" s="3"/>
    </row>
    <row r="19" spans="2:23" hidden="1" outlineLevel="1" x14ac:dyDescent="0.3">
      <c r="B19" s="83" t="s">
        <v>19</v>
      </c>
      <c r="C19" s="83"/>
      <c r="D19" s="3"/>
      <c r="N19" s="5" t="s">
        <v>20</v>
      </c>
      <c r="O19" s="6"/>
      <c r="P19" s="6"/>
      <c r="Q19" s="6"/>
      <c r="R19" s="6"/>
      <c r="S19" s="7"/>
      <c r="T19" s="8"/>
      <c r="U19" s="8"/>
      <c r="V19" s="8"/>
      <c r="W19" s="8"/>
    </row>
    <row r="20" spans="2:23" hidden="1" outlineLevel="1" x14ac:dyDescent="0.3">
      <c r="B20" t="s">
        <v>76</v>
      </c>
      <c r="C20" t="str" cm="1">
        <f t="array" aca="1" ref="C20" ca="1">_xll.VIEW(db_name&amp;":}ElementAttributes_variables","!","!")</f>
        <v>dcceew_geus:}ElementAttributes_variables</v>
      </c>
      <c r="N20" s="9" t="str">
        <f ca="1">RIGHT($O$105,9)</f>
        <v/>
      </c>
      <c r="O20" s="9"/>
      <c r="P20" s="9"/>
      <c r="Q20" s="9"/>
      <c r="R20" s="9"/>
      <c r="S20" s="10" t="str" cm="1">
        <f t="array" aca="1" ref="S20" ca="1">_xll.DIMNM(db_name&amp;":period",_xll.DIMIX(db_name&amp;":period",$N$20)+S$21)</f>
        <v/>
      </c>
      <c r="T20" s="10" t="str" cm="1">
        <f t="array" aca="1" ref="T20" ca="1">_xll.DIMNM(db_name&amp;":period",_xll.DIMIX(db_name&amp;":period",$N$20)+T$21)</f>
        <v/>
      </c>
      <c r="U20" s="10" t="str" cm="1">
        <f t="array" aca="1" ref="U20" ca="1">_xll.DIMNM(db_name&amp;":period",_xll.DIMIX(db_name&amp;":period",$N$20)+U$21)</f>
        <v/>
      </c>
      <c r="V20" s="10" t="str" cm="1">
        <f t="array" aca="1" ref="V20" ca="1">_xll.DIMNM(db_name&amp;":period",_xll.DIMIX(db_name&amp;":period",$N$20)+V$21)</f>
        <v/>
      </c>
      <c r="W20" s="10" t="str" cm="1">
        <f t="array" aca="1" ref="W20" ca="1">_xll.DIMNM(db_name&amp;":period",_xll.DIMIX(db_name&amp;":period",$N$20)+W$21)</f>
        <v/>
      </c>
    </row>
    <row r="21" spans="2:23" hidden="1" outlineLevel="1" x14ac:dyDescent="0.3">
      <c r="B21" s="9" t="s">
        <v>0</v>
      </c>
      <c r="C21" s="9" t="str" cm="1">
        <f t="array" aca="1" ref="C21" ca="1">_xll.DBR($C$20,$B21,"value")</f>
        <v>*KEY_ERR</v>
      </c>
      <c r="N21" s="9" t="s">
        <v>22</v>
      </c>
      <c r="O21" s="9"/>
      <c r="P21" s="9"/>
      <c r="Q21" s="9"/>
      <c r="R21" s="9"/>
      <c r="S21" s="10">
        <v>-1</v>
      </c>
      <c r="T21" s="10">
        <v>0</v>
      </c>
      <c r="U21" s="10">
        <v>1</v>
      </c>
      <c r="V21" s="10">
        <v>2</v>
      </c>
      <c r="W21" s="10">
        <v>3</v>
      </c>
    </row>
    <row r="22" spans="2:23" hidden="1" outlineLevel="1" x14ac:dyDescent="0.3">
      <c r="B22" s="9" t="s">
        <v>21</v>
      </c>
      <c r="C22" s="9" t="str" cm="1">
        <f t="array" aca="1" ref="C22" ca="1">_xll.DBR($C$20,$B22,"value")</f>
        <v>*KEY_ERR</v>
      </c>
      <c r="S22" s="3"/>
    </row>
    <row r="23" spans="2:23" hidden="1" outlineLevel="1" x14ac:dyDescent="0.3">
      <c r="B23" s="9" t="s">
        <v>75</v>
      </c>
      <c r="C23" s="9" t="str" cm="1">
        <f t="array" aca="1" ref="C23" ca="1">_xll.DBR($C$20,$B23,"value")</f>
        <v>*KEY_ERR</v>
      </c>
      <c r="S23" s="3"/>
    </row>
    <row r="24" spans="2:23" hidden="1" outlineLevel="1" x14ac:dyDescent="0.3">
      <c r="S24" s="3"/>
    </row>
    <row r="25" spans="2:23" hidden="1" outlineLevel="1" x14ac:dyDescent="0.3">
      <c r="B25" s="80" t="s">
        <v>62</v>
      </c>
      <c r="C25" s="81"/>
      <c r="D25" s="82"/>
      <c r="E25" s="4"/>
      <c r="F25" s="4"/>
      <c r="G25" s="4"/>
      <c r="H25" s="4"/>
      <c r="S25" s="3"/>
    </row>
    <row r="26" spans="2:23" hidden="1" outlineLevel="1" x14ac:dyDescent="0.3">
      <c r="B26" s="63" t="s">
        <v>63</v>
      </c>
      <c r="C26" s="9" t="str">
        <f ca="1">_xll.VIEW(db_name&amp;":sys_application","!","!")</f>
        <v>dcceew_geus:sys_application</v>
      </c>
      <c r="D26" s="9"/>
      <c r="S26" s="3"/>
    </row>
    <row r="27" spans="2:23" hidden="1" outlineLevel="1" x14ac:dyDescent="0.3">
      <c r="B27" s="63" t="s">
        <v>64</v>
      </c>
      <c r="C27" t="s">
        <v>65</v>
      </c>
      <c r="D27" s="9"/>
      <c r="S27" s="3"/>
    </row>
    <row r="28" spans="2:23" hidden="1" outlineLevel="1" x14ac:dyDescent="0.3">
      <c r="B28" s="9"/>
      <c r="C28" s="63" t="s">
        <v>66</v>
      </c>
      <c r="D28" s="63" t="s">
        <v>67</v>
      </c>
      <c r="E28" s="63" t="s">
        <v>68</v>
      </c>
      <c r="F28" s="63" t="s">
        <v>69</v>
      </c>
      <c r="G28" s="63" t="s">
        <v>70</v>
      </c>
      <c r="H28" s="63" t="s">
        <v>71</v>
      </c>
      <c r="S28" s="3"/>
    </row>
    <row r="29" spans="2:23" hidden="1" outlineLevel="1" x14ac:dyDescent="0.3">
      <c r="B29" s="9" t="s">
        <v>72</v>
      </c>
      <c r="C29" s="9" t="str" cm="1">
        <f t="array" aca="1" ref="C29" ca="1">_xll.DBR($C$26,$B29,C$28)</f>
        <v>*KEY_ERR</v>
      </c>
      <c r="D29" s="9" t="str" cm="1">
        <f t="array" aca="1" ref="D29" ca="1">_xll.DBR($C$26,$B29,D$28)</f>
        <v>*KEY_ERR</v>
      </c>
      <c r="E29" s="9" t="str" cm="1">
        <f t="array" aca="1" ref="E29" ca="1">_xll.DBR($C$26,$B29,E$28)</f>
        <v>*KEY_ERR</v>
      </c>
      <c r="F29" s="9" t="str" cm="1">
        <f t="array" aca="1" ref="F29" ca="1">_xll.DBR($C$26,$B29,F$28)</f>
        <v>*KEY_ERR</v>
      </c>
      <c r="G29" s="9" t="str" cm="1">
        <f t="array" aca="1" ref="G29" ca="1">_xll.DBR($C$26,$B29,G$28)</f>
        <v>*KEY_ERR</v>
      </c>
      <c r="H29" s="9" t="str" cm="1">
        <f t="array" aca="1" ref="H29" ca="1">_xll.DBR($C$26,$B29,H$28)</f>
        <v>*KEY_ERR</v>
      </c>
      <c r="S29" s="3"/>
    </row>
    <row r="30" spans="2:23" hidden="1" outlineLevel="1" x14ac:dyDescent="0.3">
      <c r="B30" s="9" t="s">
        <v>73</v>
      </c>
      <c r="C30" s="9" t="str" cm="1">
        <f t="array" aca="1" ref="C30" ca="1">_xll.DBR($C$26,$B30,C$28)</f>
        <v>*KEY_ERR</v>
      </c>
      <c r="D30" s="9" t="str" cm="1">
        <f t="array" aca="1" ref="D30" ca="1">_xll.DBR($C$26,$B30,D$28)</f>
        <v>*KEY_ERR</v>
      </c>
      <c r="E30" s="9" t="str" cm="1">
        <f t="array" aca="1" ref="E30" ca="1">_xll.DBR($C$26,$B30,E$28)</f>
        <v>*KEY_ERR</v>
      </c>
      <c r="F30" s="9" t="str" cm="1">
        <f t="array" aca="1" ref="F30" ca="1">_xll.DBR($C$26,$B30,F$28)</f>
        <v>*KEY_ERR</v>
      </c>
      <c r="G30" s="9" t="str" cm="1">
        <f t="array" aca="1" ref="G30" ca="1">_xll.DBR($C$26,$B30,G$28)</f>
        <v>*KEY_ERR</v>
      </c>
      <c r="H30" s="9" t="str" cm="1">
        <f t="array" aca="1" ref="H30" ca="1">_xll.DBR($C$26,$B30,H$28)</f>
        <v>*KEY_ERR</v>
      </c>
      <c r="S30" s="3"/>
    </row>
    <row r="31" spans="2:23" hidden="1" outlineLevel="1" x14ac:dyDescent="0.3">
      <c r="B31" s="9" t="s">
        <v>74</v>
      </c>
      <c r="C31" s="9" t="str" cm="1">
        <f t="array" aca="1" ref="C31" ca="1">_xll.DBR($C$26,$B31,C$28)</f>
        <v>*KEY_ERR</v>
      </c>
      <c r="D31" s="9" t="str" cm="1">
        <f t="array" aca="1" ref="D31" ca="1">_xll.DBR($C$26,$B31,D$28)</f>
        <v>*KEY_ERR</v>
      </c>
      <c r="E31" s="9" t="str" cm="1">
        <f t="array" aca="1" ref="E31" ca="1">_xll.DBR($C$26,$B31,E$28)</f>
        <v>*KEY_ERR</v>
      </c>
      <c r="F31" s="9" t="str" cm="1">
        <f t="array" aca="1" ref="F31" ca="1">_xll.DBR($C$26,$B31,F$28)</f>
        <v>*KEY_ERR</v>
      </c>
      <c r="G31" s="9" t="str" cm="1">
        <f t="array" aca="1" ref="G31" ca="1">_xll.DBR($C$26,$B31,G$28)</f>
        <v>*KEY_ERR</v>
      </c>
      <c r="H31" s="9" t="str" cm="1">
        <f t="array" aca="1" ref="H31" ca="1">_xll.DBR($C$26,$B31,H$28)</f>
        <v>*KEY_ERR</v>
      </c>
      <c r="S31" s="3"/>
    </row>
    <row r="32" spans="2:23" hidden="1" outlineLevel="1" x14ac:dyDescent="0.3">
      <c r="B32" s="9" t="s">
        <v>81</v>
      </c>
      <c r="C32" s="9" t="str" cm="1">
        <f t="array" aca="1" ref="C32" ca="1">_xll.DBR($C$26,$B32,C$28)</f>
        <v>*KEY_ERR</v>
      </c>
      <c r="D32" s="9" t="str" cm="1">
        <f t="array" aca="1" ref="D32" ca="1">_xll.DBR($C$26,$B32,D$28)</f>
        <v>*KEY_ERR</v>
      </c>
      <c r="E32" s="9" t="str" cm="1">
        <f t="array" aca="1" ref="E32" ca="1">_xll.DBR($C$26,$B32,E$28)</f>
        <v>*KEY_ERR</v>
      </c>
      <c r="F32" s="9" t="str" cm="1">
        <f t="array" aca="1" ref="F32" ca="1">_xll.DBR($C$26,$B32,F$28)</f>
        <v>*KEY_ERR</v>
      </c>
      <c r="G32" s="9" t="str" cm="1">
        <f t="array" aca="1" ref="G32" ca="1">_xll.DBR($C$26,$B32,G$28)</f>
        <v>*KEY_ERR</v>
      </c>
      <c r="H32" s="9" t="str" cm="1">
        <f t="array" aca="1" ref="H32" ca="1">_xll.DBR($C$26,$B32,H$28)</f>
        <v>*KEY_ERR</v>
      </c>
      <c r="S32" s="3"/>
    </row>
    <row r="33" spans="2:19" hidden="1" outlineLevel="1" x14ac:dyDescent="0.3">
      <c r="B33" s="9" t="s">
        <v>92</v>
      </c>
      <c r="C33" s="9" t="str" cm="1">
        <f t="array" aca="1" ref="C33" ca="1">_xll.DBR($C$26,$B33,C$28)</f>
        <v>*KEY_ERR</v>
      </c>
      <c r="D33" s="9" t="str" cm="1">
        <f t="array" aca="1" ref="D33" ca="1">_xll.DBR($C$26,$B33,D$28)</f>
        <v>*KEY_ERR</v>
      </c>
      <c r="E33" s="9" t="str" cm="1">
        <f t="array" aca="1" ref="E33" ca="1">_xll.DBR($C$26,$B33,E$28)</f>
        <v>*KEY_ERR</v>
      </c>
      <c r="F33" s="9" t="str" cm="1">
        <f t="array" aca="1" ref="F33" ca="1">_xll.DBR($C$26,$B33,F$28)</f>
        <v>*KEY_ERR</v>
      </c>
      <c r="G33" s="9" t="str" cm="1">
        <f t="array" aca="1" ref="G33" ca="1">_xll.DBR($C$26,$B33,G$28)</f>
        <v>*KEY_ERR</v>
      </c>
      <c r="H33" s="9" t="str" cm="1">
        <f t="array" aca="1" ref="H33" ca="1">_xll.DBR($C$26,$B33,H$28)</f>
        <v>*KEY_ERR</v>
      </c>
      <c r="S33" s="3"/>
    </row>
    <row r="34" spans="2:19" hidden="1" outlineLevel="1" x14ac:dyDescent="0.3">
      <c r="B34" s="9" t="s">
        <v>93</v>
      </c>
      <c r="C34" s="9" t="str" cm="1">
        <f t="array" aca="1" ref="C34" ca="1">_xll.DBR($C$26,$B34,C$28)</f>
        <v>*KEY_ERR</v>
      </c>
      <c r="D34" s="9" t="str" cm="1">
        <f t="array" aca="1" ref="D34" ca="1">_xll.DBR($C$26,$B34,D$28)</f>
        <v>*KEY_ERR</v>
      </c>
      <c r="E34" s="9" t="str" cm="1">
        <f t="array" aca="1" ref="E34" ca="1">_xll.DBR($C$26,$B34,E$28)</f>
        <v>*KEY_ERR</v>
      </c>
      <c r="F34" s="9" t="str" cm="1">
        <f t="array" aca="1" ref="F34" ca="1">_xll.DBR($C$26,$B34,F$28)</f>
        <v>*KEY_ERR</v>
      </c>
      <c r="G34" s="9" t="str" cm="1">
        <f t="array" aca="1" ref="G34" ca="1">_xll.DBR($C$26,$B34,G$28)</f>
        <v>*KEY_ERR</v>
      </c>
      <c r="H34" s="9" t="str" cm="1">
        <f t="array" aca="1" ref="H34" ca="1">_xll.DBR($C$26,$B34,H$28)</f>
        <v>*KEY_ERR</v>
      </c>
      <c r="S34" s="3"/>
    </row>
    <row r="35" spans="2:19" ht="15" hidden="1" outlineLevel="1" thickBot="1" x14ac:dyDescent="0.35">
      <c r="S35" s="3"/>
    </row>
    <row r="36" spans="2:19" ht="15" hidden="1" outlineLevel="1" thickBot="1" x14ac:dyDescent="0.35">
      <c r="B36" s="84" t="s">
        <v>23</v>
      </c>
      <c r="C36" s="85"/>
      <c r="S36" s="3"/>
    </row>
    <row r="37" spans="2:19" hidden="1" outlineLevel="1" x14ac:dyDescent="0.3">
      <c r="B37" s="11" t="s">
        <v>24</v>
      </c>
      <c r="C37" s="64" t="str">
        <f ca="1">_xll.TM1RPTVIEW(db_name&amp;":AE adjustments:1", 1, _xll.TM1RPTTITLE(db_name&amp;":headline year",$O$105), _xll.TM1RPTTITLE(db_name&amp;":scenario",$O$106), _xll.TM1RPTTITLE(db_name&amp;":status",$O$107), _xll.TM1RPTTITLE(db_name&amp;":outcome",$C$45), _xll.TM1RPTTITLE(db_name&amp;":related entity",$C$46), _xll.TM1RPTTITLE(db_name&amp;":function",$C$47), _xll.TM1RPTTITLE(db_name&amp;":reason",$C$48), _xll.TM1RPTTITLE(db_name&amp;":measure code",$C$50), _xll.TM1RPTTITLE(db_name&amp;":appropriation type",$C$51), _xll.TM1RPTTITLE(db_name&amp;":movement account",$C$52), _xll.TM1RPTTITLE(db_name&amp;":appropriation item",$C$53), _xll.TM1RPTTITLE(db_name&amp;":id",$C$56),TM1RPTFMTRNG,TM1RPTFMTIDCOL)</f>
        <v>dcceew_geus:AE adjustments:1</v>
      </c>
      <c r="S37" s="3"/>
    </row>
    <row r="38" spans="2:19" hidden="1" outlineLevel="1" x14ac:dyDescent="0.3">
      <c r="B38" s="12" t="s">
        <v>25</v>
      </c>
      <c r="C38" s="65" t="str">
        <f ca="1">_xll.TM1RPTVIEW(db_name&amp;":AE adjustments:ARPT1", 1, _xll.TM1RPTTITLE(db_name&amp;":headline year",$O$105), _xll.TM1RPTTITLE(db_name&amp;":scenario",$O$106), _xll.TM1RPTTITLE(db_name&amp;":status",$O$107), _xll.TM1RPTTITLE(db_name&amp;":outcome",$C$45), _xll.TM1RPTTITLE(db_name&amp;":related entity",$C$46), _xll.TM1RPTTITLE(db_name&amp;":function",$C$47), _xll.TM1RPTTITLE(db_name&amp;":reason",$C$48),  _xll.TM1RPTTITLE(db_name&amp;":measure code",$C$50), _xll.TM1RPTTITLE(db_name&amp;":appropriation type",$C$51), _xll.TM1RPTTITLE(db_name&amp;":movement account",$C$52), _xll.TM1RPTTITLE(db_name&amp;":appropriation item",$C$53), _xll.TM1RPTTITLE(db_name&amp;":id",$C$56), TM1RPTFMTRNG,TM1RPTFMTIDCOL)</f>
        <v>dcceew_geus:AE adjustments:ARPT1</v>
      </c>
      <c r="S38" s="3"/>
    </row>
    <row r="39" spans="2:19" hidden="1" outlineLevel="1" x14ac:dyDescent="0.3">
      <c r="B39" s="12" t="s">
        <v>26</v>
      </c>
      <c r="C39" s="65" t="str">
        <f ca="1">_xll.TM1RPTVIEW(db_name&amp;":AE adjustments:ARPT2", 1, _xll.TM1RPTTITLE(db_name&amp;":headline year",$O$105), _xll.TM1RPTTITLE(db_name&amp;":scenario",$O$106), _xll.TM1RPTTITLE(db_name&amp;":status",$O$107), _xll.TM1RPTTITLE(db_name&amp;":outcome",$C$45), _xll.TM1RPTTITLE(db_name&amp;":related entity",$C$46), _xll.TM1RPTTITLE(db_name&amp;":function",$C$47), _xll.TM1RPTTITLE(db_name&amp;":reason",$C$48), _xll.TM1RPTTITLE(db_name&amp;":measure code",$C$50), _xll.TM1RPTTITLE(db_name&amp;":appropriation type",$C$51), _xll.TM1RPTTITLE(db_name&amp;":movement account",$C$52), _xll.TM1RPTTITLE(db_name&amp;":appropriation item",$C$53), _xll.TM1RPTTITLE(db_name&amp;":id",$C$56), TM1RPTFMTRNG,TM1RPTFMTIDCOL)</f>
        <v>dcceew_geus:AE adjustments:ARPT2</v>
      </c>
      <c r="S39" s="3"/>
    </row>
    <row r="40" spans="2:19" hidden="1" outlineLevel="1" x14ac:dyDescent="0.3">
      <c r="B40" s="12" t="s">
        <v>27</v>
      </c>
      <c r="C40" s="13" t="str">
        <f ca="1">_xll.VIEW(db_name&amp;":AE adjustments",#REF!,#REF!,#REF!,#REF!,#REF!,#REF!,#REF!,#REF!,#REF!,#REF!,"!",#REF!,#REF!,"!",#REF!,#REF!,"!")</f>
        <v>dcceew_geus:AE adjustments</v>
      </c>
      <c r="S40" s="3"/>
    </row>
    <row r="41" spans="2:19" hidden="1" outlineLevel="1" x14ac:dyDescent="0.3">
      <c r="B41" s="14" t="s">
        <v>28</v>
      </c>
      <c r="C41" s="13" t="str" cm="1">
        <f t="array" aca="1" ref="C41" ca="1">_xll.VIEW(db_name&amp;":}ElementAttributes_account","!","!")</f>
        <v>dcceew_geus:}ElementAttributes_account</v>
      </c>
      <c r="S41" s="3"/>
    </row>
    <row r="42" spans="2:19" hidden="1" outlineLevel="1" x14ac:dyDescent="0.3">
      <c r="B42" s="14" t="s">
        <v>29</v>
      </c>
      <c r="C42" s="15" t="s">
        <v>30</v>
      </c>
      <c r="S42" s="3"/>
    </row>
    <row r="43" spans="2:19" hidden="1" outlineLevel="1" x14ac:dyDescent="0.3">
      <c r="B43" s="14" t="s">
        <v>31</v>
      </c>
      <c r="C43" s="15" t="s">
        <v>30</v>
      </c>
      <c r="S43" s="3"/>
    </row>
    <row r="44" spans="2:19" hidden="1" outlineLevel="1" x14ac:dyDescent="0.3">
      <c r="B44" s="14" t="s">
        <v>1</v>
      </c>
      <c r="C44" s="65" t="str" cm="1">
        <f t="array" aca="1" ref="C44" ca="1">_xll.SUBNM(db_name&amp;":status","",$O$107)</f>
        <v/>
      </c>
      <c r="S44" s="3"/>
    </row>
    <row r="45" spans="2:19" hidden="1" outlineLevel="1" x14ac:dyDescent="0.3">
      <c r="B45" s="14" t="s">
        <v>2</v>
      </c>
      <c r="C45" s="65" t="str" cm="1">
        <f t="array" aca="1" ref="C45" ca="1">_xll.SUBNM(db_name&amp;":outcome","","Total outcomes")</f>
        <v/>
      </c>
      <c r="S45" s="3"/>
    </row>
    <row r="46" spans="2:19" hidden="1" outlineLevel="1" x14ac:dyDescent="0.3">
      <c r="B46" s="14" t="s">
        <v>3</v>
      </c>
      <c r="C46" s="65" t="str" cm="1">
        <f t="array" aca="1" ref="C46" ca="1">_xll.SUBNM(db_name&amp;":related entity","","Total related entity")</f>
        <v/>
      </c>
      <c r="S46" s="3"/>
    </row>
    <row r="47" spans="2:19" hidden="1" outlineLevel="1" x14ac:dyDescent="0.3">
      <c r="B47" s="14" t="s">
        <v>4</v>
      </c>
      <c r="C47" s="65" t="str" cm="1">
        <f t="array" aca="1" ref="C47" ca="1">_xll.SUBNM(db_name&amp;":function","","Total functions")</f>
        <v/>
      </c>
      <c r="S47" s="3"/>
    </row>
    <row r="48" spans="2:19" hidden="1" outlineLevel="1" x14ac:dyDescent="0.3">
      <c r="B48" s="14" t="s">
        <v>5</v>
      </c>
      <c r="C48" s="65" t="str" cm="1">
        <f t="array" aca="1" ref="C48" ca="1">_xll.SUBNM(db_name&amp;":reason","","Total reason")</f>
        <v/>
      </c>
      <c r="S48" s="3"/>
    </row>
    <row r="49" spans="2:66" hidden="1" outlineLevel="1" x14ac:dyDescent="0.3">
      <c r="B49" s="14" t="s">
        <v>6</v>
      </c>
      <c r="S49" s="3"/>
    </row>
    <row r="50" spans="2:66" hidden="1" outlineLevel="1" x14ac:dyDescent="0.3">
      <c r="B50" s="14" t="s">
        <v>7</v>
      </c>
      <c r="C50" s="65" t="str" cm="1">
        <f t="array" aca="1" ref="C50" ca="1">_xll.SUBNM(db_name&amp;":measure code","","Total Measures","CBMS")</f>
        <v/>
      </c>
      <c r="S50" s="3"/>
    </row>
    <row r="51" spans="2:66" hidden="1" outlineLevel="1" x14ac:dyDescent="0.3">
      <c r="B51" s="14" t="s">
        <v>8</v>
      </c>
      <c r="C51" s="65" t="str" cm="1">
        <f t="array" aca="1" ref="C51" ca="1">_xll.SUBNM(db_name&amp;":appropriation type","","Total approp types")</f>
        <v/>
      </c>
      <c r="S51" s="3"/>
    </row>
    <row r="52" spans="2:66" hidden="1" outlineLevel="1" x14ac:dyDescent="0.3">
      <c r="B52" s="14" t="s">
        <v>9</v>
      </c>
      <c r="C52" s="65" t="str" cm="1">
        <f t="array" aca="1" ref="C52" ca="1">_xll.SUBNM(db_name&amp;":movement account","","Total movement","code and description")</f>
        <v/>
      </c>
      <c r="S52" s="3"/>
    </row>
    <row r="53" spans="2:66" hidden="1" outlineLevel="1" x14ac:dyDescent="0.3">
      <c r="B53" s="14" t="s">
        <v>10</v>
      </c>
      <c r="C53" s="65" t="str" cm="1">
        <f t="array" aca="1" ref="C53" ca="1">_xll.SUBNM(db_name&amp;":appropriation item","","Total approp item")</f>
        <v/>
      </c>
      <c r="S53" s="3"/>
    </row>
    <row r="54" spans="2:66" hidden="1" outlineLevel="1" x14ac:dyDescent="0.3">
      <c r="B54" s="14" t="s">
        <v>32</v>
      </c>
      <c r="C54" s="15" t="s">
        <v>30</v>
      </c>
      <c r="S54" s="3"/>
    </row>
    <row r="55" spans="2:66" hidden="1" outlineLevel="1" x14ac:dyDescent="0.3">
      <c r="B55" s="14" t="s">
        <v>33</v>
      </c>
      <c r="C55" s="15" t="s">
        <v>34</v>
      </c>
      <c r="S55" s="3"/>
    </row>
    <row r="56" spans="2:66" hidden="1" outlineLevel="1" x14ac:dyDescent="0.3">
      <c r="B56" s="14" t="s">
        <v>11</v>
      </c>
      <c r="C56" s="65" t="str" cm="1">
        <f t="array" aca="1" ref="C56" ca="1">_xll.SUBNM(db_name&amp;":id","","Total IDs")</f>
        <v/>
      </c>
      <c r="S56" s="3"/>
    </row>
    <row r="57" spans="2:66" hidden="1" outlineLevel="1" x14ac:dyDescent="0.3">
      <c r="B57" s="14" t="s">
        <v>12</v>
      </c>
      <c r="S57" s="3"/>
    </row>
    <row r="58" spans="2:66" ht="15" hidden="1" outlineLevel="1" thickBot="1" x14ac:dyDescent="0.35">
      <c r="B58" s="16" t="s">
        <v>35</v>
      </c>
      <c r="C58" s="17" t="s">
        <v>36</v>
      </c>
      <c r="S58" s="3"/>
    </row>
    <row r="59" spans="2:66" ht="15" hidden="1" outlineLevel="1" thickBot="1" x14ac:dyDescent="0.35">
      <c r="B59" s="1"/>
      <c r="S59" s="3"/>
    </row>
    <row r="60" spans="2:66" ht="15" hidden="1" outlineLevel="1" thickBot="1" x14ac:dyDescent="0.35">
      <c r="B60" s="86" t="s">
        <v>37</v>
      </c>
      <c r="C60" s="87"/>
      <c r="S60" s="3"/>
    </row>
    <row r="61" spans="2:66" ht="15" hidden="1" outlineLevel="1" thickBot="1" x14ac:dyDescent="0.35">
      <c r="B61" s="11" t="s">
        <v>38</v>
      </c>
      <c r="C61" s="18">
        <v>9000140</v>
      </c>
      <c r="D61" s="19" t="str">
        <f ca="1">"{DESCENDANTS(ACCOUNT.["&amp;C61&amp;"]) }"</f>
        <v>{DESCENDANTS(ACCOUNT.[9000140]) }</v>
      </c>
      <c r="S61" s="3"/>
    </row>
    <row r="62" spans="2:66" ht="15" hidden="1" outlineLevel="1" thickBot="1" x14ac:dyDescent="0.35">
      <c r="B62" s="14" t="s">
        <v>39</v>
      </c>
      <c r="C62" s="20">
        <v>3800001</v>
      </c>
      <c r="D62" s="19" t="str">
        <f ca="1">"{DESCENDANTS(ACCOUNT.["&amp;C62&amp;"]) }"</f>
        <v>{DESCENDANTS(ACCOUNT.[3800001]) }</v>
      </c>
      <c r="S62" s="3"/>
    </row>
    <row r="63" spans="2:66" ht="15" hidden="1" outlineLevel="1" thickBot="1" x14ac:dyDescent="0.35">
      <c r="B63" s="16" t="s">
        <v>40</v>
      </c>
      <c r="C63" s="20">
        <v>9000003</v>
      </c>
      <c r="D63" s="19" t="str">
        <f ca="1">"{DESCENDANTS(ACCOUNT.["&amp;C63&amp;"]) }"</f>
        <v>{DESCENDANTS(ACCOUNT.[9000003]) }</v>
      </c>
      <c r="S63" s="3"/>
    </row>
    <row r="64" spans="2:66" ht="15" hidden="1" outlineLevel="1" thickBot="1" x14ac:dyDescent="0.35">
      <c r="B64" s="11" t="s">
        <v>99</v>
      </c>
      <c r="D64" s="18" t="str">
        <f ca="1">"{FILTER( {TM1FILTERBYLEVEL( {TM1DRILLDOWNMEMBER( {[account].["&amp;$C$61&amp;"]}, ALL, RECURSIVE )}, 0)}, [account].[jurisdiction required] = "&amp;$C$67&amp;"Y"&amp;$C$67&amp;")}"</f>
        <v>{FILTER( {TM1FILTERBYLEVEL( {TM1DRILLDOWNMEMBER( {[account].[9000140]}, ALL, RECURSIVE )}, 0)}, [account].[jurisdiction required] = "Y")}</v>
      </c>
      <c r="Q64" s="75"/>
      <c r="Z64" s="3"/>
      <c r="AA64" s="75"/>
      <c r="AJ64" s="3"/>
      <c r="AK64" s="75"/>
      <c r="AT64" s="3"/>
      <c r="AU64" s="75"/>
      <c r="BD64" s="3"/>
      <c r="BE64" s="75"/>
      <c r="BN64" s="3"/>
    </row>
    <row r="65" spans="2:66" ht="15" hidden="1" outlineLevel="1" thickBot="1" x14ac:dyDescent="0.35">
      <c r="B65" s="11" t="s">
        <v>100</v>
      </c>
      <c r="C65" s="18"/>
      <c r="D65" s="18" t="str">
        <f ca="1">"{FILTER( {TM1FILTERBYLEVEL( {TM1DRILLDOWNMEMBER( {[account].["&amp;$C$62&amp;"]}, ALL, RECURSIVE )}, 0)}, [account].[jurisdiction required] = "&amp;$C$67&amp;"Y"&amp;$C$67&amp;")}"</f>
        <v>{FILTER( {TM1FILTERBYLEVEL( {TM1DRILLDOWNMEMBER( {[account].[3800001]}, ALL, RECURSIVE )}, 0)}, [account].[jurisdiction required] = "Y")}</v>
      </c>
      <c r="Q65" s="75"/>
      <c r="Z65" s="3"/>
      <c r="AA65" s="75"/>
      <c r="AJ65" s="3"/>
      <c r="AK65" s="75"/>
      <c r="AT65" s="3"/>
      <c r="AU65" s="75"/>
      <c r="BD65" s="3"/>
      <c r="BE65" s="75"/>
      <c r="BN65" s="3"/>
    </row>
    <row r="66" spans="2:66" ht="15" hidden="1" outlineLevel="1" thickBot="1" x14ac:dyDescent="0.35">
      <c r="B66" s="11" t="s">
        <v>101</v>
      </c>
      <c r="C66" s="18"/>
      <c r="D66" s="18" t="str">
        <f ca="1">"{FILTER( {TM1FILTERBYLEVEL( {TM1DRILLDOWNMEMBER( {[account].["&amp;$C$63&amp;"]}, ALL, RECURSIVE )}, 0)}, [account].[jurisdiction required] = "&amp;$C$67&amp;"Y"&amp;$C$67&amp;")}"</f>
        <v>{FILTER( {TM1FILTERBYLEVEL( {TM1DRILLDOWNMEMBER( {[account].[9000003]}, ALL, RECURSIVE )}, 0)}, [account].[jurisdiction required] = "Y")}</v>
      </c>
      <c r="Q66" s="75"/>
      <c r="Z66" s="3"/>
      <c r="AA66" s="75"/>
      <c r="AJ66" s="3"/>
      <c r="AK66" s="75"/>
      <c r="AT66" s="3"/>
      <c r="AU66" s="75"/>
      <c r="BD66" s="3"/>
      <c r="BE66" s="75"/>
      <c r="BN66" s="3"/>
    </row>
    <row r="67" spans="2:66" hidden="1" outlineLevel="1" x14ac:dyDescent="0.3">
      <c r="B67" s="11" t="s">
        <v>102</v>
      </c>
      <c r="C67" s="18" t="s">
        <v>103</v>
      </c>
      <c r="D67" s="19"/>
      <c r="Q67" s="75"/>
      <c r="Z67" s="3"/>
      <c r="AA67" s="75"/>
      <c r="AJ67" s="3"/>
      <c r="AK67" s="75"/>
      <c r="AT67" s="3"/>
      <c r="AU67" s="75"/>
      <c r="BD67" s="3"/>
      <c r="BE67" s="75"/>
      <c r="BN67" s="3"/>
    </row>
    <row r="68" spans="2:66" ht="15" hidden="1" outlineLevel="1" thickBot="1" x14ac:dyDescent="0.35">
      <c r="B68" s="1"/>
      <c r="C68" s="21"/>
      <c r="D68" s="21"/>
      <c r="S68" s="3"/>
    </row>
    <row r="69" spans="2:66" ht="15" hidden="1" outlineLevel="1" thickBot="1" x14ac:dyDescent="0.35">
      <c r="B69" s="22"/>
      <c r="C69" s="23" t="s">
        <v>41</v>
      </c>
      <c r="D69" s="24" t="s">
        <v>42</v>
      </c>
      <c r="S69" s="3"/>
    </row>
    <row r="70" spans="2:66" hidden="1" outlineLevel="1" x14ac:dyDescent="0.3">
      <c r="B70" s="25" t="s">
        <v>79</v>
      </c>
      <c r="C70" s="26" t="str">
        <f ca="1">"{HIERARCHIZE ({[" &amp; psProgDimName &amp;"].["&amp;$O$108&amp;"]})}"</f>
        <v>{HIERARCHIZE ({[*KEY_ERR].[]})}</v>
      </c>
      <c r="D70" s="27">
        <v>1</v>
      </c>
      <c r="S70" s="3"/>
    </row>
    <row r="71" spans="2:66" hidden="1" outlineLevel="1" x14ac:dyDescent="0.3">
      <c r="B71" s="40" t="s">
        <v>80</v>
      </c>
      <c r="C71" s="41" t="str">
        <f ca="1">"{TM1FILTERBYLEVEL( {TM1DRILLDOWNMEMBER( {[" &amp; psProgDimName &amp; "].[" &amp;$O$108 &amp; "]}, ALL, RECURSIVE )}, 0)}"</f>
        <v>{TM1FILTERBYLEVEL( {TM1DRILLDOWNMEMBER( {[*KEY_ERR].[]}, ALL, RECURSIVE )}, 0)}</v>
      </c>
      <c r="D71" s="42">
        <v>0</v>
      </c>
      <c r="O71" t="s">
        <v>43</v>
      </c>
      <c r="S71" s="3"/>
    </row>
    <row r="72" spans="2:66" hidden="1" outlineLevel="1" x14ac:dyDescent="0.3">
      <c r="B72" s="9"/>
      <c r="C72" s="9" t="s">
        <v>50</v>
      </c>
      <c r="D72" s="43" t="s">
        <v>42</v>
      </c>
      <c r="O72" s="28"/>
      <c r="P72" s="28"/>
      <c r="Q72" s="28"/>
      <c r="R72" s="28"/>
      <c r="S72" s="3"/>
    </row>
    <row r="73" spans="2:66" hidden="1" outlineLevel="1" x14ac:dyDescent="0.3">
      <c r="B73" s="9" t="s">
        <v>45</v>
      </c>
      <c r="C73" s="43" t="e">
        <f ca="1">VLOOKUP($T$105,PL_progtype_lookup,2,FALSE)</f>
        <v>#N/A</v>
      </c>
      <c r="D73" s="43" t="e">
        <f ca="1">VLOOKUP($T$105,PL_progtype_lookup,3,FALSE)</f>
        <v>#N/A</v>
      </c>
      <c r="O73" s="28"/>
      <c r="P73" s="28"/>
      <c r="Q73" s="28"/>
      <c r="R73" s="28"/>
      <c r="S73" s="3"/>
    </row>
    <row r="74" spans="2:66" hidden="1" outlineLevel="1" x14ac:dyDescent="0.3">
      <c r="B74" s="9" t="s">
        <v>46</v>
      </c>
      <c r="C74" s="43" t="e">
        <f ca="1">VLOOKUP($T$105,PL_progtype_lookup,2,FALSE)</f>
        <v>#N/A</v>
      </c>
      <c r="D74" s="43" t="e">
        <f ca="1">VLOOKUP($T$105,PL_progtype_lookup,3,FALSE)</f>
        <v>#N/A</v>
      </c>
      <c r="O74" s="28"/>
      <c r="P74" s="28"/>
      <c r="Q74" s="28"/>
      <c r="R74" s="28"/>
      <c r="S74" s="3"/>
    </row>
    <row r="75" spans="2:66" hidden="1" outlineLevel="1" x14ac:dyDescent="0.3">
      <c r="B75" s="9" t="s">
        <v>51</v>
      </c>
      <c r="C75" s="43" t="e">
        <f ca="1">VLOOKUP($T$105,PL_progtype_lookup,2,FALSE)</f>
        <v>#N/A</v>
      </c>
      <c r="D75" s="43" t="e">
        <f ca="1">VLOOKUP($T$105,PL_progtype_lookup,3,FALSE)</f>
        <v>#N/A</v>
      </c>
      <c r="O75" s="28"/>
      <c r="P75" s="28"/>
      <c r="Q75" s="28"/>
      <c r="R75" s="28"/>
      <c r="S75" s="3"/>
    </row>
    <row r="76" spans="2:66" hidden="1" outlineLevel="1" x14ac:dyDescent="0.3">
      <c r="B76" s="63"/>
      <c r="C76" s="66" t="str">
        <f ca="1">"{TM1SORTBYINDEX( {TM1FILTERBYLEVEL( {TM1DRILLDOWNMEMBER( {[" &amp; psProgDimName &amp; "].["&amp;$O$108&amp;"]}, ALL, RECURSIVE )}, 0,4)}, DESC)}"</f>
        <v>{TM1SORTBYINDEX( {TM1FILTERBYLEVEL( {TM1DRILLDOWNMEMBER( {[*KEY_ERR].[]}, ALL, RECURSIVE )}, 0,4)}, DESC)}</v>
      </c>
      <c r="D76" s="43"/>
      <c r="S76" s="3"/>
    </row>
    <row r="77" spans="2:66" hidden="1" outlineLevel="1" x14ac:dyDescent="0.3">
      <c r="B77" s="63"/>
      <c r="C77" s="43" t="str">
        <f ca="1">"{TM1FILTERBYLEVEL( {TM1DRILLDOWNMEMBER( {[" &amp; psProgDimName &amp; "].[" &amp;$O$108 &amp; "]}, ALL, RECURSIVE )}, 0)}"</f>
        <v>{TM1FILTERBYLEVEL( {TM1DRILLDOWNMEMBER( {[*KEY_ERR].[]}, ALL, RECURSIVE )}, 0)}</v>
      </c>
      <c r="D77" s="43"/>
      <c r="S77" s="3"/>
    </row>
    <row r="78" spans="2:66" ht="15" hidden="1" outlineLevel="1" thickBot="1" x14ac:dyDescent="0.35">
      <c r="B78" s="1"/>
      <c r="C78" s="21"/>
      <c r="D78" s="21"/>
      <c r="S78" s="3"/>
    </row>
    <row r="79" spans="2:66" ht="15" hidden="1" outlineLevel="1" thickBot="1" x14ac:dyDescent="0.35">
      <c r="B79" s="22"/>
      <c r="C79" s="23" t="s">
        <v>97</v>
      </c>
      <c r="D79" s="24" t="s">
        <v>42</v>
      </c>
      <c r="F79" s="22"/>
      <c r="G79" s="23" t="s">
        <v>98</v>
      </c>
      <c r="H79" s="24" t="s">
        <v>42</v>
      </c>
      <c r="S79" s="3"/>
    </row>
    <row r="80" spans="2:66" hidden="1" outlineLevel="1" x14ac:dyDescent="0.3">
      <c r="B80" s="25" t="s">
        <v>79</v>
      </c>
      <c r="C80" s="26" t="str">
        <f ca="1">"{HIERARCHIZE ({[SPP].["&amp;$O$109&amp;"]})}"</f>
        <v>{HIERARCHIZE ({[SPP].[]})}</v>
      </c>
      <c r="D80" s="27">
        <v>1</v>
      </c>
      <c r="F80" s="25" t="s">
        <v>79</v>
      </c>
      <c r="G80" s="26" t="str">
        <f ca="1">"{HIERARCHIZE ({[jurisdiction].["&amp;$O$110&amp;"]})}"</f>
        <v>{HIERARCHIZE ({[jurisdiction].[]})}</v>
      </c>
      <c r="H80" s="27">
        <v>1</v>
      </c>
      <c r="S80" s="3"/>
    </row>
    <row r="81" spans="2:19" hidden="1" outlineLevel="1" x14ac:dyDescent="0.3">
      <c r="B81" s="40" t="s">
        <v>80</v>
      </c>
      <c r="C81" s="21" t="str">
        <f ca="1">"{TM1FILTERBYLEVEL( {TM1DRILLDOWNMEMBER( {[SPP].[" &amp;$O$109 &amp; "]}, ALL, RECURSIVE )}, 0)}"</f>
        <v>{TM1FILTERBYLEVEL( {TM1DRILLDOWNMEMBER( {[SPP].[]}, ALL, RECURSIVE )}, 0)}</v>
      </c>
      <c r="D81" s="21">
        <v>0</v>
      </c>
      <c r="F81" s="40" t="s">
        <v>80</v>
      </c>
      <c r="G81" s="21" t="str">
        <f ca="1">"{TM1FILTERBYLEVEL( {TM1DRILLDOWNMEMBER( {[jurisdiction].[" &amp;$O$110 &amp; "]}, ALL, RECURSIVE )}, 0)}"</f>
        <v>{TM1FILTERBYLEVEL( {TM1DRILLDOWNMEMBER( {[jurisdiction].[]}, ALL, RECURSIVE )}, 0)}</v>
      </c>
      <c r="H81" s="21">
        <v>0</v>
      </c>
      <c r="S81" s="3"/>
    </row>
    <row r="82" spans="2:19" hidden="1" outlineLevel="1" x14ac:dyDescent="0.3">
      <c r="B82" s="9"/>
      <c r="C82" s="9" t="s">
        <v>50</v>
      </c>
      <c r="D82" s="43" t="s">
        <v>42</v>
      </c>
      <c r="F82" s="9"/>
      <c r="G82" s="9" t="s">
        <v>50</v>
      </c>
      <c r="H82" s="43" t="s">
        <v>42</v>
      </c>
      <c r="S82" s="3"/>
    </row>
    <row r="83" spans="2:19" hidden="1" outlineLevel="1" x14ac:dyDescent="0.3">
      <c r="B83" s="9" t="s">
        <v>45</v>
      </c>
      <c r="C83" s="43" t="e">
        <f ca="1">VLOOKUP($T$105,PL_spptype_lookup,2,FALSE)</f>
        <v>#N/A</v>
      </c>
      <c r="D83" s="43" t="e">
        <f ca="1">VLOOKUP($T$105,PL_spptype_lookup,3,FALSE)</f>
        <v>#N/A</v>
      </c>
      <c r="F83" s="9" t="s">
        <v>45</v>
      </c>
      <c r="G83" s="43" t="e">
        <f ca="1">VLOOKUP($T$105,PL_jurtype_lookup,2,FALSE)</f>
        <v>#N/A</v>
      </c>
      <c r="H83" s="43" t="e">
        <f ca="1">VLOOKUP($T$105,PL_jurtype_lookup,3,FALSE)</f>
        <v>#N/A</v>
      </c>
      <c r="S83" s="3"/>
    </row>
    <row r="84" spans="2:19" hidden="1" outlineLevel="1" x14ac:dyDescent="0.3">
      <c r="B84" s="9" t="s">
        <v>46</v>
      </c>
      <c r="C84" s="43" t="e">
        <f ca="1">VLOOKUP($T$106,PL_spptype_lookup,2,FALSE)</f>
        <v>#N/A</v>
      </c>
      <c r="D84" s="43" t="e">
        <f ca="1">VLOOKUP($T$106,PL_spptype_lookup,3,FALSE)</f>
        <v>#N/A</v>
      </c>
      <c r="F84" s="9" t="s">
        <v>46</v>
      </c>
      <c r="G84" s="43" t="e">
        <f ca="1">VLOOKUP($T$106,PL_jurtype_lookup,2,FALSE)</f>
        <v>#N/A</v>
      </c>
      <c r="H84" s="43" t="e">
        <f ca="1">VLOOKUP($T$106,PL_jurtype_lookup,3,FALSE)</f>
        <v>#N/A</v>
      </c>
      <c r="S84" s="3"/>
    </row>
    <row r="85" spans="2:19" hidden="1" outlineLevel="1" x14ac:dyDescent="0.3">
      <c r="B85" s="9" t="s">
        <v>51</v>
      </c>
      <c r="C85" s="43" t="e">
        <f ca="1">VLOOKUP($T$107,PL_spptype_lookup,2,FALSE)</f>
        <v>#N/A</v>
      </c>
      <c r="D85" s="43" t="e">
        <f ca="1">VLOOKUP($T$107,PL_spptype_lookup,3,FALSE)</f>
        <v>#N/A</v>
      </c>
      <c r="F85" s="9" t="s">
        <v>51</v>
      </c>
      <c r="G85" s="43" t="e">
        <f ca="1">VLOOKUP($T$107,PL_jurtype_lookup,2,FALSE)</f>
        <v>#N/A</v>
      </c>
      <c r="H85" s="43" t="e">
        <f ca="1">VLOOKUP($T$107,PL_jurtype_lookup,3,FALSE)</f>
        <v>#N/A</v>
      </c>
      <c r="S85" s="3"/>
    </row>
    <row r="86" spans="2:19" hidden="1" outlineLevel="1" x14ac:dyDescent="0.3">
      <c r="B86" s="2"/>
      <c r="C86" s="21"/>
      <c r="D86" s="21"/>
      <c r="S86" s="3"/>
    </row>
    <row r="87" spans="2:19" hidden="1" outlineLevel="1" x14ac:dyDescent="0.3">
      <c r="B87" s="2"/>
      <c r="C87" s="21"/>
      <c r="D87" s="21"/>
      <c r="S87" s="3"/>
    </row>
    <row r="88" spans="2:19" hidden="1" outlineLevel="1" x14ac:dyDescent="0.3">
      <c r="B88" s="2"/>
      <c r="C88" s="21"/>
      <c r="D88" s="21"/>
      <c r="S88" s="3"/>
    </row>
    <row r="89" spans="2:19" hidden="1" outlineLevel="1" x14ac:dyDescent="0.3">
      <c r="B89" s="2"/>
      <c r="C89" s="21"/>
      <c r="D89" s="21"/>
      <c r="S89" s="3"/>
    </row>
    <row r="90" spans="2:19" hidden="1" outlineLevel="1" x14ac:dyDescent="0.3">
      <c r="B90" s="2"/>
      <c r="C90" s="21"/>
      <c r="D90" s="21"/>
      <c r="S90" s="3"/>
    </row>
    <row r="91" spans="2:19" hidden="1" outlineLevel="1" x14ac:dyDescent="0.3">
      <c r="B91" s="2"/>
      <c r="C91" s="21"/>
      <c r="D91" s="21"/>
      <c r="S91" s="3"/>
    </row>
    <row r="92" spans="2:19" hidden="1" outlineLevel="1" x14ac:dyDescent="0.3">
      <c r="B92" s="2"/>
      <c r="C92" s="21"/>
      <c r="D92" s="21"/>
      <c r="S92" s="3"/>
    </row>
    <row r="93" spans="2:19" hidden="1" outlineLevel="1" x14ac:dyDescent="0.3">
      <c r="B93" s="2"/>
      <c r="C93" s="21"/>
      <c r="D93" s="21"/>
      <c r="S93" s="3"/>
    </row>
    <row r="94" spans="2:19" hidden="1" outlineLevel="1" x14ac:dyDescent="0.3">
      <c r="B94" s="2"/>
      <c r="C94" s="21"/>
      <c r="D94" s="21"/>
      <c r="S94" s="3"/>
    </row>
    <row r="95" spans="2:19" hidden="1" outlineLevel="1" x14ac:dyDescent="0.3">
      <c r="B95" s="2"/>
      <c r="C95" s="21"/>
      <c r="D95" s="21"/>
      <c r="S95" s="3"/>
    </row>
    <row r="96" spans="2:19" hidden="1" outlineLevel="1" x14ac:dyDescent="0.3">
      <c r="B96" s="2"/>
      <c r="C96" s="21"/>
      <c r="D96" s="21"/>
      <c r="S96" s="3"/>
    </row>
    <row r="97" spans="2:23" hidden="1" outlineLevel="1" x14ac:dyDescent="0.3">
      <c r="B97" s="2"/>
      <c r="C97" s="21"/>
      <c r="D97" s="21"/>
      <c r="S97" s="3"/>
    </row>
    <row r="98" spans="2:23" hidden="1" outlineLevel="1" x14ac:dyDescent="0.3">
      <c r="B98" s="2"/>
      <c r="C98" s="21"/>
      <c r="D98" s="21"/>
      <c r="S98" s="3"/>
    </row>
    <row r="99" spans="2:23" ht="39.9" customHeight="1" collapsed="1" x14ac:dyDescent="0.3">
      <c r="M99" s="68"/>
      <c r="N99" s="67"/>
      <c r="O99" s="67"/>
      <c r="P99" s="67"/>
      <c r="Q99" s="67"/>
      <c r="R99" s="67"/>
      <c r="S99" s="67"/>
      <c r="T99" s="67"/>
      <c r="U99" s="67"/>
      <c r="V99" s="67"/>
      <c r="W99" s="68" t="s">
        <v>77</v>
      </c>
    </row>
    <row r="100" spans="2:23" ht="4.5" customHeight="1" x14ac:dyDescent="0.3">
      <c r="N100" s="29"/>
      <c r="O100" s="29"/>
      <c r="P100" s="29"/>
      <c r="Q100" s="29"/>
      <c r="R100" s="29"/>
      <c r="S100" s="29"/>
      <c r="T100" s="29"/>
      <c r="U100" s="29"/>
      <c r="W100" s="29"/>
    </row>
    <row r="101" spans="2:23" ht="24" customHeight="1" x14ac:dyDescent="0.3">
      <c r="N101" s="1"/>
      <c r="O101" s="29"/>
      <c r="P101" s="29"/>
      <c r="Q101" s="29"/>
      <c r="R101" s="29"/>
      <c r="S101" s="29"/>
      <c r="T101" s="29"/>
      <c r="U101" s="29"/>
      <c r="V101" s="29"/>
      <c r="W101" s="29"/>
    </row>
    <row r="102" spans="2:23" ht="1.5" customHeight="1" x14ac:dyDescent="0.3"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 spans="2:23" ht="4.5" customHeight="1" x14ac:dyDescent="0.3">
      <c r="N103" s="1"/>
      <c r="O103" s="29"/>
      <c r="P103" s="29"/>
      <c r="Q103" s="29"/>
      <c r="R103" s="29"/>
      <c r="S103" s="29"/>
      <c r="T103" s="29"/>
      <c r="U103" s="29"/>
      <c r="V103" s="29"/>
      <c r="W103" s="29"/>
    </row>
    <row r="104" spans="2:23" s="2" customFormat="1" x14ac:dyDescent="0.3">
      <c r="N104" s="46" t="s">
        <v>44</v>
      </c>
      <c r="O104" s="48" t="s">
        <v>52</v>
      </c>
      <c r="P104" s="74"/>
      <c r="Q104" s="74"/>
      <c r="R104" s="46"/>
      <c r="S104" s="89" t="s">
        <v>78</v>
      </c>
      <c r="T104" s="90"/>
      <c r="U104" s="46"/>
      <c r="V104" s="46"/>
      <c r="W104" s="46"/>
    </row>
    <row r="105" spans="2:23" s="2" customFormat="1" x14ac:dyDescent="0.3">
      <c r="N105" s="47" t="s">
        <v>88</v>
      </c>
      <c r="O105" s="72" t="str" cm="1">
        <f t="array" aca="1" ref="O105" ca="1">_xll.SUBNM(db_name&amp;":headline year","",$C$21)</f>
        <v/>
      </c>
      <c r="P105" s="73"/>
      <c r="Q105" s="73"/>
      <c r="R105" s="44"/>
      <c r="S105" s="47" t="s">
        <v>45</v>
      </c>
      <c r="T105" s="69" t="str" cm="1">
        <f t="array" aca="1" ref="T105" ca="1">_xll.SUBNM(db_name&amp;":sys_ReportDisplay","","Collapse")</f>
        <v/>
      </c>
      <c r="V105" s="44"/>
      <c r="W105" s="45"/>
    </row>
    <row r="106" spans="2:23" s="2" customFormat="1" x14ac:dyDescent="0.3">
      <c r="N106" s="47" t="s">
        <v>89</v>
      </c>
      <c r="O106" s="72" t="str" cm="1">
        <f t="array" aca="1" ref="O106" ca="1">_xll.SUBNM(db_name&amp;":scenario","",$C$22)</f>
        <v/>
      </c>
      <c r="P106" s="73"/>
      <c r="Q106" s="73"/>
      <c r="R106" s="44"/>
      <c r="S106" s="47" t="s">
        <v>46</v>
      </c>
      <c r="T106" s="69" t="str" cm="1">
        <f t="array" aca="1" ref="T106" ca="1">_xll.SUBNM(db_name&amp;":sys_ReportDisplay","","Collapse")</f>
        <v/>
      </c>
      <c r="U106" s="45"/>
      <c r="V106" s="45"/>
      <c r="W106" s="45"/>
    </row>
    <row r="107" spans="2:23" s="2" customFormat="1" x14ac:dyDescent="0.3">
      <c r="N107" s="47" t="s">
        <v>90</v>
      </c>
      <c r="O107" s="72" t="str">
        <f ca="1">_xll.SUBNM(db_name&amp;":status","","Total approved")</f>
        <v/>
      </c>
      <c r="P107" s="73"/>
      <c r="Q107" s="73"/>
      <c r="R107" s="44"/>
      <c r="S107" s="47" t="s">
        <v>47</v>
      </c>
      <c r="T107" s="69" t="str" cm="1">
        <f t="array" aca="1" ref="T107" ca="1">_xll.SUBNM(db_name&amp;":sys_ReportDisplay","","Collapse")</f>
        <v/>
      </c>
      <c r="U107" s="45"/>
      <c r="V107" s="45"/>
      <c r="W107" s="45"/>
    </row>
    <row r="108" spans="2:23" s="2" customFormat="1" x14ac:dyDescent="0.3">
      <c r="N108" s="47" t="s">
        <v>91</v>
      </c>
      <c r="O108" s="72" t="str">
        <f ca="1">_xll.SUBNM(db_name&amp;":" &amp; psProgDimName,"","Administered Programmes","code and description")</f>
        <v/>
      </c>
      <c r="P108" s="73"/>
      <c r="Q108" s="73"/>
      <c r="R108" s="44"/>
      <c r="S108" s="44"/>
      <c r="T108" s="44"/>
      <c r="U108" s="70"/>
      <c r="V108" s="88"/>
      <c r="W108" s="88"/>
    </row>
    <row r="109" spans="2:23" s="2" customFormat="1" x14ac:dyDescent="0.3">
      <c r="N109" s="47" t="s">
        <v>94</v>
      </c>
      <c r="O109" s="72" t="str">
        <f ca="1">_xll.SUBNM(db_name&amp;":spp","","Total SPP","Code and description")</f>
        <v/>
      </c>
      <c r="P109" s="73"/>
      <c r="Q109" s="73"/>
      <c r="R109" s="44"/>
      <c r="S109" s="44"/>
      <c r="T109" s="44"/>
      <c r="U109" s="70"/>
      <c r="V109" s="88"/>
      <c r="W109" s="88"/>
    </row>
    <row r="110" spans="2:23" s="2" customFormat="1" x14ac:dyDescent="0.3">
      <c r="N110" s="47" t="s">
        <v>95</v>
      </c>
      <c r="O110" s="72" t="str">
        <f ca="1">_xll.SUBNM(db_name&amp;":jurisdiction","","Total jurisdictions","code and description")</f>
        <v/>
      </c>
      <c r="P110" s="79" t="s">
        <v>104</v>
      </c>
      <c r="Q110" s="73"/>
      <c r="R110" s="44"/>
      <c r="S110" s="44"/>
      <c r="T110" s="44"/>
      <c r="U110" s="70" t="s">
        <v>82</v>
      </c>
      <c r="V110" s="88">
        <f ca="1">NOW()</f>
        <v>44972.397986689815</v>
      </c>
      <c r="W110" s="88"/>
    </row>
    <row r="111" spans="2:23" ht="3" customHeight="1" x14ac:dyDescent="0.3">
      <c r="N111" s="30"/>
      <c r="O111" s="29"/>
      <c r="P111" s="29"/>
      <c r="Q111" s="29"/>
      <c r="R111" s="29"/>
      <c r="S111" s="29"/>
      <c r="T111" s="29"/>
      <c r="U111" s="29"/>
      <c r="V111" s="29"/>
      <c r="W111" s="29"/>
    </row>
    <row r="112" spans="2:23" x14ac:dyDescent="0.3">
      <c r="N112" s="91" t="s">
        <v>58</v>
      </c>
      <c r="O112" s="91" t="s">
        <v>61</v>
      </c>
      <c r="P112" s="91" t="s">
        <v>96</v>
      </c>
      <c r="Q112" s="91" t="str">
        <f>UPPER("Jurisdiction")</f>
        <v>JURISDICTION</v>
      </c>
      <c r="R112" s="91" t="s">
        <v>59</v>
      </c>
      <c r="S112" s="35" t="str">
        <f ca="1">S20</f>
        <v/>
      </c>
      <c r="T112" s="35" t="str">
        <f ca="1">T20</f>
        <v/>
      </c>
      <c r="U112" s="35" t="str">
        <f ca="1">U20</f>
        <v/>
      </c>
      <c r="V112" s="35" t="str">
        <f ca="1">V20</f>
        <v/>
      </c>
      <c r="W112" s="35" t="str">
        <f ca="1">W20</f>
        <v/>
      </c>
    </row>
    <row r="113" spans="1:23" x14ac:dyDescent="0.3">
      <c r="N113" s="91"/>
      <c r="O113" s="91"/>
      <c r="P113" s="91"/>
      <c r="Q113" s="91"/>
      <c r="R113" s="91"/>
      <c r="S113" s="62" t="s">
        <v>53</v>
      </c>
      <c r="T113" s="62" t="s">
        <v>54</v>
      </c>
      <c r="U113" s="62" t="s">
        <v>55</v>
      </c>
      <c r="V113" s="62" t="s">
        <v>56</v>
      </c>
      <c r="W113" s="62" t="s">
        <v>57</v>
      </c>
    </row>
    <row r="114" spans="1:23" x14ac:dyDescent="0.3">
      <c r="K114" s="62" t="s">
        <v>59</v>
      </c>
      <c r="N114" s="91"/>
      <c r="O114" s="91"/>
      <c r="P114" s="91"/>
      <c r="Q114" s="91"/>
      <c r="R114" s="91"/>
      <c r="S114" s="62" t="s">
        <v>60</v>
      </c>
      <c r="T114" s="62" t="s">
        <v>60</v>
      </c>
      <c r="U114" s="62" t="s">
        <v>60</v>
      </c>
      <c r="V114" s="62" t="s">
        <v>60</v>
      </c>
      <c r="W114" s="62" t="s">
        <v>60</v>
      </c>
    </row>
    <row r="115" spans="1:23" ht="3" customHeight="1" x14ac:dyDescent="0.3">
      <c r="S115" s="36"/>
      <c r="T115" s="36"/>
      <c r="U115" s="36"/>
      <c r="V115" s="36"/>
      <c r="W115" s="36"/>
    </row>
    <row r="116" spans="1:23" ht="18" x14ac:dyDescent="0.35">
      <c r="N116" s="58" t="s">
        <v>48</v>
      </c>
      <c r="O116" s="59"/>
      <c r="P116" s="59"/>
      <c r="Q116" s="59"/>
      <c r="R116" s="60"/>
      <c r="S116" s="61"/>
      <c r="T116" s="61"/>
      <c r="U116" s="61"/>
      <c r="V116" s="61"/>
      <c r="W116" s="61"/>
    </row>
    <row r="117" spans="1:23" x14ac:dyDescent="0.3">
      <c r="A117" t="str" cm="1">
        <f t="array" aca="1" ref="A117" ca="1">IF(_xll.TM1RPTELISCONSOLIDATED($N$117,$N117),IF(_xll.TM1RPTELLEV($N$117,$N117)&lt;=3,_xll.TM1RPTELLEV($N$117,$N117),"D"),"N")</f>
        <v>N</v>
      </c>
      <c r="B117" s="50"/>
      <c r="D117" s="2"/>
      <c r="E117" s="2"/>
      <c r="F117" s="2"/>
      <c r="G117" s="2"/>
      <c r="H117" s="2"/>
      <c r="I117" s="2"/>
      <c r="J117" s="2"/>
      <c r="K117" s="20" t="str" cm="1">
        <f t="array" aca="1" ref="K117" ca="1">_xll.DBRW($C$41,$N117,K$114)</f>
        <v/>
      </c>
      <c r="L117" s="2"/>
      <c r="M117" s="2"/>
      <c r="N117" s="76" t="str">
        <f ca="1">_xll.TM1RPTROW($C$37,db_name&amp;":account","",,"code and description",1,$D$64)</f>
        <v/>
      </c>
      <c r="O117" s="57" t="str" cm="1">
        <f t="array" aca="1" ref="O117" ca="1">_xll.TM1RPTROW($C$37,db_name&amp;":" &amp; psProgDimName,"",,"code and description",1,$C$73,,$D$73)</f>
        <v/>
      </c>
      <c r="P117" s="54" t="str">
        <f ca="1">_xll.TM1RPTROW($C$37,db_name&amp;":SPP","",,"code and description",1,$C$83,,1)</f>
        <v/>
      </c>
      <c r="Q117" s="54" t="str">
        <f ca="1">_xll.TM1RPTROW($C$37,db_name&amp;":jurisdiction","",,"code and description",1,$G$83,,1)</f>
        <v/>
      </c>
      <c r="R117" s="55" t="str">
        <f ca="1">$K117</f>
        <v/>
      </c>
      <c r="S117" s="56" t="str">
        <f ca="1">_xll.DBRW($C$37,$O$105,$O$106,$C$44,$C$45,$C$46,$C$47,$C$48,$P117,$C$50,$C$51,$C$52,$C$53,$O117,$N117,$C$56,$Q117,S$20)</f>
        <v/>
      </c>
      <c r="T117" s="56" t="str">
        <f ca="1">_xll.DBRW($C$37,$O$105,$O$106,$C$44,$C$45,$C$46,$C$47,$C$48,$P117,$C$50,$C$51,$C$52,$C$53,$O117,$N117,$C$56,$Q117,T$20)</f>
        <v/>
      </c>
      <c r="U117" s="56" t="str">
        <f ca="1">_xll.DBRW($C$37,$O$105,$O$106,$C$44,$C$45,$C$46,$C$47,$C$48,$P117,$C$50,$C$51,$C$52,$C$53,$O117,$N117,$C$56,$Q117,U$20)</f>
        <v/>
      </c>
      <c r="V117" s="56" t="str">
        <f ca="1">_xll.DBRW($C$37,$O$105,$O$106,$C$44,$C$45,$C$46,$C$47,$C$48,$P117,$C$50,$C$51,$C$52,$C$53,$O117,$N117,$C$56,$Q117,V$20)</f>
        <v/>
      </c>
      <c r="W117" s="56" t="str">
        <f ca="1">_xll.DBRW($C$37,$O$105,$O$106,$C$44,$C$45,$C$46,$C$47,$C$48,$P117,$C$50,$C$51,$C$52,$C$53,$O117,$N117,$C$56,$Q117,W$20)</f>
        <v/>
      </c>
    </row>
    <row r="118" spans="1:23" ht="3" customHeight="1" x14ac:dyDescent="0.3">
      <c r="N118" s="37"/>
      <c r="O118" s="37"/>
      <c r="P118" s="37"/>
      <c r="Q118" s="37"/>
      <c r="R118" s="37"/>
      <c r="S118" s="37"/>
      <c r="T118" s="37"/>
      <c r="U118" s="37"/>
      <c r="V118" s="37"/>
      <c r="W118" s="37"/>
    </row>
    <row r="119" spans="1:23" ht="18" x14ac:dyDescent="0.35">
      <c r="N119" s="58" t="s">
        <v>46</v>
      </c>
      <c r="O119" s="59"/>
      <c r="P119" s="59"/>
      <c r="Q119" s="59"/>
      <c r="R119" s="60"/>
      <c r="S119" s="61"/>
      <c r="T119" s="61"/>
      <c r="U119" s="61"/>
      <c r="V119" s="61"/>
      <c r="W119" s="61"/>
    </row>
    <row r="120" spans="1:23" x14ac:dyDescent="0.3">
      <c r="A120" t="str" cm="1">
        <f t="array" aca="1" ref="A120" ca="1">IF(_xll.TM1RPTELISCONSOLIDATED($N$120,$N120),IF(_xll.TM1RPTELLEV($N$120,$N120)&lt;=3,_xll.TM1RPTELLEV($N$120,$N120),"D"),"N")</f>
        <v>N</v>
      </c>
      <c r="B120" s="50"/>
      <c r="D120" s="2"/>
      <c r="E120" s="2"/>
      <c r="F120" s="2"/>
      <c r="G120" s="2"/>
      <c r="H120" s="2"/>
      <c r="I120" s="2"/>
      <c r="J120" s="2"/>
      <c r="K120" s="20" t="str" cm="1">
        <f t="array" aca="1" ref="K120" ca="1">_xll.DBRW($C$41,$N120,K$114)</f>
        <v/>
      </c>
      <c r="L120" s="2"/>
      <c r="M120" s="2"/>
      <c r="N120" s="77" t="str">
        <f ca="1">_xll.TM1RPTROW($C$38,db_name&amp;":account",,,"code and description",1,$D$65)</f>
        <v/>
      </c>
      <c r="O120" s="57" t="str" cm="1">
        <f t="array" aca="1" ref="O120" ca="1">_xll.TM1RPTROW($C$38,db_name&amp;":" &amp; psProgDimName,"",,"code and description",1,$C$74,,$D$74)</f>
        <v/>
      </c>
      <c r="P120" s="54" t="str">
        <f ca="1">_xll.TM1RPTROW($C$38,db_name&amp;":SPP","",,"code and description",1,$C$84,,1)</f>
        <v/>
      </c>
      <c r="Q120" s="54" t="str">
        <f ca="1">_xll.TM1RPTROW($C$38,db_name&amp;":jurisdiction","",,"code and description",1,$G$84,,1)</f>
        <v/>
      </c>
      <c r="R120" s="55" t="str">
        <f ca="1">$K120</f>
        <v/>
      </c>
      <c r="S120" s="56" t="str">
        <f ca="1">_xll.DBRW($C$38,$O$105,$O$106,$C$44,$C$45,$C$46,$C$47,$C$48,$P120,$C$50,$C$51,$C$52,$C$53,$O120,$N120,$C$56,$Q120,S$20)</f>
        <v/>
      </c>
      <c r="T120" s="56" t="str">
        <f ca="1">_xll.DBRW($C$38,$O$105,$O$106,$C$44,$C$45,$C$46,$C$47,$C$48,$P120,$C$50,$C$51,$C$52,$C$53,$O120,$N120,$C$56,$Q120,T$20)</f>
        <v/>
      </c>
      <c r="U120" s="56" t="str">
        <f ca="1">_xll.DBRW($C$38,$O$105,$O$106,$C$44,$C$45,$C$46,$C$47,$C$48,$P120,$C$50,$C$51,$C$52,$C$53,$O120,$N120,$C$56,$Q120,U$20)</f>
        <v/>
      </c>
      <c r="V120" s="56" t="str">
        <f ca="1">_xll.DBRW($C$38,$O$105,$O$106,$C$44,$C$45,$C$46,$C$47,$C$48,$P120,$C$50,$C$51,$C$52,$C$53,$O120,$N120,$C$56,$Q120,V$20)</f>
        <v/>
      </c>
      <c r="W120" s="56" t="str">
        <f ca="1">_xll.DBRW($C$38,$O$105,$O$106,$C$44,$C$45,$C$46,$C$47,$C$48,$P120,$C$50,$C$51,$C$52,$C$53,$O120,$N120,$C$56,$Q120,W$20)</f>
        <v/>
      </c>
    </row>
    <row r="121" spans="1:23" ht="3" customHeight="1" x14ac:dyDescent="0.3">
      <c r="N121" s="37"/>
      <c r="O121" s="37"/>
      <c r="P121" s="37"/>
      <c r="Q121" s="37"/>
      <c r="R121" s="37"/>
      <c r="S121" s="37"/>
      <c r="T121" s="37"/>
      <c r="U121" s="37"/>
      <c r="V121" s="37"/>
      <c r="W121" s="37"/>
    </row>
    <row r="122" spans="1:23" ht="18" x14ac:dyDescent="0.35">
      <c r="N122" s="58" t="s">
        <v>49</v>
      </c>
      <c r="O122" s="59"/>
      <c r="P122" s="59"/>
      <c r="Q122" s="59"/>
      <c r="R122" s="60"/>
      <c r="S122" s="61"/>
      <c r="T122" s="61"/>
      <c r="U122" s="61"/>
      <c r="V122" s="61"/>
      <c r="W122" s="61"/>
    </row>
    <row r="123" spans="1:23" x14ac:dyDescent="0.3">
      <c r="A123" t="str" cm="1">
        <f t="array" aca="1" ref="A123" ca="1">IF(_xll.TM1RPTELISCONSOLIDATED($N$123,$N123),IF(_xll.TM1RPTELLEV($N$123,$N123)&lt;=3,_xll.TM1RPTELLEV($N$123,$N123),"D"),"N")</f>
        <v>N</v>
      </c>
      <c r="B123" s="50"/>
      <c r="D123" s="2"/>
      <c r="E123" s="2"/>
      <c r="F123" s="2"/>
      <c r="G123" s="2"/>
      <c r="H123" s="2"/>
      <c r="I123" s="2"/>
      <c r="J123" s="2"/>
      <c r="K123" s="20" t="str" cm="1">
        <f t="array" aca="1" ref="K123" ca="1">_xll.DBRW($C$41,$N123,K$114)</f>
        <v/>
      </c>
      <c r="L123" s="2"/>
      <c r="M123" s="2"/>
      <c r="N123" s="78" t="str">
        <f ca="1">_xll.TM1RPTROW($C$39,db_name&amp;":account",,,"code and description",1,$D$66)</f>
        <v/>
      </c>
      <c r="O123" s="57" t="str" cm="1">
        <f t="array" aca="1" ref="O123" ca="1">_xll.TM1RPTROW($C$39,db_name&amp;":" &amp; psProgDimName,"",,"code and description",1,$C$75,,$D$75)</f>
        <v/>
      </c>
      <c r="P123" s="54" t="str">
        <f ca="1">_xll.TM1RPTROW($C$39,db_name&amp;":SPP","",,"code and description",1,$C$85,,1)</f>
        <v/>
      </c>
      <c r="Q123" s="54" t="str">
        <f ca="1">_xll.TM1RPTROW($C$39,db_name&amp;":jurisdiction","",,"code and description",1,$G$85,,1)</f>
        <v/>
      </c>
      <c r="R123" s="55" t="str">
        <f ca="1">$K123</f>
        <v/>
      </c>
      <c r="S123" s="56" t="str">
        <f ca="1">_xll.DBRW($C$39,$O$105,$O$106,$C$44,$C$45,$C$46,$C$47,$C$48,$P123,$C$50,$C$51,$C$52,$C$53,$O123,$N123,$C$56,$Q123,S$20)</f>
        <v/>
      </c>
      <c r="T123" s="56" t="str">
        <f ca="1">_xll.DBRW($C$39,$O$105,$O$106,$C$44,$C$45,$C$46,$C$47,$C$48,$P123,$C$50,$C$51,$C$52,$C$53,$O123,$N123,$C$56,$Q123,T$20)</f>
        <v/>
      </c>
      <c r="U123" s="56" t="str">
        <f ca="1">_xll.DBRW($C$39,$O$105,$O$106,$C$44,$C$45,$C$46,$C$47,$C$48,$P123,$C$50,$C$51,$C$52,$C$53,$O123,$N123,$C$56,$Q123,U$20)</f>
        <v/>
      </c>
      <c r="V123" s="56" t="str">
        <f ca="1">_xll.DBRW($C$39,$O$105,$O$106,$C$44,$C$45,$C$46,$C$47,$C$48,$P123,$C$50,$C$51,$C$52,$C$53,$O123,$N123,$C$56,$Q123,V$20)</f>
        <v/>
      </c>
      <c r="W123" s="56" t="str">
        <f ca="1">_xll.DBRW($C$39,$O$105,$O$106,$C$44,$C$45,$C$46,$C$47,$C$48,$P123,$C$50,$C$51,$C$52,$C$53,$O123,$N123,$C$56,$Q123,W$20)</f>
        <v/>
      </c>
    </row>
    <row r="124" spans="1:23" x14ac:dyDescent="0.3">
      <c r="N124" s="37"/>
      <c r="O124" s="37"/>
      <c r="P124" s="37"/>
      <c r="Q124" s="37"/>
      <c r="R124" s="37"/>
      <c r="S124" s="37"/>
      <c r="T124" s="37"/>
      <c r="U124" s="37"/>
      <c r="V124" s="37"/>
      <c r="W124" s="37"/>
    </row>
  </sheetData>
  <sheetProtection sheet="1" objects="1" scenarios="1"/>
  <mergeCells count="14">
    <mergeCell ref="V108:W108"/>
    <mergeCell ref="S104:T104"/>
    <mergeCell ref="N112:N114"/>
    <mergeCell ref="O112:O114"/>
    <mergeCell ref="R112:R114"/>
    <mergeCell ref="V110:W110"/>
    <mergeCell ref="V109:W109"/>
    <mergeCell ref="P112:P114"/>
    <mergeCell ref="Q112:Q114"/>
    <mergeCell ref="B25:D25"/>
    <mergeCell ref="B11:C11"/>
    <mergeCell ref="B19:C19"/>
    <mergeCell ref="B36:C36"/>
    <mergeCell ref="B60:C60"/>
  </mergeCells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1034" r:id="rId4" name="TIButton2">
          <controlPr defaultSize="0" print="0" autoLine="0" autoPict="0" r:id="rId5">
            <anchor moveWithCells="1" sizeWithCells="1">
              <from>
                <xdr:col>13</xdr:col>
                <xdr:colOff>30480</xdr:colOff>
                <xdr:row>100</xdr:row>
                <xdr:rowOff>0</xdr:rowOff>
              </from>
              <to>
                <xdr:col>13</xdr:col>
                <xdr:colOff>670560</xdr:colOff>
                <xdr:row>100</xdr:row>
                <xdr:rowOff>251460</xdr:rowOff>
              </to>
            </anchor>
          </controlPr>
        </control>
      </mc:Choice>
      <mc:Fallback>
        <control shapeId="1034" r:id="rId4" name="TIButton2"/>
      </mc:Fallback>
    </mc:AlternateContent>
    <mc:AlternateContent xmlns:mc="http://schemas.openxmlformats.org/markup-compatibility/2006">
      <mc:Choice Requires="x14">
        <control shapeId="1035" r:id="rId6" name="TIButton3">
          <controlPr defaultSize="0" print="0" autoLine="0" autoPict="0" r:id="rId7">
            <anchor moveWithCells="1" sizeWithCells="1">
              <from>
                <xdr:col>14</xdr:col>
                <xdr:colOff>2689860</xdr:colOff>
                <xdr:row>100</xdr:row>
                <xdr:rowOff>0</xdr:rowOff>
              </from>
              <to>
                <xdr:col>15</xdr:col>
                <xdr:colOff>0</xdr:colOff>
                <xdr:row>100</xdr:row>
                <xdr:rowOff>251460</xdr:rowOff>
              </to>
            </anchor>
          </controlPr>
        </control>
      </mc:Choice>
      <mc:Fallback>
        <control shapeId="1035" r:id="rId6" name="TIButton3"/>
      </mc:Fallback>
    </mc:AlternateContent>
    <mc:AlternateContent xmlns:mc="http://schemas.openxmlformats.org/markup-compatibility/2006">
      <mc:Choice Requires="x14">
        <control shapeId="1036" r:id="rId8" name="TIButton1">
          <controlPr defaultSize="0" print="0" autoLine="0" autoPict="0" r:id="rId9">
            <anchor moveWithCells="1" sizeWithCells="1">
              <from>
                <xdr:col>13</xdr:col>
                <xdr:colOff>708660</xdr:colOff>
                <xdr:row>100</xdr:row>
                <xdr:rowOff>0</xdr:rowOff>
              </from>
              <to>
                <xdr:col>13</xdr:col>
                <xdr:colOff>1828800</xdr:colOff>
                <xdr:row>100</xdr:row>
                <xdr:rowOff>251460</xdr:rowOff>
              </to>
            </anchor>
          </controlPr>
        </control>
      </mc:Choice>
      <mc:Fallback>
        <control shapeId="1036" r:id="rId8" name="TIButton1"/>
      </mc:Fallback>
    </mc:AlternateContent>
    <mc:AlternateContent xmlns:mc="http://schemas.openxmlformats.org/markup-compatibility/2006">
      <mc:Choice Requires="x14">
        <control shapeId="1037" r:id="rId10" name="TIButton4">
          <controlPr defaultSize="0" print="0" autoLine="0" r:id="rId11">
            <anchor moveWithCells="1" sizeWithCells="1">
              <from>
                <xdr:col>22</xdr:col>
                <xdr:colOff>723900</xdr:colOff>
                <xdr:row>99</xdr:row>
                <xdr:rowOff>38100</xdr:rowOff>
              </from>
              <to>
                <xdr:col>22</xdr:col>
                <xdr:colOff>1051560</xdr:colOff>
                <xdr:row>100</xdr:row>
                <xdr:rowOff>289560</xdr:rowOff>
              </to>
            </anchor>
          </controlPr>
        </control>
      </mc:Choice>
      <mc:Fallback>
        <control shapeId="1037" r:id="rId10" name="TIButton4"/>
      </mc:Fallback>
    </mc:AlternateContent>
    <mc:AlternateContent xmlns:mc="http://schemas.openxmlformats.org/markup-compatibility/2006">
      <mc:Choice Requires="x14">
        <control shapeId="1038" r:id="rId12" name="TIButton5">
          <controlPr defaultSize="0" print="0" autoLine="0" autoPict="0" r:id="rId13">
            <anchor moveWithCells="1" sizeWithCells="1">
              <from>
                <xdr:col>13</xdr:col>
                <xdr:colOff>1859280</xdr:colOff>
                <xdr:row>100</xdr:row>
                <xdr:rowOff>0</xdr:rowOff>
              </from>
              <to>
                <xdr:col>13</xdr:col>
                <xdr:colOff>3208020</xdr:colOff>
                <xdr:row>100</xdr:row>
                <xdr:rowOff>251460</xdr:rowOff>
              </to>
            </anchor>
          </controlPr>
        </control>
      </mc:Choice>
      <mc:Fallback>
        <control shapeId="1038" r:id="rId12" name="TIButton5"/>
      </mc:Fallback>
    </mc:AlternateContent>
    <mc:AlternateContent xmlns:mc="http://schemas.openxmlformats.org/markup-compatibility/2006">
      <mc:Choice Requires="x14">
        <control shapeId="1039" r:id="rId14" name="TIButton6">
          <controlPr defaultSize="0" print="0" autoLine="0" autoPict="0" r:id="rId15">
            <anchor moveWithCells="1" sizeWithCells="1">
              <from>
                <xdr:col>13</xdr:col>
                <xdr:colOff>3230880</xdr:colOff>
                <xdr:row>100</xdr:row>
                <xdr:rowOff>0</xdr:rowOff>
              </from>
              <to>
                <xdr:col>14</xdr:col>
                <xdr:colOff>1402080</xdr:colOff>
                <xdr:row>100</xdr:row>
                <xdr:rowOff>251460</xdr:rowOff>
              </to>
            </anchor>
          </controlPr>
        </control>
      </mc:Choice>
      <mc:Fallback>
        <control shapeId="1039" r:id="rId14" name="TIButton6"/>
      </mc:Fallback>
    </mc:AlternateContent>
    <mc:AlternateContent xmlns:mc="http://schemas.openxmlformats.org/markup-compatibility/2006">
      <mc:Choice Requires="x14">
        <control shapeId="1040" r:id="rId16" name="TIButton7">
          <controlPr defaultSize="0" print="0" autoLine="0" autoPict="0" r:id="rId17">
            <anchor moveWithCells="1" sizeWithCells="1">
              <from>
                <xdr:col>14</xdr:col>
                <xdr:colOff>1432560</xdr:colOff>
                <xdr:row>100</xdr:row>
                <xdr:rowOff>0</xdr:rowOff>
              </from>
              <to>
                <xdr:col>14</xdr:col>
                <xdr:colOff>2636520</xdr:colOff>
                <xdr:row>100</xdr:row>
                <xdr:rowOff>251460</xdr:rowOff>
              </to>
            </anchor>
          </controlPr>
        </control>
      </mc:Choice>
      <mc:Fallback>
        <control shapeId="1040" r:id="rId16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report</vt:lpstr>
      <vt:lpstr>db_name</vt:lpstr>
      <vt:lpstr>PL_jurtype_lookup</vt:lpstr>
      <vt:lpstr>PL_progtype_list</vt:lpstr>
      <vt:lpstr>PL_progtype_lookup</vt:lpstr>
      <vt:lpstr>PL_spptype_lookup</vt:lpstr>
      <vt:lpstr>psApp</vt:lpstr>
      <vt:lpstr>psProgDimName</vt:lpstr>
      <vt:lpstr>psUser</vt:lpstr>
      <vt:lpstr>TargetCells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TM1OthRprTBalDrillCAP</vt:lpstr>
      <vt:lpstr>TM1OthRprTBalDrillWB</vt:lpstr>
      <vt:lpstr>TM1OthRprTBalDrillWS</vt:lpstr>
      <vt:lpstr>report!TM1RPTDATARNG1</vt:lpstr>
      <vt:lpstr>report!TM1RPTDATARNGARPT1</vt:lpstr>
      <vt:lpstr>TM1RPTDATARNGARPT1</vt:lpstr>
      <vt:lpstr>report!TM1RPTDATARNGARPT2</vt:lpstr>
      <vt:lpstr>report!TM1RPTFMTIDCOL</vt:lpstr>
      <vt:lpstr>report!TM1RPTFMTRNG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blooyen</cp:lastModifiedBy>
  <dcterms:created xsi:type="dcterms:W3CDTF">2019-06-27T05:48:38Z</dcterms:created>
  <dcterms:modified xsi:type="dcterms:W3CDTF">2023-02-14T22:33:06Z</dcterms:modified>
</cp:coreProperties>
</file>