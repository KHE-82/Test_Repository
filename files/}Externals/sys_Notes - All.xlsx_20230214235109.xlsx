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Excelerated\DCCEEW\1 DCCEEW TECHNICAL\GEUS 2023 TEMPLATES\All 2023 Generic_geus templates\"/>
    </mc:Choice>
  </mc:AlternateContent>
  <xr:revisionPtr revIDLastSave="0" documentId="13_ncr:1_{C06E9065-B9C7-4D35-941C-CED081BA2B39}" xr6:coauthVersionLast="47" xr6:coauthVersionMax="47" xr10:uidLastSave="{00000000-0000-0000-0000-000000000000}"/>
  <bookViews>
    <workbookView xWindow="57480" yWindow="-1965" windowWidth="29040" windowHeight="15840" xr2:uid="{33A0E5D6-773B-490E-83E9-6059A0F886A7}"/>
  </bookViews>
  <sheets>
    <sheet name="notes" sheetId="1" r:id="rId1"/>
    <sheet name="{PL}PickLst" sheetId="2" state="hidden" r:id="rId2"/>
  </sheets>
  <definedNames>
    <definedName name="db_name">notes!$C$12</definedName>
    <definedName name="psApp">notes!$C$30</definedName>
    <definedName name="psUser">notes!$C$14</definedName>
    <definedName name="TM1HomeAdminCAP">notes!$D$33</definedName>
    <definedName name="TM1HomeAdminWB">notes!$F$33</definedName>
    <definedName name="TM1HomeAdminWS">notes!$H$33</definedName>
    <definedName name="TM1HomeCAP">notes!$D$32</definedName>
    <definedName name="TM1HomeWB">notes!$F$32</definedName>
    <definedName name="TM1HomeWS">notes!$H$32</definedName>
    <definedName name="TM1NotesAllCAP">notes!$D$35</definedName>
    <definedName name="TM1NotesAllWB">notes!$F$35</definedName>
    <definedName name="TM1NotesAllWS">notes!$H$35</definedName>
    <definedName name="TM1NotesClientCAP">notes!$D$34</definedName>
    <definedName name="TM1NotesClientWB">notes!$F$34</definedName>
    <definedName name="TM1NotesClientWS">notes!$H$34</definedName>
    <definedName name="TM1REBUILDOPTION">1</definedName>
    <definedName name="TM1RPTDATARNG1" localSheetId="0">notes!$56:$56</definedName>
    <definedName name="TM1RPTFMTIDCOL" localSheetId="0">notes!$A$1:$A$8</definedName>
    <definedName name="TM1RPTFMTRNG" localSheetId="0">notes!$J$1:$P$8</definedName>
  </definedNames>
  <calcPr calcId="191029" calcMode="manual" calcCompleted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9" i="1" l="1"/>
  <c r="C20" i="1"/>
  <c r="C21" i="1"/>
  <c r="L51" i="1"/>
  <c r="C41" i="1"/>
  <c r="J56" i="1"/>
  <c r="O51" i="1"/>
  <c r="C29" i="1"/>
  <c r="C25" i="1"/>
  <c r="O53" i="1"/>
  <c r="C22" i="1"/>
  <c r="O52" i="1"/>
  <c r="C26" i="1"/>
  <c r="C24" i="1"/>
  <c r="C23" i="1"/>
  <c r="H35" i="1"/>
  <c r="G35" i="1"/>
  <c r="F35" i="1"/>
  <c r="E35" i="1"/>
  <c r="D35" i="1"/>
  <c r="C35" i="1"/>
  <c r="H34" i="1"/>
  <c r="G34" i="1"/>
  <c r="F34" i="1"/>
  <c r="E34" i="1"/>
  <c r="D34" i="1"/>
  <c r="C34" i="1"/>
  <c r="H33" i="1"/>
  <c r="G33" i="1"/>
  <c r="F33" i="1"/>
  <c r="E33" i="1"/>
  <c r="D33" i="1"/>
  <c r="C33" i="1"/>
  <c r="H32" i="1"/>
  <c r="G32" i="1"/>
  <c r="F32" i="1"/>
  <c r="E32" i="1"/>
  <c r="D32" i="1"/>
  <c r="C32" i="1"/>
  <c r="C13" i="1"/>
  <c r="C14" i="1"/>
  <c r="C15" i="1"/>
  <c r="C17" i="1"/>
  <c r="C16" i="1"/>
  <c r="P56" i="1"/>
  <c r="O56" i="1"/>
  <c r="N56" i="1"/>
  <c r="M56" i="1"/>
  <c r="L56" i="1"/>
  <c r="K56" i="1"/>
  <c r="A56" i="1"/>
  <c r="A5" i="1"/>
  <c r="A4" i="1"/>
  <c r="A3" i="1"/>
  <c r="A2" i="1"/>
</calcChain>
</file>

<file path=xl/sharedStrings.xml><?xml version="1.0" encoding="utf-8"?>
<sst xmlns="http://schemas.openxmlformats.org/spreadsheetml/2006/main" count="61" uniqueCount="53">
  <si>
    <t>headline year</t>
  </si>
  <si>
    <t>Description</t>
  </si>
  <si>
    <t>Status</t>
  </si>
  <si>
    <t>Created By</t>
  </si>
  <si>
    <t>Created Date</t>
  </si>
  <si>
    <t>Completed by</t>
  </si>
  <si>
    <t>Completed Date</t>
  </si>
  <si>
    <t>D</t>
  </si>
  <si>
    <t>N</t>
  </si>
  <si>
    <t>[Begin Format Range]</t>
  </si>
  <si>
    <t>[End Format Range]</t>
  </si>
  <si>
    <t>Database Variables</t>
  </si>
  <si>
    <t>Database Name</t>
  </si>
  <si>
    <t>}Clients</t>
  </si>
  <si>
    <t>TM1 User</t>
  </si>
  <si>
    <t>}TM1_DefaultDisplayValue</t>
  </si>
  <si>
    <t>GEUS User Name</t>
  </si>
  <si>
    <t>Current User</t>
  </si>
  <si>
    <t>sys_application</t>
  </si>
  <si>
    <t>Slice View</t>
  </si>
  <si>
    <t>Current Workbook</t>
  </si>
  <si>
    <t>Notes - Client Specific</t>
  </si>
  <si>
    <t>Caption Name</t>
  </si>
  <si>
    <t>Caption</t>
  </si>
  <si>
    <t>Workbook Name</t>
  </si>
  <si>
    <t>Workbook</t>
  </si>
  <si>
    <t>Worksheet Name</t>
  </si>
  <si>
    <t>Worksheet</t>
  </si>
  <si>
    <t>Homepage - Home</t>
  </si>
  <si>
    <t>Homepage - Administration</t>
  </si>
  <si>
    <t>Notes - All</t>
  </si>
  <si>
    <t>System Variables</t>
  </si>
  <si>
    <t>View</t>
  </si>
  <si>
    <t>headline scenario</t>
  </si>
  <si>
    <t>archive year</t>
  </si>
  <si>
    <t>archive scenario</t>
  </si>
  <si>
    <t>current budget round</t>
  </si>
  <si>
    <t>save location</t>
  </si>
  <si>
    <t>REPORT PARAMETERS</t>
  </si>
  <si>
    <t>Headline Year :</t>
  </si>
  <si>
    <t>Scenario :</t>
  </si>
  <si>
    <t>CBMS Current Round :</t>
  </si>
  <si>
    <t>CURRENT GEUS PARAMETERS</t>
  </si>
  <si>
    <t>AE Follow Up Register</t>
  </si>
  <si>
    <t>Active Form</t>
  </si>
  <si>
    <t>Register ID MDX</t>
  </si>
  <si>
    <t>Register ID</t>
  </si>
  <si>
    <t>Completed By</t>
  </si>
  <si>
    <t xml:space="preserve">Note : This screen is used to manage as a follow up register for ALL users in GEUS to assist the processes within GEUS and CBMS within the CURRENT Headline Year. These are all FREE TEXT fields. </t>
  </si>
  <si>
    <t xml:space="preserve">Note Register - All </t>
  </si>
  <si>
    <t>Open</t>
  </si>
  <si>
    <t>Complete</t>
  </si>
  <si>
    <t>dcceew_geus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</si>
</sst>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9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28"/>
      <color theme="0"/>
      <name val="Calibri"/>
      <family val="2"/>
      <scheme val="minor"/>
    </font>
    <font>
      <i/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18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333F48"/>
        <bgColor indexed="64"/>
      </patternFill>
    </fill>
    <fill>
      <patternFill patternType="solid">
        <fgColor rgb="FF00426A"/>
        <bgColor indexed="64"/>
      </patternFill>
    </fill>
    <fill>
      <patternFill patternType="solid">
        <fgColor theme="4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3" fillId="2" borderId="0" xfId="0" applyFont="1" applyFill="1" applyAlignment="1">
      <alignment horizontal="center"/>
    </xf>
    <xf numFmtId="0" fontId="2" fillId="0" borderId="4" xfId="0" applyFont="1" applyBorder="1"/>
    <xf numFmtId="0" fontId="0" fillId="0" borderId="4" xfId="0" applyBorder="1" applyAlignment="1">
      <alignment horizontal="center"/>
    </xf>
    <xf numFmtId="0" fontId="0" fillId="0" borderId="3" xfId="0" applyBorder="1"/>
    <xf numFmtId="0" fontId="0" fillId="0" borderId="4" xfId="0" applyBorder="1" applyAlignment="1">
      <alignment horizontal="left"/>
    </xf>
    <xf numFmtId="0" fontId="0" fillId="0" borderId="4" xfId="0" applyBorder="1"/>
    <xf numFmtId="0" fontId="2" fillId="0" borderId="0" xfId="0" applyFont="1" applyAlignment="1">
      <alignment horizontal="right" indent="1"/>
    </xf>
    <xf numFmtId="0" fontId="5" fillId="3" borderId="4" xfId="0" applyFont="1" applyFill="1" applyBorder="1" applyAlignment="1">
      <alignment horizontal="left" indent="1"/>
    </xf>
    <xf numFmtId="0" fontId="1" fillId="4" borderId="5" xfId="0" applyFont="1" applyFill="1" applyBorder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7" fillId="5" borderId="0" xfId="0" applyFont="1" applyFill="1" applyAlignment="1">
      <alignment horizontal="right" vertical="center"/>
    </xf>
    <xf numFmtId="0" fontId="8" fillId="0" borderId="0" xfId="0" applyFont="1"/>
    <xf numFmtId="0" fontId="6" fillId="6" borderId="4" xfId="0" applyFont="1" applyFill="1" applyBorder="1" applyAlignment="1">
      <alignment vertical="top"/>
    </xf>
    <xf numFmtId="0" fontId="6" fillId="6" borderId="4" xfId="0" applyFont="1" applyFill="1" applyBorder="1" applyAlignment="1">
      <alignment horizontal="center" vertical="top"/>
    </xf>
    <xf numFmtId="0" fontId="4" fillId="6" borderId="4" xfId="0" applyFont="1" applyFill="1" applyBorder="1" applyAlignment="1">
      <alignment vertical="top"/>
    </xf>
    <xf numFmtId="49" fontId="6" fillId="6" borderId="4" xfId="0" applyNumberFormat="1" applyFont="1" applyFill="1" applyBorder="1" applyAlignment="1">
      <alignment horizontal="center" vertical="top"/>
    </xf>
    <xf numFmtId="0" fontId="5" fillId="0" borderId="4" xfId="0" applyFont="1" applyBorder="1" applyAlignment="1" applyProtection="1">
      <alignment horizontal="left" indent="1"/>
      <protection locked="0"/>
    </xf>
    <xf numFmtId="0" fontId="4" fillId="0" borderId="4" xfId="0" applyFont="1" applyBorder="1" applyAlignment="1" applyProtection="1">
      <alignment vertical="top"/>
      <protection locked="0"/>
    </xf>
    <xf numFmtId="0" fontId="1" fillId="4" borderId="5" xfId="0" applyFont="1" applyFill="1" applyBorder="1" applyAlignment="1">
      <alignment horizontal="center" vertical="center" wrapText="1"/>
    </xf>
    <xf numFmtId="0" fontId="4" fillId="6" borderId="4" xfId="0" applyFont="1" applyFill="1" applyBorder="1" applyAlignment="1">
      <alignment horizontal="center" vertical="top"/>
    </xf>
    <xf numFmtId="0" fontId="4" fillId="0" borderId="4" xfId="0" applyFont="1" applyBorder="1" applyAlignment="1" applyProtection="1">
      <alignment horizontal="center" vertical="top"/>
      <protection locked="0"/>
    </xf>
    <xf numFmtId="0" fontId="2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DD6E7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activeX1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2.emf"/><Relationship Id="rId2" Type="http://schemas.openxmlformats.org/officeDocument/2006/relationships/image" Target="../media/image3.emf"/><Relationship Id="rId1" Type="http://schemas.openxmlformats.org/officeDocument/2006/relationships/image" Target="../media/image4.emf"/><Relationship Id="rId4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7620</xdr:colOff>
          <xdr:row>44</xdr:row>
          <xdr:rowOff>0</xdr:rowOff>
        </xdr:from>
        <xdr:to>
          <xdr:col>9</xdr:col>
          <xdr:colOff>441960</xdr:colOff>
          <xdr:row>44</xdr:row>
          <xdr:rowOff>251460</xdr:rowOff>
        </xdr:to>
        <xdr:sp macro="" textlink="">
          <xdr:nvSpPr>
            <xdr:cNvPr id="1025" name="TIButton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769620</xdr:colOff>
          <xdr:row>44</xdr:row>
          <xdr:rowOff>0</xdr:rowOff>
        </xdr:from>
        <xdr:to>
          <xdr:col>10</xdr:col>
          <xdr:colOff>1295400</xdr:colOff>
          <xdr:row>44</xdr:row>
          <xdr:rowOff>251460</xdr:rowOff>
        </xdr:to>
        <xdr:sp macro="" textlink="">
          <xdr:nvSpPr>
            <xdr:cNvPr id="1026" name="TIButton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1066800</xdr:colOff>
          <xdr:row>43</xdr:row>
          <xdr:rowOff>30480</xdr:rowOff>
        </xdr:from>
        <xdr:to>
          <xdr:col>15</xdr:col>
          <xdr:colOff>1280160</xdr:colOff>
          <xdr:row>44</xdr:row>
          <xdr:rowOff>182880</xdr:rowOff>
        </xdr:to>
        <xdr:sp macro="" textlink="">
          <xdr:nvSpPr>
            <xdr:cNvPr id="1027" name="TIButton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495300</xdr:colOff>
          <xdr:row>44</xdr:row>
          <xdr:rowOff>0</xdr:rowOff>
        </xdr:from>
        <xdr:to>
          <xdr:col>10</xdr:col>
          <xdr:colOff>723900</xdr:colOff>
          <xdr:row>44</xdr:row>
          <xdr:rowOff>251460</xdr:rowOff>
        </xdr:to>
        <xdr:sp macro="" textlink="">
          <xdr:nvSpPr>
            <xdr:cNvPr id="1028" name="TIButton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xdr:twoCellAnchor editAs="oneCell">
    <xdr:from>
      <xdr:col>8</xdr:col>
      <xdr:colOff>28575</xdr:colOff>
      <xdr:row>42</xdr:row>
      <xdr:rowOff>19050</xdr:rowOff>
    </xdr:from>
    <xdr:to>
      <xdr:col>10</xdr:col>
      <xdr:colOff>973455</xdr:colOff>
      <xdr:row>42</xdr:row>
      <xdr:rowOff>472440</xdr:rowOff>
    </xdr:to>
    <xdr:pic>
      <xdr:nvPicPr>
        <xdr:cNvPr id="6" name="Pictur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000000"/>
            </a:clrFrom>
            <a:clrTo>
              <a:srgbClr val="000000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19050"/>
          <a:ext cx="180975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.xml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image" Target="../media/image4.emf"/><Relationship Id="rId5" Type="http://schemas.openxmlformats.org/officeDocument/2006/relationships/image" Target="../media/image1.emf"/><Relationship Id="rId10" Type="http://schemas.openxmlformats.org/officeDocument/2006/relationships/control" Target="../activeX/activeX4.xml"/><Relationship Id="rId4" Type="http://schemas.openxmlformats.org/officeDocument/2006/relationships/control" Target="../activeX/activeX1.xml"/><Relationship Id="rId9" Type="http://schemas.openxmlformats.org/officeDocument/2006/relationships/image" Target="../media/image3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DADFA-3A99-4326-855B-705787F22FEE}">
  <sheetPr codeName="Sheet1">
    <outlinePr showOutlineSymbols="0"/>
    <pageSetUpPr fitToPage="1"/>
  </sheetPr>
  <dimension ref="A1:P56"/>
  <sheetViews>
    <sheetView showGridLines="0" showRowColHeaders="0" tabSelected="1" showOutlineSymbols="0" topLeftCell="I43" zoomScaleNormal="100" workbookViewId="0"/>
  </sheetViews>
  <sheetFormatPr defaultRowHeight="14.4" outlineLevelRow="1" outlineLevelCol="1" x14ac:dyDescent="0.3"/>
  <cols>
    <col min="1" max="1" width="2.6640625" hidden="1" customWidth="1" outlineLevel="1"/>
    <col min="2" max="2" width="26" hidden="1" customWidth="1" outlineLevel="1"/>
    <col min="3" max="5" width="18" hidden="1" customWidth="1" outlineLevel="1"/>
    <col min="6" max="6" width="21.5546875" hidden="1" customWidth="1" outlineLevel="1"/>
    <col min="7" max="8" width="18" hidden="1" customWidth="1" outlineLevel="1"/>
    <col min="9" max="9" width="0.88671875" customWidth="1" collapsed="1"/>
    <col min="10" max="10" width="12" customWidth="1"/>
    <col min="11" max="11" width="80.6640625" customWidth="1"/>
    <col min="12" max="12" width="22.109375" customWidth="1"/>
    <col min="13" max="16" width="20.6640625" customWidth="1"/>
  </cols>
  <sheetData>
    <row r="1" spans="1:16" hidden="1" outlineLevel="1" x14ac:dyDescent="0.3">
      <c r="A1" t="s">
        <v>9</v>
      </c>
    </row>
    <row r="2" spans="1:16" hidden="1" outlineLevel="1" x14ac:dyDescent="0.3">
      <c r="A2">
        <f>0</f>
        <v>0</v>
      </c>
      <c r="J2" s="13"/>
      <c r="K2" s="15"/>
      <c r="L2" s="20"/>
      <c r="M2" s="20"/>
      <c r="N2" s="20"/>
      <c r="O2" s="20"/>
      <c r="P2" s="20"/>
    </row>
    <row r="3" spans="1:16" hidden="1" outlineLevel="1" x14ac:dyDescent="0.3">
      <c r="A3">
        <f>1</f>
        <v>1</v>
      </c>
      <c r="J3" s="13"/>
      <c r="K3" s="18"/>
      <c r="L3" s="21"/>
      <c r="M3" s="21"/>
      <c r="N3" s="21"/>
      <c r="O3" s="21"/>
      <c r="P3" s="21"/>
    </row>
    <row r="4" spans="1:16" hidden="1" outlineLevel="1" x14ac:dyDescent="0.3">
      <c r="A4">
        <f>2</f>
        <v>2</v>
      </c>
      <c r="J4" s="13"/>
      <c r="K4" s="18"/>
      <c r="L4" s="21"/>
      <c r="M4" s="21"/>
      <c r="N4" s="21"/>
      <c r="O4" s="21"/>
      <c r="P4" s="21"/>
    </row>
    <row r="5" spans="1:16" hidden="1" outlineLevel="1" x14ac:dyDescent="0.3">
      <c r="A5">
        <f>3</f>
        <v>3</v>
      </c>
      <c r="J5" s="13"/>
      <c r="K5" s="18"/>
      <c r="L5" s="21"/>
      <c r="M5" s="21"/>
      <c r="N5" s="21"/>
      <c r="O5" s="21"/>
      <c r="P5" s="21"/>
    </row>
    <row r="6" spans="1:16" hidden="1" outlineLevel="1" x14ac:dyDescent="0.3">
      <c r="A6" t="s">
        <v>7</v>
      </c>
      <c r="J6" s="13"/>
      <c r="K6" s="18"/>
      <c r="L6" s="21"/>
      <c r="M6" s="21"/>
      <c r="N6" s="21"/>
      <c r="O6" s="21"/>
      <c r="P6" s="21"/>
    </row>
    <row r="7" spans="1:16" hidden="1" outlineLevel="1" x14ac:dyDescent="0.3">
      <c r="A7" t="s">
        <v>8</v>
      </c>
      <c r="J7" s="14"/>
      <c r="K7" s="18"/>
      <c r="L7" s="21"/>
      <c r="M7" s="21"/>
      <c r="N7" s="21"/>
      <c r="O7" s="21"/>
      <c r="P7" s="21"/>
    </row>
    <row r="8" spans="1:16" hidden="1" outlineLevel="1" x14ac:dyDescent="0.3">
      <c r="A8" t="s">
        <v>10</v>
      </c>
    </row>
    <row r="9" spans="1:16" hidden="1" outlineLevel="1" x14ac:dyDescent="0.3"/>
    <row r="10" spans="1:16" hidden="1" outlineLevel="1" x14ac:dyDescent="0.3"/>
    <row r="11" spans="1:16" hidden="1" outlineLevel="1" x14ac:dyDescent="0.3">
      <c r="B11" s="22" t="s">
        <v>11</v>
      </c>
      <c r="C11" s="23"/>
      <c r="D11" s="24"/>
    </row>
    <row r="12" spans="1:16" hidden="1" outlineLevel="1" x14ac:dyDescent="0.3">
      <c r="B12" s="2" t="s">
        <v>12</v>
      </c>
      <c r="C12" s="3" t="s">
        <v>52</v>
      </c>
      <c r="D12" s="4"/>
    </row>
    <row r="13" spans="1:16" hidden="1" outlineLevel="1" x14ac:dyDescent="0.3">
      <c r="B13" s="2" t="s">
        <v>13</v>
      </c>
      <c r="C13" s="5" t="str">
        <f ca="1">_xll.VIEW(db_name&amp;":}ElementAttributes_}Clients","!","!")</f>
        <v>dcceew_geus:}ElementAttributes_}Clients</v>
      </c>
      <c r="D13" s="4"/>
    </row>
    <row r="14" spans="1:16" hidden="1" outlineLevel="1" x14ac:dyDescent="0.3">
      <c r="B14" s="2" t="s">
        <v>14</v>
      </c>
      <c r="C14" s="3" t="str">
        <f ca="1">_xll.TM1USER(db_name)</f>
        <v/>
      </c>
      <c r="D14" s="4"/>
    </row>
    <row r="15" spans="1:16" hidden="1" outlineLevel="1" x14ac:dyDescent="0.3">
      <c r="B15" s="2" t="s">
        <v>15</v>
      </c>
      <c r="C15" s="3" t="str">
        <f ca="1">_xll.DBR($C$13,$C$14,$B15)</f>
        <v>*KEY_ERR</v>
      </c>
      <c r="D15" s="4"/>
    </row>
    <row r="16" spans="1:16" hidden="1" outlineLevel="1" x14ac:dyDescent="0.3">
      <c r="B16" s="2" t="s">
        <v>16</v>
      </c>
      <c r="C16" s="3" t="str">
        <f ca="1">_xll.DBR($C$13,$C$14,$B16)</f>
        <v>*KEY_ERR</v>
      </c>
      <c r="D16" s="4"/>
    </row>
    <row r="17" spans="2:8" hidden="1" outlineLevel="1" x14ac:dyDescent="0.3">
      <c r="B17" s="2" t="s">
        <v>17</v>
      </c>
      <c r="C17" s="3" t="str">
        <f ca="1">IF(LEFT($C$15,6)="CAM_AD",$C$16,$C$15)</f>
        <v>*KEY_ERR</v>
      </c>
      <c r="D17" s="6"/>
    </row>
    <row r="18" spans="2:8" hidden="1" outlineLevel="1" x14ac:dyDescent="0.3"/>
    <row r="19" spans="2:8" hidden="1" outlineLevel="1" x14ac:dyDescent="0.3">
      <c r="B19" s="22" t="s">
        <v>31</v>
      </c>
      <c r="C19" s="23"/>
      <c r="D19" s="24"/>
    </row>
    <row r="20" spans="2:8" hidden="1" outlineLevel="1" x14ac:dyDescent="0.3">
      <c r="B20" s="2" t="s">
        <v>32</v>
      </c>
      <c r="C20" s="6" t="str">
        <f ca="1">_xll.VIEW(db_name&amp;":}ElementAttributes_variables","!","!")</f>
        <v>dcceew_geus:}ElementAttributes_variables</v>
      </c>
      <c r="D20" s="6"/>
    </row>
    <row r="21" spans="2:8" hidden="1" outlineLevel="1" x14ac:dyDescent="0.3">
      <c r="B21" s="2" t="s">
        <v>0</v>
      </c>
      <c r="C21" s="6" t="str">
        <f ca="1">_xll.DBR($C$20,$B21,"value")</f>
        <v>*KEY_ERR</v>
      </c>
      <c r="D21" s="6"/>
    </row>
    <row r="22" spans="2:8" hidden="1" outlineLevel="1" x14ac:dyDescent="0.3">
      <c r="B22" s="2" t="s">
        <v>33</v>
      </c>
      <c r="C22" s="6" t="str">
        <f ca="1">_xll.DBR($C$20,$B22,"value")</f>
        <v>*KEY_ERR</v>
      </c>
      <c r="D22" s="6"/>
    </row>
    <row r="23" spans="2:8" hidden="1" outlineLevel="1" x14ac:dyDescent="0.3">
      <c r="B23" s="2" t="s">
        <v>34</v>
      </c>
      <c r="C23" s="6" t="str">
        <f ca="1">_xll.DBR($C$20,$B23,"value")</f>
        <v>*KEY_ERR</v>
      </c>
      <c r="D23" s="6"/>
    </row>
    <row r="24" spans="2:8" hidden="1" outlineLevel="1" x14ac:dyDescent="0.3">
      <c r="B24" s="2" t="s">
        <v>35</v>
      </c>
      <c r="C24" s="6" t="str">
        <f ca="1">_xll.DBR($C$20,$B24,"value")</f>
        <v>*KEY_ERR</v>
      </c>
      <c r="D24" s="6"/>
    </row>
    <row r="25" spans="2:8" hidden="1" outlineLevel="1" x14ac:dyDescent="0.3">
      <c r="B25" s="2" t="s">
        <v>36</v>
      </c>
      <c r="C25" s="6" t="str">
        <f ca="1">_xll.DBR($C$20,$B25,"value")</f>
        <v>*KEY_ERR</v>
      </c>
      <c r="D25" s="6"/>
    </row>
    <row r="26" spans="2:8" hidden="1" outlineLevel="1" x14ac:dyDescent="0.3">
      <c r="B26" s="2" t="s">
        <v>37</v>
      </c>
      <c r="C26" s="6" t="str">
        <f ca="1">_xll.DBRA($C$12&amp;":variables","save location", "value")</f>
        <v/>
      </c>
    </row>
    <row r="27" spans="2:8" hidden="1" outlineLevel="1" x14ac:dyDescent="0.3"/>
    <row r="28" spans="2:8" hidden="1" outlineLevel="1" x14ac:dyDescent="0.3">
      <c r="B28" s="22" t="s">
        <v>18</v>
      </c>
      <c r="C28" s="23"/>
      <c r="D28" s="24"/>
    </row>
    <row r="29" spans="2:8" hidden="1" outlineLevel="1" x14ac:dyDescent="0.3">
      <c r="B29" s="2" t="s">
        <v>19</v>
      </c>
      <c r="C29" s="6" t="str">
        <f ca="1">_xll.VIEW(db_name&amp;":sys_application","!","!")</f>
        <v>dcceew_geus:sys_application</v>
      </c>
      <c r="D29" s="6"/>
    </row>
    <row r="30" spans="2:8" hidden="1" outlineLevel="1" x14ac:dyDescent="0.3">
      <c r="B30" s="2" t="s">
        <v>20</v>
      </c>
      <c r="C30" s="6" t="s">
        <v>30</v>
      </c>
      <c r="D30" s="6"/>
    </row>
    <row r="31" spans="2:8" hidden="1" outlineLevel="1" x14ac:dyDescent="0.3">
      <c r="B31" s="6"/>
      <c r="C31" s="2" t="s">
        <v>22</v>
      </c>
      <c r="D31" s="2" t="s">
        <v>23</v>
      </c>
      <c r="E31" s="2" t="s">
        <v>24</v>
      </c>
      <c r="F31" s="2" t="s">
        <v>25</v>
      </c>
      <c r="G31" s="2" t="s">
        <v>26</v>
      </c>
      <c r="H31" s="2" t="s">
        <v>27</v>
      </c>
    </row>
    <row r="32" spans="2:8" hidden="1" outlineLevel="1" x14ac:dyDescent="0.3">
      <c r="B32" s="6" t="s">
        <v>28</v>
      </c>
      <c r="C32" s="6" t="str">
        <f ca="1">_xll.DBR($C$29,$B32,C$31)</f>
        <v>*KEY_ERR</v>
      </c>
      <c r="D32" s="6" t="str">
        <f ca="1">_xll.DBR($C$29,$B32,D$31)</f>
        <v>*KEY_ERR</v>
      </c>
      <c r="E32" s="6" t="str">
        <f ca="1">_xll.DBR($C$29,$B32,E$31)</f>
        <v>*KEY_ERR</v>
      </c>
      <c r="F32" s="6" t="str">
        <f ca="1">_xll.DBR($C$29,$B32,F$31)</f>
        <v>*KEY_ERR</v>
      </c>
      <c r="G32" s="6" t="str">
        <f ca="1">_xll.DBR($C$29,$B32,G$31)</f>
        <v>*KEY_ERR</v>
      </c>
      <c r="H32" s="6" t="str">
        <f ca="1">_xll.DBR($C$29,$B32,H$31)</f>
        <v>*KEY_ERR</v>
      </c>
    </row>
    <row r="33" spans="1:16" hidden="1" outlineLevel="1" x14ac:dyDescent="0.3">
      <c r="B33" s="6" t="s">
        <v>29</v>
      </c>
      <c r="C33" s="6" t="str">
        <f ca="1">_xll.DBR($C$29,$B33,C$31)</f>
        <v>*KEY_ERR</v>
      </c>
      <c r="D33" s="6" t="str">
        <f ca="1">_xll.DBR($C$29,$B33,D$31)</f>
        <v>*KEY_ERR</v>
      </c>
      <c r="E33" s="6" t="str">
        <f ca="1">_xll.DBR($C$29,$B33,E$31)</f>
        <v>*KEY_ERR</v>
      </c>
      <c r="F33" s="6" t="str">
        <f ca="1">_xll.DBR($C$29,$B33,F$31)</f>
        <v>*KEY_ERR</v>
      </c>
      <c r="G33" s="6" t="str">
        <f ca="1">_xll.DBR($C$29,$B33,G$31)</f>
        <v>*KEY_ERR</v>
      </c>
      <c r="H33" s="6" t="str">
        <f ca="1">_xll.DBR($C$29,$B33,H$31)</f>
        <v>*KEY_ERR</v>
      </c>
    </row>
    <row r="34" spans="1:16" hidden="1" outlineLevel="1" x14ac:dyDescent="0.3">
      <c r="B34" s="6" t="s">
        <v>21</v>
      </c>
      <c r="C34" s="6" t="str">
        <f ca="1">_xll.DBR($C$29,$B34,C$31)</f>
        <v>*KEY_ERR</v>
      </c>
      <c r="D34" s="6" t="str">
        <f ca="1">_xll.DBR($C$29,$B34,D$31)</f>
        <v>*KEY_ERR</v>
      </c>
      <c r="E34" s="6" t="str">
        <f ca="1">_xll.DBR($C$29,$B34,E$31)</f>
        <v>*KEY_ERR</v>
      </c>
      <c r="F34" s="6" t="str">
        <f ca="1">_xll.DBR($C$29,$B34,F$31)</f>
        <v>*KEY_ERR</v>
      </c>
      <c r="G34" s="6" t="str">
        <f ca="1">_xll.DBR($C$29,$B34,G$31)</f>
        <v>*KEY_ERR</v>
      </c>
      <c r="H34" s="6" t="str">
        <f ca="1">_xll.DBR($C$29,$B34,H$31)</f>
        <v>*KEY_ERR</v>
      </c>
    </row>
    <row r="35" spans="1:16" hidden="1" outlineLevel="1" x14ac:dyDescent="0.3">
      <c r="B35" s="6" t="s">
        <v>30</v>
      </c>
      <c r="C35" s="6" t="str">
        <f ca="1">_xll.DBR($C$29,$B35,C$31)</f>
        <v>*KEY_ERR</v>
      </c>
      <c r="D35" s="6" t="str">
        <f ca="1">_xll.DBR($C$29,$B35,D$31)</f>
        <v>*KEY_ERR</v>
      </c>
      <c r="E35" s="6" t="str">
        <f ca="1">_xll.DBR($C$29,$B35,E$31)</f>
        <v>*KEY_ERR</v>
      </c>
      <c r="F35" s="6" t="str">
        <f ca="1">_xll.DBR($C$29,$B35,F$31)</f>
        <v>*KEY_ERR</v>
      </c>
      <c r="G35" s="6" t="str">
        <f ca="1">_xll.DBR($C$29,$B35,G$31)</f>
        <v>*KEY_ERR</v>
      </c>
      <c r="H35" s="6" t="str">
        <f ca="1">_xll.DBR($C$29,$B35,H$31)</f>
        <v>*KEY_ERR</v>
      </c>
    </row>
    <row r="36" spans="1:16" hidden="1" outlineLevel="1" x14ac:dyDescent="0.3"/>
    <row r="37" spans="1:16" hidden="1" outlineLevel="1" x14ac:dyDescent="0.3"/>
    <row r="38" spans="1:16" hidden="1" outlineLevel="1" x14ac:dyDescent="0.3">
      <c r="B38" s="22" t="s">
        <v>43</v>
      </c>
      <c r="C38" s="23"/>
      <c r="D38" s="24"/>
    </row>
    <row r="39" spans="1:16" hidden="1" outlineLevel="1" x14ac:dyDescent="0.3">
      <c r="B39" t="s">
        <v>44</v>
      </c>
      <c r="C39" t="str">
        <f ca="1">_xll.TM1RPTVIEW(db_name&amp;":AE note register:1", 0, _xll.TM1RPTTITLE(db_name&amp;":headline year",$L$51),TM1RPTFMTRNG,TM1RPTFMTIDCOL)</f>
        <v>dcceew_geus:AE note register:1</v>
      </c>
      <c r="K39" s="1" t="s">
        <v>1</v>
      </c>
      <c r="L39" s="1" t="s">
        <v>2</v>
      </c>
      <c r="M39" s="1" t="s">
        <v>3</v>
      </c>
      <c r="N39" s="1" t="s">
        <v>4</v>
      </c>
      <c r="O39" s="1" t="s">
        <v>5</v>
      </c>
      <c r="P39" s="1" t="s">
        <v>6</v>
      </c>
    </row>
    <row r="40" spans="1:16" hidden="1" outlineLevel="1" x14ac:dyDescent="0.3">
      <c r="B40" t="s">
        <v>19</v>
      </c>
    </row>
    <row r="41" spans="1:16" hidden="1" outlineLevel="1" x14ac:dyDescent="0.3">
      <c r="B41" t="s">
        <v>45</v>
      </c>
      <c r="C41" t="str">
        <f>"{TM1FILTERBYLEVEL( {TM1DRILLDOWNMEMBER( {[register id].[Total IDs]}, ALL, RECURSIVE )}, 0)}"</f>
        <v>{TM1FILTERBYLEVEL( {TM1DRILLDOWNMEMBER( {[register id].[Total IDs]}, ALL, RECURSIVE )}, 0)}</v>
      </c>
    </row>
    <row r="42" spans="1:16" hidden="1" outlineLevel="1" x14ac:dyDescent="0.3"/>
    <row r="43" spans="1:16" ht="39.9" customHeight="1" collapsed="1" x14ac:dyDescent="0.3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 t="s">
        <v>49</v>
      </c>
    </row>
    <row r="44" spans="1:16" ht="4.5" customHeight="1" x14ac:dyDescent="0.3"/>
    <row r="45" spans="1:16" ht="24" customHeight="1" x14ac:dyDescent="0.3"/>
    <row r="46" spans="1:16" ht="1.5" customHeight="1" x14ac:dyDescent="0.3">
      <c r="I46" s="11"/>
      <c r="J46" s="11"/>
      <c r="K46" s="11"/>
      <c r="L46" s="11"/>
      <c r="M46" s="11"/>
      <c r="N46" s="11"/>
      <c r="O46" s="11"/>
      <c r="P46" s="11"/>
    </row>
    <row r="47" spans="1:16" ht="4.5" customHeight="1" x14ac:dyDescent="0.3"/>
    <row r="48" spans="1:16" x14ac:dyDescent="0.3">
      <c r="J48" s="12" t="s">
        <v>48</v>
      </c>
    </row>
    <row r="49" spans="1:16" ht="4.5" customHeight="1" x14ac:dyDescent="0.3"/>
    <row r="50" spans="1:16" ht="28.8" x14ac:dyDescent="0.3">
      <c r="L50" s="9" t="s">
        <v>38</v>
      </c>
      <c r="O50" s="19" t="s">
        <v>42</v>
      </c>
    </row>
    <row r="51" spans="1:16" x14ac:dyDescent="0.3">
      <c r="K51" s="7" t="s">
        <v>39</v>
      </c>
      <c r="L51" s="17" t="str">
        <f ca="1">_xll.SUBNM(db_name&amp;":headline year","Default",$C$21)</f>
        <v/>
      </c>
      <c r="N51" s="7" t="s">
        <v>39</v>
      </c>
      <c r="O51" s="8" t="str">
        <f ca="1">_xll.SUBNM(db_name&amp;":headline year","Default",$C$21)</f>
        <v/>
      </c>
    </row>
    <row r="52" spans="1:16" x14ac:dyDescent="0.3">
      <c r="N52" s="7" t="s">
        <v>40</v>
      </c>
      <c r="O52" s="8" t="str">
        <f ca="1">$C$22</f>
        <v>*KEY_ERR</v>
      </c>
    </row>
    <row r="53" spans="1:16" x14ac:dyDescent="0.3">
      <c r="N53" s="7" t="s">
        <v>41</v>
      </c>
      <c r="O53" s="8" t="str">
        <f ca="1">$C$25</f>
        <v>*KEY_ERR</v>
      </c>
    </row>
    <row r="54" spans="1:16" ht="4.5" customHeight="1" x14ac:dyDescent="0.3"/>
    <row r="55" spans="1:16" x14ac:dyDescent="0.3">
      <c r="J55" s="10" t="s">
        <v>46</v>
      </c>
      <c r="K55" s="10" t="s">
        <v>1</v>
      </c>
      <c r="L55" s="10" t="s">
        <v>2</v>
      </c>
      <c r="M55" s="10" t="s">
        <v>3</v>
      </c>
      <c r="N55" s="10" t="s">
        <v>4</v>
      </c>
      <c r="O55" s="10" t="s">
        <v>47</v>
      </c>
      <c r="P55" s="10" t="s">
        <v>6</v>
      </c>
    </row>
    <row r="56" spans="1:16" ht="30" customHeight="1" x14ac:dyDescent="0.3">
      <c r="A56" t="str">
        <f ca="1">IF(_xll.TM1RPTELISCONSOLIDATED($J$56,$J56),IF(_xll.TM1RPTELLEV($J$56,$J56)&lt;=3,_xll.TM1RPTELLEV($J$56,$J56),"D"),"N")</f>
        <v>N</v>
      </c>
      <c r="J56" s="16" t="str">
        <f ca="1">_xll.TM1RPTROW($C$39,db_name&amp;":register id","","","",0,$C$41)</f>
        <v/>
      </c>
      <c r="K56" s="18" t="str">
        <f ca="1">_xll.DBRW($C$39,$L$51,$J56,K$39)</f>
        <v/>
      </c>
      <c r="L56" s="21" t="str">
        <f ca="1">_xll.DBRW($C$39,$L$51,$J56,L$39)</f>
        <v/>
      </c>
      <c r="M56" s="21" t="str">
        <f ca="1">_xll.DBRW($C$39,$L$51,$J56,M$39)</f>
        <v/>
      </c>
      <c r="N56" s="21" t="str">
        <f ca="1">_xll.DBRW($C$39,$L$51,$J56,N$39)</f>
        <v/>
      </c>
      <c r="O56" s="21" t="str">
        <f ca="1">_xll.DBRW($C$39,$L$51,$J56,O$39)</f>
        <v/>
      </c>
      <c r="P56" s="21" t="str">
        <f ca="1">_xll.DBRW($C$39,$L$51,$J56,P$39)</f>
        <v/>
      </c>
    </row>
  </sheetData>
  <sheetProtection sheet="1" objects="1" scenarios="1"/>
  <mergeCells count="4">
    <mergeCell ref="B38:D38"/>
    <mergeCell ref="B11:D11"/>
    <mergeCell ref="B28:D28"/>
    <mergeCell ref="B19:D19"/>
  </mergeCells>
  <pageMargins left="0.70866141732283472" right="0.70866141732283472" top="0.74803149606299213" bottom="0.74803149606299213" header="0.31496062992125984" footer="0.31496062992125984"/>
  <pageSetup paperSize="9" scale="48" fitToHeight="0" orientation="portrait" r:id="rId1"/>
  <drawing r:id="rId2"/>
  <legacyDrawing r:id="rId3"/>
  <controls>
    <mc:AlternateContent xmlns:mc="http://schemas.openxmlformats.org/markup-compatibility/2006">
      <mc:Choice Requires="x14">
        <control shapeId="1028" r:id="rId4" name="TIButton4">
          <controlPr defaultSize="0" print="0" autoLine="0" r:id="rId5">
            <anchor moveWithCells="1" sizeWithCells="1">
              <from>
                <xdr:col>9</xdr:col>
                <xdr:colOff>495300</xdr:colOff>
                <xdr:row>44</xdr:row>
                <xdr:rowOff>0</xdr:rowOff>
              </from>
              <to>
                <xdr:col>10</xdr:col>
                <xdr:colOff>723900</xdr:colOff>
                <xdr:row>44</xdr:row>
                <xdr:rowOff>251460</xdr:rowOff>
              </to>
            </anchor>
          </controlPr>
        </control>
      </mc:Choice>
      <mc:Fallback>
        <control shapeId="1028" r:id="rId4" name="TIButton4"/>
      </mc:Fallback>
    </mc:AlternateContent>
    <mc:AlternateContent xmlns:mc="http://schemas.openxmlformats.org/markup-compatibility/2006">
      <mc:Choice Requires="x14">
        <control shapeId="1027" r:id="rId6" name="TIButton3">
          <controlPr defaultSize="0" print="0" autoLine="0" r:id="rId7">
            <anchor moveWithCells="1" sizeWithCells="1">
              <from>
                <xdr:col>15</xdr:col>
                <xdr:colOff>1066800</xdr:colOff>
                <xdr:row>43</xdr:row>
                <xdr:rowOff>30480</xdr:rowOff>
              </from>
              <to>
                <xdr:col>15</xdr:col>
                <xdr:colOff>1280160</xdr:colOff>
                <xdr:row>44</xdr:row>
                <xdr:rowOff>182880</xdr:rowOff>
              </to>
            </anchor>
          </controlPr>
        </control>
      </mc:Choice>
      <mc:Fallback>
        <control shapeId="1027" r:id="rId6" name="TIButton3"/>
      </mc:Fallback>
    </mc:AlternateContent>
    <mc:AlternateContent xmlns:mc="http://schemas.openxmlformats.org/markup-compatibility/2006">
      <mc:Choice Requires="x14">
        <control shapeId="1026" r:id="rId8" name="TIButton2">
          <controlPr defaultSize="0" print="0" autoLine="0" r:id="rId9">
            <anchor moveWithCells="1" sizeWithCells="1">
              <from>
                <xdr:col>10</xdr:col>
                <xdr:colOff>769620</xdr:colOff>
                <xdr:row>44</xdr:row>
                <xdr:rowOff>0</xdr:rowOff>
              </from>
              <to>
                <xdr:col>10</xdr:col>
                <xdr:colOff>1295400</xdr:colOff>
                <xdr:row>44</xdr:row>
                <xdr:rowOff>251460</xdr:rowOff>
              </to>
            </anchor>
          </controlPr>
        </control>
      </mc:Choice>
      <mc:Fallback>
        <control shapeId="1026" r:id="rId8" name="TIButton2"/>
      </mc:Fallback>
    </mc:AlternateContent>
    <mc:AlternateContent xmlns:mc="http://schemas.openxmlformats.org/markup-compatibility/2006">
      <mc:Choice Requires="x14">
        <control shapeId="1025" r:id="rId10" name="TIButton1">
          <controlPr defaultSize="0" print="0" autoLine="0" autoPict="0" r:id="rId11">
            <anchor moveWithCells="1" sizeWithCells="1">
              <from>
                <xdr:col>9</xdr:col>
                <xdr:colOff>7620</xdr:colOff>
                <xdr:row>44</xdr:row>
                <xdr:rowOff>0</xdr:rowOff>
              </from>
              <to>
                <xdr:col>9</xdr:col>
                <xdr:colOff>441960</xdr:colOff>
                <xdr:row>44</xdr:row>
                <xdr:rowOff>251460</xdr:rowOff>
              </to>
            </anchor>
          </controlPr>
        </control>
      </mc:Choice>
      <mc:Fallback>
        <control shapeId="1025" r:id="rId10" name="TIButton1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0C87A-9660-437B-B880-BDF07F74C3DE}">
  <sheetPr codeName="Sheet2"/>
  <dimension ref="A1:A2"/>
  <sheetViews>
    <sheetView workbookViewId="0"/>
  </sheetViews>
  <sheetFormatPr defaultRowHeight="14.4" x14ac:dyDescent="0.3"/>
  <sheetData>
    <row r="1" spans="1:1" x14ac:dyDescent="0.3">
      <c r="A1" t="s">
        <v>50</v>
      </c>
    </row>
    <row r="2" spans="1:1" x14ac:dyDescent="0.3">
      <c r="A2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18</vt:i4>
      </vt:variant>
    </vt:vector>
  </HeadingPairs>
  <TitlesOfParts>
    <vt:vector size="20" baseType="lpstr">
      <vt:lpstr>notes</vt:lpstr>
      <vt:lpstr>{PL}PickLst</vt:lpstr>
      <vt:lpstr>db_name</vt:lpstr>
      <vt:lpstr>psApp</vt:lpstr>
      <vt:lpstr>psUser</vt:lpstr>
      <vt:lpstr>TM1HomeAdminCAP</vt:lpstr>
      <vt:lpstr>TM1HomeAdminWB</vt:lpstr>
      <vt:lpstr>TM1HomeAdminWS</vt:lpstr>
      <vt:lpstr>TM1HomeCAP</vt:lpstr>
      <vt:lpstr>TM1HomeWB</vt:lpstr>
      <vt:lpstr>TM1HomeWS</vt:lpstr>
      <vt:lpstr>TM1NotesAllCAP</vt:lpstr>
      <vt:lpstr>TM1NotesAllWB</vt:lpstr>
      <vt:lpstr>TM1NotesAllWS</vt:lpstr>
      <vt:lpstr>TM1NotesClientCAP</vt:lpstr>
      <vt:lpstr>TM1NotesClientWB</vt:lpstr>
      <vt:lpstr>TM1NotesClientWS</vt:lpstr>
      <vt:lpstr>notes!TM1RPTDATARNG1</vt:lpstr>
      <vt:lpstr>notes!TM1RPTFMTIDCOL</vt:lpstr>
      <vt:lpstr>notes!TM1RPTFMTRNG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Khristian Gimena</dc:creator>
  <cp:lastModifiedBy>blooyen</cp:lastModifiedBy>
  <dcterms:created xsi:type="dcterms:W3CDTF">2019-10-07T06:15:52Z</dcterms:created>
  <dcterms:modified xsi:type="dcterms:W3CDTF">2023-02-14T22:34:19Z</dcterms:modified>
</cp:coreProperties>
</file>