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6510AD8A-13BF-4165-804A-3879932C2F31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mapping" sheetId="1" r:id="rId1"/>
  </sheets>
  <definedNames>
    <definedName name="db_name">mapping!$C$11</definedName>
    <definedName name="Freeze_here">mapping!$A$52</definedName>
    <definedName name="RangeName_List">mapping!#REF!</definedName>
    <definedName name="TM1MECCMapCAP">mapping!$D$32</definedName>
    <definedName name="TM1MECCMapWB">mapping!$F$32</definedName>
    <definedName name="TM1MECCMapWS">mapping!$H$32</definedName>
    <definedName name="TM1MEDataEntryCAP">mapping!$D$31</definedName>
    <definedName name="TM1MEDataEntryWB">mapping!$F$31</definedName>
    <definedName name="TM1MEDataEntryWS">mapping!$H$31</definedName>
    <definedName name="TM1MEGLMapCAP">mapping!$D$33</definedName>
    <definedName name="TM1MEGLMapWB">mapping!$F$33</definedName>
    <definedName name="TM1MEGLMapWS">mapping!$H$33</definedName>
    <definedName name="TM1MEHomeCAP">mapping!$D$30</definedName>
    <definedName name="TM1MEHomeWB">mapping!$F$30</definedName>
    <definedName name="TM1MEHomeWS">mapping!$H$30</definedName>
    <definedName name="TM1MESummaryCAP">mapping!$D$34</definedName>
    <definedName name="TM1MESummaryWB">mapping!$F$34</definedName>
    <definedName name="TM1MESummaryWS">mapping!$H$34</definedName>
    <definedName name="TM1REBUILDOPTION">1</definedName>
    <definedName name="TM1RPTDATARNG1" localSheetId="0">mapping!$52:$52</definedName>
    <definedName name="TM1RPTFMTIDCOL" localSheetId="0">mapping!$A$1:$A$8</definedName>
    <definedName name="TM1RPTFMTRNG" localSheetId="0">mapping!$K$1:$R$8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M48" i="1"/>
  <c r="C17" i="1"/>
  <c r="K52" i="1"/>
  <c r="C20" i="1"/>
  <c r="C28" i="1"/>
  <c r="D33" i="1"/>
  <c r="D32" i="1"/>
  <c r="D30" i="1"/>
  <c r="N52" i="1"/>
  <c r="O52" i="1"/>
  <c r="C16" i="1"/>
  <c r="H34" i="1"/>
  <c r="G34" i="1"/>
  <c r="F34" i="1"/>
  <c r="E34" i="1"/>
  <c r="D34" i="1"/>
  <c r="C34" i="1"/>
  <c r="H33" i="1"/>
  <c r="G33" i="1"/>
  <c r="F33" i="1"/>
  <c r="E33" i="1"/>
  <c r="C33" i="1"/>
  <c r="H32" i="1"/>
  <c r="G32" i="1"/>
  <c r="F32" i="1"/>
  <c r="E32" i="1"/>
  <c r="C32" i="1"/>
  <c r="H31" i="1"/>
  <c r="G31" i="1"/>
  <c r="F31" i="1"/>
  <c r="E31" i="1"/>
  <c r="D31" i="1"/>
  <c r="C31" i="1"/>
  <c r="H30" i="1"/>
  <c r="G30" i="1"/>
  <c r="F30" i="1"/>
  <c r="E30" i="1"/>
  <c r="C30" i="1"/>
  <c r="C12" i="1"/>
  <c r="R52" i="1"/>
  <c r="Q52" i="1"/>
  <c r="P52" i="1"/>
  <c r="M52" i="1"/>
  <c r="L52" i="1"/>
  <c r="A52" i="1"/>
  <c r="A5" i="1"/>
  <c r="A4" i="1"/>
  <c r="A3" i="1"/>
  <c r="A2" i="1"/>
</calcChain>
</file>

<file path=xl/sharedStrings.xml><?xml version="1.0" encoding="utf-8"?>
<sst xmlns="http://schemas.openxmlformats.org/spreadsheetml/2006/main" count="48" uniqueCount="47">
  <si>
    <t>unmapped</t>
  </si>
  <si>
    <t>account</t>
  </si>
  <si>
    <t>movement account</t>
  </si>
  <si>
    <t>related entity</t>
  </si>
  <si>
    <t>jurisdiction</t>
  </si>
  <si>
    <t>D</t>
  </si>
  <si>
    <t>N</t>
  </si>
  <si>
    <t>[Begin Format Range]</t>
  </si>
  <si>
    <t>[End Format Range]</t>
  </si>
  <si>
    <t>System Variables</t>
  </si>
  <si>
    <t>Database Name</t>
  </si>
  <si>
    <t>Current User</t>
  </si>
  <si>
    <t>sys_application</t>
  </si>
  <si>
    <t>Cube View</t>
  </si>
  <si>
    <t>Caption Name</t>
  </si>
  <si>
    <t>Caption</t>
  </si>
  <si>
    <t>Workbook Name</t>
  </si>
  <si>
    <t>Workbook</t>
  </si>
  <si>
    <t>Worksheet Name</t>
  </si>
  <si>
    <t>Worksheet</t>
  </si>
  <si>
    <t>ME - Homepage</t>
  </si>
  <si>
    <t>ME - Data Entry</t>
  </si>
  <si>
    <t>ME - CC Mapping</t>
  </si>
  <si>
    <t>ME - GL Mapping</t>
  </si>
  <si>
    <t>ME - Summary</t>
  </si>
  <si>
    <t>sys_ME GL Code Mapping</t>
  </si>
  <si>
    <t>View Slice</t>
  </si>
  <si>
    <t>MDX</t>
  </si>
  <si>
    <t>GL Code</t>
  </si>
  <si>
    <t>GL Code :</t>
  </si>
  <si>
    <t>MEASURE :</t>
  </si>
  <si>
    <t>Unmapped Flag</t>
  </si>
  <si>
    <t>Account</t>
  </si>
  <si>
    <t>Movement Account</t>
  </si>
  <si>
    <t>Related Entity</t>
  </si>
  <si>
    <t>Jurisdiction</t>
  </si>
  <si>
    <t>Programme</t>
  </si>
  <si>
    <t>GEUS MAPPINGS</t>
  </si>
  <si>
    <t>Account Description</t>
  </si>
  <si>
    <t>Account Attributes</t>
  </si>
  <si>
    <t>VIEW</t>
  </si>
  <si>
    <t>description</t>
  </si>
  <si>
    <t>Report Parameters</t>
  </si>
  <si>
    <t xml:space="preserve">Note : This screen is used to manage the GL Code to GEUS Account Mapping used during the monthly estimates Load Finance Data process. </t>
  </si>
  <si>
    <t>Finance GL Code To GEUS Account Mapping</t>
  </si>
  <si>
    <t>program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</si>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</sst>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2" fillId="3" borderId="1" xfId="0" applyFont="1" applyFill="1" applyBorder="1"/>
    <xf numFmtId="0" fontId="3" fillId="4" borderId="0" xfId="0" applyFont="1" applyFill="1"/>
    <xf numFmtId="0" fontId="5" fillId="3" borderId="1" xfId="0" applyFont="1" applyFill="1" applyBorder="1" applyAlignment="1">
      <alignment horizontal="center"/>
    </xf>
    <xf numFmtId="0" fontId="4" fillId="0" borderId="1" xfId="0" applyFont="1" applyBorder="1"/>
    <xf numFmtId="0" fontId="6" fillId="5" borderId="1" xfId="0" applyFont="1" applyFill="1" applyBorder="1"/>
    <xf numFmtId="0" fontId="4" fillId="0" borderId="1" xfId="0" applyFont="1" applyBorder="1" applyAlignment="1">
      <alignment horizontal="center"/>
    </xf>
    <xf numFmtId="0" fontId="6" fillId="6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164" fontId="6" fillId="5" borderId="1" xfId="0" applyNumberFormat="1" applyFont="1" applyFill="1" applyBorder="1"/>
    <xf numFmtId="0" fontId="6" fillId="5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0" xfId="0" applyFont="1" applyAlignment="1">
      <alignment horizontal="right" indent="1"/>
    </xf>
    <xf numFmtId="0" fontId="1" fillId="7" borderId="0" xfId="0" applyFont="1" applyFill="1" applyAlignment="1">
      <alignment horizontal="center"/>
    </xf>
    <xf numFmtId="0" fontId="0" fillId="0" borderId="1" xfId="0" applyBorder="1" applyAlignment="1">
      <alignment horizontal="left" indent="1"/>
    </xf>
    <xf numFmtId="0" fontId="7" fillId="4" borderId="0" xfId="0" applyFont="1" applyFill="1" applyAlignment="1">
      <alignment horizontal="right" vertical="center"/>
    </xf>
    <xf numFmtId="0" fontId="1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011"/>
  <ax:ocxPr ax:name="_ExtentY" ax:value="767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HomeWB"/>
  <ax:ocxPr ax:name="TargetWorksheetName" ax:value="=TM1ME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HomeCAP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133"/>
  <ax:ocxPr ax:name="_ExtentY" ax:value="767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CCMapWB"/>
  <ax:ocxPr ax:name="TargetWorksheetName" ax:value="=TM1MECCMap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CCMapCAP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011"/>
  <ax:ocxPr ax:name="_ExtentY" ax:value="767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5991424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-1"/>
  <ax:ocxPr ax:name="ResizeButtonToCaption" ax:value="0"/>
</ax:ocx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42</xdr:row>
          <xdr:rowOff>0</xdr:rowOff>
        </xdr:from>
        <xdr:to>
          <xdr:col>10</xdr:col>
          <xdr:colOff>638175</xdr:colOff>
          <xdr:row>42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685800</xdr:colOff>
          <xdr:row>42</xdr:row>
          <xdr:rowOff>9525</xdr:rowOff>
        </xdr:from>
        <xdr:to>
          <xdr:col>10</xdr:col>
          <xdr:colOff>2314575</xdr:colOff>
          <xdr:row>42</xdr:row>
          <xdr:rowOff>257175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2362200</xdr:colOff>
          <xdr:row>42</xdr:row>
          <xdr:rowOff>0</xdr:rowOff>
        </xdr:from>
        <xdr:to>
          <xdr:col>10</xdr:col>
          <xdr:colOff>3000375</xdr:colOff>
          <xdr:row>42</xdr:row>
          <xdr:rowOff>247650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</sheetPr>
  <dimension ref="A1:R52"/>
  <sheetViews>
    <sheetView showGridLines="0" showRowColHeaders="0" tabSelected="1" showOutlineSymbols="0" topLeftCell="A41" workbookViewId="0">
      <pane ySplit="11" topLeftCell="A52" activePane="bottomLeft" state="frozen"/>
      <selection activeCell="J41" sqref="J41"/>
      <selection pane="bottomLeft" activeCell="A52" sqref="A52"/>
    </sheetView>
  </sheetViews>
  <sheetFormatPr defaultRowHeight="15" outlineLevelRow="1" outlineLevelCol="1" x14ac:dyDescent="0.25"/>
  <cols>
    <col min="1" max="1" width="2.7109375" hidden="1" customWidth="1" outlineLevel="1"/>
    <col min="2" max="2" width="16.7109375" hidden="1" customWidth="1" outlineLevel="1"/>
    <col min="3" max="3" width="26.140625" hidden="1" customWidth="1" outlineLevel="1"/>
    <col min="4" max="9" width="16.7109375" hidden="1" customWidth="1" outlineLevel="1"/>
    <col min="10" max="10" width="0.85546875" customWidth="1" collapsed="1"/>
    <col min="11" max="11" width="50.7109375" customWidth="1"/>
    <col min="12" max="12" width="13.85546875" customWidth="1"/>
    <col min="13" max="13" width="40.7109375" customWidth="1"/>
    <col min="14" max="14" width="19.7109375" customWidth="1"/>
    <col min="15" max="15" width="50.7109375" customWidth="1"/>
    <col min="16" max="18" width="19.7109375" customWidth="1"/>
  </cols>
  <sheetData>
    <row r="1" spans="1:18" hidden="1" outlineLevel="1" x14ac:dyDescent="0.25">
      <c r="A1" t="s">
        <v>7</v>
      </c>
    </row>
    <row r="2" spans="1:18" hidden="1" outlineLevel="1" x14ac:dyDescent="0.25">
      <c r="A2">
        <f>0</f>
        <v>0</v>
      </c>
      <c r="K2" s="7"/>
      <c r="L2" s="10"/>
      <c r="M2" s="7"/>
      <c r="N2" s="10"/>
      <c r="O2" s="13"/>
      <c r="P2" s="10"/>
      <c r="Q2" s="10"/>
      <c r="R2" s="10"/>
    </row>
    <row r="3" spans="1:18" hidden="1" outlineLevel="1" x14ac:dyDescent="0.25">
      <c r="A3">
        <f>1</f>
        <v>1</v>
      </c>
      <c r="K3" s="9"/>
      <c r="L3" s="11"/>
      <c r="M3" s="9"/>
      <c r="N3" s="11"/>
      <c r="O3" s="14"/>
      <c r="P3" s="11"/>
      <c r="Q3" s="11"/>
      <c r="R3" s="11"/>
    </row>
    <row r="4" spans="1:18" hidden="1" outlineLevel="1" x14ac:dyDescent="0.25">
      <c r="A4">
        <f>2</f>
        <v>2</v>
      </c>
      <c r="K4" s="9"/>
      <c r="L4" s="11"/>
      <c r="M4" s="9"/>
      <c r="N4" s="11"/>
      <c r="O4" s="14"/>
      <c r="P4" s="11"/>
      <c r="Q4" s="11"/>
      <c r="R4" s="11"/>
    </row>
    <row r="5" spans="1:18" hidden="1" outlineLevel="1" x14ac:dyDescent="0.25">
      <c r="A5">
        <f>3</f>
        <v>3</v>
      </c>
      <c r="K5" s="9"/>
      <c r="L5" s="11"/>
      <c r="M5" s="9"/>
      <c r="N5" s="11"/>
      <c r="O5" s="14"/>
      <c r="P5" s="11"/>
      <c r="Q5" s="11"/>
      <c r="R5" s="11"/>
    </row>
    <row r="6" spans="1:18" hidden="1" outlineLevel="1" x14ac:dyDescent="0.25">
      <c r="A6" t="s">
        <v>5</v>
      </c>
      <c r="K6" s="9"/>
      <c r="L6" s="11"/>
      <c r="M6" s="9"/>
      <c r="N6" s="11"/>
      <c r="O6" s="14"/>
      <c r="P6" s="11"/>
      <c r="Q6" s="11"/>
      <c r="R6" s="11"/>
    </row>
    <row r="7" spans="1:18" hidden="1" outlineLevel="1" x14ac:dyDescent="0.25">
      <c r="A7" t="s">
        <v>6</v>
      </c>
      <c r="K7" s="6"/>
      <c r="L7" s="8"/>
      <c r="M7" s="6"/>
      <c r="N7" s="8"/>
      <c r="O7" s="15"/>
      <c r="P7" s="8"/>
      <c r="Q7" s="8"/>
      <c r="R7" s="8"/>
    </row>
    <row r="8" spans="1:18" hidden="1" outlineLevel="1" x14ac:dyDescent="0.25">
      <c r="A8" t="s">
        <v>8</v>
      </c>
    </row>
    <row r="9" spans="1:18" hidden="1" outlineLevel="1" x14ac:dyDescent="0.25"/>
    <row r="10" spans="1:18" hidden="1" outlineLevel="1" x14ac:dyDescent="0.25">
      <c r="B10" s="22" t="s">
        <v>9</v>
      </c>
      <c r="C10" s="22"/>
    </row>
    <row r="11" spans="1:18" hidden="1" outlineLevel="1" x14ac:dyDescent="0.25">
      <c r="B11" s="1" t="s">
        <v>10</v>
      </c>
      <c r="C11" s="1" t="s">
        <v>46</v>
      </c>
    </row>
    <row r="12" spans="1:18" hidden="1" outlineLevel="1" x14ac:dyDescent="0.25">
      <c r="B12" s="1" t="s">
        <v>11</v>
      </c>
      <c r="C12" s="1" t="str">
        <f ca="1">_xll.TM1USER(db_name)</f>
        <v/>
      </c>
    </row>
    <row r="13" spans="1:18" hidden="1" outlineLevel="1" x14ac:dyDescent="0.25"/>
    <row r="14" spans="1:18" hidden="1" outlineLevel="1" x14ac:dyDescent="0.25">
      <c r="B14" s="22" t="s">
        <v>25</v>
      </c>
      <c r="C14" s="22"/>
    </row>
    <row r="15" spans="1:18" hidden="1" outlineLevel="1" x14ac:dyDescent="0.25">
      <c r="B15" s="1" t="s">
        <v>13</v>
      </c>
      <c r="C15" s="1" t="str">
        <f ca="1">_xll.TM1RPTVIEW(db_name&amp;":sys_ME GL Code mapping:1", 0,TM1RPTFMTRNG,TM1RPTFMTIDCOL)</f>
        <v>dcceew_geus:sys_ME GL Code mapping:1</v>
      </c>
    </row>
    <row r="16" spans="1:18" hidden="1" outlineLevel="1" x14ac:dyDescent="0.25">
      <c r="B16" s="1" t="s">
        <v>26</v>
      </c>
      <c r="C16" s="1" t="str">
        <f ca="1">_xll.VIEW(db_name&amp;":sys_ME GL Code Mapping","!","!")</f>
        <v>dcceew_geus:sys_ME GL Code Mapping</v>
      </c>
    </row>
    <row r="17" spans="2:8" hidden="1" outlineLevel="1" x14ac:dyDescent="0.25">
      <c r="B17" s="1" t="s">
        <v>27</v>
      </c>
      <c r="C17" s="1" t="str">
        <f ca="1">"{TM1DRILLDOWNMEMBER( {[finance gl code].[" &amp; $M$48 &amp; "]}, ALL, RECURSIVE )}"</f>
        <v>{TM1DRILLDOWNMEMBER( {[finance gl code].[]}, ALL, RECURSIVE )}</v>
      </c>
    </row>
    <row r="18" spans="2:8" hidden="1" outlineLevel="1" x14ac:dyDescent="0.25"/>
    <row r="19" spans="2:8" hidden="1" outlineLevel="1" x14ac:dyDescent="0.25">
      <c r="B19" s="22" t="s">
        <v>39</v>
      </c>
      <c r="C19" s="22"/>
    </row>
    <row r="20" spans="2:8" hidden="1" outlineLevel="1" x14ac:dyDescent="0.25">
      <c r="B20" s="1" t="s">
        <v>40</v>
      </c>
      <c r="C20" s="1" t="str">
        <f ca="1">_xll.VIEW(db_name&amp;":}ElementAttributes_account","!","!")</f>
        <v>dcceew_geus:}ElementAttributes_account</v>
      </c>
    </row>
    <row r="21" spans="2:8" hidden="1" outlineLevel="1" x14ac:dyDescent="0.25"/>
    <row r="22" spans="2:8" hidden="1" outlineLevel="1" x14ac:dyDescent="0.25"/>
    <row r="23" spans="2:8" hidden="1" outlineLevel="1" x14ac:dyDescent="0.25"/>
    <row r="24" spans="2:8" hidden="1" outlineLevel="1" x14ac:dyDescent="0.25"/>
    <row r="25" spans="2:8" hidden="1" outlineLevel="1" x14ac:dyDescent="0.25"/>
    <row r="26" spans="2:8" hidden="1" outlineLevel="1" x14ac:dyDescent="0.25"/>
    <row r="27" spans="2:8" hidden="1" outlineLevel="1" x14ac:dyDescent="0.25">
      <c r="B27" s="22" t="s">
        <v>12</v>
      </c>
      <c r="C27" s="22"/>
    </row>
    <row r="28" spans="2:8" hidden="1" outlineLevel="1" x14ac:dyDescent="0.25">
      <c r="B28" s="2" t="s">
        <v>13</v>
      </c>
      <c r="C28" s="2" t="str">
        <f ca="1">_xll.VIEW(db_name&amp;":sys_application","!","!")</f>
        <v>dcceew_geus:sys_application</v>
      </c>
    </row>
    <row r="29" spans="2:8" hidden="1" outlineLevel="1" x14ac:dyDescent="0.25">
      <c r="B29" s="1"/>
      <c r="C29" s="3" t="s">
        <v>14</v>
      </c>
      <c r="D29" s="3" t="s">
        <v>15</v>
      </c>
      <c r="E29" s="3" t="s">
        <v>16</v>
      </c>
      <c r="F29" s="3" t="s">
        <v>17</v>
      </c>
      <c r="G29" s="3" t="s">
        <v>18</v>
      </c>
      <c r="H29" s="3" t="s">
        <v>19</v>
      </c>
    </row>
    <row r="30" spans="2:8" hidden="1" outlineLevel="1" x14ac:dyDescent="0.25">
      <c r="B30" s="1" t="s">
        <v>20</v>
      </c>
      <c r="C30" s="1" t="str">
        <f ca="1">_xll.DBR($C$28,$B30,C$29)</f>
        <v>*KEY_ERR</v>
      </c>
      <c r="D30" s="1" t="str">
        <f ca="1">_xll.DBR($C$28,$B30,D$29)</f>
        <v>*KEY_ERR</v>
      </c>
      <c r="E30" s="1" t="str">
        <f ca="1">_xll.DBR($C$28,$B30,E$29)</f>
        <v>*KEY_ERR</v>
      </c>
      <c r="F30" s="1" t="str">
        <f ca="1">_xll.DBR($C$28,$B30,F$29)</f>
        <v>*KEY_ERR</v>
      </c>
      <c r="G30" s="1" t="str">
        <f ca="1">_xll.DBR($C$28,$B30,G$29)</f>
        <v>*KEY_ERR</v>
      </c>
      <c r="H30" s="1" t="str">
        <f ca="1">_xll.DBR($C$28,$B30,H$29)</f>
        <v>*KEY_ERR</v>
      </c>
    </row>
    <row r="31" spans="2:8" hidden="1" outlineLevel="1" x14ac:dyDescent="0.25">
      <c r="B31" s="1" t="s">
        <v>21</v>
      </c>
      <c r="C31" s="1" t="str">
        <f ca="1">_xll.DBR($C$28,$B31,C$29)</f>
        <v>*KEY_ERR</v>
      </c>
      <c r="D31" s="1" t="str">
        <f ca="1">_xll.DBR($C$28,$B31,D$29)</f>
        <v>*KEY_ERR</v>
      </c>
      <c r="E31" s="1" t="str">
        <f ca="1">_xll.DBR($C$28,$B31,E$29)</f>
        <v>*KEY_ERR</v>
      </c>
      <c r="F31" s="1" t="str">
        <f ca="1">_xll.DBR($C$28,$B31,F$29)</f>
        <v>*KEY_ERR</v>
      </c>
      <c r="G31" s="1" t="str">
        <f ca="1">_xll.DBR($C$28,$B31,G$29)</f>
        <v>*KEY_ERR</v>
      </c>
      <c r="H31" s="1" t="str">
        <f ca="1">_xll.DBR($C$28,$B31,H$29)</f>
        <v>*KEY_ERR</v>
      </c>
    </row>
    <row r="32" spans="2:8" hidden="1" outlineLevel="1" x14ac:dyDescent="0.25">
      <c r="B32" s="1" t="s">
        <v>22</v>
      </c>
      <c r="C32" s="1" t="str">
        <f ca="1">_xll.DBR($C$28,$B32,C$29)</f>
        <v>*KEY_ERR</v>
      </c>
      <c r="D32" s="1" t="str">
        <f ca="1">_xll.DBR($C$28,$B32,D$29)</f>
        <v>*KEY_ERR</v>
      </c>
      <c r="E32" s="1" t="str">
        <f ca="1">_xll.DBR($C$28,$B32,E$29)</f>
        <v>*KEY_ERR</v>
      </c>
      <c r="F32" s="1" t="str">
        <f ca="1">_xll.DBR($C$28,$B32,F$29)</f>
        <v>*KEY_ERR</v>
      </c>
      <c r="G32" s="1" t="str">
        <f ca="1">_xll.DBR($C$28,$B32,G$29)</f>
        <v>*KEY_ERR</v>
      </c>
      <c r="H32" s="1" t="str">
        <f ca="1">_xll.DBR($C$28,$B32,H$29)</f>
        <v>*KEY_ERR</v>
      </c>
    </row>
    <row r="33" spans="2:18" hidden="1" outlineLevel="1" x14ac:dyDescent="0.25">
      <c r="B33" s="1" t="s">
        <v>23</v>
      </c>
      <c r="C33" s="1" t="str">
        <f ca="1">_xll.DBR($C$28,$B33,C$29)</f>
        <v>*KEY_ERR</v>
      </c>
      <c r="D33" s="1" t="str">
        <f ca="1">_xll.DBR($C$28,$B33,D$29)</f>
        <v>*KEY_ERR</v>
      </c>
      <c r="E33" s="1" t="str">
        <f ca="1">_xll.DBR($C$28,$B33,E$29)</f>
        <v>*KEY_ERR</v>
      </c>
      <c r="F33" s="1" t="str">
        <f ca="1">_xll.DBR($C$28,$B33,F$29)</f>
        <v>*KEY_ERR</v>
      </c>
      <c r="G33" s="1" t="str">
        <f ca="1">_xll.DBR($C$28,$B33,G$29)</f>
        <v>*KEY_ERR</v>
      </c>
      <c r="H33" s="1" t="str">
        <f ca="1">_xll.DBR($C$28,$B33,H$29)</f>
        <v>*KEY_ERR</v>
      </c>
    </row>
    <row r="34" spans="2:18" hidden="1" outlineLevel="1" x14ac:dyDescent="0.25">
      <c r="B34" s="1" t="s">
        <v>24</v>
      </c>
      <c r="C34" s="1" t="str">
        <f ca="1">_xll.DBR($C$28,$B34,C$29)</f>
        <v>*KEY_ERR</v>
      </c>
      <c r="D34" s="1" t="str">
        <f ca="1">_xll.DBR($C$28,$B34,D$29)</f>
        <v>*KEY_ERR</v>
      </c>
      <c r="E34" s="1" t="str">
        <f ca="1">_xll.DBR($C$28,$B34,E$29)</f>
        <v>*KEY_ERR</v>
      </c>
      <c r="F34" s="1" t="str">
        <f ca="1">_xll.DBR($C$28,$B34,F$29)</f>
        <v>*KEY_ERR</v>
      </c>
      <c r="G34" s="1" t="str">
        <f ca="1">_xll.DBR($C$28,$B34,G$29)</f>
        <v>*KEY_ERR</v>
      </c>
      <c r="H34" s="1" t="str">
        <f ca="1">_xll.DBR($C$28,$B34,H$29)</f>
        <v>*KEY_ERR</v>
      </c>
    </row>
    <row r="35" spans="2:18" hidden="1" outlineLevel="1" x14ac:dyDescent="0.25"/>
    <row r="36" spans="2:18" hidden="1" outlineLevel="1" x14ac:dyDescent="0.25">
      <c r="K36" t="s">
        <v>30</v>
      </c>
      <c r="L36" s="5" t="s">
        <v>0</v>
      </c>
      <c r="M36" s="5" t="s">
        <v>45</v>
      </c>
      <c r="N36" s="5" t="s">
        <v>1</v>
      </c>
      <c r="O36" s="5" t="s">
        <v>41</v>
      </c>
      <c r="P36" s="5" t="s">
        <v>2</v>
      </c>
      <c r="Q36" s="5" t="s">
        <v>3</v>
      </c>
      <c r="R36" s="5" t="s">
        <v>4</v>
      </c>
    </row>
    <row r="37" spans="2:18" hidden="1" outlineLevel="1" x14ac:dyDescent="0.25"/>
    <row r="38" spans="2:18" hidden="1" outlineLevel="1" x14ac:dyDescent="0.25"/>
    <row r="39" spans="2:18" hidden="1" outlineLevel="1" x14ac:dyDescent="0.25"/>
    <row r="40" spans="2:18" hidden="1" outlineLevel="1" x14ac:dyDescent="0.25"/>
    <row r="41" spans="2:18" ht="29.45" customHeight="1" collapsed="1" x14ac:dyDescent="0.25">
      <c r="J41" s="4"/>
      <c r="K41" s="4"/>
      <c r="L41" s="4"/>
      <c r="M41" s="4"/>
      <c r="N41" s="4"/>
      <c r="O41" s="4"/>
      <c r="P41" s="4"/>
      <c r="Q41" s="4"/>
      <c r="R41" s="21" t="s">
        <v>44</v>
      </c>
    </row>
    <row r="42" spans="2:18" ht="4.5" customHeight="1" x14ac:dyDescent="0.25"/>
    <row r="43" spans="2:18" ht="24" customHeight="1" x14ac:dyDescent="0.25"/>
    <row r="44" spans="2:18" ht="1.5" customHeight="1" x14ac:dyDescent="0.25">
      <c r="J44" s="19"/>
      <c r="K44" s="19"/>
      <c r="L44" s="19"/>
      <c r="M44" s="19"/>
      <c r="N44" s="19"/>
      <c r="O44" s="19"/>
      <c r="P44" s="19"/>
      <c r="Q44" s="19"/>
      <c r="R44" s="19"/>
    </row>
    <row r="45" spans="2:18" x14ac:dyDescent="0.25">
      <c r="K45" s="24" t="s">
        <v>43</v>
      </c>
      <c r="L45" s="24"/>
      <c r="M45" s="24"/>
      <c r="N45" s="24"/>
    </row>
    <row r="46" spans="2:18" ht="5.0999999999999996" customHeight="1" x14ac:dyDescent="0.25"/>
    <row r="47" spans="2:18" x14ac:dyDescent="0.25">
      <c r="M47" s="17" t="s">
        <v>42</v>
      </c>
    </row>
    <row r="48" spans="2:18" x14ac:dyDescent="0.25">
      <c r="L48" s="16" t="s">
        <v>29</v>
      </c>
      <c r="M48" s="18" t="str">
        <f ca="1">_xll.SUBNM(db_name&amp;":finance gl code","","ADMN","Num+Desc")</f>
        <v/>
      </c>
    </row>
    <row r="49" spans="1:18" ht="5.0999999999999996" customHeight="1" x14ac:dyDescent="0.25"/>
    <row r="50" spans="1:18" x14ac:dyDescent="0.25">
      <c r="M50" s="23" t="s">
        <v>37</v>
      </c>
      <c r="N50" s="23"/>
      <c r="O50" s="23"/>
      <c r="P50" s="23"/>
      <c r="Q50" s="23"/>
      <c r="R50" s="23"/>
    </row>
    <row r="51" spans="1:18" ht="30" x14ac:dyDescent="0.25">
      <c r="K51" s="20" t="s">
        <v>28</v>
      </c>
      <c r="L51" s="20" t="s">
        <v>31</v>
      </c>
      <c r="M51" s="20" t="s">
        <v>36</v>
      </c>
      <c r="N51" s="20" t="s">
        <v>32</v>
      </c>
      <c r="O51" s="20" t="s">
        <v>38</v>
      </c>
      <c r="P51" s="20" t="s">
        <v>33</v>
      </c>
      <c r="Q51" s="20" t="s">
        <v>34</v>
      </c>
      <c r="R51" s="20" t="s">
        <v>35</v>
      </c>
    </row>
    <row r="52" spans="1:18" x14ac:dyDescent="0.25">
      <c r="A52" t="str">
        <f ca="1">IF(_xll.TM1RPTELISCONSOLIDATED($K$52,$K52),IF(_xll.TM1RPTELLEV($K$52,$K52)&lt;=3,_xll.TM1RPTELLEV($K$52,$K52),"D"),"N")</f>
        <v>N</v>
      </c>
      <c r="K52" s="12" t="str">
        <f ca="1">_xll.TM1RPTROW($C$15,db_name&amp;":finance gl code","","","Num+Desc",0,$C$17)</f>
        <v/>
      </c>
      <c r="L52" s="10" t="str">
        <f ca="1">_xll.DBRW($C$15,$K52,L$36)</f>
        <v/>
      </c>
      <c r="M52" s="7" t="str">
        <f ca="1">_xll.DBRW($C$15,$K52,M$36)</f>
        <v/>
      </c>
      <c r="N52" s="10" t="str">
        <f ca="1">_xll.DBRW($C$15,$K52,N$36)</f>
        <v/>
      </c>
      <c r="O52" s="13" t="str">
        <f ca="1">IF($N52="","",_xll.DBR($C$20,$N52,O$36))</f>
        <v/>
      </c>
      <c r="P52" s="10" t="str">
        <f ca="1">_xll.DBRW($C$15,$K52,P$36)</f>
        <v/>
      </c>
      <c r="Q52" s="10" t="str">
        <f ca="1">_xll.DBRW($C$15,$K52,Q$36)</f>
        <v/>
      </c>
      <c r="R52" s="10" t="str">
        <f ca="1">_xll.DBRW($C$15,$K52,R$36)</f>
        <v/>
      </c>
    </row>
  </sheetData>
  <sheetProtection sheet="1" objects="1" scenarios="1"/>
  <mergeCells count="6">
    <mergeCell ref="B10:C10"/>
    <mergeCell ref="B27:C27"/>
    <mergeCell ref="B14:C14"/>
    <mergeCell ref="M50:R50"/>
    <mergeCell ref="B19:C19"/>
    <mergeCell ref="K45:N4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 sizeWithCells="1">
              <from>
                <xdr:col>10</xdr:col>
                <xdr:colOff>0</xdr:colOff>
                <xdr:row>42</xdr:row>
                <xdr:rowOff>0</xdr:rowOff>
              </from>
              <to>
                <xdr:col>10</xdr:col>
                <xdr:colOff>638175</xdr:colOff>
                <xdr:row>42</xdr:row>
                <xdr:rowOff>247650</xdr:rowOff>
              </to>
            </anchor>
          </controlPr>
        </control>
      </mc:Choice>
      <mc:Fallback>
        <control shapeId="1025" r:id="rId4" name="TIButton1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autoPict="0" r:id="rId7">
            <anchor moveWithCells="1" sizeWithCells="1">
              <from>
                <xdr:col>10</xdr:col>
                <xdr:colOff>685800</xdr:colOff>
                <xdr:row>42</xdr:row>
                <xdr:rowOff>9525</xdr:rowOff>
              </from>
              <to>
                <xdr:col>10</xdr:col>
                <xdr:colOff>2314575</xdr:colOff>
                <xdr:row>42</xdr:row>
                <xdr:rowOff>257175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autoPict="0" r:id="rId9">
            <anchor moveWithCells="1" sizeWithCells="1">
              <from>
                <xdr:col>10</xdr:col>
                <xdr:colOff>2362200</xdr:colOff>
                <xdr:row>42</xdr:row>
                <xdr:rowOff>0</xdr:rowOff>
              </from>
              <to>
                <xdr:col>10</xdr:col>
                <xdr:colOff>3000375</xdr:colOff>
                <xdr:row>42</xdr:row>
                <xdr:rowOff>247650</xdr:rowOff>
              </to>
            </anchor>
          </controlPr>
        </control>
      </mc:Choice>
      <mc:Fallback>
        <control shapeId="1027" r:id="rId8" name="TIButton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20</vt:i4>
      </vt:variant>
    </vt:vector>
  </HeadingPairs>
  <TitlesOfParts>
    <vt:vector size="21" baseType="lpstr">
      <vt:lpstr>mapping</vt:lpstr>
      <vt:lpstr>db_name</vt:lpstr>
      <vt:lpstr>Freeze_here</vt:lpstr>
      <vt:lpstr>TM1MECCMapCAP</vt:lpstr>
      <vt:lpstr>TM1MECCMapWB</vt:lpstr>
      <vt:lpstr>TM1MECCMapWS</vt:lpstr>
      <vt:lpstr>TM1MEDataEntryCAP</vt:lpstr>
      <vt:lpstr>TM1MEDataEntryWB</vt:lpstr>
      <vt:lpstr>TM1MEDataEntryWS</vt:lpstr>
      <vt:lpstr>TM1MEGLMapCAP</vt:lpstr>
      <vt:lpstr>TM1MEGLMapWB</vt:lpstr>
      <vt:lpstr>TM1MEGLMapWS</vt:lpstr>
      <vt:lpstr>TM1MEHomeCAP</vt:lpstr>
      <vt:lpstr>TM1MEHomeWB</vt:lpstr>
      <vt:lpstr>TM1MEHomeWS</vt:lpstr>
      <vt:lpstr>TM1MESummaryCAP</vt:lpstr>
      <vt:lpstr>TM1MESummaryWB</vt:lpstr>
      <vt:lpstr>TM1MESummaryWS</vt:lpstr>
      <vt:lpstr>mapping!TM1RPTDATARNG1</vt:lpstr>
      <vt:lpstr>mapping!TM1RPTFMTIDCOL</vt:lpstr>
      <vt:lpstr>mapping!TM1RPTFMTRNG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2019-04-17T22:14:35Z</dcterms:created>
  <dcterms:modified xsi:type="dcterms:W3CDTF">2025-08-05T04:35:16Z</dcterms:modified>
</cp:coreProperties>
</file>