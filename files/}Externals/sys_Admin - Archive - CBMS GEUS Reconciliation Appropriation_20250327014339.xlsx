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1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JAN 2025 - Reco Reports\"/>
    </mc:Choice>
  </mc:AlternateContent>
  <xr:revisionPtr revIDLastSave="0" documentId="8_{8AA408AA-5B4F-4091-AA20-32B2E4D0CE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" sheetId="1" r:id="rId1"/>
  </sheets>
  <definedNames>
    <definedName name="db_name">reco!$C$12</definedName>
    <definedName name="ID" localSheetId="0" hidden="1">"ad2f0a77-6098-41b1-afdd-25fbe4d0ae12"</definedName>
    <definedName name="psApp">reco!$C$36</definedName>
    <definedName name="psHLYear">reco!$P$85</definedName>
    <definedName name="psUser">reco!$C$14</definedName>
    <definedName name="TM1AdjIDListCAP">reco!$D$45</definedName>
    <definedName name="TM1AdjIDListWB">reco!$F$45</definedName>
    <definedName name="TM1AdminArcCBMSRecoAppropCAP">reco!$D$50</definedName>
    <definedName name="TM1AdminArcCBMSRecoAppropWB">reco!$F$50</definedName>
    <definedName name="TM1AdminArcCBMSRecoAppropWS">reco!$H$50</definedName>
    <definedName name="TM1AdminArcCBMSRecoCAP">reco!$D$46</definedName>
    <definedName name="TM1AdminArcCBMSRecoProgDetCAP">reco!$D$49</definedName>
    <definedName name="TM1AdminArcCBMSRecoProgDetWB">reco!$F$49</definedName>
    <definedName name="TM1AdminArcCBMSRecoProgDetWS">reco!$H$49</definedName>
    <definedName name="TM1AdminArcCBMSRecoRep">reco!$H$46</definedName>
    <definedName name="TM1AdminArcCBMSRecoRepCAP">reco!$D$47</definedName>
    <definedName name="TM1AdminArcCBMSRecoRepDetCAP">reco!$D$48</definedName>
    <definedName name="TM1AdminArcCBMSRecoRepDetWB">reco!$F$48</definedName>
    <definedName name="TM1AdminArcCBMSRecoRepDetWS">reco!$H$48</definedName>
    <definedName name="TM1AdminArcCBMSRecoRepWB">reco!$F$47</definedName>
    <definedName name="TM1AdminArcCBMSRecoRepWS">reco!$H$47</definedName>
    <definedName name="TM1AdminArcCBMSRecoWB">reco!$F$46</definedName>
    <definedName name="TM1HomeAdminBaseCAP">reco!$D$43</definedName>
    <definedName name="TM1HomeAdminBaseWB">reco!$F$43</definedName>
    <definedName name="TM1HomeAdminBaseWS">reco!$H$43</definedName>
    <definedName name="TM1HomeAdminCAP">reco!$D$41</definedName>
    <definedName name="TM1HomeAdminRDSCAP">reco!$D$42</definedName>
    <definedName name="TM1HomeAdminRDSWB">reco!$F$42</definedName>
    <definedName name="TM1HomeAdminRDSWS">reco!$H$42</definedName>
    <definedName name="TM1HomeAdminWB">reco!$F$41</definedName>
    <definedName name="TM1HomeAdminWS">reco!$H$41</definedName>
    <definedName name="TM1HomeAECAP">reco!$D$39</definedName>
    <definedName name="TM1HomeAEWB">reco!$F$39</definedName>
    <definedName name="TM1HomeAEWS">reco!$H$39</definedName>
    <definedName name="TM1HomeCAP">reco!$D$38</definedName>
    <definedName name="TM1HomeRepCAP">reco!$D$40</definedName>
    <definedName name="TM1HomeRepWB">reco!$F$40</definedName>
    <definedName name="TM1HomeRepWS">reco!$H$40</definedName>
    <definedName name="TM1HomeUnderCAP">reco!$D$44</definedName>
    <definedName name="TM1HomeUnderWB">reco!$F$44</definedName>
    <definedName name="TM1HomeUnderWS">reco!$H$44</definedName>
    <definedName name="TM1HomeWB">reco!$F$38</definedName>
    <definedName name="TM1HomeWS">reco!$H$38</definedName>
    <definedName name="TM1IDListWS">reco!$H$45</definedName>
    <definedName name="TM1REBUILDOPTION">0</definedName>
    <definedName name="TM1RPTDATARNG1" localSheetId="0">reco!$100:$100</definedName>
    <definedName name="TM1RPTFMTIDCOL" localSheetId="0">reco!$A$1:$A$8</definedName>
    <definedName name="TM1RPTFMTRNG" localSheetId="0">reco!$J$1:$AI$8</definedName>
    <definedName name="TM1ViewAdj01HeaderCAP">reco!$D$51</definedName>
    <definedName name="TM1ViewAdj01HeaderWB">reco!$F$51</definedName>
    <definedName name="TM1ViewAdj01HeaderWS">reco!$H$51</definedName>
  </definedNames>
  <calcPr calcId="191029" calcMode="manual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" i="1" l="1"/>
  <c r="C58" i="1"/>
  <c r="C20" i="1"/>
  <c r="C22" i="1"/>
  <c r="P85" i="1"/>
  <c r="P87" i="1"/>
  <c r="C72" i="1"/>
  <c r="C64" i="1"/>
  <c r="C70" i="1"/>
  <c r="C63" i="1"/>
  <c r="C69" i="1"/>
  <c r="C65" i="1"/>
  <c r="C68" i="1"/>
  <c r="C54" i="1"/>
  <c r="J19" i="1"/>
  <c r="AI21" i="1"/>
  <c r="AI99" i="1"/>
  <c r="AH21" i="1"/>
  <c r="AH99" i="1"/>
  <c r="AG21" i="1"/>
  <c r="AG99" i="1"/>
  <c r="AF21" i="1"/>
  <c r="AF99" i="1"/>
  <c r="AE21" i="1"/>
  <c r="AE99" i="1"/>
  <c r="AD21" i="1"/>
  <c r="AD99" i="1"/>
  <c r="C66" i="1"/>
  <c r="P91" i="1"/>
  <c r="P86" i="1"/>
  <c r="AB21" i="1"/>
  <c r="AB99" i="1"/>
  <c r="AA21" i="1"/>
  <c r="AA99" i="1"/>
  <c r="Z21" i="1"/>
  <c r="Z99" i="1"/>
  <c r="Y21" i="1"/>
  <c r="Y99" i="1"/>
  <c r="X21" i="1"/>
  <c r="X99" i="1"/>
  <c r="W21" i="1"/>
  <c r="W99" i="1"/>
  <c r="U21" i="1"/>
  <c r="U99" i="1"/>
  <c r="T21" i="1"/>
  <c r="T99" i="1"/>
  <c r="S21" i="1"/>
  <c r="S99" i="1"/>
  <c r="R21" i="1"/>
  <c r="R99" i="1"/>
  <c r="Q21" i="1"/>
  <c r="Q99" i="1"/>
  <c r="P21" i="1"/>
  <c r="P99" i="1"/>
  <c r="C73" i="1"/>
  <c r="C67" i="1"/>
  <c r="B1" i="1"/>
  <c r="U86" i="1"/>
  <c r="P90" i="1"/>
  <c r="E59" i="1"/>
  <c r="C59" i="1"/>
  <c r="M100" i="1"/>
  <c r="L100" i="1"/>
  <c r="U87" i="1"/>
  <c r="E60" i="1"/>
  <c r="C60" i="1"/>
  <c r="N100" i="1"/>
  <c r="U85" i="1"/>
  <c r="E56" i="1"/>
  <c r="C56" i="1"/>
  <c r="J100" i="1"/>
  <c r="P88" i="1"/>
  <c r="E57" i="1"/>
  <c r="D57" i="1"/>
  <c r="C57" i="1"/>
  <c r="K100" i="1"/>
  <c r="O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U100" i="1"/>
  <c r="T100" i="1"/>
  <c r="S100" i="1"/>
  <c r="R100" i="1"/>
  <c r="Q100" i="1"/>
  <c r="P100" i="1"/>
  <c r="A100" i="1"/>
  <c r="C55" i="1"/>
  <c r="O95" i="1"/>
  <c r="AI95" i="1"/>
  <c r="AH95" i="1"/>
  <c r="AG95" i="1"/>
  <c r="AF95" i="1"/>
  <c r="AE95" i="1"/>
  <c r="AD95" i="1"/>
  <c r="AB95" i="1"/>
  <c r="AA95" i="1"/>
  <c r="Z95" i="1"/>
  <c r="Y95" i="1"/>
  <c r="X95" i="1"/>
  <c r="W95" i="1"/>
  <c r="U95" i="1"/>
  <c r="T95" i="1"/>
  <c r="S95" i="1"/>
  <c r="R95" i="1"/>
  <c r="Q95" i="1"/>
  <c r="P95" i="1"/>
  <c r="AI94" i="1"/>
  <c r="AH94" i="1"/>
  <c r="AG94" i="1"/>
  <c r="AF94" i="1"/>
  <c r="AE94" i="1"/>
  <c r="AD94" i="1"/>
  <c r="AB94" i="1"/>
  <c r="AA94" i="1"/>
  <c r="Z94" i="1"/>
  <c r="Y94" i="1"/>
  <c r="X94" i="1"/>
  <c r="W94" i="1"/>
  <c r="U94" i="1"/>
  <c r="T94" i="1"/>
  <c r="S94" i="1"/>
  <c r="R94" i="1"/>
  <c r="Q94" i="1"/>
  <c r="P94" i="1"/>
  <c r="D60" i="1"/>
  <c r="D59" i="1"/>
  <c r="E58" i="1"/>
  <c r="D56" i="1"/>
  <c r="C35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C28" i="1"/>
  <c r="C14" i="1"/>
  <c r="C32" i="1"/>
  <c r="C31" i="1"/>
  <c r="C30" i="1"/>
  <c r="C29" i="1"/>
  <c r="C25" i="1"/>
  <c r="C24" i="1"/>
  <c r="C23" i="1"/>
  <c r="C17" i="1"/>
  <c r="C13" i="1"/>
  <c r="C16" i="1"/>
  <c r="C15" i="1"/>
  <c r="A5" i="1"/>
  <c r="A4" i="1"/>
  <c r="A3" i="1"/>
  <c r="A2" i="1"/>
</calcChain>
</file>

<file path=xl/sharedStrings.xml><?xml version="1.0" encoding="utf-8"?>
<sst xmlns="http://schemas.openxmlformats.org/spreadsheetml/2006/main" count="126" uniqueCount="100">
  <si>
    <t>Report Display</t>
  </si>
  <si>
    <t>GEUS and CBMS Appropriation Reconciliation Report</t>
  </si>
  <si>
    <t>Outcome :</t>
  </si>
  <si>
    <t>Appropriation Item</t>
  </si>
  <si>
    <t>Appropriation Type</t>
  </si>
  <si>
    <t>ID</t>
  </si>
  <si>
    <t>Movement Account</t>
  </si>
  <si>
    <t>Movement Account :</t>
  </si>
  <si>
    <t>Account</t>
  </si>
  <si>
    <t>Program</t>
  </si>
  <si>
    <t>Note : Highlight any Financial Values to View Adjustment</t>
  </si>
  <si>
    <t>Variance (CBMS - GEUS)</t>
  </si>
  <si>
    <t>CBMS Data</t>
  </si>
  <si>
    <t>GEUS Annual Estimates</t>
  </si>
  <si>
    <t>Account :</t>
  </si>
  <si>
    <t>Expand Approp Item :</t>
  </si>
  <si>
    <t xml:space="preserve">SPP : </t>
  </si>
  <si>
    <t>Expand Approp Type :</t>
  </si>
  <si>
    <t>Program :</t>
  </si>
  <si>
    <t>Expand Program :</t>
  </si>
  <si>
    <t>REPORT PARAMETERS</t>
  </si>
  <si>
    <t>Note : Report can be filtered to drill down to see specific account code using the Report Parameters.</t>
  </si>
  <si>
    <t>Appropriation Item :</t>
  </si>
  <si>
    <t xml:space="preserve">Reason : </t>
  </si>
  <si>
    <t>Jurisdiction :</t>
  </si>
  <si>
    <t xml:space="preserve">ID : </t>
  </si>
  <si>
    <t>Appropriation Type :</t>
  </si>
  <si>
    <t xml:space="preserve">Measure Code  : </t>
  </si>
  <si>
    <t>Homepage - Administration</t>
  </si>
  <si>
    <t>Function :</t>
  </si>
  <si>
    <t>Related Entity :</t>
  </si>
  <si>
    <t>{TM1FILTERBYLEVEL( {TM1SUBSETALL( [id] )}, 0)}</t>
  </si>
  <si>
    <t>{[id].[Total IDs]}</t>
  </si>
  <si>
    <t>ID MDX</t>
  </si>
  <si>
    <t>Approp Item MDX</t>
  </si>
  <si>
    <t>Approp MDX</t>
  </si>
  <si>
    <t>{TM1FILTERBYLEVEL( {TM1SUBSETALL( [movement account] )}, 0)}</t>
  </si>
  <si>
    <t>{[movement account].[sys_Meas Movement Account]}</t>
  </si>
  <si>
    <t>MA MDX</t>
  </si>
  <si>
    <t>Account MDX</t>
  </si>
  <si>
    <t>Prog MDX</t>
  </si>
  <si>
    <t>Slice View</t>
  </si>
  <si>
    <t>Active Form</t>
  </si>
  <si>
    <t>Admin Archive - CBMS GEUS Reconciliation Program Detail Report</t>
  </si>
  <si>
    <t>Admin Archive - CBMS GEUS Reconciliation Detail Report</t>
  </si>
  <si>
    <t>Admin Archive - CBMS GEUS Reconciliation</t>
  </si>
  <si>
    <t>Admin Archive - CBMS GEUS Reconciliation Summary Report</t>
  </si>
  <si>
    <t>Data Entry - View Adj 01 - Header Details</t>
  </si>
  <si>
    <t>Homepage - Reports</t>
  </si>
  <si>
    <t>Homepage - Annual Estimates</t>
  </si>
  <si>
    <t>Worksheet</t>
  </si>
  <si>
    <t>Database Variables</t>
  </si>
  <si>
    <t>headline scenario</t>
  </si>
  <si>
    <t>value</t>
  </si>
  <si>
    <t>archive scenario</t>
  </si>
  <si>
    <t>Slice View (sys_application)</t>
  </si>
  <si>
    <t>sys_clilent favourite application</t>
  </si>
  <si>
    <t>Client Preference</t>
  </si>
  <si>
    <t>geus hl year</t>
  </si>
  <si>
    <t>geus programme</t>
  </si>
  <si>
    <t>System Variables</t>
  </si>
  <si>
    <t>Current User</t>
  </si>
  <si>
    <t>geus adj</t>
  </si>
  <si>
    <t>geus scenario</t>
  </si>
  <si>
    <t>Index Change</t>
  </si>
  <si>
    <t>View</t>
  </si>
  <si>
    <t>Status :</t>
  </si>
  <si>
    <t>Headline Year :</t>
  </si>
  <si>
    <t>TM1 User</t>
  </si>
  <si>
    <t>}Clients</t>
  </si>
  <si>
    <t>dcceew_geus</t>
  </si>
  <si>
    <t>current</t>
  </si>
  <si>
    <t>Worksheet Name</t>
  </si>
  <si>
    <t>Adjustment - ID List</t>
  </si>
  <si>
    <t>}TM1_DefaultDisplayValue</t>
  </si>
  <si>
    <t>[End Format Range]</t>
  </si>
  <si>
    <t>[Begin Format Range]</t>
  </si>
  <si>
    <t>Workbook Name</t>
  </si>
  <si>
    <t>Application</t>
  </si>
  <si>
    <t>Current Workbook</t>
  </si>
  <si>
    <t>Homepage - Administration - RDS</t>
  </si>
  <si>
    <t>GEUS User Name</t>
  </si>
  <si>
    <t>CBMS</t>
  </si>
  <si>
    <t>Period</t>
  </si>
  <si>
    <t>Homepage - Under Construction</t>
  </si>
  <si>
    <t>Homepage - Home</t>
  </si>
  <si>
    <t>Database Name</t>
  </si>
  <si>
    <t>archive year</t>
  </si>
  <si>
    <t>headline year</t>
  </si>
  <si>
    <t>Admin Archive - CBMS GEUS Reconciliation Approp Report</t>
  </si>
  <si>
    <t>Homepage - Administration - Baseline</t>
  </si>
  <si>
    <t>CBMS RECO</t>
  </si>
  <si>
    <t>N</t>
  </si>
  <si>
    <t>Caption</t>
  </si>
  <si>
    <t>Workbook</t>
  </si>
  <si>
    <t>D</t>
  </si>
  <si>
    <t>Caption Name</t>
  </si>
  <si>
    <t>Variable measure</t>
  </si>
  <si>
    <t>importance</t>
  </si>
  <si>
    <t xml:space="preserve">DETAILED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</si>
</sst>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[Red]_(* \(#,##0\);_(* &quot;-&quot;??_);_(@_)"/>
    <numFmt numFmtId="165" formatCode="\+\ 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indent="1"/>
    </xf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0" borderId="0" xfId="0" applyFont="1" applyAlignment="1">
      <alignment horizontal="right" vertical="top" indent="1"/>
    </xf>
    <xf numFmtId="164" fontId="5" fillId="0" borderId="1" xfId="0" applyNumberFormat="1" applyFont="1" applyBorder="1"/>
    <xf numFmtId="164" fontId="5" fillId="4" borderId="1" xfId="0" applyNumberFormat="1" applyFont="1" applyFill="1" applyBorder="1"/>
    <xf numFmtId="164" fontId="6" fillId="5" borderId="1" xfId="0" applyNumberFormat="1" applyFont="1" applyFill="1" applyBorder="1"/>
    <xf numFmtId="164" fontId="5" fillId="5" borderId="1" xfId="0" applyNumberFormat="1" applyFont="1" applyFill="1" applyBorder="1"/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64" fontId="6" fillId="5" borderId="3" xfId="0" applyNumberFormat="1" applyFont="1" applyFill="1" applyBorder="1"/>
    <xf numFmtId="164" fontId="5" fillId="4" borderId="3" xfId="0" applyNumberFormat="1" applyFont="1" applyFill="1" applyBorder="1"/>
    <xf numFmtId="164" fontId="5" fillId="0" borderId="3" xfId="0" applyNumberFormat="1" applyFont="1" applyBorder="1"/>
    <xf numFmtId="0" fontId="3" fillId="0" borderId="1" xfId="0" applyFont="1" applyBorder="1" applyAlignment="1">
      <alignment horizontal="right" vertical="top" indent="1"/>
    </xf>
    <xf numFmtId="0" fontId="7" fillId="6" borderId="0" xfId="0" applyFont="1" applyFill="1" applyAlignment="1">
      <alignment horizontal="right" vertical="center"/>
    </xf>
    <xf numFmtId="0" fontId="6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2" fillId="6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7" fillId="6" borderId="0" xfId="0" applyFont="1" applyFill="1" applyAlignment="1">
      <alignment horizontal="left" vertical="center"/>
    </xf>
    <xf numFmtId="165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1"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55"/>
  <ax:ocxPr ax:name="_ExtentY" ax:value="423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ProgDetWB"/>
  <ax:ocxPr ax:name="TargetWorksheetName" ax:value="=TM1AdminArcCBMSRecoProgDe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11"/>
  <ax:ocxPr ax:name="_ExtentY" ax:value="423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Detail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DetWB"/>
  <ax:ocxPr ax:name="TargetWorksheetName" ax:value="=TM1AdminArcCBMSRecoRepDe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423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Adj01HeaderWB"/>
  <ax:ocxPr ax:name="TargetWorksheetName" ax:value="=TM1ViewAdj01HeaderWS"/>
  <ax:ocxPr ax:name="AutoTitles" ax:value="-1"/>
  <ax:ocxPr ax:name="ReplaceWindow" ax:value="-1"/>
  <ax:ocxPr ax:name="IsMappingFormula" ax:value="0"/>
  <ax:ocxPr ax:name="TargetTypes" ax:value="0"/>
  <ax:ocxPr ax:name="TargetObjects" ax:value="id"/>
  <ax:ocxPr ax:name="TargetSubsets" ax:value=""/>
  <ax:ocxPr ax:name="TargetAliases" ax:value=""/>
  <ax:ocxPr ax:name="TargetValues" ax:value=""/>
  <ax:ocxPr ax:name="SourceTypes" ax:value="1"/>
  <ax:ocxPr ax:name="SourceObjects" ax:value="id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55"/>
  <ax:ocxPr ax:name="_ExtentY" ax:value="423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WB"/>
  <ax:ocxPr ax:name="TargetWorksheetName" ax:value="=TM1AdminArcCBMSRecoRe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02"/>
  <ax:ocxPr ax:name="_ExtentY" ax:value="423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Upload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WB"/>
  <ax:ocxPr ax:name="TargetWorksheetName" ax:value="=TM1AdminArcCBMSReco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11"/>
  <ax:ocxPr ax:name="_ExtentY" ax:value="23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HomeAdminBaseCA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BaseWB"/>
  <ax:ocxPr ax:name="TargetWorksheetName" ax:value="=TM1HomeAdmin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35"/>
  <ax:ocxPr ax:name="_ExtentY" ax:value="238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HomeCAP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7.emf"/><Relationship Id="rId7" Type="http://schemas.openxmlformats.org/officeDocument/2006/relationships/image" Target="../media/image3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4.emf"/><Relationship Id="rId5" Type="http://schemas.openxmlformats.org/officeDocument/2006/relationships/image" Target="../media/image5.emf"/><Relationship Id="rId4" Type="http://schemas.openxmlformats.org/officeDocument/2006/relationships/image" Target="../media/image6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76</xdr:row>
      <xdr:rowOff>19050</xdr:rowOff>
    </xdr:from>
    <xdr:to>
      <xdr:col>9</xdr:col>
      <xdr:colOff>1790700</xdr:colOff>
      <xdr:row>76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2C41989-09C1-4520-A0A2-BFCD7151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38100" y="19050"/>
          <a:ext cx="1809750" cy="4572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78</xdr:row>
          <xdr:rowOff>0</xdr:rowOff>
        </xdr:from>
        <xdr:to>
          <xdr:col>12</xdr:col>
          <xdr:colOff>1714500</xdr:colOff>
          <xdr:row>78</xdr:row>
          <xdr:rowOff>247650</xdr:rowOff>
        </xdr:to>
        <xdr:sp macro="" textlink="">
          <xdr:nvSpPr>
            <xdr:cNvPr id="1239" name="TIButton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78</xdr:row>
          <xdr:rowOff>0</xdr:rowOff>
        </xdr:from>
        <xdr:to>
          <xdr:col>9</xdr:col>
          <xdr:colOff>676275</xdr:colOff>
          <xdr:row>78</xdr:row>
          <xdr:rowOff>247650</xdr:rowOff>
        </xdr:to>
        <xdr:sp macro="" textlink="">
          <xdr:nvSpPr>
            <xdr:cNvPr id="1240" name="TIButton3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78</xdr:row>
          <xdr:rowOff>0</xdr:rowOff>
        </xdr:from>
        <xdr:to>
          <xdr:col>9</xdr:col>
          <xdr:colOff>1838325</xdr:colOff>
          <xdr:row>78</xdr:row>
          <xdr:rowOff>247650</xdr:rowOff>
        </xdr:to>
        <xdr:sp macro="" textlink="">
          <xdr:nvSpPr>
            <xdr:cNvPr id="1241" name="TIButton2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78</xdr:row>
          <xdr:rowOff>0</xdr:rowOff>
        </xdr:from>
        <xdr:to>
          <xdr:col>10</xdr:col>
          <xdr:colOff>304800</xdr:colOff>
          <xdr:row>78</xdr:row>
          <xdr:rowOff>247650</xdr:rowOff>
        </xdr:to>
        <xdr:sp macro="" textlink="">
          <xdr:nvSpPr>
            <xdr:cNvPr id="1242" name="TIButton4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323850</xdr:colOff>
          <xdr:row>78</xdr:row>
          <xdr:rowOff>0</xdr:rowOff>
        </xdr:from>
        <xdr:to>
          <xdr:col>10</xdr:col>
          <xdr:colOff>1695450</xdr:colOff>
          <xdr:row>78</xdr:row>
          <xdr:rowOff>247650</xdr:rowOff>
        </xdr:to>
        <xdr:sp macro="" textlink="">
          <xdr:nvSpPr>
            <xdr:cNvPr id="1286" name="TIButton5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657225</xdr:colOff>
          <xdr:row>77</xdr:row>
          <xdr:rowOff>28575</xdr:rowOff>
        </xdr:from>
        <xdr:to>
          <xdr:col>20</xdr:col>
          <xdr:colOff>971550</xdr:colOff>
          <xdr:row>78</xdr:row>
          <xdr:rowOff>285750</xdr:rowOff>
        </xdr:to>
        <xdr:sp macro="" textlink="">
          <xdr:nvSpPr>
            <xdr:cNvPr id="1296" name="TIButton6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85725</xdr:colOff>
          <xdr:row>78</xdr:row>
          <xdr:rowOff>0</xdr:rowOff>
        </xdr:from>
        <xdr:to>
          <xdr:col>12</xdr:col>
          <xdr:colOff>809625</xdr:colOff>
          <xdr:row>78</xdr:row>
          <xdr:rowOff>247650</xdr:rowOff>
        </xdr:to>
        <xdr:sp macro="" textlink="">
          <xdr:nvSpPr>
            <xdr:cNvPr id="1298" name="TIButton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1724025</xdr:colOff>
          <xdr:row>78</xdr:row>
          <xdr:rowOff>0</xdr:rowOff>
        </xdr:from>
        <xdr:to>
          <xdr:col>11</xdr:col>
          <xdr:colOff>514350</xdr:colOff>
          <xdr:row>78</xdr:row>
          <xdr:rowOff>247650</xdr:rowOff>
        </xdr:to>
        <xdr:sp macro="" textlink="">
          <xdr:nvSpPr>
            <xdr:cNvPr id="1299" name="TIButton8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542925</xdr:colOff>
          <xdr:row>78</xdr:row>
          <xdr:rowOff>0</xdr:rowOff>
        </xdr:from>
        <xdr:to>
          <xdr:col>12</xdr:col>
          <xdr:colOff>47625</xdr:colOff>
          <xdr:row>78</xdr:row>
          <xdr:rowOff>247650</xdr:rowOff>
        </xdr:to>
        <xdr:sp macro="" textlink="">
          <xdr:nvSpPr>
            <xdr:cNvPr id="1300" name="TIButton9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8F47-CA30-4E79-A324-16ACD7DBDF05}">
  <sheetPr codeName="Sheet1">
    <pageSetUpPr fitToPage="1"/>
  </sheetPr>
  <dimension ref="A1:AI100"/>
  <sheetViews>
    <sheetView showGridLines="0" tabSelected="1" showOutlineSymbols="0" topLeftCell="I77" workbookViewId="0">
      <pane xSplit="5" ySplit="23" topLeftCell="N100" activePane="bottomRight" state="frozen"/>
      <selection activeCell="I77" sqref="I77"/>
      <selection pane="topRight" activeCell="N77" sqref="N77"/>
      <selection pane="bottomLeft" activeCell="I100" sqref="I100"/>
      <selection pane="bottomRight"/>
    </sheetView>
  </sheetViews>
  <sheetFormatPr defaultRowHeight="15" outlineLevelRow="1" outlineLevelCol="1" x14ac:dyDescent="0.25"/>
  <cols>
    <col min="1" max="1" width="2.7109375" hidden="1" customWidth="1" outlineLevel="1"/>
    <col min="2" max="2" width="43.85546875" hidden="1" customWidth="1" outlineLevel="1"/>
    <col min="3" max="8" width="20.28515625" hidden="1" customWidth="1" outlineLevel="1"/>
    <col min="9" max="9" width="0.85546875" customWidth="1" collapsed="1"/>
    <col min="10" max="11" width="35.7109375" customWidth="1"/>
    <col min="12" max="12" width="28" customWidth="1"/>
    <col min="13" max="13" width="28.7109375" customWidth="1"/>
    <col min="14" max="14" width="35.7109375" customWidth="1"/>
    <col min="15" max="15" width="10.7109375" customWidth="1"/>
    <col min="16" max="21" width="14.7109375" customWidth="1"/>
    <col min="22" max="22" width="0.85546875" customWidth="1"/>
    <col min="23" max="28" width="14.7109375" customWidth="1"/>
    <col min="29" max="29" width="0.85546875" customWidth="1"/>
    <col min="30" max="35" width="14.7109375" customWidth="1"/>
  </cols>
  <sheetData>
    <row r="1" spans="1:35" ht="15" hidden="1" customHeight="1" outlineLevel="1" x14ac:dyDescent="0.25">
      <c r="A1" t="s">
        <v>76</v>
      </c>
      <c r="B1" t="str">
        <f>_xll.VIEW((db_name&amp;":AE adjustments"),$P$85,"!",$P$87,$C$72,$C$63,$C$64,$C$70,$C$69,$C$65,$C$66,$C$73,$P$91,$P$86,"!",$C$67,$C$68,"!")</f>
        <v>dcceew_geus:AE adjustments</v>
      </c>
    </row>
    <row r="2" spans="1:35" ht="15" hidden="1" customHeight="1" outlineLevel="1" x14ac:dyDescent="0.25">
      <c r="A2">
        <f>0</f>
        <v>0</v>
      </c>
      <c r="J2" s="36"/>
      <c r="K2" s="36"/>
      <c r="L2" s="36"/>
      <c r="M2" s="36"/>
      <c r="N2" s="36"/>
      <c r="O2" s="31"/>
      <c r="P2" s="22"/>
      <c r="Q2" s="22"/>
      <c r="R2" s="22"/>
      <c r="S2" s="22"/>
      <c r="T2" s="22"/>
      <c r="U2" s="22"/>
      <c r="V2" s="26"/>
      <c r="W2" s="22"/>
      <c r="X2" s="22"/>
      <c r="Y2" s="22"/>
      <c r="Z2" s="22"/>
      <c r="AA2" s="22"/>
      <c r="AB2" s="22"/>
      <c r="AC2" s="26"/>
      <c r="AD2" s="22"/>
      <c r="AE2" s="22"/>
      <c r="AF2" s="22"/>
      <c r="AG2" s="22"/>
      <c r="AH2" s="22"/>
      <c r="AI2" s="22"/>
    </row>
    <row r="3" spans="1:35" ht="15" hidden="1" customHeight="1" outlineLevel="1" x14ac:dyDescent="0.25">
      <c r="A3">
        <f>1</f>
        <v>1</v>
      </c>
      <c r="J3" s="36"/>
      <c r="K3" s="36"/>
      <c r="L3" s="36"/>
      <c r="M3" s="36"/>
      <c r="N3" s="36"/>
      <c r="O3" s="31"/>
      <c r="P3" s="22"/>
      <c r="Q3" s="22"/>
      <c r="R3" s="22"/>
      <c r="S3" s="22"/>
      <c r="T3" s="22"/>
      <c r="U3" s="22"/>
      <c r="V3" s="26"/>
      <c r="W3" s="22"/>
      <c r="X3" s="22"/>
      <c r="Y3" s="22"/>
      <c r="Z3" s="22"/>
      <c r="AA3" s="22"/>
      <c r="AB3" s="22"/>
      <c r="AC3" s="26"/>
      <c r="AD3" s="22"/>
      <c r="AE3" s="22"/>
      <c r="AF3" s="22"/>
      <c r="AG3" s="22"/>
      <c r="AH3" s="22"/>
      <c r="AI3" s="22"/>
    </row>
    <row r="4" spans="1:35" ht="15" hidden="1" customHeight="1" outlineLevel="1" x14ac:dyDescent="0.25">
      <c r="A4">
        <f>2</f>
        <v>2</v>
      </c>
      <c r="J4" s="36"/>
      <c r="K4" s="36"/>
      <c r="L4" s="36"/>
      <c r="M4" s="36"/>
      <c r="N4" s="36"/>
      <c r="O4" s="31"/>
      <c r="P4" s="22"/>
      <c r="Q4" s="22"/>
      <c r="R4" s="22"/>
      <c r="S4" s="22"/>
      <c r="T4" s="22"/>
      <c r="U4" s="22"/>
      <c r="V4" s="26"/>
      <c r="W4" s="22"/>
      <c r="X4" s="22"/>
      <c r="Y4" s="22"/>
      <c r="Z4" s="22"/>
      <c r="AA4" s="22"/>
      <c r="AB4" s="22"/>
      <c r="AC4" s="26"/>
      <c r="AD4" s="22"/>
      <c r="AE4" s="22"/>
      <c r="AF4" s="22"/>
      <c r="AG4" s="22"/>
      <c r="AH4" s="22"/>
      <c r="AI4" s="22"/>
    </row>
    <row r="5" spans="1:35" ht="15" hidden="1" customHeight="1" outlineLevel="1" x14ac:dyDescent="0.25">
      <c r="A5">
        <f>3</f>
        <v>3</v>
      </c>
      <c r="J5" s="36"/>
      <c r="K5" s="36"/>
      <c r="L5" s="36"/>
      <c r="M5" s="36"/>
      <c r="N5" s="36"/>
      <c r="O5" s="31"/>
      <c r="P5" s="22"/>
      <c r="Q5" s="22"/>
      <c r="R5" s="22"/>
      <c r="S5" s="22"/>
      <c r="T5" s="22"/>
      <c r="U5" s="22"/>
      <c r="V5" s="26"/>
      <c r="W5" s="22"/>
      <c r="X5" s="22"/>
      <c r="Y5" s="22"/>
      <c r="Z5" s="22"/>
      <c r="AA5" s="22"/>
      <c r="AB5" s="22"/>
      <c r="AC5" s="26"/>
      <c r="AD5" s="22"/>
      <c r="AE5" s="22"/>
      <c r="AF5" s="22"/>
      <c r="AG5" s="22"/>
      <c r="AH5" s="22"/>
      <c r="AI5" s="22"/>
    </row>
    <row r="6" spans="1:35" ht="15" hidden="1" customHeight="1" outlineLevel="1" x14ac:dyDescent="0.25">
      <c r="A6" t="s">
        <v>95</v>
      </c>
      <c r="J6" s="37"/>
      <c r="K6" s="37"/>
      <c r="L6" s="37"/>
      <c r="M6" s="37"/>
      <c r="N6" s="37"/>
      <c r="O6" s="32"/>
      <c r="P6" s="21"/>
      <c r="Q6" s="21"/>
      <c r="R6" s="21"/>
      <c r="S6" s="21"/>
      <c r="T6" s="21"/>
      <c r="U6" s="21"/>
      <c r="V6" s="27"/>
      <c r="W6" s="21"/>
      <c r="X6" s="21"/>
      <c r="Y6" s="21"/>
      <c r="Z6" s="21"/>
      <c r="AA6" s="21"/>
      <c r="AB6" s="21"/>
      <c r="AC6" s="27"/>
      <c r="AD6" s="21"/>
      <c r="AE6" s="21"/>
      <c r="AF6" s="21"/>
      <c r="AG6" s="21"/>
      <c r="AH6" s="21"/>
      <c r="AI6" s="21"/>
    </row>
    <row r="7" spans="1:35" ht="15" hidden="1" customHeight="1" outlineLevel="1" x14ac:dyDescent="0.25">
      <c r="A7" t="s">
        <v>92</v>
      </c>
      <c r="J7" s="38"/>
      <c r="K7" s="38"/>
      <c r="L7" s="38"/>
      <c r="M7" s="38"/>
      <c r="N7" s="38"/>
      <c r="O7" s="33"/>
      <c r="P7" s="20"/>
      <c r="Q7" s="20"/>
      <c r="R7" s="20"/>
      <c r="S7" s="20"/>
      <c r="T7" s="20"/>
      <c r="U7" s="20"/>
      <c r="V7" s="28"/>
      <c r="W7" s="20"/>
      <c r="X7" s="20"/>
      <c r="Y7" s="20"/>
      <c r="Z7" s="20"/>
      <c r="AA7" s="20"/>
      <c r="AB7" s="20"/>
      <c r="AC7" s="28"/>
      <c r="AD7" s="20"/>
      <c r="AE7" s="20"/>
      <c r="AF7" s="20"/>
      <c r="AG7" s="20"/>
      <c r="AH7" s="20"/>
      <c r="AI7" s="20"/>
    </row>
    <row r="8" spans="1:35" ht="15" hidden="1" customHeight="1" outlineLevel="1" x14ac:dyDescent="0.25">
      <c r="A8" t="s">
        <v>75</v>
      </c>
    </row>
    <row r="9" spans="1:35" ht="15" hidden="1" customHeight="1" outlineLevel="1" x14ac:dyDescent="0.25"/>
    <row r="10" spans="1:35" ht="15" hidden="1" customHeight="1" outlineLevel="1" x14ac:dyDescent="0.25"/>
    <row r="11" spans="1:35" ht="15" hidden="1" customHeight="1" outlineLevel="1" x14ac:dyDescent="0.25">
      <c r="B11" s="3" t="s">
        <v>51</v>
      </c>
      <c r="C11" s="2"/>
      <c r="D11" s="1"/>
    </row>
    <row r="12" spans="1:35" ht="15" hidden="1" customHeight="1" outlineLevel="1" x14ac:dyDescent="0.25">
      <c r="B12" s="12" t="s">
        <v>86</v>
      </c>
      <c r="C12" s="13" t="s">
        <v>70</v>
      </c>
      <c r="D12" s="14"/>
    </row>
    <row r="13" spans="1:35" ht="15" hidden="1" customHeight="1" outlineLevel="1" x14ac:dyDescent="0.25">
      <c r="B13" s="12" t="s">
        <v>69</v>
      </c>
      <c r="C13" s="15" t="str">
        <f>_xll.VIEW((db_name&amp;":}ElementAttributes_}Clients"),"!","!")</f>
        <v>dcceew_geus:}ElementAttributes_}Clients</v>
      </c>
      <c r="D13" s="14"/>
    </row>
    <row r="14" spans="1:35" ht="15" hidden="1" customHeight="1" outlineLevel="1" x14ac:dyDescent="0.25">
      <c r="B14" s="12" t="s">
        <v>68</v>
      </c>
      <c r="C14" s="13" t="str">
        <f>_xll.TM1USER(db_name)</f>
        <v>CAMID("pans:u:kgimena@excelerated.com.au")</v>
      </c>
      <c r="D14" s="14"/>
    </row>
    <row r="15" spans="1:35" ht="15" hidden="1" customHeight="1" outlineLevel="1" x14ac:dyDescent="0.25">
      <c r="B15" s="12" t="s">
        <v>74</v>
      </c>
      <c r="C15" s="13" t="str">
        <f>_xll.DBR($C$13,$C$14,$B15)</f>
        <v>Business Analytics/Khristian Gimena</v>
      </c>
      <c r="D15" s="14"/>
    </row>
    <row r="16" spans="1:35" ht="15" hidden="1" customHeight="1" outlineLevel="1" x14ac:dyDescent="0.25">
      <c r="B16" s="12" t="s">
        <v>81</v>
      </c>
      <c r="C16" s="13" t="str">
        <f>_xll.DBR($C$13,$C$14,$B16)</f>
        <v>Khristian Gimena</v>
      </c>
      <c r="D16" s="14"/>
    </row>
    <row r="17" spans="2:35" ht="15" hidden="1" customHeight="1" outlineLevel="1" x14ac:dyDescent="0.25">
      <c r="B17" s="12" t="s">
        <v>61</v>
      </c>
      <c r="C17" s="13" t="str">
        <f>IF((LEFT($C$14,6)="CAM_AD"),$C$15,$C$14)</f>
        <v>CAMID("pans:u:kgimena@excelerated.com.au")</v>
      </c>
      <c r="D17" s="16"/>
    </row>
    <row r="18" spans="2:35" ht="15" hidden="1" customHeight="1" outlineLevel="1" x14ac:dyDescent="0.25"/>
    <row r="19" spans="2:35" ht="15" hidden="1" customHeight="1" outlineLevel="1" x14ac:dyDescent="0.25">
      <c r="B19" s="3" t="s">
        <v>60</v>
      </c>
      <c r="C19" s="2"/>
      <c r="D19" s="1"/>
      <c r="J19" s="16" t="str">
        <f>RIGHT(psHLYear,9)</f>
        <v>2025-2026</v>
      </c>
    </row>
    <row r="20" spans="2:35" ht="15" hidden="1" customHeight="1" outlineLevel="1" x14ac:dyDescent="0.25">
      <c r="B20" s="12" t="s">
        <v>65</v>
      </c>
      <c r="C20" s="16" t="str">
        <f>_xll.VIEW((db_name&amp;":}ElementAttributes_variables"),"!","!")</f>
        <v>dcceew_geus:}ElementAttributes_variables</v>
      </c>
      <c r="D20" s="16"/>
      <c r="J20" s="16" t="s">
        <v>64</v>
      </c>
      <c r="K20" s="16"/>
      <c r="L20" s="16"/>
      <c r="M20" s="16"/>
      <c r="N20" s="16"/>
      <c r="O20" s="16"/>
      <c r="P20" s="16">
        <v>-2</v>
      </c>
      <c r="Q20" s="16">
        <v>-1</v>
      </c>
      <c r="R20" s="16">
        <v>0</v>
      </c>
      <c r="S20" s="16">
        <v>1</v>
      </c>
      <c r="T20" s="16">
        <v>2</v>
      </c>
      <c r="U20" s="16">
        <v>3</v>
      </c>
      <c r="V20" s="16"/>
      <c r="W20" s="16">
        <v>-2</v>
      </c>
      <c r="X20" s="16">
        <v>-1</v>
      </c>
      <c r="Y20" s="16">
        <v>0</v>
      </c>
      <c r="Z20" s="16">
        <v>1</v>
      </c>
      <c r="AA20" s="16">
        <v>2</v>
      </c>
      <c r="AB20" s="16">
        <v>3</v>
      </c>
      <c r="AC20" s="16"/>
      <c r="AD20" s="16">
        <v>-2</v>
      </c>
      <c r="AE20" s="16">
        <v>-1</v>
      </c>
      <c r="AF20" s="16">
        <v>0</v>
      </c>
      <c r="AG20" s="16">
        <v>1</v>
      </c>
      <c r="AH20" s="16">
        <v>2</v>
      </c>
      <c r="AI20" s="16">
        <v>3</v>
      </c>
    </row>
    <row r="21" spans="2:35" ht="15" hidden="1" customHeight="1" outlineLevel="1" x14ac:dyDescent="0.25">
      <c r="B21" s="12" t="s">
        <v>97</v>
      </c>
      <c r="C21" s="16" t="s">
        <v>53</v>
      </c>
      <c r="D21" s="16" t="s">
        <v>98</v>
      </c>
      <c r="J21" t="s">
        <v>83</v>
      </c>
      <c r="P21" s="16" t="str">
        <f>_xll.DIMNM((db_name&amp;":period"),(_xll.DIMIX((db_name&amp;":period"),$J$19)+P20))</f>
        <v>2023-2024</v>
      </c>
      <c r="Q21" s="16" t="str">
        <f>_xll.DIMNM((db_name&amp;":period"),(_xll.DIMIX((db_name&amp;":period"),$J$19)+Q20))</f>
        <v>2024-2025</v>
      </c>
      <c r="R21" s="16" t="str">
        <f>_xll.DIMNM((db_name&amp;":period"),(_xll.DIMIX((db_name&amp;":period"),$J$19)+R20))</f>
        <v>2025-2026</v>
      </c>
      <c r="S21" s="16" t="str">
        <f>_xll.DIMNM((db_name&amp;":period"),(_xll.DIMIX((db_name&amp;":period"),$J$19)+S20))</f>
        <v>2026-2027</v>
      </c>
      <c r="T21" s="16" t="str">
        <f>_xll.DIMNM((db_name&amp;":period"),(_xll.DIMIX((db_name&amp;":period"),$J$19)+T20))</f>
        <v>2027-2028</v>
      </c>
      <c r="U21" s="16" t="str">
        <f>_xll.DIMNM((db_name&amp;":period"),(_xll.DIMIX((db_name&amp;":period"),$J$19)+U20))</f>
        <v>2028-2029</v>
      </c>
      <c r="V21" s="16"/>
      <c r="W21" s="16" t="str">
        <f>_xll.DIMNM((db_name&amp;":period"),(_xll.DIMIX((db_name&amp;":period"),$J$19)+W20))</f>
        <v>2023-2024</v>
      </c>
      <c r="X21" s="16" t="str">
        <f>_xll.DIMNM((db_name&amp;":period"),(_xll.DIMIX((db_name&amp;":period"),$J$19)+X20))</f>
        <v>2024-2025</v>
      </c>
      <c r="Y21" s="16" t="str">
        <f>_xll.DIMNM((db_name&amp;":period"),(_xll.DIMIX((db_name&amp;":period"),$J$19)+Y20))</f>
        <v>2025-2026</v>
      </c>
      <c r="Z21" s="16" t="str">
        <f>_xll.DIMNM((db_name&amp;":period"),(_xll.DIMIX((db_name&amp;":period"),$J$19)+Z20))</f>
        <v>2026-2027</v>
      </c>
      <c r="AA21" s="16" t="str">
        <f>_xll.DIMNM((db_name&amp;":period"),(_xll.DIMIX((db_name&amp;":period"),$J$19)+AA20))</f>
        <v>2027-2028</v>
      </c>
      <c r="AB21" s="16" t="str">
        <f>_xll.DIMNM((db_name&amp;":period"),(_xll.DIMIX((db_name&amp;":period"),$J$19)+AB20))</f>
        <v>2028-2029</v>
      </c>
      <c r="AC21" s="16"/>
      <c r="AD21" s="16" t="str">
        <f>_xll.DIMNM((db_name&amp;":period"),(_xll.DIMIX((db_name&amp;":period"),$J$19)+AD20))</f>
        <v>2023-2024</v>
      </c>
      <c r="AE21" s="16" t="str">
        <f>_xll.DIMNM((db_name&amp;":period"),(_xll.DIMIX((db_name&amp;":period"),$J$19)+AE20))</f>
        <v>2024-2025</v>
      </c>
      <c r="AF21" s="16" t="str">
        <f>_xll.DIMNM((db_name&amp;":period"),(_xll.DIMIX((db_name&amp;":period"),$J$19)+AF20))</f>
        <v>2025-2026</v>
      </c>
      <c r="AG21" s="16" t="str">
        <f>_xll.DIMNM((db_name&amp;":period"),(_xll.DIMIX((db_name&amp;":period"),$J$19)+AG20))</f>
        <v>2026-2027</v>
      </c>
      <c r="AH21" s="16" t="str">
        <f>_xll.DIMNM((db_name&amp;":period"),(_xll.DIMIX((db_name&amp;":period"),$J$19)+AH20))</f>
        <v>2027-2028</v>
      </c>
      <c r="AI21" s="16" t="str">
        <f>_xll.DIMNM((db_name&amp;":period"),(_xll.DIMIX((db_name&amp;":period"),$J$19)+AI20))</f>
        <v>2028-2029</v>
      </c>
    </row>
    <row r="22" spans="2:35" ht="15" hidden="1" customHeight="1" outlineLevel="1" x14ac:dyDescent="0.25">
      <c r="B22" s="12" t="s">
        <v>88</v>
      </c>
      <c r="C22" s="16" t="str">
        <f>_xll.DBR($C$20,$B22,"value")</f>
        <v>HL2025-2026</v>
      </c>
      <c r="D22" s="16"/>
    </row>
    <row r="23" spans="2:35" ht="15" hidden="1" customHeight="1" outlineLevel="1" x14ac:dyDescent="0.25">
      <c r="B23" s="12" t="s">
        <v>52</v>
      </c>
      <c r="C23" s="16" t="str">
        <f>_xll.DBR($C$20,$B23,"value")</f>
        <v>current</v>
      </c>
      <c r="D23" s="16"/>
    </row>
    <row r="24" spans="2:35" ht="15" hidden="1" customHeight="1" outlineLevel="1" x14ac:dyDescent="0.25">
      <c r="B24" s="12" t="s">
        <v>87</v>
      </c>
      <c r="C24" s="16" t="str">
        <f>_xll.DBR($C$20,$B24,"value")</f>
        <v>HL2025-2026</v>
      </c>
      <c r="D24" s="16"/>
      <c r="P24" s="11" t="s">
        <v>71</v>
      </c>
      <c r="Q24" s="11" t="s">
        <v>71</v>
      </c>
      <c r="R24" s="11" t="s">
        <v>71</v>
      </c>
      <c r="S24" s="11" t="s">
        <v>71</v>
      </c>
      <c r="T24" s="11" t="s">
        <v>71</v>
      </c>
      <c r="U24" s="11" t="s">
        <v>71</v>
      </c>
      <c r="V24" s="11"/>
      <c r="W24" s="11" t="s">
        <v>82</v>
      </c>
      <c r="X24" s="11" t="s">
        <v>82</v>
      </c>
      <c r="Y24" s="11" t="s">
        <v>82</v>
      </c>
      <c r="Z24" s="11" t="s">
        <v>82</v>
      </c>
      <c r="AA24" s="11" t="s">
        <v>82</v>
      </c>
      <c r="AB24" s="11" t="s">
        <v>82</v>
      </c>
      <c r="AC24" s="11"/>
      <c r="AD24" s="11" t="s">
        <v>91</v>
      </c>
      <c r="AE24" s="11" t="s">
        <v>91</v>
      </c>
      <c r="AF24" s="11" t="s">
        <v>91</v>
      </c>
      <c r="AG24" s="11" t="s">
        <v>91</v>
      </c>
      <c r="AH24" s="11" t="s">
        <v>91</v>
      </c>
      <c r="AI24" s="11" t="s">
        <v>91</v>
      </c>
    </row>
    <row r="25" spans="2:35" ht="15" hidden="1" customHeight="1" outlineLevel="1" x14ac:dyDescent="0.25">
      <c r="B25" s="12" t="s">
        <v>54</v>
      </c>
      <c r="C25" s="16" t="str">
        <f>_xll.DBR($C$20,$B25,"value")</f>
        <v>MYEFO</v>
      </c>
      <c r="D25" s="16"/>
    </row>
    <row r="26" spans="2:35" ht="15" hidden="1" customHeight="1" outlineLevel="1" x14ac:dyDescent="0.25"/>
    <row r="27" spans="2:35" ht="15" hidden="1" customHeight="1" outlineLevel="1" x14ac:dyDescent="0.25">
      <c r="B27" s="3" t="s">
        <v>57</v>
      </c>
      <c r="C27" s="2"/>
      <c r="D27" s="1"/>
    </row>
    <row r="28" spans="2:35" ht="15" hidden="1" customHeight="1" outlineLevel="1" x14ac:dyDescent="0.25">
      <c r="B28" s="12" t="s">
        <v>65</v>
      </c>
      <c r="C28" s="16" t="str">
        <f>_xll.VIEW((db_name&amp;":sys_client preference"),"!","!","!")</f>
        <v>dcceew_geus:sys_client preference</v>
      </c>
      <c r="D28" s="16"/>
    </row>
    <row r="29" spans="2:35" ht="15" hidden="1" customHeight="1" outlineLevel="1" x14ac:dyDescent="0.25">
      <c r="B29" s="12" t="s">
        <v>58</v>
      </c>
      <c r="C29" s="16" t="str">
        <f>_xll.DBR(C$28,psUser,$B29,"value")</f>
        <v>HL2025-2026</v>
      </c>
      <c r="D29" s="16"/>
    </row>
    <row r="30" spans="2:35" ht="15" hidden="1" customHeight="1" outlineLevel="1" x14ac:dyDescent="0.25">
      <c r="B30" s="12" t="s">
        <v>63</v>
      </c>
      <c r="C30" s="16" t="str">
        <f>_xll.DBR(C$28,psUser,$B30,"value")</f>
        <v>current</v>
      </c>
      <c r="D30" s="16"/>
    </row>
    <row r="31" spans="2:35" ht="15" hidden="1" customHeight="1" outlineLevel="1" x14ac:dyDescent="0.25">
      <c r="B31" s="12" t="s">
        <v>62</v>
      </c>
      <c r="C31" s="16" t="str">
        <f>_xll.DBR(C$28,psUser,$B31,"value")</f>
        <v>00021</v>
      </c>
      <c r="D31" s="16"/>
    </row>
    <row r="32" spans="2:35" ht="15" hidden="1" customHeight="1" outlineLevel="1" x14ac:dyDescent="0.25">
      <c r="B32" s="12" t="s">
        <v>59</v>
      </c>
      <c r="C32" s="16" t="str">
        <f>_xll.DBR(C$28,psUser,$B32,"value")</f>
        <v/>
      </c>
      <c r="D32" s="16"/>
    </row>
    <row r="33" spans="2:8" ht="15" hidden="1" customHeight="1" outlineLevel="1" x14ac:dyDescent="0.25"/>
    <row r="34" spans="2:8" ht="15" hidden="1" customHeight="1" outlineLevel="1" x14ac:dyDescent="0.25">
      <c r="B34" s="3" t="s">
        <v>56</v>
      </c>
      <c r="C34" s="2"/>
      <c r="D34" s="1"/>
    </row>
    <row r="35" spans="2:8" ht="15" hidden="1" customHeight="1" outlineLevel="1" x14ac:dyDescent="0.25">
      <c r="B35" s="16" t="s">
        <v>55</v>
      </c>
      <c r="C35" s="16" t="str">
        <f>_xll.VIEW((db_name&amp;":sys_Application"),"!","!")</f>
        <v>dcceew_geus:sys_Application</v>
      </c>
      <c r="D35" s="16"/>
    </row>
    <row r="36" spans="2:8" ht="15" hidden="1" customHeight="1" outlineLevel="1" x14ac:dyDescent="0.25">
      <c r="B36" s="12" t="s">
        <v>79</v>
      </c>
      <c r="C36" s="16" t="s">
        <v>89</v>
      </c>
    </row>
    <row r="37" spans="2:8" ht="15" hidden="1" customHeight="1" outlineLevel="1" x14ac:dyDescent="0.25">
      <c r="B37" s="17" t="s">
        <v>78</v>
      </c>
      <c r="C37" s="18" t="s">
        <v>96</v>
      </c>
      <c r="D37" s="18" t="s">
        <v>93</v>
      </c>
      <c r="E37" s="18" t="s">
        <v>77</v>
      </c>
      <c r="F37" s="18" t="s">
        <v>94</v>
      </c>
      <c r="G37" s="18" t="s">
        <v>72</v>
      </c>
      <c r="H37" s="18" t="s">
        <v>50</v>
      </c>
    </row>
    <row r="38" spans="2:8" ht="15" hidden="1" customHeight="1" outlineLevel="1" x14ac:dyDescent="0.25">
      <c r="B38" s="16" t="s">
        <v>85</v>
      </c>
      <c r="C38" s="16" t="str">
        <f>_xll.DBR($C$35,$B38,C$37)</f>
        <v>TM1HomeCAP</v>
      </c>
      <c r="D38" s="16" t="str">
        <f>_xll.DBR($C$35,$B38,D$37)</f>
        <v>Home</v>
      </c>
      <c r="E38" s="16" t="str">
        <f>_xll.DBR($C$35,$B38,E$37)</f>
        <v>TM1HomeWB</v>
      </c>
      <c r="F38" s="16" t="str">
        <f>_xll.DBR($C$35,$B38,F$37)</f>
        <v>PRIMUS\GEUS WEB\Homepage\sys_Home.xlsx</v>
      </c>
      <c r="G38" s="16" t="str">
        <f>_xll.DBR($C$35,$B38,G$37)</f>
        <v>TM1HomeWS</v>
      </c>
      <c r="H38" s="16" t="str">
        <f>_xll.DBR($C$35,$B38,H$37)</f>
        <v>home</v>
      </c>
    </row>
    <row r="39" spans="2:8" ht="15" hidden="1" customHeight="1" outlineLevel="1" x14ac:dyDescent="0.25">
      <c r="B39" s="16" t="s">
        <v>49</v>
      </c>
      <c r="C39" s="16" t="str">
        <f>_xll.DBR($C$35,$B39,C$37)</f>
        <v>TM1HomeAECAP</v>
      </c>
      <c r="D39" s="16" t="str">
        <f>_xll.DBR($C$35,$B39,D$37)</f>
        <v>Annual Estimates</v>
      </c>
      <c r="E39" s="16" t="str">
        <f>_xll.DBR($C$35,$B39,E$37)</f>
        <v>TM1HomeAEWB</v>
      </c>
      <c r="F39" s="16" t="str">
        <f>_xll.DBR($C$35,$B39,F$37)</f>
        <v>PRIMUS\GEUS WEB\Homepage\sys_Home - Annual Estimates - Data Entry.xlsx</v>
      </c>
      <c r="G39" s="16" t="str">
        <f>_xll.DBR($C$35,$B39,G$37)</f>
        <v>TM1HomeAEWS</v>
      </c>
      <c r="H39" s="16" t="str">
        <f>_xll.DBR($C$35,$B39,H$37)</f>
        <v>Menu</v>
      </c>
    </row>
    <row r="40" spans="2:8" ht="15" hidden="1" customHeight="1" outlineLevel="1" x14ac:dyDescent="0.25">
      <c r="B40" s="16" t="s">
        <v>48</v>
      </c>
      <c r="C40" s="16" t="str">
        <f>_xll.DBR($C$35,$B40,C$37)</f>
        <v>TM1HomeRepCAP</v>
      </c>
      <c r="D40" s="16" t="str">
        <f>_xll.DBR($C$35,$B40,D$37)</f>
        <v>Reports</v>
      </c>
      <c r="E40" s="16" t="str">
        <f>_xll.DBR($C$35,$B40,E$37)</f>
        <v>TM1HomeRepWB</v>
      </c>
      <c r="F40" s="16" t="str">
        <f>_xll.DBR($C$35,$B40,F$37)</f>
        <v>PRIMUS\GEUS WEB\Homepage\sys_Home - Reports - PFS.xlsx</v>
      </c>
      <c r="G40" s="16" t="str">
        <f>_xll.DBR($C$35,$B40,G$37)</f>
        <v>TM1HomeRepWS</v>
      </c>
      <c r="H40" s="16" t="str">
        <f>_xll.DBR($C$35,$B40,H$37)</f>
        <v>Menu</v>
      </c>
    </row>
    <row r="41" spans="2:8" ht="15" hidden="1" customHeight="1" outlineLevel="1" x14ac:dyDescent="0.25">
      <c r="B41" s="16" t="s">
        <v>28</v>
      </c>
      <c r="C41" s="16" t="str">
        <f>_xll.DBR($C$35,$B41,C$37)</f>
        <v>TM1HomeAdminCAP</v>
      </c>
      <c r="D41" s="16" t="str">
        <f>_xll.DBR($C$35,$B41,D$37)</f>
        <v>Administration</v>
      </c>
      <c r="E41" s="16" t="str">
        <f>_xll.DBR($C$35,$B41,E$37)</f>
        <v>TM1HomeAdminWB</v>
      </c>
      <c r="F41" s="16" t="str">
        <f>_xll.DBR($C$35,$B41,F$37)</f>
        <v>PRIMUS\GEUS WEB\Homepage\sys_Home - Administration - GEUS Setup.xlsx</v>
      </c>
      <c r="G41" s="16" t="str">
        <f>_xll.DBR($C$35,$B41,G$37)</f>
        <v>TM1HomeAdminWS</v>
      </c>
      <c r="H41" s="16" t="str">
        <f>_xll.DBR($C$35,$B41,H$37)</f>
        <v>Menu</v>
      </c>
    </row>
    <row r="42" spans="2:8" ht="15" hidden="1" customHeight="1" outlineLevel="1" x14ac:dyDescent="0.25">
      <c r="B42" s="16" t="s">
        <v>80</v>
      </c>
      <c r="C42" s="16" t="str">
        <f>_xll.DBR($C$35,$B42,C$37)</f>
        <v>TM1HomeAdminRDSCAP</v>
      </c>
      <c r="D42" s="16" t="str">
        <f>_xll.DBR($C$35,$B42,D$37)</f>
        <v>Reference Data Set Menu</v>
      </c>
      <c r="E42" s="16" t="str">
        <f>_xll.DBR($C$35,$B42,E$37)</f>
        <v>TM1HomeAdminRDSWB</v>
      </c>
      <c r="F42" s="16" t="str">
        <f>_xll.DBR($C$35,$B42,F$37)</f>
        <v>PRIMUS\GEUS WEB\Homepage\sys_Home - Administration - RDS.xlsx</v>
      </c>
      <c r="G42" s="16" t="str">
        <f>_xll.DBR($C$35,$B42,G$37)</f>
        <v>TM1HomeAdminRDSWS</v>
      </c>
      <c r="H42" s="16" t="str">
        <f>_xll.DBR($C$35,$B42,H$37)</f>
        <v>Menu</v>
      </c>
    </row>
    <row r="43" spans="2:8" ht="15" hidden="1" customHeight="1" outlineLevel="1" x14ac:dyDescent="0.25">
      <c r="B43" s="16" t="s">
        <v>90</v>
      </c>
      <c r="C43" s="16" t="str">
        <f>_xll.DBR($C$35,$B43,C$37)</f>
        <v>TM1HomeAdminBaseCAP</v>
      </c>
      <c r="D43" s="16" t="str">
        <f>_xll.DBR($C$35,$B43,D$37)</f>
        <v>Baseline Menu</v>
      </c>
      <c r="E43" s="16" t="str">
        <f>_xll.DBR($C$35,$B43,E$37)</f>
        <v>TM1HomeAdminBaseWB</v>
      </c>
      <c r="F43" s="16" t="str">
        <f>_xll.DBR($C$35,$B43,F$37)</f>
        <v>PRIMUS\GEUS WEB\Homepage\sys_Home - Administration - Baseline.xlsx</v>
      </c>
      <c r="G43" s="16" t="str">
        <f>_xll.DBR($C$35,$B43,G$37)</f>
        <v>TM1HomeAdminBaseWS</v>
      </c>
      <c r="H43" s="16" t="str">
        <f>_xll.DBR($C$35,$B43,H$37)</f>
        <v>Menu</v>
      </c>
    </row>
    <row r="44" spans="2:8" ht="15" hidden="1" customHeight="1" outlineLevel="1" x14ac:dyDescent="0.25">
      <c r="B44" s="16" t="s">
        <v>84</v>
      </c>
      <c r="C44" s="16" t="str">
        <f>_xll.DBR($C$35,$B44,C$37)</f>
        <v>TM1HomeUnderCAP</v>
      </c>
      <c r="D44" s="16" t="str">
        <f>_xll.DBR($C$35,$B44,D$37)</f>
        <v>Under Construction</v>
      </c>
      <c r="E44" s="16" t="str">
        <f>_xll.DBR($C$35,$B44,E$37)</f>
        <v>TM1HomeUnderWB</v>
      </c>
      <c r="F44" s="16" t="str">
        <f>_xll.DBR($C$35,$B44,F$37)</f>
        <v>PRIMUS\GEUS WEB\Homepage\sys_Home - Under Construction.xlsx</v>
      </c>
      <c r="G44" s="16" t="str">
        <f>_xll.DBR($C$35,$B44,G$37)</f>
        <v>TM1HomeUnderWS</v>
      </c>
      <c r="H44" s="16" t="str">
        <f>_xll.DBR($C$35,$B44,H$37)</f>
        <v>under construction</v>
      </c>
    </row>
    <row r="45" spans="2:8" ht="15" hidden="1" customHeight="1" outlineLevel="1" x14ac:dyDescent="0.25">
      <c r="B45" s="16" t="s">
        <v>73</v>
      </c>
      <c r="C45" s="16" t="str">
        <f>_xll.DBR($C$35,$B45,C$37)</f>
        <v>TM1AdjIDListCAP</v>
      </c>
      <c r="D45" s="16" t="str">
        <f>_xll.DBR($C$35,$B45,D$37)</f>
        <v>Adj List</v>
      </c>
      <c r="E45" s="16" t="str">
        <f>_xll.DBR($C$35,$B45,E$37)</f>
        <v>TM1AdjIDListWB</v>
      </c>
      <c r="F45" s="16" t="str">
        <f>_xll.DBR($C$35,$B45,F$37)</f>
        <v>PRIMUS\GEUS WEB\Annual Estimates\Adjustment\adj_id list.xlsx</v>
      </c>
      <c r="G45" s="16" t="str">
        <f>_xll.DBR($C$35,$B45,G$37)</f>
        <v>TM1IDListWS</v>
      </c>
      <c r="H45" s="16" t="str">
        <f>_xll.DBR($C$35,$B45,H$37)</f>
        <v>ID List</v>
      </c>
    </row>
    <row r="46" spans="2:8" ht="15" hidden="1" customHeight="1" outlineLevel="1" x14ac:dyDescent="0.25">
      <c r="B46" s="16" t="s">
        <v>45</v>
      </c>
      <c r="C46" s="16" t="str">
        <f>_xll.DBR($C$35,$B46,C$37)</f>
        <v>TM1AdminArcCBMSRecoCAP</v>
      </c>
      <c r="D46" s="16" t="str">
        <f>_xll.DBR($C$35,$B46,D$37)</f>
        <v>Perform GEUS - CBMS Reconciliation</v>
      </c>
      <c r="E46" s="16" t="str">
        <f>_xll.DBR($C$35,$B46,E$37)</f>
        <v>TM1AdminArcCBMSRecoWB</v>
      </c>
      <c r="F46" s="16" t="str">
        <f>_xll.DBR($C$35,$B46,F$37)</f>
        <v>PRIMUS\GEUS WEB\Administration\Archive\sys_Admin - Archive - CBMS GEUS Reconciliation Upload.xlsx</v>
      </c>
      <c r="G46" s="16" t="str">
        <f>_xll.DBR($C$35,$B46,G$37)</f>
        <v>TM1AdminArcCBMSRecoRep</v>
      </c>
      <c r="H46" s="16" t="str">
        <f>_xll.DBR($C$35,$B46,H$37)</f>
        <v>reco</v>
      </c>
    </row>
    <row r="47" spans="2:8" ht="15" hidden="1" customHeight="1" outlineLevel="1" x14ac:dyDescent="0.25">
      <c r="B47" s="16" t="s">
        <v>46</v>
      </c>
      <c r="C47" s="16" t="str">
        <f>_xll.DBR($C$35,$B47,C$37)</f>
        <v>TM1AdminArcCBMSRecoRepCAP</v>
      </c>
      <c r="D47" s="16" t="str">
        <f>_xll.DBR($C$35,$B47,D$37)</f>
        <v>CBMS Reconciliation Summary Report</v>
      </c>
      <c r="E47" s="16" t="str">
        <f>_xll.DBR($C$35,$B47,E$37)</f>
        <v>TM1AdminArcCBMSRecoRepWB</v>
      </c>
      <c r="F47" s="16" t="str">
        <f>_xll.DBR($C$35,$B47,F$37)</f>
        <v>PRIMUS\GEUS WEB\Administration\Archive\sys_Admin - Archive - CBMS GEUS Reconciliation Summary.xlsx</v>
      </c>
      <c r="G47" s="16" t="str">
        <f>_xll.DBR($C$35,$B47,G$37)</f>
        <v>TM1AdminArcCBMSRecoRepWS</v>
      </c>
      <c r="H47" s="16" t="str">
        <f>_xll.DBR($C$35,$B47,H$37)</f>
        <v>reco</v>
      </c>
    </row>
    <row r="48" spans="2:8" ht="15" hidden="1" customHeight="1" outlineLevel="1" x14ac:dyDescent="0.25">
      <c r="B48" s="16" t="s">
        <v>44</v>
      </c>
      <c r="C48" s="16" t="str">
        <f>_xll.DBR($C$35,$B48,C$37)</f>
        <v>TM1AdminArcCBMSRecoRepDetCAP</v>
      </c>
      <c r="D48" s="16" t="str">
        <f>_xll.DBR($C$35,$B48,D$37)</f>
        <v>CBMS Reconciliation Detail Report</v>
      </c>
      <c r="E48" s="16" t="str">
        <f>_xll.DBR($C$35,$B48,E$37)</f>
        <v>TM1AdminArcCBMSRecoRepDetWB</v>
      </c>
      <c r="F48" s="16" t="str">
        <f>_xll.DBR($C$35,$B48,F$37)</f>
        <v>PRIMUS\GEUS WEB\Administration\Archive\sys_Admin - Archive - CBMS GEUS Reconciliation Detail.xlsx</v>
      </c>
      <c r="G48" s="16" t="str">
        <f>_xll.DBR($C$35,$B48,G$37)</f>
        <v>TM1AdminArcCBMSRecoRepDetWS</v>
      </c>
      <c r="H48" s="16" t="str">
        <f>_xll.DBR($C$35,$B48,H$37)</f>
        <v>reco</v>
      </c>
    </row>
    <row r="49" spans="2:8" ht="15" hidden="1" customHeight="1" outlineLevel="1" x14ac:dyDescent="0.25">
      <c r="B49" s="16" t="s">
        <v>43</v>
      </c>
      <c r="C49" s="16" t="str">
        <f>_xll.DBR($C$35,$B49,C$37)</f>
        <v>TM1AdminArcCBMSRecoProgDetCAP</v>
      </c>
      <c r="D49" s="16" t="str">
        <f>_xll.DBR($C$35,$B49,D$37)</f>
        <v>CBMS Reconciliation Program Detail Report</v>
      </c>
      <c r="E49" s="16" t="str">
        <f>_xll.DBR($C$35,$B49,E$37)</f>
        <v>TM1AdminArcCBMSRecoProgDetWB</v>
      </c>
      <c r="F49" s="16" t="str">
        <f>_xll.DBR($C$35,$B49,F$37)</f>
        <v>PRIMUS\GEUS WEB\Administration\Archive\sys_Admin - Archive - CBMS GEUS Reconciliation Program Detail.xlsx</v>
      </c>
      <c r="G49" s="16" t="str">
        <f>_xll.DBR($C$35,$B49,G$37)</f>
        <v>TM1AdminArcCBMSRecoProgDetWS</v>
      </c>
      <c r="H49" s="16" t="str">
        <f>_xll.DBR($C$35,$B49,H$37)</f>
        <v>reco</v>
      </c>
    </row>
    <row r="50" spans="2:8" ht="15" hidden="1" customHeight="1" outlineLevel="1" x14ac:dyDescent="0.25">
      <c r="B50" s="16" t="s">
        <v>89</v>
      </c>
      <c r="C50" s="16" t="str">
        <f>_xll.DBR($C$35,$B50,C$37)</f>
        <v>TM1AdminArcCBMSRecoAppropCAP</v>
      </c>
      <c r="D50" s="16" t="str">
        <f>_xll.DBR($C$35,$B50,D$37)</f>
        <v>CBMS Reconciliation Appropriation Report</v>
      </c>
      <c r="E50" s="16" t="str">
        <f>_xll.DBR($C$35,$B50,E$37)</f>
        <v>TM1AdminArcCBMSRecoAppropWB</v>
      </c>
      <c r="F50" s="16" t="str">
        <f>_xll.DBR($C$35,$B50,F$37)</f>
        <v>PRIMUS\GEUS WEB\Administration\Archive\sys_Admin - Archive - CBMS GEUS Reconciliation Appropriation.xlsx</v>
      </c>
      <c r="G50" s="16" t="str">
        <f>_xll.DBR($C$35,$B50,G$37)</f>
        <v>TM1AdminArcCBMSRecoAppropWS</v>
      </c>
      <c r="H50" s="16" t="str">
        <f>_xll.DBR($C$35,$B50,H$37)</f>
        <v>reco</v>
      </c>
    </row>
    <row r="51" spans="2:8" ht="15" hidden="1" customHeight="1" outlineLevel="1" x14ac:dyDescent="0.25">
      <c r="B51" s="16" t="s">
        <v>47</v>
      </c>
      <c r="C51" s="16" t="str">
        <f>_xll.DBR($C$35,$B51,C$37)</f>
        <v>TM1ViewAdj01HeaderCAP</v>
      </c>
      <c r="D51" s="16" t="str">
        <f>_xll.DBR($C$35,$B51,D$37)</f>
        <v>Edit Adj Details</v>
      </c>
      <c r="E51" s="16" t="str">
        <f>_xll.DBR($C$35,$B51,E$37)</f>
        <v>TM1ViewAdj01HeaderWB</v>
      </c>
      <c r="F51" s="16" t="str">
        <f>_xll.DBR($C$35,$B51,F$37)</f>
        <v>PRIMUS\GEUS WEB\Annual Estimates\Data Entry\view adj 01 - header details.xlsx</v>
      </c>
      <c r="G51" s="16" t="str">
        <f>_xll.DBR($C$35,$B51,G$37)</f>
        <v>TM1ViewAdj01HeaderWS</v>
      </c>
      <c r="H51" s="16" t="str">
        <f>_xll.DBR($C$35,$B51,H$37)</f>
        <v>header</v>
      </c>
    </row>
    <row r="52" spans="2:8" ht="15" hidden="1" customHeight="1" outlineLevel="1" x14ac:dyDescent="0.25"/>
    <row r="53" spans="2:8" ht="15" hidden="1" customHeight="1" outlineLevel="1" x14ac:dyDescent="0.25">
      <c r="B53" s="3" t="s">
        <v>56</v>
      </c>
      <c r="C53" s="2"/>
      <c r="D53" s="1"/>
    </row>
    <row r="54" spans="2:8" ht="15" hidden="1" customHeight="1" outlineLevel="1" x14ac:dyDescent="0.25">
      <c r="B54" s="16" t="s">
        <v>42</v>
      </c>
      <c r="C54" s="16" t="str">
        <f>_xll.TM1RPTVIEW((db_name&amp;":AE adjustments:1"),1,_xll.TM1RPTTITLE((db_name&amp;":headline year"),$P$85),_xll.TM1RPTTITLE((db_name&amp;":status"),$P$87),_xll.TM1RPTTITLE((db_name&amp;":outcome"),$C$72),_xll.TM1RPTTITLE((db_name&amp;":function"),$C$64),_xll.TM1RPTTITLE((db_name&amp;":reason"),$C$70),_xll.TM1RPTTITLE((db_name&amp;":related entity"),$C$63),_xll.TM1RPTTITLE((db_name&amp;":spp"),$C$69),_xll.TM1RPTTITLE((db_name&amp;":measure code"),$C$65),_xll.TM1RPTTITLE((db_name&amp;":jurisdiction"),$C$68),TM1RPTFMTRNG,TM1RPTFMTIDCOL)</f>
        <v>dcceew_geus:AE adjustments:1</v>
      </c>
      <c r="D54" s="16"/>
    </row>
    <row r="55" spans="2:8" ht="15" hidden="1" customHeight="1" outlineLevel="1" x14ac:dyDescent="0.25">
      <c r="B55" s="16" t="s">
        <v>41</v>
      </c>
      <c r="C55" s="16" t="str">
        <f>_xll.VIEW((db_name&amp;":AE adjustments"),$P$85,"!",$P$87,$C$72,"!",$C$64,$C$70,$C$69,$C$65,"!","!","!","!","!","!",$C$68,"!")</f>
        <v>dcceew_geus:AE adjustments</v>
      </c>
      <c r="D55" s="16"/>
    </row>
    <row r="56" spans="2:8" ht="15" hidden="1" customHeight="1" outlineLevel="1" x14ac:dyDescent="0.25">
      <c r="B56" s="16" t="s">
        <v>40</v>
      </c>
      <c r="C56" s="16" t="str">
        <f>IF(($U$85="No"),$D56,$E56)</f>
        <v>{FILTER( {TM1DRILLDOWNMEMBER( {[programme].[Administered Programmes]}, ALL, RECURSIVE )}, [programme].[CBMS Level Program] = "Y")}</v>
      </c>
      <c r="D56" s="16" t="str">
        <f>(("{[programme].["&amp;$P$86)&amp;"]}")</f>
        <v>{[programme].[Administered Programmes]}</v>
      </c>
      <c r="E56" t="str">
        <f>(((("{FILTER( {TM1DRILLDOWNMEMBER( {[programme].["&amp;$P$86)&amp;"]}, ALL, RECURSIVE )}, [programme].[CBMS Level Program] = ")&amp;"""Y""")&amp;")}")</f>
        <v>{FILTER( {TM1DRILLDOWNMEMBER( {[programme].[Administered Programmes]}, ALL, RECURSIVE )}, [programme].[CBMS Level Program] = "Y")}</v>
      </c>
    </row>
    <row r="57" spans="2:8" ht="15" hidden="1" customHeight="1" outlineLevel="1" x14ac:dyDescent="0.25">
      <c r="B57" s="16" t="s">
        <v>39</v>
      </c>
      <c r="C57" s="16" t="str">
        <f>IF(($P$88="sys_account requiring approp"),$E57,$D57)</f>
        <v>{ EXCEPT({TM1FILTERBYLEVEL( {TM1DRILLDOWNMEMBER( {[account].[sys_account requiring approp]}, ALL, RECURSIVE )}, 0)}, { [account].[9000862] }) }</v>
      </c>
      <c r="D57" s="16" t="str">
        <f>(("{TM1FILTERBYLEVEL( {TM1DRILLDOWNMEMBER( {[account].["&amp;$P$88)&amp;"]}, ALL, RECURSIVE )}, 0)}")</f>
        <v>{TM1FILTERBYLEVEL( {TM1DRILLDOWNMEMBER( {[account].[sys_account requiring approp]}, ALL, RECURSIVE )}, 0)}</v>
      </c>
      <c r="E57" s="16" t="str">
        <f>(("{ EXCEPT({TM1FILTERBYLEVEL( {TM1DRILLDOWNMEMBER( {[account].["&amp;$P$88)&amp;"]}, ALL, RECURSIVE )}, 0)}, { [account].[9000862] }) }")</f>
        <v>{ EXCEPT({TM1FILTERBYLEVEL( {TM1DRILLDOWNMEMBER( {[account].[sys_account requiring approp]}, ALL, RECURSIVE )}, 0)}, { [account].[9000862] }) }</v>
      </c>
    </row>
    <row r="58" spans="2:8" ht="15" hidden="1" customHeight="1" outlineLevel="1" x14ac:dyDescent="0.25">
      <c r="B58" s="16" t="s">
        <v>38</v>
      </c>
      <c r="C58" s="16" t="str">
        <f>"{FILTER({TM1FILTERBYLEVEL( {TM1DRILLDOWNMEMBER( {[movement account].["&amp;$P$89&amp;"]}, ALL, RECURSIVE )}, 0)}, [movement account].[exclude from reconciliation] = """")}"</f>
        <v>{FILTER({TM1FILTERBYLEVEL( {TM1DRILLDOWNMEMBER( {[movement account].[sys_Meas Movement Account]}, ALL, RECURSIVE )}, 0)}, [movement account].[exclude from reconciliation] = "")}</v>
      </c>
      <c r="D58" s="16" t="s">
        <v>37</v>
      </c>
      <c r="E58" s="16" t="str">
        <f>"{TM1FILTERBYLEVEL( {TM1DRILLDOWNMEMBER( {[movement account].[sys_Meas Movement Account]}, ALL, RECURSIVE )}, 0)}"</f>
        <v>{TM1FILTERBYLEVEL( {TM1DRILLDOWNMEMBER( {[movement account].[sys_Meas Movement Account]}, ALL, RECURSIVE )}, 0)}</v>
      </c>
      <c r="F58" s="16" t="s">
        <v>36</v>
      </c>
    </row>
    <row r="59" spans="2:8" ht="15" hidden="1" customHeight="1" outlineLevel="1" x14ac:dyDescent="0.25">
      <c r="B59" s="16" t="s">
        <v>35</v>
      </c>
      <c r="C59" s="16" t="str">
        <f>IF(($U$86="No"),$D59,$E59)</f>
        <v>{TM1FILTERBYLEVEL( {TM1DRILLDOWNMEMBER( {[appropriation type].[Total approp types]}, ALL, RECURSIVE )}, 0)}</v>
      </c>
      <c r="D59" s="16" t="str">
        <f>(("{[appropriation type].["&amp;$P$90)&amp;"]}")</f>
        <v>{[appropriation type].[Total approp types]}</v>
      </c>
      <c r="E59" s="16" t="str">
        <f>(("{TM1FILTERBYLEVEL( {TM1DRILLDOWNMEMBER( {[appropriation type].["&amp;$P$90)&amp;"]}, ALL, RECURSIVE )}, 0)}")</f>
        <v>{TM1FILTERBYLEVEL( {TM1DRILLDOWNMEMBER( {[appropriation type].[Total approp types]}, ALL, RECURSIVE )}, 0)}</v>
      </c>
    </row>
    <row r="60" spans="2:8" ht="15" hidden="1" customHeight="1" outlineLevel="1" x14ac:dyDescent="0.25">
      <c r="B60" s="16" t="s">
        <v>34</v>
      </c>
      <c r="C60" s="16" t="str">
        <f>IF(($U$87="No"),$D60,$E60)</f>
        <v>{TM1FILTERBYLEVEL( {TM1DRILLDOWNMEMBER( {[appropriation item].[Total approp item]}, ALL, RECURSIVE )}, 0)}</v>
      </c>
      <c r="D60" s="16" t="str">
        <f>(("{[appropriation item].["&amp;$P$91)&amp;"]}")</f>
        <v>{[appropriation item].[Total approp item]}</v>
      </c>
      <c r="E60" s="16" t="str">
        <f>(("{TM1FILTERBYLEVEL( {TM1DRILLDOWNMEMBER( {[appropriation item].["&amp;$P$91)&amp;"]}, ALL, RECURSIVE )}, 0)}")</f>
        <v>{TM1FILTERBYLEVEL( {TM1DRILLDOWNMEMBER( {[appropriation item].[Total approp item]}, ALL, RECURSIVE )}, 0)}</v>
      </c>
    </row>
    <row r="61" spans="2:8" ht="15" hidden="1" customHeight="1" outlineLevel="1" x14ac:dyDescent="0.25">
      <c r="B61" s="16" t="s">
        <v>33</v>
      </c>
      <c r="C61" s="16" t="s">
        <v>32</v>
      </c>
      <c r="D61" s="16" t="s">
        <v>31</v>
      </c>
    </row>
    <row r="62" spans="2:8" ht="15" hidden="1" customHeight="1" outlineLevel="1" x14ac:dyDescent="0.25">
      <c r="B62" s="16"/>
      <c r="C62" s="16"/>
      <c r="D62" s="16"/>
    </row>
    <row r="63" spans="2:8" ht="15" hidden="1" customHeight="1" outlineLevel="1" x14ac:dyDescent="0.25">
      <c r="B63" s="29" t="s">
        <v>30</v>
      </c>
      <c r="C63" s="16" t="str">
        <f>_xll.SUBNM((db_name&amp;":related entity"),"","Total related entity")</f>
        <v>Total related entity</v>
      </c>
      <c r="D63" s="16"/>
    </row>
    <row r="64" spans="2:8" ht="15" hidden="1" customHeight="1" outlineLevel="1" x14ac:dyDescent="0.25">
      <c r="B64" s="29" t="s">
        <v>29</v>
      </c>
      <c r="C64" s="16" t="str">
        <f>_xll.SUBNM((db_name&amp;":function"),"","Total functions")</f>
        <v>Total functions</v>
      </c>
      <c r="D64" s="16"/>
    </row>
    <row r="65" spans="2:35" ht="15" hidden="1" customHeight="1" outlineLevel="1" x14ac:dyDescent="0.25">
      <c r="B65" s="29" t="s">
        <v>27</v>
      </c>
      <c r="C65" s="16" t="str">
        <f>_xll.SUBNM((db_name&amp;":measure code"),"","Total Measures","CBMS")</f>
        <v>Total Measures</v>
      </c>
      <c r="D65" s="16"/>
    </row>
    <row r="66" spans="2:35" ht="15" hidden="1" customHeight="1" outlineLevel="1" x14ac:dyDescent="0.25">
      <c r="B66" s="29" t="s">
        <v>26</v>
      </c>
      <c r="C66" s="16" t="str">
        <f>_xll.SUBNM((db_name&amp;":appropriation type"),"","Total approp types")</f>
        <v>Total approp types</v>
      </c>
      <c r="D66" s="16"/>
    </row>
    <row r="67" spans="2:35" ht="15" hidden="1" customHeight="1" outlineLevel="1" x14ac:dyDescent="0.25">
      <c r="B67" s="29" t="s">
        <v>25</v>
      </c>
      <c r="C67" s="16" t="str">
        <f>_xll.SUBNM((db_name&amp;":id"),"","Total IDs")</f>
        <v>Total IDs</v>
      </c>
      <c r="D67" s="16"/>
    </row>
    <row r="68" spans="2:35" ht="15" hidden="1" customHeight="1" outlineLevel="1" x14ac:dyDescent="0.25">
      <c r="B68" s="29" t="s">
        <v>24</v>
      </c>
      <c r="C68" s="16" t="str">
        <f>_xll.SUBNM((db_name&amp;":jurisdiction"),"","Total jurisdictions")</f>
        <v>Total jurisdictions</v>
      </c>
      <c r="D68" s="16"/>
    </row>
    <row r="69" spans="2:35" ht="15" hidden="1" customHeight="1" outlineLevel="1" x14ac:dyDescent="0.25">
      <c r="B69" s="29" t="s">
        <v>16</v>
      </c>
      <c r="C69" s="16" t="str">
        <f>_xll.SUBNM((db_name&amp;":spp"),"","Total SPP")</f>
        <v>Total SPP</v>
      </c>
      <c r="D69" s="16"/>
    </row>
    <row r="70" spans="2:35" ht="15" hidden="1" customHeight="1" outlineLevel="1" x14ac:dyDescent="0.25">
      <c r="B70" s="29" t="s">
        <v>23</v>
      </c>
      <c r="C70" s="16" t="str">
        <f>_xll.SUBNM((db_name&amp;":reason"),"","Total reason")</f>
        <v>Total reason</v>
      </c>
      <c r="D70" s="16"/>
    </row>
    <row r="71" spans="2:35" ht="15" hidden="1" customHeight="1" outlineLevel="1" x14ac:dyDescent="0.25">
      <c r="B71" s="29" t="s">
        <v>22</v>
      </c>
      <c r="D71" s="16"/>
    </row>
    <row r="72" spans="2:35" ht="15" hidden="1" customHeight="1" outlineLevel="1" x14ac:dyDescent="0.25">
      <c r="B72" s="19" t="s">
        <v>2</v>
      </c>
      <c r="C72" s="16" t="str">
        <f>_xll.SUBNM((db_name&amp;":outcome"),"","Total outcomes")</f>
        <v>Total outcomes</v>
      </c>
      <c r="D72" s="16"/>
      <c r="E72" s="16"/>
    </row>
    <row r="73" spans="2:35" ht="15" hidden="1" customHeight="1" outlineLevel="1" x14ac:dyDescent="0.25">
      <c r="B73" s="19" t="s">
        <v>7</v>
      </c>
      <c r="C73" s="16" t="str">
        <f>_xll.SUBNM((db_name&amp;":movement account"),"","Total movement","code and description")</f>
        <v>Total movement</v>
      </c>
      <c r="D73" s="16"/>
      <c r="E73" s="16"/>
    </row>
    <row r="74" spans="2:35" ht="15" hidden="1" customHeight="1" outlineLevel="1" x14ac:dyDescent="0.25"/>
    <row r="75" spans="2:35" ht="15" hidden="1" customHeight="1" outlineLevel="1" x14ac:dyDescent="0.25"/>
    <row r="76" spans="2:35" ht="15" hidden="1" customHeight="1" outlineLevel="1" x14ac:dyDescent="0.25"/>
    <row r="77" spans="2:35" ht="39.950000000000003" customHeight="1" collapsed="1" x14ac:dyDescent="0.25">
      <c r="I77" s="30"/>
      <c r="J77" s="30"/>
      <c r="K77" s="30"/>
      <c r="L77" s="30"/>
      <c r="M77" s="30"/>
      <c r="N77" s="30"/>
      <c r="O77" s="30"/>
      <c r="P77" s="43" t="s">
        <v>1</v>
      </c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</row>
    <row r="78" spans="2:35" ht="4.5" customHeight="1" x14ac:dyDescent="0.25"/>
    <row r="79" spans="2:35" ht="24" customHeight="1" x14ac:dyDescent="0.25"/>
    <row r="80" spans="2:35" ht="1.5" customHeight="1" x14ac:dyDescent="0.25"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</row>
    <row r="81" spans="10:35" ht="4.5" customHeight="1" x14ac:dyDescent="0.25"/>
    <row r="82" spans="10:35" ht="15" customHeight="1" x14ac:dyDescent="0.25">
      <c r="J82" s="8" t="s">
        <v>21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0:35" ht="4.5" customHeight="1" x14ac:dyDescent="0.25"/>
    <row r="84" spans="10:35" ht="15" customHeight="1" x14ac:dyDescent="0.25">
      <c r="P84" s="10" t="s">
        <v>20</v>
      </c>
      <c r="Q84" s="9"/>
      <c r="R84" s="9"/>
      <c r="T84" s="10" t="s">
        <v>0</v>
      </c>
      <c r="U84" s="9"/>
    </row>
    <row r="85" spans="10:35" ht="15" customHeight="1" x14ac:dyDescent="0.25">
      <c r="O85" s="40" t="s">
        <v>67</v>
      </c>
      <c r="P85" s="5" t="str">
        <f>_xll.SUBNM((db_name&amp;":headline year"),"",$C$22)</f>
        <v>HL2025-2026</v>
      </c>
      <c r="Q85" s="5"/>
      <c r="R85" s="5"/>
      <c r="T85" s="19" t="s">
        <v>19</v>
      </c>
      <c r="U85" s="34" t="str">
        <f>_xll.SUBNM((db_name&amp;":sys_YesNo"),"","Yes")</f>
        <v>Yes</v>
      </c>
    </row>
    <row r="86" spans="10:35" ht="15" customHeight="1" x14ac:dyDescent="0.25">
      <c r="O86" s="40" t="s">
        <v>18</v>
      </c>
      <c r="P86" s="5" t="str">
        <f>_xll.SUBNM((db_name&amp;":programme"),"","Administered Programmes","code and description")</f>
        <v>Administered Programmes</v>
      </c>
      <c r="Q86" s="5"/>
      <c r="R86" s="5"/>
      <c r="T86" s="19" t="s">
        <v>17</v>
      </c>
      <c r="U86" s="34" t="str">
        <f>_xll.SUBNM((db_name&amp;":sys_YesNo"),"","Yes")</f>
        <v>Yes</v>
      </c>
    </row>
    <row r="87" spans="10:35" ht="15" customHeight="1" x14ac:dyDescent="0.25">
      <c r="O87" s="40" t="s">
        <v>66</v>
      </c>
      <c r="P87" s="5" t="str">
        <f>_xll.SUBNM((db_name&amp;":status"),"","Total approved")</f>
        <v>Total approved</v>
      </c>
      <c r="Q87" s="5"/>
      <c r="R87" s="5"/>
      <c r="T87" s="19" t="s">
        <v>15</v>
      </c>
      <c r="U87" s="34" t="str">
        <f>_xll.SUBNM((db_name&amp;":sys_YesNo"),"","Yes")</f>
        <v>Yes</v>
      </c>
    </row>
    <row r="88" spans="10:35" ht="15" customHeight="1" x14ac:dyDescent="0.25">
      <c r="O88" s="40" t="s">
        <v>14</v>
      </c>
      <c r="P88" s="5" t="str">
        <f>_xll.SUBNM((db_name&amp;":Account"),"","sys_account requiring approp","code and description")</f>
        <v>sys_account requiring approp</v>
      </c>
      <c r="Q88" s="5"/>
      <c r="R88" s="5"/>
    </row>
    <row r="89" spans="10:35" ht="15" customHeight="1" x14ac:dyDescent="0.25">
      <c r="O89" s="40" t="s">
        <v>7</v>
      </c>
      <c r="P89" s="5" t="str">
        <f>_xll.SUBNM((db_name&amp;":movement account"),"","sys_Meas Movement Account","code and description")</f>
        <v>sys_Meas Movement Account</v>
      </c>
      <c r="Q89" s="5"/>
      <c r="R89" s="5"/>
    </row>
    <row r="90" spans="10:35" ht="15" customHeight="1" x14ac:dyDescent="0.25">
      <c r="O90" s="40" t="s">
        <v>26</v>
      </c>
      <c r="P90" s="5" t="str">
        <f>_xll.SUBNM((db_name&amp;":appropriation type"),"","Total approp types","code and description")</f>
        <v>Total approp types</v>
      </c>
      <c r="Q90" s="5"/>
      <c r="R90" s="5"/>
    </row>
    <row r="91" spans="10:35" ht="15" customHeight="1" x14ac:dyDescent="0.25">
      <c r="O91" s="40" t="s">
        <v>22</v>
      </c>
      <c r="P91" s="5" t="str">
        <f>_xll.SUBNM((db_name&amp;":appropriation item"),"","Total approp item","code and description")</f>
        <v>Total approp item</v>
      </c>
      <c r="Q91" s="5"/>
      <c r="R91" s="5"/>
    </row>
    <row r="92" spans="10:35" ht="3.95" customHeight="1" x14ac:dyDescent="0.25">
      <c r="O92" s="41"/>
    </row>
    <row r="93" spans="10:35" ht="15" customHeight="1" x14ac:dyDescent="0.25">
      <c r="O93" s="41"/>
      <c r="P93" s="7" t="s">
        <v>13</v>
      </c>
      <c r="Q93" s="7"/>
      <c r="R93" s="7"/>
      <c r="S93" s="7"/>
      <c r="T93" s="6"/>
      <c r="U93" s="6"/>
      <c r="W93" s="7" t="s">
        <v>12</v>
      </c>
      <c r="X93" s="7"/>
      <c r="Y93" s="7"/>
      <c r="Z93" s="7"/>
      <c r="AA93" s="6"/>
      <c r="AB93" s="6"/>
      <c r="AD93" s="7" t="s">
        <v>11</v>
      </c>
      <c r="AE93" s="7"/>
      <c r="AF93" s="7"/>
      <c r="AG93" s="7"/>
      <c r="AH93" s="6"/>
      <c r="AI93" s="6"/>
    </row>
    <row r="94" spans="10:35" ht="15" customHeight="1" x14ac:dyDescent="0.25">
      <c r="O94" s="41"/>
      <c r="P94" s="24" t="str">
        <f t="shared" ref="P94:U94" si="0">P$21</f>
        <v>2023-2024</v>
      </c>
      <c r="Q94" s="24" t="str">
        <f t="shared" si="0"/>
        <v>2024-2025</v>
      </c>
      <c r="R94" s="24" t="str">
        <f t="shared" si="0"/>
        <v>2025-2026</v>
      </c>
      <c r="S94" s="24" t="str">
        <f t="shared" si="0"/>
        <v>2026-2027</v>
      </c>
      <c r="T94" s="24" t="str">
        <f t="shared" si="0"/>
        <v>2027-2028</v>
      </c>
      <c r="U94" s="25" t="str">
        <f t="shared" si="0"/>
        <v>2028-2029</v>
      </c>
      <c r="W94" s="24" t="str">
        <f t="shared" ref="W94:AB94" si="1">W$21</f>
        <v>2023-2024</v>
      </c>
      <c r="X94" s="24" t="str">
        <f t="shared" si="1"/>
        <v>2024-2025</v>
      </c>
      <c r="Y94" s="24" t="str">
        <f t="shared" si="1"/>
        <v>2025-2026</v>
      </c>
      <c r="Z94" s="24" t="str">
        <f t="shared" si="1"/>
        <v>2026-2027</v>
      </c>
      <c r="AA94" s="24" t="str">
        <f t="shared" si="1"/>
        <v>2027-2028</v>
      </c>
      <c r="AB94" s="25" t="str">
        <f t="shared" si="1"/>
        <v>2028-2029</v>
      </c>
      <c r="AD94" s="24" t="str">
        <f t="shared" ref="AD94:AI94" si="2">AD$21</f>
        <v>2023-2024</v>
      </c>
      <c r="AE94" s="24" t="str">
        <f t="shared" si="2"/>
        <v>2024-2025</v>
      </c>
      <c r="AF94" s="24" t="str">
        <f t="shared" si="2"/>
        <v>2025-2026</v>
      </c>
      <c r="AG94" s="24" t="str">
        <f t="shared" si="2"/>
        <v>2026-2027</v>
      </c>
      <c r="AH94" s="24" t="str">
        <f t="shared" si="2"/>
        <v>2027-2028</v>
      </c>
      <c r="AI94" s="25" t="str">
        <f t="shared" si="2"/>
        <v>2028-2029</v>
      </c>
    </row>
    <row r="95" spans="10:35" ht="15" customHeight="1" x14ac:dyDescent="0.25">
      <c r="O95" s="42" t="str">
        <f>$P$88</f>
        <v>sys_account requiring approp</v>
      </c>
      <c r="P95" s="23">
        <f>_xll.DBRW($C$55,$P$85,P$24,$P$87,$C$72,$C$63,$C$64,$C$70,$C$69,$C$65,$C$66,$P$89,$P$91,$P$86,$O95,$C$67,$C$68,P$99)</f>
        <v>65547487</v>
      </c>
      <c r="Q95" s="23">
        <f>_xll.DBRW($C$55,$P$85,Q$24,$P$87,$C$72,$C$63,$C$64,$C$70,$C$69,$C$65,$C$66,$P$89,$P$91,$P$86,$O95,$C$67,$C$68,Q$99)</f>
        <v>71969192</v>
      </c>
      <c r="R95" s="23">
        <f>_xll.DBRW($C$55,$P$85,R$24,$P$87,$C$72,$C$63,$C$64,$C$70,$C$69,$C$65,$C$66,$P$89,$P$91,$P$86,$O95,$C$67,$C$68,R$99)</f>
        <v>59093492</v>
      </c>
      <c r="S95" s="23">
        <f>_xll.DBRW($C$55,$P$85,S$24,$P$87,$C$72,$C$63,$C$64,$C$70,$C$69,$C$65,$C$66,$P$89,$P$91,$P$86,$O95,$C$67,$C$68,S$99)</f>
        <v>54515662</v>
      </c>
      <c r="T95" s="23">
        <f>_xll.DBRW($C$55,$P$85,T$24,$P$87,$C$72,$C$63,$C$64,$C$70,$C$69,$C$65,$C$66,$P$89,$P$91,$P$86,$O95,$C$67,$C$68,T$99)</f>
        <v>44068996</v>
      </c>
      <c r="U95" s="23">
        <f>_xll.DBRW($C$55,$P$85,U$24,$P$87,$C$72,$C$63,$C$64,$C$70,$C$69,$C$65,$C$66,$P$89,$P$91,$P$86,$O95,$C$67,$C$68,U$99)</f>
        <v>33949308</v>
      </c>
      <c r="W95" s="23">
        <f>_xll.DBRW($C$55,$P$85,W$24,$P$87,$C$72,$C$63,$C$64,$C$70,$C$69,$C$65,$C$66,$P$89,$P$91,$P$86,$O95,$C$67,$C$68,W$99)</f>
        <v>57055774</v>
      </c>
      <c r="X95" s="23">
        <f>_xll.DBRW($C$55,$P$85,X$24,$P$87,$C$72,$C$63,$C$64,$C$70,$C$69,$C$65,$C$66,$P$89,$P$91,$P$86,$O95,$C$67,$C$68,X$99)</f>
        <v>71969192</v>
      </c>
      <c r="Y95" s="23">
        <f>_xll.DBRW($C$55,$P$85,Y$24,$P$87,$C$72,$C$63,$C$64,$C$70,$C$69,$C$65,$C$66,$P$89,$P$91,$P$86,$O95,$C$67,$C$68,Y$99)</f>
        <v>59093492</v>
      </c>
      <c r="Z95" s="23">
        <f>_xll.DBRW($C$55,$P$85,Z$24,$P$87,$C$72,$C$63,$C$64,$C$70,$C$69,$C$65,$C$66,$P$89,$P$91,$P$86,$O95,$C$67,$C$68,Z$99)</f>
        <v>54515662</v>
      </c>
      <c r="AA95" s="23">
        <f>_xll.DBRW($C$55,$P$85,AA$24,$P$87,$C$72,$C$63,$C$64,$C$70,$C$69,$C$65,$C$66,$P$89,$P$91,$P$86,$O95,$C$67,$C$68,AA$99)</f>
        <v>44068996</v>
      </c>
      <c r="AB95" s="23">
        <f>_xll.DBRW($C$55,$P$85,AB$24,$P$87,$C$72,$C$63,$C$64,$C$70,$C$69,$C$65,$C$66,$P$89,$P$91,$P$86,$O95,$C$67,$C$68,AB$99)</f>
        <v>33949308</v>
      </c>
      <c r="AD95" s="23">
        <f>_xll.DBRW($C$55,$P$85,AD$24,$P$87,$C$72,$C$63,$C$64,$C$70,$C$69,$C$65,$C$66,$P$89,$P$91,$P$86,$O95,$C$67,$C$68,AD$99)</f>
        <v>-8491713</v>
      </c>
      <c r="AE95" s="23">
        <f>_xll.DBRW($C$55,$P$85,AE$24,$P$87,$C$72,$C$63,$C$64,$C$70,$C$69,$C$65,$C$66,$P$89,$P$91,$P$86,$O95,$C$67,$C$68,AE$99)</f>
        <v>0</v>
      </c>
      <c r="AF95" s="23">
        <f>_xll.DBRW($C$55,$P$85,AF$24,$P$87,$C$72,$C$63,$C$64,$C$70,$C$69,$C$65,$C$66,$P$89,$P$91,$P$86,$O95,$C$67,$C$68,AF$99)</f>
        <v>0</v>
      </c>
      <c r="AG95" s="23">
        <f>_xll.DBRW($C$55,$P$85,AG$24,$P$87,$C$72,$C$63,$C$64,$C$70,$C$69,$C$65,$C$66,$P$89,$P$91,$P$86,$O95,$C$67,$C$68,AG$99)</f>
        <v>0</v>
      </c>
      <c r="AH95" s="23">
        <f>_xll.DBRW($C$55,$P$85,AH$24,$P$87,$C$72,$C$63,$C$64,$C$70,$C$69,$C$65,$C$66,$P$89,$P$91,$P$86,$O95,$C$67,$C$68,AH$99)</f>
        <v>0</v>
      </c>
      <c r="AI95" s="23">
        <f>_xll.DBRW($C$55,$P$85,AI$24,$P$87,$C$72,$C$63,$C$64,$C$70,$C$69,$C$65,$C$66,$P$89,$P$91,$P$86,$O95,$C$67,$C$68,AI$99)</f>
        <v>0</v>
      </c>
    </row>
    <row r="96" spans="10:35" ht="4.5" customHeight="1" x14ac:dyDescent="0.25"/>
    <row r="97" spans="1:35" ht="15" customHeight="1" x14ac:dyDescent="0.25">
      <c r="P97" s="4" t="s">
        <v>10</v>
      </c>
      <c r="Q97" s="4"/>
      <c r="R97" s="4"/>
      <c r="S97" s="4"/>
      <c r="T97" s="4"/>
      <c r="U97" s="4"/>
      <c r="W97" s="4" t="s">
        <v>10</v>
      </c>
      <c r="X97" s="4"/>
      <c r="Y97" s="4"/>
      <c r="Z97" s="4"/>
      <c r="AA97" s="4"/>
      <c r="AB97" s="4"/>
      <c r="AD97" s="4" t="s">
        <v>10</v>
      </c>
      <c r="AE97" s="4"/>
      <c r="AF97" s="4"/>
      <c r="AG97" s="4"/>
      <c r="AH97" s="4"/>
      <c r="AI97" s="4"/>
    </row>
    <row r="98" spans="1:35" ht="15" customHeight="1" x14ac:dyDescent="0.25">
      <c r="J98" s="7" t="s">
        <v>99</v>
      </c>
      <c r="K98" s="7"/>
      <c r="L98" s="7"/>
      <c r="M98" s="7"/>
      <c r="N98" s="7"/>
      <c r="O98" s="7"/>
      <c r="P98" s="7" t="s">
        <v>13</v>
      </c>
      <c r="Q98" s="7"/>
      <c r="R98" s="7"/>
      <c r="S98" s="7"/>
      <c r="T98" s="6"/>
      <c r="U98" s="6"/>
      <c r="W98" s="7" t="s">
        <v>12</v>
      </c>
      <c r="X98" s="7"/>
      <c r="Y98" s="7"/>
      <c r="Z98" s="7"/>
      <c r="AA98" s="6"/>
      <c r="AB98" s="6"/>
      <c r="AD98" s="7" t="s">
        <v>11</v>
      </c>
      <c r="AE98" s="7"/>
      <c r="AF98" s="7"/>
      <c r="AG98" s="7"/>
      <c r="AH98" s="6"/>
      <c r="AI98" s="6"/>
    </row>
    <row r="99" spans="1:35" ht="15" customHeight="1" x14ac:dyDescent="0.25">
      <c r="J99" s="24" t="s">
        <v>9</v>
      </c>
      <c r="K99" s="24" t="s">
        <v>8</v>
      </c>
      <c r="L99" s="35" t="s">
        <v>6</v>
      </c>
      <c r="M99" s="35" t="s">
        <v>4</v>
      </c>
      <c r="N99" s="35" t="s">
        <v>3</v>
      </c>
      <c r="O99" s="35" t="s">
        <v>5</v>
      </c>
      <c r="P99" s="24" t="str">
        <f t="shared" ref="P99:U99" si="3">P$21</f>
        <v>2023-2024</v>
      </c>
      <c r="Q99" s="24" t="str">
        <f t="shared" si="3"/>
        <v>2024-2025</v>
      </c>
      <c r="R99" s="24" t="str">
        <f t="shared" si="3"/>
        <v>2025-2026</v>
      </c>
      <c r="S99" s="24" t="str">
        <f t="shared" si="3"/>
        <v>2026-2027</v>
      </c>
      <c r="T99" s="24" t="str">
        <f t="shared" si="3"/>
        <v>2027-2028</v>
      </c>
      <c r="U99" s="25" t="str">
        <f t="shared" si="3"/>
        <v>2028-2029</v>
      </c>
      <c r="W99" s="24" t="str">
        <f t="shared" ref="W99:AB99" si="4">W$21</f>
        <v>2023-2024</v>
      </c>
      <c r="X99" s="24" t="str">
        <f t="shared" si="4"/>
        <v>2024-2025</v>
      </c>
      <c r="Y99" s="24" t="str">
        <f t="shared" si="4"/>
        <v>2025-2026</v>
      </c>
      <c r="Z99" s="24" t="str">
        <f t="shared" si="4"/>
        <v>2026-2027</v>
      </c>
      <c r="AA99" s="24" t="str">
        <f t="shared" si="4"/>
        <v>2027-2028</v>
      </c>
      <c r="AB99" s="25" t="str">
        <f t="shared" si="4"/>
        <v>2028-2029</v>
      </c>
      <c r="AD99" s="24" t="str">
        <f t="shared" ref="AD99:AI99" si="5">AD$21</f>
        <v>2023-2024</v>
      </c>
      <c r="AE99" s="24" t="str">
        <f t="shared" si="5"/>
        <v>2024-2025</v>
      </c>
      <c r="AF99" s="24" t="str">
        <f t="shared" si="5"/>
        <v>2025-2026</v>
      </c>
      <c r="AG99" s="24" t="str">
        <f t="shared" si="5"/>
        <v>2026-2027</v>
      </c>
      <c r="AH99" s="24" t="str">
        <f t="shared" si="5"/>
        <v>2027-2028</v>
      </c>
      <c r="AI99" s="25" t="str">
        <f t="shared" si="5"/>
        <v>2028-2029</v>
      </c>
    </row>
    <row r="100" spans="1:35" ht="15" customHeight="1" outlineLevel="1" x14ac:dyDescent="0.25">
      <c r="A100" t="str">
        <f>IF(_xll.TM1RPTELISCONSOLIDATED($K$100,$K100),IF((_xll.TM1RPTELLEV($K$100,$K100)&lt;=3),_xll.TM1RPTELLEV($K$100,$K100),"D"),"N")</f>
        <v>N</v>
      </c>
      <c r="J100" s="44" t="str">
        <f>_xll.TM1RPTROW($C$54,(db_name&amp;":programme"),"","","code and description",0,$C$56)</f>
        <v>1067 - Reducing Australia's Greenhouse Gas Emissions</v>
      </c>
      <c r="K100" s="39" t="str">
        <f>_xll.TM1RPTROW($C$54,(db_name&amp;":account"),"","","code and description",0,$C$57)</f>
        <v>4100001 - Accumulated results</v>
      </c>
      <c r="L100" s="39" t="str">
        <f>_xll.TM1RPTROW($C$54,(db_name&amp;":movement account"),"","","code and description",0,$C$58)</f>
        <v>7593 - Administered Appropriations from the OPA (Admin Only) - agreed</v>
      </c>
      <c r="M100" s="39" t="str">
        <f>_xll.TM1RPTROW($C$54,(db_name&amp;":appropriation type"),"","","code and description",0,$C$59)</f>
        <v>A001 - Ordinary Annual Services of the Government</v>
      </c>
      <c r="N100" s="39" t="str">
        <f>_xll.TM1RPTROW($C$54,(db_name&amp;":appropriation item"),"","","code and description",0,$C$60)</f>
        <v>A001-00001-05000 - Ordinary Annual Services of the Government - Appropriation Act (No. 1) - Operating</v>
      </c>
      <c r="O100" s="45" t="str">
        <f>_xll.TM1RPTROW($C$54,(db_name&amp;":id"),"","","code and description",0,$C$61)</f>
        <v>Total IDs</v>
      </c>
      <c r="P100" s="20">
        <f>_xll.DBRW($C$54,$P$85,P$24,$P$87,$C$72,$C$63,$C$64,$C$70,$C$69,$C$65,$M100,$L100,$N100,$J100,$K100,$O100,$C$68,P$99)</f>
        <v>257021</v>
      </c>
      <c r="Q100" s="20">
        <f>_xll.DBRW($C$54,$P$85,Q$24,$P$87,$C$72,$C$63,$C$64,$C$70,$C$69,$C$65,$M100,$L100,$N100,$J100,$K100,$O100,$C$68,Q$99)</f>
        <v>389888</v>
      </c>
      <c r="R100" s="20">
        <f>_xll.DBRW($C$54,$P$85,R$24,$P$87,$C$72,$C$63,$C$64,$C$70,$C$69,$C$65,$M100,$L100,$N100,$J100,$K100,$O100,$C$68,R$99)</f>
        <v>492982</v>
      </c>
      <c r="S100" s="20">
        <f>_xll.DBRW($C$54,$P$85,S$24,$P$87,$C$72,$C$63,$C$64,$C$70,$C$69,$C$65,$M100,$L100,$N100,$J100,$K100,$O100,$C$68,S$99)</f>
        <v>458711</v>
      </c>
      <c r="T100" s="20">
        <f>_xll.DBRW($C$54,$P$85,T$24,$P$87,$C$72,$C$63,$C$64,$C$70,$C$69,$C$65,$M100,$L100,$N100,$J100,$K100,$O100,$C$68,T$99)</f>
        <v>226298</v>
      </c>
      <c r="U100" s="20">
        <f>_xll.DBRW($C$54,$P$85,U$24,$P$87,$C$72,$C$63,$C$64,$C$70,$C$69,$C$65,$M100,$L100,$N100,$J100,$K100,$O100,$C$68,U$99)</f>
        <v>142085</v>
      </c>
      <c r="V100" s="28"/>
      <c r="W100" s="20">
        <f>_xll.DBRW($C$54,$P$85,W$24,$P$87,$C$72,$C$63,$C$64,$C$70,$C$69,$C$65,$M100,$L100,$N100,$J100,$K100,$O100,$C$68,W$99)</f>
        <v>100936</v>
      </c>
      <c r="X100" s="20">
        <f>_xll.DBRW($C$54,$P$85,X$24,$P$87,$C$72,$C$63,$C$64,$C$70,$C$69,$C$65,$M100,$L100,$N100,$J100,$K100,$O100,$C$68,X$99)</f>
        <v>389888</v>
      </c>
      <c r="Y100" s="20">
        <f>_xll.DBRW($C$54,$P$85,Y$24,$P$87,$C$72,$C$63,$C$64,$C$70,$C$69,$C$65,$M100,$L100,$N100,$J100,$K100,$O100,$C$68,Y$99)</f>
        <v>492982</v>
      </c>
      <c r="Z100" s="20">
        <f>_xll.DBRW($C$54,$P$85,Z$24,$P$87,$C$72,$C$63,$C$64,$C$70,$C$69,$C$65,$M100,$L100,$N100,$J100,$K100,$O100,$C$68,Z$99)</f>
        <v>458711</v>
      </c>
      <c r="AA100" s="20">
        <f>_xll.DBRW($C$54,$P$85,AA$24,$P$87,$C$72,$C$63,$C$64,$C$70,$C$69,$C$65,$M100,$L100,$N100,$J100,$K100,$O100,$C$68,AA$99)</f>
        <v>226298</v>
      </c>
      <c r="AB100" s="20">
        <f>_xll.DBRW($C$54,$P$85,AB$24,$P$87,$C$72,$C$63,$C$64,$C$70,$C$69,$C$65,$M100,$L100,$N100,$J100,$K100,$O100,$C$68,AB$99)</f>
        <v>142085</v>
      </c>
      <c r="AC100" s="28" t="e">
        <f>_xll.DBRW($C$54,$P$85,AC$24,$P$87,$C$72,$C$63,$C$64,$C$70,$C$69,$C$65,$C$66,$L100,$P$91,$P$86,$K100,$O100,$C$68,AC$99)</f>
        <v>#VALUE!</v>
      </c>
      <c r="AD100" s="20">
        <f>_xll.DBRW($C$54,$P$85,AD$24,$P$87,$C$72,$C$63,$C$64,$C$70,$C$69,$C$65,$M100,$L100,$N100,$J100,$K100,$O100,$C$68,AD$99)</f>
        <v>-156085</v>
      </c>
      <c r="AE100" s="20">
        <f>_xll.DBRW($C$54,$P$85,AE$24,$P$87,$C$72,$C$63,$C$64,$C$70,$C$69,$C$65,$M100,$L100,$N100,$J100,$K100,$O100,$C$68,AE$99)</f>
        <v>0</v>
      </c>
      <c r="AF100" s="20">
        <f>_xll.DBRW($C$54,$P$85,AF$24,$P$87,$C$72,$C$63,$C$64,$C$70,$C$69,$C$65,$M100,$L100,$N100,$J100,$K100,$O100,$C$68,AF$99)</f>
        <v>0</v>
      </c>
      <c r="AG100" s="20">
        <f>_xll.DBRW($C$54,$P$85,AG$24,$P$87,$C$72,$C$63,$C$64,$C$70,$C$69,$C$65,$M100,$L100,$N100,$J100,$K100,$O100,$C$68,AG$99)</f>
        <v>0</v>
      </c>
      <c r="AH100" s="20">
        <f>_xll.DBRW($C$54,$P$85,AH$24,$P$87,$C$72,$C$63,$C$64,$C$70,$C$69,$C$65,$M100,$L100,$N100,$J100,$K100,$O100,$C$68,AH$99)</f>
        <v>0</v>
      </c>
      <c r="AI100" s="20">
        <f>_xll.DBRW($C$54,$P$85,AI$24,$P$87,$C$72,$C$63,$C$64,$C$70,$C$69,$C$65,$M100,$L100,$N100,$J100,$K100,$O100,$C$68,AI$99)</f>
        <v>0</v>
      </c>
    </row>
  </sheetData>
  <sheetProtection sheet="1" objects="1" scenarios="1"/>
  <mergeCells count="25">
    <mergeCell ref="B11:D11"/>
    <mergeCell ref="B19:D19"/>
    <mergeCell ref="B27:D27"/>
    <mergeCell ref="B34:D34"/>
    <mergeCell ref="B53:D53"/>
    <mergeCell ref="AD98:AI98"/>
    <mergeCell ref="P93:U93"/>
    <mergeCell ref="W93:AB93"/>
    <mergeCell ref="AD93:AI93"/>
    <mergeCell ref="P88:R88"/>
    <mergeCell ref="P98:U98"/>
    <mergeCell ref="P97:U97"/>
    <mergeCell ref="W97:AB97"/>
    <mergeCell ref="AD97:AI97"/>
    <mergeCell ref="P89:R89"/>
    <mergeCell ref="P90:R90"/>
    <mergeCell ref="P84:R84"/>
    <mergeCell ref="J82:U82"/>
    <mergeCell ref="W98:AB98"/>
    <mergeCell ref="P85:R85"/>
    <mergeCell ref="P86:R86"/>
    <mergeCell ref="P87:R87"/>
    <mergeCell ref="T84:U84"/>
    <mergeCell ref="J98:O98"/>
    <mergeCell ref="P91:R91"/>
  </mergeCells>
  <conditionalFormatting sqref="J2:N7 J100:N100">
    <cfRule type="cellIs" dxfId="0" priority="31" operator="notEqual">
      <formula>"dsadsa"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300" r:id="rId4" name="TIButton9">
          <controlPr defaultSize="0" print="0" autoLine="0" r:id="rId5">
            <anchor moveWithCells="1" sizeWithCells="1">
              <from>
                <xdr:col>11</xdr:col>
                <xdr:colOff>542925</xdr:colOff>
                <xdr:row>78</xdr:row>
                <xdr:rowOff>0</xdr:rowOff>
              </from>
              <to>
                <xdr:col>12</xdr:col>
                <xdr:colOff>47625</xdr:colOff>
                <xdr:row>78</xdr:row>
                <xdr:rowOff>247650</xdr:rowOff>
              </to>
            </anchor>
          </controlPr>
        </control>
      </mc:Choice>
      <mc:Fallback>
        <control shapeId="1300" r:id="rId4" name="TIButton9"/>
      </mc:Fallback>
    </mc:AlternateContent>
    <mc:AlternateContent xmlns:mc="http://schemas.openxmlformats.org/markup-compatibility/2006">
      <mc:Choice Requires="x14">
        <control shapeId="1299" r:id="rId6" name="TIButton8">
          <controlPr defaultSize="0" print="0" autoLine="0" r:id="rId7">
            <anchor moveWithCells="1" sizeWithCells="1">
              <from>
                <xdr:col>10</xdr:col>
                <xdr:colOff>1724025</xdr:colOff>
                <xdr:row>78</xdr:row>
                <xdr:rowOff>0</xdr:rowOff>
              </from>
              <to>
                <xdr:col>11</xdr:col>
                <xdr:colOff>514350</xdr:colOff>
                <xdr:row>78</xdr:row>
                <xdr:rowOff>247650</xdr:rowOff>
              </to>
            </anchor>
          </controlPr>
        </control>
      </mc:Choice>
      <mc:Fallback>
        <control shapeId="1299" r:id="rId6" name="TIButton8"/>
      </mc:Fallback>
    </mc:AlternateContent>
    <mc:AlternateContent xmlns:mc="http://schemas.openxmlformats.org/markup-compatibility/2006">
      <mc:Choice Requires="x14">
        <control shapeId="1298" r:id="rId8" name="TIButton7">
          <controlPr defaultSize="0" print="0" autoLine="0" r:id="rId9">
            <anchor moveWithCells="1" sizeWithCells="1">
              <from>
                <xdr:col>12</xdr:col>
                <xdr:colOff>85725</xdr:colOff>
                <xdr:row>78</xdr:row>
                <xdr:rowOff>0</xdr:rowOff>
              </from>
              <to>
                <xdr:col>12</xdr:col>
                <xdr:colOff>809625</xdr:colOff>
                <xdr:row>78</xdr:row>
                <xdr:rowOff>247650</xdr:rowOff>
              </to>
            </anchor>
          </controlPr>
        </control>
      </mc:Choice>
      <mc:Fallback>
        <control shapeId="1298" r:id="rId8" name="TIButton7"/>
      </mc:Fallback>
    </mc:AlternateContent>
    <mc:AlternateContent xmlns:mc="http://schemas.openxmlformats.org/markup-compatibility/2006">
      <mc:Choice Requires="x14">
        <control shapeId="1296" r:id="rId10" name="TIButton6">
          <controlPr defaultSize="0" print="0" autoLine="0" r:id="rId11">
            <anchor moveWithCells="1" sizeWithCells="1">
              <from>
                <xdr:col>20</xdr:col>
                <xdr:colOff>657225</xdr:colOff>
                <xdr:row>77</xdr:row>
                <xdr:rowOff>28575</xdr:rowOff>
              </from>
              <to>
                <xdr:col>20</xdr:col>
                <xdr:colOff>971550</xdr:colOff>
                <xdr:row>78</xdr:row>
                <xdr:rowOff>285750</xdr:rowOff>
              </to>
            </anchor>
          </controlPr>
        </control>
      </mc:Choice>
      <mc:Fallback>
        <control shapeId="1296" r:id="rId10" name="TIButton6"/>
      </mc:Fallback>
    </mc:AlternateContent>
    <mc:AlternateContent xmlns:mc="http://schemas.openxmlformats.org/markup-compatibility/2006">
      <mc:Choice Requires="x14">
        <control shapeId="1286" r:id="rId12" name="TIButton5">
          <controlPr defaultSize="0" print="0" autoLine="0" r:id="rId13">
            <anchor moveWithCells="1" sizeWithCells="1">
              <from>
                <xdr:col>10</xdr:col>
                <xdr:colOff>323850</xdr:colOff>
                <xdr:row>78</xdr:row>
                <xdr:rowOff>0</xdr:rowOff>
              </from>
              <to>
                <xdr:col>10</xdr:col>
                <xdr:colOff>1695450</xdr:colOff>
                <xdr:row>78</xdr:row>
                <xdr:rowOff>247650</xdr:rowOff>
              </to>
            </anchor>
          </controlPr>
        </control>
      </mc:Choice>
      <mc:Fallback>
        <control shapeId="1286" r:id="rId12" name="TIButton5"/>
      </mc:Fallback>
    </mc:AlternateContent>
    <mc:AlternateContent xmlns:mc="http://schemas.openxmlformats.org/markup-compatibility/2006">
      <mc:Choice Requires="x14">
        <control shapeId="1242" r:id="rId14" name="TIButton4">
          <controlPr defaultSize="0" print="0" autoLine="0" autoPict="0" r:id="rId15">
            <anchor moveWithCells="1" sizeWithCells="1">
              <from>
                <xdr:col>9</xdr:col>
                <xdr:colOff>1866900</xdr:colOff>
                <xdr:row>78</xdr:row>
                <xdr:rowOff>0</xdr:rowOff>
              </from>
              <to>
                <xdr:col>10</xdr:col>
                <xdr:colOff>304800</xdr:colOff>
                <xdr:row>78</xdr:row>
                <xdr:rowOff>247650</xdr:rowOff>
              </to>
            </anchor>
          </controlPr>
        </control>
      </mc:Choice>
      <mc:Fallback>
        <control shapeId="1242" r:id="rId14" name="TIButton4"/>
      </mc:Fallback>
    </mc:AlternateContent>
    <mc:AlternateContent xmlns:mc="http://schemas.openxmlformats.org/markup-compatibility/2006">
      <mc:Choice Requires="x14">
        <control shapeId="1241" r:id="rId16" name="TIButton2">
          <controlPr defaultSize="0" print="0" autoLine="0" r:id="rId17">
            <anchor moveWithCells="1" sizeWithCells="1">
              <from>
                <xdr:col>9</xdr:col>
                <xdr:colOff>714375</xdr:colOff>
                <xdr:row>78</xdr:row>
                <xdr:rowOff>0</xdr:rowOff>
              </from>
              <to>
                <xdr:col>9</xdr:col>
                <xdr:colOff>1838325</xdr:colOff>
                <xdr:row>78</xdr:row>
                <xdr:rowOff>247650</xdr:rowOff>
              </to>
            </anchor>
          </controlPr>
        </control>
      </mc:Choice>
      <mc:Fallback>
        <control shapeId="1241" r:id="rId16" name="TIButton2"/>
      </mc:Fallback>
    </mc:AlternateContent>
    <mc:AlternateContent xmlns:mc="http://schemas.openxmlformats.org/markup-compatibility/2006">
      <mc:Choice Requires="x14">
        <control shapeId="1240" r:id="rId18" name="TIButton3">
          <controlPr defaultSize="0" print="0" autoLine="0" r:id="rId19">
            <anchor moveWithCells="1" sizeWithCells="1">
              <from>
                <xdr:col>9</xdr:col>
                <xdr:colOff>38100</xdr:colOff>
                <xdr:row>78</xdr:row>
                <xdr:rowOff>0</xdr:rowOff>
              </from>
              <to>
                <xdr:col>9</xdr:col>
                <xdr:colOff>676275</xdr:colOff>
                <xdr:row>78</xdr:row>
                <xdr:rowOff>247650</xdr:rowOff>
              </to>
            </anchor>
          </controlPr>
        </control>
      </mc:Choice>
      <mc:Fallback>
        <control shapeId="1240" r:id="rId18" name="TIButton3"/>
      </mc:Fallback>
    </mc:AlternateContent>
    <mc:AlternateContent xmlns:mc="http://schemas.openxmlformats.org/markup-compatibility/2006">
      <mc:Choice Requires="x14">
        <control shapeId="1239" r:id="rId20" name="TIButton1">
          <controlPr defaultSize="0" print="0" autoLine="0" r:id="rId21">
            <anchor moveWithCells="1" sizeWithCells="1">
              <from>
                <xdr:col>12</xdr:col>
                <xdr:colOff>885825</xdr:colOff>
                <xdr:row>78</xdr:row>
                <xdr:rowOff>0</xdr:rowOff>
              </from>
              <to>
                <xdr:col>12</xdr:col>
                <xdr:colOff>1714500</xdr:colOff>
                <xdr:row>78</xdr:row>
                <xdr:rowOff>247650</xdr:rowOff>
              </to>
            </anchor>
          </controlPr>
        </control>
      </mc:Choice>
      <mc:Fallback>
        <control shapeId="1239" r:id="rId20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49</vt:i4>
      </vt:variant>
    </vt:vector>
  </HeadingPairs>
  <TitlesOfParts>
    <vt:vector size="50" baseType="lpstr">
      <vt:lpstr>reco</vt:lpstr>
      <vt:lpstr>db_name</vt:lpstr>
      <vt:lpstr>psApp</vt:lpstr>
      <vt:lpstr>psHLYear</vt:lpstr>
      <vt:lpstr>psUser</vt:lpstr>
      <vt:lpstr>TM1AdjIDListCAP</vt:lpstr>
      <vt:lpstr>TM1AdjIDListWB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TM1HomeAdminBaseCAP</vt:lpstr>
      <vt:lpstr>TM1HomeAdminBaseWB</vt:lpstr>
      <vt:lpstr>TM1HomeAdminBaseWS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reco!TM1RPTDATARNG1</vt:lpstr>
      <vt:lpstr>reco!TM1RPTFMTIDCOL</vt:lpstr>
      <vt:lpstr>reco!TM1RPTFMTRNG</vt:lpstr>
      <vt:lpstr>TM1ViewAdj01HeaderCAP</vt:lpstr>
      <vt:lpstr>TM1ViewAdj01HeaderWB</vt:lpstr>
      <vt:lpstr>TM1ViewAdj01HeaderWS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Khristian Gimena</cp:lastModifiedBy>
  <dcterms:modified xsi:type="dcterms:W3CDTF">2025-03-27T01:43:20Z</dcterms:modified>
  <cp:category/>
</cp:coreProperties>
</file>