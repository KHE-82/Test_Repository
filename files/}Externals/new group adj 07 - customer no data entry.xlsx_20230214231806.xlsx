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3482D65-1685-4B08-BA11-03DE075693B4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cust no" sheetId="1" r:id="rId1"/>
    <sheet name="{PL}PickLst" sheetId="2" state="hidden" r:id="rId2"/>
  </sheets>
  <definedNames>
    <definedName name="ae_grpadj_pyflag">'cust no'!$R$78</definedName>
    <definedName name="db_name">'cust no'!$C$12</definedName>
    <definedName name="Freeze_Here">'cust no'!$J$138</definedName>
    <definedName name="grp_newadj_ctrltype">'cust no'!$W$123</definedName>
    <definedName name="grp_per_display">'cust no'!$U$134</definedName>
    <definedName name="psAccTemp">'cust no'!$L$134</definedName>
    <definedName name="psAccType">'cust no'!$C$89</definedName>
    <definedName name="psApp">'cust no'!$C$31</definedName>
    <definedName name="psHLYear">'cust no'!$C$56</definedName>
    <definedName name="psID">'cust no'!$C$58</definedName>
    <definedName name="psJur">'cust no'!$P$134</definedName>
    <definedName name="psProg">'cust no'!$J$134</definedName>
    <definedName name="psProgDimName">'cust no'!$C$27</definedName>
    <definedName name="psRE">'cust no'!$N$134</definedName>
    <definedName name="psScenario">'cust no'!$C$57</definedName>
    <definedName name="psUser">'cust no'!$C$14</definedName>
    <definedName name="sys_perdisplay_list">'cust no'!$G$81:$G$82</definedName>
    <definedName name="TargetCells">'cust no'!$B$138</definedName>
    <definedName name="TM1AdjIDListCAP">'cust no'!$D$37</definedName>
    <definedName name="TM1AdjIDListWB">'cust no'!$F$37</definedName>
    <definedName name="TM1GrpEditAdj01CAP">'cust no'!$D$39</definedName>
    <definedName name="TM1GrpEditAdj01WB">'cust no'!$F$39</definedName>
    <definedName name="TM1GrpEditAdj01WS">'cust no'!$H$39</definedName>
    <definedName name="TM1GrpNewAdj01HeaderCAP">'cust no'!$D$40</definedName>
    <definedName name="TM1GrpNewAdj01HeaderWB">'cust no'!$F$40</definedName>
    <definedName name="TM1GrpNewAdj01HeaderWS">'cust no'!$H$40</definedName>
    <definedName name="TM1GrpNewAdj02ExpDataEntryCAP">'cust no'!$D$41</definedName>
    <definedName name="TM1GrpNewAdj02ExpDataEntryWB">'cust no'!$F$41</definedName>
    <definedName name="TM1GrpNewAdj02ExpDataEntryWS">'cust no'!$H$41</definedName>
    <definedName name="TM1GrpNewAdj03CashDataEntryCAP">'cust no'!$D$42</definedName>
    <definedName name="TM1GrpNewAdj03CashDataEntryWB">'cust no'!$F$42</definedName>
    <definedName name="TM1GrpNewAdj03CashDataEntryWS">'cust no'!$H$42</definedName>
    <definedName name="TM1GrpNewAdj04CBMSViewCAP">'cust no'!$D$43</definedName>
    <definedName name="TM1GrpNewAdj04CBMSViewWB">'cust no'!$F$43</definedName>
    <definedName name="TM1GrpNewAdj04CBMSViewWS">'cust no'!$H$43</definedName>
    <definedName name="TM1GrpNewAdj05AuthCAP">'cust no'!$D$44</definedName>
    <definedName name="TM1GrpNewAdj05AuthWB">'cust no'!$F$44</definedName>
    <definedName name="TM1GrpNewAdj05AuthWS">'cust no'!$H$44</definedName>
    <definedName name="TM1GrpNewAdj06CopyCAP">'cust no'!$D$45</definedName>
    <definedName name="TM1GrpNewAdj06CopyWB">'cust no'!$F$45</definedName>
    <definedName name="TM1GrpNewAdj06CopyWS">'cust no'!$H$45</definedName>
    <definedName name="TM1GrpNewAdj07CustNoDataEntryCAP">'cust no'!$D$46</definedName>
    <definedName name="TM1GrpNewAdj07CustNoDataEntryWB">'cust no'!$F$46</definedName>
    <definedName name="TM1GrpNewAdj07CustNoDataEntryWS">'cust no'!$H$46</definedName>
    <definedName name="TM1GrpNewAdj97UploadCAP">'cust no'!$D$48</definedName>
    <definedName name="TM1GrpNewAdj97UploadWB">'cust no'!$F$48</definedName>
    <definedName name="TM1GrpNewAdj97UploadWS">'cust no'!$H$48</definedName>
    <definedName name="TM1GrpNewAdj98AttachCAP">'cust no'!$D$49</definedName>
    <definedName name="TM1GrpNewAdj98AttachWB">'cust no'!$F$49</definedName>
    <definedName name="TM1GrpNewAdj98AttachWS">'cust no'!$H$49</definedName>
    <definedName name="TM1GrpNewAdj99ValidCAP">'cust no'!$D$50</definedName>
    <definedName name="TM1GrpNewAdj99ValidWB">'cust no'!$F$50</definedName>
    <definedName name="TM1GrpNewAdj99ValidWS">'cust no'!$H$50</definedName>
    <definedName name="TM1GrpViewAdj01HeaderCAP">'cust no'!$D$47</definedName>
    <definedName name="TM1GrpViewAdj01HeaderWB">'cust no'!$F$47</definedName>
    <definedName name="TM1GrpViewAdj01HeaderWS">'cust no'!$H$47</definedName>
    <definedName name="TM1HomeAEAccVarCAP">'cust no'!$D$36</definedName>
    <definedName name="TM1HomeAEAccVarWB">'cust no'!$F$36</definedName>
    <definedName name="TM1HomeAEAccVarWS">'cust no'!$H$36</definedName>
    <definedName name="TM1HomeAECAP">'cust no'!$D$34</definedName>
    <definedName name="TM1HomeAEDataEntryCAP">'cust no'!$D$35</definedName>
    <definedName name="TM1HomeAEDataEntryWB">'cust no'!$F$35</definedName>
    <definedName name="TM1HomeAEDataEntryWS">'cust no'!$H$35</definedName>
    <definedName name="TM1HomeAEWB">'cust no'!$F$34</definedName>
    <definedName name="TM1HomeAEWS">'cust no'!$H$34</definedName>
    <definedName name="TM1HomeCAP">'cust no'!$D$33</definedName>
    <definedName name="TM1HomeWB">'cust no'!$F$33</definedName>
    <definedName name="TM1HomeWS">'cust no'!$H$33</definedName>
    <definedName name="TM1IDListWS">'cust no'!$H$37</definedName>
    <definedName name="TM1NewAdj03AuthCAP">'cust no'!$D$38</definedName>
    <definedName name="TM1NewAdj03AuthWB">'cust no'!$F$38</definedName>
    <definedName name="TM1NewAdj03AuthWS">'cust no'!$H$38</definedName>
    <definedName name="TM1REBUILDOPTION">0</definedName>
    <definedName name="TM1RPTDATARNG1" localSheetId="0">'cust no'!$138:$138</definedName>
    <definedName name="TM1RPTFMTIDCOL" localSheetId="0">'cust no'!$A$1:$A$8</definedName>
    <definedName name="TM1RPTFMTRNG" localSheetId="0">'cust no'!$B$1:$AE$8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8" i="1" a="1"/>
  <c r="C58" i="1"/>
  <c r="E82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S84" i="1"/>
  <c r="S85" i="1"/>
  <c r="S88" i="1" a="1"/>
  <c r="S88" i="1"/>
  <c r="S137" i="1"/>
  <c r="E81" i="1"/>
  <c r="D138" i="1"/>
  <c r="C87" i="1"/>
  <c r="B138" i="1"/>
  <c r="E83" i="1"/>
  <c r="C138" i="1"/>
  <c r="E138" i="1"/>
  <c r="S138" i="1" a="1"/>
  <c r="S138" i="1"/>
  <c r="C75" i="1"/>
  <c r="AA84" i="1"/>
  <c r="AA85" i="1"/>
  <c r="AA88" i="1" a="1"/>
  <c r="AA88" i="1"/>
  <c r="AA137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G97" i="1"/>
  <c r="C107" i="1" a="1"/>
  <c r="C107" i="1"/>
  <c r="C97" i="1" a="1"/>
  <c r="C97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<sst xmlns="http://schemas.openxmlformats.org/spreadsheetml/2006/main" count="348" uniqueCount="302">
  <si>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</si>
  <si>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</si>
  <si>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</si>
  <si>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</si>
  <si>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</si>
  <si>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</si>
  <si>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</si>
  <si>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</si>
  <si>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</si>
  <si>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</si>
  <si>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</si>
  <si>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</si>
  <si>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</si>
  <si>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</si>
  <si>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</si>
  <si>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</si>
  <si>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</si>
  <si>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</si>
  <si>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</si>
  <si>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</si>
  <si>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</si>
  <si>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</si>
  <si>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</si>
  <si>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</si>
  <si>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</si>
  <si>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</si>
  <si>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</si>
  <si>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</si>
  <si>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</si>
  <si>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</si>
  <si>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</si>
  <si>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</si>
  <si>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</si>
  <si>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</si>
  <si>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</si>
  <si>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</si>
  <si>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</si>
  <si>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</si>
  <si>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</si>
  <si>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</si>
  <si>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</si>
  <si>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</si>
  <si>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</si>
  <si>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</si>
  <si>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</si>
  <si>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</si>
  <si>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</si>
  <si>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</si>
  <si>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</si>
  <si>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</si>
  <si>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</si>
  <si>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</si>
  <si>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</si>
  <si>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</si>
  <si>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</si>
  <si>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</si>
  <si>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</si>
  <si>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</si>
  <si>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</si>
  <si>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</si>
  <si>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</si>
  <si>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</si>
  <si>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</si>
  <si>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</si>
  <si>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</si>
  <si>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</si>
  <si>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</si>
  <si>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</si>
  <si>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</si>
  <si>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</si>
  <si>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</si>
  <si>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</si>
  <si>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</si>
  <si>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</si>
  <si>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</si>
  <si>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</si>
  <si>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</si>
  <si>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</si>
  <si>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</si>
  <si>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</si>
  <si>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</si>
  <si>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</si>
  <si>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</si>
  <si>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</si>
  <si>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</si>
  <si>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</si>
  <si>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</si>
  <si>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</si>
  <si>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</si>
  <si>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</si>
  <si>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</si>
  <si>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</si>
  <si>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</si>
  <si>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</si>
  <si>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</si>
  <si>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</si>
  <si>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</si>
  <si>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</si>
  <si>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</si>
  <si>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</si>
  <si>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</si>
  <si>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</si>
  <si>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</si>
  <si>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</si>
  <si>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</si>
  <si>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</si>
  <si>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</si>
  <si>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</si>
  <si>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</si>
  <si>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</si>
  <si>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</si>
  <si>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</si>
  <si>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</si>
  <si>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03 - Cash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</si>
  <si>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</si>
  <si>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</si>
  <si>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</si>
  <si>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</si>
  <si>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</si>
  <si>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</si>
  <si>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</si>
  <si>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</si>
  <si>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</si>
  <si>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</si>
  <si>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</si>
  <si>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</si>
  <si>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</si>
  <si>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</si>
  <si>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</si>
  <si>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</si>
  <si>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</si>
  <si>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</si>
  <si>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</si>
  <si>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</si>
  <si>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</si>
  <si>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</si>
  <si>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</si>
  <si>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</si>
  <si>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</si>
  <si>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</si>
  <si>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</si>
  <si>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</si>
  <si>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</si>
  <si>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</si>
  <si>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</si>
  <si>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</si>
  <si>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</si>
  <si>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</si>
  <si>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</si>
  <si>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</si>
  <si>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</si>
  <si>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</si>
  <si>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</si>
  <si>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</si>
  <si>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</si>
  <si>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</si>
  <si>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</si>
  <si>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</si>
  <si>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</si>
  <si>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</si>
  <si>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</si>
  <si>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</si>
  <si>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</si>
  <si>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</si>
  <si>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</si>
  <si>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</si>
  <si>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</si>
  <si>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</si>
  <si>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</si>
  <si>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</si>
  <si>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</si>
  <si>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</si>
  <si>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</si>
  <si>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</si>
  <si>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</si>
  <si>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</si>
  <si>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</si>
  <si>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</si>
  <si>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</si>
  <si>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</si>
  <si>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</si>
  <si>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</si>
  <si>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</si>
  <si>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</si>
  <si>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</si>
  <si>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</si>
  <si>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</si>
  <si>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</si>
  <si>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</si>
  <si>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</si>
  <si>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</si>
  <si>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</si>
  <si>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</si>
  <si>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</si>
  <si>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</si>
  <si>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</si>
  <si>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</si>
  <si>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</si>
  <si>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</si>
  <si>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</si>
  <si>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</si>
  <si>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</si>
  <si>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</si>
  <si>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</si>
  <si>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</si>
  <si>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</si>
  <si>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</si>
  <si>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</si>
  <si>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</si>
  <si>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</si>
  <si>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</si>
  <si>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</si>
  <si>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</si>
  <si>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</si>
  <si>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</si>
  <si>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</si>
  <si>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</si>
  <si>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</si>
  <si>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</si>
  <si>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</si>
  <si>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</si>
  <si>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</si>
  <si>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</si>
  <si>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</si>
  <si>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</si>
  <si>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</si>
  <si>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</si>
  <si>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</si>
  <si>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</si>
  <si>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</si>
  <si>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</si>
  <si>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</si>
  <si>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</si>
  <si>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</si>
  <si>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</si>
  <si>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</si>
  <si>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</si>
  <si>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</si>
  <si>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</si>
  <si>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</si>
  <si>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</si>
  <si>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</si>
  <si>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</si>
  <si>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</si>
  <si>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</si>
  <si>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</si>
  <si>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</si>
  <si>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</si>
  <si>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</si>
  <si>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</si>
  <si>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</si>
  <si>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</si>
  <si>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</si>
  <si>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</si>
  <si>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</si>
  <si>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</si>
  <si>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</si>
  <si>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</si>
  <si>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</si>
  <si>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</si>
  <si>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</si>
  <si>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</si>
  <si>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</si>
  <si>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</si>
  <si>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</si>
  <si>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</si>
  <si>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</si>
  <si>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</si>
  <si>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</si>
  <si>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</si>
  <si>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</si>
  <si>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</si>
  <si>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</si>
  <si>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</si>
  <si>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</si>
  <si>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</si>
  <si>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</si>
  <si>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</si>
  <si>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</si>
  <si>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</si>
  <si>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</si>
  <si>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</si>
  <si>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</si>
  <si>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</si>
  <si>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</si>
  <si>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</si>
  <si>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</si>
  <si>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</si>
  <si>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</si>
  <si>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</si>
  <si>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</si>
  <si>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</si>
  <si>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</si>
  <si>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</si>
  <si>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</si>
  <si>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</si>
  <si>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Prior Year Actual</t>
  </si>
  <si>
    <t>Program</t>
  </si>
  <si>
    <t>Group Data Entry - New Adj 07 - Customer Numbers</t>
  </si>
  <si>
    <t>Group Adjustment - Customer Number</t>
  </si>
  <si>
    <t>Customer Numbers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</si>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</sst>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6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6" xfId="0" applyFill="1" applyBorder="1" applyAlignment="1">
      <alignment horizontal="right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3.emf"/><Relationship Id="rId3" Type="http://schemas.openxmlformats.org/officeDocument/2006/relationships/image" Target="../media/image13.emf"/><Relationship Id="rId7" Type="http://schemas.openxmlformats.org/officeDocument/2006/relationships/image" Target="../media/image9.emf"/><Relationship Id="rId12" Type="http://schemas.openxmlformats.org/officeDocument/2006/relationships/image" Target="../media/image4.emf"/><Relationship Id="rId2" Type="http://schemas.openxmlformats.org/officeDocument/2006/relationships/image" Target="../media/image14.emf"/><Relationship Id="rId1" Type="http://schemas.openxmlformats.org/officeDocument/2006/relationships/image" Target="../media/image15.emf"/><Relationship Id="rId6" Type="http://schemas.openxmlformats.org/officeDocument/2006/relationships/image" Target="../media/image10.emf"/><Relationship Id="rId11" Type="http://schemas.openxmlformats.org/officeDocument/2006/relationships/image" Target="../media/image5.emf"/><Relationship Id="rId5" Type="http://schemas.openxmlformats.org/officeDocument/2006/relationships/image" Target="../media/image11.emf"/><Relationship Id="rId15" Type="http://schemas.openxmlformats.org/officeDocument/2006/relationships/image" Target="../media/image1.emf"/><Relationship Id="rId10" Type="http://schemas.openxmlformats.org/officeDocument/2006/relationships/image" Target="../media/image6.emf"/><Relationship Id="rId4" Type="http://schemas.openxmlformats.org/officeDocument/2006/relationships/image" Target="../media/image12.emf"/><Relationship Id="rId9" Type="http://schemas.openxmlformats.org/officeDocument/2006/relationships/image" Target="../media/image7.emf"/><Relationship Id="rId1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119</xdr:row>
          <xdr:rowOff>0</xdr:rowOff>
        </xdr:from>
        <xdr:to>
          <xdr:col>9</xdr:col>
          <xdr:colOff>704850</xdr:colOff>
          <xdr:row>119</xdr:row>
          <xdr:rowOff>247650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119</xdr:row>
          <xdr:rowOff>0</xdr:rowOff>
        </xdr:from>
        <xdr:to>
          <xdr:col>9</xdr:col>
          <xdr:colOff>1866900</xdr:colOff>
          <xdr:row>119</xdr:row>
          <xdr:rowOff>247650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1190625</xdr:colOff>
          <xdr:row>119</xdr:row>
          <xdr:rowOff>0</xdr:rowOff>
        </xdr:from>
        <xdr:to>
          <xdr:col>17</xdr:col>
          <xdr:colOff>457200</xdr:colOff>
          <xdr:row>119</xdr:row>
          <xdr:rowOff>247650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1895475</xdr:colOff>
          <xdr:row>119</xdr:row>
          <xdr:rowOff>0</xdr:rowOff>
        </xdr:from>
        <xdr:to>
          <xdr:col>11</xdr:col>
          <xdr:colOff>0</xdr:colOff>
          <xdr:row>119</xdr:row>
          <xdr:rowOff>247650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276225</xdr:colOff>
          <xdr:row>119</xdr:row>
          <xdr:rowOff>0</xdr:rowOff>
        </xdr:from>
        <xdr:to>
          <xdr:col>15</xdr:col>
          <xdr:colOff>1152525</xdr:colOff>
          <xdr:row>119</xdr:row>
          <xdr:rowOff>247650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119</xdr:row>
          <xdr:rowOff>0</xdr:rowOff>
        </xdr:from>
        <xdr:to>
          <xdr:col>11</xdr:col>
          <xdr:colOff>1304925</xdr:colOff>
          <xdr:row>119</xdr:row>
          <xdr:rowOff>247650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152400</xdr:colOff>
          <xdr:row>119</xdr:row>
          <xdr:rowOff>0</xdr:rowOff>
        </xdr:from>
        <xdr:to>
          <xdr:col>13</xdr:col>
          <xdr:colOff>1057275</xdr:colOff>
          <xdr:row>119</xdr:row>
          <xdr:rowOff>247650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1076325</xdr:colOff>
          <xdr:row>119</xdr:row>
          <xdr:rowOff>0</xdr:rowOff>
        </xdr:from>
        <xdr:to>
          <xdr:col>15</xdr:col>
          <xdr:colOff>238125</xdr:colOff>
          <xdr:row>119</xdr:row>
          <xdr:rowOff>247650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1314450</xdr:colOff>
          <xdr:row>119</xdr:row>
          <xdr:rowOff>0</xdr:rowOff>
        </xdr:from>
        <xdr:to>
          <xdr:col>13</xdr:col>
          <xdr:colOff>114300</xdr:colOff>
          <xdr:row>119</xdr:row>
          <xdr:rowOff>247650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130</xdr:row>
          <xdr:rowOff>28575</xdr:rowOff>
        </xdr:from>
        <xdr:to>
          <xdr:col>9</xdr:col>
          <xdr:colOff>1314450</xdr:colOff>
          <xdr:row>130</xdr:row>
          <xdr:rowOff>285750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1343025</xdr:colOff>
          <xdr:row>130</xdr:row>
          <xdr:rowOff>28575</xdr:rowOff>
        </xdr:from>
        <xdr:to>
          <xdr:col>9</xdr:col>
          <xdr:colOff>2628900</xdr:colOff>
          <xdr:row>130</xdr:row>
          <xdr:rowOff>285750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1209675</xdr:colOff>
          <xdr:row>130</xdr:row>
          <xdr:rowOff>28575</xdr:rowOff>
        </xdr:from>
        <xdr:to>
          <xdr:col>13</xdr:col>
          <xdr:colOff>323850</xdr:colOff>
          <xdr:row>130</xdr:row>
          <xdr:rowOff>285750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381000</xdr:colOff>
          <xdr:row>130</xdr:row>
          <xdr:rowOff>28575</xdr:rowOff>
        </xdr:from>
        <xdr:to>
          <xdr:col>15</xdr:col>
          <xdr:colOff>28575</xdr:colOff>
          <xdr:row>130</xdr:row>
          <xdr:rowOff>285750</xdr:rowOff>
        </xdr:to>
        <xdr:sp macro="" textlink="">
          <xdr:nvSpPr>
            <xdr:cNvPr id="1042" name="TIButton14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552450</xdr:colOff>
          <xdr:row>132</xdr:row>
          <xdr:rowOff>85725</xdr:rowOff>
        </xdr:from>
        <xdr:to>
          <xdr:col>18</xdr:col>
          <xdr:colOff>790575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2657475</xdr:colOff>
          <xdr:row>130</xdr:row>
          <xdr:rowOff>28575</xdr:rowOff>
        </xdr:from>
        <xdr:to>
          <xdr:col>11</xdr:col>
          <xdr:colOff>1171575</xdr:colOff>
          <xdr:row>130</xdr:row>
          <xdr:rowOff>285750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40625" defaultRowHeight="15" outlineLevelRow="1" outlineLevelCol="1" x14ac:dyDescent="0.25"/>
  <cols>
    <col min="1" max="1" width="2.7109375" style="9" hidden="1" customWidth="1" outlineLevel="1"/>
    <col min="2" max="2" width="53" style="9" hidden="1" customWidth="1" outlineLevel="1"/>
    <col min="3" max="8" width="19.140625" style="9" hidden="1" customWidth="1" outlineLevel="1"/>
    <col min="9" max="9" width="0.85546875" style="9" customWidth="1" collapsed="1"/>
    <col min="10" max="10" width="40.7109375" style="9" customWidth="1"/>
    <col min="11" max="11" width="0.85546875" style="9" customWidth="1"/>
    <col min="12" max="12" width="31.7109375" style="9" bestFit="1" customWidth="1"/>
    <col min="13" max="13" width="0.85546875" style="9" customWidth="1"/>
    <col min="14" max="14" width="23.7109375" style="9" customWidth="1"/>
    <col min="15" max="15" width="0.85546875" style="9" customWidth="1"/>
    <col min="16" max="16" width="21.85546875" style="9" customWidth="1"/>
    <col min="17" max="17" width="0.85546875" style="9" customWidth="1"/>
    <col min="18" max="27" width="15.7109375" style="9" customWidth="1"/>
    <col min="28" max="31" width="9.7109375" style="9" bestFit="1" customWidth="1"/>
    <col min="32" max="16384" width="9.140625" style="9"/>
  </cols>
  <sheetData>
    <row r="1" spans="1:27" customFormat="1" ht="15" hidden="1" customHeight="1" outlineLevel="1" x14ac:dyDescent="0.25">
      <c r="A1" t="s">
        <v>0</v>
      </c>
    </row>
    <row r="2" spans="1:27" customFormat="1" ht="15" hidden="1" customHeight="1" outlineLevel="1" x14ac:dyDescent="0.25">
      <c r="A2">
        <f>0</f>
        <v>0</v>
      </c>
      <c r="B2" s="1"/>
    </row>
    <row r="3" spans="1:27" customFormat="1" ht="15" hidden="1" customHeight="1" outlineLevel="1" x14ac:dyDescent="0.25">
      <c r="A3">
        <f>1</f>
        <v>1</v>
      </c>
      <c r="B3" s="8"/>
    </row>
    <row r="4" spans="1:27" customFormat="1" ht="15" hidden="1" customHeight="1" outlineLevel="1" x14ac:dyDescent="0.25">
      <c r="A4">
        <f>2</f>
        <v>2</v>
      </c>
      <c r="B4" s="8"/>
    </row>
    <row r="5" spans="1:27" customFormat="1" ht="15" hidden="1" customHeight="1" outlineLevel="1" x14ac:dyDescent="0.25">
      <c r="A5">
        <f>3</f>
        <v>3</v>
      </c>
      <c r="B5" s="8"/>
    </row>
    <row r="6" spans="1:27" customFormat="1" ht="15" hidden="1" customHeight="1" outlineLevel="1" x14ac:dyDescent="0.25">
      <c r="A6" t="s">
        <v>1</v>
      </c>
      <c r="B6" s="8"/>
    </row>
    <row r="7" spans="1:27" customFormat="1" ht="15" hidden="1" customHeight="1" outlineLevel="1" x14ac:dyDescent="0.25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25">
      <c r="A8" t="s">
        <v>3</v>
      </c>
    </row>
    <row r="9" spans="1:27" customFormat="1" ht="4.5" hidden="1" customHeight="1" outlineLevel="1" x14ac:dyDescent="0.25"/>
    <row r="10" spans="1:27" customFormat="1" hidden="1" outlineLevel="1" x14ac:dyDescent="0.25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25">
      <c r="B11" s="50" t="s">
        <v>86</v>
      </c>
      <c r="C11" s="51"/>
      <c r="D11" s="52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25">
      <c r="B12" s="6" t="s">
        <v>6</v>
      </c>
      <c r="C12" s="7" t="s">
        <v>301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25">
      <c r="B13" s="6" t="s">
        <v>82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25">
      <c r="B14" s="6" t="s">
        <v>83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25">
      <c r="B15" s="6" t="s">
        <v>84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25">
      <c r="B16" s="6" t="s">
        <v>85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25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25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25">
      <c r="B19" s="50" t="s">
        <v>87</v>
      </c>
      <c r="C19" s="51"/>
      <c r="D19" s="52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25">
      <c r="B20" s="6" t="s">
        <v>88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25">
      <c r="B21" s="6" t="s">
        <v>89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25">
      <c r="B22" s="6" t="s">
        <v>90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25">
      <c r="B23" s="6" t="s">
        <v>91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25">
      <c r="B24" s="6" t="s">
        <v>92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25">
      <c r="B25" s="6" t="s">
        <v>93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25">
      <c r="B26" s="6" t="s">
        <v>94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25">
      <c r="B27" s="20" t="s">
        <v>133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25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25">
      <c r="B29" s="50" t="s">
        <v>95</v>
      </c>
      <c r="C29" s="51"/>
      <c r="D29" s="52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25">
      <c r="B30" s="7" t="s">
        <v>96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25">
      <c r="B31" s="7" t="s">
        <v>97</v>
      </c>
      <c r="C31" s="7" t="s">
        <v>112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25">
      <c r="B32" s="32" t="s">
        <v>98</v>
      </c>
      <c r="C32" s="33" t="s">
        <v>99</v>
      </c>
      <c r="D32" s="33" t="s">
        <v>100</v>
      </c>
      <c r="E32" s="33" t="s">
        <v>101</v>
      </c>
      <c r="F32" s="33" t="s">
        <v>102</v>
      </c>
      <c r="G32" s="33" t="s">
        <v>103</v>
      </c>
      <c r="H32" s="33" t="s">
        <v>104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25">
      <c r="B33" s="7" t="s">
        <v>105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25">
      <c r="B34" s="7" t="s">
        <v>106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25">
      <c r="B35" s="7" t="s">
        <v>107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25">
      <c r="B36" s="7" t="s">
        <v>136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25">
      <c r="B37" s="7" t="s">
        <v>108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25">
      <c r="B38" s="7" t="s">
        <v>109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25">
      <c r="B39" s="7" t="s">
        <v>110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25">
      <c r="B40" s="7" t="s">
        <v>111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25">
      <c r="B41" s="7" t="s">
        <v>112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25">
      <c r="B42" s="7" t="s">
        <v>113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25">
      <c r="B43" s="7" t="s">
        <v>114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25">
      <c r="B44" s="7" t="s">
        <v>291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25">
      <c r="B45" s="7" t="s">
        <v>294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25">
      <c r="B46" s="7" t="s">
        <v>298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25">
      <c r="B47" s="7" t="s">
        <v>115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25">
      <c r="B48" s="7" t="s">
        <v>116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25">
      <c r="B49" s="7" t="s">
        <v>117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25">
      <c r="B50" s="7" t="s">
        <v>118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25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25">
      <c r="B52" s="50" t="s">
        <v>119</v>
      </c>
      <c r="C52" s="51"/>
      <c r="D52" s="52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25">
      <c r="B53" s="6" t="s">
        <v>88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25">
      <c r="B54" s="6"/>
      <c r="C54" s="34" t="s">
        <v>72</v>
      </c>
      <c r="D54" s="34" t="s">
        <v>120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25">
      <c r="B55" s="7" t="s">
        <v>121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25">
      <c r="B56" s="7" t="s">
        <v>122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25">
      <c r="B57" s="7" t="s">
        <v>123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25">
      <c r="B58" s="7" t="s">
        <v>124</v>
      </c>
      <c r="C58" s="7" t="str" cm="1">
        <f t="array" aca="1" ref="C58" ca="1">TRIM(_xll.DBR($C$53,psUser,$B58,C$54))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25">
      <c r="B59" s="7" t="s">
        <v>125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25">
      <c r="B60" s="7" t="s">
        <v>126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25">
      <c r="B61" t="s">
        <v>266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25">
      <c r="B62" t="s">
        <v>267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25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25">
      <c r="B64" s="50" t="s">
        <v>127</v>
      </c>
      <c r="C64" s="51"/>
      <c r="D64" s="52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25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25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25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25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25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25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25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25">
      <c r="B72" s="50" t="s">
        <v>292</v>
      </c>
      <c r="C72" s="51"/>
      <c r="D72" s="52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25">
      <c r="B73" s="6" t="s">
        <v>89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25">
      <c r="B74" s="6" t="s">
        <v>293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25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25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.75" hidden="1" outlineLevel="1" thickBot="1" x14ac:dyDescent="0.3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25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25">
      <c r="B79" s="46" t="s">
        <v>42</v>
      </c>
      <c r="C79" s="46"/>
      <c r="D79" s="47" t="s">
        <v>43</v>
      </c>
      <c r="E79" s="47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25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80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.75" hidden="1" outlineLevel="1" thickBot="1" x14ac:dyDescent="0.3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25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>
        <f ca="1">_xll.SUBNM(db_name&amp;":id","",$C$58)</f>
        <v/>
      </c>
      <c r="G82" s="7" t="s">
        <v>81</v>
      </c>
      <c r="P82" s="15" t="s">
        <v>81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25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296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25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25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42" t="s">
        <v>35</v>
      </c>
      <c r="Q85" s="43"/>
      <c r="R85" s="43" t="e">
        <f ca="1">VLOOKUP(grp_per_display,$P$82:$AA$84,3,FALSE)</f>
        <v>#N/A</v>
      </c>
      <c r="S85" s="43" t="e">
        <f ca="1">VLOOKUP(grp_per_display,$P$82:$AA$84,4,FALSE)</f>
        <v>#N/A</v>
      </c>
      <c r="T85" s="43" t="e">
        <f ca="1">VLOOKUP(grp_per_display,$P$82:$AA$84,5,FALSE)</f>
        <v>#N/A</v>
      </c>
      <c r="U85" s="43" t="e">
        <f ca="1">VLOOKUP(grp_per_display,$P$82:$AA$84,6,FALSE)</f>
        <v>#N/A</v>
      </c>
      <c r="V85" s="43" t="e">
        <f ca="1">VLOOKUP(grp_per_display,$P$82:$AA$84,7,FALSE)</f>
        <v>#N/A</v>
      </c>
      <c r="W85" s="43" t="e">
        <f ca="1">VLOOKUP(grp_per_display,$P$82:$AA$84,8,FALSE)</f>
        <v>#N/A</v>
      </c>
      <c r="X85" s="43" t="e">
        <f ca="1">VLOOKUP(grp_per_display,$P$82:$AA$84,9,FALSE)</f>
        <v>#N/A</v>
      </c>
      <c r="Y85" s="43" t="e">
        <f ca="1">VLOOKUP(grp_per_display,$P$82:$AA$84,10,FALSE)</f>
        <v>#N/A</v>
      </c>
      <c r="Z85" s="43" t="e">
        <f ca="1">VLOOKUP(grp_per_display,$P$82:$AA$84,11,FALSE)</f>
        <v>#N/A</v>
      </c>
      <c r="AA85" s="44" t="e">
        <f ca="1">VLOOKUP(grp_per_display,$P$82:$AA$84,12,FALSE)</f>
        <v>#N/A</v>
      </c>
    </row>
    <row r="86" spans="2:27" customFormat="1" hidden="1" outlineLevel="1" x14ac:dyDescent="0.25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25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81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.75" hidden="1" outlineLevel="1" thickBot="1" x14ac:dyDescent="0.3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25">
      <c r="B89" s="6" t="s">
        <v>57</v>
      </c>
      <c r="C89" s="7" t="s">
        <v>300</v>
      </c>
      <c r="D89" s="7"/>
      <c r="E89" s="7"/>
      <c r="P89" s="40" t="s">
        <v>128</v>
      </c>
      <c r="R89" s="26" t="s">
        <v>72</v>
      </c>
      <c r="S89" s="26" t="s">
        <v>72</v>
      </c>
      <c r="T89" s="26" t="s">
        <v>72</v>
      </c>
      <c r="U89" s="26" t="s">
        <v>72</v>
      </c>
      <c r="V89" s="26" t="s">
        <v>72</v>
      </c>
      <c r="W89" s="26" t="s">
        <v>72</v>
      </c>
      <c r="X89" s="26" t="s">
        <v>72</v>
      </c>
      <c r="Y89" s="26" t="s">
        <v>72</v>
      </c>
      <c r="Z89" s="26" t="s">
        <v>72</v>
      </c>
      <c r="AA89" s="26" t="s">
        <v>72</v>
      </c>
    </row>
    <row r="90" spans="2:27" customFormat="1" hidden="1" outlineLevel="1" x14ac:dyDescent="0.25">
      <c r="B90" s="6" t="s">
        <v>129</v>
      </c>
      <c r="C90" s="7" t="s">
        <v>64</v>
      </c>
    </row>
    <row r="91" spans="2:27" customFormat="1" hidden="1" outlineLevel="1" x14ac:dyDescent="0.25"/>
    <row r="92" spans="2:27" customFormat="1" hidden="1" outlineLevel="1" x14ac:dyDescent="0.25">
      <c r="B92" s="46" t="s">
        <v>134</v>
      </c>
      <c r="C92" s="46"/>
    </row>
    <row r="93" spans="2:27" customFormat="1" hidden="1" outlineLevel="1" x14ac:dyDescent="0.25">
      <c r="B93" s="20" t="s">
        <v>135</v>
      </c>
      <c r="C93" t="str">
        <f ca="1">"sys_ae_" &amp;$C$84</f>
        <v>sys_ae_*KEY_ERR</v>
      </c>
    </row>
    <row r="94" spans="2:27" customFormat="1" hidden="1" outlineLevel="1" x14ac:dyDescent="0.25"/>
    <row r="95" spans="2:27" customFormat="1" hidden="1" outlineLevel="1" x14ac:dyDescent="0.25">
      <c r="B95" s="50" t="s">
        <v>268</v>
      </c>
      <c r="C95" s="51"/>
      <c r="D95" s="52"/>
      <c r="F95" s="53" t="s">
        <v>270</v>
      </c>
      <c r="G95" s="54"/>
      <c r="H95" s="55"/>
    </row>
    <row r="96" spans="2:27" customFormat="1" hidden="1" outlineLevel="1" x14ac:dyDescent="0.25">
      <c r="B96" s="7" t="s">
        <v>269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t="s">
        <v>67</v>
      </c>
      <c r="G96" t="str">
        <f ca="1">IF($C$97="",$C$24,"")</f>
        <v/>
      </c>
    </row>
    <row r="97" spans="2:7" customFormat="1" hidden="1" outlineLevel="1" x14ac:dyDescent="0.25">
      <c r="B97" s="7" t="s">
        <v>58</v>
      </c>
      <c r="C97" s="7" t="str" cm="1">
        <f t="array" aca="1" ref="C97" ca="1">_xll.DBR($C$96,psAccTemp,$B97)</f>
        <v>*KEY_ERR</v>
      </c>
      <c r="D97" s="7"/>
      <c r="F97" t="s">
        <v>68</v>
      </c>
      <c r="G97" t="str">
        <f ca="1">IF($C$98="",$C$25,"")</f>
        <v/>
      </c>
    </row>
    <row r="98" spans="2:7" customFormat="1" hidden="1" outlineLevel="1" x14ac:dyDescent="0.25">
      <c r="B98" s="7" t="s">
        <v>59</v>
      </c>
      <c r="C98" s="7" t="str" cm="1">
        <f t="array" aca="1" ref="C98" ca="1">_xll.DBR($C$96,psAccTemp,$B98)</f>
        <v>*KEY_ERR</v>
      </c>
      <c r="D98" s="7"/>
    </row>
    <row r="99" spans="2:7" customFormat="1" hidden="1" outlineLevel="1" x14ac:dyDescent="0.25"/>
    <row r="100" spans="2:7" customFormat="1" hidden="1" outlineLevel="1" x14ac:dyDescent="0.25">
      <c r="B100" s="53" t="s">
        <v>271</v>
      </c>
      <c r="C100" s="54"/>
      <c r="D100" s="55"/>
    </row>
    <row r="101" spans="2:7" customFormat="1" hidden="1" outlineLevel="1" x14ac:dyDescent="0.25">
      <c r="B101" s="7" t="s">
        <v>272</v>
      </c>
      <c r="C101" t="str" cm="1">
        <f t="array" aca="1" ref="C101" ca="1">_xll.DIMNM(db_name&amp;":"&amp; psProgDimName,_xll.DIMIX(db_name&amp;":"&amp;psProgDimName,psProg))</f>
        <v/>
      </c>
    </row>
    <row r="102" spans="2:7" customFormat="1" hidden="1" outlineLevel="1" x14ac:dyDescent="0.25">
      <c r="B102" s="7" t="s">
        <v>273</v>
      </c>
      <c r="C102" t="str">
        <f ca="1">"sys_" &amp;$C$101</f>
        <v>sys_</v>
      </c>
    </row>
    <row r="103" spans="2:7" customFormat="1" hidden="1" outlineLevel="1" x14ac:dyDescent="0.25">
      <c r="B103" s="7" t="s">
        <v>274</v>
      </c>
      <c r="C103" t="str">
        <f ca="1">$C$113</f>
        <v/>
      </c>
    </row>
    <row r="104" spans="2:7" customFormat="1" hidden="1" outlineLevel="1" x14ac:dyDescent="0.25">
      <c r="B104" s="7" t="s">
        <v>295</v>
      </c>
      <c r="C104" t="str" cm="1">
        <f t="array" aca="1" ref="C104" ca="1">_xll.DBSS($C$101,$C$53,psUser,$B$59,C$54)</f>
        <v>*KEY_ERR</v>
      </c>
    </row>
    <row r="105" spans="2:7" customFormat="1" hidden="1" outlineLevel="1" x14ac:dyDescent="0.25">
      <c r="B105" s="7" t="s">
        <v>279</v>
      </c>
      <c r="C105" t="str" cm="1">
        <f t="array" aca="1" ref="C105" ca="1">IF(psAccTemp="",_xll.DBSS($C$103,$C$53,psUser,$B$60,C$54),"")</f>
        <v/>
      </c>
    </row>
    <row r="106" spans="2:7" customFormat="1" hidden="1" outlineLevel="1" x14ac:dyDescent="0.25">
      <c r="B106" s="7" t="s">
        <v>281</v>
      </c>
      <c r="C106" t="str" cm="1">
        <f t="array" aca="1" ref="C106" ca="1">IF(psRE="",_xll.DBSS($G$96,$C$53,psUser,$B$61,C$54),"")</f>
        <v/>
      </c>
    </row>
    <row r="107" spans="2:7" customFormat="1" hidden="1" outlineLevel="1" x14ac:dyDescent="0.25">
      <c r="B107" s="7" t="s">
        <v>280</v>
      </c>
      <c r="C107" t="str" cm="1">
        <f t="array" aca="1" ref="C107" ca="1">IF(psJur="",_xll.DBSS($G$97,$C$53,psUser,$B$62,C$54),"")</f>
        <v/>
      </c>
    </row>
    <row r="108" spans="2:7" customFormat="1" hidden="1" outlineLevel="1" x14ac:dyDescent="0.25"/>
    <row r="109" spans="2:7" customFormat="1" hidden="1" outlineLevel="1" x14ac:dyDescent="0.25">
      <c r="B109" s="53" t="s">
        <v>275</v>
      </c>
      <c r="C109" s="54"/>
      <c r="D109" s="55"/>
    </row>
    <row r="110" spans="2:7" customFormat="1" hidden="1" outlineLevel="1" x14ac:dyDescent="0.25">
      <c r="B110" s="7" t="s">
        <v>276</v>
      </c>
      <c r="C110" s="7" t="str" cm="1">
        <f t="array" aca="1" ref="C110" ca="1">_xll.VIEW(db_name&amp;":AE account template mapping","!","!",$C$111)</f>
        <v>dcceew_geus:AE account template mapping</v>
      </c>
    </row>
    <row r="111" spans="2:7" customFormat="1" hidden="1" outlineLevel="1" x14ac:dyDescent="0.25">
      <c r="B111" s="7" t="s">
        <v>128</v>
      </c>
      <c r="C111" s="7" t="str" cm="1">
        <f t="array" aca="1" ref="C111" ca="1">_xll.SUBNM(db_name&amp;":account template measure","","flag")</f>
        <v/>
      </c>
    </row>
    <row r="112" spans="2:7" customFormat="1" hidden="1" outlineLevel="1" x14ac:dyDescent="0.25">
      <c r="B112" s="7" t="s">
        <v>277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25">
      <c r="B113" s="7" t="s">
        <v>278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25">
      <c r="T114" s="21"/>
    </row>
    <row r="115" spans="2:27" customFormat="1" hidden="1" outlineLevel="1" x14ac:dyDescent="0.25"/>
    <row r="116" spans="2:27" customFormat="1" hidden="1" outlineLevel="1" x14ac:dyDescent="0.25">
      <c r="B116" s="20"/>
    </row>
    <row r="117" spans="2:27" customFormat="1" hidden="1" outlineLevel="1" x14ac:dyDescent="0.25">
      <c r="B117" s="20"/>
    </row>
    <row r="118" spans="2:27" customFormat="1" ht="39.950000000000003" customHeight="1" collapsed="1" x14ac:dyDescent="0.25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299</v>
      </c>
      <c r="X118" s="23"/>
      <c r="Y118" s="5"/>
      <c r="Z118" s="23"/>
      <c r="AA118" s="23"/>
    </row>
    <row r="119" spans="2:27" customFormat="1" ht="4.5" customHeight="1" x14ac:dyDescent="0.25">
      <c r="B119" s="20"/>
    </row>
    <row r="120" spans="2:27" customFormat="1" ht="24" customHeight="1" x14ac:dyDescent="0.25">
      <c r="B120" s="20"/>
      <c r="J120" s="25"/>
      <c r="W120" s="25"/>
    </row>
    <row r="121" spans="2:27" customFormat="1" ht="1.5" customHeight="1" x14ac:dyDescent="0.25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25">
      <c r="B122" s="20"/>
    </row>
    <row r="123" spans="2:27" customFormat="1" x14ac:dyDescent="0.25">
      <c r="J123" s="39" t="s">
        <v>130</v>
      </c>
      <c r="K123" s="21"/>
      <c r="L123" s="36" t="str">
        <f ca="1">$C$56</f>
        <v>*KEY_ERR</v>
      </c>
      <c r="N123" s="37" t="s">
        <v>75</v>
      </c>
      <c r="O123" s="21"/>
      <c r="P123" s="45" t="str">
        <f ca="1">$C$57</f>
        <v>*KEY_ERR</v>
      </c>
      <c r="R123" s="39" t="s">
        <v>76</v>
      </c>
      <c r="S123" s="48" t="str">
        <f ca="1">$C$86</f>
        <v>*KEY_ERR</v>
      </c>
      <c r="T123" s="49"/>
      <c r="V123" s="39" t="s">
        <v>74</v>
      </c>
      <c r="W123" s="38" t="str">
        <f ca="1">$C$84</f>
        <v>*KEY_ERR</v>
      </c>
    </row>
    <row r="124" spans="2:27" customFormat="1" ht="3" customHeight="1" x14ac:dyDescent="0.25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25">
      <c r="J125" s="39" t="s">
        <v>73</v>
      </c>
      <c r="K125" s="21"/>
      <c r="L125" s="56" t="str">
        <f ca="1">$C$81</f>
        <v>*KEY_ERR</v>
      </c>
      <c r="M125" s="57"/>
      <c r="N125" s="57"/>
      <c r="O125" s="57"/>
      <c r="P125" s="58"/>
      <c r="R125" s="39" t="s">
        <v>77</v>
      </c>
      <c r="S125" s="59" t="str">
        <f ca="1">$C$58</f>
        <v>*KEY_ERR</v>
      </c>
      <c r="T125" s="60"/>
    </row>
    <row r="126" spans="2:27" customFormat="1" ht="3" customHeight="1" x14ac:dyDescent="0.25"/>
    <row r="127" spans="2:27" customFormat="1" x14ac:dyDescent="0.25">
      <c r="J127" s="39" t="s">
        <v>131</v>
      </c>
      <c r="L127" s="61" t="str">
        <f ca="1">$D$87</f>
        <v/>
      </c>
      <c r="M127" s="61"/>
      <c r="N127" s="61"/>
      <c r="R127" s="39" t="s">
        <v>78</v>
      </c>
      <c r="S127" s="61" t="str">
        <f ca="1">$D$88</f>
        <v/>
      </c>
      <c r="T127" s="61"/>
      <c r="U127" s="61"/>
      <c r="V127" s="61"/>
      <c r="W127" s="61"/>
      <c r="X127" s="61"/>
      <c r="Y127" s="61"/>
    </row>
    <row r="128" spans="2:27" customFormat="1" ht="4.5" customHeight="1" x14ac:dyDescent="0.25"/>
    <row r="129" spans="1:27" customFormat="1" ht="1.5" customHeight="1" x14ac:dyDescent="0.25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25"/>
    <row r="131" spans="1:27" customFormat="1" ht="24" customHeight="1" x14ac:dyDescent="0.25"/>
    <row r="132" spans="1:27" customFormat="1" ht="3" customHeight="1" x14ac:dyDescent="0.25"/>
    <row r="133" spans="1:27" customFormat="1" x14ac:dyDescent="0.25">
      <c r="D133" s="26" t="s">
        <v>58</v>
      </c>
      <c r="E133" s="26" t="s">
        <v>59</v>
      </c>
      <c r="J133" s="27" t="s">
        <v>137</v>
      </c>
      <c r="K133" s="28"/>
      <c r="L133" s="27" t="s">
        <v>60</v>
      </c>
      <c r="M133" s="28"/>
      <c r="N133" s="27" t="s">
        <v>61</v>
      </c>
      <c r="O133" s="28" t="s">
        <v>62</v>
      </c>
      <c r="P133" s="27" t="s">
        <v>63</v>
      </c>
      <c r="U133" s="65" t="s">
        <v>132</v>
      </c>
      <c r="V133" s="65"/>
      <c r="W133" s="65"/>
    </row>
    <row r="134" spans="1:27" customFormat="1" x14ac:dyDescent="0.25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79</v>
      </c>
      <c r="U134" s="62" t="str" cm="1">
        <f t="array" aca="1" ref="U134" ca="1">_xll.SUBNM(db_name&amp;":sys_period display","","Current")</f>
        <v/>
      </c>
      <c r="V134" s="63"/>
      <c r="W134" s="64"/>
    </row>
    <row r="135" spans="1:27" customFormat="1" ht="30" customHeight="1" x14ac:dyDescent="0.25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25"/>
    <row r="137" spans="1:27" customFormat="1" x14ac:dyDescent="0.25">
      <c r="B137" s="26" t="s">
        <v>65</v>
      </c>
      <c r="C137" s="26" t="s">
        <v>66</v>
      </c>
      <c r="D137" s="26" t="s">
        <v>67</v>
      </c>
      <c r="E137" s="26" t="s">
        <v>68</v>
      </c>
      <c r="F137" s="26" t="s">
        <v>69</v>
      </c>
      <c r="G137" s="26" t="s">
        <v>70</v>
      </c>
      <c r="H137" s="26" t="s">
        <v>71</v>
      </c>
      <c r="I137" s="31"/>
      <c r="J137" s="26" t="s">
        <v>297</v>
      </c>
      <c r="K137" s="31"/>
      <c r="L137" s="26" t="s">
        <v>66</v>
      </c>
      <c r="M137" s="31"/>
      <c r="N137" s="26" t="s">
        <v>67</v>
      </c>
      <c r="O137" s="31"/>
      <c r="P137" s="26" t="s">
        <v>68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x14ac:dyDescent="0.25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L125:P125"/>
    <mergeCell ref="S125:T125"/>
    <mergeCell ref="S127:Y127"/>
    <mergeCell ref="U134:W134"/>
    <mergeCell ref="L127:N127"/>
    <mergeCell ref="U133:W133"/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</mergeCells>
  <conditionalFormatting sqref="N134">
    <cfRule type="expression" dxfId="4" priority="2">
      <formula>$D$134&lt;&gt;"Y"</formula>
    </cfRule>
  </conditionalFormatting>
  <conditionalFormatting sqref="P134">
    <cfRule type="expression" dxfId="3" priority="1">
      <formula>$E$134&lt;&gt;"Y"</formula>
    </cfRule>
  </conditionalFormatting>
  <conditionalFormatting sqref="S123:T123">
    <cfRule type="containsText" dxfId="2" priority="3" operator="containsText" text="CBMS">
      <formula>NOT(ISERROR(SEARCH("CBMS",S123)))</formula>
    </cfRule>
    <cfRule type="beginsWith" dxfId="1" priority="4" operator="beginsWith" text="un">
      <formula>LEFT(S123,LEN("un"))="un"</formula>
    </cfRule>
    <cfRule type="containsText" dxfId="0" priority="5" operator="containsText" text="approve">
      <formula>NOT(ISERROR(SEARCH("approve",S123)))</formula>
    </cfRule>
  </conditionalFormatting>
  <pageMargins left="0.70866141732283472" right="0.70866141732283472" top="0.74803149606299213" bottom="0.74803149606299213" header="0.31496062992125984" footer="0.31496062992125984"/>
  <pageSetup paperSize="9" scale="41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4" r:id="rId4" name="TIButton8">
          <controlPr defaultSize="0" print="0" autoLine="0" r:id="rId5">
            <anchor moveWithCells="1" sizeWithCells="1">
              <from>
                <xdr:col>9</xdr:col>
                <xdr:colOff>2657475</xdr:colOff>
                <xdr:row>130</xdr:row>
                <xdr:rowOff>28575</xdr:rowOff>
              </from>
              <to>
                <xdr:col>11</xdr:col>
                <xdr:colOff>1171575</xdr:colOff>
                <xdr:row>130</xdr:row>
                <xdr:rowOff>285750</xdr:rowOff>
              </to>
            </anchor>
          </controlPr>
        </control>
      </mc:Choice>
      <mc:Fallback>
        <control shapeId="1044" r:id="rId4" name="TIButton8"/>
      </mc:Fallback>
    </mc:AlternateContent>
    <mc:AlternateContent xmlns:mc="http://schemas.openxmlformats.org/markup-compatibility/2006">
      <mc:Choice Requires="x14">
        <control shapeId="1043" r:id="rId6" name="TIButton15">
          <controlPr defaultSize="0" print="0" autoLine="0" autoPict="0" r:id="rId7">
            <anchor moveWithCells="1" sizeWithCells="1">
              <from>
                <xdr:col>17</xdr:col>
                <xdr:colOff>552450</xdr:colOff>
                <xdr:row>132</xdr:row>
                <xdr:rowOff>85725</xdr:rowOff>
              </from>
              <to>
                <xdr:col>18</xdr:col>
                <xdr:colOff>790575</xdr:colOff>
                <xdr:row>133</xdr:row>
                <xdr:rowOff>152400</xdr:rowOff>
              </to>
            </anchor>
          </controlPr>
        </control>
      </mc:Choice>
      <mc:Fallback>
        <control shapeId="1043" r:id="rId6" name="TIButton15"/>
      </mc:Fallback>
    </mc:AlternateContent>
    <mc:AlternateContent xmlns:mc="http://schemas.openxmlformats.org/markup-compatibility/2006">
      <mc:Choice Requires="x14">
        <control shapeId="1042" r:id="rId8" name="TIButton14">
          <controlPr defaultSize="0" print="0" autoLine="0" r:id="rId9">
            <anchor moveWithCells="1" sizeWithCells="1">
              <from>
                <xdr:col>13</xdr:col>
                <xdr:colOff>381000</xdr:colOff>
                <xdr:row>130</xdr:row>
                <xdr:rowOff>28575</xdr:rowOff>
              </from>
              <to>
                <xdr:col>15</xdr:col>
                <xdr:colOff>28575</xdr:colOff>
                <xdr:row>130</xdr:row>
                <xdr:rowOff>285750</xdr:rowOff>
              </to>
            </anchor>
          </controlPr>
        </control>
      </mc:Choice>
      <mc:Fallback>
        <control shapeId="1042" r:id="rId8" name="TIButton14"/>
      </mc:Fallback>
    </mc:AlternateContent>
    <mc:AlternateContent xmlns:mc="http://schemas.openxmlformats.org/markup-compatibility/2006">
      <mc:Choice Requires="x14">
        <control shapeId="1041" r:id="rId10" name="TIButton13">
          <controlPr defaultSize="0" print="0" autoLine="0" r:id="rId11">
            <anchor moveWithCells="1" sizeWithCells="1">
              <from>
                <xdr:col>11</xdr:col>
                <xdr:colOff>1209675</xdr:colOff>
                <xdr:row>130</xdr:row>
                <xdr:rowOff>28575</xdr:rowOff>
              </from>
              <to>
                <xdr:col>13</xdr:col>
                <xdr:colOff>323850</xdr:colOff>
                <xdr:row>130</xdr:row>
                <xdr:rowOff>285750</xdr:rowOff>
              </to>
            </anchor>
          </controlPr>
        </control>
      </mc:Choice>
      <mc:Fallback>
        <control shapeId="1041" r:id="rId10" name="TIButton13"/>
      </mc:Fallback>
    </mc:AlternateContent>
    <mc:AlternateContent xmlns:mc="http://schemas.openxmlformats.org/markup-compatibility/2006">
      <mc:Choice Requires="x14">
        <control shapeId="1040" r:id="rId12" name="TIButton12">
          <controlPr defaultSize="0" print="0" autoLine="0" autoPict="0" r:id="rId13">
            <anchor moveWithCells="1" sizeWithCells="1">
              <from>
                <xdr:col>9</xdr:col>
                <xdr:colOff>1343025</xdr:colOff>
                <xdr:row>130</xdr:row>
                <xdr:rowOff>28575</xdr:rowOff>
              </from>
              <to>
                <xdr:col>9</xdr:col>
                <xdr:colOff>2628900</xdr:colOff>
                <xdr:row>130</xdr:row>
                <xdr:rowOff>285750</xdr:rowOff>
              </to>
            </anchor>
          </controlPr>
        </control>
      </mc:Choice>
      <mc:Fallback>
        <control shapeId="1040" r:id="rId12" name="TIButton12"/>
      </mc:Fallback>
    </mc:AlternateContent>
    <mc:AlternateContent xmlns:mc="http://schemas.openxmlformats.org/markup-compatibility/2006">
      <mc:Choice Requires="x14">
        <control shapeId="1039" r:id="rId14" name="TIButton7">
          <controlPr defaultSize="0" print="0" autoLine="0" autoPict="0" r:id="rId15">
            <anchor moveWithCells="1" sizeWithCells="1">
              <from>
                <xdr:col>9</xdr:col>
                <xdr:colOff>28575</xdr:colOff>
                <xdr:row>130</xdr:row>
                <xdr:rowOff>28575</xdr:rowOff>
              </from>
              <to>
                <xdr:col>9</xdr:col>
                <xdr:colOff>1314450</xdr:colOff>
                <xdr:row>130</xdr:row>
                <xdr:rowOff>285750</xdr:rowOff>
              </to>
            </anchor>
          </controlPr>
        </control>
      </mc:Choice>
      <mc:Fallback>
        <control shapeId="1039" r:id="rId14" name="TIButton7"/>
      </mc:Fallback>
    </mc:AlternateContent>
    <mc:AlternateContent xmlns:mc="http://schemas.openxmlformats.org/markup-compatibility/2006">
      <mc:Choice Requires="x14">
        <control shapeId="1038" r:id="rId16" name="TIButton11">
          <controlPr defaultSize="0" print="0" autoLine="0" r:id="rId17">
            <anchor moveWithCells="1" sizeWithCells="1">
              <from>
                <xdr:col>11</xdr:col>
                <xdr:colOff>1314450</xdr:colOff>
                <xdr:row>119</xdr:row>
                <xdr:rowOff>0</xdr:rowOff>
              </from>
              <to>
                <xdr:col>13</xdr:col>
                <xdr:colOff>114300</xdr:colOff>
                <xdr:row>119</xdr:row>
                <xdr:rowOff>247650</xdr:rowOff>
              </to>
            </anchor>
          </controlPr>
        </control>
      </mc:Choice>
      <mc:Fallback>
        <control shapeId="1038" r:id="rId16" name="TIButton11"/>
      </mc:Fallback>
    </mc:AlternateContent>
    <mc:AlternateContent xmlns:mc="http://schemas.openxmlformats.org/markup-compatibility/2006">
      <mc:Choice Requires="x14">
        <control shapeId="1037" r:id="rId18" name="TIButton10">
          <controlPr defaultSize="0" print="0" autoLine="0" r:id="rId19">
            <anchor moveWithCells="1" sizeWithCells="1">
              <from>
                <xdr:col>13</xdr:col>
                <xdr:colOff>1076325</xdr:colOff>
                <xdr:row>119</xdr:row>
                <xdr:rowOff>0</xdr:rowOff>
              </from>
              <to>
                <xdr:col>15</xdr:col>
                <xdr:colOff>238125</xdr:colOff>
                <xdr:row>119</xdr:row>
                <xdr:rowOff>247650</xdr:rowOff>
              </to>
            </anchor>
          </controlPr>
        </control>
      </mc:Choice>
      <mc:Fallback>
        <control shapeId="1037" r:id="rId18" name="TIButton10"/>
      </mc:Fallback>
    </mc:AlternateContent>
    <mc:AlternateContent xmlns:mc="http://schemas.openxmlformats.org/markup-compatibility/2006">
      <mc:Choice Requires="x14">
        <control shapeId="1036" r:id="rId20" name="TIButton9">
          <controlPr defaultSize="0" print="0" autoLine="0" r:id="rId21">
            <anchor moveWithCells="1" sizeWithCells="1">
              <from>
                <xdr:col>13</xdr:col>
                <xdr:colOff>152400</xdr:colOff>
                <xdr:row>119</xdr:row>
                <xdr:rowOff>0</xdr:rowOff>
              </from>
              <to>
                <xdr:col>13</xdr:col>
                <xdr:colOff>1057275</xdr:colOff>
                <xdr:row>119</xdr:row>
                <xdr:rowOff>247650</xdr:rowOff>
              </to>
            </anchor>
          </controlPr>
        </control>
      </mc:Choice>
      <mc:Fallback>
        <control shapeId="1036" r:id="rId20" name="TIButton9"/>
      </mc:Fallback>
    </mc:AlternateContent>
    <mc:AlternateContent xmlns:mc="http://schemas.openxmlformats.org/markup-compatibility/2006">
      <mc:Choice Requires="x14">
        <control shapeId="1033" r:id="rId22" name="TIButton6">
          <controlPr defaultSize="0" print="0" autoLine="0" r:id="rId23">
            <anchor moveWithCells="1" sizeWithCells="1">
              <from>
                <xdr:col>11</xdr:col>
                <xdr:colOff>19050</xdr:colOff>
                <xdr:row>119</xdr:row>
                <xdr:rowOff>0</xdr:rowOff>
              </from>
              <to>
                <xdr:col>11</xdr:col>
                <xdr:colOff>1304925</xdr:colOff>
                <xdr:row>119</xdr:row>
                <xdr:rowOff>247650</xdr:rowOff>
              </to>
            </anchor>
          </controlPr>
        </control>
      </mc:Choice>
      <mc:Fallback>
        <control shapeId="1033" r:id="rId22" name="TIButton6"/>
      </mc:Fallback>
    </mc:AlternateContent>
    <mc:AlternateContent xmlns:mc="http://schemas.openxmlformats.org/markup-compatibility/2006">
      <mc:Choice Requires="x14">
        <control shapeId="1032" r:id="rId24" name="TIButton5">
          <controlPr defaultSize="0" print="0" autoLine="0" r:id="rId25">
            <anchor moveWithCells="1" sizeWithCells="1">
              <from>
                <xdr:col>15</xdr:col>
                <xdr:colOff>276225</xdr:colOff>
                <xdr:row>119</xdr:row>
                <xdr:rowOff>0</xdr:rowOff>
              </from>
              <to>
                <xdr:col>15</xdr:col>
                <xdr:colOff>1152525</xdr:colOff>
                <xdr:row>119</xdr:row>
                <xdr:rowOff>247650</xdr:rowOff>
              </to>
            </anchor>
          </controlPr>
        </control>
      </mc:Choice>
      <mc:Fallback>
        <control shapeId="1032" r:id="rId24" name="TIButton5"/>
      </mc:Fallback>
    </mc:AlternateContent>
    <mc:AlternateContent xmlns:mc="http://schemas.openxmlformats.org/markup-compatibility/2006">
      <mc:Choice Requires="x14">
        <control shapeId="1031" r:id="rId26" name="TIButton4">
          <controlPr defaultSize="0" print="0" autoLine="0" autoPict="0" r:id="rId27">
            <anchor moveWithCells="1" sizeWithCells="1">
              <from>
                <xdr:col>9</xdr:col>
                <xdr:colOff>1895475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247650</xdr:rowOff>
              </to>
            </anchor>
          </controlPr>
        </control>
      </mc:Choice>
      <mc:Fallback>
        <control shapeId="1031" r:id="rId26" name="TIButton4"/>
      </mc:Fallback>
    </mc:AlternateContent>
    <mc:AlternateContent xmlns:mc="http://schemas.openxmlformats.org/markup-compatibility/2006">
      <mc:Choice Requires="x14">
        <control shapeId="1030" r:id="rId28" name="TIButton3">
          <controlPr defaultSize="0" print="0" autoLine="0" autoPict="0" r:id="rId29">
            <anchor moveWithCells="1" sizeWithCells="1">
              <from>
                <xdr:col>15</xdr:col>
                <xdr:colOff>1190625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247650</xdr:rowOff>
              </to>
            </anchor>
          </controlPr>
        </control>
      </mc:Choice>
      <mc:Fallback>
        <control shapeId="1030" r:id="rId28" name="TIButton3"/>
      </mc:Fallback>
    </mc:AlternateContent>
    <mc:AlternateContent xmlns:mc="http://schemas.openxmlformats.org/markup-compatibility/2006">
      <mc:Choice Requires="x14">
        <control shapeId="1029" r:id="rId30" name="TIButton2">
          <controlPr defaultSize="0" print="0" autoLine="0" autoPict="0" r:id="rId31">
            <anchor moveWithCells="1" sizeWithCells="1">
              <from>
                <xdr:col>9</xdr:col>
                <xdr:colOff>742950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247650</xdr:rowOff>
              </to>
            </anchor>
          </controlPr>
        </control>
      </mc:Choice>
      <mc:Fallback>
        <control shapeId="1029" r:id="rId30" name="TIButton2"/>
      </mc:Fallback>
    </mc:AlternateContent>
    <mc:AlternateContent xmlns:mc="http://schemas.openxmlformats.org/markup-compatibility/2006">
      <mc:Choice Requires="x14">
        <control shapeId="1028" r:id="rId32" name="TIButton1">
          <controlPr defaultSize="0" print="0" autoLine="0" autoPict="0" r:id="rId33">
            <anchor moveWithCells="1" sizeWithCells="1">
              <from>
                <xdr:col>9</xdr:col>
                <xdr:colOff>66675</xdr:colOff>
                <xdr:row>119</xdr:row>
                <xdr:rowOff>0</xdr:rowOff>
              </from>
              <to>
                <xdr:col>9</xdr:col>
                <xdr:colOff>704850</xdr:colOff>
                <xdr:row>119</xdr:row>
                <xdr:rowOff>247650</xdr:rowOff>
              </to>
            </anchor>
          </controlPr>
        </control>
      </mc:Choice>
      <mc:Fallback>
        <control shapeId="1028" r:id="rId32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5" x14ac:dyDescent="0.25"/>
  <sheetData>
    <row r="1" spans="1:1" x14ac:dyDescent="0.25">
      <c r="A1" t="s">
        <v>282</v>
      </c>
    </row>
    <row r="2" spans="1:1" x14ac:dyDescent="0.25">
      <c r="A2" t="s">
        <v>283</v>
      </c>
    </row>
    <row r="3" spans="1:1" x14ac:dyDescent="0.25">
      <c r="A3" t="s">
        <v>284</v>
      </c>
    </row>
    <row r="4" spans="1:1" x14ac:dyDescent="0.25">
      <c r="A4" t="s">
        <v>285</v>
      </c>
    </row>
    <row r="5" spans="1:1" x14ac:dyDescent="0.25">
      <c r="A5" t="s">
        <v>286</v>
      </c>
    </row>
    <row r="6" spans="1:1" x14ac:dyDescent="0.25">
      <c r="A6" t="s">
        <v>287</v>
      </c>
    </row>
    <row r="7" spans="1:1" x14ac:dyDescent="0.25">
      <c r="A7" t="s">
        <v>288</v>
      </c>
    </row>
    <row r="8" spans="1:1" x14ac:dyDescent="0.25">
      <c r="A8" t="s">
        <v>289</v>
      </c>
    </row>
    <row r="9" spans="1:1" x14ac:dyDescent="0.25">
      <c r="A9" t="s">
        <v>290</v>
      </c>
    </row>
    <row r="10" spans="1:1" x14ac:dyDescent="0.25">
      <c r="A10" t="s">
        <v>138</v>
      </c>
    </row>
    <row r="11" spans="1:1" x14ac:dyDescent="0.25">
      <c r="A11" t="s">
        <v>139</v>
      </c>
    </row>
    <row r="12" spans="1:1" x14ac:dyDescent="0.25">
      <c r="A12" t="s">
        <v>140</v>
      </c>
    </row>
    <row r="13" spans="1:1" x14ac:dyDescent="0.25">
      <c r="A13" t="s">
        <v>141</v>
      </c>
    </row>
    <row r="14" spans="1:1" x14ac:dyDescent="0.25">
      <c r="A14" t="s">
        <v>142</v>
      </c>
    </row>
    <row r="15" spans="1:1" x14ac:dyDescent="0.25">
      <c r="A15" t="s">
        <v>143</v>
      </c>
    </row>
    <row r="16" spans="1:1" x14ac:dyDescent="0.25">
      <c r="A16" t="s">
        <v>144</v>
      </c>
    </row>
    <row r="17" spans="1:1" x14ac:dyDescent="0.25">
      <c r="A17" t="s">
        <v>145</v>
      </c>
    </row>
    <row r="18" spans="1:1" x14ac:dyDescent="0.25">
      <c r="A18" t="s">
        <v>146</v>
      </c>
    </row>
    <row r="19" spans="1:1" x14ac:dyDescent="0.25">
      <c r="A19" t="s">
        <v>147</v>
      </c>
    </row>
    <row r="20" spans="1:1" x14ac:dyDescent="0.25">
      <c r="A20" t="s">
        <v>148</v>
      </c>
    </row>
    <row r="21" spans="1:1" x14ac:dyDescent="0.25">
      <c r="A21" t="s">
        <v>149</v>
      </c>
    </row>
    <row r="22" spans="1:1" x14ac:dyDescent="0.25">
      <c r="A22" t="s">
        <v>150</v>
      </c>
    </row>
    <row r="23" spans="1:1" x14ac:dyDescent="0.25">
      <c r="A23" t="s">
        <v>151</v>
      </c>
    </row>
    <row r="24" spans="1:1" x14ac:dyDescent="0.25">
      <c r="A24" t="s">
        <v>152</v>
      </c>
    </row>
    <row r="25" spans="1:1" x14ac:dyDescent="0.25">
      <c r="A25" t="s">
        <v>153</v>
      </c>
    </row>
    <row r="26" spans="1:1" x14ac:dyDescent="0.25">
      <c r="A26" t="s">
        <v>154</v>
      </c>
    </row>
    <row r="27" spans="1:1" x14ac:dyDescent="0.25">
      <c r="A27" t="s">
        <v>155</v>
      </c>
    </row>
    <row r="28" spans="1:1" x14ac:dyDescent="0.25">
      <c r="A28" t="s">
        <v>156</v>
      </c>
    </row>
    <row r="29" spans="1:1" x14ac:dyDescent="0.25">
      <c r="A29" t="s">
        <v>157</v>
      </c>
    </row>
    <row r="30" spans="1:1" x14ac:dyDescent="0.25">
      <c r="A30" t="s">
        <v>158</v>
      </c>
    </row>
    <row r="31" spans="1:1" x14ac:dyDescent="0.25">
      <c r="A31" t="s">
        <v>159</v>
      </c>
    </row>
    <row r="32" spans="1:1" x14ac:dyDescent="0.25">
      <c r="A32" t="s">
        <v>160</v>
      </c>
    </row>
    <row r="33" spans="1:1" x14ac:dyDescent="0.25">
      <c r="A33" t="s">
        <v>161</v>
      </c>
    </row>
    <row r="34" spans="1:1" x14ac:dyDescent="0.25">
      <c r="A34" t="s">
        <v>162</v>
      </c>
    </row>
    <row r="35" spans="1:1" x14ac:dyDescent="0.25">
      <c r="A35" t="s">
        <v>163</v>
      </c>
    </row>
    <row r="36" spans="1:1" x14ac:dyDescent="0.25">
      <c r="A36" t="s">
        <v>164</v>
      </c>
    </row>
    <row r="37" spans="1:1" x14ac:dyDescent="0.25">
      <c r="A37" t="s">
        <v>165</v>
      </c>
    </row>
    <row r="38" spans="1:1" x14ac:dyDescent="0.25">
      <c r="A38" t="s">
        <v>166</v>
      </c>
    </row>
    <row r="39" spans="1:1" x14ac:dyDescent="0.25">
      <c r="A39" t="s">
        <v>167</v>
      </c>
    </row>
    <row r="40" spans="1:1" x14ac:dyDescent="0.25">
      <c r="A40" t="s">
        <v>168</v>
      </c>
    </row>
    <row r="41" spans="1:1" x14ac:dyDescent="0.25">
      <c r="A41" t="s">
        <v>169</v>
      </c>
    </row>
    <row r="42" spans="1:1" x14ac:dyDescent="0.25">
      <c r="A42" t="s">
        <v>170</v>
      </c>
    </row>
    <row r="43" spans="1:1" x14ac:dyDescent="0.25">
      <c r="A43" t="s">
        <v>171</v>
      </c>
    </row>
    <row r="44" spans="1:1" x14ac:dyDescent="0.25">
      <c r="A44" t="s">
        <v>172</v>
      </c>
    </row>
    <row r="45" spans="1:1" x14ac:dyDescent="0.25">
      <c r="A45" t="s">
        <v>173</v>
      </c>
    </row>
    <row r="46" spans="1:1" x14ac:dyDescent="0.25">
      <c r="A46" t="s">
        <v>174</v>
      </c>
    </row>
    <row r="47" spans="1:1" x14ac:dyDescent="0.25">
      <c r="A47" t="s">
        <v>175</v>
      </c>
    </row>
    <row r="48" spans="1:1" x14ac:dyDescent="0.25">
      <c r="A48" t="s">
        <v>176</v>
      </c>
    </row>
    <row r="49" spans="1:1" x14ac:dyDescent="0.25">
      <c r="A49" t="s">
        <v>177</v>
      </c>
    </row>
    <row r="50" spans="1:1" x14ac:dyDescent="0.25">
      <c r="A50" t="s">
        <v>178</v>
      </c>
    </row>
    <row r="51" spans="1:1" x14ac:dyDescent="0.25">
      <c r="A51" t="s">
        <v>179</v>
      </c>
    </row>
    <row r="52" spans="1:1" x14ac:dyDescent="0.25">
      <c r="A52" t="s">
        <v>180</v>
      </c>
    </row>
    <row r="53" spans="1:1" x14ac:dyDescent="0.25">
      <c r="A53" t="s">
        <v>181</v>
      </c>
    </row>
    <row r="54" spans="1:1" x14ac:dyDescent="0.25">
      <c r="A54" t="s">
        <v>182</v>
      </c>
    </row>
    <row r="55" spans="1:1" x14ac:dyDescent="0.25">
      <c r="A55" t="s">
        <v>183</v>
      </c>
    </row>
    <row r="56" spans="1:1" x14ac:dyDescent="0.25">
      <c r="A56" t="s">
        <v>184</v>
      </c>
    </row>
    <row r="57" spans="1:1" x14ac:dyDescent="0.25">
      <c r="A57" t="s">
        <v>185</v>
      </c>
    </row>
    <row r="58" spans="1:1" x14ac:dyDescent="0.25">
      <c r="A58" t="s">
        <v>186</v>
      </c>
    </row>
    <row r="59" spans="1:1" x14ac:dyDescent="0.25">
      <c r="A59" t="s">
        <v>187</v>
      </c>
    </row>
    <row r="60" spans="1:1" x14ac:dyDescent="0.25">
      <c r="A60" t="s">
        <v>188</v>
      </c>
    </row>
    <row r="61" spans="1:1" x14ac:dyDescent="0.25">
      <c r="A61" t="s">
        <v>189</v>
      </c>
    </row>
    <row r="62" spans="1:1" x14ac:dyDescent="0.25">
      <c r="A62" t="s">
        <v>190</v>
      </c>
    </row>
    <row r="63" spans="1:1" x14ac:dyDescent="0.25">
      <c r="A63" t="s">
        <v>191</v>
      </c>
    </row>
    <row r="64" spans="1:1" x14ac:dyDescent="0.25">
      <c r="A64" t="s">
        <v>192</v>
      </c>
    </row>
    <row r="65" spans="1:1" x14ac:dyDescent="0.25">
      <c r="A65" t="s">
        <v>193</v>
      </c>
    </row>
    <row r="66" spans="1:1" x14ac:dyDescent="0.25">
      <c r="A66" t="s">
        <v>194</v>
      </c>
    </row>
    <row r="67" spans="1:1" x14ac:dyDescent="0.25">
      <c r="A67" t="s">
        <v>195</v>
      </c>
    </row>
    <row r="68" spans="1:1" x14ac:dyDescent="0.25">
      <c r="A68" t="s">
        <v>196</v>
      </c>
    </row>
    <row r="69" spans="1:1" x14ac:dyDescent="0.25">
      <c r="A69" t="s">
        <v>197</v>
      </c>
    </row>
    <row r="70" spans="1:1" x14ac:dyDescent="0.25">
      <c r="A70" t="s">
        <v>198</v>
      </c>
    </row>
    <row r="71" spans="1:1" x14ac:dyDescent="0.25">
      <c r="A71" t="s">
        <v>199</v>
      </c>
    </row>
    <row r="72" spans="1:1" x14ac:dyDescent="0.25">
      <c r="A72" t="s">
        <v>200</v>
      </c>
    </row>
    <row r="73" spans="1:1" x14ac:dyDescent="0.25">
      <c r="A73" t="s">
        <v>201</v>
      </c>
    </row>
    <row r="74" spans="1:1" x14ac:dyDescent="0.25">
      <c r="A74" t="s">
        <v>202</v>
      </c>
    </row>
    <row r="75" spans="1:1" x14ac:dyDescent="0.25">
      <c r="A75" t="s">
        <v>203</v>
      </c>
    </row>
    <row r="76" spans="1:1" x14ac:dyDescent="0.25">
      <c r="A76" t="s">
        <v>204</v>
      </c>
    </row>
    <row r="77" spans="1:1" x14ac:dyDescent="0.25">
      <c r="A77" t="s">
        <v>205</v>
      </c>
    </row>
    <row r="78" spans="1:1" x14ac:dyDescent="0.25">
      <c r="A78" t="s">
        <v>206</v>
      </c>
    </row>
    <row r="79" spans="1:1" x14ac:dyDescent="0.25">
      <c r="A79" t="s">
        <v>207</v>
      </c>
    </row>
    <row r="80" spans="1:1" x14ac:dyDescent="0.25">
      <c r="A80" t="s">
        <v>208</v>
      </c>
    </row>
    <row r="81" spans="1:1" x14ac:dyDescent="0.25">
      <c r="A81" t="s">
        <v>209</v>
      </c>
    </row>
    <row r="82" spans="1:1" x14ac:dyDescent="0.25">
      <c r="A82" t="s">
        <v>210</v>
      </c>
    </row>
    <row r="83" spans="1:1" x14ac:dyDescent="0.25">
      <c r="A83" t="s">
        <v>211</v>
      </c>
    </row>
    <row r="84" spans="1:1" x14ac:dyDescent="0.25">
      <c r="A84" t="s">
        <v>212</v>
      </c>
    </row>
    <row r="85" spans="1:1" x14ac:dyDescent="0.25">
      <c r="A85" t="s">
        <v>213</v>
      </c>
    </row>
    <row r="86" spans="1:1" x14ac:dyDescent="0.25">
      <c r="A86" t="s">
        <v>214</v>
      </c>
    </row>
    <row r="87" spans="1:1" x14ac:dyDescent="0.25">
      <c r="A87" t="s">
        <v>215</v>
      </c>
    </row>
    <row r="88" spans="1:1" x14ac:dyDescent="0.25">
      <c r="A88" t="s">
        <v>216</v>
      </c>
    </row>
    <row r="89" spans="1:1" x14ac:dyDescent="0.25">
      <c r="A89" t="s">
        <v>217</v>
      </c>
    </row>
    <row r="90" spans="1:1" x14ac:dyDescent="0.25">
      <c r="A90" t="s">
        <v>218</v>
      </c>
    </row>
    <row r="91" spans="1:1" x14ac:dyDescent="0.25">
      <c r="A91" t="s">
        <v>219</v>
      </c>
    </row>
    <row r="92" spans="1:1" x14ac:dyDescent="0.25">
      <c r="A92" t="s">
        <v>220</v>
      </c>
    </row>
    <row r="93" spans="1:1" x14ac:dyDescent="0.25">
      <c r="A93" t="s">
        <v>221</v>
      </c>
    </row>
    <row r="94" spans="1:1" x14ac:dyDescent="0.25">
      <c r="A94" t="s">
        <v>222</v>
      </c>
    </row>
    <row r="95" spans="1:1" x14ac:dyDescent="0.25">
      <c r="A95" t="s">
        <v>223</v>
      </c>
    </row>
    <row r="96" spans="1:1" x14ac:dyDescent="0.25">
      <c r="A96" t="s">
        <v>224</v>
      </c>
    </row>
    <row r="97" spans="1:1" x14ac:dyDescent="0.25">
      <c r="A97" t="s">
        <v>225</v>
      </c>
    </row>
    <row r="98" spans="1:1" x14ac:dyDescent="0.25">
      <c r="A98" t="s">
        <v>226</v>
      </c>
    </row>
    <row r="99" spans="1:1" x14ac:dyDescent="0.25">
      <c r="A99" t="s">
        <v>227</v>
      </c>
    </row>
    <row r="100" spans="1:1" x14ac:dyDescent="0.25">
      <c r="A100" t="s">
        <v>228</v>
      </c>
    </row>
    <row r="101" spans="1:1" x14ac:dyDescent="0.25">
      <c r="A101" t="s">
        <v>229</v>
      </c>
    </row>
    <row r="102" spans="1:1" x14ac:dyDescent="0.25">
      <c r="A102" t="s">
        <v>230</v>
      </c>
    </row>
    <row r="103" spans="1:1" x14ac:dyDescent="0.25">
      <c r="A103" t="s">
        <v>231</v>
      </c>
    </row>
    <row r="104" spans="1:1" x14ac:dyDescent="0.25">
      <c r="A104" t="s">
        <v>232</v>
      </c>
    </row>
    <row r="105" spans="1:1" x14ac:dyDescent="0.25">
      <c r="A105" t="s">
        <v>233</v>
      </c>
    </row>
    <row r="106" spans="1:1" x14ac:dyDescent="0.25">
      <c r="A106" t="s">
        <v>234</v>
      </c>
    </row>
    <row r="107" spans="1:1" x14ac:dyDescent="0.25">
      <c r="A107" t="s">
        <v>235</v>
      </c>
    </row>
    <row r="108" spans="1:1" x14ac:dyDescent="0.25">
      <c r="A108" t="s">
        <v>236</v>
      </c>
    </row>
    <row r="109" spans="1:1" x14ac:dyDescent="0.25">
      <c r="A109" t="s">
        <v>237</v>
      </c>
    </row>
    <row r="110" spans="1:1" x14ac:dyDescent="0.25">
      <c r="A110" t="s">
        <v>238</v>
      </c>
    </row>
    <row r="111" spans="1:1" x14ac:dyDescent="0.25">
      <c r="A111" t="s">
        <v>239</v>
      </c>
    </row>
    <row r="112" spans="1:1" x14ac:dyDescent="0.25">
      <c r="A112" t="s">
        <v>240</v>
      </c>
    </row>
    <row r="113" spans="1:1" x14ac:dyDescent="0.25">
      <c r="A113" t="s">
        <v>241</v>
      </c>
    </row>
    <row r="114" spans="1:1" x14ac:dyDescent="0.25">
      <c r="A114" t="s">
        <v>242</v>
      </c>
    </row>
    <row r="115" spans="1:1" x14ac:dyDescent="0.25">
      <c r="A115" t="s">
        <v>243</v>
      </c>
    </row>
    <row r="116" spans="1:1" x14ac:dyDescent="0.25">
      <c r="A116" t="s">
        <v>244</v>
      </c>
    </row>
    <row r="117" spans="1:1" x14ac:dyDescent="0.25">
      <c r="A117" t="s">
        <v>245</v>
      </c>
    </row>
    <row r="118" spans="1:1" x14ac:dyDescent="0.25">
      <c r="A118" t="s">
        <v>246</v>
      </c>
    </row>
    <row r="119" spans="1:1" x14ac:dyDescent="0.25">
      <c r="A119" t="s">
        <v>247</v>
      </c>
    </row>
    <row r="120" spans="1:1" x14ac:dyDescent="0.25">
      <c r="A120" t="s">
        <v>248</v>
      </c>
    </row>
    <row r="121" spans="1:1" x14ac:dyDescent="0.25">
      <c r="A121" t="s">
        <v>249</v>
      </c>
    </row>
    <row r="122" spans="1:1" x14ac:dyDescent="0.25">
      <c r="A122" t="s">
        <v>250</v>
      </c>
    </row>
    <row r="123" spans="1:1" x14ac:dyDescent="0.25">
      <c r="A123" t="s">
        <v>251</v>
      </c>
    </row>
    <row r="124" spans="1:1" x14ac:dyDescent="0.25">
      <c r="A124" t="s">
        <v>252</v>
      </c>
    </row>
    <row r="125" spans="1:1" x14ac:dyDescent="0.25">
      <c r="A125" t="s">
        <v>253</v>
      </c>
    </row>
    <row r="126" spans="1:1" x14ac:dyDescent="0.25">
      <c r="A126" t="s">
        <v>254</v>
      </c>
    </row>
    <row r="127" spans="1:1" x14ac:dyDescent="0.25">
      <c r="A127" t="s">
        <v>255</v>
      </c>
    </row>
    <row r="128" spans="1:1" x14ac:dyDescent="0.25">
      <c r="A128" t="s">
        <v>256</v>
      </c>
    </row>
    <row r="129" spans="1:1" x14ac:dyDescent="0.25">
      <c r="A129" t="s">
        <v>257</v>
      </c>
    </row>
    <row r="130" spans="1:1" x14ac:dyDescent="0.25">
      <c r="A130" t="s">
        <v>258</v>
      </c>
    </row>
    <row r="131" spans="1:1" x14ac:dyDescent="0.25">
      <c r="A131" t="s">
        <v>259</v>
      </c>
    </row>
    <row r="132" spans="1:1" x14ac:dyDescent="0.25">
      <c r="A132" t="s">
        <v>260</v>
      </c>
    </row>
    <row r="133" spans="1:1" x14ac:dyDescent="0.25">
      <c r="A133" t="s">
        <v>261</v>
      </c>
    </row>
    <row r="134" spans="1:1" x14ac:dyDescent="0.25">
      <c r="A134" t="s">
        <v>262</v>
      </c>
    </row>
    <row r="135" spans="1:1" x14ac:dyDescent="0.25">
      <c r="A135" t="s">
        <v>263</v>
      </c>
    </row>
    <row r="136" spans="1:1" x14ac:dyDescent="0.25">
      <c r="A136" t="s">
        <v>264</v>
      </c>
    </row>
    <row r="137" spans="1:1" x14ac:dyDescent="0.25">
      <c r="A137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cust no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TM1GrpNewAdj02ExpDataEntryCAP</vt:lpstr>
      <vt:lpstr>TM1GrpNewAdj02ExpDataEntryWB</vt:lpstr>
      <vt:lpstr>TM1GrpNewAdj02ExpDataEntryWS</vt:lpstr>
      <vt:lpstr>TM1GrpNewAdj03CashDataEntryCAP</vt:lpstr>
      <vt:lpstr>TM1GrpNewAdj03CashDataEntryWB</vt:lpstr>
      <vt:lpstr>TM1GrpNewAdj03CashDataEntryWS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TM1GrpNewAdj07CustNoDataEntryCAP</vt:lpstr>
      <vt:lpstr>TM1GrpNewAdj07CustNoDataEntryWB</vt:lpstr>
      <vt:lpstr>TM1GrpNewAdj07CustNoDataEntryWS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'cust no'!TM1RPTDATARNG1</vt:lpstr>
      <vt:lpstr>'cust no'!TM1RPTFMTIDCOL</vt:lpstr>
      <vt:lpstr>'cust no'!TM1RPTFMTRNG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2019-08-15T00:28:21Z</dcterms:created>
  <dcterms:modified xsi:type="dcterms:W3CDTF">2025-08-05T04:40:35Z</dcterms:modified>
</cp:coreProperties>
</file>