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2.bin" ContentType="application/vnd.ms-office.activeX"/>
  <Override PartName="/xl/activeX/activeX6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5E3A55D6-5A7B-4CF1-845B-4BC1CBBF8F84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authorise" sheetId="1" r:id="rId1"/>
    <sheet name="{PL}PickLst" sheetId="2" state="hidden" r:id="rId2"/>
  </sheets>
  <definedNames>
    <definedName name="db_name">authorise!$B$2</definedName>
    <definedName name="psHLYear">authorise!$B$36</definedName>
    <definedName name="psID">authorise!$B$38</definedName>
    <definedName name="psProcess">authorise!$M$98</definedName>
    <definedName name="psScenario">authorise!$B$37</definedName>
    <definedName name="psStatus">authorise!$B$46</definedName>
    <definedName name="psUser">authorise!$B$4</definedName>
    <definedName name="sys_ws_lookup">authorise!$A$65:$E$69</definedName>
    <definedName name="TM1AdjIDListCAP">authorise!$C$22</definedName>
    <definedName name="TM1AdjIDListWB">authorise!$E$22</definedName>
    <definedName name="TM1AdjIDListWS">authorise!$G$22</definedName>
    <definedName name="TM1AuthWB">authorise!$C$64</definedName>
    <definedName name="TM1AuthWS">authorise!$D$64</definedName>
    <definedName name="TM1BackToAdjWB">authorise!$C$75</definedName>
    <definedName name="TM1BackToAdjWS">authorise!$D$75</definedName>
    <definedName name="TM1CancelWB">authorise!$C$72</definedName>
    <definedName name="TM1CancelWS">authorise!$D$72</definedName>
    <definedName name="TM1GrpNewAdj02ExpDataEntryCAP">authorise!$C$26</definedName>
    <definedName name="TM1GrpNewAdj02ExpDataEntryWB">authorise!$E$26</definedName>
    <definedName name="TM1GrpNewAdj02ExpDataEntryWS">authorise!$G$26</definedName>
    <definedName name="TM1GrpNewAdj08RecogDataEntryCAP">authorise!$C$27</definedName>
    <definedName name="TM1GrpNewAdj08RecogDataEntryWB">authorise!$E$27</definedName>
    <definedName name="TM1GrpNewAdj08RecogDataEntryWS">authorise!$G$27</definedName>
    <definedName name="TM1HomeAECAP">authorise!$C$20</definedName>
    <definedName name="TM1HomeAEDataEntryCAP">authorise!$C$21</definedName>
    <definedName name="TM1HomeAEDataEntryWB">authorise!$E$21</definedName>
    <definedName name="TM1HomeAEDataEntryWS">authorise!$G$21</definedName>
    <definedName name="TM1HomeAEWB">authorise!$E$20</definedName>
    <definedName name="TM1HomeAEWS">authorise!$G$20</definedName>
    <definedName name="TM1HomeCAP">authorise!$C$19</definedName>
    <definedName name="TM1HomeWB">authorise!$E$19</definedName>
    <definedName name="TM1HomeWS">authorise!$G$19</definedName>
    <definedName name="TM1NewAdj02DataEntryCAP">authorise!$C$23</definedName>
    <definedName name="TM1NewAdj02DataEntryWB">authorise!$E$23</definedName>
    <definedName name="TM1NewAdj02DataEntryWS">authorise!$G$23</definedName>
    <definedName name="TM1NewAdj03AuthCAP">authorise!$C$24</definedName>
    <definedName name="TM1NewAdj03AuthWB">authorise!$E$24</definedName>
    <definedName name="TM1NewAdj03AuthWS">authorise!$G$24</definedName>
    <definedName name="TM1NewAdj99ValidCAP">authorise!$C$25</definedName>
    <definedName name="TM1NewAdj99ValidWB">authorise!$E$25</definedName>
    <definedName name="TM1NewAdj99ValidWS">authorise!$G$25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 a="1"/>
  <c r="B16" i="1"/>
  <c r="B45" i="1" a="1"/>
  <c r="B45" i="1"/>
  <c r="B33" i="1" a="1"/>
  <c r="B33" i="1"/>
  <c r="B4" i="1" a="1"/>
  <c r="B4" i="1"/>
  <c r="B36" i="1" a="1"/>
  <c r="B36" i="1"/>
  <c r="B37" i="1" a="1"/>
  <c r="B38" i="1" a="1"/>
  <c r="B37" i="1"/>
  <c r="B38" i="1"/>
  <c r="B60" i="1" a="1"/>
  <c r="B60" i="1"/>
  <c r="B61" i="1" a="1"/>
  <c r="B61" i="1"/>
  <c r="B75" i="1"/>
  <c r="D75" i="1" a="1"/>
  <c r="D75" i="1"/>
  <c r="C75" i="1" a="1"/>
  <c r="C75" i="1"/>
  <c r="B66" i="1"/>
  <c r="B72" i="1"/>
  <c r="G27" i="1" a="1"/>
  <c r="G27" i="1"/>
  <c r="F27" i="1" a="1"/>
  <c r="F27" i="1"/>
  <c r="E27" i="1" a="1"/>
  <c r="E27" i="1"/>
  <c r="D27" i="1" a="1"/>
  <c r="D27" i="1"/>
  <c r="C27" i="1" a="1"/>
  <c r="C27" i="1"/>
  <c r="B27" i="1" a="1"/>
  <c r="B27" i="1"/>
  <c r="G26" i="1" a="1"/>
  <c r="G26" i="1"/>
  <c r="F26" i="1" a="1"/>
  <c r="F26" i="1"/>
  <c r="E26" i="1" a="1"/>
  <c r="E26" i="1"/>
  <c r="D26" i="1" a="1"/>
  <c r="D26" i="1"/>
  <c r="C26" i="1" a="1"/>
  <c r="C26" i="1"/>
  <c r="B26" i="1" a="1"/>
  <c r="B26" i="1"/>
  <c r="B35" i="1" a="1"/>
  <c r="B35" i="1"/>
  <c r="M98" i="1" a="1"/>
  <c r="M98" i="1"/>
  <c r="D72" i="1" a="1"/>
  <c r="D72" i="1"/>
  <c r="C72" i="1" a="1"/>
  <c r="C72" i="1"/>
  <c r="D69" i="1" a="1"/>
  <c r="D69" i="1"/>
  <c r="C69" i="1" a="1"/>
  <c r="C69" i="1"/>
  <c r="D68" i="1" a="1"/>
  <c r="D68" i="1"/>
  <c r="C68" i="1" a="1"/>
  <c r="C68" i="1"/>
  <c r="D67" i="1" a="1"/>
  <c r="D67" i="1"/>
  <c r="C67" i="1" a="1"/>
  <c r="C67" i="1"/>
  <c r="D66" i="1" a="1"/>
  <c r="D66" i="1"/>
  <c r="C66" i="1" a="1"/>
  <c r="C66" i="1"/>
  <c r="D65" i="1" a="1"/>
  <c r="D65" i="1"/>
  <c r="C65" i="1" a="1"/>
  <c r="C65" i="1"/>
  <c r="B59" i="1" a="1"/>
  <c r="B59" i="1"/>
  <c r="B58" i="1" a="1"/>
  <c r="B58" i="1"/>
  <c r="B57" i="1" a="1"/>
  <c r="B57" i="1"/>
  <c r="B56" i="1" a="1"/>
  <c r="B56" i="1"/>
  <c r="B55" i="1" a="1"/>
  <c r="B55" i="1"/>
  <c r="B54" i="1" a="1"/>
  <c r="B54" i="1"/>
  <c r="B53" i="1" a="1"/>
  <c r="B53" i="1"/>
  <c r="B52" i="1" a="1"/>
  <c r="B52" i="1"/>
  <c r="B51" i="1" a="1"/>
  <c r="B51" i="1"/>
  <c r="B50" i="1" a="1"/>
  <c r="B50" i="1"/>
  <c r="B49" i="1" a="1"/>
  <c r="B49" i="1"/>
  <c r="B48" i="1" a="1"/>
  <c r="B48" i="1"/>
  <c r="B46" i="1" a="1"/>
  <c r="B46" i="1"/>
  <c r="B42" i="1" a="1"/>
  <c r="B42" i="1"/>
  <c r="C41" i="1" a="1"/>
  <c r="C41" i="1"/>
  <c r="B41" i="1" a="1"/>
  <c r="B41" i="1"/>
  <c r="C40" i="1" a="1"/>
  <c r="C40" i="1"/>
  <c r="B40" i="1" a="1"/>
  <c r="B40" i="1"/>
  <c r="C39" i="1" a="1"/>
  <c r="C39" i="1"/>
  <c r="B39" i="1" a="1"/>
  <c r="B39" i="1"/>
  <c r="C38" i="1" a="1"/>
  <c r="C38" i="1"/>
  <c r="C37" i="1" a="1"/>
  <c r="C37" i="1"/>
  <c r="C36" i="1" a="1"/>
  <c r="C36" i="1"/>
  <c r="G25" i="1" a="1"/>
  <c r="G25" i="1"/>
  <c r="F25" i="1" a="1"/>
  <c r="F25" i="1"/>
  <c r="E25" i="1" a="1"/>
  <c r="E25" i="1"/>
  <c r="D25" i="1" a="1"/>
  <c r="D25" i="1"/>
  <c r="C25" i="1" a="1"/>
  <c r="C25" i="1"/>
  <c r="B25" i="1" a="1"/>
  <c r="B25" i="1"/>
  <c r="G24" i="1" a="1"/>
  <c r="G24" i="1"/>
  <c r="F24" i="1" a="1"/>
  <c r="F24" i="1"/>
  <c r="E24" i="1" a="1"/>
  <c r="E24" i="1"/>
  <c r="D24" i="1" a="1"/>
  <c r="D24" i="1"/>
  <c r="C24" i="1" a="1"/>
  <c r="C24" i="1"/>
  <c r="B24" i="1" a="1"/>
  <c r="B24" i="1"/>
  <c r="G23" i="1" a="1"/>
  <c r="G23" i="1"/>
  <c r="F23" i="1" a="1"/>
  <c r="F23" i="1"/>
  <c r="E23" i="1" a="1"/>
  <c r="E23" i="1"/>
  <c r="D23" i="1" a="1"/>
  <c r="D23" i="1"/>
  <c r="C23" i="1" a="1"/>
  <c r="C23" i="1"/>
  <c r="B23" i="1" a="1"/>
  <c r="B23" i="1"/>
  <c r="G22" i="1" a="1"/>
  <c r="G22" i="1"/>
  <c r="F22" i="1" a="1"/>
  <c r="F22" i="1"/>
  <c r="E22" i="1" a="1"/>
  <c r="E22" i="1"/>
  <c r="D22" i="1" a="1"/>
  <c r="D22" i="1"/>
  <c r="C22" i="1" a="1"/>
  <c r="C22" i="1"/>
  <c r="B22" i="1" a="1"/>
  <c r="B22" i="1"/>
  <c r="G21" i="1" a="1"/>
  <c r="G21" i="1"/>
  <c r="F21" i="1" a="1"/>
  <c r="F21" i="1"/>
  <c r="E21" i="1" a="1"/>
  <c r="E21" i="1"/>
  <c r="D21" i="1" a="1"/>
  <c r="D21" i="1"/>
  <c r="C21" i="1" a="1"/>
  <c r="C21" i="1"/>
  <c r="B21" i="1" a="1"/>
  <c r="B21" i="1"/>
  <c r="G20" i="1" a="1"/>
  <c r="G20" i="1"/>
  <c r="F20" i="1" a="1"/>
  <c r="F20" i="1"/>
  <c r="E20" i="1" a="1"/>
  <c r="E20" i="1"/>
  <c r="D20" i="1" a="1"/>
  <c r="D20" i="1"/>
  <c r="C20" i="1" a="1"/>
  <c r="C20" i="1"/>
  <c r="B20" i="1" a="1"/>
  <c r="B20" i="1"/>
  <c r="G19" i="1" a="1"/>
  <c r="G19" i="1"/>
  <c r="F19" i="1" a="1"/>
  <c r="F19" i="1"/>
  <c r="E19" i="1" a="1"/>
  <c r="E19" i="1"/>
  <c r="D19" i="1" a="1"/>
  <c r="D19" i="1"/>
  <c r="C19" i="1" a="1"/>
  <c r="C19" i="1"/>
  <c r="B19" i="1" a="1"/>
  <c r="B19" i="1"/>
  <c r="B10" i="1" a="1"/>
  <c r="B10" i="1"/>
  <c r="B12" i="1" a="1"/>
  <c r="B12" i="1"/>
  <c r="B11" i="1" a="1"/>
  <c r="B11" i="1"/>
  <c r="B3" i="1" a="1"/>
  <c r="B3" i="1"/>
  <c r="B6" i="1" a="1"/>
  <c r="B6" i="1"/>
  <c r="B5" i="1" a="1"/>
  <c r="B5" i="1"/>
  <c r="D64" i="1"/>
  <c r="C64" i="1"/>
  <c r="M89" i="1"/>
  <c r="M93" i="1"/>
  <c r="M91" i="1"/>
  <c r="M87" i="1"/>
  <c r="B47" i="1"/>
  <c r="B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<sst xmlns="http://schemas.openxmlformats.org/spreadsheetml/2006/main" count="108" uniqueCount="92">
  <si>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</si>
  <si>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</si>
  <si>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</si>
  <si>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</si>
  <si>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</si>
  <si>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</si>
  <si>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</si>
  <si>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</si>
  <si>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</si>
  <si>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</si>
  <si>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</si>
  <si>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</si>
  <si>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</si>
  <si>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</si>
  <si>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Data Entry - New Adj 01 - Header Details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</si>
  <si>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</si>
  <si>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</si>
  <si>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</si>
  <si>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</si>
  <si>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</si>
  <si>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</si>
  <si>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</si>
  <si>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</si>
  <si>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</si>
  <si>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</si>
  <si>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</si>
  <si>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02 - Adjustment Entry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</si>
  <si>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</si>
  <si>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</si>
  <si>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</si>
  <si>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</si>
  <si>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</si>
  <si>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</si>
  <si>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</si>
  <si>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AE ID Details</t>
  </si>
  <si>
    <t>Slice</t>
  </si>
  <si>
    <t>DESCRIPTIONS</t>
  </si>
  <si>
    <t>status</t>
  </si>
  <si>
    <t>status to use</t>
  </si>
  <si>
    <t>programme code</t>
  </si>
  <si>
    <t>appropriation type</t>
  </si>
  <si>
    <t>appropriation item</t>
  </si>
  <si>
    <t>spp</t>
  </si>
  <si>
    <t>outcome</t>
  </si>
  <si>
    <t>function</t>
  </si>
  <si>
    <t>reason</t>
  </si>
  <si>
    <t>measure</t>
  </si>
  <si>
    <t>title</t>
  </si>
  <si>
    <t>description</t>
  </si>
  <si>
    <t>disagree cash flow</t>
  </si>
  <si>
    <t>sys_approval process</t>
  </si>
  <si>
    <t>adj_approver comments</t>
  </si>
  <si>
    <t>adj_editable</t>
  </si>
  <si>
    <t>SUBNM ID</t>
  </si>
  <si>
    <t>ID :</t>
  </si>
  <si>
    <t>Title :</t>
  </si>
  <si>
    <t>comments</t>
  </si>
  <si>
    <t>Data Entry - New Adj 03 - Authorise</t>
  </si>
  <si>
    <t>Data Entry - New Adj 99 - Validations</t>
  </si>
  <si>
    <t>Used For Worksheet</t>
  </si>
  <si>
    <t>A</t>
  </si>
  <si>
    <t>N</t>
  </si>
  <si>
    <t>V</t>
  </si>
  <si>
    <t>Y</t>
  </si>
  <si>
    <t>TO USE FOR AUTHORISE BUTTON</t>
  </si>
  <si>
    <t>sys_Application Element</t>
  </si>
  <si>
    <t>Reason</t>
  </si>
  <si>
    <t>Go to Adj List</t>
  </si>
  <si>
    <t>Go to Financials</t>
  </si>
  <si>
    <t>Stay on Authorise Screen</t>
  </si>
  <si>
    <t>Go to Validation Screen</t>
  </si>
  <si>
    <t>CANCEL BUTTON</t>
  </si>
  <si>
    <t>approved non-flat file</t>
  </si>
  <si>
    <t>CBMS</t>
  </si>
  <si>
    <t>Description :</t>
  </si>
  <si>
    <t>SELECT PROCESS :</t>
  </si>
  <si>
    <t>Status :</t>
  </si>
  <si>
    <t>sys_adj process</t>
  </si>
  <si>
    <t>Copy</t>
  </si>
  <si>
    <t>Reverse</t>
  </si>
  <si>
    <t>Copy and Reverse</t>
  </si>
  <si>
    <t>Delete</t>
  </si>
  <si>
    <t>Copy/Reverse/Delete</t>
  </si>
  <si>
    <t>Note : Select Process, then click 'Run Process'.</t>
  </si>
  <si>
    <t xml:space="preserve">Note : Delete is only available for adjustments with unauthorised/unbalanced or draft status. </t>
  </si>
  <si>
    <t>Group Data Entry - New Adj 02 - Expense Data Entry</t>
  </si>
  <si>
    <t>Group Data Entry - New Adj 08 - Recognition</t>
  </si>
  <si>
    <t>Adjustment Type</t>
  </si>
  <si>
    <t>Group Adj Type</t>
  </si>
  <si>
    <t>Back To Adj (Financials Button)</t>
  </si>
  <si>
    <t>WorkBook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</si>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</sst>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rgb="FF9D202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4" fillId="4" borderId="4" xfId="0" applyFont="1" applyFill="1" applyBorder="1" applyAlignment="1">
      <alignment horizontal="center"/>
    </xf>
    <xf numFmtId="0" fontId="0" fillId="0" borderId="6" xfId="0" applyBorder="1"/>
    <xf numFmtId="0" fontId="2" fillId="2" borderId="4" xfId="0" applyFont="1" applyFill="1" applyBorder="1"/>
    <xf numFmtId="0" fontId="0" fillId="7" borderId="4" xfId="0" applyFill="1" applyBorder="1"/>
    <xf numFmtId="0" fontId="2" fillId="2" borderId="4" xfId="0" applyFont="1" applyFill="1" applyBorder="1" applyAlignment="1">
      <alignment horizontal="center"/>
    </xf>
    <xf numFmtId="0" fontId="0" fillId="0" borderId="4" xfId="0" quotePrefix="1" applyBorder="1"/>
    <xf numFmtId="0" fontId="5" fillId="0" borderId="0" xfId="0" applyFont="1" applyAlignment="1" applyProtection="1">
      <alignment vertical="top" wrapText="1"/>
      <protection locked="0"/>
    </xf>
    <xf numFmtId="0" fontId="0" fillId="4" borderId="4" xfId="0" applyFill="1" applyBorder="1"/>
    <xf numFmtId="0" fontId="6" fillId="4" borderId="4" xfId="0" applyFont="1" applyFill="1" applyBorder="1" applyAlignment="1">
      <alignment horizontal="center"/>
    </xf>
    <xf numFmtId="0" fontId="1" fillId="5" borderId="0" xfId="1" applyFont="1" applyFill="1" applyAlignment="1">
      <alignment horizontal="right" indent="1"/>
    </xf>
    <xf numFmtId="0" fontId="7" fillId="6" borderId="8" xfId="0" applyFont="1" applyFill="1" applyBorder="1" applyAlignment="1" applyProtection="1">
      <alignment horizontal="left" indent="1"/>
      <protection locked="0"/>
    </xf>
    <xf numFmtId="0" fontId="9" fillId="0" borderId="0" xfId="0" applyFont="1"/>
    <xf numFmtId="0" fontId="0" fillId="4" borderId="6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2"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20"/>
  <ax:ocxPr ax:name="_ExtentY" ax:value="318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29"/>
  <ax:ocxPr ax:name="_ExtentY" ax:value="318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ata Entry Menu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DataEntryWB"/>
  <ax:ocxPr ax:name="TargetWorksheetName" ax:value="=TM1HomeAEDataEnt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EDataEntry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47"/>
  <ax:ocxPr ax:name="_ExtentY" ax:value="318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Adj Lis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=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78</xdr:row>
      <xdr:rowOff>28575</xdr:rowOff>
    </xdr:from>
    <xdr:to>
      <xdr:col>10</xdr:col>
      <xdr:colOff>1181100</xdr:colOff>
      <xdr:row>78</xdr:row>
      <xdr:rowOff>485775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2543175</xdr:colOff>
          <xdr:row>80</xdr:row>
          <xdr:rowOff>0</xdr:rowOff>
        </xdr:from>
        <xdr:to>
          <xdr:col>12</xdr:col>
          <xdr:colOff>3324225</xdr:colOff>
          <xdr:row>80</xdr:row>
          <xdr:rowOff>247650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80</xdr:row>
          <xdr:rowOff>0</xdr:rowOff>
        </xdr:from>
        <xdr:to>
          <xdr:col>10</xdr:col>
          <xdr:colOff>95250</xdr:colOff>
          <xdr:row>80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133350</xdr:colOff>
          <xdr:row>80</xdr:row>
          <xdr:rowOff>0</xdr:rowOff>
        </xdr:from>
        <xdr:to>
          <xdr:col>10</xdr:col>
          <xdr:colOff>1257300</xdr:colOff>
          <xdr:row>80</xdr:row>
          <xdr:rowOff>247650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1285875</xdr:colOff>
          <xdr:row>80</xdr:row>
          <xdr:rowOff>0</xdr:rowOff>
        </xdr:from>
        <xdr:to>
          <xdr:col>12</xdr:col>
          <xdr:colOff>371475</xdr:colOff>
          <xdr:row>80</xdr:row>
          <xdr:rowOff>247650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428625</xdr:colOff>
          <xdr:row>80</xdr:row>
          <xdr:rowOff>0</xdr:rowOff>
        </xdr:from>
        <xdr:to>
          <xdr:col>12</xdr:col>
          <xdr:colOff>1533525</xdr:colOff>
          <xdr:row>80</xdr:row>
          <xdr:rowOff>247650</xdr:rowOff>
        </xdr:to>
        <xdr:sp macro="" textlink="">
          <xdr:nvSpPr>
            <xdr:cNvPr id="1038" name="TIButton5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1600200</xdr:colOff>
          <xdr:row>80</xdr:row>
          <xdr:rowOff>0</xdr:rowOff>
        </xdr:from>
        <xdr:to>
          <xdr:col>12</xdr:col>
          <xdr:colOff>2495550</xdr:colOff>
          <xdr:row>80</xdr:row>
          <xdr:rowOff>247650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O101"/>
  <sheetViews>
    <sheetView showGridLines="0" tabSelected="1" showOutlineSymbols="0" topLeftCell="I79" workbookViewId="0">
      <selection activeCell="O103" sqref="O103"/>
    </sheetView>
  </sheetViews>
  <sheetFormatPr defaultRowHeight="15" outlineLevelRow="1" outlineLevelCol="1" x14ac:dyDescent="0.25"/>
  <cols>
    <col min="1" max="1" width="25.140625" hidden="1" customWidth="1" outlineLevel="1"/>
    <col min="2" max="2" width="39.28515625" hidden="1" customWidth="1" outlineLevel="1"/>
    <col min="3" max="3" width="16.42578125" hidden="1" customWidth="1" outlineLevel="1"/>
    <col min="4" max="4" width="24.28515625" hidden="1" customWidth="1" outlineLevel="1"/>
    <col min="5" max="5" width="33.85546875" hidden="1" customWidth="1" outlineLevel="1"/>
    <col min="6" max="6" width="24.140625" hidden="1" customWidth="1" outlineLevel="1"/>
    <col min="7" max="7" width="10.85546875" hidden="1" customWidth="1" outlineLevel="1"/>
    <col min="8" max="8" width="9.140625" hidden="1" customWidth="1" outlineLevel="1"/>
    <col min="9" max="9" width="0.85546875" customWidth="1" collapsed="1"/>
    <col min="11" max="11" width="22.7109375" customWidth="1"/>
    <col min="12" max="12" width="0.85546875" customWidth="1"/>
    <col min="13" max="13" width="80.7109375" customWidth="1"/>
    <col min="14" max="14" width="1.7109375" customWidth="1"/>
    <col min="15" max="15" width="40.7109375" customWidth="1"/>
  </cols>
  <sheetData>
    <row r="1" spans="1:3" hidden="1" outlineLevel="1" x14ac:dyDescent="0.25">
      <c r="A1" s="27" t="s">
        <v>0</v>
      </c>
      <c r="B1" s="28"/>
      <c r="C1" s="29"/>
    </row>
    <row r="2" spans="1:3" hidden="1" outlineLevel="1" x14ac:dyDescent="0.25">
      <c r="A2" s="1" t="s">
        <v>1</v>
      </c>
      <c r="B2" s="2" t="s">
        <v>91</v>
      </c>
      <c r="C2" s="3"/>
    </row>
    <row r="3" spans="1:3" hidden="1" outlineLevel="1" x14ac:dyDescent="0.25">
      <c r="A3" s="1" t="s">
        <v>2</v>
      </c>
      <c r="B3" s="4" t="e" cm="1">
        <f t="array" aca="1" ref="B3" ca="1">_xll.VIEW(db_name&amp;":}ElementAttributes_}Clients","!","!")</f>
        <v>#NAME?</v>
      </c>
      <c r="C3" s="3"/>
    </row>
    <row r="4" spans="1:3" hidden="1" outlineLevel="1" x14ac:dyDescent="0.25">
      <c r="A4" s="1" t="s">
        <v>3</v>
      </c>
      <c r="B4" s="2" t="e" cm="1">
        <f t="array" aca="1" ref="B4" ca="1">_xll.TM1USER(db_name)</f>
        <v>#NAME?</v>
      </c>
      <c r="C4" s="3"/>
    </row>
    <row r="5" spans="1:3" hidden="1" outlineLevel="1" x14ac:dyDescent="0.25">
      <c r="A5" s="1" t="s">
        <v>4</v>
      </c>
      <c r="B5" s="2" t="e" cm="1">
        <f t="array" aca="1" ref="B5" ca="1">_xll.DBR($B$3,$B$4,$A5)</f>
        <v>#NAME?</v>
      </c>
      <c r="C5" s="3"/>
    </row>
    <row r="6" spans="1:3" hidden="1" outlineLevel="1" x14ac:dyDescent="0.25">
      <c r="A6" s="1" t="s">
        <v>5</v>
      </c>
      <c r="B6" s="2" t="e" cm="1">
        <f t="array" aca="1" ref="B6" ca="1">_xll.DBR($B$3,$B$4,$A6)</f>
        <v>#NAME?</v>
      </c>
      <c r="C6" s="3"/>
    </row>
    <row r="7" spans="1:3" hidden="1" outlineLevel="1" x14ac:dyDescent="0.25">
      <c r="A7" s="1" t="s">
        <v>6</v>
      </c>
      <c r="B7" s="2" t="e">
        <f ca="1">IF(LEFT($B$5,6)="CAM_AD",$B$6,$B$5)</f>
        <v>#NAME?</v>
      </c>
      <c r="C7" s="5"/>
    </row>
    <row r="8" spans="1:3" hidden="1" outlineLevel="1" x14ac:dyDescent="0.25"/>
    <row r="9" spans="1:3" hidden="1" outlineLevel="1" x14ac:dyDescent="0.25">
      <c r="A9" s="27" t="s">
        <v>7</v>
      </c>
      <c r="B9" s="28"/>
      <c r="C9" s="29"/>
    </row>
    <row r="10" spans="1:3" hidden="1" outlineLevel="1" x14ac:dyDescent="0.25">
      <c r="A10" s="1" t="s">
        <v>8</v>
      </c>
      <c r="B10" s="5" t="e" cm="1">
        <f t="array" aca="1" ref="B10" ca="1">_xll.VIEW(db_name&amp;":}ElementAttributes_variables","!","!")</f>
        <v>#NAME?</v>
      </c>
      <c r="C10" s="5"/>
    </row>
    <row r="11" spans="1:3" hidden="1" outlineLevel="1" x14ac:dyDescent="0.25">
      <c r="A11" s="1" t="s">
        <v>9</v>
      </c>
      <c r="B11" s="5" t="e" cm="1">
        <f t="array" aca="1" ref="B11" ca="1">_xll.DBR($B$10,$A11,"value")</f>
        <v>#NAME?</v>
      </c>
      <c r="C11" s="5"/>
    </row>
    <row r="12" spans="1:3" hidden="1" outlineLevel="1" x14ac:dyDescent="0.25">
      <c r="A12" s="1" t="s">
        <v>10</v>
      </c>
      <c r="B12" s="5" t="e" cm="1">
        <f t="array" aca="1" ref="B12" ca="1">_xll.DBR($B$10,$A12,"value")</f>
        <v>#NAME?</v>
      </c>
      <c r="C12" s="5"/>
    </row>
    <row r="13" spans="1:3" hidden="1" outlineLevel="1" x14ac:dyDescent="0.25"/>
    <row r="14" spans="1:3" hidden="1" outlineLevel="1" x14ac:dyDescent="0.25"/>
    <row r="15" spans="1:3" hidden="1" outlineLevel="1" x14ac:dyDescent="0.25">
      <c r="A15" s="27" t="s">
        <v>11</v>
      </c>
      <c r="B15" s="28"/>
      <c r="C15" s="29"/>
    </row>
    <row r="16" spans="1:3" hidden="1" outlineLevel="1" x14ac:dyDescent="0.25">
      <c r="A16" s="5" t="s">
        <v>12</v>
      </c>
      <c r="B16" s="5" t="e" cm="1">
        <f t="array" aca="1" ref="B16" ca="1">_xll.VIEW(db_name&amp;":sys_application","!","!")</f>
        <v>#NAME?</v>
      </c>
    </row>
    <row r="17" spans="1:7" hidden="1" outlineLevel="1" x14ac:dyDescent="0.25">
      <c r="A17" s="5" t="s">
        <v>13</v>
      </c>
      <c r="B17" s="5" t="s">
        <v>14</v>
      </c>
    </row>
    <row r="18" spans="1:7" hidden="1" outlineLevel="1" x14ac:dyDescent="0.25">
      <c r="A18" s="6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21</v>
      </c>
    </row>
    <row r="19" spans="1:7" hidden="1" outlineLevel="1" x14ac:dyDescent="0.25">
      <c r="A19" s="5" t="s">
        <v>22</v>
      </c>
      <c r="B19" s="5" t="e" cm="1">
        <f t="array" aca="1" ref="B19" ca="1">_xll.DBR($B$16,$A19,B$18)</f>
        <v>#NAME?</v>
      </c>
      <c r="C19" s="5" t="e" cm="1">
        <f t="array" aca="1" ref="C19" ca="1">_xll.DBR($B$16,$A19,C$18)</f>
        <v>#NAME?</v>
      </c>
      <c r="D19" s="5" t="e" cm="1">
        <f t="array" aca="1" ref="D19" ca="1">_xll.DBR($B$16,$A19,D$18)</f>
        <v>#NAME?</v>
      </c>
      <c r="E19" s="5" t="e" cm="1">
        <f t="array" aca="1" ref="E19" ca="1">_xll.DBR($B$16,$A19,E$18)</f>
        <v>#NAME?</v>
      </c>
      <c r="F19" s="5" t="e" cm="1">
        <f t="array" aca="1" ref="F19" ca="1">_xll.DBR($B$16,$A19,F$18)</f>
        <v>#NAME?</v>
      </c>
      <c r="G19" s="5" t="e" cm="1">
        <f t="array" aca="1" ref="G19" ca="1">_xll.DBR($B$16,$A19,G$18)</f>
        <v>#NAME?</v>
      </c>
    </row>
    <row r="20" spans="1:7" hidden="1" outlineLevel="1" x14ac:dyDescent="0.25">
      <c r="A20" s="5" t="s">
        <v>23</v>
      </c>
      <c r="B20" s="5" t="e" cm="1">
        <f t="array" aca="1" ref="B20" ca="1">_xll.DBR($B$16,$A20,B$18)</f>
        <v>#NAME?</v>
      </c>
      <c r="C20" s="5" t="e" cm="1">
        <f t="array" aca="1" ref="C20" ca="1">_xll.DBR($B$16,$A20,C$18)</f>
        <v>#NAME?</v>
      </c>
      <c r="D20" s="5" t="e" cm="1">
        <f t="array" aca="1" ref="D20" ca="1">_xll.DBR($B$16,$A20,D$18)</f>
        <v>#NAME?</v>
      </c>
      <c r="E20" s="5" t="e" cm="1">
        <f t="array" aca="1" ref="E20" ca="1">_xll.DBR($B$16,$A20,E$18)</f>
        <v>#NAME?</v>
      </c>
      <c r="F20" s="5" t="e" cm="1">
        <f t="array" aca="1" ref="F20" ca="1">_xll.DBR($B$16,$A20,F$18)</f>
        <v>#NAME?</v>
      </c>
      <c r="G20" s="5" t="e" cm="1">
        <f t="array" aca="1" ref="G20" ca="1">_xll.DBR($B$16,$A20,G$18)</f>
        <v>#NAME?</v>
      </c>
    </row>
    <row r="21" spans="1:7" hidden="1" outlineLevel="1" x14ac:dyDescent="0.25">
      <c r="A21" s="5" t="s">
        <v>24</v>
      </c>
      <c r="B21" s="5" t="e" cm="1">
        <f t="array" aca="1" ref="B21" ca="1">_xll.DBR($B$16,$A21,B$18)</f>
        <v>#NAME?</v>
      </c>
      <c r="C21" s="5" t="e" cm="1">
        <f t="array" aca="1" ref="C21" ca="1">_xll.DBR($B$16,$A21,C$18)</f>
        <v>#NAME?</v>
      </c>
      <c r="D21" s="5" t="e" cm="1">
        <f t="array" aca="1" ref="D21" ca="1">_xll.DBR($B$16,$A21,D$18)</f>
        <v>#NAME?</v>
      </c>
      <c r="E21" s="5" t="e" cm="1">
        <f t="array" aca="1" ref="E21" ca="1">_xll.DBR($B$16,$A21,E$18)</f>
        <v>#NAME?</v>
      </c>
      <c r="F21" s="5" t="e" cm="1">
        <f t="array" aca="1" ref="F21" ca="1">_xll.DBR($B$16,$A21,F$18)</f>
        <v>#NAME?</v>
      </c>
      <c r="G21" s="5" t="e" cm="1">
        <f t="array" aca="1" ref="G21" ca="1">_xll.DBR($B$16,$A21,G$18)</f>
        <v>#NAME?</v>
      </c>
    </row>
    <row r="22" spans="1:7" hidden="1" outlineLevel="1" x14ac:dyDescent="0.25">
      <c r="A22" s="5" t="s">
        <v>25</v>
      </c>
      <c r="B22" s="5" t="e" cm="1">
        <f t="array" aca="1" ref="B22" ca="1">_xll.DBR($B$16,$A22,B$18)</f>
        <v>#NAME?</v>
      </c>
      <c r="C22" s="5" t="e" cm="1">
        <f t="array" aca="1" ref="C22" ca="1">_xll.DBR($B$16,$A22,C$18)</f>
        <v>#NAME?</v>
      </c>
      <c r="D22" s="5" t="e" cm="1">
        <f t="array" aca="1" ref="D22" ca="1">_xll.DBR($B$16,$A22,D$18)</f>
        <v>#NAME?</v>
      </c>
      <c r="E22" s="5" t="e" cm="1">
        <f t="array" aca="1" ref="E22" ca="1">_xll.DBR($B$16,$A22,E$18)</f>
        <v>#NAME?</v>
      </c>
      <c r="F22" s="5" t="e" cm="1">
        <f t="array" aca="1" ref="F22" ca="1">_xll.DBR($B$16,$A22,F$18)</f>
        <v>#NAME?</v>
      </c>
      <c r="G22" s="5" t="e" cm="1">
        <f t="array" aca="1" ref="G22" ca="1">_xll.DBR($B$16,$A22,G$18)</f>
        <v>#NAME?</v>
      </c>
    </row>
    <row r="23" spans="1:7" hidden="1" outlineLevel="1" x14ac:dyDescent="0.25">
      <c r="A23" s="5" t="s">
        <v>26</v>
      </c>
      <c r="B23" s="5" t="e" cm="1">
        <f t="array" aca="1" ref="B23" ca="1">_xll.DBR($B$16,$A23,B$18)</f>
        <v>#NAME?</v>
      </c>
      <c r="C23" s="5" t="e" cm="1">
        <f t="array" aca="1" ref="C23" ca="1">_xll.DBR($B$16,$A23,C$18)</f>
        <v>#NAME?</v>
      </c>
      <c r="D23" s="5" t="e" cm="1">
        <f t="array" aca="1" ref="D23" ca="1">_xll.DBR($B$16,$A23,D$18)</f>
        <v>#NAME?</v>
      </c>
      <c r="E23" s="5" t="e" cm="1">
        <f t="array" aca="1" ref="E23" ca="1">_xll.DBR($B$16,$A23,E$18)</f>
        <v>#NAME?</v>
      </c>
      <c r="F23" s="5" t="e" cm="1">
        <f t="array" aca="1" ref="F23" ca="1">_xll.DBR($B$16,$A23,F$18)</f>
        <v>#NAME?</v>
      </c>
      <c r="G23" s="5" t="e" cm="1">
        <f t="array" aca="1" ref="G23" ca="1">_xll.DBR($B$16,$A23,G$18)</f>
        <v>#NAME?</v>
      </c>
    </row>
    <row r="24" spans="1:7" hidden="1" outlineLevel="1" x14ac:dyDescent="0.25">
      <c r="A24" s="5" t="s">
        <v>57</v>
      </c>
      <c r="B24" s="5" t="e" cm="1">
        <f t="array" aca="1" ref="B24" ca="1">_xll.DBR($B$16,$A24,B$18)</f>
        <v>#NAME?</v>
      </c>
      <c r="C24" s="5" t="e" cm="1">
        <f t="array" aca="1" ref="C24" ca="1">_xll.DBR($B$16,$A24,C$18)</f>
        <v>#NAME?</v>
      </c>
      <c r="D24" s="5" t="e" cm="1">
        <f t="array" aca="1" ref="D24" ca="1">_xll.DBR($B$16,$A24,D$18)</f>
        <v>#NAME?</v>
      </c>
      <c r="E24" s="5" t="e" cm="1">
        <f t="array" aca="1" ref="E24" ca="1">_xll.DBR($B$16,$A24,E$18)</f>
        <v>#NAME?</v>
      </c>
      <c r="F24" s="5" t="e" cm="1">
        <f t="array" aca="1" ref="F24" ca="1">_xll.DBR($B$16,$A24,F$18)</f>
        <v>#NAME?</v>
      </c>
      <c r="G24" s="5" t="e" cm="1">
        <f t="array" aca="1" ref="G24" ca="1">_xll.DBR($B$16,$A24,G$18)</f>
        <v>#NAME?</v>
      </c>
    </row>
    <row r="25" spans="1:7" hidden="1" outlineLevel="1" x14ac:dyDescent="0.25">
      <c r="A25" s="5" t="s">
        <v>58</v>
      </c>
      <c r="B25" s="5" t="e" cm="1">
        <f t="array" aca="1" ref="B25" ca="1">_xll.DBR($B$16,$A25,B$18)</f>
        <v>#NAME?</v>
      </c>
      <c r="C25" s="5" t="e" cm="1">
        <f t="array" aca="1" ref="C25" ca="1">_xll.DBR($B$16,$A25,C$18)</f>
        <v>#NAME?</v>
      </c>
      <c r="D25" s="5" t="e" cm="1">
        <f t="array" aca="1" ref="D25" ca="1">_xll.DBR($B$16,$A25,D$18)</f>
        <v>#NAME?</v>
      </c>
      <c r="E25" s="5" t="e" cm="1">
        <f t="array" aca="1" ref="E25" ca="1">_xll.DBR($B$16,$A25,E$18)</f>
        <v>#NAME?</v>
      </c>
      <c r="F25" s="5" t="e" cm="1">
        <f t="array" aca="1" ref="F25" ca="1">_xll.DBR($B$16,$A25,F$18)</f>
        <v>#NAME?</v>
      </c>
      <c r="G25" s="5" t="e" cm="1">
        <f t="array" aca="1" ref="G25" ca="1">_xll.DBR($B$16,$A25,G$18)</f>
        <v>#NAME?</v>
      </c>
    </row>
    <row r="26" spans="1:7" hidden="1" outlineLevel="1" x14ac:dyDescent="0.25">
      <c r="A26" s="5" t="s">
        <v>85</v>
      </c>
      <c r="B26" s="5" t="e" cm="1">
        <f t="array" aca="1" ref="B26" ca="1">_xll.DBR($B$16,$A26,B$18)</f>
        <v>#NAME?</v>
      </c>
      <c r="C26" s="5" t="e" cm="1">
        <f t="array" aca="1" ref="C26" ca="1">_xll.DBR($B$16,$A26,C$18)</f>
        <v>#NAME?</v>
      </c>
      <c r="D26" s="5" t="e" cm="1">
        <f t="array" aca="1" ref="D26" ca="1">_xll.DBR($B$16,$A26,D$18)</f>
        <v>#NAME?</v>
      </c>
      <c r="E26" s="5" t="e" cm="1">
        <f t="array" aca="1" ref="E26" ca="1">_xll.DBR($B$16,$A26,E$18)</f>
        <v>#NAME?</v>
      </c>
      <c r="F26" s="5" t="e" cm="1">
        <f t="array" aca="1" ref="F26" ca="1">_xll.DBR($B$16,$A26,F$18)</f>
        <v>#NAME?</v>
      </c>
      <c r="G26" s="5" t="e" cm="1">
        <f t="array" aca="1" ref="G26" ca="1">_xll.DBR($B$16,$A26,G$18)</f>
        <v>#NAME?</v>
      </c>
    </row>
    <row r="27" spans="1:7" hidden="1" outlineLevel="1" x14ac:dyDescent="0.25">
      <c r="A27" s="5" t="s">
        <v>86</v>
      </c>
      <c r="B27" s="5" t="e" cm="1">
        <f t="array" aca="1" ref="B27" ca="1">_xll.DBR($B$16,$A27,B$18)</f>
        <v>#NAME?</v>
      </c>
      <c r="C27" s="5" t="e" cm="1">
        <f t="array" aca="1" ref="C27" ca="1">_xll.DBR($B$16,$A27,C$18)</f>
        <v>#NAME?</v>
      </c>
      <c r="D27" s="5" t="e" cm="1">
        <f t="array" aca="1" ref="D27" ca="1">_xll.DBR($B$16,$A27,D$18)</f>
        <v>#NAME?</v>
      </c>
      <c r="E27" s="5" t="e" cm="1">
        <f t="array" aca="1" ref="E27" ca="1">_xll.DBR($B$16,$A27,E$18)</f>
        <v>#NAME?</v>
      </c>
      <c r="F27" s="5" t="e" cm="1">
        <f t="array" aca="1" ref="F27" ca="1">_xll.DBR($B$16,$A27,F$18)</f>
        <v>#NAME?</v>
      </c>
      <c r="G27" s="5" t="e" cm="1">
        <f t="array" aca="1" ref="G27" ca="1">_xll.DBR($B$16,$A27,G$18)</f>
        <v>#NAME?</v>
      </c>
    </row>
    <row r="28" spans="1:7" hidden="1" outlineLevel="1" x14ac:dyDescent="0.25"/>
    <row r="29" spans="1:7" hidden="1" outlineLevel="1" x14ac:dyDescent="0.25"/>
    <row r="30" spans="1:7" hidden="1" outlineLevel="1" x14ac:dyDescent="0.25"/>
    <row r="31" spans="1:7" hidden="1" outlineLevel="1" x14ac:dyDescent="0.25"/>
    <row r="32" spans="1:7" hidden="1" outlineLevel="1" x14ac:dyDescent="0.25">
      <c r="A32" s="27" t="s">
        <v>27</v>
      </c>
      <c r="B32" s="28"/>
      <c r="C32" s="29"/>
    </row>
    <row r="33" spans="1:3" hidden="1" outlineLevel="1" x14ac:dyDescent="0.25">
      <c r="A33" s="1" t="s">
        <v>8</v>
      </c>
      <c r="B33" s="5" t="e" cm="1">
        <f t="array" aca="1" ref="B33" ca="1">_xll.VIEW(db_name&amp;":sys_client preference","!","!","!")</f>
        <v>#NAME?</v>
      </c>
      <c r="C33" s="5"/>
    </row>
    <row r="34" spans="1:3" hidden="1" outlineLevel="1" x14ac:dyDescent="0.25">
      <c r="A34" s="1"/>
      <c r="B34" s="8" t="s">
        <v>28</v>
      </c>
      <c r="C34" s="8" t="s">
        <v>29</v>
      </c>
    </row>
    <row r="35" spans="1:3" hidden="1" outlineLevel="1" x14ac:dyDescent="0.25">
      <c r="A35" s="1" t="s">
        <v>30</v>
      </c>
      <c r="B35" s="5" t="e" cm="1">
        <f t="array" aca="1" ref="B35" ca="1">_xll.SUBNM(db_name&amp;":sys_client preference measure","","value")</f>
        <v>#NAME?</v>
      </c>
      <c r="C35" s="8"/>
    </row>
    <row r="36" spans="1:3" hidden="1" outlineLevel="1" x14ac:dyDescent="0.25">
      <c r="A36" s="1" t="s">
        <v>31</v>
      </c>
      <c r="B36" s="5" t="e" cm="1">
        <f t="array" aca="1" ref="B36" ca="1">_xll.DBR($B$33,psUser,$A36,B$34)</f>
        <v>#NAME?</v>
      </c>
      <c r="C36" s="5" t="e" cm="1">
        <f t="array" aca="1" ref="C36" ca="1">_xll.DBR($B$33,psUser,$A36,C$34)</f>
        <v>#NAME?</v>
      </c>
    </row>
    <row r="37" spans="1:3" hidden="1" outlineLevel="1" x14ac:dyDescent="0.25">
      <c r="A37" s="1" t="s">
        <v>32</v>
      </c>
      <c r="B37" s="5" t="e" cm="1">
        <f t="array" aca="1" ref="B37" ca="1">_xll.DBR($B$33,psUser,$A37,B$34)</f>
        <v>#NAME?</v>
      </c>
      <c r="C37" s="5" t="e" cm="1">
        <f t="array" aca="1" ref="C37" ca="1">_xll.DBR($B$33,psUser,$A37,C$34)</f>
        <v>#NAME?</v>
      </c>
    </row>
    <row r="38" spans="1:3" hidden="1" outlineLevel="1" x14ac:dyDescent="0.25">
      <c r="A38" s="1" t="s">
        <v>33</v>
      </c>
      <c r="B38" s="5" t="e" cm="1">
        <f t="array" aca="1" ref="B38" ca="1">_xll.DBR($B$33,psUser,$A38,B$34)</f>
        <v>#NAME?</v>
      </c>
      <c r="C38" s="5" t="e" cm="1">
        <f t="array" aca="1" ref="C38" ca="1">_xll.DBR($B$33,psUser,$A38,C$34)</f>
        <v>#NAME?</v>
      </c>
    </row>
    <row r="39" spans="1:3" hidden="1" outlineLevel="1" x14ac:dyDescent="0.25">
      <c r="A39" s="1" t="s">
        <v>50</v>
      </c>
      <c r="B39" s="5" t="e" cm="1">
        <f t="array" aca="1" ref="B39" ca="1">_xll.DBR($B$33,psUser,$A39,B$34)</f>
        <v>#NAME?</v>
      </c>
      <c r="C39" s="5" t="e" cm="1">
        <f t="array" aca="1" ref="C39" ca="1">_xll.DBR($B$33,psUser,$A39,C$34)</f>
        <v>#NAME?</v>
      </c>
    </row>
    <row r="40" spans="1:3" hidden="1" outlineLevel="1" x14ac:dyDescent="0.25">
      <c r="A40" s="1" t="s">
        <v>51</v>
      </c>
      <c r="B40" s="5" t="e" cm="1">
        <f t="array" aca="1" ref="B40" ca="1">_xll.DBR($B$33,psUser,$A40,B$34)</f>
        <v>#NAME?</v>
      </c>
      <c r="C40" s="5" t="e" cm="1">
        <f t="array" aca="1" ref="C40" ca="1">_xll.DBR($B$33,psUser,$A40,C$34)</f>
        <v>#NAME?</v>
      </c>
    </row>
    <row r="41" spans="1:3" hidden="1" outlineLevel="1" x14ac:dyDescent="0.25">
      <c r="A41" s="1" t="s">
        <v>52</v>
      </c>
      <c r="B41" s="13" t="e" cm="1">
        <f t="array" aca="1" ref="B41" ca="1">_xll.DBR($B$33,psUser,$A41,B$34)</f>
        <v>#NAME?</v>
      </c>
      <c r="C41" s="5" t="e" cm="1">
        <f t="array" aca="1" ref="C41" ca="1">_xll.DBR($B$33,psUser,$A41,C$34)</f>
        <v>#NAME?</v>
      </c>
    </row>
    <row r="42" spans="1:3" ht="15.75" hidden="1" outlineLevel="1" x14ac:dyDescent="0.25">
      <c r="A42" s="1" t="s">
        <v>53</v>
      </c>
      <c r="B42" s="12" t="e" cm="1">
        <f t="array" aca="1" ref="B42" ca="1">_xll.SUBNM(db_name&amp;":id","",psID)</f>
        <v>#NAME?</v>
      </c>
    </row>
    <row r="43" spans="1:3" hidden="1" outlineLevel="1" x14ac:dyDescent="0.25"/>
    <row r="44" spans="1:3" hidden="1" outlineLevel="1" x14ac:dyDescent="0.25">
      <c r="A44" s="27" t="s">
        <v>34</v>
      </c>
      <c r="B44" s="28"/>
      <c r="C44" s="29"/>
    </row>
    <row r="45" spans="1:3" hidden="1" outlineLevel="1" x14ac:dyDescent="0.25">
      <c r="A45" s="1" t="s">
        <v>35</v>
      </c>
      <c r="B45" s="5" t="e" cm="1">
        <f t="array" aca="1" ref="B45" ca="1">_xll.VIEW(db_name&amp;":AE id details",$B$36,$B$37,$B$38,"!")</f>
        <v>#NAME?</v>
      </c>
      <c r="C45" s="1" t="s">
        <v>36</v>
      </c>
    </row>
    <row r="46" spans="1:3" hidden="1" outlineLevel="1" x14ac:dyDescent="0.25">
      <c r="A46" s="1" t="s">
        <v>37</v>
      </c>
      <c r="B46" s="5" t="e" cm="1">
        <f t="array" aca="1" ref="B46" ca="1">_xll.DBR($B$45,$B$36,$B$37,$B$38,$A46)</f>
        <v>#NAME?</v>
      </c>
      <c r="C46" s="5"/>
    </row>
    <row r="47" spans="1:3" hidden="1" outlineLevel="1" x14ac:dyDescent="0.25">
      <c r="A47" s="1" t="s">
        <v>38</v>
      </c>
      <c r="B47" s="5" t="e">
        <f ca="1">IF(OR($B$46="unauthorised",$B$46="draft",$B$46="unbalanced"),"data",$B$46)</f>
        <v>#NAME?</v>
      </c>
      <c r="C47" s="5"/>
    </row>
    <row r="48" spans="1:3" hidden="1" outlineLevel="1" x14ac:dyDescent="0.25">
      <c r="A48" s="1" t="s">
        <v>39</v>
      </c>
      <c r="B48" s="5" t="e" cm="1">
        <f t="array" aca="1" ref="B48" ca="1">_xll.DBR($B$45,$B$36,$B$37,$B$38,$A48)</f>
        <v>#NAME?</v>
      </c>
      <c r="C48" s="5"/>
    </row>
    <row r="49" spans="1:5" hidden="1" outlineLevel="1" x14ac:dyDescent="0.25">
      <c r="A49" s="1" t="s">
        <v>40</v>
      </c>
      <c r="B49" s="5" t="e" cm="1">
        <f t="array" aca="1" ref="B49" ca="1">_xll.DBR($B$45,$B$36,$B$37,$B$38,$A49)</f>
        <v>#NAME?</v>
      </c>
      <c r="C49" s="5"/>
    </row>
    <row r="50" spans="1:5" hidden="1" outlineLevel="1" x14ac:dyDescent="0.25">
      <c r="A50" s="1" t="s">
        <v>41</v>
      </c>
      <c r="B50" s="5" t="e" cm="1">
        <f t="array" aca="1" ref="B50" ca="1">_xll.DBR($B$45,$B$36,$B$37,$B$38,$A50)</f>
        <v>#NAME?</v>
      </c>
      <c r="C50" s="5"/>
    </row>
    <row r="51" spans="1:5" hidden="1" outlineLevel="1" x14ac:dyDescent="0.25">
      <c r="A51" s="1" t="s">
        <v>42</v>
      </c>
      <c r="B51" s="5" t="e" cm="1">
        <f t="array" aca="1" ref="B51" ca="1">_xll.DBR($B$45,$B$36,$B$37,$B$38,$A51)</f>
        <v>#NAME?</v>
      </c>
      <c r="C51" s="5"/>
    </row>
    <row r="52" spans="1:5" hidden="1" outlineLevel="1" x14ac:dyDescent="0.25">
      <c r="A52" s="1" t="s">
        <v>43</v>
      </c>
      <c r="B52" s="5" t="e" cm="1">
        <f t="array" aca="1" ref="B52" ca="1">_xll.DBR($B$45,$B$36,$B$37,$B$38,$A52)</f>
        <v>#NAME?</v>
      </c>
      <c r="C52" s="5"/>
    </row>
    <row r="53" spans="1:5" hidden="1" outlineLevel="1" x14ac:dyDescent="0.25">
      <c r="A53" s="1" t="s">
        <v>44</v>
      </c>
      <c r="B53" s="5" t="e" cm="1">
        <f t="array" aca="1" ref="B53" ca="1">_xll.DBR($B$45,$B$36,$B$37,$B$38,$A53)</f>
        <v>#NAME?</v>
      </c>
      <c r="C53" s="5"/>
    </row>
    <row r="54" spans="1:5" hidden="1" outlineLevel="1" x14ac:dyDescent="0.25">
      <c r="A54" s="1" t="s">
        <v>45</v>
      </c>
      <c r="B54" s="5" t="e" cm="1">
        <f t="array" aca="1" ref="B54" ca="1">_xll.DBR($B$45,$B$36,$B$37,$B$38,$A54)</f>
        <v>#NAME?</v>
      </c>
      <c r="C54" s="5"/>
    </row>
    <row r="55" spans="1:5" hidden="1" outlineLevel="1" x14ac:dyDescent="0.25">
      <c r="A55" s="1" t="s">
        <v>46</v>
      </c>
      <c r="B55" s="5" t="e" cm="1">
        <f t="array" aca="1" ref="B55" ca="1">_xll.DBR($B$45,$B$36,$B$37,$B$38,$A55)</f>
        <v>#NAME?</v>
      </c>
      <c r="C55" s="5"/>
    </row>
    <row r="56" spans="1:5" hidden="1" outlineLevel="1" x14ac:dyDescent="0.25">
      <c r="A56" s="1" t="s">
        <v>47</v>
      </c>
      <c r="B56" s="5" t="e" cm="1">
        <f t="array" aca="1" ref="B56" ca="1">_xll.DBR($B$45,$B$36,$B$37,$B$38,$A56)</f>
        <v>#NAME?</v>
      </c>
      <c r="C56" s="5"/>
    </row>
    <row r="57" spans="1:5" hidden="1" outlineLevel="1" x14ac:dyDescent="0.25">
      <c r="A57" s="1" t="s">
        <v>48</v>
      </c>
      <c r="B57" s="5" t="e" cm="1">
        <f t="array" aca="1" ref="B57" ca="1">_xll.DBR($B$45,$B$36,$B$37,$B$38,$A57)</f>
        <v>#NAME?</v>
      </c>
      <c r="C57" s="5"/>
    </row>
    <row r="58" spans="1:5" hidden="1" outlineLevel="1" x14ac:dyDescent="0.25">
      <c r="A58" s="1" t="s">
        <v>49</v>
      </c>
      <c r="B58" s="9" t="e" cm="1">
        <f t="array" aca="1" ref="B58" ca="1">_xll.DBR($B$45,$B$36,$B$37,$B$38,$A58)</f>
        <v>#NAME?</v>
      </c>
      <c r="C58" s="5"/>
    </row>
    <row r="59" spans="1:5" ht="14.25" hidden="1" customHeight="1" outlineLevel="1" x14ac:dyDescent="0.25">
      <c r="A59" s="1" t="s">
        <v>56</v>
      </c>
      <c r="B59" s="9" t="e" cm="1">
        <f t="array" aca="1" ref="B59" ca="1">_xll.DBR($B$45,$B$36,$B$37,$B$38,$A59)</f>
        <v>#NAME?</v>
      </c>
      <c r="C59" s="5"/>
    </row>
    <row r="60" spans="1:5" ht="14.25" hidden="1" customHeight="1" outlineLevel="1" x14ac:dyDescent="0.25">
      <c r="A60" s="1" t="s">
        <v>87</v>
      </c>
      <c r="B60" s="5" t="e" cm="1">
        <f t="array" aca="1" ref="B60" ca="1">_xll.DBR($B$45,$B$36,$B$37,$B$38,$A60)</f>
        <v>#NAME?</v>
      </c>
      <c r="C60" s="5"/>
    </row>
    <row r="61" spans="1:5" ht="14.25" hidden="1" customHeight="1" outlineLevel="1" x14ac:dyDescent="0.25">
      <c r="A61" s="1" t="s">
        <v>88</v>
      </c>
      <c r="B61" s="5" t="e" cm="1">
        <f t="array" aca="1" ref="B61" ca="1">_xll.DBR($B$45,$B$36,$B$37,$B$38,$A61)</f>
        <v>#NAME?</v>
      </c>
      <c r="C61" s="5"/>
    </row>
    <row r="62" spans="1:5" hidden="1" outlineLevel="1" x14ac:dyDescent="0.25"/>
    <row r="63" spans="1:5" hidden="1" outlineLevel="1" x14ac:dyDescent="0.25">
      <c r="A63" s="14" t="s">
        <v>59</v>
      </c>
      <c r="B63" s="14" t="s">
        <v>65</v>
      </c>
      <c r="C63" s="14" t="s">
        <v>19</v>
      </c>
      <c r="D63" s="14" t="s">
        <v>21</v>
      </c>
      <c r="E63" s="16" t="s">
        <v>66</v>
      </c>
    </row>
    <row r="64" spans="1:5" hidden="1" outlineLevel="1" x14ac:dyDescent="0.25">
      <c r="A64" s="15" t="s">
        <v>64</v>
      </c>
      <c r="B64" s="5"/>
      <c r="C64" s="5" t="e">
        <f ca="1">IF(ISERROR(VLOOKUP(TRIM($B$41),sys_ws_lookup,3,FALSE)),$C$65,VLOOKUP(TRIM($B$41),sys_ws_lookup,3,FALSE))</f>
        <v>#NAME?</v>
      </c>
      <c r="D64" s="5" t="e">
        <f ca="1">IF(ISERROR(VLOOKUP(TRIM($B$41),sys_ws_lookup,4,FALSE)),$D$65,VLOOKUP(TRIM($B$41),sys_ws_lookup,4,FALSE))</f>
        <v>#NAME?</v>
      </c>
      <c r="E64" s="5"/>
    </row>
    <row r="65" spans="1:15" hidden="1" outlineLevel="1" x14ac:dyDescent="0.25">
      <c r="A65" s="17"/>
      <c r="B65" s="5" t="s">
        <v>25</v>
      </c>
      <c r="C65" s="5" t="e" cm="1">
        <f t="array" aca="1" ref="C65" ca="1">_xll.DBR($B$16,$B65,C$63)</f>
        <v>#NAME?</v>
      </c>
      <c r="D65" s="5" t="e" cm="1">
        <f t="array" aca="1" ref="D65" ca="1">_xll.DBR($B$16,$B65,D$63)</f>
        <v>#NAME?</v>
      </c>
      <c r="E65" s="5" t="s">
        <v>67</v>
      </c>
    </row>
    <row r="66" spans="1:15" hidden="1" outlineLevel="1" x14ac:dyDescent="0.25">
      <c r="A66" s="5" t="s">
        <v>60</v>
      </c>
      <c r="B66" s="5" t="e">
        <f ca="1">IF($B$60="Group",IF($B$61="Compliance",$A$27,$A$26),$A$23)</f>
        <v>#NAME?</v>
      </c>
      <c r="C66" s="5" t="e" cm="1">
        <f t="array" aca="1" ref="C66" ca="1">_xll.DBR($B$16,$B66,C$63)</f>
        <v>#NAME?</v>
      </c>
      <c r="D66" s="5" t="e" cm="1">
        <f t="array" aca="1" ref="D66" ca="1">_xll.DBR($B$16,$B66,D$63)</f>
        <v>#NAME?</v>
      </c>
      <c r="E66" s="5" t="s">
        <v>68</v>
      </c>
    </row>
    <row r="67" spans="1:15" hidden="1" outlineLevel="1" x14ac:dyDescent="0.25">
      <c r="A67" s="5" t="s">
        <v>61</v>
      </c>
      <c r="B67" s="5" t="s">
        <v>57</v>
      </c>
      <c r="C67" s="5" t="e" cm="1">
        <f t="array" aca="1" ref="C67" ca="1">_xll.DBR($B$16,$B67,C$63)</f>
        <v>#NAME?</v>
      </c>
      <c r="D67" s="5" t="e" cm="1">
        <f t="array" aca="1" ref="D67" ca="1">_xll.DBR($B$16,$B67,D$63)</f>
        <v>#NAME?</v>
      </c>
      <c r="E67" s="5" t="s">
        <v>69</v>
      </c>
    </row>
    <row r="68" spans="1:15" hidden="1" outlineLevel="1" x14ac:dyDescent="0.25">
      <c r="A68" s="5" t="s">
        <v>62</v>
      </c>
      <c r="B68" s="5" t="s">
        <v>58</v>
      </c>
      <c r="C68" s="5" t="e" cm="1">
        <f t="array" aca="1" ref="C68" ca="1">_xll.DBR($B$16,$B68,C$63)</f>
        <v>#NAME?</v>
      </c>
      <c r="D68" s="5" t="e" cm="1">
        <f t="array" aca="1" ref="D68" ca="1">_xll.DBR($B$16,$B68,D$63)</f>
        <v>#NAME?</v>
      </c>
      <c r="E68" s="5" t="s">
        <v>70</v>
      </c>
    </row>
    <row r="69" spans="1:15" hidden="1" outlineLevel="1" x14ac:dyDescent="0.25">
      <c r="A69" s="5" t="s">
        <v>63</v>
      </c>
      <c r="B69" s="5" t="s">
        <v>25</v>
      </c>
      <c r="C69" s="5" t="e" cm="1">
        <f t="array" aca="1" ref="C69" ca="1">_xll.DBR($B$16,$B69,C$63)</f>
        <v>#NAME?</v>
      </c>
      <c r="D69" s="5" t="e" cm="1">
        <f t="array" aca="1" ref="D69" ca="1">_xll.DBR($B$16,$B69,D$63)</f>
        <v>#NAME?</v>
      </c>
      <c r="E69" s="5" t="s">
        <v>67</v>
      </c>
    </row>
    <row r="70" spans="1:15" hidden="1" outlineLevel="1" x14ac:dyDescent="0.25"/>
    <row r="71" spans="1:15" hidden="1" outlineLevel="1" x14ac:dyDescent="0.25">
      <c r="A71" s="14" t="s">
        <v>59</v>
      </c>
      <c r="B71" s="14" t="s">
        <v>65</v>
      </c>
      <c r="C71" s="14" t="s">
        <v>19</v>
      </c>
      <c r="D71" s="14" t="s">
        <v>21</v>
      </c>
      <c r="E71" s="16" t="s">
        <v>66</v>
      </c>
    </row>
    <row r="72" spans="1:15" hidden="1" outlineLevel="1" x14ac:dyDescent="0.25">
      <c r="A72" s="5" t="s">
        <v>71</v>
      </c>
      <c r="B72" s="5" t="e">
        <f ca="1">IF($B$60="Group",IF($B$61="Compliance",$A$27,$A$26),$A$23)</f>
        <v>#NAME?</v>
      </c>
      <c r="C72" s="5" t="e" cm="1">
        <f t="array" aca="1" ref="C72" ca="1">_xll.DBR($B$16,$B72,C$63)</f>
        <v>#NAME?</v>
      </c>
      <c r="D72" s="5" t="e" cm="1">
        <f t="array" aca="1" ref="D72" ca="1">_xll.DBR($B$16,$B72,D$63)</f>
        <v>#NAME?</v>
      </c>
      <c r="E72" s="5" t="s">
        <v>68</v>
      </c>
    </row>
    <row r="73" spans="1:15" hidden="1" outlineLevel="1" x14ac:dyDescent="0.25"/>
    <row r="74" spans="1:15" hidden="1" outlineLevel="1" x14ac:dyDescent="0.25">
      <c r="B74" s="14" t="s">
        <v>65</v>
      </c>
      <c r="C74" s="8" t="s">
        <v>90</v>
      </c>
      <c r="D74" s="8" t="s">
        <v>21</v>
      </c>
    </row>
    <row r="75" spans="1:15" hidden="1" outlineLevel="1" x14ac:dyDescent="0.25">
      <c r="A75" s="1" t="s">
        <v>89</v>
      </c>
      <c r="B75" s="5" t="e">
        <f ca="1">IF($B$60="Group",IF($B$61="Compliance",$A$27,$A$26),$A$23)</f>
        <v>#NAME?</v>
      </c>
      <c r="C75" s="5" t="e" cm="1">
        <f t="array" aca="1" ref="C75" ca="1">_xll.DBR($B$16,$B75,C$63)</f>
        <v>#NAME?</v>
      </c>
      <c r="D75" s="5" t="e" cm="1">
        <f t="array" aca="1" ref="D75" ca="1">_xll.DBR($B$16,$B75,D$63)</f>
        <v>#NAME?</v>
      </c>
    </row>
    <row r="76" spans="1:15" hidden="1" outlineLevel="1" x14ac:dyDescent="0.25"/>
    <row r="77" spans="1:15" hidden="1" outlineLevel="1" x14ac:dyDescent="0.25"/>
    <row r="78" spans="1:15" hidden="1" outlineLevel="1" x14ac:dyDescent="0.25"/>
    <row r="79" spans="1:15" ht="39.75" customHeight="1" collapsed="1" x14ac:dyDescent="0.25">
      <c r="I79" s="10"/>
      <c r="J79" s="10"/>
      <c r="K79" s="10"/>
      <c r="L79" s="10"/>
      <c r="M79" s="10"/>
      <c r="N79" s="10"/>
      <c r="O79" s="10" t="s">
        <v>82</v>
      </c>
    </row>
    <row r="80" spans="1:15" ht="4.5" customHeight="1" x14ac:dyDescent="0.25"/>
    <row r="81" spans="9:15" ht="24" customHeight="1" x14ac:dyDescent="0.25"/>
    <row r="82" spans="9:15" ht="1.5" customHeight="1" x14ac:dyDescent="0.25">
      <c r="I82" s="10"/>
      <c r="J82" s="10"/>
      <c r="K82" s="10"/>
      <c r="L82" s="10"/>
      <c r="M82" s="10"/>
      <c r="N82" s="10"/>
      <c r="O82" s="10"/>
    </row>
    <row r="83" spans="9:15" ht="4.5" customHeight="1" x14ac:dyDescent="0.25"/>
    <row r="84" spans="9:15" x14ac:dyDescent="0.25">
      <c r="J84" s="23" t="s">
        <v>83</v>
      </c>
    </row>
    <row r="85" spans="9:15" x14ac:dyDescent="0.25">
      <c r="J85" s="23" t="s">
        <v>84</v>
      </c>
    </row>
    <row r="86" spans="9:15" ht="4.5" customHeight="1" x14ac:dyDescent="0.25"/>
    <row r="87" spans="9:15" ht="15.75" x14ac:dyDescent="0.25">
      <c r="K87" s="11" t="s">
        <v>54</v>
      </c>
      <c r="M87" s="12" t="e">
        <f ca="1">psID</f>
        <v>#NAME?</v>
      </c>
    </row>
    <row r="88" spans="9:15" ht="4.5" customHeight="1" x14ac:dyDescent="0.25"/>
    <row r="89" spans="9:15" x14ac:dyDescent="0.25">
      <c r="K89" s="11" t="s">
        <v>76</v>
      </c>
      <c r="M89" s="20" t="e">
        <f ca="1">psStatus</f>
        <v>#NAME?</v>
      </c>
    </row>
    <row r="90" spans="9:15" ht="5.0999999999999996" customHeight="1" x14ac:dyDescent="0.25"/>
    <row r="91" spans="9:15" x14ac:dyDescent="0.25">
      <c r="K91" s="11" t="s">
        <v>55</v>
      </c>
      <c r="M91" s="19" t="e">
        <f ca="1">$B$56</f>
        <v>#NAME?</v>
      </c>
    </row>
    <row r="92" spans="9:15" ht="4.5" customHeight="1" x14ac:dyDescent="0.25"/>
    <row r="93" spans="9:15" x14ac:dyDescent="0.25">
      <c r="K93" s="11" t="s">
        <v>74</v>
      </c>
      <c r="M93" s="24" t="e">
        <f ca="1">$B$59</f>
        <v>#NAME?</v>
      </c>
    </row>
    <row r="94" spans="9:15" x14ac:dyDescent="0.25">
      <c r="M94" s="25"/>
    </row>
    <row r="95" spans="9:15" x14ac:dyDescent="0.25">
      <c r="M95" s="25"/>
    </row>
    <row r="96" spans="9:15" x14ac:dyDescent="0.25">
      <c r="M96" s="26"/>
    </row>
    <row r="97" spans="1:13" ht="4.5" customHeight="1" x14ac:dyDescent="0.25"/>
    <row r="98" spans="1:13" x14ac:dyDescent="0.25">
      <c r="A98" t="s">
        <v>77</v>
      </c>
      <c r="K98" s="21" t="s">
        <v>75</v>
      </c>
      <c r="M98" s="22" t="e" cm="1">
        <f t="array" aca="1" ref="M98" ca="1">_xll.DBR($B$33,psUser,$A$98,$B$35)</f>
        <v>#NAME?</v>
      </c>
    </row>
    <row r="99" spans="1:13" x14ac:dyDescent="0.25">
      <c r="M99" s="18"/>
    </row>
    <row r="100" spans="1:13" x14ac:dyDescent="0.25">
      <c r="M100" s="18"/>
    </row>
    <row r="101" spans="1:13" x14ac:dyDescent="0.25">
      <c r="M101" s="18"/>
    </row>
  </sheetData>
  <mergeCells count="6">
    <mergeCell ref="M93:M96"/>
    <mergeCell ref="A1:C1"/>
    <mergeCell ref="A9:C9"/>
    <mergeCell ref="A15:C15"/>
    <mergeCell ref="A32:C32"/>
    <mergeCell ref="A44:C44"/>
  </mergeCells>
  <conditionalFormatting sqref="M89">
    <cfRule type="containsText" dxfId="1" priority="1" operator="containsText" text="approve">
      <formula>NOT(ISERROR(SEARCH("approve",M89)))</formula>
    </cfRule>
    <cfRule type="beginsWith" dxfId="0" priority="2" operator="beginsWith" text="un">
      <formula>LEFT(M89,LEN("un"))="un"</formula>
    </cfRule>
  </conditionalFormatting>
  <pageMargins left="0.70866141732283472" right="0.70866141732283472" top="0.74803149606299213" bottom="0.74803149606299213" header="0.31496062992125984" footer="0.31496062992125984"/>
  <pageSetup paperSize="9" scale="83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1031" r:id="rId4" name="TIButton1">
          <controlPr defaultSize="0" print="0" autoLine="0" r:id="rId5">
            <anchor moveWithCells="1" sizeWithCells="1">
              <from>
                <xdr:col>12</xdr:col>
                <xdr:colOff>2543175</xdr:colOff>
                <xdr:row>80</xdr:row>
                <xdr:rowOff>0</xdr:rowOff>
              </from>
              <to>
                <xdr:col>12</xdr:col>
                <xdr:colOff>3324225</xdr:colOff>
                <xdr:row>80</xdr:row>
                <xdr:rowOff>247650</xdr:rowOff>
              </to>
            </anchor>
          </controlPr>
        </control>
      </mc:Choice>
      <mc:Fallback>
        <control shapeId="1031" r:id="rId4" name="TIButton1"/>
      </mc:Fallback>
    </mc:AlternateContent>
    <mc:AlternateContent xmlns:mc="http://schemas.openxmlformats.org/markup-compatibility/2006">
      <mc:Choice Requires="x14">
        <control shapeId="1035" r:id="rId6" name="TIButton3">
          <controlPr defaultSize="0" print="0" autoLine="0" r:id="rId7">
            <anchor moveWithCells="1" sizeWithCells="1">
              <from>
                <xdr:col>9</xdr:col>
                <xdr:colOff>66675</xdr:colOff>
                <xdr:row>80</xdr:row>
                <xdr:rowOff>0</xdr:rowOff>
              </from>
              <to>
                <xdr:col>10</xdr:col>
                <xdr:colOff>95250</xdr:colOff>
                <xdr:row>80</xdr:row>
                <xdr:rowOff>247650</xdr:rowOff>
              </to>
            </anchor>
          </controlPr>
        </control>
      </mc:Choice>
      <mc:Fallback>
        <control shapeId="1035" r:id="rId6" name="TIButton3"/>
      </mc:Fallback>
    </mc:AlternateContent>
    <mc:AlternateContent xmlns:mc="http://schemas.openxmlformats.org/markup-compatibility/2006">
      <mc:Choice Requires="x14">
        <control shapeId="1036" r:id="rId8" name="TIButton2">
          <controlPr defaultSize="0" print="0" autoLine="0" r:id="rId9">
            <anchor moveWithCells="1" sizeWithCells="1">
              <from>
                <xdr:col>10</xdr:col>
                <xdr:colOff>133350</xdr:colOff>
                <xdr:row>80</xdr:row>
                <xdr:rowOff>0</xdr:rowOff>
              </from>
              <to>
                <xdr:col>10</xdr:col>
                <xdr:colOff>1257300</xdr:colOff>
                <xdr:row>80</xdr:row>
                <xdr:rowOff>247650</xdr:rowOff>
              </to>
            </anchor>
          </controlPr>
        </control>
      </mc:Choice>
      <mc:Fallback>
        <control shapeId="1036" r:id="rId8" name="TIButton2"/>
      </mc:Fallback>
    </mc:AlternateContent>
    <mc:AlternateContent xmlns:mc="http://schemas.openxmlformats.org/markup-compatibility/2006">
      <mc:Choice Requires="x14">
        <control shapeId="1037" r:id="rId10" name="TIButton4">
          <controlPr defaultSize="0" print="0" autoLine="0" autoPict="0" r:id="rId11">
            <anchor moveWithCells="1" sizeWithCells="1">
              <from>
                <xdr:col>10</xdr:col>
                <xdr:colOff>1285875</xdr:colOff>
                <xdr:row>80</xdr:row>
                <xdr:rowOff>0</xdr:rowOff>
              </from>
              <to>
                <xdr:col>12</xdr:col>
                <xdr:colOff>371475</xdr:colOff>
                <xdr:row>80</xdr:row>
                <xdr:rowOff>247650</xdr:rowOff>
              </to>
            </anchor>
          </controlPr>
        </control>
      </mc:Choice>
      <mc:Fallback>
        <control shapeId="1037" r:id="rId10" name="TIButton4"/>
      </mc:Fallback>
    </mc:AlternateContent>
    <mc:AlternateContent xmlns:mc="http://schemas.openxmlformats.org/markup-compatibility/2006">
      <mc:Choice Requires="x14">
        <control shapeId="1038" r:id="rId12" name="TIButton5">
          <controlPr defaultSize="0" print="0" autoLine="0" r:id="rId13">
            <anchor moveWithCells="1" sizeWithCells="1">
              <from>
                <xdr:col>12</xdr:col>
                <xdr:colOff>428625</xdr:colOff>
                <xdr:row>80</xdr:row>
                <xdr:rowOff>0</xdr:rowOff>
              </from>
              <to>
                <xdr:col>12</xdr:col>
                <xdr:colOff>1533525</xdr:colOff>
                <xdr:row>80</xdr:row>
                <xdr:rowOff>247650</xdr:rowOff>
              </to>
            </anchor>
          </controlPr>
        </control>
      </mc:Choice>
      <mc:Fallback>
        <control shapeId="1038" r:id="rId12" name="TIButton5"/>
      </mc:Fallback>
    </mc:AlternateContent>
    <mc:AlternateContent xmlns:mc="http://schemas.openxmlformats.org/markup-compatibility/2006">
      <mc:Choice Requires="x14">
        <control shapeId="1039" r:id="rId14" name="TIButton6">
          <controlPr defaultSize="0" print="0" autoLine="0" autoPict="0" r:id="rId15">
            <anchor moveWithCells="1" sizeWithCells="1">
              <from>
                <xdr:col>12</xdr:col>
                <xdr:colOff>1600200</xdr:colOff>
                <xdr:row>80</xdr:row>
                <xdr:rowOff>0</xdr:rowOff>
              </from>
              <to>
                <xdr:col>12</xdr:col>
                <xdr:colOff>2495550</xdr:colOff>
                <xdr:row>80</xdr:row>
                <xdr:rowOff>247650</xdr:rowOff>
              </to>
            </anchor>
          </controlPr>
        </control>
      </mc:Choice>
      <mc:Fallback>
        <control shapeId="1039" r:id="rId14" name="TIButton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6"/>
  <sheetViews>
    <sheetView workbookViewId="0"/>
  </sheetViews>
  <sheetFormatPr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72</v>
      </c>
    </row>
    <row r="6" spans="1:1" x14ac:dyDescent="0.25">
      <c r="A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41</vt:i4>
      </vt:variant>
    </vt:vector>
  </HeadingPairs>
  <TitlesOfParts>
    <vt:vector size="43" baseType="lpstr">
      <vt:lpstr>authorise</vt:lpstr>
      <vt:lpstr>{PL}PickLst</vt:lpstr>
      <vt:lpstr>db_name</vt:lpstr>
      <vt:lpstr>psHLYear</vt:lpstr>
      <vt:lpstr>psID</vt:lpstr>
      <vt:lpstr>psProcess</vt:lpstr>
      <vt:lpstr>psScenario</vt:lpstr>
      <vt:lpstr>psStatus</vt:lpstr>
      <vt:lpstr>psUser</vt:lpstr>
      <vt:lpstr>sys_ws_lookup</vt:lpstr>
      <vt:lpstr>TM1AdjIDListCAP</vt:lpstr>
      <vt:lpstr>TM1AdjIDListWB</vt:lpstr>
      <vt:lpstr>TM1AdjIDListWS</vt:lpstr>
      <vt:lpstr>TM1AuthWB</vt:lpstr>
      <vt:lpstr>TM1AuthWS</vt:lpstr>
      <vt:lpstr>TM1BackToAdjWB</vt:lpstr>
      <vt:lpstr>TM1BackToAdjWS</vt:lpstr>
      <vt:lpstr>TM1CancelWB</vt:lpstr>
      <vt:lpstr>TM1CancelWS</vt:lpstr>
      <vt:lpstr>TM1GrpNewAdj02ExpDataEntryCAP</vt:lpstr>
      <vt:lpstr>TM1GrpNewAdj02ExpDataEntryWB</vt:lpstr>
      <vt:lpstr>TM1GrpNewAdj02ExpDataEntryWS</vt:lpstr>
      <vt:lpstr>TM1GrpNewAdj08RecogDataEntryCAP</vt:lpstr>
      <vt:lpstr>TM1GrpNewAdj08RecogDataEntryWB</vt:lpstr>
      <vt:lpstr>TM1GrpNewAdj08RecogDataEntryWS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TM1NewAdj03AuthCAP</vt:lpstr>
      <vt:lpstr>TM1NewAdj03AuthWB</vt:lpstr>
      <vt:lpstr>TM1NewAdj03AuthWS</vt:lpstr>
      <vt:lpstr>TM1NewAdj99ValidCAP</vt:lpstr>
      <vt:lpstr>TM1NewAdj99ValidWB</vt:lpstr>
      <vt:lpstr>TM1NewAdj99ValidWS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2019-04-29T04:37:36Z</cp:lastPrinted>
  <dcterms:created xsi:type="dcterms:W3CDTF">2019-04-26T07:19:11Z</dcterms:created>
  <dcterms:modified xsi:type="dcterms:W3CDTF">2025-08-05T04:38:03Z</dcterms:modified>
</cp:coreProperties>
</file>