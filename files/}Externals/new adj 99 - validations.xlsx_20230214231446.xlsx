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796F42CA-C473-4C2A-A6EE-7CA1FE32AB34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validations" sheetId="1" r:id="rId1"/>
  </sheets>
  <definedNames>
    <definedName name="db_name">validations!$C$12</definedName>
    <definedName name="psHLYear">validations!$C$22</definedName>
    <definedName name="psID">validations!$C$24</definedName>
    <definedName name="psScenario">validations!$C$23</definedName>
    <definedName name="psUser">validations!$C$17</definedName>
    <definedName name="sys_per_display">validations!$Y$77</definedName>
    <definedName name="sys_per_displaylist">validations!$E$20:$E$21</definedName>
    <definedName name="TM1AdjIDListCAP">validations!$D$34</definedName>
    <definedName name="TM1AdjIDListWB">validations!$F$34</definedName>
    <definedName name="TM1AdjIDListWS">validations!$H$34</definedName>
    <definedName name="TM1AuthWB">validations!$C$44</definedName>
    <definedName name="TM1AuthWS">validations!$D$44</definedName>
    <definedName name="TM1BackToAdjWB">validations!$C$43</definedName>
    <definedName name="TM1BackToAdjWS">validations!$D$43</definedName>
    <definedName name="TM1GrpNewAdj02ExpDataEntryCAP">validations!$D$38</definedName>
    <definedName name="TM1GrpNewAdj02ExpDataEntryWB">validations!$F$38</definedName>
    <definedName name="TM1GrpNewAdj02ExpDataEntryWS">validations!$H$38</definedName>
    <definedName name="TM1GrpNewAdj05AuthCAP">validations!$D$40</definedName>
    <definedName name="TM1GrpNewAdj05AuthWB">validations!$F$40</definedName>
    <definedName name="TM1GrpNewAdj05AuthWS">validations!$H$40</definedName>
    <definedName name="TM1GrpNewAdj08RecogDataEntryCAP">validations!$D$39</definedName>
    <definedName name="TM1GrpNewAdj08RecogDataEntryWB">validations!$F$39</definedName>
    <definedName name="TM1GrpNewAdj08RecogDataEntryWS">validations!$H$39</definedName>
    <definedName name="TM1HomeAECAP">validations!$D$32</definedName>
    <definedName name="TM1HomeAEDataEntryCAP">validations!$D$33</definedName>
    <definedName name="TM1HomeAEDataEntryWB">validations!$F$33</definedName>
    <definedName name="TM1HomeAEDataEntryWS">validations!$H$33</definedName>
    <definedName name="TM1HomeAEWB">validations!$F$32</definedName>
    <definedName name="TM1HomeAEWS">validations!$H$32</definedName>
    <definedName name="TM1HomeCAP">validations!$D$31</definedName>
    <definedName name="TM1HomeWB">validations!$F$31</definedName>
    <definedName name="TM1HomeWS">validations!$H$31</definedName>
    <definedName name="TM1NewAdj02DataEntryCAP">validations!$D$35</definedName>
    <definedName name="TM1NewAdj02DataEntryWB">validations!$F$35</definedName>
    <definedName name="TM1NewAdj02DataEntryWS">validations!$H$35</definedName>
    <definedName name="TM1NewAdj03AuthCAP">validations!$D$36</definedName>
    <definedName name="TM1NewAdj03AuthWB">validations!$F$36</definedName>
    <definedName name="TM1NewAdj03AuthWS">validations!$H$36</definedName>
    <definedName name="TM1REBUILDOPTION">0</definedName>
    <definedName name="TM1RPTDATARNG1" localSheetId="0">validations!$80:$80</definedName>
    <definedName name="TM1RPTFMTIDCOL" localSheetId="0">validations!$A$1:$A$8</definedName>
    <definedName name="TM1RPTFMTRNG" localSheetId="0">validations!$B$1:$AD$8</definedName>
    <definedName name="TM1ViewAdj01HeaderCAP">validations!$D$37</definedName>
    <definedName name="TM1ViewAdj01HeaderWB">validations!$F$37</definedName>
    <definedName name="TM1ViewAdj01HeaderWS">validations!$H$37</definedName>
  </definedNames>
  <calcPr calcId="181029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7" i="1" l="1" a="1"/>
  <c r="G47" i="1"/>
  <c r="C20" i="1" a="1"/>
  <c r="C20" i="1"/>
  <c r="C14" i="1" a="1"/>
  <c r="C14" i="1"/>
  <c r="C21" i="1" a="1"/>
  <c r="C21" i="1"/>
  <c r="C22" i="1" a="1"/>
  <c r="C22" i="1"/>
  <c r="C23" i="1" a="1"/>
  <c r="C24" i="1" a="1"/>
  <c r="C23" i="1"/>
  <c r="C24" i="1"/>
  <c r="G52" i="1"/>
  <c r="G43" i="1"/>
  <c r="C51" i="1" a="1"/>
  <c r="C51" i="1"/>
  <c r="Y77" i="1"/>
  <c r="C13" i="1" a="1"/>
  <c r="C13" i="1"/>
  <c r="C15" i="1" a="1"/>
  <c r="C15" i="1"/>
  <c r="C17" i="1"/>
  <c r="C61" i="1" a="1"/>
  <c r="C61" i="1"/>
  <c r="E64" i="1"/>
  <c r="R65" i="1"/>
  <c r="R64" i="1" a="1"/>
  <c r="R64" i="1"/>
  <c r="R79" i="1"/>
  <c r="Q65" i="1"/>
  <c r="Q64" i="1" a="1"/>
  <c r="Q64" i="1"/>
  <c r="Q79" i="1"/>
  <c r="P65" i="1"/>
  <c r="P64" i="1" a="1"/>
  <c r="P64" i="1"/>
  <c r="P79" i="1"/>
  <c r="O65" i="1"/>
  <c r="O64" i="1" a="1"/>
  <c r="O64" i="1"/>
  <c r="O79" i="1"/>
  <c r="N65" i="1"/>
  <c r="N64" i="1" a="1"/>
  <c r="N64" i="1"/>
  <c r="N79" i="1"/>
  <c r="M65" i="1"/>
  <c r="M64" i="1" a="1"/>
  <c r="M64" i="1"/>
  <c r="M79" i="1"/>
  <c r="L65" i="1"/>
  <c r="L64" i="1" a="1"/>
  <c r="L64" i="1"/>
  <c r="L79" i="1"/>
  <c r="K65" i="1"/>
  <c r="K64" i="1" a="1"/>
  <c r="K64" i="1"/>
  <c r="K79" i="1"/>
  <c r="J65" i="1"/>
  <c r="J64" i="1" a="1"/>
  <c r="J64" i="1"/>
  <c r="J79" i="1"/>
  <c r="I65" i="1"/>
  <c r="I64" i="1" a="1"/>
  <c r="I64" i="1"/>
  <c r="I79" i="1"/>
  <c r="H65" i="1"/>
  <c r="H64" i="1" a="1"/>
  <c r="H64" i="1"/>
  <c r="H79" i="1"/>
  <c r="G65" i="1"/>
  <c r="G64" i="1" a="1"/>
  <c r="G64" i="1"/>
  <c r="G79" i="1"/>
  <c r="F65" i="1"/>
  <c r="F64" i="1" a="1"/>
  <c r="F64" i="1"/>
  <c r="F79" i="1"/>
  <c r="G60" i="1" a="1"/>
  <c r="G60" i="1"/>
  <c r="C60" i="1" a="1"/>
  <c r="C60" i="1"/>
  <c r="B80" i="1" a="1"/>
  <c r="B80" i="1"/>
  <c r="C28" i="1" a="1"/>
  <c r="C28" i="1"/>
  <c r="C48" i="1" a="1"/>
  <c r="C49" i="1" a="1"/>
  <c r="C50" i="1" a="1"/>
  <c r="C52" i="1" a="1"/>
  <c r="C53" i="1" a="1"/>
  <c r="C54" i="1" a="1"/>
  <c r="C55" i="1" a="1"/>
  <c r="C56" i="1" a="1"/>
  <c r="C57" i="1" a="1"/>
  <c r="C48" i="1"/>
  <c r="C49" i="1"/>
  <c r="C50" i="1"/>
  <c r="C52" i="1"/>
  <c r="C53" i="1"/>
  <c r="C54" i="1"/>
  <c r="C55" i="1"/>
  <c r="C56" i="1"/>
  <c r="C57" i="1"/>
  <c r="C47" i="1" a="1"/>
  <c r="C47" i="1"/>
  <c r="G12" i="1" a="1"/>
  <c r="G12" i="1"/>
  <c r="G15" i="1" a="1"/>
  <c r="G15" i="1"/>
  <c r="J112" i="1"/>
  <c r="AD83" i="1"/>
  <c r="AD112" i="1" a="1"/>
  <c r="AD112" i="1"/>
  <c r="AC83" i="1"/>
  <c r="AC112" i="1" a="1"/>
  <c r="AC112" i="1"/>
  <c r="AB83" i="1"/>
  <c r="AB112" i="1" a="1"/>
  <c r="AB112" i="1"/>
  <c r="AA83" i="1"/>
  <c r="AA112" i="1" a="1"/>
  <c r="AA112" i="1"/>
  <c r="Z83" i="1"/>
  <c r="Z112" i="1" a="1"/>
  <c r="Z112" i="1"/>
  <c r="Y83" i="1"/>
  <c r="Y112" i="1" a="1"/>
  <c r="Y112" i="1"/>
  <c r="Y113" i="1"/>
  <c r="Z113" i="1"/>
  <c r="AA113" i="1"/>
  <c r="AB113" i="1"/>
  <c r="AC113" i="1"/>
  <c r="AD113" i="1"/>
  <c r="AD111" i="1" a="1"/>
  <c r="AD111" i="1"/>
  <c r="AC111" i="1" a="1"/>
  <c r="AC111" i="1"/>
  <c r="AB111" i="1" a="1"/>
  <c r="AB111" i="1"/>
  <c r="AA111" i="1" a="1"/>
  <c r="AA111" i="1"/>
  <c r="Z111" i="1" a="1"/>
  <c r="Z111" i="1"/>
  <c r="Y111" i="1" a="1"/>
  <c r="Y111" i="1"/>
  <c r="G55" i="1" a="1"/>
  <c r="G55" i="1"/>
  <c r="M112" i="1" a="1"/>
  <c r="M112" i="1"/>
  <c r="O112" i="1"/>
  <c r="O113" i="1"/>
  <c r="W113" i="1"/>
  <c r="G56" i="1" a="1"/>
  <c r="G56" i="1"/>
  <c r="M111" i="1" a="1"/>
  <c r="M111" i="1"/>
  <c r="O111" i="1"/>
  <c r="W111" i="1"/>
  <c r="N111" i="1" a="1"/>
  <c r="N111" i="1"/>
  <c r="G50" i="1" a="1"/>
  <c r="G50" i="1"/>
  <c r="H40" i="1" a="1"/>
  <c r="H40" i="1"/>
  <c r="H36" i="1" a="1"/>
  <c r="H36" i="1"/>
  <c r="D44" i="1"/>
  <c r="F40" i="1" a="1"/>
  <c r="F40" i="1"/>
  <c r="F36" i="1" a="1"/>
  <c r="F36" i="1"/>
  <c r="C44" i="1"/>
  <c r="C39" i="1" a="1"/>
  <c r="C39" i="1"/>
  <c r="G40" i="1" a="1"/>
  <c r="G40" i="1"/>
  <c r="E40" i="1" a="1"/>
  <c r="E40" i="1"/>
  <c r="D40" i="1" a="1"/>
  <c r="D40" i="1"/>
  <c r="C40" i="1" a="1"/>
  <c r="C40" i="1"/>
  <c r="J123" i="1"/>
  <c r="AD123" i="1" a="1"/>
  <c r="AD123" i="1"/>
  <c r="AC123" i="1" a="1"/>
  <c r="AC123" i="1"/>
  <c r="AB123" i="1" a="1"/>
  <c r="AB123" i="1"/>
  <c r="AA123" i="1" a="1"/>
  <c r="AA123" i="1"/>
  <c r="Z123" i="1" a="1"/>
  <c r="Z123" i="1"/>
  <c r="Y123" i="1" a="1"/>
  <c r="Y123" i="1"/>
  <c r="N123" i="1" a="1"/>
  <c r="N123" i="1"/>
  <c r="M123" i="1" a="1"/>
  <c r="M123" i="1"/>
  <c r="J122" i="1"/>
  <c r="AD122" i="1" a="1"/>
  <c r="AD122" i="1"/>
  <c r="AC122" i="1" a="1"/>
  <c r="AC122" i="1"/>
  <c r="AB122" i="1" a="1"/>
  <c r="AB122" i="1"/>
  <c r="AA122" i="1" a="1"/>
  <c r="AA122" i="1"/>
  <c r="Z122" i="1" a="1"/>
  <c r="Z122" i="1"/>
  <c r="Y122" i="1" a="1"/>
  <c r="Y122" i="1"/>
  <c r="N122" i="1" a="1"/>
  <c r="N122" i="1"/>
  <c r="M122" i="1" a="1"/>
  <c r="M122" i="1"/>
  <c r="K121" i="1" a="1"/>
  <c r="K121" i="1"/>
  <c r="J119" i="1"/>
  <c r="AD119" i="1" a="1"/>
  <c r="AD119" i="1"/>
  <c r="AC119" i="1" a="1"/>
  <c r="AC119" i="1"/>
  <c r="AB119" i="1" a="1"/>
  <c r="AB119" i="1"/>
  <c r="AA119" i="1" a="1"/>
  <c r="AA119" i="1"/>
  <c r="Z119" i="1" a="1"/>
  <c r="Z119" i="1"/>
  <c r="Y119" i="1" a="1"/>
  <c r="Y119" i="1"/>
  <c r="N119" i="1" a="1"/>
  <c r="N119" i="1"/>
  <c r="M119" i="1" a="1"/>
  <c r="M119" i="1"/>
  <c r="J118" i="1"/>
  <c r="AD118" i="1" a="1"/>
  <c r="AD118" i="1"/>
  <c r="AC118" i="1" a="1"/>
  <c r="AC118" i="1"/>
  <c r="AB118" i="1" a="1"/>
  <c r="AB118" i="1"/>
  <c r="AA118" i="1" a="1"/>
  <c r="AA118" i="1"/>
  <c r="Z118" i="1" a="1"/>
  <c r="Z118" i="1"/>
  <c r="Y118" i="1" a="1"/>
  <c r="Y118" i="1"/>
  <c r="N118" i="1" a="1"/>
  <c r="N118" i="1"/>
  <c r="M118" i="1" a="1"/>
  <c r="M118" i="1"/>
  <c r="K117" i="1" a="1"/>
  <c r="K117" i="1"/>
  <c r="AD115" i="1" a="1"/>
  <c r="AD115" i="1"/>
  <c r="AC115" i="1" a="1"/>
  <c r="AC115" i="1"/>
  <c r="AB115" i="1" a="1"/>
  <c r="AB115" i="1"/>
  <c r="AA115" i="1" a="1"/>
  <c r="AA115" i="1"/>
  <c r="Z115" i="1" a="1"/>
  <c r="Z115" i="1"/>
  <c r="Y115" i="1" a="1"/>
  <c r="Y115" i="1"/>
  <c r="N115" i="1" a="1"/>
  <c r="N115" i="1"/>
  <c r="M115" i="1" a="1"/>
  <c r="M115" i="1"/>
  <c r="J114" i="1"/>
  <c r="AD114" i="1" a="1"/>
  <c r="AD114" i="1"/>
  <c r="AC114" i="1" a="1"/>
  <c r="AC114" i="1"/>
  <c r="AB114" i="1" a="1"/>
  <c r="AB114" i="1"/>
  <c r="AA114" i="1" a="1"/>
  <c r="AA114" i="1"/>
  <c r="Z114" i="1" a="1"/>
  <c r="Z114" i="1"/>
  <c r="Y114" i="1" a="1"/>
  <c r="Y114" i="1"/>
  <c r="N114" i="1" a="1"/>
  <c r="N114" i="1"/>
  <c r="M114" i="1" a="1"/>
  <c r="M114" i="1"/>
  <c r="N112" i="1" a="1"/>
  <c r="N112" i="1"/>
  <c r="K110" i="1" a="1"/>
  <c r="K110" i="1"/>
  <c r="J108" i="1"/>
  <c r="AD108" i="1" a="1"/>
  <c r="AD108" i="1"/>
  <c r="AC108" i="1" a="1"/>
  <c r="AC108" i="1"/>
  <c r="AB108" i="1" a="1"/>
  <c r="AB108" i="1"/>
  <c r="AA108" i="1" a="1"/>
  <c r="AA108" i="1"/>
  <c r="Z108" i="1" a="1"/>
  <c r="Z108" i="1"/>
  <c r="Y108" i="1" a="1"/>
  <c r="Y108" i="1"/>
  <c r="N108" i="1" a="1"/>
  <c r="N108" i="1"/>
  <c r="M108" i="1" a="1"/>
  <c r="M108" i="1"/>
  <c r="J107" i="1"/>
  <c r="AD107" i="1" a="1"/>
  <c r="AD107" i="1"/>
  <c r="AC107" i="1" a="1"/>
  <c r="AC107" i="1"/>
  <c r="AB107" i="1" a="1"/>
  <c r="AB107" i="1"/>
  <c r="AA107" i="1" a="1"/>
  <c r="AA107" i="1"/>
  <c r="Z107" i="1" a="1"/>
  <c r="Z107" i="1"/>
  <c r="Y107" i="1" a="1"/>
  <c r="Y107" i="1"/>
  <c r="N107" i="1" a="1"/>
  <c r="N107" i="1"/>
  <c r="M107" i="1" a="1"/>
  <c r="M107" i="1"/>
  <c r="K106" i="1" a="1"/>
  <c r="K106" i="1"/>
  <c r="J104" i="1"/>
  <c r="AD104" i="1" a="1"/>
  <c r="AD104" i="1"/>
  <c r="AC104" i="1" a="1"/>
  <c r="AC104" i="1"/>
  <c r="AB104" i="1" a="1"/>
  <c r="AB104" i="1"/>
  <c r="AA104" i="1" a="1"/>
  <c r="AA104" i="1"/>
  <c r="Z104" i="1" a="1"/>
  <c r="Z104" i="1"/>
  <c r="Y104" i="1" a="1"/>
  <c r="Y104" i="1"/>
  <c r="N104" i="1" a="1"/>
  <c r="N104" i="1"/>
  <c r="M104" i="1" a="1"/>
  <c r="M104" i="1"/>
  <c r="J103" i="1"/>
  <c r="AD103" i="1" a="1"/>
  <c r="AD103" i="1"/>
  <c r="AC103" i="1" a="1"/>
  <c r="AC103" i="1"/>
  <c r="AB103" i="1" a="1"/>
  <c r="AB103" i="1"/>
  <c r="AA103" i="1" a="1"/>
  <c r="AA103" i="1"/>
  <c r="Z103" i="1" a="1"/>
  <c r="Z103" i="1"/>
  <c r="Y103" i="1" a="1"/>
  <c r="Y103" i="1"/>
  <c r="N103" i="1" a="1"/>
  <c r="N103" i="1"/>
  <c r="M103" i="1" a="1"/>
  <c r="M103" i="1"/>
  <c r="J102" i="1"/>
  <c r="AD102" i="1" a="1"/>
  <c r="AD102" i="1"/>
  <c r="AC102" i="1" a="1"/>
  <c r="AC102" i="1"/>
  <c r="AB102" i="1" a="1"/>
  <c r="AB102" i="1"/>
  <c r="AA102" i="1" a="1"/>
  <c r="AA102" i="1"/>
  <c r="Z102" i="1" a="1"/>
  <c r="Z102" i="1"/>
  <c r="Y102" i="1" a="1"/>
  <c r="Y102" i="1"/>
  <c r="N102" i="1" a="1"/>
  <c r="N102" i="1"/>
  <c r="M102" i="1" a="1"/>
  <c r="M102" i="1"/>
  <c r="J101" i="1"/>
  <c r="AD101" i="1" a="1"/>
  <c r="AD101" i="1"/>
  <c r="AC101" i="1" a="1"/>
  <c r="AC101" i="1"/>
  <c r="AB101" i="1" a="1"/>
  <c r="AB101" i="1"/>
  <c r="AA101" i="1" a="1"/>
  <c r="AA101" i="1"/>
  <c r="Z101" i="1" a="1"/>
  <c r="Z101" i="1"/>
  <c r="Y101" i="1" a="1"/>
  <c r="Y101" i="1"/>
  <c r="N101" i="1" a="1"/>
  <c r="N101" i="1"/>
  <c r="M101" i="1" a="1"/>
  <c r="M101" i="1"/>
  <c r="J100" i="1"/>
  <c r="AD100" i="1" a="1"/>
  <c r="AD100" i="1"/>
  <c r="AC100" i="1" a="1"/>
  <c r="AC100" i="1"/>
  <c r="AB100" i="1" a="1"/>
  <c r="AB100" i="1"/>
  <c r="AA100" i="1" a="1"/>
  <c r="AA100" i="1"/>
  <c r="Z100" i="1" a="1"/>
  <c r="Z100" i="1"/>
  <c r="Y100" i="1" a="1"/>
  <c r="Y100" i="1"/>
  <c r="N100" i="1" a="1"/>
  <c r="N100" i="1"/>
  <c r="M100" i="1" a="1"/>
  <c r="M100" i="1"/>
  <c r="K99" i="1" a="1"/>
  <c r="K99" i="1"/>
  <c r="J97" i="1"/>
  <c r="AD97" i="1" a="1"/>
  <c r="AD97" i="1"/>
  <c r="AC97" i="1" a="1"/>
  <c r="AC97" i="1"/>
  <c r="AB97" i="1" a="1"/>
  <c r="AB97" i="1"/>
  <c r="AA97" i="1" a="1"/>
  <c r="AA97" i="1"/>
  <c r="Z97" i="1" a="1"/>
  <c r="Z97" i="1"/>
  <c r="Y97" i="1" a="1"/>
  <c r="Y97" i="1"/>
  <c r="N97" i="1" a="1"/>
  <c r="N97" i="1"/>
  <c r="M97" i="1" a="1"/>
  <c r="M97" i="1"/>
  <c r="J96" i="1"/>
  <c r="AD96" i="1" a="1"/>
  <c r="AD96" i="1"/>
  <c r="AC96" i="1" a="1"/>
  <c r="AC96" i="1"/>
  <c r="AB96" i="1" a="1"/>
  <c r="AB96" i="1"/>
  <c r="AA96" i="1" a="1"/>
  <c r="AA96" i="1"/>
  <c r="Z96" i="1" a="1"/>
  <c r="Z96" i="1"/>
  <c r="Y96" i="1" a="1"/>
  <c r="Y96" i="1"/>
  <c r="N96" i="1" a="1"/>
  <c r="N96" i="1"/>
  <c r="M96" i="1" a="1"/>
  <c r="M96" i="1"/>
  <c r="J95" i="1"/>
  <c r="AD95" i="1" a="1"/>
  <c r="AD95" i="1"/>
  <c r="AC95" i="1" a="1"/>
  <c r="AC95" i="1"/>
  <c r="AB95" i="1" a="1"/>
  <c r="AB95" i="1"/>
  <c r="AA95" i="1" a="1"/>
  <c r="AA95" i="1"/>
  <c r="Z95" i="1" a="1"/>
  <c r="Z95" i="1"/>
  <c r="Y95" i="1" a="1"/>
  <c r="Y95" i="1"/>
  <c r="N95" i="1" a="1"/>
  <c r="N95" i="1"/>
  <c r="M95" i="1" a="1"/>
  <c r="M95" i="1"/>
  <c r="J94" i="1"/>
  <c r="AD94" i="1" a="1"/>
  <c r="AD94" i="1"/>
  <c r="AC94" i="1" a="1"/>
  <c r="AC94" i="1"/>
  <c r="AB94" i="1" a="1"/>
  <c r="AB94" i="1"/>
  <c r="AA94" i="1" a="1"/>
  <c r="AA94" i="1"/>
  <c r="Z94" i="1" a="1"/>
  <c r="Z94" i="1"/>
  <c r="Y94" i="1" a="1"/>
  <c r="Y94" i="1"/>
  <c r="N94" i="1" a="1"/>
  <c r="N94" i="1"/>
  <c r="M94" i="1" a="1"/>
  <c r="M94" i="1"/>
  <c r="J93" i="1"/>
  <c r="AD93" i="1" a="1"/>
  <c r="AD93" i="1"/>
  <c r="AC93" i="1" a="1"/>
  <c r="AC93" i="1"/>
  <c r="AB93" i="1" a="1"/>
  <c r="AB93" i="1"/>
  <c r="AA93" i="1" a="1"/>
  <c r="AA93" i="1"/>
  <c r="Z93" i="1" a="1"/>
  <c r="Z93" i="1"/>
  <c r="Y93" i="1" a="1"/>
  <c r="Y93" i="1"/>
  <c r="N93" i="1" a="1"/>
  <c r="N93" i="1"/>
  <c r="M93" i="1" a="1"/>
  <c r="M93" i="1"/>
  <c r="K92" i="1" a="1"/>
  <c r="K92" i="1"/>
  <c r="J90" i="1"/>
  <c r="AD90" i="1" a="1"/>
  <c r="AD90" i="1"/>
  <c r="AC90" i="1" a="1"/>
  <c r="AC90" i="1"/>
  <c r="AB90" i="1" a="1"/>
  <c r="AB90" i="1"/>
  <c r="AA90" i="1" a="1"/>
  <c r="AA90" i="1"/>
  <c r="Z90" i="1" a="1"/>
  <c r="Z90" i="1"/>
  <c r="Y90" i="1" a="1"/>
  <c r="Y90" i="1"/>
  <c r="N90" i="1" a="1"/>
  <c r="N90" i="1"/>
  <c r="M90" i="1" a="1"/>
  <c r="M90" i="1"/>
  <c r="K89" i="1" a="1"/>
  <c r="K89" i="1"/>
  <c r="J87" i="1"/>
  <c r="AD87" i="1" a="1"/>
  <c r="AD87" i="1"/>
  <c r="AC87" i="1" a="1"/>
  <c r="AC87" i="1"/>
  <c r="AB87" i="1" a="1"/>
  <c r="AB87" i="1"/>
  <c r="AA87" i="1" a="1"/>
  <c r="AA87" i="1"/>
  <c r="Z87" i="1" a="1"/>
  <c r="Z87" i="1"/>
  <c r="Y87" i="1" a="1"/>
  <c r="Y87" i="1"/>
  <c r="N87" i="1" a="1"/>
  <c r="N87" i="1"/>
  <c r="M87" i="1" a="1"/>
  <c r="M87" i="1"/>
  <c r="J86" i="1"/>
  <c r="AD86" i="1" a="1"/>
  <c r="AD86" i="1"/>
  <c r="AC86" i="1" a="1"/>
  <c r="AC86" i="1"/>
  <c r="AB86" i="1" a="1"/>
  <c r="AB86" i="1"/>
  <c r="AA86" i="1" a="1"/>
  <c r="AA86" i="1"/>
  <c r="Z86" i="1" a="1"/>
  <c r="Z86" i="1"/>
  <c r="Y86" i="1" a="1"/>
  <c r="Y86" i="1"/>
  <c r="N86" i="1" a="1"/>
  <c r="N86" i="1"/>
  <c r="M86" i="1" a="1"/>
  <c r="M86" i="1"/>
  <c r="J85" i="1"/>
  <c r="AD85" i="1" a="1"/>
  <c r="AD85" i="1"/>
  <c r="AC85" i="1" a="1"/>
  <c r="AC85" i="1"/>
  <c r="AB85" i="1" a="1"/>
  <c r="AB85" i="1"/>
  <c r="AA85" i="1" a="1"/>
  <c r="AA85" i="1"/>
  <c r="Z85" i="1" a="1"/>
  <c r="Z85" i="1"/>
  <c r="Y85" i="1" a="1"/>
  <c r="Y85" i="1"/>
  <c r="N85" i="1" a="1"/>
  <c r="N85" i="1"/>
  <c r="M85" i="1" a="1"/>
  <c r="M85" i="1"/>
  <c r="K84" i="1" a="1"/>
  <c r="K84" i="1"/>
  <c r="R80" i="1" a="1"/>
  <c r="R80" i="1"/>
  <c r="Q80" i="1" a="1"/>
  <c r="Q80" i="1"/>
  <c r="P80" i="1" a="1"/>
  <c r="P80" i="1"/>
  <c r="O80" i="1" a="1"/>
  <c r="O80" i="1"/>
  <c r="N80" i="1" a="1"/>
  <c r="N80" i="1"/>
  <c r="M80" i="1" a="1"/>
  <c r="M80" i="1"/>
  <c r="L80" i="1" a="1"/>
  <c r="L80" i="1"/>
  <c r="K80" i="1" a="1"/>
  <c r="K80" i="1"/>
  <c r="J80" i="1" a="1"/>
  <c r="J80" i="1"/>
  <c r="I80" i="1" a="1"/>
  <c r="I80" i="1"/>
  <c r="H80" i="1" a="1"/>
  <c r="H80" i="1"/>
  <c r="G80" i="1" a="1"/>
  <c r="G80" i="1"/>
  <c r="F80" i="1" a="1"/>
  <c r="F80" i="1"/>
  <c r="E80" i="1" a="1"/>
  <c r="E80" i="1"/>
  <c r="D80" i="1" a="1"/>
  <c r="D80" i="1"/>
  <c r="C80" i="1" a="1"/>
  <c r="C80" i="1"/>
  <c r="A80" i="1" a="1"/>
  <c r="A80" i="1"/>
  <c r="G51" i="1" a="1"/>
  <c r="G51" i="1"/>
  <c r="G49" i="1" a="1"/>
  <c r="G49" i="1"/>
  <c r="G48" i="1" a="1"/>
  <c r="G48" i="1"/>
  <c r="H39" i="1" a="1"/>
  <c r="H39" i="1"/>
  <c r="G39" i="1" a="1"/>
  <c r="G39" i="1"/>
  <c r="F39" i="1" a="1"/>
  <c r="F39" i="1"/>
  <c r="E39" i="1" a="1"/>
  <c r="E39" i="1"/>
  <c r="D39" i="1" a="1"/>
  <c r="D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G36" i="1" a="1"/>
  <c r="G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C16" i="1" a="1"/>
  <c r="C16" i="1"/>
  <c r="G14" i="1" a="1"/>
  <c r="G14" i="1"/>
  <c r="G13" i="1" a="1"/>
  <c r="G13" i="1"/>
  <c r="D43" i="1"/>
  <c r="C43" i="1"/>
  <c r="O96" i="1"/>
  <c r="W96" i="1"/>
  <c r="O95" i="1"/>
  <c r="W95" i="1"/>
  <c r="O94" i="1"/>
  <c r="W94" i="1"/>
  <c r="O123" i="1"/>
  <c r="W123" i="1"/>
  <c r="O122" i="1"/>
  <c r="W122" i="1"/>
  <c r="V121" i="1"/>
  <c r="U121" i="1"/>
  <c r="O119" i="1"/>
  <c r="W119" i="1"/>
  <c r="O118" i="1"/>
  <c r="W118" i="1"/>
  <c r="V117" i="1"/>
  <c r="U117" i="1"/>
  <c r="O115" i="1"/>
  <c r="W115" i="1"/>
  <c r="O114" i="1"/>
  <c r="W114" i="1"/>
  <c r="W112" i="1"/>
  <c r="V110" i="1"/>
  <c r="U110" i="1"/>
  <c r="O108" i="1"/>
  <c r="O107" i="1"/>
  <c r="V106" i="1"/>
  <c r="U106" i="1"/>
  <c r="O104" i="1"/>
  <c r="O103" i="1"/>
  <c r="O102" i="1"/>
  <c r="W102" i="1"/>
  <c r="O101" i="1"/>
  <c r="W101" i="1"/>
  <c r="O100" i="1"/>
  <c r="W100" i="1"/>
  <c r="V99" i="1"/>
  <c r="U99" i="1"/>
  <c r="O97" i="1"/>
  <c r="W97" i="1"/>
  <c r="O93" i="1"/>
  <c r="W93" i="1"/>
  <c r="V92" i="1"/>
  <c r="U92" i="1"/>
  <c r="O90" i="1"/>
  <c r="O85" i="1"/>
  <c r="W90" i="1"/>
  <c r="V89" i="1"/>
  <c r="U89" i="1"/>
  <c r="O86" i="1"/>
  <c r="W86" i="1"/>
  <c r="O87" i="1"/>
  <c r="W87" i="1"/>
  <c r="W85" i="1"/>
  <c r="V84" i="1"/>
  <c r="U84" i="1"/>
  <c r="V76" i="1"/>
  <c r="AC74" i="1"/>
  <c r="Y74" i="1"/>
  <c r="V74" i="1"/>
  <c r="AD80" i="1"/>
  <c r="AD79" i="1"/>
  <c r="Z80" i="1"/>
  <c r="AA80" i="1"/>
  <c r="AB80" i="1"/>
  <c r="AC80" i="1"/>
  <c r="Y80" i="1"/>
  <c r="W80" i="1"/>
  <c r="V80" i="1"/>
  <c r="U80" i="1"/>
  <c r="AC79" i="1"/>
  <c r="AB79" i="1"/>
  <c r="AA79" i="1"/>
  <c r="Z79" i="1"/>
  <c r="Y79" i="1"/>
  <c r="C25" i="1"/>
  <c r="A5" i="1"/>
  <c r="A4" i="1"/>
  <c r="A3" i="1"/>
  <c r="A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<sst xmlns="http://schemas.openxmlformats.org/spreadsheetml/2006/main" count="192" uniqueCount="149">
  <si>
    <t>headline year</t>
  </si>
  <si>
    <t>Total years</t>
  </si>
  <si>
    <t>001</t>
  </si>
  <si>
    <t>004</t>
  </si>
  <si>
    <t>005</t>
  </si>
  <si>
    <t>006</t>
  </si>
  <si>
    <t>007</t>
  </si>
  <si>
    <t>011</t>
  </si>
  <si>
    <t>013</t>
  </si>
  <si>
    <t>015</t>
  </si>
  <si>
    <t>D</t>
  </si>
  <si>
    <t>N</t>
  </si>
  <si>
    <t>[Begin Format Range]</t>
  </si>
  <si>
    <t>[End Format Range]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</si>
  <si>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</si>
  <si>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</si>
  <si>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</si>
  <si>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</si>
  <si>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</si>
  <si>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</si>
  <si>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</si>
  <si>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</si>
  <si>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</si>
  <si>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scenario</t>
  </si>
  <si>
    <t>sys_application MDX</t>
  </si>
  <si>
    <t>Slice View (sys_application)</t>
  </si>
  <si>
    <t>Current Workbook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</si>
  <si>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</si>
  <si>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</si>
  <si>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</si>
  <si>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</si>
  <si>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</si>
  <si>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</si>
  <si>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</si>
  <si>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</si>
  <si>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</si>
  <si>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</si>
  <si>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Adjustment - ID List</t>
  </si>
  <si>
    <t>Data Entry - New Adj 02 - Adjustment Entry</t>
  </si>
  <si>
    <t>Data Entry - New Adj 03 - Authorise</t>
  </si>
  <si>
    <t>Data Entry - View Adj 01 - Header Details</t>
  </si>
  <si>
    <t>Client Preference (Data Entry)</t>
  </si>
  <si>
    <t>Cube View</t>
  </si>
  <si>
    <t>sys_client preference measure</t>
  </si>
  <si>
    <t>ID TO Use</t>
  </si>
  <si>
    <t>geus hl year</t>
  </si>
  <si>
    <t>geus scenario</t>
  </si>
  <si>
    <t>geus adj</t>
  </si>
  <si>
    <t>AE ID Details</t>
  </si>
  <si>
    <t>Slice</t>
  </si>
  <si>
    <t>DESCRIPTIONS</t>
  </si>
  <si>
    <t>status</t>
  </si>
  <si>
    <t>appropriation type</t>
  </si>
  <si>
    <t>appropriation item</t>
  </si>
  <si>
    <t>spp</t>
  </si>
  <si>
    <t>outcome</t>
  </si>
  <si>
    <t>function</t>
  </si>
  <si>
    <t>reason</t>
  </si>
  <si>
    <t>title</t>
  </si>
  <si>
    <t>CUBE:</t>
  </si>
  <si>
    <t>related entity</t>
  </si>
  <si>
    <t>measure code</t>
  </si>
  <si>
    <t>programme</t>
  </si>
  <si>
    <t>jurisdiction</t>
  </si>
  <si>
    <t>AE Adjustments</t>
  </si>
  <si>
    <t>AE Validations</t>
  </si>
  <si>
    <t>Active For View</t>
  </si>
  <si>
    <t>Slice View</t>
  </si>
  <si>
    <t>Validation ID MDX</t>
  </si>
  <si>
    <t>{FILTER( {TM1FILTERBYLEVEL( {TM1SUBSETALL( [validation id] )}, 0)}, [validation id].[use] = "Y")}</t>
  </si>
  <si>
    <t>Validation ID</t>
  </si>
  <si>
    <t>description</t>
  </si>
  <si>
    <t>Period</t>
  </si>
  <si>
    <t>TO USE</t>
  </si>
  <si>
    <t>Current</t>
  </si>
  <si>
    <t>VALIDATION ID</t>
  </si>
  <si>
    <t>VALIDATION TITLE</t>
  </si>
  <si>
    <t>VALIDATION DESCRIPTION</t>
  </si>
  <si>
    <t>calculation</t>
  </si>
  <si>
    <t>Headline Year :</t>
  </si>
  <si>
    <t>Scenario :</t>
  </si>
  <si>
    <t>ID :</t>
  </si>
  <si>
    <t>Title :</t>
  </si>
  <si>
    <t>Display List</t>
  </si>
  <si>
    <t>Show All</t>
  </si>
  <si>
    <t>Validations</t>
  </si>
  <si>
    <t>VALUE CHECKS</t>
  </si>
  <si>
    <t>Status</t>
  </si>
  <si>
    <t>Account</t>
  </si>
  <si>
    <t>Movement  Account</t>
  </si>
  <si>
    <t>Account Description</t>
  </si>
  <si>
    <t>Movement Account Description</t>
  </si>
  <si>
    <t>ACCOUNT / MOVEMENT ACCOUNT</t>
  </si>
  <si>
    <t>}ElementAttributes_Cube</t>
  </si>
  <si>
    <t>Movement Account</t>
  </si>
  <si>
    <t>}ElementAttributes_validation id</t>
  </si>
  <si>
    <t>validation status</t>
  </si>
  <si>
    <t>4000000</t>
  </si>
  <si>
    <t>Total movement</t>
  </si>
  <si>
    <t>Display</t>
  </si>
  <si>
    <t>5000000</t>
  </si>
  <si>
    <t>3000000</t>
  </si>
  <si>
    <t>-</t>
  </si>
  <si>
    <t>=</t>
  </si>
  <si>
    <t>4100000</t>
  </si>
  <si>
    <t>7221</t>
  </si>
  <si>
    <t>= 0</t>
  </si>
  <si>
    <t>2240000</t>
  </si>
  <si>
    <t>5310000</t>
  </si>
  <si>
    <t>7153</t>
  </si>
  <si>
    <t>4100002</t>
  </si>
  <si>
    <t>7231</t>
  </si>
  <si>
    <t>+</t>
  </si>
  <si>
    <t>006a</t>
  </si>
  <si>
    <t>7237</t>
  </si>
  <si>
    <t>7239</t>
  </si>
  <si>
    <t>2254000 - Write down and impairment of non-financial assets
1265000 - Reversals of previous asset write downs and impairments
1240000 - Net Foreign Exchange Gains
1240010 - Fair value gains - Biological assets
1240020 - Fair value gains - Investment property</t>
  </si>
  <si>
    <t>5310000 - L&amp;B, IPE and Intangible Assets</t>
  </si>
  <si>
    <t>007a</t>
  </si>
  <si>
    <t>Value of NFA Accounts as per validation</t>
  </si>
  <si>
    <t>6000000</t>
  </si>
  <si>
    <t>5220000</t>
  </si>
  <si>
    <t>3260000</t>
  </si>
  <si>
    <t>9100000</t>
  </si>
  <si>
    <t>9200000</t>
  </si>
  <si>
    <t>9000860</t>
  </si>
  <si>
    <t>9000881</t>
  </si>
  <si>
    <t>Group Data Entry - New Adj 02 - Expense Data Entry</t>
  </si>
  <si>
    <t>adjustment type</t>
  </si>
  <si>
    <t>WorkBook</t>
  </si>
  <si>
    <t>WorkSheet</t>
  </si>
  <si>
    <t>BACK TO ADJ NAV</t>
  </si>
  <si>
    <t>PERIOD DISPLAY</t>
  </si>
  <si>
    <t>Prior Year Actual</t>
  </si>
  <si>
    <t>7353</t>
  </si>
  <si>
    <t>7166</t>
  </si>
  <si>
    <t>7366</t>
  </si>
  <si>
    <t>Group Adj Type</t>
  </si>
  <si>
    <t>Group Data Entry - New Adj 08 - Recognition</t>
  </si>
  <si>
    <t>AUTH Button</t>
  </si>
  <si>
    <t>Group Data Entry - New Adj 05 - Authorise</t>
  </si>
  <si>
    <t>balance sheet data</t>
  </si>
  <si>
    <t>cash flow</t>
  </si>
  <si>
    <t>current</t>
  </si>
  <si>
    <t>To Use</t>
  </si>
  <si>
    <t>Period Display</t>
  </si>
  <si>
    <t>Normal</t>
  </si>
  <si>
    <t>Reason 1040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</si>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</sst>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_-;* \(#,##0\)_-;_-* &quot;-&quot;??_-;_-@_-"/>
  </numFmts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rgb="FF9D2022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9D2022"/>
      <name val="Calibri"/>
      <family val="2"/>
      <scheme val="minor"/>
    </font>
    <font>
      <b/>
      <sz val="28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3F2F2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BBDDE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</borders>
  <cellStyleXfs count="2">
    <xf numFmtId="0" fontId="0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2" fillId="2" borderId="5" xfId="0" applyFont="1" applyFill="1" applyBorder="1"/>
    <xf numFmtId="0" fontId="2" fillId="2" borderId="6" xfId="0" applyFont="1" applyFill="1" applyBorder="1"/>
    <xf numFmtId="0" fontId="5" fillId="4" borderId="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4" fillId="0" borderId="4" xfId="0" applyFont="1" applyBorder="1"/>
    <xf numFmtId="49" fontId="4" fillId="0" borderId="4" xfId="0" applyNumberFormat="1" applyFont="1" applyBorder="1"/>
    <xf numFmtId="0" fontId="0" fillId="2" borderId="4" xfId="0" applyFill="1" applyBorder="1"/>
    <xf numFmtId="0" fontId="0" fillId="0" borderId="0" xfId="0" applyAlignment="1">
      <alignment horizontal="right" indent="1"/>
    </xf>
    <xf numFmtId="0" fontId="2" fillId="2" borderId="4" xfId="0" applyFont="1" applyFill="1" applyBorder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7" fillId="2" borderId="4" xfId="0" applyFont="1" applyFill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/>
    </xf>
    <xf numFmtId="0" fontId="2" fillId="0" borderId="0" xfId="0" applyFont="1" applyAlignment="1">
      <alignment horizontal="right" indent="1"/>
    </xf>
    <xf numFmtId="0" fontId="10" fillId="0" borderId="0" xfId="0" applyFont="1" applyAlignment="1">
      <alignment horizontal="right" indent="1"/>
    </xf>
    <xf numFmtId="0" fontId="11" fillId="4" borderId="4" xfId="0" applyFont="1" applyFill="1" applyBorder="1" applyAlignment="1">
      <alignment horizontal="center"/>
    </xf>
    <xf numFmtId="0" fontId="2" fillId="3" borderId="4" xfId="0" applyFont="1" applyFill="1" applyBorder="1"/>
    <xf numFmtId="0" fontId="12" fillId="5" borderId="0" xfId="0" applyFont="1" applyFill="1" applyAlignment="1">
      <alignment horizontal="right" vertical="center"/>
    </xf>
    <xf numFmtId="0" fontId="4" fillId="0" borderId="0" xfId="0" applyFont="1"/>
    <xf numFmtId="0" fontId="4" fillId="2" borderId="4" xfId="0" applyFont="1" applyFill="1" applyBorder="1"/>
    <xf numFmtId="0" fontId="7" fillId="2" borderId="4" xfId="0" applyFont="1" applyFill="1" applyBorder="1" applyAlignment="1">
      <alignment horizontal="center"/>
    </xf>
    <xf numFmtId="0" fontId="4" fillId="0" borderId="4" xfId="0" quotePrefix="1" applyFont="1" applyBorder="1"/>
    <xf numFmtId="0" fontId="4" fillId="0" borderId="4" xfId="0" applyFont="1" applyBorder="1" applyAlignment="1">
      <alignment horizontal="right" indent="1"/>
    </xf>
    <xf numFmtId="165" fontId="4" fillId="0" borderId="4" xfId="1" applyNumberFormat="1" applyFont="1" applyBorder="1"/>
    <xf numFmtId="0" fontId="4" fillId="0" borderId="4" xfId="0" applyFont="1" applyBorder="1" applyAlignment="1">
      <alignment wrapText="1"/>
    </xf>
    <xf numFmtId="0" fontId="4" fillId="0" borderId="4" xfId="0" quotePrefix="1" applyFont="1" applyBorder="1" applyAlignment="1">
      <alignment horizontal="right" indent="1"/>
    </xf>
    <xf numFmtId="0" fontId="4" fillId="0" borderId="4" xfId="0" applyFont="1" applyBorder="1" applyAlignment="1">
      <alignment vertical="top" wrapText="1"/>
    </xf>
    <xf numFmtId="0" fontId="8" fillId="0" borderId="0" xfId="0" applyFont="1" applyAlignment="1">
      <alignment horizontal="center" vertical="top"/>
    </xf>
    <xf numFmtId="0" fontId="0" fillId="3" borderId="4" xfId="0" applyFill="1" applyBorder="1" applyAlignment="1">
      <alignment horizontal="left" indent="1"/>
    </xf>
    <xf numFmtId="0" fontId="0" fillId="3" borderId="4" xfId="0" applyFill="1" applyBorder="1" applyAlignment="1">
      <alignment horizontal="center"/>
    </xf>
    <xf numFmtId="0" fontId="2" fillId="0" borderId="5" xfId="0" applyFont="1" applyBorder="1"/>
    <xf numFmtId="0" fontId="4" fillId="0" borderId="4" xfId="0" applyFont="1" applyBorder="1" applyAlignment="1">
      <alignment vertical="top"/>
    </xf>
    <xf numFmtId="0" fontId="7" fillId="2" borderId="4" xfId="0" applyFont="1" applyFill="1" applyBorder="1" applyAlignment="1">
      <alignment horizontal="left"/>
    </xf>
    <xf numFmtId="0" fontId="0" fillId="3" borderId="4" xfId="0" applyFill="1" applyBorder="1" applyAlignment="1">
      <alignment horizontal="left" vertical="top" indent="1"/>
    </xf>
    <xf numFmtId="0" fontId="1" fillId="5" borderId="0" xfId="0" applyFont="1" applyFill="1" applyAlignment="1">
      <alignment horizontal="center" vertical="center" wrapText="1"/>
    </xf>
    <xf numFmtId="0" fontId="4" fillId="6" borderId="7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9">
    <dxf>
      <font>
        <color theme="0"/>
      </font>
      <fill>
        <patternFill patternType="none">
          <bgColor auto="1"/>
        </patternFill>
      </fill>
      <border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right/>
        <top/>
        <bottom/>
        <vertical/>
        <horizontal/>
      </border>
    </dxf>
    <dxf>
      <font>
        <b/>
        <i val="0"/>
        <color rgb="FFFF0000"/>
      </font>
    </dxf>
    <dxf>
      <font>
        <b/>
        <i val="0"/>
        <color theme="5" tint="-0.24994659260841701"/>
      </font>
    </dxf>
    <dxf>
      <font>
        <b/>
        <i val="0"/>
        <color rgb="FFFF0000"/>
      </font>
    </dxf>
    <dxf>
      <font>
        <b/>
        <i val="0"/>
        <color theme="5" tint="-0.24994659260841701"/>
      </font>
    </dxf>
    <dxf>
      <font>
        <b/>
        <i val="0"/>
        <color rgb="FFFF0000"/>
      </font>
    </dxf>
    <dxf>
      <font>
        <b/>
        <i val="0"/>
        <color theme="5" tint="-0.2499465926084170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2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19050</xdr:colOff>
      <xdr:row>68</xdr:row>
      <xdr:rowOff>28575</xdr:rowOff>
    </xdr:from>
    <xdr:to>
      <xdr:col>21</xdr:col>
      <xdr:colOff>662940</xdr:colOff>
      <xdr:row>68</xdr:row>
      <xdr:rowOff>474345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857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1114425</xdr:colOff>
          <xdr:row>70</xdr:row>
          <xdr:rowOff>9525</xdr:rowOff>
        </xdr:from>
        <xdr:to>
          <xdr:col>21</xdr:col>
          <xdr:colOff>1895475</xdr:colOff>
          <xdr:row>70</xdr:row>
          <xdr:rowOff>257175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38100</xdr:colOff>
          <xdr:row>70</xdr:row>
          <xdr:rowOff>9525</xdr:rowOff>
        </xdr:from>
        <xdr:to>
          <xdr:col>20</xdr:col>
          <xdr:colOff>857250</xdr:colOff>
          <xdr:row>70</xdr:row>
          <xdr:rowOff>257175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904875</xdr:colOff>
          <xdr:row>70</xdr:row>
          <xdr:rowOff>9525</xdr:rowOff>
        </xdr:from>
        <xdr:to>
          <xdr:col>21</xdr:col>
          <xdr:colOff>1076325</xdr:colOff>
          <xdr:row>70</xdr:row>
          <xdr:rowOff>257175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</sheetPr>
  <dimension ref="A1:AD123"/>
  <sheetViews>
    <sheetView showGridLines="0" tabSelected="1" showOutlineSymbols="0" topLeftCell="T69" workbookViewId="0">
      <pane ySplit="11" topLeftCell="A80" activePane="bottomLeft" state="frozen"/>
      <selection activeCell="T69" sqref="T69"/>
      <selection pane="bottomLeft" activeCell="W69" sqref="W69"/>
    </sheetView>
  </sheetViews>
  <sheetFormatPr defaultRowHeight="15" outlineLevelRow="1" outlineLevelCol="1" x14ac:dyDescent="0.25"/>
  <cols>
    <col min="1" max="1" width="2.7109375" hidden="1" customWidth="1" outlineLevel="1"/>
    <col min="2" max="2" width="23.140625" hidden="1" customWidth="1" outlineLevel="1"/>
    <col min="3" max="3" width="29.7109375" hidden="1" customWidth="1" outlineLevel="1"/>
    <col min="4" max="4" width="20.85546875" hidden="1" customWidth="1" outlineLevel="1"/>
    <col min="5" max="19" width="13.28515625" hidden="1" customWidth="1" outlineLevel="1"/>
    <col min="20" max="20" width="0.85546875" customWidth="1" collapsed="1"/>
    <col min="21" max="21" width="16.7109375" customWidth="1"/>
    <col min="22" max="22" width="35.7109375" customWidth="1"/>
    <col min="23" max="23" width="60.7109375" customWidth="1"/>
    <col min="24" max="24" width="0.85546875" customWidth="1"/>
    <col min="25" max="30" width="12.7109375" customWidth="1"/>
  </cols>
  <sheetData>
    <row r="1" spans="1:30" hidden="1" outlineLevel="1" x14ac:dyDescent="0.25">
      <c r="A1" t="s">
        <v>12</v>
      </c>
    </row>
    <row r="2" spans="1:30" hidden="1" outlineLevel="1" x14ac:dyDescent="0.25">
      <c r="A2">
        <f>0</f>
        <v>0</v>
      </c>
      <c r="B2" s="12"/>
      <c r="C2" s="12"/>
      <c r="D2" s="12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U2" s="20"/>
      <c r="V2" s="19"/>
      <c r="W2" s="19"/>
      <c r="Y2" s="21"/>
      <c r="Z2" s="21"/>
      <c r="AA2" s="21"/>
      <c r="AB2" s="21"/>
      <c r="AC2" s="21"/>
      <c r="AD2" s="21"/>
    </row>
    <row r="3" spans="1:30" hidden="1" outlineLevel="1" x14ac:dyDescent="0.25">
      <c r="A3">
        <f>1</f>
        <v>1</v>
      </c>
      <c r="B3" s="12"/>
      <c r="C3" s="12"/>
      <c r="D3" s="12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U3" s="20"/>
      <c r="V3" s="19"/>
      <c r="W3" s="19"/>
      <c r="Y3" s="21"/>
      <c r="Z3" s="21"/>
      <c r="AA3" s="21"/>
      <c r="AB3" s="21"/>
      <c r="AC3" s="21"/>
      <c r="AD3" s="21"/>
    </row>
    <row r="4" spans="1:30" hidden="1" outlineLevel="1" x14ac:dyDescent="0.25">
      <c r="A4">
        <f>2</f>
        <v>2</v>
      </c>
      <c r="B4" s="12"/>
      <c r="C4" s="12"/>
      <c r="D4" s="12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U4" s="20"/>
      <c r="V4" s="19"/>
      <c r="W4" s="19"/>
      <c r="Y4" s="21"/>
      <c r="Z4" s="21"/>
      <c r="AA4" s="21"/>
      <c r="AB4" s="21"/>
      <c r="AC4" s="21"/>
      <c r="AD4" s="21"/>
    </row>
    <row r="5" spans="1:30" hidden="1" outlineLevel="1" x14ac:dyDescent="0.25">
      <c r="A5">
        <f>3</f>
        <v>3</v>
      </c>
      <c r="B5" s="12"/>
      <c r="C5" s="12"/>
      <c r="D5" s="12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U5" s="20"/>
      <c r="V5" s="19"/>
      <c r="W5" s="19"/>
      <c r="Y5" s="21"/>
      <c r="Z5" s="21"/>
      <c r="AA5" s="21"/>
      <c r="AB5" s="21"/>
      <c r="AC5" s="21"/>
      <c r="AD5" s="21"/>
    </row>
    <row r="6" spans="1:30" hidden="1" outlineLevel="1" x14ac:dyDescent="0.25">
      <c r="A6" t="s">
        <v>10</v>
      </c>
      <c r="B6" s="12"/>
      <c r="C6" s="12"/>
      <c r="D6" s="12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U6" s="20"/>
      <c r="V6" s="19"/>
      <c r="W6" s="19"/>
      <c r="Y6" s="21"/>
      <c r="Z6" s="21"/>
      <c r="AA6" s="21"/>
      <c r="AB6" s="21"/>
      <c r="AC6" s="21"/>
      <c r="AD6" s="21"/>
    </row>
    <row r="7" spans="1:30" hidden="1" outlineLevel="1" x14ac:dyDescent="0.25">
      <c r="A7" t="s">
        <v>11</v>
      </c>
      <c r="B7" s="12"/>
      <c r="C7" s="12"/>
      <c r="D7" s="12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U7" s="20"/>
      <c r="V7" s="19"/>
      <c r="W7" s="19"/>
      <c r="Y7" s="21"/>
      <c r="Z7" s="21"/>
      <c r="AA7" s="21"/>
      <c r="AB7" s="21"/>
      <c r="AC7" s="21"/>
      <c r="AD7" s="21"/>
    </row>
    <row r="8" spans="1:30" hidden="1" outlineLevel="1" x14ac:dyDescent="0.25">
      <c r="A8" t="s">
        <v>13</v>
      </c>
    </row>
    <row r="9" spans="1:30" hidden="1" outlineLevel="1" x14ac:dyDescent="0.25"/>
    <row r="10" spans="1:30" hidden="1" outlineLevel="1" x14ac:dyDescent="0.25"/>
    <row r="11" spans="1:30" hidden="1" outlineLevel="1" x14ac:dyDescent="0.25">
      <c r="B11" s="48" t="s">
        <v>14</v>
      </c>
      <c r="C11" s="49"/>
      <c r="D11" s="50"/>
      <c r="F11" s="48" t="s">
        <v>21</v>
      </c>
      <c r="G11" s="49"/>
      <c r="H11" s="50"/>
    </row>
    <row r="12" spans="1:30" hidden="1" outlineLevel="1" x14ac:dyDescent="0.25">
      <c r="B12" s="2" t="s">
        <v>15</v>
      </c>
      <c r="C12" s="3" t="s">
        <v>148</v>
      </c>
      <c r="D12" s="4"/>
      <c r="F12" s="2" t="s">
        <v>22</v>
      </c>
      <c r="G12" s="6" t="e" cm="1">
        <f t="array" aca="1" ref="G12" ca="1">_xll.VIEW(db_name&amp;":}ElementAttributes_variables","!","!")</f>
        <v>#NAME?</v>
      </c>
      <c r="H12" s="6"/>
    </row>
    <row r="13" spans="1:30" hidden="1" outlineLevel="1" x14ac:dyDescent="0.25">
      <c r="B13" s="2" t="s">
        <v>16</v>
      </c>
      <c r="C13" s="5" t="e" cm="1">
        <f t="array" aca="1" ref="C13" ca="1">_xll.VIEW(db_name&amp;":}ElementAttributes_}Clients","!","!")</f>
        <v>#NAME?</v>
      </c>
      <c r="D13" s="4"/>
      <c r="F13" s="2" t="s">
        <v>0</v>
      </c>
      <c r="G13" s="6" t="e" cm="1">
        <f t="array" aca="1" ref="G13" ca="1">_xll.DBR($G$12,$F13,"value")</f>
        <v>#NAME?</v>
      </c>
      <c r="H13" s="6"/>
    </row>
    <row r="14" spans="1:30" hidden="1" outlineLevel="1" x14ac:dyDescent="0.25">
      <c r="B14" s="2" t="s">
        <v>17</v>
      </c>
      <c r="C14" s="3" t="e" cm="1">
        <f t="array" aca="1" ref="C14" ca="1">_xll.TM1USER(db_name)</f>
        <v>#NAME?</v>
      </c>
      <c r="D14" s="4"/>
      <c r="F14" s="2" t="s">
        <v>23</v>
      </c>
      <c r="G14" s="6" t="e" cm="1">
        <f t="array" aca="1" ref="G14" ca="1">_xll.DBR($G$12,$F14,"value")</f>
        <v>#NAME?</v>
      </c>
      <c r="H14" s="6"/>
    </row>
    <row r="15" spans="1:30" hidden="1" outlineLevel="1" x14ac:dyDescent="0.25">
      <c r="B15" s="2" t="s">
        <v>18</v>
      </c>
      <c r="C15" s="3" t="e" cm="1">
        <f t="array" aca="1" ref="C15" ca="1">_xll.DBR($C$13,$C$14,$B15)</f>
        <v>#NAME?</v>
      </c>
      <c r="D15" s="4"/>
      <c r="F15" s="1" t="s">
        <v>96</v>
      </c>
      <c r="G15" s="6" t="e" cm="1">
        <f t="array" aca="1" ref="G15" ca="1">_xll.DBR($G$12,$F15,"value")</f>
        <v>#NAME?</v>
      </c>
    </row>
    <row r="16" spans="1:30" hidden="1" outlineLevel="1" x14ac:dyDescent="0.25">
      <c r="B16" s="2" t="s">
        <v>19</v>
      </c>
      <c r="C16" s="3" t="e" cm="1">
        <f t="array" aca="1" ref="C16" ca="1">_xll.DBR($C$13,$C$14,$B16)</f>
        <v>#NAME?</v>
      </c>
      <c r="D16" s="4"/>
    </row>
    <row r="17" spans="2:8" hidden="1" outlineLevel="1" x14ac:dyDescent="0.25">
      <c r="B17" s="2" t="s">
        <v>20</v>
      </c>
      <c r="C17" s="3" t="e">
        <f ca="1">IF(LEFT($C$15,6)="CAM_AD",$C$16,$C$15)</f>
        <v>#NAME?</v>
      </c>
      <c r="D17" s="6"/>
    </row>
    <row r="18" spans="2:8" hidden="1" outlineLevel="1" x14ac:dyDescent="0.25"/>
    <row r="19" spans="2:8" hidden="1" outlineLevel="1" x14ac:dyDescent="0.25">
      <c r="B19" s="51" t="s">
        <v>41</v>
      </c>
      <c r="C19" s="52"/>
      <c r="E19" s="25" t="s">
        <v>83</v>
      </c>
    </row>
    <row r="20" spans="2:8" hidden="1" outlineLevel="1" x14ac:dyDescent="0.25">
      <c r="B20" s="2" t="s">
        <v>42</v>
      </c>
      <c r="C20" s="6" t="e" cm="1">
        <f t="array" aca="1" ref="C20" ca="1">_xll.VIEW(db_name&amp;":sys_client preference",psUser,"!","!")</f>
        <v>#NAME?</v>
      </c>
      <c r="E20" s="6" t="s">
        <v>74</v>
      </c>
    </row>
    <row r="21" spans="2:8" hidden="1" outlineLevel="1" x14ac:dyDescent="0.25">
      <c r="B21" s="6" t="s">
        <v>43</v>
      </c>
      <c r="C21" s="6" t="e" cm="1">
        <f t="array" aca="1" ref="C21" ca="1">_xll.SUBNM(db_name &amp; ":sys_client preference measure","","value")</f>
        <v>#NAME?</v>
      </c>
      <c r="E21" s="6" t="s">
        <v>84</v>
      </c>
    </row>
    <row r="22" spans="2:8" hidden="1" outlineLevel="1" x14ac:dyDescent="0.25">
      <c r="B22" s="6" t="s">
        <v>45</v>
      </c>
      <c r="C22" s="6" t="e" cm="1">
        <f t="array" aca="1" ref="C22" ca="1">_xll.DBR($C$20,$C$14,$B22,$C$21)</f>
        <v>#NAME?</v>
      </c>
    </row>
    <row r="23" spans="2:8" hidden="1" outlineLevel="1" x14ac:dyDescent="0.25">
      <c r="B23" s="6" t="s">
        <v>46</v>
      </c>
      <c r="C23" s="6" t="e" cm="1">
        <f t="array" aca="1" ref="C23" ca="1">_xll.DBR($C$20,$C$14,$B23,$C$21)</f>
        <v>#NAME?</v>
      </c>
    </row>
    <row r="24" spans="2:8" hidden="1" outlineLevel="1" x14ac:dyDescent="0.25">
      <c r="B24" s="6" t="s">
        <v>47</v>
      </c>
      <c r="C24" s="6" t="e" cm="1">
        <f t="array" aca="1" ref="C24" ca="1">_xll.DBR($C$20,$C$14,$B24,$C$21)</f>
        <v>#NAME?</v>
      </c>
    </row>
    <row r="25" spans="2:8" ht="15.75" hidden="1" outlineLevel="1" x14ac:dyDescent="0.25">
      <c r="B25" s="6" t="s">
        <v>44</v>
      </c>
      <c r="C25" s="9" t="e">
        <f ca="1">C24</f>
        <v>#NAME?</v>
      </c>
    </row>
    <row r="26" spans="2:8" hidden="1" outlineLevel="1" x14ac:dyDescent="0.25"/>
    <row r="27" spans="2:8" hidden="1" outlineLevel="1" x14ac:dyDescent="0.25">
      <c r="B27" s="48" t="s">
        <v>24</v>
      </c>
      <c r="C27" s="49"/>
      <c r="D27" s="50"/>
    </row>
    <row r="28" spans="2:8" hidden="1" outlineLevel="1" x14ac:dyDescent="0.25">
      <c r="B28" s="6" t="s">
        <v>25</v>
      </c>
      <c r="C28" s="6" t="e" cm="1">
        <f t="array" aca="1" ref="C28" ca="1">_xll.VIEW(db_name&amp;":sys_application","!","!")</f>
        <v>#NAME?</v>
      </c>
      <c r="D28" s="6"/>
    </row>
    <row r="29" spans="2:8" hidden="1" outlineLevel="1" x14ac:dyDescent="0.25">
      <c r="B29" s="6" t="s">
        <v>26</v>
      </c>
      <c r="C29" s="6"/>
      <c r="D29" s="6"/>
    </row>
    <row r="30" spans="2:8" hidden="1" outlineLevel="1" x14ac:dyDescent="0.25">
      <c r="B30" s="7" t="s">
        <v>27</v>
      </c>
      <c r="C30" s="8" t="s">
        <v>28</v>
      </c>
      <c r="D30" s="8" t="s">
        <v>29</v>
      </c>
      <c r="E30" s="8" t="s">
        <v>30</v>
      </c>
      <c r="F30" s="8" t="s">
        <v>31</v>
      </c>
      <c r="G30" s="8" t="s">
        <v>32</v>
      </c>
      <c r="H30" s="8" t="s">
        <v>33</v>
      </c>
    </row>
    <row r="31" spans="2:8" hidden="1" outlineLevel="1" x14ac:dyDescent="0.25">
      <c r="B31" s="6" t="s">
        <v>34</v>
      </c>
      <c r="C31" s="6" t="e" cm="1">
        <f t="array" aca="1" ref="C31" ca="1">_xll.DBR($C$28,$B31,C$30)</f>
        <v>#NAME?</v>
      </c>
      <c r="D31" s="6" t="e" cm="1">
        <f t="array" aca="1" ref="D31" ca="1">_xll.DBR($C$28,$B31,D$30)</f>
        <v>#NAME?</v>
      </c>
      <c r="E31" s="6" t="e" cm="1">
        <f t="array" aca="1" ref="E31" ca="1">_xll.DBR($C$28,$B31,E$30)</f>
        <v>#NAME?</v>
      </c>
      <c r="F31" s="6" t="e" cm="1">
        <f t="array" aca="1" ref="F31" ca="1">_xll.DBR($C$28,$B31,F$30)</f>
        <v>#NAME?</v>
      </c>
      <c r="G31" s="6" t="e" cm="1">
        <f t="array" aca="1" ref="G31" ca="1">_xll.DBR($C$28,$B31,G$30)</f>
        <v>#NAME?</v>
      </c>
      <c r="H31" s="6" t="e" cm="1">
        <f t="array" aca="1" ref="H31" ca="1">_xll.DBR($C$28,$B31,H$30)</f>
        <v>#NAME?</v>
      </c>
    </row>
    <row r="32" spans="2:8" hidden="1" outlineLevel="1" x14ac:dyDescent="0.25">
      <c r="B32" s="6" t="s">
        <v>35</v>
      </c>
      <c r="C32" s="6" t="e" cm="1">
        <f t="array" aca="1" ref="C32" ca="1">_xll.DBR($C$28,$B32,C$30)</f>
        <v>#NAME?</v>
      </c>
      <c r="D32" s="6" t="e" cm="1">
        <f t="array" aca="1" ref="D32" ca="1">_xll.DBR($C$28,$B32,D$30)</f>
        <v>#NAME?</v>
      </c>
      <c r="E32" s="6" t="e" cm="1">
        <f t="array" aca="1" ref="E32" ca="1">_xll.DBR($C$28,$B32,E$30)</f>
        <v>#NAME?</v>
      </c>
      <c r="F32" s="6" t="e" cm="1">
        <f t="array" aca="1" ref="F32" ca="1">_xll.DBR($C$28,$B32,F$30)</f>
        <v>#NAME?</v>
      </c>
      <c r="G32" s="6" t="e" cm="1">
        <f t="array" aca="1" ref="G32" ca="1">_xll.DBR($C$28,$B32,G$30)</f>
        <v>#NAME?</v>
      </c>
      <c r="H32" s="6" t="e" cm="1">
        <f t="array" aca="1" ref="H32" ca="1">_xll.DBR($C$28,$B32,H$30)</f>
        <v>#NAME?</v>
      </c>
    </row>
    <row r="33" spans="2:9" hidden="1" outlineLevel="1" x14ac:dyDescent="0.25">
      <c r="B33" s="6" t="s">
        <v>36</v>
      </c>
      <c r="C33" s="6" t="e" cm="1">
        <f t="array" aca="1" ref="C33" ca="1">_xll.DBR($C$28,$B33,C$30)</f>
        <v>#NAME?</v>
      </c>
      <c r="D33" s="6" t="e" cm="1">
        <f t="array" aca="1" ref="D33" ca="1">_xll.DBR($C$28,$B33,D$30)</f>
        <v>#NAME?</v>
      </c>
      <c r="E33" s="6" t="e" cm="1">
        <f t="array" aca="1" ref="E33" ca="1">_xll.DBR($C$28,$B33,E$30)</f>
        <v>#NAME?</v>
      </c>
      <c r="F33" s="6" t="e" cm="1">
        <f t="array" aca="1" ref="F33" ca="1">_xll.DBR($C$28,$B33,F$30)</f>
        <v>#NAME?</v>
      </c>
      <c r="G33" s="6" t="e" cm="1">
        <f t="array" aca="1" ref="G33" ca="1">_xll.DBR($C$28,$B33,G$30)</f>
        <v>#NAME?</v>
      </c>
      <c r="H33" s="6" t="e" cm="1">
        <f t="array" aca="1" ref="H33" ca="1">_xll.DBR($C$28,$B33,H$30)</f>
        <v>#NAME?</v>
      </c>
    </row>
    <row r="34" spans="2:9" hidden="1" outlineLevel="1" x14ac:dyDescent="0.25">
      <c r="B34" s="6" t="s">
        <v>37</v>
      </c>
      <c r="C34" s="6" t="e" cm="1">
        <f t="array" aca="1" ref="C34" ca="1">_xll.DBR($C$28,$B34,C$30)</f>
        <v>#NAME?</v>
      </c>
      <c r="D34" s="6" t="e" cm="1">
        <f t="array" aca="1" ref="D34" ca="1">_xll.DBR($C$28,$B34,D$30)</f>
        <v>#NAME?</v>
      </c>
      <c r="E34" s="6" t="e" cm="1">
        <f t="array" aca="1" ref="E34" ca="1">_xll.DBR($C$28,$B34,E$30)</f>
        <v>#NAME?</v>
      </c>
      <c r="F34" s="6" t="e" cm="1">
        <f t="array" aca="1" ref="F34" ca="1">_xll.DBR($C$28,$B34,F$30)</f>
        <v>#NAME?</v>
      </c>
      <c r="G34" s="6" t="e" cm="1">
        <f t="array" aca="1" ref="G34" ca="1">_xll.DBR($C$28,$B34,G$30)</f>
        <v>#NAME?</v>
      </c>
      <c r="H34" s="6" t="e" cm="1">
        <f t="array" aca="1" ref="H34" ca="1">_xll.DBR($C$28,$B34,H$30)</f>
        <v>#NAME?</v>
      </c>
    </row>
    <row r="35" spans="2:9" hidden="1" outlineLevel="1" x14ac:dyDescent="0.25">
      <c r="B35" s="6" t="s">
        <v>38</v>
      </c>
      <c r="C35" s="6" t="e" cm="1">
        <f t="array" aca="1" ref="C35" ca="1">_xll.DBR($C$28,$B35,C$30)</f>
        <v>#NAME?</v>
      </c>
      <c r="D35" s="6" t="e" cm="1">
        <f t="array" aca="1" ref="D35" ca="1">_xll.DBR($C$28,$B35,D$30)</f>
        <v>#NAME?</v>
      </c>
      <c r="E35" s="6" t="e" cm="1">
        <f t="array" aca="1" ref="E35" ca="1">_xll.DBR($C$28,$B35,E$30)</f>
        <v>#NAME?</v>
      </c>
      <c r="F35" s="6" t="e" cm="1">
        <f t="array" aca="1" ref="F35" ca="1">_xll.DBR($C$28,$B35,F$30)</f>
        <v>#NAME?</v>
      </c>
      <c r="G35" s="6" t="e" cm="1">
        <f t="array" aca="1" ref="G35" ca="1">_xll.DBR($C$28,$B35,G$30)</f>
        <v>#NAME?</v>
      </c>
      <c r="H35" s="6" t="e" cm="1">
        <f t="array" aca="1" ref="H35" ca="1">_xll.DBR($C$28,$B35,H$30)</f>
        <v>#NAME?</v>
      </c>
    </row>
    <row r="36" spans="2:9" hidden="1" outlineLevel="1" x14ac:dyDescent="0.25">
      <c r="B36" s="6" t="s">
        <v>39</v>
      </c>
      <c r="C36" s="6" t="e" cm="1">
        <f t="array" aca="1" ref="C36" ca="1">_xll.DBR($C$28,$B36,C$30)</f>
        <v>#NAME?</v>
      </c>
      <c r="D36" s="6" t="e" cm="1">
        <f t="array" aca="1" ref="D36" ca="1">_xll.DBR($C$28,$B36,D$30)</f>
        <v>#NAME?</v>
      </c>
      <c r="E36" s="6" t="e" cm="1">
        <f t="array" aca="1" ref="E36" ca="1">_xll.DBR($C$28,$B36,E$30)</f>
        <v>#NAME?</v>
      </c>
      <c r="F36" s="6" t="e" cm="1">
        <f t="array" aca="1" ref="F36" ca="1">_xll.DBR($C$28,$B36,F$30)</f>
        <v>#NAME?</v>
      </c>
      <c r="G36" s="6" t="e" cm="1">
        <f t="array" aca="1" ref="G36" ca="1">_xll.DBR($C$28,$B36,G$30)</f>
        <v>#NAME?</v>
      </c>
      <c r="H36" s="6" t="e" cm="1">
        <f t="array" aca="1" ref="H36" ca="1">_xll.DBR($C$28,$B36,H$30)</f>
        <v>#NAME?</v>
      </c>
    </row>
    <row r="37" spans="2:9" hidden="1" outlineLevel="1" x14ac:dyDescent="0.25">
      <c r="B37" s="6" t="s">
        <v>40</v>
      </c>
      <c r="C37" s="6" t="e" cm="1">
        <f t="array" aca="1" ref="C37" ca="1">_xll.DBR($C$28,$B37,C$30)</f>
        <v>#NAME?</v>
      </c>
      <c r="D37" s="6" t="e" cm="1">
        <f t="array" aca="1" ref="D37" ca="1">_xll.DBR($C$28,$B37,D$30)</f>
        <v>#NAME?</v>
      </c>
      <c r="E37" s="6" t="e" cm="1">
        <f t="array" aca="1" ref="E37" ca="1">_xll.DBR($C$28,$B37,E$30)</f>
        <v>#NAME?</v>
      </c>
      <c r="F37" s="6" t="e" cm="1">
        <f t="array" aca="1" ref="F37" ca="1">_xll.DBR($C$28,$B37,F$30)</f>
        <v>#NAME?</v>
      </c>
      <c r="G37" s="6" t="e" cm="1">
        <f t="array" aca="1" ref="G37" ca="1">_xll.DBR($C$28,$B37,G$30)</f>
        <v>#NAME?</v>
      </c>
      <c r="H37" s="6" t="e" cm="1">
        <f t="array" aca="1" ref="H37" ca="1">_xll.DBR($C$28,$B37,H$30)</f>
        <v>#NAME?</v>
      </c>
    </row>
    <row r="38" spans="2:9" hidden="1" outlineLevel="1" x14ac:dyDescent="0.25">
      <c r="B38" s="6" t="s">
        <v>127</v>
      </c>
      <c r="C38" s="6" t="e" cm="1">
        <f t="array" aca="1" ref="C38" ca="1">_xll.DBR($C$28,$B38,C$30)</f>
        <v>#NAME?</v>
      </c>
      <c r="D38" s="6" t="e" cm="1">
        <f t="array" aca="1" ref="D38" ca="1">_xll.DBR($C$28,$B38,D$30)</f>
        <v>#NAME?</v>
      </c>
      <c r="E38" s="6" t="e" cm="1">
        <f t="array" aca="1" ref="E38" ca="1">_xll.DBR($C$28,$B38,E$30)</f>
        <v>#NAME?</v>
      </c>
      <c r="F38" s="6" t="e" cm="1">
        <f t="array" aca="1" ref="F38" ca="1">_xll.DBR($C$28,$B38,F$30)</f>
        <v>#NAME?</v>
      </c>
      <c r="G38" s="6" t="e" cm="1">
        <f t="array" aca="1" ref="G38" ca="1">_xll.DBR($C$28,$B38,G$30)</f>
        <v>#NAME?</v>
      </c>
      <c r="H38" s="6" t="e" cm="1">
        <f t="array" aca="1" ref="H38" ca="1">_xll.DBR($C$28,$B38,H$30)</f>
        <v>#NAME?</v>
      </c>
    </row>
    <row r="39" spans="2:9" hidden="1" outlineLevel="1" x14ac:dyDescent="0.25">
      <c r="B39" s="6" t="s">
        <v>138</v>
      </c>
      <c r="C39" s="6" t="e" cm="1">
        <f t="array" aca="1" ref="C39" ca="1">_xll.DBR($C$28,$B39,C$30)</f>
        <v>#NAME?</v>
      </c>
      <c r="D39" s="6" t="e" cm="1">
        <f t="array" aca="1" ref="D39" ca="1">_xll.DBR($C$28,$B39,D$30)</f>
        <v>#NAME?</v>
      </c>
      <c r="E39" s="6" t="e" cm="1">
        <f t="array" aca="1" ref="E39" ca="1">_xll.DBR($C$28,$B39,E$30)</f>
        <v>#NAME?</v>
      </c>
      <c r="F39" s="6" t="e" cm="1">
        <f t="array" aca="1" ref="F39" ca="1">_xll.DBR($C$28,$B39,F$30)</f>
        <v>#NAME?</v>
      </c>
      <c r="G39" s="6" t="e" cm="1">
        <f t="array" aca="1" ref="G39" ca="1">_xll.DBR($C$28,$B39,G$30)</f>
        <v>#NAME?</v>
      </c>
      <c r="H39" s="6" t="e" cm="1">
        <f t="array" aca="1" ref="H39" ca="1">_xll.DBR($C$28,$B39,H$30)</f>
        <v>#NAME?</v>
      </c>
    </row>
    <row r="40" spans="2:9" hidden="1" outlineLevel="1" x14ac:dyDescent="0.25">
      <c r="B40" s="6" t="s">
        <v>140</v>
      </c>
      <c r="C40" s="6" t="e" cm="1">
        <f t="array" aca="1" ref="C40" ca="1">_xll.DBR($C$28,$B40,C$30)</f>
        <v>#NAME?</v>
      </c>
      <c r="D40" s="6" t="e" cm="1">
        <f t="array" aca="1" ref="D40" ca="1">_xll.DBR($C$28,$B40,D$30)</f>
        <v>#NAME?</v>
      </c>
      <c r="E40" s="6" t="e" cm="1">
        <f t="array" aca="1" ref="E40" ca="1">_xll.DBR($C$28,$B40,E$30)</f>
        <v>#NAME?</v>
      </c>
      <c r="F40" s="6" t="e" cm="1">
        <f t="array" aca="1" ref="F40" ca="1">_xll.DBR($C$28,$B40,F$30)</f>
        <v>#NAME?</v>
      </c>
      <c r="G40" s="6" t="e" cm="1">
        <f t="array" aca="1" ref="G40" ca="1">_xll.DBR($C$28,$B40,G$30)</f>
        <v>#NAME?</v>
      </c>
      <c r="H40" s="6" t="e" cm="1">
        <f t="array" aca="1" ref="H40" ca="1">_xll.DBR($C$28,$B40,H$30)</f>
        <v>#NAME?</v>
      </c>
    </row>
    <row r="41" spans="2:9" hidden="1" outlineLevel="1" x14ac:dyDescent="0.25"/>
    <row r="42" spans="2:9" hidden="1" outlineLevel="1" x14ac:dyDescent="0.25">
      <c r="B42" s="6"/>
      <c r="C42" s="8" t="s">
        <v>129</v>
      </c>
      <c r="D42" s="8" t="s">
        <v>130</v>
      </c>
      <c r="F42" s="6"/>
      <c r="G42" s="6" t="s">
        <v>144</v>
      </c>
      <c r="H42" s="6" t="s">
        <v>146</v>
      </c>
      <c r="I42" s="6" t="s">
        <v>147</v>
      </c>
    </row>
    <row r="43" spans="2:9" hidden="1" outlineLevel="1" x14ac:dyDescent="0.25">
      <c r="B43" s="2" t="s">
        <v>131</v>
      </c>
      <c r="C43" s="6" t="e">
        <f ca="1">IF($G$50="Group",IF($G$51="Compliance",TM1GrpNewAdj08RecogDataEntryWB,TM1GrpNewAdj02ExpDataEntryWB),TM1NewAdj02DataEntryWB)</f>
        <v>#NAME?</v>
      </c>
      <c r="D43" s="6" t="e">
        <f ca="1">IF($G$50="Group",IF($G$51="Compliance",TM1GrpNewAdj08RecogDataEntryWS,TM1GrpNewAdj02ExpDataEntryWS),TM1NewAdj02DataEntryWS)</f>
        <v>#NAME?</v>
      </c>
      <c r="F43" s="6" t="s">
        <v>145</v>
      </c>
      <c r="G43" s="6" t="e">
        <f ca="1">IF(LEFT($G$52,4)="1040",$I43,$H43)</f>
        <v>#NAME?</v>
      </c>
      <c r="H43" s="6" t="s">
        <v>143</v>
      </c>
      <c r="I43" s="6" t="s">
        <v>133</v>
      </c>
    </row>
    <row r="44" spans="2:9" hidden="1" outlineLevel="1" x14ac:dyDescent="0.25">
      <c r="B44" s="2" t="s">
        <v>139</v>
      </c>
      <c r="C44" s="6" t="e">
        <f ca="1">IF($G$50="Group",TM1GrpNewAdj05AuthWB,TM1NewAdj03AuthWB)</f>
        <v>#NAME?</v>
      </c>
      <c r="D44" s="6" t="e">
        <f ca="1">IF($G$50="Group",TM1GrpNewAdj05AuthWS,TM1NewAdj03AuthWS)</f>
        <v>#NAME?</v>
      </c>
    </row>
    <row r="45" spans="2:9" hidden="1" outlineLevel="1" x14ac:dyDescent="0.25"/>
    <row r="46" spans="2:9" hidden="1" outlineLevel="1" x14ac:dyDescent="0.25">
      <c r="B46" s="48" t="s">
        <v>64</v>
      </c>
      <c r="C46" s="49"/>
      <c r="D46" s="50"/>
      <c r="F46" s="48" t="s">
        <v>48</v>
      </c>
      <c r="G46" s="49"/>
      <c r="H46" s="50"/>
    </row>
    <row r="47" spans="2:9" hidden="1" outlineLevel="1" x14ac:dyDescent="0.25">
      <c r="B47" s="6" t="s">
        <v>59</v>
      </c>
      <c r="C47" s="6" t="e" cm="1">
        <f t="array" aca="1" ref="C47" ca="1">_xll.VIEW(db_name&amp;":AE adjustments",$C$22,$C$23,"!",$C$48,$C$49,$C$50,$C$51,$C$52,$C$53,$C$54,"!",$C$55,$C$56,"!",$C$24,$C$57,"!")</f>
        <v>#NAME?</v>
      </c>
      <c r="D47" s="6"/>
      <c r="F47" s="2" t="s">
        <v>49</v>
      </c>
      <c r="G47" s="6" t="e" cm="1">
        <f t="array" aca="1" ref="G47" ca="1">_xll.VIEW(db_name&amp;":AE id details",$C$22,$C$23,$C$24,"!")</f>
        <v>#NAME?</v>
      </c>
      <c r="H47" s="2" t="s">
        <v>50</v>
      </c>
    </row>
    <row r="48" spans="2:9" hidden="1" outlineLevel="1" x14ac:dyDescent="0.25">
      <c r="B48" s="2" t="s">
        <v>55</v>
      </c>
      <c r="C48" s="6" t="e" cm="1">
        <f t="array" aca="1" ref="C48" ca="1">_xll.SUBNM(db_name&amp;":outcome","","Total outcomes")</f>
        <v>#NAME?</v>
      </c>
      <c r="D48" s="6"/>
      <c r="F48" s="2" t="s">
        <v>51</v>
      </c>
      <c r="G48" s="6" t="e" cm="1">
        <f t="array" aca="1" ref="G48" ca="1">_xll.DBR($G$47,$C$22,$C$23,$C$24,$F48)</f>
        <v>#NAME?</v>
      </c>
      <c r="H48" s="6"/>
    </row>
    <row r="49" spans="2:18" hidden="1" outlineLevel="1" x14ac:dyDescent="0.25">
      <c r="B49" s="2" t="s">
        <v>60</v>
      </c>
      <c r="C49" s="6" t="e" cm="1">
        <f t="array" aca="1" ref="C49" ca="1">_xll.SUBNM(db_name&amp;":related entity","","Total related entity")</f>
        <v>#NAME?</v>
      </c>
      <c r="D49" s="6"/>
      <c r="F49" s="2" t="s">
        <v>58</v>
      </c>
      <c r="G49" s="6" t="e" cm="1">
        <f t="array" aca="1" ref="G49" ca="1">_xll.DBR($G$47,$C$22,$C$23,$C$24,$F49)</f>
        <v>#NAME?</v>
      </c>
      <c r="H49" s="6"/>
    </row>
    <row r="50" spans="2:18" hidden="1" outlineLevel="1" x14ac:dyDescent="0.25">
      <c r="B50" s="2" t="s">
        <v>56</v>
      </c>
      <c r="C50" s="6" t="e" cm="1">
        <f t="array" aca="1" ref="C50" ca="1">_xll.SUBNM(db_name&amp;":function","","Total functions")</f>
        <v>#NAME?</v>
      </c>
      <c r="D50" s="6"/>
      <c r="F50" s="2" t="s">
        <v>128</v>
      </c>
      <c r="G50" s="6" t="e" cm="1">
        <f t="array" aca="1" ref="G50" ca="1">_xll.DBR($G$47,$C$22,$C$23,$C$24,$F50)</f>
        <v>#NAME?</v>
      </c>
      <c r="H50" s="6"/>
    </row>
    <row r="51" spans="2:18" hidden="1" outlineLevel="1" x14ac:dyDescent="0.25">
      <c r="B51" s="2" t="s">
        <v>57</v>
      </c>
      <c r="C51" s="6" t="e" cm="1">
        <f t="array" aca="1" ref="C51" ca="1">_xll.SUBNM(db_name&amp;":reason","","Total reason")</f>
        <v>#NAME?</v>
      </c>
      <c r="D51" s="6"/>
      <c r="F51" s="2" t="s">
        <v>137</v>
      </c>
      <c r="G51" s="6" t="e" cm="1">
        <f t="array" aca="1" ref="G51" ca="1">_xll.DBR($G$47,$C$22,$C$23,$C$24,$F51)</f>
        <v>#NAME?</v>
      </c>
      <c r="H51" s="6"/>
    </row>
    <row r="52" spans="2:18" hidden="1" outlineLevel="1" x14ac:dyDescent="0.25">
      <c r="B52" s="2" t="s">
        <v>54</v>
      </c>
      <c r="C52" s="6" t="e" cm="1">
        <f t="array" aca="1" ref="C52" ca="1">_xll.SUBNM(db_name&amp;":spp","","Total SPP")</f>
        <v>#NAME?</v>
      </c>
      <c r="D52" s="6"/>
      <c r="F52" s="39" t="s">
        <v>57</v>
      </c>
      <c r="G52" s="6" t="e">
        <f ca="1">_xll.DBR($G$47,$C$22,$C$23,$C$24,$F52)</f>
        <v>#NAME?</v>
      </c>
    </row>
    <row r="53" spans="2:18" hidden="1" outlineLevel="1" x14ac:dyDescent="0.25">
      <c r="B53" s="2" t="s">
        <v>61</v>
      </c>
      <c r="C53" s="6" t="e" cm="1">
        <f t="array" aca="1" ref="C53" ca="1">_xll.SUBNM(db_name&amp;":measure code","","Total Measures","CBMS")</f>
        <v>#NAME?</v>
      </c>
      <c r="D53" s="6"/>
    </row>
    <row r="54" spans="2:18" hidden="1" outlineLevel="1" x14ac:dyDescent="0.25">
      <c r="B54" s="2" t="s">
        <v>52</v>
      </c>
      <c r="C54" s="6" t="e" cm="1">
        <f t="array" aca="1" ref="C54" ca="1">_xll.SUBNM(db_name&amp;":appropriation type","","Total approp types")</f>
        <v>#NAME?</v>
      </c>
      <c r="D54" s="6"/>
      <c r="F54" s="47" t="s">
        <v>93</v>
      </c>
      <c r="G54" s="47"/>
      <c r="H54" s="47"/>
    </row>
    <row r="55" spans="2:18" hidden="1" outlineLevel="1" x14ac:dyDescent="0.25">
      <c r="B55" s="2" t="s">
        <v>53</v>
      </c>
      <c r="C55" s="6" t="e" cm="1">
        <f t="array" aca="1" ref="C55" ca="1">_xll.SUBNM(db_name&amp;":appropriation item","","Total approp item")</f>
        <v>#NAME?</v>
      </c>
      <c r="D55" s="6"/>
      <c r="F55" s="2" t="s">
        <v>88</v>
      </c>
      <c r="G55" s="6" t="e" cm="1">
        <f t="array" aca="1" ref="G55" ca="1">_xll.VIEW(db_name&amp;":}ElementAttributes_account","!","!")</f>
        <v>#NAME?</v>
      </c>
      <c r="H55" s="6"/>
    </row>
    <row r="56" spans="2:18" hidden="1" outlineLevel="1" x14ac:dyDescent="0.25">
      <c r="B56" s="2" t="s">
        <v>62</v>
      </c>
      <c r="C56" s="6" t="e" cm="1">
        <f t="array" aca="1" ref="C56" ca="1">_xll.SUBNM(db_name&amp;":programme","","Total Programmes","code and description")</f>
        <v>#NAME?</v>
      </c>
      <c r="D56" s="6"/>
      <c r="F56" s="2" t="s">
        <v>94</v>
      </c>
      <c r="G56" s="6" t="e" cm="1">
        <f t="array" aca="1" ref="G56" ca="1">_xll.VIEW(db_name&amp;":}ElementAttributes_movement account","!","!")</f>
        <v>#NAME?</v>
      </c>
    </row>
    <row r="57" spans="2:18" hidden="1" outlineLevel="1" x14ac:dyDescent="0.25">
      <c r="B57" s="2" t="s">
        <v>63</v>
      </c>
      <c r="C57" s="6" t="e" cm="1">
        <f t="array" aca="1" ref="C57" ca="1">_xll.SUBNM(db_name&amp;":jurisdiction","","Total jurisdictions")</f>
        <v>#NAME?</v>
      </c>
      <c r="D57" s="6"/>
    </row>
    <row r="58" spans="2:18" hidden="1" outlineLevel="1" x14ac:dyDescent="0.25"/>
    <row r="59" spans="2:18" hidden="1" outlineLevel="1" x14ac:dyDescent="0.25">
      <c r="B59" s="48" t="s">
        <v>65</v>
      </c>
      <c r="C59" s="49"/>
      <c r="D59" s="50"/>
      <c r="F59" s="47" t="s">
        <v>95</v>
      </c>
      <c r="G59" s="47"/>
      <c r="H59" s="47"/>
    </row>
    <row r="60" spans="2:18" hidden="1" outlineLevel="1" x14ac:dyDescent="0.25">
      <c r="B60" s="2" t="s">
        <v>66</v>
      </c>
      <c r="C60" s="6" t="e" cm="1">
        <f t="array" aca="1" ref="C60" ca="1">_xll.TM1RPTVIEW(db_name&amp;":AE validations:1", 0, _xll.TM1RPTTITLE(db_name&amp;":headline year",$C$22), _xll.TM1RPTTITLE(db_name&amp;":scenario",$C$23), _xll.TM1RPTTITLE(db_name&amp;":id",$C$24),TM1RPTFMTRNG,TM1RPTFMTIDCOL)</f>
        <v>#NAME?</v>
      </c>
      <c r="D60" s="6"/>
      <c r="F60" s="2" t="s">
        <v>22</v>
      </c>
      <c r="G60" s="6" t="e" cm="1">
        <f t="array" aca="1" ref="G60" ca="1">_xll.VIEW(db_name&amp;":}ElementAttributes_validation id","!","!")</f>
        <v>#NAME?</v>
      </c>
      <c r="H60" s="6"/>
    </row>
    <row r="61" spans="2:18" hidden="1" outlineLevel="1" x14ac:dyDescent="0.25">
      <c r="B61" s="2" t="s">
        <v>67</v>
      </c>
      <c r="C61" s="6" t="e" cm="1">
        <f t="array" aca="1" ref="C61" ca="1">_xll.VIEW(db_name&amp;":AE validations",$C$22,$C$23,"!",$C$24,"!")</f>
        <v>#NAME?</v>
      </c>
      <c r="D61" s="6"/>
    </row>
    <row r="62" spans="2:18" hidden="1" outlineLevel="1" x14ac:dyDescent="0.25">
      <c r="B62" s="2" t="s">
        <v>68</v>
      </c>
      <c r="C62" s="6" t="s">
        <v>69</v>
      </c>
      <c r="D62" s="6"/>
    </row>
    <row r="63" spans="2:18" hidden="1" outlineLevel="1" x14ac:dyDescent="0.25"/>
    <row r="64" spans="2:18" hidden="1" outlineLevel="1" x14ac:dyDescent="0.25">
      <c r="D64" s="15" t="s">
        <v>72</v>
      </c>
      <c r="E64" s="3" t="e">
        <f ca="1">RIGHT($C$22,9)</f>
        <v>#NAME?</v>
      </c>
      <c r="F64" s="14" t="e" cm="1">
        <f t="array" aca="1" ref="F64" ca="1">_xll.DIMNM(db_name&amp;":period",_xll.DIMIX(db_name&amp;":period",$E$64)+F$65)</f>
        <v>#NAME?</v>
      </c>
      <c r="G64" s="14" t="e" cm="1">
        <f t="array" aca="1" ref="G64" ca="1">_xll.DIMNM(db_name&amp;":period",_xll.DIMIX(db_name&amp;":period",$E$64)+G$65)</f>
        <v>#NAME?</v>
      </c>
      <c r="H64" s="14" t="e" cm="1">
        <f t="array" aca="1" ref="H64" ca="1">_xll.DIMNM(db_name&amp;":period",_xll.DIMIX(db_name&amp;":period",$E$64)+H$65)</f>
        <v>#NAME?</v>
      </c>
      <c r="I64" s="14" t="e" cm="1">
        <f t="array" aca="1" ref="I64" ca="1">_xll.DIMNM(db_name&amp;":period",_xll.DIMIX(db_name&amp;":period",$E$64)+I$65)</f>
        <v>#NAME?</v>
      </c>
      <c r="J64" s="14" t="e" cm="1">
        <f t="array" aca="1" ref="J64" ca="1">_xll.DIMNM(db_name&amp;":period",_xll.DIMIX(db_name&amp;":period",$E$64)+J$65)</f>
        <v>#NAME?</v>
      </c>
      <c r="K64" s="14" t="e" cm="1">
        <f t="array" aca="1" ref="K64" ca="1">IF(OR(sys_per_display=$E$67,sys_per_display=$E$66),"",_xll.DIMNM(db_name&amp;":period",_xll.DIMIX(db_name&amp;":period",$E$64)+K$65))</f>
        <v>#NAME?</v>
      </c>
      <c r="L64" s="14" t="e" cm="1">
        <f t="array" aca="1" ref="L64" ca="1">IF(OR(sys_per_display=$E$67,sys_per_display=$E$66),"",_xll.DIMNM(db_name&amp;":period",_xll.DIMIX(db_name&amp;":period",$E$64)+L$65))</f>
        <v>#NAME?</v>
      </c>
      <c r="M64" s="14" t="e" cm="1">
        <f t="array" aca="1" ref="M64" ca="1">IF(OR(sys_per_display=$E$67,sys_per_display=$E$66),"",_xll.DIMNM(db_name&amp;":period",_xll.DIMIX(db_name&amp;":period",$E$64)+M$65))</f>
        <v>#NAME?</v>
      </c>
      <c r="N64" s="14" t="e" cm="1">
        <f t="array" aca="1" ref="N64" ca="1">IF(OR(sys_per_display=$E$67,sys_per_display=$E$66),"",_xll.DIMNM(db_name&amp;":period",_xll.DIMIX(db_name&amp;":period",$E$64)+N$65))</f>
        <v>#NAME?</v>
      </c>
      <c r="O64" s="14" t="e" cm="1">
        <f t="array" aca="1" ref="O64" ca="1">IF(OR(sys_per_display=$E$67,sys_per_display=$E$66),"",_xll.DIMNM(db_name&amp;":period",_xll.DIMIX(db_name&amp;":period",$E$64)+O$65))</f>
        <v>#NAME?</v>
      </c>
      <c r="P64" s="14" t="e" cm="1">
        <f t="array" aca="1" ref="P64" ca="1">IF(OR(sys_per_display=$E$67,sys_per_display=$E$66),"",_xll.DIMNM(db_name&amp;":period",_xll.DIMIX(db_name&amp;":period",$E$64)+P$65))</f>
        <v>#NAME?</v>
      </c>
      <c r="Q64" s="14" t="e" cm="1">
        <f t="array" aca="1" ref="Q64" ca="1">IF(OR(sys_per_display=$E$67,sys_per_display=$E$66),"",_xll.DIMNM(db_name&amp;":period",_xll.DIMIX(db_name&amp;":period",$E$64)+Q$65))</f>
        <v>#NAME?</v>
      </c>
      <c r="R64" s="14" t="e" cm="1">
        <f t="array" aca="1" ref="R64" ca="1">IF(OR(sys_per_display=$E$67,sys_per_display=$E$66),"",_xll.DIMNM(db_name&amp;":period",_xll.DIMIX(db_name&amp;":period",$E$64)+R$65))</f>
        <v>#NAME?</v>
      </c>
    </row>
    <row r="65" spans="1:30" hidden="1" outlineLevel="1" x14ac:dyDescent="0.25">
      <c r="E65" s="2" t="s">
        <v>73</v>
      </c>
      <c r="F65" s="14" t="e">
        <f t="shared" ref="F65:R65" ca="1" si="0">IF(sys_per_display=$E$66,F$66,F$67)</f>
        <v>#NAME?</v>
      </c>
      <c r="G65" s="14" t="e">
        <f t="shared" ca="1" si="0"/>
        <v>#NAME?</v>
      </c>
      <c r="H65" s="14" t="e">
        <f t="shared" ca="1" si="0"/>
        <v>#NAME?</v>
      </c>
      <c r="I65" s="14" t="e">
        <f t="shared" ca="1" si="0"/>
        <v>#NAME?</v>
      </c>
      <c r="J65" s="14" t="e">
        <f t="shared" ca="1" si="0"/>
        <v>#NAME?</v>
      </c>
      <c r="K65" s="14" t="e">
        <f t="shared" ca="1" si="0"/>
        <v>#NAME?</v>
      </c>
      <c r="L65" s="14" t="e">
        <f t="shared" ca="1" si="0"/>
        <v>#NAME?</v>
      </c>
      <c r="M65" s="14" t="e">
        <f t="shared" ca="1" si="0"/>
        <v>#NAME?</v>
      </c>
      <c r="N65" s="14" t="e">
        <f t="shared" ca="1" si="0"/>
        <v>#NAME?</v>
      </c>
      <c r="O65" s="14" t="e">
        <f t="shared" ca="1" si="0"/>
        <v>#NAME?</v>
      </c>
      <c r="P65" s="14" t="e">
        <f t="shared" ca="1" si="0"/>
        <v>#NAME?</v>
      </c>
      <c r="Q65" s="14" t="e">
        <f t="shared" ca="1" si="0"/>
        <v>#NAME?</v>
      </c>
      <c r="R65" s="14" t="e">
        <f t="shared" ca="1" si="0"/>
        <v>#NAME?</v>
      </c>
    </row>
    <row r="66" spans="1:30" hidden="1" outlineLevel="1" x14ac:dyDescent="0.25">
      <c r="E66" s="6" t="s">
        <v>133</v>
      </c>
      <c r="F66" s="6">
        <v>-2</v>
      </c>
      <c r="G66" s="6">
        <v>-1</v>
      </c>
      <c r="H66" s="6">
        <v>0</v>
      </c>
      <c r="I66" s="6">
        <v>1</v>
      </c>
      <c r="J66" s="6">
        <v>2</v>
      </c>
      <c r="K66" s="6">
        <v>3</v>
      </c>
      <c r="L66" s="6">
        <v>4</v>
      </c>
      <c r="M66" s="6">
        <v>5</v>
      </c>
      <c r="N66" s="6">
        <v>6</v>
      </c>
      <c r="O66" s="6">
        <v>7</v>
      </c>
      <c r="P66" s="6">
        <v>8</v>
      </c>
      <c r="Q66" s="6">
        <v>9</v>
      </c>
      <c r="R66" s="6">
        <v>10</v>
      </c>
    </row>
    <row r="67" spans="1:30" hidden="1" outlineLevel="1" x14ac:dyDescent="0.25">
      <c r="E67" s="6" t="s">
        <v>74</v>
      </c>
      <c r="F67" s="6">
        <v>-1</v>
      </c>
      <c r="G67" s="6">
        <v>0</v>
      </c>
      <c r="H67" s="6">
        <v>1</v>
      </c>
      <c r="I67" s="6">
        <v>2</v>
      </c>
      <c r="J67" s="6">
        <v>3</v>
      </c>
      <c r="K67" s="6">
        <v>4</v>
      </c>
      <c r="L67" s="6">
        <v>5</v>
      </c>
      <c r="M67" s="6">
        <v>6</v>
      </c>
      <c r="N67" s="6">
        <v>7</v>
      </c>
      <c r="O67" s="6">
        <v>8</v>
      </c>
      <c r="P67" s="6">
        <v>9</v>
      </c>
      <c r="Q67" s="6">
        <v>10</v>
      </c>
      <c r="R67" s="6">
        <v>11</v>
      </c>
    </row>
    <row r="68" spans="1:30" hidden="1" outlineLevel="1" x14ac:dyDescent="0.25"/>
    <row r="69" spans="1:30" ht="39.75" customHeight="1" collapsed="1" x14ac:dyDescent="0.25">
      <c r="T69" s="26"/>
      <c r="U69" s="26"/>
      <c r="V69" s="26"/>
      <c r="W69" s="26"/>
      <c r="X69" s="26"/>
      <c r="Y69" s="26"/>
      <c r="Z69" s="26"/>
      <c r="AA69" s="26"/>
      <c r="AB69" s="26"/>
      <c r="AC69" s="26" t="s">
        <v>85</v>
      </c>
    </row>
    <row r="70" spans="1:30" ht="4.5" customHeight="1" x14ac:dyDescent="0.25"/>
    <row r="71" spans="1:30" ht="24" customHeight="1" x14ac:dyDescent="0.25"/>
    <row r="72" spans="1:30" ht="1.5" customHeight="1" x14ac:dyDescent="0.25"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 spans="1:30" ht="4.5" customHeight="1" x14ac:dyDescent="0.25"/>
    <row r="74" spans="1:30" x14ac:dyDescent="0.25">
      <c r="U74" s="22" t="s">
        <v>79</v>
      </c>
      <c r="V74" s="37" t="e">
        <f ca="1">$C$22</f>
        <v>#NAME?</v>
      </c>
      <c r="W74" s="23" t="s">
        <v>80</v>
      </c>
      <c r="Y74" s="38" t="e">
        <f ca="1">$C$23</f>
        <v>#NAME?</v>
      </c>
      <c r="AB74" s="22" t="s">
        <v>81</v>
      </c>
      <c r="AC74" s="24" t="e">
        <f ca="1">$C$24</f>
        <v>#NAME?</v>
      </c>
    </row>
    <row r="75" spans="1:30" ht="5.0999999999999996" customHeight="1" x14ac:dyDescent="0.25"/>
    <row r="76" spans="1:30" x14ac:dyDescent="0.25">
      <c r="U76" s="22" t="s">
        <v>82</v>
      </c>
      <c r="V76" s="42" t="e">
        <f ca="1">$G$49</f>
        <v>#NAME?</v>
      </c>
      <c r="W76" s="42"/>
      <c r="Y76" s="43" t="s">
        <v>132</v>
      </c>
      <c r="Z76" s="43"/>
      <c r="AA76" s="43"/>
      <c r="AB76" s="43"/>
      <c r="AC76" s="43"/>
    </row>
    <row r="77" spans="1:30" x14ac:dyDescent="0.25">
      <c r="V77" s="42"/>
      <c r="W77" s="42"/>
      <c r="Y77" s="44" t="e">
        <f ca="1">_xll.SUBNM(db_name&amp;":sys_period display","",$G$43)</f>
        <v>#NAME?</v>
      </c>
      <c r="Z77" s="45"/>
      <c r="AA77" s="45"/>
      <c r="AB77" s="45"/>
      <c r="AC77" s="46"/>
    </row>
    <row r="78" spans="1:30" ht="5.0999999999999996" customHeight="1" x14ac:dyDescent="0.25"/>
    <row r="79" spans="1:30" x14ac:dyDescent="0.25">
      <c r="B79" s="11" t="s">
        <v>70</v>
      </c>
      <c r="C79" s="11" t="s">
        <v>71</v>
      </c>
      <c r="D79" s="11" t="s">
        <v>78</v>
      </c>
      <c r="E79" s="11" t="s">
        <v>1</v>
      </c>
      <c r="F79" s="16" t="e">
        <f ca="1">F$64</f>
        <v>#NAME?</v>
      </c>
      <c r="G79" s="16" t="e">
        <f ca="1">G$64</f>
        <v>#NAME?</v>
      </c>
      <c r="H79" s="16" t="e">
        <f ca="1">H$64</f>
        <v>#NAME?</v>
      </c>
      <c r="I79" s="16" t="e">
        <f ca="1">I$64</f>
        <v>#NAME?</v>
      </c>
      <c r="J79" s="16" t="e">
        <f ca="1">J$64</f>
        <v>#NAME?</v>
      </c>
      <c r="K79" s="16" t="e">
        <f t="shared" ref="K79:R79" ca="1" si="1">K$64</f>
        <v>#NAME?</v>
      </c>
      <c r="L79" s="16" t="e">
        <f t="shared" ca="1" si="1"/>
        <v>#NAME?</v>
      </c>
      <c r="M79" s="16" t="e">
        <f t="shared" ca="1" si="1"/>
        <v>#NAME?</v>
      </c>
      <c r="N79" s="16" t="e">
        <f t="shared" ca="1" si="1"/>
        <v>#NAME?</v>
      </c>
      <c r="O79" s="16" t="e">
        <f t="shared" ca="1" si="1"/>
        <v>#NAME?</v>
      </c>
      <c r="P79" s="16" t="e">
        <f t="shared" ca="1" si="1"/>
        <v>#NAME?</v>
      </c>
      <c r="Q79" s="16" t="e">
        <f t="shared" ca="1" si="1"/>
        <v>#NAME?</v>
      </c>
      <c r="R79" s="16" t="e">
        <f t="shared" ca="1" si="1"/>
        <v>#NAME?</v>
      </c>
      <c r="U79" s="18" t="s">
        <v>75</v>
      </c>
      <c r="V79" s="17" t="s">
        <v>76</v>
      </c>
      <c r="W79" s="17" t="s">
        <v>77</v>
      </c>
      <c r="X79" s="10"/>
      <c r="Y79" s="17" t="e">
        <f ca="1">F$64</f>
        <v>#NAME?</v>
      </c>
      <c r="Z79" s="17" t="e">
        <f ca="1">G$64</f>
        <v>#NAME?</v>
      </c>
      <c r="AA79" s="17" t="e">
        <f ca="1">H$64</f>
        <v>#NAME?</v>
      </c>
      <c r="AB79" s="17" t="e">
        <f ca="1">I$64</f>
        <v>#NAME?</v>
      </c>
      <c r="AC79" s="17" t="e">
        <f ca="1">J$64</f>
        <v>#NAME?</v>
      </c>
      <c r="AD79" s="17" t="e">
        <f t="shared" ref="AD79" ca="1" si="2">K$64</f>
        <v>#NAME?</v>
      </c>
    </row>
    <row r="80" spans="1:30" ht="65.099999999999994" customHeight="1" x14ac:dyDescent="0.25">
      <c r="A80" t="e" cm="1">
        <f t="array" aca="1" ref="A80" ca="1">IF(_xll.TM1RPTELISCONSOLIDATED($B$80,$B80),IF(_xll.TM1RPTELLEV($B$80,$B80)&lt;=3,_xll.TM1RPTELLEV($B$80,$B80),"D"),"N")</f>
        <v>#NAME?</v>
      </c>
      <c r="B80" s="13" t="e" cm="1">
        <f t="array" aca="1" ref="B80" ca="1">_xll.TM1RPTROW($C$60,db_name&amp;":validation id","","","",0,$C$62)</f>
        <v>#NAME?</v>
      </c>
      <c r="C80" s="12" t="e" cm="1">
        <f t="array" aca="1" ref="C80" ca="1">_xll.DBR($G$60,$B80,C$79)</f>
        <v>#NAME?</v>
      </c>
      <c r="D80" s="12" t="e" cm="1">
        <f t="array" aca="1" ref="D80" ca="1">_xll.DBR($G$60,$B80,D$79)</f>
        <v>#NAME?</v>
      </c>
      <c r="E80" s="6" t="e" cm="1">
        <f t="array" aca="1" ref="E80" ca="1">_xll.DBRW($C$60,$C$22,$C$23,$B80,$C$24,E$79)</f>
        <v>#NAME?</v>
      </c>
      <c r="F80" s="6" t="e" cm="1">
        <f t="array" aca="1" ref="F80" ca="1">_xll.DBRW($C$61,$C$22,$C$23,$B80,$C$24,F$79)</f>
        <v>#NAME?</v>
      </c>
      <c r="G80" s="6" t="e" cm="1">
        <f t="array" aca="1" ref="G80" ca="1">_xll.DBRW($C$61,$C$22,$C$23,$B80,$C$24,G$79)</f>
        <v>#NAME?</v>
      </c>
      <c r="H80" s="6" t="e" cm="1">
        <f t="array" aca="1" ref="H80" ca="1">_xll.DBRW($C$61,$C$22,$C$23,$B80,$C$24,H$79)</f>
        <v>#NAME?</v>
      </c>
      <c r="I80" s="6" t="e" cm="1">
        <f t="array" aca="1" ref="I80" ca="1">_xll.DBRW($C$61,$C$22,$C$23,$B80,$C$24,I$79)</f>
        <v>#NAME?</v>
      </c>
      <c r="J80" s="6" t="e" cm="1">
        <f t="array" aca="1" ref="J80" ca="1">_xll.DBRW($C$61,$C$22,$C$23,$B80,$C$24,J$79)</f>
        <v>#NAME?</v>
      </c>
      <c r="K80" s="6" t="e" cm="1">
        <f t="array" aca="1" ref="K80" ca="1">_xll.DBRW($C$61,$C$22,$C$23,$B80,$C$24,K$79)</f>
        <v>#NAME?</v>
      </c>
      <c r="L80" s="6" t="e" cm="1">
        <f t="array" aca="1" ref="L80" ca="1">_xll.DBRW($C$61,$C$22,$C$23,$B80,$C$24,L$79)</f>
        <v>#NAME?</v>
      </c>
      <c r="M80" s="6" t="e" cm="1">
        <f t="array" aca="1" ref="M80" ca="1">_xll.DBRW($C$61,$C$22,$C$23,$B80,$C$24,M$79)</f>
        <v>#NAME?</v>
      </c>
      <c r="N80" s="6" t="e" cm="1">
        <f t="array" aca="1" ref="N80" ca="1">_xll.DBRW($C$61,$C$22,$C$23,$B80,$C$24,N$79)</f>
        <v>#NAME?</v>
      </c>
      <c r="O80" s="6" t="e" cm="1">
        <f t="array" aca="1" ref="O80" ca="1">_xll.DBRW($C$61,$C$22,$C$23,$B80,$C$24,O$79)</f>
        <v>#NAME?</v>
      </c>
      <c r="P80" s="6" t="e" cm="1">
        <f t="array" aca="1" ref="P80" ca="1">_xll.DBRW($C$61,$C$22,$C$23,$B80,$C$24,P$79)</f>
        <v>#NAME?</v>
      </c>
      <c r="Q80" s="6" t="e" cm="1">
        <f t="array" aca="1" ref="Q80" ca="1">_xll.DBRW($C$61,$C$22,$C$23,$B80,$C$24,Q$79)</f>
        <v>#NAME?</v>
      </c>
      <c r="R80" s="6" t="e" cm="1">
        <f t="array" aca="1" ref="R80" ca="1">_xll.DBRW($C$61,$C$22,$C$23,$B80,$C$24,R$79)</f>
        <v>#NAME?</v>
      </c>
      <c r="S80" s="6"/>
      <c r="U80" s="20" t="e">
        <f ca="1">$B80</f>
        <v>#NAME?</v>
      </c>
      <c r="V80" s="19" t="e">
        <f ca="1">$C80</f>
        <v>#NAME?</v>
      </c>
      <c r="W80" s="19" t="e">
        <f ca="1">$D80</f>
        <v>#NAME?</v>
      </c>
      <c r="Y80" s="21" t="e">
        <f ca="1">IF(F80=1,"Fail",IF(F80=2,"Warning",IF(F80=0,"Pass","")))</f>
        <v>#NAME?</v>
      </c>
      <c r="Z80" s="21" t="e">
        <f t="shared" ref="Z80:AC80" ca="1" si="3">IF(G80=1,"Fail",IF(G80=2,"Warning",IF(G80=0,"Pass","")))</f>
        <v>#NAME?</v>
      </c>
      <c r="AA80" s="21" t="e">
        <f t="shared" ca="1" si="3"/>
        <v>#NAME?</v>
      </c>
      <c r="AB80" s="21" t="e">
        <f t="shared" ca="1" si="3"/>
        <v>#NAME?</v>
      </c>
      <c r="AC80" s="21" t="e">
        <f t="shared" ca="1" si="3"/>
        <v>#NAME?</v>
      </c>
      <c r="AD80" s="21" t="e">
        <f t="shared" ref="AD80" ca="1" si="4">IF(K80=1,"Fail",IF(K80=2,"Warning",IF(K80=0,"Pass","")))</f>
        <v>#NAME?</v>
      </c>
    </row>
    <row r="81" spans="10:30" ht="5.0999999999999996" customHeight="1" x14ac:dyDescent="0.25"/>
    <row r="82" spans="10:30" x14ac:dyDescent="0.25">
      <c r="U82" s="1" t="s">
        <v>86</v>
      </c>
      <c r="Y82" s="36"/>
      <c r="AC82" s="36"/>
    </row>
    <row r="83" spans="10:30" x14ac:dyDescent="0.25">
      <c r="J83" s="1" t="s">
        <v>87</v>
      </c>
      <c r="K83" s="1" t="s">
        <v>88</v>
      </c>
      <c r="L83" s="1" t="s">
        <v>89</v>
      </c>
      <c r="M83" s="1" t="s">
        <v>90</v>
      </c>
      <c r="N83" s="1" t="s">
        <v>91</v>
      </c>
      <c r="O83" s="1" t="s">
        <v>99</v>
      </c>
      <c r="U83" s="18" t="s">
        <v>75</v>
      </c>
      <c r="V83" s="17" t="s">
        <v>76</v>
      </c>
      <c r="W83" s="17" t="s">
        <v>92</v>
      </c>
      <c r="X83" s="10"/>
      <c r="Y83" s="17" t="e">
        <f ca="1">F$64</f>
        <v>#NAME?</v>
      </c>
      <c r="Z83" s="17" t="e">
        <f ca="1">G$64</f>
        <v>#NAME?</v>
      </c>
      <c r="AA83" s="17" t="e">
        <f ca="1">H$64</f>
        <v>#NAME?</v>
      </c>
      <c r="AB83" s="17" t="e">
        <f ca="1">I$64</f>
        <v>#NAME?</v>
      </c>
      <c r="AC83" s="17" t="e">
        <f ca="1">J$64</f>
        <v>#NAME?</v>
      </c>
      <c r="AD83" s="17" t="e">
        <f t="shared" ref="AD83" ca="1" si="5">K$64</f>
        <v>#NAME?</v>
      </c>
    </row>
    <row r="84" spans="10:30" s="27" customFormat="1" ht="12" x14ac:dyDescent="0.2">
      <c r="J84" s="30" t="s">
        <v>2</v>
      </c>
      <c r="K84" s="12" t="e" cm="1">
        <f t="array" aca="1" ref="K84" ca="1">_xll.DBR($G$60,$J84,"description")</f>
        <v>#NAME?</v>
      </c>
      <c r="L84" s="12"/>
      <c r="M84" s="12"/>
      <c r="N84" s="12"/>
      <c r="O84" s="12"/>
      <c r="U84" s="29" t="str">
        <f>$J84</f>
        <v>001</v>
      </c>
      <c r="V84" s="41" t="e">
        <f ca="1">$K84</f>
        <v>#NAME?</v>
      </c>
      <c r="W84" s="41"/>
      <c r="Y84" s="28"/>
      <c r="Z84" s="28"/>
      <c r="AA84" s="28"/>
      <c r="AB84" s="28"/>
      <c r="AC84" s="28"/>
      <c r="AD84" s="28"/>
    </row>
    <row r="85" spans="10:30" s="27" customFormat="1" ht="12" x14ac:dyDescent="0.2">
      <c r="J85" s="12" t="e">
        <f ca="1">$G$15</f>
        <v>#NAME?</v>
      </c>
      <c r="K85" s="30" t="s">
        <v>100</v>
      </c>
      <c r="L85" s="12" t="s">
        <v>98</v>
      </c>
      <c r="M85" s="12" t="e" cm="1">
        <f t="array" aca="1" ref="M85" ca="1">_xll.DBR($G$55,$K85,"code and description")</f>
        <v>#NAME?</v>
      </c>
      <c r="N85" s="12" t="e" cm="1">
        <f t="array" aca="1" ref="N85" ca="1">_xll.DBR($G$56,$L85,"code and description")</f>
        <v>#NAME?</v>
      </c>
      <c r="O85" s="12" t="e">
        <f ca="1">IF($L85="Total movement",$M85,$M85 &amp; " / " &amp;$N85)</f>
        <v>#NAME?</v>
      </c>
      <c r="U85" s="12"/>
      <c r="V85" s="12"/>
      <c r="W85" s="12" t="e">
        <f ca="1">$O85</f>
        <v>#NAME?</v>
      </c>
      <c r="Y85" s="32" t="e" cm="1">
        <f t="array" aca="1" ref="Y85" ca="1">_xll.DBR($C$47,$C$22,$C$23,$J85,$C$48,$C$49,$C$50,$C$51,$C$52,$C$53,$C$54,$L85,$C$55,$C$56,$K85,$C$24,$C$57,Y$83)</f>
        <v>#NAME?</v>
      </c>
      <c r="Z85" s="32" t="e" cm="1">
        <f t="array" aca="1" ref="Z85" ca="1">_xll.DBR($C$47,$C$22,$C$23,$J85,$C$48,$C$49,$C$50,$C$51,$C$52,$C$53,$C$54,$L85,$C$55,$C$56,$K85,$C$24,$C$57,Z$83)</f>
        <v>#NAME?</v>
      </c>
      <c r="AA85" s="32" t="e" cm="1">
        <f t="array" aca="1" ref="AA85" ca="1">_xll.DBR($C$47,$C$22,$C$23,$J85,$C$48,$C$49,$C$50,$C$51,$C$52,$C$53,$C$54,$L85,$C$55,$C$56,$K85,$C$24,$C$57,AA$83)</f>
        <v>#NAME?</v>
      </c>
      <c r="AB85" s="32" t="e" cm="1">
        <f t="array" aca="1" ref="AB85" ca="1">_xll.DBR($C$47,$C$22,$C$23,$J85,$C$48,$C$49,$C$50,$C$51,$C$52,$C$53,$C$54,$L85,$C$55,$C$56,$K85,$C$24,$C$57,AB$83)</f>
        <v>#NAME?</v>
      </c>
      <c r="AC85" s="32" t="e" cm="1">
        <f t="array" aca="1" ref="AC85" ca="1">_xll.DBR($C$47,$C$22,$C$23,$J85,$C$48,$C$49,$C$50,$C$51,$C$52,$C$53,$C$54,$L85,$C$55,$C$56,$K85,$C$24,$C$57,AC$83)</f>
        <v>#NAME?</v>
      </c>
      <c r="AD85" s="32" t="e" cm="1">
        <f t="array" aca="1" ref="AD85" ca="1">_xll.DBR($C$47,$C$22,$C$23,$J85,$C$48,$C$49,$C$50,$C$51,$C$52,$C$53,$C$54,$L85,$C$55,$C$56,$K85,$C$24,$C$57,AD$83)</f>
        <v>#NAME?</v>
      </c>
    </row>
    <row r="86" spans="10:30" s="27" customFormat="1" ht="12" x14ac:dyDescent="0.2">
      <c r="J86" s="12" t="e">
        <f t="shared" ref="J86:J87" ca="1" si="6">$G$15</f>
        <v>#NAME?</v>
      </c>
      <c r="K86" s="30" t="s">
        <v>101</v>
      </c>
      <c r="L86" s="12" t="s">
        <v>98</v>
      </c>
      <c r="M86" s="12" t="e" cm="1">
        <f t="array" aca="1" ref="M86" ca="1">_xll.DBR($G$55,$K86,"code and description")</f>
        <v>#NAME?</v>
      </c>
      <c r="N86" s="12" t="e" cm="1">
        <f t="array" aca="1" ref="N86" ca="1">_xll.DBR($G$56,$L86,"code and description")</f>
        <v>#NAME?</v>
      </c>
      <c r="O86" s="12" t="e">
        <f t="shared" ref="O86:O87" ca="1" si="7">IF($L86="Total movement",$M86,$M86 &amp; " : " &amp;$N86)</f>
        <v>#NAME?</v>
      </c>
      <c r="U86" s="12"/>
      <c r="V86" s="31" t="s">
        <v>102</v>
      </c>
      <c r="W86" s="12" t="e">
        <f t="shared" ref="W86:W87" ca="1" si="8">$O86</f>
        <v>#NAME?</v>
      </c>
      <c r="Y86" s="32" t="e" cm="1">
        <f t="array" aca="1" ref="Y86" ca="1">_xll.DBR($C$47,$C$22,$C$23,$J86,$C$48,$C$49,$C$50,$C$51,$C$52,$C$53,$C$54,$L86,$C$55,$C$56,$K86,$C$24,$C$57,Y$83)</f>
        <v>#NAME?</v>
      </c>
      <c r="Z86" s="32" t="e" cm="1">
        <f t="array" aca="1" ref="Z86" ca="1">_xll.DBR($C$47,$C$22,$C$23,$J86,$C$48,$C$49,$C$50,$C$51,$C$52,$C$53,$C$54,$L86,$C$55,$C$56,$K86,$C$24,$C$57,Z$83)</f>
        <v>#NAME?</v>
      </c>
      <c r="AA86" s="32" t="e" cm="1">
        <f t="array" aca="1" ref="AA86" ca="1">_xll.DBR($C$47,$C$22,$C$23,$J86,$C$48,$C$49,$C$50,$C$51,$C$52,$C$53,$C$54,$L86,$C$55,$C$56,$K86,$C$24,$C$57,AA$83)</f>
        <v>#NAME?</v>
      </c>
      <c r="AB86" s="32" t="e" cm="1">
        <f t="array" aca="1" ref="AB86" ca="1">_xll.DBR($C$47,$C$22,$C$23,$J86,$C$48,$C$49,$C$50,$C$51,$C$52,$C$53,$C$54,$L86,$C$55,$C$56,$K86,$C$24,$C$57,AB$83)</f>
        <v>#NAME?</v>
      </c>
      <c r="AC86" s="32" t="e" cm="1">
        <f t="array" aca="1" ref="AC86" ca="1">_xll.DBR($C$47,$C$22,$C$23,$J86,$C$48,$C$49,$C$50,$C$51,$C$52,$C$53,$C$54,$L86,$C$55,$C$56,$K86,$C$24,$C$57,AC$83)</f>
        <v>#NAME?</v>
      </c>
      <c r="AD86" s="32" t="e" cm="1">
        <f t="array" aca="1" ref="AD86" ca="1">_xll.DBR($C$47,$C$22,$C$23,$J86,$C$48,$C$49,$C$50,$C$51,$C$52,$C$53,$C$54,$L86,$C$55,$C$56,$K86,$C$24,$C$57,AD$83)</f>
        <v>#NAME?</v>
      </c>
    </row>
    <row r="87" spans="10:30" s="27" customFormat="1" ht="12" x14ac:dyDescent="0.2">
      <c r="J87" s="12" t="e">
        <f t="shared" ca="1" si="6"/>
        <v>#NAME?</v>
      </c>
      <c r="K87" s="30" t="s">
        <v>97</v>
      </c>
      <c r="L87" s="12" t="s">
        <v>98</v>
      </c>
      <c r="M87" s="12" t="e" cm="1">
        <f t="array" aca="1" ref="M87" ca="1">_xll.DBR($G$55,$K87,"code and description")</f>
        <v>#NAME?</v>
      </c>
      <c r="N87" s="12" t="e" cm="1">
        <f t="array" aca="1" ref="N87" ca="1">_xll.DBR($G$56,$L87,"code and description")</f>
        <v>#NAME?</v>
      </c>
      <c r="O87" s="12" t="e">
        <f t="shared" ca="1" si="7"/>
        <v>#NAME?</v>
      </c>
      <c r="U87" s="12"/>
      <c r="V87" s="31" t="s">
        <v>103</v>
      </c>
      <c r="W87" s="12" t="e">
        <f t="shared" ca="1" si="8"/>
        <v>#NAME?</v>
      </c>
      <c r="Y87" s="32" t="e" cm="1">
        <f t="array" aca="1" ref="Y87" ca="1">_xll.DBR($C$47,$C$22,$C$23,$J87,$C$48,$C$49,$C$50,$C$51,$C$52,$C$53,$C$54,$L87,$C$55,$C$56,$K87,$C$24,$C$57,Y$83)</f>
        <v>#NAME?</v>
      </c>
      <c r="Z87" s="32" t="e" cm="1">
        <f t="array" aca="1" ref="Z87" ca="1">_xll.DBR($C$47,$C$22,$C$23,$J87,$C$48,$C$49,$C$50,$C$51,$C$52,$C$53,$C$54,$L87,$C$55,$C$56,$K87,$C$24,$C$57,Z$83)</f>
        <v>#NAME?</v>
      </c>
      <c r="AA87" s="32" t="e" cm="1">
        <f t="array" aca="1" ref="AA87" ca="1">_xll.DBR($C$47,$C$22,$C$23,$J87,$C$48,$C$49,$C$50,$C$51,$C$52,$C$53,$C$54,$L87,$C$55,$C$56,$K87,$C$24,$C$57,AA$83)</f>
        <v>#NAME?</v>
      </c>
      <c r="AB87" s="32" t="e" cm="1">
        <f t="array" aca="1" ref="AB87" ca="1">_xll.DBR($C$47,$C$22,$C$23,$J87,$C$48,$C$49,$C$50,$C$51,$C$52,$C$53,$C$54,$L87,$C$55,$C$56,$K87,$C$24,$C$57,AB$83)</f>
        <v>#NAME?</v>
      </c>
      <c r="AC87" s="32" t="e" cm="1">
        <f t="array" aca="1" ref="AC87" ca="1">_xll.DBR($C$47,$C$22,$C$23,$J87,$C$48,$C$49,$C$50,$C$51,$C$52,$C$53,$C$54,$L87,$C$55,$C$56,$K87,$C$24,$C$57,AC$83)</f>
        <v>#NAME?</v>
      </c>
      <c r="AD87" s="32" t="e" cm="1">
        <f t="array" aca="1" ref="AD87" ca="1">_xll.DBR($C$47,$C$22,$C$23,$J87,$C$48,$C$49,$C$50,$C$51,$C$52,$C$53,$C$54,$L87,$C$55,$C$56,$K87,$C$24,$C$57,AD$83)</f>
        <v>#NAME?</v>
      </c>
    </row>
    <row r="88" spans="10:30" s="27" customFormat="1" ht="12" x14ac:dyDescent="0.2"/>
    <row r="89" spans="10:30" s="27" customFormat="1" ht="12" x14ac:dyDescent="0.2">
      <c r="J89" s="30" t="s">
        <v>3</v>
      </c>
      <c r="K89" s="12" t="e" cm="1">
        <f t="array" aca="1" ref="K89" ca="1">_xll.DBR($G$60,$J89,"description")</f>
        <v>#NAME?</v>
      </c>
      <c r="L89" s="12"/>
      <c r="M89" s="12"/>
      <c r="N89" s="12"/>
      <c r="O89" s="12"/>
      <c r="U89" s="29" t="str">
        <f>$J89</f>
        <v>004</v>
      </c>
      <c r="V89" s="41" t="e">
        <f ca="1">$K89</f>
        <v>#NAME?</v>
      </c>
      <c r="W89" s="41"/>
      <c r="Y89" s="28"/>
      <c r="Z89" s="28"/>
      <c r="AA89" s="28"/>
      <c r="AB89" s="28"/>
      <c r="AC89" s="28"/>
      <c r="AD89" s="28"/>
    </row>
    <row r="90" spans="10:30" s="27" customFormat="1" ht="12" x14ac:dyDescent="0.2">
      <c r="J90" s="12" t="e">
        <f ca="1">$G$15</f>
        <v>#NAME?</v>
      </c>
      <c r="K90" s="30" t="s">
        <v>104</v>
      </c>
      <c r="L90" s="30" t="s">
        <v>105</v>
      </c>
      <c r="M90" s="12" t="e" cm="1">
        <f t="array" aca="1" ref="M90" ca="1">_xll.DBR($G$55,$K90,"code and description")</f>
        <v>#NAME?</v>
      </c>
      <c r="N90" s="12" t="e" cm="1">
        <f t="array" aca="1" ref="N90" ca="1">_xll.DBR($G$56,$L90,"code and description")</f>
        <v>#NAME?</v>
      </c>
      <c r="O90" s="12" t="e">
        <f ca="1">IF($L90="Total movement",$M90,$M90 &amp; " / " &amp;$N90)</f>
        <v>#NAME?</v>
      </c>
      <c r="U90" s="12"/>
      <c r="V90" s="34" t="s">
        <v>106</v>
      </c>
      <c r="W90" s="35" t="e">
        <f ca="1">$O90</f>
        <v>#NAME?</v>
      </c>
      <c r="Y90" s="32" t="e" cm="1">
        <f t="array" aca="1" ref="Y90" ca="1">_xll.DBR($C$47,$C$22,$C$23,$J90,$C$48,$C$49,$C$50,$C$51,$C$52,$C$53,$C$54,$L90,$C$55,$C$56,$K90,$C$24,$C$57,Y$83)</f>
        <v>#NAME?</v>
      </c>
      <c r="Z90" s="32" t="e" cm="1">
        <f t="array" aca="1" ref="Z90" ca="1">_xll.DBR($C$47,$C$22,$C$23,$J90,$C$48,$C$49,$C$50,$C$51,$C$52,$C$53,$C$54,$L90,$C$55,$C$56,$K90,$C$24,$C$57,Z$83)</f>
        <v>#NAME?</v>
      </c>
      <c r="AA90" s="32" t="e" cm="1">
        <f t="array" aca="1" ref="AA90" ca="1">_xll.DBR($C$47,$C$22,$C$23,$J90,$C$48,$C$49,$C$50,$C$51,$C$52,$C$53,$C$54,$L90,$C$55,$C$56,$K90,$C$24,$C$57,AA$83)</f>
        <v>#NAME?</v>
      </c>
      <c r="AB90" s="32" t="e" cm="1">
        <f t="array" aca="1" ref="AB90" ca="1">_xll.DBR($C$47,$C$22,$C$23,$J90,$C$48,$C$49,$C$50,$C$51,$C$52,$C$53,$C$54,$L90,$C$55,$C$56,$K90,$C$24,$C$57,AB$83)</f>
        <v>#NAME?</v>
      </c>
      <c r="AC90" s="32" t="e" cm="1">
        <f t="array" aca="1" ref="AC90" ca="1">_xll.DBR($C$47,$C$22,$C$23,$J90,$C$48,$C$49,$C$50,$C$51,$C$52,$C$53,$C$54,$L90,$C$55,$C$56,$K90,$C$24,$C$57,AC$83)</f>
        <v>#NAME?</v>
      </c>
      <c r="AD90" s="32" t="e" cm="1">
        <f t="array" aca="1" ref="AD90" ca="1">_xll.DBR($C$47,$C$22,$C$23,$J90,$C$48,$C$49,$C$50,$C$51,$C$52,$C$53,$C$54,$L90,$C$55,$C$56,$K90,$C$24,$C$57,AD$83)</f>
        <v>#NAME?</v>
      </c>
    </row>
    <row r="91" spans="10:30" s="27" customFormat="1" ht="12" x14ac:dyDescent="0.2"/>
    <row r="92" spans="10:30" s="27" customFormat="1" ht="12" x14ac:dyDescent="0.2">
      <c r="J92" s="30" t="s">
        <v>4</v>
      </c>
      <c r="K92" s="12" t="e" cm="1">
        <f t="array" aca="1" ref="K92" ca="1">_xll.DBR($G$60,$J92,"description")</f>
        <v>#NAME?</v>
      </c>
      <c r="L92" s="12"/>
      <c r="M92" s="12"/>
      <c r="N92" s="12"/>
      <c r="O92" s="12"/>
      <c r="U92" s="29" t="str">
        <f>$J92</f>
        <v>005</v>
      </c>
      <c r="V92" s="41" t="e">
        <f ca="1">$K92</f>
        <v>#NAME?</v>
      </c>
      <c r="W92" s="41"/>
      <c r="Y92" s="28"/>
      <c r="Z92" s="28"/>
      <c r="AA92" s="28"/>
      <c r="AB92" s="28"/>
      <c r="AC92" s="28"/>
      <c r="AD92" s="28"/>
    </row>
    <row r="93" spans="10:30" s="27" customFormat="1" ht="12" x14ac:dyDescent="0.2">
      <c r="J93" s="12" t="e">
        <f ca="1">$G$15</f>
        <v>#NAME?</v>
      </c>
      <c r="K93" s="30" t="s">
        <v>107</v>
      </c>
      <c r="L93" s="12" t="s">
        <v>98</v>
      </c>
      <c r="M93" s="12" t="e" cm="1">
        <f t="array" aca="1" ref="M93" ca="1">_xll.DBR($G$55,$K93,"code and description")</f>
        <v>#NAME?</v>
      </c>
      <c r="N93" s="12" t="e" cm="1">
        <f t="array" aca="1" ref="N93" ca="1">_xll.DBR($G$56,$L93,"code and description")</f>
        <v>#NAME?</v>
      </c>
      <c r="O93" s="12" t="e">
        <f ca="1">IF($L93="Total movement",$M93,$M93 &amp; " / " &amp;$N93)</f>
        <v>#NAME?</v>
      </c>
      <c r="U93" s="12"/>
      <c r="V93" s="12"/>
      <c r="W93" s="40" t="e">
        <f ca="1">$O93</f>
        <v>#NAME?</v>
      </c>
      <c r="Y93" s="32" t="e" cm="1">
        <f t="array" aca="1" ref="Y93" ca="1">_xll.DBR($C$47,$C$22,$C$23,$J93,$C$48,$C$49,$C$50,$C$51,$C$52,$C$53,$C$54,$L93,$C$55,$C$56,$K93,$C$24,$C$57,Y$83)</f>
        <v>#NAME?</v>
      </c>
      <c r="Z93" s="32" t="e" cm="1">
        <f t="array" aca="1" ref="Z93" ca="1">_xll.DBR($C$47,$C$22,$C$23,$J93,$C$48,$C$49,$C$50,$C$51,$C$52,$C$53,$C$54,$L93,$C$55,$C$56,$K93,$C$24,$C$57,Z$83)</f>
        <v>#NAME?</v>
      </c>
      <c r="AA93" s="32" t="e" cm="1">
        <f t="array" aca="1" ref="AA93" ca="1">_xll.DBR($C$47,$C$22,$C$23,$J93,$C$48,$C$49,$C$50,$C$51,$C$52,$C$53,$C$54,$L93,$C$55,$C$56,$K93,$C$24,$C$57,AA$83)</f>
        <v>#NAME?</v>
      </c>
      <c r="AB93" s="32" t="e" cm="1">
        <f t="array" aca="1" ref="AB93" ca="1">_xll.DBR($C$47,$C$22,$C$23,$J93,$C$48,$C$49,$C$50,$C$51,$C$52,$C$53,$C$54,$L93,$C$55,$C$56,$K93,$C$24,$C$57,AB$83)</f>
        <v>#NAME?</v>
      </c>
      <c r="AC93" s="32" t="e" cm="1">
        <f t="array" aca="1" ref="AC93" ca="1">_xll.DBR($C$47,$C$22,$C$23,$J93,$C$48,$C$49,$C$50,$C$51,$C$52,$C$53,$C$54,$L93,$C$55,$C$56,$K93,$C$24,$C$57,AC$83)</f>
        <v>#NAME?</v>
      </c>
      <c r="AD93" s="32" t="e" cm="1">
        <f t="array" aca="1" ref="AD93" ca="1">_xll.DBR($C$47,$C$22,$C$23,$J93,$C$48,$C$49,$C$50,$C$51,$C$52,$C$53,$C$54,$L93,$C$55,$C$56,$K93,$C$24,$C$57,AD$83)</f>
        <v>#NAME?</v>
      </c>
    </row>
    <row r="94" spans="10:30" s="27" customFormat="1" ht="24" x14ac:dyDescent="0.2">
      <c r="J94" s="12" t="e">
        <f t="shared" ref="J94:J96" ca="1" si="9">$G$15</f>
        <v>#NAME?</v>
      </c>
      <c r="K94" s="30" t="s">
        <v>108</v>
      </c>
      <c r="L94" s="30" t="s">
        <v>109</v>
      </c>
      <c r="M94" s="12" t="e" cm="1">
        <f t="array" aca="1" ref="M94" ca="1">_xll.DBR($G$55,$K94,"code and description")</f>
        <v>#NAME?</v>
      </c>
      <c r="N94" s="12" t="e" cm="1">
        <f t="array" aca="1" ref="N94" ca="1">_xll.DBR($G$56,$L94,"code and description")</f>
        <v>#NAME?</v>
      </c>
      <c r="O94" s="12" t="e">
        <f t="shared" ref="O94:O96" ca="1" si="10">IF($L94="Total movement",$M94,$M94 &amp; " / " &amp;$N94)</f>
        <v>#NAME?</v>
      </c>
      <c r="U94" s="12"/>
      <c r="V94" s="31" t="s">
        <v>103</v>
      </c>
      <c r="W94" s="35" t="e">
        <f t="shared" ref="W94:W96" ca="1" si="11">$O94</f>
        <v>#NAME?</v>
      </c>
      <c r="Y94" s="32" t="e" cm="1">
        <f t="array" aca="1" ref="Y94" ca="1">_xll.DBR($C$47,$C$22,$C$23,$J94,$C$48,$C$49,$C$50,$C$51,$C$52,$C$53,$C$54,$L94,$C$55,$C$56,$K94,$C$24,$C$57,Y$83)</f>
        <v>#NAME?</v>
      </c>
      <c r="Z94" s="32" t="e" cm="1">
        <f t="array" aca="1" ref="Z94" ca="1">_xll.DBR($C$47,$C$22,$C$23,$J94,$C$48,$C$49,$C$50,$C$51,$C$52,$C$53,$C$54,$L94,$C$55,$C$56,$K94,$C$24,$C$57,Z$83)</f>
        <v>#NAME?</v>
      </c>
      <c r="AA94" s="32" t="e" cm="1">
        <f t="array" aca="1" ref="AA94" ca="1">_xll.DBR($C$47,$C$22,$C$23,$J94,$C$48,$C$49,$C$50,$C$51,$C$52,$C$53,$C$54,$L94,$C$55,$C$56,$K94,$C$24,$C$57,AA$83)</f>
        <v>#NAME?</v>
      </c>
      <c r="AB94" s="32" t="e" cm="1">
        <f t="array" aca="1" ref="AB94" ca="1">_xll.DBR($C$47,$C$22,$C$23,$J94,$C$48,$C$49,$C$50,$C$51,$C$52,$C$53,$C$54,$L94,$C$55,$C$56,$K94,$C$24,$C$57,AB$83)</f>
        <v>#NAME?</v>
      </c>
      <c r="AC94" s="32" t="e" cm="1">
        <f t="array" aca="1" ref="AC94" ca="1">_xll.DBR($C$47,$C$22,$C$23,$J94,$C$48,$C$49,$C$50,$C$51,$C$52,$C$53,$C$54,$L94,$C$55,$C$56,$K94,$C$24,$C$57,AC$83)</f>
        <v>#NAME?</v>
      </c>
      <c r="AD94" s="32" t="e" cm="1">
        <f t="array" aca="1" ref="AD94" ca="1">_xll.DBR($C$47,$C$22,$C$23,$J94,$C$48,$C$49,$C$50,$C$51,$C$52,$C$53,$C$54,$L94,$C$55,$C$56,$K94,$C$24,$C$57,AD$83)</f>
        <v>#NAME?</v>
      </c>
    </row>
    <row r="95" spans="10:30" s="27" customFormat="1" ht="24" x14ac:dyDescent="0.2">
      <c r="J95" s="12" t="e">
        <f t="shared" ca="1" si="9"/>
        <v>#NAME?</v>
      </c>
      <c r="K95" s="30" t="s">
        <v>108</v>
      </c>
      <c r="L95" s="30" t="s">
        <v>134</v>
      </c>
      <c r="M95" s="12" t="e" cm="1">
        <f t="array" aca="1" ref="M95" ca="1">_xll.DBR($G$55,$K95,"code and description")</f>
        <v>#NAME?</v>
      </c>
      <c r="N95" s="12" t="e" cm="1">
        <f t="array" aca="1" ref="N95" ca="1">_xll.DBR($G$56,$L95,"code and description")</f>
        <v>#NAME?</v>
      </c>
      <c r="O95" s="12" t="e">
        <f t="shared" ca="1" si="10"/>
        <v>#NAME?</v>
      </c>
      <c r="U95" s="12"/>
      <c r="V95" s="31" t="s">
        <v>112</v>
      </c>
      <c r="W95" s="35" t="e">
        <f t="shared" ca="1" si="11"/>
        <v>#NAME?</v>
      </c>
      <c r="Y95" s="32" t="e" cm="1">
        <f t="array" aca="1" ref="Y95" ca="1">_xll.DBR($C$47,$C$22,$C$23,$J95,$C$48,$C$49,$C$50,$C$51,$C$52,$C$53,$C$54,$L95,$C$55,$C$56,$K95,$C$24,$C$57,Y$83)</f>
        <v>#NAME?</v>
      </c>
      <c r="Z95" s="32" t="e" cm="1">
        <f t="array" aca="1" ref="Z95" ca="1">_xll.DBR($C$47,$C$22,$C$23,$J95,$C$48,$C$49,$C$50,$C$51,$C$52,$C$53,$C$54,$L95,$C$55,$C$56,$K95,$C$24,$C$57,Z$83)</f>
        <v>#NAME?</v>
      </c>
      <c r="AA95" s="32" t="e" cm="1">
        <f t="array" aca="1" ref="AA95" ca="1">_xll.DBR($C$47,$C$22,$C$23,$J95,$C$48,$C$49,$C$50,$C$51,$C$52,$C$53,$C$54,$L95,$C$55,$C$56,$K95,$C$24,$C$57,AA$83)</f>
        <v>#NAME?</v>
      </c>
      <c r="AB95" s="32" t="e" cm="1">
        <f t="array" aca="1" ref="AB95" ca="1">_xll.DBR($C$47,$C$22,$C$23,$J95,$C$48,$C$49,$C$50,$C$51,$C$52,$C$53,$C$54,$L95,$C$55,$C$56,$K95,$C$24,$C$57,AB$83)</f>
        <v>#NAME?</v>
      </c>
      <c r="AC95" s="32" t="e" cm="1">
        <f t="array" aca="1" ref="AC95" ca="1">_xll.DBR($C$47,$C$22,$C$23,$J95,$C$48,$C$49,$C$50,$C$51,$C$52,$C$53,$C$54,$L95,$C$55,$C$56,$K95,$C$24,$C$57,AC$83)</f>
        <v>#NAME?</v>
      </c>
      <c r="AD95" s="32" t="e" cm="1">
        <f t="array" aca="1" ref="AD95" ca="1">_xll.DBR($C$47,$C$22,$C$23,$J95,$C$48,$C$49,$C$50,$C$51,$C$52,$C$53,$C$54,$L95,$C$55,$C$56,$K95,$C$24,$C$57,AD$83)</f>
        <v>#NAME?</v>
      </c>
    </row>
    <row r="96" spans="10:30" s="27" customFormat="1" ht="24" x14ac:dyDescent="0.2">
      <c r="J96" s="12" t="e">
        <f t="shared" ca="1" si="9"/>
        <v>#NAME?</v>
      </c>
      <c r="K96" s="30" t="s">
        <v>108</v>
      </c>
      <c r="L96" s="30" t="s">
        <v>135</v>
      </c>
      <c r="M96" s="12" t="e" cm="1">
        <f t="array" aca="1" ref="M96" ca="1">_xll.DBR($G$55,$K96,"code and description")</f>
        <v>#NAME?</v>
      </c>
      <c r="N96" s="12" t="e" cm="1">
        <f t="array" aca="1" ref="N96" ca="1">_xll.DBR($G$56,$L96,"code and description")</f>
        <v>#NAME?</v>
      </c>
      <c r="O96" s="12" t="e">
        <f t="shared" ca="1" si="10"/>
        <v>#NAME?</v>
      </c>
      <c r="U96" s="12"/>
      <c r="V96" s="31" t="s">
        <v>112</v>
      </c>
      <c r="W96" s="35" t="e">
        <f t="shared" ca="1" si="11"/>
        <v>#NAME?</v>
      </c>
      <c r="Y96" s="32" t="e" cm="1">
        <f t="array" aca="1" ref="Y96" ca="1">_xll.DBR($C$47,$C$22,$C$23,$J96,$C$48,$C$49,$C$50,$C$51,$C$52,$C$53,$C$54,$L96,$C$55,$C$56,$K96,$C$24,$C$57,Y$83)</f>
        <v>#NAME?</v>
      </c>
      <c r="Z96" s="32" t="e" cm="1">
        <f t="array" aca="1" ref="Z96" ca="1">_xll.DBR($C$47,$C$22,$C$23,$J96,$C$48,$C$49,$C$50,$C$51,$C$52,$C$53,$C$54,$L96,$C$55,$C$56,$K96,$C$24,$C$57,Z$83)</f>
        <v>#NAME?</v>
      </c>
      <c r="AA96" s="32" t="e" cm="1">
        <f t="array" aca="1" ref="AA96" ca="1">_xll.DBR($C$47,$C$22,$C$23,$J96,$C$48,$C$49,$C$50,$C$51,$C$52,$C$53,$C$54,$L96,$C$55,$C$56,$K96,$C$24,$C$57,AA$83)</f>
        <v>#NAME?</v>
      </c>
      <c r="AB96" s="32" t="e" cm="1">
        <f t="array" aca="1" ref="AB96" ca="1">_xll.DBR($C$47,$C$22,$C$23,$J96,$C$48,$C$49,$C$50,$C$51,$C$52,$C$53,$C$54,$L96,$C$55,$C$56,$K96,$C$24,$C$57,AB$83)</f>
        <v>#NAME?</v>
      </c>
      <c r="AC96" s="32" t="e" cm="1">
        <f t="array" aca="1" ref="AC96" ca="1">_xll.DBR($C$47,$C$22,$C$23,$J96,$C$48,$C$49,$C$50,$C$51,$C$52,$C$53,$C$54,$L96,$C$55,$C$56,$K96,$C$24,$C$57,AC$83)</f>
        <v>#NAME?</v>
      </c>
      <c r="AD96" s="32" t="e" cm="1">
        <f t="array" aca="1" ref="AD96" ca="1">_xll.DBR($C$47,$C$22,$C$23,$J96,$C$48,$C$49,$C$50,$C$51,$C$52,$C$53,$C$54,$L96,$C$55,$C$56,$K96,$C$24,$C$57,AD$83)</f>
        <v>#NAME?</v>
      </c>
    </row>
    <row r="97" spans="10:30" s="27" customFormat="1" ht="24" x14ac:dyDescent="0.2">
      <c r="J97" s="12" t="e">
        <f ca="1">$G$15</f>
        <v>#NAME?</v>
      </c>
      <c r="K97" s="30" t="s">
        <v>108</v>
      </c>
      <c r="L97" s="30" t="s">
        <v>136</v>
      </c>
      <c r="M97" s="12" t="e" cm="1">
        <f t="array" aca="1" ref="M97" ca="1">_xll.DBR($G$55,$K97,"code and description")</f>
        <v>#NAME?</v>
      </c>
      <c r="N97" s="12" t="e" cm="1">
        <f t="array" aca="1" ref="N97" ca="1">_xll.DBR($G$56,$L97,"code and description")</f>
        <v>#NAME?</v>
      </c>
      <c r="O97" s="12" t="e">
        <f ca="1">IF($L97="Total movement",$M97,$M97 &amp; " / " &amp;$N97)</f>
        <v>#NAME?</v>
      </c>
      <c r="U97" s="12"/>
      <c r="V97" s="31" t="s">
        <v>112</v>
      </c>
      <c r="W97" s="35" t="e">
        <f ca="1">$O97</f>
        <v>#NAME?</v>
      </c>
      <c r="Y97" s="32" t="e" cm="1">
        <f t="array" aca="1" ref="Y97" ca="1">_xll.DBR($C$47,$C$22,$C$23,$J97,$C$48,$C$49,$C$50,$C$51,$C$52,$C$53,$C$54,$L97,$C$55,$C$56,$K97,$C$24,$C$57,Y$83)</f>
        <v>#NAME?</v>
      </c>
      <c r="Z97" s="32" t="e" cm="1">
        <f t="array" aca="1" ref="Z97" ca="1">_xll.DBR($C$47,$C$22,$C$23,$J97,$C$48,$C$49,$C$50,$C$51,$C$52,$C$53,$C$54,$L97,$C$55,$C$56,$K97,$C$24,$C$57,Z$83)</f>
        <v>#NAME?</v>
      </c>
      <c r="AA97" s="32" t="e" cm="1">
        <f t="array" aca="1" ref="AA97" ca="1">_xll.DBR($C$47,$C$22,$C$23,$J97,$C$48,$C$49,$C$50,$C$51,$C$52,$C$53,$C$54,$L97,$C$55,$C$56,$K97,$C$24,$C$57,AA$83)</f>
        <v>#NAME?</v>
      </c>
      <c r="AB97" s="32" t="e" cm="1">
        <f t="array" aca="1" ref="AB97" ca="1">_xll.DBR($C$47,$C$22,$C$23,$J97,$C$48,$C$49,$C$50,$C$51,$C$52,$C$53,$C$54,$L97,$C$55,$C$56,$K97,$C$24,$C$57,AB$83)</f>
        <v>#NAME?</v>
      </c>
      <c r="AC97" s="32" t="e" cm="1">
        <f t="array" aca="1" ref="AC97" ca="1">_xll.DBR($C$47,$C$22,$C$23,$J97,$C$48,$C$49,$C$50,$C$51,$C$52,$C$53,$C$54,$L97,$C$55,$C$56,$K97,$C$24,$C$57,AC$83)</f>
        <v>#NAME?</v>
      </c>
      <c r="AD97" s="32" t="e" cm="1">
        <f t="array" aca="1" ref="AD97" ca="1">_xll.DBR($C$47,$C$22,$C$23,$J97,$C$48,$C$49,$C$50,$C$51,$C$52,$C$53,$C$54,$L97,$C$55,$C$56,$K97,$C$24,$C$57,AD$83)</f>
        <v>#NAME?</v>
      </c>
    </row>
    <row r="99" spans="10:30" s="27" customFormat="1" ht="12" x14ac:dyDescent="0.2">
      <c r="J99" s="30" t="s">
        <v>5</v>
      </c>
      <c r="K99" s="12" t="e" cm="1">
        <f t="array" aca="1" ref="K99" ca="1">_xll.DBR($G$60,$J99,"description")</f>
        <v>#NAME?</v>
      </c>
      <c r="L99" s="12"/>
      <c r="M99" s="12"/>
      <c r="N99" s="12"/>
      <c r="O99" s="12"/>
      <c r="U99" s="29" t="str">
        <f>$J99</f>
        <v>006</v>
      </c>
      <c r="V99" s="41" t="e">
        <f ca="1">$K99</f>
        <v>#NAME?</v>
      </c>
      <c r="W99" s="41"/>
      <c r="Y99" s="28"/>
      <c r="Z99" s="28"/>
      <c r="AA99" s="28"/>
      <c r="AB99" s="28"/>
      <c r="AC99" s="28"/>
      <c r="AD99" s="28"/>
    </row>
    <row r="100" spans="10:30" s="27" customFormat="1" ht="12" x14ac:dyDescent="0.2">
      <c r="J100" s="12" t="e">
        <f ca="1">$G$15</f>
        <v>#NAME?</v>
      </c>
      <c r="K100" s="30" t="s">
        <v>110</v>
      </c>
      <c r="L100" s="30" t="s">
        <v>111</v>
      </c>
      <c r="M100" s="12" t="e" cm="1">
        <f t="array" aca="1" ref="M100" ca="1">_xll.DBR($G$55,$K100,"code and description")</f>
        <v>#NAME?</v>
      </c>
      <c r="N100" s="12" t="e" cm="1">
        <f t="array" aca="1" ref="N100" ca="1">_xll.DBR($G$56,$L100,"code and description")</f>
        <v>#NAME?</v>
      </c>
      <c r="O100" s="12" t="e">
        <f ca="1">IF($L100="Total movement",$M100,$M100 &amp; " / " &amp;$N100)</f>
        <v>#NAME?</v>
      </c>
      <c r="U100" s="12"/>
      <c r="V100" s="12"/>
      <c r="W100" s="35" t="e">
        <f ca="1">$O100</f>
        <v>#NAME?</v>
      </c>
      <c r="Y100" s="32" t="e" cm="1">
        <f t="array" aca="1" ref="Y100" ca="1">_xll.DBR($C$47,$C$22,$C$23,$J100,$C$48,$C$49,$C$50,$C$51,$C$52,$C$53,$C$54,$L100,$C$55,$C$56,$K100,$C$24,$C$57,Y$83)</f>
        <v>#NAME?</v>
      </c>
      <c r="Z100" s="32" t="e" cm="1">
        <f t="array" aca="1" ref="Z100" ca="1">_xll.DBR($C$47,$C$22,$C$23,$J100,$C$48,$C$49,$C$50,$C$51,$C$52,$C$53,$C$54,$L100,$C$55,$C$56,$K100,$C$24,$C$57,Z$83)</f>
        <v>#NAME?</v>
      </c>
      <c r="AA100" s="32" t="e" cm="1">
        <f t="array" aca="1" ref="AA100" ca="1">_xll.DBR($C$47,$C$22,$C$23,$J100,$C$48,$C$49,$C$50,$C$51,$C$52,$C$53,$C$54,$L100,$C$55,$C$56,$K100,$C$24,$C$57,AA$83)</f>
        <v>#NAME?</v>
      </c>
      <c r="AB100" s="32" t="e" cm="1">
        <f t="array" aca="1" ref="AB100" ca="1">_xll.DBR($C$47,$C$22,$C$23,$J100,$C$48,$C$49,$C$50,$C$51,$C$52,$C$53,$C$54,$L100,$C$55,$C$56,$K100,$C$24,$C$57,AB$83)</f>
        <v>#NAME?</v>
      </c>
      <c r="AC100" s="32" t="e" cm="1">
        <f t="array" aca="1" ref="AC100" ca="1">_xll.DBR($C$47,$C$22,$C$23,$J100,$C$48,$C$49,$C$50,$C$51,$C$52,$C$53,$C$54,$L100,$C$55,$C$56,$K100,$C$24,$C$57,AC$83)</f>
        <v>#NAME?</v>
      </c>
      <c r="AD100" s="32" t="e" cm="1">
        <f t="array" aca="1" ref="AD100" ca="1">_xll.DBR($C$47,$C$22,$C$23,$J100,$C$48,$C$49,$C$50,$C$51,$C$52,$C$53,$C$54,$L100,$C$55,$C$56,$K100,$C$24,$C$57,AD$83)</f>
        <v>#NAME?</v>
      </c>
    </row>
    <row r="101" spans="10:30" s="27" customFormat="1" ht="24" x14ac:dyDescent="0.2">
      <c r="J101" s="12" t="e">
        <f ca="1">$G$15</f>
        <v>#NAME?</v>
      </c>
      <c r="K101" s="30" t="s">
        <v>110</v>
      </c>
      <c r="L101" s="30" t="s">
        <v>114</v>
      </c>
      <c r="M101" s="12" t="e" cm="1">
        <f t="array" aca="1" ref="M101" ca="1">_xll.DBR($G$55,$K101,"code and description")</f>
        <v>#NAME?</v>
      </c>
      <c r="N101" s="12" t="e" cm="1">
        <f t="array" aca="1" ref="N101" ca="1">_xll.DBR($G$56,$L101,"code and description")</f>
        <v>#NAME?</v>
      </c>
      <c r="O101" s="12" t="e">
        <f ca="1">IF($L101="Total movement",$M101,$M101 &amp; " / " &amp;$N101)</f>
        <v>#NAME?</v>
      </c>
      <c r="U101" s="12"/>
      <c r="V101" s="31" t="s">
        <v>102</v>
      </c>
      <c r="W101" s="35" t="e">
        <f ca="1">$O101</f>
        <v>#NAME?</v>
      </c>
      <c r="Y101" s="32" t="e" cm="1">
        <f t="array" aca="1" ref="Y101" ca="1">_xll.DBR($C$47,$C$22,$C$23,$J101,$C$48,$C$49,$C$50,$C$51,$C$52,$C$53,$C$54,$L101,$C$55,$C$56,$K101,$C$24,$C$57,Y$83)</f>
        <v>#NAME?</v>
      </c>
      <c r="Z101" s="32" t="e" cm="1">
        <f t="array" aca="1" ref="Z101" ca="1">_xll.DBR($C$47,$C$22,$C$23,$J101,$C$48,$C$49,$C$50,$C$51,$C$52,$C$53,$C$54,$L101,$C$55,$C$56,$K101,$C$24,$C$57,Z$83)</f>
        <v>#NAME?</v>
      </c>
      <c r="AA101" s="32" t="e" cm="1">
        <f t="array" aca="1" ref="AA101" ca="1">_xll.DBR($C$47,$C$22,$C$23,$J101,$C$48,$C$49,$C$50,$C$51,$C$52,$C$53,$C$54,$L101,$C$55,$C$56,$K101,$C$24,$C$57,AA$83)</f>
        <v>#NAME?</v>
      </c>
      <c r="AB101" s="32" t="e" cm="1">
        <f t="array" aca="1" ref="AB101" ca="1">_xll.DBR($C$47,$C$22,$C$23,$J101,$C$48,$C$49,$C$50,$C$51,$C$52,$C$53,$C$54,$L101,$C$55,$C$56,$K101,$C$24,$C$57,AB$83)</f>
        <v>#NAME?</v>
      </c>
      <c r="AC101" s="32" t="e" cm="1">
        <f t="array" aca="1" ref="AC101" ca="1">_xll.DBR($C$47,$C$22,$C$23,$J101,$C$48,$C$49,$C$50,$C$51,$C$52,$C$53,$C$54,$L101,$C$55,$C$56,$K101,$C$24,$C$57,AC$83)</f>
        <v>#NAME?</v>
      </c>
      <c r="AD101" s="32" t="e" cm="1">
        <f t="array" aca="1" ref="AD101" ca="1">_xll.DBR($C$47,$C$22,$C$23,$J101,$C$48,$C$49,$C$50,$C$51,$C$52,$C$53,$C$54,$L101,$C$55,$C$56,$K101,$C$24,$C$57,AD$83)</f>
        <v>#NAME?</v>
      </c>
    </row>
    <row r="102" spans="10:30" s="27" customFormat="1" ht="24" x14ac:dyDescent="0.2">
      <c r="J102" s="12" t="e">
        <f ca="1">$G$15</f>
        <v>#NAME?</v>
      </c>
      <c r="K102" s="30" t="s">
        <v>110</v>
      </c>
      <c r="L102" s="30" t="s">
        <v>115</v>
      </c>
      <c r="M102" s="12" t="e" cm="1">
        <f t="array" aca="1" ref="M102" ca="1">_xll.DBR($G$55,$K102,"code and description")</f>
        <v>#NAME?</v>
      </c>
      <c r="N102" s="12" t="e" cm="1">
        <f t="array" aca="1" ref="N102" ca="1">_xll.DBR($G$56,$L102,"code and description")</f>
        <v>#NAME?</v>
      </c>
      <c r="O102" s="12" t="e">
        <f ca="1">IF($L102="Total movement",$M102,$M102 &amp; " / " &amp;$N102)</f>
        <v>#NAME?</v>
      </c>
      <c r="U102" s="12"/>
      <c r="V102" s="31" t="s">
        <v>102</v>
      </c>
      <c r="W102" s="35" t="e">
        <f ca="1">$O102</f>
        <v>#NAME?</v>
      </c>
      <c r="Y102" s="32" t="e" cm="1">
        <f t="array" aca="1" ref="Y102" ca="1">_xll.DBR($C$47,$C$22,$C$23,$J102,$C$48,$C$49,$C$50,$C$51,$C$52,$C$53,$C$54,$L102,$C$55,$C$56,$K102,$C$24,$C$57,Y$83)</f>
        <v>#NAME?</v>
      </c>
      <c r="Z102" s="32" t="e" cm="1">
        <f t="array" aca="1" ref="Z102" ca="1">_xll.DBR($C$47,$C$22,$C$23,$J102,$C$48,$C$49,$C$50,$C$51,$C$52,$C$53,$C$54,$L102,$C$55,$C$56,$K102,$C$24,$C$57,Z$83)</f>
        <v>#NAME?</v>
      </c>
      <c r="AA102" s="32" t="e" cm="1">
        <f t="array" aca="1" ref="AA102" ca="1">_xll.DBR($C$47,$C$22,$C$23,$J102,$C$48,$C$49,$C$50,$C$51,$C$52,$C$53,$C$54,$L102,$C$55,$C$56,$K102,$C$24,$C$57,AA$83)</f>
        <v>#NAME?</v>
      </c>
      <c r="AB102" s="32" t="e" cm="1">
        <f t="array" aca="1" ref="AB102" ca="1">_xll.DBR($C$47,$C$22,$C$23,$J102,$C$48,$C$49,$C$50,$C$51,$C$52,$C$53,$C$54,$L102,$C$55,$C$56,$K102,$C$24,$C$57,AB$83)</f>
        <v>#NAME?</v>
      </c>
      <c r="AC102" s="32" t="e" cm="1">
        <f t="array" aca="1" ref="AC102" ca="1">_xll.DBR($C$47,$C$22,$C$23,$J102,$C$48,$C$49,$C$50,$C$51,$C$52,$C$53,$C$54,$L102,$C$55,$C$56,$K102,$C$24,$C$57,AC$83)</f>
        <v>#NAME?</v>
      </c>
      <c r="AD102" s="32" t="e" cm="1">
        <f t="array" aca="1" ref="AD102" ca="1">_xll.DBR($C$47,$C$22,$C$23,$J102,$C$48,$C$49,$C$50,$C$51,$C$52,$C$53,$C$54,$L102,$C$55,$C$56,$K102,$C$24,$C$57,AD$83)</f>
        <v>#NAME?</v>
      </c>
    </row>
    <row r="103" spans="10:30" s="27" customFormat="1" ht="60" x14ac:dyDescent="0.2">
      <c r="J103" s="12" t="e">
        <f t="shared" ref="J103:J104" ca="1" si="12">$G$15</f>
        <v>#NAME?</v>
      </c>
      <c r="K103" s="30" t="s">
        <v>113</v>
      </c>
      <c r="L103" s="30" t="s">
        <v>98</v>
      </c>
      <c r="M103" s="12" t="e" cm="1">
        <f t="array" aca="1" ref="M103" ca="1">_xll.DBR($G$55,$K103,"code and description")</f>
        <v>#NAME?</v>
      </c>
      <c r="N103" s="12" t="e" cm="1">
        <f t="array" aca="1" ref="N103" ca="1">_xll.DBR($G$56,$L103,"code and description")</f>
        <v>#NAME?</v>
      </c>
      <c r="O103" s="12" t="e">
        <f t="shared" ref="O103:O104" ca="1" si="13">IF($L103="Total movement",$M103,$M103 &amp; " / " &amp;$N103)</f>
        <v>#NAME?</v>
      </c>
      <c r="U103" s="12"/>
      <c r="V103" s="31" t="s">
        <v>102</v>
      </c>
      <c r="W103" s="35" t="s">
        <v>116</v>
      </c>
      <c r="Y103" s="32" t="e" cm="1">
        <f t="array" aca="1" ref="Y103" ca="1">_xll.DBR($C$47,$C$22,$C$23,$J103,$C$48,$C$49,$C$50,$C$51,$C$52,$C$53,$C$54,$L103,$C$55,$C$56,$K103,$C$24,$C$57,Y$83)</f>
        <v>#NAME?</v>
      </c>
      <c r="Z103" s="32" t="e" cm="1">
        <f t="array" aca="1" ref="Z103" ca="1">_xll.DBR($C$47,$C$22,$C$23,$J103,$C$48,$C$49,$C$50,$C$51,$C$52,$C$53,$C$54,$L103,$C$55,$C$56,$K103,$C$24,$C$57,Z$83)</f>
        <v>#NAME?</v>
      </c>
      <c r="AA103" s="32" t="e" cm="1">
        <f t="array" aca="1" ref="AA103" ca="1">_xll.DBR($C$47,$C$22,$C$23,$J103,$C$48,$C$49,$C$50,$C$51,$C$52,$C$53,$C$54,$L103,$C$55,$C$56,$K103,$C$24,$C$57,AA$83)</f>
        <v>#NAME?</v>
      </c>
      <c r="AB103" s="32" t="e" cm="1">
        <f t="array" aca="1" ref="AB103" ca="1">_xll.DBR($C$47,$C$22,$C$23,$J103,$C$48,$C$49,$C$50,$C$51,$C$52,$C$53,$C$54,$L103,$C$55,$C$56,$K103,$C$24,$C$57,AB$83)</f>
        <v>#NAME?</v>
      </c>
      <c r="AC103" s="32" t="e" cm="1">
        <f t="array" aca="1" ref="AC103" ca="1">_xll.DBR($C$47,$C$22,$C$23,$J103,$C$48,$C$49,$C$50,$C$51,$C$52,$C$53,$C$54,$L103,$C$55,$C$56,$K103,$C$24,$C$57,AC$83)</f>
        <v>#NAME?</v>
      </c>
      <c r="AD103" s="32" t="e" cm="1">
        <f t="array" aca="1" ref="AD103" ca="1">_xll.DBR($C$47,$C$22,$C$23,$J103,$C$48,$C$49,$C$50,$C$51,$C$52,$C$53,$C$54,$L103,$C$55,$C$56,$K103,$C$24,$C$57,AD$83)</f>
        <v>#NAME?</v>
      </c>
    </row>
    <row r="104" spans="10:30" s="27" customFormat="1" ht="12" x14ac:dyDescent="0.2">
      <c r="J104" s="12" t="e">
        <f t="shared" ca="1" si="12"/>
        <v>#NAME?</v>
      </c>
      <c r="K104" s="30" t="s">
        <v>108</v>
      </c>
      <c r="L104" s="30" t="s">
        <v>113</v>
      </c>
      <c r="M104" s="12" t="e" cm="1">
        <f t="array" aca="1" ref="M104" ca="1">_xll.DBR($G$55,$K104,"code and description")</f>
        <v>#NAME?</v>
      </c>
      <c r="N104" s="12" t="e" cm="1">
        <f t="array" aca="1" ref="N104" ca="1">_xll.DBR($G$56,$L104,"code and description")</f>
        <v>#NAME?</v>
      </c>
      <c r="O104" s="12" t="e">
        <f t="shared" ca="1" si="13"/>
        <v>#NAME?</v>
      </c>
      <c r="U104" s="12"/>
      <c r="V104" s="31" t="s">
        <v>103</v>
      </c>
      <c r="W104" s="33" t="s">
        <v>117</v>
      </c>
      <c r="Y104" s="32" t="e" cm="1">
        <f t="array" aca="1" ref="Y104" ca="1">_xll.DBR($C$47,$C$22,$C$23,$J104,$C$48,$C$49,$C$50,$C$51,$C$52,$C$53,$C$54,$L104,$C$55,$C$56,$K104,$C$24,$C$57,Y$83)</f>
        <v>#NAME?</v>
      </c>
      <c r="Z104" s="32" t="e" cm="1">
        <f t="array" aca="1" ref="Z104" ca="1">_xll.DBR($C$47,$C$22,$C$23,$J104,$C$48,$C$49,$C$50,$C$51,$C$52,$C$53,$C$54,$L104,$C$55,$C$56,$K104,$C$24,$C$57,Z$83)</f>
        <v>#NAME?</v>
      </c>
      <c r="AA104" s="32" t="e" cm="1">
        <f t="array" aca="1" ref="AA104" ca="1">_xll.DBR($C$47,$C$22,$C$23,$J104,$C$48,$C$49,$C$50,$C$51,$C$52,$C$53,$C$54,$L104,$C$55,$C$56,$K104,$C$24,$C$57,AA$83)</f>
        <v>#NAME?</v>
      </c>
      <c r="AB104" s="32" t="e" cm="1">
        <f t="array" aca="1" ref="AB104" ca="1">_xll.DBR($C$47,$C$22,$C$23,$J104,$C$48,$C$49,$C$50,$C$51,$C$52,$C$53,$C$54,$L104,$C$55,$C$56,$K104,$C$24,$C$57,AB$83)</f>
        <v>#NAME?</v>
      </c>
      <c r="AC104" s="32" t="e" cm="1">
        <f t="array" aca="1" ref="AC104" ca="1">_xll.DBR($C$47,$C$22,$C$23,$J104,$C$48,$C$49,$C$50,$C$51,$C$52,$C$53,$C$54,$L104,$C$55,$C$56,$K104,$C$24,$C$57,AC$83)</f>
        <v>#NAME?</v>
      </c>
      <c r="AD104" s="32" t="e" cm="1">
        <f t="array" aca="1" ref="AD104" ca="1">_xll.DBR($C$47,$C$22,$C$23,$J104,$C$48,$C$49,$C$50,$C$51,$C$52,$C$53,$C$54,$L104,$C$55,$C$56,$K104,$C$24,$C$57,AD$83)</f>
        <v>#NAME?</v>
      </c>
    </row>
    <row r="106" spans="10:30" s="27" customFormat="1" ht="12" x14ac:dyDescent="0.2">
      <c r="J106" s="30" t="s">
        <v>6</v>
      </c>
      <c r="K106" s="12" t="e" cm="1">
        <f t="array" aca="1" ref="K106" ca="1">_xll.DBR($G$60,$J106,"description")</f>
        <v>#NAME?</v>
      </c>
      <c r="L106" s="12"/>
      <c r="M106" s="12"/>
      <c r="N106" s="12"/>
      <c r="O106" s="12"/>
      <c r="U106" s="29" t="str">
        <f>$J106</f>
        <v>007</v>
      </c>
      <c r="V106" s="41" t="e">
        <f ca="1">$K106</f>
        <v>#NAME?</v>
      </c>
      <c r="W106" s="41"/>
      <c r="Y106" s="28"/>
      <c r="Z106" s="28"/>
      <c r="AA106" s="28"/>
      <c r="AB106" s="28"/>
      <c r="AC106" s="28"/>
      <c r="AD106" s="28"/>
    </row>
    <row r="107" spans="10:30" s="27" customFormat="1" ht="12" x14ac:dyDescent="0.2">
      <c r="J107" s="12" t="e">
        <f ca="1">$G$15</f>
        <v>#NAME?</v>
      </c>
      <c r="K107" s="30" t="s">
        <v>118</v>
      </c>
      <c r="L107" s="30" t="s">
        <v>98</v>
      </c>
      <c r="M107" s="12" t="e" cm="1">
        <f t="array" aca="1" ref="M107" ca="1">_xll.DBR($G$55,$K107,"code and description")</f>
        <v>#NAME?</v>
      </c>
      <c r="N107" s="12" t="e" cm="1">
        <f t="array" aca="1" ref="N107" ca="1">_xll.DBR($G$56,$L107,"code and description")</f>
        <v>#NAME?</v>
      </c>
      <c r="O107" s="12" t="e">
        <f ca="1">IF($L107="Total movement",$M107,$M107 &amp; " / " &amp;$N107)</f>
        <v>#NAME?</v>
      </c>
      <c r="U107" s="12"/>
      <c r="V107" s="12"/>
      <c r="W107" s="35" t="s">
        <v>119</v>
      </c>
      <c r="Y107" s="32" t="e" cm="1">
        <f t="array" aca="1" ref="Y107" ca="1">_xll.DBR($C$47,$C$22,$C$23,$J107,$C$48,$C$49,$C$50,$C$51,$C$52,$C$53,$C$54,$L107,$C$55,$C$56,$K107,$C$24,$C$57,Y$83)</f>
        <v>#NAME?</v>
      </c>
      <c r="Z107" s="32" t="e" cm="1">
        <f t="array" aca="1" ref="Z107" ca="1">_xll.DBR($C$47,$C$22,$C$23,$J107,$C$48,$C$49,$C$50,$C$51,$C$52,$C$53,$C$54,$L107,$C$55,$C$56,$K107,$C$24,$C$57,Z$83)</f>
        <v>#NAME?</v>
      </c>
      <c r="AA107" s="32" t="e" cm="1">
        <f t="array" aca="1" ref="AA107" ca="1">_xll.DBR($C$47,$C$22,$C$23,$J107,$C$48,$C$49,$C$50,$C$51,$C$52,$C$53,$C$54,$L107,$C$55,$C$56,$K107,$C$24,$C$57,AA$83)</f>
        <v>#NAME?</v>
      </c>
      <c r="AB107" s="32" t="e" cm="1">
        <f t="array" aca="1" ref="AB107" ca="1">_xll.DBR($C$47,$C$22,$C$23,$J107,$C$48,$C$49,$C$50,$C$51,$C$52,$C$53,$C$54,$L107,$C$55,$C$56,$K107,$C$24,$C$57,AB$83)</f>
        <v>#NAME?</v>
      </c>
      <c r="AC107" s="32" t="e" cm="1">
        <f t="array" aca="1" ref="AC107" ca="1">_xll.DBR($C$47,$C$22,$C$23,$J107,$C$48,$C$49,$C$50,$C$51,$C$52,$C$53,$C$54,$L107,$C$55,$C$56,$K107,$C$24,$C$57,AC$83)</f>
        <v>#NAME?</v>
      </c>
      <c r="AD107" s="32" t="e" cm="1">
        <f t="array" aca="1" ref="AD107" ca="1">_xll.DBR($C$47,$C$22,$C$23,$J107,$C$48,$C$49,$C$50,$C$51,$C$52,$C$53,$C$54,$L107,$C$55,$C$56,$K107,$C$24,$C$57,AD$83)</f>
        <v>#NAME?</v>
      </c>
    </row>
    <row r="108" spans="10:30" s="27" customFormat="1" ht="12" x14ac:dyDescent="0.2">
      <c r="J108" s="12" t="e">
        <f ca="1">$G$15</f>
        <v>#NAME?</v>
      </c>
      <c r="K108" s="30" t="s">
        <v>108</v>
      </c>
      <c r="L108" s="30" t="s">
        <v>118</v>
      </c>
      <c r="M108" s="12" t="e" cm="1">
        <f t="array" aca="1" ref="M108" ca="1">_xll.DBR($G$55,$K108,"code and description")</f>
        <v>#NAME?</v>
      </c>
      <c r="N108" s="12" t="e" cm="1">
        <f t="array" aca="1" ref="N108" ca="1">_xll.DBR($G$56,$L108,"code and description")</f>
        <v>#NAME?</v>
      </c>
      <c r="O108" s="12" t="e">
        <f ca="1">IF($L108="Total movement",$M108,$M108 &amp; " / " &amp;$N108)</f>
        <v>#NAME?</v>
      </c>
      <c r="U108" s="12"/>
      <c r="V108" s="31" t="s">
        <v>103</v>
      </c>
      <c r="W108" s="35" t="s">
        <v>117</v>
      </c>
      <c r="Y108" s="32" t="e" cm="1">
        <f t="array" aca="1" ref="Y108" ca="1">_xll.DBR($C$47,$C$22,$C$23,$J108,$C$48,$C$49,$C$50,$C$51,$C$52,$C$53,$C$54,$L108,$C$55,$C$56,$K108,$C$24,$C$57,Y$83)</f>
        <v>#NAME?</v>
      </c>
      <c r="Z108" s="32" t="e" cm="1">
        <f t="array" aca="1" ref="Z108" ca="1">_xll.DBR($C$47,$C$22,$C$23,$J108,$C$48,$C$49,$C$50,$C$51,$C$52,$C$53,$C$54,$L108,$C$55,$C$56,$K108,$C$24,$C$57,Z$83)</f>
        <v>#NAME?</v>
      </c>
      <c r="AA108" s="32" t="e" cm="1">
        <f t="array" aca="1" ref="AA108" ca="1">_xll.DBR($C$47,$C$22,$C$23,$J108,$C$48,$C$49,$C$50,$C$51,$C$52,$C$53,$C$54,$L108,$C$55,$C$56,$K108,$C$24,$C$57,AA$83)</f>
        <v>#NAME?</v>
      </c>
      <c r="AB108" s="32" t="e" cm="1">
        <f t="array" aca="1" ref="AB108" ca="1">_xll.DBR($C$47,$C$22,$C$23,$J108,$C$48,$C$49,$C$50,$C$51,$C$52,$C$53,$C$54,$L108,$C$55,$C$56,$K108,$C$24,$C$57,AB$83)</f>
        <v>#NAME?</v>
      </c>
      <c r="AC108" s="32" t="e" cm="1">
        <f t="array" aca="1" ref="AC108" ca="1">_xll.DBR($C$47,$C$22,$C$23,$J108,$C$48,$C$49,$C$50,$C$51,$C$52,$C$53,$C$54,$L108,$C$55,$C$56,$K108,$C$24,$C$57,AC$83)</f>
        <v>#NAME?</v>
      </c>
      <c r="AD108" s="32" t="e" cm="1">
        <f t="array" aca="1" ref="AD108" ca="1">_xll.DBR($C$47,$C$22,$C$23,$J108,$C$48,$C$49,$C$50,$C$51,$C$52,$C$53,$C$54,$L108,$C$55,$C$56,$K108,$C$24,$C$57,AD$83)</f>
        <v>#NAME?</v>
      </c>
    </row>
    <row r="110" spans="10:30" s="27" customFormat="1" ht="12" x14ac:dyDescent="0.2">
      <c r="J110" s="30" t="s">
        <v>7</v>
      </c>
      <c r="K110" s="12" t="e" cm="1">
        <f t="array" aca="1" ref="K110" ca="1">_xll.DBR($G$60,$J110,"description")</f>
        <v>#NAME?</v>
      </c>
      <c r="L110" s="12"/>
      <c r="M110" s="12"/>
      <c r="N110" s="12"/>
      <c r="O110" s="12"/>
      <c r="U110" s="29" t="str">
        <f>$J110</f>
        <v>011</v>
      </c>
      <c r="V110" s="41" t="e">
        <f ca="1">$K110</f>
        <v>#NAME?</v>
      </c>
      <c r="W110" s="41"/>
      <c r="Y110" s="28"/>
      <c r="Z110" s="28"/>
      <c r="AA110" s="28"/>
      <c r="AB110" s="28"/>
      <c r="AC110" s="28"/>
      <c r="AD110" s="28"/>
    </row>
    <row r="111" spans="10:30" s="27" customFormat="1" ht="12" hidden="1" x14ac:dyDescent="0.2">
      <c r="J111" s="12" t="s">
        <v>141</v>
      </c>
      <c r="K111" s="30" t="s">
        <v>121</v>
      </c>
      <c r="L111" s="12" t="s">
        <v>98</v>
      </c>
      <c r="M111" s="12" t="e" cm="1">
        <f t="array" aca="1" ref="M111" ca="1">_xll.DBR($G$55,$K111,"code and description")</f>
        <v>#NAME?</v>
      </c>
      <c r="N111" s="12" t="e" cm="1">
        <f t="array" aca="1" ref="N111" ca="1">_xll.DBR($G$56,$L111,"code and description")</f>
        <v>#NAME?</v>
      </c>
      <c r="O111" s="12" t="e">
        <f ca="1">IF($L111="Total movement",$M111,$M111 &amp; " / " &amp;$N111)</f>
        <v>#NAME?</v>
      </c>
      <c r="U111" s="12"/>
      <c r="V111" s="12"/>
      <c r="W111" s="12" t="e">
        <f ca="1">$O111</f>
        <v>#NAME?</v>
      </c>
      <c r="Y111" s="32" t="e" cm="1">
        <f t="array" aca="1" ref="Y111" ca="1">_xll.DBR($C$47,$C$22,$C$23,$J111,$C$48,$C$49,$C$50,$C$51,$C$52,$C$53,$C$54,$L111,$C$55,$C$56,$K111,$C$24,$C$57,Y$83)</f>
        <v>#NAME?</v>
      </c>
      <c r="Z111" s="32" t="e" cm="1">
        <f t="array" aca="1" ref="Z111" ca="1">_xll.DBR($C$47,$C$22,$C$23,$J111,$C$48,$C$49,$C$50,$C$51,$C$52,$C$53,$C$54,$L111,$C$55,$C$56,$K111,$C$24,$C$57,Z$83)</f>
        <v>#NAME?</v>
      </c>
      <c r="AA111" s="32" t="e" cm="1">
        <f t="array" aca="1" ref="AA111" ca="1">_xll.DBR($C$47,$C$22,$C$23,$J111,$C$48,$C$49,$C$50,$C$51,$C$52,$C$53,$C$54,$L111,$C$55,$C$56,$K111,$C$24,$C$57,AA$83)</f>
        <v>#NAME?</v>
      </c>
      <c r="AB111" s="32" t="e" cm="1">
        <f t="array" aca="1" ref="AB111" ca="1">_xll.DBR($C$47,$C$22,$C$23,$J111,$C$48,$C$49,$C$50,$C$51,$C$52,$C$53,$C$54,$L111,$C$55,$C$56,$K111,$C$24,$C$57,AB$83)</f>
        <v>#NAME?</v>
      </c>
      <c r="AC111" s="32" t="e" cm="1">
        <f t="array" aca="1" ref="AC111" ca="1">_xll.DBR($C$47,$C$22,$C$23,$J111,$C$48,$C$49,$C$50,$C$51,$C$52,$C$53,$C$54,$L111,$C$55,$C$56,$K111,$C$24,$C$57,AC$83)</f>
        <v>#NAME?</v>
      </c>
      <c r="AD111" s="32" t="e" cm="1">
        <f t="array" aca="1" ref="AD111" ca="1">_xll.DBR($C$47,$C$22,$C$23,$J111,$C$48,$C$49,$C$50,$C$51,$C$52,$C$53,$C$54,$L111,$C$55,$C$56,$K111,$C$24,$C$57,AD$83)</f>
        <v>#NAME?</v>
      </c>
    </row>
    <row r="112" spans="10:30" s="27" customFormat="1" ht="12" hidden="1" x14ac:dyDescent="0.2">
      <c r="J112" s="12" t="e">
        <f ca="1">$G$15</f>
        <v>#NAME?</v>
      </c>
      <c r="K112" s="30" t="s">
        <v>121</v>
      </c>
      <c r="L112" s="12" t="s">
        <v>98</v>
      </c>
      <c r="M112" s="12" t="e" cm="1">
        <f t="array" aca="1" ref="M112" ca="1">_xll.DBR($G$55,$K112,"code and description")</f>
        <v>#NAME?</v>
      </c>
      <c r="N112" s="12" t="e" cm="1">
        <f t="array" aca="1" ref="N112" ca="1">_xll.DBR($G$56,$L112,"code and description")</f>
        <v>#NAME?</v>
      </c>
      <c r="O112" s="12" t="e">
        <f ca="1">IF($L112="Total movement",$M112,$M112 &amp; " / " &amp;$N112)</f>
        <v>#NAME?</v>
      </c>
      <c r="U112" s="12"/>
      <c r="V112" s="12"/>
      <c r="W112" s="12" t="e">
        <f ca="1">$O112</f>
        <v>#NAME?</v>
      </c>
      <c r="Y112" s="32" t="e" cm="1">
        <f t="array" aca="1" ref="Y112" ca="1">_xll.DBR($C$47,$C$22,$C$23,$J112,$C$48,$C$49,$C$50,$C$51,$C$52,$C$53,$C$54,$L112,$C$55,$C$56,$K112,$C$24,$C$57,Y$83)</f>
        <v>#NAME?</v>
      </c>
      <c r="Z112" s="32" t="e" cm="1">
        <f t="array" aca="1" ref="Z112" ca="1">_xll.DBR($C$47,$C$22,$C$23,$J112,$C$48,$C$49,$C$50,$C$51,$C$52,$C$53,$C$54,$L112,$C$55,$C$56,$K112,$C$24,$C$57,Z$83)</f>
        <v>#NAME?</v>
      </c>
      <c r="AA112" s="32" t="e" cm="1">
        <f t="array" aca="1" ref="AA112" ca="1">_xll.DBR($C$47,$C$22,$C$23,$J112,$C$48,$C$49,$C$50,$C$51,$C$52,$C$53,$C$54,$L112,$C$55,$C$56,$K112,$C$24,$C$57,AA$83)</f>
        <v>#NAME?</v>
      </c>
      <c r="AB112" s="32" t="e" cm="1">
        <f t="array" aca="1" ref="AB112" ca="1">_xll.DBR($C$47,$C$22,$C$23,$J112,$C$48,$C$49,$C$50,$C$51,$C$52,$C$53,$C$54,$L112,$C$55,$C$56,$K112,$C$24,$C$57,AB$83)</f>
        <v>#NAME?</v>
      </c>
      <c r="AC112" s="32" t="e" cm="1">
        <f t="array" aca="1" ref="AC112" ca="1">_xll.DBR($C$47,$C$22,$C$23,$J112,$C$48,$C$49,$C$50,$C$51,$C$52,$C$53,$C$54,$L112,$C$55,$C$56,$K112,$C$24,$C$57,AC$83)</f>
        <v>#NAME?</v>
      </c>
      <c r="AD112" s="32" t="e" cm="1">
        <f t="array" aca="1" ref="AD112" ca="1">_xll.DBR($C$47,$C$22,$C$23,$J112,$C$48,$C$49,$C$50,$C$51,$C$52,$C$53,$C$54,$L112,$C$55,$C$56,$K112,$C$24,$C$57,AD$83)</f>
        <v>#NAME?</v>
      </c>
    </row>
    <row r="113" spans="10:30" s="27" customFormat="1" ht="12" x14ac:dyDescent="0.2">
      <c r="J113" s="12"/>
      <c r="K113" s="30"/>
      <c r="L113" s="12"/>
      <c r="M113" s="12"/>
      <c r="N113" s="12"/>
      <c r="O113" s="12" t="e">
        <f ca="1">O112</f>
        <v>#NAME?</v>
      </c>
      <c r="U113" s="12"/>
      <c r="V113" s="12"/>
      <c r="W113" s="12" t="e">
        <f ca="1">$O113</f>
        <v>#NAME?</v>
      </c>
      <c r="Y113" s="32" t="e">
        <f ca="1">Y112</f>
        <v>#NAME?</v>
      </c>
      <c r="Z113" s="32" t="e">
        <f ca="1">Z112+Y113</f>
        <v>#NAME?</v>
      </c>
      <c r="AA113" s="32" t="e">
        <f t="shared" ref="AA113:AD113" ca="1" si="14">AA112+Z113</f>
        <v>#NAME?</v>
      </c>
      <c r="AB113" s="32" t="e">
        <f t="shared" ca="1" si="14"/>
        <v>#NAME?</v>
      </c>
      <c r="AC113" s="32" t="e">
        <f t="shared" ca="1" si="14"/>
        <v>#NAME?</v>
      </c>
      <c r="AD113" s="32" t="e">
        <f t="shared" ca="1" si="14"/>
        <v>#NAME?</v>
      </c>
    </row>
    <row r="114" spans="10:30" s="27" customFormat="1" ht="12" x14ac:dyDescent="0.2">
      <c r="J114" s="12" t="e">
        <f t="shared" ref="J114" ca="1" si="15">$G$15</f>
        <v>#NAME?</v>
      </c>
      <c r="K114" s="30" t="s">
        <v>122</v>
      </c>
      <c r="L114" s="12" t="s">
        <v>98</v>
      </c>
      <c r="M114" s="12" t="e" cm="1">
        <f t="array" aca="1" ref="M114" ca="1">_xll.DBR($G$55,$K114,"code and description")</f>
        <v>#NAME?</v>
      </c>
      <c r="N114" s="12" t="e" cm="1">
        <f t="array" aca="1" ref="N114" ca="1">_xll.DBR($G$56,$L114,"code and description")</f>
        <v>#NAME?</v>
      </c>
      <c r="O114" s="12" t="e">
        <f t="shared" ref="O114:O115" ca="1" si="16">IF($L114="Total movement",$M114,$M114 &amp; " / " &amp;$N114)</f>
        <v>#NAME?</v>
      </c>
      <c r="U114" s="12"/>
      <c r="V114" s="31" t="s">
        <v>112</v>
      </c>
      <c r="W114" s="12" t="e">
        <f t="shared" ref="W114:W115" ca="1" si="17">$O114</f>
        <v>#NAME?</v>
      </c>
      <c r="Y114" s="32" t="e" cm="1">
        <f t="array" aca="1" ref="Y114" ca="1">_xll.DBR($C$47,$C$22,$C$23,$J114,$C$48,$C$49,$C$50,$C$51,$C$52,$C$53,$C$54,$L114,$C$55,$C$56,$K114,$C$24,$C$57,Y$83)</f>
        <v>#NAME?</v>
      </c>
      <c r="Z114" s="32" t="e" cm="1">
        <f t="array" aca="1" ref="Z114" ca="1">_xll.DBR($C$47,$C$22,$C$23,$J114,$C$48,$C$49,$C$50,$C$51,$C$52,$C$53,$C$54,$L114,$C$55,$C$56,$K114,$C$24,$C$57,Z$83)</f>
        <v>#NAME?</v>
      </c>
      <c r="AA114" s="32" t="e" cm="1">
        <f t="array" aca="1" ref="AA114" ca="1">_xll.DBR($C$47,$C$22,$C$23,$J114,$C$48,$C$49,$C$50,$C$51,$C$52,$C$53,$C$54,$L114,$C$55,$C$56,$K114,$C$24,$C$57,AA$83)</f>
        <v>#NAME?</v>
      </c>
      <c r="AB114" s="32" t="e" cm="1">
        <f t="array" aca="1" ref="AB114" ca="1">_xll.DBR($C$47,$C$22,$C$23,$J114,$C$48,$C$49,$C$50,$C$51,$C$52,$C$53,$C$54,$L114,$C$55,$C$56,$K114,$C$24,$C$57,AB$83)</f>
        <v>#NAME?</v>
      </c>
      <c r="AC114" s="32" t="e" cm="1">
        <f t="array" aca="1" ref="AC114" ca="1">_xll.DBR($C$47,$C$22,$C$23,$J114,$C$48,$C$49,$C$50,$C$51,$C$52,$C$53,$C$54,$L114,$C$55,$C$56,$K114,$C$24,$C$57,AC$83)</f>
        <v>#NAME?</v>
      </c>
      <c r="AD114" s="32" t="e" cm="1">
        <f t="array" aca="1" ref="AD114" ca="1">_xll.DBR($C$47,$C$22,$C$23,$J114,$C$48,$C$49,$C$50,$C$51,$C$52,$C$53,$C$54,$L114,$C$55,$C$56,$K114,$C$24,$C$57,AD$83)</f>
        <v>#NAME?</v>
      </c>
    </row>
    <row r="115" spans="10:30" s="27" customFormat="1" ht="12" x14ac:dyDescent="0.2">
      <c r="J115" s="12" t="s">
        <v>142</v>
      </c>
      <c r="K115" s="30" t="s">
        <v>120</v>
      </c>
      <c r="L115" s="12" t="s">
        <v>98</v>
      </c>
      <c r="M115" s="12" t="e" cm="1">
        <f t="array" aca="1" ref="M115" ca="1">_xll.DBR($G$55,$K115,"code and description")</f>
        <v>#NAME?</v>
      </c>
      <c r="N115" s="12" t="e" cm="1">
        <f t="array" aca="1" ref="N115" ca="1">_xll.DBR($G$56,$L115,"code and description")</f>
        <v>#NAME?</v>
      </c>
      <c r="O115" s="12" t="e">
        <f t="shared" ca="1" si="16"/>
        <v>#NAME?</v>
      </c>
      <c r="U115" s="12"/>
      <c r="V115" s="31" t="s">
        <v>103</v>
      </c>
      <c r="W115" s="12" t="e">
        <f t="shared" ca="1" si="17"/>
        <v>#NAME?</v>
      </c>
      <c r="Y115" s="32" t="e" cm="1">
        <f t="array" aca="1" ref="Y115" ca="1">_xll.DBR($C$47,$C$22,$C$23,$J115,$C$48,$C$49,$C$50,$C$51,$C$52,$C$53,$C$54,$L115,$C$55,$C$56,$K115,$C$24,$C$57,Y$83)</f>
        <v>#NAME?</v>
      </c>
      <c r="Z115" s="32" t="e" cm="1">
        <f t="array" aca="1" ref="Z115" ca="1">_xll.DBR($C$47,$C$22,$C$23,$J115,$C$48,$C$49,$C$50,$C$51,$C$52,$C$53,$C$54,$L115,$C$55,$C$56,$K115,$C$24,$C$57,Z$83)</f>
        <v>#NAME?</v>
      </c>
      <c r="AA115" s="32" t="e" cm="1">
        <f t="array" aca="1" ref="AA115" ca="1">_xll.DBR($C$47,$C$22,$C$23,$J115,$C$48,$C$49,$C$50,$C$51,$C$52,$C$53,$C$54,$L115,$C$55,$C$56,$K115,$C$24,$C$57,AA$83)</f>
        <v>#NAME?</v>
      </c>
      <c r="AB115" s="32" t="e" cm="1">
        <f t="array" aca="1" ref="AB115" ca="1">_xll.DBR($C$47,$C$22,$C$23,$J115,$C$48,$C$49,$C$50,$C$51,$C$52,$C$53,$C$54,$L115,$C$55,$C$56,$K115,$C$24,$C$57,AB$83)</f>
        <v>#NAME?</v>
      </c>
      <c r="AC115" s="32" t="e" cm="1">
        <f t="array" aca="1" ref="AC115" ca="1">_xll.DBR($C$47,$C$22,$C$23,$J115,$C$48,$C$49,$C$50,$C$51,$C$52,$C$53,$C$54,$L115,$C$55,$C$56,$K115,$C$24,$C$57,AC$83)</f>
        <v>#NAME?</v>
      </c>
      <c r="AD115" s="32" t="e" cm="1">
        <f t="array" aca="1" ref="AD115" ca="1">_xll.DBR($C$47,$C$22,$C$23,$J115,$C$48,$C$49,$C$50,$C$51,$C$52,$C$53,$C$54,$L115,$C$55,$C$56,$K115,$C$24,$C$57,AD$83)</f>
        <v>#NAME?</v>
      </c>
    </row>
    <row r="117" spans="10:30" s="27" customFormat="1" ht="12" x14ac:dyDescent="0.2">
      <c r="J117" s="30" t="s">
        <v>8</v>
      </c>
      <c r="K117" s="12" t="e" cm="1">
        <f t="array" aca="1" ref="K117" ca="1">_xll.DBR($G$60,$J117,"description")</f>
        <v>#NAME?</v>
      </c>
      <c r="L117" s="12"/>
      <c r="M117" s="12"/>
      <c r="N117" s="12"/>
      <c r="O117" s="12"/>
      <c r="U117" s="29" t="str">
        <f>$J117</f>
        <v>013</v>
      </c>
      <c r="V117" s="41" t="e">
        <f ca="1">$K117</f>
        <v>#NAME?</v>
      </c>
      <c r="W117" s="41"/>
      <c r="Y117" s="28"/>
      <c r="Z117" s="28"/>
      <c r="AA117" s="28"/>
      <c r="AB117" s="28"/>
      <c r="AC117" s="28"/>
      <c r="AD117" s="28"/>
    </row>
    <row r="118" spans="10:30" s="27" customFormat="1" ht="12" x14ac:dyDescent="0.2">
      <c r="J118" s="12" t="e">
        <f ca="1">$G$15</f>
        <v>#NAME?</v>
      </c>
      <c r="K118" s="30" t="s">
        <v>123</v>
      </c>
      <c r="L118" s="12" t="s">
        <v>98</v>
      </c>
      <c r="M118" s="12" t="e" cm="1">
        <f t="array" aca="1" ref="M118" ca="1">_xll.DBR($G$55,$K118,"code and description")</f>
        <v>#NAME?</v>
      </c>
      <c r="N118" s="12" t="e" cm="1">
        <f t="array" aca="1" ref="N118" ca="1">_xll.DBR($G$56,$L118,"code and description")</f>
        <v>#NAME?</v>
      </c>
      <c r="O118" s="12" t="e">
        <f ca="1">IF($L118="Total movement",$M118,$M118 &amp; " / " &amp;$N118)</f>
        <v>#NAME?</v>
      </c>
      <c r="U118" s="12"/>
      <c r="V118" s="12"/>
      <c r="W118" s="12" t="e">
        <f ca="1">$O118</f>
        <v>#NAME?</v>
      </c>
      <c r="Y118" s="32" t="e" cm="1">
        <f t="array" aca="1" ref="Y118" ca="1">_xll.DBR($C$47,$C$22,$C$23,$J118,$C$48,$C$49,$C$50,$C$51,$C$52,$C$53,$C$54,$L118,$C$55,$C$56,$K118,$C$24,$C$57,Y$83)</f>
        <v>#NAME?</v>
      </c>
      <c r="Z118" s="32" t="e" cm="1">
        <f t="array" aca="1" ref="Z118" ca="1">_xll.DBR($C$47,$C$22,$C$23,$J118,$C$48,$C$49,$C$50,$C$51,$C$52,$C$53,$C$54,$L118,$C$55,$C$56,$K118,$C$24,$C$57,Z$83)</f>
        <v>#NAME?</v>
      </c>
      <c r="AA118" s="32" t="e" cm="1">
        <f t="array" aca="1" ref="AA118" ca="1">_xll.DBR($C$47,$C$22,$C$23,$J118,$C$48,$C$49,$C$50,$C$51,$C$52,$C$53,$C$54,$L118,$C$55,$C$56,$K118,$C$24,$C$57,AA$83)</f>
        <v>#NAME?</v>
      </c>
      <c r="AB118" s="32" t="e" cm="1">
        <f t="array" aca="1" ref="AB118" ca="1">_xll.DBR($C$47,$C$22,$C$23,$J118,$C$48,$C$49,$C$50,$C$51,$C$52,$C$53,$C$54,$L118,$C$55,$C$56,$K118,$C$24,$C$57,AB$83)</f>
        <v>#NAME?</v>
      </c>
      <c r="AC118" s="32" t="e" cm="1">
        <f t="array" aca="1" ref="AC118" ca="1">_xll.DBR($C$47,$C$22,$C$23,$J118,$C$48,$C$49,$C$50,$C$51,$C$52,$C$53,$C$54,$L118,$C$55,$C$56,$K118,$C$24,$C$57,AC$83)</f>
        <v>#NAME?</v>
      </c>
      <c r="AD118" s="32" t="e" cm="1">
        <f t="array" aca="1" ref="AD118" ca="1">_xll.DBR($C$47,$C$22,$C$23,$J118,$C$48,$C$49,$C$50,$C$51,$C$52,$C$53,$C$54,$L118,$C$55,$C$56,$K118,$C$24,$C$57,AD$83)</f>
        <v>#NAME?</v>
      </c>
    </row>
    <row r="119" spans="10:30" s="27" customFormat="1" ht="12" x14ac:dyDescent="0.2">
      <c r="J119" s="12" t="e">
        <f t="shared" ref="J119" ca="1" si="18">$G$15</f>
        <v>#NAME?</v>
      </c>
      <c r="K119" s="30" t="s">
        <v>124</v>
      </c>
      <c r="L119" s="12" t="s">
        <v>98</v>
      </c>
      <c r="M119" s="12" t="e" cm="1">
        <f t="array" aca="1" ref="M119" ca="1">_xll.DBR($G$55,$K119,"code and description")</f>
        <v>#NAME?</v>
      </c>
      <c r="N119" s="12" t="e" cm="1">
        <f t="array" aca="1" ref="N119" ca="1">_xll.DBR($G$56,$L119,"code and description")</f>
        <v>#NAME?</v>
      </c>
      <c r="O119" s="12" t="e">
        <f t="shared" ref="O119" ca="1" si="19">IF($L119="Total movement",$M119,$M119 &amp; " / " &amp;$N119)</f>
        <v>#NAME?</v>
      </c>
      <c r="U119" s="12"/>
      <c r="V119" s="31" t="s">
        <v>103</v>
      </c>
      <c r="W119" s="12" t="e">
        <f t="shared" ref="W119" ca="1" si="20">$O119</f>
        <v>#NAME?</v>
      </c>
      <c r="Y119" s="32" t="e" cm="1">
        <f t="array" aca="1" ref="Y119" ca="1">_xll.DBR($C$47,$C$22,$C$23,$J119,$C$48,$C$49,$C$50,$C$51,$C$52,$C$53,$C$54,$L119,$C$55,$C$56,$K119,$C$24,$C$57,Y$83)</f>
        <v>#NAME?</v>
      </c>
      <c r="Z119" s="32" t="e" cm="1">
        <f t="array" aca="1" ref="Z119" ca="1">_xll.DBR($C$47,$C$22,$C$23,$J119,$C$48,$C$49,$C$50,$C$51,$C$52,$C$53,$C$54,$L119,$C$55,$C$56,$K119,$C$24,$C$57,Z$83)</f>
        <v>#NAME?</v>
      </c>
      <c r="AA119" s="32" t="e" cm="1">
        <f t="array" aca="1" ref="AA119" ca="1">_xll.DBR($C$47,$C$22,$C$23,$J119,$C$48,$C$49,$C$50,$C$51,$C$52,$C$53,$C$54,$L119,$C$55,$C$56,$K119,$C$24,$C$57,AA$83)</f>
        <v>#NAME?</v>
      </c>
      <c r="AB119" s="32" t="e" cm="1">
        <f t="array" aca="1" ref="AB119" ca="1">_xll.DBR($C$47,$C$22,$C$23,$J119,$C$48,$C$49,$C$50,$C$51,$C$52,$C$53,$C$54,$L119,$C$55,$C$56,$K119,$C$24,$C$57,AB$83)</f>
        <v>#NAME?</v>
      </c>
      <c r="AC119" s="32" t="e" cm="1">
        <f t="array" aca="1" ref="AC119" ca="1">_xll.DBR($C$47,$C$22,$C$23,$J119,$C$48,$C$49,$C$50,$C$51,$C$52,$C$53,$C$54,$L119,$C$55,$C$56,$K119,$C$24,$C$57,AC$83)</f>
        <v>#NAME?</v>
      </c>
      <c r="AD119" s="32" t="e" cm="1">
        <f t="array" aca="1" ref="AD119" ca="1">_xll.DBR($C$47,$C$22,$C$23,$J119,$C$48,$C$49,$C$50,$C$51,$C$52,$C$53,$C$54,$L119,$C$55,$C$56,$K119,$C$24,$C$57,AD$83)</f>
        <v>#NAME?</v>
      </c>
    </row>
    <row r="121" spans="10:30" s="27" customFormat="1" ht="12" x14ac:dyDescent="0.2">
      <c r="J121" s="30" t="s">
        <v>9</v>
      </c>
      <c r="K121" s="12" t="e" cm="1">
        <f t="array" aca="1" ref="K121" ca="1">_xll.DBR($G$60,$J121,"description")</f>
        <v>#NAME?</v>
      </c>
      <c r="L121" s="12"/>
      <c r="M121" s="12"/>
      <c r="N121" s="12"/>
      <c r="O121" s="12"/>
      <c r="U121" s="29" t="str">
        <f>$J121</f>
        <v>015</v>
      </c>
      <c r="V121" s="41" t="e">
        <f ca="1">$K121</f>
        <v>#NAME?</v>
      </c>
      <c r="W121" s="41"/>
      <c r="Y121" s="28"/>
      <c r="Z121" s="28"/>
      <c r="AA121" s="28"/>
      <c r="AB121" s="28"/>
      <c r="AC121" s="28"/>
      <c r="AD121" s="28"/>
    </row>
    <row r="122" spans="10:30" s="27" customFormat="1" ht="12" x14ac:dyDescent="0.2">
      <c r="J122" s="12" t="e">
        <f ca="1">$G$15</f>
        <v>#NAME?</v>
      </c>
      <c r="K122" s="30" t="s">
        <v>125</v>
      </c>
      <c r="L122" s="12" t="s">
        <v>98</v>
      </c>
      <c r="M122" s="12" t="e" cm="1">
        <f t="array" aca="1" ref="M122" ca="1">_xll.DBR($G$55,$K122,"code and description")</f>
        <v>#NAME?</v>
      </c>
      <c r="N122" s="12" t="e" cm="1">
        <f t="array" aca="1" ref="N122" ca="1">_xll.DBR($G$56,$L122,"code and description")</f>
        <v>#NAME?</v>
      </c>
      <c r="O122" s="12" t="e">
        <f ca="1">IF($L122="Total movement",$M122,$M122 &amp; " / " &amp;$N122)</f>
        <v>#NAME?</v>
      </c>
      <c r="U122" s="12"/>
      <c r="V122" s="12"/>
      <c r="W122" s="12" t="e">
        <f ca="1">$O122</f>
        <v>#NAME?</v>
      </c>
      <c r="Y122" s="32" t="e" cm="1">
        <f t="array" aca="1" ref="Y122" ca="1">_xll.DBR($C$47,$C$22,$C$23,$J122,$C$48,$C$49,$C$50,$C$51,$C$52,$C$53,$C$54,$L122,$C$55,$C$56,$K122,$C$24,$C$57,Y$83)</f>
        <v>#NAME?</v>
      </c>
      <c r="Z122" s="32" t="e" cm="1">
        <f t="array" aca="1" ref="Z122" ca="1">_xll.DBR($C$47,$C$22,$C$23,$J122,$C$48,$C$49,$C$50,$C$51,$C$52,$C$53,$C$54,$L122,$C$55,$C$56,$K122,$C$24,$C$57,Z$83)</f>
        <v>#NAME?</v>
      </c>
      <c r="AA122" s="32" t="e" cm="1">
        <f t="array" aca="1" ref="AA122" ca="1">_xll.DBR($C$47,$C$22,$C$23,$J122,$C$48,$C$49,$C$50,$C$51,$C$52,$C$53,$C$54,$L122,$C$55,$C$56,$K122,$C$24,$C$57,AA$83)</f>
        <v>#NAME?</v>
      </c>
      <c r="AB122" s="32" t="e" cm="1">
        <f t="array" aca="1" ref="AB122" ca="1">_xll.DBR($C$47,$C$22,$C$23,$J122,$C$48,$C$49,$C$50,$C$51,$C$52,$C$53,$C$54,$L122,$C$55,$C$56,$K122,$C$24,$C$57,AB$83)</f>
        <v>#NAME?</v>
      </c>
      <c r="AC122" s="32" t="e" cm="1">
        <f t="array" aca="1" ref="AC122" ca="1">_xll.DBR($C$47,$C$22,$C$23,$J122,$C$48,$C$49,$C$50,$C$51,$C$52,$C$53,$C$54,$L122,$C$55,$C$56,$K122,$C$24,$C$57,AC$83)</f>
        <v>#NAME?</v>
      </c>
      <c r="AD122" s="32" t="e" cm="1">
        <f t="array" aca="1" ref="AD122" ca="1">_xll.DBR($C$47,$C$22,$C$23,$J122,$C$48,$C$49,$C$50,$C$51,$C$52,$C$53,$C$54,$L122,$C$55,$C$56,$K122,$C$24,$C$57,AD$83)</f>
        <v>#NAME?</v>
      </c>
    </row>
    <row r="123" spans="10:30" s="27" customFormat="1" ht="12" x14ac:dyDescent="0.2">
      <c r="J123" s="12" t="e">
        <f t="shared" ref="J123" ca="1" si="21">$G$15</f>
        <v>#NAME?</v>
      </c>
      <c r="K123" s="30" t="s">
        <v>126</v>
      </c>
      <c r="L123" s="12" t="s">
        <v>98</v>
      </c>
      <c r="M123" s="12" t="e" cm="1">
        <f t="array" aca="1" ref="M123" ca="1">_xll.DBR($G$55,$K123,"code and description")</f>
        <v>#NAME?</v>
      </c>
      <c r="N123" s="12" t="e" cm="1">
        <f t="array" aca="1" ref="N123" ca="1">_xll.DBR($G$56,$L123,"code and description")</f>
        <v>#NAME?</v>
      </c>
      <c r="O123" s="12" t="e">
        <f t="shared" ref="O123" ca="1" si="22">IF($L123="Total movement",$M123,$M123 &amp; " / " &amp;$N123)</f>
        <v>#NAME?</v>
      </c>
      <c r="U123" s="12"/>
      <c r="V123" s="31" t="s">
        <v>103</v>
      </c>
      <c r="W123" s="12" t="e">
        <f t="shared" ref="W123" ca="1" si="23">$O123</f>
        <v>#NAME?</v>
      </c>
      <c r="Y123" s="32" t="e" cm="1">
        <f t="array" aca="1" ref="Y123" ca="1">_xll.DBR($C$47,$C$22,$C$23,$J123,$C$48,$C$49,$C$50,$C$51,$C$52,$C$53,$C$54,$L123,$C$55,$C$56,$K123,$C$24,$C$57,Y$83)</f>
        <v>#NAME?</v>
      </c>
      <c r="Z123" s="32" t="e" cm="1">
        <f t="array" aca="1" ref="Z123" ca="1">_xll.DBR($C$47,$C$22,$C$23,$J123,$C$48,$C$49,$C$50,$C$51,$C$52,$C$53,$C$54,$L123,$C$55,$C$56,$K123,$C$24,$C$57,Z$83)</f>
        <v>#NAME?</v>
      </c>
      <c r="AA123" s="32" t="e" cm="1">
        <f t="array" aca="1" ref="AA123" ca="1">_xll.DBR($C$47,$C$22,$C$23,$J123,$C$48,$C$49,$C$50,$C$51,$C$52,$C$53,$C$54,$L123,$C$55,$C$56,$K123,$C$24,$C$57,AA$83)</f>
        <v>#NAME?</v>
      </c>
      <c r="AB123" s="32" t="e" cm="1">
        <f t="array" aca="1" ref="AB123" ca="1">_xll.DBR($C$47,$C$22,$C$23,$J123,$C$48,$C$49,$C$50,$C$51,$C$52,$C$53,$C$54,$L123,$C$55,$C$56,$K123,$C$24,$C$57,AB$83)</f>
        <v>#NAME?</v>
      </c>
      <c r="AC123" s="32" t="e" cm="1">
        <f t="array" aca="1" ref="AC123" ca="1">_xll.DBR($C$47,$C$22,$C$23,$J123,$C$48,$C$49,$C$50,$C$51,$C$52,$C$53,$C$54,$L123,$C$55,$C$56,$K123,$C$24,$C$57,AC$83)</f>
        <v>#NAME?</v>
      </c>
      <c r="AD123" s="32" t="e" cm="1">
        <f t="array" aca="1" ref="AD123" ca="1">_xll.DBR($C$47,$C$22,$C$23,$J123,$C$48,$C$49,$C$50,$C$51,$C$52,$C$53,$C$54,$L123,$C$55,$C$56,$K123,$C$24,$C$57,AD$83)</f>
        <v>#NAME?</v>
      </c>
    </row>
  </sheetData>
  <sheetProtection sheet="1" objects="1" scenarios="1"/>
  <mergeCells count="20">
    <mergeCell ref="B59:D59"/>
    <mergeCell ref="F59:H59"/>
    <mergeCell ref="B11:D11"/>
    <mergeCell ref="F11:H11"/>
    <mergeCell ref="B27:D27"/>
    <mergeCell ref="B19:C19"/>
    <mergeCell ref="F46:H46"/>
    <mergeCell ref="B46:D46"/>
    <mergeCell ref="V76:W77"/>
    <mergeCell ref="Y76:AC76"/>
    <mergeCell ref="Y77:AC77"/>
    <mergeCell ref="F54:H54"/>
    <mergeCell ref="V84:W84"/>
    <mergeCell ref="V117:W117"/>
    <mergeCell ref="V121:W121"/>
    <mergeCell ref="V89:W89"/>
    <mergeCell ref="V92:W92"/>
    <mergeCell ref="V99:W99"/>
    <mergeCell ref="V106:W106"/>
    <mergeCell ref="V110:W110"/>
  </mergeCells>
  <conditionalFormatting sqref="Y82 AC82">
    <cfRule type="cellIs" dxfId="8" priority="39" operator="equal">
      <formula>"Warning"</formula>
    </cfRule>
    <cfRule type="cellIs" dxfId="7" priority="40" operator="equal">
      <formula>"Fail"</formula>
    </cfRule>
  </conditionalFormatting>
  <conditionalFormatting sqref="Y2:AD7">
    <cfRule type="cellIs" dxfId="6" priority="145" operator="equal">
      <formula>"Warning"</formula>
    </cfRule>
    <cfRule type="cellIs" dxfId="5" priority="146" operator="equal">
      <formula>"Fail"</formula>
    </cfRule>
  </conditionalFormatting>
  <conditionalFormatting sqref="Y80:AD80">
    <cfRule type="cellIs" dxfId="4" priority="3" operator="equal">
      <formula>"Warning"</formula>
    </cfRule>
    <cfRule type="cellIs" dxfId="3" priority="4" operator="equal">
      <formula>"Fail"</formula>
    </cfRule>
  </conditionalFormatting>
  <conditionalFormatting sqref="AD2:AD7">
    <cfRule type="expression" dxfId="2" priority="109">
      <formula>$Y$77&lt;&gt;"Next 10 FE"</formula>
    </cfRule>
  </conditionalFormatting>
  <conditionalFormatting sqref="AD79:AD80">
    <cfRule type="expression" dxfId="1" priority="1">
      <formula>$Y$77&lt;&gt;"Next 10 FE"</formula>
    </cfRule>
  </conditionalFormatting>
  <conditionalFormatting sqref="AD83:AD123">
    <cfRule type="expression" dxfId="0" priority="17">
      <formula>$Y$77&lt;&gt;"Next 10 FE"</formula>
    </cfRule>
  </conditionalFormatting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7" r:id="rId4" name="TIButton3">
          <controlPr defaultSize="0" print="0" autoLine="0" r:id="rId5">
            <anchor moveWithCells="1" sizeWithCells="1">
              <from>
                <xdr:col>20</xdr:col>
                <xdr:colOff>904875</xdr:colOff>
                <xdr:row>70</xdr:row>
                <xdr:rowOff>9525</xdr:rowOff>
              </from>
              <to>
                <xdr:col>21</xdr:col>
                <xdr:colOff>1076325</xdr:colOff>
                <xdr:row>70</xdr:row>
                <xdr:rowOff>257175</xdr:rowOff>
              </to>
            </anchor>
          </controlPr>
        </control>
      </mc:Choice>
      <mc:Fallback>
        <control shapeId="1027" r:id="rId4" name="TIButton3"/>
      </mc:Fallback>
    </mc:AlternateContent>
    <mc:AlternateContent xmlns:mc="http://schemas.openxmlformats.org/markup-compatibility/2006">
      <mc:Choice Requires="x14">
        <control shapeId="1026" r:id="rId6" name="TIButton2">
          <controlPr defaultSize="0" print="0" autoLine="0" r:id="rId7">
            <anchor moveWithCells="1" sizeWithCells="1">
              <from>
                <xdr:col>19</xdr:col>
                <xdr:colOff>38100</xdr:colOff>
                <xdr:row>70</xdr:row>
                <xdr:rowOff>9525</xdr:rowOff>
              </from>
              <to>
                <xdr:col>20</xdr:col>
                <xdr:colOff>857250</xdr:colOff>
                <xdr:row>70</xdr:row>
                <xdr:rowOff>257175</xdr:rowOff>
              </to>
            </anchor>
          </controlPr>
        </control>
      </mc:Choice>
      <mc:Fallback>
        <control shapeId="1026" r:id="rId6" name="TIButton2"/>
      </mc:Fallback>
    </mc:AlternateContent>
    <mc:AlternateContent xmlns:mc="http://schemas.openxmlformats.org/markup-compatibility/2006">
      <mc:Choice Requires="x14">
        <control shapeId="1025" r:id="rId8" name="TIButton1">
          <controlPr defaultSize="0" print="0" autoLine="0" r:id="rId9">
            <anchor moveWithCells="1" sizeWithCells="1">
              <from>
                <xdr:col>21</xdr:col>
                <xdr:colOff>1114425</xdr:colOff>
                <xdr:row>70</xdr:row>
                <xdr:rowOff>9525</xdr:rowOff>
              </from>
              <to>
                <xdr:col>21</xdr:col>
                <xdr:colOff>1895475</xdr:colOff>
                <xdr:row>70</xdr:row>
                <xdr:rowOff>257175</xdr:rowOff>
              </to>
            </anchor>
          </controlPr>
        </control>
      </mc:Choice>
      <mc:Fallback>
        <control shapeId="1025" r:id="rId8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44</vt:i4>
      </vt:variant>
    </vt:vector>
  </HeadingPairs>
  <TitlesOfParts>
    <vt:vector size="45" baseType="lpstr">
      <vt:lpstr>validations</vt:lpstr>
      <vt:lpstr>db_name</vt:lpstr>
      <vt:lpstr>psHLYear</vt:lpstr>
      <vt:lpstr>psID</vt:lpstr>
      <vt:lpstr>psScenario</vt:lpstr>
      <vt:lpstr>psUser</vt:lpstr>
      <vt:lpstr>sys_per_display</vt:lpstr>
      <vt:lpstr>sys_per_displaylist</vt:lpstr>
      <vt:lpstr>TM1AdjIDListCAP</vt:lpstr>
      <vt:lpstr>TM1AdjIDListWB</vt:lpstr>
      <vt:lpstr>TM1AdjIDListWS</vt:lpstr>
      <vt:lpstr>TM1AuthWB</vt:lpstr>
      <vt:lpstr>TM1AuthWS</vt:lpstr>
      <vt:lpstr>TM1BackToAdjWB</vt:lpstr>
      <vt:lpstr>TM1BackToAdjWS</vt:lpstr>
      <vt:lpstr>TM1GrpNewAdj02ExpDataEntryCAP</vt:lpstr>
      <vt:lpstr>TM1GrpNewAdj02ExpDataEntryWB</vt:lpstr>
      <vt:lpstr>TM1GrpNewAdj02ExpDataEntryWS</vt:lpstr>
      <vt:lpstr>TM1GrpNewAdj05AuthCAP</vt:lpstr>
      <vt:lpstr>TM1GrpNewAdj05AuthWB</vt:lpstr>
      <vt:lpstr>TM1GrpNewAdj05AuthWS</vt:lpstr>
      <vt:lpstr>TM1GrpNewAdj08RecogDataEntryCAP</vt:lpstr>
      <vt:lpstr>TM1GrpNewAdj08RecogDataEntryWB</vt:lpstr>
      <vt:lpstr>TM1GrpNewAdj08RecogDataEntryWS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TM1HomeWB</vt:lpstr>
      <vt:lpstr>TM1HomeWS</vt:lpstr>
      <vt:lpstr>TM1NewAdj02DataEntryCAP</vt:lpstr>
      <vt:lpstr>TM1NewAdj02DataEntryWB</vt:lpstr>
      <vt:lpstr>TM1NewAdj02DataEntryWS</vt:lpstr>
      <vt:lpstr>TM1NewAdj03AuthCAP</vt:lpstr>
      <vt:lpstr>TM1NewAdj03AuthWB</vt:lpstr>
      <vt:lpstr>TM1NewAdj03AuthWS</vt:lpstr>
      <vt:lpstr>validations!TM1RPTDATARNG1</vt:lpstr>
      <vt:lpstr>validations!TM1RPTFMTIDCOL</vt:lpstr>
      <vt:lpstr>validations!TM1RPTFMTRNG</vt:lpstr>
      <vt:lpstr>TM1ViewAdj01HeaderCAP</vt:lpstr>
      <vt:lpstr>TM1ViewAdj01HeaderWB</vt:lpstr>
      <vt:lpstr>TM1ViewAdj01HeaderWS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dcterms:created xsi:type="dcterms:W3CDTF">2019-05-03T05:16:26Z</dcterms:created>
  <dcterms:modified xsi:type="dcterms:W3CDTF">2025-08-05T04:39:00Z</dcterms:modified>
</cp:coreProperties>
</file>