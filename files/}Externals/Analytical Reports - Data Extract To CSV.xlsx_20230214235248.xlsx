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AF0E741A-6500-4BEA-AFB2-82D477A9B674}" xr6:coauthVersionLast="47" xr6:coauthVersionMax="47" xr10:uidLastSave="{00000000-0000-0000-0000-000000000000}"/>
  <bookViews>
    <workbookView xWindow="29580" yWindow="780" windowWidth="21600" windowHeight="11385" xr2:uid="{BC266C2D-0680-4645-9C80-2C341E2575D0}"/>
  </bookViews>
  <sheets>
    <sheet name="data extract" sheetId="1" r:id="rId1"/>
    <sheet name="{PL}PickLst" sheetId="3" state="hidden" r:id="rId2"/>
  </sheets>
  <definedNames>
    <definedName name="ab_confirmation">'data extract'!$G$22</definedName>
    <definedName name="ab_failure">'data extract'!$G$21</definedName>
    <definedName name="ab_success">'data extract'!$G$20</definedName>
    <definedName name="db_name">'data extract'!$C$12</definedName>
    <definedName name="Freeze_here">'data extract'!$A$58</definedName>
    <definedName name="psApp">'data extract'!$C$37</definedName>
    <definedName name="psExtractType">'data extract'!$M$69</definedName>
    <definedName name="psFullHLExtract">'data extract'!$M$67</definedName>
    <definedName name="psHLYear">'data extract'!$M$62</definedName>
    <definedName name="psProg">'data extract'!$M$65</definedName>
    <definedName name="psScenario">'data extract'!$M$63</definedName>
    <definedName name="psStatus">'data extract'!$M$64</definedName>
    <definedName name="psUser">'data extract'!$C$17</definedName>
    <definedName name="TM1AdjIDListCAP">'data extract'!$D$46</definedName>
    <definedName name="TM1AdjIDListWB">'data extract'!$F$46</definedName>
    <definedName name="TM1AdjIDListWS">'data extract'!$H$46</definedName>
    <definedName name="TM1HomeAdminCAP">'data extract'!$D$43</definedName>
    <definedName name="TM1HomeAdminRDSCAP">'data extract'!$D$44</definedName>
    <definedName name="TM1HomeAdminRDSWB">'data extract'!$F$44</definedName>
    <definedName name="TM1HomeAdminRDSWS">'data extract'!$H$44</definedName>
    <definedName name="TM1HomeAdminWB">'data extract'!$F$43</definedName>
    <definedName name="TM1HomeAdminWS">'data extract'!$H$43</definedName>
    <definedName name="TM1HomeAECAP">'data extract'!$D$40</definedName>
    <definedName name="TM1HomeAEWB">'data extract'!$F$40</definedName>
    <definedName name="TM1HomeAEWS">'data extract'!$H$40</definedName>
    <definedName name="TM1HomeCAP">'data extract'!$D$39</definedName>
    <definedName name="TM1HomeRepAnalyticalCAP">'data extract'!$D$47</definedName>
    <definedName name="TM1HomeRepAnalyticalWB">'data extract'!$F$47</definedName>
    <definedName name="TM1HomeRepAnalyticalWS">'data extract'!$H$47</definedName>
    <definedName name="TM1HomeRepCAP">'data extract'!$D$41</definedName>
    <definedName name="TM1HomeRepOtherCAP">'data extract'!$D$42</definedName>
    <definedName name="TM1HomeRepOtherWB">'data extract'!$F$42</definedName>
    <definedName name="TM1HomeRepOtherWS">'data extract'!$H$42</definedName>
    <definedName name="TM1HomeRepWB">'data extract'!$F$41</definedName>
    <definedName name="TM1HomeRepWS">'data extract'!$H$41</definedName>
    <definedName name="TM1HomeUnderCAP">'data extract'!$D$45</definedName>
    <definedName name="TM1HomeUnderWB">'data extract'!$F$45</definedName>
    <definedName name="TM1HomeUnderWS">'data extract'!$H$45</definedName>
    <definedName name="TM1HomeWB">'data extract'!$F$39</definedName>
    <definedName name="TM1HomeWS">'data extract'!$H$39</definedName>
    <definedName name="TM1REBUILDOPTION">1</definedName>
    <definedName name="TM1RPTFMTIDCOL" localSheetId="0">'data extract'!$A$1:$A$8</definedName>
    <definedName name="TM1RPTFMTRNG" localSheetId="0">'data extract'!$F$1:$P$8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5" i="1" l="1"/>
  <c r="M64" i="1"/>
  <c r="C20" i="1"/>
  <c r="C23" i="1"/>
  <c r="M63" i="1"/>
  <c r="C22" i="1"/>
  <c r="M62" i="1"/>
  <c r="C36" i="1"/>
  <c r="H42" i="1"/>
  <c r="G42" i="1"/>
  <c r="F42" i="1"/>
  <c r="E42" i="1"/>
  <c r="D42" i="1"/>
  <c r="C42" i="1"/>
  <c r="C26" i="1"/>
  <c r="G20" i="1"/>
  <c r="H47" i="1"/>
  <c r="G47" i="1"/>
  <c r="F47" i="1"/>
  <c r="E47" i="1"/>
  <c r="D47" i="1"/>
  <c r="C47" i="1"/>
  <c r="H46" i="1"/>
  <c r="G46" i="1"/>
  <c r="F46" i="1"/>
  <c r="E46" i="1"/>
  <c r="D46" i="1"/>
  <c r="C46" i="1"/>
  <c r="M69" i="1"/>
  <c r="M71" i="1"/>
  <c r="M67" i="1"/>
  <c r="H44" i="1"/>
  <c r="G44" i="1"/>
  <c r="F44" i="1"/>
  <c r="E44" i="1"/>
  <c r="D44" i="1"/>
  <c r="C44" i="1"/>
  <c r="C14" i="1"/>
  <c r="H45" i="1"/>
  <c r="G45" i="1"/>
  <c r="F45" i="1"/>
  <c r="E45" i="1"/>
  <c r="D45" i="1"/>
  <c r="C45" i="1"/>
  <c r="H43" i="1"/>
  <c r="G43" i="1"/>
  <c r="F43" i="1"/>
  <c r="E43" i="1"/>
  <c r="D43" i="1"/>
  <c r="C43" i="1"/>
  <c r="H41" i="1"/>
  <c r="G41" i="1"/>
  <c r="F41" i="1"/>
  <c r="E41" i="1"/>
  <c r="D41" i="1"/>
  <c r="C41" i="1"/>
  <c r="H40" i="1"/>
  <c r="G40" i="1"/>
  <c r="F40" i="1"/>
  <c r="E40" i="1"/>
  <c r="D40" i="1"/>
  <c r="C40" i="1"/>
  <c r="H39" i="1"/>
  <c r="G39" i="1"/>
  <c r="F39" i="1"/>
  <c r="E39" i="1"/>
  <c r="D39" i="1"/>
  <c r="C39" i="1"/>
  <c r="C17" i="1"/>
  <c r="C13" i="1"/>
  <c r="C16" i="1"/>
  <c r="C15" i="1"/>
  <c r="C29" i="1"/>
  <c r="C24" i="1"/>
  <c r="C25" i="1"/>
  <c r="C33" i="1"/>
  <c r="C32" i="1"/>
  <c r="C31" i="1"/>
  <c r="C30" i="1"/>
  <c r="A5" i="1"/>
  <c r="A4" i="1"/>
  <c r="A3" i="1"/>
  <c r="A2" i="1"/>
</calcChain>
</file>

<file path=xl/sharedStrings.xml><?xml version="1.0" encoding="utf-8"?>
<sst xmlns="http://schemas.openxmlformats.org/spreadsheetml/2006/main" count="68" uniqueCount="67">
  <si>
    <t>Workbook</t>
  </si>
  <si>
    <t>Worksheet</t>
  </si>
  <si>
    <t>D</t>
  </si>
  <si>
    <t>N</t>
  </si>
  <si>
    <t>[Begin Format Range]</t>
  </si>
  <si>
    <t>[End Format Range]</t>
  </si>
  <si>
    <t>Application</t>
  </si>
  <si>
    <t>Caption</t>
  </si>
  <si>
    <t>Database Variables</t>
  </si>
  <si>
    <t>Database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</si>
  <si>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</si>
  <si>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</si>
  <si>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</si>
  <si>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</si>
  <si>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</si>
  <si>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</si>
  <si>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</si>
  <si>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Client Preference</t>
  </si>
  <si>
    <t>geus hl year</t>
  </si>
  <si>
    <t>geus scenario</t>
  </si>
  <si>
    <t>geus adj</t>
  </si>
  <si>
    <t>geus programme</t>
  </si>
  <si>
    <t>TM1 User</t>
  </si>
  <si>
    <t>}Clients</t>
  </si>
  <si>
    <t>}TM1_DefaultDisplayValue</t>
  </si>
  <si>
    <t>GEUS User Name</t>
  </si>
  <si>
    <t>Homepage - Home</t>
  </si>
  <si>
    <t>Homepage - Annual Estimates</t>
  </si>
  <si>
    <t>Homepage - Reports</t>
  </si>
  <si>
    <t>Homepage - Administration</t>
  </si>
  <si>
    <t>Homepage - Under Construction</t>
  </si>
  <si>
    <t>Caption Name</t>
  </si>
  <si>
    <t>Workbook Name</t>
  </si>
  <si>
    <t>Worksheet Name</t>
  </si>
  <si>
    <t>Slice View (sys_application)</t>
  </si>
  <si>
    <t>sys_clilent favourite application</t>
  </si>
  <si>
    <t>Homepage - Administration - RDS</t>
  </si>
  <si>
    <t>Current Workbook</t>
  </si>
  <si>
    <t>Admin - News Item Homepage</t>
  </si>
  <si>
    <t>Variable measure</t>
  </si>
  <si>
    <t>value</t>
  </si>
  <si>
    <t>importance</t>
  </si>
  <si>
    <t>news</t>
  </si>
  <si>
    <t>normal</t>
  </si>
  <si>
    <t>critical</t>
  </si>
  <si>
    <t>Data Extract To CSV</t>
  </si>
  <si>
    <t>REPORT PARAMETERS</t>
  </si>
  <si>
    <t xml:space="preserve">Headline Year : </t>
  </si>
  <si>
    <t xml:space="preserve">Scenario : </t>
  </si>
  <si>
    <t xml:space="preserve">Status : </t>
  </si>
  <si>
    <t xml:space="preserve">Program : </t>
  </si>
  <si>
    <t xml:space="preserve">Full Headline Year Extract : </t>
  </si>
  <si>
    <t xml:space="preserve">Extract Type : </t>
  </si>
  <si>
    <t xml:space="preserve">Extract Directory : </t>
  </si>
  <si>
    <t>save location</t>
  </si>
  <si>
    <t>Note : This screen allows to extract all relevant data from GEUS</t>
  </si>
  <si>
    <t>Adjustment - ID List</t>
  </si>
  <si>
    <t>Homepage - Reports - Analytical</t>
  </si>
  <si>
    <t>Action Button Messages</t>
  </si>
  <si>
    <t>Success</t>
  </si>
  <si>
    <t>Failure</t>
  </si>
  <si>
    <t xml:space="preserve">Extract FAILED. Please review parameters or contact the GBMS System Administrator. </t>
  </si>
  <si>
    <t>Confirmation</t>
  </si>
  <si>
    <t>Are you sure you want to extract the following data sets?</t>
  </si>
  <si>
    <t>Homepage - Reports - Other</t>
  </si>
  <si>
    <t>Note : Adjusted Base is Closing Balance only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</si>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</sst>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8"/>
      <color indexed="62"/>
      <name val="Verdana"/>
      <family val="2"/>
    </font>
    <font>
      <i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>
      <protection locked="0"/>
    </xf>
  </cellStyleXfs>
  <cellXfs count="2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4" fillId="3" borderId="0" xfId="0" applyFont="1" applyFill="1" applyAlignment="1">
      <alignment horizontal="right" vertical="center"/>
    </xf>
    <xf numFmtId="0" fontId="0" fillId="0" borderId="1" xfId="0" applyBorder="1" applyAlignment="1">
      <alignment horizontal="left"/>
    </xf>
    <xf numFmtId="0" fontId="2" fillId="2" borderId="5" xfId="0" applyFont="1" applyFill="1" applyBorder="1"/>
    <xf numFmtId="0" fontId="2" fillId="2" borderId="6" xfId="0" applyFont="1" applyFill="1" applyBorder="1"/>
    <xf numFmtId="0" fontId="2" fillId="0" borderId="0" xfId="0" applyFont="1"/>
    <xf numFmtId="0" fontId="7" fillId="4" borderId="7" xfId="0" applyFont="1" applyFill="1" applyBorder="1" applyAlignment="1">
      <alignment horizontal="center"/>
    </xf>
    <xf numFmtId="0" fontId="2" fillId="0" borderId="0" xfId="0" applyFont="1" applyAlignment="1">
      <alignment horizontal="right" indent="1"/>
    </xf>
    <xf numFmtId="0" fontId="0" fillId="0" borderId="1" xfId="0" applyBorder="1" applyAlignment="1" applyProtection="1">
      <alignment horizontal="left" indent="1"/>
      <protection locked="0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2" borderId="1" xfId="0" applyFill="1" applyBorder="1" applyAlignment="1" applyProtection="1">
      <alignment horizontal="left" indent="1"/>
      <protection locked="0"/>
    </xf>
    <xf numFmtId="0" fontId="6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indent="1"/>
    </xf>
    <xf numFmtId="0" fontId="1" fillId="0" borderId="1" xfId="0" applyFont="1" applyBorder="1" applyAlignment="1">
      <alignment horizontal="left" inden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</cellXfs>
  <cellStyles count="2">
    <cellStyle name="Normal" xfId="0" builtinId="0"/>
    <cellStyle name="Normal 2" xfId="1" xr:uid="{A2B67CD9-5582-4426-A06D-CD56C372B898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5.emf"/><Relationship Id="rId7" Type="http://schemas.openxmlformats.org/officeDocument/2006/relationships/image" Target="../media/image7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1.emf"/><Relationship Id="rId5" Type="http://schemas.openxmlformats.org/officeDocument/2006/relationships/image" Target="../media/image2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52</xdr:row>
      <xdr:rowOff>19050</xdr:rowOff>
    </xdr:from>
    <xdr:to>
      <xdr:col>11</xdr:col>
      <xdr:colOff>1424940</xdr:colOff>
      <xdr:row>52</xdr:row>
      <xdr:rowOff>472440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53</xdr:row>
          <xdr:rowOff>57150</xdr:rowOff>
        </xdr:from>
        <xdr:to>
          <xdr:col>11</xdr:col>
          <xdr:colOff>171450</xdr:colOff>
          <xdr:row>54</xdr:row>
          <xdr:rowOff>247650</xdr:rowOff>
        </xdr:to>
        <xdr:sp macro="" textlink="">
          <xdr:nvSpPr>
            <xdr:cNvPr id="1043" name="TIButton3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2019300</xdr:colOff>
          <xdr:row>53</xdr:row>
          <xdr:rowOff>57150</xdr:rowOff>
        </xdr:from>
        <xdr:to>
          <xdr:col>12</xdr:col>
          <xdr:colOff>2762250</xdr:colOff>
          <xdr:row>54</xdr:row>
          <xdr:rowOff>247650</xdr:rowOff>
        </xdr:to>
        <xdr:sp macro="" textlink="">
          <xdr:nvSpPr>
            <xdr:cNvPr id="1044" name="TIButton4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3619500</xdr:colOff>
          <xdr:row>53</xdr:row>
          <xdr:rowOff>57150</xdr:rowOff>
        </xdr:from>
        <xdr:to>
          <xdr:col>12</xdr:col>
          <xdr:colOff>4210050</xdr:colOff>
          <xdr:row>54</xdr:row>
          <xdr:rowOff>247650</xdr:rowOff>
        </xdr:to>
        <xdr:sp macro="" textlink="">
          <xdr:nvSpPr>
            <xdr:cNvPr id="1045" name="TIButton5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495300</xdr:colOff>
          <xdr:row>53</xdr:row>
          <xdr:rowOff>57150</xdr:rowOff>
        </xdr:from>
        <xdr:to>
          <xdr:col>12</xdr:col>
          <xdr:colOff>1943100</xdr:colOff>
          <xdr:row>54</xdr:row>
          <xdr:rowOff>247650</xdr:rowOff>
        </xdr:to>
        <xdr:sp macro="" textlink="">
          <xdr:nvSpPr>
            <xdr:cNvPr id="1046" name="TIButton6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2838450</xdr:colOff>
          <xdr:row>53</xdr:row>
          <xdr:rowOff>57150</xdr:rowOff>
        </xdr:from>
        <xdr:to>
          <xdr:col>12</xdr:col>
          <xdr:colOff>3543300</xdr:colOff>
          <xdr:row>54</xdr:row>
          <xdr:rowOff>247650</xdr:rowOff>
        </xdr:to>
        <xdr:sp macro="" textlink="">
          <xdr:nvSpPr>
            <xdr:cNvPr id="1048" name="TIButton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990600</xdr:colOff>
          <xdr:row>53</xdr:row>
          <xdr:rowOff>28575</xdr:rowOff>
        </xdr:from>
        <xdr:to>
          <xdr:col>17</xdr:col>
          <xdr:colOff>1200150</xdr:colOff>
          <xdr:row>54</xdr:row>
          <xdr:rowOff>180975</xdr:rowOff>
        </xdr:to>
        <xdr:sp macro="" textlink="">
          <xdr:nvSpPr>
            <xdr:cNvPr id="1049" name="TIButton2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247650</xdr:colOff>
          <xdr:row>53</xdr:row>
          <xdr:rowOff>57150</xdr:rowOff>
        </xdr:from>
        <xdr:to>
          <xdr:col>11</xdr:col>
          <xdr:colOff>1057275</xdr:colOff>
          <xdr:row>54</xdr:row>
          <xdr:rowOff>247650</xdr:rowOff>
        </xdr:to>
        <xdr:sp macro="" textlink="">
          <xdr:nvSpPr>
            <xdr:cNvPr id="1050" name="TIButton7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1133475</xdr:colOff>
          <xdr:row>53</xdr:row>
          <xdr:rowOff>57150</xdr:rowOff>
        </xdr:from>
        <xdr:to>
          <xdr:col>12</xdr:col>
          <xdr:colOff>409575</xdr:colOff>
          <xdr:row>54</xdr:row>
          <xdr:rowOff>247650</xdr:rowOff>
        </xdr:to>
        <xdr:sp macro="" textlink="">
          <xdr:nvSpPr>
            <xdr:cNvPr id="1051" name="TIButton8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FCA4-A2A2-4967-A916-C33A6C7354C5}">
  <sheetPr codeName="Sheet1">
    <outlinePr showOutlineSymbols="0"/>
  </sheetPr>
  <dimension ref="A1:R71"/>
  <sheetViews>
    <sheetView showGridLines="0" showRowColHeaders="0" tabSelected="1" showOutlineSymbols="0" topLeftCell="A53" workbookViewId="0">
      <pane ySplit="5" topLeftCell="A58" activePane="bottomLeft" state="frozen"/>
      <selection activeCell="J53" sqref="J53"/>
      <selection pane="bottomLeft" activeCell="A58" sqref="A58"/>
    </sheetView>
  </sheetViews>
  <sheetFormatPr defaultRowHeight="15" outlineLevelRow="1" outlineLevelCol="1" x14ac:dyDescent="0.25"/>
  <cols>
    <col min="1" max="1" width="5.7109375" hidden="1" customWidth="1" outlineLevel="1"/>
    <col min="2" max="4" width="20.28515625" hidden="1" customWidth="1" outlineLevel="1"/>
    <col min="5" max="5" width="22.85546875" hidden="1" customWidth="1" outlineLevel="1"/>
    <col min="6" max="6" width="21.7109375" hidden="1" customWidth="1" outlineLevel="1"/>
    <col min="7" max="7" width="20.140625" hidden="1" customWidth="1" outlineLevel="1"/>
    <col min="8" max="8" width="13.42578125" hidden="1" customWidth="1" outlineLevel="1"/>
    <col min="9" max="9" width="12.42578125" hidden="1" customWidth="1" outlineLevel="1"/>
    <col min="10" max="10" width="0.85546875" customWidth="1" collapsed="1"/>
    <col min="11" max="11" width="5.7109375" customWidth="1"/>
    <col min="12" max="12" width="30.7109375" customWidth="1"/>
    <col min="13" max="13" width="80.7109375" customWidth="1"/>
    <col min="14" max="14" width="19.7109375" hidden="1" customWidth="1"/>
    <col min="15" max="15" width="5.7109375" customWidth="1"/>
    <col min="16" max="16" width="1.7109375" customWidth="1"/>
    <col min="17" max="18" width="19.7109375" customWidth="1"/>
  </cols>
  <sheetData>
    <row r="1" spans="1:15" hidden="1" outlineLevel="1" x14ac:dyDescent="0.25">
      <c r="A1" t="s">
        <v>4</v>
      </c>
    </row>
    <row r="2" spans="1:15" hidden="1" outlineLevel="1" x14ac:dyDescent="0.25">
      <c r="A2">
        <f>0</f>
        <v>0</v>
      </c>
      <c r="F2" s="1"/>
      <c r="G2" s="2"/>
      <c r="H2" s="2"/>
      <c r="I2" s="3"/>
      <c r="K2" s="19"/>
      <c r="L2" s="19"/>
      <c r="M2" s="20"/>
      <c r="N2" s="20"/>
      <c r="O2" s="20"/>
    </row>
    <row r="3" spans="1:15" hidden="1" outlineLevel="1" x14ac:dyDescent="0.25">
      <c r="A3">
        <f>1</f>
        <v>1</v>
      </c>
      <c r="F3" s="1"/>
      <c r="G3" s="2"/>
      <c r="H3" s="2"/>
      <c r="I3" s="3"/>
      <c r="K3" s="19"/>
      <c r="L3" s="19"/>
      <c r="M3" s="20"/>
      <c r="N3" s="20"/>
      <c r="O3" s="20"/>
    </row>
    <row r="4" spans="1:15" hidden="1" outlineLevel="1" x14ac:dyDescent="0.25">
      <c r="A4">
        <f>2</f>
        <v>2</v>
      </c>
      <c r="F4" s="1"/>
      <c r="G4" s="2"/>
      <c r="H4" s="2"/>
      <c r="I4" s="3"/>
      <c r="K4" s="19"/>
      <c r="L4" s="19"/>
      <c r="M4" s="20"/>
      <c r="N4" s="20"/>
      <c r="O4" s="20"/>
    </row>
    <row r="5" spans="1:15" hidden="1" outlineLevel="1" x14ac:dyDescent="0.25">
      <c r="A5">
        <f>3</f>
        <v>3</v>
      </c>
      <c r="F5" s="1"/>
      <c r="G5" s="2"/>
      <c r="H5" s="2"/>
      <c r="I5" s="3"/>
      <c r="K5" s="19"/>
      <c r="L5" s="19"/>
      <c r="M5" s="20"/>
      <c r="N5" s="20"/>
      <c r="O5" s="20"/>
    </row>
    <row r="6" spans="1:15" hidden="1" outlineLevel="1" x14ac:dyDescent="0.25">
      <c r="A6" t="s">
        <v>2</v>
      </c>
      <c r="F6" s="1"/>
      <c r="G6" s="2"/>
      <c r="H6" s="2"/>
      <c r="I6" s="3"/>
      <c r="K6" s="19"/>
      <c r="L6" s="19"/>
      <c r="M6" s="20"/>
      <c r="N6" s="20"/>
      <c r="O6" s="20"/>
    </row>
    <row r="7" spans="1:15" hidden="1" outlineLevel="1" x14ac:dyDescent="0.25">
      <c r="A7" t="s">
        <v>3</v>
      </c>
      <c r="F7" s="1"/>
      <c r="G7" s="2"/>
      <c r="H7" s="2"/>
      <c r="I7" s="3"/>
      <c r="K7" s="19"/>
      <c r="L7" s="19"/>
      <c r="M7" s="20"/>
      <c r="N7" s="20"/>
      <c r="O7" s="20"/>
    </row>
    <row r="8" spans="1:15" hidden="1" outlineLevel="1" x14ac:dyDescent="0.25">
      <c r="A8" t="s">
        <v>5</v>
      </c>
    </row>
    <row r="9" spans="1:15" hidden="1" outlineLevel="1" x14ac:dyDescent="0.25"/>
    <row r="10" spans="1:15" hidden="1" outlineLevel="1" x14ac:dyDescent="0.25"/>
    <row r="11" spans="1:15" hidden="1" outlineLevel="1" x14ac:dyDescent="0.25">
      <c r="B11" s="21" t="s">
        <v>8</v>
      </c>
      <c r="C11" s="22"/>
      <c r="D11" s="23"/>
    </row>
    <row r="12" spans="1:15" hidden="1" outlineLevel="1" x14ac:dyDescent="0.25">
      <c r="B12" s="4" t="s">
        <v>9</v>
      </c>
      <c r="C12" s="5" t="s">
        <v>66</v>
      </c>
      <c r="D12" s="6"/>
    </row>
    <row r="13" spans="1:15" hidden="1" outlineLevel="1" x14ac:dyDescent="0.25">
      <c r="B13" s="4" t="s">
        <v>23</v>
      </c>
      <c r="C13" s="8" t="str">
        <f ca="1">_xll.VIEW(db_name&amp;":}ElementAttributes_}Clients","!","!")</f>
        <v>dcceew_geus:}ElementAttributes_}Clients</v>
      </c>
      <c r="D13" s="6"/>
    </row>
    <row r="14" spans="1:15" hidden="1" outlineLevel="1" x14ac:dyDescent="0.25">
      <c r="B14" s="4" t="s">
        <v>22</v>
      </c>
      <c r="C14" s="5" t="str">
        <f ca="1">_xll.TM1USER(db_name)</f>
        <v/>
      </c>
      <c r="D14" s="6"/>
    </row>
    <row r="15" spans="1:15" hidden="1" outlineLevel="1" x14ac:dyDescent="0.25">
      <c r="B15" s="4" t="s">
        <v>24</v>
      </c>
      <c r="C15" s="5" t="str">
        <f ca="1">_xll.DBR($C$13,$C$14,$B15)</f>
        <v>*KEY_ERR</v>
      </c>
      <c r="D15" s="6"/>
    </row>
    <row r="16" spans="1:15" hidden="1" outlineLevel="1" x14ac:dyDescent="0.25">
      <c r="B16" s="4" t="s">
        <v>25</v>
      </c>
      <c r="C16" s="5" t="str">
        <f ca="1">_xll.DBR($C$13,$C$14,$B16)</f>
        <v>*KEY_ERR</v>
      </c>
      <c r="D16" s="6"/>
    </row>
    <row r="17" spans="2:8" hidden="1" outlineLevel="1" x14ac:dyDescent="0.25">
      <c r="B17" s="4" t="s">
        <v>10</v>
      </c>
      <c r="C17" s="5" t="str">
        <f ca="1">IF(LEFT($C$14,6)="CAM_AD",$C$15,$C$14)</f>
        <v/>
      </c>
      <c r="D17" s="1"/>
    </row>
    <row r="18" spans="2:8" hidden="1" outlineLevel="1" x14ac:dyDescent="0.25"/>
    <row r="19" spans="2:8" hidden="1" outlineLevel="1" x14ac:dyDescent="0.25">
      <c r="B19" s="21" t="s">
        <v>11</v>
      </c>
      <c r="C19" s="22"/>
      <c r="D19" s="23"/>
      <c r="F19" s="24" t="s">
        <v>58</v>
      </c>
      <c r="G19" s="24"/>
      <c r="H19" s="24"/>
    </row>
    <row r="20" spans="2:8" hidden="1" outlineLevel="1" x14ac:dyDescent="0.25">
      <c r="B20" s="4" t="s">
        <v>12</v>
      </c>
      <c r="C20" s="1" t="str">
        <f ca="1">_xll.VIEW(db_name&amp;":}ElementAttributes_variables","!","!")</f>
        <v>dcceew_geus:}ElementAttributes_variables</v>
      </c>
      <c r="D20" s="1"/>
      <c r="F20" s="1" t="s">
        <v>59</v>
      </c>
      <c r="G20" s="1" t="str">
        <f ca="1">"Data has successfully been extracted and stored under " &amp; $C$26</f>
        <v>Data has successfully been extracted and stored under *KEY_ERR</v>
      </c>
    </row>
    <row r="21" spans="2:8" hidden="1" outlineLevel="1" x14ac:dyDescent="0.25">
      <c r="B21" s="4" t="s">
        <v>39</v>
      </c>
      <c r="C21" s="1" t="s">
        <v>40</v>
      </c>
      <c r="D21" s="1" t="s">
        <v>41</v>
      </c>
      <c r="F21" s="1" t="s">
        <v>60</v>
      </c>
      <c r="G21" s="1" t="s">
        <v>61</v>
      </c>
    </row>
    <row r="22" spans="2:8" hidden="1" outlineLevel="1" x14ac:dyDescent="0.25">
      <c r="B22" s="4" t="s">
        <v>13</v>
      </c>
      <c r="C22" s="1" t="str">
        <f ca="1">_xll.DBR($C$20,$B22,"value")</f>
        <v>*KEY_ERR</v>
      </c>
      <c r="D22" s="1"/>
      <c r="F22" s="1" t="s">
        <v>62</v>
      </c>
      <c r="G22" s="1" t="s">
        <v>63</v>
      </c>
    </row>
    <row r="23" spans="2:8" hidden="1" outlineLevel="1" x14ac:dyDescent="0.25">
      <c r="B23" s="4" t="s">
        <v>14</v>
      </c>
      <c r="C23" s="1" t="str">
        <f ca="1">_xll.DBR($C$20,$B23,"value")</f>
        <v>*KEY_ERR</v>
      </c>
      <c r="D23" s="1"/>
    </row>
    <row r="24" spans="2:8" hidden="1" outlineLevel="1" x14ac:dyDescent="0.25">
      <c r="B24" s="4" t="s">
        <v>15</v>
      </c>
      <c r="C24" s="1" t="str">
        <f ca="1">_xll.DBR($C$20,$B24,"value")</f>
        <v>*KEY_ERR</v>
      </c>
      <c r="D24" s="1"/>
    </row>
    <row r="25" spans="2:8" hidden="1" outlineLevel="1" x14ac:dyDescent="0.25">
      <c r="B25" s="4" t="s">
        <v>16</v>
      </c>
      <c r="C25" s="1" t="str">
        <f ca="1">_xll.DBR($C$20,$B25,"value")</f>
        <v>*KEY_ERR</v>
      </c>
      <c r="D25" s="1"/>
    </row>
    <row r="26" spans="2:8" hidden="1" outlineLevel="1" x14ac:dyDescent="0.25">
      <c r="B26" s="4" t="s">
        <v>54</v>
      </c>
      <c r="C26" s="1" t="str">
        <f ca="1">_xll.DBR($C$20,$B26,"value")</f>
        <v>*KEY_ERR</v>
      </c>
      <c r="D26" s="1"/>
    </row>
    <row r="27" spans="2:8" hidden="1" outlineLevel="1" x14ac:dyDescent="0.25"/>
    <row r="28" spans="2:8" hidden="1" outlineLevel="1" x14ac:dyDescent="0.25">
      <c r="B28" s="21" t="s">
        <v>17</v>
      </c>
      <c r="C28" s="22"/>
      <c r="D28" s="23"/>
    </row>
    <row r="29" spans="2:8" hidden="1" outlineLevel="1" x14ac:dyDescent="0.25">
      <c r="B29" s="4" t="s">
        <v>12</v>
      </c>
      <c r="C29" s="1" t="str">
        <f ca="1">_xll.VIEW(db_name&amp;":sys_client preference","!","!","!")</f>
        <v>dcceew_geus:sys_client preference</v>
      </c>
      <c r="D29" s="1"/>
    </row>
    <row r="30" spans="2:8" hidden="1" outlineLevel="1" x14ac:dyDescent="0.25">
      <c r="B30" s="4" t="s">
        <v>18</v>
      </c>
      <c r="C30" s="1" t="str">
        <f ca="1">_xll.DBR($C$29,psUser,$B30,"value")</f>
        <v>*KEY_ERR</v>
      </c>
      <c r="D30" s="1"/>
    </row>
    <row r="31" spans="2:8" hidden="1" outlineLevel="1" x14ac:dyDescent="0.25">
      <c r="B31" s="4" t="s">
        <v>19</v>
      </c>
      <c r="C31" s="1" t="str">
        <f ca="1">_xll.DBR($C$29,psUser,$B31,"value")</f>
        <v>*KEY_ERR</v>
      </c>
      <c r="D31" s="1"/>
    </row>
    <row r="32" spans="2:8" hidden="1" outlineLevel="1" x14ac:dyDescent="0.25">
      <c r="B32" s="4" t="s">
        <v>20</v>
      </c>
      <c r="C32" s="1" t="str">
        <f ca="1">_xll.DBR($C$29,psUser,$B32,"value")</f>
        <v>*KEY_ERR</v>
      </c>
      <c r="D32" s="1"/>
    </row>
    <row r="33" spans="2:8" hidden="1" outlineLevel="1" x14ac:dyDescent="0.25">
      <c r="B33" s="4" t="s">
        <v>21</v>
      </c>
      <c r="C33" s="1" t="str">
        <f ca="1">_xll.DBR($C$29,psUser,$B33,"value")</f>
        <v>*KEY_ERR</v>
      </c>
      <c r="D33" s="1"/>
    </row>
    <row r="34" spans="2:8" hidden="1" outlineLevel="1" x14ac:dyDescent="0.25"/>
    <row r="35" spans="2:8" hidden="1" outlineLevel="1" x14ac:dyDescent="0.25">
      <c r="B35" s="21" t="s">
        <v>35</v>
      </c>
      <c r="C35" s="22"/>
      <c r="D35" s="23"/>
    </row>
    <row r="36" spans="2:8" hidden="1" outlineLevel="1" x14ac:dyDescent="0.25">
      <c r="B36" s="1" t="s">
        <v>34</v>
      </c>
      <c r="C36" s="1" t="str">
        <f ca="1">_xll.VIEW(db_name&amp;":sys_application","!","!")</f>
        <v>dcceew_geus:sys_application</v>
      </c>
      <c r="D36" s="1"/>
    </row>
    <row r="37" spans="2:8" hidden="1" outlineLevel="1" x14ac:dyDescent="0.25">
      <c r="B37" s="4" t="s">
        <v>37</v>
      </c>
      <c r="C37" t="s">
        <v>38</v>
      </c>
    </row>
    <row r="38" spans="2:8" hidden="1" outlineLevel="1" x14ac:dyDescent="0.25">
      <c r="B38" s="10" t="s">
        <v>6</v>
      </c>
      <c r="C38" s="9" t="s">
        <v>31</v>
      </c>
      <c r="D38" s="9" t="s">
        <v>7</v>
      </c>
      <c r="E38" s="9" t="s">
        <v>32</v>
      </c>
      <c r="F38" s="9" t="s">
        <v>0</v>
      </c>
      <c r="G38" s="9" t="s">
        <v>33</v>
      </c>
      <c r="H38" s="9" t="s">
        <v>1</v>
      </c>
    </row>
    <row r="39" spans="2:8" hidden="1" outlineLevel="1" x14ac:dyDescent="0.25">
      <c r="B39" s="1" t="s">
        <v>26</v>
      </c>
      <c r="C39" s="1" t="str">
        <f ca="1">_xll.DBR($C$36,$B39,C$38)</f>
        <v>*KEY_ERR</v>
      </c>
      <c r="D39" s="1" t="str">
        <f ca="1">_xll.DBR($C$36,$B39,D$38)</f>
        <v>*KEY_ERR</v>
      </c>
      <c r="E39" s="1" t="str">
        <f ca="1">_xll.DBR($C$36,$B39,E$38)</f>
        <v>*KEY_ERR</v>
      </c>
      <c r="F39" s="1" t="str">
        <f ca="1">_xll.DBR($C$36,$B39,F$38)</f>
        <v>*KEY_ERR</v>
      </c>
      <c r="G39" s="1" t="str">
        <f ca="1">_xll.DBR($C$36,$B39,G$38)</f>
        <v>*KEY_ERR</v>
      </c>
      <c r="H39" s="1" t="str">
        <f ca="1">_xll.DBR($C$36,$B39,H$38)</f>
        <v>*KEY_ERR</v>
      </c>
    </row>
    <row r="40" spans="2:8" hidden="1" outlineLevel="1" x14ac:dyDescent="0.25">
      <c r="B40" s="1" t="s">
        <v>27</v>
      </c>
      <c r="C40" s="1" t="str">
        <f ca="1">_xll.DBR($C$36,$B40,C$38)</f>
        <v>*KEY_ERR</v>
      </c>
      <c r="D40" s="1" t="str">
        <f ca="1">_xll.DBR($C$36,$B40,D$38)</f>
        <v>*KEY_ERR</v>
      </c>
      <c r="E40" s="1" t="str">
        <f ca="1">_xll.DBR($C$36,$B40,E$38)</f>
        <v>*KEY_ERR</v>
      </c>
      <c r="F40" s="1" t="str">
        <f ca="1">_xll.DBR($C$36,$B40,F$38)</f>
        <v>*KEY_ERR</v>
      </c>
      <c r="G40" s="1" t="str">
        <f ca="1">_xll.DBR($C$36,$B40,G$38)</f>
        <v>*KEY_ERR</v>
      </c>
      <c r="H40" s="1" t="str">
        <f ca="1">_xll.DBR($C$36,$B40,H$38)</f>
        <v>*KEY_ERR</v>
      </c>
    </row>
    <row r="41" spans="2:8" hidden="1" outlineLevel="1" x14ac:dyDescent="0.25">
      <c r="B41" s="1" t="s">
        <v>28</v>
      </c>
      <c r="C41" s="1" t="str">
        <f ca="1">_xll.DBR($C$36,$B41,C$38)</f>
        <v>*KEY_ERR</v>
      </c>
      <c r="D41" s="1" t="str">
        <f ca="1">_xll.DBR($C$36,$B41,D$38)</f>
        <v>*KEY_ERR</v>
      </c>
      <c r="E41" s="1" t="str">
        <f ca="1">_xll.DBR($C$36,$B41,E$38)</f>
        <v>*KEY_ERR</v>
      </c>
      <c r="F41" s="1" t="str">
        <f ca="1">_xll.DBR($C$36,$B41,F$38)</f>
        <v>*KEY_ERR</v>
      </c>
      <c r="G41" s="1" t="str">
        <f ca="1">_xll.DBR($C$36,$B41,G$38)</f>
        <v>*KEY_ERR</v>
      </c>
      <c r="H41" s="1" t="str">
        <f ca="1">_xll.DBR($C$36,$B41,H$38)</f>
        <v>*KEY_ERR</v>
      </c>
    </row>
    <row r="42" spans="2:8" hidden="1" outlineLevel="1" x14ac:dyDescent="0.25">
      <c r="B42" s="1" t="s">
        <v>64</v>
      </c>
      <c r="C42" s="1" t="str">
        <f ca="1">_xll.DBR($C$36,$B42,C$38)</f>
        <v>*KEY_ERR</v>
      </c>
      <c r="D42" s="1" t="str">
        <f ca="1">_xll.DBR($C$36,$B42,D$38)</f>
        <v>*KEY_ERR</v>
      </c>
      <c r="E42" s="1" t="str">
        <f ca="1">_xll.DBR($C$36,$B42,E$38)</f>
        <v>*KEY_ERR</v>
      </c>
      <c r="F42" s="1" t="str">
        <f ca="1">_xll.DBR($C$36,$B42,F$38)</f>
        <v>*KEY_ERR</v>
      </c>
      <c r="G42" s="1" t="str">
        <f ca="1">_xll.DBR($C$36,$B42,G$38)</f>
        <v>*KEY_ERR</v>
      </c>
      <c r="H42" s="1" t="str">
        <f ca="1">_xll.DBR($C$36,$B42,H$38)</f>
        <v>*KEY_ERR</v>
      </c>
    </row>
    <row r="43" spans="2:8" hidden="1" outlineLevel="1" x14ac:dyDescent="0.25">
      <c r="B43" s="1" t="s">
        <v>29</v>
      </c>
      <c r="C43" s="1" t="str">
        <f ca="1">_xll.DBR($C$36,$B43,C$38)</f>
        <v>*KEY_ERR</v>
      </c>
      <c r="D43" s="1" t="str">
        <f ca="1">_xll.DBR($C$36,$B43,D$38)</f>
        <v>*KEY_ERR</v>
      </c>
      <c r="E43" s="1" t="str">
        <f ca="1">_xll.DBR($C$36,$B43,E$38)</f>
        <v>*KEY_ERR</v>
      </c>
      <c r="F43" s="1" t="str">
        <f ca="1">_xll.DBR($C$36,$B43,F$38)</f>
        <v>*KEY_ERR</v>
      </c>
      <c r="G43" s="1" t="str">
        <f ca="1">_xll.DBR($C$36,$B43,G$38)</f>
        <v>*KEY_ERR</v>
      </c>
      <c r="H43" s="1" t="str">
        <f ca="1">_xll.DBR($C$36,$B43,H$38)</f>
        <v>*KEY_ERR</v>
      </c>
    </row>
    <row r="44" spans="2:8" hidden="1" outlineLevel="1" x14ac:dyDescent="0.25">
      <c r="B44" s="1" t="s">
        <v>36</v>
      </c>
      <c r="C44" s="1" t="str">
        <f ca="1">_xll.DBR($C$36,$B44,C$38)</f>
        <v>*KEY_ERR</v>
      </c>
      <c r="D44" s="1" t="str">
        <f ca="1">_xll.DBR($C$36,$B44,D$38)</f>
        <v>*KEY_ERR</v>
      </c>
      <c r="E44" s="1" t="str">
        <f ca="1">_xll.DBR($C$36,$B44,E$38)</f>
        <v>*KEY_ERR</v>
      </c>
      <c r="F44" s="1" t="str">
        <f ca="1">_xll.DBR($C$36,$B44,F$38)</f>
        <v>*KEY_ERR</v>
      </c>
      <c r="G44" s="1" t="str">
        <f ca="1">_xll.DBR($C$36,$B44,G$38)</f>
        <v>*KEY_ERR</v>
      </c>
      <c r="H44" s="1" t="str">
        <f ca="1">_xll.DBR($C$36,$B44,H$38)</f>
        <v>*KEY_ERR</v>
      </c>
    </row>
    <row r="45" spans="2:8" hidden="1" outlineLevel="1" x14ac:dyDescent="0.25">
      <c r="B45" s="1" t="s">
        <v>30</v>
      </c>
      <c r="C45" s="1" t="str">
        <f ca="1">_xll.DBR($C$36,$B45,C$38)</f>
        <v>*KEY_ERR</v>
      </c>
      <c r="D45" s="1" t="str">
        <f ca="1">_xll.DBR($C$36,$B45,D$38)</f>
        <v>*KEY_ERR</v>
      </c>
      <c r="E45" s="1" t="str">
        <f ca="1">_xll.DBR($C$36,$B45,E$38)</f>
        <v>*KEY_ERR</v>
      </c>
      <c r="F45" s="1" t="str">
        <f ca="1">_xll.DBR($C$36,$B45,F$38)</f>
        <v>*KEY_ERR</v>
      </c>
      <c r="G45" s="1" t="str">
        <f ca="1">_xll.DBR($C$36,$B45,G$38)</f>
        <v>*KEY_ERR</v>
      </c>
      <c r="H45" s="1" t="str">
        <f ca="1">_xll.DBR($C$36,$B45,H$38)</f>
        <v>*KEY_ERR</v>
      </c>
    </row>
    <row r="46" spans="2:8" hidden="1" outlineLevel="1" x14ac:dyDescent="0.25">
      <c r="B46" s="1" t="s">
        <v>56</v>
      </c>
      <c r="C46" s="1" t="str">
        <f ca="1">_xll.DBR($C$36,$B46,C$38)</f>
        <v>*KEY_ERR</v>
      </c>
      <c r="D46" s="1" t="str">
        <f ca="1">_xll.DBR($C$36,$B46,D$38)</f>
        <v>*KEY_ERR</v>
      </c>
      <c r="E46" s="1" t="str">
        <f ca="1">_xll.DBR($C$36,$B46,E$38)</f>
        <v>*KEY_ERR</v>
      </c>
      <c r="F46" s="1" t="str">
        <f ca="1">_xll.DBR($C$36,$B46,F$38)</f>
        <v>*KEY_ERR</v>
      </c>
      <c r="G46" s="1" t="str">
        <f ca="1">_xll.DBR($C$36,$B46,G$38)</f>
        <v>*KEY_ERR</v>
      </c>
      <c r="H46" s="1" t="str">
        <f ca="1">_xll.DBR($C$36,$B46,H$38)</f>
        <v>*KEY_ERR</v>
      </c>
    </row>
    <row r="47" spans="2:8" hidden="1" outlineLevel="1" x14ac:dyDescent="0.25">
      <c r="B47" s="1" t="s">
        <v>57</v>
      </c>
      <c r="C47" s="1" t="str">
        <f ca="1">_xll.DBR($C$36,$B47,C$38)</f>
        <v>*KEY_ERR</v>
      </c>
      <c r="D47" s="1" t="str">
        <f ca="1">_xll.DBR($C$36,$B47,D$38)</f>
        <v>*KEY_ERR</v>
      </c>
      <c r="E47" s="1" t="str">
        <f ca="1">_xll.DBR($C$36,$B47,E$38)</f>
        <v>*KEY_ERR</v>
      </c>
      <c r="F47" s="1" t="str">
        <f ca="1">_xll.DBR($C$36,$B47,F$38)</f>
        <v>*KEY_ERR</v>
      </c>
      <c r="G47" s="1" t="str">
        <f ca="1">_xll.DBR($C$36,$B47,G$38)</f>
        <v>*KEY_ERR</v>
      </c>
      <c r="H47" s="1" t="str">
        <f ca="1">_xll.DBR($C$36,$B47,H$38)</f>
        <v>*KEY_ERR</v>
      </c>
    </row>
    <row r="48" spans="2:8" hidden="1" outlineLevel="1" x14ac:dyDescent="0.25"/>
    <row r="49" spans="10:18" hidden="1" outlineLevel="1" x14ac:dyDescent="0.25"/>
    <row r="50" spans="10:18" hidden="1" outlineLevel="1" x14ac:dyDescent="0.25"/>
    <row r="51" spans="10:18" hidden="1" outlineLevel="1" x14ac:dyDescent="0.25"/>
    <row r="52" spans="10:18" hidden="1" outlineLevel="1" x14ac:dyDescent="0.25"/>
    <row r="53" spans="10:18" ht="39.75" customHeight="1" collapsed="1" x14ac:dyDescent="0.25">
      <c r="J53" s="7"/>
      <c r="K53" s="7"/>
      <c r="L53" s="7"/>
      <c r="M53" s="7"/>
      <c r="N53" s="7"/>
      <c r="O53" s="7"/>
      <c r="P53" s="7"/>
      <c r="Q53" s="7"/>
      <c r="R53" s="7" t="s">
        <v>45</v>
      </c>
    </row>
    <row r="54" spans="10:18" ht="4.5" customHeight="1" x14ac:dyDescent="0.25"/>
    <row r="55" spans="10:18" ht="24" customHeight="1" x14ac:dyDescent="0.25"/>
    <row r="56" spans="10:18" ht="1.5" customHeight="1" x14ac:dyDescent="0.25">
      <c r="J56" s="7"/>
      <c r="K56" s="7"/>
      <c r="L56" s="7"/>
      <c r="M56" s="7"/>
      <c r="N56" s="7"/>
      <c r="O56" s="7"/>
      <c r="P56" s="7"/>
      <c r="Q56" s="7"/>
      <c r="R56" s="7"/>
    </row>
    <row r="57" spans="10:18" ht="4.5" customHeight="1" x14ac:dyDescent="0.25"/>
    <row r="58" spans="10:18" x14ac:dyDescent="0.25">
      <c r="K58" s="18" t="s">
        <v>55</v>
      </c>
      <c r="L58" s="18"/>
      <c r="M58" s="18"/>
      <c r="N58" s="18"/>
      <c r="O58" s="18"/>
      <c r="P58" s="18"/>
      <c r="Q58" s="18"/>
      <c r="R58" s="18"/>
    </row>
    <row r="59" spans="10:18" x14ac:dyDescent="0.25">
      <c r="K59" s="18" t="s">
        <v>65</v>
      </c>
      <c r="L59" s="18"/>
      <c r="M59" s="18"/>
      <c r="N59" s="18"/>
      <c r="O59" s="18"/>
      <c r="P59" s="18"/>
      <c r="Q59" s="18"/>
      <c r="R59" s="18"/>
    </row>
    <row r="60" spans="10:18" ht="4.5" customHeight="1" x14ac:dyDescent="0.25"/>
    <row r="61" spans="10:18" x14ac:dyDescent="0.25">
      <c r="L61" s="11"/>
      <c r="M61" s="12" t="s">
        <v>46</v>
      </c>
    </row>
    <row r="62" spans="10:18" x14ac:dyDescent="0.25">
      <c r="L62" s="13" t="s">
        <v>47</v>
      </c>
      <c r="M62" s="14" t="str">
        <f ca="1">_xll.SUBNM(db_name&amp;":headline year","",$C$22)</f>
        <v/>
      </c>
    </row>
    <row r="63" spans="10:18" x14ac:dyDescent="0.25">
      <c r="L63" s="13" t="s">
        <v>48</v>
      </c>
      <c r="M63" s="14" t="str">
        <f ca="1">_xll.SUBNM(db_name&amp;":scenario","",$C$23)</f>
        <v/>
      </c>
    </row>
    <row r="64" spans="10:18" x14ac:dyDescent="0.25">
      <c r="L64" s="13" t="s">
        <v>49</v>
      </c>
      <c r="M64" s="14" t="str">
        <f ca="1">_xll.SUBNM(db_name&amp;":status","","Total approved")</f>
        <v/>
      </c>
    </row>
    <row r="65" spans="12:13" x14ac:dyDescent="0.25">
      <c r="L65" s="13" t="s">
        <v>50</v>
      </c>
      <c r="M65" s="14" t="str">
        <f ca="1">_xll.SUBNM(db_name&amp;":programme","","Administered Programmes","code and description")</f>
        <v/>
      </c>
    </row>
    <row r="66" spans="12:13" ht="4.5" customHeight="1" x14ac:dyDescent="0.25"/>
    <row r="67" spans="12:13" x14ac:dyDescent="0.25">
      <c r="L67" s="15" t="s">
        <v>51</v>
      </c>
      <c r="M67" s="14" t="str">
        <f ca="1">_xll.SUBNM(db_name&amp;":sys_YesNo","","No")</f>
        <v/>
      </c>
    </row>
    <row r="68" spans="12:13" ht="4.5" customHeight="1" x14ac:dyDescent="0.25">
      <c r="L68" s="16"/>
    </row>
    <row r="69" spans="12:13" x14ac:dyDescent="0.25">
      <c r="L69" s="15" t="s">
        <v>52</v>
      </c>
      <c r="M69" s="14" t="str">
        <f ca="1">_xll.SUBNM(db_name&amp;":sys_report extract type","","Starting Base and Adjustments")</f>
        <v/>
      </c>
    </row>
    <row r="70" spans="12:13" ht="4.5" customHeight="1" x14ac:dyDescent="0.25"/>
    <row r="71" spans="12:13" x14ac:dyDescent="0.25">
      <c r="L71" s="15" t="s">
        <v>53</v>
      </c>
      <c r="M71" s="17" t="str">
        <f ca="1">$C$26</f>
        <v>*KEY_ERR</v>
      </c>
    </row>
  </sheetData>
  <sheetProtection sheet="1" objects="1" scenarios="1"/>
  <mergeCells count="19">
    <mergeCell ref="B19:D19"/>
    <mergeCell ref="B28:D28"/>
    <mergeCell ref="B35:D35"/>
    <mergeCell ref="K58:R58"/>
    <mergeCell ref="M6:O6"/>
    <mergeCell ref="K6:L6"/>
    <mergeCell ref="K7:L7"/>
    <mergeCell ref="M7:O7"/>
    <mergeCell ref="B11:D11"/>
    <mergeCell ref="F19:H19"/>
    <mergeCell ref="K59:R59"/>
    <mergeCell ref="K2:L2"/>
    <mergeCell ref="K3:L3"/>
    <mergeCell ref="K4:L4"/>
    <mergeCell ref="K5:L5"/>
    <mergeCell ref="M2:O2"/>
    <mergeCell ref="M3:O3"/>
    <mergeCell ref="M4:O4"/>
    <mergeCell ref="M5:O5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49" r:id="rId4" name="TIButton2">
          <controlPr defaultSize="0" print="0" autoLine="0" r:id="rId5">
            <anchor moveWithCells="1" sizeWithCells="1">
              <from>
                <xdr:col>17</xdr:col>
                <xdr:colOff>990600</xdr:colOff>
                <xdr:row>53</xdr:row>
                <xdr:rowOff>28575</xdr:rowOff>
              </from>
              <to>
                <xdr:col>17</xdr:col>
                <xdr:colOff>1200150</xdr:colOff>
                <xdr:row>54</xdr:row>
                <xdr:rowOff>180975</xdr:rowOff>
              </to>
            </anchor>
          </controlPr>
        </control>
      </mc:Choice>
      <mc:Fallback>
        <control shapeId="1049" r:id="rId4" name="TIButton2"/>
      </mc:Fallback>
    </mc:AlternateContent>
    <mc:AlternateContent xmlns:mc="http://schemas.openxmlformats.org/markup-compatibility/2006">
      <mc:Choice Requires="x14">
        <control shapeId="1048" r:id="rId6" name="TIButton1">
          <controlPr defaultSize="0" print="0" autoLine="0" r:id="rId7">
            <anchor moveWithCells="1" sizeWithCells="1">
              <from>
                <xdr:col>12</xdr:col>
                <xdr:colOff>2838450</xdr:colOff>
                <xdr:row>53</xdr:row>
                <xdr:rowOff>57150</xdr:rowOff>
              </from>
              <to>
                <xdr:col>12</xdr:col>
                <xdr:colOff>3543300</xdr:colOff>
                <xdr:row>54</xdr:row>
                <xdr:rowOff>247650</xdr:rowOff>
              </to>
            </anchor>
          </controlPr>
        </control>
      </mc:Choice>
      <mc:Fallback>
        <control shapeId="1048" r:id="rId6" name="TIButton1"/>
      </mc:Fallback>
    </mc:AlternateContent>
    <mc:AlternateContent xmlns:mc="http://schemas.openxmlformats.org/markup-compatibility/2006">
      <mc:Choice Requires="x14">
        <control shapeId="1043" r:id="rId8" name="TIButton3">
          <controlPr defaultSize="0" print="0" autoLine="0" r:id="rId9">
            <anchor moveWithCells="1" sizeWithCells="1">
              <from>
                <xdr:col>10</xdr:col>
                <xdr:colOff>0</xdr:colOff>
                <xdr:row>53</xdr:row>
                <xdr:rowOff>57150</xdr:rowOff>
              </from>
              <to>
                <xdr:col>11</xdr:col>
                <xdr:colOff>171450</xdr:colOff>
                <xdr:row>54</xdr:row>
                <xdr:rowOff>247650</xdr:rowOff>
              </to>
            </anchor>
          </controlPr>
        </control>
      </mc:Choice>
      <mc:Fallback>
        <control shapeId="1043" r:id="rId8" name="TIButton3"/>
      </mc:Fallback>
    </mc:AlternateContent>
    <mc:AlternateContent xmlns:mc="http://schemas.openxmlformats.org/markup-compatibility/2006">
      <mc:Choice Requires="x14">
        <control shapeId="1044" r:id="rId10" name="TIButton4">
          <controlPr defaultSize="0" print="0" autoLine="0" r:id="rId11">
            <anchor moveWithCells="1" sizeWithCells="1">
              <from>
                <xdr:col>12</xdr:col>
                <xdr:colOff>2019300</xdr:colOff>
                <xdr:row>53</xdr:row>
                <xdr:rowOff>57150</xdr:rowOff>
              </from>
              <to>
                <xdr:col>12</xdr:col>
                <xdr:colOff>2762250</xdr:colOff>
                <xdr:row>54</xdr:row>
                <xdr:rowOff>247650</xdr:rowOff>
              </to>
            </anchor>
          </controlPr>
        </control>
      </mc:Choice>
      <mc:Fallback>
        <control shapeId="1044" r:id="rId10" name="TIButton4"/>
      </mc:Fallback>
    </mc:AlternateContent>
    <mc:AlternateContent xmlns:mc="http://schemas.openxmlformats.org/markup-compatibility/2006">
      <mc:Choice Requires="x14">
        <control shapeId="1045" r:id="rId12" name="TIButton5">
          <controlPr defaultSize="0" print="0" autoLine="0" r:id="rId13">
            <anchor moveWithCells="1" sizeWithCells="1">
              <from>
                <xdr:col>12</xdr:col>
                <xdr:colOff>3619500</xdr:colOff>
                <xdr:row>53</xdr:row>
                <xdr:rowOff>57150</xdr:rowOff>
              </from>
              <to>
                <xdr:col>12</xdr:col>
                <xdr:colOff>4210050</xdr:colOff>
                <xdr:row>54</xdr:row>
                <xdr:rowOff>247650</xdr:rowOff>
              </to>
            </anchor>
          </controlPr>
        </control>
      </mc:Choice>
      <mc:Fallback>
        <control shapeId="1045" r:id="rId12" name="TIButton5"/>
      </mc:Fallback>
    </mc:AlternateContent>
    <mc:AlternateContent xmlns:mc="http://schemas.openxmlformats.org/markup-compatibility/2006">
      <mc:Choice Requires="x14">
        <control shapeId="1046" r:id="rId14" name="TIButton6">
          <controlPr defaultSize="0" print="0" autoLine="0" r:id="rId15">
            <anchor moveWithCells="1" sizeWithCells="1">
              <from>
                <xdr:col>12</xdr:col>
                <xdr:colOff>495300</xdr:colOff>
                <xdr:row>53</xdr:row>
                <xdr:rowOff>57150</xdr:rowOff>
              </from>
              <to>
                <xdr:col>12</xdr:col>
                <xdr:colOff>1943100</xdr:colOff>
                <xdr:row>54</xdr:row>
                <xdr:rowOff>247650</xdr:rowOff>
              </to>
            </anchor>
          </controlPr>
        </control>
      </mc:Choice>
      <mc:Fallback>
        <control shapeId="1046" r:id="rId14" name="TIButton6"/>
      </mc:Fallback>
    </mc:AlternateContent>
    <mc:AlternateContent xmlns:mc="http://schemas.openxmlformats.org/markup-compatibility/2006">
      <mc:Choice Requires="x14">
        <control shapeId="1050" r:id="rId16" name="TIButton7">
          <controlPr defaultSize="0" print="0" autoLine="0" r:id="rId17">
            <anchor moveWithCells="1" sizeWithCells="1">
              <from>
                <xdr:col>11</xdr:col>
                <xdr:colOff>247650</xdr:colOff>
                <xdr:row>53</xdr:row>
                <xdr:rowOff>57150</xdr:rowOff>
              </from>
              <to>
                <xdr:col>11</xdr:col>
                <xdr:colOff>1057275</xdr:colOff>
                <xdr:row>54</xdr:row>
                <xdr:rowOff>247650</xdr:rowOff>
              </to>
            </anchor>
          </controlPr>
        </control>
      </mc:Choice>
      <mc:Fallback>
        <control shapeId="1050" r:id="rId16" name="TIButton7"/>
      </mc:Fallback>
    </mc:AlternateContent>
    <mc:AlternateContent xmlns:mc="http://schemas.openxmlformats.org/markup-compatibility/2006">
      <mc:Choice Requires="x14">
        <control shapeId="1051" r:id="rId18" name="TIButton8">
          <controlPr defaultSize="0" print="0" autoLine="0" r:id="rId19">
            <anchor moveWithCells="1" sizeWithCells="1">
              <from>
                <xdr:col>11</xdr:col>
                <xdr:colOff>1133475</xdr:colOff>
                <xdr:row>53</xdr:row>
                <xdr:rowOff>57150</xdr:rowOff>
              </from>
              <to>
                <xdr:col>12</xdr:col>
                <xdr:colOff>409575</xdr:colOff>
                <xdr:row>54</xdr:row>
                <xdr:rowOff>247650</xdr:rowOff>
              </to>
            </anchor>
          </controlPr>
        </control>
      </mc:Choice>
      <mc:Fallback>
        <control shapeId="1051" r:id="rId18" name="TIButton8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E93B-A736-48F0-AB52-76639E1BC7E5}">
  <sheetPr codeName="Sheet3"/>
  <dimension ref="A1:A3"/>
  <sheetViews>
    <sheetView workbookViewId="0"/>
  </sheetViews>
  <sheetFormatPr defaultRowHeight="15" x14ac:dyDescent="0.25"/>
  <sheetData>
    <row r="1" spans="1:1" x14ac:dyDescent="0.25">
      <c r="A1" t="s">
        <v>43</v>
      </c>
    </row>
    <row r="2" spans="1:1" x14ac:dyDescent="0.25">
      <c r="A2" t="s">
        <v>42</v>
      </c>
    </row>
    <row r="3" spans="1:1" x14ac:dyDescent="0.25">
      <c r="A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42</vt:i4>
      </vt:variant>
    </vt:vector>
  </HeadingPairs>
  <TitlesOfParts>
    <vt:vector size="44" baseType="lpstr">
      <vt:lpstr>data extract</vt:lpstr>
      <vt:lpstr>{PL}PickLst</vt:lpstr>
      <vt:lpstr>ab_confirmation</vt:lpstr>
      <vt:lpstr>ab_failure</vt:lpstr>
      <vt:lpstr>ab_success</vt:lpstr>
      <vt:lpstr>db_name</vt:lpstr>
      <vt:lpstr>Freeze_here</vt:lpstr>
      <vt:lpstr>psApp</vt:lpstr>
      <vt:lpstr>psExtractType</vt:lpstr>
      <vt:lpstr>psFullHLExtract</vt:lpstr>
      <vt:lpstr>psHLYear</vt:lpstr>
      <vt:lpstr>psProg</vt:lpstr>
      <vt:lpstr>psScenario</vt:lpstr>
      <vt:lpstr>psStatus</vt:lpstr>
      <vt:lpstr>psUser</vt:lpstr>
      <vt:lpstr>TM1AdjIDListCAP</vt:lpstr>
      <vt:lpstr>TM1AdjIDListWB</vt:lpstr>
      <vt:lpstr>TM1AdjIDListWS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  <vt:lpstr>'data extract'!TM1RPTFMTIDCOL</vt:lpstr>
      <vt:lpstr>'data extract'!TM1RPTFMTRNG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2018-10-30T00:46:04Z</dcterms:created>
  <dcterms:modified xsi:type="dcterms:W3CDTF">2025-08-05T04:30:55Z</dcterms:modified>
</cp:coreProperties>
</file>