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4.xml" ContentType="application/vnd.ms-office.activeX+xml"/>
  <Override PartName="/xl/activeX/activeX2.bin" ContentType="application/vnd.ms-office.activeX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00F2765B-C8FE-4AE3-8511-95A41DFCCDB1}" xr6:coauthVersionLast="47" xr6:coauthVersionMax="47" xr10:uidLastSave="{00000000-0000-0000-0000-000000000000}"/>
  <bookViews>
    <workbookView xWindow="29580" yWindow="780" windowWidth="21600" windowHeight="11385" xr2:uid="{03FAFBAA-4579-4C61-8954-40E46A06A5CE}"/>
  </bookViews>
  <sheets>
    <sheet name="reco" sheetId="1" r:id="rId1"/>
  </sheets>
  <definedNames>
    <definedName name="db_name">reco!$C$12</definedName>
    <definedName name="Freeze_Here">reco!$A$84</definedName>
    <definedName name="ID" localSheetId="0" hidden="1">"9958d52e-43db-4563-a39d-bce5fd2ab269"</definedName>
    <definedName name="psApp">reco!$C$36</definedName>
    <definedName name="psHLYear">reco!$K$80</definedName>
    <definedName name="psUser">reco!$C$14</definedName>
    <definedName name="TM1AdjIDListCAP">reco!$D$45</definedName>
    <definedName name="TM1AdjIDListWB">reco!$F$45</definedName>
    <definedName name="TM1AdminArcCBMSRecoAppropCAP">reco!$D$50</definedName>
    <definedName name="TM1AdminArcCBMSRecoAppropWB">reco!$F$50</definedName>
    <definedName name="TM1AdminArcCBMSRecoAppropWS">reco!$H$50</definedName>
    <definedName name="TM1AdminArcCBMSRecoCAP">reco!$D$46</definedName>
    <definedName name="TM1AdminArcCBMSRecoProgDetCAP">reco!$D$49</definedName>
    <definedName name="TM1AdminArcCBMSRecoProgDetWB">reco!$F$49</definedName>
    <definedName name="TM1AdminArcCBMSRecoProgDetWS">reco!$H$49</definedName>
    <definedName name="TM1AdminArcCBMSRecoRep">reco!$H$46</definedName>
    <definedName name="TM1AdminArcCBMSRecoRepCAP">reco!$D$47</definedName>
    <definedName name="TM1AdminArcCBMSRecoRepDetCAP">reco!$D$48</definedName>
    <definedName name="TM1AdminArcCBMSRecoRepDetWB">reco!$F$48</definedName>
    <definedName name="TM1AdminArcCBMSRecoRepDetWS">reco!$H$48</definedName>
    <definedName name="TM1AdminArcCBMSRecoRepWB">reco!$F$47</definedName>
    <definedName name="TM1AdminArcCBMSRecoRepWS">reco!$H$47</definedName>
    <definedName name="TM1AdminArcCBMSRecoWB">reco!$F$46</definedName>
    <definedName name="TM1AdminArcCBMSRecoWS">reco!$H$46</definedName>
    <definedName name="TM1HomeAdminBaseCAP">reco!$D$43</definedName>
    <definedName name="TM1HomeAdminBaseWB">reco!$F$43</definedName>
    <definedName name="TM1HomeAdminBaseWS">reco!$H$43</definedName>
    <definedName name="TM1HomeAdminCAP">reco!$D$41</definedName>
    <definedName name="TM1HomeAdminRDSCAP">reco!$D$42</definedName>
    <definedName name="TM1HomeAdminRDSWB">reco!$F$42</definedName>
    <definedName name="TM1HomeAdminRDSWS">reco!$H$42</definedName>
    <definedName name="TM1HomeAdminWB">reco!$F$41</definedName>
    <definedName name="TM1HomeAdminWS">reco!$H$41</definedName>
    <definedName name="TM1HomeAECAP">reco!$D$39</definedName>
    <definedName name="TM1HomeAEWB">reco!$F$39</definedName>
    <definedName name="TM1HomeAEWS">reco!$H$39</definedName>
    <definedName name="TM1HomeCAP">reco!$D$38</definedName>
    <definedName name="TM1HomeRepCAP">reco!$D$40</definedName>
    <definedName name="TM1HomeRepWB">reco!$F$40</definedName>
    <definedName name="TM1HomeRepWS">reco!$H$40</definedName>
    <definedName name="TM1HomeUnderCAP">reco!$D$44</definedName>
    <definedName name="TM1HomeUnderWB">reco!$F$44</definedName>
    <definedName name="TM1HomeUnderWS">reco!$H$44</definedName>
    <definedName name="TM1HomeWB">reco!$F$38</definedName>
    <definedName name="TM1HomeWS">reco!$H$38</definedName>
    <definedName name="TM1IDListWS">reco!$H$45</definedName>
    <definedName name="TM1REBUILDOPTION">0</definedName>
    <definedName name="TM1RPTDATARNG1" localSheetId="0">reco!$108:$108</definedName>
    <definedName name="TM1RPTFMTIDCOL" localSheetId="0">reco!$A$1:$A$8</definedName>
    <definedName name="TM1RPTFMTRNG" localSheetId="0">reco!$J$1:$AD$8</definedName>
  </definedName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20" i="1" a="1"/>
  <c r="C20" i="1" s="1"/>
  <c r="C28" i="1" a="1"/>
  <c r="C28" i="1" s="1"/>
  <c r="C13" i="1" a="1"/>
  <c r="C13" i="1" s="1"/>
  <c r="A5" i="1"/>
  <c r="A4" i="1"/>
  <c r="A3" i="1"/>
  <c r="A2" i="1"/>
  <c r="H46" i="1" a="1"/>
  <c r="D47" i="1" a="1"/>
  <c r="D42" i="1" a="1"/>
  <c r="E45" i="1" a="1"/>
  <c r="F43" i="1" a="1"/>
  <c r="C14" i="1" a="1"/>
  <c r="G45" i="1" a="1"/>
  <c r="F42" i="1" a="1"/>
  <c r="C39" i="1" a="1"/>
  <c r="G39" i="1" a="1"/>
  <c r="C64" i="1"/>
  <c r="C24" i="1" a="1"/>
  <c r="C57" i="1"/>
  <c r="H44" i="1" a="1"/>
  <c r="G40" i="1" a="1"/>
  <c r="G50" i="1" a="1"/>
  <c r="D41" i="1" a="1"/>
  <c r="E39" i="1" a="1"/>
  <c r="C22" i="1" a="1"/>
  <c r="C44" i="1" a="1"/>
  <c r="E43" i="1" a="1"/>
  <c r="C45" i="1" a="1"/>
  <c r="D44" i="1" a="1"/>
  <c r="C41" i="1" a="1"/>
  <c r="C43" i="1" a="1"/>
  <c r="E42" i="1" a="1"/>
  <c r="C61" i="1"/>
  <c r="G44" i="1" a="1"/>
  <c r="C65" i="1"/>
  <c r="G38" i="1" a="1"/>
  <c r="G42" i="1" a="1"/>
  <c r="E47" i="1" a="1"/>
  <c r="C23" i="1" a="1"/>
  <c r="G41" i="1" a="1"/>
  <c r="H43" i="1" a="1"/>
  <c r="F41" i="1" a="1"/>
  <c r="H47" i="1" a="1"/>
  <c r="D46" i="1" a="1"/>
  <c r="H42" i="1" a="1"/>
  <c r="G47" i="1" a="1"/>
  <c r="C67" i="1"/>
  <c r="D39" i="1" a="1"/>
  <c r="K104" i="1"/>
  <c r="E46" i="1" a="1"/>
  <c r="H41" i="1" a="1"/>
  <c r="F39" i="1" a="1"/>
  <c r="F40" i="1" a="1"/>
  <c r="E38" i="1" a="1"/>
  <c r="H50" i="1" a="1"/>
  <c r="E48" i="1" a="1"/>
  <c r="C38" i="1" a="1"/>
  <c r="F50" i="1" a="1"/>
  <c r="C40" i="1" a="1"/>
  <c r="G43" i="1" a="1"/>
  <c r="H45" i="1" a="1"/>
  <c r="C42" i="1" a="1"/>
  <c r="E50" i="1" a="1"/>
  <c r="D40" i="1" a="1"/>
  <c r="H39" i="1" a="1"/>
  <c r="H40" i="1" a="1"/>
  <c r="F46" i="1" a="1"/>
  <c r="F48" i="1" a="1"/>
  <c r="C49" i="1" a="1"/>
  <c r="C50" i="1" a="1"/>
  <c r="E49" i="1" a="1"/>
  <c r="D50" i="1" a="1"/>
  <c r="C25" i="1" a="1"/>
  <c r="C48" i="1" a="1"/>
  <c r="C58" i="1"/>
  <c r="F38" i="1" a="1"/>
  <c r="E41" i="1" a="1"/>
  <c r="F45" i="1" a="1"/>
  <c r="D49" i="1" a="1"/>
  <c r="C59" i="1"/>
  <c r="C60" i="1"/>
  <c r="C62" i="1"/>
  <c r="H48" i="1" a="1"/>
  <c r="C47" i="1" a="1"/>
  <c r="D48" i="1" a="1"/>
  <c r="F44" i="1" a="1"/>
  <c r="K82" i="1"/>
  <c r="C63" i="1"/>
  <c r="D45" i="1" a="1"/>
  <c r="C66" i="1"/>
  <c r="E40" i="1" a="1"/>
  <c r="H38" i="1" a="1"/>
  <c r="G48" i="1" a="1"/>
  <c r="C46" i="1" a="1"/>
  <c r="G49" i="1" a="1"/>
  <c r="D43" i="1" a="1"/>
  <c r="F47" i="1" a="1"/>
  <c r="K81" i="1"/>
  <c r="E44" i="1" a="1"/>
  <c r="D38" i="1" a="1"/>
  <c r="H49" i="1" a="1"/>
  <c r="F49" i="1" a="1"/>
  <c r="A108" i="1" a="1"/>
  <c r="F49" i="1" l="1"/>
  <c r="H49" i="1"/>
  <c r="D38" i="1"/>
  <c r="E44" i="1"/>
  <c r="F47" i="1"/>
  <c r="D43" i="1"/>
  <c r="G49" i="1"/>
  <c r="C46" i="1"/>
  <c r="G48" i="1"/>
  <c r="H38" i="1"/>
  <c r="E40" i="1"/>
  <c r="D45" i="1"/>
  <c r="F44" i="1"/>
  <c r="D48" i="1"/>
  <c r="C47" i="1"/>
  <c r="H48" i="1"/>
  <c r="D49" i="1"/>
  <c r="F45" i="1"/>
  <c r="E41" i="1"/>
  <c r="F38" i="1"/>
  <c r="C48" i="1"/>
  <c r="C25" i="1"/>
  <c r="D50" i="1"/>
  <c r="E49" i="1"/>
  <c r="C50" i="1"/>
  <c r="C49" i="1"/>
  <c r="F48" i="1"/>
  <c r="F46" i="1"/>
  <c r="H40" i="1"/>
  <c r="H39" i="1"/>
  <c r="D40" i="1"/>
  <c r="E50" i="1"/>
  <c r="C42" i="1"/>
  <c r="H45" i="1"/>
  <c r="G43" i="1"/>
  <c r="C40" i="1"/>
  <c r="F50" i="1"/>
  <c r="C38" i="1"/>
  <c r="E48" i="1"/>
  <c r="H50" i="1"/>
  <c r="E38" i="1"/>
  <c r="F40" i="1"/>
  <c r="F39" i="1"/>
  <c r="H41" i="1"/>
  <c r="E46" i="1"/>
  <c r="C55" i="1"/>
  <c r="D39" i="1"/>
  <c r="C56" i="1"/>
  <c r="G47" i="1"/>
  <c r="H42" i="1"/>
  <c r="D46" i="1"/>
  <c r="H47" i="1"/>
  <c r="F41" i="1"/>
  <c r="H43" i="1"/>
  <c r="G41" i="1"/>
  <c r="C23" i="1"/>
  <c r="E47" i="1"/>
  <c r="G42" i="1"/>
  <c r="G38" i="1"/>
  <c r="G44" i="1"/>
  <c r="E42" i="1"/>
  <c r="C43" i="1"/>
  <c r="C41" i="1"/>
  <c r="D44" i="1"/>
  <c r="C45" i="1"/>
  <c r="E43" i="1"/>
  <c r="C44" i="1"/>
  <c r="C22" i="1"/>
  <c r="E39" i="1"/>
  <c r="D41" i="1"/>
  <c r="G50" i="1"/>
  <c r="G40" i="1"/>
  <c r="H44" i="1"/>
  <c r="C24" i="1"/>
  <c r="G39" i="1"/>
  <c r="C39" i="1"/>
  <c r="F42" i="1"/>
  <c r="G45" i="1"/>
  <c r="C14" i="1"/>
  <c r="F43" i="1"/>
  <c r="E45" i="1"/>
  <c r="D42" i="1"/>
  <c r="D47" i="1"/>
  <c r="H46" i="1"/>
  <c r="A108" i="1"/>
  <c r="K80" i="1"/>
  <c r="C31" i="1" a="1"/>
  <c r="C29" i="1" a="1"/>
  <c r="C30" i="1" a="1"/>
  <c r="C32" i="1" a="1"/>
  <c r="C16" i="1" a="1"/>
  <c r="C15" i="1" a="1"/>
  <c r="C53" i="1"/>
  <c r="J108" i="1" a="1"/>
  <c r="J108" i="1" l="1"/>
  <c r="C15" i="1"/>
  <c r="C16" i="1"/>
  <c r="C32" i="1"/>
  <c r="C30" i="1"/>
  <c r="C29" i="1"/>
  <c r="C31" i="1"/>
  <c r="J19" i="1"/>
  <c r="B1" i="1"/>
  <c r="C54" i="1"/>
  <c r="C17" i="1"/>
  <c r="V21" i="1" a="1"/>
  <c r="AC21" i="1" a="1"/>
  <c r="Z21" i="1" a="1"/>
  <c r="T21" i="1" a="1"/>
  <c r="K21" i="1" a="1"/>
  <c r="S21" i="1" a="1"/>
  <c r="R21" i="1" a="1"/>
  <c r="P21" i="1" a="1"/>
  <c r="N21" i="1" a="1"/>
  <c r="AA21" i="1" a="1"/>
  <c r="AD21" i="1" a="1"/>
  <c r="L21" i="1" a="1"/>
  <c r="O21" i="1" a="1"/>
  <c r="M21" i="1" a="1"/>
  <c r="Y21" i="1" a="1"/>
  <c r="U21" i="1" a="1"/>
  <c r="W21" i="1" a="1"/>
  <c r="AB21" i="1" a="1"/>
  <c r="AB21" i="1" l="1"/>
  <c r="W21" i="1"/>
  <c r="U21" i="1"/>
  <c r="Y21" i="1"/>
  <c r="M21" i="1"/>
  <c r="O21" i="1"/>
  <c r="L21" i="1"/>
  <c r="AD21" i="1"/>
  <c r="AA21" i="1"/>
  <c r="N21" i="1"/>
  <c r="P21" i="1"/>
  <c r="R21" i="1"/>
  <c r="S21" i="1"/>
  <c r="K21" i="1"/>
  <c r="T21" i="1"/>
  <c r="Z21" i="1"/>
  <c r="AC21" i="1"/>
  <c r="V21" i="1"/>
  <c r="AC107" i="1" l="1"/>
  <c r="AC85" i="1"/>
  <c r="AA107" i="1"/>
  <c r="AA85" i="1"/>
  <c r="AB107" i="1"/>
  <c r="AB85" i="1"/>
  <c r="Z85" i="1"/>
  <c r="Z107" i="1"/>
  <c r="AD85" i="1"/>
  <c r="AD107" i="1"/>
  <c r="T85" i="1"/>
  <c r="T107" i="1"/>
  <c r="L85" i="1"/>
  <c r="L107" i="1"/>
  <c r="K107" i="1"/>
  <c r="K85" i="1"/>
  <c r="O85" i="1"/>
  <c r="O107" i="1"/>
  <c r="S107" i="1"/>
  <c r="S85" i="1"/>
  <c r="M85" i="1"/>
  <c r="M107" i="1"/>
  <c r="R85" i="1"/>
  <c r="R107" i="1"/>
  <c r="Y107" i="1"/>
  <c r="Y85" i="1"/>
  <c r="P107" i="1"/>
  <c r="P85" i="1"/>
  <c r="U85" i="1"/>
  <c r="U107" i="1"/>
  <c r="V107" i="1"/>
  <c r="V85" i="1"/>
  <c r="N85" i="1"/>
  <c r="N107" i="1"/>
  <c r="W85" i="1"/>
  <c r="W107" i="1"/>
  <c r="AC87" i="1" a="1"/>
  <c r="AC89" i="1" a="1"/>
  <c r="AC99" i="1" a="1"/>
  <c r="AC93" i="1" a="1"/>
  <c r="AC98" i="1" a="1"/>
  <c r="AC94" i="1" a="1"/>
  <c r="AC88" i="1" a="1"/>
  <c r="AC100" i="1" a="1"/>
  <c r="AC91" i="1" a="1"/>
  <c r="AC101" i="1" a="1"/>
  <c r="AC96" i="1" a="1"/>
  <c r="AC90" i="1" a="1"/>
  <c r="AC86" i="1" a="1"/>
  <c r="AC97" i="1" a="1"/>
  <c r="AC92" i="1" a="1"/>
  <c r="AC95" i="1" a="1"/>
  <c r="AC108" i="1" a="1"/>
  <c r="Y95" i="1" a="1"/>
  <c r="Y86" i="1" a="1"/>
  <c r="Y97" i="1" a="1"/>
  <c r="Y100" i="1" a="1"/>
  <c r="Y96" i="1" a="1"/>
  <c r="Y101" i="1" a="1"/>
  <c r="Y98" i="1" a="1"/>
  <c r="Y89" i="1" a="1"/>
  <c r="Y94" i="1" a="1"/>
  <c r="Y87" i="1" a="1"/>
  <c r="Y99" i="1" a="1"/>
  <c r="Y88" i="1" a="1"/>
  <c r="Y90" i="1" a="1"/>
  <c r="Y91" i="1" a="1"/>
  <c r="Y92" i="1" a="1"/>
  <c r="Y93" i="1" a="1"/>
  <c r="Y108" i="1" a="1"/>
  <c r="AD89" i="1" a="1"/>
  <c r="AD90" i="1" a="1"/>
  <c r="AD88" i="1" a="1"/>
  <c r="AD98" i="1" a="1"/>
  <c r="AD93" i="1" a="1"/>
  <c r="AD95" i="1" a="1"/>
  <c r="AD91" i="1" a="1"/>
  <c r="AD99" i="1" a="1"/>
  <c r="AD87" i="1" a="1"/>
  <c r="AD94" i="1" a="1"/>
  <c r="AD92" i="1" a="1"/>
  <c r="AD96" i="1" a="1"/>
  <c r="AD101" i="1" a="1"/>
  <c r="AD86" i="1" a="1"/>
  <c r="AD100" i="1" a="1"/>
  <c r="AD97" i="1" a="1"/>
  <c r="AD108" i="1" a="1"/>
  <c r="O86" i="1" a="1"/>
  <c r="O96" i="1" a="1"/>
  <c r="O87" i="1" a="1"/>
  <c r="O91" i="1" a="1"/>
  <c r="O98" i="1" a="1"/>
  <c r="O100" i="1" a="1"/>
  <c r="O92" i="1" a="1"/>
  <c r="O89" i="1" a="1"/>
  <c r="O97" i="1" a="1"/>
  <c r="O94" i="1" a="1"/>
  <c r="O99" i="1" a="1"/>
  <c r="O93" i="1" a="1"/>
  <c r="O90" i="1" a="1"/>
  <c r="O88" i="1" a="1"/>
  <c r="O95" i="1" a="1"/>
  <c r="O101" i="1" a="1"/>
  <c r="O108" i="1" a="1"/>
  <c r="N101" i="1" a="1"/>
  <c r="N97" i="1" a="1"/>
  <c r="N89" i="1" a="1"/>
  <c r="N95" i="1" a="1"/>
  <c r="N98" i="1" a="1"/>
  <c r="N86" i="1" a="1"/>
  <c r="N93" i="1" a="1"/>
  <c r="N90" i="1" a="1"/>
  <c r="N96" i="1" a="1"/>
  <c r="N99" i="1" a="1"/>
  <c r="N91" i="1" a="1"/>
  <c r="N94" i="1" a="1"/>
  <c r="N88" i="1" a="1"/>
  <c r="N100" i="1" a="1"/>
  <c r="N92" i="1" a="1"/>
  <c r="N87" i="1" a="1"/>
  <c r="N108" i="1" a="1"/>
  <c r="S100" i="1" a="1"/>
  <c r="S93" i="1" a="1"/>
  <c r="S86" i="1" a="1"/>
  <c r="S96" i="1" a="1"/>
  <c r="S91" i="1" a="1"/>
  <c r="S99" i="1" a="1"/>
  <c r="S88" i="1" a="1"/>
  <c r="S101" i="1" a="1"/>
  <c r="S90" i="1" a="1"/>
  <c r="S89" i="1" a="1"/>
  <c r="S94" i="1" a="1"/>
  <c r="S98" i="1" a="1"/>
  <c r="S92" i="1" a="1"/>
  <c r="S95" i="1" a="1"/>
  <c r="S97" i="1" a="1"/>
  <c r="S87" i="1" a="1"/>
  <c r="S108" i="1" a="1"/>
  <c r="T87" i="1" a="1"/>
  <c r="T98" i="1" a="1"/>
  <c r="T97" i="1" a="1"/>
  <c r="T90" i="1" a="1"/>
  <c r="T101" i="1" a="1"/>
  <c r="T94" i="1" a="1"/>
  <c r="T96" i="1" a="1"/>
  <c r="T89" i="1" a="1"/>
  <c r="T100" i="1" a="1"/>
  <c r="T91" i="1" a="1"/>
  <c r="T99" i="1" a="1"/>
  <c r="T88" i="1" a="1"/>
  <c r="T86" i="1" a="1"/>
  <c r="T93" i="1" a="1"/>
  <c r="T95" i="1" a="1"/>
  <c r="T92" i="1" a="1"/>
  <c r="T108" i="1" a="1"/>
  <c r="L93" i="1" a="1"/>
  <c r="L89" i="1" a="1"/>
  <c r="L101" i="1" a="1"/>
  <c r="L98" i="1" a="1"/>
  <c r="L87" i="1" a="1"/>
  <c r="L100" i="1" a="1"/>
  <c r="L91" i="1" a="1"/>
  <c r="L99" i="1" a="1"/>
  <c r="L96" i="1" a="1"/>
  <c r="L97" i="1" a="1"/>
  <c r="L94" i="1" a="1"/>
  <c r="L95" i="1" a="1"/>
  <c r="L90" i="1" a="1"/>
  <c r="L86" i="1" a="1"/>
  <c r="L92" i="1" a="1"/>
  <c r="L88" i="1" a="1"/>
  <c r="L108" i="1" a="1"/>
  <c r="V86" i="1" a="1"/>
  <c r="V91" i="1" a="1"/>
  <c r="V92" i="1" a="1"/>
  <c r="V97" i="1" a="1"/>
  <c r="V98" i="1" a="1"/>
  <c r="V89" i="1" a="1"/>
  <c r="V96" i="1" a="1"/>
  <c r="V95" i="1" a="1"/>
  <c r="V94" i="1" a="1"/>
  <c r="V99" i="1" a="1"/>
  <c r="V90" i="1" a="1"/>
  <c r="V88" i="1" a="1"/>
  <c r="V93" i="1" a="1"/>
  <c r="V101" i="1" a="1"/>
  <c r="V100" i="1" a="1"/>
  <c r="V87" i="1" a="1"/>
  <c r="V108" i="1" a="1"/>
  <c r="AA86" i="1" a="1"/>
  <c r="AA90" i="1" a="1"/>
  <c r="AA94" i="1" a="1"/>
  <c r="AA100" i="1" a="1"/>
  <c r="AA89" i="1" a="1"/>
  <c r="AA91" i="1" a="1"/>
  <c r="AA95" i="1" a="1"/>
  <c r="AA99" i="1" a="1"/>
  <c r="AA88" i="1" a="1"/>
  <c r="AA97" i="1" a="1"/>
  <c r="AA96" i="1" a="1"/>
  <c r="AA98" i="1" a="1"/>
  <c r="AA93" i="1" a="1"/>
  <c r="AA87" i="1" a="1"/>
  <c r="AA92" i="1" a="1"/>
  <c r="AA101" i="1" a="1"/>
  <c r="AA108" i="1" a="1"/>
  <c r="P88" i="1" a="1"/>
  <c r="P86" i="1" a="1"/>
  <c r="P90" i="1" a="1"/>
  <c r="P93" i="1" a="1"/>
  <c r="P87" i="1" a="1"/>
  <c r="P98" i="1" a="1"/>
  <c r="P101" i="1" a="1"/>
  <c r="P95" i="1" a="1"/>
  <c r="P91" i="1" a="1"/>
  <c r="P97" i="1" a="1"/>
  <c r="P89" i="1" a="1"/>
  <c r="P94" i="1" a="1"/>
  <c r="P96" i="1" a="1"/>
  <c r="P92" i="1" a="1"/>
  <c r="P100" i="1" a="1"/>
  <c r="P99" i="1" a="1"/>
  <c r="P108" i="1" a="1"/>
  <c r="W93" i="1" a="1"/>
  <c r="W99" i="1" a="1"/>
  <c r="W91" i="1" a="1"/>
  <c r="W88" i="1" a="1"/>
  <c r="W87" i="1" a="1"/>
  <c r="W86" i="1" a="1"/>
  <c r="W101" i="1" a="1"/>
  <c r="W100" i="1" a="1"/>
  <c r="W95" i="1" a="1"/>
  <c r="W89" i="1" a="1"/>
  <c r="W96" i="1" a="1"/>
  <c r="W92" i="1" a="1"/>
  <c r="W97" i="1" a="1"/>
  <c r="W90" i="1" a="1"/>
  <c r="W98" i="1" a="1"/>
  <c r="W94" i="1" a="1"/>
  <c r="W108" i="1" a="1"/>
  <c r="M90" i="1" a="1"/>
  <c r="M95" i="1" a="1"/>
  <c r="M92" i="1" a="1"/>
  <c r="M96" i="1" a="1"/>
  <c r="M99" i="1" a="1"/>
  <c r="M101" i="1" a="1"/>
  <c r="M98" i="1" a="1"/>
  <c r="M86" i="1" a="1"/>
  <c r="M89" i="1" a="1"/>
  <c r="M97" i="1" a="1"/>
  <c r="M100" i="1" a="1"/>
  <c r="M88" i="1" a="1"/>
  <c r="M94" i="1" a="1"/>
  <c r="M93" i="1" a="1"/>
  <c r="M87" i="1" a="1"/>
  <c r="M91" i="1" a="1"/>
  <c r="M108" i="1" a="1"/>
  <c r="K94" i="1" a="1"/>
  <c r="K90" i="1" a="1"/>
  <c r="K89" i="1" a="1"/>
  <c r="K87" i="1" a="1"/>
  <c r="K92" i="1" a="1"/>
  <c r="K91" i="1" a="1"/>
  <c r="K97" i="1" a="1"/>
  <c r="K95" i="1" a="1"/>
  <c r="K93" i="1" a="1"/>
  <c r="K88" i="1" a="1"/>
  <c r="K100" i="1" a="1"/>
  <c r="K101" i="1" a="1"/>
  <c r="K96" i="1" a="1"/>
  <c r="K86" i="1" a="1"/>
  <c r="K99" i="1" a="1"/>
  <c r="K98" i="1" a="1"/>
  <c r="K108" i="1" a="1"/>
  <c r="R87" i="1" a="1"/>
  <c r="R95" i="1" a="1"/>
  <c r="R99" i="1" a="1"/>
  <c r="R89" i="1" a="1"/>
  <c r="R92" i="1" a="1"/>
  <c r="R101" i="1" a="1"/>
  <c r="R100" i="1" a="1"/>
  <c r="R96" i="1" a="1"/>
  <c r="R91" i="1" a="1"/>
  <c r="R93" i="1" a="1"/>
  <c r="R90" i="1" a="1"/>
  <c r="R86" i="1" a="1"/>
  <c r="R94" i="1" a="1"/>
  <c r="R98" i="1" a="1"/>
  <c r="R88" i="1" a="1"/>
  <c r="R97" i="1" a="1"/>
  <c r="R108" i="1" a="1"/>
  <c r="AB98" i="1" a="1"/>
  <c r="AB90" i="1" a="1"/>
  <c r="AB101" i="1" a="1"/>
  <c r="AB95" i="1" a="1"/>
  <c r="AB96" i="1" a="1"/>
  <c r="AB88" i="1" a="1"/>
  <c r="AB100" i="1" a="1"/>
  <c r="AB91" i="1" a="1"/>
  <c r="AB99" i="1" a="1"/>
  <c r="AB93" i="1" a="1"/>
  <c r="AB89" i="1" a="1"/>
  <c r="AB94" i="1" a="1"/>
  <c r="AB87" i="1" a="1"/>
  <c r="AB92" i="1" a="1"/>
  <c r="AB86" i="1" a="1"/>
  <c r="AB97" i="1" a="1"/>
  <c r="AB108" i="1" a="1"/>
  <c r="U90" i="1" a="1"/>
  <c r="U87" i="1" a="1"/>
  <c r="U86" i="1" a="1"/>
  <c r="U88" i="1" a="1"/>
  <c r="U101" i="1" a="1"/>
  <c r="U95" i="1" a="1"/>
  <c r="U99" i="1" a="1"/>
  <c r="U91" i="1" a="1"/>
  <c r="U100" i="1" a="1"/>
  <c r="U97" i="1" a="1"/>
  <c r="U89" i="1" a="1"/>
  <c r="U98" i="1" a="1"/>
  <c r="U94" i="1" a="1"/>
  <c r="U96" i="1" a="1"/>
  <c r="U93" i="1" a="1"/>
  <c r="U92" i="1" a="1"/>
  <c r="U108" i="1" a="1"/>
  <c r="Z97" i="1" a="1"/>
  <c r="Z93" i="1" a="1"/>
  <c r="Z100" i="1" a="1"/>
  <c r="Z101" i="1" a="1"/>
  <c r="Z89" i="1" a="1"/>
  <c r="Z98" i="1" a="1"/>
  <c r="Z94" i="1" a="1"/>
  <c r="Z87" i="1" a="1"/>
  <c r="Z86" i="1" a="1"/>
  <c r="Z99" i="1" a="1"/>
  <c r="Z92" i="1" a="1"/>
  <c r="Z91" i="1" a="1"/>
  <c r="Z88" i="1" a="1"/>
  <c r="Z90" i="1" a="1"/>
  <c r="Z96" i="1" a="1"/>
  <c r="Z95" i="1" a="1"/>
  <c r="Z108" i="1" a="1"/>
  <c r="Z108" i="1" l="1"/>
  <c r="Z95" i="1"/>
  <c r="Z96" i="1"/>
  <c r="Z90" i="1"/>
  <c r="Z88" i="1"/>
  <c r="Z91" i="1"/>
  <c r="Z92" i="1"/>
  <c r="Z99" i="1"/>
  <c r="Z86" i="1"/>
  <c r="Z87" i="1"/>
  <c r="Z94" i="1"/>
  <c r="Z98" i="1"/>
  <c r="Z89" i="1"/>
  <c r="Z101" i="1"/>
  <c r="Z100" i="1"/>
  <c r="Z93" i="1"/>
  <c r="Z97" i="1"/>
  <c r="U108" i="1"/>
  <c r="U92" i="1"/>
  <c r="U93" i="1"/>
  <c r="U96" i="1"/>
  <c r="U94" i="1"/>
  <c r="U98" i="1"/>
  <c r="U89" i="1"/>
  <c r="U97" i="1"/>
  <c r="U100" i="1"/>
  <c r="U91" i="1"/>
  <c r="U99" i="1"/>
  <c r="U95" i="1"/>
  <c r="U101" i="1"/>
  <c r="U88" i="1"/>
  <c r="U86" i="1"/>
  <c r="U87" i="1"/>
  <c r="U90" i="1"/>
  <c r="AB108" i="1"/>
  <c r="AB97" i="1"/>
  <c r="AB86" i="1"/>
  <c r="AB92" i="1"/>
  <c r="AB87" i="1"/>
  <c r="AB94" i="1"/>
  <c r="AB89" i="1"/>
  <c r="AB93" i="1"/>
  <c r="AB99" i="1"/>
  <c r="AB91" i="1"/>
  <c r="AB100" i="1"/>
  <c r="AB88" i="1"/>
  <c r="AB96" i="1"/>
  <c r="AB95" i="1"/>
  <c r="AB101" i="1"/>
  <c r="AB90" i="1"/>
  <c r="AB98" i="1"/>
  <c r="R108" i="1"/>
  <c r="R97" i="1"/>
  <c r="R88" i="1"/>
  <c r="R98" i="1"/>
  <c r="R94" i="1"/>
  <c r="R86" i="1"/>
  <c r="R90" i="1"/>
  <c r="R93" i="1"/>
  <c r="R91" i="1"/>
  <c r="R96" i="1"/>
  <c r="R100" i="1"/>
  <c r="R101" i="1"/>
  <c r="R92" i="1"/>
  <c r="R89" i="1"/>
  <c r="R99" i="1"/>
  <c r="R95" i="1"/>
  <c r="R87" i="1"/>
  <c r="K108" i="1"/>
  <c r="K98" i="1"/>
  <c r="K99" i="1"/>
  <c r="K86" i="1"/>
  <c r="K96" i="1"/>
  <c r="K101" i="1"/>
  <c r="K100" i="1"/>
  <c r="K88" i="1"/>
  <c r="K93" i="1"/>
  <c r="K95" i="1"/>
  <c r="K97" i="1"/>
  <c r="K91" i="1"/>
  <c r="K92" i="1"/>
  <c r="K87" i="1"/>
  <c r="K89" i="1"/>
  <c r="K90" i="1"/>
  <c r="K94" i="1"/>
  <c r="M108" i="1"/>
  <c r="M91" i="1"/>
  <c r="M87" i="1"/>
  <c r="M93" i="1"/>
  <c r="M94" i="1"/>
  <c r="M88" i="1"/>
  <c r="M100" i="1"/>
  <c r="M97" i="1"/>
  <c r="M89" i="1"/>
  <c r="M86" i="1"/>
  <c r="M98" i="1"/>
  <c r="M101" i="1"/>
  <c r="M99" i="1"/>
  <c r="M96" i="1"/>
  <c r="M92" i="1"/>
  <c r="M95" i="1"/>
  <c r="M90" i="1"/>
  <c r="W108" i="1"/>
  <c r="W94" i="1"/>
  <c r="W98" i="1"/>
  <c r="W90" i="1"/>
  <c r="W97" i="1"/>
  <c r="W92" i="1"/>
  <c r="W96" i="1"/>
  <c r="W89" i="1"/>
  <c r="W95" i="1"/>
  <c r="W100" i="1"/>
  <c r="W101" i="1"/>
  <c r="W86" i="1"/>
  <c r="W87" i="1"/>
  <c r="W88" i="1"/>
  <c r="W91" i="1"/>
  <c r="W99" i="1"/>
  <c r="W93" i="1"/>
  <c r="P108" i="1"/>
  <c r="P99" i="1"/>
  <c r="P100" i="1"/>
  <c r="P92" i="1"/>
  <c r="P96" i="1"/>
  <c r="P94" i="1"/>
  <c r="P89" i="1"/>
  <c r="P97" i="1"/>
  <c r="P91" i="1"/>
  <c r="P95" i="1"/>
  <c r="P101" i="1"/>
  <c r="P98" i="1"/>
  <c r="P87" i="1"/>
  <c r="P93" i="1"/>
  <c r="P90" i="1"/>
  <c r="P86" i="1"/>
  <c r="P88" i="1"/>
  <c r="AA108" i="1"/>
  <c r="AA101" i="1"/>
  <c r="AA92" i="1"/>
  <c r="AA87" i="1"/>
  <c r="AA93" i="1"/>
  <c r="AA98" i="1"/>
  <c r="AA96" i="1"/>
  <c r="AA97" i="1"/>
  <c r="AA88" i="1"/>
  <c r="AA99" i="1"/>
  <c r="AA95" i="1"/>
  <c r="AA91" i="1"/>
  <c r="AA89" i="1"/>
  <c r="AA100" i="1"/>
  <c r="AA94" i="1"/>
  <c r="AA90" i="1"/>
  <c r="AA86" i="1"/>
  <c r="V108" i="1"/>
  <c r="V87" i="1"/>
  <c r="V100" i="1"/>
  <c r="V101" i="1"/>
  <c r="V93" i="1"/>
  <c r="V88" i="1"/>
  <c r="V90" i="1"/>
  <c r="V99" i="1"/>
  <c r="V94" i="1"/>
  <c r="V95" i="1"/>
  <c r="V96" i="1"/>
  <c r="V89" i="1"/>
  <c r="V98" i="1"/>
  <c r="V97" i="1"/>
  <c r="V92" i="1"/>
  <c r="V91" i="1"/>
  <c r="V86" i="1"/>
  <c r="L108" i="1"/>
  <c r="L88" i="1"/>
  <c r="L92" i="1"/>
  <c r="L86" i="1"/>
  <c r="L90" i="1"/>
  <c r="L95" i="1"/>
  <c r="L94" i="1"/>
  <c r="L97" i="1"/>
  <c r="L96" i="1"/>
  <c r="L99" i="1"/>
  <c r="L91" i="1"/>
  <c r="L100" i="1"/>
  <c r="L87" i="1"/>
  <c r="L98" i="1"/>
  <c r="L101" i="1"/>
  <c r="L89" i="1"/>
  <c r="L93" i="1"/>
  <c r="T108" i="1"/>
  <c r="T92" i="1"/>
  <c r="T95" i="1"/>
  <c r="T93" i="1"/>
  <c r="T86" i="1"/>
  <c r="T88" i="1"/>
  <c r="T99" i="1"/>
  <c r="T91" i="1"/>
  <c r="T100" i="1"/>
  <c r="T89" i="1"/>
  <c r="T96" i="1"/>
  <c r="T94" i="1"/>
  <c r="T101" i="1"/>
  <c r="T90" i="1"/>
  <c r="T97" i="1"/>
  <c r="T98" i="1"/>
  <c r="T87" i="1"/>
  <c r="S108" i="1"/>
  <c r="S87" i="1"/>
  <c r="S97" i="1"/>
  <c r="S95" i="1"/>
  <c r="S92" i="1"/>
  <c r="S98" i="1"/>
  <c r="S94" i="1"/>
  <c r="S89" i="1"/>
  <c r="S90" i="1"/>
  <c r="S101" i="1"/>
  <c r="S88" i="1"/>
  <c r="S99" i="1"/>
  <c r="S91" i="1"/>
  <c r="S96" i="1"/>
  <c r="S86" i="1"/>
  <c r="S93" i="1"/>
  <c r="S100" i="1"/>
  <c r="N108" i="1"/>
  <c r="N87" i="1"/>
  <c r="N92" i="1"/>
  <c r="N100" i="1"/>
  <c r="N88" i="1"/>
  <c r="N94" i="1"/>
  <c r="N91" i="1"/>
  <c r="N99" i="1"/>
  <c r="N96" i="1"/>
  <c r="N90" i="1"/>
  <c r="N93" i="1"/>
  <c r="N86" i="1"/>
  <c r="N98" i="1"/>
  <c r="N95" i="1"/>
  <c r="N89" i="1"/>
  <c r="N97" i="1"/>
  <c r="N101" i="1"/>
  <c r="O108" i="1"/>
  <c r="O101" i="1"/>
  <c r="O95" i="1"/>
  <c r="O88" i="1"/>
  <c r="O90" i="1"/>
  <c r="O93" i="1"/>
  <c r="O99" i="1"/>
  <c r="O94" i="1"/>
  <c r="O97" i="1"/>
  <c r="O89" i="1"/>
  <c r="O92" i="1"/>
  <c r="O100" i="1"/>
  <c r="O98" i="1"/>
  <c r="O91" i="1"/>
  <c r="O87" i="1"/>
  <c r="O96" i="1"/>
  <c r="O86" i="1"/>
  <c r="AD108" i="1"/>
  <c r="AD97" i="1"/>
  <c r="AD100" i="1"/>
  <c r="AD86" i="1"/>
  <c r="AD101" i="1"/>
  <c r="AD96" i="1"/>
  <c r="AD92" i="1"/>
  <c r="AD94" i="1"/>
  <c r="AD87" i="1"/>
  <c r="AD99" i="1"/>
  <c r="AD91" i="1"/>
  <c r="AD95" i="1"/>
  <c r="AD93" i="1"/>
  <c r="AD98" i="1"/>
  <c r="AD88" i="1"/>
  <c r="AD90" i="1"/>
  <c r="AD89" i="1"/>
  <c r="Y108" i="1"/>
  <c r="Y93" i="1"/>
  <c r="Y92" i="1"/>
  <c r="Y91" i="1"/>
  <c r="Y90" i="1"/>
  <c r="Y88" i="1"/>
  <c r="Y99" i="1"/>
  <c r="Y87" i="1"/>
  <c r="Y94" i="1"/>
  <c r="Y89" i="1"/>
  <c r="Y98" i="1"/>
  <c r="Y101" i="1"/>
  <c r="Y96" i="1"/>
  <c r="Y100" i="1"/>
  <c r="Y97" i="1"/>
  <c r="Y86" i="1"/>
  <c r="Y95" i="1"/>
  <c r="AC108" i="1"/>
  <c r="AC95" i="1"/>
  <c r="AC92" i="1"/>
  <c r="AC97" i="1"/>
  <c r="AC86" i="1"/>
  <c r="AC90" i="1"/>
  <c r="AC96" i="1"/>
  <c r="AC101" i="1"/>
  <c r="AC91" i="1"/>
  <c r="AC100" i="1"/>
  <c r="AC88" i="1"/>
  <c r="AC94" i="1"/>
  <c r="AC98" i="1"/>
  <c r="AC93" i="1"/>
  <c r="AC99" i="1"/>
  <c r="AC89" i="1"/>
  <c r="AC8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<sst xmlns="http://schemas.openxmlformats.org/spreadsheetml/2006/main" count="123" uniqueCount="101">
  <si>
    <t>headline year</t>
  </si>
  <si>
    <t>current</t>
  </si>
  <si>
    <t>CBMS RECO</t>
  </si>
  <si>
    <t>1000001 - Income</t>
  </si>
  <si>
    <t>2000000 - Total Expenses</t>
  </si>
  <si>
    <t>5000000 - Total Assets</t>
  </si>
  <si>
    <t>6210000 - Net Cash (from)/to Operating Activities</t>
  </si>
  <si>
    <t>6220000 - Net Cash (from)/to Investing Activities</t>
  </si>
  <si>
    <t>6230000 - Net Cash (from)/to Financing Activities</t>
  </si>
  <si>
    <t>6800000 - Net Cash from/(to) Clearing Accounts</t>
  </si>
  <si>
    <t>9000020 - Capital Budget Statement</t>
  </si>
  <si>
    <t>9100000 - Total New Capital Appropriation</t>
  </si>
  <si>
    <t>9200000 - Total Items</t>
  </si>
  <si>
    <t>9300000 - Total Purchases of Non-Financial Assets</t>
  </si>
  <si>
    <t>9000851 - Special Accounts Schedule</t>
  </si>
  <si>
    <t>9000860 - Closing balance of special accounts</t>
  </si>
  <si>
    <t>9000880 - Closing balance and related investments - Special Accounts</t>
  </si>
  <si>
    <t>D</t>
  </si>
  <si>
    <t>N</t>
  </si>
  <si>
    <t>[Begin Format Range]</t>
  </si>
  <si>
    <t>[End Format Range]</t>
  </si>
  <si>
    <t>CBMS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</si>
  <si>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</si>
  <si>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</si>
  <si>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</si>
  <si>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</si>
  <si>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</si>
  <si>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</si>
  <si>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</si>
  <si>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</si>
  <si>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</si>
  <si>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Variable measure</t>
  </si>
  <si>
    <t>value</t>
  </si>
  <si>
    <t>importance</t>
  </si>
  <si>
    <t>headline scenario</t>
  </si>
  <si>
    <t>archive year</t>
  </si>
  <si>
    <t>archive scenario</t>
  </si>
  <si>
    <t>Client Preference</t>
  </si>
  <si>
    <t>geus hl year</t>
  </si>
  <si>
    <t>geus scenario</t>
  </si>
  <si>
    <t>geus adj</t>
  </si>
  <si>
    <t>geus programme</t>
  </si>
  <si>
    <t>sys_clilent favourite application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</si>
  <si>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</si>
  <si>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</si>
  <si>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</si>
  <si>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</si>
  <si>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</si>
  <si>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</si>
  <si>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</si>
  <si>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</si>
  <si>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</si>
  <si>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</si>
  <si>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</si>
  <si>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</si>
  <si>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</si>
  <si>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</si>
  <si>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Homepage - Under Construction</t>
  </si>
  <si>
    <t>Adjustment - ID List</t>
  </si>
  <si>
    <t>Admin Archive - CBMS GEUS Reconciliation Summary Report</t>
  </si>
  <si>
    <t>Admin Archive - CBMS GEUS Reconciliation</t>
  </si>
  <si>
    <t>Homepage - Administration - Baseline</t>
  </si>
  <si>
    <t>Active Form</t>
  </si>
  <si>
    <t>Slice View</t>
  </si>
  <si>
    <t>Account MDX</t>
  </si>
  <si>
    <t>Account</t>
  </si>
  <si>
    <t>3000000 - Total Liability</t>
  </si>
  <si>
    <t>4000000 - Equity</t>
  </si>
  <si>
    <t>Headline Year :</t>
  </si>
  <si>
    <t>Status :</t>
  </si>
  <si>
    <t>Outcome :</t>
  </si>
  <si>
    <t>Related Entity :</t>
  </si>
  <si>
    <t>Function :</t>
  </si>
  <si>
    <t xml:space="preserve">Reason : </t>
  </si>
  <si>
    <t xml:space="preserve">SPP : </t>
  </si>
  <si>
    <t xml:space="preserve">Measure Code  : </t>
  </si>
  <si>
    <t>Appropriation Type :</t>
  </si>
  <si>
    <t>Appropriation Item :</t>
  </si>
  <si>
    <t xml:space="preserve">ID : </t>
  </si>
  <si>
    <t>Jurisdiction :</t>
  </si>
  <si>
    <t>Account :</t>
  </si>
  <si>
    <t>Movement Account :</t>
  </si>
  <si>
    <t>Index Change</t>
  </si>
  <si>
    <t>Period</t>
  </si>
  <si>
    <t>GEUS Annual Estimates</t>
  </si>
  <si>
    <t>CBMS Data</t>
  </si>
  <si>
    <t>Variance (CBMS - GEUS)</t>
  </si>
  <si>
    <t>REPORT PARAMETERS</t>
  </si>
  <si>
    <t>REPORT DETAIL PARAMETERS</t>
  </si>
  <si>
    <t>MA MDX</t>
  </si>
  <si>
    <t>Admin Archive - CBMS GEUS Reconciliation Detail Report</t>
  </si>
  <si>
    <t>GEUS and CBMS Reconciliation Summary</t>
  </si>
  <si>
    <t xml:space="preserve">DETAILED REPORT </t>
  </si>
  <si>
    <t>SUMMARY TOTALS</t>
  </si>
  <si>
    <t>Note : Detailed Report can be filtered to drill down to see specific account code using the Report Detail Parameters.</t>
  </si>
  <si>
    <t>Note : For a more detailed report, highlight any of the numbers and click the 'DRILL DOWN REPORT' button.</t>
  </si>
  <si>
    <t>Program :</t>
  </si>
  <si>
    <t>TM1AdminArcCBMSRecoWS</t>
  </si>
  <si>
    <t>Admin Archive - CBMS GEUS Reconciliation Program Detail Report</t>
  </si>
  <si>
    <t>Admin Archive - CBMS GEUS Reconciliation Approp Report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</si>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</sst>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[Red]_(* \(#,##0\);_(* &quot;-&quot;??_);_(@_)"/>
    <numFmt numFmtId="165" formatCode="\-\ 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F4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0" borderId="0" xfId="0" applyFont="1" applyAlignment="1">
      <alignment horizontal="right" vertical="top" indent="1"/>
    </xf>
    <xf numFmtId="164" fontId="4" fillId="0" borderId="4" xfId="0" applyNumberFormat="1" applyFont="1" applyBorder="1"/>
    <xf numFmtId="0" fontId="4" fillId="0" borderId="4" xfId="0" applyFont="1" applyBorder="1"/>
    <xf numFmtId="0" fontId="4" fillId="5" borderId="4" xfId="0" applyFont="1" applyFill="1" applyBorder="1"/>
    <xf numFmtId="164" fontId="4" fillId="5" borderId="4" xfId="0" applyNumberFormat="1" applyFont="1" applyFill="1" applyBorder="1"/>
    <xf numFmtId="0" fontId="5" fillId="6" borderId="4" xfId="0" applyFont="1" applyFill="1" applyBorder="1"/>
    <xf numFmtId="164" fontId="5" fillId="6" borderId="4" xfId="0" applyNumberFormat="1" applyFont="1" applyFill="1" applyBorder="1"/>
    <xf numFmtId="164" fontId="4" fillId="6" borderId="4" xfId="0" applyNumberFormat="1" applyFont="1" applyFill="1" applyBorder="1"/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4" fontId="5" fillId="6" borderId="5" xfId="0" applyNumberFormat="1" applyFont="1" applyFill="1" applyBorder="1"/>
    <xf numFmtId="164" fontId="4" fillId="5" borderId="5" xfId="0" applyNumberFormat="1" applyFont="1" applyFill="1" applyBorder="1"/>
    <xf numFmtId="164" fontId="4" fillId="0" borderId="5" xfId="0" applyNumberFormat="1" applyFont="1" applyBorder="1"/>
    <xf numFmtId="0" fontId="1" fillId="4" borderId="9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top" indent="1"/>
    </xf>
    <xf numFmtId="0" fontId="6" fillId="4" borderId="0" xfId="0" applyFont="1" applyFill="1" applyAlignment="1">
      <alignment horizontal="right" vertical="center"/>
    </xf>
    <xf numFmtId="0" fontId="1" fillId="4" borderId="10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indent="1"/>
    </xf>
    <xf numFmtId="0" fontId="6" fillId="4" borderId="0" xfId="0" applyFont="1" applyFill="1" applyAlignment="1">
      <alignment horizontal="left" vertical="center"/>
    </xf>
    <xf numFmtId="165" fontId="5" fillId="6" borderId="4" xfId="0" applyNumberFormat="1" applyFont="1" applyFill="1" applyBorder="1"/>
    <xf numFmtId="0" fontId="1" fillId="7" borderId="12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7" fillId="0" borderId="0" xfId="0" applyFont="1" applyAlignment="1">
      <alignment horizontal="left" indent="1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4" xfId="0" applyBorder="1" applyAlignment="1" applyProtection="1">
      <alignment horizontal="left" indent="1"/>
      <protection locked="0"/>
    </xf>
    <xf numFmtId="0" fontId="0" fillId="0" borderId="4" xfId="0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28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Approp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AppropWB"/>
  <ax:ocxPr ax:name="TargetWorksheetName" ax:value="=TM1AdminArcCBMSRecoApprop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40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Program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ProgDetWB"/>
  <ax:ocxPr ax:name="TargetWorksheetName" ax:value="=TM1AdminArcCBMSRecoProgDetWS"/>
  <ax:ocxPr ax:name="AutoTitles" ax:value="-1"/>
  <ax:ocxPr ax:name="ReplaceWindow" ax:value="-1"/>
  <ax:ocxPr ax:name="IsMappingFormula" ax:value="0"/>
  <ax:ocxPr ax:name="TargetTypes" ax:value="0"/>
  <ax:ocxPr ax:name="TargetObjects" ax:value="account"/>
  <ax:ocxPr ax:name="TargetSubsets" ax:value=""/>
  <ax:ocxPr ax:name="TargetAliases" ax:value="code and description"/>
  <ax:ocxPr ax:name="TargetValues" ax:value=""/>
  <ax:ocxPr ax:name="SourceTypes" ax:value="1"/>
  <ax:ocxPr ax:name="SourceObjects" ax:value="account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688"/>
  <ax:ocxPr ax:name="_ExtentY" ax:value="265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17"/>
  <ax:ocxPr ax:name="_ExtentY" ax:value="265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Baseline Menu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dminBaseWB"/>
  <ax:ocxPr ax:name="TargetWorksheetName" ax:value="=TM1HomeAdminBas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dminBaseCAP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011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Upload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WB"/>
  <ax:ocxPr ax:name="TargetWorksheetName" ax:value="=TM1AdminArcCBMSReco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757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Detail Drill Down Report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RepDetWB"/>
  <ax:ocxPr ax:name="TargetWorksheetName" ax:value="=TM1AdminArcCBMSRecoRepDetWS"/>
  <ax:ocxPr ax:name="AutoTitles" ax:value="-1"/>
  <ax:ocxPr ax:name="ReplaceWindow" ax:value="-1"/>
  <ax:ocxPr ax:name="IsMappingFormula" ax:value="0"/>
  <ax:ocxPr ax:name="TargetTypes" ax:value="0"/>
  <ax:ocxPr ax:name="TargetObjects" ax:value="account"/>
  <ax:ocxPr ax:name="TargetSubsets" ax:value=""/>
  <ax:ocxPr ax:name="TargetAliases" ax:value="code and description"/>
  <ax:ocxPr ax:name="TargetValues" ax:value=""/>
  <ax:ocxPr ax:name="SourceTypes" ax:value="1"/>
  <ax:ocxPr ax:name="SourceObjects" ax:value="account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6.emf"/><Relationship Id="rId7" Type="http://schemas.openxmlformats.org/officeDocument/2006/relationships/image" Target="../media/image2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3.emf"/><Relationship Id="rId5" Type="http://schemas.openxmlformats.org/officeDocument/2006/relationships/image" Target="../media/image8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70</xdr:row>
      <xdr:rowOff>19050</xdr:rowOff>
    </xdr:from>
    <xdr:to>
      <xdr:col>9</xdr:col>
      <xdr:colOff>1790700</xdr:colOff>
      <xdr:row>70</xdr:row>
      <xdr:rowOff>472440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666750</xdr:colOff>
          <xdr:row>72</xdr:row>
          <xdr:rowOff>0</xdr:rowOff>
        </xdr:from>
        <xdr:to>
          <xdr:col>15</xdr:col>
          <xdr:colOff>533400</xdr:colOff>
          <xdr:row>72</xdr:row>
          <xdr:rowOff>247650</xdr:rowOff>
        </xdr:to>
        <xdr:sp macro="" textlink="">
          <xdr:nvSpPr>
            <xdr:cNvPr id="1239" name="TIButton1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72</xdr:row>
          <xdr:rowOff>0</xdr:rowOff>
        </xdr:from>
        <xdr:to>
          <xdr:col>9</xdr:col>
          <xdr:colOff>676275</xdr:colOff>
          <xdr:row>72</xdr:row>
          <xdr:rowOff>247650</xdr:rowOff>
        </xdr:to>
        <xdr:sp macro="" textlink="">
          <xdr:nvSpPr>
            <xdr:cNvPr id="1240" name="TIButton3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714375</xdr:colOff>
          <xdr:row>72</xdr:row>
          <xdr:rowOff>0</xdr:rowOff>
        </xdr:from>
        <xdr:to>
          <xdr:col>9</xdr:col>
          <xdr:colOff>1838325</xdr:colOff>
          <xdr:row>72</xdr:row>
          <xdr:rowOff>247650</xdr:rowOff>
        </xdr:to>
        <xdr:sp macro="" textlink="">
          <xdr:nvSpPr>
            <xdr:cNvPr id="1241" name="TIButton2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1866900</xdr:colOff>
          <xdr:row>72</xdr:row>
          <xdr:rowOff>0</xdr:rowOff>
        </xdr:from>
        <xdr:to>
          <xdr:col>9</xdr:col>
          <xdr:colOff>2933700</xdr:colOff>
          <xdr:row>72</xdr:row>
          <xdr:rowOff>247650</xdr:rowOff>
        </xdr:to>
        <xdr:sp macro="" textlink="">
          <xdr:nvSpPr>
            <xdr:cNvPr id="1242" name="TIButton4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2981325</xdr:colOff>
          <xdr:row>72</xdr:row>
          <xdr:rowOff>0</xdr:rowOff>
        </xdr:from>
        <xdr:to>
          <xdr:col>11</xdr:col>
          <xdr:colOff>676275</xdr:colOff>
          <xdr:row>72</xdr:row>
          <xdr:rowOff>247650</xdr:rowOff>
        </xdr:to>
        <xdr:sp macro="" textlink="">
          <xdr:nvSpPr>
            <xdr:cNvPr id="1286" name="TIButton5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514350</xdr:colOff>
          <xdr:row>71</xdr:row>
          <xdr:rowOff>28575</xdr:rowOff>
        </xdr:from>
        <xdr:to>
          <xdr:col>22</xdr:col>
          <xdr:colOff>828675</xdr:colOff>
          <xdr:row>72</xdr:row>
          <xdr:rowOff>285750</xdr:rowOff>
        </xdr:to>
        <xdr:sp macro="" textlink="">
          <xdr:nvSpPr>
            <xdr:cNvPr id="1296" name="TIButton6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714375</xdr:colOff>
          <xdr:row>72</xdr:row>
          <xdr:rowOff>0</xdr:rowOff>
        </xdr:from>
        <xdr:to>
          <xdr:col>13</xdr:col>
          <xdr:colOff>228600</xdr:colOff>
          <xdr:row>72</xdr:row>
          <xdr:rowOff>247650</xdr:rowOff>
        </xdr:to>
        <xdr:sp macro="" textlink="">
          <xdr:nvSpPr>
            <xdr:cNvPr id="1298" name="TIButton7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276225</xdr:colOff>
          <xdr:row>72</xdr:row>
          <xdr:rowOff>0</xdr:rowOff>
        </xdr:from>
        <xdr:to>
          <xdr:col>14</xdr:col>
          <xdr:colOff>600075</xdr:colOff>
          <xdr:row>72</xdr:row>
          <xdr:rowOff>247650</xdr:rowOff>
        </xdr:to>
        <xdr:sp macro="" textlink="">
          <xdr:nvSpPr>
            <xdr:cNvPr id="1299" name="TIButton8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8E77-6365-4B71-B422-C7DB7F9650B2}">
  <sheetPr codeName="Sheet1">
    <outlinePr showOutlineSymbols="0"/>
    <pageSetUpPr fitToPage="1"/>
  </sheetPr>
  <dimension ref="A1:AD108"/>
  <sheetViews>
    <sheetView showGridLines="0" tabSelected="1" showOutlineSymbols="0" topLeftCell="I71" zoomScaleNormal="100" workbookViewId="0"/>
  </sheetViews>
  <sheetFormatPr defaultRowHeight="15" outlineLevelRow="1" outlineLevelCol="1" x14ac:dyDescent="0.25"/>
  <cols>
    <col min="1" max="1" width="2.7109375" hidden="1" customWidth="1" outlineLevel="1"/>
    <col min="2" max="4" width="20.28515625" hidden="1" customWidth="1" outlineLevel="1"/>
    <col min="5" max="5" width="30.28515625" hidden="1" customWidth="1" outlineLevel="1"/>
    <col min="6" max="6" width="20.28515625" hidden="1" customWidth="1" outlineLevel="1"/>
    <col min="7" max="7" width="35.42578125" hidden="1" customWidth="1" outlineLevel="1"/>
    <col min="8" max="8" width="20.28515625" hidden="1" customWidth="1" outlineLevel="1"/>
    <col min="9" max="9" width="0.85546875" customWidth="1" collapsed="1"/>
    <col min="10" max="10" width="50.7109375" customWidth="1"/>
    <col min="11" max="16" width="13.7109375" customWidth="1"/>
    <col min="17" max="17" width="0.85546875" customWidth="1"/>
    <col min="18" max="23" width="13.7109375" customWidth="1"/>
    <col min="24" max="24" width="0.85546875" customWidth="1"/>
    <col min="25" max="30" width="13.7109375" customWidth="1"/>
  </cols>
  <sheetData>
    <row r="1" spans="1:30" hidden="1" outlineLevel="1" x14ac:dyDescent="0.25">
      <c r="A1" t="s">
        <v>19</v>
      </c>
      <c r="B1" t="e">
        <f ca="1">_xll.VIEW(db_name&amp;":AE adjustments",$K$80,"!",$K$82,$C$66,$C$57,$C$58,$C$64,$C$63,$C$59,$C$60,$C$67,$C$65,$K$81,"!",$C$61,$C$62,"!")</f>
        <v>#NAME?</v>
      </c>
    </row>
    <row r="2" spans="1:30" hidden="1" outlineLevel="1" x14ac:dyDescent="0.25">
      <c r="A2">
        <f>0</f>
        <v>0</v>
      </c>
      <c r="J2" s="14"/>
      <c r="K2" s="15"/>
      <c r="L2" s="15"/>
      <c r="M2" s="15"/>
      <c r="N2" s="15"/>
      <c r="O2" s="15"/>
      <c r="P2" s="15"/>
      <c r="Q2" s="19"/>
      <c r="R2" s="15"/>
      <c r="S2" s="15"/>
      <c r="T2" s="15"/>
      <c r="U2" s="15"/>
      <c r="V2" s="15"/>
      <c r="W2" s="15"/>
      <c r="X2" s="19"/>
      <c r="Y2" s="15"/>
      <c r="Z2" s="15"/>
      <c r="AA2" s="15"/>
      <c r="AB2" s="15"/>
      <c r="AC2" s="15"/>
      <c r="AD2" s="15"/>
    </row>
    <row r="3" spans="1:30" hidden="1" outlineLevel="1" x14ac:dyDescent="0.25">
      <c r="A3">
        <f>1</f>
        <v>1</v>
      </c>
      <c r="J3" s="14"/>
      <c r="K3" s="15"/>
      <c r="L3" s="15"/>
      <c r="M3" s="15"/>
      <c r="N3" s="15"/>
      <c r="O3" s="15"/>
      <c r="P3" s="15"/>
      <c r="Q3" s="19"/>
      <c r="R3" s="15"/>
      <c r="S3" s="15"/>
      <c r="T3" s="15"/>
      <c r="U3" s="15"/>
      <c r="V3" s="15"/>
      <c r="W3" s="15"/>
      <c r="X3" s="19"/>
      <c r="Y3" s="15"/>
      <c r="Z3" s="15"/>
      <c r="AA3" s="15"/>
      <c r="AB3" s="15"/>
      <c r="AC3" s="15"/>
      <c r="AD3" s="15"/>
    </row>
    <row r="4" spans="1:30" hidden="1" outlineLevel="1" x14ac:dyDescent="0.25">
      <c r="A4">
        <f>2</f>
        <v>2</v>
      </c>
      <c r="J4" s="14"/>
      <c r="K4" s="15"/>
      <c r="L4" s="15"/>
      <c r="M4" s="15"/>
      <c r="N4" s="15"/>
      <c r="O4" s="15"/>
      <c r="P4" s="15"/>
      <c r="Q4" s="19"/>
      <c r="R4" s="15"/>
      <c r="S4" s="15"/>
      <c r="T4" s="15"/>
      <c r="U4" s="15"/>
      <c r="V4" s="15"/>
      <c r="W4" s="15"/>
      <c r="X4" s="19"/>
      <c r="Y4" s="15"/>
      <c r="Z4" s="15"/>
      <c r="AA4" s="15"/>
      <c r="AB4" s="15"/>
      <c r="AC4" s="15"/>
      <c r="AD4" s="15"/>
    </row>
    <row r="5" spans="1:30" hidden="1" outlineLevel="1" x14ac:dyDescent="0.25">
      <c r="A5">
        <f>3</f>
        <v>3</v>
      </c>
      <c r="J5" s="14"/>
      <c r="K5" s="15"/>
      <c r="L5" s="15"/>
      <c r="M5" s="15"/>
      <c r="N5" s="15"/>
      <c r="O5" s="15"/>
      <c r="P5" s="15"/>
      <c r="Q5" s="19"/>
      <c r="R5" s="15"/>
      <c r="S5" s="15"/>
      <c r="T5" s="15"/>
      <c r="U5" s="15"/>
      <c r="V5" s="15"/>
      <c r="W5" s="15"/>
      <c r="X5" s="19"/>
      <c r="Y5" s="15"/>
      <c r="Z5" s="15"/>
      <c r="AA5" s="15"/>
      <c r="AB5" s="15"/>
      <c r="AC5" s="15"/>
      <c r="AD5" s="15"/>
    </row>
    <row r="6" spans="1:30" hidden="1" outlineLevel="1" x14ac:dyDescent="0.25">
      <c r="A6" t="s">
        <v>17</v>
      </c>
      <c r="J6" s="12"/>
      <c r="K6" s="13"/>
      <c r="L6" s="13"/>
      <c r="M6" s="13"/>
      <c r="N6" s="13"/>
      <c r="O6" s="13"/>
      <c r="P6" s="13"/>
      <c r="Q6" s="20"/>
      <c r="R6" s="13"/>
      <c r="S6" s="13"/>
      <c r="T6" s="13"/>
      <c r="U6" s="13"/>
      <c r="V6" s="13"/>
      <c r="W6" s="13"/>
      <c r="X6" s="20"/>
      <c r="Y6" s="13"/>
      <c r="Z6" s="13"/>
      <c r="AA6" s="13"/>
      <c r="AB6" s="13"/>
      <c r="AC6" s="13"/>
      <c r="AD6" s="13"/>
    </row>
    <row r="7" spans="1:30" hidden="1" outlineLevel="1" x14ac:dyDescent="0.25">
      <c r="A7" t="s">
        <v>18</v>
      </c>
      <c r="J7" s="11"/>
      <c r="K7" s="10"/>
      <c r="L7" s="10"/>
      <c r="M7" s="10"/>
      <c r="N7" s="10"/>
      <c r="O7" s="10"/>
      <c r="P7" s="10"/>
      <c r="Q7" s="21"/>
      <c r="R7" s="10"/>
      <c r="S7" s="10"/>
      <c r="T7" s="10"/>
      <c r="U7" s="10"/>
      <c r="V7" s="10"/>
      <c r="W7" s="10"/>
      <c r="X7" s="21"/>
      <c r="Y7" s="10"/>
      <c r="Z7" s="10"/>
      <c r="AA7" s="10"/>
      <c r="AB7" s="10"/>
      <c r="AC7" s="10"/>
      <c r="AD7" s="10"/>
    </row>
    <row r="8" spans="1:30" hidden="1" outlineLevel="1" x14ac:dyDescent="0.25">
      <c r="A8" t="s">
        <v>20</v>
      </c>
    </row>
    <row r="9" spans="1:30" hidden="1" outlineLevel="1" x14ac:dyDescent="0.25"/>
    <row r="10" spans="1:30" hidden="1" outlineLevel="1" x14ac:dyDescent="0.25"/>
    <row r="11" spans="1:30" hidden="1" outlineLevel="1" x14ac:dyDescent="0.25">
      <c r="B11" s="37" t="s">
        <v>22</v>
      </c>
      <c r="C11" s="38"/>
      <c r="D11" s="39"/>
    </row>
    <row r="12" spans="1:30" hidden="1" outlineLevel="1" x14ac:dyDescent="0.25">
      <c r="B12" s="2" t="s">
        <v>23</v>
      </c>
      <c r="C12" s="3" t="s">
        <v>100</v>
      </c>
      <c r="D12" s="4"/>
    </row>
    <row r="13" spans="1:30" hidden="1" outlineLevel="1" x14ac:dyDescent="0.25">
      <c r="B13" s="2" t="s">
        <v>24</v>
      </c>
      <c r="C13" s="5" t="e" cm="1">
        <f t="array" aca="1" ref="C13" ca="1">_xll.VIEW(db_name&amp;":}ElementAttributes_}Clients","!","!")</f>
        <v>#NAME?</v>
      </c>
      <c r="D13" s="4"/>
    </row>
    <row r="14" spans="1:30" hidden="1" outlineLevel="1" x14ac:dyDescent="0.25">
      <c r="B14" s="2" t="s">
        <v>25</v>
      </c>
      <c r="C14" s="3" t="e" cm="1">
        <f t="array" aca="1" ref="C14" ca="1">_xll.TM1USER(db_name)</f>
        <v>#NAME?</v>
      </c>
      <c r="D14" s="4"/>
    </row>
    <row r="15" spans="1:30" hidden="1" outlineLevel="1" x14ac:dyDescent="0.25">
      <c r="B15" s="2" t="s">
        <v>26</v>
      </c>
      <c r="C15" s="3" t="e" cm="1">
        <f t="array" aca="1" ref="C15" ca="1">_xll.DBR($C$13,$C$14,$B15)</f>
        <v>#NAME?</v>
      </c>
      <c r="D15" s="4"/>
    </row>
    <row r="16" spans="1:30" hidden="1" outlineLevel="1" x14ac:dyDescent="0.25">
      <c r="B16" s="2" t="s">
        <v>27</v>
      </c>
      <c r="C16" s="3" t="e" cm="1">
        <f t="array" aca="1" ref="C16" ca="1">_xll.DBR($C$13,$C$14,$B16)</f>
        <v>#NAME?</v>
      </c>
      <c r="D16" s="4"/>
    </row>
    <row r="17" spans="2:30" hidden="1" outlineLevel="1" x14ac:dyDescent="0.25">
      <c r="B17" s="2" t="s">
        <v>28</v>
      </c>
      <c r="C17" s="3" t="e">
        <f ca="1">IF(LEFT($C$14,6)="CAM_AD",$C$15,$C$14)</f>
        <v>#NAME?</v>
      </c>
      <c r="D17" s="6"/>
    </row>
    <row r="18" spans="2:30" hidden="1" outlineLevel="1" x14ac:dyDescent="0.25"/>
    <row r="19" spans="2:30" hidden="1" outlineLevel="1" x14ac:dyDescent="0.25">
      <c r="B19" s="37" t="s">
        <v>29</v>
      </c>
      <c r="C19" s="38"/>
      <c r="D19" s="39"/>
      <c r="J19" s="6" t="e">
        <f ca="1">RIGHT(psHLYear,9)</f>
        <v>#NAME?</v>
      </c>
    </row>
    <row r="20" spans="2:30" hidden="1" outlineLevel="1" x14ac:dyDescent="0.25">
      <c r="B20" s="2" t="s">
        <v>30</v>
      </c>
      <c r="C20" s="6" t="e" cm="1">
        <f t="array" aca="1" ref="C20" ca="1">_xll.VIEW(db_name&amp;":}ElementAttributes_variables","!","!")</f>
        <v>#NAME?</v>
      </c>
      <c r="D20" s="6"/>
      <c r="J20" s="6" t="s">
        <v>82</v>
      </c>
      <c r="K20" s="6">
        <v>-2</v>
      </c>
      <c r="L20" s="6">
        <v>-1</v>
      </c>
      <c r="M20" s="6">
        <v>0</v>
      </c>
      <c r="N20" s="6">
        <v>1</v>
      </c>
      <c r="O20" s="6">
        <v>2</v>
      </c>
      <c r="P20" s="6">
        <v>3</v>
      </c>
      <c r="Q20" s="6"/>
      <c r="R20" s="6">
        <v>-2</v>
      </c>
      <c r="S20" s="6">
        <v>-1</v>
      </c>
      <c r="T20" s="6">
        <v>0</v>
      </c>
      <c r="U20" s="6">
        <v>1</v>
      </c>
      <c r="V20" s="6">
        <v>2</v>
      </c>
      <c r="W20" s="6">
        <v>3</v>
      </c>
      <c r="X20" s="6"/>
      <c r="Y20" s="6">
        <v>-2</v>
      </c>
      <c r="Z20" s="6">
        <v>-1</v>
      </c>
      <c r="AA20" s="6">
        <v>0</v>
      </c>
      <c r="AB20" s="6">
        <v>1</v>
      </c>
      <c r="AC20" s="6">
        <v>2</v>
      </c>
      <c r="AD20" s="6">
        <v>3</v>
      </c>
    </row>
    <row r="21" spans="2:30" hidden="1" outlineLevel="1" x14ac:dyDescent="0.25">
      <c r="B21" s="2" t="s">
        <v>31</v>
      </c>
      <c r="C21" s="6" t="s">
        <v>32</v>
      </c>
      <c r="D21" s="6" t="s">
        <v>33</v>
      </c>
      <c r="J21" t="s">
        <v>83</v>
      </c>
      <c r="K21" s="6" t="e" cm="1">
        <f t="array" aca="1" ref="K21" ca="1">_xll.DIMNM(db_name&amp;":period",_xll.DIMIX(db_name&amp;":period",$J$19)+K20)</f>
        <v>#NAME?</v>
      </c>
      <c r="L21" s="6" t="e" cm="1">
        <f t="array" aca="1" ref="L21" ca="1">_xll.DIMNM(db_name&amp;":period",_xll.DIMIX(db_name&amp;":period",$J$19)+L20)</f>
        <v>#NAME?</v>
      </c>
      <c r="M21" s="6" t="e" cm="1">
        <f t="array" aca="1" ref="M21" ca="1">_xll.DIMNM(db_name&amp;":period",_xll.DIMIX(db_name&amp;":period",$J$19)+M20)</f>
        <v>#NAME?</v>
      </c>
      <c r="N21" s="6" t="e" cm="1">
        <f t="array" aca="1" ref="N21" ca="1">_xll.DIMNM(db_name&amp;":period",_xll.DIMIX(db_name&amp;":period",$J$19)+N20)</f>
        <v>#NAME?</v>
      </c>
      <c r="O21" s="6" t="e" cm="1">
        <f t="array" aca="1" ref="O21" ca="1">_xll.DIMNM(db_name&amp;":period",_xll.DIMIX(db_name&amp;":period",$J$19)+O20)</f>
        <v>#NAME?</v>
      </c>
      <c r="P21" s="6" t="e" cm="1">
        <f t="array" aca="1" ref="P21" ca="1">_xll.DIMNM(db_name&amp;":period",_xll.DIMIX(db_name&amp;":period",$J$19)+P20)</f>
        <v>#NAME?</v>
      </c>
      <c r="Q21" s="6"/>
      <c r="R21" s="6" t="e" cm="1">
        <f t="array" aca="1" ref="R21" ca="1">_xll.DIMNM(db_name&amp;":period",_xll.DIMIX(db_name&amp;":period",$J$19)+R20)</f>
        <v>#NAME?</v>
      </c>
      <c r="S21" s="6" t="e" cm="1">
        <f t="array" aca="1" ref="S21" ca="1">_xll.DIMNM(db_name&amp;":period",_xll.DIMIX(db_name&amp;":period",$J$19)+S20)</f>
        <v>#NAME?</v>
      </c>
      <c r="T21" s="6" t="e" cm="1">
        <f t="array" aca="1" ref="T21" ca="1">_xll.DIMNM(db_name&amp;":period",_xll.DIMIX(db_name&amp;":period",$J$19)+T20)</f>
        <v>#NAME?</v>
      </c>
      <c r="U21" s="6" t="e" cm="1">
        <f t="array" aca="1" ref="U21" ca="1">_xll.DIMNM(db_name&amp;":period",_xll.DIMIX(db_name&amp;":period",$J$19)+U20)</f>
        <v>#NAME?</v>
      </c>
      <c r="V21" s="6" t="e" cm="1">
        <f t="array" aca="1" ref="V21" ca="1">_xll.DIMNM(db_name&amp;":period",_xll.DIMIX(db_name&amp;":period",$J$19)+V20)</f>
        <v>#NAME?</v>
      </c>
      <c r="W21" s="6" t="e" cm="1">
        <f t="array" aca="1" ref="W21" ca="1">_xll.DIMNM(db_name&amp;":period",_xll.DIMIX(db_name&amp;":period",$J$19)+W20)</f>
        <v>#NAME?</v>
      </c>
      <c r="X21" s="6"/>
      <c r="Y21" s="6" t="e" cm="1">
        <f t="array" aca="1" ref="Y21" ca="1">_xll.DIMNM(db_name&amp;":period",_xll.DIMIX(db_name&amp;":period",$J$19)+Y20)</f>
        <v>#NAME?</v>
      </c>
      <c r="Z21" s="6" t="e" cm="1">
        <f t="array" aca="1" ref="Z21" ca="1">_xll.DIMNM(db_name&amp;":period",_xll.DIMIX(db_name&amp;":period",$J$19)+Z20)</f>
        <v>#NAME?</v>
      </c>
      <c r="AA21" s="6" t="e" cm="1">
        <f t="array" aca="1" ref="AA21" ca="1">_xll.DIMNM(db_name&amp;":period",_xll.DIMIX(db_name&amp;":period",$J$19)+AA20)</f>
        <v>#NAME?</v>
      </c>
      <c r="AB21" s="6" t="e" cm="1">
        <f t="array" aca="1" ref="AB21" ca="1">_xll.DIMNM(db_name&amp;":period",_xll.DIMIX(db_name&amp;":period",$J$19)+AB20)</f>
        <v>#NAME?</v>
      </c>
      <c r="AC21" s="6" t="e" cm="1">
        <f t="array" aca="1" ref="AC21" ca="1">_xll.DIMNM(db_name&amp;":period",_xll.DIMIX(db_name&amp;":period",$J$19)+AC20)</f>
        <v>#NAME?</v>
      </c>
      <c r="AD21" s="6" t="e" cm="1">
        <f t="array" aca="1" ref="AD21" ca="1">_xll.DIMNM(db_name&amp;":period",_xll.DIMIX(db_name&amp;":period",$J$19)+AD20)</f>
        <v>#NAME?</v>
      </c>
    </row>
    <row r="22" spans="2:30" hidden="1" outlineLevel="1" x14ac:dyDescent="0.25">
      <c r="B22" s="2" t="s">
        <v>0</v>
      </c>
      <c r="C22" s="6" t="e" cm="1">
        <f t="array" aca="1" ref="C22" ca="1">_xll.DBR($C$20,$B22,"value")</f>
        <v>#NAME?</v>
      </c>
      <c r="D22" s="6"/>
    </row>
    <row r="23" spans="2:30" hidden="1" outlineLevel="1" x14ac:dyDescent="0.25">
      <c r="B23" s="2" t="s">
        <v>34</v>
      </c>
      <c r="C23" s="6" t="e" cm="1">
        <f t="array" aca="1" ref="C23" ca="1">_xll.DBR($C$20,$B23,"value")</f>
        <v>#NAME?</v>
      </c>
      <c r="D23" s="6"/>
    </row>
    <row r="24" spans="2:30" hidden="1" outlineLevel="1" x14ac:dyDescent="0.25">
      <c r="B24" s="2" t="s">
        <v>35</v>
      </c>
      <c r="C24" s="6" t="e" cm="1">
        <f t="array" aca="1" ref="C24" ca="1">_xll.DBR($C$20,$B24,"value")</f>
        <v>#NAME?</v>
      </c>
      <c r="D24" s="6"/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 t="s">
        <v>1</v>
      </c>
      <c r="Q24" s="1"/>
      <c r="R24" s="1" t="s">
        <v>21</v>
      </c>
      <c r="S24" s="1" t="s">
        <v>21</v>
      </c>
      <c r="T24" s="1" t="s">
        <v>21</v>
      </c>
      <c r="U24" s="1" t="s">
        <v>21</v>
      </c>
      <c r="V24" s="1" t="s">
        <v>21</v>
      </c>
      <c r="W24" s="1" t="s">
        <v>21</v>
      </c>
      <c r="X24" s="1"/>
      <c r="Y24" s="1" t="s">
        <v>2</v>
      </c>
      <c r="Z24" s="1" t="s">
        <v>2</v>
      </c>
      <c r="AA24" s="1" t="s">
        <v>2</v>
      </c>
      <c r="AB24" s="1" t="s">
        <v>2</v>
      </c>
      <c r="AC24" s="1" t="s">
        <v>2</v>
      </c>
      <c r="AD24" s="1" t="s">
        <v>2</v>
      </c>
    </row>
    <row r="25" spans="2:30" hidden="1" outlineLevel="1" x14ac:dyDescent="0.25">
      <c r="B25" s="2" t="s">
        <v>36</v>
      </c>
      <c r="C25" s="6" t="e" cm="1">
        <f t="array" aca="1" ref="C25" ca="1">_xll.DBR($C$20,$B25,"value")</f>
        <v>#NAME?</v>
      </c>
      <c r="D25" s="6"/>
    </row>
    <row r="26" spans="2:30" hidden="1" outlineLevel="1" x14ac:dyDescent="0.25"/>
    <row r="27" spans="2:30" hidden="1" outlineLevel="1" x14ac:dyDescent="0.25">
      <c r="B27" s="37" t="s">
        <v>37</v>
      </c>
      <c r="C27" s="38"/>
      <c r="D27" s="39"/>
    </row>
    <row r="28" spans="2:30" hidden="1" outlineLevel="1" x14ac:dyDescent="0.25">
      <c r="B28" s="2" t="s">
        <v>30</v>
      </c>
      <c r="C28" s="6" t="e" cm="1">
        <f t="array" aca="1" ref="C28" ca="1">_xll.VIEW(db_name&amp;":sys_client preference","!","!","!")</f>
        <v>#NAME?</v>
      </c>
      <c r="D28" s="6"/>
    </row>
    <row r="29" spans="2:30" hidden="1" outlineLevel="1" x14ac:dyDescent="0.25">
      <c r="B29" s="2" t="s">
        <v>38</v>
      </c>
      <c r="C29" s="6" t="e" cm="1">
        <f t="array" aca="1" ref="C29" ca="1">_xll.DBR(C$28,psUser,$B29,"value")</f>
        <v>#NAME?</v>
      </c>
      <c r="D29" s="6"/>
    </row>
    <row r="30" spans="2:30" hidden="1" outlineLevel="1" x14ac:dyDescent="0.25">
      <c r="B30" s="2" t="s">
        <v>39</v>
      </c>
      <c r="C30" s="6" t="e" cm="1">
        <f t="array" aca="1" ref="C30" ca="1">_xll.DBR(C$28,psUser,$B30,"value")</f>
        <v>#NAME?</v>
      </c>
      <c r="D30" s="6"/>
    </row>
    <row r="31" spans="2:30" hidden="1" outlineLevel="1" x14ac:dyDescent="0.25">
      <c r="B31" s="2" t="s">
        <v>40</v>
      </c>
      <c r="C31" s="6" t="e" cm="1">
        <f t="array" aca="1" ref="C31" ca="1">_xll.DBR(C$28,psUser,$B31,"value")</f>
        <v>#NAME?</v>
      </c>
      <c r="D31" s="6"/>
    </row>
    <row r="32" spans="2:30" hidden="1" outlineLevel="1" x14ac:dyDescent="0.25">
      <c r="B32" s="2" t="s">
        <v>41</v>
      </c>
      <c r="C32" s="6" t="e" cm="1">
        <f t="array" aca="1" ref="C32" ca="1">_xll.DBR(C$28,psUser,$B32,"value")</f>
        <v>#NAME?</v>
      </c>
      <c r="D32" s="6"/>
    </row>
    <row r="33" spans="2:8" hidden="1" outlineLevel="1" x14ac:dyDescent="0.25"/>
    <row r="34" spans="2:8" hidden="1" outlineLevel="1" x14ac:dyDescent="0.25">
      <c r="B34" s="37" t="s">
        <v>42</v>
      </c>
      <c r="C34" s="38"/>
      <c r="D34" s="39"/>
    </row>
    <row r="35" spans="2:8" hidden="1" outlineLevel="1" x14ac:dyDescent="0.25">
      <c r="B35" s="6" t="s">
        <v>43</v>
      </c>
      <c r="C35" s="6" t="e">
        <f ca="1">_xll.VIEW(db_name&amp;":sys_application","!","!")</f>
        <v>#NAME?</v>
      </c>
      <c r="D35" s="6"/>
    </row>
    <row r="36" spans="2:8" hidden="1" outlineLevel="1" x14ac:dyDescent="0.25">
      <c r="B36" s="2" t="s">
        <v>44</v>
      </c>
      <c r="C36" t="s">
        <v>59</v>
      </c>
    </row>
    <row r="37" spans="2:8" hidden="1" outlineLevel="1" x14ac:dyDescent="0.25">
      <c r="B37" s="7" t="s">
        <v>45</v>
      </c>
      <c r="C37" s="8" t="s">
        <v>46</v>
      </c>
      <c r="D37" s="8" t="s">
        <v>47</v>
      </c>
      <c r="E37" s="8" t="s">
        <v>48</v>
      </c>
      <c r="F37" s="8" t="s">
        <v>49</v>
      </c>
      <c r="G37" s="8" t="s">
        <v>50</v>
      </c>
      <c r="H37" s="8" t="s">
        <v>51</v>
      </c>
    </row>
    <row r="38" spans="2:8" hidden="1" outlineLevel="1" x14ac:dyDescent="0.25">
      <c r="B38" s="6" t="s">
        <v>52</v>
      </c>
      <c r="C38" s="6" t="e" cm="1">
        <f t="array" aca="1" ref="C38" ca="1">_xll.DBR($C$35,$B38,C$37)</f>
        <v>#NAME?</v>
      </c>
      <c r="D38" s="6" t="e" cm="1">
        <f t="array" aca="1" ref="D38" ca="1">_xll.DBR($C$35,$B38,D$37)</f>
        <v>#NAME?</v>
      </c>
      <c r="E38" s="6" t="e" cm="1">
        <f t="array" aca="1" ref="E38" ca="1">_xll.DBR($C$35,$B38,E$37)</f>
        <v>#NAME?</v>
      </c>
      <c r="F38" s="6" t="e" cm="1">
        <f t="array" aca="1" ref="F38" ca="1">_xll.DBR($C$35,$B38,F$37)</f>
        <v>#NAME?</v>
      </c>
      <c r="G38" s="6" t="e" cm="1">
        <f t="array" aca="1" ref="G38" ca="1">_xll.DBR($C$35,$B38,G$37)</f>
        <v>#NAME?</v>
      </c>
      <c r="H38" s="6" t="e" cm="1">
        <f t="array" aca="1" ref="H38" ca="1">_xll.DBR($C$35,$B38,H$37)</f>
        <v>#NAME?</v>
      </c>
    </row>
    <row r="39" spans="2:8" hidden="1" outlineLevel="1" x14ac:dyDescent="0.25">
      <c r="B39" s="6" t="s">
        <v>53</v>
      </c>
      <c r="C39" s="6" t="e" cm="1">
        <f t="array" aca="1" ref="C39" ca="1">_xll.DBR($C$35,$B39,C$37)</f>
        <v>#NAME?</v>
      </c>
      <c r="D39" s="6" t="e" cm="1">
        <f t="array" aca="1" ref="D39" ca="1">_xll.DBR($C$35,$B39,D$37)</f>
        <v>#NAME?</v>
      </c>
      <c r="E39" s="6" t="e" cm="1">
        <f t="array" aca="1" ref="E39" ca="1">_xll.DBR($C$35,$B39,E$37)</f>
        <v>#NAME?</v>
      </c>
      <c r="F39" s="6" t="e" cm="1">
        <f t="array" aca="1" ref="F39" ca="1">_xll.DBR($C$35,$B39,F$37)</f>
        <v>#NAME?</v>
      </c>
      <c r="G39" s="6" t="e" cm="1">
        <f t="array" aca="1" ref="G39" ca="1">_xll.DBR($C$35,$B39,G$37)</f>
        <v>#NAME?</v>
      </c>
      <c r="H39" s="6" t="e" cm="1">
        <f t="array" aca="1" ref="H39" ca="1">_xll.DBR($C$35,$B39,H$37)</f>
        <v>#NAME?</v>
      </c>
    </row>
    <row r="40" spans="2:8" hidden="1" outlineLevel="1" x14ac:dyDescent="0.25">
      <c r="B40" s="6" t="s">
        <v>54</v>
      </c>
      <c r="C40" s="6" t="e" cm="1">
        <f t="array" aca="1" ref="C40" ca="1">_xll.DBR($C$35,$B40,C$37)</f>
        <v>#NAME?</v>
      </c>
      <c r="D40" s="6" t="e" cm="1">
        <f t="array" aca="1" ref="D40" ca="1">_xll.DBR($C$35,$B40,D$37)</f>
        <v>#NAME?</v>
      </c>
      <c r="E40" s="6" t="e" cm="1">
        <f t="array" aca="1" ref="E40" ca="1">_xll.DBR($C$35,$B40,E$37)</f>
        <v>#NAME?</v>
      </c>
      <c r="F40" s="6" t="e" cm="1">
        <f t="array" aca="1" ref="F40" ca="1">_xll.DBR($C$35,$B40,F$37)</f>
        <v>#NAME?</v>
      </c>
      <c r="G40" s="6" t="e" cm="1">
        <f t="array" aca="1" ref="G40" ca="1">_xll.DBR($C$35,$B40,G$37)</f>
        <v>#NAME?</v>
      </c>
      <c r="H40" s="6" t="e" cm="1">
        <f t="array" aca="1" ref="H40" ca="1">_xll.DBR($C$35,$B40,H$37)</f>
        <v>#NAME?</v>
      </c>
    </row>
    <row r="41" spans="2:8" hidden="1" outlineLevel="1" x14ac:dyDescent="0.25">
      <c r="B41" s="6" t="s">
        <v>55</v>
      </c>
      <c r="C41" s="6" t="e" cm="1">
        <f t="array" aca="1" ref="C41" ca="1">_xll.DBR($C$35,$B41,C$37)</f>
        <v>#NAME?</v>
      </c>
      <c r="D41" s="6" t="e" cm="1">
        <f t="array" aca="1" ref="D41" ca="1">_xll.DBR($C$35,$B41,D$37)</f>
        <v>#NAME?</v>
      </c>
      <c r="E41" s="6" t="e" cm="1">
        <f t="array" aca="1" ref="E41" ca="1">_xll.DBR($C$35,$B41,E$37)</f>
        <v>#NAME?</v>
      </c>
      <c r="F41" s="6" t="e" cm="1">
        <f t="array" aca="1" ref="F41" ca="1">_xll.DBR($C$35,$B41,F$37)</f>
        <v>#NAME?</v>
      </c>
      <c r="G41" s="6" t="e" cm="1">
        <f t="array" aca="1" ref="G41" ca="1">_xll.DBR($C$35,$B41,G$37)</f>
        <v>#NAME?</v>
      </c>
      <c r="H41" s="6" t="e" cm="1">
        <f t="array" aca="1" ref="H41" ca="1">_xll.DBR($C$35,$B41,H$37)</f>
        <v>#NAME?</v>
      </c>
    </row>
    <row r="42" spans="2:8" hidden="1" outlineLevel="1" x14ac:dyDescent="0.25">
      <c r="B42" s="6" t="s">
        <v>56</v>
      </c>
      <c r="C42" s="6" t="e" cm="1">
        <f t="array" aca="1" ref="C42" ca="1">_xll.DBR($C$35,$B42,C$37)</f>
        <v>#NAME?</v>
      </c>
      <c r="D42" s="6" t="e" cm="1">
        <f t="array" aca="1" ref="D42" ca="1">_xll.DBR($C$35,$B42,D$37)</f>
        <v>#NAME?</v>
      </c>
      <c r="E42" s="6" t="e" cm="1">
        <f t="array" aca="1" ref="E42" ca="1">_xll.DBR($C$35,$B42,E$37)</f>
        <v>#NAME?</v>
      </c>
      <c r="F42" s="6" t="e" cm="1">
        <f t="array" aca="1" ref="F42" ca="1">_xll.DBR($C$35,$B42,F$37)</f>
        <v>#NAME?</v>
      </c>
      <c r="G42" s="6" t="e" cm="1">
        <f t="array" aca="1" ref="G42" ca="1">_xll.DBR($C$35,$B42,G$37)</f>
        <v>#NAME?</v>
      </c>
      <c r="H42" s="6" t="e" cm="1">
        <f t="array" aca="1" ref="H42" ca="1">_xll.DBR($C$35,$B42,H$37)</f>
        <v>#NAME?</v>
      </c>
    </row>
    <row r="43" spans="2:8" hidden="1" outlineLevel="1" x14ac:dyDescent="0.25">
      <c r="B43" s="6" t="s">
        <v>61</v>
      </c>
      <c r="C43" s="6" t="e" cm="1">
        <f t="array" aca="1" ref="C43" ca="1">_xll.DBR($C$35,$B43,C$37)</f>
        <v>#NAME?</v>
      </c>
      <c r="D43" s="6" t="e" cm="1">
        <f t="array" aca="1" ref="D43" ca="1">_xll.DBR($C$35,$B43,D$37)</f>
        <v>#NAME?</v>
      </c>
      <c r="E43" s="6" t="e" cm="1">
        <f t="array" aca="1" ref="E43" ca="1">_xll.DBR($C$35,$B43,E$37)</f>
        <v>#NAME?</v>
      </c>
      <c r="F43" s="6" t="e" cm="1">
        <f t="array" aca="1" ref="F43" ca="1">_xll.DBR($C$35,$B43,F$37)</f>
        <v>#NAME?</v>
      </c>
      <c r="G43" s="6" t="e" cm="1">
        <f t="array" aca="1" ref="G43" ca="1">_xll.DBR($C$35,$B43,G$37)</f>
        <v>#NAME?</v>
      </c>
      <c r="H43" s="6" t="e" cm="1">
        <f t="array" aca="1" ref="H43" ca="1">_xll.DBR($C$35,$B43,H$37)</f>
        <v>#NAME?</v>
      </c>
    </row>
    <row r="44" spans="2:8" hidden="1" outlineLevel="1" x14ac:dyDescent="0.25">
      <c r="B44" s="6" t="s">
        <v>57</v>
      </c>
      <c r="C44" s="6" t="e" cm="1">
        <f t="array" aca="1" ref="C44" ca="1">_xll.DBR($C$35,$B44,C$37)</f>
        <v>#NAME?</v>
      </c>
      <c r="D44" s="6" t="e" cm="1">
        <f t="array" aca="1" ref="D44" ca="1">_xll.DBR($C$35,$B44,D$37)</f>
        <v>#NAME?</v>
      </c>
      <c r="E44" s="6" t="e" cm="1">
        <f t="array" aca="1" ref="E44" ca="1">_xll.DBR($C$35,$B44,E$37)</f>
        <v>#NAME?</v>
      </c>
      <c r="F44" s="6" t="e" cm="1">
        <f t="array" aca="1" ref="F44" ca="1">_xll.DBR($C$35,$B44,F$37)</f>
        <v>#NAME?</v>
      </c>
      <c r="G44" s="6" t="e" cm="1">
        <f t="array" aca="1" ref="G44" ca="1">_xll.DBR($C$35,$B44,G$37)</f>
        <v>#NAME?</v>
      </c>
      <c r="H44" s="6" t="e" cm="1">
        <f t="array" aca="1" ref="H44" ca="1">_xll.DBR($C$35,$B44,H$37)</f>
        <v>#NAME?</v>
      </c>
    </row>
    <row r="45" spans="2:8" hidden="1" outlineLevel="1" x14ac:dyDescent="0.25">
      <c r="B45" s="6" t="s">
        <v>58</v>
      </c>
      <c r="C45" s="6" t="e" cm="1">
        <f t="array" aca="1" ref="C45" ca="1">_xll.DBR($C$35,$B45,C$37)</f>
        <v>#NAME?</v>
      </c>
      <c r="D45" s="6" t="e" cm="1">
        <f t="array" aca="1" ref="D45" ca="1">_xll.DBR($C$35,$B45,D$37)</f>
        <v>#NAME?</v>
      </c>
      <c r="E45" s="6" t="e" cm="1">
        <f t="array" aca="1" ref="E45" ca="1">_xll.DBR($C$35,$B45,E$37)</f>
        <v>#NAME?</v>
      </c>
      <c r="F45" s="6" t="e" cm="1">
        <f t="array" aca="1" ref="F45" ca="1">_xll.DBR($C$35,$B45,F$37)</f>
        <v>#NAME?</v>
      </c>
      <c r="G45" s="6" t="e" cm="1">
        <f t="array" aca="1" ref="G45" ca="1">_xll.DBR($C$35,$B45,G$37)</f>
        <v>#NAME?</v>
      </c>
      <c r="H45" s="6" t="e" cm="1">
        <f t="array" aca="1" ref="H45" ca="1">_xll.DBR($C$35,$B45,H$37)</f>
        <v>#NAME?</v>
      </c>
    </row>
    <row r="46" spans="2:8" hidden="1" outlineLevel="1" x14ac:dyDescent="0.25">
      <c r="B46" s="6" t="s">
        <v>60</v>
      </c>
      <c r="C46" s="6" t="e" cm="1">
        <f t="array" aca="1" ref="C46" ca="1">_xll.DBR($C$35,$B46,C$37)</f>
        <v>#NAME?</v>
      </c>
      <c r="D46" s="6" t="e" cm="1">
        <f t="array" aca="1" ref="D46" ca="1">_xll.DBR($C$35,$B46,D$37)</f>
        <v>#NAME?</v>
      </c>
      <c r="E46" s="6" t="e" cm="1">
        <f t="array" aca="1" ref="E46" ca="1">_xll.DBR($C$35,$B46,E$37)</f>
        <v>#NAME?</v>
      </c>
      <c r="F46" s="6" t="e" cm="1">
        <f t="array" aca="1" ref="F46" ca="1">_xll.DBR($C$35,$B46,F$37)</f>
        <v>#NAME?</v>
      </c>
      <c r="G46" s="6" t="s">
        <v>97</v>
      </c>
      <c r="H46" s="6" t="e" cm="1">
        <f t="array" aca="1" ref="H46" ca="1">_xll.DBR($C$35,$B46,H$37)</f>
        <v>#NAME?</v>
      </c>
    </row>
    <row r="47" spans="2:8" hidden="1" outlineLevel="1" x14ac:dyDescent="0.25">
      <c r="B47" s="6" t="s">
        <v>59</v>
      </c>
      <c r="C47" s="6" t="e" cm="1">
        <f t="array" aca="1" ref="C47" ca="1">_xll.DBR($C$35,$B47,C$37)</f>
        <v>#NAME?</v>
      </c>
      <c r="D47" s="6" t="e" cm="1">
        <f t="array" aca="1" ref="D47" ca="1">_xll.DBR($C$35,$B47,D$37)</f>
        <v>#NAME?</v>
      </c>
      <c r="E47" s="6" t="e" cm="1">
        <f t="array" aca="1" ref="E47" ca="1">_xll.DBR($C$35,$B47,E$37)</f>
        <v>#NAME?</v>
      </c>
      <c r="F47" s="6" t="e" cm="1">
        <f t="array" aca="1" ref="F47" ca="1">_xll.DBR($C$35,$B47,F$37)</f>
        <v>#NAME?</v>
      </c>
      <c r="G47" s="6" t="e" cm="1">
        <f t="array" aca="1" ref="G47" ca="1">_xll.DBR($C$35,$B47,G$37)</f>
        <v>#NAME?</v>
      </c>
      <c r="H47" s="6" t="e" cm="1">
        <f t="array" aca="1" ref="H47" ca="1">_xll.DBR($C$35,$B47,H$37)</f>
        <v>#NAME?</v>
      </c>
    </row>
    <row r="48" spans="2:8" hidden="1" outlineLevel="1" x14ac:dyDescent="0.25">
      <c r="B48" s="6" t="s">
        <v>90</v>
      </c>
      <c r="C48" s="6" t="e" cm="1">
        <f t="array" aca="1" ref="C48" ca="1">_xll.DBR($C$35,$B48,C$37)</f>
        <v>#NAME?</v>
      </c>
      <c r="D48" s="6" t="e" cm="1">
        <f t="array" aca="1" ref="D48" ca="1">_xll.DBR($C$35,$B48,D$37)</f>
        <v>#NAME?</v>
      </c>
      <c r="E48" s="6" t="e" cm="1">
        <f t="array" aca="1" ref="E48" ca="1">_xll.DBR($C$35,$B48,E$37)</f>
        <v>#NAME?</v>
      </c>
      <c r="F48" s="6" t="e" cm="1">
        <f t="array" aca="1" ref="F48" ca="1">_xll.DBR($C$35,$B48,F$37)</f>
        <v>#NAME?</v>
      </c>
      <c r="G48" s="6" t="e" cm="1">
        <f t="array" aca="1" ref="G48" ca="1">_xll.DBR($C$35,$B48,G$37)</f>
        <v>#NAME?</v>
      </c>
      <c r="H48" s="6" t="e" cm="1">
        <f t="array" aca="1" ref="H48" ca="1">_xll.DBR($C$35,$B48,H$37)</f>
        <v>#NAME?</v>
      </c>
    </row>
    <row r="49" spans="2:8" hidden="1" outlineLevel="1" x14ac:dyDescent="0.25">
      <c r="B49" s="6" t="s">
        <v>98</v>
      </c>
      <c r="C49" s="6" t="e" cm="1">
        <f t="array" aca="1" ref="C49" ca="1">_xll.DBR($C$35,$B49,C$37)</f>
        <v>#NAME?</v>
      </c>
      <c r="D49" s="6" t="e" cm="1">
        <f t="array" aca="1" ref="D49" ca="1">_xll.DBR($C$35,$B49,D$37)</f>
        <v>#NAME?</v>
      </c>
      <c r="E49" s="6" t="e" cm="1">
        <f t="array" aca="1" ref="E49" ca="1">_xll.DBR($C$35,$B49,E$37)</f>
        <v>#NAME?</v>
      </c>
      <c r="F49" s="6" t="e" cm="1">
        <f t="array" aca="1" ref="F49" ca="1">_xll.DBR($C$35,$B49,F$37)</f>
        <v>#NAME?</v>
      </c>
      <c r="G49" s="6" t="e" cm="1">
        <f t="array" aca="1" ref="G49" ca="1">_xll.DBR($C$35,$B49,G$37)</f>
        <v>#NAME?</v>
      </c>
      <c r="H49" s="6" t="e" cm="1">
        <f t="array" aca="1" ref="H49" ca="1">_xll.DBR($C$35,$B49,H$37)</f>
        <v>#NAME?</v>
      </c>
    </row>
    <row r="50" spans="2:8" hidden="1" outlineLevel="1" x14ac:dyDescent="0.25">
      <c r="B50" s="6" t="s">
        <v>99</v>
      </c>
      <c r="C50" s="6" t="e" cm="1">
        <f t="array" aca="1" ref="C50" ca="1">_xll.DBR($C$35,$B50,C$37)</f>
        <v>#NAME?</v>
      </c>
      <c r="D50" s="6" t="e" cm="1">
        <f t="array" aca="1" ref="D50" ca="1">_xll.DBR($C$35,$B50,D$37)</f>
        <v>#NAME?</v>
      </c>
      <c r="E50" s="6" t="e" cm="1">
        <f t="array" aca="1" ref="E50" ca="1">_xll.DBR($C$35,$B50,E$37)</f>
        <v>#NAME?</v>
      </c>
      <c r="F50" s="6" t="e" cm="1">
        <f t="array" aca="1" ref="F50" ca="1">_xll.DBR($C$35,$B50,F$37)</f>
        <v>#NAME?</v>
      </c>
      <c r="G50" s="6" t="e" cm="1">
        <f t="array" aca="1" ref="G50" ca="1">_xll.DBR($C$35,$B50,G$37)</f>
        <v>#NAME?</v>
      </c>
      <c r="H50" s="6" t="e" cm="1">
        <f t="array" aca="1" ref="H50" ca="1">_xll.DBR($C$35,$B50,H$37)</f>
        <v>#NAME?</v>
      </c>
    </row>
    <row r="51" spans="2:8" hidden="1" outlineLevel="1" x14ac:dyDescent="0.25"/>
    <row r="52" spans="2:8" hidden="1" outlineLevel="1" x14ac:dyDescent="0.25">
      <c r="B52" s="37" t="s">
        <v>42</v>
      </c>
      <c r="C52" s="38"/>
      <c r="D52" s="39"/>
    </row>
    <row r="53" spans="2:8" hidden="1" outlineLevel="1" x14ac:dyDescent="0.25">
      <c r="B53" s="6" t="s">
        <v>62</v>
      </c>
      <c r="C53" s="6" t="e">
        <f ca="1">_xll.TM1RPTVIEW(db_name&amp;":AE adjustments:1", 1, _xll.TM1RPTTITLE(db_name&amp;":headline year",$K$80), _xll.TM1RPTTITLE(db_name&amp;":status",$K$82), _xll.TM1RPTTITLE(db_name&amp;":outcome",$C$66), _xll.TM1RPTTITLE(db_name&amp;":related entity",$C$57), _xll.TM1RPTTITLE(db_name&amp;":function",$C$58), _xll.TM1RPTTITLE(db_name&amp;":reason",$C$64), _xll.TM1RPTTITLE(db_name&amp;":spp",$C$63), _xll.TM1RPTTITLE(db_name&amp;":measure code",$C$59), _xll.TM1RPTTITLE(db_name&amp;":appropriation type",$C$60), _xll.TM1RPTTITLE(db_name&amp;":movement account",$C$67), _xll.TM1RPTTITLE(db_name&amp;":appropriation item",$C$65), _xll.TM1RPTTITLE(db_name&amp;":programme",$K$81), _xll.TM1RPTTITLE(db_name&amp;":id",$C$61), _xll.TM1RPTTITLE(db_name&amp;":jurisdiction",$C$62),TM1RPTFMTRNG,TM1RPTFMTIDCOL)</f>
        <v>#NAME?</v>
      </c>
      <c r="D53" s="6"/>
    </row>
    <row r="54" spans="2:8" hidden="1" outlineLevel="1" x14ac:dyDescent="0.25">
      <c r="B54" s="6" t="s">
        <v>63</v>
      </c>
      <c r="C54" s="6" t="e">
        <f ca="1">_xll.VIEW(db_name&amp;":AE adjustments",$K$80,"!",$K$82,$C$66,$C$57,$C$58,$C$64,$C$63,$C$59,$C$60,$C$67,$C$65,$K$81,"!",$C$61,$C$62,"!")</f>
        <v>#NAME?</v>
      </c>
      <c r="D54" s="6"/>
    </row>
    <row r="55" spans="2:8" hidden="1" outlineLevel="1" x14ac:dyDescent="0.25">
      <c r="B55" s="6" t="s">
        <v>64</v>
      </c>
      <c r="C55" s="6" t="e">
        <f ca="1">"{EXCEPT({TM1DRILLDOWNMEMBER( {[account].[" &amp;$K$104 &amp;"]}, ALL, RECURSIVE )}, {{ [account].[5235500] },{ [account].[5243000] },{ [account].[5235501] },{ [account].[5235502] },{ [account].[5243001] },{ [account].[5243002] }}) }"</f>
        <v>#NAME?</v>
      </c>
      <c r="D55" s="6"/>
    </row>
    <row r="56" spans="2:8" hidden="1" outlineLevel="1" x14ac:dyDescent="0.25">
      <c r="B56" s="6" t="s">
        <v>89</v>
      </c>
      <c r="C56" s="6" t="e">
        <f ca="1">"{TM1DRILLDOWNMEMBER( {[movement account].[" &amp;$C$67 &amp;"]}, ALL, RECURSIVE )}"</f>
        <v>#NAME?</v>
      </c>
      <c r="D56" s="6"/>
    </row>
    <row r="57" spans="2:8" hidden="1" outlineLevel="1" x14ac:dyDescent="0.25">
      <c r="B57" s="24" t="s">
        <v>71</v>
      </c>
      <c r="C57" s="6" t="e">
        <f ca="1">_xll.SUBNM(db_name&amp;":related entity","","Total related entity")</f>
        <v>#NAME?</v>
      </c>
      <c r="D57" s="6"/>
    </row>
    <row r="58" spans="2:8" hidden="1" outlineLevel="1" x14ac:dyDescent="0.25">
      <c r="B58" s="24" t="s">
        <v>72</v>
      </c>
      <c r="C58" s="6" t="e">
        <f ca="1">_xll.SUBNM(db_name&amp;":function","","Total functions")</f>
        <v>#NAME?</v>
      </c>
      <c r="D58" s="6"/>
    </row>
    <row r="59" spans="2:8" hidden="1" outlineLevel="1" x14ac:dyDescent="0.25">
      <c r="B59" s="24" t="s">
        <v>75</v>
      </c>
      <c r="C59" s="6" t="e">
        <f ca="1">_xll.SUBNM(db_name&amp;":measure code","","Total Measures","CBMS")</f>
        <v>#NAME?</v>
      </c>
      <c r="D59" s="6"/>
    </row>
    <row r="60" spans="2:8" hidden="1" outlineLevel="1" x14ac:dyDescent="0.25">
      <c r="B60" s="24" t="s">
        <v>76</v>
      </c>
      <c r="C60" s="6" t="e">
        <f ca="1">_xll.SUBNM(db_name&amp;":appropriation type","","Total approp types")</f>
        <v>#NAME?</v>
      </c>
      <c r="D60" s="6"/>
    </row>
    <row r="61" spans="2:8" hidden="1" outlineLevel="1" x14ac:dyDescent="0.25">
      <c r="B61" s="24" t="s">
        <v>78</v>
      </c>
      <c r="C61" s="6" t="e">
        <f ca="1">_xll.SUBNM(db_name&amp;":id","","Total IDs")</f>
        <v>#NAME?</v>
      </c>
      <c r="D61" s="6"/>
    </row>
    <row r="62" spans="2:8" hidden="1" outlineLevel="1" x14ac:dyDescent="0.25">
      <c r="B62" s="24" t="s">
        <v>79</v>
      </c>
      <c r="C62" s="6" t="e">
        <f ca="1">_xll.SUBNM(db_name&amp;":jurisdiction","","Total jurisdictions")</f>
        <v>#NAME?</v>
      </c>
      <c r="D62" s="6"/>
    </row>
    <row r="63" spans="2:8" hidden="1" outlineLevel="1" x14ac:dyDescent="0.25">
      <c r="B63" s="24" t="s">
        <v>74</v>
      </c>
      <c r="C63" s="6" t="e">
        <f ca="1">_xll.SUBNM(db_name&amp;":spp","","Total SPP")</f>
        <v>#NAME?</v>
      </c>
      <c r="D63" s="6"/>
    </row>
    <row r="64" spans="2:8" hidden="1" outlineLevel="1" x14ac:dyDescent="0.25">
      <c r="B64" s="24" t="s">
        <v>73</v>
      </c>
      <c r="C64" s="6" t="e">
        <f ca="1">_xll.SUBNM(db_name&amp;":reason","","Total reason")</f>
        <v>#NAME?</v>
      </c>
      <c r="D64" s="6"/>
    </row>
    <row r="65" spans="2:30" hidden="1" outlineLevel="1" x14ac:dyDescent="0.25">
      <c r="B65" s="24" t="s">
        <v>77</v>
      </c>
      <c r="C65" s="6" t="e">
        <f ca="1">_xll.SUBNM(db_name&amp;":appropriation item","","Total approp item")</f>
        <v>#NAME?</v>
      </c>
      <c r="D65" s="6"/>
    </row>
    <row r="66" spans="2:30" hidden="1" outlineLevel="1" x14ac:dyDescent="0.25">
      <c r="B66" s="9" t="s">
        <v>70</v>
      </c>
      <c r="C66" s="6" t="e">
        <f ca="1">_xll.SUBNM(db_name&amp;":outcome","","Total outcomes")</f>
        <v>#NAME?</v>
      </c>
      <c r="D66" s="6"/>
      <c r="E66" s="6"/>
    </row>
    <row r="67" spans="2:30" hidden="1" outlineLevel="1" x14ac:dyDescent="0.25">
      <c r="B67" s="9" t="s">
        <v>81</v>
      </c>
      <c r="C67" s="6" t="e">
        <f ca="1">_xll.SUBNM(db_name&amp;":movement account","","Total movement","code and description")</f>
        <v>#NAME?</v>
      </c>
      <c r="D67" s="6"/>
      <c r="E67" s="6"/>
    </row>
    <row r="68" spans="2:30" hidden="1" outlineLevel="1" x14ac:dyDescent="0.25"/>
    <row r="69" spans="2:30" hidden="1" outlineLevel="1" x14ac:dyDescent="0.25"/>
    <row r="70" spans="2:30" hidden="1" outlineLevel="1" x14ac:dyDescent="0.25"/>
    <row r="71" spans="2:30" ht="39.950000000000003" customHeight="1" collapsed="1" x14ac:dyDescent="0.25">
      <c r="I71" s="25"/>
      <c r="J71" s="25"/>
      <c r="K71" s="25"/>
      <c r="L71" s="25"/>
      <c r="M71" s="25"/>
      <c r="N71" s="25"/>
      <c r="O71" s="25"/>
      <c r="P71" s="25"/>
      <c r="Q71" s="25"/>
      <c r="R71" s="28" t="s">
        <v>91</v>
      </c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 spans="2:30" ht="4.5" customHeight="1" x14ac:dyDescent="0.25"/>
    <row r="73" spans="2:30" ht="24" customHeight="1" x14ac:dyDescent="0.25"/>
    <row r="74" spans="2:30" ht="1.5" customHeight="1" x14ac:dyDescent="0.25"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</row>
    <row r="75" spans="2:30" ht="4.5" customHeight="1" x14ac:dyDescent="0.25"/>
    <row r="76" spans="2:30" x14ac:dyDescent="0.25">
      <c r="J76" s="32" t="s">
        <v>94</v>
      </c>
      <c r="K76" s="32"/>
      <c r="L76" s="32"/>
      <c r="M76" s="32"/>
      <c r="N76" s="32"/>
      <c r="O76" s="32"/>
      <c r="P76" s="32"/>
    </row>
    <row r="77" spans="2:30" x14ac:dyDescent="0.25">
      <c r="J77" s="32" t="s">
        <v>95</v>
      </c>
      <c r="K77" s="32"/>
      <c r="L77" s="32"/>
      <c r="M77" s="32"/>
      <c r="N77" s="32"/>
      <c r="O77" s="32"/>
      <c r="P77" s="32"/>
    </row>
    <row r="78" spans="2:30" ht="1.5" customHeight="1" x14ac:dyDescent="0.25"/>
    <row r="79" spans="2:30" x14ac:dyDescent="0.25">
      <c r="K79" s="30" t="s">
        <v>87</v>
      </c>
      <c r="L79" s="31"/>
      <c r="M79" s="31"/>
    </row>
    <row r="80" spans="2:30" x14ac:dyDescent="0.25">
      <c r="J80" s="9" t="s">
        <v>68</v>
      </c>
      <c r="K80" s="35" t="e">
        <f ca="1">_xll.SUBNM(db_name&amp;":headline year","",$C$22)</f>
        <v>#NAME?</v>
      </c>
      <c r="L80" s="35"/>
      <c r="M80" s="35"/>
    </row>
    <row r="81" spans="10:30" x14ac:dyDescent="0.25">
      <c r="J81" s="9" t="s">
        <v>96</v>
      </c>
      <c r="K81" s="35" t="e">
        <f ca="1">_xll.SUBNM(db_name&amp;":programme","","Administered Programmes","code and description")</f>
        <v>#NAME?</v>
      </c>
      <c r="L81" s="35"/>
      <c r="M81" s="35"/>
    </row>
    <row r="82" spans="10:30" x14ac:dyDescent="0.25">
      <c r="J82" s="9" t="s">
        <v>69</v>
      </c>
      <c r="K82" s="35" t="e">
        <f ca="1">_xll.SUBNM(db_name&amp;":status","","Total approved")</f>
        <v>#NAME?</v>
      </c>
      <c r="L82" s="35"/>
      <c r="M82" s="35"/>
    </row>
    <row r="83" spans="10:30" ht="1.5" customHeight="1" x14ac:dyDescent="0.25"/>
    <row r="84" spans="10:30" x14ac:dyDescent="0.25">
      <c r="J84" s="22" t="s">
        <v>93</v>
      </c>
      <c r="K84" s="33" t="s">
        <v>84</v>
      </c>
      <c r="L84" s="33"/>
      <c r="M84" s="33"/>
      <c r="N84" s="33"/>
      <c r="O84" s="34"/>
      <c r="P84" s="34"/>
      <c r="R84" s="33" t="s">
        <v>85</v>
      </c>
      <c r="S84" s="33"/>
      <c r="T84" s="33"/>
      <c r="U84" s="33"/>
      <c r="V84" s="34"/>
      <c r="W84" s="34"/>
      <c r="Y84" s="33" t="s">
        <v>86</v>
      </c>
      <c r="Z84" s="33"/>
      <c r="AA84" s="33"/>
      <c r="AB84" s="33"/>
      <c r="AC84" s="34"/>
      <c r="AD84" s="34"/>
    </row>
    <row r="85" spans="10:30" x14ac:dyDescent="0.25">
      <c r="J85" s="26" t="s">
        <v>65</v>
      </c>
      <c r="K85" s="17" t="e">
        <f ca="1">K$21</f>
        <v>#NAME?</v>
      </c>
      <c r="L85" s="17" t="e">
        <f t="shared" ref="L85:AD85" ca="1" si="0">L$21</f>
        <v>#NAME?</v>
      </c>
      <c r="M85" s="17" t="e">
        <f t="shared" ca="1" si="0"/>
        <v>#NAME?</v>
      </c>
      <c r="N85" s="17" t="e">
        <f t="shared" ca="1" si="0"/>
        <v>#NAME?</v>
      </c>
      <c r="O85" s="17" t="e">
        <f t="shared" ca="1" si="0"/>
        <v>#NAME?</v>
      </c>
      <c r="P85" s="18" t="e">
        <f t="shared" ca="1" si="0"/>
        <v>#NAME?</v>
      </c>
      <c r="R85" s="17" t="e">
        <f t="shared" ca="1" si="0"/>
        <v>#NAME?</v>
      </c>
      <c r="S85" s="17" t="e">
        <f t="shared" ca="1" si="0"/>
        <v>#NAME?</v>
      </c>
      <c r="T85" s="17" t="e">
        <f t="shared" ca="1" si="0"/>
        <v>#NAME?</v>
      </c>
      <c r="U85" s="17" t="e">
        <f t="shared" ca="1" si="0"/>
        <v>#NAME?</v>
      </c>
      <c r="V85" s="17" t="e">
        <f t="shared" ca="1" si="0"/>
        <v>#NAME?</v>
      </c>
      <c r="W85" s="18" t="e">
        <f t="shared" ca="1" si="0"/>
        <v>#NAME?</v>
      </c>
      <c r="Y85" s="17" t="e">
        <f t="shared" ca="1" si="0"/>
        <v>#NAME?</v>
      </c>
      <c r="Z85" s="17" t="e">
        <f t="shared" ca="1" si="0"/>
        <v>#NAME?</v>
      </c>
      <c r="AA85" s="17" t="e">
        <f t="shared" ca="1" si="0"/>
        <v>#NAME?</v>
      </c>
      <c r="AB85" s="17" t="e">
        <f t="shared" ca="1" si="0"/>
        <v>#NAME?</v>
      </c>
      <c r="AC85" s="17" t="e">
        <f t="shared" ca="1" si="0"/>
        <v>#NAME?</v>
      </c>
      <c r="AD85" s="18" t="e">
        <f t="shared" ca="1" si="0"/>
        <v>#NAME?</v>
      </c>
    </row>
    <row r="86" spans="10:30" x14ac:dyDescent="0.25">
      <c r="J86" s="27" t="s">
        <v>3</v>
      </c>
      <c r="K86" s="16" t="e" cm="1">
        <f t="array" aca="1" ref="K86" ca="1">_xll.DBRW($C$54,$K$80,K$24,$K$82,$C$66,$C$57,$C$58,$C$64,$C$63,$C$59,$C$60,$C$67,$C$65,$K$81,$J86,$C$61,$C$62,K$107)</f>
        <v>#NAME?</v>
      </c>
      <c r="L86" s="16" t="e" cm="1">
        <f t="array" aca="1" ref="L86" ca="1">_xll.DBRW($C$54,$K$80,L$24,$K$82,$C$66,$C$57,$C$58,$C$64,$C$63,$C$59,$C$60,$C$67,$C$65,$K$81,$J86,$C$61,$C$62,L$107)</f>
        <v>#NAME?</v>
      </c>
      <c r="M86" s="16" t="e" cm="1">
        <f t="array" aca="1" ref="M86" ca="1">_xll.DBRW($C$54,$K$80,M$24,$K$82,$C$66,$C$57,$C$58,$C$64,$C$63,$C$59,$C$60,$C$67,$C$65,$K$81,$J86,$C$61,$C$62,M$107)</f>
        <v>#NAME?</v>
      </c>
      <c r="N86" s="16" t="e" cm="1">
        <f t="array" aca="1" ref="N86" ca="1">_xll.DBRW($C$54,$K$80,N$24,$K$82,$C$66,$C$57,$C$58,$C$64,$C$63,$C$59,$C$60,$C$67,$C$65,$K$81,$J86,$C$61,$C$62,N$107)</f>
        <v>#NAME?</v>
      </c>
      <c r="O86" s="16" t="e" cm="1">
        <f t="array" aca="1" ref="O86" ca="1">_xll.DBRW($C$54,$K$80,O$24,$K$82,$C$66,$C$57,$C$58,$C$64,$C$63,$C$59,$C$60,$C$67,$C$65,$K$81,$J86,$C$61,$C$62,O$107)</f>
        <v>#NAME?</v>
      </c>
      <c r="P86" s="16" t="e" cm="1">
        <f t="array" aca="1" ref="P86" ca="1">_xll.DBRW($C$54,$K$80,P$24,$K$82,$C$66,$C$57,$C$58,$C$64,$C$63,$C$59,$C$60,$C$67,$C$65,$K$81,$J86,$C$61,$C$62,P$107)</f>
        <v>#NAME?</v>
      </c>
      <c r="R86" s="16" t="e" cm="1">
        <f t="array" aca="1" ref="R86" ca="1">_xll.DBRW($C$54,$K$80,R$24,$K$82,$C$66,$C$57,$C$58,$C$64,$C$63,$C$59,$C$60,$C$67,$C$65,$K$81,$J86,$C$61,$C$62,R$107)</f>
        <v>#NAME?</v>
      </c>
      <c r="S86" s="16" t="e" cm="1">
        <f t="array" aca="1" ref="S86" ca="1">_xll.DBRW($C$54,$K$80,S$24,$K$82,$C$66,$C$57,$C$58,$C$64,$C$63,$C$59,$C$60,$C$67,$C$65,$K$81,$J86,$C$61,$C$62,S$107)</f>
        <v>#NAME?</v>
      </c>
      <c r="T86" s="16" t="e" cm="1">
        <f t="array" aca="1" ref="T86" ca="1">_xll.DBRW($C$54,$K$80,T$24,$K$82,$C$66,$C$57,$C$58,$C$64,$C$63,$C$59,$C$60,$C$67,$C$65,$K$81,$J86,$C$61,$C$62,T$107)</f>
        <v>#NAME?</v>
      </c>
      <c r="U86" s="16" t="e" cm="1">
        <f t="array" aca="1" ref="U86" ca="1">_xll.DBRW($C$54,$K$80,U$24,$K$82,$C$66,$C$57,$C$58,$C$64,$C$63,$C$59,$C$60,$C$67,$C$65,$K$81,$J86,$C$61,$C$62,U$107)</f>
        <v>#NAME?</v>
      </c>
      <c r="V86" s="16" t="e" cm="1">
        <f t="array" aca="1" ref="V86" ca="1">_xll.DBRW($C$54,$K$80,V$24,$K$82,$C$66,$C$57,$C$58,$C$64,$C$63,$C$59,$C$60,$C$67,$C$65,$K$81,$J86,$C$61,$C$62,V$107)</f>
        <v>#NAME?</v>
      </c>
      <c r="W86" s="16" t="e" cm="1">
        <f t="array" aca="1" ref="W86" ca="1">_xll.DBRW($C$54,$K$80,W$24,$K$82,$C$66,$C$57,$C$58,$C$64,$C$63,$C$59,$C$60,$C$67,$C$65,$K$81,$J86,$C$61,$C$62,W$107)</f>
        <v>#NAME?</v>
      </c>
      <c r="Y86" s="16" t="e" cm="1">
        <f t="array" aca="1" ref="Y86" ca="1">_xll.DBRW($C$54,$K$80,Y$24,$K$82,$C$66,$C$57,$C$58,$C$64,$C$63,$C$59,$C$60,$C$67,$C$65,$K$81,$J86,$C$61,$C$62,Y$107)</f>
        <v>#NAME?</v>
      </c>
      <c r="Z86" s="16" t="e" cm="1">
        <f t="array" aca="1" ref="Z86" ca="1">_xll.DBRW($C$54,$K$80,Z$24,$K$82,$C$66,$C$57,$C$58,$C$64,$C$63,$C$59,$C$60,$C$67,$C$65,$K$81,$J86,$C$61,$C$62,Z$107)</f>
        <v>#NAME?</v>
      </c>
      <c r="AA86" s="16" t="e" cm="1">
        <f t="array" aca="1" ref="AA86" ca="1">_xll.DBRW($C$54,$K$80,AA$24,$K$82,$C$66,$C$57,$C$58,$C$64,$C$63,$C$59,$C$60,$C$67,$C$65,$K$81,$J86,$C$61,$C$62,AA$107)</f>
        <v>#NAME?</v>
      </c>
      <c r="AB86" s="16" t="e" cm="1">
        <f t="array" aca="1" ref="AB86" ca="1">_xll.DBRW($C$54,$K$80,AB$24,$K$82,$C$66,$C$57,$C$58,$C$64,$C$63,$C$59,$C$60,$C$67,$C$65,$K$81,$J86,$C$61,$C$62,AB$107)</f>
        <v>#NAME?</v>
      </c>
      <c r="AC86" s="16" t="e" cm="1">
        <f t="array" aca="1" ref="AC86" ca="1">_xll.DBRW($C$54,$K$80,AC$24,$K$82,$C$66,$C$57,$C$58,$C$64,$C$63,$C$59,$C$60,$C$67,$C$65,$K$81,$J86,$C$61,$C$62,AC$107)</f>
        <v>#NAME?</v>
      </c>
      <c r="AD86" s="16" t="e" cm="1">
        <f t="array" aca="1" ref="AD86" ca="1">_xll.DBRW($C$54,$K$80,AD$24,$K$82,$C$66,$C$57,$C$58,$C$64,$C$63,$C$59,$C$60,$C$67,$C$65,$K$81,$J86,$C$61,$C$62,AD$107)</f>
        <v>#NAME?</v>
      </c>
    </row>
    <row r="87" spans="10:30" x14ac:dyDescent="0.25">
      <c r="J87" s="27" t="s">
        <v>4</v>
      </c>
      <c r="K87" s="16" t="e" cm="1">
        <f t="array" aca="1" ref="K87" ca="1">_xll.DBRW($C$54,$K$80,K$24,$K$82,$C$66,$C$57,$C$58,$C$64,$C$63,$C$59,$C$60,$C$67,$C$65,$K$81,$J87,$C$61,$C$62,K$107)</f>
        <v>#NAME?</v>
      </c>
      <c r="L87" s="16" t="e" cm="1">
        <f t="array" aca="1" ref="L87" ca="1">_xll.DBRW($C$54,$K$80,L$24,$K$82,$C$66,$C$57,$C$58,$C$64,$C$63,$C$59,$C$60,$C$67,$C$65,$K$81,$J87,$C$61,$C$62,L$107)</f>
        <v>#NAME?</v>
      </c>
      <c r="M87" s="16" t="e" cm="1">
        <f t="array" aca="1" ref="M87" ca="1">_xll.DBRW($C$54,$K$80,M$24,$K$82,$C$66,$C$57,$C$58,$C$64,$C$63,$C$59,$C$60,$C$67,$C$65,$K$81,$J87,$C$61,$C$62,M$107)</f>
        <v>#NAME?</v>
      </c>
      <c r="N87" s="16" t="e" cm="1">
        <f t="array" aca="1" ref="N87" ca="1">_xll.DBRW($C$54,$K$80,N$24,$K$82,$C$66,$C$57,$C$58,$C$64,$C$63,$C$59,$C$60,$C$67,$C$65,$K$81,$J87,$C$61,$C$62,N$107)</f>
        <v>#NAME?</v>
      </c>
      <c r="O87" s="16" t="e" cm="1">
        <f t="array" aca="1" ref="O87" ca="1">_xll.DBRW($C$54,$K$80,O$24,$K$82,$C$66,$C$57,$C$58,$C$64,$C$63,$C$59,$C$60,$C$67,$C$65,$K$81,$J87,$C$61,$C$62,O$107)</f>
        <v>#NAME?</v>
      </c>
      <c r="P87" s="16" t="e" cm="1">
        <f t="array" aca="1" ref="P87" ca="1">_xll.DBRW($C$54,$K$80,P$24,$K$82,$C$66,$C$57,$C$58,$C$64,$C$63,$C$59,$C$60,$C$67,$C$65,$K$81,$J87,$C$61,$C$62,P$107)</f>
        <v>#NAME?</v>
      </c>
      <c r="R87" s="16" t="e" cm="1">
        <f t="array" aca="1" ref="R87" ca="1">_xll.DBRW($C$54,$K$80,R$24,$K$82,$C$66,$C$57,$C$58,$C$64,$C$63,$C$59,$C$60,$C$67,$C$65,$K$81,$J87,$C$61,$C$62,R$107)</f>
        <v>#NAME?</v>
      </c>
      <c r="S87" s="16" t="e" cm="1">
        <f t="array" aca="1" ref="S87" ca="1">_xll.DBRW($C$54,$K$80,S$24,$K$82,$C$66,$C$57,$C$58,$C$64,$C$63,$C$59,$C$60,$C$67,$C$65,$K$81,$J87,$C$61,$C$62,S$107)</f>
        <v>#NAME?</v>
      </c>
      <c r="T87" s="16" t="e" cm="1">
        <f t="array" aca="1" ref="T87" ca="1">_xll.DBRW($C$54,$K$80,T$24,$K$82,$C$66,$C$57,$C$58,$C$64,$C$63,$C$59,$C$60,$C$67,$C$65,$K$81,$J87,$C$61,$C$62,T$107)</f>
        <v>#NAME?</v>
      </c>
      <c r="U87" s="16" t="e" cm="1">
        <f t="array" aca="1" ref="U87" ca="1">_xll.DBRW($C$54,$K$80,U$24,$K$82,$C$66,$C$57,$C$58,$C$64,$C$63,$C$59,$C$60,$C$67,$C$65,$K$81,$J87,$C$61,$C$62,U$107)</f>
        <v>#NAME?</v>
      </c>
      <c r="V87" s="16" t="e" cm="1">
        <f t="array" aca="1" ref="V87" ca="1">_xll.DBRW($C$54,$K$80,V$24,$K$82,$C$66,$C$57,$C$58,$C$64,$C$63,$C$59,$C$60,$C$67,$C$65,$K$81,$J87,$C$61,$C$62,V$107)</f>
        <v>#NAME?</v>
      </c>
      <c r="W87" s="16" t="e" cm="1">
        <f t="array" aca="1" ref="W87" ca="1">_xll.DBRW($C$54,$K$80,W$24,$K$82,$C$66,$C$57,$C$58,$C$64,$C$63,$C$59,$C$60,$C$67,$C$65,$K$81,$J87,$C$61,$C$62,W$107)</f>
        <v>#NAME?</v>
      </c>
      <c r="Y87" s="16" t="e" cm="1">
        <f t="array" aca="1" ref="Y87" ca="1">_xll.DBRW($C$54,$K$80,Y$24,$K$82,$C$66,$C$57,$C$58,$C$64,$C$63,$C$59,$C$60,$C$67,$C$65,$K$81,$J87,$C$61,$C$62,Y$107)</f>
        <v>#NAME?</v>
      </c>
      <c r="Z87" s="16" t="e" cm="1">
        <f t="array" aca="1" ref="Z87" ca="1">_xll.DBRW($C$54,$K$80,Z$24,$K$82,$C$66,$C$57,$C$58,$C$64,$C$63,$C$59,$C$60,$C$67,$C$65,$K$81,$J87,$C$61,$C$62,Z$107)</f>
        <v>#NAME?</v>
      </c>
      <c r="AA87" s="16" t="e" cm="1">
        <f t="array" aca="1" ref="AA87" ca="1">_xll.DBRW($C$54,$K$80,AA$24,$K$82,$C$66,$C$57,$C$58,$C$64,$C$63,$C$59,$C$60,$C$67,$C$65,$K$81,$J87,$C$61,$C$62,AA$107)</f>
        <v>#NAME?</v>
      </c>
      <c r="AB87" s="16" t="e" cm="1">
        <f t="array" aca="1" ref="AB87" ca="1">_xll.DBRW($C$54,$K$80,AB$24,$K$82,$C$66,$C$57,$C$58,$C$64,$C$63,$C$59,$C$60,$C$67,$C$65,$K$81,$J87,$C$61,$C$62,AB$107)</f>
        <v>#NAME?</v>
      </c>
      <c r="AC87" s="16" t="e" cm="1">
        <f t="array" aca="1" ref="AC87" ca="1">_xll.DBRW($C$54,$K$80,AC$24,$K$82,$C$66,$C$57,$C$58,$C$64,$C$63,$C$59,$C$60,$C$67,$C$65,$K$81,$J87,$C$61,$C$62,AC$107)</f>
        <v>#NAME?</v>
      </c>
      <c r="AD87" s="16" t="e" cm="1">
        <f t="array" aca="1" ref="AD87" ca="1">_xll.DBRW($C$54,$K$80,AD$24,$K$82,$C$66,$C$57,$C$58,$C$64,$C$63,$C$59,$C$60,$C$67,$C$65,$K$81,$J87,$C$61,$C$62,AD$107)</f>
        <v>#NAME?</v>
      </c>
    </row>
    <row r="88" spans="10:30" x14ac:dyDescent="0.25">
      <c r="J88" s="27" t="s">
        <v>66</v>
      </c>
      <c r="K88" s="16" t="e" cm="1">
        <f t="array" aca="1" ref="K88" ca="1">_xll.DBRW($C$54,$K$80,K$24,$K$82,$C$66,$C$57,$C$58,$C$64,$C$63,$C$59,$C$60,$C$67,$C$65,$K$81,$J88,$C$61,$C$62,K$107)</f>
        <v>#NAME?</v>
      </c>
      <c r="L88" s="16" t="e" cm="1">
        <f t="array" aca="1" ref="L88" ca="1">_xll.DBRW($C$54,$K$80,L$24,$K$82,$C$66,$C$57,$C$58,$C$64,$C$63,$C$59,$C$60,$C$67,$C$65,$K$81,$J88,$C$61,$C$62,L$107)</f>
        <v>#NAME?</v>
      </c>
      <c r="M88" s="16" t="e" cm="1">
        <f t="array" aca="1" ref="M88" ca="1">_xll.DBRW($C$54,$K$80,M$24,$K$82,$C$66,$C$57,$C$58,$C$64,$C$63,$C$59,$C$60,$C$67,$C$65,$K$81,$J88,$C$61,$C$62,M$107)</f>
        <v>#NAME?</v>
      </c>
      <c r="N88" s="16" t="e" cm="1">
        <f t="array" aca="1" ref="N88" ca="1">_xll.DBRW($C$54,$K$80,N$24,$K$82,$C$66,$C$57,$C$58,$C$64,$C$63,$C$59,$C$60,$C$67,$C$65,$K$81,$J88,$C$61,$C$62,N$107)</f>
        <v>#NAME?</v>
      </c>
      <c r="O88" s="16" t="e" cm="1">
        <f t="array" aca="1" ref="O88" ca="1">_xll.DBRW($C$54,$K$80,O$24,$K$82,$C$66,$C$57,$C$58,$C$64,$C$63,$C$59,$C$60,$C$67,$C$65,$K$81,$J88,$C$61,$C$62,O$107)</f>
        <v>#NAME?</v>
      </c>
      <c r="P88" s="16" t="e" cm="1">
        <f t="array" aca="1" ref="P88" ca="1">_xll.DBRW($C$54,$K$80,P$24,$K$82,$C$66,$C$57,$C$58,$C$64,$C$63,$C$59,$C$60,$C$67,$C$65,$K$81,$J88,$C$61,$C$62,P$107)</f>
        <v>#NAME?</v>
      </c>
      <c r="R88" s="16" t="e" cm="1">
        <f t="array" aca="1" ref="R88" ca="1">_xll.DBRW($C$54,$K$80,R$24,$K$82,$C$66,$C$57,$C$58,$C$64,$C$63,$C$59,$C$60,$C$67,$C$65,$K$81,$J88,$C$61,$C$62,R$107)</f>
        <v>#NAME?</v>
      </c>
      <c r="S88" s="16" t="e" cm="1">
        <f t="array" aca="1" ref="S88" ca="1">_xll.DBRW($C$54,$K$80,S$24,$K$82,$C$66,$C$57,$C$58,$C$64,$C$63,$C$59,$C$60,$C$67,$C$65,$K$81,$J88,$C$61,$C$62,S$107)</f>
        <v>#NAME?</v>
      </c>
      <c r="T88" s="16" t="e" cm="1">
        <f t="array" aca="1" ref="T88" ca="1">_xll.DBRW($C$54,$K$80,T$24,$K$82,$C$66,$C$57,$C$58,$C$64,$C$63,$C$59,$C$60,$C$67,$C$65,$K$81,$J88,$C$61,$C$62,T$107)</f>
        <v>#NAME?</v>
      </c>
      <c r="U88" s="16" t="e" cm="1">
        <f t="array" aca="1" ref="U88" ca="1">_xll.DBRW($C$54,$K$80,U$24,$K$82,$C$66,$C$57,$C$58,$C$64,$C$63,$C$59,$C$60,$C$67,$C$65,$K$81,$J88,$C$61,$C$62,U$107)</f>
        <v>#NAME?</v>
      </c>
      <c r="V88" s="16" t="e" cm="1">
        <f t="array" aca="1" ref="V88" ca="1">_xll.DBRW($C$54,$K$80,V$24,$K$82,$C$66,$C$57,$C$58,$C$64,$C$63,$C$59,$C$60,$C$67,$C$65,$K$81,$J88,$C$61,$C$62,V$107)</f>
        <v>#NAME?</v>
      </c>
      <c r="W88" s="16" t="e" cm="1">
        <f t="array" aca="1" ref="W88" ca="1">_xll.DBRW($C$54,$K$80,W$24,$K$82,$C$66,$C$57,$C$58,$C$64,$C$63,$C$59,$C$60,$C$67,$C$65,$K$81,$J88,$C$61,$C$62,W$107)</f>
        <v>#NAME?</v>
      </c>
      <c r="Y88" s="16" t="e" cm="1">
        <f t="array" aca="1" ref="Y88" ca="1">_xll.DBRW($C$54,$K$80,Y$24,$K$82,$C$66,$C$57,$C$58,$C$64,$C$63,$C$59,$C$60,$C$67,$C$65,$K$81,$J88,$C$61,$C$62,Y$107)</f>
        <v>#NAME?</v>
      </c>
      <c r="Z88" s="16" t="e" cm="1">
        <f t="array" aca="1" ref="Z88" ca="1">_xll.DBRW($C$54,$K$80,Z$24,$K$82,$C$66,$C$57,$C$58,$C$64,$C$63,$C$59,$C$60,$C$67,$C$65,$K$81,$J88,$C$61,$C$62,Z$107)</f>
        <v>#NAME?</v>
      </c>
      <c r="AA88" s="16" t="e" cm="1">
        <f t="array" aca="1" ref="AA88" ca="1">_xll.DBRW($C$54,$K$80,AA$24,$K$82,$C$66,$C$57,$C$58,$C$64,$C$63,$C$59,$C$60,$C$67,$C$65,$K$81,$J88,$C$61,$C$62,AA$107)</f>
        <v>#NAME?</v>
      </c>
      <c r="AB88" s="16" t="e" cm="1">
        <f t="array" aca="1" ref="AB88" ca="1">_xll.DBRW($C$54,$K$80,AB$24,$K$82,$C$66,$C$57,$C$58,$C$64,$C$63,$C$59,$C$60,$C$67,$C$65,$K$81,$J88,$C$61,$C$62,AB$107)</f>
        <v>#NAME?</v>
      </c>
      <c r="AC88" s="16" t="e" cm="1">
        <f t="array" aca="1" ref="AC88" ca="1">_xll.DBRW($C$54,$K$80,AC$24,$K$82,$C$66,$C$57,$C$58,$C$64,$C$63,$C$59,$C$60,$C$67,$C$65,$K$81,$J88,$C$61,$C$62,AC$107)</f>
        <v>#NAME?</v>
      </c>
      <c r="AD88" s="16" t="e" cm="1">
        <f t="array" aca="1" ref="AD88" ca="1">_xll.DBRW($C$54,$K$80,AD$24,$K$82,$C$66,$C$57,$C$58,$C$64,$C$63,$C$59,$C$60,$C$67,$C$65,$K$81,$J88,$C$61,$C$62,AD$107)</f>
        <v>#NAME?</v>
      </c>
    </row>
    <row r="89" spans="10:30" x14ac:dyDescent="0.25">
      <c r="J89" s="27" t="s">
        <v>67</v>
      </c>
      <c r="K89" s="16" t="e" cm="1">
        <f t="array" aca="1" ref="K89" ca="1">_xll.DBRW($C$54,$K$80,K$24,$K$82,$C$66,$C$57,$C$58,$C$64,$C$63,$C$59,$C$60,$C$67,$C$65,$K$81,$J89,$C$61,$C$62,K$107)</f>
        <v>#NAME?</v>
      </c>
      <c r="L89" s="16" t="e" cm="1">
        <f t="array" aca="1" ref="L89" ca="1">_xll.DBRW($C$54,$K$80,L$24,$K$82,$C$66,$C$57,$C$58,$C$64,$C$63,$C$59,$C$60,$C$67,$C$65,$K$81,$J89,$C$61,$C$62,L$107)</f>
        <v>#NAME?</v>
      </c>
      <c r="M89" s="16" t="e" cm="1">
        <f t="array" aca="1" ref="M89" ca="1">_xll.DBRW($C$54,$K$80,M$24,$K$82,$C$66,$C$57,$C$58,$C$64,$C$63,$C$59,$C$60,$C$67,$C$65,$K$81,$J89,$C$61,$C$62,M$107)</f>
        <v>#NAME?</v>
      </c>
      <c r="N89" s="16" t="e" cm="1">
        <f t="array" aca="1" ref="N89" ca="1">_xll.DBRW($C$54,$K$80,N$24,$K$82,$C$66,$C$57,$C$58,$C$64,$C$63,$C$59,$C$60,$C$67,$C$65,$K$81,$J89,$C$61,$C$62,N$107)</f>
        <v>#NAME?</v>
      </c>
      <c r="O89" s="16" t="e" cm="1">
        <f t="array" aca="1" ref="O89" ca="1">_xll.DBRW($C$54,$K$80,O$24,$K$82,$C$66,$C$57,$C$58,$C$64,$C$63,$C$59,$C$60,$C$67,$C$65,$K$81,$J89,$C$61,$C$62,O$107)</f>
        <v>#NAME?</v>
      </c>
      <c r="P89" s="16" t="e" cm="1">
        <f t="array" aca="1" ref="P89" ca="1">_xll.DBRW($C$54,$K$80,P$24,$K$82,$C$66,$C$57,$C$58,$C$64,$C$63,$C$59,$C$60,$C$67,$C$65,$K$81,$J89,$C$61,$C$62,P$107)</f>
        <v>#NAME?</v>
      </c>
      <c r="R89" s="16" t="e" cm="1">
        <f t="array" aca="1" ref="R89" ca="1">_xll.DBRW($C$54,$K$80,R$24,$K$82,$C$66,$C$57,$C$58,$C$64,$C$63,$C$59,$C$60,$C$67,$C$65,$K$81,$J89,$C$61,$C$62,R$107)</f>
        <v>#NAME?</v>
      </c>
      <c r="S89" s="16" t="e" cm="1">
        <f t="array" aca="1" ref="S89" ca="1">_xll.DBRW($C$54,$K$80,S$24,$K$82,$C$66,$C$57,$C$58,$C$64,$C$63,$C$59,$C$60,$C$67,$C$65,$K$81,$J89,$C$61,$C$62,S$107)</f>
        <v>#NAME?</v>
      </c>
      <c r="T89" s="16" t="e" cm="1">
        <f t="array" aca="1" ref="T89" ca="1">_xll.DBRW($C$54,$K$80,T$24,$K$82,$C$66,$C$57,$C$58,$C$64,$C$63,$C$59,$C$60,$C$67,$C$65,$K$81,$J89,$C$61,$C$62,T$107)</f>
        <v>#NAME?</v>
      </c>
      <c r="U89" s="16" t="e" cm="1">
        <f t="array" aca="1" ref="U89" ca="1">_xll.DBRW($C$54,$K$80,U$24,$K$82,$C$66,$C$57,$C$58,$C$64,$C$63,$C$59,$C$60,$C$67,$C$65,$K$81,$J89,$C$61,$C$62,U$107)</f>
        <v>#NAME?</v>
      </c>
      <c r="V89" s="16" t="e" cm="1">
        <f t="array" aca="1" ref="V89" ca="1">_xll.DBRW($C$54,$K$80,V$24,$K$82,$C$66,$C$57,$C$58,$C$64,$C$63,$C$59,$C$60,$C$67,$C$65,$K$81,$J89,$C$61,$C$62,V$107)</f>
        <v>#NAME?</v>
      </c>
      <c r="W89" s="16" t="e" cm="1">
        <f t="array" aca="1" ref="W89" ca="1">_xll.DBRW($C$54,$K$80,W$24,$K$82,$C$66,$C$57,$C$58,$C$64,$C$63,$C$59,$C$60,$C$67,$C$65,$K$81,$J89,$C$61,$C$62,W$107)</f>
        <v>#NAME?</v>
      </c>
      <c r="Y89" s="16" t="e" cm="1">
        <f t="array" aca="1" ref="Y89" ca="1">_xll.DBRW($C$54,$K$80,Y$24,$K$82,$C$66,$C$57,$C$58,$C$64,$C$63,$C$59,$C$60,$C$67,$C$65,$K$81,$J89,$C$61,$C$62,Y$107)</f>
        <v>#NAME?</v>
      </c>
      <c r="Z89" s="16" t="e" cm="1">
        <f t="array" aca="1" ref="Z89" ca="1">_xll.DBRW($C$54,$K$80,Z$24,$K$82,$C$66,$C$57,$C$58,$C$64,$C$63,$C$59,$C$60,$C$67,$C$65,$K$81,$J89,$C$61,$C$62,Z$107)</f>
        <v>#NAME?</v>
      </c>
      <c r="AA89" s="16" t="e" cm="1">
        <f t="array" aca="1" ref="AA89" ca="1">_xll.DBRW($C$54,$K$80,AA$24,$K$82,$C$66,$C$57,$C$58,$C$64,$C$63,$C$59,$C$60,$C$67,$C$65,$K$81,$J89,$C$61,$C$62,AA$107)</f>
        <v>#NAME?</v>
      </c>
      <c r="AB89" s="16" t="e" cm="1">
        <f t="array" aca="1" ref="AB89" ca="1">_xll.DBRW($C$54,$K$80,AB$24,$K$82,$C$66,$C$57,$C$58,$C$64,$C$63,$C$59,$C$60,$C$67,$C$65,$K$81,$J89,$C$61,$C$62,AB$107)</f>
        <v>#NAME?</v>
      </c>
      <c r="AC89" s="16" t="e" cm="1">
        <f t="array" aca="1" ref="AC89" ca="1">_xll.DBRW($C$54,$K$80,AC$24,$K$82,$C$66,$C$57,$C$58,$C$64,$C$63,$C$59,$C$60,$C$67,$C$65,$K$81,$J89,$C$61,$C$62,AC$107)</f>
        <v>#NAME?</v>
      </c>
      <c r="AD89" s="16" t="e" cm="1">
        <f t="array" aca="1" ref="AD89" ca="1">_xll.DBRW($C$54,$K$80,AD$24,$K$82,$C$66,$C$57,$C$58,$C$64,$C$63,$C$59,$C$60,$C$67,$C$65,$K$81,$J89,$C$61,$C$62,AD$107)</f>
        <v>#NAME?</v>
      </c>
    </row>
    <row r="90" spans="10:30" x14ac:dyDescent="0.25">
      <c r="J90" s="27" t="s">
        <v>5</v>
      </c>
      <c r="K90" s="16" t="e" cm="1">
        <f t="array" aca="1" ref="K90" ca="1">_xll.DBRW($C$54,$K$80,K$24,$K$82,$C$66,$C$57,$C$58,$C$64,$C$63,$C$59,$C$60,$C$67,$C$65,$K$81,$J90,$C$61,$C$62,K$107)</f>
        <v>#NAME?</v>
      </c>
      <c r="L90" s="16" t="e" cm="1">
        <f t="array" aca="1" ref="L90" ca="1">_xll.DBRW($C$54,$K$80,L$24,$K$82,$C$66,$C$57,$C$58,$C$64,$C$63,$C$59,$C$60,$C$67,$C$65,$K$81,$J90,$C$61,$C$62,L$107)</f>
        <v>#NAME?</v>
      </c>
      <c r="M90" s="16" t="e" cm="1">
        <f t="array" aca="1" ref="M90" ca="1">_xll.DBRW($C$54,$K$80,M$24,$K$82,$C$66,$C$57,$C$58,$C$64,$C$63,$C$59,$C$60,$C$67,$C$65,$K$81,$J90,$C$61,$C$62,M$107)</f>
        <v>#NAME?</v>
      </c>
      <c r="N90" s="16" t="e" cm="1">
        <f t="array" aca="1" ref="N90" ca="1">_xll.DBRW($C$54,$K$80,N$24,$K$82,$C$66,$C$57,$C$58,$C$64,$C$63,$C$59,$C$60,$C$67,$C$65,$K$81,$J90,$C$61,$C$62,N$107)</f>
        <v>#NAME?</v>
      </c>
      <c r="O90" s="16" t="e" cm="1">
        <f t="array" aca="1" ref="O90" ca="1">_xll.DBRW($C$54,$K$80,O$24,$K$82,$C$66,$C$57,$C$58,$C$64,$C$63,$C$59,$C$60,$C$67,$C$65,$K$81,$J90,$C$61,$C$62,O$107)</f>
        <v>#NAME?</v>
      </c>
      <c r="P90" s="16" t="e" cm="1">
        <f t="array" aca="1" ref="P90" ca="1">_xll.DBRW($C$54,$K$80,P$24,$K$82,$C$66,$C$57,$C$58,$C$64,$C$63,$C$59,$C$60,$C$67,$C$65,$K$81,$J90,$C$61,$C$62,P$107)</f>
        <v>#NAME?</v>
      </c>
      <c r="R90" s="16" t="e" cm="1">
        <f t="array" aca="1" ref="R90" ca="1">_xll.DBRW($C$54,$K$80,R$24,$K$82,$C$66,$C$57,$C$58,$C$64,$C$63,$C$59,$C$60,$C$67,$C$65,$K$81,$J90,$C$61,$C$62,R$107)</f>
        <v>#NAME?</v>
      </c>
      <c r="S90" s="16" t="e" cm="1">
        <f t="array" aca="1" ref="S90" ca="1">_xll.DBRW($C$54,$K$80,S$24,$K$82,$C$66,$C$57,$C$58,$C$64,$C$63,$C$59,$C$60,$C$67,$C$65,$K$81,$J90,$C$61,$C$62,S$107)</f>
        <v>#NAME?</v>
      </c>
      <c r="T90" s="16" t="e" cm="1">
        <f t="array" aca="1" ref="T90" ca="1">_xll.DBRW($C$54,$K$80,T$24,$K$82,$C$66,$C$57,$C$58,$C$64,$C$63,$C$59,$C$60,$C$67,$C$65,$K$81,$J90,$C$61,$C$62,T$107)</f>
        <v>#NAME?</v>
      </c>
      <c r="U90" s="16" t="e" cm="1">
        <f t="array" aca="1" ref="U90" ca="1">_xll.DBRW($C$54,$K$80,U$24,$K$82,$C$66,$C$57,$C$58,$C$64,$C$63,$C$59,$C$60,$C$67,$C$65,$K$81,$J90,$C$61,$C$62,U$107)</f>
        <v>#NAME?</v>
      </c>
      <c r="V90" s="16" t="e" cm="1">
        <f t="array" aca="1" ref="V90" ca="1">_xll.DBRW($C$54,$K$80,V$24,$K$82,$C$66,$C$57,$C$58,$C$64,$C$63,$C$59,$C$60,$C$67,$C$65,$K$81,$J90,$C$61,$C$62,V$107)</f>
        <v>#NAME?</v>
      </c>
      <c r="W90" s="16" t="e" cm="1">
        <f t="array" aca="1" ref="W90" ca="1">_xll.DBRW($C$54,$K$80,W$24,$K$82,$C$66,$C$57,$C$58,$C$64,$C$63,$C$59,$C$60,$C$67,$C$65,$K$81,$J90,$C$61,$C$62,W$107)</f>
        <v>#NAME?</v>
      </c>
      <c r="Y90" s="16" t="e" cm="1">
        <f t="array" aca="1" ref="Y90" ca="1">_xll.DBRW($C$54,$K$80,Y$24,$K$82,$C$66,$C$57,$C$58,$C$64,$C$63,$C$59,$C$60,$C$67,$C$65,$K$81,$J90,$C$61,$C$62,Y$107)</f>
        <v>#NAME?</v>
      </c>
      <c r="Z90" s="16" t="e" cm="1">
        <f t="array" aca="1" ref="Z90" ca="1">_xll.DBRW($C$54,$K$80,Z$24,$K$82,$C$66,$C$57,$C$58,$C$64,$C$63,$C$59,$C$60,$C$67,$C$65,$K$81,$J90,$C$61,$C$62,Z$107)</f>
        <v>#NAME?</v>
      </c>
      <c r="AA90" s="16" t="e" cm="1">
        <f t="array" aca="1" ref="AA90" ca="1">_xll.DBRW($C$54,$K$80,AA$24,$K$82,$C$66,$C$57,$C$58,$C$64,$C$63,$C$59,$C$60,$C$67,$C$65,$K$81,$J90,$C$61,$C$62,AA$107)</f>
        <v>#NAME?</v>
      </c>
      <c r="AB90" s="16" t="e" cm="1">
        <f t="array" aca="1" ref="AB90" ca="1">_xll.DBRW($C$54,$K$80,AB$24,$K$82,$C$66,$C$57,$C$58,$C$64,$C$63,$C$59,$C$60,$C$67,$C$65,$K$81,$J90,$C$61,$C$62,AB$107)</f>
        <v>#NAME?</v>
      </c>
      <c r="AC90" s="16" t="e" cm="1">
        <f t="array" aca="1" ref="AC90" ca="1">_xll.DBRW($C$54,$K$80,AC$24,$K$82,$C$66,$C$57,$C$58,$C$64,$C$63,$C$59,$C$60,$C$67,$C$65,$K$81,$J90,$C$61,$C$62,AC$107)</f>
        <v>#NAME?</v>
      </c>
      <c r="AD90" s="16" t="e" cm="1">
        <f t="array" aca="1" ref="AD90" ca="1">_xll.DBRW($C$54,$K$80,AD$24,$K$82,$C$66,$C$57,$C$58,$C$64,$C$63,$C$59,$C$60,$C$67,$C$65,$K$81,$J90,$C$61,$C$62,AD$107)</f>
        <v>#NAME?</v>
      </c>
    </row>
    <row r="91" spans="10:30" x14ac:dyDescent="0.25">
      <c r="J91" s="27" t="s">
        <v>6</v>
      </c>
      <c r="K91" s="16" t="e" cm="1">
        <f t="array" aca="1" ref="K91" ca="1">_xll.DBRW($C$54,$K$80,K$24,$K$82,$C$66,$C$57,$C$58,$C$64,$C$63,$C$59,$C$60,$C$67,$C$65,$K$81,$J91,$C$61,$C$62,K$107)</f>
        <v>#NAME?</v>
      </c>
      <c r="L91" s="16" t="e" cm="1">
        <f t="array" aca="1" ref="L91" ca="1">_xll.DBRW($C$54,$K$80,L$24,$K$82,$C$66,$C$57,$C$58,$C$64,$C$63,$C$59,$C$60,$C$67,$C$65,$K$81,$J91,$C$61,$C$62,L$107)</f>
        <v>#NAME?</v>
      </c>
      <c r="M91" s="16" t="e" cm="1">
        <f t="array" aca="1" ref="M91" ca="1">_xll.DBRW($C$54,$K$80,M$24,$K$82,$C$66,$C$57,$C$58,$C$64,$C$63,$C$59,$C$60,$C$67,$C$65,$K$81,$J91,$C$61,$C$62,M$107)</f>
        <v>#NAME?</v>
      </c>
      <c r="N91" s="16" t="e" cm="1">
        <f t="array" aca="1" ref="N91" ca="1">_xll.DBRW($C$54,$K$80,N$24,$K$82,$C$66,$C$57,$C$58,$C$64,$C$63,$C$59,$C$60,$C$67,$C$65,$K$81,$J91,$C$61,$C$62,N$107)</f>
        <v>#NAME?</v>
      </c>
      <c r="O91" s="16" t="e" cm="1">
        <f t="array" aca="1" ref="O91" ca="1">_xll.DBRW($C$54,$K$80,O$24,$K$82,$C$66,$C$57,$C$58,$C$64,$C$63,$C$59,$C$60,$C$67,$C$65,$K$81,$J91,$C$61,$C$62,O$107)</f>
        <v>#NAME?</v>
      </c>
      <c r="P91" s="16" t="e" cm="1">
        <f t="array" aca="1" ref="P91" ca="1">_xll.DBRW($C$54,$K$80,P$24,$K$82,$C$66,$C$57,$C$58,$C$64,$C$63,$C$59,$C$60,$C$67,$C$65,$K$81,$J91,$C$61,$C$62,P$107)</f>
        <v>#NAME?</v>
      </c>
      <c r="R91" s="16" t="e" cm="1">
        <f t="array" aca="1" ref="R91" ca="1">_xll.DBRW($C$54,$K$80,R$24,$K$82,$C$66,$C$57,$C$58,$C$64,$C$63,$C$59,$C$60,$C$67,$C$65,$K$81,$J91,$C$61,$C$62,R$107)</f>
        <v>#NAME?</v>
      </c>
      <c r="S91" s="16" t="e" cm="1">
        <f t="array" aca="1" ref="S91" ca="1">_xll.DBRW($C$54,$K$80,S$24,$K$82,$C$66,$C$57,$C$58,$C$64,$C$63,$C$59,$C$60,$C$67,$C$65,$K$81,$J91,$C$61,$C$62,S$107)</f>
        <v>#NAME?</v>
      </c>
      <c r="T91" s="16" t="e" cm="1">
        <f t="array" aca="1" ref="T91" ca="1">_xll.DBRW($C$54,$K$80,T$24,$K$82,$C$66,$C$57,$C$58,$C$64,$C$63,$C$59,$C$60,$C$67,$C$65,$K$81,$J91,$C$61,$C$62,T$107)</f>
        <v>#NAME?</v>
      </c>
      <c r="U91" s="16" t="e" cm="1">
        <f t="array" aca="1" ref="U91" ca="1">_xll.DBRW($C$54,$K$80,U$24,$K$82,$C$66,$C$57,$C$58,$C$64,$C$63,$C$59,$C$60,$C$67,$C$65,$K$81,$J91,$C$61,$C$62,U$107)</f>
        <v>#NAME?</v>
      </c>
      <c r="V91" s="16" t="e" cm="1">
        <f t="array" aca="1" ref="V91" ca="1">_xll.DBRW($C$54,$K$80,V$24,$K$82,$C$66,$C$57,$C$58,$C$64,$C$63,$C$59,$C$60,$C$67,$C$65,$K$81,$J91,$C$61,$C$62,V$107)</f>
        <v>#NAME?</v>
      </c>
      <c r="W91" s="16" t="e" cm="1">
        <f t="array" aca="1" ref="W91" ca="1">_xll.DBRW($C$54,$K$80,W$24,$K$82,$C$66,$C$57,$C$58,$C$64,$C$63,$C$59,$C$60,$C$67,$C$65,$K$81,$J91,$C$61,$C$62,W$107)</f>
        <v>#NAME?</v>
      </c>
      <c r="Y91" s="16" t="e" cm="1">
        <f t="array" aca="1" ref="Y91" ca="1">_xll.DBRW($C$54,$K$80,Y$24,$K$82,$C$66,$C$57,$C$58,$C$64,$C$63,$C$59,$C$60,$C$67,$C$65,$K$81,$J91,$C$61,$C$62,Y$107)</f>
        <v>#NAME?</v>
      </c>
      <c r="Z91" s="16" t="e" cm="1">
        <f t="array" aca="1" ref="Z91" ca="1">_xll.DBRW($C$54,$K$80,Z$24,$K$82,$C$66,$C$57,$C$58,$C$64,$C$63,$C$59,$C$60,$C$67,$C$65,$K$81,$J91,$C$61,$C$62,Z$107)</f>
        <v>#NAME?</v>
      </c>
      <c r="AA91" s="16" t="e" cm="1">
        <f t="array" aca="1" ref="AA91" ca="1">_xll.DBRW($C$54,$K$80,AA$24,$K$82,$C$66,$C$57,$C$58,$C$64,$C$63,$C$59,$C$60,$C$67,$C$65,$K$81,$J91,$C$61,$C$62,AA$107)</f>
        <v>#NAME?</v>
      </c>
      <c r="AB91" s="16" t="e" cm="1">
        <f t="array" aca="1" ref="AB91" ca="1">_xll.DBRW($C$54,$K$80,AB$24,$K$82,$C$66,$C$57,$C$58,$C$64,$C$63,$C$59,$C$60,$C$67,$C$65,$K$81,$J91,$C$61,$C$62,AB$107)</f>
        <v>#NAME?</v>
      </c>
      <c r="AC91" s="16" t="e" cm="1">
        <f t="array" aca="1" ref="AC91" ca="1">_xll.DBRW($C$54,$K$80,AC$24,$K$82,$C$66,$C$57,$C$58,$C$64,$C$63,$C$59,$C$60,$C$67,$C$65,$K$81,$J91,$C$61,$C$62,AC$107)</f>
        <v>#NAME?</v>
      </c>
      <c r="AD91" s="16" t="e" cm="1">
        <f t="array" aca="1" ref="AD91" ca="1">_xll.DBRW($C$54,$K$80,AD$24,$K$82,$C$66,$C$57,$C$58,$C$64,$C$63,$C$59,$C$60,$C$67,$C$65,$K$81,$J91,$C$61,$C$62,AD$107)</f>
        <v>#NAME?</v>
      </c>
    </row>
    <row r="92" spans="10:30" x14ac:dyDescent="0.25">
      <c r="J92" s="27" t="s">
        <v>7</v>
      </c>
      <c r="K92" s="16" t="e" cm="1">
        <f t="array" aca="1" ref="K92" ca="1">_xll.DBRW($C$54,$K$80,K$24,$K$82,$C$66,$C$57,$C$58,$C$64,$C$63,$C$59,$C$60,$C$67,$C$65,$K$81,$J92,$C$61,$C$62,K$107)</f>
        <v>#NAME?</v>
      </c>
      <c r="L92" s="16" t="e" cm="1">
        <f t="array" aca="1" ref="L92" ca="1">_xll.DBRW($C$54,$K$80,L$24,$K$82,$C$66,$C$57,$C$58,$C$64,$C$63,$C$59,$C$60,$C$67,$C$65,$K$81,$J92,$C$61,$C$62,L$107)</f>
        <v>#NAME?</v>
      </c>
      <c r="M92" s="16" t="e" cm="1">
        <f t="array" aca="1" ref="M92" ca="1">_xll.DBRW($C$54,$K$80,M$24,$K$82,$C$66,$C$57,$C$58,$C$64,$C$63,$C$59,$C$60,$C$67,$C$65,$K$81,$J92,$C$61,$C$62,M$107)</f>
        <v>#NAME?</v>
      </c>
      <c r="N92" s="16" t="e" cm="1">
        <f t="array" aca="1" ref="N92" ca="1">_xll.DBRW($C$54,$K$80,N$24,$K$82,$C$66,$C$57,$C$58,$C$64,$C$63,$C$59,$C$60,$C$67,$C$65,$K$81,$J92,$C$61,$C$62,N$107)</f>
        <v>#NAME?</v>
      </c>
      <c r="O92" s="16" t="e" cm="1">
        <f t="array" aca="1" ref="O92" ca="1">_xll.DBRW($C$54,$K$80,O$24,$K$82,$C$66,$C$57,$C$58,$C$64,$C$63,$C$59,$C$60,$C$67,$C$65,$K$81,$J92,$C$61,$C$62,O$107)</f>
        <v>#NAME?</v>
      </c>
      <c r="P92" s="16" t="e" cm="1">
        <f t="array" aca="1" ref="P92" ca="1">_xll.DBRW($C$54,$K$80,P$24,$K$82,$C$66,$C$57,$C$58,$C$64,$C$63,$C$59,$C$60,$C$67,$C$65,$K$81,$J92,$C$61,$C$62,P$107)</f>
        <v>#NAME?</v>
      </c>
      <c r="R92" s="16" t="e" cm="1">
        <f t="array" aca="1" ref="R92" ca="1">_xll.DBRW($C$54,$K$80,R$24,$K$82,$C$66,$C$57,$C$58,$C$64,$C$63,$C$59,$C$60,$C$67,$C$65,$K$81,$J92,$C$61,$C$62,R$107)</f>
        <v>#NAME?</v>
      </c>
      <c r="S92" s="16" t="e" cm="1">
        <f t="array" aca="1" ref="S92" ca="1">_xll.DBRW($C$54,$K$80,S$24,$K$82,$C$66,$C$57,$C$58,$C$64,$C$63,$C$59,$C$60,$C$67,$C$65,$K$81,$J92,$C$61,$C$62,S$107)</f>
        <v>#NAME?</v>
      </c>
      <c r="T92" s="16" t="e" cm="1">
        <f t="array" aca="1" ref="T92" ca="1">_xll.DBRW($C$54,$K$80,T$24,$K$82,$C$66,$C$57,$C$58,$C$64,$C$63,$C$59,$C$60,$C$67,$C$65,$K$81,$J92,$C$61,$C$62,T$107)</f>
        <v>#NAME?</v>
      </c>
      <c r="U92" s="16" t="e" cm="1">
        <f t="array" aca="1" ref="U92" ca="1">_xll.DBRW($C$54,$K$80,U$24,$K$82,$C$66,$C$57,$C$58,$C$64,$C$63,$C$59,$C$60,$C$67,$C$65,$K$81,$J92,$C$61,$C$62,U$107)</f>
        <v>#NAME?</v>
      </c>
      <c r="V92" s="16" t="e" cm="1">
        <f t="array" aca="1" ref="V92" ca="1">_xll.DBRW($C$54,$K$80,V$24,$K$82,$C$66,$C$57,$C$58,$C$64,$C$63,$C$59,$C$60,$C$67,$C$65,$K$81,$J92,$C$61,$C$62,V$107)</f>
        <v>#NAME?</v>
      </c>
      <c r="W92" s="16" t="e" cm="1">
        <f t="array" aca="1" ref="W92" ca="1">_xll.DBRW($C$54,$K$80,W$24,$K$82,$C$66,$C$57,$C$58,$C$64,$C$63,$C$59,$C$60,$C$67,$C$65,$K$81,$J92,$C$61,$C$62,W$107)</f>
        <v>#NAME?</v>
      </c>
      <c r="Y92" s="16" t="e" cm="1">
        <f t="array" aca="1" ref="Y92" ca="1">_xll.DBRW($C$54,$K$80,Y$24,$K$82,$C$66,$C$57,$C$58,$C$64,$C$63,$C$59,$C$60,$C$67,$C$65,$K$81,$J92,$C$61,$C$62,Y$107)</f>
        <v>#NAME?</v>
      </c>
      <c r="Z92" s="16" t="e" cm="1">
        <f t="array" aca="1" ref="Z92" ca="1">_xll.DBRW($C$54,$K$80,Z$24,$K$82,$C$66,$C$57,$C$58,$C$64,$C$63,$C$59,$C$60,$C$67,$C$65,$K$81,$J92,$C$61,$C$62,Z$107)</f>
        <v>#NAME?</v>
      </c>
      <c r="AA92" s="16" t="e" cm="1">
        <f t="array" aca="1" ref="AA92" ca="1">_xll.DBRW($C$54,$K$80,AA$24,$K$82,$C$66,$C$57,$C$58,$C$64,$C$63,$C$59,$C$60,$C$67,$C$65,$K$81,$J92,$C$61,$C$62,AA$107)</f>
        <v>#NAME?</v>
      </c>
      <c r="AB92" s="16" t="e" cm="1">
        <f t="array" aca="1" ref="AB92" ca="1">_xll.DBRW($C$54,$K$80,AB$24,$K$82,$C$66,$C$57,$C$58,$C$64,$C$63,$C$59,$C$60,$C$67,$C$65,$K$81,$J92,$C$61,$C$62,AB$107)</f>
        <v>#NAME?</v>
      </c>
      <c r="AC92" s="16" t="e" cm="1">
        <f t="array" aca="1" ref="AC92" ca="1">_xll.DBRW($C$54,$K$80,AC$24,$K$82,$C$66,$C$57,$C$58,$C$64,$C$63,$C$59,$C$60,$C$67,$C$65,$K$81,$J92,$C$61,$C$62,AC$107)</f>
        <v>#NAME?</v>
      </c>
      <c r="AD92" s="16" t="e" cm="1">
        <f t="array" aca="1" ref="AD92" ca="1">_xll.DBRW($C$54,$K$80,AD$24,$K$82,$C$66,$C$57,$C$58,$C$64,$C$63,$C$59,$C$60,$C$67,$C$65,$K$81,$J92,$C$61,$C$62,AD$107)</f>
        <v>#NAME?</v>
      </c>
    </row>
    <row r="93" spans="10:30" x14ac:dyDescent="0.25">
      <c r="J93" s="27" t="s">
        <v>8</v>
      </c>
      <c r="K93" s="16" t="e" cm="1">
        <f t="array" aca="1" ref="K93" ca="1">_xll.DBRW($C$54,$K$80,K$24,$K$82,$C$66,$C$57,$C$58,$C$64,$C$63,$C$59,$C$60,$C$67,$C$65,$K$81,$J93,$C$61,$C$62,K$107)</f>
        <v>#NAME?</v>
      </c>
      <c r="L93" s="16" t="e" cm="1">
        <f t="array" aca="1" ref="L93" ca="1">_xll.DBRW($C$54,$K$80,L$24,$K$82,$C$66,$C$57,$C$58,$C$64,$C$63,$C$59,$C$60,$C$67,$C$65,$K$81,$J93,$C$61,$C$62,L$107)</f>
        <v>#NAME?</v>
      </c>
      <c r="M93" s="16" t="e" cm="1">
        <f t="array" aca="1" ref="M93" ca="1">_xll.DBRW($C$54,$K$80,M$24,$K$82,$C$66,$C$57,$C$58,$C$64,$C$63,$C$59,$C$60,$C$67,$C$65,$K$81,$J93,$C$61,$C$62,M$107)</f>
        <v>#NAME?</v>
      </c>
      <c r="N93" s="16" t="e" cm="1">
        <f t="array" aca="1" ref="N93" ca="1">_xll.DBRW($C$54,$K$80,N$24,$K$82,$C$66,$C$57,$C$58,$C$64,$C$63,$C$59,$C$60,$C$67,$C$65,$K$81,$J93,$C$61,$C$62,N$107)</f>
        <v>#NAME?</v>
      </c>
      <c r="O93" s="16" t="e" cm="1">
        <f t="array" aca="1" ref="O93" ca="1">_xll.DBRW($C$54,$K$80,O$24,$K$82,$C$66,$C$57,$C$58,$C$64,$C$63,$C$59,$C$60,$C$67,$C$65,$K$81,$J93,$C$61,$C$62,O$107)</f>
        <v>#NAME?</v>
      </c>
      <c r="P93" s="16" t="e" cm="1">
        <f t="array" aca="1" ref="P93" ca="1">_xll.DBRW($C$54,$K$80,P$24,$K$82,$C$66,$C$57,$C$58,$C$64,$C$63,$C$59,$C$60,$C$67,$C$65,$K$81,$J93,$C$61,$C$62,P$107)</f>
        <v>#NAME?</v>
      </c>
      <c r="R93" s="16" t="e" cm="1">
        <f t="array" aca="1" ref="R93" ca="1">_xll.DBRW($C$54,$K$80,R$24,$K$82,$C$66,$C$57,$C$58,$C$64,$C$63,$C$59,$C$60,$C$67,$C$65,$K$81,$J93,$C$61,$C$62,R$107)</f>
        <v>#NAME?</v>
      </c>
      <c r="S93" s="16" t="e" cm="1">
        <f t="array" aca="1" ref="S93" ca="1">_xll.DBRW($C$54,$K$80,S$24,$K$82,$C$66,$C$57,$C$58,$C$64,$C$63,$C$59,$C$60,$C$67,$C$65,$K$81,$J93,$C$61,$C$62,S$107)</f>
        <v>#NAME?</v>
      </c>
      <c r="T93" s="16" t="e" cm="1">
        <f t="array" aca="1" ref="T93" ca="1">_xll.DBRW($C$54,$K$80,T$24,$K$82,$C$66,$C$57,$C$58,$C$64,$C$63,$C$59,$C$60,$C$67,$C$65,$K$81,$J93,$C$61,$C$62,T$107)</f>
        <v>#NAME?</v>
      </c>
      <c r="U93" s="16" t="e" cm="1">
        <f t="array" aca="1" ref="U93" ca="1">_xll.DBRW($C$54,$K$80,U$24,$K$82,$C$66,$C$57,$C$58,$C$64,$C$63,$C$59,$C$60,$C$67,$C$65,$K$81,$J93,$C$61,$C$62,U$107)</f>
        <v>#NAME?</v>
      </c>
      <c r="V93" s="16" t="e" cm="1">
        <f t="array" aca="1" ref="V93" ca="1">_xll.DBRW($C$54,$K$80,V$24,$K$82,$C$66,$C$57,$C$58,$C$64,$C$63,$C$59,$C$60,$C$67,$C$65,$K$81,$J93,$C$61,$C$62,V$107)</f>
        <v>#NAME?</v>
      </c>
      <c r="W93" s="16" t="e" cm="1">
        <f t="array" aca="1" ref="W93" ca="1">_xll.DBRW($C$54,$K$80,W$24,$K$82,$C$66,$C$57,$C$58,$C$64,$C$63,$C$59,$C$60,$C$67,$C$65,$K$81,$J93,$C$61,$C$62,W$107)</f>
        <v>#NAME?</v>
      </c>
      <c r="Y93" s="16" t="e" cm="1">
        <f t="array" aca="1" ref="Y93" ca="1">_xll.DBRW($C$54,$K$80,Y$24,$K$82,$C$66,$C$57,$C$58,$C$64,$C$63,$C$59,$C$60,$C$67,$C$65,$K$81,$J93,$C$61,$C$62,Y$107)</f>
        <v>#NAME?</v>
      </c>
      <c r="Z93" s="16" t="e" cm="1">
        <f t="array" aca="1" ref="Z93" ca="1">_xll.DBRW($C$54,$K$80,Z$24,$K$82,$C$66,$C$57,$C$58,$C$64,$C$63,$C$59,$C$60,$C$67,$C$65,$K$81,$J93,$C$61,$C$62,Z$107)</f>
        <v>#NAME?</v>
      </c>
      <c r="AA93" s="16" t="e" cm="1">
        <f t="array" aca="1" ref="AA93" ca="1">_xll.DBRW($C$54,$K$80,AA$24,$K$82,$C$66,$C$57,$C$58,$C$64,$C$63,$C$59,$C$60,$C$67,$C$65,$K$81,$J93,$C$61,$C$62,AA$107)</f>
        <v>#NAME?</v>
      </c>
      <c r="AB93" s="16" t="e" cm="1">
        <f t="array" aca="1" ref="AB93" ca="1">_xll.DBRW($C$54,$K$80,AB$24,$K$82,$C$66,$C$57,$C$58,$C$64,$C$63,$C$59,$C$60,$C$67,$C$65,$K$81,$J93,$C$61,$C$62,AB$107)</f>
        <v>#NAME?</v>
      </c>
      <c r="AC93" s="16" t="e" cm="1">
        <f t="array" aca="1" ref="AC93" ca="1">_xll.DBRW($C$54,$K$80,AC$24,$K$82,$C$66,$C$57,$C$58,$C$64,$C$63,$C$59,$C$60,$C$67,$C$65,$K$81,$J93,$C$61,$C$62,AC$107)</f>
        <v>#NAME?</v>
      </c>
      <c r="AD93" s="16" t="e" cm="1">
        <f t="array" aca="1" ref="AD93" ca="1">_xll.DBRW($C$54,$K$80,AD$24,$K$82,$C$66,$C$57,$C$58,$C$64,$C$63,$C$59,$C$60,$C$67,$C$65,$K$81,$J93,$C$61,$C$62,AD$107)</f>
        <v>#NAME?</v>
      </c>
    </row>
    <row r="94" spans="10:30" x14ac:dyDescent="0.25">
      <c r="J94" s="27" t="s">
        <v>9</v>
      </c>
      <c r="K94" s="16" t="e" cm="1">
        <f t="array" aca="1" ref="K94" ca="1">_xll.DBRW($C$54,$K$80,K$24,$K$82,$C$66,$C$57,$C$58,$C$64,$C$63,$C$59,$C$60,$C$67,$C$65,$K$81,$J94,$C$61,$C$62,K$107)</f>
        <v>#NAME?</v>
      </c>
      <c r="L94" s="16" t="e" cm="1">
        <f t="array" aca="1" ref="L94" ca="1">_xll.DBRW($C$54,$K$80,L$24,$K$82,$C$66,$C$57,$C$58,$C$64,$C$63,$C$59,$C$60,$C$67,$C$65,$K$81,$J94,$C$61,$C$62,L$107)</f>
        <v>#NAME?</v>
      </c>
      <c r="M94" s="16" t="e" cm="1">
        <f t="array" aca="1" ref="M94" ca="1">_xll.DBRW($C$54,$K$80,M$24,$K$82,$C$66,$C$57,$C$58,$C$64,$C$63,$C$59,$C$60,$C$67,$C$65,$K$81,$J94,$C$61,$C$62,M$107)</f>
        <v>#NAME?</v>
      </c>
      <c r="N94" s="16" t="e" cm="1">
        <f t="array" aca="1" ref="N94" ca="1">_xll.DBRW($C$54,$K$80,N$24,$K$82,$C$66,$C$57,$C$58,$C$64,$C$63,$C$59,$C$60,$C$67,$C$65,$K$81,$J94,$C$61,$C$62,N$107)</f>
        <v>#NAME?</v>
      </c>
      <c r="O94" s="16" t="e" cm="1">
        <f t="array" aca="1" ref="O94" ca="1">_xll.DBRW($C$54,$K$80,O$24,$K$82,$C$66,$C$57,$C$58,$C$64,$C$63,$C$59,$C$60,$C$67,$C$65,$K$81,$J94,$C$61,$C$62,O$107)</f>
        <v>#NAME?</v>
      </c>
      <c r="P94" s="16" t="e" cm="1">
        <f t="array" aca="1" ref="P94" ca="1">_xll.DBRW($C$54,$K$80,P$24,$K$82,$C$66,$C$57,$C$58,$C$64,$C$63,$C$59,$C$60,$C$67,$C$65,$K$81,$J94,$C$61,$C$62,P$107)</f>
        <v>#NAME?</v>
      </c>
      <c r="R94" s="16" t="e" cm="1">
        <f t="array" aca="1" ref="R94" ca="1">_xll.DBRW($C$54,$K$80,R$24,$K$82,$C$66,$C$57,$C$58,$C$64,$C$63,$C$59,$C$60,$C$67,$C$65,$K$81,$J94,$C$61,$C$62,R$107)</f>
        <v>#NAME?</v>
      </c>
      <c r="S94" s="16" t="e" cm="1">
        <f t="array" aca="1" ref="S94" ca="1">_xll.DBRW($C$54,$K$80,S$24,$K$82,$C$66,$C$57,$C$58,$C$64,$C$63,$C$59,$C$60,$C$67,$C$65,$K$81,$J94,$C$61,$C$62,S$107)</f>
        <v>#NAME?</v>
      </c>
      <c r="T94" s="16" t="e" cm="1">
        <f t="array" aca="1" ref="T94" ca="1">_xll.DBRW($C$54,$K$80,T$24,$K$82,$C$66,$C$57,$C$58,$C$64,$C$63,$C$59,$C$60,$C$67,$C$65,$K$81,$J94,$C$61,$C$62,T$107)</f>
        <v>#NAME?</v>
      </c>
      <c r="U94" s="16" t="e" cm="1">
        <f t="array" aca="1" ref="U94" ca="1">_xll.DBRW($C$54,$K$80,U$24,$K$82,$C$66,$C$57,$C$58,$C$64,$C$63,$C$59,$C$60,$C$67,$C$65,$K$81,$J94,$C$61,$C$62,U$107)</f>
        <v>#NAME?</v>
      </c>
      <c r="V94" s="16" t="e" cm="1">
        <f t="array" aca="1" ref="V94" ca="1">_xll.DBRW($C$54,$K$80,V$24,$K$82,$C$66,$C$57,$C$58,$C$64,$C$63,$C$59,$C$60,$C$67,$C$65,$K$81,$J94,$C$61,$C$62,V$107)</f>
        <v>#NAME?</v>
      </c>
      <c r="W94" s="16" t="e" cm="1">
        <f t="array" aca="1" ref="W94" ca="1">_xll.DBRW($C$54,$K$80,W$24,$K$82,$C$66,$C$57,$C$58,$C$64,$C$63,$C$59,$C$60,$C$67,$C$65,$K$81,$J94,$C$61,$C$62,W$107)</f>
        <v>#NAME?</v>
      </c>
      <c r="Y94" s="16" t="e" cm="1">
        <f t="array" aca="1" ref="Y94" ca="1">_xll.DBRW($C$54,$K$80,Y$24,$K$82,$C$66,$C$57,$C$58,$C$64,$C$63,$C$59,$C$60,$C$67,$C$65,$K$81,$J94,$C$61,$C$62,Y$107)</f>
        <v>#NAME?</v>
      </c>
      <c r="Z94" s="16" t="e" cm="1">
        <f t="array" aca="1" ref="Z94" ca="1">_xll.DBRW($C$54,$K$80,Z$24,$K$82,$C$66,$C$57,$C$58,$C$64,$C$63,$C$59,$C$60,$C$67,$C$65,$K$81,$J94,$C$61,$C$62,Z$107)</f>
        <v>#NAME?</v>
      </c>
      <c r="AA94" s="16" t="e" cm="1">
        <f t="array" aca="1" ref="AA94" ca="1">_xll.DBRW($C$54,$K$80,AA$24,$K$82,$C$66,$C$57,$C$58,$C$64,$C$63,$C$59,$C$60,$C$67,$C$65,$K$81,$J94,$C$61,$C$62,AA$107)</f>
        <v>#NAME?</v>
      </c>
      <c r="AB94" s="16" t="e" cm="1">
        <f t="array" aca="1" ref="AB94" ca="1">_xll.DBRW($C$54,$K$80,AB$24,$K$82,$C$66,$C$57,$C$58,$C$64,$C$63,$C$59,$C$60,$C$67,$C$65,$K$81,$J94,$C$61,$C$62,AB$107)</f>
        <v>#NAME?</v>
      </c>
      <c r="AC94" s="16" t="e" cm="1">
        <f t="array" aca="1" ref="AC94" ca="1">_xll.DBRW($C$54,$K$80,AC$24,$K$82,$C$66,$C$57,$C$58,$C$64,$C$63,$C$59,$C$60,$C$67,$C$65,$K$81,$J94,$C$61,$C$62,AC$107)</f>
        <v>#NAME?</v>
      </c>
      <c r="AD94" s="16" t="e" cm="1">
        <f t="array" aca="1" ref="AD94" ca="1">_xll.DBRW($C$54,$K$80,AD$24,$K$82,$C$66,$C$57,$C$58,$C$64,$C$63,$C$59,$C$60,$C$67,$C$65,$K$81,$J94,$C$61,$C$62,AD$107)</f>
        <v>#NAME?</v>
      </c>
    </row>
    <row r="95" spans="10:30" x14ac:dyDescent="0.25">
      <c r="J95" s="27" t="s">
        <v>10</v>
      </c>
      <c r="K95" s="16" t="e" cm="1">
        <f t="array" aca="1" ref="K95" ca="1">_xll.DBRW($C$54,$K$80,K$24,$K$82,$C$66,$C$57,$C$58,$C$64,$C$63,$C$59,$C$60,$C$67,$C$65,$K$81,$J95,$C$61,$C$62,K$107)</f>
        <v>#NAME?</v>
      </c>
      <c r="L95" s="16" t="e" cm="1">
        <f t="array" aca="1" ref="L95" ca="1">_xll.DBRW($C$54,$K$80,L$24,$K$82,$C$66,$C$57,$C$58,$C$64,$C$63,$C$59,$C$60,$C$67,$C$65,$K$81,$J95,$C$61,$C$62,L$107)</f>
        <v>#NAME?</v>
      </c>
      <c r="M95" s="16" t="e" cm="1">
        <f t="array" aca="1" ref="M95" ca="1">_xll.DBRW($C$54,$K$80,M$24,$K$82,$C$66,$C$57,$C$58,$C$64,$C$63,$C$59,$C$60,$C$67,$C$65,$K$81,$J95,$C$61,$C$62,M$107)</f>
        <v>#NAME?</v>
      </c>
      <c r="N95" s="16" t="e" cm="1">
        <f t="array" aca="1" ref="N95" ca="1">_xll.DBRW($C$54,$K$80,N$24,$K$82,$C$66,$C$57,$C$58,$C$64,$C$63,$C$59,$C$60,$C$67,$C$65,$K$81,$J95,$C$61,$C$62,N$107)</f>
        <v>#NAME?</v>
      </c>
      <c r="O95" s="16" t="e" cm="1">
        <f t="array" aca="1" ref="O95" ca="1">_xll.DBRW($C$54,$K$80,O$24,$K$82,$C$66,$C$57,$C$58,$C$64,$C$63,$C$59,$C$60,$C$67,$C$65,$K$81,$J95,$C$61,$C$62,O$107)</f>
        <v>#NAME?</v>
      </c>
      <c r="P95" s="16" t="e" cm="1">
        <f t="array" aca="1" ref="P95" ca="1">_xll.DBRW($C$54,$K$80,P$24,$K$82,$C$66,$C$57,$C$58,$C$64,$C$63,$C$59,$C$60,$C$67,$C$65,$K$81,$J95,$C$61,$C$62,P$107)</f>
        <v>#NAME?</v>
      </c>
      <c r="R95" s="16" t="e" cm="1">
        <f t="array" aca="1" ref="R95" ca="1">_xll.DBRW($C$54,$K$80,R$24,$K$82,$C$66,$C$57,$C$58,$C$64,$C$63,$C$59,$C$60,$C$67,$C$65,$K$81,$J95,$C$61,$C$62,R$107)</f>
        <v>#NAME?</v>
      </c>
      <c r="S95" s="16" t="e" cm="1">
        <f t="array" aca="1" ref="S95" ca="1">_xll.DBRW($C$54,$K$80,S$24,$K$82,$C$66,$C$57,$C$58,$C$64,$C$63,$C$59,$C$60,$C$67,$C$65,$K$81,$J95,$C$61,$C$62,S$107)</f>
        <v>#NAME?</v>
      </c>
      <c r="T95" s="16" t="e" cm="1">
        <f t="array" aca="1" ref="T95" ca="1">_xll.DBRW($C$54,$K$80,T$24,$K$82,$C$66,$C$57,$C$58,$C$64,$C$63,$C$59,$C$60,$C$67,$C$65,$K$81,$J95,$C$61,$C$62,T$107)</f>
        <v>#NAME?</v>
      </c>
      <c r="U95" s="16" t="e" cm="1">
        <f t="array" aca="1" ref="U95" ca="1">_xll.DBRW($C$54,$K$80,U$24,$K$82,$C$66,$C$57,$C$58,$C$64,$C$63,$C$59,$C$60,$C$67,$C$65,$K$81,$J95,$C$61,$C$62,U$107)</f>
        <v>#NAME?</v>
      </c>
      <c r="V95" s="16" t="e" cm="1">
        <f t="array" aca="1" ref="V95" ca="1">_xll.DBRW($C$54,$K$80,V$24,$K$82,$C$66,$C$57,$C$58,$C$64,$C$63,$C$59,$C$60,$C$67,$C$65,$K$81,$J95,$C$61,$C$62,V$107)</f>
        <v>#NAME?</v>
      </c>
      <c r="W95" s="16" t="e" cm="1">
        <f t="array" aca="1" ref="W95" ca="1">_xll.DBRW($C$54,$K$80,W$24,$K$82,$C$66,$C$57,$C$58,$C$64,$C$63,$C$59,$C$60,$C$67,$C$65,$K$81,$J95,$C$61,$C$62,W$107)</f>
        <v>#NAME?</v>
      </c>
      <c r="Y95" s="16" t="e" cm="1">
        <f t="array" aca="1" ref="Y95" ca="1">_xll.DBRW($C$54,$K$80,Y$24,$K$82,$C$66,$C$57,$C$58,$C$64,$C$63,$C$59,$C$60,$C$67,$C$65,$K$81,$J95,$C$61,$C$62,Y$107)</f>
        <v>#NAME?</v>
      </c>
      <c r="Z95" s="16" t="e" cm="1">
        <f t="array" aca="1" ref="Z95" ca="1">_xll.DBRW($C$54,$K$80,Z$24,$K$82,$C$66,$C$57,$C$58,$C$64,$C$63,$C$59,$C$60,$C$67,$C$65,$K$81,$J95,$C$61,$C$62,Z$107)</f>
        <v>#NAME?</v>
      </c>
      <c r="AA95" s="16" t="e" cm="1">
        <f t="array" aca="1" ref="AA95" ca="1">_xll.DBRW($C$54,$K$80,AA$24,$K$82,$C$66,$C$57,$C$58,$C$64,$C$63,$C$59,$C$60,$C$67,$C$65,$K$81,$J95,$C$61,$C$62,AA$107)</f>
        <v>#NAME?</v>
      </c>
      <c r="AB95" s="16" t="e" cm="1">
        <f t="array" aca="1" ref="AB95" ca="1">_xll.DBRW($C$54,$K$80,AB$24,$K$82,$C$66,$C$57,$C$58,$C$64,$C$63,$C$59,$C$60,$C$67,$C$65,$K$81,$J95,$C$61,$C$62,AB$107)</f>
        <v>#NAME?</v>
      </c>
      <c r="AC95" s="16" t="e" cm="1">
        <f t="array" aca="1" ref="AC95" ca="1">_xll.DBRW($C$54,$K$80,AC$24,$K$82,$C$66,$C$57,$C$58,$C$64,$C$63,$C$59,$C$60,$C$67,$C$65,$K$81,$J95,$C$61,$C$62,AC$107)</f>
        <v>#NAME?</v>
      </c>
      <c r="AD95" s="16" t="e" cm="1">
        <f t="array" aca="1" ref="AD95" ca="1">_xll.DBRW($C$54,$K$80,AD$24,$K$82,$C$66,$C$57,$C$58,$C$64,$C$63,$C$59,$C$60,$C$67,$C$65,$K$81,$J95,$C$61,$C$62,AD$107)</f>
        <v>#NAME?</v>
      </c>
    </row>
    <row r="96" spans="10:30" x14ac:dyDescent="0.25">
      <c r="J96" s="27" t="s">
        <v>11</v>
      </c>
      <c r="K96" s="16" t="e" cm="1">
        <f t="array" aca="1" ref="K96" ca="1">_xll.DBRW($C$54,$K$80,K$24,$K$82,$C$66,$C$57,$C$58,$C$64,$C$63,$C$59,$C$60,$C$67,$C$65,$K$81,$J96,$C$61,$C$62,K$107)</f>
        <v>#NAME?</v>
      </c>
      <c r="L96" s="16" t="e" cm="1">
        <f t="array" aca="1" ref="L96" ca="1">_xll.DBRW($C$54,$K$80,L$24,$K$82,$C$66,$C$57,$C$58,$C$64,$C$63,$C$59,$C$60,$C$67,$C$65,$K$81,$J96,$C$61,$C$62,L$107)</f>
        <v>#NAME?</v>
      </c>
      <c r="M96" s="16" t="e" cm="1">
        <f t="array" aca="1" ref="M96" ca="1">_xll.DBRW($C$54,$K$80,M$24,$K$82,$C$66,$C$57,$C$58,$C$64,$C$63,$C$59,$C$60,$C$67,$C$65,$K$81,$J96,$C$61,$C$62,M$107)</f>
        <v>#NAME?</v>
      </c>
      <c r="N96" s="16" t="e" cm="1">
        <f t="array" aca="1" ref="N96" ca="1">_xll.DBRW($C$54,$K$80,N$24,$K$82,$C$66,$C$57,$C$58,$C$64,$C$63,$C$59,$C$60,$C$67,$C$65,$K$81,$J96,$C$61,$C$62,N$107)</f>
        <v>#NAME?</v>
      </c>
      <c r="O96" s="16" t="e" cm="1">
        <f t="array" aca="1" ref="O96" ca="1">_xll.DBRW($C$54,$K$80,O$24,$K$82,$C$66,$C$57,$C$58,$C$64,$C$63,$C$59,$C$60,$C$67,$C$65,$K$81,$J96,$C$61,$C$62,O$107)</f>
        <v>#NAME?</v>
      </c>
      <c r="P96" s="16" t="e" cm="1">
        <f t="array" aca="1" ref="P96" ca="1">_xll.DBRW($C$54,$K$80,P$24,$K$82,$C$66,$C$57,$C$58,$C$64,$C$63,$C$59,$C$60,$C$67,$C$65,$K$81,$J96,$C$61,$C$62,P$107)</f>
        <v>#NAME?</v>
      </c>
      <c r="R96" s="16" t="e" cm="1">
        <f t="array" aca="1" ref="R96" ca="1">_xll.DBRW($C$54,$K$80,R$24,$K$82,$C$66,$C$57,$C$58,$C$64,$C$63,$C$59,$C$60,$C$67,$C$65,$K$81,$J96,$C$61,$C$62,R$107)</f>
        <v>#NAME?</v>
      </c>
      <c r="S96" s="16" t="e" cm="1">
        <f t="array" aca="1" ref="S96" ca="1">_xll.DBRW($C$54,$K$80,S$24,$K$82,$C$66,$C$57,$C$58,$C$64,$C$63,$C$59,$C$60,$C$67,$C$65,$K$81,$J96,$C$61,$C$62,S$107)</f>
        <v>#NAME?</v>
      </c>
      <c r="T96" s="16" t="e" cm="1">
        <f t="array" aca="1" ref="T96" ca="1">_xll.DBRW($C$54,$K$80,T$24,$K$82,$C$66,$C$57,$C$58,$C$64,$C$63,$C$59,$C$60,$C$67,$C$65,$K$81,$J96,$C$61,$C$62,T$107)</f>
        <v>#NAME?</v>
      </c>
      <c r="U96" s="16" t="e" cm="1">
        <f t="array" aca="1" ref="U96" ca="1">_xll.DBRW($C$54,$K$80,U$24,$K$82,$C$66,$C$57,$C$58,$C$64,$C$63,$C$59,$C$60,$C$67,$C$65,$K$81,$J96,$C$61,$C$62,U$107)</f>
        <v>#NAME?</v>
      </c>
      <c r="V96" s="16" t="e" cm="1">
        <f t="array" aca="1" ref="V96" ca="1">_xll.DBRW($C$54,$K$80,V$24,$K$82,$C$66,$C$57,$C$58,$C$64,$C$63,$C$59,$C$60,$C$67,$C$65,$K$81,$J96,$C$61,$C$62,V$107)</f>
        <v>#NAME?</v>
      </c>
      <c r="W96" s="16" t="e" cm="1">
        <f t="array" aca="1" ref="W96" ca="1">_xll.DBRW($C$54,$K$80,W$24,$K$82,$C$66,$C$57,$C$58,$C$64,$C$63,$C$59,$C$60,$C$67,$C$65,$K$81,$J96,$C$61,$C$62,W$107)</f>
        <v>#NAME?</v>
      </c>
      <c r="Y96" s="16" t="e" cm="1">
        <f t="array" aca="1" ref="Y96" ca="1">_xll.DBRW($C$54,$K$80,Y$24,$K$82,$C$66,$C$57,$C$58,$C$64,$C$63,$C$59,$C$60,$C$67,$C$65,$K$81,$J96,$C$61,$C$62,Y$107)</f>
        <v>#NAME?</v>
      </c>
      <c r="Z96" s="16" t="e" cm="1">
        <f t="array" aca="1" ref="Z96" ca="1">_xll.DBRW($C$54,$K$80,Z$24,$K$82,$C$66,$C$57,$C$58,$C$64,$C$63,$C$59,$C$60,$C$67,$C$65,$K$81,$J96,$C$61,$C$62,Z$107)</f>
        <v>#NAME?</v>
      </c>
      <c r="AA96" s="16" t="e" cm="1">
        <f t="array" aca="1" ref="AA96" ca="1">_xll.DBRW($C$54,$K$80,AA$24,$K$82,$C$66,$C$57,$C$58,$C$64,$C$63,$C$59,$C$60,$C$67,$C$65,$K$81,$J96,$C$61,$C$62,AA$107)</f>
        <v>#NAME?</v>
      </c>
      <c r="AB96" s="16" t="e" cm="1">
        <f t="array" aca="1" ref="AB96" ca="1">_xll.DBRW($C$54,$K$80,AB$24,$K$82,$C$66,$C$57,$C$58,$C$64,$C$63,$C$59,$C$60,$C$67,$C$65,$K$81,$J96,$C$61,$C$62,AB$107)</f>
        <v>#NAME?</v>
      </c>
      <c r="AC96" s="16" t="e" cm="1">
        <f t="array" aca="1" ref="AC96" ca="1">_xll.DBRW($C$54,$K$80,AC$24,$K$82,$C$66,$C$57,$C$58,$C$64,$C$63,$C$59,$C$60,$C$67,$C$65,$K$81,$J96,$C$61,$C$62,AC$107)</f>
        <v>#NAME?</v>
      </c>
      <c r="AD96" s="16" t="e" cm="1">
        <f t="array" aca="1" ref="AD96" ca="1">_xll.DBRW($C$54,$K$80,AD$24,$K$82,$C$66,$C$57,$C$58,$C$64,$C$63,$C$59,$C$60,$C$67,$C$65,$K$81,$J96,$C$61,$C$62,AD$107)</f>
        <v>#NAME?</v>
      </c>
    </row>
    <row r="97" spans="1:30" x14ac:dyDescent="0.25">
      <c r="J97" s="27" t="s">
        <v>12</v>
      </c>
      <c r="K97" s="16" t="e" cm="1">
        <f t="array" aca="1" ref="K97" ca="1">_xll.DBRW($C$54,$K$80,K$24,$K$82,$C$66,$C$57,$C$58,$C$64,$C$63,$C$59,$C$60,$C$67,$C$65,$K$81,$J97,$C$61,$C$62,K$107)</f>
        <v>#NAME?</v>
      </c>
      <c r="L97" s="16" t="e" cm="1">
        <f t="array" aca="1" ref="L97" ca="1">_xll.DBRW($C$54,$K$80,L$24,$K$82,$C$66,$C$57,$C$58,$C$64,$C$63,$C$59,$C$60,$C$67,$C$65,$K$81,$J97,$C$61,$C$62,L$107)</f>
        <v>#NAME?</v>
      </c>
      <c r="M97" s="16" t="e" cm="1">
        <f t="array" aca="1" ref="M97" ca="1">_xll.DBRW($C$54,$K$80,M$24,$K$82,$C$66,$C$57,$C$58,$C$64,$C$63,$C$59,$C$60,$C$67,$C$65,$K$81,$J97,$C$61,$C$62,M$107)</f>
        <v>#NAME?</v>
      </c>
      <c r="N97" s="16" t="e" cm="1">
        <f t="array" aca="1" ref="N97" ca="1">_xll.DBRW($C$54,$K$80,N$24,$K$82,$C$66,$C$57,$C$58,$C$64,$C$63,$C$59,$C$60,$C$67,$C$65,$K$81,$J97,$C$61,$C$62,N$107)</f>
        <v>#NAME?</v>
      </c>
      <c r="O97" s="16" t="e" cm="1">
        <f t="array" aca="1" ref="O97" ca="1">_xll.DBRW($C$54,$K$80,O$24,$K$82,$C$66,$C$57,$C$58,$C$64,$C$63,$C$59,$C$60,$C$67,$C$65,$K$81,$J97,$C$61,$C$62,O$107)</f>
        <v>#NAME?</v>
      </c>
      <c r="P97" s="16" t="e" cm="1">
        <f t="array" aca="1" ref="P97" ca="1">_xll.DBRW($C$54,$K$80,P$24,$K$82,$C$66,$C$57,$C$58,$C$64,$C$63,$C$59,$C$60,$C$67,$C$65,$K$81,$J97,$C$61,$C$62,P$107)</f>
        <v>#NAME?</v>
      </c>
      <c r="R97" s="16" t="e" cm="1">
        <f t="array" aca="1" ref="R97" ca="1">_xll.DBRW($C$54,$K$80,R$24,$K$82,$C$66,$C$57,$C$58,$C$64,$C$63,$C$59,$C$60,$C$67,$C$65,$K$81,$J97,$C$61,$C$62,R$107)</f>
        <v>#NAME?</v>
      </c>
      <c r="S97" s="16" t="e" cm="1">
        <f t="array" aca="1" ref="S97" ca="1">_xll.DBRW($C$54,$K$80,S$24,$K$82,$C$66,$C$57,$C$58,$C$64,$C$63,$C$59,$C$60,$C$67,$C$65,$K$81,$J97,$C$61,$C$62,S$107)</f>
        <v>#NAME?</v>
      </c>
      <c r="T97" s="16" t="e" cm="1">
        <f t="array" aca="1" ref="T97" ca="1">_xll.DBRW($C$54,$K$80,T$24,$K$82,$C$66,$C$57,$C$58,$C$64,$C$63,$C$59,$C$60,$C$67,$C$65,$K$81,$J97,$C$61,$C$62,T$107)</f>
        <v>#NAME?</v>
      </c>
      <c r="U97" s="16" t="e" cm="1">
        <f t="array" aca="1" ref="U97" ca="1">_xll.DBRW($C$54,$K$80,U$24,$K$82,$C$66,$C$57,$C$58,$C$64,$C$63,$C$59,$C$60,$C$67,$C$65,$K$81,$J97,$C$61,$C$62,U$107)</f>
        <v>#NAME?</v>
      </c>
      <c r="V97" s="16" t="e" cm="1">
        <f t="array" aca="1" ref="V97" ca="1">_xll.DBRW($C$54,$K$80,V$24,$K$82,$C$66,$C$57,$C$58,$C$64,$C$63,$C$59,$C$60,$C$67,$C$65,$K$81,$J97,$C$61,$C$62,V$107)</f>
        <v>#NAME?</v>
      </c>
      <c r="W97" s="16" t="e" cm="1">
        <f t="array" aca="1" ref="W97" ca="1">_xll.DBRW($C$54,$K$80,W$24,$K$82,$C$66,$C$57,$C$58,$C$64,$C$63,$C$59,$C$60,$C$67,$C$65,$K$81,$J97,$C$61,$C$62,W$107)</f>
        <v>#NAME?</v>
      </c>
      <c r="Y97" s="16" t="e" cm="1">
        <f t="array" aca="1" ref="Y97" ca="1">_xll.DBRW($C$54,$K$80,Y$24,$K$82,$C$66,$C$57,$C$58,$C$64,$C$63,$C$59,$C$60,$C$67,$C$65,$K$81,$J97,$C$61,$C$62,Y$107)</f>
        <v>#NAME?</v>
      </c>
      <c r="Z97" s="16" t="e" cm="1">
        <f t="array" aca="1" ref="Z97" ca="1">_xll.DBRW($C$54,$K$80,Z$24,$K$82,$C$66,$C$57,$C$58,$C$64,$C$63,$C$59,$C$60,$C$67,$C$65,$K$81,$J97,$C$61,$C$62,Z$107)</f>
        <v>#NAME?</v>
      </c>
      <c r="AA97" s="16" t="e" cm="1">
        <f t="array" aca="1" ref="AA97" ca="1">_xll.DBRW($C$54,$K$80,AA$24,$K$82,$C$66,$C$57,$C$58,$C$64,$C$63,$C$59,$C$60,$C$67,$C$65,$K$81,$J97,$C$61,$C$62,AA$107)</f>
        <v>#NAME?</v>
      </c>
      <c r="AB97" s="16" t="e" cm="1">
        <f t="array" aca="1" ref="AB97" ca="1">_xll.DBRW($C$54,$K$80,AB$24,$K$82,$C$66,$C$57,$C$58,$C$64,$C$63,$C$59,$C$60,$C$67,$C$65,$K$81,$J97,$C$61,$C$62,AB$107)</f>
        <v>#NAME?</v>
      </c>
      <c r="AC97" s="16" t="e" cm="1">
        <f t="array" aca="1" ref="AC97" ca="1">_xll.DBRW($C$54,$K$80,AC$24,$K$82,$C$66,$C$57,$C$58,$C$64,$C$63,$C$59,$C$60,$C$67,$C$65,$K$81,$J97,$C$61,$C$62,AC$107)</f>
        <v>#NAME?</v>
      </c>
      <c r="AD97" s="16" t="e" cm="1">
        <f t="array" aca="1" ref="AD97" ca="1">_xll.DBRW($C$54,$K$80,AD$24,$K$82,$C$66,$C$57,$C$58,$C$64,$C$63,$C$59,$C$60,$C$67,$C$65,$K$81,$J97,$C$61,$C$62,AD$107)</f>
        <v>#NAME?</v>
      </c>
    </row>
    <row r="98" spans="1:30" x14ac:dyDescent="0.25">
      <c r="J98" s="27" t="s">
        <v>13</v>
      </c>
      <c r="K98" s="16" t="e" cm="1">
        <f t="array" aca="1" ref="K98" ca="1">_xll.DBRW($C$54,$K$80,K$24,$K$82,$C$66,$C$57,$C$58,$C$64,$C$63,$C$59,$C$60,$C$67,$C$65,$K$81,$J98,$C$61,$C$62,K$107)</f>
        <v>#NAME?</v>
      </c>
      <c r="L98" s="16" t="e" cm="1">
        <f t="array" aca="1" ref="L98" ca="1">_xll.DBRW($C$54,$K$80,L$24,$K$82,$C$66,$C$57,$C$58,$C$64,$C$63,$C$59,$C$60,$C$67,$C$65,$K$81,$J98,$C$61,$C$62,L$107)</f>
        <v>#NAME?</v>
      </c>
      <c r="M98" s="16" t="e" cm="1">
        <f t="array" aca="1" ref="M98" ca="1">_xll.DBRW($C$54,$K$80,M$24,$K$82,$C$66,$C$57,$C$58,$C$64,$C$63,$C$59,$C$60,$C$67,$C$65,$K$81,$J98,$C$61,$C$62,M$107)</f>
        <v>#NAME?</v>
      </c>
      <c r="N98" s="16" t="e" cm="1">
        <f t="array" aca="1" ref="N98" ca="1">_xll.DBRW($C$54,$K$80,N$24,$K$82,$C$66,$C$57,$C$58,$C$64,$C$63,$C$59,$C$60,$C$67,$C$65,$K$81,$J98,$C$61,$C$62,N$107)</f>
        <v>#NAME?</v>
      </c>
      <c r="O98" s="16" t="e" cm="1">
        <f t="array" aca="1" ref="O98" ca="1">_xll.DBRW($C$54,$K$80,O$24,$K$82,$C$66,$C$57,$C$58,$C$64,$C$63,$C$59,$C$60,$C$67,$C$65,$K$81,$J98,$C$61,$C$62,O$107)</f>
        <v>#NAME?</v>
      </c>
      <c r="P98" s="16" t="e" cm="1">
        <f t="array" aca="1" ref="P98" ca="1">_xll.DBRW($C$54,$K$80,P$24,$K$82,$C$66,$C$57,$C$58,$C$64,$C$63,$C$59,$C$60,$C$67,$C$65,$K$81,$J98,$C$61,$C$62,P$107)</f>
        <v>#NAME?</v>
      </c>
      <c r="R98" s="16" t="e" cm="1">
        <f t="array" aca="1" ref="R98" ca="1">_xll.DBRW($C$54,$K$80,R$24,$K$82,$C$66,$C$57,$C$58,$C$64,$C$63,$C$59,$C$60,$C$67,$C$65,$K$81,$J98,$C$61,$C$62,R$107)</f>
        <v>#NAME?</v>
      </c>
      <c r="S98" s="16" t="e" cm="1">
        <f t="array" aca="1" ref="S98" ca="1">_xll.DBRW($C$54,$K$80,S$24,$K$82,$C$66,$C$57,$C$58,$C$64,$C$63,$C$59,$C$60,$C$67,$C$65,$K$81,$J98,$C$61,$C$62,S$107)</f>
        <v>#NAME?</v>
      </c>
      <c r="T98" s="16" t="e" cm="1">
        <f t="array" aca="1" ref="T98" ca="1">_xll.DBRW($C$54,$K$80,T$24,$K$82,$C$66,$C$57,$C$58,$C$64,$C$63,$C$59,$C$60,$C$67,$C$65,$K$81,$J98,$C$61,$C$62,T$107)</f>
        <v>#NAME?</v>
      </c>
      <c r="U98" s="16" t="e" cm="1">
        <f t="array" aca="1" ref="U98" ca="1">_xll.DBRW($C$54,$K$80,U$24,$K$82,$C$66,$C$57,$C$58,$C$64,$C$63,$C$59,$C$60,$C$67,$C$65,$K$81,$J98,$C$61,$C$62,U$107)</f>
        <v>#NAME?</v>
      </c>
      <c r="V98" s="16" t="e" cm="1">
        <f t="array" aca="1" ref="V98" ca="1">_xll.DBRW($C$54,$K$80,V$24,$K$82,$C$66,$C$57,$C$58,$C$64,$C$63,$C$59,$C$60,$C$67,$C$65,$K$81,$J98,$C$61,$C$62,V$107)</f>
        <v>#NAME?</v>
      </c>
      <c r="W98" s="16" t="e" cm="1">
        <f t="array" aca="1" ref="W98" ca="1">_xll.DBRW($C$54,$K$80,W$24,$K$82,$C$66,$C$57,$C$58,$C$64,$C$63,$C$59,$C$60,$C$67,$C$65,$K$81,$J98,$C$61,$C$62,W$107)</f>
        <v>#NAME?</v>
      </c>
      <c r="Y98" s="16" t="e" cm="1">
        <f t="array" aca="1" ref="Y98" ca="1">_xll.DBRW($C$54,$K$80,Y$24,$K$82,$C$66,$C$57,$C$58,$C$64,$C$63,$C$59,$C$60,$C$67,$C$65,$K$81,$J98,$C$61,$C$62,Y$107)</f>
        <v>#NAME?</v>
      </c>
      <c r="Z98" s="16" t="e" cm="1">
        <f t="array" aca="1" ref="Z98" ca="1">_xll.DBRW($C$54,$K$80,Z$24,$K$82,$C$66,$C$57,$C$58,$C$64,$C$63,$C$59,$C$60,$C$67,$C$65,$K$81,$J98,$C$61,$C$62,Z$107)</f>
        <v>#NAME?</v>
      </c>
      <c r="AA98" s="16" t="e" cm="1">
        <f t="array" aca="1" ref="AA98" ca="1">_xll.DBRW($C$54,$K$80,AA$24,$K$82,$C$66,$C$57,$C$58,$C$64,$C$63,$C$59,$C$60,$C$67,$C$65,$K$81,$J98,$C$61,$C$62,AA$107)</f>
        <v>#NAME?</v>
      </c>
      <c r="AB98" s="16" t="e" cm="1">
        <f t="array" aca="1" ref="AB98" ca="1">_xll.DBRW($C$54,$K$80,AB$24,$K$82,$C$66,$C$57,$C$58,$C$64,$C$63,$C$59,$C$60,$C$67,$C$65,$K$81,$J98,$C$61,$C$62,AB$107)</f>
        <v>#NAME?</v>
      </c>
      <c r="AC98" s="16" t="e" cm="1">
        <f t="array" aca="1" ref="AC98" ca="1">_xll.DBRW($C$54,$K$80,AC$24,$K$82,$C$66,$C$57,$C$58,$C$64,$C$63,$C$59,$C$60,$C$67,$C$65,$K$81,$J98,$C$61,$C$62,AC$107)</f>
        <v>#NAME?</v>
      </c>
      <c r="AD98" s="16" t="e" cm="1">
        <f t="array" aca="1" ref="AD98" ca="1">_xll.DBRW($C$54,$K$80,AD$24,$K$82,$C$66,$C$57,$C$58,$C$64,$C$63,$C$59,$C$60,$C$67,$C$65,$K$81,$J98,$C$61,$C$62,AD$107)</f>
        <v>#NAME?</v>
      </c>
    </row>
    <row r="99" spans="1:30" x14ac:dyDescent="0.25">
      <c r="J99" s="27" t="s">
        <v>14</v>
      </c>
      <c r="K99" s="16" t="e" cm="1">
        <f t="array" aca="1" ref="K99" ca="1">_xll.DBRW($C$54,$K$80,K$24,$K$82,$C$66,$C$57,$C$58,$C$64,$C$63,$C$59,$C$60,$C$67,$C$65,$K$81,$J99,$C$61,$C$62,K$107)</f>
        <v>#NAME?</v>
      </c>
      <c r="L99" s="16" t="e" cm="1">
        <f t="array" aca="1" ref="L99" ca="1">_xll.DBRW($C$54,$K$80,L$24,$K$82,$C$66,$C$57,$C$58,$C$64,$C$63,$C$59,$C$60,$C$67,$C$65,$K$81,$J99,$C$61,$C$62,L$107)</f>
        <v>#NAME?</v>
      </c>
      <c r="M99" s="16" t="e" cm="1">
        <f t="array" aca="1" ref="M99" ca="1">_xll.DBRW($C$54,$K$80,M$24,$K$82,$C$66,$C$57,$C$58,$C$64,$C$63,$C$59,$C$60,$C$67,$C$65,$K$81,$J99,$C$61,$C$62,M$107)</f>
        <v>#NAME?</v>
      </c>
      <c r="N99" s="16" t="e" cm="1">
        <f t="array" aca="1" ref="N99" ca="1">_xll.DBRW($C$54,$K$80,N$24,$K$82,$C$66,$C$57,$C$58,$C$64,$C$63,$C$59,$C$60,$C$67,$C$65,$K$81,$J99,$C$61,$C$62,N$107)</f>
        <v>#NAME?</v>
      </c>
      <c r="O99" s="16" t="e" cm="1">
        <f t="array" aca="1" ref="O99" ca="1">_xll.DBRW($C$54,$K$80,O$24,$K$82,$C$66,$C$57,$C$58,$C$64,$C$63,$C$59,$C$60,$C$67,$C$65,$K$81,$J99,$C$61,$C$62,O$107)</f>
        <v>#NAME?</v>
      </c>
      <c r="P99" s="16" t="e" cm="1">
        <f t="array" aca="1" ref="P99" ca="1">_xll.DBRW($C$54,$K$80,P$24,$K$82,$C$66,$C$57,$C$58,$C$64,$C$63,$C$59,$C$60,$C$67,$C$65,$K$81,$J99,$C$61,$C$62,P$107)</f>
        <v>#NAME?</v>
      </c>
      <c r="R99" s="16" t="e" cm="1">
        <f t="array" aca="1" ref="R99" ca="1">_xll.DBRW($C$54,$K$80,R$24,$K$82,$C$66,$C$57,$C$58,$C$64,$C$63,$C$59,$C$60,$C$67,$C$65,$K$81,$J99,$C$61,$C$62,R$107)</f>
        <v>#NAME?</v>
      </c>
      <c r="S99" s="16" t="e" cm="1">
        <f t="array" aca="1" ref="S99" ca="1">_xll.DBRW($C$54,$K$80,S$24,$K$82,$C$66,$C$57,$C$58,$C$64,$C$63,$C$59,$C$60,$C$67,$C$65,$K$81,$J99,$C$61,$C$62,S$107)</f>
        <v>#NAME?</v>
      </c>
      <c r="T99" s="16" t="e" cm="1">
        <f t="array" aca="1" ref="T99" ca="1">_xll.DBRW($C$54,$K$80,T$24,$K$82,$C$66,$C$57,$C$58,$C$64,$C$63,$C$59,$C$60,$C$67,$C$65,$K$81,$J99,$C$61,$C$62,T$107)</f>
        <v>#NAME?</v>
      </c>
      <c r="U99" s="16" t="e" cm="1">
        <f t="array" aca="1" ref="U99" ca="1">_xll.DBRW($C$54,$K$80,U$24,$K$82,$C$66,$C$57,$C$58,$C$64,$C$63,$C$59,$C$60,$C$67,$C$65,$K$81,$J99,$C$61,$C$62,U$107)</f>
        <v>#NAME?</v>
      </c>
      <c r="V99" s="16" t="e" cm="1">
        <f t="array" aca="1" ref="V99" ca="1">_xll.DBRW($C$54,$K$80,V$24,$K$82,$C$66,$C$57,$C$58,$C$64,$C$63,$C$59,$C$60,$C$67,$C$65,$K$81,$J99,$C$61,$C$62,V$107)</f>
        <v>#NAME?</v>
      </c>
      <c r="W99" s="16" t="e" cm="1">
        <f t="array" aca="1" ref="W99" ca="1">_xll.DBRW($C$54,$K$80,W$24,$K$82,$C$66,$C$57,$C$58,$C$64,$C$63,$C$59,$C$60,$C$67,$C$65,$K$81,$J99,$C$61,$C$62,W$107)</f>
        <v>#NAME?</v>
      </c>
      <c r="Y99" s="16" t="e" cm="1">
        <f t="array" aca="1" ref="Y99" ca="1">_xll.DBRW($C$54,$K$80,Y$24,$K$82,$C$66,$C$57,$C$58,$C$64,$C$63,$C$59,$C$60,$C$67,$C$65,$K$81,$J99,$C$61,$C$62,Y$107)</f>
        <v>#NAME?</v>
      </c>
      <c r="Z99" s="16" t="e" cm="1">
        <f t="array" aca="1" ref="Z99" ca="1">_xll.DBRW($C$54,$K$80,Z$24,$K$82,$C$66,$C$57,$C$58,$C$64,$C$63,$C$59,$C$60,$C$67,$C$65,$K$81,$J99,$C$61,$C$62,Z$107)</f>
        <v>#NAME?</v>
      </c>
      <c r="AA99" s="16" t="e" cm="1">
        <f t="array" aca="1" ref="AA99" ca="1">_xll.DBRW($C$54,$K$80,AA$24,$K$82,$C$66,$C$57,$C$58,$C$64,$C$63,$C$59,$C$60,$C$67,$C$65,$K$81,$J99,$C$61,$C$62,AA$107)</f>
        <v>#NAME?</v>
      </c>
      <c r="AB99" s="16" t="e" cm="1">
        <f t="array" aca="1" ref="AB99" ca="1">_xll.DBRW($C$54,$K$80,AB$24,$K$82,$C$66,$C$57,$C$58,$C$64,$C$63,$C$59,$C$60,$C$67,$C$65,$K$81,$J99,$C$61,$C$62,AB$107)</f>
        <v>#NAME?</v>
      </c>
      <c r="AC99" s="16" t="e" cm="1">
        <f t="array" aca="1" ref="AC99" ca="1">_xll.DBRW($C$54,$K$80,AC$24,$K$82,$C$66,$C$57,$C$58,$C$64,$C$63,$C$59,$C$60,$C$67,$C$65,$K$81,$J99,$C$61,$C$62,AC$107)</f>
        <v>#NAME?</v>
      </c>
      <c r="AD99" s="16" t="e" cm="1">
        <f t="array" aca="1" ref="AD99" ca="1">_xll.DBRW($C$54,$K$80,AD$24,$K$82,$C$66,$C$57,$C$58,$C$64,$C$63,$C$59,$C$60,$C$67,$C$65,$K$81,$J99,$C$61,$C$62,AD$107)</f>
        <v>#NAME?</v>
      </c>
    </row>
    <row r="100" spans="1:30" x14ac:dyDescent="0.25">
      <c r="J100" s="27" t="s">
        <v>15</v>
      </c>
      <c r="K100" s="16" t="e" cm="1">
        <f t="array" aca="1" ref="K100" ca="1">_xll.DBRW($C$54,$K$80,K$24,$K$82,$C$66,$C$57,$C$58,$C$64,$C$63,$C$59,$C$60,$C$67,$C$65,$K$81,$J100,$C$61,$C$62,K$107)</f>
        <v>#NAME?</v>
      </c>
      <c r="L100" s="16" t="e" cm="1">
        <f t="array" aca="1" ref="L100" ca="1">_xll.DBRW($C$54,$K$80,L$24,$K$82,$C$66,$C$57,$C$58,$C$64,$C$63,$C$59,$C$60,$C$67,$C$65,$K$81,$J100,$C$61,$C$62,L$107)</f>
        <v>#NAME?</v>
      </c>
      <c r="M100" s="16" t="e" cm="1">
        <f t="array" aca="1" ref="M100" ca="1">_xll.DBRW($C$54,$K$80,M$24,$K$82,$C$66,$C$57,$C$58,$C$64,$C$63,$C$59,$C$60,$C$67,$C$65,$K$81,$J100,$C$61,$C$62,M$107)</f>
        <v>#NAME?</v>
      </c>
      <c r="N100" s="16" t="e" cm="1">
        <f t="array" aca="1" ref="N100" ca="1">_xll.DBRW($C$54,$K$80,N$24,$K$82,$C$66,$C$57,$C$58,$C$64,$C$63,$C$59,$C$60,$C$67,$C$65,$K$81,$J100,$C$61,$C$62,N$107)</f>
        <v>#NAME?</v>
      </c>
      <c r="O100" s="16" t="e" cm="1">
        <f t="array" aca="1" ref="O100" ca="1">_xll.DBRW($C$54,$K$80,O$24,$K$82,$C$66,$C$57,$C$58,$C$64,$C$63,$C$59,$C$60,$C$67,$C$65,$K$81,$J100,$C$61,$C$62,O$107)</f>
        <v>#NAME?</v>
      </c>
      <c r="P100" s="16" t="e" cm="1">
        <f t="array" aca="1" ref="P100" ca="1">_xll.DBRW($C$54,$K$80,P$24,$K$82,$C$66,$C$57,$C$58,$C$64,$C$63,$C$59,$C$60,$C$67,$C$65,$K$81,$J100,$C$61,$C$62,P$107)</f>
        <v>#NAME?</v>
      </c>
      <c r="R100" s="16" t="e" cm="1">
        <f t="array" aca="1" ref="R100" ca="1">_xll.DBRW($C$54,$K$80,R$24,$K$82,$C$66,$C$57,$C$58,$C$64,$C$63,$C$59,$C$60,$C$67,$C$65,$K$81,$J100,$C$61,$C$62,R$107)</f>
        <v>#NAME?</v>
      </c>
      <c r="S100" s="16" t="e" cm="1">
        <f t="array" aca="1" ref="S100" ca="1">_xll.DBRW($C$54,$K$80,S$24,$K$82,$C$66,$C$57,$C$58,$C$64,$C$63,$C$59,$C$60,$C$67,$C$65,$K$81,$J100,$C$61,$C$62,S$107)</f>
        <v>#NAME?</v>
      </c>
      <c r="T100" s="16" t="e" cm="1">
        <f t="array" aca="1" ref="T100" ca="1">_xll.DBRW($C$54,$K$80,T$24,$K$82,$C$66,$C$57,$C$58,$C$64,$C$63,$C$59,$C$60,$C$67,$C$65,$K$81,$J100,$C$61,$C$62,T$107)</f>
        <v>#NAME?</v>
      </c>
      <c r="U100" s="16" t="e" cm="1">
        <f t="array" aca="1" ref="U100" ca="1">_xll.DBRW($C$54,$K$80,U$24,$K$82,$C$66,$C$57,$C$58,$C$64,$C$63,$C$59,$C$60,$C$67,$C$65,$K$81,$J100,$C$61,$C$62,U$107)</f>
        <v>#NAME?</v>
      </c>
      <c r="V100" s="16" t="e" cm="1">
        <f t="array" aca="1" ref="V100" ca="1">_xll.DBRW($C$54,$K$80,V$24,$K$82,$C$66,$C$57,$C$58,$C$64,$C$63,$C$59,$C$60,$C$67,$C$65,$K$81,$J100,$C$61,$C$62,V$107)</f>
        <v>#NAME?</v>
      </c>
      <c r="W100" s="16" t="e" cm="1">
        <f t="array" aca="1" ref="W100" ca="1">_xll.DBRW($C$54,$K$80,W$24,$K$82,$C$66,$C$57,$C$58,$C$64,$C$63,$C$59,$C$60,$C$67,$C$65,$K$81,$J100,$C$61,$C$62,W$107)</f>
        <v>#NAME?</v>
      </c>
      <c r="Y100" s="16" t="e" cm="1">
        <f t="array" aca="1" ref="Y100" ca="1">_xll.DBRW($C$54,$K$80,Y$24,$K$82,$C$66,$C$57,$C$58,$C$64,$C$63,$C$59,$C$60,$C$67,$C$65,$K$81,$J100,$C$61,$C$62,Y$107)</f>
        <v>#NAME?</v>
      </c>
      <c r="Z100" s="16" t="e" cm="1">
        <f t="array" aca="1" ref="Z100" ca="1">_xll.DBRW($C$54,$K$80,Z$24,$K$82,$C$66,$C$57,$C$58,$C$64,$C$63,$C$59,$C$60,$C$67,$C$65,$K$81,$J100,$C$61,$C$62,Z$107)</f>
        <v>#NAME?</v>
      </c>
      <c r="AA100" s="16" t="e" cm="1">
        <f t="array" aca="1" ref="AA100" ca="1">_xll.DBRW($C$54,$K$80,AA$24,$K$82,$C$66,$C$57,$C$58,$C$64,$C$63,$C$59,$C$60,$C$67,$C$65,$K$81,$J100,$C$61,$C$62,AA$107)</f>
        <v>#NAME?</v>
      </c>
      <c r="AB100" s="16" t="e" cm="1">
        <f t="array" aca="1" ref="AB100" ca="1">_xll.DBRW($C$54,$K$80,AB$24,$K$82,$C$66,$C$57,$C$58,$C$64,$C$63,$C$59,$C$60,$C$67,$C$65,$K$81,$J100,$C$61,$C$62,AB$107)</f>
        <v>#NAME?</v>
      </c>
      <c r="AC100" s="16" t="e" cm="1">
        <f t="array" aca="1" ref="AC100" ca="1">_xll.DBRW($C$54,$K$80,AC$24,$K$82,$C$66,$C$57,$C$58,$C$64,$C$63,$C$59,$C$60,$C$67,$C$65,$K$81,$J100,$C$61,$C$62,AC$107)</f>
        <v>#NAME?</v>
      </c>
      <c r="AD100" s="16" t="e" cm="1">
        <f t="array" aca="1" ref="AD100" ca="1">_xll.DBRW($C$54,$K$80,AD$24,$K$82,$C$66,$C$57,$C$58,$C$64,$C$63,$C$59,$C$60,$C$67,$C$65,$K$81,$J100,$C$61,$C$62,AD$107)</f>
        <v>#NAME?</v>
      </c>
    </row>
    <row r="101" spans="1:30" x14ac:dyDescent="0.25">
      <c r="J101" s="27" t="s">
        <v>16</v>
      </c>
      <c r="K101" s="16" t="e" cm="1">
        <f t="array" aca="1" ref="K101" ca="1">_xll.DBRW($C$54,$K$80,K$24,$K$82,$C$66,$C$57,$C$58,$C$64,$C$63,$C$59,$C$60,$C$67,$C$65,$K$81,$J101,$C$61,$C$62,K$107)</f>
        <v>#NAME?</v>
      </c>
      <c r="L101" s="16" t="e" cm="1">
        <f t="array" aca="1" ref="L101" ca="1">_xll.DBRW($C$54,$K$80,L$24,$K$82,$C$66,$C$57,$C$58,$C$64,$C$63,$C$59,$C$60,$C$67,$C$65,$K$81,$J101,$C$61,$C$62,L$107)</f>
        <v>#NAME?</v>
      </c>
      <c r="M101" s="16" t="e" cm="1">
        <f t="array" aca="1" ref="M101" ca="1">_xll.DBRW($C$54,$K$80,M$24,$K$82,$C$66,$C$57,$C$58,$C$64,$C$63,$C$59,$C$60,$C$67,$C$65,$K$81,$J101,$C$61,$C$62,M$107)</f>
        <v>#NAME?</v>
      </c>
      <c r="N101" s="16" t="e" cm="1">
        <f t="array" aca="1" ref="N101" ca="1">_xll.DBRW($C$54,$K$80,N$24,$K$82,$C$66,$C$57,$C$58,$C$64,$C$63,$C$59,$C$60,$C$67,$C$65,$K$81,$J101,$C$61,$C$62,N$107)</f>
        <v>#NAME?</v>
      </c>
      <c r="O101" s="16" t="e" cm="1">
        <f t="array" aca="1" ref="O101" ca="1">_xll.DBRW($C$54,$K$80,O$24,$K$82,$C$66,$C$57,$C$58,$C$64,$C$63,$C$59,$C$60,$C$67,$C$65,$K$81,$J101,$C$61,$C$62,O$107)</f>
        <v>#NAME?</v>
      </c>
      <c r="P101" s="16" t="e" cm="1">
        <f t="array" aca="1" ref="P101" ca="1">_xll.DBRW($C$54,$K$80,P$24,$K$82,$C$66,$C$57,$C$58,$C$64,$C$63,$C$59,$C$60,$C$67,$C$65,$K$81,$J101,$C$61,$C$62,P$107)</f>
        <v>#NAME?</v>
      </c>
      <c r="R101" s="16" t="e" cm="1">
        <f t="array" aca="1" ref="R101" ca="1">_xll.DBRW($C$54,$K$80,R$24,$K$82,$C$66,$C$57,$C$58,$C$64,$C$63,$C$59,$C$60,$C$67,$C$65,$K$81,$J101,$C$61,$C$62,R$107)</f>
        <v>#NAME?</v>
      </c>
      <c r="S101" s="16" t="e" cm="1">
        <f t="array" aca="1" ref="S101" ca="1">_xll.DBRW($C$54,$K$80,S$24,$K$82,$C$66,$C$57,$C$58,$C$64,$C$63,$C$59,$C$60,$C$67,$C$65,$K$81,$J101,$C$61,$C$62,S$107)</f>
        <v>#NAME?</v>
      </c>
      <c r="T101" s="16" t="e" cm="1">
        <f t="array" aca="1" ref="T101" ca="1">_xll.DBRW($C$54,$K$80,T$24,$K$82,$C$66,$C$57,$C$58,$C$64,$C$63,$C$59,$C$60,$C$67,$C$65,$K$81,$J101,$C$61,$C$62,T$107)</f>
        <v>#NAME?</v>
      </c>
      <c r="U101" s="16" t="e" cm="1">
        <f t="array" aca="1" ref="U101" ca="1">_xll.DBRW($C$54,$K$80,U$24,$K$82,$C$66,$C$57,$C$58,$C$64,$C$63,$C$59,$C$60,$C$67,$C$65,$K$81,$J101,$C$61,$C$62,U$107)</f>
        <v>#NAME?</v>
      </c>
      <c r="V101" s="16" t="e" cm="1">
        <f t="array" aca="1" ref="V101" ca="1">_xll.DBRW($C$54,$K$80,V$24,$K$82,$C$66,$C$57,$C$58,$C$64,$C$63,$C$59,$C$60,$C$67,$C$65,$K$81,$J101,$C$61,$C$62,V$107)</f>
        <v>#NAME?</v>
      </c>
      <c r="W101" s="16" t="e" cm="1">
        <f t="array" aca="1" ref="W101" ca="1">_xll.DBRW($C$54,$K$80,W$24,$K$82,$C$66,$C$57,$C$58,$C$64,$C$63,$C$59,$C$60,$C$67,$C$65,$K$81,$J101,$C$61,$C$62,W$107)</f>
        <v>#NAME?</v>
      </c>
      <c r="Y101" s="16" t="e" cm="1">
        <f t="array" aca="1" ref="Y101" ca="1">_xll.DBRW($C$54,$K$80,Y$24,$K$82,$C$66,$C$57,$C$58,$C$64,$C$63,$C$59,$C$60,$C$67,$C$65,$K$81,$J101,$C$61,$C$62,Y$107)</f>
        <v>#NAME?</v>
      </c>
      <c r="Z101" s="16" t="e" cm="1">
        <f t="array" aca="1" ref="Z101" ca="1">_xll.DBRW($C$54,$K$80,Z$24,$K$82,$C$66,$C$57,$C$58,$C$64,$C$63,$C$59,$C$60,$C$67,$C$65,$K$81,$J101,$C$61,$C$62,Z$107)</f>
        <v>#NAME?</v>
      </c>
      <c r="AA101" s="16" t="e" cm="1">
        <f t="array" aca="1" ref="AA101" ca="1">_xll.DBRW($C$54,$K$80,AA$24,$K$82,$C$66,$C$57,$C$58,$C$64,$C$63,$C$59,$C$60,$C$67,$C$65,$K$81,$J101,$C$61,$C$62,AA$107)</f>
        <v>#NAME?</v>
      </c>
      <c r="AB101" s="16" t="e" cm="1">
        <f t="array" aca="1" ref="AB101" ca="1">_xll.DBRW($C$54,$K$80,AB$24,$K$82,$C$66,$C$57,$C$58,$C$64,$C$63,$C$59,$C$60,$C$67,$C$65,$K$81,$J101,$C$61,$C$62,AB$107)</f>
        <v>#NAME?</v>
      </c>
      <c r="AC101" s="16" t="e" cm="1">
        <f t="array" aca="1" ref="AC101" ca="1">_xll.DBRW($C$54,$K$80,AC$24,$K$82,$C$66,$C$57,$C$58,$C$64,$C$63,$C$59,$C$60,$C$67,$C$65,$K$81,$J101,$C$61,$C$62,AC$107)</f>
        <v>#NAME?</v>
      </c>
      <c r="AD101" s="16" t="e" cm="1">
        <f t="array" aca="1" ref="AD101" ca="1">_xll.DBRW($C$54,$K$80,AD$24,$K$82,$C$66,$C$57,$C$58,$C$64,$C$63,$C$59,$C$60,$C$67,$C$65,$K$81,$J101,$C$61,$C$62,AD$107)</f>
        <v>#NAME?</v>
      </c>
    </row>
    <row r="102" spans="1:30" ht="1.5" customHeight="1" x14ac:dyDescent="0.25"/>
    <row r="103" spans="1:30" x14ac:dyDescent="0.25">
      <c r="K103" s="30" t="s">
        <v>88</v>
      </c>
      <c r="L103" s="31"/>
      <c r="M103" s="31"/>
    </row>
    <row r="104" spans="1:30" x14ac:dyDescent="0.25">
      <c r="J104" s="9" t="s">
        <v>80</v>
      </c>
      <c r="K104" s="36" t="e">
        <f ca="1">_xll.SUBNM(db_name&amp;":Account","","2000000","code and description")</f>
        <v>#NAME?</v>
      </c>
      <c r="L104" s="36"/>
      <c r="M104" s="36"/>
    </row>
    <row r="105" spans="1:30" ht="1.5" customHeight="1" x14ac:dyDescent="0.25"/>
    <row r="106" spans="1:30" x14ac:dyDescent="0.25">
      <c r="J106" s="23" t="s">
        <v>92</v>
      </c>
      <c r="K106" s="33" t="s">
        <v>84</v>
      </c>
      <c r="L106" s="33"/>
      <c r="M106" s="33"/>
      <c r="N106" s="33"/>
      <c r="O106" s="34"/>
      <c r="P106" s="34"/>
      <c r="R106" s="33" t="s">
        <v>85</v>
      </c>
      <c r="S106" s="33"/>
      <c r="T106" s="33"/>
      <c r="U106" s="33"/>
      <c r="V106" s="34"/>
      <c r="W106" s="34"/>
      <c r="Y106" s="33" t="s">
        <v>86</v>
      </c>
      <c r="Z106" s="33"/>
      <c r="AA106" s="33"/>
      <c r="AB106" s="33"/>
      <c r="AC106" s="34"/>
      <c r="AD106" s="34"/>
    </row>
    <row r="107" spans="1:30" x14ac:dyDescent="0.25">
      <c r="J107" s="23" t="s">
        <v>65</v>
      </c>
      <c r="K107" s="17" t="e">
        <f ca="1">K$21</f>
        <v>#NAME?</v>
      </c>
      <c r="L107" s="17" t="e">
        <f t="shared" ref="L107:AD107" ca="1" si="1">L$21</f>
        <v>#NAME?</v>
      </c>
      <c r="M107" s="17" t="e">
        <f t="shared" ca="1" si="1"/>
        <v>#NAME?</v>
      </c>
      <c r="N107" s="17" t="e">
        <f t="shared" ca="1" si="1"/>
        <v>#NAME?</v>
      </c>
      <c r="O107" s="17" t="e">
        <f t="shared" ca="1" si="1"/>
        <v>#NAME?</v>
      </c>
      <c r="P107" s="18" t="e">
        <f t="shared" ca="1" si="1"/>
        <v>#NAME?</v>
      </c>
      <c r="R107" s="17" t="e">
        <f t="shared" ca="1" si="1"/>
        <v>#NAME?</v>
      </c>
      <c r="S107" s="17" t="e">
        <f t="shared" ca="1" si="1"/>
        <v>#NAME?</v>
      </c>
      <c r="T107" s="17" t="e">
        <f t="shared" ca="1" si="1"/>
        <v>#NAME?</v>
      </c>
      <c r="U107" s="17" t="e">
        <f t="shared" ca="1" si="1"/>
        <v>#NAME?</v>
      </c>
      <c r="V107" s="17" t="e">
        <f t="shared" ca="1" si="1"/>
        <v>#NAME?</v>
      </c>
      <c r="W107" s="18" t="e">
        <f t="shared" ca="1" si="1"/>
        <v>#NAME?</v>
      </c>
      <c r="Y107" s="17" t="e">
        <f t="shared" ca="1" si="1"/>
        <v>#NAME?</v>
      </c>
      <c r="Z107" s="17" t="e">
        <f t="shared" ca="1" si="1"/>
        <v>#NAME?</v>
      </c>
      <c r="AA107" s="17" t="e">
        <f t="shared" ca="1" si="1"/>
        <v>#NAME?</v>
      </c>
      <c r="AB107" s="17" t="e">
        <f t="shared" ca="1" si="1"/>
        <v>#NAME?</v>
      </c>
      <c r="AC107" s="17" t="e">
        <f t="shared" ca="1" si="1"/>
        <v>#NAME?</v>
      </c>
      <c r="AD107" s="18" t="e">
        <f t="shared" ca="1" si="1"/>
        <v>#NAME?</v>
      </c>
    </row>
    <row r="108" spans="1:30" outlineLevel="1" x14ac:dyDescent="0.25">
      <c r="A108" t="e" cm="1">
        <f t="array" aca="1" ref="A108" ca="1">IF(_xll.TM1RPTELISCONSOLIDATED($J$108,$J108),IF(_xll.TM1RPTELLEV($J$108,$J108)&lt;=3,_xll.TM1RPTELLEV($J$108,$J108),"D"),"N")</f>
        <v>#NAME?</v>
      </c>
      <c r="J108" s="29" t="e" cm="1">
        <f t="array" aca="1" ref="J108" ca="1">_xll.TM1RPTROW($C$53,db_name&amp;":account","","","code and description",0,$C$55)</f>
        <v>#NAME?</v>
      </c>
      <c r="K108" s="15" t="e" cm="1">
        <f t="array" aca="1" ref="K108" ca="1">_xll.DBRW($C$53,$K$80,K$24,$K$82,$C$66,$C$57,$C$58,$C$64,$C$63,$C$59,$C$60,$C$67,$C$65,$K$81,$J108,$C$61,$C$62,K$107)</f>
        <v>#NAME?</v>
      </c>
      <c r="L108" s="15" t="e" cm="1">
        <f t="array" aca="1" ref="L108" ca="1">_xll.DBRW($C$53,$K$80,L$24,$K$82,$C$66,$C$57,$C$58,$C$64,$C$63,$C$59,$C$60,$C$67,$C$65,$K$81,$J108,$C$61,$C$62,L$107)</f>
        <v>#NAME?</v>
      </c>
      <c r="M108" s="15" t="e" cm="1">
        <f t="array" aca="1" ref="M108" ca="1">_xll.DBRW($C$53,$K$80,M$24,$K$82,$C$66,$C$57,$C$58,$C$64,$C$63,$C$59,$C$60,$C$67,$C$65,$K$81,$J108,$C$61,$C$62,M$107)</f>
        <v>#NAME?</v>
      </c>
      <c r="N108" s="15" t="e" cm="1">
        <f t="array" aca="1" ref="N108" ca="1">_xll.DBRW($C$53,$K$80,N$24,$K$82,$C$66,$C$57,$C$58,$C$64,$C$63,$C$59,$C$60,$C$67,$C$65,$K$81,$J108,$C$61,$C$62,N$107)</f>
        <v>#NAME?</v>
      </c>
      <c r="O108" s="15" t="e" cm="1">
        <f t="array" aca="1" ref="O108" ca="1">_xll.DBRW($C$53,$K$80,O$24,$K$82,$C$66,$C$57,$C$58,$C$64,$C$63,$C$59,$C$60,$C$67,$C$65,$K$81,$J108,$C$61,$C$62,O$107)</f>
        <v>#NAME?</v>
      </c>
      <c r="P108" s="15" t="e" cm="1">
        <f t="array" aca="1" ref="P108" ca="1">_xll.DBRW($C$53,$K$80,P$24,$K$82,$C$66,$C$57,$C$58,$C$64,$C$63,$C$59,$C$60,$C$67,$C$65,$K$81,$J108,$C$61,$C$62,P$107)</f>
        <v>#NAME?</v>
      </c>
      <c r="Q108" s="19"/>
      <c r="R108" s="15" t="e" cm="1">
        <f t="array" aca="1" ref="R108" ca="1">_xll.DBRW($C$53,$K$80,R$24,$K$82,$C$66,$C$57,$C$58,$C$64,$C$63,$C$59,$C$60,$C$67,$C$65,$K$81,$J108,$C$61,$C$62,R$107)</f>
        <v>#NAME?</v>
      </c>
      <c r="S108" s="15" t="e" cm="1">
        <f t="array" aca="1" ref="S108" ca="1">_xll.DBRW($C$53,$K$80,S$24,$K$82,$C$66,$C$57,$C$58,$C$64,$C$63,$C$59,$C$60,$C$67,$C$65,$K$81,$J108,$C$61,$C$62,S$107)</f>
        <v>#NAME?</v>
      </c>
      <c r="T108" s="15" t="e" cm="1">
        <f t="array" aca="1" ref="T108" ca="1">_xll.DBRW($C$53,$K$80,T$24,$K$82,$C$66,$C$57,$C$58,$C$64,$C$63,$C$59,$C$60,$C$67,$C$65,$K$81,$J108,$C$61,$C$62,T$107)</f>
        <v>#NAME?</v>
      </c>
      <c r="U108" s="15" t="e" cm="1">
        <f t="array" aca="1" ref="U108" ca="1">_xll.DBRW($C$53,$K$80,U$24,$K$82,$C$66,$C$57,$C$58,$C$64,$C$63,$C$59,$C$60,$C$67,$C$65,$K$81,$J108,$C$61,$C$62,U$107)</f>
        <v>#NAME?</v>
      </c>
      <c r="V108" s="15" t="e" cm="1">
        <f t="array" aca="1" ref="V108" ca="1">_xll.DBRW($C$53,$K$80,V$24,$K$82,$C$66,$C$57,$C$58,$C$64,$C$63,$C$59,$C$60,$C$67,$C$65,$K$81,$J108,$C$61,$C$62,V$107)</f>
        <v>#NAME?</v>
      </c>
      <c r="W108" s="15" t="e" cm="1">
        <f t="array" aca="1" ref="W108" ca="1">_xll.DBRW($C$53,$K$80,W$24,$K$82,$C$66,$C$57,$C$58,$C$64,$C$63,$C$59,$C$60,$C$67,$C$65,$K$81,$J108,$C$61,$C$62,W$107)</f>
        <v>#NAME?</v>
      </c>
      <c r="X108" s="19"/>
      <c r="Y108" s="15" t="e" cm="1">
        <f t="array" aca="1" ref="Y108" ca="1">_xll.DBRW($C$53,$K$80,Y$24,$K$82,$C$66,$C$57,$C$58,$C$64,$C$63,$C$59,$C$60,$C$67,$C$65,$K$81,$J108,$C$61,$C$62,Y$107)</f>
        <v>#NAME?</v>
      </c>
      <c r="Z108" s="15" t="e" cm="1">
        <f t="array" aca="1" ref="Z108" ca="1">_xll.DBRW($C$53,$K$80,Z$24,$K$82,$C$66,$C$57,$C$58,$C$64,$C$63,$C$59,$C$60,$C$67,$C$65,$K$81,$J108,$C$61,$C$62,Z$107)</f>
        <v>#NAME?</v>
      </c>
      <c r="AA108" s="15" t="e" cm="1">
        <f t="array" aca="1" ref="AA108" ca="1">_xll.DBRW($C$53,$K$80,AA$24,$K$82,$C$66,$C$57,$C$58,$C$64,$C$63,$C$59,$C$60,$C$67,$C$65,$K$81,$J108,$C$61,$C$62,AA$107)</f>
        <v>#NAME?</v>
      </c>
      <c r="AB108" s="15" t="e" cm="1">
        <f t="array" aca="1" ref="AB108" ca="1">_xll.DBRW($C$53,$K$80,AB$24,$K$82,$C$66,$C$57,$C$58,$C$64,$C$63,$C$59,$C$60,$C$67,$C$65,$K$81,$J108,$C$61,$C$62,AB$107)</f>
        <v>#NAME?</v>
      </c>
      <c r="AC108" s="15" t="e" cm="1">
        <f t="array" aca="1" ref="AC108" ca="1">_xll.DBRW($C$53,$K$80,AC$24,$K$82,$C$66,$C$57,$C$58,$C$64,$C$63,$C$59,$C$60,$C$67,$C$65,$K$81,$J108,$C$61,$C$62,AC$107)</f>
        <v>#NAME?</v>
      </c>
      <c r="AD108" s="15" t="e" cm="1">
        <f t="array" aca="1" ref="AD108" ca="1">_xll.DBRW($C$53,$K$80,AD$24,$K$82,$C$66,$C$57,$C$58,$C$64,$C$63,$C$59,$C$60,$C$67,$C$65,$K$81,$J108,$C$61,$C$62,AD$107)</f>
        <v>#NAME?</v>
      </c>
    </row>
  </sheetData>
  <sheetProtection sheet="1" objects="1" scenarios="1"/>
  <mergeCells count="19">
    <mergeCell ref="B11:D11"/>
    <mergeCell ref="B19:D19"/>
    <mergeCell ref="B27:D27"/>
    <mergeCell ref="B34:D34"/>
    <mergeCell ref="B52:D52"/>
    <mergeCell ref="Y106:AD106"/>
    <mergeCell ref="K84:P84"/>
    <mergeCell ref="R84:W84"/>
    <mergeCell ref="Y84:AD84"/>
    <mergeCell ref="K104:M104"/>
    <mergeCell ref="K106:P106"/>
    <mergeCell ref="K79:M79"/>
    <mergeCell ref="J76:P76"/>
    <mergeCell ref="J77:P77"/>
    <mergeCell ref="K103:M103"/>
    <mergeCell ref="R106:W106"/>
    <mergeCell ref="K80:M80"/>
    <mergeCell ref="K81:M81"/>
    <mergeCell ref="K82:M8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299" r:id="rId4" name="TIButton8">
          <controlPr defaultSize="0" print="0" autoLine="0" r:id="rId5">
            <anchor moveWithCells="1" sizeWithCells="1">
              <from>
                <xdr:col>13</xdr:col>
                <xdr:colOff>276225</xdr:colOff>
                <xdr:row>72</xdr:row>
                <xdr:rowOff>0</xdr:rowOff>
              </from>
              <to>
                <xdr:col>14</xdr:col>
                <xdr:colOff>600075</xdr:colOff>
                <xdr:row>72</xdr:row>
                <xdr:rowOff>247650</xdr:rowOff>
              </to>
            </anchor>
          </controlPr>
        </control>
      </mc:Choice>
      <mc:Fallback>
        <control shapeId="1299" r:id="rId4" name="TIButton8"/>
      </mc:Fallback>
    </mc:AlternateContent>
    <mc:AlternateContent xmlns:mc="http://schemas.openxmlformats.org/markup-compatibility/2006">
      <mc:Choice Requires="x14">
        <control shapeId="1298" r:id="rId6" name="TIButton7">
          <controlPr defaultSize="0" print="0" autoLine="0" r:id="rId7">
            <anchor moveWithCells="1" sizeWithCells="1">
              <from>
                <xdr:col>11</xdr:col>
                <xdr:colOff>714375</xdr:colOff>
                <xdr:row>72</xdr:row>
                <xdr:rowOff>0</xdr:rowOff>
              </from>
              <to>
                <xdr:col>13</xdr:col>
                <xdr:colOff>228600</xdr:colOff>
                <xdr:row>72</xdr:row>
                <xdr:rowOff>247650</xdr:rowOff>
              </to>
            </anchor>
          </controlPr>
        </control>
      </mc:Choice>
      <mc:Fallback>
        <control shapeId="1298" r:id="rId6" name="TIButton7"/>
      </mc:Fallback>
    </mc:AlternateContent>
    <mc:AlternateContent xmlns:mc="http://schemas.openxmlformats.org/markup-compatibility/2006">
      <mc:Choice Requires="x14">
        <control shapeId="1296" r:id="rId8" name="TIButton6">
          <controlPr defaultSize="0" print="0" autoLine="0" r:id="rId9">
            <anchor moveWithCells="1" sizeWithCells="1">
              <from>
                <xdr:col>22</xdr:col>
                <xdr:colOff>514350</xdr:colOff>
                <xdr:row>71</xdr:row>
                <xdr:rowOff>28575</xdr:rowOff>
              </from>
              <to>
                <xdr:col>22</xdr:col>
                <xdr:colOff>828675</xdr:colOff>
                <xdr:row>72</xdr:row>
                <xdr:rowOff>285750</xdr:rowOff>
              </to>
            </anchor>
          </controlPr>
        </control>
      </mc:Choice>
      <mc:Fallback>
        <control shapeId="1296" r:id="rId8" name="TIButton6"/>
      </mc:Fallback>
    </mc:AlternateContent>
    <mc:AlternateContent xmlns:mc="http://schemas.openxmlformats.org/markup-compatibility/2006">
      <mc:Choice Requires="x14">
        <control shapeId="1239" r:id="rId10" name="TIButton1">
          <controlPr defaultSize="0" print="0" autoLine="0" r:id="rId11">
            <anchor moveWithCells="1" sizeWithCells="1">
              <from>
                <xdr:col>14</xdr:col>
                <xdr:colOff>666750</xdr:colOff>
                <xdr:row>72</xdr:row>
                <xdr:rowOff>0</xdr:rowOff>
              </from>
              <to>
                <xdr:col>15</xdr:col>
                <xdr:colOff>533400</xdr:colOff>
                <xdr:row>72</xdr:row>
                <xdr:rowOff>247650</xdr:rowOff>
              </to>
            </anchor>
          </controlPr>
        </control>
      </mc:Choice>
      <mc:Fallback>
        <control shapeId="1239" r:id="rId10" name="TIButton1"/>
      </mc:Fallback>
    </mc:AlternateContent>
    <mc:AlternateContent xmlns:mc="http://schemas.openxmlformats.org/markup-compatibility/2006">
      <mc:Choice Requires="x14">
        <control shapeId="1240" r:id="rId12" name="TIButton3">
          <controlPr defaultSize="0" print="0" autoLine="0" r:id="rId13">
            <anchor moveWithCells="1" sizeWithCells="1">
              <from>
                <xdr:col>9</xdr:col>
                <xdr:colOff>38100</xdr:colOff>
                <xdr:row>72</xdr:row>
                <xdr:rowOff>0</xdr:rowOff>
              </from>
              <to>
                <xdr:col>9</xdr:col>
                <xdr:colOff>676275</xdr:colOff>
                <xdr:row>72</xdr:row>
                <xdr:rowOff>247650</xdr:rowOff>
              </to>
            </anchor>
          </controlPr>
        </control>
      </mc:Choice>
      <mc:Fallback>
        <control shapeId="1240" r:id="rId12" name="TIButton3"/>
      </mc:Fallback>
    </mc:AlternateContent>
    <mc:AlternateContent xmlns:mc="http://schemas.openxmlformats.org/markup-compatibility/2006">
      <mc:Choice Requires="x14">
        <control shapeId="1241" r:id="rId14" name="TIButton2">
          <controlPr defaultSize="0" print="0" autoLine="0" r:id="rId15">
            <anchor moveWithCells="1" sizeWithCells="1">
              <from>
                <xdr:col>9</xdr:col>
                <xdr:colOff>714375</xdr:colOff>
                <xdr:row>72</xdr:row>
                <xdr:rowOff>0</xdr:rowOff>
              </from>
              <to>
                <xdr:col>9</xdr:col>
                <xdr:colOff>1838325</xdr:colOff>
                <xdr:row>72</xdr:row>
                <xdr:rowOff>247650</xdr:rowOff>
              </to>
            </anchor>
          </controlPr>
        </control>
      </mc:Choice>
      <mc:Fallback>
        <control shapeId="1241" r:id="rId14" name="TIButton2"/>
      </mc:Fallback>
    </mc:AlternateContent>
    <mc:AlternateContent xmlns:mc="http://schemas.openxmlformats.org/markup-compatibility/2006">
      <mc:Choice Requires="x14">
        <control shapeId="1242" r:id="rId16" name="TIButton4">
          <controlPr defaultSize="0" print="0" autoLine="0" autoPict="0" r:id="rId17">
            <anchor moveWithCells="1" sizeWithCells="1">
              <from>
                <xdr:col>9</xdr:col>
                <xdr:colOff>1866900</xdr:colOff>
                <xdr:row>72</xdr:row>
                <xdr:rowOff>0</xdr:rowOff>
              </from>
              <to>
                <xdr:col>9</xdr:col>
                <xdr:colOff>2933700</xdr:colOff>
                <xdr:row>72</xdr:row>
                <xdr:rowOff>247650</xdr:rowOff>
              </to>
            </anchor>
          </controlPr>
        </control>
      </mc:Choice>
      <mc:Fallback>
        <control shapeId="1242" r:id="rId16" name="TIButton4"/>
      </mc:Fallback>
    </mc:AlternateContent>
    <mc:AlternateContent xmlns:mc="http://schemas.openxmlformats.org/markup-compatibility/2006">
      <mc:Choice Requires="x14">
        <control shapeId="1286" r:id="rId18" name="TIButton5">
          <controlPr defaultSize="0" print="0" autoLine="0" autoPict="0" r:id="rId19">
            <anchor moveWithCells="1" sizeWithCells="1">
              <from>
                <xdr:col>9</xdr:col>
                <xdr:colOff>2981325</xdr:colOff>
                <xdr:row>72</xdr:row>
                <xdr:rowOff>0</xdr:rowOff>
              </from>
              <to>
                <xdr:col>11</xdr:col>
                <xdr:colOff>676275</xdr:colOff>
                <xdr:row>72</xdr:row>
                <xdr:rowOff>247650</xdr:rowOff>
              </to>
            </anchor>
          </controlPr>
        </control>
      </mc:Choice>
      <mc:Fallback>
        <control shapeId="1286" r:id="rId18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reco</vt:lpstr>
      <vt:lpstr>db_name</vt:lpstr>
      <vt:lpstr>Freeze_Here</vt:lpstr>
      <vt:lpstr>psApp</vt:lpstr>
      <vt:lpstr>psHLYear</vt:lpstr>
      <vt:lpstr>psUser</vt:lpstr>
      <vt:lpstr>TM1AdjIDListCAP</vt:lpstr>
      <vt:lpstr>TM1AdjIDListWB</vt:lpstr>
      <vt:lpstr>TM1AdminArcCBMSRecoAppropCAP</vt:lpstr>
      <vt:lpstr>TM1AdminArcCBMSRecoAppropWB</vt:lpstr>
      <vt:lpstr>TM1AdminArcCBMSRecoAppropWS</vt:lpstr>
      <vt:lpstr>TM1AdminArcCBMSRecoCAP</vt:lpstr>
      <vt:lpstr>TM1AdminArcCBMSRecoProgDetCAP</vt:lpstr>
      <vt:lpstr>TM1AdminArcCBMSRecoProgDetWB</vt:lpstr>
      <vt:lpstr>TM1AdminArcCBMSRecoProgDetWS</vt:lpstr>
      <vt:lpstr>TM1AdminArcCBMSRecoRep</vt:lpstr>
      <vt:lpstr>TM1AdminArcCBMSRecoRepCAP</vt:lpstr>
      <vt:lpstr>TM1AdminArcCBMSRecoRepDetCAP</vt:lpstr>
      <vt:lpstr>TM1AdminArcCBMSRecoRepDetWB</vt:lpstr>
      <vt:lpstr>TM1AdminArcCBMSRecoRepDetWS</vt:lpstr>
      <vt:lpstr>TM1AdminArcCBMSRecoRepWB</vt:lpstr>
      <vt:lpstr>TM1AdminArcCBMSRecoRepWS</vt:lpstr>
      <vt:lpstr>TM1AdminArcCBMSRecoWB</vt:lpstr>
      <vt:lpstr>TM1AdminArcCBMSRecoWS</vt:lpstr>
      <vt:lpstr>TM1HomeAdminBaseCAP</vt:lpstr>
      <vt:lpstr>TM1HomeAdminBaseWB</vt:lpstr>
      <vt:lpstr>TM1HomeAdminBaseWS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TM1IDListWS</vt:lpstr>
      <vt:lpstr>reco!TM1RPTDATARNG1</vt:lpstr>
      <vt:lpstr>reco!TM1RPTFMTIDCOL</vt:lpstr>
      <vt:lpstr>reco!TM1RPTFMTRNG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2019-08-30T05:04:19Z</cp:lastPrinted>
  <dcterms:created xsi:type="dcterms:W3CDTF">2019-08-30T03:30:26Z</dcterms:created>
  <dcterms:modified xsi:type="dcterms:W3CDTF">2025-08-05T04:47:38Z</dcterms:modified>
</cp:coreProperties>
</file>