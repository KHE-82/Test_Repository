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prod\DCCEEW_GEUS\EC Files\KG\JUNE 2024 - GEUS Patch\"/>
    </mc:Choice>
  </mc:AlternateContent>
  <bookViews>
    <workbookView xWindow="0" yWindow="0" windowWidth="38400" windowHeight="17700"/>
  </bookViews>
  <sheets>
    <sheet name="report" sheetId="1" r:id="rId1"/>
    <sheet name="{PL}PickLst" sheetId="6" state="hidden" r:id="rId2"/>
  </sheets>
  <definedNames>
    <definedName name="db_name">report!$C$12</definedName>
    <definedName name="Freeze_here">report!$J$90</definedName>
    <definedName name="psApp">report!$C$29</definedName>
    <definedName name="psUser">report!$C$14</definedName>
    <definedName name="TM1HomeAECAP">report!$D$32</definedName>
    <definedName name="TM1HomeAEWB">report!$F$32</definedName>
    <definedName name="TM1HomeAEWS">report!$H$32</definedName>
    <definedName name="TM1HomeCAP">report!$D$31</definedName>
    <definedName name="TM1HomeRepAnalyticalCAP">report!$D$35</definedName>
    <definedName name="TM1HomeRepAnalyticalWB">report!$F$35</definedName>
    <definedName name="TM1HomeRepAnalyticalWS">report!$H$35</definedName>
    <definedName name="TM1HomeRepCAP">report!$D$33</definedName>
    <definedName name="TM1HomeRepOtherCAP">report!$D$34</definedName>
    <definedName name="TM1HomeRepOtherWB">report!$F$34</definedName>
    <definedName name="TM1HomeRepOtherWS">report!$H$34</definedName>
    <definedName name="TM1HomeRepWB">report!$F$33</definedName>
    <definedName name="TM1HomeRepWS">report!$H$33</definedName>
    <definedName name="TM1HomeWB">report!$F$31</definedName>
    <definedName name="TM1HomeWS">report!$H$31</definedName>
    <definedName name="TM1REBUILDOPTION">0</definedName>
    <definedName name="TM1RptAEAppropQACAP">report!$D$36</definedName>
    <definedName name="TM1RptAEAppropQAWB">report!$F$36</definedName>
    <definedName name="TM1RptAEAppropQAWS">report!$H$36</definedName>
    <definedName name="TM1RptAppropOCProgCAP">report!$D$37</definedName>
    <definedName name="TM1RptAppropOCProgWB">report!$F$37</definedName>
    <definedName name="TM1RptAppropOCProgWS">report!$H$37</definedName>
    <definedName name="TM1RPTDATARNG3" localSheetId="0">report!$90:$90</definedName>
    <definedName name="TM1RPTFMTIDCOL" localSheetId="0">report!$A$1:$A$8</definedName>
    <definedName name="TM1RPTFMTRNG" localSheetId="0">report!$B$1:$U$8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2" i="1" l="1" a="1"/>
  <c r="C42" i="1"/>
  <c r="C20" i="1" a="1"/>
  <c r="C20" i="1"/>
  <c r="C21" i="1" a="1"/>
  <c r="C21" i="1"/>
  <c r="K84" i="1" a="1"/>
  <c r="K84" i="1"/>
  <c r="C44" i="1"/>
  <c r="C22" i="1" a="1"/>
  <c r="C22" i="1"/>
  <c r="K85" i="1" a="1"/>
  <c r="K85" i="1"/>
  <c r="C45" i="1"/>
  <c r="C46" i="1" a="1"/>
  <c r="C47" i="1" a="1"/>
  <c r="C48" i="1" a="1"/>
  <c r="C49" i="1" a="1"/>
  <c r="C50" i="1" a="1"/>
  <c r="C51" i="1" a="1"/>
  <c r="C53" i="1" a="1"/>
  <c r="C52" i="1" a="1"/>
  <c r="P70" i="1"/>
  <c r="U70" i="1" a="1"/>
  <c r="C46" i="1"/>
  <c r="C47" i="1"/>
  <c r="C48" i="1"/>
  <c r="C49" i="1"/>
  <c r="C50" i="1"/>
  <c r="C51" i="1"/>
  <c r="C53" i="1"/>
  <c r="C52" i="1"/>
  <c r="U70" i="1"/>
  <c r="T70" i="1" a="1"/>
  <c r="T70" i="1"/>
  <c r="S70" i="1" a="1"/>
  <c r="S70" i="1"/>
  <c r="R70" i="1" a="1"/>
  <c r="R70" i="1"/>
  <c r="Q70" i="1" a="1"/>
  <c r="Q70" i="1"/>
  <c r="C43" i="1" a="1"/>
  <c r="C43" i="1"/>
  <c r="C65" i="1"/>
  <c r="N87" i="1" a="1"/>
  <c r="N87" i="1"/>
  <c r="C68" i="1"/>
  <c r="O87" i="1" a="1"/>
  <c r="O87" i="1"/>
  <c r="C70" i="1"/>
  <c r="O86" i="1" a="1"/>
  <c r="O86" i="1"/>
  <c r="O85" i="1" a="1"/>
  <c r="O85" i="1"/>
  <c r="O84" i="1" a="1"/>
  <c r="O84" i="1"/>
  <c r="H90" i="1" a="1"/>
  <c r="H90" i="1"/>
  <c r="N86" i="1" a="1"/>
  <c r="N86" i="1"/>
  <c r="C64" i="1"/>
  <c r="G90" i="1" a="1"/>
  <c r="G90" i="1"/>
  <c r="N85" i="1" a="1"/>
  <c r="N85" i="1"/>
  <c r="C61" i="1"/>
  <c r="F90" i="1" a="1"/>
  <c r="F90" i="1"/>
  <c r="E90" i="1" a="1"/>
  <c r="E90" i="1"/>
  <c r="C59" i="1"/>
  <c r="D90" i="1" a="1"/>
  <c r="D90" i="1"/>
  <c r="K86" i="1" a="1"/>
  <c r="K86" i="1"/>
  <c r="C56" i="1"/>
  <c r="C90" i="1" a="1"/>
  <c r="C90" i="1"/>
  <c r="U90" i="1" a="1"/>
  <c r="U90" i="1"/>
  <c r="T90" i="1" a="1"/>
  <c r="T90" i="1"/>
  <c r="S90" i="1" a="1"/>
  <c r="S90" i="1"/>
  <c r="R90" i="1" a="1"/>
  <c r="R90" i="1"/>
  <c r="Q90" i="1" a="1"/>
  <c r="Q90" i="1"/>
  <c r="L90" i="1" a="1"/>
  <c r="L90" i="1"/>
  <c r="A90" i="1" a="1"/>
  <c r="A90" i="1"/>
  <c r="N84" i="1" a="1"/>
  <c r="N84" i="1"/>
  <c r="C28" i="1" a="1"/>
  <c r="C2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5" i="1" a="1"/>
  <c r="C25" i="1"/>
  <c r="C24" i="1" a="1"/>
  <c r="C24" i="1"/>
  <c r="C23" i="1" a="1"/>
  <c r="C23" i="1"/>
  <c r="C13" i="1" a="1"/>
  <c r="C13" i="1"/>
  <c r="C14" i="1" a="1"/>
  <c r="C14" i="1"/>
  <c r="C16" i="1" a="1"/>
  <c r="C16" i="1"/>
  <c r="C15" i="1" a="1"/>
  <c r="C15" i="1"/>
  <c r="T92" i="1"/>
  <c r="T86" i="1"/>
  <c r="U89" i="1"/>
  <c r="T89" i="1"/>
  <c r="S89" i="1"/>
  <c r="R89" i="1"/>
  <c r="Q89" i="1"/>
  <c r="P58" i="1"/>
  <c r="C57" i="1"/>
  <c r="C63" i="1"/>
  <c r="J90" i="1"/>
  <c r="P90" i="1"/>
  <c r="C67" i="1"/>
  <c r="O90" i="1"/>
  <c r="N90" i="1"/>
  <c r="M90" i="1"/>
  <c r="K90" i="1"/>
  <c r="K89" i="1"/>
  <c r="P71" i="1"/>
  <c r="C17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<sst xmlns="http://schemas.openxmlformats.org/spreadsheetml/2006/main" count="105" uniqueCount="99">
  <si>
    <t>headline year</t>
  </si>
  <si>
    <t>scenario</t>
  </si>
  <si>
    <t>status</t>
  </si>
  <si>
    <t>related entity</t>
  </si>
  <si>
    <t>function</t>
  </si>
  <si>
    <t>reason</t>
  </si>
  <si>
    <t>spp</t>
  </si>
  <si>
    <t>measure code</t>
  </si>
  <si>
    <t>jurisdiction</t>
  </si>
  <si>
    <t>id</t>
  </si>
  <si>
    <t>sys_account requiring approp</t>
  </si>
  <si>
    <t>D</t>
  </si>
  <si>
    <t>N</t>
  </si>
  <si>
    <t>[Begin Format Range]</t>
  </si>
  <si>
    <t>[End Format Range]</t>
  </si>
  <si>
    <t>Outcome MDX</t>
  </si>
  <si>
    <t>programme MDX to use</t>
  </si>
  <si>
    <t>programme MDX</t>
  </si>
  <si>
    <t>Programme filter MDX</t>
  </si>
  <si>
    <t>Period Variables</t>
  </si>
  <si>
    <t>Outcome</t>
  </si>
  <si>
    <t>Account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</si>
  <si>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</si>
  <si>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</si>
  <si>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</si>
  <si>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</si>
  <si>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</si>
  <si>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</si>
  <si>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</si>
  <si>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</si>
  <si>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</si>
  <si>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</si>
  <si>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</si>
  <si>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</si>
  <si>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</si>
  <si>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</si>
  <si>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</si>
  <si>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</si>
  <si>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</si>
  <si>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</si>
  <si>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</si>
  <si>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</si>
  <si>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</si>
  <si>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</si>
  <si>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</si>
  <si>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</si>
  <si>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</si>
  <si>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Application Formula (DO NOT DELETE)</t>
  </si>
  <si>
    <t>=DBR($C$28,$B35,C$30)</t>
  </si>
  <si>
    <t>Appropriation type MDX</t>
  </si>
  <si>
    <t>{TM1FILTERBYLEVEL( {TM1SUBSETALL( [appropriation type] )}, 0)}</t>
  </si>
  <si>
    <t>{TM1FILTERBYLEVEL( {TM1SUBSETALL( [appropriation item] )}, 0)}</t>
  </si>
  <si>
    <t>Account MDX to use</t>
  </si>
  <si>
    <t>Account Req Approp MDX</t>
  </si>
  <si>
    <t>Acc Req Approp</t>
  </si>
  <si>
    <t>Account Filter MDX</t>
  </si>
  <si>
    <t>Movement Account MDX</t>
  </si>
  <si>
    <t>{TM1SORTBYINDEX( {TM1FILTERBYLEVEL( {TM1SUBSETALL( [movement account] )}, 0)}, DESC)}</t>
  </si>
  <si>
    <t>Aqppropriation type</t>
  </si>
  <si>
    <t>Movement account</t>
  </si>
  <si>
    <t>Aqppropriation item</t>
  </si>
  <si>
    <t>Program</t>
  </si>
  <si>
    <t>Outcome  :</t>
  </si>
  <si>
    <t>Appropriation item MDX to use</t>
  </si>
  <si>
    <t>Control Type</t>
  </si>
  <si>
    <t>Report MDX</t>
  </si>
  <si>
    <t>Active Form</t>
  </si>
  <si>
    <t>Slice</t>
  </si>
  <si>
    <t>Administered</t>
  </si>
  <si>
    <t>Departmental</t>
  </si>
  <si>
    <t>Treasury</t>
  </si>
  <si>
    <t>Approp Type</t>
  </si>
  <si>
    <t>{TM1FILTERBYLEVEL( {TM1SUBSETALL( [programme].[Total Programmes] )}, 0)}</t>
  </si>
  <si>
    <t>Report View</t>
  </si>
  <si>
    <t>Homepage - Reports - Other</t>
  </si>
  <si>
    <t>Homepage - Reports - Analytical</t>
  </si>
  <si>
    <t>Reports - Annual Estimates Appropriation QA Report</t>
  </si>
  <si>
    <t>Reports - Appropriation By Outcome Program Report</t>
  </si>
  <si>
    <t>current</t>
  </si>
  <si>
    <t>Movement Account</t>
  </si>
  <si>
    <t>Appropriation Item</t>
  </si>
  <si>
    <t>Note : Filtering is a two a step process.  Set Filter to Yes per each report dimensions and  Click Refresh</t>
  </si>
  <si>
    <t>REPORT PARAMETERS</t>
  </si>
  <si>
    <t>Headline Year :</t>
  </si>
  <si>
    <t>Scenario :</t>
  </si>
  <si>
    <t>Program :</t>
  </si>
  <si>
    <t>Approrpiation Item :</t>
  </si>
  <si>
    <t>Account :</t>
  </si>
  <si>
    <t>APPLY?</t>
  </si>
  <si>
    <t>FILTER TO APPLY</t>
  </si>
  <si>
    <t>FILTERS</t>
  </si>
  <si>
    <t>As at</t>
  </si>
  <si>
    <t>Appropriation By Outcome Report</t>
  </si>
  <si>
    <t>Movement Account :</t>
  </si>
  <si>
    <t>MA All</t>
  </si>
  <si>
    <t>Movmement Account Filter MDX</t>
  </si>
  <si>
    <t>Movement Account Approp Only</t>
  </si>
  <si>
    <t>{[movement account].[-],[movement account].[7593],[movement account].[7597],[movement account].[7598],[movement account].[7599]}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</si>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</sst>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\(#,##0\)"/>
    <numFmt numFmtId="165" formatCode="_(* #,##0_);[Red]_(* \(#,##0\);_(* &quot;-&quot;??_);_(@_)"/>
    <numFmt numFmtId="166" formatCode="dd\ mmmm\ yyyy\ h:m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3F48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4" fillId="2" borderId="0" xfId="0" applyFont="1" applyFill="1"/>
    <xf numFmtId="0" fontId="4" fillId="3" borderId="0" xfId="0" applyFont="1" applyFill="1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3" fillId="4" borderId="2" xfId="0" applyFont="1" applyFill="1" applyBorder="1"/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top" wrapText="1"/>
    </xf>
    <xf numFmtId="0" fontId="5" fillId="5" borderId="0" xfId="0" applyFont="1" applyFill="1" applyAlignment="1">
      <alignment vertical="top" wrapText="1"/>
    </xf>
    <xf numFmtId="0" fontId="6" fillId="5" borderId="0" xfId="0" applyFont="1" applyFill="1" applyAlignment="1">
      <alignment horizontal="right" vertical="top"/>
    </xf>
    <xf numFmtId="0" fontId="5" fillId="5" borderId="0" xfId="0" applyFont="1" applyFill="1" applyAlignment="1">
      <alignment horizontal="center" vertical="top" wrapText="1"/>
    </xf>
    <xf numFmtId="0" fontId="0" fillId="0" borderId="0" xfId="0" applyAlignment="1">
      <alignment vertical="center"/>
    </xf>
    <xf numFmtId="0" fontId="3" fillId="0" borderId="4" xfId="0" applyFont="1" applyBorder="1" applyAlignment="1">
      <alignment vertical="top"/>
    </xf>
    <xf numFmtId="0" fontId="0" fillId="0" borderId="4" xfId="0" applyBorder="1" applyAlignment="1">
      <alignment horizontal="center" vertical="top"/>
    </xf>
    <xf numFmtId="0" fontId="0" fillId="0" borderId="10" xfId="0" applyBorder="1" applyAlignment="1">
      <alignment vertical="top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vertical="top"/>
    </xf>
    <xf numFmtId="0" fontId="3" fillId="0" borderId="4" xfId="0" applyFont="1" applyBorder="1" applyAlignment="1">
      <alignment horizontal="center" vertical="top"/>
    </xf>
    <xf numFmtId="0" fontId="0" fillId="7" borderId="4" xfId="0" applyFill="1" applyBorder="1" applyAlignment="1">
      <alignment vertical="top"/>
    </xf>
    <xf numFmtId="0" fontId="0" fillId="7" borderId="4" xfId="0" quotePrefix="1" applyFill="1" applyBorder="1" applyAlignment="1">
      <alignment vertical="top"/>
    </xf>
    <xf numFmtId="0" fontId="0" fillId="0" borderId="0" xfId="0" quotePrefix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0" xfId="0" applyAlignment="1">
      <alignment horizontal="center"/>
    </xf>
    <xf numFmtId="0" fontId="2" fillId="5" borderId="14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164" fontId="0" fillId="0" borderId="4" xfId="0" applyNumberFormat="1" applyBorder="1"/>
    <xf numFmtId="0" fontId="3" fillId="0" borderId="8" xfId="0" applyFont="1" applyBorder="1"/>
    <xf numFmtId="0" fontId="0" fillId="0" borderId="9" xfId="0" applyBorder="1"/>
    <xf numFmtId="0" fontId="0" fillId="0" borderId="9" xfId="0" quotePrefix="1" applyBorder="1" applyAlignment="1">
      <alignment vertical="top"/>
    </xf>
    <xf numFmtId="0" fontId="0" fillId="0" borderId="9" xfId="0" applyBorder="1" applyAlignment="1">
      <alignment vertical="top"/>
    </xf>
    <xf numFmtId="0" fontId="3" fillId="0" borderId="11" xfId="0" applyFont="1" applyBorder="1" applyAlignment="1">
      <alignment vertical="top"/>
    </xf>
    <xf numFmtId="0" fontId="0" fillId="0" borderId="13" xfId="0" quotePrefix="1" applyBorder="1" applyAlignment="1">
      <alignment vertical="top"/>
    </xf>
    <xf numFmtId="0" fontId="3" fillId="0" borderId="15" xfId="0" applyFont="1" applyBorder="1"/>
    <xf numFmtId="0" fontId="0" fillId="0" borderId="16" xfId="0" applyBorder="1"/>
    <xf numFmtId="0" fontId="3" fillId="0" borderId="11" xfId="0" applyFont="1" applyBorder="1"/>
    <xf numFmtId="0" fontId="0" fillId="0" borderId="13" xfId="0" applyBorder="1"/>
    <xf numFmtId="0" fontId="3" fillId="0" borderId="0" xfId="0" applyFont="1"/>
    <xf numFmtId="0" fontId="0" fillId="0" borderId="6" xfId="0" applyBorder="1" applyAlignment="1" applyProtection="1">
      <alignment wrapText="1"/>
      <protection locked="0"/>
    </xf>
    <xf numFmtId="0" fontId="0" fillId="0" borderId="4" xfId="0" applyBorder="1" applyAlignment="1" applyProtection="1">
      <alignment wrapText="1"/>
      <protection locked="0"/>
    </xf>
    <xf numFmtId="0" fontId="0" fillId="0" borderId="12" xfId="0" applyBorder="1" applyAlignment="1" applyProtection="1">
      <alignment wrapText="1"/>
      <protection locked="0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165" fontId="4" fillId="0" borderId="4" xfId="0" applyNumberFormat="1" applyFont="1" applyBorder="1"/>
    <xf numFmtId="165" fontId="4" fillId="0" borderId="4" xfId="0" applyNumberFormat="1" applyFont="1" applyBorder="1" applyAlignment="1">
      <alignment vertical="top"/>
    </xf>
    <xf numFmtId="0" fontId="2" fillId="5" borderId="14" xfId="0" applyFont="1" applyFill="1" applyBorder="1" applyAlignment="1">
      <alignment horizontal="center" vertical="center" wrapText="1"/>
    </xf>
    <xf numFmtId="0" fontId="7" fillId="0" borderId="0" xfId="0" applyFont="1"/>
    <xf numFmtId="0" fontId="3" fillId="0" borderId="0" xfId="0" applyFont="1" applyAlignment="1">
      <alignment horizontal="right" indent="1"/>
    </xf>
    <xf numFmtId="0" fontId="2" fillId="8" borderId="19" xfId="0" applyFont="1" applyFill="1" applyBorder="1" applyAlignment="1">
      <alignment horizontal="center" wrapText="1"/>
    </xf>
    <xf numFmtId="0" fontId="0" fillId="6" borderId="4" xfId="0" applyFill="1" applyBorder="1" applyAlignment="1" applyProtection="1">
      <alignment horizontal="left" indent="1"/>
      <protection locked="0"/>
    </xf>
    <xf numFmtId="0" fontId="2" fillId="8" borderId="0" xfId="0" applyFont="1" applyFill="1" applyAlignment="1">
      <alignment horizontal="center" wrapText="1"/>
    </xf>
    <xf numFmtId="0" fontId="0" fillId="0" borderId="4" xfId="0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0" fillId="0" borderId="4" xfId="0" applyBorder="1" applyAlignment="1" applyProtection="1">
      <alignment horizontal="left" vertical="top" indent="1"/>
      <protection locked="0"/>
    </xf>
    <xf numFmtId="166" fontId="3" fillId="0" borderId="0" xfId="0" applyNumberFormat="1" applyFont="1" applyAlignment="1">
      <alignment horizontal="left" indent="1"/>
    </xf>
    <xf numFmtId="0" fontId="0" fillId="0" borderId="0" xfId="0" applyBorder="1" applyAlignment="1" applyProtection="1">
      <alignment horizontal="left" vertical="top" indent="1"/>
      <protection locked="0"/>
    </xf>
    <xf numFmtId="0" fontId="3" fillId="0" borderId="20" xfId="0" applyFont="1" applyBorder="1" applyAlignment="1">
      <alignment vertical="top"/>
    </xf>
    <xf numFmtId="0" fontId="0" fillId="0" borderId="12" xfId="0" applyBorder="1" applyAlignment="1" applyProtection="1">
      <alignment vertical="top" wrapText="1"/>
      <protection locked="0"/>
    </xf>
    <xf numFmtId="166" fontId="3" fillId="0" borderId="0" xfId="0" applyNumberFormat="1" applyFont="1" applyAlignment="1">
      <alignment horizontal="left" indent="1"/>
    </xf>
    <xf numFmtId="0" fontId="3" fillId="4" borderId="5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3" fillId="4" borderId="10" xfId="0" applyFont="1" applyFill="1" applyBorder="1" applyAlignment="1">
      <alignment horizontal="center" vertical="top"/>
    </xf>
    <xf numFmtId="0" fontId="3" fillId="4" borderId="17" xfId="0" applyFont="1" applyFill="1" applyBorder="1" applyAlignment="1">
      <alignment horizontal="center" vertical="top"/>
    </xf>
    <xf numFmtId="0" fontId="3" fillId="4" borderId="18" xfId="0" applyFont="1" applyFill="1" applyBorder="1" applyAlignment="1">
      <alignment horizontal="center" vertical="top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47625</xdr:colOff>
      <xdr:row>75</xdr:row>
      <xdr:rowOff>28575</xdr:rowOff>
    </xdr:from>
    <xdr:ext cx="1853565" cy="4572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185356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77</xdr:row>
          <xdr:rowOff>9525</xdr:rowOff>
        </xdr:from>
        <xdr:to>
          <xdr:col>9</xdr:col>
          <xdr:colOff>657225</xdr:colOff>
          <xdr:row>77</xdr:row>
          <xdr:rowOff>257175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1914525</xdr:colOff>
          <xdr:row>77</xdr:row>
          <xdr:rowOff>9525</xdr:rowOff>
        </xdr:from>
        <xdr:to>
          <xdr:col>10</xdr:col>
          <xdr:colOff>2695575</xdr:colOff>
          <xdr:row>77</xdr:row>
          <xdr:rowOff>257175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695325</xdr:colOff>
          <xdr:row>77</xdr:row>
          <xdr:rowOff>9525</xdr:rowOff>
        </xdr:from>
        <xdr:to>
          <xdr:col>9</xdr:col>
          <xdr:colOff>1638300</xdr:colOff>
          <xdr:row>77</xdr:row>
          <xdr:rowOff>257175</xdr:rowOff>
        </xdr:to>
        <xdr:sp macro="" textlink="">
          <xdr:nvSpPr>
            <xdr:cNvPr id="1028" name="TIButton1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1666875</xdr:colOff>
          <xdr:row>77</xdr:row>
          <xdr:rowOff>9525</xdr:rowOff>
        </xdr:from>
        <xdr:to>
          <xdr:col>10</xdr:col>
          <xdr:colOff>304800</xdr:colOff>
          <xdr:row>77</xdr:row>
          <xdr:rowOff>257175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333375</xdr:colOff>
          <xdr:row>77</xdr:row>
          <xdr:rowOff>9525</xdr:rowOff>
        </xdr:from>
        <xdr:to>
          <xdr:col>10</xdr:col>
          <xdr:colOff>1885950</xdr:colOff>
          <xdr:row>77</xdr:row>
          <xdr:rowOff>257175</xdr:rowOff>
        </xdr:to>
        <xdr:sp macro="" textlink="">
          <xdr:nvSpPr>
            <xdr:cNvPr id="1030" name="TIButton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533400</xdr:colOff>
          <xdr:row>76</xdr:row>
          <xdr:rowOff>38100</xdr:rowOff>
        </xdr:from>
        <xdr:to>
          <xdr:col>21</xdr:col>
          <xdr:colOff>0</xdr:colOff>
          <xdr:row>77</xdr:row>
          <xdr:rowOff>295275</xdr:rowOff>
        </xdr:to>
        <xdr:sp macro="" textlink="">
          <xdr:nvSpPr>
            <xdr:cNvPr id="1031" name="TIButton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outlinePr showOutlineSymbols="0"/>
    <pageSetUpPr fitToPage="1"/>
  </sheetPr>
  <dimension ref="A1:AA97"/>
  <sheetViews>
    <sheetView showGridLines="0" tabSelected="1" showOutlineSymbols="0" topLeftCell="I76" workbookViewId="0">
      <pane ySplit="14" topLeftCell="A90" activePane="bottomLeft" state="frozen"/>
      <selection activeCell="I76" sqref="I76"/>
      <selection pane="bottomLeft" activeCell="K76" sqref="K76"/>
    </sheetView>
  </sheetViews>
  <sheetFormatPr defaultRowHeight="15" outlineLevelRow="1" outlineLevelCol="1" x14ac:dyDescent="0.25"/>
  <cols>
    <col min="1" max="1" width="19.7109375" hidden="1" customWidth="1" outlineLevel="1"/>
    <col min="2" max="2" width="31.5703125" hidden="1" customWidth="1" outlineLevel="1"/>
    <col min="3" max="3" width="57.7109375" hidden="1" customWidth="1" outlineLevel="1"/>
    <col min="4" max="4" width="50.42578125" hidden="1" customWidth="1" outlineLevel="1"/>
    <col min="5" max="5" width="36.28515625" hidden="1" customWidth="1" outlineLevel="1"/>
    <col min="6" max="6" width="28" hidden="1" customWidth="1" outlineLevel="1"/>
    <col min="7" max="7" width="7.7109375" hidden="1" customWidth="1" outlineLevel="1"/>
    <col min="8" max="8" width="9.7109375" hidden="1" customWidth="1" outlineLevel="1"/>
    <col min="9" max="9" width="0.85546875" customWidth="1" collapsed="1"/>
    <col min="10" max="11" width="40.7109375" customWidth="1"/>
    <col min="12" max="12" width="17.7109375" style="31" customWidth="1"/>
    <col min="13" max="13" width="11.5703125" customWidth="1"/>
    <col min="14" max="14" width="35.7109375" customWidth="1"/>
    <col min="15" max="15" width="40.7109375" customWidth="1"/>
    <col min="16" max="16" width="30.7109375" customWidth="1"/>
    <col min="17" max="18" width="12.7109375" customWidth="1"/>
    <col min="19" max="19" width="12.7109375" style="31" customWidth="1"/>
    <col min="20" max="21" width="12.7109375" customWidth="1"/>
    <col min="22" max="22" width="22.7109375" customWidth="1"/>
  </cols>
  <sheetData>
    <row r="1" spans="1:27" hidden="1" outlineLevel="1" x14ac:dyDescent="0.25">
      <c r="A1" t="s">
        <v>13</v>
      </c>
      <c r="M1" s="31"/>
      <c r="S1"/>
    </row>
    <row r="2" spans="1:27" hidden="1" outlineLevel="1" x14ac:dyDescent="0.25">
      <c r="A2">
        <f>0</f>
        <v>0</v>
      </c>
      <c r="B2" s="2"/>
      <c r="C2" s="1"/>
      <c r="D2" s="1"/>
      <c r="E2" s="1"/>
      <c r="F2" s="1"/>
      <c r="G2" s="1"/>
      <c r="H2" s="5"/>
      <c r="I2" s="5"/>
      <c r="J2" s="52"/>
      <c r="K2" s="52"/>
      <c r="L2" s="53"/>
      <c r="M2" s="53"/>
      <c r="N2" s="52"/>
      <c r="O2" s="52"/>
      <c r="P2" s="52"/>
      <c r="Q2" s="56"/>
      <c r="R2" s="56"/>
      <c r="S2" s="56"/>
      <c r="T2" s="56"/>
      <c r="U2" s="56"/>
    </row>
    <row r="3" spans="1:27" hidden="1" outlineLevel="1" x14ac:dyDescent="0.25">
      <c r="A3">
        <f>1</f>
        <v>1</v>
      </c>
      <c r="B3" s="3"/>
      <c r="C3" s="4"/>
      <c r="D3" s="4"/>
      <c r="E3" s="4"/>
      <c r="F3" s="4"/>
      <c r="G3" s="4"/>
      <c r="H3" s="6"/>
      <c r="I3" s="6"/>
      <c r="J3" s="52"/>
      <c r="K3" s="52"/>
      <c r="L3" s="53"/>
      <c r="M3" s="53"/>
      <c r="N3" s="52"/>
      <c r="O3" s="52"/>
      <c r="P3" s="52"/>
      <c r="Q3" s="56"/>
      <c r="R3" s="56"/>
      <c r="S3" s="56"/>
      <c r="T3" s="56"/>
      <c r="U3" s="56"/>
    </row>
    <row r="4" spans="1:27" hidden="1" outlineLevel="1" x14ac:dyDescent="0.25">
      <c r="A4">
        <f>2</f>
        <v>2</v>
      </c>
      <c r="B4" s="3"/>
      <c r="C4" s="4"/>
      <c r="D4" s="4"/>
      <c r="E4" s="4"/>
      <c r="F4" s="4"/>
      <c r="G4" s="4"/>
      <c r="H4" s="6"/>
      <c r="I4" s="6"/>
      <c r="J4" s="52"/>
      <c r="K4" s="52"/>
      <c r="L4" s="53"/>
      <c r="M4" s="53"/>
      <c r="N4" s="52"/>
      <c r="O4" s="52"/>
      <c r="P4" s="52"/>
      <c r="Q4" s="56"/>
      <c r="R4" s="56"/>
      <c r="S4" s="56"/>
      <c r="T4" s="56"/>
      <c r="U4" s="56"/>
    </row>
    <row r="5" spans="1:27" hidden="1" outlineLevel="1" x14ac:dyDescent="0.25">
      <c r="A5">
        <f>3</f>
        <v>3</v>
      </c>
      <c r="B5" s="3"/>
      <c r="C5" s="4"/>
      <c r="D5" s="4"/>
      <c r="E5" s="4"/>
      <c r="F5" s="4"/>
      <c r="G5" s="4"/>
      <c r="H5" s="6"/>
      <c r="I5" s="6"/>
      <c r="J5" s="52"/>
      <c r="K5" s="52"/>
      <c r="L5" s="53"/>
      <c r="M5" s="53"/>
      <c r="N5" s="52"/>
      <c r="O5" s="52"/>
      <c r="P5" s="52"/>
      <c r="Q5" s="56"/>
      <c r="R5" s="56"/>
      <c r="S5" s="56"/>
      <c r="T5" s="56"/>
      <c r="U5" s="56"/>
    </row>
    <row r="6" spans="1:27" hidden="1" outlineLevel="1" x14ac:dyDescent="0.25">
      <c r="A6" t="s">
        <v>11</v>
      </c>
      <c r="B6" s="3"/>
      <c r="C6" s="4"/>
      <c r="D6" s="4"/>
      <c r="E6" s="4"/>
      <c r="F6" s="4"/>
      <c r="G6" s="4"/>
      <c r="H6" s="6"/>
      <c r="I6" s="6"/>
      <c r="J6" s="52"/>
      <c r="K6" s="52"/>
      <c r="L6" s="53"/>
      <c r="M6" s="53"/>
      <c r="N6" s="52"/>
      <c r="O6" s="52"/>
      <c r="P6" s="52"/>
      <c r="Q6" s="56"/>
      <c r="R6" s="56"/>
      <c r="S6" s="56"/>
      <c r="T6" s="56"/>
      <c r="U6" s="56"/>
    </row>
    <row r="7" spans="1:27" s="7" customFormat="1" hidden="1" outlineLevel="1" x14ac:dyDescent="0.25">
      <c r="A7" s="7" t="s">
        <v>12</v>
      </c>
      <c r="B7" s="33"/>
      <c r="C7" s="10"/>
      <c r="D7" s="10"/>
      <c r="E7" s="10"/>
      <c r="F7" s="10"/>
      <c r="G7" s="10"/>
      <c r="H7" s="34"/>
      <c r="I7" s="34"/>
      <c r="J7" s="54"/>
      <c r="K7" s="54"/>
      <c r="L7" s="55"/>
      <c r="M7" s="55"/>
      <c r="N7" s="54"/>
      <c r="O7" s="54"/>
      <c r="P7" s="54"/>
      <c r="Q7" s="57"/>
      <c r="R7" s="57"/>
      <c r="S7" s="57"/>
      <c r="T7" s="57"/>
      <c r="U7" s="57"/>
    </row>
    <row r="8" spans="1:27" hidden="1" outlineLevel="1" x14ac:dyDescent="0.25">
      <c r="A8" t="s">
        <v>14</v>
      </c>
      <c r="J8" s="14"/>
      <c r="K8" s="14"/>
      <c r="L8" s="15"/>
      <c r="M8" s="15"/>
      <c r="N8" s="14"/>
      <c r="O8" s="14"/>
      <c r="P8" s="14"/>
      <c r="Q8" s="37"/>
      <c r="R8" s="37"/>
      <c r="S8" s="37"/>
      <c r="T8" s="37"/>
      <c r="U8" s="37"/>
    </row>
    <row r="9" spans="1:27" hidden="1" outlineLevel="1" x14ac:dyDescent="0.25">
      <c r="A9" s="7"/>
      <c r="B9" s="7"/>
      <c r="C9" s="7"/>
      <c r="D9" s="7"/>
      <c r="E9" s="7"/>
      <c r="F9" s="9"/>
      <c r="G9" s="7"/>
      <c r="H9" s="7"/>
      <c r="I9" s="7"/>
      <c r="J9" s="9"/>
      <c r="K9" s="7"/>
      <c r="L9" s="9"/>
      <c r="M9" s="7"/>
      <c r="S9"/>
    </row>
    <row r="10" spans="1:27" hidden="1" outlineLevel="1" x14ac:dyDescent="0.25">
      <c r="A10" s="7"/>
      <c r="B10" s="7"/>
      <c r="C10" s="7"/>
      <c r="D10" s="7"/>
      <c r="E10" s="7"/>
      <c r="F10" s="9"/>
      <c r="G10" s="7"/>
      <c r="H10" s="7"/>
      <c r="I10" s="7"/>
      <c r="J10" s="9"/>
      <c r="K10" s="7"/>
      <c r="L10" s="9"/>
      <c r="M10" s="7"/>
      <c r="N10" s="16"/>
      <c r="O10" s="16"/>
      <c r="P10" s="16"/>
      <c r="Q10" s="16"/>
      <c r="R10" s="16"/>
      <c r="S10" s="16"/>
      <c r="T10" s="16"/>
      <c r="U10" s="16"/>
      <c r="V10" s="9"/>
      <c r="W10" s="7"/>
      <c r="X10" s="9"/>
      <c r="Y10" s="7"/>
      <c r="Z10" s="9"/>
      <c r="AA10" s="7"/>
    </row>
    <row r="11" spans="1:27" hidden="1" outlineLevel="1" x14ac:dyDescent="0.25">
      <c r="A11" s="7"/>
      <c r="B11" s="74" t="s">
        <v>22</v>
      </c>
      <c r="C11" s="75"/>
      <c r="D11" s="76"/>
      <c r="E11" s="7"/>
      <c r="F11" s="9"/>
      <c r="G11" s="7"/>
      <c r="H11" s="7"/>
      <c r="I11" s="7"/>
      <c r="J11" s="9"/>
      <c r="K11" s="7"/>
      <c r="L11" s="9"/>
      <c r="M11" s="7"/>
      <c r="N11" s="16"/>
      <c r="O11" s="16"/>
      <c r="P11" s="16"/>
      <c r="Q11" s="16"/>
      <c r="R11" s="16"/>
      <c r="S11" s="16"/>
      <c r="T11" s="16"/>
      <c r="U11" s="16"/>
      <c r="V11" s="9"/>
      <c r="W11" s="7"/>
      <c r="X11" s="9"/>
      <c r="Y11" s="7"/>
      <c r="Z11" s="9"/>
      <c r="AA11" s="7"/>
    </row>
    <row r="12" spans="1:27" hidden="1" outlineLevel="1" x14ac:dyDescent="0.25">
      <c r="A12" s="7"/>
      <c r="B12" s="21" t="s">
        <v>23</v>
      </c>
      <c r="C12" s="22" t="s">
        <v>98</v>
      </c>
      <c r="D12" s="23"/>
      <c r="E12" s="7"/>
      <c r="F12" s="9"/>
      <c r="G12" s="7"/>
      <c r="H12" s="7"/>
      <c r="I12" s="7"/>
      <c r="J12" s="9"/>
      <c r="K12" s="7"/>
      <c r="L12" s="9"/>
      <c r="M12" s="7"/>
      <c r="N12" s="16"/>
      <c r="O12" s="16"/>
      <c r="P12" s="16"/>
      <c r="Q12" s="16"/>
      <c r="R12" s="16"/>
      <c r="S12" s="16"/>
      <c r="T12" s="16"/>
      <c r="U12" s="16"/>
      <c r="V12" s="9"/>
      <c r="W12" s="7"/>
      <c r="X12" s="9"/>
      <c r="Y12" s="7"/>
      <c r="Z12" s="9"/>
      <c r="AA12" s="7"/>
    </row>
    <row r="13" spans="1:27" hidden="1" outlineLevel="1" x14ac:dyDescent="0.25">
      <c r="A13" s="7"/>
      <c r="B13" s="21" t="s">
        <v>24</v>
      </c>
      <c r="C13" s="24" t="str" cm="1">
        <f t="array" aca="1" ref="C13" ca="1">_xll.VIEW(db_name&amp;":}ElementAttributes_}Clients","!","!")</f>
        <v>dcceew_geus:}ElementAttributes_}Clients</v>
      </c>
      <c r="D13" s="23"/>
      <c r="E13" s="7"/>
      <c r="F13" s="9"/>
      <c r="G13" s="7"/>
      <c r="H13" s="7"/>
      <c r="I13" s="7"/>
      <c r="J13" s="9"/>
      <c r="K13" s="7"/>
      <c r="L13" s="9"/>
      <c r="M13" s="7"/>
      <c r="N13" s="16"/>
      <c r="O13" s="16"/>
      <c r="P13" s="16"/>
      <c r="Q13" s="16"/>
      <c r="R13" s="16"/>
      <c r="S13" s="16"/>
      <c r="T13" s="16"/>
      <c r="U13" s="16"/>
      <c r="V13" s="9"/>
      <c r="W13" s="7"/>
      <c r="X13" s="9"/>
      <c r="Y13" s="7"/>
      <c r="Z13" s="9"/>
      <c r="AA13" s="7"/>
    </row>
    <row r="14" spans="1:27" hidden="1" outlineLevel="1" x14ac:dyDescent="0.25">
      <c r="A14" s="7"/>
      <c r="B14" s="21" t="s">
        <v>25</v>
      </c>
      <c r="C14" s="22" t="str" cm="1">
        <f t="array" aca="1" ref="C14" ca="1">_xll.TM1USER(db_name)</f>
        <v>CAMID("pans:u:kgimena@excelerated.com.au")</v>
      </c>
      <c r="D14" s="23"/>
      <c r="E14" s="7"/>
      <c r="F14" s="9"/>
      <c r="G14" s="7"/>
      <c r="H14" s="7"/>
      <c r="I14" s="7"/>
      <c r="J14" s="9"/>
      <c r="K14" s="7"/>
      <c r="L14" s="9"/>
      <c r="M14" s="7"/>
      <c r="N14" s="16"/>
      <c r="O14" s="16"/>
      <c r="P14" s="16"/>
      <c r="Q14" s="16"/>
      <c r="R14" s="16"/>
      <c r="S14" s="16"/>
      <c r="T14" s="16"/>
      <c r="U14" s="16"/>
      <c r="V14" s="9"/>
      <c r="W14" s="7"/>
      <c r="X14" s="9"/>
      <c r="Y14" s="7"/>
      <c r="Z14" s="9"/>
      <c r="AA14" s="7"/>
    </row>
    <row r="15" spans="1:27" hidden="1" outlineLevel="1" x14ac:dyDescent="0.25">
      <c r="A15" s="7"/>
      <c r="B15" s="21" t="s">
        <v>26</v>
      </c>
      <c r="C15" s="22" t="str" cm="1">
        <f t="array" aca="1" ref="C15" ca="1">_xll.DBR($C$13,$C$14,$B15)</f>
        <v>Business Analytics/Khristian Gimena</v>
      </c>
      <c r="D15" s="23"/>
      <c r="E15" s="7"/>
      <c r="F15" s="9"/>
      <c r="G15" s="7"/>
      <c r="H15" s="7"/>
      <c r="I15" s="7"/>
      <c r="J15" s="9"/>
      <c r="K15" s="7"/>
      <c r="L15" s="9"/>
      <c r="M15" s="7"/>
      <c r="N15" s="16"/>
      <c r="O15" s="16"/>
      <c r="P15" s="16"/>
      <c r="Q15" s="16"/>
      <c r="R15" s="16"/>
      <c r="S15" s="16"/>
      <c r="T15" s="16"/>
      <c r="U15" s="16"/>
      <c r="V15" s="9"/>
      <c r="W15" s="7"/>
      <c r="X15" s="9"/>
      <c r="Y15" s="7"/>
      <c r="Z15" s="9"/>
      <c r="AA15" s="7"/>
    </row>
    <row r="16" spans="1:27" hidden="1" outlineLevel="1" x14ac:dyDescent="0.25">
      <c r="A16" s="7"/>
      <c r="B16" s="21" t="s">
        <v>27</v>
      </c>
      <c r="C16" s="22" t="str" cm="1">
        <f t="array" aca="1" ref="C16" ca="1">_xll.DBR($C$13,$C$14,$B16)</f>
        <v>Khristian Gimena</v>
      </c>
      <c r="D16" s="23"/>
      <c r="E16" s="7"/>
      <c r="F16" s="9"/>
      <c r="G16" s="7"/>
      <c r="H16" s="7"/>
      <c r="I16" s="7"/>
      <c r="J16" s="9"/>
      <c r="K16" s="7"/>
      <c r="L16" s="9"/>
      <c r="M16" s="7"/>
      <c r="N16" s="16"/>
      <c r="O16" s="16"/>
      <c r="P16" s="16"/>
      <c r="Q16" s="16"/>
      <c r="R16" s="16"/>
      <c r="S16" s="16"/>
      <c r="T16" s="16"/>
      <c r="U16" s="16"/>
      <c r="V16" s="9"/>
      <c r="W16" s="7"/>
      <c r="X16" s="9"/>
      <c r="Y16" s="7"/>
      <c r="Z16" s="9"/>
      <c r="AA16" s="7"/>
    </row>
    <row r="17" spans="1:27" hidden="1" outlineLevel="1" x14ac:dyDescent="0.25">
      <c r="A17" s="7"/>
      <c r="B17" s="21" t="s">
        <v>28</v>
      </c>
      <c r="C17" s="22" t="str">
        <f ca="1">IF(LEFT($C$15,6)="CAM_AD",$C$16,$C$15)</f>
        <v>Business Analytics/Khristian Gimena</v>
      </c>
      <c r="D17" s="25"/>
      <c r="E17" s="7"/>
      <c r="F17" s="9"/>
      <c r="G17" s="7"/>
      <c r="H17" s="7"/>
      <c r="I17" s="7"/>
      <c r="J17" s="9"/>
      <c r="K17" s="7"/>
      <c r="L17" s="9"/>
      <c r="M17" s="7"/>
      <c r="N17" s="16"/>
      <c r="O17" s="16"/>
      <c r="P17" s="16"/>
      <c r="Q17" s="16"/>
      <c r="R17" s="16"/>
      <c r="S17" s="16"/>
      <c r="T17" s="16"/>
      <c r="U17" s="16"/>
      <c r="V17" s="9"/>
      <c r="W17" s="7"/>
      <c r="X17" s="9"/>
      <c r="Y17" s="7"/>
      <c r="Z17" s="9"/>
      <c r="AA17" s="7"/>
    </row>
    <row r="18" spans="1:27" hidden="1" outlineLevel="1" x14ac:dyDescent="0.25">
      <c r="A18" s="7"/>
      <c r="B18" s="7"/>
      <c r="C18" s="7"/>
      <c r="D18" s="7"/>
      <c r="E18" s="7"/>
      <c r="F18" s="9"/>
      <c r="G18" s="7"/>
      <c r="H18" s="7"/>
      <c r="I18" s="7"/>
      <c r="J18" s="9"/>
      <c r="K18" s="7"/>
      <c r="L18" s="9"/>
      <c r="M18" s="7"/>
      <c r="N18" s="16"/>
      <c r="O18" s="16"/>
      <c r="P18" s="16"/>
      <c r="Q18" s="16"/>
      <c r="R18" s="16"/>
      <c r="S18" s="16"/>
      <c r="T18" s="16"/>
      <c r="U18" s="16"/>
      <c r="V18" s="9"/>
      <c r="W18" s="7"/>
      <c r="X18" s="9"/>
      <c r="Y18" s="7"/>
      <c r="Z18" s="9"/>
      <c r="AA18" s="7"/>
    </row>
    <row r="19" spans="1:27" hidden="1" outlineLevel="1" x14ac:dyDescent="0.25">
      <c r="A19" s="7"/>
      <c r="B19" s="74" t="s">
        <v>29</v>
      </c>
      <c r="C19" s="75"/>
      <c r="D19" s="76"/>
      <c r="E19" s="7"/>
      <c r="F19" s="9"/>
      <c r="G19" s="7"/>
      <c r="H19" s="7"/>
      <c r="I19" s="7"/>
      <c r="J19" s="9"/>
      <c r="K19" s="7"/>
      <c r="L19" s="9"/>
      <c r="M19" s="7"/>
      <c r="N19" s="16"/>
      <c r="O19" s="16"/>
      <c r="P19" s="16"/>
      <c r="Q19" s="16"/>
      <c r="R19" s="16"/>
      <c r="S19" s="16"/>
      <c r="T19" s="16"/>
      <c r="U19" s="16"/>
      <c r="V19" s="9"/>
      <c r="W19" s="7"/>
      <c r="X19" s="9"/>
      <c r="Y19" s="7"/>
      <c r="Z19" s="9"/>
      <c r="AA19" s="7"/>
    </row>
    <row r="20" spans="1:27" hidden="1" outlineLevel="1" x14ac:dyDescent="0.25">
      <c r="A20" s="7"/>
      <c r="B20" s="21" t="s">
        <v>30</v>
      </c>
      <c r="C20" s="25" t="str" cm="1">
        <f t="array" aca="1" ref="C20" ca="1">_xll.VIEW(db_name&amp;":}ElementAttributes_variables","!","!")</f>
        <v>dcceew_geus:}ElementAttributes_variables</v>
      </c>
      <c r="D20" s="25"/>
      <c r="E20" s="7"/>
      <c r="F20" s="9"/>
      <c r="G20" s="7"/>
      <c r="H20" s="7"/>
      <c r="I20" s="7"/>
      <c r="J20" s="9"/>
      <c r="K20" s="7"/>
      <c r="L20" s="9"/>
      <c r="M20" s="7"/>
      <c r="N20" s="16"/>
      <c r="O20" s="16"/>
      <c r="P20" s="16"/>
      <c r="Q20" s="16"/>
      <c r="R20" s="16"/>
      <c r="S20" s="16"/>
      <c r="T20" s="16"/>
      <c r="U20" s="16"/>
      <c r="V20" s="9"/>
      <c r="W20" s="7"/>
      <c r="X20" s="9"/>
      <c r="Y20" s="7"/>
      <c r="Z20" s="9"/>
      <c r="AA20" s="7"/>
    </row>
    <row r="21" spans="1:27" hidden="1" outlineLevel="1" x14ac:dyDescent="0.25">
      <c r="A21" s="7"/>
      <c r="B21" s="21" t="s">
        <v>0</v>
      </c>
      <c r="C21" s="25" t="str" cm="1">
        <f t="array" aca="1" ref="C21" ca="1">_xll.DBR($C$20,$B21,"value")</f>
        <v>HL2024-2025</v>
      </c>
      <c r="D21" s="25"/>
      <c r="E21" s="7"/>
      <c r="F21" s="9"/>
      <c r="G21" s="7"/>
      <c r="H21" s="7"/>
      <c r="I21" s="7"/>
      <c r="J21" s="9"/>
      <c r="K21" s="7"/>
      <c r="L21" s="9"/>
      <c r="M21" s="7"/>
      <c r="N21" s="16"/>
      <c r="O21" s="16"/>
      <c r="P21" s="16"/>
      <c r="Q21" s="16"/>
      <c r="R21" s="16"/>
      <c r="S21" s="16"/>
      <c r="T21" s="16"/>
      <c r="U21" s="16"/>
      <c r="V21" s="9"/>
      <c r="W21" s="7"/>
      <c r="X21" s="9"/>
      <c r="Y21" s="7"/>
      <c r="Z21" s="9"/>
      <c r="AA21" s="7"/>
    </row>
    <row r="22" spans="1:27" hidden="1" outlineLevel="1" x14ac:dyDescent="0.25">
      <c r="A22" s="7"/>
      <c r="B22" s="21" t="s">
        <v>31</v>
      </c>
      <c r="C22" s="25" t="str" cm="1">
        <f t="array" aca="1" ref="C22" ca="1">_xll.DBR($C$20,$B22,"value")</f>
        <v>current</v>
      </c>
      <c r="D22" s="25"/>
      <c r="E22" s="7"/>
      <c r="F22" s="9"/>
      <c r="G22" s="7"/>
      <c r="H22" s="7"/>
      <c r="I22" s="7"/>
      <c r="J22" s="9"/>
      <c r="K22" s="7"/>
      <c r="L22" s="9"/>
      <c r="M22" s="7"/>
      <c r="N22" s="16"/>
      <c r="O22" s="16"/>
      <c r="P22" s="16"/>
      <c r="Q22" s="16"/>
      <c r="R22" s="16"/>
      <c r="S22" s="16"/>
      <c r="T22" s="16"/>
      <c r="U22" s="16"/>
      <c r="V22" s="9"/>
      <c r="W22" s="7"/>
      <c r="X22" s="9"/>
      <c r="Y22" s="7"/>
      <c r="Z22" s="9"/>
      <c r="AA22" s="7"/>
    </row>
    <row r="23" spans="1:27" hidden="1" outlineLevel="1" x14ac:dyDescent="0.25">
      <c r="A23" s="7"/>
      <c r="B23" s="21" t="s">
        <v>32</v>
      </c>
      <c r="C23" s="25" t="str" cm="1">
        <f t="array" aca="1" ref="C23" ca="1">_xll.DBR($C$20,$B23,"value")</f>
        <v>HL2024-2025</v>
      </c>
      <c r="D23" s="25"/>
      <c r="E23" s="7"/>
      <c r="F23" s="9"/>
      <c r="G23" s="7"/>
      <c r="H23" s="7"/>
      <c r="I23" s="7"/>
      <c r="J23" s="9"/>
      <c r="K23" s="7"/>
      <c r="L23" s="9"/>
      <c r="M23" s="7"/>
      <c r="N23" s="16"/>
      <c r="O23" s="16"/>
      <c r="P23" s="16"/>
      <c r="Q23" s="16"/>
      <c r="R23" s="16"/>
      <c r="S23" s="16"/>
      <c r="T23" s="16"/>
      <c r="U23" s="16"/>
      <c r="V23" s="9"/>
      <c r="W23" s="7"/>
      <c r="X23" s="9"/>
      <c r="Y23" s="7"/>
      <c r="Z23" s="9"/>
      <c r="AA23" s="7"/>
    </row>
    <row r="24" spans="1:27" hidden="1" outlineLevel="1" x14ac:dyDescent="0.25">
      <c r="A24" s="7"/>
      <c r="B24" s="21" t="s">
        <v>33</v>
      </c>
      <c r="C24" s="25" t="str" cm="1">
        <f t="array" aca="1" ref="C24" ca="1">_xll.DBR($C$20,$B24,"value")</f>
        <v>Pre-ERC</v>
      </c>
      <c r="D24" s="25"/>
      <c r="E24" s="7"/>
      <c r="F24" s="9"/>
      <c r="G24" s="7"/>
      <c r="H24" s="7"/>
      <c r="I24" s="7"/>
      <c r="J24" s="9"/>
      <c r="K24" s="7"/>
      <c r="L24" s="9"/>
      <c r="M24" s="7"/>
      <c r="N24" s="16"/>
      <c r="O24" s="16"/>
      <c r="P24" s="16"/>
      <c r="Q24" s="16"/>
      <c r="R24" s="16"/>
      <c r="S24" s="16"/>
      <c r="T24" s="16"/>
      <c r="U24" s="16"/>
      <c r="V24" s="9"/>
      <c r="W24" s="7"/>
      <c r="X24" s="9"/>
      <c r="Y24" s="7"/>
      <c r="Z24" s="9"/>
      <c r="AA24" s="7"/>
    </row>
    <row r="25" spans="1:27" hidden="1" outlineLevel="1" x14ac:dyDescent="0.25">
      <c r="A25" s="7"/>
      <c r="B25" s="21" t="s">
        <v>34</v>
      </c>
      <c r="C25" s="25" t="str" cm="1">
        <f t="array" aca="1" ref="C25" ca="1">_xll.DBR($C$20,$B25,"value")</f>
        <v>Budget</v>
      </c>
      <c r="D25" s="25"/>
      <c r="E25" s="7"/>
      <c r="F25" s="9"/>
      <c r="G25" s="7"/>
      <c r="H25" s="7"/>
      <c r="I25" s="7"/>
      <c r="J25" s="9"/>
      <c r="K25" s="7"/>
      <c r="L25" s="9"/>
      <c r="M25" s="7"/>
      <c r="N25" s="16"/>
      <c r="O25" s="16"/>
      <c r="P25" s="16"/>
      <c r="Q25" s="16"/>
      <c r="R25" s="16"/>
      <c r="S25" s="16"/>
      <c r="T25" s="16"/>
      <c r="U25" s="16"/>
      <c r="V25" s="9"/>
      <c r="W25" s="7"/>
      <c r="X25" s="9"/>
      <c r="Y25" s="7"/>
      <c r="Z25" s="9"/>
      <c r="AA25" s="7"/>
    </row>
    <row r="26" spans="1:27" hidden="1" outlineLevel="1" x14ac:dyDescent="0.25">
      <c r="A26" s="7"/>
      <c r="B26" s="7"/>
      <c r="C26" s="7"/>
      <c r="D26" s="7"/>
      <c r="E26" s="7"/>
      <c r="F26" s="9"/>
      <c r="G26" s="7"/>
      <c r="H26" s="7"/>
      <c r="I26" s="7"/>
      <c r="J26" s="9"/>
      <c r="K26" s="7"/>
      <c r="L26" s="9"/>
      <c r="M26" s="7"/>
      <c r="N26" s="16"/>
      <c r="O26" s="16"/>
      <c r="P26" s="16"/>
      <c r="Q26" s="16"/>
      <c r="R26" s="16"/>
      <c r="S26" s="16"/>
      <c r="T26" s="16"/>
      <c r="U26" s="16"/>
      <c r="V26" s="9"/>
      <c r="W26" s="7"/>
      <c r="X26" s="9"/>
      <c r="Y26" s="7"/>
      <c r="Z26" s="9"/>
      <c r="AA26" s="7"/>
    </row>
    <row r="27" spans="1:27" hidden="1" outlineLevel="1" x14ac:dyDescent="0.25">
      <c r="A27" s="7"/>
      <c r="B27" s="74" t="s">
        <v>35</v>
      </c>
      <c r="C27" s="75"/>
      <c r="D27" s="76"/>
      <c r="E27" s="7"/>
      <c r="F27" s="9"/>
      <c r="G27" s="7"/>
      <c r="H27" s="7"/>
      <c r="I27" s="7"/>
      <c r="J27" s="9"/>
      <c r="K27" s="7"/>
      <c r="L27" s="9"/>
      <c r="M27" s="7"/>
      <c r="N27" s="16"/>
      <c r="O27" s="16"/>
      <c r="P27" s="16"/>
      <c r="Q27" s="16"/>
      <c r="R27" s="16"/>
      <c r="S27" s="16"/>
      <c r="T27" s="16"/>
      <c r="U27" s="16"/>
      <c r="V27" s="9"/>
      <c r="W27" s="7"/>
      <c r="X27" s="9"/>
      <c r="Y27" s="7"/>
      <c r="Z27" s="9"/>
      <c r="AA27" s="7"/>
    </row>
    <row r="28" spans="1:27" hidden="1" outlineLevel="1" x14ac:dyDescent="0.25">
      <c r="A28" s="7"/>
      <c r="B28" s="21" t="s">
        <v>36</v>
      </c>
      <c r="C28" s="25" t="str" cm="1">
        <f t="array" aca="1" ref="C28" ca="1">_xll.VIEW(db_name&amp;":sys_application","!","!")</f>
        <v>dcceew_geus:sys_application</v>
      </c>
      <c r="D28" s="25"/>
      <c r="E28" s="7"/>
      <c r="F28" s="9"/>
      <c r="G28" s="7"/>
      <c r="H28" s="7"/>
      <c r="I28" s="7"/>
      <c r="J28" s="9"/>
      <c r="K28" s="7"/>
      <c r="L28" s="9"/>
      <c r="M28" s="7"/>
      <c r="N28" s="16"/>
      <c r="O28" s="16"/>
      <c r="P28" s="16"/>
      <c r="Q28" s="16"/>
      <c r="R28" s="16"/>
      <c r="S28" s="16"/>
      <c r="T28" s="16"/>
      <c r="U28" s="16"/>
      <c r="V28" s="9"/>
      <c r="W28" s="7"/>
      <c r="X28" s="9"/>
      <c r="Y28" s="7"/>
      <c r="Z28" s="9"/>
      <c r="AA28" s="7"/>
    </row>
    <row r="29" spans="1:27" hidden="1" outlineLevel="1" x14ac:dyDescent="0.25">
      <c r="A29" s="7"/>
      <c r="B29" s="21" t="s">
        <v>37</v>
      </c>
      <c r="C29" s="25" t="s">
        <v>77</v>
      </c>
      <c r="D29" s="25"/>
      <c r="E29" s="7"/>
      <c r="F29" s="9"/>
      <c r="G29" s="7"/>
      <c r="H29" s="7"/>
      <c r="I29" s="7"/>
      <c r="J29" s="9"/>
      <c r="K29" s="7"/>
      <c r="L29" s="9"/>
      <c r="M29" s="7"/>
      <c r="N29" s="16"/>
      <c r="O29" s="16"/>
      <c r="P29" s="16"/>
      <c r="Q29" s="16"/>
      <c r="R29" s="16"/>
      <c r="S29" s="16"/>
      <c r="T29" s="16"/>
      <c r="U29" s="16"/>
      <c r="V29" s="9"/>
      <c r="W29" s="7"/>
      <c r="X29" s="9"/>
      <c r="Y29" s="7"/>
      <c r="Z29" s="9"/>
      <c r="AA29" s="7"/>
    </row>
    <row r="30" spans="1:27" hidden="1" outlineLevel="1" x14ac:dyDescent="0.25">
      <c r="A30" s="7"/>
      <c r="B30" s="25"/>
      <c r="C30" s="21" t="s">
        <v>38</v>
      </c>
      <c r="D30" s="21" t="s">
        <v>39</v>
      </c>
      <c r="E30" s="21" t="s">
        <v>40</v>
      </c>
      <c r="F30" s="26" t="s">
        <v>41</v>
      </c>
      <c r="G30" s="21" t="s">
        <v>42</v>
      </c>
      <c r="H30" s="21" t="s">
        <v>43</v>
      </c>
      <c r="I30" s="7"/>
      <c r="J30" s="9"/>
      <c r="K30" s="7"/>
      <c r="L30" s="9"/>
      <c r="M30" s="7"/>
      <c r="N30" s="16"/>
      <c r="O30" s="16"/>
      <c r="P30" s="16"/>
      <c r="Q30" s="16"/>
      <c r="R30" s="16"/>
      <c r="S30" s="16"/>
      <c r="T30" s="16"/>
      <c r="U30" s="16"/>
      <c r="V30" s="9"/>
      <c r="W30" s="7"/>
      <c r="X30" s="9"/>
      <c r="Y30" s="7"/>
      <c r="Z30" s="9"/>
      <c r="AA30" s="7"/>
    </row>
    <row r="31" spans="1:27" hidden="1" outlineLevel="1" x14ac:dyDescent="0.25">
      <c r="A31" s="7"/>
      <c r="B31" s="14" t="s">
        <v>44</v>
      </c>
      <c r="C31" s="14" t="str" cm="1">
        <f t="array" aca="1" ref="C31" ca="1">_xll.DBR($C$28,$B31,C$30)</f>
        <v>TM1HomeCAP</v>
      </c>
      <c r="D31" s="14" t="str" cm="1">
        <f t="array" aca="1" ref="D31" ca="1">_xll.DBR($C$28,$B31,D$30)</f>
        <v>Home</v>
      </c>
      <c r="E31" s="14" t="str" cm="1">
        <f t="array" aca="1" ref="E31" ca="1">_xll.DBR($C$28,$B31,E$30)</f>
        <v>TM1HomeWB</v>
      </c>
      <c r="F31" s="14" t="str" cm="1">
        <f t="array" aca="1" ref="F31" ca="1">_xll.DBR($C$28,$B31,F$30)</f>
        <v>PRIMUS\GEUS WEB\Homepage\sys_Home.xlsx</v>
      </c>
      <c r="G31" s="14" t="str" cm="1">
        <f t="array" aca="1" ref="G31" ca="1">_xll.DBR($C$28,$B31,G$30)</f>
        <v>TM1HomeWS</v>
      </c>
      <c r="H31" s="14" t="str" cm="1">
        <f t="array" aca="1" ref="H31" ca="1">_xll.DBR($C$28,$B31,H$30)</f>
        <v>home</v>
      </c>
      <c r="I31" s="7"/>
      <c r="J31" s="9"/>
      <c r="K31" s="7"/>
      <c r="L31" s="9"/>
      <c r="M31" s="7"/>
      <c r="N31" s="16"/>
      <c r="O31" s="16"/>
      <c r="P31" s="16"/>
      <c r="Q31" s="16"/>
      <c r="R31" s="16"/>
      <c r="S31" s="16"/>
      <c r="T31" s="16"/>
      <c r="U31" s="16"/>
      <c r="V31" s="9"/>
      <c r="W31" s="7"/>
      <c r="X31" s="9"/>
      <c r="Y31" s="7"/>
      <c r="Z31" s="9"/>
      <c r="AA31" s="7"/>
    </row>
    <row r="32" spans="1:27" hidden="1" outlineLevel="1" x14ac:dyDescent="0.25">
      <c r="A32" s="7"/>
      <c r="B32" s="14" t="s">
        <v>45</v>
      </c>
      <c r="C32" s="14" t="str" cm="1">
        <f t="array" aca="1" ref="C32" ca="1">_xll.DBR($C$28,$B32,C$30)</f>
        <v>TM1HomeAECAP</v>
      </c>
      <c r="D32" s="14" t="str" cm="1">
        <f t="array" aca="1" ref="D32" ca="1">_xll.DBR($C$28,$B32,D$30)</f>
        <v>Annual Estimates</v>
      </c>
      <c r="E32" s="14" t="str" cm="1">
        <f t="array" aca="1" ref="E32" ca="1">_xll.DBR($C$28,$B32,E$30)</f>
        <v>TM1HomeAEWB</v>
      </c>
      <c r="F32" s="14" t="str" cm="1">
        <f t="array" aca="1" ref="F32" ca="1">_xll.DBR($C$28,$B32,F$30)</f>
        <v>PRIMUS\GEUS WEB\Homepage\sys_Home - Annual Estimates - Data Entry.xlsx</v>
      </c>
      <c r="G32" s="14" t="str" cm="1">
        <f t="array" aca="1" ref="G32" ca="1">_xll.DBR($C$28,$B32,G$30)</f>
        <v>TM1HomeAEWS</v>
      </c>
      <c r="H32" s="14" t="str" cm="1">
        <f t="array" aca="1" ref="H32" ca="1">_xll.DBR($C$28,$B32,H$30)</f>
        <v>Menu</v>
      </c>
      <c r="I32" s="7"/>
      <c r="J32" s="9"/>
      <c r="K32" s="7"/>
      <c r="L32" s="9"/>
      <c r="M32" s="7"/>
      <c r="N32" s="16"/>
      <c r="O32" s="16"/>
      <c r="P32" s="16"/>
      <c r="Q32" s="16"/>
      <c r="R32" s="16"/>
      <c r="S32" s="16"/>
      <c r="T32" s="16"/>
      <c r="U32" s="16"/>
      <c r="V32" s="9"/>
      <c r="W32" s="7"/>
      <c r="X32" s="9"/>
      <c r="Y32" s="7"/>
      <c r="Z32" s="9"/>
      <c r="AA32" s="7"/>
    </row>
    <row r="33" spans="1:27" hidden="1" outlineLevel="1" x14ac:dyDescent="0.25">
      <c r="A33" s="7"/>
      <c r="B33" s="14" t="s">
        <v>46</v>
      </c>
      <c r="C33" s="14" t="str" cm="1">
        <f t="array" aca="1" ref="C33" ca="1">_xll.DBR($C$28,$B33,C$30)</f>
        <v>TM1HomeRepCAP</v>
      </c>
      <c r="D33" s="14" t="str" cm="1">
        <f t="array" aca="1" ref="D33" ca="1">_xll.DBR($C$28,$B33,D$30)</f>
        <v>Reports</v>
      </c>
      <c r="E33" s="14" t="str" cm="1">
        <f t="array" aca="1" ref="E33" ca="1">_xll.DBR($C$28,$B33,E$30)</f>
        <v>TM1HomeRepWB</v>
      </c>
      <c r="F33" s="14" t="str" cm="1">
        <f t="array" aca="1" ref="F33" ca="1">_xll.DBR($C$28,$B33,F$30)</f>
        <v>PRIMUS\GEUS WEB\Homepage\sys_Home - Reports - PFS.xlsx</v>
      </c>
      <c r="G33" s="14" t="str" cm="1">
        <f t="array" aca="1" ref="G33" ca="1">_xll.DBR($C$28,$B33,G$30)</f>
        <v>TM1HomeRepWS</v>
      </c>
      <c r="H33" s="14" t="str" cm="1">
        <f t="array" aca="1" ref="H33" ca="1">_xll.DBR($C$28,$B33,H$30)</f>
        <v>Menu</v>
      </c>
      <c r="I33" s="7"/>
      <c r="J33" s="9"/>
      <c r="K33" s="7"/>
      <c r="L33" s="9"/>
      <c r="M33" s="7"/>
      <c r="N33" s="16"/>
      <c r="O33" s="16"/>
      <c r="P33" s="16"/>
      <c r="Q33" s="16"/>
      <c r="R33" s="16"/>
      <c r="S33" s="16"/>
      <c r="T33" s="16"/>
      <c r="U33" s="16"/>
      <c r="V33" s="9"/>
      <c r="W33" s="7"/>
      <c r="X33" s="9"/>
      <c r="Y33" s="7"/>
      <c r="Z33" s="9"/>
      <c r="AA33" s="7"/>
    </row>
    <row r="34" spans="1:27" hidden="1" outlineLevel="1" x14ac:dyDescent="0.25">
      <c r="A34" s="7"/>
      <c r="B34" s="14" t="s">
        <v>74</v>
      </c>
      <c r="C34" s="14" t="str" cm="1">
        <f t="array" aca="1" ref="C34" ca="1">_xll.DBR($C$28,$B34,C$30)</f>
        <v>TM1HomeRepOtherCAP</v>
      </c>
      <c r="D34" s="14" t="str" cm="1">
        <f t="array" aca="1" ref="D34" ca="1">_xll.DBR($C$28,$B34,D$30)</f>
        <v>Other Reports Menu</v>
      </c>
      <c r="E34" s="14" t="str" cm="1">
        <f t="array" aca="1" ref="E34" ca="1">_xll.DBR($C$28,$B34,E$30)</f>
        <v>TM1HomeRepOtherWB</v>
      </c>
      <c r="F34" s="14" t="str" cm="1">
        <f t="array" aca="1" ref="F34" ca="1">_xll.DBR($C$28,$B34,F$30)</f>
        <v>PRIMUS\GEUS WEB\Homepage\sys_Home - Reports - Other.xlsx</v>
      </c>
      <c r="G34" s="14" t="str" cm="1">
        <f t="array" aca="1" ref="G34" ca="1">_xll.DBR($C$28,$B34,G$30)</f>
        <v>TM1HomeRepOtherWS</v>
      </c>
      <c r="H34" s="14" t="str" cm="1">
        <f t="array" aca="1" ref="H34" ca="1">_xll.DBR($C$28,$B34,H$30)</f>
        <v>Menu</v>
      </c>
      <c r="I34" s="7"/>
      <c r="J34" s="9"/>
      <c r="K34" s="7"/>
      <c r="L34" s="9"/>
      <c r="M34" s="7"/>
      <c r="N34" s="16"/>
      <c r="O34" s="16"/>
      <c r="P34" s="16"/>
      <c r="Q34" s="16"/>
      <c r="R34" s="16"/>
      <c r="S34" s="16"/>
      <c r="T34" s="16"/>
      <c r="U34" s="16"/>
      <c r="V34" s="9"/>
      <c r="W34" s="7"/>
      <c r="X34" s="9"/>
      <c r="Y34" s="7"/>
      <c r="Z34" s="9"/>
      <c r="AA34" s="7"/>
    </row>
    <row r="35" spans="1:27" hidden="1" outlineLevel="1" x14ac:dyDescent="0.25">
      <c r="A35" s="7"/>
      <c r="B35" s="14" t="s">
        <v>75</v>
      </c>
      <c r="C35" s="14" t="str" cm="1">
        <f t="array" aca="1" ref="C35" ca="1">_xll.DBR($C$28,$B35,C$30)</f>
        <v>TM1HomeRepAnalyticalCAP</v>
      </c>
      <c r="D35" s="14" t="str" cm="1">
        <f t="array" aca="1" ref="D35" ca="1">_xll.DBR($C$28,$B35,D$30)</f>
        <v>Analytical Reports Menu</v>
      </c>
      <c r="E35" s="14" t="str" cm="1">
        <f t="array" aca="1" ref="E35" ca="1">_xll.DBR($C$28,$B35,E$30)</f>
        <v>TM1HomeRepAnalyticalWB</v>
      </c>
      <c r="F35" s="14" t="str" cm="1">
        <f t="array" aca="1" ref="F35" ca="1">_xll.DBR($C$28,$B35,F$30)</f>
        <v>PRIMUS\GEUS WEB\Homepage\sys_Home - Reports - Analytical.xlsx</v>
      </c>
      <c r="G35" s="14" t="str" cm="1">
        <f t="array" aca="1" ref="G35" ca="1">_xll.DBR($C$28,$B35,G$30)</f>
        <v>TM1HomeRepAnalyticalWS</v>
      </c>
      <c r="H35" s="14" t="str" cm="1">
        <f t="array" aca="1" ref="H35" ca="1">_xll.DBR($C$28,$B35,H$30)</f>
        <v>Menu</v>
      </c>
      <c r="I35" s="7"/>
      <c r="J35" s="9"/>
      <c r="K35" s="7"/>
      <c r="L35" s="9"/>
      <c r="M35" s="7"/>
      <c r="N35" s="16"/>
      <c r="O35" s="16"/>
      <c r="P35" s="16"/>
      <c r="Q35" s="16"/>
      <c r="R35" s="16"/>
      <c r="S35" s="16"/>
      <c r="T35" s="16"/>
      <c r="U35" s="16"/>
      <c r="V35" s="9"/>
      <c r="W35" s="7"/>
      <c r="X35" s="9"/>
      <c r="Y35" s="7"/>
      <c r="Z35" s="9"/>
      <c r="AA35" s="7"/>
    </row>
    <row r="36" spans="1:27" hidden="1" outlineLevel="1" x14ac:dyDescent="0.25">
      <c r="A36" s="7"/>
      <c r="B36" s="25" t="s">
        <v>76</v>
      </c>
      <c r="C36" s="14" t="str" cm="1">
        <f t="array" aca="1" ref="C36" ca="1">_xll.DBR($C$28,$B36,C$30)</f>
        <v>TM1RptAEAppropQACAP</v>
      </c>
      <c r="D36" s="14" t="str" cm="1">
        <f t="array" aca="1" ref="D36" ca="1">_xll.DBR($C$28,$B36,D$30)</f>
        <v>Appropriation QA Report (AE.OR.11)</v>
      </c>
      <c r="E36" s="14" t="str" cm="1">
        <f t="array" aca="1" ref="E36" ca="1">_xll.DBR($C$28,$B36,E$30)</f>
        <v>TM1RptAEAppropQAWB</v>
      </c>
      <c r="F36" s="14" t="str" cm="1">
        <f t="array" aca="1" ref="F36" ca="1">_xll.DBR($C$28,$B36,F$30)</f>
        <v>PRIMUS\GEUS WEB\Reports\Primary Financial Statements\Reports - Appropriation QA Report.xlsx</v>
      </c>
      <c r="G36" s="14" t="str" cm="1">
        <f t="array" aca="1" ref="G36" ca="1">_xll.DBR($C$28,$B36,G$30)</f>
        <v>TM1RptAEAppropQAWS</v>
      </c>
      <c r="H36" s="14" t="str" cm="1">
        <f t="array" aca="1" ref="H36" ca="1">_xll.DBR($C$28,$B36,H$30)</f>
        <v>report</v>
      </c>
      <c r="I36" s="7"/>
      <c r="J36" s="9"/>
      <c r="K36" s="7"/>
      <c r="L36" s="9"/>
      <c r="M36" s="7"/>
      <c r="N36" s="16"/>
      <c r="O36" s="16"/>
      <c r="P36" s="16"/>
      <c r="Q36" s="16"/>
      <c r="R36" s="16"/>
      <c r="S36" s="16"/>
      <c r="T36" s="16"/>
      <c r="U36" s="16"/>
      <c r="V36" s="9"/>
      <c r="W36" s="7"/>
      <c r="X36" s="9"/>
      <c r="Y36" s="7"/>
      <c r="Z36" s="9"/>
      <c r="AA36" s="7"/>
    </row>
    <row r="37" spans="1:27" hidden="1" outlineLevel="1" x14ac:dyDescent="0.25">
      <c r="A37" s="7"/>
      <c r="B37" s="25" t="s">
        <v>77</v>
      </c>
      <c r="C37" s="14" t="str" cm="1">
        <f t="array" aca="1" ref="C37" ca="1">_xll.DBR($C$28,$B37,C$30)</f>
        <v>TM1RptAppropOCProgCAP</v>
      </c>
      <c r="D37" s="14" t="str" cm="1">
        <f t="array" aca="1" ref="D37" ca="1">_xll.DBR($C$28,$B37,D$30)</f>
        <v>Appropriation By Outcome Program Report (AE.OR.16)</v>
      </c>
      <c r="E37" s="14" t="str" cm="1">
        <f t="array" aca="1" ref="E37" ca="1">_xll.DBR($C$28,$B37,E$30)</f>
        <v>TM1RptAppropOCProgWB</v>
      </c>
      <c r="F37" s="14" t="str" cm="1">
        <f t="array" aca="1" ref="F37" ca="1">_xll.DBR($C$28,$B37,F$30)</f>
        <v>PRIMUS\GEUS WEB\Reports\Primary Financial Statements\Reports - Appropriation By Outcome Report.xlsx</v>
      </c>
      <c r="G37" s="14" t="str" cm="1">
        <f t="array" aca="1" ref="G37" ca="1">_xll.DBR($C$28,$B37,G$30)</f>
        <v>TM1RptAppropOCProgWS</v>
      </c>
      <c r="H37" s="14" t="str" cm="1">
        <f t="array" aca="1" ref="H37" ca="1">_xll.DBR($C$28,$B37,H$30)</f>
        <v>report</v>
      </c>
      <c r="I37" s="7"/>
      <c r="J37" s="9"/>
      <c r="K37" s="7"/>
      <c r="L37" s="9"/>
      <c r="M37" s="7"/>
      <c r="N37" s="16"/>
      <c r="O37" s="16"/>
      <c r="P37" s="16"/>
      <c r="Q37" s="16"/>
      <c r="R37" s="16"/>
      <c r="S37" s="16"/>
      <c r="T37" s="16"/>
      <c r="U37" s="16"/>
      <c r="V37" s="9"/>
      <c r="W37" s="7"/>
      <c r="X37" s="9"/>
      <c r="Y37" s="7"/>
      <c r="Z37" s="9"/>
      <c r="AA37" s="7"/>
    </row>
    <row r="38" spans="1:27" hidden="1" outlineLevel="1" x14ac:dyDescent="0.25">
      <c r="A38" s="7"/>
      <c r="B38" s="25"/>
      <c r="C38" s="25"/>
      <c r="D38" s="7"/>
      <c r="E38" s="7"/>
      <c r="F38" s="9"/>
      <c r="G38" s="7"/>
      <c r="H38" s="7"/>
      <c r="I38" s="7"/>
      <c r="J38" s="9"/>
      <c r="K38" s="7"/>
      <c r="L38" s="9"/>
      <c r="M38" s="7"/>
      <c r="N38" s="16"/>
      <c r="O38" s="16"/>
      <c r="P38" s="16"/>
      <c r="Q38" s="16"/>
      <c r="R38" s="16"/>
      <c r="S38" s="16"/>
      <c r="T38" s="16"/>
      <c r="U38" s="16"/>
      <c r="V38" s="9"/>
      <c r="W38" s="7"/>
      <c r="X38" s="9"/>
      <c r="Y38" s="7"/>
      <c r="Z38" s="9"/>
      <c r="AA38" s="7"/>
    </row>
    <row r="39" spans="1:27" hidden="1" outlineLevel="1" x14ac:dyDescent="0.25">
      <c r="A39" s="7"/>
      <c r="B39" s="27" t="s">
        <v>47</v>
      </c>
      <c r="C39" s="28" t="s">
        <v>48</v>
      </c>
      <c r="D39" s="7"/>
      <c r="E39" s="7"/>
      <c r="F39" s="9"/>
      <c r="G39" s="7"/>
      <c r="H39" s="7"/>
      <c r="I39" s="7"/>
      <c r="J39" s="9"/>
      <c r="K39" s="7"/>
      <c r="L39" s="9"/>
      <c r="M39" s="7"/>
      <c r="N39" s="16"/>
      <c r="O39" s="16"/>
      <c r="P39" s="16"/>
      <c r="Q39" s="16"/>
      <c r="R39" s="16"/>
      <c r="S39" s="16"/>
      <c r="T39" s="16"/>
      <c r="U39" s="16"/>
      <c r="V39" s="9"/>
      <c r="W39" s="7"/>
      <c r="X39" s="9"/>
      <c r="Y39" s="7"/>
      <c r="Z39" s="9"/>
      <c r="AA39" s="7"/>
    </row>
    <row r="40" spans="1:27" ht="15.75" hidden="1" outlineLevel="1" thickBot="1" x14ac:dyDescent="0.3">
      <c r="A40" s="7"/>
      <c r="B40" s="7"/>
      <c r="C40" s="29"/>
      <c r="D40" s="7"/>
      <c r="E40" s="7"/>
      <c r="F40" s="9"/>
      <c r="G40" s="7"/>
      <c r="H40" s="7"/>
      <c r="I40" s="7"/>
      <c r="J40" s="9"/>
      <c r="K40" s="7"/>
      <c r="L40" s="9"/>
      <c r="M40" s="7"/>
      <c r="N40" s="16"/>
      <c r="O40" s="16"/>
      <c r="P40" s="16"/>
      <c r="Q40" s="16"/>
      <c r="R40" s="16"/>
      <c r="S40" s="16"/>
      <c r="T40" s="16"/>
      <c r="U40" s="16"/>
      <c r="V40" s="9"/>
      <c r="W40" s="7"/>
      <c r="X40" s="9"/>
      <c r="Y40" s="7"/>
      <c r="Z40" s="9"/>
      <c r="AA40" s="7"/>
    </row>
    <row r="41" spans="1:27" hidden="1" outlineLevel="1" x14ac:dyDescent="0.25">
      <c r="A41" s="7"/>
      <c r="B41" s="72" t="s">
        <v>73</v>
      </c>
      <c r="C41" s="73"/>
      <c r="D41" s="7"/>
      <c r="E41" s="7"/>
      <c r="F41" s="9"/>
      <c r="G41" s="7"/>
      <c r="H41" s="7"/>
      <c r="I41" s="7"/>
      <c r="J41" s="9"/>
      <c r="K41" s="7"/>
      <c r="L41" s="9"/>
      <c r="M41" s="7"/>
      <c r="N41" s="16"/>
      <c r="O41" s="16"/>
      <c r="P41" s="16"/>
      <c r="Q41" s="16"/>
      <c r="R41" s="16"/>
      <c r="S41" s="16"/>
      <c r="T41" s="16"/>
      <c r="U41" s="16"/>
      <c r="V41" s="9"/>
      <c r="W41" s="7"/>
      <c r="X41" s="9"/>
      <c r="Y41" s="7"/>
      <c r="Z41" s="9"/>
      <c r="AA41" s="7"/>
    </row>
    <row r="42" spans="1:27" hidden="1" outlineLevel="1" x14ac:dyDescent="0.25">
      <c r="B42" s="30" t="s">
        <v>66</v>
      </c>
      <c r="C42" s="39" t="str" cm="1">
        <f t="array" aca="1" ref="C42" ca="1">_xll.TM1RPTVIEW(db_name&amp;":AE adjustments:3", 1, _xll.TM1RPTTITLE(db_name&amp;":headline year",$C$44), _xll.TM1RPTTITLE(db_name&amp;":scenario",$C$45), _xll.TM1RPTTITLE(db_name&amp;":status",$C$46), _xll.TM1RPTTITLE(db_name&amp;":related entity",$C$47), _xll.TM1RPTTITLE(db_name&amp;":function",$C$48), _xll.TM1RPTTITLE(db_name&amp;":reason",$C$49), _xll.TM1RPTTITLE(db_name&amp;":spp",$C$50), _xll.TM1RPTTITLE(db_name&amp;":measure code",$C$51), _xll.TM1RPTTITLE(db_name&amp;":id",$C$53), _xll.TM1RPTTITLE(db_name&amp;":jurisdiction",$C$52),TM1RPTFMTRNG,TM1RPTFMTIDCOL)</f>
        <v>dcceew_geus:AE adjustments:3</v>
      </c>
    </row>
    <row r="43" spans="1:27" hidden="1" outlineLevel="1" x14ac:dyDescent="0.25">
      <c r="B43" s="30" t="s">
        <v>67</v>
      </c>
      <c r="C43" s="39" t="str" cm="1">
        <f t="array" aca="1" ref="C43" ca="1">_xll.VIEW(db_name&amp;":programme details",$C$44,$C$45,"!","!")</f>
        <v>dcceew_geus:programme details</v>
      </c>
    </row>
    <row r="44" spans="1:27" hidden="1" outlineLevel="1" x14ac:dyDescent="0.25">
      <c r="B44" s="38" t="s">
        <v>0</v>
      </c>
      <c r="C44" s="39" t="str">
        <f ca="1">+K84</f>
        <v>HL2024-2025</v>
      </c>
    </row>
    <row r="45" spans="1:27" hidden="1" outlineLevel="1" x14ac:dyDescent="0.25">
      <c r="B45" s="38" t="s">
        <v>1</v>
      </c>
      <c r="C45" s="39" t="str">
        <f ca="1">+K85</f>
        <v>current</v>
      </c>
    </row>
    <row r="46" spans="1:27" hidden="1" outlineLevel="1" x14ac:dyDescent="0.25">
      <c r="B46" s="38" t="s">
        <v>2</v>
      </c>
      <c r="C46" s="39" t="str" cm="1">
        <f t="array" aca="1" ref="C46" ca="1">_xll.SUBNM(db_name&amp;":status","","Total approved")</f>
        <v>Total approved</v>
      </c>
    </row>
    <row r="47" spans="1:27" hidden="1" outlineLevel="1" x14ac:dyDescent="0.25">
      <c r="B47" s="38" t="s">
        <v>3</v>
      </c>
      <c r="C47" s="39" t="str" cm="1">
        <f t="array" aca="1" ref="C47" ca="1">_xll.SUBNM(db_name&amp;":related entity","","Total related entity")</f>
        <v>Total related entity</v>
      </c>
    </row>
    <row r="48" spans="1:27" hidden="1" outlineLevel="1" x14ac:dyDescent="0.25">
      <c r="B48" s="38" t="s">
        <v>4</v>
      </c>
      <c r="C48" s="39" t="str" cm="1">
        <f t="array" aca="1" ref="C48" ca="1">_xll.SUBNM(db_name&amp;":function","","Total functions")</f>
        <v>Total functions</v>
      </c>
    </row>
    <row r="49" spans="2:27" hidden="1" outlineLevel="1" x14ac:dyDescent="0.25">
      <c r="B49" s="38" t="s">
        <v>5</v>
      </c>
      <c r="C49" s="39" t="str" cm="1">
        <f t="array" aca="1" ref="C49" ca="1">_xll.SUBNM(db_name&amp;":reason","","Total reason","CBMS code and description")</f>
        <v>Total reason</v>
      </c>
    </row>
    <row r="50" spans="2:27" hidden="1" outlineLevel="1" x14ac:dyDescent="0.25">
      <c r="B50" s="38" t="s">
        <v>6</v>
      </c>
      <c r="C50" s="39" t="str" cm="1">
        <f t="array" aca="1" ref="C50" ca="1">_xll.SUBNM(db_name&amp;":spp","","Total SPP")</f>
        <v>Total SPP</v>
      </c>
    </row>
    <row r="51" spans="2:27" hidden="1" outlineLevel="1" x14ac:dyDescent="0.25">
      <c r="B51" s="38" t="s">
        <v>7</v>
      </c>
      <c r="C51" s="39" t="str" cm="1">
        <f t="array" aca="1" ref="C51" ca="1">_xll.SUBNM(db_name&amp;":measure code","","Total Measures","CBMS")</f>
        <v>Total Measures</v>
      </c>
    </row>
    <row r="52" spans="2:27" hidden="1" outlineLevel="1" x14ac:dyDescent="0.25">
      <c r="B52" s="38" t="s">
        <v>8</v>
      </c>
      <c r="C52" s="39" t="str" cm="1">
        <f t="array" aca="1" ref="C52" ca="1">_xll.SUBNM(db_name&amp;":jurisdiction","","Total jurisdictions")</f>
        <v>Total jurisdictions</v>
      </c>
    </row>
    <row r="53" spans="2:27" ht="15.75" hidden="1" outlineLevel="1" thickBot="1" x14ac:dyDescent="0.3">
      <c r="B53" s="46" t="s">
        <v>9</v>
      </c>
      <c r="C53" s="47" t="str" cm="1">
        <f t="array" aca="1" ref="C53" ca="1">_xll.SUBNM(db_name&amp;":id","BL Op Bal + ADJ + Closing Bal","Total IDs")</f>
        <v>Total IDs</v>
      </c>
    </row>
    <row r="54" spans="2:27" hidden="1" outlineLevel="1" x14ac:dyDescent="0.25">
      <c r="B54" s="48"/>
    </row>
    <row r="55" spans="2:27" ht="15.75" hidden="1" outlineLevel="1" thickBot="1" x14ac:dyDescent="0.3">
      <c r="B55" s="77" t="s">
        <v>65</v>
      </c>
      <c r="C55" s="78"/>
    </row>
    <row r="56" spans="2:27" hidden="1" outlineLevel="1" x14ac:dyDescent="0.25">
      <c r="B56" s="44" t="s">
        <v>15</v>
      </c>
      <c r="C56" s="45" t="str">
        <f ca="1">"{TM1FILTERBYLEVEL( {TM1DRILLDOWNMEMBER( {[outcome].[" &amp; $K$86 &amp; "]}, ALL, RECURSIVE )}, 0)}"</f>
        <v>{TM1FILTERBYLEVEL( {TM1DRILLDOWNMEMBER( {[outcome].[Total outcomes]}, ALL, RECURSIVE )}, 0)}</v>
      </c>
    </row>
    <row r="57" spans="2:27" s="7" customFormat="1" hidden="1" outlineLevel="1" x14ac:dyDescent="0.25">
      <c r="B57" s="30" t="s">
        <v>16</v>
      </c>
      <c r="C57" s="40" t="str">
        <f ca="1">IF($N$84="Yes",C59,C58)</f>
        <v>{TM1FILTERBYLEVEL( {TM1SUBSETALL( [programme].[Total Programmes] )}, 0)}</v>
      </c>
      <c r="L57" s="9"/>
      <c r="P57" s="11" t="s">
        <v>19</v>
      </c>
      <c r="S57" s="9"/>
      <c r="X57" s="9"/>
      <c r="AA57" s="10"/>
    </row>
    <row r="58" spans="2:27" s="7" customFormat="1" hidden="1" outlineLevel="1" x14ac:dyDescent="0.25">
      <c r="B58" s="30" t="s">
        <v>17</v>
      </c>
      <c r="C58" s="40" t="s">
        <v>72</v>
      </c>
      <c r="L58" s="9"/>
      <c r="P58" s="14" t="str">
        <f ca="1">RIGHT($C$48,9)</f>
        <v>functions</v>
      </c>
      <c r="S58" s="9"/>
      <c r="X58" s="9"/>
      <c r="AA58" s="10"/>
    </row>
    <row r="59" spans="2:27" s="7" customFormat="1" hidden="1" outlineLevel="1" x14ac:dyDescent="0.25">
      <c r="B59" s="30" t="s">
        <v>18</v>
      </c>
      <c r="C59" s="41" t="str">
        <f ca="1">"{TM1FILTERBYLEVEL( {TM1DRILLDOWNMEMBER( {[programme].[" &amp; O84 &amp; "]}, ALL, RECURSIVE )}, 0)}"</f>
        <v>{TM1FILTERBYLEVEL( {TM1DRILLDOWNMEMBER( {[programme].[Total Programmes]}, ALL, RECURSIVE )}, 0)}</v>
      </c>
      <c r="L59" s="9"/>
      <c r="P59" s="14" t="s">
        <v>78</v>
      </c>
      <c r="S59" s="9"/>
      <c r="X59" s="9"/>
      <c r="AA59" s="10"/>
    </row>
    <row r="60" spans="2:27" hidden="1" outlineLevel="1" x14ac:dyDescent="0.25">
      <c r="B60" s="38" t="s">
        <v>49</v>
      </c>
      <c r="C60" s="39" t="s">
        <v>50</v>
      </c>
    </row>
    <row r="61" spans="2:27" hidden="1" outlineLevel="1" x14ac:dyDescent="0.25">
      <c r="B61" s="38" t="s">
        <v>63</v>
      </c>
      <c r="C61" s="40" t="str">
        <f ca="1">IF(N85="Yes",C63,C62)</f>
        <v>{TM1FILTERBYLEVEL( {TM1SUBSETALL( [appropriation item] )}, 0)}</v>
      </c>
    </row>
    <row r="62" spans="2:27" hidden="1" outlineLevel="1" x14ac:dyDescent="0.25">
      <c r="B62" s="38"/>
      <c r="C62" s="39" t="s">
        <v>51</v>
      </c>
    </row>
    <row r="63" spans="2:27" hidden="1" outlineLevel="1" x14ac:dyDescent="0.25">
      <c r="B63" s="38"/>
      <c r="C63" s="41" t="str">
        <f ca="1">"{TM1FILTERBYLEVEL( {TM1DRILLDOWNMEMBER( {[appropriation item].[" &amp; $O$85 &amp; "]}, ALL, RECURSIVE )}, 0)}"</f>
        <v>{TM1FILTERBYLEVEL( {TM1DRILLDOWNMEMBER( {[appropriation item].[Total approp item]}, ALL, RECURSIVE )}, 0)}</v>
      </c>
    </row>
    <row r="64" spans="2:27" hidden="1" outlineLevel="1" x14ac:dyDescent="0.25">
      <c r="B64" s="30" t="s">
        <v>52</v>
      </c>
      <c r="C64" s="40" t="str">
        <f ca="1">IF($N$86="Yes",C67,C65)</f>
        <v>{{TM1FILTERBYLEVEL( {TM1DRILLDOWNMEMBER( {[account].[sys_account requiring approp]}, ALL, RECURSIVE )}, 0)},{[account].[4100001]}}</v>
      </c>
    </row>
    <row r="65" spans="1:27" hidden="1" outlineLevel="1" x14ac:dyDescent="0.25">
      <c r="B65" s="30" t="s">
        <v>53</v>
      </c>
      <c r="C65" s="41" t="str">
        <f>"{{TM1FILTERBYLEVEL( {TM1DRILLDOWNMEMBER( {[account].[" &amp; $C$66 &amp; "]}, ALL, RECURSIVE )}, 0)},{[account].[4100001]}}"</f>
        <v>{{TM1FILTERBYLEVEL( {TM1DRILLDOWNMEMBER( {[account].[sys_account requiring approp]}, ALL, RECURSIVE )}, 0)},{[account].[4100001]}}</v>
      </c>
    </row>
    <row r="66" spans="1:27" hidden="1" outlineLevel="1" x14ac:dyDescent="0.25">
      <c r="B66" s="30" t="s">
        <v>54</v>
      </c>
      <c r="C66" s="40" t="s">
        <v>10</v>
      </c>
    </row>
    <row r="67" spans="1:27" hidden="1" outlineLevel="1" x14ac:dyDescent="0.25">
      <c r="B67" s="30" t="s">
        <v>55</v>
      </c>
      <c r="C67" s="41" t="str">
        <f ca="1">"{TM1FILTERBYLEVEL( {TM1DRILLDOWNMEMBER( {[account].[" &amp; $O$86 &amp; "]}, ALL, RECURSIVE )}, 0)}"</f>
        <v>{TM1FILTERBYLEVEL( {TM1DRILLDOWNMEMBER( {[account].[1280004 - Price of Outputs - Agreed (Dept Only)]}, ALL, RECURSIVE )}, 0)}</v>
      </c>
    </row>
    <row r="68" spans="1:27" ht="15.75" hidden="1" outlineLevel="1" thickBot="1" x14ac:dyDescent="0.3">
      <c r="B68" s="42" t="s">
        <v>56</v>
      </c>
      <c r="C68" s="43" t="str">
        <f ca="1">IF($N$87="Yes",C70,C71)</f>
        <v>{[movement account].[-],[movement account].[7593],[movement account].[7597],[movement account].[7598],[movement account].[7599]}</v>
      </c>
    </row>
    <row r="69" spans="1:27" ht="15.75" hidden="1" outlineLevel="1" thickBot="1" x14ac:dyDescent="0.3">
      <c r="A69" s="7"/>
      <c r="B69" s="69" t="s">
        <v>94</v>
      </c>
      <c r="C69" s="43" t="s">
        <v>57</v>
      </c>
      <c r="D69" s="7"/>
      <c r="E69" s="7"/>
      <c r="F69" s="7"/>
      <c r="G69" s="7"/>
      <c r="H69" s="7"/>
      <c r="I69" s="7"/>
      <c r="J69" s="7"/>
      <c r="K69" s="7"/>
      <c r="L69" s="9"/>
      <c r="M69" s="7"/>
      <c r="P69" s="11" t="s">
        <v>19</v>
      </c>
      <c r="Q69" s="12"/>
      <c r="R69" s="13"/>
      <c r="S69" s="13"/>
      <c r="T69" s="13"/>
      <c r="U69" s="13"/>
    </row>
    <row r="70" spans="1:27" hidden="1" outlineLevel="1" x14ac:dyDescent="0.25">
      <c r="A70" s="7"/>
      <c r="B70" s="30" t="s">
        <v>95</v>
      </c>
      <c r="C70" s="41" t="str">
        <f ca="1">"{TM1FILTERBYLEVEL( {TM1DRILLDOWNMEMBER( {[movement account].[" &amp; $O$87 &amp; "]}, ALL, RECURSIVE )}, 0)}"</f>
        <v>{TM1FILTERBYLEVEL( {TM1DRILLDOWNMEMBER( {[movement account].[Total movement]}, ALL, RECURSIVE )}, 0)}</v>
      </c>
      <c r="D70" s="7"/>
      <c r="E70" s="7"/>
      <c r="F70" s="7"/>
      <c r="G70" s="7"/>
      <c r="H70" s="7"/>
      <c r="I70" s="7"/>
      <c r="J70" s="7"/>
      <c r="K70" s="7"/>
      <c r="L70" s="9"/>
      <c r="M70" s="7"/>
      <c r="P70" s="14" t="str">
        <f ca="1">RIGHT($K$84,9)</f>
        <v>2024-2025</v>
      </c>
      <c r="Q70" s="15" t="str" cm="1">
        <f t="array" aca="1" ref="Q70" ca="1">_xll.DIMNM(db_name&amp;":period",_xll.DIMIX(db_name&amp;":period",$P$70)+Q$71)</f>
        <v>2023-2024</v>
      </c>
      <c r="R70" s="15" t="str" cm="1">
        <f t="array" aca="1" ref="R70" ca="1">_xll.DIMNM(db_name&amp;":period",_xll.DIMIX(db_name&amp;":period",$P$70)+R$71)</f>
        <v>2024-2025</v>
      </c>
      <c r="S70" s="15" t="str" cm="1">
        <f t="array" aca="1" ref="S70" ca="1">_xll.DIMNM(db_name&amp;":period",_xll.DIMIX(db_name&amp;":period",$P$70)+S$71)</f>
        <v>2025-2026</v>
      </c>
      <c r="T70" s="15" t="str" cm="1">
        <f t="array" aca="1" ref="T70" ca="1">_xll.DIMNM(db_name&amp;":period",_xll.DIMIX(db_name&amp;":period",$P$70)+T$71)</f>
        <v>2026-2027</v>
      </c>
      <c r="U70" s="15" t="str" cm="1">
        <f t="array" aca="1" ref="U70" ca="1">_xll.DIMNM(db_name&amp;":period",_xll.DIMIX(db_name&amp;":period",$P$70)+U$71)</f>
        <v>2027-2028</v>
      </c>
    </row>
    <row r="71" spans="1:27" hidden="1" outlineLevel="1" x14ac:dyDescent="0.25">
      <c r="A71" s="7"/>
      <c r="B71" s="7" t="s">
        <v>96</v>
      </c>
      <c r="C71" s="8" t="s">
        <v>97</v>
      </c>
      <c r="D71" s="7"/>
      <c r="E71" s="7"/>
      <c r="F71" s="7"/>
      <c r="G71" s="7"/>
      <c r="H71" s="7"/>
      <c r="I71" s="7"/>
      <c r="J71" s="7"/>
      <c r="K71" s="7"/>
      <c r="L71" s="9"/>
      <c r="M71" s="7"/>
      <c r="P71" s="14" t="str">
        <f ca="1">$K$85</f>
        <v>current</v>
      </c>
      <c r="Q71" s="15">
        <v>-1</v>
      </c>
      <c r="R71" s="15">
        <v>0</v>
      </c>
      <c r="S71" s="15">
        <v>1</v>
      </c>
      <c r="T71" s="15">
        <v>2</v>
      </c>
      <c r="U71" s="15">
        <v>3</v>
      </c>
    </row>
    <row r="72" spans="1:27" hidden="1" outlineLevel="1" x14ac:dyDescent="0.25">
      <c r="A72" s="7"/>
      <c r="B72" s="7"/>
      <c r="C72" s="8"/>
      <c r="D72" s="7"/>
      <c r="E72" s="7"/>
      <c r="F72" s="7"/>
      <c r="G72" s="9"/>
      <c r="H72" s="7"/>
      <c r="I72" s="7"/>
      <c r="J72" s="7"/>
      <c r="K72" s="9"/>
      <c r="L72" s="9"/>
      <c r="M72" s="7"/>
      <c r="N72" s="7"/>
      <c r="V72" s="16"/>
      <c r="W72" s="9"/>
      <c r="X72" s="7"/>
      <c r="Y72" s="9"/>
      <c r="Z72" s="7"/>
      <c r="AA72" s="9"/>
    </row>
    <row r="73" spans="1:27" hidden="1" outlineLevel="1" x14ac:dyDescent="0.25">
      <c r="A73" s="7"/>
      <c r="B73" s="7"/>
      <c r="C73" s="8"/>
      <c r="D73" s="7"/>
      <c r="E73" s="7"/>
      <c r="F73" s="7"/>
      <c r="G73" s="9"/>
      <c r="H73" s="7"/>
      <c r="I73" s="7"/>
      <c r="J73" s="7"/>
      <c r="K73" s="9"/>
      <c r="L73" s="9"/>
      <c r="M73" s="7"/>
      <c r="N73" s="7"/>
      <c r="O73" s="16"/>
      <c r="P73" s="16"/>
      <c r="Q73" s="16"/>
      <c r="R73" s="16"/>
      <c r="S73" s="16"/>
      <c r="T73" s="16"/>
      <c r="U73" s="16"/>
      <c r="V73" s="16"/>
      <c r="W73" s="9"/>
      <c r="X73" s="7"/>
      <c r="Y73" s="9"/>
      <c r="Z73" s="7"/>
      <c r="AA73" s="9"/>
    </row>
    <row r="74" spans="1:27" hidden="1" outlineLevel="1" x14ac:dyDescent="0.25">
      <c r="A74" s="7"/>
      <c r="B74" s="7"/>
      <c r="C74" s="8"/>
      <c r="D74" s="7"/>
      <c r="E74" s="7"/>
      <c r="F74" s="7"/>
      <c r="G74" s="9"/>
      <c r="H74" s="7"/>
      <c r="I74" s="7"/>
      <c r="J74" s="7"/>
      <c r="K74" s="9"/>
      <c r="L74" s="9"/>
      <c r="M74" s="7"/>
      <c r="N74" s="7"/>
      <c r="O74" s="16"/>
      <c r="P74" s="16"/>
      <c r="Q74" s="16"/>
      <c r="R74" s="16"/>
      <c r="S74" s="16"/>
      <c r="T74" s="16"/>
      <c r="U74" s="16"/>
      <c r="V74" s="16"/>
      <c r="W74" s="9"/>
      <c r="X74" s="7"/>
      <c r="Y74" s="9"/>
      <c r="Z74" s="7"/>
      <c r="AA74" s="9"/>
    </row>
    <row r="75" spans="1:27" hidden="1" outlineLevel="1" x14ac:dyDescent="0.25">
      <c r="C75" s="8"/>
      <c r="D75" s="7"/>
    </row>
    <row r="76" spans="1:27" s="7" customFormat="1" ht="39.950000000000003" customHeight="1" collapsed="1" x14ac:dyDescent="0.25">
      <c r="I76" s="17"/>
      <c r="J76" s="17"/>
      <c r="K76" s="17"/>
      <c r="L76" s="19"/>
      <c r="M76" s="19"/>
      <c r="N76" s="17"/>
      <c r="O76" s="18"/>
      <c r="P76" s="18"/>
      <c r="Q76" s="17"/>
      <c r="R76" s="19"/>
      <c r="S76" s="17"/>
      <c r="T76" s="17"/>
      <c r="U76" s="18" t="s">
        <v>92</v>
      </c>
    </row>
    <row r="77" spans="1:27" ht="4.5" customHeight="1" x14ac:dyDescent="0.25">
      <c r="M77" s="31"/>
      <c r="S77"/>
    </row>
    <row r="78" spans="1:27" ht="24" customHeight="1" x14ac:dyDescent="0.25">
      <c r="M78" s="31"/>
      <c r="S78"/>
    </row>
    <row r="79" spans="1:27" ht="1.5" customHeight="1" x14ac:dyDescent="0.25"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</row>
    <row r="80" spans="1:27" ht="4.5" customHeight="1" x14ac:dyDescent="0.25">
      <c r="M80" s="31"/>
      <c r="S80"/>
    </row>
    <row r="81" spans="1:21" x14ac:dyDescent="0.25">
      <c r="J81" s="59" t="s">
        <v>81</v>
      </c>
      <c r="M81" s="31"/>
      <c r="S81"/>
    </row>
    <row r="82" spans="1:21" ht="4.5" customHeight="1" x14ac:dyDescent="0.25">
      <c r="S82"/>
    </row>
    <row r="83" spans="1:21" s="20" customFormat="1" ht="15.75" customHeight="1" thickBot="1" x14ac:dyDescent="0.3">
      <c r="J83"/>
      <c r="K83" s="61" t="s">
        <v>82</v>
      </c>
      <c r="M83" s="63" t="s">
        <v>90</v>
      </c>
      <c r="N83" s="63" t="s">
        <v>88</v>
      </c>
      <c r="O83" s="63" t="s">
        <v>89</v>
      </c>
      <c r="R83"/>
      <c r="S83"/>
      <c r="T83"/>
      <c r="U83"/>
    </row>
    <row r="84" spans="1:21" ht="14.45" customHeight="1" x14ac:dyDescent="0.25">
      <c r="J84" s="60" t="s">
        <v>83</v>
      </c>
      <c r="K84" s="62" t="str" cm="1">
        <f t="array" aca="1" ref="K84" ca="1">_xll.SUBNM(db_name&amp;":headline year","",$C$21)</f>
        <v>HL2024-2025</v>
      </c>
      <c r="L84"/>
      <c r="M84" s="60" t="s">
        <v>85</v>
      </c>
      <c r="N84" s="64" t="str" cm="1">
        <f t="array" aca="1" ref="N84" ca="1">_xll.SUBNM(db_name&amp;":sys_YesNo","","No")</f>
        <v>No</v>
      </c>
      <c r="O84" s="49" t="str" cm="1">
        <f t="array" aca="1" ref="O84" ca="1">_xll.SUBNM(db_name&amp;":programme","","Total Programmes","code and description")</f>
        <v>Total Programmes</v>
      </c>
      <c r="S84"/>
    </row>
    <row r="85" spans="1:21" ht="14.45" customHeight="1" x14ac:dyDescent="0.25">
      <c r="J85" s="60" t="s">
        <v>84</v>
      </c>
      <c r="K85" s="62" t="str" cm="1">
        <f t="array" aca="1" ref="K85" ca="1">_xll.SUBNM(db_name&amp;":scenario","sys_BudgetRound",$C$22)</f>
        <v>current</v>
      </c>
      <c r="L85"/>
      <c r="M85" s="60" t="s">
        <v>86</v>
      </c>
      <c r="N85" s="64" t="str" cm="1">
        <f t="array" aca="1" ref="N85" ca="1">_xll.SUBNM(db_name&amp;":sys_YesNo","","No")</f>
        <v>No</v>
      </c>
      <c r="O85" s="50" t="str" cm="1">
        <f t="array" aca="1" ref="O85" ca="1">_xll.SUBNM(db_name&amp;":appropriation item","","Total approp item","code and description")</f>
        <v>Total approp item</v>
      </c>
      <c r="S85"/>
    </row>
    <row r="86" spans="1:21" ht="14.45" customHeight="1" thickBot="1" x14ac:dyDescent="0.3">
      <c r="J86" s="60" t="s">
        <v>62</v>
      </c>
      <c r="K86" s="66" t="str" cm="1">
        <f t="array" aca="1" ref="K86" ca="1">_xll.SUBNM(db_name&amp;":outcome","","Total outcomes","code and description")</f>
        <v>Total outcomes</v>
      </c>
      <c r="L86"/>
      <c r="M86" s="60" t="s">
        <v>87</v>
      </c>
      <c r="N86" s="64" t="str" cm="1">
        <f t="array" aca="1" ref="N86" ca="1">_xll.SUBNM(db_name&amp;":sys_YesNo","","No")</f>
        <v>No</v>
      </c>
      <c r="O86" s="70" t="str" cm="1">
        <f t="array" aca="1" ref="O86" ca="1">_xll.SUBNM(db_name&amp;":account","","1280004","code and description")</f>
        <v>1280004 - Price of Outputs - Agreed (Dept Only)</v>
      </c>
      <c r="S86" s="65" t="s">
        <v>91</v>
      </c>
      <c r="T86" s="71">
        <f ca="1">NOW()</f>
        <v>45469.278047106483</v>
      </c>
      <c r="U86" s="71"/>
    </row>
    <row r="87" spans="1:21" ht="14.45" customHeight="1" thickBot="1" x14ac:dyDescent="0.3">
      <c r="J87" s="60"/>
      <c r="K87" s="68"/>
      <c r="L87"/>
      <c r="M87" s="60" t="s">
        <v>93</v>
      </c>
      <c r="N87" s="64" t="str" cm="1">
        <f t="array" aca="1" ref="N87" ca="1">_xll.SUBNM(db_name&amp;":sys_YesNo","","No")</f>
        <v>No</v>
      </c>
      <c r="O87" s="51" t="str" cm="1">
        <f t="array" aca="1" ref="O87" ca="1">_xll.SUBNM(db_name&amp;":movement account","","Total Movement","code and description")</f>
        <v>Total movement</v>
      </c>
      <c r="S87" s="65"/>
      <c r="T87" s="67"/>
      <c r="U87" s="67"/>
    </row>
    <row r="88" spans="1:21" ht="4.5" customHeight="1" thickBot="1" x14ac:dyDescent="0.3">
      <c r="M88" s="31"/>
      <c r="S88"/>
    </row>
    <row r="89" spans="1:21" s="10" customFormat="1" ht="45" x14ac:dyDescent="0.25">
      <c r="C89" s="10" t="s">
        <v>20</v>
      </c>
      <c r="D89" s="10" t="s">
        <v>61</v>
      </c>
      <c r="E89" s="10" t="s">
        <v>58</v>
      </c>
      <c r="F89" s="10" t="s">
        <v>60</v>
      </c>
      <c r="G89" s="10" t="s">
        <v>21</v>
      </c>
      <c r="H89" s="10" t="s">
        <v>59</v>
      </c>
      <c r="J89" s="32" t="s">
        <v>20</v>
      </c>
      <c r="K89" s="32" t="str">
        <f t="shared" ref="K89:K90" si="0">+D89</f>
        <v>Program</v>
      </c>
      <c r="L89" s="32" t="s">
        <v>64</v>
      </c>
      <c r="M89" s="32" t="s">
        <v>71</v>
      </c>
      <c r="N89" s="32" t="s">
        <v>80</v>
      </c>
      <c r="O89" s="32" t="s">
        <v>21</v>
      </c>
      <c r="P89" s="32" t="s">
        <v>79</v>
      </c>
      <c r="Q89" s="58" t="str">
        <f ca="1">Q$70</f>
        <v>2023-2024</v>
      </c>
      <c r="R89" s="58" t="str">
        <f t="shared" ref="R89:U89" ca="1" si="1">R$70</f>
        <v>2024-2025</v>
      </c>
      <c r="S89" s="58" t="str">
        <f t="shared" ca="1" si="1"/>
        <v>2025-2026</v>
      </c>
      <c r="T89" s="58" t="str">
        <f t="shared" ca="1" si="1"/>
        <v>2026-2027</v>
      </c>
      <c r="U89" s="58" t="str">
        <f t="shared" ca="1" si="1"/>
        <v>2027-2028</v>
      </c>
    </row>
    <row r="90" spans="1:21" s="10" customFormat="1" ht="43.15" customHeight="1" x14ac:dyDescent="0.25">
      <c r="A90" s="7" t="str" cm="1">
        <f t="array" aca="1" ref="A90" ca="1">IF(_xll.TM1RPTELISCONSOLIDATED($H$90,$H90),IF(_xll.TM1RPTELLEV($H$90,$H90)&lt;=3,_xll.TM1RPTELLEV($H$90,$H90),"D"),"N")</f>
        <v>N</v>
      </c>
      <c r="B90" s="33"/>
      <c r="C90" s="36" t="str" cm="1">
        <f t="array" aca="1" ref="C90" ca="1">_xll.TM1RPTROW($C$42,db_name&amp;":outcome","",,"code and description",0,$C$56)</f>
        <v/>
      </c>
      <c r="D90" s="36" t="str" cm="1">
        <f t="array" aca="1" ref="D90" ca="1">_xll.TM1RPTROW($C$42,db_name&amp;":programme",,,"Code and description",,$C$59)</f>
        <v/>
      </c>
      <c r="E90" s="36" t="str" cm="1">
        <f t="array" aca="1" ref="E90" ca="1">_xll.TM1RPTROW($C$42,db_name&amp;":appropriation type","",,"code",0,C60)</f>
        <v/>
      </c>
      <c r="F90" s="36" t="str" cm="1">
        <f t="array" aca="1" ref="F90" ca="1">_xll.TM1RPTROW($C$42,db_name&amp;":appropriation item","",,"code and description",0,$C$61)</f>
        <v/>
      </c>
      <c r="G90" s="36" t="str" cm="1">
        <f t="array" aca="1" ref="G90" ca="1">_xll.TM1RPTROW($C$42,db_name&amp;":account","",,"code and description",0,C64)</f>
        <v/>
      </c>
      <c r="H90" s="35" t="str" cm="1">
        <f t="array" aca="1" ref="H90" ca="1">_xll.TM1RPTROW($C$42,db_name&amp;":movement account",,,"code and description",,C68)</f>
        <v/>
      </c>
      <c r="I90" s="34"/>
      <c r="J90" s="54" t="str">
        <f t="shared" ref="J90" ca="1" si="2">+C90</f>
        <v/>
      </c>
      <c r="K90" s="54" t="str">
        <f t="shared" ca="1" si="0"/>
        <v/>
      </c>
      <c r="L90" s="55" t="str" cm="1">
        <f t="array" aca="1" ref="L90" ca="1">_xll.DBRW($C$43,$C$44,$C$45,$D90,$L$89)</f>
        <v/>
      </c>
      <c r="M90" s="55" t="str">
        <f ca="1">+E90</f>
        <v/>
      </c>
      <c r="N90" s="54" t="str">
        <f t="shared" ref="N90:P90" ca="1" si="3">+F90</f>
        <v/>
      </c>
      <c r="O90" s="54" t="str">
        <f t="shared" ca="1" si="3"/>
        <v/>
      </c>
      <c r="P90" s="54" t="str">
        <f t="shared" ca="1" si="3"/>
        <v/>
      </c>
      <c r="Q90" s="57" t="str" cm="1">
        <f t="array" aca="1" ref="Q90" ca="1">_xll.DBRW($C$42,$C$44,$C$45,$C$46,$C90,$C$47,$C$48,$C$49,$C$50,$C$51,$E90,$H90,$F90,$D90,$G90,$C$53,$C$52,Q$70)</f>
        <v/>
      </c>
      <c r="R90" s="57" t="str" cm="1">
        <f t="array" aca="1" ref="R90" ca="1">_xll.DBRW($C$42,$C$44,$C$45,$C$46,$C90,$C$47,$C$48,$C$49,$C$50,$C$51,$E90,$H90,$F90,$D90,$G90,$C$53,$C$52,R$70)</f>
        <v/>
      </c>
      <c r="S90" s="57" t="str" cm="1">
        <f t="array" aca="1" ref="S90" ca="1">_xll.DBRW($C$42,$C$44,$C$45,$C$46,$C90,$C$47,$C$48,$C$49,$C$50,$C$51,$E90,$H90,$F90,$D90,$G90,$C$53,$C$52,S$70)</f>
        <v/>
      </c>
      <c r="T90" s="57" t="str" cm="1">
        <f t="array" aca="1" ref="T90" ca="1">_xll.DBRW($C$42,$C$44,$C$45,$C$46,$C90,$C$47,$C$48,$C$49,$C$50,$C$51,$E90,$H90,$F90,$D90,$G90,$C$53,$C$52,T$70)</f>
        <v/>
      </c>
      <c r="U90" s="57" t="str" cm="1">
        <f t="array" aca="1" ref="U90" ca="1">_xll.DBRW($C$42,$C$44,$C$45,$C$46,$C90,$C$47,$C$48,$C$49,$C$50,$C$51,$E90,$H90,$F90,$D90,$G90,$C$53,$C$52,U$70)</f>
        <v/>
      </c>
    </row>
    <row r="91" spans="1:21" ht="4.5" customHeight="1" x14ac:dyDescent="0.25">
      <c r="S91"/>
      <c r="T91" s="31"/>
    </row>
    <row r="92" spans="1:21" x14ac:dyDescent="0.25">
      <c r="S92" s="65" t="s">
        <v>91</v>
      </c>
      <c r="T92" s="71">
        <f ca="1">NOW()</f>
        <v>45469.278047106483</v>
      </c>
      <c r="U92" s="71"/>
    </row>
    <row r="93" spans="1:21" x14ac:dyDescent="0.25">
      <c r="S93"/>
      <c r="T93" s="31"/>
    </row>
    <row r="94" spans="1:21" x14ac:dyDescent="0.25">
      <c r="S94"/>
      <c r="T94" s="31"/>
    </row>
    <row r="95" spans="1:21" x14ac:dyDescent="0.25">
      <c r="S95"/>
      <c r="T95" s="31"/>
    </row>
    <row r="96" spans="1:21" x14ac:dyDescent="0.25">
      <c r="S96"/>
      <c r="T96" s="31"/>
    </row>
    <row r="97" spans="19:20" x14ac:dyDescent="0.25">
      <c r="S97"/>
      <c r="T97" s="31"/>
    </row>
  </sheetData>
  <sheetProtection sheet="1" objects="1" scenarios="1"/>
  <mergeCells count="7">
    <mergeCell ref="T86:U86"/>
    <mergeCell ref="T92:U92"/>
    <mergeCell ref="B41:C41"/>
    <mergeCell ref="B11:D11"/>
    <mergeCell ref="B19:D19"/>
    <mergeCell ref="B27:D27"/>
    <mergeCell ref="B55:C55"/>
  </mergeCells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1" r:id="rId4" name="TIButton6">
          <controlPr defaultSize="0" print="0" autoLine="0" r:id="rId5">
            <anchor moveWithCells="1" sizeWithCells="1">
              <from>
                <xdr:col>20</xdr:col>
                <xdr:colOff>533400</xdr:colOff>
                <xdr:row>76</xdr:row>
                <xdr:rowOff>38100</xdr:rowOff>
              </from>
              <to>
                <xdr:col>21</xdr:col>
                <xdr:colOff>0</xdr:colOff>
                <xdr:row>77</xdr:row>
                <xdr:rowOff>295275</xdr:rowOff>
              </to>
            </anchor>
          </controlPr>
        </control>
      </mc:Choice>
      <mc:Fallback>
        <control shapeId="1031" r:id="rId4" name="TIButton6"/>
      </mc:Fallback>
    </mc:AlternateContent>
    <mc:AlternateContent xmlns:mc="http://schemas.openxmlformats.org/markup-compatibility/2006">
      <mc:Choice Requires="x14">
        <control shapeId="1030" r:id="rId6" name="TIButton5">
          <controlPr defaultSize="0" print="0" autoLine="0" r:id="rId7">
            <anchor moveWithCells="1" sizeWithCells="1">
              <from>
                <xdr:col>10</xdr:col>
                <xdr:colOff>333375</xdr:colOff>
                <xdr:row>77</xdr:row>
                <xdr:rowOff>9525</xdr:rowOff>
              </from>
              <to>
                <xdr:col>10</xdr:col>
                <xdr:colOff>1885950</xdr:colOff>
                <xdr:row>77</xdr:row>
                <xdr:rowOff>257175</xdr:rowOff>
              </to>
            </anchor>
          </controlPr>
        </control>
      </mc:Choice>
      <mc:Fallback>
        <control shapeId="1030" r:id="rId6" name="TIButton5"/>
      </mc:Fallback>
    </mc:AlternateContent>
    <mc:AlternateContent xmlns:mc="http://schemas.openxmlformats.org/markup-compatibility/2006">
      <mc:Choice Requires="x14">
        <control shapeId="1029" r:id="rId8" name="TIButton4">
          <controlPr defaultSize="0" print="0" autoLine="0" r:id="rId9">
            <anchor moveWithCells="1" sizeWithCells="1">
              <from>
                <xdr:col>9</xdr:col>
                <xdr:colOff>1666875</xdr:colOff>
                <xdr:row>77</xdr:row>
                <xdr:rowOff>9525</xdr:rowOff>
              </from>
              <to>
                <xdr:col>10</xdr:col>
                <xdr:colOff>304800</xdr:colOff>
                <xdr:row>77</xdr:row>
                <xdr:rowOff>257175</xdr:rowOff>
              </to>
            </anchor>
          </controlPr>
        </control>
      </mc:Choice>
      <mc:Fallback>
        <control shapeId="1029" r:id="rId8" name="TIButton4"/>
      </mc:Fallback>
    </mc:AlternateContent>
    <mc:AlternateContent xmlns:mc="http://schemas.openxmlformats.org/markup-compatibility/2006">
      <mc:Choice Requires="x14">
        <control shapeId="1028" r:id="rId10" name="TIButton1">
          <controlPr defaultSize="0" print="0" autoLine="0" r:id="rId11">
            <anchor moveWithCells="1" sizeWithCells="1">
              <from>
                <xdr:col>9</xdr:col>
                <xdr:colOff>695325</xdr:colOff>
                <xdr:row>77</xdr:row>
                <xdr:rowOff>9525</xdr:rowOff>
              </from>
              <to>
                <xdr:col>9</xdr:col>
                <xdr:colOff>1638300</xdr:colOff>
                <xdr:row>77</xdr:row>
                <xdr:rowOff>257175</xdr:rowOff>
              </to>
            </anchor>
          </controlPr>
        </control>
      </mc:Choice>
      <mc:Fallback>
        <control shapeId="1028" r:id="rId10" name="TIButton1"/>
      </mc:Fallback>
    </mc:AlternateContent>
    <mc:AlternateContent xmlns:mc="http://schemas.openxmlformats.org/markup-compatibility/2006">
      <mc:Choice Requires="x14">
        <control shapeId="1027" r:id="rId12" name="TIButton3">
          <controlPr defaultSize="0" print="0" autoLine="0" r:id="rId13">
            <anchor moveWithCells="1" sizeWithCells="1">
              <from>
                <xdr:col>10</xdr:col>
                <xdr:colOff>1914525</xdr:colOff>
                <xdr:row>77</xdr:row>
                <xdr:rowOff>9525</xdr:rowOff>
              </from>
              <to>
                <xdr:col>10</xdr:col>
                <xdr:colOff>2695575</xdr:colOff>
                <xdr:row>77</xdr:row>
                <xdr:rowOff>257175</xdr:rowOff>
              </to>
            </anchor>
          </controlPr>
        </control>
      </mc:Choice>
      <mc:Fallback>
        <control shapeId="1027" r:id="rId12" name="TIButton3"/>
      </mc:Fallback>
    </mc:AlternateContent>
    <mc:AlternateContent xmlns:mc="http://schemas.openxmlformats.org/markup-compatibility/2006">
      <mc:Choice Requires="x14">
        <control shapeId="1026" r:id="rId14" name="TIButton2">
          <controlPr defaultSize="0" print="0" autoLine="0" r:id="rId15">
            <anchor moveWithCells="1" sizeWithCells="1">
              <from>
                <xdr:col>9</xdr:col>
                <xdr:colOff>19050</xdr:colOff>
                <xdr:row>77</xdr:row>
                <xdr:rowOff>9525</xdr:rowOff>
              </from>
              <to>
                <xdr:col>9</xdr:col>
                <xdr:colOff>657225</xdr:colOff>
                <xdr:row>77</xdr:row>
                <xdr:rowOff>257175</xdr:rowOff>
              </to>
            </anchor>
          </controlPr>
        </control>
      </mc:Choice>
      <mc:Fallback>
        <control shapeId="1026" r:id="rId14" name="TIButton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3"/>
  <sheetViews>
    <sheetView workbookViewId="0"/>
  </sheetViews>
  <sheetFormatPr defaultRowHeight="15" x14ac:dyDescent="0.25"/>
  <sheetData>
    <row r="1" spans="1:1" x14ac:dyDescent="0.25">
      <c r="A1" t="s">
        <v>68</v>
      </c>
    </row>
    <row r="2" spans="1:1" x14ac:dyDescent="0.25">
      <c r="A2" t="s">
        <v>69</v>
      </c>
    </row>
    <row r="3" spans="1:1" x14ac:dyDescent="0.25">
      <c r="A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report</vt:lpstr>
      <vt:lpstr>{PL}PickLst</vt:lpstr>
      <vt:lpstr>db_name</vt:lpstr>
      <vt:lpstr>Freeze_here</vt:lpstr>
      <vt:lpstr>psApp</vt:lpstr>
      <vt:lpstr>psUser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TM1RptAEAppropQACAP</vt:lpstr>
      <vt:lpstr>TM1RptAEAppropQAWB</vt:lpstr>
      <vt:lpstr>TM1RptAEAppropQAWS</vt:lpstr>
      <vt:lpstr>TM1RptAppropOCProgCAP</vt:lpstr>
      <vt:lpstr>TM1RptAppropOCProgWB</vt:lpstr>
      <vt:lpstr>TM1RptAppropOCProgWS</vt:lpstr>
      <vt:lpstr>report!TM1RPTDATARNG3</vt:lpstr>
      <vt:lpstr>report!TM1RPTFMTIDCOL</vt:lpstr>
      <vt:lpstr>report!TM1RPTFMTRNG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modeler1</cp:lastModifiedBy>
  <dcterms:created xsi:type="dcterms:W3CDTF">2019-04-29T12:00:55Z</dcterms:created>
  <dcterms:modified xsi:type="dcterms:W3CDTF">2024-06-26T06:40:23Z</dcterms:modified>
</cp:coreProperties>
</file>