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5.bin" ContentType="application/vnd.ms-office.activeX"/>
  <Override PartName="/xl/activeX/activeX8.xml" ContentType="application/vnd.ms-office.activeX+xml"/>
  <Override PartName="/xl/activeX/activeX6.bin" ContentType="application/vnd.ms-office.activeX"/>
  <Override PartName="/xl/activeX/activeX9.xml" ContentType="application/vnd.ms-office.activeX+xml"/>
  <Override PartName="/xl/activeX/activeX7.bin" ContentType="application/vnd.ms-office.activeX"/>
  <Override PartName="/xl/activeX/activeX10.xml" ContentType="application/vnd.ms-office.activeX+xml"/>
  <Override PartName="/xl/activeX/activeX8.bin" ContentType="application/vnd.ms-office.activeX"/>
  <Override PartName="/xl/activeX/activeX11.xml" ContentType="application/vnd.ms-office.activeX+xml"/>
  <Override PartName="/xl/activeX/activeX9.bin" ContentType="application/vnd.ms-office.activeX"/>
  <Override PartName="/xl/activeX/activeX12.xml" ContentType="application/vnd.ms-office.activeX+xml"/>
  <Override PartName="/xl/activeX/activeX10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05529F5E-873D-4760-9A04-90A23FEE3514}" xr6:coauthVersionLast="47" xr6:coauthVersionMax="47" xr10:uidLastSave="{00000000-0000-0000-0000-000000000000}"/>
  <bookViews>
    <workbookView xWindow="29580" yWindow="780" windowWidth="21600" windowHeight="11385" xr2:uid="{A5D06079-B4A0-4AF0-8F6E-CC76C458C682}"/>
  </bookViews>
  <sheets>
    <sheet name="generate" sheetId="1" r:id="rId1"/>
    <sheet name="{PL}PickLst" sheetId="2" state="hidden" r:id="rId2"/>
  </sheets>
  <definedNames>
    <definedName name="db_name">generate!$C$12</definedName>
    <definedName name="psApp">generate!$C$26</definedName>
    <definedName name="psCreateAdjByMeasures">generate!$S$84</definedName>
    <definedName name="psFE2Year">generate!$S$82</definedName>
    <definedName name="psFE3Year">generate!$S$83</definedName>
    <definedName name="psHLYear">generate!$C$21</definedName>
    <definedName name="psProg">generate!$K$96</definedName>
    <definedName name="psScenario">generate!$C$22</definedName>
    <definedName name="psUser">generate!$C$14</definedName>
    <definedName name="TM1AdjIDListCAP">generate!$D$31</definedName>
    <definedName name="TM1AdjIDListWB">generate!$F$31</definedName>
    <definedName name="TM1EDCAP">generate!$D$35</definedName>
    <definedName name="TM1EDWB">generate!$F$35</definedName>
    <definedName name="TM1EDWS">generate!$H$35</definedName>
    <definedName name="TM1FE3CAP">generate!$D$32</definedName>
    <definedName name="TM1FE3DetCAP">generate!$D$33</definedName>
    <definedName name="TM1FE3DetWB">generate!$F$33</definedName>
    <definedName name="TM1FE3DetWS">generate!$H$33</definedName>
    <definedName name="TM1FE3RecoCAP">generate!$D$34</definedName>
    <definedName name="TM1FE3RecoWB">generate!$F$34</definedName>
    <definedName name="TM1FE3RecoWS">generate!$H$34</definedName>
    <definedName name="TM1FE3WB">generate!$F$32</definedName>
    <definedName name="TM1FE3WS">generate!$H$32</definedName>
    <definedName name="TM1GenerateRecoCAP">generate!$D$40</definedName>
    <definedName name="TM1GenerateRecoWB">generate!$F$40</definedName>
    <definedName name="TM1GenerateRecoWS">generate!$H$40</definedName>
    <definedName name="TM1HomeAECAP">generate!$D$29</definedName>
    <definedName name="TM1HomeAEDataEntryCAP">generate!$D$30</definedName>
    <definedName name="TM1HomeAEDataEntryWB">generate!$F$30</definedName>
    <definedName name="TM1HomeAEDataEntryWS">generate!$H$30</definedName>
    <definedName name="TM1HomeAEWB">generate!$F$29</definedName>
    <definedName name="TM1HomeAEWS">generate!$H$29</definedName>
    <definedName name="TM1HomeCAP">generate!$D$28</definedName>
    <definedName name="TM1HomeWB">generate!$F$28</definedName>
    <definedName name="TM1HomeWS">generate!$H$28</definedName>
    <definedName name="TM1IDListWS">generate!$H$31</definedName>
    <definedName name="TM1IndexCAP">generate!$D$36</definedName>
    <definedName name="TM1IndexFE3MapCAP">generate!$D$39</definedName>
    <definedName name="TM1IndexFE3MapWB">generate!$F$39</definedName>
    <definedName name="TM1IndexFE3MapWS">generate!$H$39</definedName>
    <definedName name="TM1IndexFinCAP">generate!$D$37</definedName>
    <definedName name="TM1IndexFinDCBCAP">generate!$D$38</definedName>
    <definedName name="TM1IndexFinDCBWB">generate!$F$38</definedName>
    <definedName name="TM1IndexFinDCBWS">generate!$H$38</definedName>
    <definedName name="TM1IndexFinWB">generate!$F$37</definedName>
    <definedName name="TM1IndexFinWS">generate!$H$37</definedName>
    <definedName name="TM1IndexWB">generate!$F$36</definedName>
    <definedName name="TM1IndexWS">generate!$H$36</definedName>
    <definedName name="TM1REBUILDOPTION">0</definedName>
    <definedName name="TM1RPTDATARNG1" localSheetId="0">generate!$105:$105</definedName>
    <definedName name="TM1RPTFMTIDCOL" localSheetId="0">generate!$A$1:$A$8</definedName>
    <definedName name="TM1RPTFMTRNG" localSheetId="0">generate!$B$1:$AF$8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01" i="1" l="1"/>
  <c r="K100" i="1"/>
  <c r="K99" i="1"/>
  <c r="K98" i="1"/>
  <c r="K97" i="1"/>
  <c r="K96" i="1"/>
  <c r="C20" i="1" a="1"/>
  <c r="C20" i="1"/>
  <c r="C21" i="1" a="1"/>
  <c r="C21" i="1"/>
  <c r="C22" i="1" a="1"/>
  <c r="C22" i="1"/>
  <c r="C83" i="1"/>
  <c r="C82" i="1"/>
  <c r="C69" i="1"/>
  <c r="C68" i="1"/>
  <c r="C66" i="1"/>
  <c r="C65" i="1"/>
  <c r="C54" i="1"/>
  <c r="C53" i="1"/>
  <c r="C52" i="1"/>
  <c r="C51" i="1"/>
  <c r="C50" i="1"/>
  <c r="C14" i="1" a="1"/>
  <c r="C14" i="1"/>
  <c r="C49" i="1"/>
  <c r="C44" i="1"/>
  <c r="C43" i="1"/>
  <c r="C25" i="1"/>
  <c r="Q107" i="1"/>
  <c r="Q100" i="1"/>
  <c r="C64" i="1" a="1"/>
  <c r="C64" i="1"/>
  <c r="S28" i="1" a="1"/>
  <c r="S28" i="1"/>
  <c r="E48" i="1"/>
  <c r="C48" i="1"/>
  <c r="D105" i="1" a="1"/>
  <c r="E46" i="1"/>
  <c r="C46" i="1"/>
  <c r="B105" i="1" a="1"/>
  <c r="E47" i="1"/>
  <c r="C47" i="1"/>
  <c r="C105" i="1" a="1"/>
  <c r="L43" i="1"/>
  <c r="Y43" i="1" a="1"/>
  <c r="D105" i="1"/>
  <c r="B105" i="1"/>
  <c r="C105" i="1"/>
  <c r="Y43" i="1"/>
  <c r="Y105" i="1" a="1"/>
  <c r="Y105" i="1"/>
  <c r="X43" i="1" a="1"/>
  <c r="X43" i="1"/>
  <c r="X105" i="1" a="1"/>
  <c r="X105" i="1"/>
  <c r="W43" i="1" a="1"/>
  <c r="W43" i="1"/>
  <c r="W105" i="1" a="1"/>
  <c r="W105" i="1"/>
  <c r="V43" i="1" a="1"/>
  <c r="V43" i="1"/>
  <c r="V105" i="1" a="1"/>
  <c r="V105" i="1"/>
  <c r="U43" i="1" a="1"/>
  <c r="U43" i="1"/>
  <c r="U105" i="1" a="1"/>
  <c r="U105" i="1"/>
  <c r="S43" i="1" a="1"/>
  <c r="S43" i="1"/>
  <c r="S46" i="1"/>
  <c r="C67" i="1" a="1"/>
  <c r="C67" i="1"/>
  <c r="C57" i="1"/>
  <c r="S45" i="1"/>
  <c r="S105" i="1" a="1"/>
  <c r="S105" i="1"/>
  <c r="R43" i="1" a="1"/>
  <c r="R43" i="1"/>
  <c r="R46" i="1"/>
  <c r="R45" i="1"/>
  <c r="R105" i="1" a="1"/>
  <c r="R105" i="1"/>
  <c r="Q43" i="1" a="1"/>
  <c r="Q43" i="1"/>
  <c r="Q46" i="1"/>
  <c r="Q45" i="1"/>
  <c r="Q105" i="1" a="1"/>
  <c r="Q105" i="1"/>
  <c r="P43" i="1" a="1"/>
  <c r="P43" i="1"/>
  <c r="P46" i="1"/>
  <c r="P45" i="1"/>
  <c r="P105" i="1" a="1"/>
  <c r="P105" i="1"/>
  <c r="O43" i="1" a="1"/>
  <c r="O43" i="1"/>
  <c r="O46" i="1"/>
  <c r="O45" i="1"/>
  <c r="O105" i="1" a="1"/>
  <c r="O105" i="1"/>
  <c r="M105" i="1" a="1"/>
  <c r="M105" i="1"/>
  <c r="G105" i="1" a="1"/>
  <c r="G105" i="1"/>
  <c r="F105" i="1" a="1"/>
  <c r="F105" i="1"/>
  <c r="A105" i="1" a="1"/>
  <c r="A105" i="1"/>
  <c r="S84" i="1" a="1"/>
  <c r="S84" i="1"/>
  <c r="S83" i="1" a="1"/>
  <c r="S83" i="1"/>
  <c r="S82" i="1" a="1"/>
  <c r="S82" i="1"/>
  <c r="S51" i="1" a="1"/>
  <c r="S51" i="1"/>
  <c r="S50" i="1" a="1"/>
  <c r="S50" i="1"/>
  <c r="AE43" i="1" a="1"/>
  <c r="AE43" i="1"/>
  <c r="AD43" i="1" a="1"/>
  <c r="AD43" i="1"/>
  <c r="AC43" i="1" a="1"/>
  <c r="AC43" i="1"/>
  <c r="AB43" i="1" a="1"/>
  <c r="AB43" i="1"/>
  <c r="AA43" i="1" a="1"/>
  <c r="AA43" i="1"/>
  <c r="H40" i="1" a="1"/>
  <c r="H40" i="1"/>
  <c r="G40" i="1" a="1"/>
  <c r="G40" i="1"/>
  <c r="F40" i="1" a="1"/>
  <c r="F40" i="1"/>
  <c r="E40" i="1" a="1"/>
  <c r="E40" i="1"/>
  <c r="D40" i="1" a="1"/>
  <c r="D40" i="1"/>
  <c r="C40" i="1" a="1"/>
  <c r="C40" i="1"/>
  <c r="H39" i="1" a="1"/>
  <c r="H39" i="1"/>
  <c r="G39" i="1" a="1"/>
  <c r="G39" i="1"/>
  <c r="F39" i="1" a="1"/>
  <c r="F39" i="1"/>
  <c r="E39" i="1" a="1"/>
  <c r="E39" i="1"/>
  <c r="D39" i="1" a="1"/>
  <c r="D39" i="1"/>
  <c r="C39" i="1" a="1"/>
  <c r="C39" i="1"/>
  <c r="H38" i="1" a="1"/>
  <c r="H38" i="1"/>
  <c r="G38" i="1" a="1"/>
  <c r="G38" i="1"/>
  <c r="F38" i="1" a="1"/>
  <c r="F38" i="1"/>
  <c r="E38" i="1" a="1"/>
  <c r="E38" i="1"/>
  <c r="D38" i="1" a="1"/>
  <c r="D38" i="1"/>
  <c r="C38" i="1" a="1"/>
  <c r="C38" i="1"/>
  <c r="H37" i="1" a="1"/>
  <c r="H37" i="1"/>
  <c r="G37" i="1" a="1"/>
  <c r="G37" i="1"/>
  <c r="F37" i="1" a="1"/>
  <c r="F37" i="1"/>
  <c r="E37" i="1" a="1"/>
  <c r="E37" i="1"/>
  <c r="D37" i="1" a="1"/>
  <c r="D37" i="1"/>
  <c r="C37" i="1" a="1"/>
  <c r="C37" i="1"/>
  <c r="H36" i="1" a="1"/>
  <c r="H36" i="1"/>
  <c r="G36" i="1" a="1"/>
  <c r="G36" i="1"/>
  <c r="F36" i="1" a="1"/>
  <c r="F36" i="1"/>
  <c r="E36" i="1" a="1"/>
  <c r="E36" i="1"/>
  <c r="D36" i="1" a="1"/>
  <c r="D36" i="1"/>
  <c r="C36" i="1" a="1"/>
  <c r="C36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H32" i="1" a="1"/>
  <c r="H32" i="1"/>
  <c r="G32" i="1" a="1"/>
  <c r="G32" i="1"/>
  <c r="F32" i="1" a="1"/>
  <c r="F32" i="1"/>
  <c r="E32" i="1" a="1"/>
  <c r="E32" i="1"/>
  <c r="D32" i="1" a="1"/>
  <c r="D32" i="1"/>
  <c r="C32" i="1" a="1"/>
  <c r="C32" i="1"/>
  <c r="H31" i="1" a="1"/>
  <c r="H31" i="1"/>
  <c r="G31" i="1" a="1"/>
  <c r="G31" i="1"/>
  <c r="F31" i="1" a="1"/>
  <c r="F31" i="1"/>
  <c r="E31" i="1" a="1"/>
  <c r="E31" i="1"/>
  <c r="D31" i="1" a="1"/>
  <c r="D31" i="1"/>
  <c r="C31" i="1" a="1"/>
  <c r="C31" i="1"/>
  <c r="H30" i="1" a="1"/>
  <c r="H30" i="1"/>
  <c r="G30" i="1" a="1"/>
  <c r="G30" i="1"/>
  <c r="F30" i="1" a="1"/>
  <c r="F30" i="1"/>
  <c r="E30" i="1" a="1"/>
  <c r="E30" i="1"/>
  <c r="D30" i="1" a="1"/>
  <c r="D30" i="1"/>
  <c r="C30" i="1" a="1"/>
  <c r="C30" i="1"/>
  <c r="H29" i="1" a="1"/>
  <c r="H29" i="1"/>
  <c r="G29" i="1" a="1"/>
  <c r="G29" i="1"/>
  <c r="F29" i="1" a="1"/>
  <c r="F29" i="1"/>
  <c r="E29" i="1" a="1"/>
  <c r="E29" i="1"/>
  <c r="D29" i="1" a="1"/>
  <c r="D29" i="1"/>
  <c r="C29" i="1" a="1"/>
  <c r="C29" i="1"/>
  <c r="H28" i="1" a="1"/>
  <c r="H28" i="1"/>
  <c r="G28" i="1" a="1"/>
  <c r="G28" i="1"/>
  <c r="F28" i="1" a="1"/>
  <c r="F28" i="1"/>
  <c r="E28" i="1" a="1"/>
  <c r="E28" i="1"/>
  <c r="D28" i="1" a="1"/>
  <c r="D28" i="1"/>
  <c r="C28" i="1" a="1"/>
  <c r="C28" i="1"/>
  <c r="C13" i="1" a="1"/>
  <c r="C13" i="1"/>
  <c r="C16" i="1" a="1"/>
  <c r="C16" i="1"/>
  <c r="C15" i="1" a="1"/>
  <c r="C15" i="1"/>
  <c r="Y46" i="1"/>
  <c r="X46" i="1"/>
  <c r="W46" i="1"/>
  <c r="V46" i="1"/>
  <c r="U46" i="1"/>
  <c r="L105" i="1"/>
  <c r="K105" i="1"/>
  <c r="AE105" i="1"/>
  <c r="AD105" i="1"/>
  <c r="AC105" i="1"/>
  <c r="AB105" i="1"/>
  <c r="AA105" i="1"/>
  <c r="AD46" i="1"/>
  <c r="AC46" i="1"/>
  <c r="AB46" i="1"/>
  <c r="AA46" i="1"/>
  <c r="AE46" i="1"/>
  <c r="AE104" i="1"/>
  <c r="AD104" i="1"/>
  <c r="AC104" i="1"/>
  <c r="AB104" i="1"/>
  <c r="AA104" i="1"/>
  <c r="S52" i="1"/>
  <c r="U99" i="1"/>
  <c r="D46" i="1"/>
  <c r="Y104" i="1"/>
  <c r="X104" i="1"/>
  <c r="W104" i="1"/>
  <c r="V104" i="1"/>
  <c r="U104" i="1"/>
  <c r="S104" i="1"/>
  <c r="R104" i="1"/>
  <c r="Q104" i="1"/>
  <c r="P104" i="1"/>
  <c r="O104" i="1"/>
  <c r="J105" i="1"/>
  <c r="D47" i="1"/>
  <c r="D48" i="1"/>
  <c r="C17" i="1"/>
  <c r="A5" i="1"/>
  <c r="A4" i="1"/>
  <c r="A3" i="1"/>
  <c r="A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<sst xmlns="http://schemas.openxmlformats.org/spreadsheetml/2006/main" count="142" uniqueCount="123">
  <si>
    <t>}Clients</t>
  </si>
  <si>
    <t>spp</t>
  </si>
  <si>
    <t>related entity</t>
  </si>
  <si>
    <t>jurisdiction</t>
  </si>
  <si>
    <t>appropriation item</t>
  </si>
  <si>
    <t>id</t>
  </si>
  <si>
    <t>Total FE3 adjustment value</t>
  </si>
  <si>
    <t>D</t>
  </si>
  <si>
    <t>N</t>
  </si>
  <si>
    <t>[Begin Format Range]</t>
  </si>
  <si>
    <t>[End Format Range]</t>
  </si>
  <si>
    <t>Database Variables</t>
  </si>
  <si>
    <t>Database Name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</si>
  <si>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</si>
  <si>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</si>
  <si>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</si>
  <si>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</si>
  <si>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</si>
  <si>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</si>
  <si>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</si>
  <si>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</si>
  <si>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AE Parameters and FE3 Calculation</t>
  </si>
  <si>
    <t>Active Form View</t>
  </si>
  <si>
    <t>Slice View</t>
  </si>
  <si>
    <t>sys_application MDX</t>
  </si>
  <si>
    <t>Slice View (sys_application)</t>
  </si>
  <si>
    <t>Current Workbook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</si>
  <si>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</si>
  <si>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</si>
  <si>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</si>
  <si>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</si>
  <si>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</si>
  <si>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</si>
  <si>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</si>
  <si>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</si>
  <si>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</si>
  <si>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Data Entry</t>
  </si>
  <si>
    <t>Adjustment - ID List</t>
  </si>
  <si>
    <t>Adjustment - Generate FE3</t>
  </si>
  <si>
    <t>Period</t>
  </si>
  <si>
    <t>To Use</t>
  </si>
  <si>
    <t>Index</t>
  </si>
  <si>
    <t>Programme MDX</t>
  </si>
  <si>
    <t>Account MDX</t>
  </si>
  <si>
    <t>Movement Account MDX</t>
  </si>
  <si>
    <t>REPORT PARAMETERS</t>
  </si>
  <si>
    <t xml:space="preserve">Account : </t>
  </si>
  <si>
    <t xml:space="preserve">Movement Account : </t>
  </si>
  <si>
    <t xml:space="preserve">Program : </t>
  </si>
  <si>
    <t xml:space="preserve"> DISPLAY SETTINGS</t>
  </si>
  <si>
    <t>Report Display :</t>
  </si>
  <si>
    <t>Collapse</t>
  </si>
  <si>
    <t>Expand</t>
  </si>
  <si>
    <t>Total adjustment value</t>
  </si>
  <si>
    <t>A</t>
  </si>
  <si>
    <t>B</t>
  </si>
  <si>
    <t>C</t>
  </si>
  <si>
    <t>E</t>
  </si>
  <si>
    <t>F</t>
  </si>
  <si>
    <t>Program</t>
  </si>
  <si>
    <t xml:space="preserve">Measure Code : </t>
  </si>
  <si>
    <t>FE2 Period :</t>
  </si>
  <si>
    <t>FE3 Period :</t>
  </si>
  <si>
    <t>FE3 PARAMETERS</t>
  </si>
  <si>
    <t>FE2 Period Index</t>
  </si>
  <si>
    <t>FE3 Period Index</t>
  </si>
  <si>
    <t>RB</t>
  </si>
  <si>
    <t>FE1</t>
  </si>
  <si>
    <t>FE2</t>
  </si>
  <si>
    <t>FE3</t>
  </si>
  <si>
    <t>NB</t>
  </si>
  <si>
    <t>Cube Views</t>
  </si>
  <si>
    <t>}Element Attributes Measure Code View</t>
  </si>
  <si>
    <t>Programme Details View</t>
  </si>
  <si>
    <t>parameter</t>
  </si>
  <si>
    <t>efficiency dividend</t>
  </si>
  <si>
    <t>Parameter</t>
  </si>
  <si>
    <t>ED</t>
  </si>
  <si>
    <t>OBSI</t>
  </si>
  <si>
    <t>WCI1</t>
  </si>
  <si>
    <t>WCI2</t>
  </si>
  <si>
    <t>WCI3</t>
  </si>
  <si>
    <t>WCI4</t>
  </si>
  <si>
    <t>WCI5</t>
  </si>
  <si>
    <t>WCI6</t>
  </si>
  <si>
    <t>WCI7</t>
  </si>
  <si>
    <t>WCI8</t>
  </si>
  <si>
    <t>WCI9</t>
  </si>
  <si>
    <t>manual</t>
  </si>
  <si>
    <t>Adjustment - Generate FE3 Detail</t>
  </si>
  <si>
    <t>Adjustment - Generate FE3 Reconciliation</t>
  </si>
  <si>
    <t>Create Adj By Measures? :</t>
  </si>
  <si>
    <t>Adjustment - Generate ED</t>
  </si>
  <si>
    <t>Adjustment - Generate Indexation</t>
  </si>
  <si>
    <t>Adjustment - Indexation Finance Workbook</t>
  </si>
  <si>
    <t>Adjustment - Indexation Finance DCB Workbook</t>
  </si>
  <si>
    <t>Y</t>
  </si>
  <si>
    <t>Adjustment - Indexation and FE3 Navigational Map</t>
  </si>
  <si>
    <t>Generate parameter pack</t>
  </si>
  <si>
    <t>Generate Finance Pack (Y)</t>
  </si>
  <si>
    <t>Total Calculated Adjustments (ED, Parameters, FE3)</t>
  </si>
  <si>
    <t>Total GEUS Adjustments</t>
  </si>
  <si>
    <t>AE Adjustments</t>
  </si>
  <si>
    <t>outcome</t>
  </si>
  <si>
    <t>function</t>
  </si>
  <si>
    <t>appropration type</t>
  </si>
  <si>
    <t>VIEW</t>
  </si>
  <si>
    <t xml:space="preserve">Status : </t>
  </si>
  <si>
    <t>VARIANCE (Calculated Adjustments - GEUS Adjustments)</t>
  </si>
  <si>
    <t>Total efficiency dividend adjustment value</t>
  </si>
  <si>
    <t>sys_Rep Parameters and FE3</t>
  </si>
  <si>
    <t>Measure To Use</t>
  </si>
  <si>
    <t>1015</t>
  </si>
  <si>
    <t>1004</t>
  </si>
  <si>
    <t>1033</t>
  </si>
  <si>
    <t xml:space="preserve">Reason : </t>
  </si>
  <si>
    <t xml:space="preserve">Unique Reason </t>
  </si>
  <si>
    <t>MEASURE TO USE</t>
  </si>
  <si>
    <t>Generate Parameters and FE3 Workbook Reconciliation</t>
  </si>
  <si>
    <t>Adjustment - Generate Reconciliation Workbook</t>
  </si>
  <si>
    <t>Total parameter adjustment value</t>
  </si>
  <si>
    <t>As at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</si>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</sst>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+ &quot;@"/>
    <numFmt numFmtId="165" formatCode="&quot;- &quot;@"/>
    <numFmt numFmtId="166" formatCode="_(* #,##0_);[Red]_(* \(#,##0\);_(* &quot;-&quot;??_);_(@_)"/>
    <numFmt numFmtId="167" formatCode="dd\ mmmm\ yyyy\ h:mm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rgb="FFBBDDE6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thin">
        <color indexed="64"/>
      </left>
      <right/>
      <top/>
      <bottom/>
      <diagonal/>
    </border>
    <border>
      <left style="medium">
        <color rgb="FF00426A"/>
      </left>
      <right style="medium">
        <color rgb="FF00426A"/>
      </right>
      <top style="medium">
        <color rgb="FF00426A"/>
      </top>
      <bottom style="medium">
        <color rgb="FF00426A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/>
    <xf numFmtId="0" fontId="2" fillId="0" borderId="5" xfId="0" applyFont="1" applyBorder="1"/>
    <xf numFmtId="0" fontId="0" fillId="0" borderId="5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2" fillId="2" borderId="1" xfId="0" applyFont="1" applyFill="1" applyBorder="1"/>
    <xf numFmtId="0" fontId="2" fillId="2" borderId="6" xfId="0" applyFont="1" applyFill="1" applyBorder="1"/>
    <xf numFmtId="0" fontId="4" fillId="3" borderId="0" xfId="0" applyFont="1" applyFill="1" applyAlignment="1">
      <alignment horizontal="center"/>
    </xf>
    <xf numFmtId="0" fontId="0" fillId="2" borderId="5" xfId="0" applyFill="1" applyBorder="1"/>
    <xf numFmtId="0" fontId="2" fillId="0" borderId="0" xfId="0" applyFont="1" applyAlignment="1">
      <alignment horizontal="right" indent="1"/>
    </xf>
    <xf numFmtId="0" fontId="1" fillId="4" borderId="7" xfId="0" applyFont="1" applyFill="1" applyBorder="1"/>
    <xf numFmtId="0" fontId="0" fillId="5" borderId="8" xfId="0" applyFill="1" applyBorder="1" applyAlignment="1" applyProtection="1">
      <alignment horizontal="center" vertical="center"/>
      <protection locked="0"/>
    </xf>
    <xf numFmtId="0" fontId="0" fillId="2" borderId="0" xfId="0" applyFill="1"/>
    <xf numFmtId="166" fontId="3" fillId="0" borderId="5" xfId="0" applyNumberFormat="1" applyFont="1" applyBorder="1"/>
    <xf numFmtId="0" fontId="1" fillId="6" borderId="0" xfId="0" applyFont="1" applyFill="1" applyAlignment="1">
      <alignment horizontal="center" vertical="center"/>
    </xf>
    <xf numFmtId="0" fontId="3" fillId="0" borderId="5" xfId="0" applyFont="1" applyBorder="1" applyAlignment="1">
      <alignment horizontal="left" indent="3"/>
    </xf>
    <xf numFmtId="0" fontId="2" fillId="3" borderId="6" xfId="0" applyFont="1" applyFill="1" applyBorder="1" applyAlignment="1">
      <alignment horizontal="center"/>
    </xf>
    <xf numFmtId="164" fontId="0" fillId="0" borderId="5" xfId="0" applyNumberFormat="1" applyBorder="1"/>
    <xf numFmtId="166" fontId="5" fillId="7" borderId="5" xfId="0" applyNumberFormat="1" applyFont="1" applyFill="1" applyBorder="1"/>
    <xf numFmtId="0" fontId="6" fillId="6" borderId="0" xfId="0" applyFont="1" applyFill="1" applyAlignment="1">
      <alignment horizontal="right" vertical="center"/>
    </xf>
    <xf numFmtId="0" fontId="5" fillId="7" borderId="5" xfId="0" applyFont="1" applyFill="1" applyBorder="1"/>
    <xf numFmtId="0" fontId="5" fillId="7" borderId="5" xfId="0" applyFont="1" applyFill="1" applyBorder="1" applyAlignment="1">
      <alignment horizontal="left" indent="1"/>
    </xf>
    <xf numFmtId="0" fontId="5" fillId="7" borderId="5" xfId="0" applyFont="1" applyFill="1" applyBorder="1" applyAlignment="1">
      <alignment horizontal="left" indent="2"/>
    </xf>
    <xf numFmtId="0" fontId="5" fillId="7" borderId="5" xfId="0" applyFont="1" applyFill="1" applyBorder="1" applyAlignment="1">
      <alignment horizontal="left" indent="3"/>
    </xf>
    <xf numFmtId="0" fontId="0" fillId="0" borderId="5" xfId="0" applyBorder="1" applyAlignment="1">
      <alignment horizontal="left" indent="1"/>
    </xf>
    <xf numFmtId="0" fontId="8" fillId="0" borderId="0" xfId="0" applyFont="1"/>
    <xf numFmtId="0" fontId="2" fillId="0" borderId="0" xfId="0" applyFont="1" applyAlignment="1">
      <alignment horizontal="right"/>
    </xf>
    <xf numFmtId="0" fontId="5" fillId="7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" fillId="6" borderId="0" xfId="0" applyFont="1" applyFill="1" applyAlignment="1">
      <alignment horizontal="center" vertical="center" wrapText="1"/>
    </xf>
    <xf numFmtId="0" fontId="9" fillId="0" borderId="0" xfId="0" applyFont="1"/>
    <xf numFmtId="0" fontId="5" fillId="7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8" borderId="10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165" fontId="2" fillId="0" borderId="5" xfId="0" applyNumberFormat="1" applyFont="1" applyBorder="1"/>
    <xf numFmtId="0" fontId="10" fillId="2" borderId="5" xfId="0" applyFont="1" applyFill="1" applyBorder="1" applyAlignment="1">
      <alignment horizontal="center" vertical="center"/>
    </xf>
    <xf numFmtId="0" fontId="2" fillId="0" borderId="2" xfId="0" applyFont="1" applyBorder="1"/>
    <xf numFmtId="0" fontId="0" fillId="0" borderId="3" xfId="0" applyBorder="1"/>
    <xf numFmtId="0" fontId="0" fillId="0" borderId="5" xfId="0" quotePrefix="1" applyBorder="1"/>
    <xf numFmtId="0" fontId="7" fillId="0" borderId="0" xfId="0" applyFont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167" fontId="2" fillId="0" borderId="0" xfId="0" applyNumberFormat="1" applyFont="1" applyAlignment="1">
      <alignment horizontal="left" indent="1"/>
    </xf>
    <xf numFmtId="0" fontId="1" fillId="6" borderId="0" xfId="0" applyFont="1" applyFill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0" fillId="0" borderId="5" xfId="0" applyBorder="1" applyAlignment="1" applyProtection="1">
      <alignment horizontal="left" inden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426A"/>
      <color rgb="FFFFFF99"/>
      <color rgb="FF006C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296"/>
  <ax:ocxPr ax:name="_ExtentY" ax:value="397"/>
  <ax:ocxPr ax:name="_StockProps" ax:value="0"/>
  <ax:ocxPr ax:name="ServerName" ax:value="=db_name"/>
  <ax:ocxPr ax:name="ProcessName" ax:value="sys_AE_Parameters 99 - Clear Generate Pack Flags"/>
  <ax:ocxPr ax:name="Name" ax:value="psProg"/>
  <ax:ocxPr ax:name="Type" ax:value="0"/>
  <ax:ocxPr ax:name="Value" ax:value="=psProg"/>
  <ax:ocxPr ax:name="Prompt" ax:value=""/>
  <ax:ocxPr ax:name="BackColor" ax:value="4734771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lear Flags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0"/>
  <ax:ocxPr ax:name="ConfirmMessage" ax:value="Are you sure you want to re-calculate Parameters and FE3?"/>
  <ax:ocxPr ax:name="SuccessMessage" ax:value="Flags have been cleared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0"/>
  <ax:ocxPr ax:name="UseApporg" ax:value="-1"/>
  <ax:ocxPr ax:name="Version" ax:value="6"/>
  <ax:ocxPr ax:name="PreRecalc" ax:value="1"/>
  <ax:ocxPr ax:name="WorkSheetRecalc" ax:value="2"/>
  <ax:ocxPr ax:name="ProcessRecalc" ax:value="2"/>
  <ax:ocxPr ax:name="DoReCalcOnly" ax:value="0"/>
  <ax:ocxPr ax:name="UseReferenceForServerName" ax:value="-1"/>
  <ax:ocxPr ax:name="ResizeButtonToCaption" ax:value="0"/>
</ax:ocx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535"/>
  <ax:ocxPr ax:name="_ExtentY" ax:value="397"/>
  <ax:ocxPr ax:name="_StockProps" ax:value="0"/>
  <ax:ocxPr ax:name="ServerName" ax:value="=db_name"/>
  <ax:ocxPr ax:name="ProcessName" ax:value="sys_AE_Parameters 98 - Populate Generate Pack Flags"/>
  <ax:ocxPr ax:name="Name" ax:value="psProg"/>
  <ax:ocxPr ax:name="Type" ax:value="0"/>
  <ax:ocxPr ax:name="Value" ax:value="=psProg"/>
  <ax:ocxPr ax:name="Prompt" ax:value=""/>
  <ax:ocxPr ax:name="BackColor" ax:value="4734771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Populate Flags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0"/>
  <ax:ocxPr ax:name="ConfirmMessage" ax:value="Are you sure you want to re-calculate Parameters and FE3?"/>
  <ax:ocxPr ax:name="SuccessMessage" ax:value="Flags have been popuated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0"/>
  <ax:ocxPr ax:name="UseApporg" ax:value="-1"/>
  <ax:ocxPr ax:name="Version" ax:value="6"/>
  <ax:ocxPr ax:name="PreRecalc" ax:value="1"/>
  <ax:ocxPr ax:name="WorkSheetRecalc" ax:value="2"/>
  <ax:ocxPr ax:name="ProcessRecalc" ax:value="2"/>
  <ax:ocxPr ax:name="DoReCalcOnly" ax:value="0"/>
  <ax:ocxPr ax:name="UseReferenceForServerName" ax:value="-1"/>
  <ax:ocxPr ax:name="ResizeButtonToCaption" ax:value="0"/>
</ax:ocx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3" Type="http://schemas.openxmlformats.org/officeDocument/2006/relationships/image" Target="../media/image10.emf"/><Relationship Id="rId7" Type="http://schemas.openxmlformats.org/officeDocument/2006/relationships/image" Target="../media/image4.emf"/><Relationship Id="rId12" Type="http://schemas.openxmlformats.org/officeDocument/2006/relationships/image" Target="../media/image12.emf"/><Relationship Id="rId2" Type="http://schemas.openxmlformats.org/officeDocument/2006/relationships/image" Target="../media/image8.emf"/><Relationship Id="rId1" Type="http://schemas.openxmlformats.org/officeDocument/2006/relationships/image" Target="../media/image9.emf"/><Relationship Id="rId6" Type="http://schemas.openxmlformats.org/officeDocument/2006/relationships/image" Target="../media/image5.emf"/><Relationship Id="rId11" Type="http://schemas.openxmlformats.org/officeDocument/2006/relationships/image" Target="../media/image1.emf"/><Relationship Id="rId5" Type="http://schemas.openxmlformats.org/officeDocument/2006/relationships/image" Target="../media/image6.emf"/><Relationship Id="rId10" Type="http://schemas.openxmlformats.org/officeDocument/2006/relationships/image" Target="../media/image2.emf"/><Relationship Id="rId4" Type="http://schemas.openxmlformats.org/officeDocument/2006/relationships/image" Target="../media/image7.emf"/><Relationship Id="rId9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89</xdr:row>
      <xdr:rowOff>9525</xdr:rowOff>
    </xdr:from>
    <xdr:to>
      <xdr:col>9</xdr:col>
      <xdr:colOff>1769745</xdr:colOff>
      <xdr:row>89</xdr:row>
      <xdr:rowOff>472440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9525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47625</xdr:colOff>
          <xdr:row>91</xdr:row>
          <xdr:rowOff>9525</xdr:rowOff>
        </xdr:from>
        <xdr:to>
          <xdr:col>9</xdr:col>
          <xdr:colOff>628650</xdr:colOff>
          <xdr:row>91</xdr:row>
          <xdr:rowOff>257175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</xdr:colOff>
          <xdr:row>91</xdr:row>
          <xdr:rowOff>0</xdr:rowOff>
        </xdr:from>
        <xdr:to>
          <xdr:col>20</xdr:col>
          <xdr:colOff>790575</xdr:colOff>
          <xdr:row>91</xdr:row>
          <xdr:rowOff>247650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514350</xdr:colOff>
          <xdr:row>90</xdr:row>
          <xdr:rowOff>28575</xdr:rowOff>
        </xdr:from>
        <xdr:to>
          <xdr:col>24</xdr:col>
          <xdr:colOff>828675</xdr:colOff>
          <xdr:row>91</xdr:row>
          <xdr:rowOff>285750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57150</xdr:colOff>
          <xdr:row>91</xdr:row>
          <xdr:rowOff>0</xdr:rowOff>
        </xdr:from>
        <xdr:to>
          <xdr:col>17</xdr:col>
          <xdr:colOff>485775</xdr:colOff>
          <xdr:row>91</xdr:row>
          <xdr:rowOff>247650</xdr:rowOff>
        </xdr:to>
        <xdr:sp macro="" textlink="">
          <xdr:nvSpPr>
            <xdr:cNvPr id="1031" name="TIButton6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47625</xdr:colOff>
          <xdr:row>91</xdr:row>
          <xdr:rowOff>0</xdr:rowOff>
        </xdr:from>
        <xdr:to>
          <xdr:col>15</xdr:col>
          <xdr:colOff>85725</xdr:colOff>
          <xdr:row>91</xdr:row>
          <xdr:rowOff>247650</xdr:rowOff>
        </xdr:to>
        <xdr:sp macro="" textlink="">
          <xdr:nvSpPr>
            <xdr:cNvPr id="1032" name="TIButton7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114300</xdr:colOff>
          <xdr:row>91</xdr:row>
          <xdr:rowOff>0</xdr:rowOff>
        </xdr:from>
        <xdr:to>
          <xdr:col>16</xdr:col>
          <xdr:colOff>19050</xdr:colOff>
          <xdr:row>91</xdr:row>
          <xdr:rowOff>247650</xdr:rowOff>
        </xdr:to>
        <xdr:sp macro="" textlink="">
          <xdr:nvSpPr>
            <xdr:cNvPr id="1033" name="TIButton8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3800475</xdr:colOff>
          <xdr:row>91</xdr:row>
          <xdr:rowOff>9525</xdr:rowOff>
        </xdr:from>
        <xdr:to>
          <xdr:col>11</xdr:col>
          <xdr:colOff>400050</xdr:colOff>
          <xdr:row>91</xdr:row>
          <xdr:rowOff>257175</xdr:rowOff>
        </xdr:to>
        <xdr:sp macro="" textlink="">
          <xdr:nvSpPr>
            <xdr:cNvPr id="1035" name="TIButton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419100</xdr:colOff>
          <xdr:row>91</xdr:row>
          <xdr:rowOff>9525</xdr:rowOff>
        </xdr:from>
        <xdr:to>
          <xdr:col>12</xdr:col>
          <xdr:colOff>504825</xdr:colOff>
          <xdr:row>91</xdr:row>
          <xdr:rowOff>257175</xdr:rowOff>
        </xdr:to>
        <xdr:sp macro="" textlink="">
          <xdr:nvSpPr>
            <xdr:cNvPr id="1036" name="TIButton11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2838450</xdr:colOff>
          <xdr:row>91</xdr:row>
          <xdr:rowOff>9525</xdr:rowOff>
        </xdr:from>
        <xdr:to>
          <xdr:col>9</xdr:col>
          <xdr:colOff>3752850</xdr:colOff>
          <xdr:row>91</xdr:row>
          <xdr:rowOff>257175</xdr:rowOff>
        </xdr:to>
        <xdr:sp macro="" textlink="">
          <xdr:nvSpPr>
            <xdr:cNvPr id="1037" name="TIButton12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647700</xdr:colOff>
          <xdr:row>91</xdr:row>
          <xdr:rowOff>9525</xdr:rowOff>
        </xdr:from>
        <xdr:to>
          <xdr:col>9</xdr:col>
          <xdr:colOff>1666875</xdr:colOff>
          <xdr:row>91</xdr:row>
          <xdr:rowOff>257175</xdr:rowOff>
        </xdr:to>
        <xdr:sp macro="" textlink="">
          <xdr:nvSpPr>
            <xdr:cNvPr id="1038" name="TIButton13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1714500</xdr:colOff>
          <xdr:row>91</xdr:row>
          <xdr:rowOff>9525</xdr:rowOff>
        </xdr:from>
        <xdr:to>
          <xdr:col>9</xdr:col>
          <xdr:colOff>2790825</xdr:colOff>
          <xdr:row>91</xdr:row>
          <xdr:rowOff>257175</xdr:rowOff>
        </xdr:to>
        <xdr:sp macro="" textlink="">
          <xdr:nvSpPr>
            <xdr:cNvPr id="1039" name="TIButton4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514350</xdr:colOff>
          <xdr:row>91</xdr:row>
          <xdr:rowOff>0</xdr:rowOff>
        </xdr:from>
        <xdr:to>
          <xdr:col>19</xdr:col>
          <xdr:colOff>28575</xdr:colOff>
          <xdr:row>91</xdr:row>
          <xdr:rowOff>247650</xdr:rowOff>
        </xdr:to>
        <xdr:sp macro="" textlink="">
          <xdr:nvSpPr>
            <xdr:cNvPr id="1044" name="TIButton3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26" Type="http://schemas.openxmlformats.org/officeDocument/2006/relationships/control" Target="../activeX/activeX12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24" Type="http://schemas.openxmlformats.org/officeDocument/2006/relationships/control" Target="../activeX/activeX11.xml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Relationship Id="rId22" Type="http://schemas.openxmlformats.org/officeDocument/2006/relationships/control" Target="../activeX/activeX10.xml"/><Relationship Id="rId27" Type="http://schemas.openxmlformats.org/officeDocument/2006/relationships/image" Target="../media/image12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1C13C-DDE9-4108-B9E8-A5E2E63807AA}">
  <sheetPr codeName="Sheet1">
    <outlinePr showOutlineSymbols="0"/>
  </sheetPr>
  <dimension ref="A1:AF107"/>
  <sheetViews>
    <sheetView showGridLines="0" showRowColHeaders="0" tabSelected="1" showOutlineSymbols="0" topLeftCell="I90" workbookViewId="0"/>
  </sheetViews>
  <sheetFormatPr defaultRowHeight="15" outlineLevelRow="1" outlineLevelCol="1" x14ac:dyDescent="0.25"/>
  <cols>
    <col min="1" max="1" width="2.7109375" hidden="1" customWidth="1" outlineLevel="1"/>
    <col min="2" max="2" width="46" hidden="1" customWidth="1" outlineLevel="1"/>
    <col min="3" max="3" width="18.28515625" hidden="1" customWidth="1" outlineLevel="1"/>
    <col min="4" max="8" width="17.28515625" hidden="1" customWidth="1" outlineLevel="1"/>
    <col min="9" max="9" width="0.85546875" customWidth="1" collapsed="1"/>
    <col min="10" max="10" width="60.7109375" customWidth="1"/>
    <col min="11" max="12" width="11.7109375" customWidth="1"/>
    <col min="13" max="13" width="10.7109375" customWidth="1"/>
    <col min="14" max="14" width="0.85546875" customWidth="1"/>
    <col min="15" max="19" width="13.7109375" customWidth="1"/>
    <col min="20" max="20" width="0.85546875" customWidth="1"/>
    <col min="21" max="25" width="13.7109375" customWidth="1"/>
    <col min="26" max="26" width="0.85546875" customWidth="1"/>
    <col min="27" max="29" width="13.7109375" customWidth="1"/>
    <col min="30" max="31" width="15.7109375" customWidth="1"/>
    <col min="32" max="32" width="0.85546875" customWidth="1"/>
  </cols>
  <sheetData>
    <row r="1" spans="1:32" ht="15.75" hidden="1" outlineLevel="1" thickBot="1" x14ac:dyDescent="0.3">
      <c r="A1" t="s">
        <v>9</v>
      </c>
    </row>
    <row r="2" spans="1:32" ht="15.75" hidden="1" outlineLevel="1" thickBot="1" x14ac:dyDescent="0.3">
      <c r="A2">
        <f>0</f>
        <v>0</v>
      </c>
      <c r="B2" s="2"/>
      <c r="C2" s="6"/>
      <c r="D2" s="6"/>
      <c r="E2" s="6"/>
      <c r="F2" s="6"/>
      <c r="G2" s="6"/>
      <c r="H2" s="6"/>
      <c r="J2" s="22" t="s">
        <v>54</v>
      </c>
      <c r="K2" s="29"/>
      <c r="L2" s="33"/>
      <c r="M2" s="35"/>
      <c r="O2" s="20"/>
      <c r="P2" s="20"/>
      <c r="Q2" s="20"/>
      <c r="R2" s="20"/>
      <c r="S2" s="20"/>
      <c r="U2" s="20"/>
      <c r="V2" s="20"/>
      <c r="W2" s="20"/>
      <c r="X2" s="20"/>
      <c r="Y2" s="20"/>
      <c r="Z2" s="1"/>
      <c r="AA2" s="20"/>
      <c r="AB2" s="20"/>
      <c r="AC2" s="20"/>
      <c r="AD2" s="20"/>
      <c r="AE2" s="20"/>
      <c r="AF2" s="1"/>
    </row>
    <row r="3" spans="1:32" ht="15.75" hidden="1" outlineLevel="1" thickBot="1" x14ac:dyDescent="0.3">
      <c r="A3">
        <f>1</f>
        <v>1</v>
      </c>
      <c r="B3" s="6"/>
      <c r="C3" s="6"/>
      <c r="D3" s="6"/>
      <c r="E3" s="6"/>
      <c r="F3" s="6"/>
      <c r="G3" s="6"/>
      <c r="H3" s="6"/>
      <c r="J3" s="23" t="s">
        <v>55</v>
      </c>
      <c r="K3" s="29"/>
      <c r="L3" s="33"/>
      <c r="M3" s="35"/>
      <c r="O3" s="20"/>
      <c r="P3" s="20"/>
      <c r="Q3" s="20"/>
      <c r="R3" s="20"/>
      <c r="S3" s="20"/>
      <c r="U3" s="20"/>
      <c r="V3" s="20"/>
      <c r="W3" s="20"/>
      <c r="X3" s="20"/>
      <c r="Y3" s="20"/>
      <c r="Z3" s="1"/>
      <c r="AA3" s="20"/>
      <c r="AB3" s="20"/>
      <c r="AC3" s="20"/>
      <c r="AD3" s="20"/>
      <c r="AE3" s="20"/>
      <c r="AF3" s="1"/>
    </row>
    <row r="4" spans="1:32" ht="15.75" hidden="1" outlineLevel="1" thickBot="1" x14ac:dyDescent="0.3">
      <c r="A4">
        <f>2</f>
        <v>2</v>
      </c>
      <c r="B4" s="6"/>
      <c r="C4" s="6"/>
      <c r="D4" s="6"/>
      <c r="E4" s="6"/>
      <c r="F4" s="6"/>
      <c r="G4" s="6"/>
      <c r="H4" s="6"/>
      <c r="J4" s="24" t="s">
        <v>56</v>
      </c>
      <c r="K4" s="29"/>
      <c r="L4" s="33"/>
      <c r="M4" s="35"/>
      <c r="O4" s="20"/>
      <c r="P4" s="20"/>
      <c r="Q4" s="20"/>
      <c r="R4" s="20"/>
      <c r="S4" s="20"/>
      <c r="U4" s="20"/>
      <c r="V4" s="20"/>
      <c r="W4" s="20"/>
      <c r="X4" s="20"/>
      <c r="Y4" s="20"/>
      <c r="Z4" s="1"/>
      <c r="AA4" s="20"/>
      <c r="AB4" s="20"/>
      <c r="AC4" s="20"/>
      <c r="AD4" s="20"/>
      <c r="AE4" s="20"/>
      <c r="AF4" s="1"/>
    </row>
    <row r="5" spans="1:32" ht="15.75" hidden="1" outlineLevel="1" thickBot="1" x14ac:dyDescent="0.3">
      <c r="A5">
        <f>3</f>
        <v>3</v>
      </c>
      <c r="B5" s="6"/>
      <c r="C5" s="6"/>
      <c r="D5" s="6"/>
      <c r="E5" s="6"/>
      <c r="F5" s="6"/>
      <c r="G5" s="6"/>
      <c r="H5" s="6"/>
      <c r="J5" s="25" t="s">
        <v>7</v>
      </c>
      <c r="K5" s="29"/>
      <c r="L5" s="33"/>
      <c r="M5" s="35"/>
      <c r="O5" s="20"/>
      <c r="P5" s="20"/>
      <c r="Q5" s="20"/>
      <c r="R5" s="20"/>
      <c r="S5" s="20"/>
      <c r="U5" s="20"/>
      <c r="V5" s="20"/>
      <c r="W5" s="20"/>
      <c r="X5" s="20"/>
      <c r="Y5" s="20"/>
      <c r="Z5" s="1"/>
      <c r="AA5" s="20"/>
      <c r="AB5" s="20"/>
      <c r="AC5" s="20"/>
      <c r="AD5" s="20"/>
      <c r="AE5" s="20"/>
      <c r="AF5" s="1"/>
    </row>
    <row r="6" spans="1:32" ht="15.75" hidden="1" outlineLevel="1" thickBot="1" x14ac:dyDescent="0.3">
      <c r="A6" t="s">
        <v>7</v>
      </c>
      <c r="B6" s="6"/>
      <c r="C6" s="6"/>
      <c r="D6" s="6"/>
      <c r="E6" s="6"/>
      <c r="F6" s="6"/>
      <c r="G6" s="6"/>
      <c r="H6" s="6"/>
      <c r="J6" s="25" t="s">
        <v>57</v>
      </c>
      <c r="K6" s="29"/>
      <c r="L6" s="33"/>
      <c r="M6" s="35"/>
      <c r="O6" s="20"/>
      <c r="P6" s="20"/>
      <c r="Q6" s="20"/>
      <c r="R6" s="20"/>
      <c r="S6" s="20"/>
      <c r="U6" s="20"/>
      <c r="V6" s="20"/>
      <c r="W6" s="20"/>
      <c r="X6" s="20"/>
      <c r="Y6" s="20"/>
      <c r="Z6" s="1"/>
      <c r="AA6" s="20"/>
      <c r="AB6" s="20"/>
      <c r="AC6" s="20"/>
      <c r="AD6" s="20"/>
      <c r="AE6" s="20"/>
      <c r="AF6" s="1"/>
    </row>
    <row r="7" spans="1:32" ht="15.75" hidden="1" outlineLevel="1" thickBot="1" x14ac:dyDescent="0.3">
      <c r="A7" t="s">
        <v>8</v>
      </c>
      <c r="B7" s="6"/>
      <c r="C7" s="6"/>
      <c r="D7" s="6"/>
      <c r="E7" s="6"/>
      <c r="F7" s="6"/>
      <c r="G7" s="6"/>
      <c r="H7" s="6"/>
      <c r="J7" s="17" t="s">
        <v>58</v>
      </c>
      <c r="K7" s="30"/>
      <c r="L7" s="34"/>
      <c r="M7" s="36"/>
      <c r="O7" s="15"/>
      <c r="P7" s="15"/>
      <c r="Q7" s="15"/>
      <c r="R7" s="15"/>
      <c r="S7" s="15"/>
      <c r="U7" s="15"/>
      <c r="V7" s="15"/>
      <c r="W7" s="15"/>
      <c r="X7" s="15"/>
      <c r="Y7" s="15"/>
      <c r="AA7" s="15"/>
      <c r="AB7" s="15"/>
      <c r="AC7" s="15"/>
      <c r="AD7" s="15"/>
      <c r="AE7" s="15"/>
    </row>
    <row r="8" spans="1:32" hidden="1" outlineLevel="1" x14ac:dyDescent="0.25">
      <c r="A8" t="s">
        <v>10</v>
      </c>
    </row>
    <row r="9" spans="1:32" hidden="1" outlineLevel="1" x14ac:dyDescent="0.25"/>
    <row r="10" spans="1:32" hidden="1" outlineLevel="1" x14ac:dyDescent="0.25"/>
    <row r="11" spans="1:32" hidden="1" outlineLevel="1" x14ac:dyDescent="0.25">
      <c r="B11" s="43" t="s">
        <v>11</v>
      </c>
      <c r="C11" s="44"/>
      <c r="D11" s="45"/>
    </row>
    <row r="12" spans="1:32" hidden="1" outlineLevel="1" x14ac:dyDescent="0.25">
      <c r="B12" s="2" t="s">
        <v>12</v>
      </c>
      <c r="C12" s="3" t="s">
        <v>122</v>
      </c>
      <c r="D12" s="4"/>
    </row>
    <row r="13" spans="1:32" hidden="1" outlineLevel="1" x14ac:dyDescent="0.25">
      <c r="B13" s="2" t="s">
        <v>0</v>
      </c>
      <c r="C13" s="5" t="str" cm="1">
        <f t="array" aca="1" ref="C13" ca="1">_xll.VIEW(db_name&amp;":}ElementAttributes_}Clients","!","!")</f>
        <v>dcceew_geus:}ElementAttributes_}Clients</v>
      </c>
      <c r="D13" s="4"/>
    </row>
    <row r="14" spans="1:32" hidden="1" outlineLevel="1" x14ac:dyDescent="0.25">
      <c r="B14" s="2" t="s">
        <v>13</v>
      </c>
      <c r="C14" s="3" t="str" cm="1">
        <f t="array" aca="1" ref="C14" ca="1">_xll.TM1USER(db_name)</f>
        <v/>
      </c>
      <c r="D14" s="4"/>
    </row>
    <row r="15" spans="1:32" hidden="1" outlineLevel="1" x14ac:dyDescent="0.25">
      <c r="B15" s="2" t="s">
        <v>14</v>
      </c>
      <c r="C15" s="3" t="str" cm="1">
        <f t="array" aca="1" ref="C15" ca="1">_xll.DBR($C$13,$C$14,$B15)</f>
        <v>*KEY_ERR</v>
      </c>
      <c r="D15" s="4"/>
    </row>
    <row r="16" spans="1:32" hidden="1" outlineLevel="1" x14ac:dyDescent="0.25">
      <c r="B16" s="2" t="s">
        <v>15</v>
      </c>
      <c r="C16" s="3" t="str" cm="1">
        <f t="array" aca="1" ref="C16" ca="1">_xll.DBR($C$13,$C$14,$B16)</f>
        <v>*KEY_ERR</v>
      </c>
      <c r="D16" s="4"/>
    </row>
    <row r="17" spans="2:19" hidden="1" outlineLevel="1" x14ac:dyDescent="0.25">
      <c r="B17" s="2" t="s">
        <v>16</v>
      </c>
      <c r="C17" s="3" t="str">
        <f ca="1">IF(LEFT($C$15,6)="CAM_AD",$C$16,$C$15)</f>
        <v>*KEY_ERR</v>
      </c>
      <c r="D17" s="6"/>
    </row>
    <row r="18" spans="2:19" hidden="1" outlineLevel="1" x14ac:dyDescent="0.25"/>
    <row r="19" spans="2:19" hidden="1" outlineLevel="1" x14ac:dyDescent="0.25">
      <c r="B19" s="43" t="s">
        <v>17</v>
      </c>
      <c r="C19" s="44"/>
      <c r="D19" s="45"/>
    </row>
    <row r="20" spans="2:19" hidden="1" outlineLevel="1" x14ac:dyDescent="0.25">
      <c r="B20" s="2" t="s">
        <v>18</v>
      </c>
      <c r="C20" s="6" t="str" cm="1">
        <f t="array" aca="1" ref="C20" ca="1">_xll.VIEW(db_name&amp;":}ElementAttributes_variables","!","!")</f>
        <v>dcceew_geus:}ElementAttributes_variables</v>
      </c>
      <c r="D20" s="6"/>
    </row>
    <row r="21" spans="2:19" hidden="1" outlineLevel="1" x14ac:dyDescent="0.25">
      <c r="B21" s="2" t="s">
        <v>19</v>
      </c>
      <c r="C21" s="6" t="str" cm="1">
        <f t="array" aca="1" ref="C21" ca="1">_xll.DBR($C$20,$B21,"value")</f>
        <v>*KEY_ERR</v>
      </c>
      <c r="D21" s="6"/>
    </row>
    <row r="22" spans="2:19" hidden="1" outlineLevel="1" x14ac:dyDescent="0.25">
      <c r="B22" s="2" t="s">
        <v>20</v>
      </c>
      <c r="C22" s="6" t="str" cm="1">
        <f t="array" aca="1" ref="C22" ca="1">_xll.DBR($C$20,$B22,"value")</f>
        <v>*KEY_ERR</v>
      </c>
      <c r="D22" s="6"/>
    </row>
    <row r="23" spans="2:19" hidden="1" outlineLevel="1" x14ac:dyDescent="0.25"/>
    <row r="24" spans="2:19" hidden="1" outlineLevel="1" x14ac:dyDescent="0.25">
      <c r="B24" s="43" t="s">
        <v>24</v>
      </c>
      <c r="C24" s="44"/>
      <c r="D24" s="45"/>
    </row>
    <row r="25" spans="2:19" hidden="1" outlineLevel="1" x14ac:dyDescent="0.25">
      <c r="B25" s="6" t="s">
        <v>25</v>
      </c>
      <c r="C25" s="6" t="str">
        <f ca="1">_xll.VIEW(db_name&amp;":sys_application","!","!")</f>
        <v>dcceew_geus:sys_application</v>
      </c>
    </row>
    <row r="26" spans="2:19" hidden="1" outlineLevel="1" x14ac:dyDescent="0.25">
      <c r="B26" s="6" t="s">
        <v>26</v>
      </c>
      <c r="C26" t="s">
        <v>119</v>
      </c>
    </row>
    <row r="27" spans="2:19" ht="15.75" hidden="1" outlineLevel="1" thickBot="1" x14ac:dyDescent="0.3">
      <c r="B27" s="7" t="s">
        <v>27</v>
      </c>
      <c r="C27" s="8" t="s">
        <v>28</v>
      </c>
      <c r="D27" s="8" t="s">
        <v>29</v>
      </c>
      <c r="E27" s="8" t="s">
        <v>30</v>
      </c>
      <c r="F27" s="8" t="s">
        <v>31</v>
      </c>
      <c r="G27" s="8" t="s">
        <v>32</v>
      </c>
      <c r="H27" s="8" t="s">
        <v>33</v>
      </c>
      <c r="S27" s="12" t="s">
        <v>49</v>
      </c>
    </row>
    <row r="28" spans="2:19" ht="15.75" hidden="1" outlineLevel="1" thickBot="1" x14ac:dyDescent="0.3">
      <c r="B28" s="6" t="s">
        <v>34</v>
      </c>
      <c r="C28" s="6" t="str" cm="1">
        <f t="array" aca="1" ref="C28" ca="1">_xll.DBR($C$25,$B28,C$27)</f>
        <v>*KEY_ERR</v>
      </c>
      <c r="D28" s="6" t="str" cm="1">
        <f t="array" aca="1" ref="D28" ca="1">_xll.DBR($C$25,$B28,D$27)</f>
        <v>*KEY_ERR</v>
      </c>
      <c r="E28" s="6" t="str" cm="1">
        <f t="array" aca="1" ref="E28" ca="1">_xll.DBR($C$25,$B28,E$27)</f>
        <v>*KEY_ERR</v>
      </c>
      <c r="F28" s="6" t="str" cm="1">
        <f t="array" aca="1" ref="F28" ca="1">_xll.DBR($C$25,$B28,F$27)</f>
        <v>*KEY_ERR</v>
      </c>
      <c r="G28" s="6" t="str" cm="1">
        <f t="array" aca="1" ref="G28" ca="1">_xll.DBR($C$25,$B28,G$27)</f>
        <v>*KEY_ERR</v>
      </c>
      <c r="H28" s="6" t="str" cm="1">
        <f t="array" aca="1" ref="H28" ca="1">_xll.DBR($C$25,$B28,H$27)</f>
        <v>*KEY_ERR</v>
      </c>
      <c r="R28" s="11" t="s">
        <v>50</v>
      </c>
      <c r="S28" s="13" t="str" cm="1">
        <f t="array" aca="1" ref="S28" ca="1">_xll.SUBNM(db_name&amp;":sys_report display","","Expand")</f>
        <v/>
      </c>
    </row>
    <row r="29" spans="2:19" hidden="1" outlineLevel="1" x14ac:dyDescent="0.25">
      <c r="B29" s="6" t="s">
        <v>35</v>
      </c>
      <c r="C29" s="6" t="str" cm="1">
        <f t="array" aca="1" ref="C29" ca="1">_xll.DBR($C$25,$B29,C$27)</f>
        <v>*KEY_ERR</v>
      </c>
      <c r="D29" s="6" t="str" cm="1">
        <f t="array" aca="1" ref="D29" ca="1">_xll.DBR($C$25,$B29,D$27)</f>
        <v>*KEY_ERR</v>
      </c>
      <c r="E29" s="6" t="str" cm="1">
        <f t="array" aca="1" ref="E29" ca="1">_xll.DBR($C$25,$B29,E$27)</f>
        <v>*KEY_ERR</v>
      </c>
      <c r="F29" s="6" t="str" cm="1">
        <f t="array" aca="1" ref="F29" ca="1">_xll.DBR($C$25,$B29,F$27)</f>
        <v>*KEY_ERR</v>
      </c>
      <c r="G29" s="6" t="str" cm="1">
        <f t="array" aca="1" ref="G29" ca="1">_xll.DBR($C$25,$B29,G$27)</f>
        <v>*KEY_ERR</v>
      </c>
      <c r="H29" s="6" t="str" cm="1">
        <f t="array" aca="1" ref="H29" ca="1">_xll.DBR($C$25,$B29,H$27)</f>
        <v>*KEY_ERR</v>
      </c>
    </row>
    <row r="30" spans="2:19" hidden="1" outlineLevel="1" x14ac:dyDescent="0.25">
      <c r="B30" s="6" t="s">
        <v>36</v>
      </c>
      <c r="C30" s="6" t="str" cm="1">
        <f t="array" aca="1" ref="C30" ca="1">_xll.DBR($C$25,$B30,C$27)</f>
        <v>*KEY_ERR</v>
      </c>
      <c r="D30" s="6" t="str" cm="1">
        <f t="array" aca="1" ref="D30" ca="1">_xll.DBR($C$25,$B30,D$27)</f>
        <v>*KEY_ERR</v>
      </c>
      <c r="E30" s="6" t="str" cm="1">
        <f t="array" aca="1" ref="E30" ca="1">_xll.DBR($C$25,$B30,E$27)</f>
        <v>*KEY_ERR</v>
      </c>
      <c r="F30" s="6" t="str" cm="1">
        <f t="array" aca="1" ref="F30" ca="1">_xll.DBR($C$25,$B30,F$27)</f>
        <v>*KEY_ERR</v>
      </c>
      <c r="G30" s="6" t="str" cm="1">
        <f t="array" aca="1" ref="G30" ca="1">_xll.DBR($C$25,$B30,G$27)</f>
        <v>*KEY_ERR</v>
      </c>
      <c r="H30" s="6" t="str" cm="1">
        <f t="array" aca="1" ref="H30" ca="1">_xll.DBR($C$25,$B30,H$27)</f>
        <v>*KEY_ERR</v>
      </c>
    </row>
    <row r="31" spans="2:19" hidden="1" outlineLevel="1" x14ac:dyDescent="0.25">
      <c r="B31" s="6" t="s">
        <v>37</v>
      </c>
      <c r="C31" s="6" t="str" cm="1">
        <f t="array" aca="1" ref="C31" ca="1">_xll.DBR($C$25,$B31,C$27)</f>
        <v>*KEY_ERR</v>
      </c>
      <c r="D31" s="6" t="str" cm="1">
        <f t="array" aca="1" ref="D31" ca="1">_xll.DBR($C$25,$B31,D$27)</f>
        <v>*KEY_ERR</v>
      </c>
      <c r="E31" s="6" t="str" cm="1">
        <f t="array" aca="1" ref="E31" ca="1">_xll.DBR($C$25,$B31,E$27)</f>
        <v>*KEY_ERR</v>
      </c>
      <c r="F31" s="6" t="str" cm="1">
        <f t="array" aca="1" ref="F31" ca="1">_xll.DBR($C$25,$B31,F$27)</f>
        <v>*KEY_ERR</v>
      </c>
      <c r="G31" s="6" t="str" cm="1">
        <f t="array" aca="1" ref="G31" ca="1">_xll.DBR($C$25,$B31,G$27)</f>
        <v>*KEY_ERR</v>
      </c>
      <c r="H31" s="6" t="str" cm="1">
        <f t="array" aca="1" ref="H31" ca="1">_xll.DBR($C$25,$B31,H$27)</f>
        <v>*KEY_ERR</v>
      </c>
    </row>
    <row r="32" spans="2:19" hidden="1" outlineLevel="1" x14ac:dyDescent="0.25">
      <c r="B32" s="6" t="s">
        <v>38</v>
      </c>
      <c r="C32" s="6" t="str" cm="1">
        <f t="array" aca="1" ref="C32" ca="1">_xll.DBR($C$25,$B32,C$27)</f>
        <v>*KEY_ERR</v>
      </c>
      <c r="D32" s="6" t="str" cm="1">
        <f t="array" aca="1" ref="D32" ca="1">_xll.DBR($C$25,$B32,D$27)</f>
        <v>*KEY_ERR</v>
      </c>
      <c r="E32" s="6" t="str" cm="1">
        <f t="array" aca="1" ref="E32" ca="1">_xll.DBR($C$25,$B32,E$27)</f>
        <v>*KEY_ERR</v>
      </c>
      <c r="F32" s="6" t="str" cm="1">
        <f t="array" aca="1" ref="F32" ca="1">_xll.DBR($C$25,$B32,F$27)</f>
        <v>*KEY_ERR</v>
      </c>
      <c r="G32" s="6" t="str" cm="1">
        <f t="array" aca="1" ref="G32" ca="1">_xll.DBR($C$25,$B32,G$27)</f>
        <v>*KEY_ERR</v>
      </c>
      <c r="H32" s="6" t="str" cm="1">
        <f t="array" aca="1" ref="H32" ca="1">_xll.DBR($C$25,$B32,H$27)</f>
        <v>*KEY_ERR</v>
      </c>
    </row>
    <row r="33" spans="2:31" hidden="1" outlineLevel="1" x14ac:dyDescent="0.25">
      <c r="B33" s="6" t="s">
        <v>89</v>
      </c>
      <c r="C33" s="6" t="str" cm="1">
        <f t="array" aca="1" ref="C33" ca="1">_xll.DBR($C$25,$B33,C$27)</f>
        <v>*KEY_ERR</v>
      </c>
      <c r="D33" s="6" t="str" cm="1">
        <f t="array" aca="1" ref="D33" ca="1">_xll.DBR($C$25,$B33,D$27)</f>
        <v>*KEY_ERR</v>
      </c>
      <c r="E33" s="6" t="str" cm="1">
        <f t="array" aca="1" ref="E33" ca="1">_xll.DBR($C$25,$B33,E$27)</f>
        <v>*KEY_ERR</v>
      </c>
      <c r="F33" s="6" t="str" cm="1">
        <f t="array" aca="1" ref="F33" ca="1">_xll.DBR($C$25,$B33,F$27)</f>
        <v>*KEY_ERR</v>
      </c>
      <c r="G33" s="6" t="str" cm="1">
        <f t="array" aca="1" ref="G33" ca="1">_xll.DBR($C$25,$B33,G$27)</f>
        <v>*KEY_ERR</v>
      </c>
      <c r="H33" s="6" t="str" cm="1">
        <f t="array" aca="1" ref="H33" ca="1">_xll.DBR($C$25,$B33,H$27)</f>
        <v>*KEY_ERR</v>
      </c>
    </row>
    <row r="34" spans="2:31" hidden="1" outlineLevel="1" x14ac:dyDescent="0.25">
      <c r="B34" s="6" t="s">
        <v>90</v>
      </c>
      <c r="C34" s="6" t="str" cm="1">
        <f t="array" aca="1" ref="C34" ca="1">_xll.DBR($C$25,$B34,C$27)</f>
        <v>*KEY_ERR</v>
      </c>
      <c r="D34" s="6" t="str" cm="1">
        <f t="array" aca="1" ref="D34" ca="1">_xll.DBR($C$25,$B34,D$27)</f>
        <v>*KEY_ERR</v>
      </c>
      <c r="E34" s="6" t="str" cm="1">
        <f t="array" aca="1" ref="E34" ca="1">_xll.DBR($C$25,$B34,E$27)</f>
        <v>*KEY_ERR</v>
      </c>
      <c r="F34" s="6" t="str" cm="1">
        <f t="array" aca="1" ref="F34" ca="1">_xll.DBR($C$25,$B34,F$27)</f>
        <v>*KEY_ERR</v>
      </c>
      <c r="G34" s="6" t="str" cm="1">
        <f t="array" aca="1" ref="G34" ca="1">_xll.DBR($C$25,$B34,G$27)</f>
        <v>*KEY_ERR</v>
      </c>
      <c r="H34" s="6" t="str" cm="1">
        <f t="array" aca="1" ref="H34" ca="1">_xll.DBR($C$25,$B34,H$27)</f>
        <v>*KEY_ERR</v>
      </c>
    </row>
    <row r="35" spans="2:31" hidden="1" outlineLevel="1" x14ac:dyDescent="0.25">
      <c r="B35" s="6" t="s">
        <v>92</v>
      </c>
      <c r="C35" s="6" t="str" cm="1">
        <f t="array" aca="1" ref="C35" ca="1">_xll.DBR($C$25,$B35,C$27)</f>
        <v>*KEY_ERR</v>
      </c>
      <c r="D35" s="6" t="str" cm="1">
        <f t="array" aca="1" ref="D35" ca="1">_xll.DBR($C$25,$B35,D$27)</f>
        <v>*KEY_ERR</v>
      </c>
      <c r="E35" s="6" t="str" cm="1">
        <f t="array" aca="1" ref="E35" ca="1">_xll.DBR($C$25,$B35,E$27)</f>
        <v>*KEY_ERR</v>
      </c>
      <c r="F35" s="6" t="str" cm="1">
        <f t="array" aca="1" ref="F35" ca="1">_xll.DBR($C$25,$B35,F$27)</f>
        <v>*KEY_ERR</v>
      </c>
      <c r="G35" s="6" t="str" cm="1">
        <f t="array" aca="1" ref="G35" ca="1">_xll.DBR($C$25,$B35,G$27)</f>
        <v>*KEY_ERR</v>
      </c>
      <c r="H35" s="6" t="str" cm="1">
        <f t="array" aca="1" ref="H35" ca="1">_xll.DBR($C$25,$B35,H$27)</f>
        <v>*KEY_ERR</v>
      </c>
    </row>
    <row r="36" spans="2:31" hidden="1" outlineLevel="1" x14ac:dyDescent="0.25">
      <c r="B36" s="6" t="s">
        <v>93</v>
      </c>
      <c r="C36" s="6" t="str" cm="1">
        <f t="array" aca="1" ref="C36" ca="1">_xll.DBR($C$25,$B36,C$27)</f>
        <v>*KEY_ERR</v>
      </c>
      <c r="D36" s="6" t="str" cm="1">
        <f t="array" aca="1" ref="D36" ca="1">_xll.DBR($C$25,$B36,D$27)</f>
        <v>*KEY_ERR</v>
      </c>
      <c r="E36" s="6" t="str" cm="1">
        <f t="array" aca="1" ref="E36" ca="1">_xll.DBR($C$25,$B36,E$27)</f>
        <v>*KEY_ERR</v>
      </c>
      <c r="F36" s="6" t="str" cm="1">
        <f t="array" aca="1" ref="F36" ca="1">_xll.DBR($C$25,$B36,F$27)</f>
        <v>*KEY_ERR</v>
      </c>
      <c r="G36" s="6" t="str" cm="1">
        <f t="array" aca="1" ref="G36" ca="1">_xll.DBR($C$25,$B36,G$27)</f>
        <v>*KEY_ERR</v>
      </c>
      <c r="H36" s="6" t="str" cm="1">
        <f t="array" aca="1" ref="H36" ca="1">_xll.DBR($C$25,$B36,H$27)</f>
        <v>*KEY_ERR</v>
      </c>
    </row>
    <row r="37" spans="2:31" hidden="1" outlineLevel="1" x14ac:dyDescent="0.25">
      <c r="B37" s="6" t="s">
        <v>94</v>
      </c>
      <c r="C37" s="6" t="str" cm="1">
        <f t="array" aca="1" ref="C37" ca="1">_xll.DBR($C$25,$B37,C$27)</f>
        <v>*KEY_ERR</v>
      </c>
      <c r="D37" s="6" t="str" cm="1">
        <f t="array" aca="1" ref="D37" ca="1">_xll.DBR($C$25,$B37,D$27)</f>
        <v>*KEY_ERR</v>
      </c>
      <c r="E37" s="6" t="str" cm="1">
        <f t="array" aca="1" ref="E37" ca="1">_xll.DBR($C$25,$B37,E$27)</f>
        <v>*KEY_ERR</v>
      </c>
      <c r="F37" s="6" t="str" cm="1">
        <f t="array" aca="1" ref="F37" ca="1">_xll.DBR($C$25,$B37,F$27)</f>
        <v>*KEY_ERR</v>
      </c>
      <c r="G37" s="6" t="str" cm="1">
        <f t="array" aca="1" ref="G37" ca="1">_xll.DBR($C$25,$B37,G$27)</f>
        <v>*KEY_ERR</v>
      </c>
      <c r="H37" s="6" t="str" cm="1">
        <f t="array" aca="1" ref="H37" ca="1">_xll.DBR($C$25,$B37,H$27)</f>
        <v>*KEY_ERR</v>
      </c>
    </row>
    <row r="38" spans="2:31" hidden="1" outlineLevel="1" x14ac:dyDescent="0.25">
      <c r="B38" s="6" t="s">
        <v>95</v>
      </c>
      <c r="C38" s="6" t="str" cm="1">
        <f t="array" aca="1" ref="C38" ca="1">_xll.DBR($C$25,$B38,C$27)</f>
        <v>*KEY_ERR</v>
      </c>
      <c r="D38" s="6" t="str" cm="1">
        <f t="array" aca="1" ref="D38" ca="1">_xll.DBR($C$25,$B38,D$27)</f>
        <v>*KEY_ERR</v>
      </c>
      <c r="E38" s="6" t="str" cm="1">
        <f t="array" aca="1" ref="E38" ca="1">_xll.DBR($C$25,$B38,E$27)</f>
        <v>*KEY_ERR</v>
      </c>
      <c r="F38" s="6" t="str" cm="1">
        <f t="array" aca="1" ref="F38" ca="1">_xll.DBR($C$25,$B38,F$27)</f>
        <v>*KEY_ERR</v>
      </c>
      <c r="G38" s="6" t="str" cm="1">
        <f t="array" aca="1" ref="G38" ca="1">_xll.DBR($C$25,$B38,G$27)</f>
        <v>*KEY_ERR</v>
      </c>
      <c r="H38" s="6" t="str" cm="1">
        <f t="array" aca="1" ref="H38" ca="1">_xll.DBR($C$25,$B38,H$27)</f>
        <v>*KEY_ERR</v>
      </c>
    </row>
    <row r="39" spans="2:31" hidden="1" outlineLevel="1" x14ac:dyDescent="0.25">
      <c r="B39" s="6" t="s">
        <v>97</v>
      </c>
      <c r="C39" s="6" t="str" cm="1">
        <f t="array" aca="1" ref="C39" ca="1">_xll.DBR($C$25,$B39,C$27)</f>
        <v>*KEY_ERR</v>
      </c>
      <c r="D39" s="6" t="str" cm="1">
        <f t="array" aca="1" ref="D39" ca="1">_xll.DBR($C$25,$B39,D$27)</f>
        <v>*KEY_ERR</v>
      </c>
      <c r="E39" s="6" t="str" cm="1">
        <f t="array" aca="1" ref="E39" ca="1">_xll.DBR($C$25,$B39,E$27)</f>
        <v>*KEY_ERR</v>
      </c>
      <c r="F39" s="6" t="str" cm="1">
        <f t="array" aca="1" ref="F39" ca="1">_xll.DBR($C$25,$B39,F$27)</f>
        <v>*KEY_ERR</v>
      </c>
      <c r="G39" s="6" t="str" cm="1">
        <f t="array" aca="1" ref="G39" ca="1">_xll.DBR($C$25,$B39,G$27)</f>
        <v>*KEY_ERR</v>
      </c>
      <c r="H39" s="6" t="str" cm="1">
        <f t="array" aca="1" ref="H39" ca="1">_xll.DBR($C$25,$B39,H$27)</f>
        <v>*KEY_ERR</v>
      </c>
    </row>
    <row r="40" spans="2:31" hidden="1" outlineLevel="1" x14ac:dyDescent="0.25">
      <c r="B40" t="s">
        <v>119</v>
      </c>
      <c r="C40" s="6" t="str" cm="1">
        <f t="array" aca="1" ref="C40" ca="1">_xll.DBR($C$25,$B40,C$27)</f>
        <v>*KEY_ERR</v>
      </c>
      <c r="D40" s="6" t="str" cm="1">
        <f t="array" aca="1" ref="D40" ca="1">_xll.DBR($C$25,$B40,D$27)</f>
        <v>*KEY_ERR</v>
      </c>
      <c r="E40" s="6" t="str" cm="1">
        <f t="array" aca="1" ref="E40" ca="1">_xll.DBR($C$25,$B40,E$27)</f>
        <v>*KEY_ERR</v>
      </c>
      <c r="F40" s="6" t="str" cm="1">
        <f t="array" aca="1" ref="F40" ca="1">_xll.DBR($C$25,$B40,F$27)</f>
        <v>*KEY_ERR</v>
      </c>
      <c r="G40" s="6" t="str" cm="1">
        <f t="array" aca="1" ref="G40" ca="1">_xll.DBR($C$25,$B40,G$27)</f>
        <v>*KEY_ERR</v>
      </c>
      <c r="H40" s="6" t="str" cm="1">
        <f t="array" aca="1" ref="H40" ca="1">_xll.DBR($C$25,$B40,H$27)</f>
        <v>*KEY_ERR</v>
      </c>
    </row>
    <row r="41" spans="2:31" hidden="1" outlineLevel="1" x14ac:dyDescent="0.25"/>
    <row r="42" spans="2:31" hidden="1" outlineLevel="1" x14ac:dyDescent="0.25">
      <c r="B42" s="43" t="s">
        <v>21</v>
      </c>
      <c r="C42" s="44"/>
      <c r="D42" s="45"/>
      <c r="L42" s="9" t="s">
        <v>39</v>
      </c>
      <c r="M42" s="9"/>
      <c r="O42" s="9"/>
      <c r="P42" s="9"/>
      <c r="Q42" s="9"/>
      <c r="R42" s="9"/>
      <c r="S42" s="9"/>
      <c r="T42" s="9"/>
      <c r="AA42" s="27"/>
      <c r="AB42" s="27"/>
      <c r="AC42" s="27"/>
      <c r="AD42" s="27"/>
      <c r="AE42" s="27"/>
    </row>
    <row r="43" spans="2:31" hidden="1" outlineLevel="1" x14ac:dyDescent="0.25">
      <c r="B43" s="2" t="s">
        <v>22</v>
      </c>
      <c r="C43" s="6" t="str">
        <f ca="1">_xll.TM1RPTVIEW(db_name&amp;":AE parameters and FE3 calculation:1", 1,_xll.TM1RPTTITLE(db_name&amp;":spp",$C$50), _xll.TM1RPTTITLE(db_name&amp;":related entity",$C$51), _xll.TM1RPTTITLE(db_name&amp;":jurisdiction",$C$52), _xll.TM1RPTTITLE(db_name&amp;":appropriation item",$C$53), _xll.TM1RPTTITLE(db_name&amp;":measure code",$K$101), _xll.TM1RPTTITLE(db_name&amp;":id",$C$54),TM1RPTFMTRNG,TM1RPTFMTIDCOL)</f>
        <v>dcceew_geus:AE parameters and FE3 calculation:1</v>
      </c>
      <c r="D43" s="6"/>
      <c r="L43" s="10" t="str">
        <f ca="1">RIGHT(psHLYear,9)</f>
        <v>*KEY_ERR</v>
      </c>
      <c r="M43" s="14"/>
      <c r="O43" s="6" t="str" cm="1">
        <f t="array" aca="1" ref="O43" ca="1">_xll.DIMNM(db_name&amp;":period",_xll.DIMIX(db_name&amp;":period",$L$43)+O$44)</f>
        <v/>
      </c>
      <c r="P43" s="6" t="str" cm="1">
        <f t="array" aca="1" ref="P43" ca="1">_xll.DIMNM(db_name&amp;":period",_xll.DIMIX(db_name&amp;":period",$L$43)+P$44)</f>
        <v/>
      </c>
      <c r="Q43" s="6" t="str" cm="1">
        <f t="array" aca="1" ref="Q43" ca="1">_xll.DIMNM(db_name&amp;":period",_xll.DIMIX(db_name&amp;":period",$L$43)+Q$44)</f>
        <v/>
      </c>
      <c r="R43" s="6" t="str" cm="1">
        <f t="array" aca="1" ref="R43" ca="1">_xll.DIMNM(db_name&amp;":period",_xll.DIMIX(db_name&amp;":period",$L$43)+R$44)</f>
        <v/>
      </c>
      <c r="S43" s="6" t="str" cm="1">
        <f t="array" aca="1" ref="S43" ca="1">_xll.DIMNM(db_name&amp;":period",_xll.DIMIX(db_name&amp;":period",$L$43)+S$44)</f>
        <v/>
      </c>
      <c r="T43" s="14"/>
      <c r="U43" s="6" t="str" cm="1">
        <f t="array" aca="1" ref="U43" ca="1">_xll.DIMNM(db_name&amp;":period",_xll.DIMIX(db_name&amp;":period",$L$43)+U$44)</f>
        <v/>
      </c>
      <c r="V43" s="6" t="str" cm="1">
        <f t="array" aca="1" ref="V43" ca="1">_xll.DIMNM(db_name&amp;":period",_xll.DIMIX(db_name&amp;":period",$L$43)+V$44)</f>
        <v/>
      </c>
      <c r="W43" s="6" t="str" cm="1">
        <f t="array" aca="1" ref="W43" ca="1">_xll.DIMNM(db_name&amp;":period",_xll.DIMIX(db_name&amp;":period",$L$43)+W$44)</f>
        <v/>
      </c>
      <c r="X43" s="6" t="str" cm="1">
        <f t="array" aca="1" ref="X43" ca="1">_xll.DIMNM(db_name&amp;":period",_xll.DIMIX(db_name&amp;":period",$L$43)+X$44)</f>
        <v/>
      </c>
      <c r="Y43" s="6" t="str" cm="1">
        <f t="array" aca="1" ref="Y43" ca="1">_xll.DIMNM(db_name&amp;":period",_xll.DIMIX(db_name&amp;":period",$L$43)+Y$44)</f>
        <v/>
      </c>
      <c r="AA43" s="6" t="str" cm="1">
        <f t="array" aca="1" ref="AA43" ca="1">_xll.DIMNM(db_name&amp;":period",_xll.DIMIX(db_name&amp;":period",$L$43)+AA$44)</f>
        <v/>
      </c>
      <c r="AB43" s="6" t="str" cm="1">
        <f t="array" aca="1" ref="AB43" ca="1">_xll.DIMNM(db_name&amp;":period",_xll.DIMIX(db_name&amp;":period",$L$43)+AB$44)</f>
        <v/>
      </c>
      <c r="AC43" s="6" t="str" cm="1">
        <f t="array" aca="1" ref="AC43" ca="1">_xll.DIMNM(db_name&amp;":period",_xll.DIMIX(db_name&amp;":period",$L$43)+AC$44)</f>
        <v/>
      </c>
      <c r="AD43" s="6" t="str" cm="1">
        <f t="array" aca="1" ref="AD43" ca="1">_xll.DIMNM(db_name&amp;":period",_xll.DIMIX(db_name&amp;":period",$L$43)+AD$44)</f>
        <v/>
      </c>
      <c r="AE43" s="6" t="str" cm="1">
        <f t="array" aca="1" ref="AE43" ca="1">_xll.DIMNM(db_name&amp;":period",_xll.DIMIX(db_name&amp;":period",$L$43)+AE$44)</f>
        <v/>
      </c>
    </row>
    <row r="44" spans="2:31" hidden="1" outlineLevel="1" x14ac:dyDescent="0.25">
      <c r="B44" s="2" t="s">
        <v>23</v>
      </c>
      <c r="C44" s="6" t="str">
        <f ca="1">_xll.VIEW(db_name&amp;":AE parameters and FE3 calculation","!",$C$50,"!","!",$C$51,$C$52,$C$53,$K$101,$C$54,"!","!")</f>
        <v>dcceew_geus:AE parameters and FE3 calculation</v>
      </c>
      <c r="D44" s="6"/>
      <c r="L44" s="10" t="s">
        <v>41</v>
      </c>
      <c r="M44" s="14"/>
      <c r="O44" s="6">
        <v>-1</v>
      </c>
      <c r="P44" s="6">
        <v>0</v>
      </c>
      <c r="Q44" s="6">
        <v>1</v>
      </c>
      <c r="R44" s="6">
        <v>2</v>
      </c>
      <c r="S44" s="6">
        <v>3</v>
      </c>
      <c r="T44" s="14"/>
      <c r="U44" s="6">
        <v>-1</v>
      </c>
      <c r="V44" s="6">
        <v>0</v>
      </c>
      <c r="W44" s="6">
        <v>1</v>
      </c>
      <c r="X44" s="6">
        <v>2</v>
      </c>
      <c r="Y44" s="6">
        <v>3</v>
      </c>
      <c r="AA44" s="6">
        <v>3</v>
      </c>
      <c r="AB44" s="6">
        <v>3</v>
      </c>
      <c r="AC44" s="6">
        <v>3</v>
      </c>
      <c r="AD44" s="6">
        <v>3</v>
      </c>
      <c r="AE44" s="6">
        <v>3</v>
      </c>
    </row>
    <row r="45" spans="2:31" hidden="1" outlineLevel="1" x14ac:dyDescent="0.25">
      <c r="B45" s="1">
        <v>2</v>
      </c>
      <c r="C45" s="18" t="s">
        <v>40</v>
      </c>
      <c r="D45" s="18" t="s">
        <v>51</v>
      </c>
      <c r="E45" s="18" t="s">
        <v>52</v>
      </c>
      <c r="K45" t="s">
        <v>74</v>
      </c>
      <c r="L45" t="s">
        <v>75</v>
      </c>
      <c r="M45" t="s">
        <v>98</v>
      </c>
      <c r="N45" s="14"/>
      <c r="O45" s="16" t="e">
        <f ca="1">$C$57</f>
        <v>#N/A</v>
      </c>
      <c r="P45" s="16" t="e">
        <f t="shared" ref="P45:S45" ca="1" si="0">$C$57</f>
        <v>#N/A</v>
      </c>
      <c r="Q45" s="16" t="e">
        <f t="shared" ca="1" si="0"/>
        <v>#N/A</v>
      </c>
      <c r="R45" s="16" t="e">
        <f t="shared" ca="1" si="0"/>
        <v>#N/A</v>
      </c>
      <c r="S45" s="16" t="e">
        <f t="shared" ca="1" si="0"/>
        <v>#N/A</v>
      </c>
      <c r="U45" s="16"/>
      <c r="V45" s="16"/>
      <c r="W45" s="16"/>
      <c r="X45" s="16"/>
      <c r="Y45" s="16"/>
      <c r="AA45" s="16"/>
      <c r="AB45" s="16"/>
      <c r="AC45" s="16"/>
      <c r="AD45" s="16"/>
      <c r="AE45" s="16"/>
    </row>
    <row r="46" spans="2:31" hidden="1" outlineLevel="1" x14ac:dyDescent="0.25">
      <c r="B46" s="6" t="s">
        <v>42</v>
      </c>
      <c r="C46" s="6" t="str">
        <f ca="1">IF($S$28="Collapse",$D46,$E46)</f>
        <v>{TM1DRILLDOWNMEMBER( {[programme].[]}, ALL, RECURSIVE )}</v>
      </c>
      <c r="D46" s="6" t="str">
        <f ca="1">"{TM1DRILLDOWNMEMBER( {[programme].[" &amp; $K$96 &amp; "]}, ALL, RECURSIVE )}"</f>
        <v>{TM1DRILLDOWNMEMBER( {[programme].[]}, ALL, RECURSIVE )}</v>
      </c>
      <c r="E46" s="6" t="str">
        <f ca="1">"{TM1DRILLDOWNMEMBER( {[programme].[" &amp; $K$96 &amp; "]}, ALL, RECURSIVE )}"</f>
        <v>{TM1DRILLDOWNMEMBER( {[programme].[]}, ALL, RECURSIVE )}</v>
      </c>
      <c r="O46" s="16" t="str">
        <f ca="1">O$43</f>
        <v/>
      </c>
      <c r="P46" s="16" t="str">
        <f t="shared" ref="P46:S46" ca="1" si="1">P$43</f>
        <v/>
      </c>
      <c r="Q46" s="16" t="str">
        <f t="shared" ca="1" si="1"/>
        <v/>
      </c>
      <c r="R46" s="16" t="str">
        <f t="shared" ca="1" si="1"/>
        <v/>
      </c>
      <c r="S46" s="16" t="str">
        <f t="shared" ca="1" si="1"/>
        <v/>
      </c>
      <c r="U46" s="16" t="str">
        <f ca="1">U$43</f>
        <v/>
      </c>
      <c r="V46" s="16" t="str">
        <f t="shared" ref="V46:AC46" ca="1" si="2">V$43</f>
        <v/>
      </c>
      <c r="W46" s="16" t="str">
        <f t="shared" ca="1" si="2"/>
        <v/>
      </c>
      <c r="X46" s="16" t="str">
        <f t="shared" ca="1" si="2"/>
        <v/>
      </c>
      <c r="Y46" s="16" t="str">
        <f t="shared" ca="1" si="2"/>
        <v/>
      </c>
      <c r="AA46" s="16" t="str">
        <f t="shared" ca="1" si="2"/>
        <v/>
      </c>
      <c r="AB46" s="16" t="str">
        <f t="shared" ca="1" si="2"/>
        <v/>
      </c>
      <c r="AC46" s="16" t="str">
        <f t="shared" ca="1" si="2"/>
        <v/>
      </c>
      <c r="AD46" s="16" t="str">
        <f ca="1">AD$43</f>
        <v/>
      </c>
      <c r="AE46" s="16" t="str">
        <f ca="1">AE$43</f>
        <v/>
      </c>
    </row>
    <row r="47" spans="2:31" hidden="1" outlineLevel="1" x14ac:dyDescent="0.25">
      <c r="B47" s="6" t="s">
        <v>43</v>
      </c>
      <c r="C47" s="6" t="str">
        <f ca="1">IF($S$28="Collapse",$D47,$E47)</f>
        <v>{[account].[]}</v>
      </c>
      <c r="D47" s="6" t="str">
        <f ca="1">"{[account].[" &amp; $K$99 &amp; "]}"</f>
        <v>{[account].[]}</v>
      </c>
      <c r="E47" s="6" t="str">
        <f ca="1">"{[account].[" &amp; $K$99 &amp; "]}"</f>
        <v>{[account].[]}</v>
      </c>
    </row>
    <row r="48" spans="2:31" hidden="1" outlineLevel="1" x14ac:dyDescent="0.25">
      <c r="B48" s="6" t="s">
        <v>44</v>
      </c>
      <c r="C48" s="6" t="str">
        <f ca="1">IF($S$28="Collapse",$D48,$E48)</f>
        <v>{[movement account].[]}</v>
      </c>
      <c r="D48" s="6" t="str">
        <f ca="1">"{[movement account].[" &amp; $K$100 &amp; "]}"</f>
        <v>{[movement account].[]}</v>
      </c>
      <c r="E48" s="6" t="str">
        <f ca="1">"{[movement account].[" &amp; $K$100 &amp; "]}"</f>
        <v>{[movement account].[]}</v>
      </c>
    </row>
    <row r="49" spans="2:19" hidden="1" outlineLevel="1" x14ac:dyDescent="0.25">
      <c r="B49" s="2" t="s">
        <v>0</v>
      </c>
      <c r="C49" s="6" t="str">
        <f ca="1">_xll.SUBNM(db_name&amp;":}Clients","",psUser)</f>
        <v/>
      </c>
    </row>
    <row r="50" spans="2:19" hidden="1" outlineLevel="1" x14ac:dyDescent="0.25">
      <c r="B50" s="2" t="s">
        <v>1</v>
      </c>
      <c r="C50" s="6" t="str">
        <f ca="1">_xll.SUBNM(db_name&amp;":spp","","Total SPP")</f>
        <v/>
      </c>
      <c r="R50" t="s">
        <v>64</v>
      </c>
      <c r="S50" cm="1">
        <f t="array" aca="1" ref="S50" ca="1">_xll.DIMIX(db_name&amp;":period",psFE2Year)</f>
        <v>0</v>
      </c>
    </row>
    <row r="51" spans="2:19" hidden="1" outlineLevel="1" x14ac:dyDescent="0.25">
      <c r="B51" s="2" t="s">
        <v>2</v>
      </c>
      <c r="C51" s="6" t="str">
        <f ca="1">_xll.SUBNM(db_name&amp;":related entity","","Total related entity")</f>
        <v/>
      </c>
      <c r="R51" t="s">
        <v>65</v>
      </c>
      <c r="S51" cm="1">
        <f t="array" aca="1" ref="S51" ca="1">_xll.DIMIX(db_name&amp;":period",psFE3Year)</f>
        <v>0</v>
      </c>
    </row>
    <row r="52" spans="2:19" hidden="1" outlineLevel="1" x14ac:dyDescent="0.25">
      <c r="B52" s="2" t="s">
        <v>3</v>
      </c>
      <c r="C52" s="6" t="str">
        <f ca="1">_xll.SUBNM(db_name&amp;":jurisdiction","","Total jurisdictions")</f>
        <v/>
      </c>
      <c r="S52" t="str">
        <f ca="1">IF(S51&gt;S50,"","Please select a valid FE3 period")</f>
        <v>Please select a valid FE3 period</v>
      </c>
    </row>
    <row r="53" spans="2:19" hidden="1" outlineLevel="1" x14ac:dyDescent="0.25">
      <c r="B53" s="2" t="s">
        <v>4</v>
      </c>
      <c r="C53" s="6" t="str">
        <f ca="1">_xll.SUBNM(db_name&amp;":appropriation item","","Total approp item")</f>
        <v/>
      </c>
    </row>
    <row r="54" spans="2:19" hidden="1" outlineLevel="1" x14ac:dyDescent="0.25">
      <c r="B54" s="2" t="s">
        <v>5</v>
      </c>
      <c r="C54" s="6" t="str">
        <f ca="1">_xll.SUBNM(db_name&amp;":id","","Total IDs")</f>
        <v/>
      </c>
    </row>
    <row r="55" spans="2:19" hidden="1" outlineLevel="1" x14ac:dyDescent="0.25">
      <c r="B55" s="39"/>
      <c r="C55" s="40"/>
    </row>
    <row r="56" spans="2:19" hidden="1" outlineLevel="1" x14ac:dyDescent="0.25">
      <c r="B56" s="43" t="s">
        <v>117</v>
      </c>
      <c r="C56" s="44"/>
      <c r="D56" s="45"/>
    </row>
    <row r="57" spans="2:19" hidden="1" outlineLevel="1" x14ac:dyDescent="0.25">
      <c r="B57" s="2" t="s">
        <v>111</v>
      </c>
      <c r="C57" s="6" t="e">
        <f ca="1">VLOOKUP($C$67,$B$58:$C$61,2,FALSE)</f>
        <v>#N/A</v>
      </c>
    </row>
    <row r="58" spans="2:19" hidden="1" outlineLevel="1" x14ac:dyDescent="0.25">
      <c r="B58" s="6" t="s">
        <v>110</v>
      </c>
      <c r="C58" s="6" t="s">
        <v>53</v>
      </c>
    </row>
    <row r="59" spans="2:19" hidden="1" outlineLevel="1" x14ac:dyDescent="0.25">
      <c r="B59" s="41" t="s">
        <v>112</v>
      </c>
      <c r="C59" s="6" t="s">
        <v>109</v>
      </c>
    </row>
    <row r="60" spans="2:19" hidden="1" outlineLevel="1" x14ac:dyDescent="0.25">
      <c r="B60" s="41" t="s">
        <v>113</v>
      </c>
      <c r="C60" s="6" t="s">
        <v>120</v>
      </c>
    </row>
    <row r="61" spans="2:19" hidden="1" outlineLevel="1" x14ac:dyDescent="0.25">
      <c r="B61" s="41" t="s">
        <v>114</v>
      </c>
      <c r="C61" s="6" t="s">
        <v>6</v>
      </c>
    </row>
    <row r="62" spans="2:19" hidden="1" outlineLevel="1" x14ac:dyDescent="0.25"/>
    <row r="63" spans="2:19" hidden="1" outlineLevel="1" x14ac:dyDescent="0.25">
      <c r="B63" s="43" t="s">
        <v>102</v>
      </c>
      <c r="C63" s="44"/>
      <c r="D63" s="45"/>
    </row>
    <row r="64" spans="2:19" hidden="1" outlineLevel="1" x14ac:dyDescent="0.25">
      <c r="B64" s="1" t="s">
        <v>106</v>
      </c>
      <c r="C64" t="str" cm="1">
        <f t="array" aca="1" ref="C64" ca="1">_xll.VIEW(db_name&amp;":AE Adjustments",psHLYear,psScenario,$K$98,$C$65,$C$51,$C$66,$K$97,$C$50,"!",$C$68,"!",$C$53,"!","!",$C$69,$C$52,"!")</f>
        <v>dcceew_geus:AE Adjustments</v>
      </c>
    </row>
    <row r="65" spans="2:3" hidden="1" outlineLevel="1" x14ac:dyDescent="0.25">
      <c r="B65" s="2" t="s">
        <v>103</v>
      </c>
      <c r="C65" s="6" t="str">
        <f ca="1">_xll.SUBNM(db_name&amp;":outcome","","Total outcomes")</f>
        <v/>
      </c>
    </row>
    <row r="66" spans="2:3" hidden="1" outlineLevel="1" x14ac:dyDescent="0.25">
      <c r="B66" s="2" t="s">
        <v>104</v>
      </c>
      <c r="C66" s="6" t="str">
        <f ca="1">_xll.SUBNM(db_name&amp;":function","","Total functions")</f>
        <v/>
      </c>
    </row>
    <row r="67" spans="2:3" hidden="1" outlineLevel="1" x14ac:dyDescent="0.25">
      <c r="B67" s="2" t="s">
        <v>116</v>
      </c>
      <c r="C67" t="str" cm="1">
        <f t="array" aca="1" ref="C67" ca="1">_xll.DIMNM(db_name&amp;":reason",_xll.DIMIX(db_name&amp;":reason",$K$97))</f>
        <v/>
      </c>
    </row>
    <row r="68" spans="2:3" hidden="1" outlineLevel="1" x14ac:dyDescent="0.25">
      <c r="B68" s="2" t="s">
        <v>105</v>
      </c>
      <c r="C68" s="6" t="str">
        <f ca="1">_xll.SUBNM(db_name&amp;":appropriation type","","Total approp types")</f>
        <v/>
      </c>
    </row>
    <row r="69" spans="2:3" hidden="1" outlineLevel="1" x14ac:dyDescent="0.25">
      <c r="B69" s="2" t="s">
        <v>5</v>
      </c>
      <c r="C69" s="6" t="str">
        <f ca="1">_xll.SUBNM(db_name&amp;":id","","New Adjustments")</f>
        <v/>
      </c>
    </row>
    <row r="70" spans="2:3" hidden="1" outlineLevel="1" x14ac:dyDescent="0.25"/>
    <row r="71" spans="2:3" hidden="1" outlineLevel="1" x14ac:dyDescent="0.25"/>
    <row r="72" spans="2:3" hidden="1" outlineLevel="1" x14ac:dyDescent="0.25"/>
    <row r="73" spans="2:3" hidden="1" outlineLevel="1" x14ac:dyDescent="0.25"/>
    <row r="74" spans="2:3" hidden="1" outlineLevel="1" x14ac:dyDescent="0.25"/>
    <row r="75" spans="2:3" hidden="1" outlineLevel="1" x14ac:dyDescent="0.25"/>
    <row r="76" spans="2:3" hidden="1" outlineLevel="1" x14ac:dyDescent="0.25"/>
    <row r="77" spans="2:3" hidden="1" outlineLevel="1" x14ac:dyDescent="0.25"/>
    <row r="78" spans="2:3" hidden="1" outlineLevel="1" x14ac:dyDescent="0.25"/>
    <row r="79" spans="2:3" hidden="1" outlineLevel="1" x14ac:dyDescent="0.25"/>
    <row r="80" spans="2:3" hidden="1" outlineLevel="1" x14ac:dyDescent="0.25"/>
    <row r="81" spans="2:32" hidden="1" outlineLevel="1" x14ac:dyDescent="0.25">
      <c r="B81" s="43" t="s">
        <v>71</v>
      </c>
      <c r="C81" s="44"/>
      <c r="D81" s="45"/>
      <c r="R81" s="46" t="s">
        <v>63</v>
      </c>
      <c r="S81" s="47"/>
    </row>
    <row r="82" spans="2:32" hidden="1" outlineLevel="1" x14ac:dyDescent="0.25">
      <c r="B82" s="2" t="s">
        <v>72</v>
      </c>
      <c r="C82" s="6" t="str">
        <f ca="1">_xll.VIEW(db_name&amp;":}ElementAttributes_measure code","!","!")</f>
        <v>dcceew_geus:}ElementAttributes_measure code</v>
      </c>
      <c r="D82" s="6"/>
      <c r="R82" s="11" t="s">
        <v>61</v>
      </c>
      <c r="S82" s="26" t="str" cm="1">
        <f t="array" aca="1" ref="S82" ca="1">_xll.SUBNM(db_name&amp;":period","",$R$46,)</f>
        <v/>
      </c>
    </row>
    <row r="83" spans="2:32" hidden="1" outlineLevel="1" x14ac:dyDescent="0.25">
      <c r="B83" s="1" t="s">
        <v>73</v>
      </c>
      <c r="C83" s="6" t="str">
        <f ca="1">_xll.VIEW(db_name&amp;":programme details",psHLYear, psScenario,"!","!")</f>
        <v>dcceew_geus:programme details</v>
      </c>
      <c r="R83" s="11" t="s">
        <v>62</v>
      </c>
      <c r="S83" s="26" t="str" cm="1">
        <f t="array" aca="1" ref="S83" ca="1">_xll.SUBNM(db_name&amp;":period","",$S$46,)</f>
        <v/>
      </c>
    </row>
    <row r="84" spans="2:32" hidden="1" outlineLevel="1" x14ac:dyDescent="0.25">
      <c r="R84" s="11" t="s">
        <v>91</v>
      </c>
      <c r="S84" s="26" t="str" cm="1">
        <f t="array" aca="1" ref="S84" ca="1">_xll.SUBNM(db_name&amp;":sys_YesNo","","Yes",)</f>
        <v/>
      </c>
    </row>
    <row r="85" spans="2:32" hidden="1" outlineLevel="1" x14ac:dyDescent="0.25"/>
    <row r="86" spans="2:32" hidden="1" outlineLevel="1" x14ac:dyDescent="0.25"/>
    <row r="87" spans="2:32" hidden="1" outlineLevel="1" x14ac:dyDescent="0.25"/>
    <row r="88" spans="2:32" hidden="1" outlineLevel="1" x14ac:dyDescent="0.25"/>
    <row r="89" spans="2:32" hidden="1" outlineLevel="1" x14ac:dyDescent="0.25"/>
    <row r="90" spans="2:32" ht="39.75" customHeight="1" collapsed="1" x14ac:dyDescent="0.25"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 t="s">
        <v>118</v>
      </c>
      <c r="Z90" s="21"/>
      <c r="AA90" s="21"/>
      <c r="AB90" s="21"/>
      <c r="AC90" s="21"/>
      <c r="AD90" s="21"/>
      <c r="AE90" s="21"/>
      <c r="AF90" s="21"/>
    </row>
    <row r="91" spans="2:32" ht="4.5" customHeight="1" x14ac:dyDescent="0.25">
      <c r="Q91" s="11"/>
      <c r="T91" s="11"/>
    </row>
    <row r="92" spans="2:32" ht="24" customHeight="1" x14ac:dyDescent="0.25">
      <c r="Q92" s="11"/>
      <c r="T92" s="11"/>
    </row>
    <row r="93" spans="2:32" ht="1.5" customHeight="1" x14ac:dyDescent="0.25"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</row>
    <row r="94" spans="2:32" ht="4.5" customHeight="1" x14ac:dyDescent="0.25">
      <c r="Q94" s="11"/>
      <c r="T94" s="11"/>
    </row>
    <row r="95" spans="2:32" x14ac:dyDescent="0.25">
      <c r="K95" s="46" t="s">
        <v>45</v>
      </c>
      <c r="L95" s="47"/>
      <c r="Q95" s="11"/>
      <c r="T95" s="11"/>
    </row>
    <row r="96" spans="2:32" x14ac:dyDescent="0.25">
      <c r="J96" s="28" t="s">
        <v>48</v>
      </c>
      <c r="K96" s="52" t="str">
        <f ca="1">_xll.SUBNM(db_name&amp;":programme","","Administered Programmes","code and description")</f>
        <v/>
      </c>
      <c r="L96" s="52"/>
      <c r="N96" s="11"/>
      <c r="Q96" s="11"/>
      <c r="T96" s="11"/>
    </row>
    <row r="97" spans="1:32" x14ac:dyDescent="0.25">
      <c r="J97" s="28" t="s">
        <v>115</v>
      </c>
      <c r="K97" s="52" t="str">
        <f ca="1">_xll.SUBNM(db_name&amp;":reason","sys_Parameters Reason",1,"CBMS code and description")</f>
        <v/>
      </c>
      <c r="L97" s="52"/>
      <c r="N97" s="11"/>
      <c r="Q97" s="11"/>
      <c r="T97" s="11"/>
    </row>
    <row r="98" spans="1:32" x14ac:dyDescent="0.25">
      <c r="J98" s="28" t="s">
        <v>107</v>
      </c>
      <c r="K98" s="52" t="str">
        <f ca="1">_xll.SUBNM(db_name&amp;":status","","Total approved")</f>
        <v/>
      </c>
      <c r="L98" s="52"/>
      <c r="N98" s="11"/>
      <c r="Q98" s="11"/>
      <c r="T98" s="11"/>
    </row>
    <row r="99" spans="1:32" x14ac:dyDescent="0.25">
      <c r="J99" s="28" t="s">
        <v>46</v>
      </c>
      <c r="K99" s="52" t="str">
        <f ca="1">_xll.SUBNM(db_name&amp;":account","","2000000","code and description")</f>
        <v/>
      </c>
      <c r="L99" s="52"/>
      <c r="N99" s="11"/>
      <c r="U99" s="51" t="str">
        <f ca="1">$S$52</f>
        <v>Please select a valid FE3 period</v>
      </c>
      <c r="V99" s="51"/>
    </row>
    <row r="100" spans="1:32" x14ac:dyDescent="0.25">
      <c r="J100" s="28" t="s">
        <v>47</v>
      </c>
      <c r="K100" s="52" t="str">
        <f ca="1">_xll.SUBNM(db_name&amp;":movement account","","Total movement","code and description")</f>
        <v/>
      </c>
      <c r="L100" s="52"/>
      <c r="P100" s="28" t="s">
        <v>121</v>
      </c>
      <c r="Q100" s="48">
        <f ca="1">NOW()</f>
        <v>44972.39726597222</v>
      </c>
      <c r="R100" s="48"/>
      <c r="S100" s="48"/>
    </row>
    <row r="101" spans="1:32" x14ac:dyDescent="0.25">
      <c r="J101" s="28" t="s">
        <v>60</v>
      </c>
      <c r="K101" s="52" t="str">
        <f ca="1">_xll.SUBNM(db_name&amp;":measure code","","Total Measures","CBMS code and description")</f>
        <v/>
      </c>
      <c r="L101" s="52"/>
      <c r="M101" s="42"/>
      <c r="O101" s="49" t="s">
        <v>100</v>
      </c>
      <c r="P101" s="49"/>
      <c r="Q101" s="49"/>
      <c r="R101" s="49"/>
      <c r="S101" s="49"/>
      <c r="U101" s="49" t="s">
        <v>101</v>
      </c>
      <c r="V101" s="49"/>
      <c r="W101" s="49"/>
      <c r="X101" s="49"/>
      <c r="Y101" s="49"/>
      <c r="AA101" s="50" t="s">
        <v>108</v>
      </c>
      <c r="AB101" s="50"/>
      <c r="AC101" s="50"/>
      <c r="AD101" s="50"/>
      <c r="AE101" s="50"/>
    </row>
    <row r="102" spans="1:32" ht="18" customHeight="1" x14ac:dyDescent="0.25">
      <c r="J102" s="42"/>
      <c r="K102" s="42"/>
      <c r="L102" s="42"/>
      <c r="M102" s="42"/>
      <c r="O102" s="49"/>
      <c r="P102" s="49"/>
      <c r="Q102" s="49"/>
      <c r="R102" s="49"/>
      <c r="S102" s="49"/>
      <c r="U102" s="49"/>
      <c r="V102" s="49"/>
      <c r="W102" s="49"/>
      <c r="X102" s="49"/>
      <c r="Y102" s="49"/>
      <c r="AA102" s="50"/>
      <c r="AB102" s="50"/>
      <c r="AC102" s="50"/>
      <c r="AD102" s="50"/>
      <c r="AE102" s="50"/>
    </row>
    <row r="103" spans="1:32" x14ac:dyDescent="0.25">
      <c r="J103" s="32"/>
      <c r="O103" s="16" t="s">
        <v>66</v>
      </c>
      <c r="P103" s="16" t="s">
        <v>70</v>
      </c>
      <c r="Q103" s="16" t="s">
        <v>67</v>
      </c>
      <c r="R103" s="16" t="s">
        <v>68</v>
      </c>
      <c r="S103" s="16" t="s">
        <v>69</v>
      </c>
      <c r="U103" s="16" t="s">
        <v>66</v>
      </c>
      <c r="V103" s="16" t="s">
        <v>70</v>
      </c>
      <c r="W103" s="16" t="s">
        <v>67</v>
      </c>
      <c r="X103" s="16" t="s">
        <v>68</v>
      </c>
      <c r="Y103" s="16" t="s">
        <v>69</v>
      </c>
      <c r="AA103" s="38" t="s">
        <v>66</v>
      </c>
      <c r="AB103" s="38" t="s">
        <v>70</v>
      </c>
      <c r="AC103" s="38" t="s">
        <v>67</v>
      </c>
      <c r="AD103" s="38" t="s">
        <v>68</v>
      </c>
      <c r="AE103" s="38" t="s">
        <v>69</v>
      </c>
    </row>
    <row r="104" spans="1:32" ht="45.75" thickBot="1" x14ac:dyDescent="0.3">
      <c r="F104" t="s">
        <v>74</v>
      </c>
      <c r="G104" t="s">
        <v>75</v>
      </c>
      <c r="J104" s="16" t="s">
        <v>59</v>
      </c>
      <c r="K104" s="16" t="s">
        <v>76</v>
      </c>
      <c r="L104" s="16" t="s">
        <v>77</v>
      </c>
      <c r="M104" s="31" t="s">
        <v>99</v>
      </c>
      <c r="O104" s="16" t="str">
        <f ca="1">O$46</f>
        <v/>
      </c>
      <c r="P104" s="16" t="str">
        <f t="shared" ref="P104:S104" ca="1" si="3">P$46</f>
        <v/>
      </c>
      <c r="Q104" s="16" t="str">
        <f t="shared" ca="1" si="3"/>
        <v/>
      </c>
      <c r="R104" s="16" t="str">
        <f t="shared" ca="1" si="3"/>
        <v/>
      </c>
      <c r="S104" s="16" t="str">
        <f t="shared" ca="1" si="3"/>
        <v/>
      </c>
      <c r="U104" s="16" t="str">
        <f ca="1">U$46</f>
        <v/>
      </c>
      <c r="V104" s="16" t="str">
        <f t="shared" ref="V104:Y104" ca="1" si="4">V$46</f>
        <v/>
      </c>
      <c r="W104" s="16" t="str">
        <f t="shared" ca="1" si="4"/>
        <v/>
      </c>
      <c r="X104" s="16" t="str">
        <f t="shared" ca="1" si="4"/>
        <v/>
      </c>
      <c r="Y104" s="16" t="str">
        <f t="shared" ca="1" si="4"/>
        <v/>
      </c>
      <c r="AA104" s="38" t="str">
        <f ca="1">AA$46</f>
        <v/>
      </c>
      <c r="AB104" s="38" t="str">
        <f t="shared" ref="AB104:AE104" ca="1" si="5">AB$46</f>
        <v/>
      </c>
      <c r="AC104" s="38" t="str">
        <f t="shared" ca="1" si="5"/>
        <v/>
      </c>
      <c r="AD104" s="38" t="str">
        <f t="shared" ca="1" si="5"/>
        <v/>
      </c>
      <c r="AE104" s="38" t="str">
        <f t="shared" ca="1" si="5"/>
        <v/>
      </c>
    </row>
    <row r="105" spans="1:32" ht="15.75" thickBot="1" x14ac:dyDescent="0.3">
      <c r="A105" t="str" cm="1">
        <f t="array" aca="1" ref="A105" ca="1">IF(_xll.TM1RPTELISCONSOLIDATED($B$105,$B105),IF(_xll.TM1RPTELLEV($B$105,$B105)&lt;=3,_xll.TM1RPTELLEV($B$105,$B105),"D"),"N")</f>
        <v>N</v>
      </c>
      <c r="B105" s="37" t="str" cm="1">
        <f t="array" aca="1" ref="B105" ca="1">_xll.TM1RPTROW($C$43,"generic_geus:programme","","","code and description",0,$C$46)</f>
        <v/>
      </c>
      <c r="C105" s="19" t="str" cm="1">
        <f t="array" aca="1" ref="C105" ca="1">_xll.TM1RPTROW($C$43,"generic_geus:account","","","",0,$C$47)</f>
        <v/>
      </c>
      <c r="D105" s="19" t="str" cm="1">
        <f t="array" aca="1" ref="D105" ca="1">_xll.TM1RPTROW($C$43,"generic_geus:movement account","","","",0,$C$48)</f>
        <v/>
      </c>
      <c r="E105" s="6"/>
      <c r="F105" s="6" t="str" cm="1">
        <f t="array" aca="1" ref="F105" ca="1">_xll.DBR($C$83,psHLYear,psScenario,$B105,F$104)</f>
        <v>*KEY_ERR</v>
      </c>
      <c r="G105" s="6" t="str" cm="1">
        <f t="array" aca="1" ref="G105" ca="1">_xll.DBR($C$83,psHLYear,psScenario,$B105,G$104)</f>
        <v>*KEY_ERR</v>
      </c>
      <c r="H105" s="6"/>
      <c r="J105" s="22" t="str">
        <f ca="1">$B105</f>
        <v/>
      </c>
      <c r="K105" s="29" t="str">
        <f ca="1">$F105</f>
        <v>*KEY_ERR</v>
      </c>
      <c r="L105" s="33" t="str">
        <f ca="1">$G105</f>
        <v>*KEY_ERR</v>
      </c>
      <c r="M105" s="35" t="str" cm="1">
        <f t="array" aca="1" ref="M105" ca="1">_xll.DBR($C$83,psHLYear,psScenario,$B105,M$45)</f>
        <v>*KEY_ERR</v>
      </c>
      <c r="O105" s="20" t="str" cm="1">
        <f t="array" aca="1" ref="O105" ca="1">_xll.DBRW($C$43,$B105,$C$50,$C105,$D105,$C$51,$C$52,$C$53,$K$101,$C$54,O$46,O$45)</f>
        <v/>
      </c>
      <c r="P105" s="20" t="str" cm="1">
        <f t="array" aca="1" ref="P105" ca="1">_xll.DBRW($C$43,$B105,$C$50,$C105,$D105,$C$51,$C$52,$C$53,$K$101,$C$54,P$46,P$45)</f>
        <v/>
      </c>
      <c r="Q105" s="20" t="str" cm="1">
        <f t="array" aca="1" ref="Q105" ca="1">_xll.DBRW($C$43,$B105,$C$50,$C105,$D105,$C$51,$C$52,$C$53,$K$101,$C$54,Q$46,Q$45)</f>
        <v/>
      </c>
      <c r="R105" s="20" t="str" cm="1">
        <f t="array" aca="1" ref="R105" ca="1">_xll.DBRW($C$43,$B105,$C$50,$C105,$D105,$C$51,$C$52,$C$53,$K$101,$C$54,R$46,R$45)</f>
        <v/>
      </c>
      <c r="S105" s="20" t="str" cm="1">
        <f t="array" aca="1" ref="S105" ca="1">_xll.DBRW($C$43,$B105,$C$50,$C105,$D105,$C$51,$C$52,$C$53,$K$101,$C$54,S$46,S$45)</f>
        <v/>
      </c>
      <c r="U105" s="20" t="str" cm="1">
        <f t="array" aca="1" ref="U105" ca="1">_xll.DBRW($C$64,psHLYear,psScenario,$K$98,$C$65,$C$51,$C$66,$K$97,$C$50,$K$101,$C$68,$D105,$C$53,$B105,$C105,$C$69,$C$52,U$43)</f>
        <v/>
      </c>
      <c r="V105" s="20" t="str" cm="1">
        <f t="array" aca="1" ref="V105" ca="1">_xll.DBRW($C$64,psHLYear,psScenario,$K$98,$C$65,$C$51,$C$66,$K$97,$C$50,$K$101,$C$68,$D105,$C$53,$B105,$C105,$C$69,$C$52,V$43)</f>
        <v/>
      </c>
      <c r="W105" s="20" t="str" cm="1">
        <f t="array" aca="1" ref="W105" ca="1">_xll.DBRW($C$64,psHLYear,psScenario,$K$98,$C$65,$C$51,$C$66,$K$97,$C$50,$K$101,$C$68,$D105,$C$53,$B105,$C105,$C$69,$C$52,W$43)</f>
        <v/>
      </c>
      <c r="X105" s="20" t="str" cm="1">
        <f t="array" aca="1" ref="X105" ca="1">_xll.DBRW($C$64,psHLYear,psScenario,$K$98,$C$65,$C$51,$C$66,$K$97,$C$50,$K$101,$C$68,$D105,$C$53,$B105,$C105,$C$69,$C$52,X$43)</f>
        <v/>
      </c>
      <c r="Y105" s="20" t="str" cm="1">
        <f t="array" aca="1" ref="Y105" ca="1">_xll.DBRW($C$64,psHLYear,psScenario,$K$98,$C$65,$C$51,$C$66,$K$97,$C$50,$K$101,$C$68,$D105,$C$53,$B105,$C105,$C$69,$C$52,Y$43)</f>
        <v/>
      </c>
      <c r="Z105" s="1"/>
      <c r="AA105" s="20" t="e">
        <f ca="1">O105-U105</f>
        <v>#VALUE!</v>
      </c>
      <c r="AB105" s="20" t="e">
        <f t="shared" ref="AB105:AE105" ca="1" si="6">P105-V105</f>
        <v>#VALUE!</v>
      </c>
      <c r="AC105" s="20" t="e">
        <f t="shared" ca="1" si="6"/>
        <v>#VALUE!</v>
      </c>
      <c r="AD105" s="20" t="e">
        <f t="shared" ca="1" si="6"/>
        <v>#VALUE!</v>
      </c>
      <c r="AE105" s="20" t="e">
        <f t="shared" ca="1" si="6"/>
        <v>#VALUE!</v>
      </c>
      <c r="AF105" s="1"/>
    </row>
    <row r="106" spans="1:32" ht="4.5" customHeight="1" x14ac:dyDescent="0.25"/>
    <row r="107" spans="1:32" x14ac:dyDescent="0.25">
      <c r="P107" s="28" t="s">
        <v>121</v>
      </c>
      <c r="Q107" s="48">
        <f ca="1">NOW()</f>
        <v>44972.39726597222</v>
      </c>
      <c r="R107" s="48"/>
      <c r="S107" s="48"/>
    </row>
  </sheetData>
  <sheetProtection sheet="1" objects="1" scenarios="1"/>
  <mergeCells count="21">
    <mergeCell ref="Q107:S107"/>
    <mergeCell ref="U101:Y102"/>
    <mergeCell ref="AA101:AE102"/>
    <mergeCell ref="O101:S102"/>
    <mergeCell ref="B81:D81"/>
    <mergeCell ref="U99:V99"/>
    <mergeCell ref="K95:L95"/>
    <mergeCell ref="K96:L96"/>
    <mergeCell ref="K99:L99"/>
    <mergeCell ref="K100:L100"/>
    <mergeCell ref="K101:L101"/>
    <mergeCell ref="K98:L98"/>
    <mergeCell ref="K97:L97"/>
    <mergeCell ref="Q100:S100"/>
    <mergeCell ref="B11:D11"/>
    <mergeCell ref="B19:D19"/>
    <mergeCell ref="B42:D42"/>
    <mergeCell ref="B24:D24"/>
    <mergeCell ref="R81:S81"/>
    <mergeCell ref="B63:D63"/>
    <mergeCell ref="B56:D56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39" r:id="rId4" name="TIButton4">
          <controlPr defaultSize="0" print="0" autoLine="0" autoPict="0" r:id="rId5">
            <anchor moveWithCells="1" sizeWithCells="1">
              <from>
                <xdr:col>9</xdr:col>
                <xdr:colOff>1714500</xdr:colOff>
                <xdr:row>91</xdr:row>
                <xdr:rowOff>9525</xdr:rowOff>
              </from>
              <to>
                <xdr:col>9</xdr:col>
                <xdr:colOff>2790825</xdr:colOff>
                <xdr:row>91</xdr:row>
                <xdr:rowOff>257175</xdr:rowOff>
              </to>
            </anchor>
          </controlPr>
        </control>
      </mc:Choice>
      <mc:Fallback>
        <control shapeId="1039" r:id="rId4" name="TIButton4"/>
      </mc:Fallback>
    </mc:AlternateContent>
    <mc:AlternateContent xmlns:mc="http://schemas.openxmlformats.org/markup-compatibility/2006">
      <mc:Choice Requires="x14">
        <control shapeId="1038" r:id="rId6" name="TIButton13">
          <controlPr defaultSize="0" print="0" autoLine="0" r:id="rId7">
            <anchor moveWithCells="1" sizeWithCells="1">
              <from>
                <xdr:col>9</xdr:col>
                <xdr:colOff>647700</xdr:colOff>
                <xdr:row>91</xdr:row>
                <xdr:rowOff>9525</xdr:rowOff>
              </from>
              <to>
                <xdr:col>9</xdr:col>
                <xdr:colOff>1666875</xdr:colOff>
                <xdr:row>91</xdr:row>
                <xdr:rowOff>257175</xdr:rowOff>
              </to>
            </anchor>
          </controlPr>
        </control>
      </mc:Choice>
      <mc:Fallback>
        <control shapeId="1038" r:id="rId6" name="TIButton13"/>
      </mc:Fallback>
    </mc:AlternateContent>
    <mc:AlternateContent xmlns:mc="http://schemas.openxmlformats.org/markup-compatibility/2006">
      <mc:Choice Requires="x14">
        <control shapeId="1036" r:id="rId8" name="TIButton11">
          <controlPr defaultSize="0" print="0" autoLine="0" r:id="rId9">
            <anchor moveWithCells="1" sizeWithCells="1">
              <from>
                <xdr:col>11</xdr:col>
                <xdr:colOff>419100</xdr:colOff>
                <xdr:row>91</xdr:row>
                <xdr:rowOff>9525</xdr:rowOff>
              </from>
              <to>
                <xdr:col>12</xdr:col>
                <xdr:colOff>504825</xdr:colOff>
                <xdr:row>91</xdr:row>
                <xdr:rowOff>257175</xdr:rowOff>
              </to>
            </anchor>
          </controlPr>
        </control>
      </mc:Choice>
      <mc:Fallback>
        <control shapeId="1036" r:id="rId8" name="TIButton11"/>
      </mc:Fallback>
    </mc:AlternateContent>
    <mc:AlternateContent xmlns:mc="http://schemas.openxmlformats.org/markup-compatibility/2006">
      <mc:Choice Requires="x14">
        <control shapeId="1035" r:id="rId10" name="TIButton10">
          <controlPr defaultSize="0" print="0" autoLine="0" r:id="rId11">
            <anchor moveWithCells="1" sizeWithCells="1">
              <from>
                <xdr:col>9</xdr:col>
                <xdr:colOff>3800475</xdr:colOff>
                <xdr:row>91</xdr:row>
                <xdr:rowOff>9525</xdr:rowOff>
              </from>
              <to>
                <xdr:col>11</xdr:col>
                <xdr:colOff>400050</xdr:colOff>
                <xdr:row>91</xdr:row>
                <xdr:rowOff>257175</xdr:rowOff>
              </to>
            </anchor>
          </controlPr>
        </control>
      </mc:Choice>
      <mc:Fallback>
        <control shapeId="1035" r:id="rId10" name="TIButton10"/>
      </mc:Fallback>
    </mc:AlternateContent>
    <mc:AlternateContent xmlns:mc="http://schemas.openxmlformats.org/markup-compatibility/2006">
      <mc:Choice Requires="x14">
        <control shapeId="1033" r:id="rId12" name="TIButton8">
          <controlPr defaultSize="0" print="0" autoLine="0" r:id="rId13">
            <anchor moveWithCells="1" sizeWithCells="1">
              <from>
                <xdr:col>15</xdr:col>
                <xdr:colOff>114300</xdr:colOff>
                <xdr:row>91</xdr:row>
                <xdr:rowOff>0</xdr:rowOff>
              </from>
              <to>
                <xdr:col>16</xdr:col>
                <xdr:colOff>19050</xdr:colOff>
                <xdr:row>91</xdr:row>
                <xdr:rowOff>247650</xdr:rowOff>
              </to>
            </anchor>
          </controlPr>
        </control>
      </mc:Choice>
      <mc:Fallback>
        <control shapeId="1033" r:id="rId12" name="TIButton8"/>
      </mc:Fallback>
    </mc:AlternateContent>
    <mc:AlternateContent xmlns:mc="http://schemas.openxmlformats.org/markup-compatibility/2006">
      <mc:Choice Requires="x14">
        <control shapeId="1032" r:id="rId14" name="TIButton7">
          <controlPr defaultSize="0" print="0" autoLine="0" r:id="rId15">
            <anchor moveWithCells="1" sizeWithCells="1">
              <from>
                <xdr:col>14</xdr:col>
                <xdr:colOff>47625</xdr:colOff>
                <xdr:row>91</xdr:row>
                <xdr:rowOff>0</xdr:rowOff>
              </from>
              <to>
                <xdr:col>15</xdr:col>
                <xdr:colOff>85725</xdr:colOff>
                <xdr:row>91</xdr:row>
                <xdr:rowOff>247650</xdr:rowOff>
              </to>
            </anchor>
          </controlPr>
        </control>
      </mc:Choice>
      <mc:Fallback>
        <control shapeId="1032" r:id="rId14" name="TIButton7"/>
      </mc:Fallback>
    </mc:AlternateContent>
    <mc:AlternateContent xmlns:mc="http://schemas.openxmlformats.org/markup-compatibility/2006">
      <mc:Choice Requires="x14">
        <control shapeId="1031" r:id="rId16" name="TIButton6">
          <controlPr defaultSize="0" print="0" autoLine="0" r:id="rId17">
            <anchor moveWithCells="1" sizeWithCells="1">
              <from>
                <xdr:col>16</xdr:col>
                <xdr:colOff>57150</xdr:colOff>
                <xdr:row>91</xdr:row>
                <xdr:rowOff>0</xdr:rowOff>
              </from>
              <to>
                <xdr:col>17</xdr:col>
                <xdr:colOff>485775</xdr:colOff>
                <xdr:row>91</xdr:row>
                <xdr:rowOff>247650</xdr:rowOff>
              </to>
            </anchor>
          </controlPr>
        </control>
      </mc:Choice>
      <mc:Fallback>
        <control shapeId="1031" r:id="rId16" name="TIButton6"/>
      </mc:Fallback>
    </mc:AlternateContent>
    <mc:AlternateContent xmlns:mc="http://schemas.openxmlformats.org/markup-compatibility/2006">
      <mc:Choice Requires="x14">
        <control shapeId="1026" r:id="rId18" name="TIButton2">
          <controlPr defaultSize="0" print="0" autoLine="0" r:id="rId19">
            <anchor moveWithCells="1" sizeWithCells="1">
              <from>
                <xdr:col>20</xdr:col>
                <xdr:colOff>9525</xdr:colOff>
                <xdr:row>91</xdr:row>
                <xdr:rowOff>0</xdr:rowOff>
              </from>
              <to>
                <xdr:col>20</xdr:col>
                <xdr:colOff>790575</xdr:colOff>
                <xdr:row>91</xdr:row>
                <xdr:rowOff>247650</xdr:rowOff>
              </to>
            </anchor>
          </controlPr>
        </control>
      </mc:Choice>
      <mc:Fallback>
        <control shapeId="1026" r:id="rId18" name="TIButton2"/>
      </mc:Fallback>
    </mc:AlternateContent>
    <mc:AlternateContent xmlns:mc="http://schemas.openxmlformats.org/markup-compatibility/2006">
      <mc:Choice Requires="x14">
        <control shapeId="1025" r:id="rId20" name="TIButton1">
          <controlPr defaultSize="0" print="0" autoLine="0" r:id="rId21">
            <anchor moveWithCells="1" sizeWithCells="1">
              <from>
                <xdr:col>8</xdr:col>
                <xdr:colOff>47625</xdr:colOff>
                <xdr:row>91</xdr:row>
                <xdr:rowOff>9525</xdr:rowOff>
              </from>
              <to>
                <xdr:col>9</xdr:col>
                <xdr:colOff>628650</xdr:colOff>
                <xdr:row>91</xdr:row>
                <xdr:rowOff>257175</xdr:rowOff>
              </to>
            </anchor>
          </controlPr>
        </control>
      </mc:Choice>
      <mc:Fallback>
        <control shapeId="1025" r:id="rId20" name="TIButton1"/>
      </mc:Fallback>
    </mc:AlternateContent>
    <mc:AlternateContent xmlns:mc="http://schemas.openxmlformats.org/markup-compatibility/2006">
      <mc:Choice Requires="x14">
        <control shapeId="1029" r:id="rId22" name="TIButton5">
          <controlPr defaultSize="0" print="0" autoLine="0" r:id="rId23">
            <anchor moveWithCells="1" sizeWithCells="1">
              <from>
                <xdr:col>24</xdr:col>
                <xdr:colOff>514350</xdr:colOff>
                <xdr:row>90</xdr:row>
                <xdr:rowOff>28575</xdr:rowOff>
              </from>
              <to>
                <xdr:col>24</xdr:col>
                <xdr:colOff>828675</xdr:colOff>
                <xdr:row>91</xdr:row>
                <xdr:rowOff>285750</xdr:rowOff>
              </to>
            </anchor>
          </controlPr>
        </control>
      </mc:Choice>
      <mc:Fallback>
        <control shapeId="1029" r:id="rId22" name="TIButton5"/>
      </mc:Fallback>
    </mc:AlternateContent>
    <mc:AlternateContent xmlns:mc="http://schemas.openxmlformats.org/markup-compatibility/2006">
      <mc:Choice Requires="x14">
        <control shapeId="1037" r:id="rId24" name="TIButton12">
          <controlPr defaultSize="0" print="0" autoLine="0" r:id="rId25">
            <anchor moveWithCells="1" sizeWithCells="1">
              <from>
                <xdr:col>9</xdr:col>
                <xdr:colOff>2838450</xdr:colOff>
                <xdr:row>91</xdr:row>
                <xdr:rowOff>9525</xdr:rowOff>
              </from>
              <to>
                <xdr:col>9</xdr:col>
                <xdr:colOff>3752850</xdr:colOff>
                <xdr:row>91</xdr:row>
                <xdr:rowOff>257175</xdr:rowOff>
              </to>
            </anchor>
          </controlPr>
        </control>
      </mc:Choice>
      <mc:Fallback>
        <control shapeId="1037" r:id="rId24" name="TIButton12"/>
      </mc:Fallback>
    </mc:AlternateContent>
    <mc:AlternateContent xmlns:mc="http://schemas.openxmlformats.org/markup-compatibility/2006">
      <mc:Choice Requires="x14">
        <control shapeId="1044" r:id="rId26" name="TIButton3">
          <controlPr defaultSize="0" print="0" autoLine="0" r:id="rId27">
            <anchor moveWithCells="1" sizeWithCells="1">
              <from>
                <xdr:col>17</xdr:col>
                <xdr:colOff>514350</xdr:colOff>
                <xdr:row>91</xdr:row>
                <xdr:rowOff>0</xdr:rowOff>
              </from>
              <to>
                <xdr:col>19</xdr:col>
                <xdr:colOff>28575</xdr:colOff>
                <xdr:row>91</xdr:row>
                <xdr:rowOff>247650</xdr:rowOff>
              </to>
            </anchor>
          </controlPr>
        </control>
      </mc:Choice>
      <mc:Fallback>
        <control shapeId="1044" r:id="rId26" name="TIButton3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17E0F-378D-41EB-981A-8A812A363767}">
  <sheetPr codeName="Sheet2"/>
  <dimension ref="A1:A14"/>
  <sheetViews>
    <sheetView workbookViewId="0"/>
  </sheetViews>
  <sheetFormatPr defaultRowHeight="15" x14ac:dyDescent="0.25"/>
  <sheetData>
    <row r="1" spans="1:1" x14ac:dyDescent="0.25">
      <c r="A1" t="s">
        <v>8</v>
      </c>
    </row>
    <row r="2" spans="1:1" x14ac:dyDescent="0.25">
      <c r="A2" t="s">
        <v>96</v>
      </c>
    </row>
    <row r="3" spans="1:1" x14ac:dyDescent="0.25">
      <c r="A3" t="s">
        <v>78</v>
      </c>
    </row>
    <row r="4" spans="1:1" x14ac:dyDescent="0.25">
      <c r="A4" t="s">
        <v>79</v>
      </c>
    </row>
    <row r="5" spans="1:1" x14ac:dyDescent="0.25">
      <c r="A5" t="s">
        <v>80</v>
      </c>
    </row>
    <row r="6" spans="1:1" x14ac:dyDescent="0.25">
      <c r="A6" t="s">
        <v>81</v>
      </c>
    </row>
    <row r="7" spans="1:1" x14ac:dyDescent="0.25">
      <c r="A7" t="s">
        <v>82</v>
      </c>
    </row>
    <row r="8" spans="1:1" x14ac:dyDescent="0.25">
      <c r="A8" t="s">
        <v>83</v>
      </c>
    </row>
    <row r="9" spans="1:1" x14ac:dyDescent="0.25">
      <c r="A9" t="s">
        <v>84</v>
      </c>
    </row>
    <row r="10" spans="1:1" x14ac:dyDescent="0.25">
      <c r="A10" t="s">
        <v>85</v>
      </c>
    </row>
    <row r="11" spans="1:1" x14ac:dyDescent="0.25">
      <c r="A11" t="s">
        <v>86</v>
      </c>
    </row>
    <row r="12" spans="1:1" x14ac:dyDescent="0.25">
      <c r="A12" t="s">
        <v>87</v>
      </c>
    </row>
    <row r="13" spans="1:1" x14ac:dyDescent="0.25">
      <c r="A13" t="s">
        <v>75</v>
      </c>
    </row>
    <row r="14" spans="1:1" x14ac:dyDescent="0.25">
      <c r="A14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51</vt:i4>
      </vt:variant>
    </vt:vector>
  </HeadingPairs>
  <TitlesOfParts>
    <vt:vector size="53" baseType="lpstr">
      <vt:lpstr>generate</vt:lpstr>
      <vt:lpstr>{PL}PickLst</vt:lpstr>
      <vt:lpstr>db_name</vt:lpstr>
      <vt:lpstr>psApp</vt:lpstr>
      <vt:lpstr>psCreateAdjByMeasures</vt:lpstr>
      <vt:lpstr>psFE2Year</vt:lpstr>
      <vt:lpstr>psFE3Year</vt:lpstr>
      <vt:lpstr>psHLYear</vt:lpstr>
      <vt:lpstr>psProg</vt:lpstr>
      <vt:lpstr>psScenario</vt:lpstr>
      <vt:lpstr>psUser</vt:lpstr>
      <vt:lpstr>TM1AdjIDListCAP</vt:lpstr>
      <vt:lpstr>TM1AdjIDListWB</vt:lpstr>
      <vt:lpstr>TM1EDCAP</vt:lpstr>
      <vt:lpstr>TM1EDWB</vt:lpstr>
      <vt:lpstr>TM1EDWS</vt:lpstr>
      <vt:lpstr>TM1FE3CAP</vt:lpstr>
      <vt:lpstr>TM1FE3DetCAP</vt:lpstr>
      <vt:lpstr>TM1FE3DetWB</vt:lpstr>
      <vt:lpstr>TM1FE3DetWS</vt:lpstr>
      <vt:lpstr>TM1FE3RecoCAP</vt:lpstr>
      <vt:lpstr>TM1FE3RecoWB</vt:lpstr>
      <vt:lpstr>TM1FE3RecoWS</vt:lpstr>
      <vt:lpstr>TM1FE3WB</vt:lpstr>
      <vt:lpstr>TM1FE3WS</vt:lpstr>
      <vt:lpstr>TM1GenerateRecoCAP</vt:lpstr>
      <vt:lpstr>TM1GenerateRecoWB</vt:lpstr>
      <vt:lpstr>TM1GenerateRecoWS</vt:lpstr>
      <vt:lpstr>TM1HomeAECAP</vt:lpstr>
      <vt:lpstr>TM1HomeAEDataEntryCAP</vt:lpstr>
      <vt:lpstr>TM1HomeAEDataEntryWB</vt:lpstr>
      <vt:lpstr>TM1HomeAEDataEntryWS</vt:lpstr>
      <vt:lpstr>TM1HomeAEWB</vt:lpstr>
      <vt:lpstr>TM1HomeAEWS</vt:lpstr>
      <vt:lpstr>TM1HomeCAP</vt:lpstr>
      <vt:lpstr>TM1HomeWB</vt:lpstr>
      <vt:lpstr>TM1HomeWS</vt:lpstr>
      <vt:lpstr>TM1IDListWS</vt:lpstr>
      <vt:lpstr>TM1IndexCAP</vt:lpstr>
      <vt:lpstr>TM1IndexFE3MapCAP</vt:lpstr>
      <vt:lpstr>TM1IndexFE3MapWB</vt:lpstr>
      <vt:lpstr>TM1IndexFE3MapWS</vt:lpstr>
      <vt:lpstr>TM1IndexFinCAP</vt:lpstr>
      <vt:lpstr>TM1IndexFinDCBCAP</vt:lpstr>
      <vt:lpstr>TM1IndexFinDCBWB</vt:lpstr>
      <vt:lpstr>TM1IndexFinDCBWS</vt:lpstr>
      <vt:lpstr>TM1IndexFinWB</vt:lpstr>
      <vt:lpstr>TM1IndexFinWS</vt:lpstr>
      <vt:lpstr>TM1IndexWB</vt:lpstr>
      <vt:lpstr>TM1IndexWS</vt:lpstr>
      <vt:lpstr>generate!TM1RPTDATARNG1</vt:lpstr>
      <vt:lpstr>generate!TM1RPTFMTIDCOL</vt:lpstr>
      <vt:lpstr>generate!TM1RPTFMTRNG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dcterms:created xsi:type="dcterms:W3CDTF">2019-08-12T04:26:51Z</dcterms:created>
  <dcterms:modified xsi:type="dcterms:W3CDTF">2025-08-05T04:29:38Z</dcterms:modified>
</cp:coreProperties>
</file>