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2016EF84-31BB-4D83-8C60-0133328C5338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extract adj" sheetId="1" r:id="rId1"/>
  </sheets>
  <definedNames>
    <definedName name="db_name">'extract adj'!$C$12</definedName>
    <definedName name="Freeze_here">'extract adj'!$O$172</definedName>
    <definedName name="psAcc">'extract adj'!#REF!</definedName>
    <definedName name="psApp">'extract adj'!$C$30</definedName>
    <definedName name="psCFFlag">'extract adj'!#REF!</definedName>
    <definedName name="psHLYear">'extract adj'!$C$46</definedName>
    <definedName name="psID">'extract adj'!$C$48</definedName>
    <definedName name="psScenario">'extract adj'!$C$47</definedName>
    <definedName name="psSPP">'extract adj'!#REF!</definedName>
    <definedName name="psUser">'extract adj'!$C$17</definedName>
    <definedName name="TM1AdjIDListCAP">'extract adj'!$D$35</definedName>
    <definedName name="TM1AdjIDListWB">'extract adj'!$F$35</definedName>
    <definedName name="TM1AdjIDListWS">'extract adj'!$H$35</definedName>
    <definedName name="TM1BulkProcessCAP">'extract adj'!$D$38</definedName>
    <definedName name="TM1BulkProcessExtCAP">'extract adj'!$D$39</definedName>
    <definedName name="TM1BulkProcessExtWB">'extract adj'!$F$39</definedName>
    <definedName name="TM1BulkProcessExtWS">'extract adj'!$H$39</definedName>
    <definedName name="TM1BulkProcessWB">'extract adj'!$F$38</definedName>
    <definedName name="TM1BulkProcessWS">'extract adj'!$H$38</definedName>
    <definedName name="TM1EditAdj01CAP">'extract adj'!#REF!</definedName>
    <definedName name="TM1EditAdj01WB">'extract adj'!#REF!</definedName>
    <definedName name="TM1EditAdj01WS">'extract adj'!#REF!</definedName>
    <definedName name="TM1HomeAECAP">'extract adj'!$D$33</definedName>
    <definedName name="TM1HomeAEDataEntryCAP">'extract adj'!$D$34</definedName>
    <definedName name="TM1HomeAEDataEntryWB">'extract adj'!$F$34</definedName>
    <definedName name="TM1HomeAEDataEntryWS">'extract adj'!$H$34</definedName>
    <definedName name="TM1HomeAEWB">'extract adj'!$F$33</definedName>
    <definedName name="TM1HomeAEWS">'extract adj'!$H$33</definedName>
    <definedName name="TM1HomeCAP">'extract adj'!$D$32</definedName>
    <definedName name="TM1HomeWB">'extract adj'!$F$32</definedName>
    <definedName name="TM1HomeWS">'extract adj'!$H$32</definedName>
    <definedName name="TM1NewAdj02DataEntryCAP">'extract adj'!$D$36</definedName>
    <definedName name="TM1NewAdj02DataEntryWB">'extract adj'!$F$36</definedName>
    <definedName name="TM1NewAdj02DataEntryWS">'extract adj'!$H$36</definedName>
    <definedName name="TM1NewAdj03AuthCAP">'extract adj'!#REF!</definedName>
    <definedName name="TM1NewAdj03AuthWB">'extract adj'!#REF!</definedName>
    <definedName name="TM1NewAdj03AuthWS">'extract adj'!#REF!</definedName>
    <definedName name="TM1NewAdj04CopyCAP">'extract adj'!#REF!</definedName>
    <definedName name="TM1NewAdj04CopyWB">'extract adj'!#REF!</definedName>
    <definedName name="TM1NewAdj04CopyWS">'extract adj'!#REF!</definedName>
    <definedName name="TM1NewAdj96ExtractCAP">'extract adj'!$D$37</definedName>
    <definedName name="TM1NewAdj96ExtractWB">'extract adj'!$F$37</definedName>
    <definedName name="TM1NewAdj96ExtractWS">'extract adj'!$H$37</definedName>
    <definedName name="TM1NewAdj98AttachCAP">'extract adj'!#REF!</definedName>
    <definedName name="TM1NewAdj98AttachWB">'extract adj'!#REF!</definedName>
    <definedName name="TM1NewAdj98AttachWS">'extract adj'!#REF!</definedName>
    <definedName name="TM1NewAdj99ValidCAP">'extract adj'!#REF!</definedName>
    <definedName name="TM1NewAdj99ValidWB">'extract adj'!#REF!</definedName>
    <definedName name="TM1NewAdj99ValidWS">'extract adj'!#REF!</definedName>
    <definedName name="TM1REBUILDOPTION">1</definedName>
    <definedName name="TM1RPTDATARNG1" localSheetId="0">'extract adj'!$174:$174</definedName>
    <definedName name="TM1RPTDATARNGARPT1" localSheetId="0">'extract adj'!$201:$201</definedName>
    <definedName name="TM1RPTDATARNGARPT2" localSheetId="0">'extract adj'!$179:$179</definedName>
    <definedName name="TM1RPTDATARNGARPT3" localSheetId="0">'extract adj'!$189:$189</definedName>
    <definedName name="TM1RPTDATARNGARPT4" localSheetId="0">'extract adj'!$184:$184</definedName>
    <definedName name="TM1RPTDATARNGARPT5" localSheetId="0">'extract adj'!$194:$194</definedName>
    <definedName name="TM1RPTDATARNGARPT6" localSheetId="0">'extract adj'!$206:$206</definedName>
    <definedName name="TM1RPTDATARNGARPT7" localSheetId="0">'extract adj'!$211:$211</definedName>
    <definedName name="TM1RPTFMTIDCOL" localSheetId="0">'extract adj'!$A$1:$A$8</definedName>
    <definedName name="TM1RPTFMTRNG" localSheetId="0">'extract adj'!$B$1:$AK$8</definedName>
    <definedName name="TM1ViewAdj01HeaderCAP">'extract adj'!#REF!</definedName>
    <definedName name="TM1ViewAdj01HeaderWB">'extract adj'!#REF!</definedName>
    <definedName name="TM1ViewAdj01HeaderWS">'extract adj'!#REF!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 a="1"/>
  <c r="C13" i="1"/>
  <c r="C14" i="1" a="1"/>
  <c r="C14" i="1"/>
  <c r="C15" i="1" a="1"/>
  <c r="C15" i="1"/>
  <c r="C17" i="1"/>
  <c r="C139" i="1"/>
  <c r="W159" i="1" a="1"/>
  <c r="W159" i="1"/>
  <c r="C141" i="1" a="1"/>
  <c r="C141" i="1"/>
  <c r="C43" i="1" a="1"/>
  <c r="C43" i="1"/>
  <c r="C46" i="1" a="1"/>
  <c r="C46" i="1"/>
  <c r="C47" i="1" a="1"/>
  <c r="C47" i="1"/>
  <c r="C48" i="1" a="1"/>
  <c r="C48" i="1"/>
  <c r="C68" i="1" a="1"/>
  <c r="C68" i="1"/>
  <c r="C69" i="1" a="1"/>
  <c r="C69" i="1"/>
  <c r="C90" i="1" a="1"/>
  <c r="C90" i="1"/>
  <c r="C89" i="1" a="1"/>
  <c r="C89" i="1"/>
  <c r="C88" i="1" a="1"/>
  <c r="C88" i="1"/>
  <c r="C87" i="1" a="1"/>
  <c r="C87" i="1"/>
  <c r="C86" i="1" a="1"/>
  <c r="C86" i="1"/>
  <c r="C85" i="1" a="1"/>
  <c r="C85" i="1"/>
  <c r="C84" i="1" a="1"/>
  <c r="C84" i="1"/>
  <c r="C83" i="1" a="1"/>
  <c r="C83" i="1"/>
  <c r="C82" i="1" a="1"/>
  <c r="C82" i="1"/>
  <c r="C81" i="1" a="1"/>
  <c r="C81" i="1"/>
  <c r="C80" i="1" a="1"/>
  <c r="C80" i="1"/>
  <c r="C79" i="1" a="1"/>
  <c r="C79" i="1"/>
  <c r="C78" i="1" a="1"/>
  <c r="C78" i="1"/>
  <c r="C77" i="1" a="1"/>
  <c r="C77" i="1"/>
  <c r="C76" i="1" a="1"/>
  <c r="C76" i="1"/>
  <c r="C75" i="1" a="1"/>
  <c r="C75" i="1"/>
  <c r="C74" i="1" a="1"/>
  <c r="C74" i="1"/>
  <c r="C73" i="1" a="1"/>
  <c r="C73" i="1"/>
  <c r="C72" i="1" a="1"/>
  <c r="C72" i="1"/>
  <c r="C71" i="1" a="1"/>
  <c r="C71" i="1"/>
  <c r="C105" i="1" a="1"/>
  <c r="C105" i="1"/>
  <c r="C106" i="1" a="1"/>
  <c r="C106" i="1"/>
  <c r="C108" i="1" a="1"/>
  <c r="C110" i="1" a="1"/>
  <c r="C111" i="1" a="1"/>
  <c r="C112" i="1" a="1"/>
  <c r="C113" i="1" a="1"/>
  <c r="C108" i="1"/>
  <c r="C110" i="1"/>
  <c r="C111" i="1"/>
  <c r="C112" i="1"/>
  <c r="C113" i="1"/>
  <c r="C100" i="1" a="1"/>
  <c r="C100" i="1"/>
  <c r="E213" i="1"/>
  <c r="W129" i="1"/>
  <c r="AA144" i="1" a="1"/>
  <c r="AA144" i="1"/>
  <c r="AK130" i="1"/>
  <c r="AK129" i="1" a="1"/>
  <c r="AK129" i="1"/>
  <c r="AK213" i="1" a="1"/>
  <c r="AK213" i="1"/>
  <c r="AJ130" i="1"/>
  <c r="AJ129" i="1" a="1"/>
  <c r="AJ129" i="1"/>
  <c r="AJ213" i="1" a="1"/>
  <c r="AJ213" i="1"/>
  <c r="AI130" i="1"/>
  <c r="AI129" i="1" a="1"/>
  <c r="AI129" i="1"/>
  <c r="AI213" i="1" a="1"/>
  <c r="AI213" i="1"/>
  <c r="AH130" i="1"/>
  <c r="AH129" i="1" a="1"/>
  <c r="AH129" i="1"/>
  <c r="AH213" i="1" a="1"/>
  <c r="AH213" i="1"/>
  <c r="AG130" i="1"/>
  <c r="AG129" i="1" a="1"/>
  <c r="AG129" i="1"/>
  <c r="AG213" i="1" a="1"/>
  <c r="AG213" i="1"/>
  <c r="AF130" i="1"/>
  <c r="AF129" i="1" a="1"/>
  <c r="AF129" i="1"/>
  <c r="AF213" i="1" a="1"/>
  <c r="AF213" i="1"/>
  <c r="AE130" i="1"/>
  <c r="AE129" i="1" a="1"/>
  <c r="AE129" i="1"/>
  <c r="AE213" i="1" a="1"/>
  <c r="AE213" i="1"/>
  <c r="AD130" i="1"/>
  <c r="AD129" i="1" a="1"/>
  <c r="AD129" i="1"/>
  <c r="AD213" i="1" a="1"/>
  <c r="AD213" i="1"/>
  <c r="AC130" i="1"/>
  <c r="AC129" i="1" a="1"/>
  <c r="AC129" i="1"/>
  <c r="AC213" i="1" a="1"/>
  <c r="AC213" i="1"/>
  <c r="AB130" i="1"/>
  <c r="AB129" i="1" a="1"/>
  <c r="AB129" i="1"/>
  <c r="AB213" i="1" a="1"/>
  <c r="AB213" i="1"/>
  <c r="AA130" i="1"/>
  <c r="AA129" i="1" a="1"/>
  <c r="AA129" i="1"/>
  <c r="AA213" i="1" a="1"/>
  <c r="AA213" i="1"/>
  <c r="Z130" i="1"/>
  <c r="Z129" i="1" a="1"/>
  <c r="Z129" i="1"/>
  <c r="Z213" i="1" a="1"/>
  <c r="Z213" i="1"/>
  <c r="Y130" i="1"/>
  <c r="Y129" i="1" a="1"/>
  <c r="Y129" i="1"/>
  <c r="Y213" i="1" a="1"/>
  <c r="Y213" i="1"/>
  <c r="J102" i="1" a="1"/>
  <c r="J102" i="1"/>
  <c r="G211" i="1" a="1"/>
  <c r="G211" i="1"/>
  <c r="I211" i="1" a="1"/>
  <c r="C211" i="1" a="1"/>
  <c r="F211" i="1" a="1"/>
  <c r="D211" i="1" a="1"/>
  <c r="C122" i="1"/>
  <c r="B211" i="1" a="1"/>
  <c r="J104" i="1"/>
  <c r="E211" i="1" a="1"/>
  <c r="H211" i="1" a="1"/>
  <c r="I211" i="1"/>
  <c r="C211" i="1"/>
  <c r="F211" i="1"/>
  <c r="D211" i="1"/>
  <c r="B211" i="1"/>
  <c r="E211" i="1"/>
  <c r="H211" i="1"/>
  <c r="AK211" i="1" a="1"/>
  <c r="AK211" i="1"/>
  <c r="AJ211" i="1" a="1"/>
  <c r="AJ211" i="1"/>
  <c r="AI211" i="1" a="1"/>
  <c r="AI211" i="1"/>
  <c r="AH211" i="1" a="1"/>
  <c r="AH211" i="1"/>
  <c r="AG211" i="1" a="1"/>
  <c r="AG211" i="1"/>
  <c r="AF211" i="1" a="1"/>
  <c r="AF211" i="1"/>
  <c r="AE211" i="1" a="1"/>
  <c r="AE211" i="1"/>
  <c r="AD211" i="1" a="1"/>
  <c r="AD211" i="1"/>
  <c r="AC211" i="1" a="1"/>
  <c r="AC211" i="1"/>
  <c r="AB211" i="1" a="1"/>
  <c r="AB211" i="1"/>
  <c r="AA211" i="1" a="1"/>
  <c r="AA211" i="1"/>
  <c r="Z211" i="1" a="1"/>
  <c r="Z211" i="1"/>
  <c r="Y211" i="1" a="1"/>
  <c r="Y211" i="1"/>
  <c r="E208" i="1"/>
  <c r="AK208" i="1" a="1"/>
  <c r="AK208" i="1"/>
  <c r="AJ208" i="1" a="1"/>
  <c r="AJ208" i="1"/>
  <c r="AI208" i="1" a="1"/>
  <c r="AI208" i="1"/>
  <c r="AH208" i="1" a="1"/>
  <c r="AH208" i="1"/>
  <c r="AG208" i="1" a="1"/>
  <c r="AG208" i="1"/>
  <c r="AF208" i="1" a="1"/>
  <c r="AF208" i="1"/>
  <c r="AE208" i="1" a="1"/>
  <c r="AE208" i="1"/>
  <c r="AD208" i="1" a="1"/>
  <c r="AD208" i="1"/>
  <c r="AC208" i="1" a="1"/>
  <c r="AC208" i="1"/>
  <c r="AB208" i="1" a="1"/>
  <c r="AB208" i="1"/>
  <c r="AA208" i="1" a="1"/>
  <c r="AA208" i="1"/>
  <c r="Z208" i="1" a="1"/>
  <c r="Z208" i="1"/>
  <c r="Y208" i="1" a="1"/>
  <c r="Y208" i="1"/>
  <c r="I102" i="1" a="1"/>
  <c r="I102" i="1"/>
  <c r="G206" i="1" a="1"/>
  <c r="G206" i="1"/>
  <c r="I206" i="1" a="1"/>
  <c r="C206" i="1" a="1"/>
  <c r="F206" i="1" a="1"/>
  <c r="D206" i="1" a="1"/>
  <c r="B206" i="1" a="1"/>
  <c r="I104" i="1"/>
  <c r="E206" i="1" a="1"/>
  <c r="H206" i="1" a="1"/>
  <c r="I206" i="1"/>
  <c r="C206" i="1"/>
  <c r="F206" i="1"/>
  <c r="D206" i="1"/>
  <c r="B206" i="1"/>
  <c r="E206" i="1"/>
  <c r="H206" i="1"/>
  <c r="AK206" i="1" a="1"/>
  <c r="AK206" i="1"/>
  <c r="AJ206" i="1" a="1"/>
  <c r="AJ206" i="1"/>
  <c r="AI206" i="1" a="1"/>
  <c r="AI206" i="1"/>
  <c r="AH206" i="1" a="1"/>
  <c r="AH206" i="1"/>
  <c r="AG206" i="1" a="1"/>
  <c r="AG206" i="1"/>
  <c r="AF206" i="1" a="1"/>
  <c r="AF206" i="1"/>
  <c r="AE206" i="1" a="1"/>
  <c r="AE206" i="1"/>
  <c r="AD206" i="1" a="1"/>
  <c r="AD206" i="1"/>
  <c r="AC206" i="1" a="1"/>
  <c r="AC206" i="1"/>
  <c r="AB206" i="1" a="1"/>
  <c r="AB206" i="1"/>
  <c r="AA206" i="1" a="1"/>
  <c r="AA206" i="1"/>
  <c r="Z206" i="1" a="1"/>
  <c r="Z206" i="1"/>
  <c r="Y206" i="1" a="1"/>
  <c r="Y206" i="1"/>
  <c r="AK203" i="1" a="1"/>
  <c r="AK203" i="1"/>
  <c r="AJ203" i="1" a="1"/>
  <c r="AJ203" i="1"/>
  <c r="AI203" i="1" a="1"/>
  <c r="AI203" i="1"/>
  <c r="AH203" i="1" a="1"/>
  <c r="AH203" i="1"/>
  <c r="AG203" i="1" a="1"/>
  <c r="AG203" i="1"/>
  <c r="AF203" i="1" a="1"/>
  <c r="AF203" i="1"/>
  <c r="AE203" i="1" a="1"/>
  <c r="AE203" i="1"/>
  <c r="AD203" i="1" a="1"/>
  <c r="AD203" i="1"/>
  <c r="AC203" i="1" a="1"/>
  <c r="AC203" i="1"/>
  <c r="AB203" i="1" a="1"/>
  <c r="AB203" i="1"/>
  <c r="AA203" i="1" a="1"/>
  <c r="AA203" i="1"/>
  <c r="Z203" i="1" a="1"/>
  <c r="Z203" i="1"/>
  <c r="Y203" i="1" a="1"/>
  <c r="Y203" i="1"/>
  <c r="H102" i="1" a="1"/>
  <c r="H102" i="1"/>
  <c r="G201" i="1" a="1"/>
  <c r="G201" i="1"/>
  <c r="I201" i="1" a="1"/>
  <c r="C201" i="1" a="1"/>
  <c r="F201" i="1" a="1"/>
  <c r="D201" i="1" a="1"/>
  <c r="B201" i="1" a="1"/>
  <c r="H104" i="1"/>
  <c r="E201" i="1" a="1"/>
  <c r="H201" i="1" a="1"/>
  <c r="I201" i="1"/>
  <c r="C201" i="1"/>
  <c r="F201" i="1"/>
  <c r="D201" i="1"/>
  <c r="B201" i="1"/>
  <c r="E201" i="1"/>
  <c r="H201" i="1"/>
  <c r="AK201" i="1" a="1"/>
  <c r="AK201" i="1"/>
  <c r="AJ201" i="1" a="1"/>
  <c r="AJ201" i="1"/>
  <c r="AI201" i="1" a="1"/>
  <c r="AI201" i="1"/>
  <c r="AH201" i="1" a="1"/>
  <c r="AH201" i="1"/>
  <c r="AG201" i="1" a="1"/>
  <c r="AG201" i="1"/>
  <c r="AF201" i="1" a="1"/>
  <c r="AF201" i="1"/>
  <c r="AE201" i="1" a="1"/>
  <c r="AE201" i="1"/>
  <c r="AD201" i="1" a="1"/>
  <c r="AD201" i="1"/>
  <c r="AC201" i="1" a="1"/>
  <c r="AC201" i="1"/>
  <c r="AB201" i="1" a="1"/>
  <c r="AB201" i="1"/>
  <c r="AA201" i="1" a="1"/>
  <c r="AA201" i="1"/>
  <c r="Z201" i="1" a="1"/>
  <c r="Z201" i="1"/>
  <c r="Y201" i="1" a="1"/>
  <c r="Y201" i="1"/>
  <c r="E196" i="1"/>
  <c r="AK196" i="1" a="1"/>
  <c r="AK196" i="1"/>
  <c r="AJ196" i="1" a="1"/>
  <c r="AJ196" i="1"/>
  <c r="AI196" i="1" a="1"/>
  <c r="AI196" i="1"/>
  <c r="AH196" i="1" a="1"/>
  <c r="AH196" i="1"/>
  <c r="AG196" i="1" a="1"/>
  <c r="AG196" i="1"/>
  <c r="AF196" i="1" a="1"/>
  <c r="AF196" i="1"/>
  <c r="AE196" i="1" a="1"/>
  <c r="AE196" i="1"/>
  <c r="AD196" i="1" a="1"/>
  <c r="AD196" i="1"/>
  <c r="AC196" i="1" a="1"/>
  <c r="AC196" i="1"/>
  <c r="AB196" i="1" a="1"/>
  <c r="AB196" i="1"/>
  <c r="AA196" i="1" a="1"/>
  <c r="AA196" i="1"/>
  <c r="Z196" i="1" a="1"/>
  <c r="Z196" i="1"/>
  <c r="Y196" i="1" a="1"/>
  <c r="Y196" i="1"/>
  <c r="G102" i="1" a="1"/>
  <c r="G102" i="1"/>
  <c r="G194" i="1" a="1"/>
  <c r="G194" i="1"/>
  <c r="I194" i="1" a="1"/>
  <c r="C194" i="1" a="1"/>
  <c r="F194" i="1" a="1"/>
  <c r="D194" i="1" a="1"/>
  <c r="B194" i="1" a="1"/>
  <c r="G104" i="1"/>
  <c r="E194" i="1" a="1"/>
  <c r="H194" i="1" a="1"/>
  <c r="I194" i="1"/>
  <c r="C194" i="1"/>
  <c r="F194" i="1"/>
  <c r="D194" i="1"/>
  <c r="B194" i="1"/>
  <c r="E194" i="1"/>
  <c r="H194" i="1"/>
  <c r="AK194" i="1" a="1"/>
  <c r="AK194" i="1"/>
  <c r="AJ194" i="1" a="1"/>
  <c r="AJ194" i="1"/>
  <c r="AI194" i="1" a="1"/>
  <c r="AI194" i="1"/>
  <c r="AH194" i="1" a="1"/>
  <c r="AH194" i="1"/>
  <c r="AG194" i="1" a="1"/>
  <c r="AG194" i="1"/>
  <c r="AF194" i="1" a="1"/>
  <c r="AF194" i="1"/>
  <c r="AE194" i="1" a="1"/>
  <c r="AE194" i="1"/>
  <c r="AD194" i="1" a="1"/>
  <c r="AD194" i="1"/>
  <c r="AC194" i="1" a="1"/>
  <c r="AC194" i="1"/>
  <c r="AB194" i="1" a="1"/>
  <c r="AB194" i="1"/>
  <c r="AA194" i="1" a="1"/>
  <c r="AA194" i="1"/>
  <c r="Z194" i="1" a="1"/>
  <c r="Z194" i="1"/>
  <c r="Y194" i="1" a="1"/>
  <c r="Y194" i="1"/>
  <c r="E191" i="1"/>
  <c r="AK191" i="1" a="1"/>
  <c r="AK191" i="1"/>
  <c r="AJ191" i="1" a="1"/>
  <c r="AJ191" i="1"/>
  <c r="AI191" i="1" a="1"/>
  <c r="AI191" i="1"/>
  <c r="AH191" i="1" a="1"/>
  <c r="AH191" i="1"/>
  <c r="AG191" i="1" a="1"/>
  <c r="AG191" i="1"/>
  <c r="AF191" i="1" a="1"/>
  <c r="AF191" i="1"/>
  <c r="AE191" i="1" a="1"/>
  <c r="AE191" i="1"/>
  <c r="AD191" i="1" a="1"/>
  <c r="AD191" i="1"/>
  <c r="AC191" i="1" a="1"/>
  <c r="AC191" i="1"/>
  <c r="AB191" i="1" a="1"/>
  <c r="AB191" i="1"/>
  <c r="AA191" i="1" a="1"/>
  <c r="AA191" i="1"/>
  <c r="Z191" i="1" a="1"/>
  <c r="Z191" i="1"/>
  <c r="Y191" i="1" a="1"/>
  <c r="Y191" i="1"/>
  <c r="F102" i="1" a="1"/>
  <c r="F102" i="1"/>
  <c r="G189" i="1" a="1"/>
  <c r="G189" i="1"/>
  <c r="I189" i="1" a="1"/>
  <c r="C189" i="1" a="1"/>
  <c r="F189" i="1" a="1"/>
  <c r="D189" i="1" a="1"/>
  <c r="B189" i="1" a="1"/>
  <c r="F104" i="1"/>
  <c r="E189" i="1" a="1"/>
  <c r="H189" i="1" a="1"/>
  <c r="I189" i="1"/>
  <c r="C189" i="1"/>
  <c r="F189" i="1"/>
  <c r="D189" i="1"/>
  <c r="B189" i="1"/>
  <c r="E189" i="1"/>
  <c r="H189" i="1"/>
  <c r="AK189" i="1" a="1"/>
  <c r="AK189" i="1"/>
  <c r="AJ189" i="1" a="1"/>
  <c r="AJ189" i="1"/>
  <c r="AI189" i="1" a="1"/>
  <c r="AI189" i="1"/>
  <c r="AH189" i="1" a="1"/>
  <c r="AH189" i="1"/>
  <c r="AG189" i="1" a="1"/>
  <c r="AG189" i="1"/>
  <c r="AF189" i="1" a="1"/>
  <c r="AF189" i="1"/>
  <c r="AE189" i="1" a="1"/>
  <c r="AE189" i="1"/>
  <c r="AD189" i="1" a="1"/>
  <c r="AD189" i="1"/>
  <c r="AC189" i="1" a="1"/>
  <c r="AC189" i="1"/>
  <c r="AB189" i="1" a="1"/>
  <c r="AB189" i="1"/>
  <c r="AA189" i="1" a="1"/>
  <c r="AA189" i="1"/>
  <c r="Z189" i="1" a="1"/>
  <c r="Z189" i="1"/>
  <c r="Y189" i="1" a="1"/>
  <c r="Y189" i="1"/>
  <c r="E186" i="1"/>
  <c r="AK186" i="1" a="1"/>
  <c r="AK186" i="1"/>
  <c r="AJ186" i="1" a="1"/>
  <c r="AJ186" i="1"/>
  <c r="AI186" i="1" a="1"/>
  <c r="AI186" i="1"/>
  <c r="AH186" i="1" a="1"/>
  <c r="AH186" i="1"/>
  <c r="AG186" i="1" a="1"/>
  <c r="AG186" i="1"/>
  <c r="AF186" i="1" a="1"/>
  <c r="AF186" i="1"/>
  <c r="AE186" i="1" a="1"/>
  <c r="AE186" i="1"/>
  <c r="AD186" i="1" a="1"/>
  <c r="AD186" i="1"/>
  <c r="AC186" i="1" a="1"/>
  <c r="AC186" i="1"/>
  <c r="AB186" i="1" a="1"/>
  <c r="AB186" i="1"/>
  <c r="AA186" i="1" a="1"/>
  <c r="AA186" i="1"/>
  <c r="Z186" i="1" a="1"/>
  <c r="Z186" i="1"/>
  <c r="Y186" i="1" a="1"/>
  <c r="Y186" i="1"/>
  <c r="E102" i="1" a="1"/>
  <c r="E102" i="1"/>
  <c r="G184" i="1" a="1"/>
  <c r="G184" i="1"/>
  <c r="I184" i="1" a="1"/>
  <c r="C184" i="1" a="1"/>
  <c r="F184" i="1" a="1"/>
  <c r="D184" i="1" a="1"/>
  <c r="B184" i="1" a="1"/>
  <c r="E104" i="1"/>
  <c r="E184" i="1" a="1"/>
  <c r="H184" i="1" a="1"/>
  <c r="I184" i="1"/>
  <c r="C184" i="1"/>
  <c r="F184" i="1"/>
  <c r="D184" i="1"/>
  <c r="B184" i="1"/>
  <c r="E184" i="1"/>
  <c r="H184" i="1"/>
  <c r="AK184" i="1" a="1"/>
  <c r="AK184" i="1"/>
  <c r="AJ184" i="1" a="1"/>
  <c r="AJ184" i="1"/>
  <c r="AI184" i="1" a="1"/>
  <c r="AI184" i="1"/>
  <c r="AH184" i="1" a="1"/>
  <c r="AH184" i="1"/>
  <c r="AG184" i="1" a="1"/>
  <c r="AG184" i="1"/>
  <c r="AF184" i="1" a="1"/>
  <c r="AF184" i="1"/>
  <c r="AE184" i="1" a="1"/>
  <c r="AE184" i="1"/>
  <c r="AD184" i="1" a="1"/>
  <c r="AD184" i="1"/>
  <c r="AC184" i="1" a="1"/>
  <c r="AC184" i="1"/>
  <c r="AB184" i="1" a="1"/>
  <c r="AB184" i="1"/>
  <c r="AA184" i="1" a="1"/>
  <c r="AA184" i="1"/>
  <c r="Z184" i="1" a="1"/>
  <c r="Z184" i="1"/>
  <c r="Y184" i="1" a="1"/>
  <c r="Y184" i="1"/>
  <c r="E181" i="1"/>
  <c r="AK181" i="1" a="1"/>
  <c r="AK181" i="1"/>
  <c r="AJ181" i="1" a="1"/>
  <c r="AJ181" i="1"/>
  <c r="AI181" i="1" a="1"/>
  <c r="AI181" i="1"/>
  <c r="AH181" i="1" a="1"/>
  <c r="AH181" i="1"/>
  <c r="AG181" i="1" a="1"/>
  <c r="AG181" i="1"/>
  <c r="AF181" i="1" a="1"/>
  <c r="AF181" i="1"/>
  <c r="AE181" i="1" a="1"/>
  <c r="AE181" i="1"/>
  <c r="AD181" i="1" a="1"/>
  <c r="AD181" i="1"/>
  <c r="AC181" i="1" a="1"/>
  <c r="AC181" i="1"/>
  <c r="AB181" i="1" a="1"/>
  <c r="AB181" i="1"/>
  <c r="AA181" i="1" a="1"/>
  <c r="AA181" i="1"/>
  <c r="Z181" i="1" a="1"/>
  <c r="Z181" i="1"/>
  <c r="Y181" i="1" a="1"/>
  <c r="Y181" i="1"/>
  <c r="D102" i="1" a="1"/>
  <c r="D102" i="1"/>
  <c r="G179" i="1" a="1"/>
  <c r="G179" i="1"/>
  <c r="I179" i="1" a="1"/>
  <c r="C179" i="1" a="1"/>
  <c r="F179" i="1" a="1"/>
  <c r="D179" i="1" a="1"/>
  <c r="B179" i="1" a="1"/>
  <c r="D104" i="1"/>
  <c r="E179" i="1" a="1"/>
  <c r="H179" i="1" a="1"/>
  <c r="I179" i="1"/>
  <c r="C179" i="1"/>
  <c r="F179" i="1"/>
  <c r="D179" i="1"/>
  <c r="B179" i="1"/>
  <c r="E179" i="1"/>
  <c r="H179" i="1"/>
  <c r="AK179" i="1" a="1"/>
  <c r="AK179" i="1"/>
  <c r="AJ179" i="1" a="1"/>
  <c r="AJ179" i="1"/>
  <c r="AI179" i="1" a="1"/>
  <c r="AI179" i="1"/>
  <c r="AH179" i="1" a="1"/>
  <c r="AH179" i="1"/>
  <c r="AG179" i="1" a="1"/>
  <c r="AG179" i="1"/>
  <c r="AF179" i="1" a="1"/>
  <c r="AF179" i="1"/>
  <c r="AE179" i="1" a="1"/>
  <c r="AE179" i="1"/>
  <c r="AD179" i="1" a="1"/>
  <c r="AD179" i="1"/>
  <c r="AC179" i="1" a="1"/>
  <c r="AC179" i="1"/>
  <c r="AB179" i="1" a="1"/>
  <c r="AB179" i="1"/>
  <c r="AA179" i="1" a="1"/>
  <c r="AA179" i="1"/>
  <c r="Z179" i="1" a="1"/>
  <c r="Z179" i="1"/>
  <c r="Y179" i="1" a="1"/>
  <c r="Y179" i="1"/>
  <c r="E176" i="1"/>
  <c r="AK176" i="1" a="1"/>
  <c r="AK176" i="1"/>
  <c r="AJ176" i="1" a="1"/>
  <c r="AJ176" i="1"/>
  <c r="AI176" i="1" a="1"/>
  <c r="AI176" i="1"/>
  <c r="AH176" i="1" a="1"/>
  <c r="AH176" i="1"/>
  <c r="AG176" i="1" a="1"/>
  <c r="AG176" i="1"/>
  <c r="AF176" i="1" a="1"/>
  <c r="AF176" i="1"/>
  <c r="AE176" i="1" a="1"/>
  <c r="AE176" i="1"/>
  <c r="AD176" i="1" a="1"/>
  <c r="AD176" i="1"/>
  <c r="AC176" i="1" a="1"/>
  <c r="AC176" i="1"/>
  <c r="AB176" i="1" a="1"/>
  <c r="AB176" i="1"/>
  <c r="AA176" i="1" a="1"/>
  <c r="AA176" i="1"/>
  <c r="Z176" i="1" a="1"/>
  <c r="Z176" i="1"/>
  <c r="Y176" i="1" a="1"/>
  <c r="Y176" i="1"/>
  <c r="C102" i="1" a="1"/>
  <c r="C102" i="1"/>
  <c r="G174" i="1" a="1"/>
  <c r="G174" i="1"/>
  <c r="I174" i="1" a="1"/>
  <c r="C174" i="1" a="1"/>
  <c r="F174" i="1" a="1"/>
  <c r="D174" i="1" a="1"/>
  <c r="B174" i="1" a="1"/>
  <c r="C104" i="1"/>
  <c r="E174" i="1" a="1"/>
  <c r="H174" i="1" a="1"/>
  <c r="I174" i="1"/>
  <c r="C174" i="1"/>
  <c r="F174" i="1"/>
  <c r="D174" i="1"/>
  <c r="B174" i="1"/>
  <c r="E174" i="1"/>
  <c r="H174" i="1"/>
  <c r="AK174" i="1" a="1"/>
  <c r="AK174" i="1"/>
  <c r="AJ174" i="1" a="1"/>
  <c r="AJ174" i="1"/>
  <c r="AI174" i="1" a="1"/>
  <c r="AI174" i="1"/>
  <c r="AH174" i="1" a="1"/>
  <c r="AH174" i="1"/>
  <c r="AG174" i="1" a="1"/>
  <c r="AG174" i="1"/>
  <c r="AF174" i="1" a="1"/>
  <c r="AF174" i="1"/>
  <c r="AE174" i="1" a="1"/>
  <c r="AE174" i="1"/>
  <c r="AD174" i="1" a="1"/>
  <c r="AD174" i="1"/>
  <c r="AC174" i="1" a="1"/>
  <c r="AC174" i="1"/>
  <c r="AB174" i="1" a="1"/>
  <c r="AB174" i="1"/>
  <c r="AA174" i="1" a="1"/>
  <c r="AA174" i="1"/>
  <c r="Z174" i="1" a="1"/>
  <c r="Z174" i="1"/>
  <c r="Y174" i="1" a="1"/>
  <c r="Y174" i="1"/>
  <c r="C109" i="1" a="1"/>
  <c r="C109" i="1"/>
  <c r="C29" i="1" a="1"/>
  <c r="C29" i="1"/>
  <c r="C59" i="1" a="1"/>
  <c r="C59" i="1"/>
  <c r="M211" i="1" a="1"/>
  <c r="M211" i="1"/>
  <c r="L211" i="1" a="1"/>
  <c r="L211" i="1"/>
  <c r="C60" i="1" a="1"/>
  <c r="C60" i="1"/>
  <c r="K211" i="1" a="1"/>
  <c r="K211" i="1"/>
  <c r="J211" i="1" a="1"/>
  <c r="J211" i="1"/>
  <c r="A211" i="1" a="1"/>
  <c r="A211" i="1"/>
  <c r="M206" i="1" a="1"/>
  <c r="M206" i="1"/>
  <c r="L206" i="1" a="1"/>
  <c r="L206" i="1"/>
  <c r="K206" i="1" a="1"/>
  <c r="K206" i="1"/>
  <c r="J206" i="1" a="1"/>
  <c r="J206" i="1"/>
  <c r="A206" i="1" a="1"/>
  <c r="A206" i="1"/>
  <c r="M201" i="1" a="1"/>
  <c r="M201" i="1"/>
  <c r="L201" i="1" a="1"/>
  <c r="L201" i="1"/>
  <c r="K201" i="1" a="1"/>
  <c r="K201" i="1"/>
  <c r="J201" i="1" a="1"/>
  <c r="J201" i="1"/>
  <c r="A201" i="1" a="1"/>
  <c r="A201" i="1"/>
  <c r="M194" i="1" a="1"/>
  <c r="M194" i="1"/>
  <c r="L194" i="1" a="1"/>
  <c r="L194" i="1"/>
  <c r="K194" i="1" a="1"/>
  <c r="K194" i="1"/>
  <c r="J194" i="1" a="1"/>
  <c r="J194" i="1"/>
  <c r="A194" i="1" a="1"/>
  <c r="A194" i="1"/>
  <c r="M189" i="1" a="1"/>
  <c r="M189" i="1"/>
  <c r="L189" i="1" a="1"/>
  <c r="L189" i="1"/>
  <c r="K189" i="1" a="1"/>
  <c r="K189" i="1"/>
  <c r="J189" i="1" a="1"/>
  <c r="J189" i="1"/>
  <c r="A189" i="1" a="1"/>
  <c r="A189" i="1"/>
  <c r="M184" i="1" a="1"/>
  <c r="M184" i="1"/>
  <c r="L184" i="1" a="1"/>
  <c r="L184" i="1"/>
  <c r="K184" i="1" a="1"/>
  <c r="K184" i="1"/>
  <c r="J184" i="1" a="1"/>
  <c r="J184" i="1"/>
  <c r="A184" i="1" a="1"/>
  <c r="A184" i="1"/>
  <c r="M179" i="1" a="1"/>
  <c r="M179" i="1"/>
  <c r="L179" i="1" a="1"/>
  <c r="L179" i="1"/>
  <c r="K179" i="1" a="1"/>
  <c r="K179" i="1"/>
  <c r="J179" i="1" a="1"/>
  <c r="J179" i="1"/>
  <c r="A179" i="1" a="1"/>
  <c r="A179" i="1"/>
  <c r="M174" i="1" a="1"/>
  <c r="M174" i="1"/>
  <c r="L174" i="1" a="1"/>
  <c r="L174" i="1"/>
  <c r="K174" i="1" a="1"/>
  <c r="K174" i="1"/>
  <c r="J174" i="1" a="1"/>
  <c r="J174" i="1"/>
  <c r="A174" i="1" a="1"/>
  <c r="A174" i="1"/>
  <c r="B148" i="1"/>
  <c r="AK148" i="1" a="1"/>
  <c r="AK148" i="1"/>
  <c r="AJ148" i="1" a="1"/>
  <c r="AJ148" i="1"/>
  <c r="AI148" i="1" a="1"/>
  <c r="AI148" i="1"/>
  <c r="AH148" i="1" a="1"/>
  <c r="AH148" i="1"/>
  <c r="AG148" i="1" a="1"/>
  <c r="AG148" i="1"/>
  <c r="AF148" i="1" a="1"/>
  <c r="AF148" i="1"/>
  <c r="AE148" i="1" a="1"/>
  <c r="AE148" i="1"/>
  <c r="AD148" i="1" a="1"/>
  <c r="AD148" i="1"/>
  <c r="AC148" i="1" a="1"/>
  <c r="AC148" i="1"/>
  <c r="AB148" i="1" a="1"/>
  <c r="AB148" i="1"/>
  <c r="AA148" i="1" a="1"/>
  <c r="AA148" i="1"/>
  <c r="Z148" i="1" a="1"/>
  <c r="Z148" i="1"/>
  <c r="Y148" i="1" a="1"/>
  <c r="Y148" i="1"/>
  <c r="B147" i="1"/>
  <c r="AK147" i="1" a="1"/>
  <c r="AK147" i="1"/>
  <c r="AJ147" i="1" a="1"/>
  <c r="AJ147" i="1"/>
  <c r="AI147" i="1" a="1"/>
  <c r="AI147" i="1"/>
  <c r="AH147" i="1" a="1"/>
  <c r="AH147" i="1"/>
  <c r="AG147" i="1" a="1"/>
  <c r="AG147" i="1"/>
  <c r="AF147" i="1" a="1"/>
  <c r="AF147" i="1"/>
  <c r="AE147" i="1" a="1"/>
  <c r="AE147" i="1"/>
  <c r="AD147" i="1" a="1"/>
  <c r="AD147" i="1"/>
  <c r="AC147" i="1" a="1"/>
  <c r="AC147" i="1"/>
  <c r="AB147" i="1" a="1"/>
  <c r="AB147" i="1"/>
  <c r="AA147" i="1" a="1"/>
  <c r="AA147" i="1"/>
  <c r="Z147" i="1" a="1"/>
  <c r="Z147" i="1"/>
  <c r="Y147" i="1" a="1"/>
  <c r="Y147" i="1"/>
  <c r="C140" i="1" a="1"/>
  <c r="C140" i="1"/>
  <c r="C136" i="1" a="1"/>
  <c r="C136" i="1"/>
  <c r="C135" i="1" a="1"/>
  <c r="C135" i="1"/>
  <c r="C132" i="1" a="1"/>
  <c r="C132" i="1"/>
  <c r="C131" i="1" a="1"/>
  <c r="C131" i="1"/>
  <c r="C116" i="1" a="1"/>
  <c r="C116" i="1"/>
  <c r="C119" i="1" a="1"/>
  <c r="C119" i="1"/>
  <c r="C118" i="1" a="1"/>
  <c r="C118" i="1"/>
  <c r="C117" i="1" a="1"/>
  <c r="C117" i="1"/>
  <c r="C94" i="1" a="1"/>
  <c r="C94" i="1"/>
  <c r="C97" i="1" a="1"/>
  <c r="C97" i="1"/>
  <c r="C64" i="1" a="1"/>
  <c r="C64" i="1"/>
  <c r="C96" i="1" a="1"/>
  <c r="C96" i="1"/>
  <c r="D96" i="1" a="1"/>
  <c r="D96" i="1"/>
  <c r="C95" i="1" a="1"/>
  <c r="C95" i="1"/>
  <c r="C62" i="1" a="1"/>
  <c r="C62" i="1"/>
  <c r="D78" i="1" a="1"/>
  <c r="D78" i="1"/>
  <c r="C61" i="1" a="1"/>
  <c r="C61" i="1"/>
  <c r="D77" i="1" a="1"/>
  <c r="D77" i="1"/>
  <c r="D73" i="1" a="1"/>
  <c r="D73" i="1"/>
  <c r="C63" i="1" a="1"/>
  <c r="C63" i="1"/>
  <c r="D71" i="1" a="1"/>
  <c r="D71" i="1"/>
  <c r="C65" i="1" a="1"/>
  <c r="C65" i="1"/>
  <c r="D55" i="1" a="1"/>
  <c r="D55" i="1"/>
  <c r="C55" i="1" a="1"/>
  <c r="C55" i="1"/>
  <c r="D54" i="1" a="1"/>
  <c r="D54" i="1"/>
  <c r="C54" i="1" a="1"/>
  <c r="C54" i="1"/>
  <c r="D53" i="1" a="1"/>
  <c r="D53" i="1"/>
  <c r="C53" i="1" a="1"/>
  <c r="C53" i="1"/>
  <c r="D52" i="1" a="1"/>
  <c r="D52" i="1"/>
  <c r="C52" i="1" a="1"/>
  <c r="C52" i="1"/>
  <c r="D51" i="1" a="1"/>
  <c r="D51" i="1"/>
  <c r="C51" i="1" a="1"/>
  <c r="C51" i="1"/>
  <c r="D50" i="1" a="1"/>
  <c r="D50" i="1"/>
  <c r="C50" i="1" a="1"/>
  <c r="C50" i="1"/>
  <c r="D49" i="1" a="1"/>
  <c r="D49" i="1"/>
  <c r="C49" i="1" a="1"/>
  <c r="C49" i="1"/>
  <c r="C45" i="1" a="1"/>
  <c r="C45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0" i="1" a="1"/>
  <c r="C20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6" i="1" a="1"/>
  <c r="C16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P211" i="1"/>
  <c r="P206" i="1"/>
  <c r="P201" i="1"/>
  <c r="U169" i="1"/>
  <c r="V172" i="1"/>
  <c r="S169" i="1"/>
  <c r="Q169" i="1"/>
  <c r="Q165" i="1"/>
  <c r="U163" i="1"/>
  <c r="W161" i="1"/>
  <c r="W167" i="1"/>
  <c r="U167" i="1"/>
  <c r="W165" i="1"/>
  <c r="U165" i="1"/>
  <c r="W163" i="1"/>
  <c r="Q163" i="1"/>
  <c r="W211" i="1"/>
  <c r="V211" i="1"/>
  <c r="U211" i="1"/>
  <c r="T211" i="1"/>
  <c r="S211" i="1"/>
  <c r="R211" i="1"/>
  <c r="Q211" i="1"/>
  <c r="W206" i="1"/>
  <c r="V206" i="1"/>
  <c r="U206" i="1"/>
  <c r="T206" i="1"/>
  <c r="S206" i="1"/>
  <c r="R206" i="1"/>
  <c r="Q206" i="1"/>
  <c r="C7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W194" i="1"/>
  <c r="V194" i="1"/>
  <c r="U194" i="1"/>
  <c r="T194" i="1"/>
  <c r="S194" i="1"/>
  <c r="R194" i="1"/>
  <c r="Q194" i="1"/>
  <c r="P194" i="1"/>
  <c r="W189" i="1"/>
  <c r="V189" i="1"/>
  <c r="U189" i="1"/>
  <c r="T189" i="1"/>
  <c r="S189" i="1"/>
  <c r="R189" i="1"/>
  <c r="Q189" i="1"/>
  <c r="P189" i="1"/>
  <c r="W184" i="1"/>
  <c r="V184" i="1"/>
  <c r="U184" i="1"/>
  <c r="T184" i="1"/>
  <c r="S184" i="1"/>
  <c r="R184" i="1"/>
  <c r="Q184" i="1"/>
  <c r="P184" i="1"/>
  <c r="D83" i="1"/>
  <c r="E83" i="1"/>
  <c r="F83" i="1"/>
  <c r="W179" i="1"/>
  <c r="V179" i="1"/>
  <c r="U179" i="1"/>
  <c r="T179" i="1"/>
  <c r="S179" i="1"/>
  <c r="R179" i="1"/>
  <c r="Q179" i="1"/>
  <c r="P179" i="1"/>
  <c r="P174" i="1"/>
  <c r="S159" i="1"/>
  <c r="Q159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W201" i="1"/>
  <c r="V201" i="1"/>
  <c r="U201" i="1"/>
  <c r="T201" i="1"/>
  <c r="S201" i="1"/>
  <c r="R201" i="1"/>
  <c r="Q201" i="1"/>
  <c r="U161" i="1"/>
  <c r="Q167" i="1"/>
  <c r="Q161" i="1"/>
  <c r="U159" i="1"/>
  <c r="W174" i="1"/>
  <c r="V174" i="1"/>
  <c r="U174" i="1"/>
  <c r="T174" i="1"/>
  <c r="S174" i="1"/>
  <c r="R174" i="1"/>
  <c r="Q174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Khristian Gimena</author>
  </authors>
  <commentList>
    <comment ref="D10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Used for CASH FLOW CHECK formulas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<sst xmlns="http://schemas.openxmlformats.org/spreadsheetml/2006/main" count="367" uniqueCount="203">
  <si>
    <t>headline year</t>
  </si>
  <si>
    <t>scenario</t>
  </si>
  <si>
    <t>status</t>
  </si>
  <si>
    <t>outcome</t>
  </si>
  <si>
    <t>function</t>
  </si>
  <si>
    <t>reason</t>
  </si>
  <si>
    <t>measure code</t>
  </si>
  <si>
    <t>id</t>
  </si>
  <si>
    <t>0000-0000</t>
  </si>
  <si>
    <t>Total approp types</t>
  </si>
  <si>
    <t>Total approp item</t>
  </si>
  <si>
    <t>Total movement</t>
  </si>
  <si>
    <t>Total related entity</t>
  </si>
  <si>
    <t>Total jurisdictions</t>
  </si>
  <si>
    <t>Total SPP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</si>
  <si>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</si>
  <si>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</si>
  <si>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</si>
  <si>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</si>
  <si>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</si>
  <si>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</si>
  <si>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</si>
  <si>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</si>
  <si>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</si>
  <si>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</si>
  <si>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</si>
  <si>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</si>
  <si>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</si>
  <si>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</si>
  <si>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</si>
  <si>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</si>
  <si>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</si>
  <si>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</si>
  <si>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</si>
  <si>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</si>
  <si>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</si>
  <si>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</si>
  <si>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</si>
  <si>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</si>
  <si>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</si>
  <si>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</si>
  <si>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</si>
  <si>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</si>
  <si>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</si>
  <si>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</si>
  <si>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</si>
  <si>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</si>
  <si>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</si>
  <si>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</si>
  <si>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</si>
  <si>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</si>
  <si>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geus programme</t>
  </si>
  <si>
    <t>AE ID Details</t>
  </si>
  <si>
    <t>Slice VIEW</t>
  </si>
  <si>
    <t>Slice</t>
  </si>
  <si>
    <t>measure</t>
  </si>
  <si>
    <t>AE Adjustments (HEADER TITLES)</t>
  </si>
  <si>
    <t>AE validation</t>
  </si>
  <si>
    <t>Cube View (Slice)</t>
  </si>
  <si>
    <t>Validation Check</t>
  </si>
  <si>
    <t>status to use</t>
  </si>
  <si>
    <t>AE Adjustments (MDX)</t>
  </si>
  <si>
    <t>Programme MDX</t>
  </si>
  <si>
    <t>Appropriation Type MDX</t>
  </si>
  <si>
    <t>Appropriation Item MDX</t>
  </si>
  <si>
    <t>Movement Account MDX</t>
  </si>
  <si>
    <t>Related Entity MDX</t>
  </si>
  <si>
    <t>Jurisdiction MDX</t>
  </si>
  <si>
    <t>SPP MDX</t>
  </si>
  <si>
    <t>{FILTER( {TM1FILTERBYLEVEL( {TM1SUBSETALL( [movement account] )}, 0)}, [movement account].[editable] = "")}</t>
  </si>
  <si>
    <t>{TM1FILTERBYLEVEL( {TM1SUBSETALL( [related entity] )}, 0)}</t>
  </si>
  <si>
    <t>{TM1FILTERBYLEVEL( {TM1SUBSETALL( [jurisdiction] )}, 0)}</t>
  </si>
  <si>
    <t>{TM1FILTERBYLEVEL( {TM1SUBSETALL( [spp] )}, 0)}</t>
  </si>
  <si>
    <t>{TM1FILTERBYLEVEL( {TM1SUBSETALL( [appropriation type] )}, 0)}</t>
  </si>
  <si>
    <t>{TM1FILTERBYLEVEL( {TM1SUBSETALL( [appropriation item] )}, 0)}</t>
  </si>
  <si>
    <t>programme code</t>
  </si>
  <si>
    <t>Programme</t>
  </si>
  <si>
    <t>Appropriation Type</t>
  </si>
  <si>
    <t>Appropriation Item</t>
  </si>
  <si>
    <t>Account</t>
  </si>
  <si>
    <t>Movement Account</t>
  </si>
  <si>
    <t>Related Entity</t>
  </si>
  <si>
    <t>Jurisdiction</t>
  </si>
  <si>
    <t>SPP</t>
  </si>
  <si>
    <t>Natural Sign</t>
  </si>
  <si>
    <t>sys_account approp mapping</t>
  </si>
  <si>
    <t>sys_account approp mapping measure</t>
  </si>
  <si>
    <t>}Element Attributes</t>
  </si>
  <si>
    <t>movement account required</t>
  </si>
  <si>
    <t>SPP required</t>
  </si>
  <si>
    <t>Period</t>
  </si>
  <si>
    <t>To Use</t>
  </si>
  <si>
    <t>FBO</t>
  </si>
  <si>
    <t>Current</t>
  </si>
  <si>
    <t>Appropriation</t>
  </si>
  <si>
    <t>DR/CR</t>
  </si>
  <si>
    <t>Show PA Years :</t>
  </si>
  <si>
    <t>Reason Code</t>
  </si>
  <si>
    <t>Measure Code</t>
  </si>
  <si>
    <t>programme</t>
  </si>
  <si>
    <t>title</t>
  </si>
  <si>
    <t>description</t>
  </si>
  <si>
    <t>DESCRIPTIONS</t>
  </si>
  <si>
    <t>Status :</t>
  </si>
  <si>
    <t>Title :</t>
  </si>
  <si>
    <t>Reason :</t>
  </si>
  <si>
    <t>Active Form View (Standard)</t>
  </si>
  <si>
    <t>status (for cash flow active form)</t>
  </si>
  <si>
    <t>Balance Check</t>
  </si>
  <si>
    <t>3800001</t>
  </si>
  <si>
    <t>balance check</t>
  </si>
  <si>
    <t>sys_ae_opening balances</t>
  </si>
  <si>
    <t>BALANCE CHECKS</t>
  </si>
  <si>
    <t>6200000</t>
  </si>
  <si>
    <t xml:space="preserve">Balance Check : </t>
  </si>
  <si>
    <t>Program :</t>
  </si>
  <si>
    <t>Headline Year :</t>
  </si>
  <si>
    <t>Scenario :</t>
  </si>
  <si>
    <t>disagree cash flow</t>
  </si>
  <si>
    <t>adj_account</t>
  </si>
  <si>
    <t>adj_movement account</t>
  </si>
  <si>
    <t>adj_related entity</t>
  </si>
  <si>
    <t>adj_jurisdiction</t>
  </si>
  <si>
    <t>adj_appropriation item</t>
  </si>
  <si>
    <t>adj_spp</t>
  </si>
  <si>
    <t>No MA</t>
  </si>
  <si>
    <t>No RE</t>
  </si>
  <si>
    <t>No Jur</t>
  </si>
  <si>
    <t>No SPP</t>
  </si>
  <si>
    <t>appropriation item</t>
  </si>
  <si>
    <t>Programme Details</t>
  </si>
  <si>
    <t>Slice View</t>
  </si>
  <si>
    <t>appropriation type</t>
  </si>
  <si>
    <t>spp</t>
  </si>
  <si>
    <t>related entity</t>
  </si>
  <si>
    <t>Data Entry - New Adj 96 - Extract</t>
  </si>
  <si>
    <t>Program</t>
  </si>
  <si>
    <t>Total Programmes</t>
  </si>
  <si>
    <t>2000000</t>
  </si>
  <si>
    <t>Expenses</t>
  </si>
  <si>
    <t>ASSETS</t>
  </si>
  <si>
    <t>REVENUE</t>
  </si>
  <si>
    <t>EXPENSES</t>
  </si>
  <si>
    <t>LIABILITIES</t>
  </si>
  <si>
    <t>EQUITY</t>
  </si>
  <si>
    <t>CASH FLOW</t>
  </si>
  <si>
    <t>MDX</t>
  </si>
  <si>
    <t>1000001</t>
  </si>
  <si>
    <t>5000000</t>
  </si>
  <si>
    <t>3000000</t>
  </si>
  <si>
    <t>4000000</t>
  </si>
  <si>
    <t>cash flow</t>
  </si>
  <si>
    <t>DCB</t>
  </si>
  <si>
    <t>Special Accounts</t>
  </si>
  <si>
    <t>6000000</t>
  </si>
  <si>
    <t>9000850</t>
  </si>
  <si>
    <t>9000020</t>
  </si>
  <si>
    <t>Total Revenue :</t>
  </si>
  <si>
    <t>Total Expenses :</t>
  </si>
  <si>
    <t xml:space="preserve">Cash Flow Movement : </t>
  </si>
  <si>
    <t>Total Equity :</t>
  </si>
  <si>
    <t>Total Liability :</t>
  </si>
  <si>
    <t>Total Assets :</t>
  </si>
  <si>
    <t>LIABILITY</t>
  </si>
  <si>
    <t>Adjustment - Extract Details</t>
  </si>
  <si>
    <t>CAPITAL BUDGET STATEMENTS</t>
  </si>
  <si>
    <t>SPECIAL ACCOUNTS</t>
  </si>
  <si>
    <t>Total Capital Budget Statements :</t>
  </si>
  <si>
    <t>Total Special Accounts :</t>
  </si>
  <si>
    <t>Description :</t>
  </si>
  <si>
    <t>Control Type</t>
  </si>
  <si>
    <t>Adjustment Type</t>
  </si>
  <si>
    <t>created by</t>
  </si>
  <si>
    <t>created date</t>
  </si>
  <si>
    <t>authorised by</t>
  </si>
  <si>
    <t>authorised date</t>
  </si>
  <si>
    <t>Adj Type :</t>
  </si>
  <si>
    <t>Created By :</t>
  </si>
  <si>
    <t>Created Date :</t>
  </si>
  <si>
    <t>Approved By :</t>
  </si>
  <si>
    <t>Approved Date :</t>
  </si>
  <si>
    <t>CBMS ID :</t>
  </si>
  <si>
    <t>ID :</t>
  </si>
  <si>
    <t>CBMS ID</t>
  </si>
  <si>
    <t>Control Type :</t>
  </si>
  <si>
    <t>Measure Code :</t>
  </si>
  <si>
    <t>Measure Title :</t>
  </si>
  <si>
    <t>Measure Fund Life :</t>
  </si>
  <si>
    <t>Comments :</t>
  </si>
  <si>
    <t>comments</t>
  </si>
  <si>
    <t>}ElementAttributes_measure code</t>
  </si>
  <si>
    <t>CBMS</t>
  </si>
  <si>
    <t>Funding Life</t>
  </si>
  <si>
    <t>CBMS measure code</t>
  </si>
  <si>
    <t>As at</t>
  </si>
  <si>
    <t>CBMS code and description</t>
  </si>
  <si>
    <t>Adjustment - Bulk Process</t>
  </si>
  <si>
    <t>Adjustment - Bulk Process Extract</t>
  </si>
  <si>
    <t>Initiative Details</t>
  </si>
  <si>
    <t>Subset Used</t>
  </si>
  <si>
    <t>Subset Size</t>
  </si>
  <si>
    <t>First ID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</si>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</sst>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[Red]* \(#,##0\)_-;_-* &quot;-&quot;??_-;_-@_-"/>
    <numFmt numFmtId="165" formatCode="dd\ mmmm\ yyyy\ h:mm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BBDD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7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4" borderId="1" xfId="0" applyFont="1" applyFill="1" applyBorder="1"/>
    <xf numFmtId="0" fontId="1" fillId="4" borderId="6" xfId="0" applyFont="1" applyFill="1" applyBorder="1"/>
    <xf numFmtId="0" fontId="1" fillId="0" borderId="5" xfId="0" applyFont="1" applyBorder="1" applyAlignment="1">
      <alignment horizontal="center"/>
    </xf>
    <xf numFmtId="0" fontId="0" fillId="5" borderId="5" xfId="0" applyFill="1" applyBorder="1"/>
    <xf numFmtId="0" fontId="2" fillId="0" borderId="5" xfId="0" applyFont="1" applyBorder="1" applyProtection="1">
      <protection locked="0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5" fillId="2" borderId="1" xfId="0" applyFont="1" applyFill="1" applyBorder="1"/>
    <xf numFmtId="0" fontId="2" fillId="2" borderId="1" xfId="0" applyFont="1" applyFill="1" applyBorder="1"/>
    <xf numFmtId="0" fontId="2" fillId="0" borderId="5" xfId="0" applyFont="1" applyBorder="1"/>
    <xf numFmtId="0" fontId="2" fillId="8" borderId="5" xfId="0" applyFont="1" applyFill="1" applyBorder="1" applyAlignment="1">
      <alignment horizontal="left" wrapText="1"/>
    </xf>
    <xf numFmtId="0" fontId="2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2" borderId="5" xfId="0" applyFont="1" applyFill="1" applyBorder="1"/>
    <xf numFmtId="0" fontId="6" fillId="6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1" fillId="9" borderId="5" xfId="0" applyFont="1" applyFill="1" applyBorder="1" applyAlignment="1">
      <alignment horizontal="center"/>
    </xf>
    <xf numFmtId="49" fontId="2" fillId="2" borderId="5" xfId="0" applyNumberFormat="1" applyFont="1" applyFill="1" applyBorder="1"/>
    <xf numFmtId="49" fontId="2" fillId="0" borderId="5" xfId="0" applyNumberFormat="1" applyFont="1" applyBorder="1"/>
    <xf numFmtId="0" fontId="5" fillId="0" borderId="0" xfId="0" applyFont="1" applyAlignment="1">
      <alignment horizontal="right"/>
    </xf>
    <xf numFmtId="0" fontId="0" fillId="0" borderId="0" xfId="0" quotePrefix="1"/>
    <xf numFmtId="164" fontId="2" fillId="0" borderId="5" xfId="0" applyNumberFormat="1" applyFont="1" applyBorder="1"/>
    <xf numFmtId="164" fontId="2" fillId="4" borderId="5" xfId="0" applyNumberFormat="1" applyFont="1" applyFill="1" applyBorder="1"/>
    <xf numFmtId="0" fontId="9" fillId="0" borderId="0" xfId="0" applyFont="1" applyAlignment="1">
      <alignment horizontal="right" indent="1"/>
    </xf>
    <xf numFmtId="0" fontId="1" fillId="0" borderId="0" xfId="0" applyFont="1"/>
    <xf numFmtId="0" fontId="0" fillId="4" borderId="5" xfId="0" quotePrefix="1" applyFill="1" applyBorder="1"/>
    <xf numFmtId="0" fontId="9" fillId="0" borderId="0" xfId="0" applyFont="1" applyAlignment="1">
      <alignment horizontal="right"/>
    </xf>
    <xf numFmtId="0" fontId="10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/>
    </xf>
    <xf numFmtId="0" fontId="0" fillId="0" borderId="5" xfId="0" quotePrefix="1" applyBorder="1"/>
    <xf numFmtId="0" fontId="2" fillId="8" borderId="5" xfId="0" applyFont="1" applyFill="1" applyBorder="1" applyAlignment="1">
      <alignment horizontal="left" indent="1"/>
    </xf>
    <xf numFmtId="0" fontId="2" fillId="9" borderId="5" xfId="0" applyFont="1" applyFill="1" applyBorder="1" applyAlignment="1">
      <alignment horizontal="left" indent="1"/>
    </xf>
    <xf numFmtId="0" fontId="1" fillId="8" borderId="5" xfId="0" applyFont="1" applyFill="1" applyBorder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vertical="top"/>
    </xf>
    <xf numFmtId="0" fontId="2" fillId="8" borderId="5" xfId="0" applyFont="1" applyFill="1" applyBorder="1" applyAlignment="1">
      <alignment horizontal="center" vertical="top"/>
    </xf>
    <xf numFmtId="0" fontId="12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right" indent="1"/>
    </xf>
    <xf numFmtId="0" fontId="8" fillId="0" borderId="0" xfId="0" applyFont="1" applyAlignment="1">
      <alignment horizontal="right" inden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4" fillId="0" borderId="0" xfId="0" applyFont="1" applyAlignment="1">
      <alignment horizontal="right"/>
    </xf>
    <xf numFmtId="0" fontId="2" fillId="10" borderId="7" xfId="0" applyFont="1" applyFill="1" applyBorder="1" applyAlignment="1" applyProtection="1">
      <alignment horizontal="center"/>
      <protection locked="0"/>
    </xf>
    <xf numFmtId="0" fontId="16" fillId="9" borderId="5" xfId="0" applyFont="1" applyFill="1" applyBorder="1" applyAlignment="1">
      <alignment horizontal="center"/>
    </xf>
    <xf numFmtId="0" fontId="15" fillId="0" borderId="5" xfId="1" applyBorder="1"/>
    <xf numFmtId="165" fontId="14" fillId="0" borderId="0" xfId="0" applyNumberFormat="1" applyFont="1" applyAlignment="1">
      <alignment horizontal="left" indent="1"/>
    </xf>
    <xf numFmtId="0" fontId="2" fillId="8" borderId="5" xfId="0" applyFont="1" applyFill="1" applyBorder="1" applyAlignment="1">
      <alignment horizontal="left" indent="1"/>
    </xf>
    <xf numFmtId="0" fontId="9" fillId="8" borderId="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4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152</xdr:row>
      <xdr:rowOff>28575</xdr:rowOff>
    </xdr:from>
    <xdr:to>
      <xdr:col>15</xdr:col>
      <xdr:colOff>1805940</xdr:colOff>
      <xdr:row>152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</xdr:colOff>
          <xdr:row>154</xdr:row>
          <xdr:rowOff>7620</xdr:rowOff>
        </xdr:from>
        <xdr:to>
          <xdr:col>15</xdr:col>
          <xdr:colOff>647700</xdr:colOff>
          <xdr:row>154</xdr:row>
          <xdr:rowOff>259080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685800</xdr:colOff>
          <xdr:row>154</xdr:row>
          <xdr:rowOff>7620</xdr:rowOff>
        </xdr:from>
        <xdr:to>
          <xdr:col>15</xdr:col>
          <xdr:colOff>1813560</xdr:colOff>
          <xdr:row>154</xdr:row>
          <xdr:rowOff>259080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2004060</xdr:colOff>
          <xdr:row>154</xdr:row>
          <xdr:rowOff>7620</xdr:rowOff>
        </xdr:from>
        <xdr:to>
          <xdr:col>17</xdr:col>
          <xdr:colOff>403860</xdr:colOff>
          <xdr:row>154</xdr:row>
          <xdr:rowOff>259080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1836420</xdr:colOff>
          <xdr:row>154</xdr:row>
          <xdr:rowOff>7620</xdr:rowOff>
        </xdr:from>
        <xdr:to>
          <xdr:col>16</xdr:col>
          <xdr:colOff>845820</xdr:colOff>
          <xdr:row>154</xdr:row>
          <xdr:rowOff>259080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883920</xdr:colOff>
          <xdr:row>154</xdr:row>
          <xdr:rowOff>7620</xdr:rowOff>
        </xdr:from>
        <xdr:to>
          <xdr:col>16</xdr:col>
          <xdr:colOff>1943100</xdr:colOff>
          <xdr:row>154</xdr:row>
          <xdr:rowOff>259080</xdr:rowOff>
        </xdr:to>
        <xdr:sp macro="" textlink="">
          <xdr:nvSpPr>
            <xdr:cNvPr id="1042" name="TIButton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K213"/>
  <sheetViews>
    <sheetView showGridLines="0" showRowColHeaders="0" tabSelected="1" showOutlineSymbols="0" topLeftCell="G153" zoomScaleNormal="100" workbookViewId="0">
      <pane ySplit="19" topLeftCell="A172" activePane="bottomLeft" state="frozen"/>
      <selection activeCell="O153" sqref="O153"/>
      <selection pane="bottomLeft" activeCell="O172" sqref="O172"/>
    </sheetView>
  </sheetViews>
  <sheetFormatPr defaultRowHeight="14.4" outlineLevelRow="1" outlineLevelCol="1" x14ac:dyDescent="0.3"/>
  <cols>
    <col min="1" max="1" width="18.5546875" hidden="1" customWidth="1" outlineLevel="1"/>
    <col min="2" max="2" width="33.33203125" hidden="1" customWidth="1" outlineLevel="1"/>
    <col min="3" max="3" width="25.5546875" hidden="1" customWidth="1" outlineLevel="1"/>
    <col min="4" max="5" width="25.6640625" hidden="1" customWidth="1" outlineLevel="1"/>
    <col min="6" max="6" width="59" hidden="1" customWidth="1" outlineLevel="1"/>
    <col min="7" max="7" width="22.33203125" hidden="1" customWidth="1" outlineLevel="1"/>
    <col min="8" max="8" width="22.44140625" hidden="1" customWidth="1" outlineLevel="1"/>
    <col min="9" max="9" width="20.33203125" hidden="1" customWidth="1" outlineLevel="1"/>
    <col min="10" max="10" width="8.44140625" hidden="1" customWidth="1" outlineLevel="1"/>
    <col min="11" max="11" width="11.6640625" hidden="1" customWidth="1" outlineLevel="1"/>
    <col min="12" max="12" width="12.6640625" hidden="1" customWidth="1" outlineLevel="1"/>
    <col min="13" max="13" width="12.44140625" hidden="1" customWidth="1" outlineLevel="1"/>
    <col min="14" max="14" width="9.109375" hidden="1" customWidth="1" outlineLevel="1"/>
    <col min="15" max="15" width="0.88671875" customWidth="1" collapsed="1"/>
    <col min="16" max="16" width="30.6640625" customWidth="1"/>
    <col min="17" max="18" width="35.6640625" customWidth="1"/>
    <col min="19" max="20" width="17.6640625" customWidth="1"/>
    <col min="21" max="21" width="40.6640625" customWidth="1"/>
    <col min="22" max="22" width="17.6640625" customWidth="1"/>
    <col min="23" max="23" width="11.6640625" customWidth="1"/>
    <col min="24" max="24" width="0.88671875" customWidth="1"/>
    <col min="25" max="37" width="10.6640625" customWidth="1"/>
  </cols>
  <sheetData>
    <row r="1" spans="1:37" s="3" customFormat="1" ht="12" hidden="1" outlineLevel="1" x14ac:dyDescent="0.25">
      <c r="A1" s="3" t="s">
        <v>17</v>
      </c>
    </row>
    <row r="2" spans="1:37" s="3" customFormat="1" ht="12" hidden="1" outlineLevel="1" x14ac:dyDescent="0.25">
      <c r="A2" s="3">
        <f>0</f>
        <v>0</v>
      </c>
      <c r="B2" s="20"/>
      <c r="C2" s="1"/>
      <c r="D2" s="1"/>
      <c r="E2" s="1"/>
      <c r="F2" s="1"/>
      <c r="G2" s="1"/>
      <c r="H2" s="1"/>
      <c r="I2" s="1"/>
      <c r="J2" s="1"/>
    </row>
    <row r="3" spans="1:37" s="3" customFormat="1" ht="12" hidden="1" outlineLevel="1" x14ac:dyDescent="0.25">
      <c r="A3" s="3">
        <f>1</f>
        <v>1</v>
      </c>
      <c r="B3" s="21"/>
      <c r="C3" s="2"/>
      <c r="D3" s="2"/>
      <c r="E3" s="2"/>
      <c r="F3" s="2"/>
      <c r="G3" s="2"/>
      <c r="H3" s="2"/>
      <c r="I3" s="2"/>
      <c r="J3" s="2"/>
    </row>
    <row r="4" spans="1:37" s="3" customFormat="1" ht="12" hidden="1" outlineLevel="1" x14ac:dyDescent="0.25">
      <c r="A4" s="3">
        <f>2</f>
        <v>2</v>
      </c>
      <c r="B4" s="21"/>
      <c r="C4" s="2"/>
      <c r="D4" s="2"/>
      <c r="E4" s="2"/>
      <c r="F4" s="2"/>
      <c r="G4" s="2"/>
      <c r="H4" s="2"/>
      <c r="I4" s="2"/>
      <c r="J4" s="2"/>
    </row>
    <row r="5" spans="1:37" s="3" customFormat="1" ht="12" hidden="1" outlineLevel="1" x14ac:dyDescent="0.25">
      <c r="A5" s="3">
        <f>3</f>
        <v>3</v>
      </c>
      <c r="B5" s="21"/>
      <c r="C5" s="2"/>
      <c r="D5" s="2"/>
      <c r="E5" s="2"/>
      <c r="F5" s="2"/>
      <c r="G5" s="2"/>
      <c r="H5" s="2"/>
      <c r="I5" s="2"/>
      <c r="J5" s="2"/>
    </row>
    <row r="6" spans="1:37" s="3" customFormat="1" ht="12" hidden="1" outlineLevel="1" x14ac:dyDescent="0.25">
      <c r="A6" s="3" t="s">
        <v>15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P6" s="47"/>
      <c r="Q6" s="47"/>
      <c r="R6" s="47"/>
      <c r="S6" s="47"/>
      <c r="T6" s="48"/>
      <c r="U6" s="49"/>
      <c r="V6" s="47"/>
      <c r="W6" s="47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spans="1:37" s="3" customFormat="1" ht="12" hidden="1" outlineLevel="1" x14ac:dyDescent="0.25">
      <c r="A7" s="3" t="s">
        <v>16</v>
      </c>
      <c r="B7" s="26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P7" s="50"/>
      <c r="Q7" s="50"/>
      <c r="R7" s="50"/>
      <c r="S7" s="51"/>
      <c r="T7" s="52"/>
      <c r="U7" s="50"/>
      <c r="V7" s="52"/>
      <c r="W7" s="52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spans="1:37" hidden="1" outlineLevel="1" x14ac:dyDescent="0.3">
      <c r="A8" t="s">
        <v>18</v>
      </c>
      <c r="X8" s="3"/>
    </row>
    <row r="9" spans="1:37" hidden="1" outlineLevel="1" x14ac:dyDescent="0.3">
      <c r="X9" s="3"/>
    </row>
    <row r="10" spans="1:37" hidden="1" outlineLevel="1" x14ac:dyDescent="0.3"/>
    <row r="11" spans="1:37" hidden="1" outlineLevel="1" x14ac:dyDescent="0.3">
      <c r="B11" s="74" t="s">
        <v>19</v>
      </c>
      <c r="C11" s="75"/>
      <c r="D11" s="76"/>
    </row>
    <row r="12" spans="1:37" hidden="1" outlineLevel="1" x14ac:dyDescent="0.3">
      <c r="B12" s="4" t="s">
        <v>20</v>
      </c>
      <c r="C12" s="5" t="s">
        <v>202</v>
      </c>
      <c r="D12" s="6"/>
    </row>
    <row r="13" spans="1:37" hidden="1" outlineLevel="1" x14ac:dyDescent="0.3">
      <c r="B13" s="4" t="s">
        <v>21</v>
      </c>
      <c r="C13" s="7" t="str" cm="1">
        <f t="array" aca="1" ref="C13" ca="1">_xll.VIEW(db_name&amp;":}ElementAttributes_}Clients","!","!")</f>
        <v>dcceew_geus:}ElementAttributes_}Clients</v>
      </c>
      <c r="D13" s="6"/>
    </row>
    <row r="14" spans="1:37" hidden="1" outlineLevel="1" x14ac:dyDescent="0.3">
      <c r="B14" s="4" t="s">
        <v>22</v>
      </c>
      <c r="C14" s="5" t="str" cm="1">
        <f t="array" aca="1" ref="C14" ca="1">_xll.TM1USER(db_name)</f>
        <v/>
      </c>
      <c r="D14" s="6"/>
    </row>
    <row r="15" spans="1:37" hidden="1" outlineLevel="1" x14ac:dyDescent="0.3">
      <c r="B15" s="4" t="s">
        <v>23</v>
      </c>
      <c r="C15" s="5" t="str" cm="1">
        <f t="array" aca="1" ref="C15" ca="1">_xll.DBR($C$13,$C$14,$B15)</f>
        <v>*KEY_ERR</v>
      </c>
      <c r="D15" s="6"/>
    </row>
    <row r="16" spans="1:37" hidden="1" outlineLevel="1" x14ac:dyDescent="0.3">
      <c r="B16" s="4" t="s">
        <v>24</v>
      </c>
      <c r="C16" s="5" t="str" cm="1">
        <f t="array" aca="1" ref="C16" ca="1">_xll.DBR($C$13,$C$14,$B16)</f>
        <v>*KEY_ERR</v>
      </c>
      <c r="D16" s="6"/>
    </row>
    <row r="17" spans="2:8" hidden="1" outlineLevel="1" x14ac:dyDescent="0.3">
      <c r="B17" s="4" t="s">
        <v>25</v>
      </c>
      <c r="C17" s="5" t="str">
        <f ca="1">IF(LEFT($C$15,6)="CAM_AD",$C$16,$C$15)</f>
        <v>*KEY_ERR</v>
      </c>
      <c r="D17" s="8"/>
    </row>
    <row r="18" spans="2:8" hidden="1" outlineLevel="1" x14ac:dyDescent="0.3"/>
    <row r="19" spans="2:8" hidden="1" outlineLevel="1" x14ac:dyDescent="0.3">
      <c r="B19" s="74" t="s">
        <v>26</v>
      </c>
      <c r="C19" s="75"/>
      <c r="D19" s="76"/>
    </row>
    <row r="20" spans="2:8" hidden="1" outlineLevel="1" x14ac:dyDescent="0.3">
      <c r="B20" s="4" t="s">
        <v>27</v>
      </c>
      <c r="C20" s="8" t="str" cm="1">
        <f t="array" aca="1" ref="C20" ca="1">_xll.VIEW(db_name&amp;":}ElementAttributes_variables","!","!")</f>
        <v>dcceew_geus:}ElementAttributes_variables</v>
      </c>
      <c r="D20" s="8"/>
    </row>
    <row r="21" spans="2:8" hidden="1" outlineLevel="1" x14ac:dyDescent="0.3">
      <c r="B21" s="4" t="s">
        <v>0</v>
      </c>
      <c r="C21" s="8" t="str" cm="1">
        <f t="array" aca="1" ref="C21" ca="1">_xll.DBR($C$20,$B21,"value")</f>
        <v>*KEY_ERR</v>
      </c>
      <c r="D21" s="8"/>
    </row>
    <row r="22" spans="2:8" hidden="1" outlineLevel="1" x14ac:dyDescent="0.3">
      <c r="B22" s="4" t="s">
        <v>28</v>
      </c>
      <c r="C22" s="8" t="str" cm="1">
        <f t="array" aca="1" ref="C22" ca="1">_xll.DBR($C$20,$B22,"value")</f>
        <v>*KEY_ERR</v>
      </c>
      <c r="D22" s="8"/>
    </row>
    <row r="23" spans="2:8" hidden="1" outlineLevel="1" x14ac:dyDescent="0.3">
      <c r="B23" s="4" t="s">
        <v>125</v>
      </c>
      <c r="C23" s="8" t="str" cm="1">
        <f t="array" aca="1" ref="C23" ca="1">_xll.DBR($C$20,$B23,"value")</f>
        <v>*KEY_ERR</v>
      </c>
      <c r="D23" s="8"/>
    </row>
    <row r="24" spans="2:8" hidden="1" outlineLevel="1" x14ac:dyDescent="0.3">
      <c r="B24" s="4" t="s">
        <v>126</v>
      </c>
      <c r="C24" s="8" t="str" cm="1">
        <f t="array" aca="1" ref="C24" ca="1">_xll.DBR($C$20,$B24,"value")</f>
        <v>*KEY_ERR</v>
      </c>
      <c r="D24" s="8"/>
    </row>
    <row r="25" spans="2:8" hidden="1" outlineLevel="1" x14ac:dyDescent="0.3">
      <c r="B25" s="4" t="s">
        <v>127</v>
      </c>
      <c r="C25" s="8" t="str" cm="1">
        <f t="array" aca="1" ref="C25" ca="1">_xll.DBR($C$20,$B25,"value")</f>
        <v>*KEY_ERR</v>
      </c>
      <c r="D25" s="8"/>
    </row>
    <row r="26" spans="2:8" hidden="1" outlineLevel="1" x14ac:dyDescent="0.3">
      <c r="B26" s="4" t="s">
        <v>128</v>
      </c>
      <c r="C26" s="8" t="str" cm="1">
        <f t="array" aca="1" ref="C26" ca="1">_xll.DBR($C$20,$B26,"value")</f>
        <v>*KEY_ERR</v>
      </c>
      <c r="D26" s="8"/>
    </row>
    <row r="27" spans="2:8" hidden="1" outlineLevel="1" x14ac:dyDescent="0.3"/>
    <row r="28" spans="2:8" hidden="1" outlineLevel="1" x14ac:dyDescent="0.3">
      <c r="B28" s="74" t="s">
        <v>29</v>
      </c>
      <c r="C28" s="75"/>
      <c r="D28" s="76"/>
    </row>
    <row r="29" spans="2:8" hidden="1" outlineLevel="1" x14ac:dyDescent="0.3">
      <c r="B29" s="8" t="s">
        <v>30</v>
      </c>
      <c r="C29" s="8" t="str">
        <f t="array" aca="1" ref="C29" ca="1">_xll.VIEW(db_name&amp;":sys_application","!","!")</f>
        <v>dcceew_geus:sys_application</v>
      </c>
    </row>
    <row r="30" spans="2:8" hidden="1" outlineLevel="1" x14ac:dyDescent="0.3">
      <c r="B30" s="8" t="s">
        <v>31</v>
      </c>
      <c r="C30" s="8" t="s">
        <v>197</v>
      </c>
    </row>
    <row r="31" spans="2:8" hidden="1" outlineLevel="1" x14ac:dyDescent="0.3">
      <c r="B31" s="9" t="s">
        <v>32</v>
      </c>
      <c r="C31" s="10" t="s">
        <v>33</v>
      </c>
      <c r="D31" s="10" t="s">
        <v>34</v>
      </c>
      <c r="E31" s="10" t="s">
        <v>35</v>
      </c>
      <c r="F31" s="10" t="s">
        <v>36</v>
      </c>
      <c r="G31" s="10" t="s">
        <v>37</v>
      </c>
      <c r="H31" s="10" t="s">
        <v>38</v>
      </c>
    </row>
    <row r="32" spans="2:8" hidden="1" outlineLevel="1" x14ac:dyDescent="0.3">
      <c r="B32" s="8" t="s">
        <v>39</v>
      </c>
      <c r="C32" s="8" t="str" cm="1">
        <f t="array" aca="1" ref="C32" ca="1">_xll.DBR($C$29,$B32,C$31)</f>
        <v>*KEY_ERR</v>
      </c>
      <c r="D32" s="8" t="str" cm="1">
        <f t="array" aca="1" ref="D32" ca="1">_xll.DBR($C$29,$B32,D$31)</f>
        <v>*KEY_ERR</v>
      </c>
      <c r="E32" s="8" t="str" cm="1">
        <f t="array" aca="1" ref="E32" ca="1">_xll.DBR($C$29,$B32,E$31)</f>
        <v>*KEY_ERR</v>
      </c>
      <c r="F32" s="8" t="str" cm="1">
        <f t="array" aca="1" ref="F32" ca="1">_xll.DBR($C$29,$B32,F$31)</f>
        <v>*KEY_ERR</v>
      </c>
      <c r="G32" s="8" t="str" cm="1">
        <f t="array" aca="1" ref="G32" ca="1">_xll.DBR($C$29,$B32,G$31)</f>
        <v>*KEY_ERR</v>
      </c>
      <c r="H32" s="8" t="str" cm="1">
        <f t="array" aca="1" ref="H32" ca="1">_xll.DBR($C$29,$B32,H$31)</f>
        <v>*KEY_ERR</v>
      </c>
    </row>
    <row r="33" spans="2:8" hidden="1" outlineLevel="1" x14ac:dyDescent="0.3">
      <c r="B33" s="8" t="s">
        <v>40</v>
      </c>
      <c r="C33" s="8" t="str" cm="1">
        <f t="array" aca="1" ref="C33" ca="1">_xll.DBR($C$29,$B33,C$31)</f>
        <v>*KEY_ERR</v>
      </c>
      <c r="D33" s="8" t="str" cm="1">
        <f t="array" aca="1" ref="D33" ca="1">_xll.DBR($C$29,$B33,D$31)</f>
        <v>*KEY_ERR</v>
      </c>
      <c r="E33" s="8" t="str" cm="1">
        <f t="array" aca="1" ref="E33" ca="1">_xll.DBR($C$29,$B33,E$31)</f>
        <v>*KEY_ERR</v>
      </c>
      <c r="F33" s="8" t="str" cm="1">
        <f t="array" aca="1" ref="F33" ca="1">_xll.DBR($C$29,$B33,F$31)</f>
        <v>*KEY_ERR</v>
      </c>
      <c r="G33" s="8" t="str" cm="1">
        <f t="array" aca="1" ref="G33" ca="1">_xll.DBR($C$29,$B33,G$31)</f>
        <v>*KEY_ERR</v>
      </c>
      <c r="H33" s="8" t="str" cm="1">
        <f t="array" aca="1" ref="H33" ca="1">_xll.DBR($C$29,$B33,H$31)</f>
        <v>*KEY_ERR</v>
      </c>
    </row>
    <row r="34" spans="2:8" hidden="1" outlineLevel="1" x14ac:dyDescent="0.3">
      <c r="B34" s="8" t="s">
        <v>41</v>
      </c>
      <c r="C34" s="8" t="str" cm="1">
        <f t="array" aca="1" ref="C34" ca="1">_xll.DBR($C$29,$B34,C$31)</f>
        <v>*KEY_ERR</v>
      </c>
      <c r="D34" s="8" t="str" cm="1">
        <f t="array" aca="1" ref="D34" ca="1">_xll.DBR($C$29,$B34,D$31)</f>
        <v>*KEY_ERR</v>
      </c>
      <c r="E34" s="8" t="str" cm="1">
        <f t="array" aca="1" ref="E34" ca="1">_xll.DBR($C$29,$B34,E$31)</f>
        <v>*KEY_ERR</v>
      </c>
      <c r="F34" s="8" t="str" cm="1">
        <f t="array" aca="1" ref="F34" ca="1">_xll.DBR($C$29,$B34,F$31)</f>
        <v>*KEY_ERR</v>
      </c>
      <c r="G34" s="8" t="str" cm="1">
        <f t="array" aca="1" ref="G34" ca="1">_xll.DBR($C$29,$B34,G$31)</f>
        <v>*KEY_ERR</v>
      </c>
      <c r="H34" s="8" t="str" cm="1">
        <f t="array" aca="1" ref="H34" ca="1">_xll.DBR($C$29,$B34,H$31)</f>
        <v>*KEY_ERR</v>
      </c>
    </row>
    <row r="35" spans="2:8" hidden="1" outlineLevel="1" x14ac:dyDescent="0.3">
      <c r="B35" s="8" t="s">
        <v>42</v>
      </c>
      <c r="C35" s="8" t="str" cm="1">
        <f t="array" aca="1" ref="C35" ca="1">_xll.DBR($C$29,$B35,C$31)</f>
        <v>*KEY_ERR</v>
      </c>
      <c r="D35" s="8" t="str" cm="1">
        <f t="array" aca="1" ref="D35" ca="1">_xll.DBR($C$29,$B35,D$31)</f>
        <v>*KEY_ERR</v>
      </c>
      <c r="E35" s="8" t="str" cm="1">
        <f t="array" aca="1" ref="E35" ca="1">_xll.DBR($C$29,$B35,E$31)</f>
        <v>*KEY_ERR</v>
      </c>
      <c r="F35" s="8" t="str" cm="1">
        <f t="array" aca="1" ref="F35" ca="1">_xll.DBR($C$29,$B35,F$31)</f>
        <v>*KEY_ERR</v>
      </c>
      <c r="G35" s="8" t="str" cm="1">
        <f t="array" aca="1" ref="G35" ca="1">_xll.DBR($C$29,$B35,G$31)</f>
        <v>*KEY_ERR</v>
      </c>
      <c r="H35" s="8" t="str" cm="1">
        <f t="array" aca="1" ref="H35" ca="1">_xll.DBR($C$29,$B35,H$31)</f>
        <v>*KEY_ERR</v>
      </c>
    </row>
    <row r="36" spans="2:8" hidden="1" outlineLevel="1" x14ac:dyDescent="0.3">
      <c r="B36" s="8" t="s">
        <v>43</v>
      </c>
      <c r="C36" s="8" t="str" cm="1">
        <f t="array" aca="1" ref="C36" ca="1">_xll.DBR($C$29,$B36,C$31)</f>
        <v>*KEY_ERR</v>
      </c>
      <c r="D36" s="8" t="str" cm="1">
        <f t="array" aca="1" ref="D36" ca="1">_xll.DBR($C$29,$B36,D$31)</f>
        <v>*KEY_ERR</v>
      </c>
      <c r="E36" s="8" t="str" cm="1">
        <f t="array" aca="1" ref="E36" ca="1">_xll.DBR($C$29,$B36,E$31)</f>
        <v>*KEY_ERR</v>
      </c>
      <c r="F36" s="8" t="str" cm="1">
        <f t="array" aca="1" ref="F36" ca="1">_xll.DBR($C$29,$B36,F$31)</f>
        <v>*KEY_ERR</v>
      </c>
      <c r="G36" s="8" t="str" cm="1">
        <f t="array" aca="1" ref="G36" ca="1">_xll.DBR($C$29,$B36,G$31)</f>
        <v>*KEY_ERR</v>
      </c>
      <c r="H36" s="8" t="str" cm="1">
        <f t="array" aca="1" ref="H36" ca="1">_xll.DBR($C$29,$B36,H$31)</f>
        <v>*KEY_ERR</v>
      </c>
    </row>
    <row r="37" spans="2:8" hidden="1" outlineLevel="1" x14ac:dyDescent="0.3">
      <c r="B37" s="8" t="s">
        <v>135</v>
      </c>
      <c r="C37" s="8" t="str" cm="1">
        <f t="array" aca="1" ref="C37" ca="1">_xll.DBR($C$29,$B37,C$31)</f>
        <v>*KEY_ERR</v>
      </c>
      <c r="D37" s="8" t="str" cm="1">
        <f t="array" aca="1" ref="D37" ca="1">_xll.DBR($C$29,$B37,D$31)</f>
        <v>*KEY_ERR</v>
      </c>
      <c r="E37" s="8" t="str" cm="1">
        <f t="array" aca="1" ref="E37" ca="1">_xll.DBR($C$29,$B37,E$31)</f>
        <v>*KEY_ERR</v>
      </c>
      <c r="F37" s="8" t="str" cm="1">
        <f t="array" aca="1" ref="F37" ca="1">_xll.DBR($C$29,$B37,F$31)</f>
        <v>*KEY_ERR</v>
      </c>
      <c r="G37" s="8" t="str" cm="1">
        <f t="array" aca="1" ref="G37" ca="1">_xll.DBR($C$29,$B37,G$31)</f>
        <v>*KEY_ERR</v>
      </c>
      <c r="H37" s="8" t="str" cm="1">
        <f t="array" aca="1" ref="H37" ca="1">_xll.DBR($C$29,$B37,H$31)</f>
        <v>*KEY_ERR</v>
      </c>
    </row>
    <row r="38" spans="2:8" hidden="1" outlineLevel="1" x14ac:dyDescent="0.3">
      <c r="B38" s="8" t="s">
        <v>196</v>
      </c>
      <c r="C38" s="8" t="str" cm="1">
        <f t="array" aca="1" ref="C38" ca="1">_xll.DBR($C$29,$B38,C$31)</f>
        <v>*KEY_ERR</v>
      </c>
      <c r="D38" s="8" t="str" cm="1">
        <f t="array" aca="1" ref="D38" ca="1">_xll.DBR($C$29,$B38,D$31)</f>
        <v>*KEY_ERR</v>
      </c>
      <c r="E38" s="8" t="str" cm="1">
        <f t="array" aca="1" ref="E38" ca="1">_xll.DBR($C$29,$B38,E$31)</f>
        <v>*KEY_ERR</v>
      </c>
      <c r="F38" s="8" t="str" cm="1">
        <f t="array" aca="1" ref="F38" ca="1">_xll.DBR($C$29,$B38,F$31)</f>
        <v>*KEY_ERR</v>
      </c>
      <c r="G38" s="8" t="str" cm="1">
        <f t="array" aca="1" ref="G38" ca="1">_xll.DBR($C$29,$B38,G$31)</f>
        <v>*KEY_ERR</v>
      </c>
      <c r="H38" s="8" t="str" cm="1">
        <f t="array" aca="1" ref="H38" ca="1">_xll.DBR($C$29,$B38,H$31)</f>
        <v>*KEY_ERR</v>
      </c>
    </row>
    <row r="39" spans="2:8" hidden="1" outlineLevel="1" x14ac:dyDescent="0.3">
      <c r="B39" s="8" t="s">
        <v>197</v>
      </c>
      <c r="C39" s="8" t="str" cm="1">
        <f t="array" aca="1" ref="C39" ca="1">_xll.DBR($C$29,$B39,C$31)</f>
        <v>*KEY_ERR</v>
      </c>
      <c r="D39" s="8" t="str" cm="1">
        <f t="array" aca="1" ref="D39" ca="1">_xll.DBR($C$29,$B39,D$31)</f>
        <v>*KEY_ERR</v>
      </c>
      <c r="E39" s="8" t="str" cm="1">
        <f t="array" aca="1" ref="E39" ca="1">_xll.DBR($C$29,$B39,E$31)</f>
        <v>*KEY_ERR</v>
      </c>
      <c r="F39" s="8" t="str" cm="1">
        <f t="array" aca="1" ref="F39" ca="1">_xll.DBR($C$29,$B39,F$31)</f>
        <v>*KEY_ERR</v>
      </c>
      <c r="G39" s="8" t="str" cm="1">
        <f t="array" aca="1" ref="G39" ca="1">_xll.DBR($C$29,$B39,G$31)</f>
        <v>*KEY_ERR</v>
      </c>
      <c r="H39" s="8" t="str" cm="1">
        <f t="array" aca="1" ref="H39" ca="1">_xll.DBR($C$29,$B39,H$31)</f>
        <v>*KEY_ERR</v>
      </c>
    </row>
    <row r="40" spans="2:8" hidden="1" outlineLevel="1" x14ac:dyDescent="0.3"/>
    <row r="41" spans="2:8" hidden="1" outlineLevel="1" x14ac:dyDescent="0.3"/>
    <row r="42" spans="2:8" hidden="1" outlineLevel="1" x14ac:dyDescent="0.3">
      <c r="B42" s="74" t="s">
        <v>44</v>
      </c>
      <c r="C42" s="75"/>
      <c r="D42" s="76"/>
    </row>
    <row r="43" spans="2:8" hidden="1" outlineLevel="1" x14ac:dyDescent="0.3">
      <c r="B43" s="4" t="s">
        <v>27</v>
      </c>
      <c r="C43" s="8" t="str" cm="1">
        <f t="array" aca="1" ref="C43" ca="1">_xll.VIEW(db_name&amp;":sys_client preference","!","!","!")</f>
        <v>dcceew_geus:sys_client preference</v>
      </c>
      <c r="D43" s="8"/>
    </row>
    <row r="44" spans="2:8" hidden="1" outlineLevel="1" x14ac:dyDescent="0.3">
      <c r="B44" s="4"/>
      <c r="C44" s="11" t="s">
        <v>45</v>
      </c>
      <c r="D44" s="11" t="s">
        <v>46</v>
      </c>
    </row>
    <row r="45" spans="2:8" hidden="1" outlineLevel="1" x14ac:dyDescent="0.3">
      <c r="B45" s="4" t="s">
        <v>47</v>
      </c>
      <c r="C45" s="8" t="str" cm="1">
        <f t="array" aca="1" ref="C45" ca="1">_xll.SUBNM(db_name&amp;":sys_client preference measure","","value")</f>
        <v/>
      </c>
      <c r="D45" s="11"/>
    </row>
    <row r="46" spans="2:8" hidden="1" outlineLevel="1" x14ac:dyDescent="0.3">
      <c r="B46" s="4" t="s">
        <v>48</v>
      </c>
      <c r="C46" s="8" t="str" cm="1">
        <f t="array" aca="1" ref="C46" ca="1">_xll.DBR($C$43,psUser,$B46,"value")</f>
        <v>*KEY_ERR</v>
      </c>
      <c r="D46" s="8"/>
    </row>
    <row r="47" spans="2:8" hidden="1" outlineLevel="1" x14ac:dyDescent="0.3">
      <c r="B47" s="4" t="s">
        <v>49</v>
      </c>
      <c r="C47" s="8" t="str" cm="1">
        <f t="array" aca="1" ref="C47" ca="1">_xll.DBR($C$43,psUser,$B47,"value")</f>
        <v>*KEY_ERR</v>
      </c>
      <c r="D47" s="8"/>
    </row>
    <row r="48" spans="2:8" hidden="1" outlineLevel="1" x14ac:dyDescent="0.3">
      <c r="B48" s="4" t="s">
        <v>50</v>
      </c>
      <c r="C48" s="8" t="str" cm="1">
        <f t="array" aca="1" ref="C48" ca="1">_xll.DBR($C$43,psUser,$B48,"value")</f>
        <v>*KEY_ERR</v>
      </c>
      <c r="D48" s="8"/>
    </row>
    <row r="49" spans="2:4" hidden="1" outlineLevel="1" x14ac:dyDescent="0.3">
      <c r="B49" s="4" t="s">
        <v>51</v>
      </c>
      <c r="C49" s="8" t="str" cm="1">
        <f t="array" aca="1" ref="C49" ca="1">_xll.DBR($C$43,psUser,$B49,C$44)</f>
        <v>*KEY_ERR</v>
      </c>
      <c r="D49" s="8" t="str" cm="1">
        <f t="array" aca="1" ref="D49" ca="1">_xll.DBR($C$43,psUser,$B49,D$44)</f>
        <v>*KEY_ERR</v>
      </c>
    </row>
    <row r="50" spans="2:4" hidden="1" outlineLevel="1" x14ac:dyDescent="0.3">
      <c r="B50" s="4" t="s">
        <v>119</v>
      </c>
      <c r="C50" s="8" t="str" cm="1">
        <f t="array" aca="1" ref="C50" ca="1">_xll.DBR($C$43,psUser,$B50,C$44)</f>
        <v>*KEY_ERR</v>
      </c>
      <c r="D50" s="8" t="str" cm="1">
        <f t="array" aca="1" ref="D50" ca="1">_xll.DBR($C$43,psUser,$B50,D$44)</f>
        <v>*KEY_ERR</v>
      </c>
    </row>
    <row r="51" spans="2:4" hidden="1" outlineLevel="1" x14ac:dyDescent="0.3">
      <c r="B51" s="4" t="s">
        <v>120</v>
      </c>
      <c r="C51" s="8" t="str" cm="1">
        <f t="array" aca="1" ref="C51" ca="1">_xll.DBR($C$43,psUser,$B51,C$44)</f>
        <v>*KEY_ERR</v>
      </c>
      <c r="D51" s="8" t="str" cm="1">
        <f t="array" aca="1" ref="D51" ca="1">_xll.DBR($C$43,psUser,$B51,D$44)</f>
        <v>*KEY_ERR</v>
      </c>
    </row>
    <row r="52" spans="2:4" hidden="1" outlineLevel="1" x14ac:dyDescent="0.3">
      <c r="B52" s="4" t="s">
        <v>121</v>
      </c>
      <c r="C52" s="8" t="str" cm="1">
        <f t="array" aca="1" ref="C52" ca="1">_xll.DBR($C$43,psUser,$B52,C$44)</f>
        <v>*KEY_ERR</v>
      </c>
      <c r="D52" s="8" t="str" cm="1">
        <f t="array" aca="1" ref="D52" ca="1">_xll.DBR($C$43,psUser,$B52,D$44)</f>
        <v>*KEY_ERR</v>
      </c>
    </row>
    <row r="53" spans="2:4" hidden="1" outlineLevel="1" x14ac:dyDescent="0.3">
      <c r="B53" s="4" t="s">
        <v>122</v>
      </c>
      <c r="C53" s="8" t="str" cm="1">
        <f t="array" aca="1" ref="C53" ca="1">_xll.DBR($C$43,psUser,$B53,C$44)</f>
        <v>*KEY_ERR</v>
      </c>
      <c r="D53" s="8" t="str" cm="1">
        <f t="array" aca="1" ref="D53" ca="1">_xll.DBR($C$43,psUser,$B53,D$44)</f>
        <v>*KEY_ERR</v>
      </c>
    </row>
    <row r="54" spans="2:4" hidden="1" outlineLevel="1" x14ac:dyDescent="0.3">
      <c r="B54" s="4" t="s">
        <v>123</v>
      </c>
      <c r="C54" s="8" t="str" cm="1">
        <f t="array" aca="1" ref="C54" ca="1">_xll.DBR($C$43,psUser,$B54,C$44)</f>
        <v>*KEY_ERR</v>
      </c>
      <c r="D54" s="8" t="str" cm="1">
        <f t="array" aca="1" ref="D54" ca="1">_xll.DBR($C$43,psUser,$B54,D$44)</f>
        <v>*KEY_ERR</v>
      </c>
    </row>
    <row r="55" spans="2:4" hidden="1" outlineLevel="1" x14ac:dyDescent="0.3">
      <c r="B55" s="4" t="s">
        <v>124</v>
      </c>
      <c r="C55" s="8" t="str" cm="1">
        <f t="array" aca="1" ref="C55" ca="1">_xll.DBR($C$43,psUser,$B55,C$44)</f>
        <v>*KEY_ERR</v>
      </c>
      <c r="D55" s="8" t="str" cm="1">
        <f t="array" aca="1" ref="D55" ca="1">_xll.DBR($C$43,psUser,$B55,D$44)</f>
        <v>*KEY_ERR</v>
      </c>
    </row>
    <row r="56" spans="2:4" hidden="1" outlineLevel="1" x14ac:dyDescent="0.3">
      <c r="B56" s="4"/>
      <c r="C56" s="8"/>
      <c r="D56" s="8"/>
    </row>
    <row r="57" spans="2:4" hidden="1" outlineLevel="1" x14ac:dyDescent="0.3">
      <c r="B57" s="38"/>
    </row>
    <row r="58" spans="2:4" hidden="1" outlineLevel="1" x14ac:dyDescent="0.3">
      <c r="B58" s="74" t="s">
        <v>87</v>
      </c>
      <c r="C58" s="75"/>
    </row>
    <row r="59" spans="2:4" hidden="1" outlineLevel="1" x14ac:dyDescent="0.3">
      <c r="B59" s="8" t="s">
        <v>79</v>
      </c>
      <c r="C59" s="8" t="str" cm="1">
        <f t="array" aca="1" ref="C59" ca="1">_xll.VIEW(db_name&amp;":}ElementAttributes_account","!","!")</f>
        <v>dcceew_geus:}ElementAttributes_account</v>
      </c>
    </row>
    <row r="60" spans="2:4" hidden="1" outlineLevel="1" x14ac:dyDescent="0.3">
      <c r="B60" s="8" t="s">
        <v>80</v>
      </c>
      <c r="C60" s="8" t="str" cm="1">
        <f t="array" aca="1" ref="C60" ca="1">_xll.VIEW(db_name&amp;":}ElementAttributes_movement account","!","!")</f>
        <v>dcceew_geus:}ElementAttributes_movement account</v>
      </c>
    </row>
    <row r="61" spans="2:4" hidden="1" outlineLevel="1" x14ac:dyDescent="0.3">
      <c r="B61" s="8" t="s">
        <v>97</v>
      </c>
      <c r="C61" s="8" t="str" cm="1">
        <f t="array" aca="1" ref="C61" ca="1">_xll.VIEW(db_name&amp;":}ElementAttributes_reason","!","!")</f>
        <v>dcceew_geus:}ElementAttributes_reason</v>
      </c>
    </row>
    <row r="62" spans="2:4" hidden="1" outlineLevel="1" x14ac:dyDescent="0.3">
      <c r="B62" s="8" t="s">
        <v>98</v>
      </c>
      <c r="C62" s="8" t="str" cm="1">
        <f t="array" aca="1" ref="C62" ca="1">_xll.VIEW(db_name&amp;":}ElementAttributes_measure code","!","!")</f>
        <v>dcceew_geus:}ElementAttributes_measure code</v>
      </c>
    </row>
    <row r="63" spans="2:4" hidden="1" outlineLevel="1" x14ac:dyDescent="0.3">
      <c r="B63" s="8" t="s">
        <v>99</v>
      </c>
      <c r="C63" s="8" t="str" cm="1">
        <f t="array" aca="1" ref="C63" ca="1">_xll.VIEW(db_name&amp;":}ElementAttributes_programme","!","!")</f>
        <v>dcceew_geus:}ElementAttributes_programme</v>
      </c>
    </row>
    <row r="64" spans="2:4" hidden="1" outlineLevel="1" x14ac:dyDescent="0.3">
      <c r="B64" s="8" t="s">
        <v>129</v>
      </c>
      <c r="C64" s="8" t="str" cm="1">
        <f t="array" aca="1" ref="C64" ca="1">_xll.VIEW(db_name&amp;":}ElementAttributes_appropriation item","!","!")</f>
        <v>dcceew_geus:}ElementAttributes_appropriation item</v>
      </c>
    </row>
    <row r="65" spans="2:4" hidden="1" outlineLevel="1" x14ac:dyDescent="0.3">
      <c r="B65" s="8" t="s">
        <v>134</v>
      </c>
      <c r="C65" s="8" t="str" cm="1">
        <f t="array" aca="1" ref="C65" ca="1">_xll.VIEW(db_name&amp;":}ElementAttributes_related entity","!","!")</f>
        <v>dcceew_geus:}ElementAttributes_related entity</v>
      </c>
    </row>
    <row r="66" spans="2:4" hidden="1" outlineLevel="1" x14ac:dyDescent="0.3">
      <c r="B66" s="38"/>
    </row>
    <row r="67" spans="2:4" hidden="1" outlineLevel="1" x14ac:dyDescent="0.3">
      <c r="B67" s="74" t="s">
        <v>52</v>
      </c>
      <c r="C67" s="75"/>
      <c r="D67" s="76"/>
    </row>
    <row r="68" spans="2:4" hidden="1" outlineLevel="1" x14ac:dyDescent="0.3">
      <c r="B68" s="4" t="s">
        <v>54</v>
      </c>
      <c r="C68" s="8" t="str" cm="1">
        <f t="array" aca="1" ref="C68" ca="1">_xll.VIEW(db_name&amp;":AE id details",$C$46,$C$47,$C$48,"!")</f>
        <v>dcceew_geus:AE id details</v>
      </c>
      <c r="D68" s="4" t="s">
        <v>102</v>
      </c>
    </row>
    <row r="69" spans="2:4" hidden="1" outlineLevel="1" x14ac:dyDescent="0.3">
      <c r="B69" s="4" t="s">
        <v>2</v>
      </c>
      <c r="C69" s="8" t="str" cm="1">
        <f t="array" aca="1" ref="C69" ca="1">_xll.DBR($C$68,$C$46,$C$47,$W$159,$B69)</f>
        <v>*KEY_ERR</v>
      </c>
      <c r="D69" s="8"/>
    </row>
    <row r="70" spans="2:4" hidden="1" outlineLevel="1" x14ac:dyDescent="0.3">
      <c r="B70" s="4" t="s">
        <v>60</v>
      </c>
      <c r="C70" s="12" t="str">
        <f ca="1">IF(OR($C$69="unauthorised",$C$69="draft",$C$69="unbalanced"),"data",$C$69)</f>
        <v>*KEY_ERR</v>
      </c>
      <c r="D70" s="8"/>
    </row>
    <row r="71" spans="2:4" hidden="1" outlineLevel="1" x14ac:dyDescent="0.3">
      <c r="B71" s="4" t="s">
        <v>75</v>
      </c>
      <c r="C71" s="8" t="str">
        <f t="array" aca="1" ref="C71" ca="1">_xll.DBR($C$68,$C$46,$C$47,$W$159,$B71)</f>
        <v>*KEY_ERR</v>
      </c>
      <c r="D71" s="8" t="str" cm="1">
        <f t="array" aca="1" ref="D71" ca="1">_xll.DBR($C$63,$C71,"Code and description")</f>
        <v>*KEY_ERR</v>
      </c>
    </row>
    <row r="72" spans="2:4" hidden="1" outlineLevel="1" x14ac:dyDescent="0.3">
      <c r="B72" s="4" t="s">
        <v>132</v>
      </c>
      <c r="C72" s="8" t="str">
        <f t="array" aca="1" ref="C72" ca="1">_xll.DBR($C$68,$C$46,$C$47,$W$159,$B72)</f>
        <v>*KEY_ERR</v>
      </c>
      <c r="D72" s="8"/>
    </row>
    <row r="73" spans="2:4" hidden="1" outlineLevel="1" x14ac:dyDescent="0.3">
      <c r="B73" s="4" t="s">
        <v>129</v>
      </c>
      <c r="C73" s="8" t="str">
        <f t="array" aca="1" ref="C73" ca="1">_xll.DBR($C$68,$C$46,$C$47,$W$159,$B73)</f>
        <v>*KEY_ERR</v>
      </c>
      <c r="D73" s="8" t="str" cm="1">
        <f t="array" aca="1" ref="D73" ca="1">_xll.DBR($C$64,$C73,"code and description")</f>
        <v>*KEY_ERR</v>
      </c>
    </row>
    <row r="74" spans="2:4" hidden="1" outlineLevel="1" x14ac:dyDescent="0.3">
      <c r="B74" s="4" t="s">
        <v>133</v>
      </c>
      <c r="C74" s="8" t="str">
        <f t="array" aca="1" ref="C74" ca="1">_xll.DBR($C$68,$C$46,$C$47,$W$159,$B74)</f>
        <v>*KEY_ERR</v>
      </c>
      <c r="D74" s="8"/>
    </row>
    <row r="75" spans="2:4" hidden="1" outlineLevel="1" x14ac:dyDescent="0.3">
      <c r="B75" s="4" t="s">
        <v>3</v>
      </c>
      <c r="C75" s="8" t="str">
        <f t="array" aca="1" ref="C75" ca="1">_xll.DBR($C$68,$C$46,$C$47,$W$159,$B75)</f>
        <v>*KEY_ERR</v>
      </c>
      <c r="D75" s="8"/>
    </row>
    <row r="76" spans="2:4" hidden="1" outlineLevel="1" x14ac:dyDescent="0.3">
      <c r="B76" s="4" t="s">
        <v>4</v>
      </c>
      <c r="C76" s="8" t="str">
        <f t="array" aca="1" ref="C76" ca="1">_xll.DBR($C$68,$C$46,$C$47,$W$159,$B76)</f>
        <v>*KEY_ERR</v>
      </c>
      <c r="D76" s="8"/>
    </row>
    <row r="77" spans="2:4" hidden="1" outlineLevel="1" x14ac:dyDescent="0.3">
      <c r="B77" s="4" t="s">
        <v>5</v>
      </c>
      <c r="C77" s="8" t="str">
        <f t="array" aca="1" ref="C77" ca="1">_xll.DBR($C$68,$C$46,$C$47,$W$159,$B77)</f>
        <v>*KEY_ERR</v>
      </c>
      <c r="D77" s="8" t="str" cm="1">
        <f t="array" aca="1" ref="D77" ca="1">_xll.DBR($C$61,$C77,"CBMS code and description")</f>
        <v>*KEY_ERR</v>
      </c>
    </row>
    <row r="78" spans="2:4" hidden="1" outlineLevel="1" x14ac:dyDescent="0.3">
      <c r="B78" s="4" t="s">
        <v>55</v>
      </c>
      <c r="C78" s="8" t="str">
        <f t="array" aca="1" ref="C78" ca="1">_xll.DBR($C$68,$C$46,$C$47,$W$159,$B78)</f>
        <v>*KEY_ERR</v>
      </c>
      <c r="D78" s="8" t="str" cm="1">
        <f t="array" aca="1" ref="D78" ca="1">_xll.DBR($C$62,$C78,"CBMS code and description")</f>
        <v>*KEY_ERR</v>
      </c>
    </row>
    <row r="79" spans="2:4" hidden="1" outlineLevel="1" x14ac:dyDescent="0.3">
      <c r="B79" s="4" t="s">
        <v>193</v>
      </c>
      <c r="C79" s="8" t="str">
        <f t="array" aca="1" ref="C79" ca="1">_xll.DBR($C$68,$C$46,$C$47,$W$159,$B79)</f>
        <v>*KEY_ERR</v>
      </c>
      <c r="D79" s="8"/>
    </row>
    <row r="80" spans="2:4" hidden="1" outlineLevel="1" x14ac:dyDescent="0.3">
      <c r="B80" s="4" t="s">
        <v>100</v>
      </c>
      <c r="C80" s="8" t="str">
        <f t="array" aca="1" ref="C80" ca="1">_xll.DBR($C$68,$C$46,$C$47,$W$159,$B80)</f>
        <v>*KEY_ERR</v>
      </c>
      <c r="D80" s="8"/>
    </row>
    <row r="81" spans="2:6" hidden="1" outlineLevel="1" x14ac:dyDescent="0.3">
      <c r="B81" s="4" t="s">
        <v>101</v>
      </c>
      <c r="C81" s="8" t="str">
        <f t="array" aca="1" ref="C81" ca="1">_xll.DBR($C$68,$C$46,$C$47,$W$159,$B81)</f>
        <v>*KEY_ERR</v>
      </c>
      <c r="D81" s="8"/>
    </row>
    <row r="82" spans="2:6" hidden="1" outlineLevel="1" x14ac:dyDescent="0.3">
      <c r="B82" s="4" t="s">
        <v>189</v>
      </c>
      <c r="C82" s="8" t="str">
        <f t="array" aca="1" ref="C82" ca="1">_xll.DBR($C$68,$C$46,$C$47,$W$159,$B82)</f>
        <v>*KEY_ERR</v>
      </c>
      <c r="D82" s="8"/>
    </row>
    <row r="83" spans="2:6" hidden="1" outlineLevel="1" x14ac:dyDescent="0.3">
      <c r="B83" s="4" t="s">
        <v>118</v>
      </c>
      <c r="C83" s="8" t="str">
        <f t="array" aca="1" ref="C83" ca="1">_xll.DBR($C$68,$C$46,$C$47,$W$159,$B83)</f>
        <v>*KEY_ERR</v>
      </c>
      <c r="D83" s="8" t="str">
        <f ca="1">IF(OR($C$83="",$C$83="*KEY_ERR"),"System Derived","Agency Entered")</f>
        <v>System Derived</v>
      </c>
      <c r="E83" s="8" t="str">
        <f ca="1">"sys_"&amp;$D$83</f>
        <v>sys_System Derived</v>
      </c>
      <c r="F83" s="8" t="str">
        <f ca="1">IF(OR($C$69="unauthorised",$C$69="draft",$C$69="unbalanced"),"sys_all-n",$E$83)</f>
        <v>sys_System Derived</v>
      </c>
    </row>
    <row r="84" spans="2:6" hidden="1" outlineLevel="1" x14ac:dyDescent="0.3">
      <c r="B84" s="4" t="s">
        <v>170</v>
      </c>
      <c r="C84" s="8" t="str">
        <f t="array" aca="1" ref="C84" ca="1">_xll.DBR($C$68,$C$46,$C$47,$W$159,$B84)</f>
        <v>*KEY_ERR</v>
      </c>
      <c r="D84" s="8"/>
    </row>
    <row r="85" spans="2:6" hidden="1" outlineLevel="1" x14ac:dyDescent="0.3">
      <c r="B85" s="4" t="s">
        <v>171</v>
      </c>
      <c r="C85" s="8" t="str">
        <f t="array" aca="1" ref="C85" ca="1">_xll.DBR($C$68,$C$46,$C$47,$W$159,$B85)</f>
        <v>*KEY_ERR</v>
      </c>
      <c r="D85" s="8"/>
    </row>
    <row r="86" spans="2:6" hidden="1" outlineLevel="1" x14ac:dyDescent="0.3">
      <c r="B86" s="4" t="s">
        <v>172</v>
      </c>
      <c r="C86" s="8" t="str">
        <f t="array" aca="1" ref="C86" ca="1">_xll.DBR($C$68,$C$46,$C$47,$W$159,$B86)</f>
        <v>*KEY_ERR</v>
      </c>
      <c r="D86" s="8"/>
    </row>
    <row r="87" spans="2:6" hidden="1" outlineLevel="1" x14ac:dyDescent="0.3">
      <c r="B87" s="4" t="s">
        <v>173</v>
      </c>
      <c r="C87" s="8" t="str">
        <f t="array" aca="1" ref="C87" ca="1">_xll.DBR($C$68,$C$46,$C$47,$W$159,$B87)</f>
        <v>*KEY_ERR</v>
      </c>
      <c r="D87" s="8"/>
    </row>
    <row r="88" spans="2:6" hidden="1" outlineLevel="1" x14ac:dyDescent="0.3">
      <c r="B88" s="4" t="s">
        <v>174</v>
      </c>
      <c r="C88" s="8" t="str">
        <f t="array" aca="1" ref="C88" ca="1">_xll.DBR($C$68,$C$46,$C$47,$W$159,$B88)</f>
        <v>*KEY_ERR</v>
      </c>
      <c r="D88" s="8"/>
    </row>
    <row r="89" spans="2:6" hidden="1" outlineLevel="1" x14ac:dyDescent="0.3">
      <c r="B89" s="4" t="s">
        <v>175</v>
      </c>
      <c r="C89" s="8" t="str">
        <f t="array" aca="1" ref="C89" ca="1">_xll.DBR($C$68,$C$46,$C$47,$W$159,$B89)</f>
        <v>*KEY_ERR</v>
      </c>
      <c r="D89" s="8"/>
    </row>
    <row r="90" spans="2:6" hidden="1" outlineLevel="1" x14ac:dyDescent="0.3">
      <c r="B90" s="4" t="s">
        <v>183</v>
      </c>
      <c r="C90" s="8" t="str">
        <f t="array" aca="1" ref="C90" ca="1">_xll.DBR($C$68,$C$46,$C$47,$W$159,$B90)</f>
        <v>*KEY_ERR</v>
      </c>
      <c r="D90" s="8"/>
    </row>
    <row r="91" spans="2:6" hidden="1" outlineLevel="1" x14ac:dyDescent="0.3">
      <c r="B91" s="38"/>
    </row>
    <row r="92" spans="2:6" hidden="1" outlineLevel="1" x14ac:dyDescent="0.3"/>
    <row r="93" spans="2:6" hidden="1" outlineLevel="1" x14ac:dyDescent="0.3">
      <c r="B93" s="74" t="s">
        <v>130</v>
      </c>
      <c r="C93" s="75"/>
      <c r="D93" s="76"/>
    </row>
    <row r="94" spans="2:6" hidden="1" outlineLevel="1" x14ac:dyDescent="0.3">
      <c r="B94" s="4" t="s">
        <v>131</v>
      </c>
      <c r="C94" s="8" t="str" cm="1">
        <f t="array" aca="1" ref="C94" ca="1">_xll.VIEW(db_name&amp;":programme details",$C$46,$C$47,"!","!")</f>
        <v>dcceew_geus:programme details</v>
      </c>
      <c r="D94" s="8"/>
    </row>
    <row r="95" spans="2:6" hidden="1" outlineLevel="1" x14ac:dyDescent="0.3">
      <c r="B95" s="4" t="s">
        <v>132</v>
      </c>
      <c r="C95" s="8" t="str" cm="1">
        <f t="array" aca="1" ref="C95" ca="1">_xll.DBR($C$94,$C$46,$C$47,$C$71,$B95)</f>
        <v>*KEY_ERR</v>
      </c>
      <c r="D95" s="8"/>
    </row>
    <row r="96" spans="2:6" hidden="1" outlineLevel="1" x14ac:dyDescent="0.3">
      <c r="B96" s="4" t="s">
        <v>129</v>
      </c>
      <c r="C96" s="8" t="str" cm="1">
        <f t="array" aca="1" ref="C96" ca="1">_xll.DBR($C$94,$C$46,$C$47,$C$71,$B96)</f>
        <v>*KEY_ERR</v>
      </c>
      <c r="D96" s="8" t="str" cm="1">
        <f t="array" aca="1" ref="D96" ca="1">_xll.DBR($C$64,$C96,"code and description")</f>
        <v>*KEY_ERR</v>
      </c>
    </row>
    <row r="97" spans="2:10" hidden="1" outlineLevel="1" x14ac:dyDescent="0.3">
      <c r="B97" s="4" t="s">
        <v>133</v>
      </c>
      <c r="C97" s="8" t="str" cm="1">
        <f t="array" aca="1" ref="C97" ca="1">_xll.DBR($C$94,$C$46,$C$47,$C$71,$B97)</f>
        <v>*KEY_ERR</v>
      </c>
      <c r="D97" s="8"/>
    </row>
    <row r="98" spans="2:10" hidden="1" outlineLevel="1" x14ac:dyDescent="0.3"/>
    <row r="99" spans="2:10" hidden="1" outlineLevel="1" x14ac:dyDescent="0.3">
      <c r="B99" s="74" t="s">
        <v>56</v>
      </c>
      <c r="C99" s="75"/>
      <c r="D99" s="76"/>
    </row>
    <row r="100" spans="2:10" hidden="1" outlineLevel="1" x14ac:dyDescent="0.3">
      <c r="B100" s="4" t="s">
        <v>53</v>
      </c>
      <c r="C100" s="8" t="str">
        <f t="array" aca="1" ref="C100" ca="1">_xll.VIEW(db_name&amp;":AE adjustments",$C$105,$C$106,$C$108,$C$110,"!",$C$111,$C$112,"!",$C$113,"!","!","!","!","!",$W$159,"!","!")</f>
        <v>dcceew_geus:AE adjustments</v>
      </c>
    </row>
    <row r="101" spans="2:10" hidden="1" outlineLevel="1" x14ac:dyDescent="0.3">
      <c r="B101" s="4"/>
      <c r="C101" s="46" t="s">
        <v>141</v>
      </c>
      <c r="D101" s="46" t="s">
        <v>142</v>
      </c>
      <c r="E101" s="46" t="s">
        <v>140</v>
      </c>
      <c r="F101" s="46" t="s">
        <v>143</v>
      </c>
      <c r="G101" s="46" t="s">
        <v>144</v>
      </c>
      <c r="H101" s="46" t="s">
        <v>145</v>
      </c>
      <c r="I101" s="46" t="s">
        <v>152</v>
      </c>
      <c r="J101" s="46" t="s">
        <v>153</v>
      </c>
    </row>
    <row r="102" spans="2:10" hidden="1" outlineLevel="1" x14ac:dyDescent="0.3">
      <c r="B102" s="4" t="s">
        <v>106</v>
      </c>
      <c r="C102" s="8" t="str">
        <f t="array" aca="1" ref="C102" ca="1">_xll.TM1RPTVIEW(db_name&amp;":AE adjustments:1",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adjustments:1</v>
      </c>
      <c r="D102" s="8" t="str">
        <f t="array" aca="1" ref="D102" ca="1">_xll.TM1RPTVIEW(db_name&amp;":AE adjustments:ARPT2",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adjustments:ARPT2</v>
      </c>
      <c r="E102" s="8" t="str">
        <f t="array" aca="1" ref="E102" ca="1">_xll.TM1RPTVIEW(db_name&amp;":AE adjustments:ARPT4",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adjustments:ARPT4</v>
      </c>
      <c r="F102" s="8" t="str">
        <f t="array" aca="1" ref="F102" ca="1">_xll.TM1RPTVIEW(db_name&amp;":AE adjustments:ARPT3",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adjustments:ARPT3</v>
      </c>
      <c r="G102" s="8" t="str">
        <f t="array" aca="1" ref="G102" ca="1">_xll.TM1RPTVIEW(db_name&amp;":AE adjustments:ARPT5",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adjustments:ARPT5</v>
      </c>
      <c r="H102" s="8" t="str">
        <f t="array" aca="1" ref="H102" ca="1">_xll.TM1RPTVIEW(db_name&amp;":AE adjustments:ARPT1",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adjustments:ARPT1</v>
      </c>
      <c r="I102" s="8" t="str">
        <f t="array" aca="1" ref="I102" ca="1">_xll.TM1RPTVIEW(db_name&amp;":AE adjustments:ARPT6",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adjustments:ARPT6</v>
      </c>
      <c r="J102" s="8" t="str">
        <f t="array" aca="1" ref="J102" ca="1">_xll.TM1RPTVIEW(db_name&amp;":AE adjustments:ARPT7", 1, _xll.TM1RPTTITLE(db_name&amp;":headline year",$C$105), _xll.TM1RPTTITLE(db_name&amp;":scenario",$C$106), _xll.TM1RPTTITLE(db_name&amp;":status",$C$108), _xll.TM1RPTTITLE(db_name&amp;":outcome",$C$110), _xll.TM1RPTTITLE(db_name&amp;":function",$C$111), _xll.TM1RPTTITLE(db_name&amp;":reason",$C$112), _xll.TM1RPTTITLE(db_name&amp;":measure code",$C$113), _xll.TM1RPTTITLE(db_name&amp;":id",$W$159),TM1RPTFMTRNG,TM1RPTFMTIDCOL)</f>
        <v>dcceew_geus:AE adjustments:ARPT7</v>
      </c>
    </row>
    <row r="103" spans="2:10" hidden="1" outlineLevel="1" x14ac:dyDescent="0.3">
      <c r="B103" s="4" t="s">
        <v>79</v>
      </c>
      <c r="C103" s="43" t="s">
        <v>147</v>
      </c>
      <c r="D103" s="43" t="s">
        <v>138</v>
      </c>
      <c r="E103" s="43" t="s">
        <v>148</v>
      </c>
      <c r="F103" s="43" t="s">
        <v>149</v>
      </c>
      <c r="G103" s="43" t="s">
        <v>150</v>
      </c>
      <c r="H103" s="43" t="s">
        <v>154</v>
      </c>
      <c r="I103" s="43" t="s">
        <v>156</v>
      </c>
      <c r="J103" s="43" t="s">
        <v>155</v>
      </c>
    </row>
    <row r="104" spans="2:10" hidden="1" outlineLevel="1" x14ac:dyDescent="0.3">
      <c r="B104" s="4" t="s">
        <v>146</v>
      </c>
      <c r="C104" s="8" t="str">
        <f ca="1">"{TM1SORT( {TM1FILTERBYLEVEL( {TM1DRILLDOWNMEMBER( {[account].[" &amp;C$103 &amp;"]}, ALL, RECURSIVE )}, 0)}, ASC)}"</f>
        <v>{TM1SORT( {TM1FILTERBYLEVEL( {TM1DRILLDOWNMEMBER( {[account].[1000001]}, ALL, RECURSIVE )}, 0)}, ASC)}</v>
      </c>
      <c r="D104" s="8" t="str">
        <f t="shared" ref="D104:G104" ca="1" si="0">"{TM1SORT( {TM1FILTERBYLEVEL( {TM1DRILLDOWNMEMBER( {[account].[" &amp;D$103 &amp;"]}, ALL, RECURSIVE )}, 0)}, ASC)}"</f>
        <v>{TM1SORT( {TM1FILTERBYLEVEL( {TM1DRILLDOWNMEMBER( {[account].[2000000]}, ALL, RECURSIVE )}, 0)}, ASC)}</v>
      </c>
      <c r="E104" s="8" t="str">
        <f t="shared" ca="1" si="0"/>
        <v>{TM1SORT( {TM1FILTERBYLEVEL( {TM1DRILLDOWNMEMBER( {[account].[5000000]}, ALL, RECURSIVE )}, 0)}, ASC)}</v>
      </c>
      <c r="F104" s="8" t="str">
        <f t="shared" ca="1" si="0"/>
        <v>{TM1SORT( {TM1FILTERBYLEVEL( {TM1DRILLDOWNMEMBER( {[account].[3000000]}, ALL, RECURSIVE )}, 0)}, ASC)}</v>
      </c>
      <c r="G104" s="8" t="str">
        <f t="shared" ca="1" si="0"/>
        <v>{TM1SORT( {TM1FILTERBYLEVEL( {TM1DRILLDOWNMEMBER( {[account].[4000000]}, ALL, RECURSIVE )}, 0)}, ASC)}</v>
      </c>
      <c r="H104" s="8" t="str">
        <f ca="1">"{ EXCEPT( {TM1SORT( {TM1FILTERBYLEVEL( {TM1DRILLDOWNMEMBER( {[account].[" &amp;H$103 &amp;"]}, ALL, RECURSIVE )}, 0)}, ASC)}, { [account].[6100001] }) }"</f>
        <v>{ EXCEPT( {TM1SORT( {TM1FILTERBYLEVEL( {TM1DRILLDOWNMEMBER( {[account].[6000000]}, ALL, RECURSIVE )}, 0)}, ASC)}, { [account].[6100001] }) }</v>
      </c>
      <c r="I104" s="8" t="str">
        <f ca="1">"{TM1SORT( {TM1FILTERBYLEVEL( {TM1DRILLDOWNMEMBER( {[account].[" &amp;I$103 &amp;"]}, ALL, RECURSIVE )}, 0)}, ASC)}"</f>
        <v>{TM1SORT( {TM1FILTERBYLEVEL( {TM1DRILLDOWNMEMBER( {[account].[9000020]}, ALL, RECURSIVE )}, 0)}, ASC)}</v>
      </c>
      <c r="J104" s="8" t="str">
        <f ca="1">"{TM1SORT( {TM1FILTERBYLEVEL( {TM1DRILLDOWNMEMBER( {[account].[" &amp;J$103 &amp;"]}, ALL, RECURSIVE )}, 0)}, ASC)}"</f>
        <v>{TM1SORT( {TM1FILTERBYLEVEL( {TM1DRILLDOWNMEMBER( {[account].[9000850]}, ALL, RECURSIVE )}, 0)}, ASC)}</v>
      </c>
    </row>
    <row r="105" spans="2:10" hidden="1" outlineLevel="1" x14ac:dyDescent="0.3">
      <c r="B105" s="4" t="s">
        <v>0</v>
      </c>
      <c r="C105" s="8" t="str">
        <f t="array" aca="1" ref="C105" ca="1">_xll.SUBNM(db_name&amp;":headline year","",$C$46)</f>
        <v/>
      </c>
    </row>
    <row r="106" spans="2:10" hidden="1" outlineLevel="1" x14ac:dyDescent="0.3">
      <c r="B106" s="4" t="s">
        <v>1</v>
      </c>
      <c r="C106" s="8" t="str">
        <f t="array" aca="1" ref="C106" ca="1">_xll.SUBNM(db_name&amp;":scenario","",$C$47)</f>
        <v/>
      </c>
    </row>
    <row r="107" spans="2:10" hidden="1" outlineLevel="1" x14ac:dyDescent="0.3">
      <c r="B107" s="4" t="s">
        <v>7</v>
      </c>
    </row>
    <row r="108" spans="2:10" hidden="1" outlineLevel="1" x14ac:dyDescent="0.3">
      <c r="B108" s="4" t="s">
        <v>2</v>
      </c>
      <c r="C108" s="8" t="str">
        <f t="array" aca="1" ref="C108" ca="1">_xll.SUBNM(db_name&amp;":status","",$C$69)</f>
        <v/>
      </c>
    </row>
    <row r="109" spans="2:10" hidden="1" outlineLevel="1" x14ac:dyDescent="0.3">
      <c r="B109" s="4" t="s">
        <v>107</v>
      </c>
      <c r="C109" s="8" t="str">
        <f t="array" aca="1" ref="C109" ca="1">_xll.SUBNM(db_name&amp;":status","","cash flow")</f>
        <v/>
      </c>
      <c r="D109" s="8" t="s">
        <v>151</v>
      </c>
    </row>
    <row r="110" spans="2:10" hidden="1" outlineLevel="1" x14ac:dyDescent="0.3">
      <c r="B110" s="4" t="s">
        <v>3</v>
      </c>
      <c r="C110" s="8" t="str">
        <f t="array" aca="1" ref="C110" ca="1">_xll.SUBNM(db_name&amp;":outcome","",$C$75)</f>
        <v/>
      </c>
    </row>
    <row r="111" spans="2:10" hidden="1" outlineLevel="1" x14ac:dyDescent="0.3">
      <c r="B111" s="4" t="s">
        <v>4</v>
      </c>
      <c r="C111" s="8" t="str">
        <f t="array" aca="1" ref="C111" ca="1">_xll.SUBNM(db_name&amp;":function","",$C$76)</f>
        <v/>
      </c>
    </row>
    <row r="112" spans="2:10" hidden="1" outlineLevel="1" x14ac:dyDescent="0.3">
      <c r="B112" s="4" t="s">
        <v>5</v>
      </c>
      <c r="C112" s="8" t="str">
        <f t="array" aca="1" ref="C112" ca="1">_xll.SUBNM(db_name&amp;":reason","",$C$77,"CBMS code and description")</f>
        <v/>
      </c>
    </row>
    <row r="113" spans="2:23" hidden="1" outlineLevel="1" x14ac:dyDescent="0.3">
      <c r="B113" s="4" t="s">
        <v>6</v>
      </c>
      <c r="C113" s="8" t="str">
        <f t="array" aca="1" ref="C113" ca="1">_xll.SUBNM(db_name&amp;":measure code","",$C$78,"CBMS code and description")</f>
        <v/>
      </c>
    </row>
    <row r="114" spans="2:23" hidden="1" outlineLevel="1" x14ac:dyDescent="0.3"/>
    <row r="115" spans="2:23" hidden="1" outlineLevel="1" x14ac:dyDescent="0.3">
      <c r="B115" s="74" t="s">
        <v>190</v>
      </c>
      <c r="C115" s="75"/>
    </row>
    <row r="116" spans="2:23" hidden="1" outlineLevel="1" x14ac:dyDescent="0.3">
      <c r="B116" s="8" t="s">
        <v>98</v>
      </c>
      <c r="C116" s="8" t="str" cm="1">
        <f t="array" aca="1" ref="C116" ca="1">_xll.VIEW(db_name&amp;":}ElementAttributes_measure code","!","!")</f>
        <v>dcceew_geus:}ElementAttributes_measure code</v>
      </c>
    </row>
    <row r="117" spans="2:23" hidden="1" outlineLevel="1" x14ac:dyDescent="0.3">
      <c r="B117" s="8" t="s">
        <v>191</v>
      </c>
      <c r="C117" s="8" t="str" cm="1">
        <f t="array" aca="1" ref="C117" ca="1">_xll.DBR($C$116,$C$113,$B117)</f>
        <v>*KEY_ERR</v>
      </c>
    </row>
    <row r="118" spans="2:23" hidden="1" outlineLevel="1" x14ac:dyDescent="0.3">
      <c r="B118" s="8" t="s">
        <v>192</v>
      </c>
      <c r="C118" s="8" t="str" cm="1">
        <f t="array" aca="1" ref="C118" ca="1">_xll.DBR($C$116,$C$113,$B118)</f>
        <v>*KEY_ERR</v>
      </c>
    </row>
    <row r="119" spans="2:23" hidden="1" outlineLevel="1" x14ac:dyDescent="0.3">
      <c r="B119" s="8" t="s">
        <v>195</v>
      </c>
      <c r="C119" s="8" t="str" cm="1">
        <f t="array" aca="1" ref="C119" ca="1">_xll.DBR($C$116,$C$113,$B119)</f>
        <v>*KEY_ERR</v>
      </c>
    </row>
    <row r="120" spans="2:23" hidden="1" outlineLevel="1" x14ac:dyDescent="0.3"/>
    <row r="121" spans="2:23" hidden="1" outlineLevel="1" x14ac:dyDescent="0.3">
      <c r="B121" s="74" t="s">
        <v>61</v>
      </c>
      <c r="C121" s="75"/>
      <c r="D121" s="76"/>
    </row>
    <row r="122" spans="2:23" hidden="1" outlineLevel="1" x14ac:dyDescent="0.3">
      <c r="B122" s="4" t="s">
        <v>62</v>
      </c>
      <c r="C122" s="8" t="str">
        <f ca="1">"{TM1FILTERBYLEVEL( {TM1DRILLDOWNMEMBER( {[programme].[" &amp;$C$71 &amp; "]}, ALL, RECURSIVE )}, 0)}"</f>
        <v>{TM1FILTERBYLEVEL( {TM1DRILLDOWNMEMBER( {[programme].[*KEY_ERR]}, ALL, RECURSIVE )}, 0)}</v>
      </c>
      <c r="D122" s="8"/>
    </row>
    <row r="123" spans="2:23" hidden="1" outlineLevel="1" x14ac:dyDescent="0.3">
      <c r="B123" s="4" t="s">
        <v>63</v>
      </c>
      <c r="C123" s="13" t="s">
        <v>73</v>
      </c>
      <c r="D123" s="8"/>
    </row>
    <row r="124" spans="2:23" hidden="1" outlineLevel="1" x14ac:dyDescent="0.3">
      <c r="B124" s="4" t="s">
        <v>64</v>
      </c>
      <c r="C124" s="13" t="s">
        <v>74</v>
      </c>
      <c r="D124" s="8"/>
    </row>
    <row r="125" spans="2:23" hidden="1" outlineLevel="1" x14ac:dyDescent="0.3">
      <c r="B125" s="4" t="s">
        <v>65</v>
      </c>
      <c r="C125" s="8" t="s">
        <v>69</v>
      </c>
      <c r="D125" s="8"/>
    </row>
    <row r="126" spans="2:23" hidden="1" outlineLevel="1" x14ac:dyDescent="0.3">
      <c r="B126" s="4" t="s">
        <v>66</v>
      </c>
      <c r="C126" s="13" t="s">
        <v>70</v>
      </c>
      <c r="D126" s="8"/>
    </row>
    <row r="127" spans="2:23" hidden="1" outlineLevel="1" x14ac:dyDescent="0.3">
      <c r="B127" s="4" t="s">
        <v>67</v>
      </c>
      <c r="C127" s="13" t="s">
        <v>71</v>
      </c>
      <c r="D127" s="8"/>
    </row>
    <row r="128" spans="2:23" hidden="1" outlineLevel="1" x14ac:dyDescent="0.3">
      <c r="B128" s="4" t="s">
        <v>68</v>
      </c>
      <c r="C128" s="13" t="s">
        <v>72</v>
      </c>
      <c r="D128" s="8"/>
      <c r="W128" s="16" t="s">
        <v>90</v>
      </c>
    </row>
    <row r="129" spans="2:37" hidden="1" outlineLevel="1" x14ac:dyDescent="0.3">
      <c r="V129" t="s">
        <v>90</v>
      </c>
      <c r="W129" s="17" t="str">
        <f ca="1">RIGHT($C$105,9)</f>
        <v/>
      </c>
      <c r="Y129" s="18" t="str" cm="1">
        <f t="array" aca="1" ref="Y129" ca="1">_xll.DIMNM(db_name&amp;":period",_xll.DIMIX(db_name&amp;":period",$W$129)+Y$130)</f>
        <v/>
      </c>
      <c r="Z129" s="18" t="str" cm="1">
        <f t="array" aca="1" ref="Z129" ca="1">_xll.DIMNM(db_name&amp;":period",_xll.DIMIX(db_name&amp;":period",$W$129)+Z$130)</f>
        <v/>
      </c>
      <c r="AA129" s="18" t="str" cm="1">
        <f t="array" aca="1" ref="AA129" ca="1">_xll.DIMNM(db_name&amp;":period",_xll.DIMIX(db_name&amp;":period",$W$129)+AA$130)</f>
        <v/>
      </c>
      <c r="AB129" s="18" t="str" cm="1">
        <f t="array" aca="1" ref="AB129" ca="1">_xll.DIMNM(db_name&amp;":period",_xll.DIMIX(db_name&amp;":period",$W$129)+AB$130)</f>
        <v/>
      </c>
      <c r="AC129" s="18" t="str" cm="1">
        <f t="array" aca="1" ref="AC129" ca="1">_xll.DIMNM(db_name&amp;":period",_xll.DIMIX(db_name&amp;":period",$W$129)+AC$130)</f>
        <v/>
      </c>
      <c r="AD129" s="18" t="str" cm="1">
        <f t="array" aca="1" ref="AD129" ca="1">_xll.DIMNM(db_name&amp;":period",_xll.DIMIX(db_name&amp;":period",$W$129)+AD$130)</f>
        <v/>
      </c>
      <c r="AE129" s="18" t="str" cm="1">
        <f t="array" aca="1" ref="AE129" ca="1">_xll.DIMNM(db_name&amp;":period",_xll.DIMIX(db_name&amp;":period",$W$129)+AE$130)</f>
        <v/>
      </c>
      <c r="AF129" s="18" t="str" cm="1">
        <f t="array" aca="1" ref="AF129" ca="1">_xll.DIMNM(db_name&amp;":period",_xll.DIMIX(db_name&amp;":period",$W$129)+AF$130)</f>
        <v/>
      </c>
      <c r="AG129" s="18" t="str" cm="1">
        <f t="array" aca="1" ref="AG129" ca="1">_xll.DIMNM(db_name&amp;":period",_xll.DIMIX(db_name&amp;":period",$W$129)+AG$130)</f>
        <v/>
      </c>
      <c r="AH129" s="18" t="str" cm="1">
        <f t="array" aca="1" ref="AH129" ca="1">_xll.DIMNM(db_name&amp;":period",_xll.DIMIX(db_name&amp;":period",$W$129)+AH$130)</f>
        <v/>
      </c>
      <c r="AI129" s="18" t="str" cm="1">
        <f t="array" aca="1" ref="AI129" ca="1">_xll.DIMNM(db_name&amp;":period",_xll.DIMIX(db_name&amp;":period",$W$129)+AI$130)</f>
        <v/>
      </c>
      <c r="AJ129" s="18" t="str" cm="1">
        <f t="array" aca="1" ref="AJ129" ca="1">_xll.DIMNM(db_name&amp;":period",_xll.DIMIX(db_name&amp;":period",$W$129)+AJ$130)</f>
        <v/>
      </c>
      <c r="AK129" s="19" t="str" cm="1">
        <f t="array" aca="1" ref="AK129" ca="1">_xll.DIMNM(db_name&amp;":period",_xll.DIMIX(db_name&amp;":period",$W$129)+AK$130)</f>
        <v/>
      </c>
    </row>
    <row r="130" spans="2:37" hidden="1" outlineLevel="1" x14ac:dyDescent="0.3">
      <c r="B130" s="74" t="s">
        <v>57</v>
      </c>
      <c r="C130" s="75"/>
      <c r="W130" s="17" t="s">
        <v>91</v>
      </c>
      <c r="Y130" s="17">
        <f t="shared" ref="Y130:AK130" ca="1" si="1">IF($AA144="No",Y$132,Y$131)</f>
        <v>-2</v>
      </c>
      <c r="Z130" s="17">
        <f t="shared" ca="1" si="1"/>
        <v>-1</v>
      </c>
      <c r="AA130" s="17">
        <f t="shared" ca="1" si="1"/>
        <v>0</v>
      </c>
      <c r="AB130" s="17">
        <f t="shared" ca="1" si="1"/>
        <v>1</v>
      </c>
      <c r="AC130" s="17">
        <f t="shared" ca="1" si="1"/>
        <v>2</v>
      </c>
      <c r="AD130" s="17">
        <f t="shared" ca="1" si="1"/>
        <v>3</v>
      </c>
      <c r="AE130" s="17">
        <f t="shared" ca="1" si="1"/>
        <v>4</v>
      </c>
      <c r="AF130" s="17">
        <f t="shared" ca="1" si="1"/>
        <v>5</v>
      </c>
      <c r="AG130" s="17">
        <f t="shared" ca="1" si="1"/>
        <v>6</v>
      </c>
      <c r="AH130" s="17">
        <f t="shared" ca="1" si="1"/>
        <v>7</v>
      </c>
      <c r="AI130" s="17">
        <f t="shared" ca="1" si="1"/>
        <v>8</v>
      </c>
      <c r="AJ130" s="17">
        <f t="shared" ca="1" si="1"/>
        <v>9</v>
      </c>
      <c r="AK130" s="17">
        <f t="shared" ca="1" si="1"/>
        <v>10</v>
      </c>
    </row>
    <row r="131" spans="2:37" hidden="1" outlineLevel="1" x14ac:dyDescent="0.3">
      <c r="B131" s="4" t="s">
        <v>58</v>
      </c>
      <c r="C131" s="8" t="str" cm="1">
        <f t="array" aca="1" ref="C131" ca="1">_xll.VIEW(db_name&amp;":AE validation",$C$105,$C$106,"!",$W$159,"!")</f>
        <v>dcceew_geus:AE validation</v>
      </c>
      <c r="W131" s="8" t="s">
        <v>92</v>
      </c>
      <c r="Y131" s="8">
        <v>-2</v>
      </c>
      <c r="Z131" s="8">
        <v>-1</v>
      </c>
      <c r="AA131" s="8">
        <v>0</v>
      </c>
      <c r="AB131" s="8">
        <v>1</v>
      </c>
      <c r="AC131" s="8">
        <v>2</v>
      </c>
      <c r="AD131" s="8">
        <v>3</v>
      </c>
      <c r="AE131" s="8">
        <v>4</v>
      </c>
      <c r="AF131" s="8">
        <v>5</v>
      </c>
      <c r="AG131" s="8">
        <v>6</v>
      </c>
      <c r="AH131" s="8">
        <v>7</v>
      </c>
      <c r="AI131" s="8">
        <v>8</v>
      </c>
      <c r="AJ131" s="8">
        <v>9</v>
      </c>
      <c r="AK131" s="8">
        <v>10</v>
      </c>
    </row>
    <row r="132" spans="2:37" hidden="1" outlineLevel="1" x14ac:dyDescent="0.3">
      <c r="B132" s="4" t="s">
        <v>59</v>
      </c>
      <c r="C132" s="8" t="str" cm="1">
        <f t="array" aca="1" ref="C132" ca="1">_xll.DBR(db_name&amp;":AE validations",$C$105,$C$106,"Total",$W$159,"Total Years")</f>
        <v>*KEY_ERR</v>
      </c>
      <c r="W132" s="8" t="s">
        <v>93</v>
      </c>
      <c r="Y132" s="8">
        <v>-1</v>
      </c>
      <c r="Z132" s="8">
        <v>0</v>
      </c>
      <c r="AA132" s="8">
        <v>1</v>
      </c>
      <c r="AB132" s="8">
        <v>2</v>
      </c>
      <c r="AC132" s="8">
        <v>3</v>
      </c>
      <c r="AD132" s="8">
        <v>4</v>
      </c>
      <c r="AE132" s="8">
        <v>5</v>
      </c>
      <c r="AF132" s="8">
        <v>6</v>
      </c>
      <c r="AG132" s="8">
        <v>7</v>
      </c>
      <c r="AH132" s="8">
        <v>8</v>
      </c>
      <c r="AI132" s="8">
        <v>9</v>
      </c>
      <c r="AJ132" s="8">
        <v>10</v>
      </c>
      <c r="AK132" s="8">
        <v>11</v>
      </c>
    </row>
    <row r="133" spans="2:37" hidden="1" outlineLevel="1" x14ac:dyDescent="0.3"/>
    <row r="134" spans="2:37" hidden="1" outlineLevel="1" x14ac:dyDescent="0.3">
      <c r="B134" s="74" t="s">
        <v>85</v>
      </c>
      <c r="C134" s="75"/>
    </row>
    <row r="135" spans="2:37" hidden="1" outlineLevel="1" x14ac:dyDescent="0.3">
      <c r="B135" s="4" t="s">
        <v>58</v>
      </c>
      <c r="C135" s="8" t="str" cm="1">
        <f t="array" aca="1" ref="C135" ca="1">_xll.VIEW(db_name&amp;":sys_account approp mapping","!","!","!",$C$136)</f>
        <v>dcceew_geus:sys_account approp mapping</v>
      </c>
    </row>
    <row r="136" spans="2:37" hidden="1" outlineLevel="1" x14ac:dyDescent="0.3">
      <c r="B136" s="4" t="s">
        <v>86</v>
      </c>
      <c r="C136" s="8" t="str" cm="1">
        <f t="array" aca="1" ref="C136" ca="1">_xll.SUBNM(db_name&amp;":sys_account approp mapping measure","","flag")</f>
        <v/>
      </c>
    </row>
    <row r="137" spans="2:37" hidden="1" outlineLevel="1" x14ac:dyDescent="0.3"/>
    <row r="138" spans="2:37" hidden="1" outlineLevel="1" x14ac:dyDescent="0.3">
      <c r="B138" s="72" t="s">
        <v>198</v>
      </c>
      <c r="C138" s="73"/>
    </row>
    <row r="139" spans="2:37" hidden="1" outlineLevel="1" x14ac:dyDescent="0.3">
      <c r="B139" s="69" t="s">
        <v>199</v>
      </c>
      <c r="C139" s="69" t="str">
        <f ca="1">$C$17&amp;"_$sysBulkPrintList"</f>
        <v>*KEY_ERR_$sysBulkPrintList</v>
      </c>
    </row>
    <row r="140" spans="2:37" hidden="1" outlineLevel="1" x14ac:dyDescent="0.3">
      <c r="B140" s="69" t="s">
        <v>200</v>
      </c>
      <c r="C140" s="69" cm="1">
        <f t="array" aca="1" ref="C140" ca="1">_xll.SUBSIZ(db_name&amp;":id",$C$139)</f>
        <v>0</v>
      </c>
    </row>
    <row r="141" spans="2:37" hidden="1" outlineLevel="1" x14ac:dyDescent="0.3">
      <c r="B141" s="69" t="s">
        <v>201</v>
      </c>
      <c r="C141" s="69" t="str" cm="1">
        <f t="array" aca="1" ref="C141" ca="1">_xll.SUBNM(db_name&amp;":id",$C$139,1)</f>
        <v/>
      </c>
    </row>
    <row r="142" spans="2:37" hidden="1" outlineLevel="1" x14ac:dyDescent="0.3"/>
    <row r="143" spans="2:37" hidden="1" outlineLevel="1" x14ac:dyDescent="0.3"/>
    <row r="144" spans="2:37" hidden="1" outlineLevel="1" x14ac:dyDescent="0.3">
      <c r="Z144" s="29" t="s">
        <v>96</v>
      </c>
      <c r="AA144" s="67" t="str" cm="1">
        <f t="array" aca="1" ref="AA144" ca="1">_xll.SUBNM(db_name&amp;":sys_YesNo","","Yes")</f>
        <v/>
      </c>
    </row>
    <row r="145" spans="2:37" hidden="1" outlineLevel="1" x14ac:dyDescent="0.3"/>
    <row r="146" spans="2:37" hidden="1" outlineLevel="1" x14ac:dyDescent="0.3">
      <c r="B146" s="38" t="s">
        <v>112</v>
      </c>
    </row>
    <row r="147" spans="2:37" hidden="1" outlineLevel="1" x14ac:dyDescent="0.3">
      <c r="B147" s="17" t="str">
        <f ca="1">$C$71</f>
        <v>*KEY_ERR</v>
      </c>
      <c r="C147" s="17" t="s">
        <v>9</v>
      </c>
      <c r="D147" s="17" t="s">
        <v>10</v>
      </c>
      <c r="E147" s="39" t="s">
        <v>109</v>
      </c>
      <c r="F147" s="17" t="s">
        <v>110</v>
      </c>
      <c r="G147" s="17" t="s">
        <v>12</v>
      </c>
      <c r="H147" s="17" t="s">
        <v>13</v>
      </c>
      <c r="I147" s="17" t="s">
        <v>14</v>
      </c>
      <c r="W147" s="33" t="s">
        <v>108</v>
      </c>
      <c r="Y147" s="36" t="str" cm="1">
        <f t="array" aca="1" ref="Y147" ca="1">_xll.DBRW($C$100,$C$105,$C$106,$C$108,$C$110,$G147,$C$111,$C$112,$I147,$C$113,$C147,$F147,$D147,$B147,$E147,$W$159,$H147,Y$129)</f>
        <v/>
      </c>
      <c r="Z147" s="36" t="str" cm="1">
        <f t="array" aca="1" ref="Z147" ca="1">_xll.DBRW($C$100,$C$105,$C$106,$C$108,$C$110,$G147,$C$111,$C$112,$I147,$C$113,$C147,$F147,$D147,$B147,$E147,$W$159,$H147,Z$129)</f>
        <v/>
      </c>
      <c r="AA147" s="36" t="str" cm="1">
        <f t="array" aca="1" ref="AA147" ca="1">_xll.DBRW($C$100,$C$105,$C$106,$C$108,$C$110,$G147,$C$111,$C$112,$I147,$C$113,$C147,$F147,$D147,$B147,$E147,$W$159,$H147,AA$129)</f>
        <v/>
      </c>
      <c r="AB147" s="36" t="str" cm="1">
        <f t="array" aca="1" ref="AB147" ca="1">_xll.DBRW($C$100,$C$105,$C$106,$C$108,$C$110,$G147,$C$111,$C$112,$I147,$C$113,$C147,$F147,$D147,$B147,$E147,$W$159,$H147,AB$129)</f>
        <v/>
      </c>
      <c r="AC147" s="36" t="str" cm="1">
        <f t="array" aca="1" ref="AC147" ca="1">_xll.DBRW($C$100,$C$105,$C$106,$C$108,$C$110,$G147,$C$111,$C$112,$I147,$C$113,$C147,$F147,$D147,$B147,$E147,$W$159,$H147,AC$129)</f>
        <v/>
      </c>
      <c r="AD147" s="36" t="str" cm="1">
        <f t="array" aca="1" ref="AD147" ca="1">_xll.DBRW($C$100,$C$105,$C$106,$C$108,$C$110,$G147,$C$111,$C$112,$I147,$C$113,$C147,$F147,$D147,$B147,$E147,$W$159,$H147,AD$129)</f>
        <v/>
      </c>
      <c r="AE147" s="36" t="str" cm="1">
        <f t="array" aca="1" ref="AE147" ca="1">_xll.DBRW($C$100,$C$105,$C$106,$C$108,$C$110,$G147,$C$111,$C$112,$I147,$C$113,$C147,$F147,$D147,$B147,$E147,$W$159,$H147,AE$129)</f>
        <v/>
      </c>
      <c r="AF147" s="36" t="str" cm="1">
        <f t="array" aca="1" ref="AF147" ca="1">_xll.DBRW($C$100,$C$105,$C$106,$C$108,$C$110,$G147,$C$111,$C$112,$I147,$C$113,$C147,$F147,$D147,$B147,$E147,$W$159,$H147,AF$129)</f>
        <v/>
      </c>
      <c r="AG147" s="36" t="str" cm="1">
        <f t="array" aca="1" ref="AG147" ca="1">_xll.DBRW($C$100,$C$105,$C$106,$C$108,$C$110,$G147,$C$111,$C$112,$I147,$C$113,$C147,$F147,$D147,$B147,$E147,$W$159,$H147,AG$129)</f>
        <v/>
      </c>
      <c r="AH147" s="36" t="str" cm="1">
        <f t="array" aca="1" ref="AH147" ca="1">_xll.DBRW($C$100,$C$105,$C$106,$C$108,$C$110,$G147,$C$111,$C$112,$I147,$C$113,$C147,$F147,$D147,$B147,$E147,$W$159,$H147,AH$129)</f>
        <v/>
      </c>
      <c r="AI147" s="36" t="str" cm="1">
        <f t="array" aca="1" ref="AI147" ca="1">_xll.DBRW($C$100,$C$105,$C$106,$C$108,$C$110,$G147,$C$111,$C$112,$I147,$C$113,$C147,$F147,$D147,$B147,$E147,$W$159,$H147,AI$129)</f>
        <v/>
      </c>
      <c r="AJ147" s="36" t="str" cm="1">
        <f t="array" aca="1" ref="AJ147" ca="1">_xll.DBRW($C$100,$C$105,$C$106,$C$108,$C$110,$G147,$C$111,$C$112,$I147,$C$113,$C147,$F147,$D147,$B147,$E147,$W$159,$H147,AJ$129)</f>
        <v/>
      </c>
      <c r="AK147" s="36" t="str" cm="1">
        <f t="array" aca="1" ref="AK147" ca="1">_xll.DBRW($C$100,$C$105,$C$106,$C$108,$C$110,$G147,$C$111,$C$112,$I147,$C$113,$C147,$F147,$D147,$B147,$E147,$W$159,$H147,AK$129)</f>
        <v/>
      </c>
    </row>
    <row r="148" spans="2:37" hidden="1" outlineLevel="1" x14ac:dyDescent="0.3">
      <c r="B148" s="17" t="str">
        <f ca="1">$C$71</f>
        <v>*KEY_ERR</v>
      </c>
      <c r="C148" s="17" t="s">
        <v>9</v>
      </c>
      <c r="D148" s="17" t="s">
        <v>10</v>
      </c>
      <c r="E148" s="39" t="s">
        <v>111</v>
      </c>
      <c r="F148" s="17" t="s">
        <v>110</v>
      </c>
      <c r="G148" s="17" t="s">
        <v>12</v>
      </c>
      <c r="H148" s="17" t="s">
        <v>13</v>
      </c>
      <c r="I148" s="17" t="s">
        <v>14</v>
      </c>
      <c r="W148" s="33" t="s">
        <v>108</v>
      </c>
      <c r="Y148" s="36" t="str" cm="1">
        <f t="array" aca="1" ref="Y148" ca="1">_xll.DBRW($C$100,$C$105,$C$106,$C$108,$C$110,$G148,$C$111,$C$112,$I148,$C$113,$C148,$F148,$D148,$B148,$E148,$W$159,$H148,Y$129)</f>
        <v/>
      </c>
      <c r="Z148" s="36" t="str" cm="1">
        <f t="array" aca="1" ref="Z148" ca="1">_xll.DBRW($C$100,$C$105,$C$106,$C$108,$C$110,$G148,$C$111,$C$112,$I148,$C$113,$C148,$F148,$D148,$B148,$E148,$W$159,$H148,Z$129)</f>
        <v/>
      </c>
      <c r="AA148" s="36" t="str" cm="1">
        <f t="array" aca="1" ref="AA148" ca="1">_xll.DBRW($C$100,$C$105,$C$106,$C$108,$C$110,$G148,$C$111,$C$112,$I148,$C$113,$C148,$F148,$D148,$B148,$E148,$W$159,$H148,AA$129)</f>
        <v/>
      </c>
      <c r="AB148" s="36" t="str" cm="1">
        <f t="array" aca="1" ref="AB148" ca="1">_xll.DBRW($C$100,$C$105,$C$106,$C$108,$C$110,$G148,$C$111,$C$112,$I148,$C$113,$C148,$F148,$D148,$B148,$E148,$W$159,$H148,AB$129)</f>
        <v/>
      </c>
      <c r="AC148" s="36" t="str" cm="1">
        <f t="array" aca="1" ref="AC148" ca="1">_xll.DBRW($C$100,$C$105,$C$106,$C$108,$C$110,$G148,$C$111,$C$112,$I148,$C$113,$C148,$F148,$D148,$B148,$E148,$W$159,$H148,AC$129)</f>
        <v/>
      </c>
      <c r="AD148" s="36" t="str" cm="1">
        <f t="array" aca="1" ref="AD148" ca="1">_xll.DBRW($C$100,$C$105,$C$106,$C$108,$C$110,$G148,$C$111,$C$112,$I148,$C$113,$C148,$F148,$D148,$B148,$E148,$W$159,$H148,AD$129)</f>
        <v/>
      </c>
      <c r="AE148" s="36" t="str" cm="1">
        <f t="array" aca="1" ref="AE148" ca="1">_xll.DBRW($C$100,$C$105,$C$106,$C$108,$C$110,$G148,$C$111,$C$112,$I148,$C$113,$C148,$F148,$D148,$B148,$E148,$W$159,$H148,AE$129)</f>
        <v/>
      </c>
      <c r="AF148" s="36" t="str" cm="1">
        <f t="array" aca="1" ref="AF148" ca="1">_xll.DBRW($C$100,$C$105,$C$106,$C$108,$C$110,$G148,$C$111,$C$112,$I148,$C$113,$C148,$F148,$D148,$B148,$E148,$W$159,$H148,AF$129)</f>
        <v/>
      </c>
      <c r="AG148" s="36" t="str" cm="1">
        <f t="array" aca="1" ref="AG148" ca="1">_xll.DBRW($C$100,$C$105,$C$106,$C$108,$C$110,$G148,$C$111,$C$112,$I148,$C$113,$C148,$F148,$D148,$B148,$E148,$W$159,$H148,AG$129)</f>
        <v/>
      </c>
      <c r="AH148" s="36" t="str" cm="1">
        <f t="array" aca="1" ref="AH148" ca="1">_xll.DBRW($C$100,$C$105,$C$106,$C$108,$C$110,$G148,$C$111,$C$112,$I148,$C$113,$C148,$F148,$D148,$B148,$E148,$W$159,$H148,AH$129)</f>
        <v/>
      </c>
      <c r="AI148" s="36" t="str" cm="1">
        <f t="array" aca="1" ref="AI148" ca="1">_xll.DBRW($C$100,$C$105,$C$106,$C$108,$C$110,$G148,$C$111,$C$112,$I148,$C$113,$C148,$F148,$D148,$B148,$E148,$W$159,$H148,AI$129)</f>
        <v/>
      </c>
      <c r="AJ148" s="36" t="str" cm="1">
        <f t="array" aca="1" ref="AJ148" ca="1">_xll.DBRW($C$100,$C$105,$C$106,$C$108,$C$110,$G148,$C$111,$C$112,$I148,$C$113,$C148,$F148,$D148,$B148,$E148,$W$159,$H148,AJ$129)</f>
        <v/>
      </c>
      <c r="AK148" s="36" t="str" cm="1">
        <f t="array" aca="1" ref="AK148" ca="1">_xll.DBRW($C$100,$C$105,$C$106,$C$108,$C$110,$G148,$C$111,$C$112,$I148,$C$113,$C148,$F148,$D148,$B148,$E148,$W$159,$H148,AK$129)</f>
        <v/>
      </c>
    </row>
    <row r="149" spans="2:37" hidden="1" outlineLevel="1" x14ac:dyDescent="0.3"/>
    <row r="150" spans="2:37" hidden="1" outlineLevel="1" x14ac:dyDescent="0.3"/>
    <row r="151" spans="2:37" hidden="1" outlineLevel="1" x14ac:dyDescent="0.3"/>
    <row r="152" spans="2:37" hidden="1" outlineLevel="1" x14ac:dyDescent="0.3"/>
    <row r="153" spans="2:37" ht="39.75" customHeight="1" collapsed="1" x14ac:dyDescent="0.3">
      <c r="O153" s="27"/>
      <c r="P153" s="27"/>
      <c r="Q153" s="27"/>
      <c r="R153" s="27"/>
      <c r="S153" s="27"/>
      <c r="T153" s="27"/>
      <c r="U153" s="27"/>
      <c r="V153" s="27"/>
      <c r="W153" s="27" t="s">
        <v>164</v>
      </c>
      <c r="X153" s="27"/>
      <c r="Y153" s="27"/>
      <c r="Z153" s="27"/>
      <c r="AA153" s="27"/>
      <c r="AB153" s="27"/>
      <c r="AC153" s="27"/>
      <c r="AD153" s="28"/>
      <c r="AE153" s="27"/>
      <c r="AF153" s="27"/>
      <c r="AG153" s="27"/>
      <c r="AH153" s="27"/>
      <c r="AI153" s="27"/>
      <c r="AJ153" s="27"/>
      <c r="AK153" s="27"/>
    </row>
    <row r="154" spans="2:37" ht="4.5" customHeight="1" x14ac:dyDescent="0.3"/>
    <row r="155" spans="2:37" ht="24" customHeight="1" x14ac:dyDescent="0.3"/>
    <row r="156" spans="2:37" ht="1.5" customHeight="1" x14ac:dyDescent="0.3"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spans="2:37" ht="4.5" customHeight="1" thickBot="1" x14ac:dyDescent="0.35"/>
    <row r="158" spans="2:37" ht="4.5" customHeight="1" x14ac:dyDescent="0.3">
      <c r="P158" s="56"/>
      <c r="Q158" s="57"/>
      <c r="R158" s="57"/>
      <c r="S158" s="57"/>
      <c r="T158" s="57"/>
      <c r="U158" s="57"/>
      <c r="V158" s="57"/>
      <c r="W158" s="57"/>
      <c r="X158" s="58"/>
    </row>
    <row r="159" spans="2:37" x14ac:dyDescent="0.3">
      <c r="P159" s="59" t="s">
        <v>116</v>
      </c>
      <c r="Q159" s="41" t="str">
        <f ca="1">$C$105</f>
        <v/>
      </c>
      <c r="R159" s="60" t="s">
        <v>117</v>
      </c>
      <c r="S159" s="42" t="str">
        <f ca="1">$C$106</f>
        <v/>
      </c>
      <c r="T159" s="60" t="s">
        <v>103</v>
      </c>
      <c r="U159" s="30" t="str">
        <f ca="1">$C$69</f>
        <v>*KEY_ERR</v>
      </c>
      <c r="V159" s="29" t="s">
        <v>182</v>
      </c>
      <c r="W159" s="68" t="str" cm="1">
        <f t="array" aca="1" ref="W159" ca="1">_xll.SUBNM(db_name&amp;":id",$C$139,1)</f>
        <v/>
      </c>
      <c r="X159" s="61"/>
    </row>
    <row r="160" spans="2:37" ht="4.5" customHeight="1" x14ac:dyDescent="0.3">
      <c r="P160" s="62"/>
      <c r="X160" s="61"/>
    </row>
    <row r="161" spans="1:37" x14ac:dyDescent="0.3">
      <c r="P161" s="59" t="s">
        <v>104</v>
      </c>
      <c r="Q161" s="71" t="str">
        <f ca="1">$C$80</f>
        <v>*KEY_ERR</v>
      </c>
      <c r="R161" s="71"/>
      <c r="S161" s="71"/>
      <c r="T161" s="60" t="s">
        <v>105</v>
      </c>
      <c r="U161" s="45" t="str">
        <f ca="1">$C$112</f>
        <v/>
      </c>
      <c r="V161" s="29" t="s">
        <v>181</v>
      </c>
      <c r="W161" s="53" t="str">
        <f ca="1">$C$90</f>
        <v>*KEY_ERR</v>
      </c>
      <c r="X161" s="61"/>
    </row>
    <row r="162" spans="1:37" ht="5.0999999999999996" customHeight="1" x14ac:dyDescent="0.3">
      <c r="P162" s="62"/>
      <c r="X162" s="61"/>
    </row>
    <row r="163" spans="1:37" x14ac:dyDescent="0.3">
      <c r="P163" s="59" t="s">
        <v>169</v>
      </c>
      <c r="Q163" s="71" t="str">
        <f ca="1">$C$81</f>
        <v>*KEY_ERR</v>
      </c>
      <c r="R163" s="71"/>
      <c r="S163" s="71"/>
      <c r="T163" s="60" t="s">
        <v>184</v>
      </c>
      <c r="U163" s="54" t="str">
        <f ca="1">$C$84</f>
        <v>*KEY_ERR</v>
      </c>
      <c r="V163" s="29" t="s">
        <v>176</v>
      </c>
      <c r="W163" s="55" t="str">
        <f ca="1">$C$85</f>
        <v>*KEY_ERR</v>
      </c>
      <c r="X163" s="61"/>
    </row>
    <row r="164" spans="1:37" ht="4.5" customHeight="1" x14ac:dyDescent="0.3">
      <c r="P164" s="62"/>
      <c r="X164" s="61"/>
    </row>
    <row r="165" spans="1:37" x14ac:dyDescent="0.3">
      <c r="P165" s="59" t="s">
        <v>188</v>
      </c>
      <c r="Q165" s="71" t="str">
        <f ca="1">$C$82</f>
        <v>*KEY_ERR</v>
      </c>
      <c r="R165" s="71"/>
      <c r="S165" s="71"/>
      <c r="T165" s="60" t="s">
        <v>177</v>
      </c>
      <c r="U165" s="55" t="str">
        <f ca="1">$C$86</f>
        <v>*KEY_ERR</v>
      </c>
      <c r="V165" s="29" t="s">
        <v>178</v>
      </c>
      <c r="W165" s="55" t="str">
        <f ca="1">$C$87</f>
        <v>*KEY_ERR</v>
      </c>
      <c r="X165" s="61"/>
    </row>
    <row r="166" spans="1:37" ht="4.5" customHeight="1" x14ac:dyDescent="0.3">
      <c r="P166" s="62"/>
      <c r="T166" s="60"/>
      <c r="V166" s="29"/>
      <c r="X166" s="61"/>
    </row>
    <row r="167" spans="1:37" x14ac:dyDescent="0.3">
      <c r="P167" s="59" t="s">
        <v>115</v>
      </c>
      <c r="Q167" s="71" t="str">
        <f ca="1">$D$71</f>
        <v>*KEY_ERR</v>
      </c>
      <c r="R167" s="71"/>
      <c r="S167" s="71"/>
      <c r="T167" s="60" t="s">
        <v>179</v>
      </c>
      <c r="U167" s="55" t="str">
        <f ca="1">$C$88</f>
        <v>*KEY_ERR</v>
      </c>
      <c r="V167" s="29" t="s">
        <v>180</v>
      </c>
      <c r="W167" s="55" t="str">
        <f ca="1">$C$89</f>
        <v>*KEY_ERR</v>
      </c>
      <c r="X167" s="61"/>
    </row>
    <row r="168" spans="1:37" ht="4.5" customHeight="1" x14ac:dyDescent="0.3">
      <c r="P168" s="62"/>
      <c r="X168" s="61"/>
    </row>
    <row r="169" spans="1:37" x14ac:dyDescent="0.3">
      <c r="P169" s="59" t="s">
        <v>185</v>
      </c>
      <c r="Q169" s="44" t="str">
        <f ca="1">$C$79</f>
        <v>*KEY_ERR</v>
      </c>
      <c r="R169" s="29" t="s">
        <v>187</v>
      </c>
      <c r="S169" s="55" t="str">
        <f ca="1">$C$118</f>
        <v>*KEY_ERR</v>
      </c>
      <c r="T169" s="29" t="s">
        <v>186</v>
      </c>
      <c r="U169" s="71" t="str">
        <f ca="1">$C$119</f>
        <v>*KEY_ERR</v>
      </c>
      <c r="V169" s="71"/>
      <c r="W169" s="71"/>
      <c r="X169" s="61"/>
    </row>
    <row r="170" spans="1:37" ht="4.5" customHeight="1" thickBot="1" x14ac:dyDescent="0.35">
      <c r="P170" s="63"/>
      <c r="Q170" s="64"/>
      <c r="R170" s="64"/>
      <c r="S170" s="64"/>
      <c r="T170" s="64"/>
      <c r="U170" s="64"/>
      <c r="V170" s="64"/>
      <c r="W170" s="64"/>
      <c r="X170" s="65"/>
    </row>
    <row r="171" spans="1:37" ht="4.5" customHeight="1" x14ac:dyDescent="0.3"/>
    <row r="172" spans="1:37" x14ac:dyDescent="0.3">
      <c r="P172" s="38" t="s">
        <v>141</v>
      </c>
      <c r="U172" s="66" t="s">
        <v>194</v>
      </c>
      <c r="V172" s="70">
        <f ca="1">NOW()</f>
        <v>44972.397139699075</v>
      </c>
      <c r="W172" s="70"/>
    </row>
    <row r="173" spans="1:37" x14ac:dyDescent="0.3">
      <c r="B173" s="14" t="s">
        <v>76</v>
      </c>
      <c r="C173" s="14" t="s">
        <v>77</v>
      </c>
      <c r="D173" s="14" t="s">
        <v>78</v>
      </c>
      <c r="E173" s="14" t="s">
        <v>79</v>
      </c>
      <c r="F173" s="14" t="s">
        <v>80</v>
      </c>
      <c r="G173" s="14" t="s">
        <v>81</v>
      </c>
      <c r="H173" s="14" t="s">
        <v>82</v>
      </c>
      <c r="I173" s="14" t="s">
        <v>83</v>
      </c>
      <c r="J173" s="14" t="s">
        <v>8</v>
      </c>
      <c r="K173" s="14" t="s">
        <v>84</v>
      </c>
      <c r="L173" s="15" t="s">
        <v>88</v>
      </c>
      <c r="M173" s="14" t="s">
        <v>89</v>
      </c>
      <c r="P173" s="14" t="s">
        <v>136</v>
      </c>
      <c r="Q173" s="14" t="s">
        <v>79</v>
      </c>
      <c r="R173" s="14" t="s">
        <v>80</v>
      </c>
      <c r="S173" s="14" t="s">
        <v>81</v>
      </c>
      <c r="T173" s="14" t="s">
        <v>82</v>
      </c>
      <c r="U173" s="14" t="s">
        <v>94</v>
      </c>
      <c r="V173" s="14" t="s">
        <v>83</v>
      </c>
      <c r="W173" s="14" t="s">
        <v>95</v>
      </c>
      <c r="Y173" s="14" t="str">
        <f ca="1">Y$129</f>
        <v/>
      </c>
      <c r="Z173" s="14" t="str">
        <f t="shared" ref="Z173:AK173" ca="1" si="2">Z$129</f>
        <v/>
      </c>
      <c r="AA173" s="14" t="str">
        <f t="shared" ca="1" si="2"/>
        <v/>
      </c>
      <c r="AB173" s="14" t="str">
        <f t="shared" ca="1" si="2"/>
        <v/>
      </c>
      <c r="AC173" s="14" t="str">
        <f t="shared" ca="1" si="2"/>
        <v/>
      </c>
      <c r="AD173" s="14" t="str">
        <f t="shared" ca="1" si="2"/>
        <v/>
      </c>
      <c r="AE173" s="14" t="str">
        <f t="shared" ca="1" si="2"/>
        <v/>
      </c>
      <c r="AF173" s="14" t="str">
        <f t="shared" ca="1" si="2"/>
        <v/>
      </c>
      <c r="AG173" s="14" t="str">
        <f t="shared" ca="1" si="2"/>
        <v/>
      </c>
      <c r="AH173" s="14" t="str">
        <f t="shared" ca="1" si="2"/>
        <v/>
      </c>
      <c r="AI173" s="14" t="str">
        <f t="shared" ca="1" si="2"/>
        <v/>
      </c>
      <c r="AJ173" s="14" t="str">
        <f t="shared" ca="1" si="2"/>
        <v/>
      </c>
      <c r="AK173" s="14" t="str">
        <f t="shared" ca="1" si="2"/>
        <v/>
      </c>
    </row>
    <row r="174" spans="1:37" ht="24" customHeight="1" x14ac:dyDescent="0.3">
      <c r="A174" s="3" t="str" cm="1">
        <f t="array" aca="1" ref="A174" ca="1">IF(_xll.TM1RPTELISCONSOLIDATED($I$174,$I174),IF(_xll.TM1RPTELLEV($I$174,$I174)&lt;=3,_xll.TM1RPTELLEV($I$174,$I174),"D"),"N")</f>
        <v>N</v>
      </c>
      <c r="B174" s="31" t="str">
        <f t="array" aca="1" ref="B174" ca="1">_xll.TM1RPTROW($C$102,db_name&amp;":programme","","","code and description",0,$C$122)</f>
        <v/>
      </c>
      <c r="C174" s="32" t="str">
        <f t="array" aca="1" ref="C174" ca="1">_xll.TM1RPTROW($C$102,db_name&amp;":appropriation type","","","code and description",0,$C$123)</f>
        <v/>
      </c>
      <c r="D174" s="32" t="str">
        <f t="array" aca="1" ref="D174" ca="1">_xll.TM1RPTROW($C$102,db_name&amp;":appropriation item","","","code and description",0,$C$124)</f>
        <v/>
      </c>
      <c r="E174" s="32" t="str">
        <f t="array" aca="1" ref="E174" ca="1">_xll.TM1RPTROW($C$102,db_name&amp;":account","","","code and description",0,$C$104)</f>
        <v/>
      </c>
      <c r="F174" s="32" t="str">
        <f t="array" aca="1" ref="F174" ca="1">_xll.TM1RPTROW($C$102,db_name&amp;":movement account","","","code and description",0,$C$125)</f>
        <v/>
      </c>
      <c r="G174" s="32" t="str">
        <f t="array" aca="1" ref="G174" ca="1">_xll.TM1RPTROW($C$102,db_name&amp;":related entity","","","code and description",0,$C$126)</f>
        <v/>
      </c>
      <c r="H174" s="32" t="str">
        <f t="array" aca="1" ref="H174" ca="1">_xll.TM1RPTROW($C$102,db_name&amp;":jurisdiction","","","description",0,$C$127)</f>
        <v/>
      </c>
      <c r="I174" s="32" t="str">
        <f t="array" aca="1" ref="I174" ca="1">_xll.TM1RPTROW($C$102,db_name&amp;":spp","","","code and description",0,$C$128)</f>
        <v/>
      </c>
      <c r="J174" s="22" t="str" cm="1">
        <f t="array" aca="1" ref="J174" ca="1">_xll.DBRW($C$102,$C$105,$C$106,$C$108,$C$110,$G174,$C$111,$C$112,$I174,$C$113,$C174,$F174,$D174,$B174,$E174,$W$159,$H174,J$173)</f>
        <v/>
      </c>
      <c r="K174" s="22" t="str" cm="1">
        <f t="array" aca="1" ref="K174" ca="1">IF($L174="",_xll.DBR($C$59,$E174,"DR/CR"),_xll.DBR($C$60,$F174,"DR/CR"))</f>
        <v>*KEY_ERR</v>
      </c>
      <c r="L174" s="22" t="str" cm="1">
        <f t="array" aca="1" ref="L174" ca="1">_xll.DBR($C$59,$E174,L$173)</f>
        <v>*KEY_ERR</v>
      </c>
      <c r="M174" s="22" t="str" cm="1">
        <f t="array" aca="1" ref="M174" ca="1">_xll.DBR($C$59,$E174,M$173)</f>
        <v>*KEY_ERR</v>
      </c>
      <c r="N174" s="3"/>
      <c r="O174" s="3"/>
      <c r="P174" s="23" t="str">
        <f ca="1">$B174</f>
        <v/>
      </c>
      <c r="Q174" s="23" t="str">
        <f ca="1">$E174</f>
        <v/>
      </c>
      <c r="R174" s="23" t="str">
        <f ca="1">$F174</f>
        <v/>
      </c>
      <c r="S174" s="24" t="str">
        <f ca="1">$G174</f>
        <v/>
      </c>
      <c r="T174" s="25" t="str">
        <f ca="1">$H174</f>
        <v/>
      </c>
      <c r="U174" s="23" t="str">
        <f ca="1">$D174</f>
        <v/>
      </c>
      <c r="V174" s="25" t="str">
        <f ca="1">$I174</f>
        <v/>
      </c>
      <c r="W174" s="25" t="str">
        <f ca="1">$K174</f>
        <v>*KEY_ERR</v>
      </c>
      <c r="X174" s="3"/>
      <c r="Y174" s="35" t="str">
        <f t="array" aca="1" ref="Y174" ca="1">_xll.DBRW($C$102,$C$105,$C$106,$C$108,$C$110,$G174,$C$111,$C$112,$I174,$C$78,$C174,$F174,$D174,$B174,$E174,$W$159,$H174,Y$129)</f>
        <v/>
      </c>
      <c r="Z174" s="35" t="str">
        <f t="array" aca="1" ref="Z174" ca="1">_xll.DBRW($C$102,$C$105,$C$106,$C$108,$C$110,$G174,$C$111,$C$112,$I174,$C$78,$C174,$F174,$D174,$B174,$E174,$W$159,$H174,Z$129)</f>
        <v/>
      </c>
      <c r="AA174" s="35" t="str">
        <f t="array" aca="1" ref="AA174" ca="1">_xll.DBRW($C$102,$C$105,$C$106,$C$108,$C$110,$G174,$C$111,$C$112,$I174,$C$78,$C174,$F174,$D174,$B174,$E174,$W$159,$H174,AA$129)</f>
        <v/>
      </c>
      <c r="AB174" s="35" t="str">
        <f t="array" aca="1" ref="AB174" ca="1">_xll.DBRW($C$102,$C$105,$C$106,$C$108,$C$110,$G174,$C$111,$C$112,$I174,$C$78,$C174,$F174,$D174,$B174,$E174,$W$159,$H174,AB$129)</f>
        <v/>
      </c>
      <c r="AC174" s="35" t="str">
        <f t="array" aca="1" ref="AC174" ca="1">_xll.DBRW($C$102,$C$105,$C$106,$C$108,$C$110,$G174,$C$111,$C$112,$I174,$C$78,$C174,$F174,$D174,$B174,$E174,$W$159,$H174,AC$129)</f>
        <v/>
      </c>
      <c r="AD174" s="35" t="str">
        <f t="array" aca="1" ref="AD174" ca="1">_xll.DBRW($C$102,$C$105,$C$106,$C$108,$C$110,$G174,$C$111,$C$112,$I174,$C$78,$C174,$F174,$D174,$B174,$E174,$W$159,$H174,AD$129)</f>
        <v/>
      </c>
      <c r="AE174" s="35" t="str">
        <f t="array" aca="1" ref="AE174" ca="1">_xll.DBRW($C$102,$C$105,$C$106,$C$108,$C$110,$G174,$C$111,$C$112,$I174,$C$78,$C174,$F174,$D174,$B174,$E174,$W$159,$H174,AE$129)</f>
        <v/>
      </c>
      <c r="AF174" s="35" t="str">
        <f t="array" aca="1" ref="AF174" ca="1">_xll.DBRW($C$102,$C$105,$C$106,$C$108,$C$110,$G174,$C$111,$C$112,$I174,$C$78,$C174,$F174,$D174,$B174,$E174,$W$159,$H174,AF$129)</f>
        <v/>
      </c>
      <c r="AG174" s="35" t="str">
        <f t="array" aca="1" ref="AG174" ca="1">_xll.DBRW($C$102,$C$105,$C$106,$C$108,$C$110,$G174,$C$111,$C$112,$I174,$C$78,$C174,$F174,$D174,$B174,$E174,$W$159,$H174,AG$129)</f>
        <v/>
      </c>
      <c r="AH174" s="35" t="str">
        <f t="array" aca="1" ref="AH174" ca="1">_xll.DBRW($C$102,$C$105,$C$106,$C$108,$C$110,$G174,$C$111,$C$112,$I174,$C$78,$C174,$F174,$D174,$B174,$E174,$W$159,$H174,AH$129)</f>
        <v/>
      </c>
      <c r="AI174" s="35" t="str">
        <f t="array" aca="1" ref="AI174" ca="1">_xll.DBRW($C$102,$C$105,$C$106,$C$108,$C$110,$G174,$C$111,$C$112,$I174,$C$78,$C174,$F174,$D174,$B174,$E174,$W$159,$H174,AI$129)</f>
        <v/>
      </c>
      <c r="AJ174" s="35" t="str">
        <f t="array" aca="1" ref="AJ174" ca="1">_xll.DBRW($C$102,$C$105,$C$106,$C$108,$C$110,$G174,$C$111,$C$112,$I174,$C$78,$C174,$F174,$D174,$B174,$E174,$W$159,$H174,AJ$129)</f>
        <v/>
      </c>
      <c r="AK174" s="35" t="str">
        <f t="array" aca="1" ref="AK174" ca="1">_xll.DBRW($C$102,$C$105,$C$106,$C$108,$C$110,$G174,$C$111,$C$112,$I174,$C$78,$C174,$F174,$D174,$B174,$E174,$W$159,$H174,AK$129)</f>
        <v/>
      </c>
    </row>
    <row r="175" spans="1:37" ht="5.0999999999999996" customHeight="1" x14ac:dyDescent="0.3"/>
    <row r="176" spans="1:37" x14ac:dyDescent="0.3">
      <c r="B176" t="s">
        <v>137</v>
      </c>
      <c r="C176" t="s">
        <v>9</v>
      </c>
      <c r="D176" t="s">
        <v>10</v>
      </c>
      <c r="E176" s="34" t="str">
        <f ca="1">$C$103</f>
        <v>1000001</v>
      </c>
      <c r="F176" t="s">
        <v>11</v>
      </c>
      <c r="G176" t="s">
        <v>12</v>
      </c>
      <c r="H176" t="s">
        <v>13</v>
      </c>
      <c r="I176" t="s">
        <v>14</v>
      </c>
      <c r="W176" s="40" t="s">
        <v>157</v>
      </c>
      <c r="Y176" s="36" t="str">
        <f t="array" aca="1" ref="Y176" ca="1">_xll.DBRW($C$100,$C$105,$C$106,$C$108,$C$110,$G176,$C$111,$C$112,$I176,$C$78,$C176,$F176,$D176,$B176,$E176,$W$159,$H176,Y$129)</f>
        <v/>
      </c>
      <c r="Z176" s="36" t="str">
        <f t="array" aca="1" ref="Z176" ca="1">_xll.DBRW($C$100,$C$105,$C$106,$C$108,$C$110,$G176,$C$111,$C$112,$I176,$C$78,$C176,$F176,$D176,$B176,$E176,$W$159,$H176,Z$129)</f>
        <v/>
      </c>
      <c r="AA176" s="36" t="str">
        <f t="array" aca="1" ref="AA176" ca="1">_xll.DBRW($C$100,$C$105,$C$106,$C$108,$C$110,$G176,$C$111,$C$112,$I176,$C$78,$C176,$F176,$D176,$B176,$E176,$W$159,$H176,AA$129)</f>
        <v/>
      </c>
      <c r="AB176" s="36" t="str">
        <f t="array" aca="1" ref="AB176" ca="1">_xll.DBRW($C$100,$C$105,$C$106,$C$108,$C$110,$G176,$C$111,$C$112,$I176,$C$78,$C176,$F176,$D176,$B176,$E176,$W$159,$H176,AB$129)</f>
        <v/>
      </c>
      <c r="AC176" s="36" t="str">
        <f t="array" aca="1" ref="AC176" ca="1">_xll.DBRW($C$100,$C$105,$C$106,$C$108,$C$110,$G176,$C$111,$C$112,$I176,$C$78,$C176,$F176,$D176,$B176,$E176,$W$159,$H176,AC$129)</f>
        <v/>
      </c>
      <c r="AD176" s="36" t="str">
        <f t="array" aca="1" ref="AD176" ca="1">_xll.DBRW($C$100,$C$105,$C$106,$C$108,$C$110,$G176,$C$111,$C$112,$I176,$C$78,$C176,$F176,$D176,$B176,$E176,$W$159,$H176,AD$129)</f>
        <v/>
      </c>
      <c r="AE176" s="36" t="str">
        <f t="array" aca="1" ref="AE176" ca="1">_xll.DBRW($C$100,$C$105,$C$106,$C$108,$C$110,$G176,$C$111,$C$112,$I176,$C$78,$C176,$F176,$D176,$B176,$E176,$W$159,$H176,AE$129)</f>
        <v/>
      </c>
      <c r="AF176" s="36" t="str">
        <f t="array" aca="1" ref="AF176" ca="1">_xll.DBRW($C$100,$C$105,$C$106,$C$108,$C$110,$G176,$C$111,$C$112,$I176,$C$78,$C176,$F176,$D176,$B176,$E176,$W$159,$H176,AF$129)</f>
        <v/>
      </c>
      <c r="AG176" s="36" t="str">
        <f t="array" aca="1" ref="AG176" ca="1">_xll.DBRW($C$100,$C$105,$C$106,$C$108,$C$110,$G176,$C$111,$C$112,$I176,$C$78,$C176,$F176,$D176,$B176,$E176,$W$159,$H176,AG$129)</f>
        <v/>
      </c>
      <c r="AH176" s="36" t="str">
        <f t="array" aca="1" ref="AH176" ca="1">_xll.DBRW($C$100,$C$105,$C$106,$C$108,$C$110,$G176,$C$111,$C$112,$I176,$C$78,$C176,$F176,$D176,$B176,$E176,$W$159,$H176,AH$129)</f>
        <v/>
      </c>
      <c r="AI176" s="36" t="str">
        <f t="array" aca="1" ref="AI176" ca="1">_xll.DBRW($C$100,$C$105,$C$106,$C$108,$C$110,$G176,$C$111,$C$112,$I176,$C$78,$C176,$F176,$D176,$B176,$E176,$W$159,$H176,AI$129)</f>
        <v/>
      </c>
      <c r="AJ176" s="36" t="str">
        <f t="array" aca="1" ref="AJ176" ca="1">_xll.DBRW($C$100,$C$105,$C$106,$C$108,$C$110,$G176,$C$111,$C$112,$I176,$C$78,$C176,$F176,$D176,$B176,$E176,$W$159,$H176,AJ$129)</f>
        <v/>
      </c>
      <c r="AK176" s="36" t="str">
        <f t="array" aca="1" ref="AK176" ca="1">_xll.DBRW($C$100,$C$105,$C$106,$C$108,$C$110,$G176,$C$111,$C$112,$I176,$C$78,$C176,$F176,$D176,$B176,$E176,$W$159,$H176,AK$129)</f>
        <v/>
      </c>
    </row>
    <row r="177" spans="1:37" x14ac:dyDescent="0.3">
      <c r="B177" s="38" t="s">
        <v>139</v>
      </c>
      <c r="P177" s="38" t="s">
        <v>142</v>
      </c>
    </row>
    <row r="178" spans="1:37" x14ac:dyDescent="0.3">
      <c r="B178" s="14" t="s">
        <v>76</v>
      </c>
      <c r="C178" s="14" t="s">
        <v>77</v>
      </c>
      <c r="D178" s="14" t="s">
        <v>78</v>
      </c>
      <c r="E178" s="14" t="s">
        <v>79</v>
      </c>
      <c r="F178" s="14" t="s">
        <v>80</v>
      </c>
      <c r="G178" s="14" t="s">
        <v>81</v>
      </c>
      <c r="H178" s="14" t="s">
        <v>82</v>
      </c>
      <c r="I178" s="14" t="s">
        <v>83</v>
      </c>
      <c r="J178" s="14" t="s">
        <v>8</v>
      </c>
      <c r="K178" s="14" t="s">
        <v>84</v>
      </c>
      <c r="L178" s="15" t="s">
        <v>88</v>
      </c>
      <c r="M178" s="14" t="s">
        <v>89</v>
      </c>
      <c r="P178" s="14" t="s">
        <v>136</v>
      </c>
      <c r="Q178" s="14" t="s">
        <v>79</v>
      </c>
      <c r="R178" s="14" t="s">
        <v>80</v>
      </c>
      <c r="S178" s="14" t="s">
        <v>81</v>
      </c>
      <c r="T178" s="14" t="s">
        <v>82</v>
      </c>
      <c r="U178" s="14" t="s">
        <v>94</v>
      </c>
      <c r="V178" s="14" t="s">
        <v>83</v>
      </c>
      <c r="W178" s="14" t="s">
        <v>95</v>
      </c>
      <c r="Y178" s="14" t="str">
        <f ca="1">Y$129</f>
        <v/>
      </c>
      <c r="Z178" s="14" t="str">
        <f t="shared" ref="Z178:AK178" ca="1" si="3">Z$129</f>
        <v/>
      </c>
      <c r="AA178" s="14" t="str">
        <f t="shared" ca="1" si="3"/>
        <v/>
      </c>
      <c r="AB178" s="14" t="str">
        <f t="shared" ca="1" si="3"/>
        <v/>
      </c>
      <c r="AC178" s="14" t="str">
        <f t="shared" ca="1" si="3"/>
        <v/>
      </c>
      <c r="AD178" s="14" t="str">
        <f t="shared" ca="1" si="3"/>
        <v/>
      </c>
      <c r="AE178" s="14" t="str">
        <f t="shared" ca="1" si="3"/>
        <v/>
      </c>
      <c r="AF178" s="14" t="str">
        <f t="shared" ca="1" si="3"/>
        <v/>
      </c>
      <c r="AG178" s="14" t="str">
        <f t="shared" ca="1" si="3"/>
        <v/>
      </c>
      <c r="AH178" s="14" t="str">
        <f t="shared" ca="1" si="3"/>
        <v/>
      </c>
      <c r="AI178" s="14" t="str">
        <f t="shared" ca="1" si="3"/>
        <v/>
      </c>
      <c r="AJ178" s="14" t="str">
        <f t="shared" ca="1" si="3"/>
        <v/>
      </c>
      <c r="AK178" s="14" t="str">
        <f t="shared" ca="1" si="3"/>
        <v/>
      </c>
    </row>
    <row r="179" spans="1:37" ht="24" customHeight="1" x14ac:dyDescent="0.3">
      <c r="A179" s="3" t="str" cm="1">
        <f t="array" aca="1" ref="A179" ca="1">IF(_xll.TM1RPTELISCONSOLIDATED($I$179,$I179),IF(_xll.TM1RPTELLEV($I$179,$I179)&lt;=3,_xll.TM1RPTELLEV($I$179,$I179),"D"),"N")</f>
        <v>N</v>
      </c>
      <c r="B179" s="31" t="str">
        <f t="array" aca="1" ref="B179" ca="1">_xll.TM1RPTROW($D$102,db_name&amp;":programme","","","code and description",0,$C$122)</f>
        <v/>
      </c>
      <c r="C179" s="32" t="str">
        <f t="array" aca="1" ref="C179" ca="1">_xll.TM1RPTROW($D$102,db_name&amp;":appropriation type","","","code and description",0,$C$123)</f>
        <v/>
      </c>
      <c r="D179" s="32" t="str">
        <f t="array" aca="1" ref="D179" ca="1">_xll.TM1RPTROW($D$102,db_name&amp;":appropriation item","","","code and description",0,$C$124)</f>
        <v/>
      </c>
      <c r="E179" s="32" t="str">
        <f t="array" aca="1" ref="E179" ca="1">_xll.TM1RPTROW($D$102,db_name&amp;":account","","","code and description",0,$D$104)</f>
        <v/>
      </c>
      <c r="F179" s="32" t="str">
        <f t="array" aca="1" ref="F179" ca="1">_xll.TM1RPTROW($D$102,db_name&amp;":movement account","","","code and description",0,$C$125)</f>
        <v/>
      </c>
      <c r="G179" s="32" t="str">
        <f t="array" aca="1" ref="G179" ca="1">_xll.TM1RPTROW($D$102,db_name&amp;":related entity","","","code and description",0,$C$126)</f>
        <v/>
      </c>
      <c r="H179" s="32" t="str">
        <f t="array" aca="1" ref="H179" ca="1">_xll.TM1RPTROW($D$102,db_name&amp;":jurisdiction","","","description",0,$C$127)</f>
        <v/>
      </c>
      <c r="I179" s="32" t="str">
        <f t="array" aca="1" ref="I179" ca="1">_xll.TM1RPTROW($D$102,db_name&amp;":spp","","","code and description",0,$C$128)</f>
        <v/>
      </c>
      <c r="J179" s="22" t="str" cm="1">
        <f t="array" aca="1" ref="J179" ca="1">_xll.DBRW($D$102,$C$105,$C$106,$C$108,$C$110,$G179,$C$111,$C$112,$I179,$C$113,$C179,$F179,$D179,$B179,$E179,$W$159,$H179,J$173)</f>
        <v/>
      </c>
      <c r="K179" s="22" t="str" cm="1">
        <f t="array" aca="1" ref="K179" ca="1">IF($L179="",_xll.DBR($C$59,$E179,"DR/CR"),_xll.DBR($C$60,$F179,"DR/CR"))</f>
        <v>*KEY_ERR</v>
      </c>
      <c r="L179" s="22" t="str" cm="1">
        <f t="array" aca="1" ref="L179" ca="1">_xll.DBR($C$59,$E179,L$173)</f>
        <v>*KEY_ERR</v>
      </c>
      <c r="M179" s="22" t="str" cm="1">
        <f t="array" aca="1" ref="M179" ca="1">_xll.DBR($C$59,$E179,M$173)</f>
        <v>*KEY_ERR</v>
      </c>
      <c r="N179" s="3"/>
      <c r="O179" s="3"/>
      <c r="P179" s="50" t="str">
        <f ca="1">$B179</f>
        <v/>
      </c>
      <c r="Q179" s="50" t="str">
        <f ca="1">$E179</f>
        <v/>
      </c>
      <c r="R179" s="50" t="str">
        <f ca="1">$F179</f>
        <v/>
      </c>
      <c r="S179" s="51" t="str">
        <f ca="1">$G179</f>
        <v/>
      </c>
      <c r="T179" s="52" t="str">
        <f ca="1">$H179</f>
        <v/>
      </c>
      <c r="U179" s="50" t="str">
        <f ca="1">$D179</f>
        <v/>
      </c>
      <c r="V179" s="52" t="str">
        <f ca="1">$I179</f>
        <v/>
      </c>
      <c r="W179" s="52" t="str">
        <f ca="1">$K179</f>
        <v>*KEY_ERR</v>
      </c>
      <c r="X179" s="3"/>
      <c r="Y179" s="35" t="str">
        <f t="array" aca="1" ref="Y179" ca="1">_xll.DBRW($D$102,$C$105,$C$106,$C$108,$C$110,$G179,$C$111,$C$112,$I179,$C$78,$C179,$F179,$D179,$B179,$E179,$W$159,$H179,Y$129)</f>
        <v/>
      </c>
      <c r="Z179" s="35" t="str">
        <f t="array" aca="1" ref="Z179" ca="1">_xll.DBRW($D$102,$C$105,$C$106,$C$108,$C$110,$G179,$C$111,$C$112,$I179,$C$78,$C179,$F179,$D179,$B179,$E179,$W$159,$H179,Z$129)</f>
        <v/>
      </c>
      <c r="AA179" s="35" t="str">
        <f t="array" aca="1" ref="AA179" ca="1">_xll.DBRW($D$102,$C$105,$C$106,$C$108,$C$110,$G179,$C$111,$C$112,$I179,$C$78,$C179,$F179,$D179,$B179,$E179,$W$159,$H179,AA$129)</f>
        <v/>
      </c>
      <c r="AB179" s="35" t="str">
        <f t="array" aca="1" ref="AB179" ca="1">_xll.DBRW($D$102,$C$105,$C$106,$C$108,$C$110,$G179,$C$111,$C$112,$I179,$C$78,$C179,$F179,$D179,$B179,$E179,$W$159,$H179,AB$129)</f>
        <v/>
      </c>
      <c r="AC179" s="35" t="str">
        <f t="array" aca="1" ref="AC179" ca="1">_xll.DBRW($D$102,$C$105,$C$106,$C$108,$C$110,$G179,$C$111,$C$112,$I179,$C$78,$C179,$F179,$D179,$B179,$E179,$W$159,$H179,AC$129)</f>
        <v/>
      </c>
      <c r="AD179" s="35" t="str">
        <f t="array" aca="1" ref="AD179" ca="1">_xll.DBRW($D$102,$C$105,$C$106,$C$108,$C$110,$G179,$C$111,$C$112,$I179,$C$78,$C179,$F179,$D179,$B179,$E179,$W$159,$H179,AD$129)</f>
        <v/>
      </c>
      <c r="AE179" s="35" t="str">
        <f t="array" aca="1" ref="AE179" ca="1">_xll.DBRW($D$102,$C$105,$C$106,$C$108,$C$110,$G179,$C$111,$C$112,$I179,$C$78,$C179,$F179,$D179,$B179,$E179,$W$159,$H179,AE$129)</f>
        <v/>
      </c>
      <c r="AF179" s="35" t="str">
        <f t="array" aca="1" ref="AF179" ca="1">_xll.DBRW($D$102,$C$105,$C$106,$C$108,$C$110,$G179,$C$111,$C$112,$I179,$C$78,$C179,$F179,$D179,$B179,$E179,$W$159,$H179,AF$129)</f>
        <v/>
      </c>
      <c r="AG179" s="35" t="str">
        <f t="array" aca="1" ref="AG179" ca="1">_xll.DBRW($D$102,$C$105,$C$106,$C$108,$C$110,$G179,$C$111,$C$112,$I179,$C$78,$C179,$F179,$D179,$B179,$E179,$W$159,$H179,AG$129)</f>
        <v/>
      </c>
      <c r="AH179" s="35" t="str">
        <f t="array" aca="1" ref="AH179" ca="1">_xll.DBRW($D$102,$C$105,$C$106,$C$108,$C$110,$G179,$C$111,$C$112,$I179,$C$78,$C179,$F179,$D179,$B179,$E179,$W$159,$H179,AH$129)</f>
        <v/>
      </c>
      <c r="AI179" s="35" t="str">
        <f t="array" aca="1" ref="AI179" ca="1">_xll.DBRW($D$102,$C$105,$C$106,$C$108,$C$110,$G179,$C$111,$C$112,$I179,$C$78,$C179,$F179,$D179,$B179,$E179,$W$159,$H179,AI$129)</f>
        <v/>
      </c>
      <c r="AJ179" s="35" t="str">
        <f t="array" aca="1" ref="AJ179" ca="1">_xll.DBRW($D$102,$C$105,$C$106,$C$108,$C$110,$G179,$C$111,$C$112,$I179,$C$78,$C179,$F179,$D179,$B179,$E179,$W$159,$H179,AJ$129)</f>
        <v/>
      </c>
      <c r="AK179" s="35" t="str">
        <f t="array" aca="1" ref="AK179" ca="1">_xll.DBRW($D$102,$C$105,$C$106,$C$108,$C$110,$G179,$C$111,$C$112,$I179,$C$78,$C179,$F179,$D179,$B179,$E179,$W$159,$H179,AK$129)</f>
        <v/>
      </c>
    </row>
    <row r="180" spans="1:37" ht="5.0999999999999996" customHeight="1" x14ac:dyDescent="0.3"/>
    <row r="181" spans="1:37" x14ac:dyDescent="0.3">
      <c r="B181" t="s">
        <v>137</v>
      </c>
      <c r="C181" t="s">
        <v>9</v>
      </c>
      <c r="D181" t="s">
        <v>10</v>
      </c>
      <c r="E181" s="34" t="str">
        <f ca="1">$D$103</f>
        <v>2000000</v>
      </c>
      <c r="F181" t="s">
        <v>11</v>
      </c>
      <c r="G181" t="s">
        <v>12</v>
      </c>
      <c r="H181" t="s">
        <v>13</v>
      </c>
      <c r="I181" t="s">
        <v>14</v>
      </c>
      <c r="W181" s="40" t="s">
        <v>158</v>
      </c>
      <c r="Y181" s="36" t="str">
        <f t="array" aca="1" ref="Y181" ca="1">_xll.DBRW($C$100,$C$105,$C$106,$C$108,$C$110,$G181,$C$111,$C$112,$I181,$C$78,$C181,$F181,$D181,$B181,$E181,$W$159,$H181,Y$129)</f>
        <v/>
      </c>
      <c r="Z181" s="36" t="str">
        <f t="array" aca="1" ref="Z181" ca="1">_xll.DBRW($C$100,$C$105,$C$106,$C$108,$C$110,$G181,$C$111,$C$112,$I181,$C$78,$C181,$F181,$D181,$B181,$E181,$W$159,$H181,Z$129)</f>
        <v/>
      </c>
      <c r="AA181" s="36" t="str">
        <f t="array" aca="1" ref="AA181" ca="1">_xll.DBRW($C$100,$C$105,$C$106,$C$108,$C$110,$G181,$C$111,$C$112,$I181,$C$78,$C181,$F181,$D181,$B181,$E181,$W$159,$H181,AA$129)</f>
        <v/>
      </c>
      <c r="AB181" s="36" t="str">
        <f t="array" aca="1" ref="AB181" ca="1">_xll.DBRW($C$100,$C$105,$C$106,$C$108,$C$110,$G181,$C$111,$C$112,$I181,$C$78,$C181,$F181,$D181,$B181,$E181,$W$159,$H181,AB$129)</f>
        <v/>
      </c>
      <c r="AC181" s="36" t="str">
        <f t="array" aca="1" ref="AC181" ca="1">_xll.DBRW($C$100,$C$105,$C$106,$C$108,$C$110,$G181,$C$111,$C$112,$I181,$C$78,$C181,$F181,$D181,$B181,$E181,$W$159,$H181,AC$129)</f>
        <v/>
      </c>
      <c r="AD181" s="36" t="str">
        <f t="array" aca="1" ref="AD181" ca="1">_xll.DBRW($C$100,$C$105,$C$106,$C$108,$C$110,$G181,$C$111,$C$112,$I181,$C$78,$C181,$F181,$D181,$B181,$E181,$W$159,$H181,AD$129)</f>
        <v/>
      </c>
      <c r="AE181" s="36" t="str">
        <f t="array" aca="1" ref="AE181" ca="1">_xll.DBRW($C$100,$C$105,$C$106,$C$108,$C$110,$G181,$C$111,$C$112,$I181,$C$78,$C181,$F181,$D181,$B181,$E181,$W$159,$H181,AE$129)</f>
        <v/>
      </c>
      <c r="AF181" s="36" t="str">
        <f t="array" aca="1" ref="AF181" ca="1">_xll.DBRW($C$100,$C$105,$C$106,$C$108,$C$110,$G181,$C$111,$C$112,$I181,$C$78,$C181,$F181,$D181,$B181,$E181,$W$159,$H181,AF$129)</f>
        <v/>
      </c>
      <c r="AG181" s="36" t="str">
        <f t="array" aca="1" ref="AG181" ca="1">_xll.DBRW($C$100,$C$105,$C$106,$C$108,$C$110,$G181,$C$111,$C$112,$I181,$C$78,$C181,$F181,$D181,$B181,$E181,$W$159,$H181,AG$129)</f>
        <v/>
      </c>
      <c r="AH181" s="36" t="str">
        <f t="array" aca="1" ref="AH181" ca="1">_xll.DBRW($C$100,$C$105,$C$106,$C$108,$C$110,$G181,$C$111,$C$112,$I181,$C$78,$C181,$F181,$D181,$B181,$E181,$W$159,$H181,AH$129)</f>
        <v/>
      </c>
      <c r="AI181" s="36" t="str">
        <f t="array" aca="1" ref="AI181" ca="1">_xll.DBRW($C$100,$C$105,$C$106,$C$108,$C$110,$G181,$C$111,$C$112,$I181,$C$78,$C181,$F181,$D181,$B181,$E181,$W$159,$H181,AI$129)</f>
        <v/>
      </c>
      <c r="AJ181" s="36" t="str">
        <f t="array" aca="1" ref="AJ181" ca="1">_xll.DBRW($C$100,$C$105,$C$106,$C$108,$C$110,$G181,$C$111,$C$112,$I181,$C$78,$C181,$F181,$D181,$B181,$E181,$W$159,$H181,AJ$129)</f>
        <v/>
      </c>
      <c r="AK181" s="36" t="str">
        <f t="array" aca="1" ref="AK181" ca="1">_xll.DBRW($C$100,$C$105,$C$106,$C$108,$C$110,$G181,$C$111,$C$112,$I181,$C$78,$C181,$F181,$D181,$B181,$E181,$W$159,$H181,AK$129)</f>
        <v/>
      </c>
    </row>
    <row r="182" spans="1:37" x14ac:dyDescent="0.3">
      <c r="P182" s="38" t="s">
        <v>140</v>
      </c>
    </row>
    <row r="183" spans="1:37" x14ac:dyDescent="0.3">
      <c r="P183" s="14" t="s">
        <v>136</v>
      </c>
      <c r="Q183" s="14" t="s">
        <v>79</v>
      </c>
      <c r="R183" s="14" t="s">
        <v>80</v>
      </c>
      <c r="S183" s="14" t="s">
        <v>81</v>
      </c>
      <c r="T183" s="14" t="s">
        <v>82</v>
      </c>
      <c r="U183" s="14" t="s">
        <v>94</v>
      </c>
      <c r="V183" s="14" t="s">
        <v>83</v>
      </c>
      <c r="W183" s="14" t="s">
        <v>95</v>
      </c>
      <c r="Y183" s="14" t="str">
        <f ca="1">Y$129</f>
        <v/>
      </c>
      <c r="Z183" s="14" t="str">
        <f t="shared" ref="Z183:AK183" ca="1" si="4">Z$129</f>
        <v/>
      </c>
      <c r="AA183" s="14" t="str">
        <f t="shared" ca="1" si="4"/>
        <v/>
      </c>
      <c r="AB183" s="14" t="str">
        <f t="shared" ca="1" si="4"/>
        <v/>
      </c>
      <c r="AC183" s="14" t="str">
        <f t="shared" ca="1" si="4"/>
        <v/>
      </c>
      <c r="AD183" s="14" t="str">
        <f t="shared" ca="1" si="4"/>
        <v/>
      </c>
      <c r="AE183" s="14" t="str">
        <f t="shared" ca="1" si="4"/>
        <v/>
      </c>
      <c r="AF183" s="14" t="str">
        <f t="shared" ca="1" si="4"/>
        <v/>
      </c>
      <c r="AG183" s="14" t="str">
        <f t="shared" ca="1" si="4"/>
        <v/>
      </c>
      <c r="AH183" s="14" t="str">
        <f t="shared" ca="1" si="4"/>
        <v/>
      </c>
      <c r="AI183" s="14" t="str">
        <f t="shared" ca="1" si="4"/>
        <v/>
      </c>
      <c r="AJ183" s="14" t="str">
        <f t="shared" ca="1" si="4"/>
        <v/>
      </c>
      <c r="AK183" s="14" t="str">
        <f t="shared" ca="1" si="4"/>
        <v/>
      </c>
    </row>
    <row r="184" spans="1:37" ht="24" customHeight="1" x14ac:dyDescent="0.3">
      <c r="A184" s="3" t="str" cm="1">
        <f t="array" aca="1" ref="A184" ca="1">IF(_xll.TM1RPTELISCONSOLIDATED($I$184,$I184),IF(_xll.TM1RPTELLEV($I$184,$I184)&lt;=3,_xll.TM1RPTELLEV($I$184,$I184),"D"),"N")</f>
        <v>N</v>
      </c>
      <c r="B184" s="31" t="str">
        <f t="array" aca="1" ref="B184" ca="1">_xll.TM1RPTROW($E$102,db_name&amp;":programme","","","code and description",0,$C$122)</f>
        <v/>
      </c>
      <c r="C184" s="32" t="str">
        <f t="array" aca="1" ref="C184" ca="1">_xll.TM1RPTROW($E$102,db_name&amp;":appropriation type","","","code and description",0,$C$123)</f>
        <v/>
      </c>
      <c r="D184" s="32" t="str">
        <f t="array" aca="1" ref="D184" ca="1">_xll.TM1RPTROW($E$102,db_name&amp;":appropriation item","","","code and description",0,$C$124)</f>
        <v/>
      </c>
      <c r="E184" s="22" t="str">
        <f t="array" aca="1" ref="E184" ca="1">_xll.TM1RPTROW($E$102,db_name&amp;":account","","","code and description",0,$E$104)</f>
        <v/>
      </c>
      <c r="F184" s="32" t="str">
        <f t="array" aca="1" ref="F184" ca="1">_xll.TM1RPTROW($E$102,db_name&amp;":movement account","","","code and description",0,$C$125)</f>
        <v/>
      </c>
      <c r="G184" s="32" t="str">
        <f t="array" aca="1" ref="G184" ca="1">_xll.TM1RPTROW($E$102,db_name&amp;":related entity","","","code and description",0,$C$126)</f>
        <v/>
      </c>
      <c r="H184" s="32" t="str">
        <f t="array" aca="1" ref="H184" ca="1">_xll.TM1RPTROW($E$102,db_name&amp;":jurisdiction","","","description",0,$C$127)</f>
        <v/>
      </c>
      <c r="I184" s="32" t="str">
        <f t="array" aca="1" ref="I184" ca="1">_xll.TM1RPTROW($E$102,db_name&amp;":spp","","","code and description",0,$C$128)</f>
        <v/>
      </c>
      <c r="J184" s="22" t="str" cm="1">
        <f t="array" aca="1" ref="J184" ca="1">_xll.DBRW($E$102,$C$105,$C$106,$C$108,$C$110,$G184,$C$111,$C$112,$I184,$C$113,$C184,$F184,$D184,$B184,$E184,$W$159,$H184,J$173)</f>
        <v/>
      </c>
      <c r="K184" s="22" t="str" cm="1">
        <f t="array" aca="1" ref="K184" ca="1">IF($L184="",_xll.DBR($C$59,$E184,"DR/CR"),_xll.DBR($C$60,$F184,"DR/CR"))</f>
        <v>*KEY_ERR</v>
      </c>
      <c r="L184" s="22" t="str" cm="1">
        <f t="array" aca="1" ref="L184" ca="1">_xll.DBR($C$59,$E184,L$173)</f>
        <v>*KEY_ERR</v>
      </c>
      <c r="M184" s="22" t="str" cm="1">
        <f t="array" aca="1" ref="M184" ca="1">_xll.DBR($C$59,$E184,M$173)</f>
        <v>*KEY_ERR</v>
      </c>
      <c r="N184" s="3"/>
      <c r="O184" s="3"/>
      <c r="P184" s="23" t="str">
        <f ca="1">$B184</f>
        <v/>
      </c>
      <c r="Q184" s="23" t="str">
        <f ca="1">$E184</f>
        <v/>
      </c>
      <c r="R184" s="23" t="str">
        <f ca="1">$F184</f>
        <v/>
      </c>
      <c r="S184" s="24" t="str">
        <f ca="1">$G184</f>
        <v/>
      </c>
      <c r="T184" s="25" t="str">
        <f ca="1">$H184</f>
        <v/>
      </c>
      <c r="U184" s="23" t="str">
        <f ca="1">$D184</f>
        <v/>
      </c>
      <c r="V184" s="25" t="str">
        <f ca="1">$I184</f>
        <v/>
      </c>
      <c r="W184" s="25" t="str">
        <f ca="1">$K184</f>
        <v>*KEY_ERR</v>
      </c>
      <c r="X184" s="3"/>
      <c r="Y184" s="35" t="str">
        <f t="array" aca="1" ref="Y184" ca="1">_xll.DBRW($E$102,$C$105,$C$106,$C$108,$C$110,$G184,$C$111,$C$112,$I184,$C$78,$C184,$F184,$D184,$B184,$E184,$W$159,$H184,Y$129)</f>
        <v/>
      </c>
      <c r="Z184" s="35" t="str">
        <f t="array" aca="1" ref="Z184" ca="1">_xll.DBRW($E$102,$C$105,$C$106,$C$108,$C$110,$G184,$C$111,$C$112,$I184,$C$78,$C184,$F184,$D184,$B184,$E184,$W$159,$H184,Z$129)</f>
        <v/>
      </c>
      <c r="AA184" s="35" t="str">
        <f t="array" aca="1" ref="AA184" ca="1">_xll.DBRW($E$102,$C$105,$C$106,$C$108,$C$110,$G184,$C$111,$C$112,$I184,$C$78,$C184,$F184,$D184,$B184,$E184,$W$159,$H184,AA$129)</f>
        <v/>
      </c>
      <c r="AB184" s="35" t="str">
        <f t="array" aca="1" ref="AB184" ca="1">_xll.DBRW($E$102,$C$105,$C$106,$C$108,$C$110,$G184,$C$111,$C$112,$I184,$C$78,$C184,$F184,$D184,$B184,$E184,$W$159,$H184,AB$129)</f>
        <v/>
      </c>
      <c r="AC184" s="35" t="str">
        <f t="array" aca="1" ref="AC184" ca="1">_xll.DBRW($E$102,$C$105,$C$106,$C$108,$C$110,$G184,$C$111,$C$112,$I184,$C$78,$C184,$F184,$D184,$B184,$E184,$W$159,$H184,AC$129)</f>
        <v/>
      </c>
      <c r="AD184" s="35" t="str">
        <f t="array" aca="1" ref="AD184" ca="1">_xll.DBRW($E$102,$C$105,$C$106,$C$108,$C$110,$G184,$C$111,$C$112,$I184,$C$78,$C184,$F184,$D184,$B184,$E184,$W$159,$H184,AD$129)</f>
        <v/>
      </c>
      <c r="AE184" s="35" t="str">
        <f t="array" aca="1" ref="AE184" ca="1">_xll.DBRW($E$102,$C$105,$C$106,$C$108,$C$110,$G184,$C$111,$C$112,$I184,$C$78,$C184,$F184,$D184,$B184,$E184,$W$159,$H184,AE$129)</f>
        <v/>
      </c>
      <c r="AF184" s="35" t="str">
        <f t="array" aca="1" ref="AF184" ca="1">_xll.DBRW($E$102,$C$105,$C$106,$C$108,$C$110,$G184,$C$111,$C$112,$I184,$C$78,$C184,$F184,$D184,$B184,$E184,$W$159,$H184,AF$129)</f>
        <v/>
      </c>
      <c r="AG184" s="35" t="str">
        <f t="array" aca="1" ref="AG184" ca="1">_xll.DBRW($E$102,$C$105,$C$106,$C$108,$C$110,$G184,$C$111,$C$112,$I184,$C$78,$C184,$F184,$D184,$B184,$E184,$W$159,$H184,AG$129)</f>
        <v/>
      </c>
      <c r="AH184" s="35" t="str">
        <f t="array" aca="1" ref="AH184" ca="1">_xll.DBRW($E$102,$C$105,$C$106,$C$108,$C$110,$G184,$C$111,$C$112,$I184,$C$78,$C184,$F184,$D184,$B184,$E184,$W$159,$H184,AH$129)</f>
        <v/>
      </c>
      <c r="AI184" s="35" t="str">
        <f t="array" aca="1" ref="AI184" ca="1">_xll.DBRW($E$102,$C$105,$C$106,$C$108,$C$110,$G184,$C$111,$C$112,$I184,$C$78,$C184,$F184,$D184,$B184,$E184,$W$159,$H184,AI$129)</f>
        <v/>
      </c>
      <c r="AJ184" s="35" t="str">
        <f t="array" aca="1" ref="AJ184" ca="1">_xll.DBRW($E$102,$C$105,$C$106,$C$108,$C$110,$G184,$C$111,$C$112,$I184,$C$78,$C184,$F184,$D184,$B184,$E184,$W$159,$H184,AJ$129)</f>
        <v/>
      </c>
      <c r="AK184" s="35" t="str">
        <f t="array" aca="1" ref="AK184" ca="1">_xll.DBRW($E$102,$C$105,$C$106,$C$108,$C$110,$G184,$C$111,$C$112,$I184,$C$78,$C184,$F184,$D184,$B184,$E184,$W$159,$H184,AK$129)</f>
        <v/>
      </c>
    </row>
    <row r="185" spans="1:37" ht="5.0999999999999996" customHeight="1" x14ac:dyDescent="0.3"/>
    <row r="186" spans="1:37" x14ac:dyDescent="0.3">
      <c r="B186" t="s">
        <v>137</v>
      </c>
      <c r="C186" t="s">
        <v>9</v>
      </c>
      <c r="D186" t="s">
        <v>10</v>
      </c>
      <c r="E186" s="34" t="str">
        <f ca="1">$E$103</f>
        <v>5000000</v>
      </c>
      <c r="F186" t="s">
        <v>11</v>
      </c>
      <c r="G186" t="s">
        <v>12</v>
      </c>
      <c r="H186" t="s">
        <v>13</v>
      </c>
      <c r="I186" t="s">
        <v>14</v>
      </c>
      <c r="W186" s="40" t="s">
        <v>162</v>
      </c>
      <c r="Y186" s="36" t="str">
        <f t="array" aca="1" ref="Y186" ca="1">_xll.DBRW($C$100,$C$105,$C$106,$C$108,$C$110,$G186,$C$111,$C$112,$I186,$C$78,$C186,$F186,$D186,$B186,$E186,$W$159,$H186,Y$129)</f>
        <v/>
      </c>
      <c r="Z186" s="36" t="str">
        <f t="array" aca="1" ref="Z186" ca="1">_xll.DBRW($C$100,$C$105,$C$106,$C$108,$C$110,$G186,$C$111,$C$112,$I186,$C$78,$C186,$F186,$D186,$B186,$E186,$W$159,$H186,Z$129)</f>
        <v/>
      </c>
      <c r="AA186" s="36" t="str">
        <f t="array" aca="1" ref="AA186" ca="1">_xll.DBRW($C$100,$C$105,$C$106,$C$108,$C$110,$G186,$C$111,$C$112,$I186,$C$78,$C186,$F186,$D186,$B186,$E186,$W$159,$H186,AA$129)</f>
        <v/>
      </c>
      <c r="AB186" s="36" t="str">
        <f t="array" aca="1" ref="AB186" ca="1">_xll.DBRW($C$100,$C$105,$C$106,$C$108,$C$110,$G186,$C$111,$C$112,$I186,$C$78,$C186,$F186,$D186,$B186,$E186,$W$159,$H186,AB$129)</f>
        <v/>
      </c>
      <c r="AC186" s="36" t="str">
        <f t="array" aca="1" ref="AC186" ca="1">_xll.DBRW($C$100,$C$105,$C$106,$C$108,$C$110,$G186,$C$111,$C$112,$I186,$C$78,$C186,$F186,$D186,$B186,$E186,$W$159,$H186,AC$129)</f>
        <v/>
      </c>
      <c r="AD186" s="36" t="str">
        <f t="array" aca="1" ref="AD186" ca="1">_xll.DBRW($C$100,$C$105,$C$106,$C$108,$C$110,$G186,$C$111,$C$112,$I186,$C$78,$C186,$F186,$D186,$B186,$E186,$W$159,$H186,AD$129)</f>
        <v/>
      </c>
      <c r="AE186" s="36" t="str">
        <f t="array" aca="1" ref="AE186" ca="1">_xll.DBRW($C$100,$C$105,$C$106,$C$108,$C$110,$G186,$C$111,$C$112,$I186,$C$78,$C186,$F186,$D186,$B186,$E186,$W$159,$H186,AE$129)</f>
        <v/>
      </c>
      <c r="AF186" s="36" t="str">
        <f t="array" aca="1" ref="AF186" ca="1">_xll.DBRW($C$100,$C$105,$C$106,$C$108,$C$110,$G186,$C$111,$C$112,$I186,$C$78,$C186,$F186,$D186,$B186,$E186,$W$159,$H186,AF$129)</f>
        <v/>
      </c>
      <c r="AG186" s="36" t="str">
        <f t="array" aca="1" ref="AG186" ca="1">_xll.DBRW($C$100,$C$105,$C$106,$C$108,$C$110,$G186,$C$111,$C$112,$I186,$C$78,$C186,$F186,$D186,$B186,$E186,$W$159,$H186,AG$129)</f>
        <v/>
      </c>
      <c r="AH186" s="36" t="str">
        <f t="array" aca="1" ref="AH186" ca="1">_xll.DBRW($C$100,$C$105,$C$106,$C$108,$C$110,$G186,$C$111,$C$112,$I186,$C$78,$C186,$F186,$D186,$B186,$E186,$W$159,$H186,AH$129)</f>
        <v/>
      </c>
      <c r="AI186" s="36" t="str">
        <f t="array" aca="1" ref="AI186" ca="1">_xll.DBRW($C$100,$C$105,$C$106,$C$108,$C$110,$G186,$C$111,$C$112,$I186,$C$78,$C186,$F186,$D186,$B186,$E186,$W$159,$H186,AI$129)</f>
        <v/>
      </c>
      <c r="AJ186" s="36" t="str">
        <f t="array" aca="1" ref="AJ186" ca="1">_xll.DBRW($C$100,$C$105,$C$106,$C$108,$C$110,$G186,$C$111,$C$112,$I186,$C$78,$C186,$F186,$D186,$B186,$E186,$W$159,$H186,AJ$129)</f>
        <v/>
      </c>
      <c r="AK186" s="36" t="str">
        <f t="array" aca="1" ref="AK186" ca="1">_xll.DBRW($C$100,$C$105,$C$106,$C$108,$C$110,$G186,$C$111,$C$112,$I186,$C$78,$C186,$F186,$D186,$B186,$E186,$W$159,$H186,AK$129)</f>
        <v/>
      </c>
    </row>
    <row r="187" spans="1:37" x14ac:dyDescent="0.3">
      <c r="P187" s="38" t="s">
        <v>163</v>
      </c>
    </row>
    <row r="188" spans="1:37" x14ac:dyDescent="0.3">
      <c r="P188" s="14" t="s">
        <v>136</v>
      </c>
      <c r="Q188" s="14" t="s">
        <v>79</v>
      </c>
      <c r="R188" s="14" t="s">
        <v>80</v>
      </c>
      <c r="S188" s="14" t="s">
        <v>81</v>
      </c>
      <c r="T188" s="14" t="s">
        <v>82</v>
      </c>
      <c r="U188" s="14" t="s">
        <v>94</v>
      </c>
      <c r="V188" s="14" t="s">
        <v>83</v>
      </c>
      <c r="W188" s="14" t="s">
        <v>95</v>
      </c>
      <c r="Y188" s="14" t="str">
        <f ca="1">Y$129</f>
        <v/>
      </c>
      <c r="Z188" s="14" t="str">
        <f t="shared" ref="Z188:AK188" ca="1" si="5">Z$129</f>
        <v/>
      </c>
      <c r="AA188" s="14" t="str">
        <f t="shared" ca="1" si="5"/>
        <v/>
      </c>
      <c r="AB188" s="14" t="str">
        <f t="shared" ca="1" si="5"/>
        <v/>
      </c>
      <c r="AC188" s="14" t="str">
        <f t="shared" ca="1" si="5"/>
        <v/>
      </c>
      <c r="AD188" s="14" t="str">
        <f t="shared" ca="1" si="5"/>
        <v/>
      </c>
      <c r="AE188" s="14" t="str">
        <f t="shared" ca="1" si="5"/>
        <v/>
      </c>
      <c r="AF188" s="14" t="str">
        <f t="shared" ca="1" si="5"/>
        <v/>
      </c>
      <c r="AG188" s="14" t="str">
        <f t="shared" ca="1" si="5"/>
        <v/>
      </c>
      <c r="AH188" s="14" t="str">
        <f t="shared" ca="1" si="5"/>
        <v/>
      </c>
      <c r="AI188" s="14" t="str">
        <f t="shared" ca="1" si="5"/>
        <v/>
      </c>
      <c r="AJ188" s="14" t="str">
        <f t="shared" ca="1" si="5"/>
        <v/>
      </c>
      <c r="AK188" s="14" t="str">
        <f t="shared" ca="1" si="5"/>
        <v/>
      </c>
    </row>
    <row r="189" spans="1:37" ht="24" customHeight="1" x14ac:dyDescent="0.3">
      <c r="A189" s="3" t="str" cm="1">
        <f t="array" aca="1" ref="A189" ca="1">IF(_xll.TM1RPTELISCONSOLIDATED($I$189,$I189),IF(_xll.TM1RPTELLEV($I$189,$I189)&lt;=3,_xll.TM1RPTELLEV($I$189,$I189),"D"),"N")</f>
        <v>N</v>
      </c>
      <c r="B189" s="31" t="str">
        <f t="array" aca="1" ref="B189" ca="1">_xll.TM1RPTROW($F$102,db_name&amp;":programme","","","code and description",0,$C$122)</f>
        <v/>
      </c>
      <c r="C189" s="32" t="str">
        <f t="array" aca="1" ref="C189" ca="1">_xll.TM1RPTROW($F$102,db_name&amp;":appropriation type","","","code and description",0,$C$123)</f>
        <v/>
      </c>
      <c r="D189" s="32" t="str">
        <f t="array" aca="1" ref="D189" ca="1">_xll.TM1RPTROW($F$102,db_name&amp;":appropriation item","","","code and description",0,$C$124)</f>
        <v/>
      </c>
      <c r="E189" s="22" t="str">
        <f t="array" aca="1" ref="E189" ca="1">_xll.TM1RPTROW($F$102,db_name&amp;":account","","","code and description",0,$F$104)</f>
        <v/>
      </c>
      <c r="F189" s="32" t="str">
        <f t="array" aca="1" ref="F189" ca="1">_xll.TM1RPTROW($F$102,db_name&amp;":movement account","","","code and description",0,$C$125)</f>
        <v/>
      </c>
      <c r="G189" s="32" t="str">
        <f t="array" aca="1" ref="G189" ca="1">_xll.TM1RPTROW($F$102,db_name&amp;":related entity","","","code and description",0,$C$126)</f>
        <v/>
      </c>
      <c r="H189" s="32" t="str">
        <f t="array" aca="1" ref="H189" ca="1">_xll.TM1RPTROW($F$102,db_name&amp;":jurisdiction","","","description",0,$C$127)</f>
        <v/>
      </c>
      <c r="I189" s="32" t="str">
        <f t="array" aca="1" ref="I189" ca="1">_xll.TM1RPTROW($F$102,db_name&amp;":spp","","","code and description",0,$C$128)</f>
        <v/>
      </c>
      <c r="J189" s="22" t="str" cm="1">
        <f t="array" aca="1" ref="J189" ca="1">_xll.DBRW($F$102,$C$105,$C$106,$C$108,$C$110,$G189,$C$111,$C$112,$I189,$C$113,$C189,$F189,$D189,$B189,$E189,$W$159,$H189,J$173)</f>
        <v/>
      </c>
      <c r="K189" s="22" t="str" cm="1">
        <f t="array" aca="1" ref="K189" ca="1">IF($L189="",_xll.DBR($C$59,$E189,"DR/CR"),_xll.DBR($C$60,$F189,"DR/CR"))</f>
        <v>*KEY_ERR</v>
      </c>
      <c r="L189" s="22" t="str" cm="1">
        <f t="array" aca="1" ref="L189" ca="1">_xll.DBR($C$59,$E189,L$173)</f>
        <v>*KEY_ERR</v>
      </c>
      <c r="M189" s="22" t="str" cm="1">
        <f t="array" aca="1" ref="M189" ca="1">_xll.DBR($C$59,$E189,M$173)</f>
        <v>*KEY_ERR</v>
      </c>
      <c r="N189" s="3"/>
      <c r="O189" s="3"/>
      <c r="P189" s="23" t="str">
        <f ca="1">$B189</f>
        <v/>
      </c>
      <c r="Q189" s="23" t="str">
        <f ca="1">$E189</f>
        <v/>
      </c>
      <c r="R189" s="23" t="str">
        <f ca="1">$F189</f>
        <v/>
      </c>
      <c r="S189" s="24" t="str">
        <f ca="1">$G189</f>
        <v/>
      </c>
      <c r="T189" s="25" t="str">
        <f ca="1">$H189</f>
        <v/>
      </c>
      <c r="U189" s="23" t="str">
        <f ca="1">$D189</f>
        <v/>
      </c>
      <c r="V189" s="25" t="str">
        <f ca="1">$I189</f>
        <v/>
      </c>
      <c r="W189" s="25" t="str">
        <f ca="1">$K189</f>
        <v>*KEY_ERR</v>
      </c>
      <c r="X189" s="3"/>
      <c r="Y189" s="35" t="str">
        <f t="array" aca="1" ref="Y189" ca="1">_xll.DBRW($F$102,$C$105,$C$106,$C$108,$C$110,$G189,$C$111,$C$112,$I189,$C$78,$C189,$F189,$D189,$B189,$E189,$W$159,$H189,Y$129)</f>
        <v/>
      </c>
      <c r="Z189" s="35" t="str">
        <f t="array" aca="1" ref="Z189" ca="1">_xll.DBRW($F$102,$C$105,$C$106,$C$108,$C$110,$G189,$C$111,$C$112,$I189,$C$78,$C189,$F189,$D189,$B189,$E189,$W$159,$H189,Z$129)</f>
        <v/>
      </c>
      <c r="AA189" s="35" t="str">
        <f t="array" aca="1" ref="AA189" ca="1">_xll.DBRW($F$102,$C$105,$C$106,$C$108,$C$110,$G189,$C$111,$C$112,$I189,$C$78,$C189,$F189,$D189,$B189,$E189,$W$159,$H189,AA$129)</f>
        <v/>
      </c>
      <c r="AB189" s="35" t="str">
        <f t="array" aca="1" ref="AB189" ca="1">_xll.DBRW($F$102,$C$105,$C$106,$C$108,$C$110,$G189,$C$111,$C$112,$I189,$C$78,$C189,$F189,$D189,$B189,$E189,$W$159,$H189,AB$129)</f>
        <v/>
      </c>
      <c r="AC189" s="35" t="str">
        <f t="array" aca="1" ref="AC189" ca="1">_xll.DBRW($F$102,$C$105,$C$106,$C$108,$C$110,$G189,$C$111,$C$112,$I189,$C$78,$C189,$F189,$D189,$B189,$E189,$W$159,$H189,AC$129)</f>
        <v/>
      </c>
      <c r="AD189" s="35" t="str">
        <f t="array" aca="1" ref="AD189" ca="1">_xll.DBRW($F$102,$C$105,$C$106,$C$108,$C$110,$G189,$C$111,$C$112,$I189,$C$78,$C189,$F189,$D189,$B189,$E189,$W$159,$H189,AD$129)</f>
        <v/>
      </c>
      <c r="AE189" s="35" t="str">
        <f t="array" aca="1" ref="AE189" ca="1">_xll.DBRW($F$102,$C$105,$C$106,$C$108,$C$110,$G189,$C$111,$C$112,$I189,$C$78,$C189,$F189,$D189,$B189,$E189,$W$159,$H189,AE$129)</f>
        <v/>
      </c>
      <c r="AF189" s="35" t="str">
        <f t="array" aca="1" ref="AF189" ca="1">_xll.DBRW($F$102,$C$105,$C$106,$C$108,$C$110,$G189,$C$111,$C$112,$I189,$C$78,$C189,$F189,$D189,$B189,$E189,$W$159,$H189,AF$129)</f>
        <v/>
      </c>
      <c r="AG189" s="35" t="str">
        <f t="array" aca="1" ref="AG189" ca="1">_xll.DBRW($F$102,$C$105,$C$106,$C$108,$C$110,$G189,$C$111,$C$112,$I189,$C$78,$C189,$F189,$D189,$B189,$E189,$W$159,$H189,AG$129)</f>
        <v/>
      </c>
      <c r="AH189" s="35" t="str">
        <f t="array" aca="1" ref="AH189" ca="1">_xll.DBRW($F$102,$C$105,$C$106,$C$108,$C$110,$G189,$C$111,$C$112,$I189,$C$78,$C189,$F189,$D189,$B189,$E189,$W$159,$H189,AH$129)</f>
        <v/>
      </c>
      <c r="AI189" s="35" t="str">
        <f t="array" aca="1" ref="AI189" ca="1">_xll.DBRW($F$102,$C$105,$C$106,$C$108,$C$110,$G189,$C$111,$C$112,$I189,$C$78,$C189,$F189,$D189,$B189,$E189,$W$159,$H189,AI$129)</f>
        <v/>
      </c>
      <c r="AJ189" s="35" t="str">
        <f t="array" aca="1" ref="AJ189" ca="1">_xll.DBRW($F$102,$C$105,$C$106,$C$108,$C$110,$G189,$C$111,$C$112,$I189,$C$78,$C189,$F189,$D189,$B189,$E189,$W$159,$H189,AJ$129)</f>
        <v/>
      </c>
      <c r="AK189" s="35" t="str">
        <f t="array" aca="1" ref="AK189" ca="1">_xll.DBRW($F$102,$C$105,$C$106,$C$108,$C$110,$G189,$C$111,$C$112,$I189,$C$78,$C189,$F189,$D189,$B189,$E189,$W$159,$H189,AK$129)</f>
        <v/>
      </c>
    </row>
    <row r="190" spans="1:37" ht="5.0999999999999996" customHeight="1" x14ac:dyDescent="0.3"/>
    <row r="191" spans="1:37" x14ac:dyDescent="0.3">
      <c r="B191" t="s">
        <v>137</v>
      </c>
      <c r="C191" t="s">
        <v>9</v>
      </c>
      <c r="D191" t="s">
        <v>10</v>
      </c>
      <c r="E191" s="34" t="str">
        <f ca="1">$F$103</f>
        <v>3000000</v>
      </c>
      <c r="F191" t="s">
        <v>11</v>
      </c>
      <c r="G191" t="s">
        <v>12</v>
      </c>
      <c r="H191" t="s">
        <v>13</v>
      </c>
      <c r="I191" t="s">
        <v>14</v>
      </c>
      <c r="W191" s="40" t="s">
        <v>161</v>
      </c>
      <c r="Y191" s="36" t="str">
        <f t="array" aca="1" ref="Y191" ca="1">_xll.DBRW($C$100,$C$105,$C$106,$C$108,$C$110,$G191,$C$111,$C$112,$I191,$C$78,$C191,$F191,$D191,$B191,$E191,$W$159,$H191,Y$129)</f>
        <v/>
      </c>
      <c r="Z191" s="36" t="str">
        <f t="array" aca="1" ref="Z191" ca="1">_xll.DBRW($C$100,$C$105,$C$106,$C$108,$C$110,$G191,$C$111,$C$112,$I191,$C$78,$C191,$F191,$D191,$B191,$E191,$W$159,$H191,Z$129)</f>
        <v/>
      </c>
      <c r="AA191" s="36" t="str">
        <f t="array" aca="1" ref="AA191" ca="1">_xll.DBRW($C$100,$C$105,$C$106,$C$108,$C$110,$G191,$C$111,$C$112,$I191,$C$78,$C191,$F191,$D191,$B191,$E191,$W$159,$H191,AA$129)</f>
        <v/>
      </c>
      <c r="AB191" s="36" t="str">
        <f t="array" aca="1" ref="AB191" ca="1">_xll.DBRW($C$100,$C$105,$C$106,$C$108,$C$110,$G191,$C$111,$C$112,$I191,$C$78,$C191,$F191,$D191,$B191,$E191,$W$159,$H191,AB$129)</f>
        <v/>
      </c>
      <c r="AC191" s="36" t="str">
        <f t="array" aca="1" ref="AC191" ca="1">_xll.DBRW($C$100,$C$105,$C$106,$C$108,$C$110,$G191,$C$111,$C$112,$I191,$C$78,$C191,$F191,$D191,$B191,$E191,$W$159,$H191,AC$129)</f>
        <v/>
      </c>
      <c r="AD191" s="36" t="str">
        <f t="array" aca="1" ref="AD191" ca="1">_xll.DBRW($C$100,$C$105,$C$106,$C$108,$C$110,$G191,$C$111,$C$112,$I191,$C$78,$C191,$F191,$D191,$B191,$E191,$W$159,$H191,AD$129)</f>
        <v/>
      </c>
      <c r="AE191" s="36" t="str">
        <f t="array" aca="1" ref="AE191" ca="1">_xll.DBRW($C$100,$C$105,$C$106,$C$108,$C$110,$G191,$C$111,$C$112,$I191,$C$78,$C191,$F191,$D191,$B191,$E191,$W$159,$H191,AE$129)</f>
        <v/>
      </c>
      <c r="AF191" s="36" t="str">
        <f t="array" aca="1" ref="AF191" ca="1">_xll.DBRW($C$100,$C$105,$C$106,$C$108,$C$110,$G191,$C$111,$C$112,$I191,$C$78,$C191,$F191,$D191,$B191,$E191,$W$159,$H191,AF$129)</f>
        <v/>
      </c>
      <c r="AG191" s="36" t="str">
        <f t="array" aca="1" ref="AG191" ca="1">_xll.DBRW($C$100,$C$105,$C$106,$C$108,$C$110,$G191,$C$111,$C$112,$I191,$C$78,$C191,$F191,$D191,$B191,$E191,$W$159,$H191,AG$129)</f>
        <v/>
      </c>
      <c r="AH191" s="36" t="str">
        <f t="array" aca="1" ref="AH191" ca="1">_xll.DBRW($C$100,$C$105,$C$106,$C$108,$C$110,$G191,$C$111,$C$112,$I191,$C$78,$C191,$F191,$D191,$B191,$E191,$W$159,$H191,AH$129)</f>
        <v/>
      </c>
      <c r="AI191" s="36" t="str">
        <f t="array" aca="1" ref="AI191" ca="1">_xll.DBRW($C$100,$C$105,$C$106,$C$108,$C$110,$G191,$C$111,$C$112,$I191,$C$78,$C191,$F191,$D191,$B191,$E191,$W$159,$H191,AI$129)</f>
        <v/>
      </c>
      <c r="AJ191" s="36" t="str">
        <f t="array" aca="1" ref="AJ191" ca="1">_xll.DBRW($C$100,$C$105,$C$106,$C$108,$C$110,$G191,$C$111,$C$112,$I191,$C$78,$C191,$F191,$D191,$B191,$E191,$W$159,$H191,AJ$129)</f>
        <v/>
      </c>
      <c r="AK191" s="36" t="str">
        <f t="array" aca="1" ref="AK191" ca="1">_xll.DBRW($C$100,$C$105,$C$106,$C$108,$C$110,$G191,$C$111,$C$112,$I191,$C$78,$C191,$F191,$D191,$B191,$E191,$W$159,$H191,AK$129)</f>
        <v/>
      </c>
    </row>
    <row r="192" spans="1:37" x14ac:dyDescent="0.3">
      <c r="P192" s="38" t="s">
        <v>144</v>
      </c>
    </row>
    <row r="193" spans="1:37" x14ac:dyDescent="0.3">
      <c r="P193" s="14" t="s">
        <v>136</v>
      </c>
      <c r="Q193" s="14" t="s">
        <v>79</v>
      </c>
      <c r="R193" s="14" t="s">
        <v>80</v>
      </c>
      <c r="S193" s="14" t="s">
        <v>81</v>
      </c>
      <c r="T193" s="14" t="s">
        <v>82</v>
      </c>
      <c r="U193" s="14" t="s">
        <v>94</v>
      </c>
      <c r="V193" s="14" t="s">
        <v>83</v>
      </c>
      <c r="W193" s="14" t="s">
        <v>95</v>
      </c>
      <c r="Y193" s="14" t="str">
        <f ca="1">Y$129</f>
        <v/>
      </c>
      <c r="Z193" s="14" t="str">
        <f t="shared" ref="Z193:AK193" ca="1" si="6">Z$129</f>
        <v/>
      </c>
      <c r="AA193" s="14" t="str">
        <f t="shared" ca="1" si="6"/>
        <v/>
      </c>
      <c r="AB193" s="14" t="str">
        <f t="shared" ca="1" si="6"/>
        <v/>
      </c>
      <c r="AC193" s="14" t="str">
        <f t="shared" ca="1" si="6"/>
        <v/>
      </c>
      <c r="AD193" s="14" t="str">
        <f t="shared" ca="1" si="6"/>
        <v/>
      </c>
      <c r="AE193" s="14" t="str">
        <f t="shared" ca="1" si="6"/>
        <v/>
      </c>
      <c r="AF193" s="14" t="str">
        <f t="shared" ca="1" si="6"/>
        <v/>
      </c>
      <c r="AG193" s="14" t="str">
        <f t="shared" ca="1" si="6"/>
        <v/>
      </c>
      <c r="AH193" s="14" t="str">
        <f t="shared" ca="1" si="6"/>
        <v/>
      </c>
      <c r="AI193" s="14" t="str">
        <f t="shared" ca="1" si="6"/>
        <v/>
      </c>
      <c r="AJ193" s="14" t="str">
        <f t="shared" ca="1" si="6"/>
        <v/>
      </c>
      <c r="AK193" s="14" t="str">
        <f t="shared" ca="1" si="6"/>
        <v/>
      </c>
    </row>
    <row r="194" spans="1:37" x14ac:dyDescent="0.3">
      <c r="A194" s="3" t="str" cm="1">
        <f t="array" aca="1" ref="A194" ca="1">IF(_xll.TM1RPTELISCONSOLIDATED($I$194,$I194),IF(_xll.TM1RPTELLEV($I$194,$I194)&lt;=3,_xll.TM1RPTELLEV($I$194,$I194),"D"),"N")</f>
        <v>N</v>
      </c>
      <c r="B194" s="31" t="str">
        <f t="array" aca="1" ref="B194" ca="1">_xll.TM1RPTROW($G$102,db_name&amp;":programme","","","code and description",0,$C$122)</f>
        <v/>
      </c>
      <c r="C194" s="32" t="str">
        <f t="array" aca="1" ref="C194" ca="1">_xll.TM1RPTROW($G$102,db_name&amp;":appropriation type","","","code and description",0,$C$123)</f>
        <v/>
      </c>
      <c r="D194" s="32" t="str">
        <f t="array" aca="1" ref="D194" ca="1">_xll.TM1RPTROW($G$102,db_name&amp;":appropriation item","","","code and description",0,$C$124)</f>
        <v/>
      </c>
      <c r="E194" s="32" t="str">
        <f t="array" aca="1" ref="E194" ca="1">_xll.TM1RPTROW($G$102,db_name&amp;":account","","","code and description",0,$G$104)</f>
        <v/>
      </c>
      <c r="F194" s="32" t="str">
        <f t="array" aca="1" ref="F194" ca="1">_xll.TM1RPTROW($G$102,db_name&amp;":movement account","","","code and description",0,$C$125)</f>
        <v/>
      </c>
      <c r="G194" s="32" t="str">
        <f t="array" aca="1" ref="G194" ca="1">_xll.TM1RPTROW($G$102,db_name&amp;":related entity","","","code and description",0,$C$126)</f>
        <v/>
      </c>
      <c r="H194" s="32" t="str">
        <f t="array" aca="1" ref="H194" ca="1">_xll.TM1RPTROW($G$102,db_name&amp;":jurisdiction","","","description",0,$C$127)</f>
        <v/>
      </c>
      <c r="I194" s="32" t="str">
        <f t="array" aca="1" ref="I194" ca="1">_xll.TM1RPTROW($G$102,db_name&amp;":spp","","","code and description",0,$C$128)</f>
        <v/>
      </c>
      <c r="J194" s="22" t="str" cm="1">
        <f t="array" aca="1" ref="J194" ca="1">_xll.DBRW($G$102,$C$105,$C$106,$C$108,$C$110,$G194,$C$111,$C$112,$I194,$C$113,$C194,$F194,$D194,$B194,$E194,$W$159,$H194,J$173)</f>
        <v/>
      </c>
      <c r="K194" s="22" t="str" cm="1">
        <f t="array" aca="1" ref="K194" ca="1">IF($L194="",_xll.DBR($C$59,$E194,"DR/CR"),_xll.DBR($C$60,$F194,"DR/CR"))</f>
        <v>*KEY_ERR</v>
      </c>
      <c r="L194" s="22" t="str" cm="1">
        <f t="array" aca="1" ref="L194" ca="1">_xll.DBR($C$59,$E194,L$173)</f>
        <v>*KEY_ERR</v>
      </c>
      <c r="M194" s="22" t="str" cm="1">
        <f t="array" aca="1" ref="M194" ca="1">_xll.DBR($C$59,$E194,M$173)</f>
        <v>*KEY_ERR</v>
      </c>
      <c r="N194" s="3"/>
      <c r="O194" s="3"/>
      <c r="P194" s="50" t="str">
        <f ca="1">$B194</f>
        <v/>
      </c>
      <c r="Q194" s="50" t="str">
        <f ca="1">$E194</f>
        <v/>
      </c>
      <c r="R194" s="50" t="str">
        <f ca="1">$F194</f>
        <v/>
      </c>
      <c r="S194" s="51" t="str">
        <f ca="1">$G194</f>
        <v/>
      </c>
      <c r="T194" s="52" t="str">
        <f ca="1">$H194</f>
        <v/>
      </c>
      <c r="U194" s="50" t="str">
        <f ca="1">$D194</f>
        <v/>
      </c>
      <c r="V194" s="52" t="str">
        <f ca="1">$I194</f>
        <v/>
      </c>
      <c r="W194" s="52" t="str">
        <f ca="1">$K194</f>
        <v>*KEY_ERR</v>
      </c>
      <c r="X194" s="3"/>
      <c r="Y194" s="35" t="str">
        <f t="array" aca="1" ref="Y194" ca="1">_xll.DBRW($G$102,$C$105,$C$106,$C$108,$C$110,$G194,$C$111,$C$112,$I194,$C$78,$C194,$F194,$D194,$B194,$E194,$W$159,$H194,Y$129)</f>
        <v/>
      </c>
      <c r="Z194" s="35" t="str">
        <f t="array" aca="1" ref="Z194" ca="1">_xll.DBRW($G$102,$C$105,$C$106,$C$108,$C$110,$G194,$C$111,$C$112,$I194,$C$78,$C194,$F194,$D194,$B194,$E194,$W$159,$H194,Z$129)</f>
        <v/>
      </c>
      <c r="AA194" s="35" t="str">
        <f t="array" aca="1" ref="AA194" ca="1">_xll.DBRW($G$102,$C$105,$C$106,$C$108,$C$110,$G194,$C$111,$C$112,$I194,$C$78,$C194,$F194,$D194,$B194,$E194,$W$159,$H194,AA$129)</f>
        <v/>
      </c>
      <c r="AB194" s="35" t="str">
        <f t="array" aca="1" ref="AB194" ca="1">_xll.DBRW($G$102,$C$105,$C$106,$C$108,$C$110,$G194,$C$111,$C$112,$I194,$C$78,$C194,$F194,$D194,$B194,$E194,$W$159,$H194,AB$129)</f>
        <v/>
      </c>
      <c r="AC194" s="35" t="str">
        <f t="array" aca="1" ref="AC194" ca="1">_xll.DBRW($G$102,$C$105,$C$106,$C$108,$C$110,$G194,$C$111,$C$112,$I194,$C$78,$C194,$F194,$D194,$B194,$E194,$W$159,$H194,AC$129)</f>
        <v/>
      </c>
      <c r="AD194" s="35" t="str">
        <f t="array" aca="1" ref="AD194" ca="1">_xll.DBRW($G$102,$C$105,$C$106,$C$108,$C$110,$G194,$C$111,$C$112,$I194,$C$78,$C194,$F194,$D194,$B194,$E194,$W$159,$H194,AD$129)</f>
        <v/>
      </c>
      <c r="AE194" s="35" t="str">
        <f t="array" aca="1" ref="AE194" ca="1">_xll.DBRW($G$102,$C$105,$C$106,$C$108,$C$110,$G194,$C$111,$C$112,$I194,$C$78,$C194,$F194,$D194,$B194,$E194,$W$159,$H194,AE$129)</f>
        <v/>
      </c>
      <c r="AF194" s="35" t="str">
        <f t="array" aca="1" ref="AF194" ca="1">_xll.DBRW($G$102,$C$105,$C$106,$C$108,$C$110,$G194,$C$111,$C$112,$I194,$C$78,$C194,$F194,$D194,$B194,$E194,$W$159,$H194,AF$129)</f>
        <v/>
      </c>
      <c r="AG194" s="35" t="str">
        <f t="array" aca="1" ref="AG194" ca="1">_xll.DBRW($G$102,$C$105,$C$106,$C$108,$C$110,$G194,$C$111,$C$112,$I194,$C$78,$C194,$F194,$D194,$B194,$E194,$W$159,$H194,AG$129)</f>
        <v/>
      </c>
      <c r="AH194" s="35" t="str">
        <f t="array" aca="1" ref="AH194" ca="1">_xll.DBRW($G$102,$C$105,$C$106,$C$108,$C$110,$G194,$C$111,$C$112,$I194,$C$78,$C194,$F194,$D194,$B194,$E194,$W$159,$H194,AH$129)</f>
        <v/>
      </c>
      <c r="AI194" s="35" t="str">
        <f t="array" aca="1" ref="AI194" ca="1">_xll.DBRW($G$102,$C$105,$C$106,$C$108,$C$110,$G194,$C$111,$C$112,$I194,$C$78,$C194,$F194,$D194,$B194,$E194,$W$159,$H194,AI$129)</f>
        <v/>
      </c>
      <c r="AJ194" s="35" t="str">
        <f t="array" aca="1" ref="AJ194" ca="1">_xll.DBRW($G$102,$C$105,$C$106,$C$108,$C$110,$G194,$C$111,$C$112,$I194,$C$78,$C194,$F194,$D194,$B194,$E194,$W$159,$H194,AJ$129)</f>
        <v/>
      </c>
      <c r="AK194" s="35" t="str">
        <f t="array" aca="1" ref="AK194" ca="1">_xll.DBRW($G$102,$C$105,$C$106,$C$108,$C$110,$G194,$C$111,$C$112,$I194,$C$78,$C194,$F194,$D194,$B194,$E194,$W$159,$H194,AK$129)</f>
        <v/>
      </c>
    </row>
    <row r="195" spans="1:37" ht="5.0999999999999996" customHeight="1" x14ac:dyDescent="0.3"/>
    <row r="196" spans="1:37" x14ac:dyDescent="0.3">
      <c r="B196" t="s">
        <v>137</v>
      </c>
      <c r="C196" t="s">
        <v>9</v>
      </c>
      <c r="D196" t="s">
        <v>10</v>
      </c>
      <c r="E196" s="34" t="str">
        <f ca="1">$G$103</f>
        <v>4000000</v>
      </c>
      <c r="F196" t="s">
        <v>11</v>
      </c>
      <c r="G196" t="s">
        <v>12</v>
      </c>
      <c r="H196" t="s">
        <v>13</v>
      </c>
      <c r="I196" t="s">
        <v>14</v>
      </c>
      <c r="W196" s="40" t="s">
        <v>160</v>
      </c>
      <c r="Y196" s="36" t="str">
        <f t="array" aca="1" ref="Y196" ca="1">_xll.DBRW($C$100,$C$105,$C$106,$C$108,$C$110,$G196,$C$111,$C$112,$I196,$C$78,$C196,$F196,$D196,$B196,$E196,$W$159,$H196,Y$129)</f>
        <v/>
      </c>
      <c r="Z196" s="36" t="str">
        <f t="array" aca="1" ref="Z196" ca="1">_xll.DBRW($C$100,$C$105,$C$106,$C$108,$C$110,$G196,$C$111,$C$112,$I196,$C$78,$C196,$F196,$D196,$B196,$E196,$W$159,$H196,Z$129)</f>
        <v/>
      </c>
      <c r="AA196" s="36" t="str">
        <f t="array" aca="1" ref="AA196" ca="1">_xll.DBRW($C$100,$C$105,$C$106,$C$108,$C$110,$G196,$C$111,$C$112,$I196,$C$78,$C196,$F196,$D196,$B196,$E196,$W$159,$H196,AA$129)</f>
        <v/>
      </c>
      <c r="AB196" s="36" t="str">
        <f t="array" aca="1" ref="AB196" ca="1">_xll.DBRW($C$100,$C$105,$C$106,$C$108,$C$110,$G196,$C$111,$C$112,$I196,$C$78,$C196,$F196,$D196,$B196,$E196,$W$159,$H196,AB$129)</f>
        <v/>
      </c>
      <c r="AC196" s="36" t="str">
        <f t="array" aca="1" ref="AC196" ca="1">_xll.DBRW($C$100,$C$105,$C$106,$C$108,$C$110,$G196,$C$111,$C$112,$I196,$C$78,$C196,$F196,$D196,$B196,$E196,$W$159,$H196,AC$129)</f>
        <v/>
      </c>
      <c r="AD196" s="36" t="str">
        <f t="array" aca="1" ref="AD196" ca="1">_xll.DBRW($C$100,$C$105,$C$106,$C$108,$C$110,$G196,$C$111,$C$112,$I196,$C$78,$C196,$F196,$D196,$B196,$E196,$W$159,$H196,AD$129)</f>
        <v/>
      </c>
      <c r="AE196" s="36" t="str">
        <f t="array" aca="1" ref="AE196" ca="1">_xll.DBRW($C$100,$C$105,$C$106,$C$108,$C$110,$G196,$C$111,$C$112,$I196,$C$78,$C196,$F196,$D196,$B196,$E196,$W$159,$H196,AE$129)</f>
        <v/>
      </c>
      <c r="AF196" s="36" t="str">
        <f t="array" aca="1" ref="AF196" ca="1">_xll.DBRW($C$100,$C$105,$C$106,$C$108,$C$110,$G196,$C$111,$C$112,$I196,$C$78,$C196,$F196,$D196,$B196,$E196,$W$159,$H196,AF$129)</f>
        <v/>
      </c>
      <c r="AG196" s="36" t="str">
        <f t="array" aca="1" ref="AG196" ca="1">_xll.DBRW($C$100,$C$105,$C$106,$C$108,$C$110,$G196,$C$111,$C$112,$I196,$C$78,$C196,$F196,$D196,$B196,$E196,$W$159,$H196,AG$129)</f>
        <v/>
      </c>
      <c r="AH196" s="36" t="str">
        <f t="array" aca="1" ref="AH196" ca="1">_xll.DBRW($C$100,$C$105,$C$106,$C$108,$C$110,$G196,$C$111,$C$112,$I196,$C$78,$C196,$F196,$D196,$B196,$E196,$W$159,$H196,AH$129)</f>
        <v/>
      </c>
      <c r="AI196" s="36" t="str">
        <f t="array" aca="1" ref="AI196" ca="1">_xll.DBRW($C$100,$C$105,$C$106,$C$108,$C$110,$G196,$C$111,$C$112,$I196,$C$78,$C196,$F196,$D196,$B196,$E196,$W$159,$H196,AI$129)</f>
        <v/>
      </c>
      <c r="AJ196" s="36" t="str">
        <f t="array" aca="1" ref="AJ196" ca="1">_xll.DBRW($C$100,$C$105,$C$106,$C$108,$C$110,$G196,$C$111,$C$112,$I196,$C$78,$C196,$F196,$D196,$B196,$E196,$W$159,$H196,AJ$129)</f>
        <v/>
      </c>
      <c r="AK196" s="36" t="str">
        <f t="array" aca="1" ref="AK196" ca="1">_xll.DBRW($C$100,$C$105,$C$106,$C$108,$C$110,$G196,$C$111,$C$112,$I196,$C$78,$C196,$F196,$D196,$B196,$E196,$W$159,$H196,AK$129)</f>
        <v/>
      </c>
    </row>
    <row r="197" spans="1:37" ht="5.0999999999999996" customHeight="1" x14ac:dyDescent="0.3"/>
    <row r="198" spans="1:37" x14ac:dyDescent="0.3">
      <c r="B198" t="s">
        <v>137</v>
      </c>
      <c r="C198" t="s">
        <v>9</v>
      </c>
      <c r="D198" t="s">
        <v>10</v>
      </c>
      <c r="E198" s="34" t="s">
        <v>109</v>
      </c>
      <c r="F198" t="s">
        <v>110</v>
      </c>
      <c r="G198" t="s">
        <v>12</v>
      </c>
      <c r="H198" t="s">
        <v>13</v>
      </c>
      <c r="I198" t="s">
        <v>14</v>
      </c>
      <c r="W198" s="33" t="s">
        <v>114</v>
      </c>
      <c r="Y198" s="36" t="e">
        <f ca="1">Y$147-Y$148</f>
        <v>#VALUE!</v>
      </c>
      <c r="Z198" s="36" t="e">
        <f t="shared" ref="Z198:AK198" ca="1" si="7">Z$147-Z$148</f>
        <v>#VALUE!</v>
      </c>
      <c r="AA198" s="36" t="e">
        <f t="shared" ca="1" si="7"/>
        <v>#VALUE!</v>
      </c>
      <c r="AB198" s="36" t="e">
        <f t="shared" ca="1" si="7"/>
        <v>#VALUE!</v>
      </c>
      <c r="AC198" s="36" t="e">
        <f t="shared" ca="1" si="7"/>
        <v>#VALUE!</v>
      </c>
      <c r="AD198" s="36" t="e">
        <f t="shared" ca="1" si="7"/>
        <v>#VALUE!</v>
      </c>
      <c r="AE198" s="36" t="e">
        <f t="shared" ca="1" si="7"/>
        <v>#VALUE!</v>
      </c>
      <c r="AF198" s="36" t="e">
        <f t="shared" ca="1" si="7"/>
        <v>#VALUE!</v>
      </c>
      <c r="AG198" s="36" t="e">
        <f t="shared" ca="1" si="7"/>
        <v>#VALUE!</v>
      </c>
      <c r="AH198" s="36" t="e">
        <f t="shared" ca="1" si="7"/>
        <v>#VALUE!</v>
      </c>
      <c r="AI198" s="36" t="e">
        <f t="shared" ca="1" si="7"/>
        <v>#VALUE!</v>
      </c>
      <c r="AJ198" s="36" t="e">
        <f t="shared" ca="1" si="7"/>
        <v>#VALUE!</v>
      </c>
      <c r="AK198" s="36" t="e">
        <f t="shared" ca="1" si="7"/>
        <v>#VALUE!</v>
      </c>
    </row>
    <row r="199" spans="1:37" x14ac:dyDescent="0.3">
      <c r="P199" s="38" t="s">
        <v>145</v>
      </c>
    </row>
    <row r="200" spans="1:37" x14ac:dyDescent="0.3">
      <c r="P200" s="14" t="s">
        <v>136</v>
      </c>
      <c r="Q200" s="14" t="s">
        <v>79</v>
      </c>
      <c r="R200" s="14" t="s">
        <v>80</v>
      </c>
      <c r="S200" s="14" t="s">
        <v>81</v>
      </c>
      <c r="T200" s="14" t="s">
        <v>82</v>
      </c>
      <c r="U200" s="14" t="s">
        <v>94</v>
      </c>
      <c r="V200" s="14" t="s">
        <v>83</v>
      </c>
      <c r="W200" s="14" t="s">
        <v>95</v>
      </c>
      <c r="Y200" s="14" t="str">
        <f ca="1">Y$129</f>
        <v/>
      </c>
      <c r="Z200" s="14" t="str">
        <f t="shared" ref="Z200:AK200" ca="1" si="8">Z$129</f>
        <v/>
      </c>
      <c r="AA200" s="14" t="str">
        <f t="shared" ca="1" si="8"/>
        <v/>
      </c>
      <c r="AB200" s="14" t="str">
        <f t="shared" ca="1" si="8"/>
        <v/>
      </c>
      <c r="AC200" s="14" t="str">
        <f t="shared" ca="1" si="8"/>
        <v/>
      </c>
      <c r="AD200" s="14" t="str">
        <f t="shared" ca="1" si="8"/>
        <v/>
      </c>
      <c r="AE200" s="14" t="str">
        <f t="shared" ca="1" si="8"/>
        <v/>
      </c>
      <c r="AF200" s="14" t="str">
        <f t="shared" ca="1" si="8"/>
        <v/>
      </c>
      <c r="AG200" s="14" t="str">
        <f t="shared" ca="1" si="8"/>
        <v/>
      </c>
      <c r="AH200" s="14" t="str">
        <f t="shared" ca="1" si="8"/>
        <v/>
      </c>
      <c r="AI200" s="14" t="str">
        <f t="shared" ca="1" si="8"/>
        <v/>
      </c>
      <c r="AJ200" s="14" t="str">
        <f t="shared" ca="1" si="8"/>
        <v/>
      </c>
      <c r="AK200" s="14" t="str">
        <f t="shared" ca="1" si="8"/>
        <v/>
      </c>
    </row>
    <row r="201" spans="1:37" x14ac:dyDescent="0.3">
      <c r="A201" s="3" t="str" cm="1">
        <f t="array" aca="1" ref="A201" ca="1">IF(_xll.TM1RPTELISCONSOLIDATED($I$201,$I201),IF(_xll.TM1RPTELLEV($I$201,$I201)&lt;=3,_xll.TM1RPTELLEV($I$201,$I201),"D"),"N")</f>
        <v>N</v>
      </c>
      <c r="B201" s="31" t="str">
        <f t="array" aca="1" ref="B201" ca="1">_xll.TM1RPTROW($H$102,db_name&amp;":programme","","","code and description",0,$C$122)</f>
        <v/>
      </c>
      <c r="C201" s="32" t="str">
        <f t="array" aca="1" ref="C201" ca="1">_xll.TM1RPTROW($H$102,db_name&amp;":appropriation type","","","code and description",0,$C$123)</f>
        <v/>
      </c>
      <c r="D201" s="32" t="str">
        <f t="array" aca="1" ref="D201" ca="1">_xll.TM1RPTROW($H$102,db_name&amp;":appropriation item","","","code and description",0,$C$124)</f>
        <v/>
      </c>
      <c r="E201" s="32" t="str">
        <f t="array" aca="1" ref="E201" ca="1">_xll.TM1RPTROW($H$102,db_name&amp;":account","","","code and description",0,$H$104)</f>
        <v/>
      </c>
      <c r="F201" s="32" t="str">
        <f t="array" aca="1" ref="F201" ca="1">_xll.TM1RPTROW($H$102,db_name&amp;":movement account","","","code and description",0,$C$125)</f>
        <v/>
      </c>
      <c r="G201" s="32" t="str">
        <f t="array" aca="1" ref="G201" ca="1">_xll.TM1RPTROW($H$102,db_name&amp;":related entity","","","code and description",0,$C$126)</f>
        <v/>
      </c>
      <c r="H201" s="32" t="str">
        <f t="array" aca="1" ref="H201" ca="1">_xll.TM1RPTROW($H$102,db_name&amp;":jurisdiction","","","description",0,$C$127)</f>
        <v/>
      </c>
      <c r="I201" s="32" t="str">
        <f t="array" aca="1" ref="I201" ca="1">_xll.TM1RPTROW($H$102,db_name&amp;":spp","","","code and description",0,$C$128)</f>
        <v/>
      </c>
      <c r="J201" s="22" t="str" cm="1">
        <f t="array" aca="1" ref="J201" ca="1">_xll.DBRW($H$102,$C$105,$C$106,$C$108,$C$110,$G201,$C$111,$C$112,$I201,$C$113,$C201,$F201,$D201,$B201,$E201,$W$159,$H201,J$173)</f>
        <v/>
      </c>
      <c r="K201" s="22" t="str" cm="1">
        <f t="array" aca="1" ref="K201" ca="1">IF($L201="",_xll.DBR($C$59,$E201,"DR/CR"),_xll.DBR($C$60,$F201,"DR/CR"))</f>
        <v>*KEY_ERR</v>
      </c>
      <c r="L201" s="22" t="str" cm="1">
        <f t="array" aca="1" ref="L201" ca="1">_xll.DBR($C$59,$E201,L$173)</f>
        <v>*KEY_ERR</v>
      </c>
      <c r="M201" s="22" t="str" cm="1">
        <f t="array" aca="1" ref="M201" ca="1">_xll.DBR($C$59,$E201,M$173)</f>
        <v>*KEY_ERR</v>
      </c>
      <c r="N201" s="3"/>
      <c r="O201" s="3"/>
      <c r="P201" s="23" t="str">
        <f ca="1">$B201</f>
        <v/>
      </c>
      <c r="Q201" s="50" t="str">
        <f ca="1">$E201</f>
        <v/>
      </c>
      <c r="R201" s="50" t="str">
        <f ca="1">$F201</f>
        <v/>
      </c>
      <c r="S201" s="51" t="str">
        <f ca="1">$G201</f>
        <v/>
      </c>
      <c r="T201" s="52" t="str">
        <f ca="1">$H201</f>
        <v/>
      </c>
      <c r="U201" s="50" t="str">
        <f ca="1">$D201</f>
        <v/>
      </c>
      <c r="V201" s="52" t="str">
        <f ca="1">$I201</f>
        <v/>
      </c>
      <c r="W201" s="52" t="str">
        <f ca="1">$K201</f>
        <v>*KEY_ERR</v>
      </c>
      <c r="X201" s="3"/>
      <c r="Y201" s="35" t="str">
        <f t="array" aca="1" ref="Y201" ca="1">_xll.DBRW($H$102,$C$105,$C$106,$C$108,$C$110,$G201,$C$111,$C$112,$I201,$C$78,$C201,$F201,$D201,$B201,$E201,$W$159,$H201,Y$129)</f>
        <v/>
      </c>
      <c r="Z201" s="35" t="str">
        <f t="array" aca="1" ref="Z201" ca="1">_xll.DBRW($H$102,$C$105,$C$106,$C$108,$C$110,$G201,$C$111,$C$112,$I201,$C$78,$C201,$F201,$D201,$B201,$E201,$W$159,$H201,Z$129)</f>
        <v/>
      </c>
      <c r="AA201" s="35" t="str">
        <f t="array" aca="1" ref="AA201" ca="1">_xll.DBRW($H$102,$C$105,$C$106,$C$108,$C$110,$G201,$C$111,$C$112,$I201,$C$78,$C201,$F201,$D201,$B201,$E201,$W$159,$H201,AA$129)</f>
        <v/>
      </c>
      <c r="AB201" s="35" t="str">
        <f t="array" aca="1" ref="AB201" ca="1">_xll.DBRW($H$102,$C$105,$C$106,$C$108,$C$110,$G201,$C$111,$C$112,$I201,$C$78,$C201,$F201,$D201,$B201,$E201,$W$159,$H201,AB$129)</f>
        <v/>
      </c>
      <c r="AC201" s="35" t="str">
        <f t="array" aca="1" ref="AC201" ca="1">_xll.DBRW($H$102,$C$105,$C$106,$C$108,$C$110,$G201,$C$111,$C$112,$I201,$C$78,$C201,$F201,$D201,$B201,$E201,$W$159,$H201,AC$129)</f>
        <v/>
      </c>
      <c r="AD201" s="35" t="str">
        <f t="array" aca="1" ref="AD201" ca="1">_xll.DBRW($H$102,$C$105,$C$106,$C$108,$C$110,$G201,$C$111,$C$112,$I201,$C$78,$C201,$F201,$D201,$B201,$E201,$W$159,$H201,AD$129)</f>
        <v/>
      </c>
      <c r="AE201" s="35" t="str">
        <f t="array" aca="1" ref="AE201" ca="1">_xll.DBRW($H$102,$C$105,$C$106,$C$108,$C$110,$G201,$C$111,$C$112,$I201,$C$78,$C201,$F201,$D201,$B201,$E201,$W$159,$H201,AE$129)</f>
        <v/>
      </c>
      <c r="AF201" s="35" t="str">
        <f t="array" aca="1" ref="AF201" ca="1">_xll.DBRW($H$102,$C$105,$C$106,$C$108,$C$110,$G201,$C$111,$C$112,$I201,$C$78,$C201,$F201,$D201,$B201,$E201,$W$159,$H201,AF$129)</f>
        <v/>
      </c>
      <c r="AG201" s="35" t="str">
        <f t="array" aca="1" ref="AG201" ca="1">_xll.DBRW($H$102,$C$105,$C$106,$C$108,$C$110,$G201,$C$111,$C$112,$I201,$C$78,$C201,$F201,$D201,$B201,$E201,$W$159,$H201,AG$129)</f>
        <v/>
      </c>
      <c r="AH201" s="35" t="str">
        <f t="array" aca="1" ref="AH201" ca="1">_xll.DBRW($H$102,$C$105,$C$106,$C$108,$C$110,$G201,$C$111,$C$112,$I201,$C$78,$C201,$F201,$D201,$B201,$E201,$W$159,$H201,AH$129)</f>
        <v/>
      </c>
      <c r="AI201" s="35" t="str">
        <f t="array" aca="1" ref="AI201" ca="1">_xll.DBRW($H$102,$C$105,$C$106,$C$108,$C$110,$G201,$C$111,$C$112,$I201,$C$78,$C201,$F201,$D201,$B201,$E201,$W$159,$H201,AI$129)</f>
        <v/>
      </c>
      <c r="AJ201" s="35" t="str">
        <f t="array" aca="1" ref="AJ201" ca="1">_xll.DBRW($H$102,$C$105,$C$106,$C$108,$C$110,$G201,$C$111,$C$112,$I201,$C$78,$C201,$F201,$D201,$B201,$E201,$W$159,$H201,AJ$129)</f>
        <v/>
      </c>
      <c r="AK201" s="35" t="str">
        <f t="array" aca="1" ref="AK201" ca="1">_xll.DBRW($H$102,$C$105,$C$106,$C$108,$C$110,$G201,$C$111,$C$112,$I201,$C$78,$C201,$F201,$D201,$B201,$E201,$W$159,$H201,AK$129)</f>
        <v/>
      </c>
    </row>
    <row r="202" spans="1:37" ht="5.0999999999999996" customHeight="1" x14ac:dyDescent="0.3">
      <c r="W202" s="37"/>
    </row>
    <row r="203" spans="1:37" x14ac:dyDescent="0.3">
      <c r="B203" t="s">
        <v>137</v>
      </c>
      <c r="C203" t="s">
        <v>9</v>
      </c>
      <c r="D203" t="s">
        <v>10</v>
      </c>
      <c r="E203" s="34" t="s">
        <v>113</v>
      </c>
      <c r="F203" t="s">
        <v>11</v>
      </c>
      <c r="G203" t="s">
        <v>12</v>
      </c>
      <c r="H203" t="s">
        <v>13</v>
      </c>
      <c r="I203" t="s">
        <v>14</v>
      </c>
      <c r="W203" s="40" t="s">
        <v>159</v>
      </c>
      <c r="Y203" s="36" t="str">
        <f t="array" aca="1" ref="Y203" ca="1">_xll.DBRW($C$100,$C$105,$C$106,$C$108,$C$110,$G203,$C$111,$C$112,$I203,$C$78,$C203,$F203,$D203,$B203,$E203,$W$159,$H203,Y$129)</f>
        <v/>
      </c>
      <c r="Z203" s="36" t="str">
        <f t="array" aca="1" ref="Z203" ca="1">_xll.DBRW($C$100,$C$105,$C$106,$C$108,$C$110,$G203,$C$111,$C$112,$I203,$C$78,$C203,$F203,$D203,$B203,$E203,$W$159,$H203,Z$129)</f>
        <v/>
      </c>
      <c r="AA203" s="36" t="str">
        <f t="array" aca="1" ref="AA203" ca="1">_xll.DBRW($C$100,$C$105,$C$106,$C$108,$C$110,$G203,$C$111,$C$112,$I203,$C$78,$C203,$F203,$D203,$B203,$E203,$W$159,$H203,AA$129)</f>
        <v/>
      </c>
      <c r="AB203" s="36" t="str">
        <f t="array" aca="1" ref="AB203" ca="1">_xll.DBRW($C$100,$C$105,$C$106,$C$108,$C$110,$G203,$C$111,$C$112,$I203,$C$78,$C203,$F203,$D203,$B203,$E203,$W$159,$H203,AB$129)</f>
        <v/>
      </c>
      <c r="AC203" s="36" t="str">
        <f t="array" aca="1" ref="AC203" ca="1">_xll.DBRW($C$100,$C$105,$C$106,$C$108,$C$110,$G203,$C$111,$C$112,$I203,$C$78,$C203,$F203,$D203,$B203,$E203,$W$159,$H203,AC$129)</f>
        <v/>
      </c>
      <c r="AD203" s="36" t="str">
        <f t="array" aca="1" ref="AD203" ca="1">_xll.DBRW($C$100,$C$105,$C$106,$C$108,$C$110,$G203,$C$111,$C$112,$I203,$C$78,$C203,$F203,$D203,$B203,$E203,$W$159,$H203,AD$129)</f>
        <v/>
      </c>
      <c r="AE203" s="36" t="str">
        <f t="array" aca="1" ref="AE203" ca="1">_xll.DBRW($C$100,$C$105,$C$106,$C$108,$C$110,$G203,$C$111,$C$112,$I203,$C$78,$C203,$F203,$D203,$B203,$E203,$W$159,$H203,AE$129)</f>
        <v/>
      </c>
      <c r="AF203" s="36" t="str">
        <f t="array" aca="1" ref="AF203" ca="1">_xll.DBRW($C$100,$C$105,$C$106,$C$108,$C$110,$G203,$C$111,$C$112,$I203,$C$78,$C203,$F203,$D203,$B203,$E203,$W$159,$H203,AF$129)</f>
        <v/>
      </c>
      <c r="AG203" s="36" t="str">
        <f t="array" aca="1" ref="AG203" ca="1">_xll.DBRW($C$100,$C$105,$C$106,$C$108,$C$110,$G203,$C$111,$C$112,$I203,$C$78,$C203,$F203,$D203,$B203,$E203,$W$159,$H203,AG$129)</f>
        <v/>
      </c>
      <c r="AH203" s="36" t="str">
        <f t="array" aca="1" ref="AH203" ca="1">_xll.DBRW($C$100,$C$105,$C$106,$C$108,$C$110,$G203,$C$111,$C$112,$I203,$C$78,$C203,$F203,$D203,$B203,$E203,$W$159,$H203,AH$129)</f>
        <v/>
      </c>
      <c r="AI203" s="36" t="str">
        <f t="array" aca="1" ref="AI203" ca="1">_xll.DBRW($C$100,$C$105,$C$106,$C$108,$C$110,$G203,$C$111,$C$112,$I203,$C$78,$C203,$F203,$D203,$B203,$E203,$W$159,$H203,AI$129)</f>
        <v/>
      </c>
      <c r="AJ203" s="36" t="str">
        <f t="array" aca="1" ref="AJ203" ca="1">_xll.DBRW($C$100,$C$105,$C$106,$C$108,$C$110,$G203,$C$111,$C$112,$I203,$C$78,$C203,$F203,$D203,$B203,$E203,$W$159,$H203,AJ$129)</f>
        <v/>
      </c>
      <c r="AK203" s="36" t="str">
        <f t="array" aca="1" ref="AK203" ca="1">_xll.DBRW($C$100,$C$105,$C$106,$C$108,$C$110,$G203,$C$111,$C$112,$I203,$C$78,$C203,$F203,$D203,$B203,$E203,$W$159,$H203,AK$129)</f>
        <v/>
      </c>
    </row>
    <row r="204" spans="1:37" x14ac:dyDescent="0.3">
      <c r="P204" s="38" t="s">
        <v>165</v>
      </c>
    </row>
    <row r="205" spans="1:37" x14ac:dyDescent="0.3">
      <c r="P205" s="14" t="s">
        <v>136</v>
      </c>
      <c r="Q205" s="14" t="s">
        <v>79</v>
      </c>
      <c r="R205" s="14" t="s">
        <v>80</v>
      </c>
      <c r="S205" s="14" t="s">
        <v>81</v>
      </c>
      <c r="T205" s="14" t="s">
        <v>82</v>
      </c>
      <c r="U205" s="14" t="s">
        <v>94</v>
      </c>
      <c r="V205" s="14" t="s">
        <v>83</v>
      </c>
      <c r="W205" s="14" t="s">
        <v>95</v>
      </c>
      <c r="Y205" s="14" t="str">
        <f ca="1">Y$129</f>
        <v/>
      </c>
      <c r="Z205" s="14" t="str">
        <f t="shared" ref="Z205:AK205" ca="1" si="9">Z$129</f>
        <v/>
      </c>
      <c r="AA205" s="14" t="str">
        <f t="shared" ca="1" si="9"/>
        <v/>
      </c>
      <c r="AB205" s="14" t="str">
        <f t="shared" ca="1" si="9"/>
        <v/>
      </c>
      <c r="AC205" s="14" t="str">
        <f t="shared" ca="1" si="9"/>
        <v/>
      </c>
      <c r="AD205" s="14" t="str">
        <f t="shared" ca="1" si="9"/>
        <v/>
      </c>
      <c r="AE205" s="14" t="str">
        <f t="shared" ca="1" si="9"/>
        <v/>
      </c>
      <c r="AF205" s="14" t="str">
        <f t="shared" ca="1" si="9"/>
        <v/>
      </c>
      <c r="AG205" s="14" t="str">
        <f t="shared" ca="1" si="9"/>
        <v/>
      </c>
      <c r="AH205" s="14" t="str">
        <f t="shared" ca="1" si="9"/>
        <v/>
      </c>
      <c r="AI205" s="14" t="str">
        <f t="shared" ca="1" si="9"/>
        <v/>
      </c>
      <c r="AJ205" s="14" t="str">
        <f t="shared" ca="1" si="9"/>
        <v/>
      </c>
      <c r="AK205" s="14" t="str">
        <f t="shared" ca="1" si="9"/>
        <v/>
      </c>
    </row>
    <row r="206" spans="1:37" x14ac:dyDescent="0.3">
      <c r="A206" s="3" t="str" cm="1">
        <f t="array" aca="1" ref="A206" ca="1">IF(_xll.TM1RPTELISCONSOLIDATED($I$206,$I206),IF(_xll.TM1RPTELLEV($I$206,$I206)&lt;=3,_xll.TM1RPTELLEV($I$206,$I206),"D"),"N")</f>
        <v>N</v>
      </c>
      <c r="B206" s="31" t="str">
        <f t="array" aca="1" ref="B206" ca="1">_xll.TM1RPTROW($I$102,db_name&amp;":programme","","","code and description",0,$C$122)</f>
        <v/>
      </c>
      <c r="C206" s="32" t="str">
        <f t="array" aca="1" ref="C206" ca="1">_xll.TM1RPTROW($I$102,db_name&amp;":appropriation type","","","code and description",0,$C$123)</f>
        <v/>
      </c>
      <c r="D206" s="32" t="str">
        <f t="array" aca="1" ref="D206" ca="1">_xll.TM1RPTROW($I$102,db_name&amp;":appropriation item","","","code and description",0,$C$124)</f>
        <v/>
      </c>
      <c r="E206" s="22" t="str">
        <f t="array" aca="1" ref="E206" ca="1">_xll.TM1RPTROW($I$102,db_name&amp;":account","","","code and description",0,$I$104)</f>
        <v/>
      </c>
      <c r="F206" s="32" t="str">
        <f t="array" aca="1" ref="F206" ca="1">_xll.TM1RPTROW($I$102,db_name&amp;":movement account","","","code and description",0,$C$125)</f>
        <v/>
      </c>
      <c r="G206" s="32" t="str">
        <f t="array" aca="1" ref="G206" ca="1">_xll.TM1RPTROW($I$102,db_name&amp;":related entity","","","code and description",0,$C$126)</f>
        <v/>
      </c>
      <c r="H206" s="32" t="str">
        <f t="array" aca="1" ref="H206" ca="1">_xll.TM1RPTROW($I$102,db_name&amp;":jurisdiction","","","description",0,$C$127)</f>
        <v/>
      </c>
      <c r="I206" s="32" t="str">
        <f t="array" aca="1" ref="I206" ca="1">_xll.TM1RPTROW($I$102,db_name&amp;":spp","","","code and description",0,$C$128)</f>
        <v/>
      </c>
      <c r="J206" s="22" t="str" cm="1">
        <f t="array" aca="1" ref="J206" ca="1">_xll.DBRW($I$102,$C$105,$C$106,$C$108,$C$110,$G206,$C$111,$C$112,$I206,$C$113,$C206,$F206,$D206,$B206,$E206,$W$159,$H206,J$173)</f>
        <v/>
      </c>
      <c r="K206" s="22" t="str" cm="1">
        <f t="array" aca="1" ref="K206" ca="1">IF($L206="",_xll.DBR($C$59,$E206,"DR/CR"),_xll.DBR($C$60,$F206,"DR/CR"))</f>
        <v>*KEY_ERR</v>
      </c>
      <c r="L206" s="22" t="str" cm="1">
        <f t="array" aca="1" ref="L206" ca="1">_xll.DBR($C$59,$E206,L$173)</f>
        <v>*KEY_ERR</v>
      </c>
      <c r="M206" s="22" t="str" cm="1">
        <f t="array" aca="1" ref="M206" ca="1">_xll.DBR($C$59,$E206,M$173)</f>
        <v>*KEY_ERR</v>
      </c>
      <c r="N206" s="3"/>
      <c r="O206" s="3"/>
      <c r="P206" s="50" t="str">
        <f ca="1">$B206</f>
        <v/>
      </c>
      <c r="Q206" s="23" t="str">
        <f t="shared" ref="Q206" ca="1" si="10">$E206</f>
        <v/>
      </c>
      <c r="R206" s="23" t="str">
        <f t="shared" ref="R206" ca="1" si="11">$F206</f>
        <v/>
      </c>
      <c r="S206" s="24" t="str">
        <f t="shared" ref="S206" ca="1" si="12">$G206</f>
        <v/>
      </c>
      <c r="T206" s="25" t="str">
        <f t="shared" ref="T206" ca="1" si="13">$H206</f>
        <v/>
      </c>
      <c r="U206" s="23" t="str">
        <f t="shared" ref="U206" ca="1" si="14">$D206</f>
        <v/>
      </c>
      <c r="V206" s="25" t="str">
        <f t="shared" ref="V206" ca="1" si="15">$I206</f>
        <v/>
      </c>
      <c r="W206" s="25" t="str">
        <f t="shared" ref="W206" ca="1" si="16">$K206</f>
        <v>*KEY_ERR</v>
      </c>
      <c r="X206" s="3"/>
      <c r="Y206" s="35" t="str">
        <f t="array" aca="1" ref="Y206" ca="1">_xll.DBRW($I$102,$C$105,$C$106,$C$108,$C$110,$G206,$C$111,$C$112,$I206,$C$78,$C206,$F206,$D206,$B206,$E206,$W$159,$H206,Y$129)</f>
        <v/>
      </c>
      <c r="Z206" s="35" t="str">
        <f t="array" aca="1" ref="Z206" ca="1">_xll.DBRW($I$102,$C$105,$C$106,$C$108,$C$110,$G206,$C$111,$C$112,$I206,$C$78,$C206,$F206,$D206,$B206,$E206,$W$159,$H206,Z$129)</f>
        <v/>
      </c>
      <c r="AA206" s="35" t="str">
        <f t="array" aca="1" ref="AA206" ca="1">_xll.DBRW($I$102,$C$105,$C$106,$C$108,$C$110,$G206,$C$111,$C$112,$I206,$C$78,$C206,$F206,$D206,$B206,$E206,$W$159,$H206,AA$129)</f>
        <v/>
      </c>
      <c r="AB206" s="35" t="str">
        <f t="array" aca="1" ref="AB206" ca="1">_xll.DBRW($I$102,$C$105,$C$106,$C$108,$C$110,$G206,$C$111,$C$112,$I206,$C$78,$C206,$F206,$D206,$B206,$E206,$W$159,$H206,AB$129)</f>
        <v/>
      </c>
      <c r="AC206" s="35" t="str">
        <f t="array" aca="1" ref="AC206" ca="1">_xll.DBRW($I$102,$C$105,$C$106,$C$108,$C$110,$G206,$C$111,$C$112,$I206,$C$78,$C206,$F206,$D206,$B206,$E206,$W$159,$H206,AC$129)</f>
        <v/>
      </c>
      <c r="AD206" s="35" t="str">
        <f t="array" aca="1" ref="AD206" ca="1">_xll.DBRW($I$102,$C$105,$C$106,$C$108,$C$110,$G206,$C$111,$C$112,$I206,$C$78,$C206,$F206,$D206,$B206,$E206,$W$159,$H206,AD$129)</f>
        <v/>
      </c>
      <c r="AE206" s="35" t="str">
        <f t="array" aca="1" ref="AE206" ca="1">_xll.DBRW($I$102,$C$105,$C$106,$C$108,$C$110,$G206,$C$111,$C$112,$I206,$C$78,$C206,$F206,$D206,$B206,$E206,$W$159,$H206,AE$129)</f>
        <v/>
      </c>
      <c r="AF206" s="35" t="str">
        <f t="array" aca="1" ref="AF206" ca="1">_xll.DBRW($I$102,$C$105,$C$106,$C$108,$C$110,$G206,$C$111,$C$112,$I206,$C$78,$C206,$F206,$D206,$B206,$E206,$W$159,$H206,AF$129)</f>
        <v/>
      </c>
      <c r="AG206" s="35" t="str">
        <f t="array" aca="1" ref="AG206" ca="1">_xll.DBRW($I$102,$C$105,$C$106,$C$108,$C$110,$G206,$C$111,$C$112,$I206,$C$78,$C206,$F206,$D206,$B206,$E206,$W$159,$H206,AG$129)</f>
        <v/>
      </c>
      <c r="AH206" s="35" t="str">
        <f t="array" aca="1" ref="AH206" ca="1">_xll.DBRW($I$102,$C$105,$C$106,$C$108,$C$110,$G206,$C$111,$C$112,$I206,$C$78,$C206,$F206,$D206,$B206,$E206,$W$159,$H206,AH$129)</f>
        <v/>
      </c>
      <c r="AI206" s="35" t="str">
        <f t="array" aca="1" ref="AI206" ca="1">_xll.DBRW($I$102,$C$105,$C$106,$C$108,$C$110,$G206,$C$111,$C$112,$I206,$C$78,$C206,$F206,$D206,$B206,$E206,$W$159,$H206,AI$129)</f>
        <v/>
      </c>
      <c r="AJ206" s="35" t="str">
        <f t="array" aca="1" ref="AJ206" ca="1">_xll.DBRW($I$102,$C$105,$C$106,$C$108,$C$110,$G206,$C$111,$C$112,$I206,$C$78,$C206,$F206,$D206,$B206,$E206,$W$159,$H206,AJ$129)</f>
        <v/>
      </c>
      <c r="AK206" s="35" t="str">
        <f t="array" aca="1" ref="AK206" ca="1">_xll.DBRW($I$102,$C$105,$C$106,$C$108,$C$110,$G206,$C$111,$C$112,$I206,$C$78,$C206,$F206,$D206,$B206,$E206,$W$159,$H206,AK$129)</f>
        <v/>
      </c>
    </row>
    <row r="207" spans="1:37" ht="5.0999999999999996" customHeight="1" x14ac:dyDescent="0.3"/>
    <row r="208" spans="1:37" x14ac:dyDescent="0.3">
      <c r="B208" t="s">
        <v>137</v>
      </c>
      <c r="C208" t="s">
        <v>9</v>
      </c>
      <c r="D208" t="s">
        <v>10</v>
      </c>
      <c r="E208" s="34" t="str">
        <f ca="1">$I$103</f>
        <v>9000020</v>
      </c>
      <c r="F208" t="s">
        <v>11</v>
      </c>
      <c r="G208" t="s">
        <v>12</v>
      </c>
      <c r="H208" t="s">
        <v>13</v>
      </c>
      <c r="I208" t="s">
        <v>14</v>
      </c>
      <c r="W208" s="40" t="s">
        <v>167</v>
      </c>
      <c r="Y208" s="36" t="str">
        <f t="array" aca="1" ref="Y208" ca="1">_xll.DBRW($C$100,$C$105,$C$106,$C$108,$C$110,$G208,$C$111,$C$112,$I208,$C$78,$C208,$F208,$D208,$B208,$E208,$W$159,$H208,Y$129)</f>
        <v/>
      </c>
      <c r="Z208" s="36" t="str">
        <f t="array" aca="1" ref="Z208" ca="1">_xll.DBRW($C$100,$C$105,$C$106,$C$108,$C$110,$G208,$C$111,$C$112,$I208,$C$78,$C208,$F208,$D208,$B208,$E208,$W$159,$H208,Z$129)</f>
        <v/>
      </c>
      <c r="AA208" s="36" t="str">
        <f t="array" aca="1" ref="AA208" ca="1">_xll.DBRW($C$100,$C$105,$C$106,$C$108,$C$110,$G208,$C$111,$C$112,$I208,$C$78,$C208,$F208,$D208,$B208,$E208,$W$159,$H208,AA$129)</f>
        <v/>
      </c>
      <c r="AB208" s="36" t="str">
        <f t="array" aca="1" ref="AB208" ca="1">_xll.DBRW($C$100,$C$105,$C$106,$C$108,$C$110,$G208,$C$111,$C$112,$I208,$C$78,$C208,$F208,$D208,$B208,$E208,$W$159,$H208,AB$129)</f>
        <v/>
      </c>
      <c r="AC208" s="36" t="str">
        <f t="array" aca="1" ref="AC208" ca="1">_xll.DBRW($C$100,$C$105,$C$106,$C$108,$C$110,$G208,$C$111,$C$112,$I208,$C$78,$C208,$F208,$D208,$B208,$E208,$W$159,$H208,AC$129)</f>
        <v/>
      </c>
      <c r="AD208" s="36" t="str">
        <f t="array" aca="1" ref="AD208" ca="1">_xll.DBRW($C$100,$C$105,$C$106,$C$108,$C$110,$G208,$C$111,$C$112,$I208,$C$78,$C208,$F208,$D208,$B208,$E208,$W$159,$H208,AD$129)</f>
        <v/>
      </c>
      <c r="AE208" s="36" t="str">
        <f t="array" aca="1" ref="AE208" ca="1">_xll.DBRW($C$100,$C$105,$C$106,$C$108,$C$110,$G208,$C$111,$C$112,$I208,$C$78,$C208,$F208,$D208,$B208,$E208,$W$159,$H208,AE$129)</f>
        <v/>
      </c>
      <c r="AF208" s="36" t="str">
        <f t="array" aca="1" ref="AF208" ca="1">_xll.DBRW($C$100,$C$105,$C$106,$C$108,$C$110,$G208,$C$111,$C$112,$I208,$C$78,$C208,$F208,$D208,$B208,$E208,$W$159,$H208,AF$129)</f>
        <v/>
      </c>
      <c r="AG208" s="36" t="str">
        <f t="array" aca="1" ref="AG208" ca="1">_xll.DBRW($C$100,$C$105,$C$106,$C$108,$C$110,$G208,$C$111,$C$112,$I208,$C$78,$C208,$F208,$D208,$B208,$E208,$W$159,$H208,AG$129)</f>
        <v/>
      </c>
      <c r="AH208" s="36" t="str">
        <f t="array" aca="1" ref="AH208" ca="1">_xll.DBRW($C$100,$C$105,$C$106,$C$108,$C$110,$G208,$C$111,$C$112,$I208,$C$78,$C208,$F208,$D208,$B208,$E208,$W$159,$H208,AH$129)</f>
        <v/>
      </c>
      <c r="AI208" s="36" t="str">
        <f t="array" aca="1" ref="AI208" ca="1">_xll.DBRW($C$100,$C$105,$C$106,$C$108,$C$110,$G208,$C$111,$C$112,$I208,$C$78,$C208,$F208,$D208,$B208,$E208,$W$159,$H208,AI$129)</f>
        <v/>
      </c>
      <c r="AJ208" s="36" t="str">
        <f t="array" aca="1" ref="AJ208" ca="1">_xll.DBRW($C$100,$C$105,$C$106,$C$108,$C$110,$G208,$C$111,$C$112,$I208,$C$78,$C208,$F208,$D208,$B208,$E208,$W$159,$H208,AJ$129)</f>
        <v/>
      </c>
      <c r="AK208" s="36" t="str">
        <f t="array" aca="1" ref="AK208" ca="1">_xll.DBRW($C$100,$C$105,$C$106,$C$108,$C$110,$G208,$C$111,$C$112,$I208,$C$78,$C208,$F208,$D208,$B208,$E208,$W$159,$H208,AK$129)</f>
        <v/>
      </c>
    </row>
    <row r="209" spans="1:37" x14ac:dyDescent="0.3">
      <c r="P209" s="38" t="s">
        <v>166</v>
      </c>
    </row>
    <row r="210" spans="1:37" x14ac:dyDescent="0.3">
      <c r="P210" s="14" t="s">
        <v>136</v>
      </c>
      <c r="Q210" s="14" t="s">
        <v>79</v>
      </c>
      <c r="R210" s="14" t="s">
        <v>80</v>
      </c>
      <c r="S210" s="14" t="s">
        <v>81</v>
      </c>
      <c r="T210" s="14" t="s">
        <v>82</v>
      </c>
      <c r="U210" s="14" t="s">
        <v>94</v>
      </c>
      <c r="V210" s="14" t="s">
        <v>83</v>
      </c>
      <c r="W210" s="14" t="s">
        <v>95</v>
      </c>
      <c r="Y210" s="14" t="str">
        <f ca="1">Y$129</f>
        <v/>
      </c>
      <c r="Z210" s="14" t="str">
        <f t="shared" ref="Z210:AK210" ca="1" si="17">Z$129</f>
        <v/>
      </c>
      <c r="AA210" s="14" t="str">
        <f t="shared" ca="1" si="17"/>
        <v/>
      </c>
      <c r="AB210" s="14" t="str">
        <f t="shared" ca="1" si="17"/>
        <v/>
      </c>
      <c r="AC210" s="14" t="str">
        <f t="shared" ca="1" si="17"/>
        <v/>
      </c>
      <c r="AD210" s="14" t="str">
        <f t="shared" ca="1" si="17"/>
        <v/>
      </c>
      <c r="AE210" s="14" t="str">
        <f t="shared" ca="1" si="17"/>
        <v/>
      </c>
      <c r="AF210" s="14" t="str">
        <f t="shared" ca="1" si="17"/>
        <v/>
      </c>
      <c r="AG210" s="14" t="str">
        <f t="shared" ca="1" si="17"/>
        <v/>
      </c>
      <c r="AH210" s="14" t="str">
        <f t="shared" ca="1" si="17"/>
        <v/>
      </c>
      <c r="AI210" s="14" t="str">
        <f t="shared" ca="1" si="17"/>
        <v/>
      </c>
      <c r="AJ210" s="14" t="str">
        <f t="shared" ca="1" si="17"/>
        <v/>
      </c>
      <c r="AK210" s="14" t="str">
        <f t="shared" ca="1" si="17"/>
        <v/>
      </c>
    </row>
    <row r="211" spans="1:37" x14ac:dyDescent="0.3">
      <c r="A211" s="3" t="str" cm="1">
        <f t="array" aca="1" ref="A211" ca="1">IF(_xll.TM1RPTELISCONSOLIDATED($I$211,$I211),IF(_xll.TM1RPTELLEV($I$211,$I211)&lt;=3,_xll.TM1RPTELLEV($I$211,$I211),"D"),"N")</f>
        <v>N</v>
      </c>
      <c r="B211" s="31" t="str">
        <f t="array" aca="1" ref="B211" ca="1">_xll.TM1RPTROW($J$102,db_name&amp;":programme","","","code and description",0,$C$122)</f>
        <v/>
      </c>
      <c r="C211" s="32" t="str">
        <f t="array" aca="1" ref="C211" ca="1">_xll.TM1RPTROW($J$102,db_name&amp;":appropriation type","","","code and description",0,$C$123)</f>
        <v/>
      </c>
      <c r="D211" s="32" t="str">
        <f t="array" aca="1" ref="D211" ca="1">_xll.TM1RPTROW($J$102,db_name&amp;":appropriation item","","","code and description",0,$C$124)</f>
        <v/>
      </c>
      <c r="E211" s="22" t="str">
        <f t="array" aca="1" ref="E211" ca="1">_xll.TM1RPTROW($J$102,db_name&amp;":account","","","code and description",0,$J$104)</f>
        <v/>
      </c>
      <c r="F211" s="32" t="str">
        <f t="array" aca="1" ref="F211" ca="1">_xll.TM1RPTROW($J$102,db_name&amp;":movement account","","","code and description",0,$C$125)</f>
        <v/>
      </c>
      <c r="G211" s="32" t="str">
        <f t="array" aca="1" ref="G211" ca="1">_xll.TM1RPTROW($J$102,db_name&amp;":related entity","","","code and description",0,$C$126)</f>
        <v/>
      </c>
      <c r="H211" s="32" t="str">
        <f t="array" aca="1" ref="H211" ca="1">_xll.TM1RPTROW($J$102,db_name&amp;":jurisdiction","","","description",0,$C$127)</f>
        <v/>
      </c>
      <c r="I211" s="32" t="str">
        <f t="array" aca="1" ref="I211" ca="1">_xll.TM1RPTROW($J$102,db_name&amp;":spp","","","code and description",0,$C$128)</f>
        <v/>
      </c>
      <c r="J211" s="22" t="str" cm="1">
        <f t="array" aca="1" ref="J211" ca="1">_xll.DBRW($J$102,$C$105,$C$106,$C$108,$C$110,$G211,$C$111,$C$112,$I211,$C$113,$C211,$F211,$D211,$B211,$E211,$W$159,$H211,J$173)</f>
        <v/>
      </c>
      <c r="K211" s="22" t="str" cm="1">
        <f t="array" aca="1" ref="K211" ca="1">IF($L211="",_xll.DBR($C$59,$E211,"DR/CR"),_xll.DBR($C$60,$F211,"DR/CR"))</f>
        <v>*KEY_ERR</v>
      </c>
      <c r="L211" s="22" t="str" cm="1">
        <f t="array" aca="1" ref="L211" ca="1">_xll.DBR($C$59,$E211,L$173)</f>
        <v>*KEY_ERR</v>
      </c>
      <c r="M211" s="22" t="str" cm="1">
        <f t="array" aca="1" ref="M211" ca="1">_xll.DBR($C$59,$E211,M$173)</f>
        <v>*KEY_ERR</v>
      </c>
      <c r="N211" s="3"/>
      <c r="O211" s="3"/>
      <c r="P211" s="50" t="str">
        <f ca="1">$B211</f>
        <v/>
      </c>
      <c r="Q211" s="23" t="str">
        <f t="shared" ref="Q211" ca="1" si="18">$E211</f>
        <v/>
      </c>
      <c r="R211" s="23" t="str">
        <f t="shared" ref="R211" ca="1" si="19">$F211</f>
        <v/>
      </c>
      <c r="S211" s="24" t="str">
        <f t="shared" ref="S211" ca="1" si="20">$G211</f>
        <v/>
      </c>
      <c r="T211" s="25" t="str">
        <f t="shared" ref="T211" ca="1" si="21">$H211</f>
        <v/>
      </c>
      <c r="U211" s="23" t="str">
        <f t="shared" ref="U211" ca="1" si="22">$D211</f>
        <v/>
      </c>
      <c r="V211" s="25" t="str">
        <f t="shared" ref="V211" ca="1" si="23">$I211</f>
        <v/>
      </c>
      <c r="W211" s="25" t="str">
        <f t="shared" ref="W211" ca="1" si="24">$K211</f>
        <v>*KEY_ERR</v>
      </c>
      <c r="X211" s="3"/>
      <c r="Y211" s="35" t="str">
        <f t="array" aca="1" ref="Y211" ca="1">_xll.DBRW($J$102,$C$105,$C$106,$C$108,$C$110,$G211,$C$111,$C$112,$I211,$C$78,$C211,$F211,$D211,$B211,$E211,$W$159,$H211,Y$129)</f>
        <v/>
      </c>
      <c r="Z211" s="35" t="str">
        <f t="array" aca="1" ref="Z211" ca="1">_xll.DBRW($J$102,$C$105,$C$106,$C$108,$C$110,$G211,$C$111,$C$112,$I211,$C$78,$C211,$F211,$D211,$B211,$E211,$W$159,$H211,Z$129)</f>
        <v/>
      </c>
      <c r="AA211" s="35" t="str">
        <f t="array" aca="1" ref="AA211" ca="1">_xll.DBRW($J$102,$C$105,$C$106,$C$108,$C$110,$G211,$C$111,$C$112,$I211,$C$78,$C211,$F211,$D211,$B211,$E211,$W$159,$H211,AA$129)</f>
        <v/>
      </c>
      <c r="AB211" s="35" t="str">
        <f t="array" aca="1" ref="AB211" ca="1">_xll.DBRW($J$102,$C$105,$C$106,$C$108,$C$110,$G211,$C$111,$C$112,$I211,$C$78,$C211,$F211,$D211,$B211,$E211,$W$159,$H211,AB$129)</f>
        <v/>
      </c>
      <c r="AC211" s="35" t="str">
        <f t="array" aca="1" ref="AC211" ca="1">_xll.DBRW($J$102,$C$105,$C$106,$C$108,$C$110,$G211,$C$111,$C$112,$I211,$C$78,$C211,$F211,$D211,$B211,$E211,$W$159,$H211,AC$129)</f>
        <v/>
      </c>
      <c r="AD211" s="35" t="str">
        <f t="array" aca="1" ref="AD211" ca="1">_xll.DBRW($J$102,$C$105,$C$106,$C$108,$C$110,$G211,$C$111,$C$112,$I211,$C$78,$C211,$F211,$D211,$B211,$E211,$W$159,$H211,AD$129)</f>
        <v/>
      </c>
      <c r="AE211" s="35" t="str">
        <f t="array" aca="1" ref="AE211" ca="1">_xll.DBRW($J$102,$C$105,$C$106,$C$108,$C$110,$G211,$C$111,$C$112,$I211,$C$78,$C211,$F211,$D211,$B211,$E211,$W$159,$H211,AE$129)</f>
        <v/>
      </c>
      <c r="AF211" s="35" t="str">
        <f t="array" aca="1" ref="AF211" ca="1">_xll.DBRW($J$102,$C$105,$C$106,$C$108,$C$110,$G211,$C$111,$C$112,$I211,$C$78,$C211,$F211,$D211,$B211,$E211,$W$159,$H211,AF$129)</f>
        <v/>
      </c>
      <c r="AG211" s="35" t="str">
        <f t="array" aca="1" ref="AG211" ca="1">_xll.DBRW($J$102,$C$105,$C$106,$C$108,$C$110,$G211,$C$111,$C$112,$I211,$C$78,$C211,$F211,$D211,$B211,$E211,$W$159,$H211,AG$129)</f>
        <v/>
      </c>
      <c r="AH211" s="35" t="str">
        <f t="array" aca="1" ref="AH211" ca="1">_xll.DBRW($J$102,$C$105,$C$106,$C$108,$C$110,$G211,$C$111,$C$112,$I211,$C$78,$C211,$F211,$D211,$B211,$E211,$W$159,$H211,AH$129)</f>
        <v/>
      </c>
      <c r="AI211" s="35" t="str">
        <f t="array" aca="1" ref="AI211" ca="1">_xll.DBRW($J$102,$C$105,$C$106,$C$108,$C$110,$G211,$C$111,$C$112,$I211,$C$78,$C211,$F211,$D211,$B211,$E211,$W$159,$H211,AI$129)</f>
        <v/>
      </c>
      <c r="AJ211" s="35" t="str">
        <f t="array" aca="1" ref="AJ211" ca="1">_xll.DBRW($J$102,$C$105,$C$106,$C$108,$C$110,$G211,$C$111,$C$112,$I211,$C$78,$C211,$F211,$D211,$B211,$E211,$W$159,$H211,AJ$129)</f>
        <v/>
      </c>
      <c r="AK211" s="35" t="str">
        <f t="array" aca="1" ref="AK211" ca="1">_xll.DBRW($J$102,$C$105,$C$106,$C$108,$C$110,$G211,$C$111,$C$112,$I211,$C$78,$C211,$F211,$D211,$B211,$E211,$W$159,$H211,AK$129)</f>
        <v/>
      </c>
    </row>
    <row r="212" spans="1:37" ht="5.0999999999999996" customHeight="1" x14ac:dyDescent="0.3"/>
    <row r="213" spans="1:37" x14ac:dyDescent="0.3">
      <c r="B213" t="s">
        <v>137</v>
      </c>
      <c r="C213" t="s">
        <v>9</v>
      </c>
      <c r="D213" t="s">
        <v>10</v>
      </c>
      <c r="E213" s="34" t="str">
        <f ca="1">$J$103</f>
        <v>9000850</v>
      </c>
      <c r="F213" t="s">
        <v>11</v>
      </c>
      <c r="G213" t="s">
        <v>12</v>
      </c>
      <c r="H213" t="s">
        <v>13</v>
      </c>
      <c r="I213" t="s">
        <v>14</v>
      </c>
      <c r="W213" s="40" t="s">
        <v>168</v>
      </c>
      <c r="Y213" s="36" t="str">
        <f t="array" aca="1" ref="Y213" ca="1">_xll.DBRW($C$100,$C$105,$C$106,$C$108,$C$110,$G213,$C$111,$C$112,$I213,$C$78,$C213,$F213,$D213,$B213,$E213,$W$159,$H213,Y$129)</f>
        <v/>
      </c>
      <c r="Z213" s="36" t="str">
        <f t="array" aca="1" ref="Z213" ca="1">_xll.DBRW($C$100,$C$105,$C$106,$C$108,$C$110,$G213,$C$111,$C$112,$I213,$C$78,$C213,$F213,$D213,$B213,$E213,$W$159,$H213,Z$129)</f>
        <v/>
      </c>
      <c r="AA213" s="36" t="str">
        <f t="array" aca="1" ref="AA213" ca="1">_xll.DBRW($C$100,$C$105,$C$106,$C$108,$C$110,$G213,$C$111,$C$112,$I213,$C$78,$C213,$F213,$D213,$B213,$E213,$W$159,$H213,AA$129)</f>
        <v/>
      </c>
      <c r="AB213" s="36" t="str">
        <f t="array" aca="1" ref="AB213" ca="1">_xll.DBRW($C$100,$C$105,$C$106,$C$108,$C$110,$G213,$C$111,$C$112,$I213,$C$78,$C213,$F213,$D213,$B213,$E213,$W$159,$H213,AB$129)</f>
        <v/>
      </c>
      <c r="AC213" s="36" t="str">
        <f t="array" aca="1" ref="AC213" ca="1">_xll.DBRW($C$100,$C$105,$C$106,$C$108,$C$110,$G213,$C$111,$C$112,$I213,$C$78,$C213,$F213,$D213,$B213,$E213,$W$159,$H213,AC$129)</f>
        <v/>
      </c>
      <c r="AD213" s="36" t="str">
        <f t="array" aca="1" ref="AD213" ca="1">_xll.DBRW($C$100,$C$105,$C$106,$C$108,$C$110,$G213,$C$111,$C$112,$I213,$C$78,$C213,$F213,$D213,$B213,$E213,$W$159,$H213,AD$129)</f>
        <v/>
      </c>
      <c r="AE213" s="36" t="str">
        <f t="array" aca="1" ref="AE213" ca="1">_xll.DBRW($C$100,$C$105,$C$106,$C$108,$C$110,$G213,$C$111,$C$112,$I213,$C$78,$C213,$F213,$D213,$B213,$E213,$W$159,$H213,AE$129)</f>
        <v/>
      </c>
      <c r="AF213" s="36" t="str">
        <f t="array" aca="1" ref="AF213" ca="1">_xll.DBRW($C$100,$C$105,$C$106,$C$108,$C$110,$G213,$C$111,$C$112,$I213,$C$78,$C213,$F213,$D213,$B213,$E213,$W$159,$H213,AF$129)</f>
        <v/>
      </c>
      <c r="AG213" s="36" t="str">
        <f t="array" aca="1" ref="AG213" ca="1">_xll.DBRW($C$100,$C$105,$C$106,$C$108,$C$110,$G213,$C$111,$C$112,$I213,$C$78,$C213,$F213,$D213,$B213,$E213,$W$159,$H213,AG$129)</f>
        <v/>
      </c>
      <c r="AH213" s="36" t="str">
        <f t="array" aca="1" ref="AH213" ca="1">_xll.DBRW($C$100,$C$105,$C$106,$C$108,$C$110,$G213,$C$111,$C$112,$I213,$C$78,$C213,$F213,$D213,$B213,$E213,$W$159,$H213,AH$129)</f>
        <v/>
      </c>
      <c r="AI213" s="36" t="str">
        <f t="array" aca="1" ref="AI213" ca="1">_xll.DBRW($C$100,$C$105,$C$106,$C$108,$C$110,$G213,$C$111,$C$112,$I213,$C$78,$C213,$F213,$D213,$B213,$E213,$W$159,$H213,AI$129)</f>
        <v/>
      </c>
      <c r="AJ213" s="36" t="str">
        <f t="array" aca="1" ref="AJ213" ca="1">_xll.DBRW($C$100,$C$105,$C$106,$C$108,$C$110,$G213,$C$111,$C$112,$I213,$C$78,$C213,$F213,$D213,$B213,$E213,$W$159,$H213,AJ$129)</f>
        <v/>
      </c>
      <c r="AK213" s="36" t="str">
        <f t="array" aca="1" ref="AK213" ca="1">_xll.DBRW($C$100,$C$105,$C$106,$C$108,$C$110,$G213,$C$111,$C$112,$I213,$C$78,$C213,$F213,$D213,$B213,$E213,$W$159,$H213,AK$129)</f>
        <v/>
      </c>
    </row>
  </sheetData>
  <sheetProtection sheet="1" objects="1" scenarios="1"/>
  <mergeCells count="19">
    <mergeCell ref="B138:C138"/>
    <mergeCell ref="B11:D11"/>
    <mergeCell ref="B19:D19"/>
    <mergeCell ref="B28:D28"/>
    <mergeCell ref="B42:D42"/>
    <mergeCell ref="B134:C134"/>
    <mergeCell ref="B58:C58"/>
    <mergeCell ref="B130:C130"/>
    <mergeCell ref="B115:C115"/>
    <mergeCell ref="B121:D121"/>
    <mergeCell ref="B93:D93"/>
    <mergeCell ref="B99:D99"/>
    <mergeCell ref="B67:D67"/>
    <mergeCell ref="V172:W172"/>
    <mergeCell ref="Q161:S161"/>
    <mergeCell ref="Q163:S163"/>
    <mergeCell ref="Q167:S167"/>
    <mergeCell ref="U169:W169"/>
    <mergeCell ref="Q165:S165"/>
  </mergeCells>
  <conditionalFormatting sqref="U159">
    <cfRule type="containsText" dxfId="3" priority="3" operator="containsText" text="un">
      <formula>NOT(ISERROR(SEARCH("un",U159)))</formula>
    </cfRule>
    <cfRule type="containsText" dxfId="2" priority="4" operator="containsText" text="approve">
      <formula>NOT(ISERROR(SEARCH("approve",U159)))</formula>
    </cfRule>
  </conditionalFormatting>
  <conditionalFormatting sqref="W159">
    <cfRule type="containsText" dxfId="1" priority="1" operator="containsText" text="un">
      <formula>NOT(ISERROR(SEARCH("un",W159)))</formula>
    </cfRule>
    <cfRule type="containsText" dxfId="0" priority="2" operator="containsText" text="approve">
      <formula>NOT(ISERROR(SEARCH("approve",W159)))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42" r:id="rId4" name="TIButton1">
          <controlPr defaultSize="0" print="0" autoLine="0" autoPict="0" r:id="rId5">
            <anchor moveWithCells="1" sizeWithCells="1">
              <from>
                <xdr:col>16</xdr:col>
                <xdr:colOff>883920</xdr:colOff>
                <xdr:row>154</xdr:row>
                <xdr:rowOff>7620</xdr:rowOff>
              </from>
              <to>
                <xdr:col>16</xdr:col>
                <xdr:colOff>1943100</xdr:colOff>
                <xdr:row>154</xdr:row>
                <xdr:rowOff>259080</xdr:rowOff>
              </to>
            </anchor>
          </controlPr>
        </control>
      </mc:Choice>
      <mc:Fallback>
        <control shapeId="1042" r:id="rId4" name="TIButton1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autoPict="0" r:id="rId7">
            <anchor moveWithCells="1" sizeWithCells="1">
              <from>
                <xdr:col>15</xdr:col>
                <xdr:colOff>7620</xdr:colOff>
                <xdr:row>154</xdr:row>
                <xdr:rowOff>7620</xdr:rowOff>
              </from>
              <to>
                <xdr:col>15</xdr:col>
                <xdr:colOff>647700</xdr:colOff>
                <xdr:row>154</xdr:row>
                <xdr:rowOff>259080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30" r:id="rId8" name="TIButton2">
          <controlPr defaultSize="0" print="0" autoLine="0" autoPict="0" r:id="rId9">
            <anchor moveWithCells="1" sizeWithCells="1">
              <from>
                <xdr:col>15</xdr:col>
                <xdr:colOff>685800</xdr:colOff>
                <xdr:row>154</xdr:row>
                <xdr:rowOff>7620</xdr:rowOff>
              </from>
              <to>
                <xdr:col>15</xdr:col>
                <xdr:colOff>1813560</xdr:colOff>
                <xdr:row>154</xdr:row>
                <xdr:rowOff>259080</xdr:rowOff>
              </to>
            </anchor>
          </controlPr>
        </control>
      </mc:Choice>
      <mc:Fallback>
        <control shapeId="1030" r:id="rId8" name="TIButton2"/>
      </mc:Fallback>
    </mc:AlternateContent>
    <mc:AlternateContent xmlns:mc="http://schemas.openxmlformats.org/markup-compatibility/2006">
      <mc:Choice Requires="x14">
        <control shapeId="1031" r:id="rId10" name="TIButton3">
          <controlPr defaultSize="0" print="0" autoLine="0" autoPict="0" r:id="rId11">
            <anchor moveWithCells="1" sizeWithCells="1">
              <from>
                <xdr:col>16</xdr:col>
                <xdr:colOff>2004060</xdr:colOff>
                <xdr:row>154</xdr:row>
                <xdr:rowOff>7620</xdr:rowOff>
              </from>
              <to>
                <xdr:col>17</xdr:col>
                <xdr:colOff>403860</xdr:colOff>
                <xdr:row>154</xdr:row>
                <xdr:rowOff>259080</xdr:rowOff>
              </to>
            </anchor>
          </controlPr>
        </control>
      </mc:Choice>
      <mc:Fallback>
        <control shapeId="1031" r:id="rId10" name="TIButton3"/>
      </mc:Fallback>
    </mc:AlternateContent>
    <mc:AlternateContent xmlns:mc="http://schemas.openxmlformats.org/markup-compatibility/2006">
      <mc:Choice Requires="x14">
        <control shapeId="1032" r:id="rId12" name="TIButton5">
          <controlPr defaultSize="0" print="0" autoLine="0" autoPict="0" r:id="rId13">
            <anchor moveWithCells="1" sizeWithCells="1">
              <from>
                <xdr:col>15</xdr:col>
                <xdr:colOff>1836420</xdr:colOff>
                <xdr:row>154</xdr:row>
                <xdr:rowOff>7620</xdr:rowOff>
              </from>
              <to>
                <xdr:col>16</xdr:col>
                <xdr:colOff>845820</xdr:colOff>
                <xdr:row>154</xdr:row>
                <xdr:rowOff>259080</xdr:rowOff>
              </to>
            </anchor>
          </controlPr>
        </control>
      </mc:Choice>
      <mc:Fallback>
        <control shapeId="1032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extract adj</vt:lpstr>
      <vt:lpstr>db_name</vt:lpstr>
      <vt:lpstr>Freeze_here</vt:lpstr>
      <vt:lpstr>psApp</vt:lpstr>
      <vt:lpstr>psHLYear</vt:lpstr>
      <vt:lpstr>psID</vt:lpstr>
      <vt:lpstr>psScenario</vt:lpstr>
      <vt:lpstr>psUser</vt:lpstr>
      <vt:lpstr>TM1AdjIDListCAP</vt:lpstr>
      <vt:lpstr>TM1AdjIDListWB</vt:lpstr>
      <vt:lpstr>TM1AdjIDListWS</vt:lpstr>
      <vt:lpstr>TM1BulkProcessCAP</vt:lpstr>
      <vt:lpstr>TM1BulkProcessExtCAP</vt:lpstr>
      <vt:lpstr>TM1BulkProcessExtWB</vt:lpstr>
      <vt:lpstr>TM1BulkProcessExtWS</vt:lpstr>
      <vt:lpstr>TM1BulkProcessWB</vt:lpstr>
      <vt:lpstr>TM1BulkProcessWS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TM1NewAdj96ExtractCAP</vt:lpstr>
      <vt:lpstr>TM1NewAdj96ExtractWB</vt:lpstr>
      <vt:lpstr>TM1NewAdj96ExtractWS</vt:lpstr>
      <vt:lpstr>'extract adj'!TM1RPTDATARNG1</vt:lpstr>
      <vt:lpstr>'extract adj'!TM1RPTDATARNGARPT1</vt:lpstr>
      <vt:lpstr>'extract adj'!TM1RPTDATARNGARPT2</vt:lpstr>
      <vt:lpstr>'extract adj'!TM1RPTDATARNGARPT3</vt:lpstr>
      <vt:lpstr>'extract adj'!TM1RPTDATARNGARPT4</vt:lpstr>
      <vt:lpstr>'extract adj'!TM1RPTDATARNGARPT5</vt:lpstr>
      <vt:lpstr>'extract adj'!TM1RPTDATARNGARPT6</vt:lpstr>
      <vt:lpstr>'extract adj'!TM1RPTDATARNGARPT7</vt:lpstr>
      <vt:lpstr>'extract adj'!TM1RPTFMTIDCOL</vt:lpstr>
      <vt:lpstr>'extract adj'!TM1RPTFMTRNG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2019-05-17T00:45:37Z</cp:lastPrinted>
  <dcterms:created xsi:type="dcterms:W3CDTF">2019-04-05T23:57:41Z</dcterms:created>
  <dcterms:modified xsi:type="dcterms:W3CDTF">2023-02-14T22:31:53Z</dcterms:modified>
</cp:coreProperties>
</file>