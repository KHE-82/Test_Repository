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C8CD4921-1167-48A3-9778-CDC59D801412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summary" sheetId="1" r:id="rId1"/>
  </sheets>
  <definedNames>
    <definedName name="db_name">summary!$C$11</definedName>
    <definedName name="Freeze_here">summary!$A$69</definedName>
    <definedName name="_xlnm.Print_Titles" localSheetId="0">summary!$67:$68</definedName>
    <definedName name="psProgStatus_Display">summary!$T$61</definedName>
    <definedName name="RangeName_List">summary!#REF!</definedName>
    <definedName name="TM1MEBSDataEntryCAP">summary!$D$42</definedName>
    <definedName name="TM1MEBSDataEntryWB">summary!$F$42</definedName>
    <definedName name="TM1MEBSDataEntryWS">summary!$H$42</definedName>
    <definedName name="TM1MECCMapCAP">summary!$D$44</definedName>
    <definedName name="TM1MECCMapWB">summary!$F$44</definedName>
    <definedName name="TM1MECCMapWS">summary!$H$44</definedName>
    <definedName name="TM1MECFDataEntryCAP">summary!$D$43</definedName>
    <definedName name="TM1MECFDataEntryWB">summary!$F$43</definedName>
    <definedName name="TM1MECFDataEntryWS">summary!$H$43</definedName>
    <definedName name="TM1MEDataEntryCAP">summary!$D$40</definedName>
    <definedName name="TM1MEDataEntryWB">summary!$F$40</definedName>
    <definedName name="TM1MEDataEntryWS">summary!$H$40</definedName>
    <definedName name="TM1MEGLMapCAP">summary!$D$45</definedName>
    <definedName name="TM1MEGLMapWB">summary!$F$45</definedName>
    <definedName name="TM1MEGLMapWS">summary!$H$45</definedName>
    <definedName name="TM1MEHomeCAP">summary!$D$39</definedName>
    <definedName name="TM1MEHomeWB">summary!$F$39</definedName>
    <definedName name="TM1MEHomeWS">summary!$H$39</definedName>
    <definedName name="TM1MEOSDataEntryCAP">summary!$D$41</definedName>
    <definedName name="TM1MEOSDataEntryWB">summary!$F$41</definedName>
    <definedName name="TM1MEOSDataEntryWS">summary!$H$41</definedName>
    <definedName name="TM1MESummaryCAP">summary!$D$46</definedName>
    <definedName name="TM1MESummaryWB">summary!$F$46</definedName>
    <definedName name="TM1MESummaryWS">summary!$H$46</definedName>
    <definedName name="TM1MEUploadCAP">summary!$D$47</definedName>
    <definedName name="TM1MEUploadWB">summary!$F$47</definedName>
    <definedName name="TM1MEUploadWS">summary!$H$47</definedName>
    <definedName name="TM1REBUILDOPTION">0</definedName>
    <definedName name="TM1RPTDATARNG1" localSheetId="0">summary!$69:$69</definedName>
    <definedName name="TM1RPTFMTIDCOL" localSheetId="0">summary!$A$1:$A$8</definedName>
    <definedName name="TM1RPTFMTRNG" localSheetId="0">summary!$E$1:$V$8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3" i="1" l="1"/>
  <c r="C15" i="1"/>
  <c r="C12" i="1"/>
  <c r="C14" i="1"/>
  <c r="E69" i="1"/>
  <c r="C29" i="1"/>
  <c r="C30" i="1"/>
  <c r="C31" i="1"/>
  <c r="C34" i="1"/>
  <c r="C37" i="1"/>
  <c r="H43" i="1"/>
  <c r="G43" i="1"/>
  <c r="F43" i="1"/>
  <c r="E43" i="1"/>
  <c r="D43" i="1"/>
  <c r="C43" i="1"/>
  <c r="N61" i="1"/>
  <c r="N62" i="1"/>
  <c r="N65" i="1"/>
  <c r="D13" i="1"/>
  <c r="R69" i="1"/>
  <c r="Q69" i="1"/>
  <c r="P69" i="1"/>
  <c r="C20" i="1"/>
  <c r="C21" i="1"/>
  <c r="C25" i="1"/>
  <c r="C23" i="1"/>
  <c r="C24" i="1"/>
  <c r="C22" i="1"/>
  <c r="C13" i="1"/>
  <c r="N64" i="1"/>
  <c r="F68" i="1"/>
  <c r="F34" i="1"/>
  <c r="D47" i="1"/>
  <c r="D46" i="1"/>
  <c r="D45" i="1"/>
  <c r="D44" i="1"/>
  <c r="D42" i="1"/>
  <c r="D41" i="1"/>
  <c r="D40" i="1"/>
  <c r="D39" i="1"/>
  <c r="C47" i="1"/>
  <c r="E47" i="1"/>
  <c r="F47" i="1"/>
  <c r="G47" i="1"/>
  <c r="H47" i="1"/>
  <c r="I69" i="1"/>
  <c r="J69" i="1"/>
  <c r="G34" i="1"/>
  <c r="S33" i="1"/>
  <c r="H46" i="1"/>
  <c r="G46" i="1"/>
  <c r="F46" i="1"/>
  <c r="E46" i="1"/>
  <c r="C46" i="1"/>
  <c r="H45" i="1"/>
  <c r="G45" i="1"/>
  <c r="F45" i="1"/>
  <c r="E45" i="1"/>
  <c r="C45" i="1"/>
  <c r="H44" i="1"/>
  <c r="G44" i="1"/>
  <c r="F44" i="1"/>
  <c r="E44" i="1"/>
  <c r="C44" i="1"/>
  <c r="H42" i="1"/>
  <c r="G42" i="1"/>
  <c r="F42" i="1"/>
  <c r="E42" i="1"/>
  <c r="C42" i="1"/>
  <c r="H41" i="1"/>
  <c r="G41" i="1"/>
  <c r="F41" i="1"/>
  <c r="E41" i="1"/>
  <c r="C41" i="1"/>
  <c r="H40" i="1"/>
  <c r="G40" i="1"/>
  <c r="F40" i="1"/>
  <c r="E40" i="1"/>
  <c r="C40" i="1"/>
  <c r="H39" i="1"/>
  <c r="G39" i="1"/>
  <c r="F39" i="1"/>
  <c r="E39" i="1"/>
  <c r="C39" i="1"/>
  <c r="S69" i="1"/>
  <c r="T69" i="1"/>
  <c r="U69" i="1"/>
  <c r="N69" i="1"/>
  <c r="H69" i="1"/>
  <c r="M69" i="1"/>
  <c r="G69" i="1"/>
  <c r="F69" i="1"/>
  <c r="A69" i="1"/>
  <c r="T68" i="1"/>
  <c r="S68" i="1"/>
  <c r="A5" i="1"/>
  <c r="A4" i="1"/>
  <c r="A3" i="1"/>
  <c r="A2" i="1"/>
</calcChain>
</file>

<file path=xl/sharedStrings.xml><?xml version="1.0" encoding="utf-8"?>
<sst xmlns="http://schemas.openxmlformats.org/spreadsheetml/2006/main" count="88" uniqueCount="77">
  <si>
    <t>[Begin Format Range]</t>
  </si>
  <si>
    <t>D</t>
  </si>
  <si>
    <t>N</t>
  </si>
  <si>
    <t>[End Format Range]</t>
  </si>
  <si>
    <t>System Variables</t>
  </si>
  <si>
    <t>Active Form View</t>
  </si>
  <si>
    <t>Slice View</t>
  </si>
  <si>
    <t>By Sub Prog</t>
  </si>
  <si>
    <t>By CBMS Prog</t>
  </si>
  <si>
    <t>related entity</t>
  </si>
  <si>
    <t>spp</t>
  </si>
  <si>
    <t>jurisdiction</t>
  </si>
  <si>
    <t>period</t>
  </si>
  <si>
    <t>appropriation item</t>
  </si>
  <si>
    <t>headline scenario</t>
  </si>
  <si>
    <t>ID</t>
  </si>
  <si>
    <t>0000A</t>
  </si>
  <si>
    <t>00001</t>
  </si>
  <si>
    <r>
      <rPr>
        <b/>
        <sz val="11"/>
        <color rgb="FFFF0000"/>
        <rFont val="Calibri"/>
        <family val="2"/>
      </rPr>
      <t>Note 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can be changed based on the parameters selected on this screen</t>
    </r>
  </si>
  <si>
    <t>Report Parameters</t>
  </si>
  <si>
    <t>Display Parameters</t>
  </si>
  <si>
    <t>Headline Year  :</t>
  </si>
  <si>
    <t>Scenario :</t>
  </si>
  <si>
    <t>Account :</t>
  </si>
  <si>
    <t>Movement Account :</t>
  </si>
  <si>
    <t>9000130 - Operating Result Attributable to Commonwealth (Annual Only)</t>
  </si>
  <si>
    <t>6211000 - Total Cash Received from Operating Activities</t>
  </si>
  <si>
    <t>Target (AE)</t>
  </si>
  <si>
    <t>Profiles (ME)</t>
  </si>
  <si>
    <t>6211000</t>
  </si>
  <si>
    <t>national manager</t>
  </si>
  <si>
    <t>appropriation type</t>
  </si>
  <si>
    <t>Program</t>
  </si>
  <si>
    <t>Appropriation Type</t>
  </si>
  <si>
    <t>Variance (AE - ME)</t>
  </si>
  <si>
    <t>ME reporting_measure</t>
  </si>
  <si>
    <t>-</t>
  </si>
  <si>
    <t>Program Summary Report</t>
  </si>
  <si>
    <t>sys_application</t>
  </si>
  <si>
    <t>Cube View</t>
  </si>
  <si>
    <t>Caption Name</t>
  </si>
  <si>
    <t>Caption</t>
  </si>
  <si>
    <t>Workbook Name</t>
  </si>
  <si>
    <t>Workbook</t>
  </si>
  <si>
    <t>Worksheet Name</t>
  </si>
  <si>
    <t>Worksheet</t>
  </si>
  <si>
    <t>ME - Homepage</t>
  </si>
  <si>
    <t>ME - Data Entry</t>
  </si>
  <si>
    <t>ME - OS Data Entry</t>
  </si>
  <si>
    <t>ME - BS Data Entry</t>
  </si>
  <si>
    <t>ME - CC Mapping</t>
  </si>
  <si>
    <t>ME - GL Mapping</t>
  </si>
  <si>
    <t>ME - Summary</t>
  </si>
  <si>
    <t>Database Name</t>
  </si>
  <si>
    <r>
      <rPr>
        <b/>
        <sz val="11"/>
        <color rgb="FFFF0000"/>
        <rFont val="Calibri"/>
        <family val="2"/>
      </rPr>
      <t>Note 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This summary report is used primarily to view the current status of profiles against target by Account. </t>
    </r>
  </si>
  <si>
    <t>Program :</t>
  </si>
  <si>
    <t>program MDX (To Use)</t>
  </si>
  <si>
    <t>program Details</t>
  </si>
  <si>
    <t>ME reporting Header Titles</t>
  </si>
  <si>
    <t>status</t>
  </si>
  <si>
    <t>P0</t>
  </si>
  <si>
    <t>For Status</t>
  </si>
  <si>
    <t>Account</t>
  </si>
  <si>
    <t>account template</t>
  </si>
  <si>
    <t>movement account</t>
  </si>
  <si>
    <t>sys_ME Variables</t>
  </si>
  <si>
    <t>VIEW</t>
  </si>
  <si>
    <t>ME_headline year</t>
  </si>
  <si>
    <t>Profile Status</t>
  </si>
  <si>
    <t>ME - Upload</t>
  </si>
  <si>
    <t>reviewed by</t>
  </si>
  <si>
    <t>reviewed date</t>
  </si>
  <si>
    <t>Reviewed By</t>
  </si>
  <si>
    <t>Reviewed Date</t>
  </si>
  <si>
    <t>ME - CF Data Entry</t>
  </si>
  <si>
    <t>{FILTER( {TM1SUBSETALL( [programme] )}, [programme].[CBMS Level Program] = "Y")}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</si>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</sst>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* \(#,##0\)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164" fontId="3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164" fontId="3" fillId="0" borderId="0" xfId="0" applyNumberFormat="1" applyFont="1"/>
    <xf numFmtId="0" fontId="2" fillId="0" borderId="1" xfId="0" applyFont="1" applyBorder="1"/>
    <xf numFmtId="0" fontId="2" fillId="3" borderId="0" xfId="0" applyFont="1" applyFill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 indent="1"/>
    </xf>
    <xf numFmtId="0" fontId="1" fillId="4" borderId="1" xfId="0" applyFont="1" applyFill="1" applyBorder="1" applyAlignment="1">
      <alignment horizontal="center"/>
    </xf>
    <xf numFmtId="0" fontId="0" fillId="3" borderId="1" xfId="0" applyFill="1" applyBorder="1"/>
    <xf numFmtId="0" fontId="5" fillId="3" borderId="1" xfId="0" quotePrefix="1" applyFont="1" applyFill="1" applyBorder="1" applyAlignment="1">
      <alignment horizontal="center" wrapText="1"/>
    </xf>
    <xf numFmtId="0" fontId="5" fillId="3" borderId="1" xfId="0" quotePrefix="1" applyFont="1" applyFill="1" applyBorder="1" applyAlignment="1">
      <alignment horizontal="center"/>
    </xf>
    <xf numFmtId="0" fontId="5" fillId="3" borderId="0" xfId="0" quotePrefix="1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/>
    </xf>
    <xf numFmtId="0" fontId="6" fillId="5" borderId="0" xfId="0" applyFont="1" applyFill="1" applyAlignment="1">
      <alignment horizontal="right" vertical="center"/>
    </xf>
    <xf numFmtId="0" fontId="0" fillId="0" borderId="5" xfId="0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/>
    </xf>
    <xf numFmtId="49" fontId="0" fillId="0" borderId="1" xfId="0" applyNumberFormat="1" applyBorder="1"/>
    <xf numFmtId="0" fontId="0" fillId="0" borderId="0" xfId="0" quotePrefix="1"/>
    <xf numFmtId="0" fontId="0" fillId="0" borderId="3" xfId="0" applyBorder="1"/>
    <xf numFmtId="0" fontId="0" fillId="0" borderId="1" xfId="0" quotePrefix="1" applyBorder="1"/>
    <xf numFmtId="0" fontId="0" fillId="0" borderId="2" xfId="0" quotePrefix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0" fillId="0" borderId="1" xfId="0" applyBorder="1" applyProtection="1">
      <protection locked="0"/>
    </xf>
    <xf numFmtId="0" fontId="1" fillId="5" borderId="0" xfId="0" applyFont="1" applyFill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524"/>
  <ax:ocxPr ax:name="_ExtentY" ax:value="741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CFDataEntryWB"/>
  <ax:ocxPr ax:name="TargetWorksheetName" ax:value="=TM1MECFDataEntryWS"/>
  <ax:ocxPr ax:name="AutoTitles" ax:value="0"/>
  <ax:ocxPr ax:name="ReplaceWindow" ax:value="-1"/>
  <ax:ocxPr ax:name="IsMappingFormula" ax:value="0"/>
  <ax:ocxPr ax:name="TargetTypes" ax:value="0"/>
  <ax:ocxPr ax:name="TargetObjects" ax:value="program"/>
  <ax:ocxPr ax:name="TargetSubsets" ax:value=""/>
  <ax:ocxPr ax:name="TargetAliases" ax:value="code and description"/>
  <ax:ocxPr ax:name="TargetValues" ax:value=""/>
  <ax:ocxPr ax:name="SourceTypes" ax:value="1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CFDataEntryCAP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598"/>
  <ax:ocxPr ax:name="_ExtentY" ax:value="582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BSDataEntryWB"/>
  <ax:ocxPr ax:name="TargetWorksheetName" ax:value="=TM1MEBSDataEntryWS"/>
  <ax:ocxPr ax:name="AutoTitles" ax:value="0"/>
  <ax:ocxPr ax:name="ReplaceWindow" ax:value="-1"/>
  <ax:ocxPr ax:name="IsMappingFormula" ax:value="0"/>
  <ax:ocxPr ax:name="TargetTypes" ax:value="0"/>
  <ax:ocxPr ax:name="TargetObjects" ax:value="program"/>
  <ax:ocxPr ax:name="TargetSubsets" ax:value=""/>
  <ax:ocxPr ax:name="TargetAliases" ax:value="code and description"/>
  <ax:ocxPr ax:name="TargetValues" ax:value=""/>
  <ax:ocxPr ax:name="SourceTypes" ax:value="1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BSDataEntryCAP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598"/>
  <ax:ocxPr ax:name="_ExtentY" ax:value="582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OSDataEntryWB"/>
  <ax:ocxPr ax:name="TargetWorksheetName" ax:value="=TM1MEOSDataEntryWS"/>
  <ax:ocxPr ax:name="AutoTitles" ax:value="0"/>
  <ax:ocxPr ax:name="ReplaceWindow" ax:value="-1"/>
  <ax:ocxPr ax:name="IsMappingFormula" ax:value="0"/>
  <ax:ocxPr ax:name="TargetTypes" ax:value="0"/>
  <ax:ocxPr ax:name="TargetObjects" ax:value="program"/>
  <ax:ocxPr ax:name="TargetSubsets" ax:value=""/>
  <ax:ocxPr ax:name="TargetAliases" ax:value="code and description"/>
  <ax:ocxPr ax:name="TargetValues" ax:value=""/>
  <ax:ocxPr ax:name="SourceTypes" ax:value="1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OSDataEntryCAP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667"/>
  <ax:ocxPr ax:name="_ExtentY" ax:value="661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HomeWB"/>
  <ax:ocxPr ax:name="TargetWorksheetName" ax:value="=TM1ME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Home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651"/>
  <ax:ocxPr ax:name="_ExtentY" ax:value="741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Upload Profiles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UploadWB"/>
  <ax:ocxPr ax:name="TargetWorksheetName" ax:value="=TM1MEUpload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08"/>
  <ax:ocxPr ax:name="_ExtentY" ax:value="582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5991424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76200</xdr:colOff>
          <xdr:row>52</xdr:row>
          <xdr:rowOff>47625</xdr:rowOff>
        </xdr:from>
        <xdr:to>
          <xdr:col>12</xdr:col>
          <xdr:colOff>723900</xdr:colOff>
          <xdr:row>53</xdr:row>
          <xdr:rowOff>247650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762000</xdr:colOff>
          <xdr:row>53</xdr:row>
          <xdr:rowOff>0</xdr:rowOff>
        </xdr:from>
        <xdr:to>
          <xdr:col>12</xdr:col>
          <xdr:colOff>1971675</xdr:colOff>
          <xdr:row>53</xdr:row>
          <xdr:rowOff>247650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1219200</xdr:colOff>
          <xdr:row>53</xdr:row>
          <xdr:rowOff>0</xdr:rowOff>
        </xdr:from>
        <xdr:to>
          <xdr:col>13</xdr:col>
          <xdr:colOff>1847850</xdr:colOff>
          <xdr:row>53</xdr:row>
          <xdr:rowOff>247650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1990725</xdr:colOff>
          <xdr:row>53</xdr:row>
          <xdr:rowOff>0</xdr:rowOff>
        </xdr:from>
        <xdr:to>
          <xdr:col>12</xdr:col>
          <xdr:colOff>3495675</xdr:colOff>
          <xdr:row>53</xdr:row>
          <xdr:rowOff>247650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12</xdr:col>
      <xdr:colOff>0</xdr:colOff>
      <xdr:row>0</xdr:row>
      <xdr:rowOff>0</xdr:rowOff>
    </xdr:from>
    <xdr:to>
      <xdr:col>12</xdr:col>
      <xdr:colOff>1809750</xdr:colOff>
      <xdr:row>52</xdr:row>
      <xdr:rowOff>19050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3533775</xdr:colOff>
          <xdr:row>53</xdr:row>
          <xdr:rowOff>0</xdr:rowOff>
        </xdr:from>
        <xdr:to>
          <xdr:col>12</xdr:col>
          <xdr:colOff>5038725</xdr:colOff>
          <xdr:row>53</xdr:row>
          <xdr:rowOff>247650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5067300</xdr:colOff>
          <xdr:row>53</xdr:row>
          <xdr:rowOff>0</xdr:rowOff>
        </xdr:from>
        <xdr:to>
          <xdr:col>13</xdr:col>
          <xdr:colOff>1190625</xdr:colOff>
          <xdr:row>53</xdr:row>
          <xdr:rowOff>247650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outlinePr showOutlineSymbols="0"/>
    <pageSetUpPr fitToPage="1"/>
  </sheetPr>
  <dimension ref="A1:V69"/>
  <sheetViews>
    <sheetView showGridLines="0" showRowColHeaders="0" tabSelected="1" showOutlineSymbols="0" topLeftCell="A52" zoomScaleNormal="100" workbookViewId="0">
      <pane xSplit="15" ySplit="17" topLeftCell="P69" activePane="bottomRight" state="frozen"/>
      <selection activeCell="L52" sqref="L52"/>
      <selection pane="topRight" activeCell="P52" sqref="P52"/>
      <selection pane="bottomLeft" activeCell="L69" sqref="L69"/>
      <selection pane="bottomRight" activeCell="A69" sqref="A69"/>
    </sheetView>
  </sheetViews>
  <sheetFormatPr defaultRowHeight="15" outlineLevelRow="1" outlineLevelCol="1" x14ac:dyDescent="0.25"/>
  <cols>
    <col min="1" max="1" width="2.7109375" hidden="1" customWidth="1" outlineLevel="1"/>
    <col min="2" max="3" width="17.42578125" hidden="1" customWidth="1" outlineLevel="1"/>
    <col min="4" max="4" width="34.5703125" hidden="1" customWidth="1" outlineLevel="1"/>
    <col min="5" max="5" width="38.85546875" hidden="1" customWidth="1" outlineLevel="1"/>
    <col min="6" max="6" width="39.42578125" hidden="1" customWidth="1" outlineLevel="1"/>
    <col min="7" max="11" width="25.7109375" hidden="1" customWidth="1" outlineLevel="1"/>
    <col min="12" max="12" width="0.85546875" customWidth="1" collapsed="1"/>
    <col min="13" max="13" width="80.7109375" customWidth="1"/>
    <col min="14" max="14" width="50.7109375" customWidth="1"/>
    <col min="15" max="15" width="0.85546875" customWidth="1"/>
    <col min="16" max="16" width="20.7109375" hidden="1" customWidth="1"/>
    <col min="17" max="18" width="20.7109375" customWidth="1"/>
    <col min="19" max="20" width="27.7109375" customWidth="1"/>
    <col min="21" max="21" width="19.5703125" customWidth="1"/>
    <col min="22" max="22" width="8" customWidth="1"/>
  </cols>
  <sheetData>
    <row r="1" spans="1:22" hidden="1" outlineLevel="1" x14ac:dyDescent="0.25">
      <c r="A1" t="s">
        <v>0</v>
      </c>
    </row>
    <row r="2" spans="1:22" hidden="1" outlineLevel="1" x14ac:dyDescent="0.25">
      <c r="A2">
        <f>0</f>
        <v>0</v>
      </c>
      <c r="E2" s="1"/>
      <c r="F2" s="2"/>
      <c r="G2" s="2"/>
      <c r="H2" s="3"/>
      <c r="I2" s="3"/>
      <c r="J2" s="3"/>
      <c r="K2" s="3"/>
      <c r="L2" s="3"/>
      <c r="M2" s="4"/>
      <c r="N2" s="4"/>
      <c r="O2" s="5"/>
      <c r="P2" s="32"/>
      <c r="Q2" s="33"/>
      <c r="R2" s="33"/>
      <c r="S2" s="2"/>
      <c r="T2" s="2"/>
      <c r="U2" s="2"/>
      <c r="V2" s="3"/>
    </row>
    <row r="3" spans="1:22" hidden="1" outlineLevel="1" x14ac:dyDescent="0.25">
      <c r="A3">
        <f>1</f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idden="1" outlineLevel="1" x14ac:dyDescent="0.25">
      <c r="A4">
        <f>2</f>
        <v>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idden="1" outlineLevel="1" x14ac:dyDescent="0.25">
      <c r="A5">
        <f>3</f>
        <v>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idden="1" outlineLevel="1" x14ac:dyDescent="0.25">
      <c r="A6" t="s">
        <v>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idden="1" outlineLevel="1" x14ac:dyDescent="0.25">
      <c r="A7" t="s">
        <v>2</v>
      </c>
      <c r="E7" s="1"/>
      <c r="F7" s="2"/>
      <c r="G7" s="2"/>
      <c r="H7" s="6"/>
      <c r="I7" s="6"/>
      <c r="J7" s="3"/>
      <c r="K7" s="3"/>
      <c r="L7" s="3"/>
      <c r="M7" s="4"/>
      <c r="N7" s="4"/>
      <c r="O7" s="5"/>
      <c r="P7" s="32"/>
      <c r="Q7" s="33"/>
      <c r="R7" s="33"/>
      <c r="S7" s="2"/>
      <c r="T7" s="2"/>
      <c r="U7" s="2"/>
      <c r="V7" s="3"/>
    </row>
    <row r="8" spans="1:22" hidden="1" outlineLevel="1" x14ac:dyDescent="0.25">
      <c r="A8" t="s">
        <v>3</v>
      </c>
    </row>
    <row r="9" spans="1:22" hidden="1" outlineLevel="1" x14ac:dyDescent="0.25"/>
    <row r="10" spans="1:22" hidden="1" outlineLevel="1" x14ac:dyDescent="0.25">
      <c r="B10" s="39" t="s">
        <v>4</v>
      </c>
      <c r="C10" s="40"/>
    </row>
    <row r="11" spans="1:22" hidden="1" outlineLevel="1" x14ac:dyDescent="0.25">
      <c r="B11" s="26" t="s">
        <v>53</v>
      </c>
      <c r="C11" s="1" t="s">
        <v>76</v>
      </c>
    </row>
    <row r="12" spans="1:22" hidden="1" outlineLevel="1" x14ac:dyDescent="0.25">
      <c r="B12" s="1" t="s">
        <v>5</v>
      </c>
      <c r="C12" s="1" t="str">
        <f ca="1">_xll.TM1RPTVIEW(db_name&amp;":ME reporting:1", 1, _xll.TM1RPTTITLE(db_name&amp;":headline year",$N$61), _xll.TM1RPTTITLE(db_name&amp;":scenario",$N$62), _xll.TM1RPTTITLE(db_name&amp;":related entity",$C$20), _xll.TM1RPTTITLE(db_name&amp;":spp",$C$21), _xll.TM1RPTTITLE(db_name&amp;":movement account",$N$65), _xll.TM1RPTTITLE(db_name&amp;":appropriation item",$C$25), _xll.TM1RPTTITLE(db_name&amp;":jurisdiction",$C$23), _xll.TM1RPTTITLE(db_name&amp;":period",$C$24), _xll.TM1RPTTITLE(db_name&amp;":ME reporting measure",$C$22),TM1RPTFMTRNG,TM1RPTFMTIDCOL)</f>
        <v>dcceew_geus:ME reporting:1</v>
      </c>
    </row>
    <row r="13" spans="1:22" hidden="1" outlineLevel="1" x14ac:dyDescent="0.25">
      <c r="B13" s="1" t="s">
        <v>6</v>
      </c>
      <c r="C13" s="1" t="str">
        <f ca="1">_xll.VIEW(db_name&amp;":ME reporting",$N$61,$N$62,$C$20,$C$21,$N$65,"!",$C$25,"!","!",$C$23,$C$24,$C$22)</f>
        <v>dcceew_geus:ME reporting</v>
      </c>
      <c r="D13" s="1" t="str">
        <f ca="1">_xll.VIEW(db_name&amp;":ME reporting",$N$61,$N$62,$D$20,$D$21,$N$65,"!",$D$25,"!","!",$D$23,$D$24,$D$22)</f>
        <v>dcceew_geus:ME reporting</v>
      </c>
    </row>
    <row r="14" spans="1:22" hidden="1" outlineLevel="1" x14ac:dyDescent="0.25">
      <c r="B14" s="1" t="s">
        <v>56</v>
      </c>
      <c r="C14" s="1" t="str">
        <f ca="1">VLOOKUP($T$61,$B$15:$C$16,2,FALSE)</f>
        <v>{TM1FILTERBYLEVEL( {TM1DRILLDOWNMEMBER( {[programme].[]}, ALL, RECURSIVE )}, 0)}</v>
      </c>
    </row>
    <row r="15" spans="1:22" hidden="1" outlineLevel="1" x14ac:dyDescent="0.25">
      <c r="B15" s="1" t="s">
        <v>7</v>
      </c>
      <c r="C15" s="1" t="str">
        <f ca="1">"{TM1FILTERBYLEVEL( {TM1DRILLDOWNMEMBER( {[programme].[" &amp; $N$63 &amp; "]}, ALL, RECURSIVE )}, 0)}"</f>
        <v>{TM1FILTERBYLEVEL( {TM1DRILLDOWNMEMBER( {[programme].[]}, ALL, RECURSIVE )}, 0)}</v>
      </c>
    </row>
    <row r="16" spans="1:22" hidden="1" outlineLevel="1" x14ac:dyDescent="0.25">
      <c r="B16" s="1" t="s">
        <v>8</v>
      </c>
      <c r="C16" s="1" t="s">
        <v>75</v>
      </c>
    </row>
    <row r="17" spans="2:6" hidden="1" outlineLevel="1" x14ac:dyDescent="0.25"/>
    <row r="18" spans="2:6" hidden="1" outlineLevel="1" x14ac:dyDescent="0.25">
      <c r="B18" s="39" t="s">
        <v>58</v>
      </c>
      <c r="C18" s="40"/>
      <c r="D18" s="7" t="s">
        <v>61</v>
      </c>
    </row>
    <row r="19" spans="2:6" hidden="1" outlineLevel="1" x14ac:dyDescent="0.25">
      <c r="B19" s="7" t="s">
        <v>62</v>
      </c>
      <c r="D19" s="1" t="s">
        <v>63</v>
      </c>
    </row>
    <row r="20" spans="2:6" hidden="1" outlineLevel="1" x14ac:dyDescent="0.25">
      <c r="B20" s="7" t="s">
        <v>9</v>
      </c>
      <c r="C20" s="29" t="str">
        <f ca="1">_xll.SUBNM(db_name&amp;":related entity","","Total related entity")</f>
        <v/>
      </c>
      <c r="D20" s="30" t="s">
        <v>36</v>
      </c>
    </row>
    <row r="21" spans="2:6" hidden="1" outlineLevel="1" x14ac:dyDescent="0.25">
      <c r="B21" s="7" t="s">
        <v>10</v>
      </c>
      <c r="C21" s="29" t="str">
        <f ca="1">_xll.SUBNM(db_name&amp;":spp","","Total SPP")</f>
        <v/>
      </c>
      <c r="D21" s="30" t="s">
        <v>36</v>
      </c>
    </row>
    <row r="22" spans="2:6" hidden="1" outlineLevel="1" x14ac:dyDescent="0.25">
      <c r="B22" s="7" t="s">
        <v>35</v>
      </c>
      <c r="C22" s="29" t="str">
        <f ca="1">_xll.SUBNM(db_name&amp;":ME reporting measure","","value")</f>
        <v/>
      </c>
      <c r="D22" s="1" t="s">
        <v>59</v>
      </c>
      <c r="E22" s="1" t="s">
        <v>70</v>
      </c>
      <c r="F22" s="1" t="s">
        <v>71</v>
      </c>
    </row>
    <row r="23" spans="2:6" hidden="1" outlineLevel="1" x14ac:dyDescent="0.25">
      <c r="B23" s="7" t="s">
        <v>11</v>
      </c>
      <c r="C23" s="29" t="str">
        <f ca="1">_xll.SUBNM(db_name&amp;":jurisdiction","","Total jurisdictions")</f>
        <v/>
      </c>
      <c r="D23" s="30" t="s">
        <v>36</v>
      </c>
    </row>
    <row r="24" spans="2:6" hidden="1" outlineLevel="1" x14ac:dyDescent="0.25">
      <c r="B24" s="7" t="s">
        <v>12</v>
      </c>
      <c r="C24" s="29" t="str">
        <f ca="1">_xll.SUBNM(db_name&amp;":period","","Jun YTD")</f>
        <v/>
      </c>
      <c r="D24" s="30" t="s">
        <v>60</v>
      </c>
    </row>
    <row r="25" spans="2:6" hidden="1" outlineLevel="1" x14ac:dyDescent="0.25">
      <c r="B25" s="7" t="s">
        <v>13</v>
      </c>
      <c r="C25" s="29" t="str">
        <f ca="1">_xll.SUBNM(db_name&amp;":appropriation item","","Total approp item")</f>
        <v/>
      </c>
      <c r="D25" s="30" t="s">
        <v>36</v>
      </c>
    </row>
    <row r="26" spans="2:6" hidden="1" outlineLevel="1" x14ac:dyDescent="0.25">
      <c r="B26" s="11" t="s">
        <v>64</v>
      </c>
      <c r="D26" s="31" t="s">
        <v>36</v>
      </c>
    </row>
    <row r="27" spans="2:6" hidden="1" outlineLevel="1" x14ac:dyDescent="0.25"/>
    <row r="28" spans="2:6" hidden="1" outlineLevel="1" x14ac:dyDescent="0.25">
      <c r="B28" s="41" t="s">
        <v>65</v>
      </c>
      <c r="C28" s="42"/>
    </row>
    <row r="29" spans="2:6" hidden="1" outlineLevel="1" x14ac:dyDescent="0.25">
      <c r="B29" s="1" t="s">
        <v>66</v>
      </c>
      <c r="C29" s="1" t="str">
        <f ca="1">_xll.VIEW(db_name&amp;":sys_ME variable","!","!")</f>
        <v>dcceew_geus:sys_ME variable</v>
      </c>
    </row>
    <row r="30" spans="2:6" hidden="1" outlineLevel="1" x14ac:dyDescent="0.25">
      <c r="B30" s="1" t="s">
        <v>67</v>
      </c>
      <c r="C30" s="1" t="str">
        <f ca="1">_xll.DBR($C$29,$B$30,"value")</f>
        <v>*KEY_ERR</v>
      </c>
      <c r="F30" s="28"/>
    </row>
    <row r="31" spans="2:6" hidden="1" outlineLevel="1" x14ac:dyDescent="0.25">
      <c r="B31" s="1" t="s">
        <v>14</v>
      </c>
      <c r="C31" s="1" t="str">
        <f ca="1">_xll.DBRA(db_name&amp;":variables",$B31,"value")</f>
        <v/>
      </c>
      <c r="F31" s="28"/>
    </row>
    <row r="32" spans="2:6" hidden="1" outlineLevel="1" x14ac:dyDescent="0.25"/>
    <row r="33" spans="2:20" hidden="1" outlineLevel="1" x14ac:dyDescent="0.25">
      <c r="B33" s="41" t="s">
        <v>57</v>
      </c>
      <c r="C33" s="42"/>
      <c r="S33" t="str">
        <f ca="1">_xll.SUBNM(db_name&amp;":account","",$N$64, "description")</f>
        <v/>
      </c>
    </row>
    <row r="34" spans="2:20" hidden="1" outlineLevel="1" x14ac:dyDescent="0.25">
      <c r="B34" s="1" t="s">
        <v>6</v>
      </c>
      <c r="C34" s="1" t="str">
        <f ca="1">_xll.VIEW(db_name&amp;":programme details",$C$30,$C$31,"!","!")</f>
        <v>dcceew_geus:programme details</v>
      </c>
      <c r="E34" s="8" t="s">
        <v>15</v>
      </c>
      <c r="F34" s="9" t="str">
        <f ca="1">_xll.SUBNM(db_name&amp;":id","","Total IDs")</f>
        <v/>
      </c>
      <c r="G34" s="9" t="str">
        <f ca="1">_xll.SUBNM(db_name&amp;":id","","Total IDs")</f>
        <v/>
      </c>
      <c r="H34" s="10"/>
      <c r="I34" s="10"/>
      <c r="P34" s="28" t="s">
        <v>17</v>
      </c>
      <c r="Q34" s="28" t="s">
        <v>17</v>
      </c>
      <c r="R34" s="28" t="s">
        <v>17</v>
      </c>
      <c r="S34" s="9" t="s">
        <v>16</v>
      </c>
      <c r="T34" s="9" t="s">
        <v>17</v>
      </c>
    </row>
    <row r="35" spans="2:20" hidden="1" outlineLevel="1" x14ac:dyDescent="0.25"/>
    <row r="36" spans="2:20" hidden="1" outlineLevel="1" x14ac:dyDescent="0.25">
      <c r="B36" s="38" t="s">
        <v>38</v>
      </c>
      <c r="C36" s="38"/>
    </row>
    <row r="37" spans="2:20" hidden="1" outlineLevel="1" x14ac:dyDescent="0.25">
      <c r="B37" s="24" t="s">
        <v>39</v>
      </c>
      <c r="C37" s="24" t="str">
        <f ca="1">_xll.VIEW(db_name&amp;":sys_application","!","!")</f>
        <v>dcceew_geus:sys_application</v>
      </c>
    </row>
    <row r="38" spans="2:20" hidden="1" outlineLevel="1" x14ac:dyDescent="0.25">
      <c r="B38" s="1"/>
      <c r="C38" s="25" t="s">
        <v>40</v>
      </c>
      <c r="D38" s="25" t="s">
        <v>41</v>
      </c>
      <c r="E38" s="25" t="s">
        <v>42</v>
      </c>
      <c r="F38" s="25" t="s">
        <v>43</v>
      </c>
      <c r="G38" s="25" t="s">
        <v>44</v>
      </c>
      <c r="H38" s="25" t="s">
        <v>45</v>
      </c>
    </row>
    <row r="39" spans="2:20" hidden="1" outlineLevel="1" x14ac:dyDescent="0.25">
      <c r="B39" s="1" t="s">
        <v>46</v>
      </c>
      <c r="C39" s="1" t="str">
        <f ca="1">_xll.DBR($C$37,$B39,C$38)</f>
        <v>*KEY_ERR</v>
      </c>
      <c r="D39" s="1" t="str">
        <f ca="1">_xll.DBR($C$37,$B39,D$38)</f>
        <v>*KEY_ERR</v>
      </c>
      <c r="E39" s="1" t="str">
        <f ca="1">_xll.DBR($C$37,$B39,E$38)</f>
        <v>*KEY_ERR</v>
      </c>
      <c r="F39" s="1" t="str">
        <f ca="1">_xll.DBR($C$37,$B39,F$38)</f>
        <v>*KEY_ERR</v>
      </c>
      <c r="G39" s="1" t="str">
        <f ca="1">_xll.DBR($C$37,$B39,G$38)</f>
        <v>*KEY_ERR</v>
      </c>
      <c r="H39" s="1" t="str">
        <f ca="1">_xll.DBR($C$37,$B39,H$38)</f>
        <v>*KEY_ERR</v>
      </c>
    </row>
    <row r="40" spans="2:20" hidden="1" outlineLevel="1" x14ac:dyDescent="0.25">
      <c r="B40" s="1" t="s">
        <v>47</v>
      </c>
      <c r="C40" s="1" t="str">
        <f ca="1">_xll.DBR($C$37,$B40,C$38)</f>
        <v>*KEY_ERR</v>
      </c>
      <c r="D40" s="1" t="str">
        <f ca="1">_xll.DBR($C$37,$B40,D$38)</f>
        <v>*KEY_ERR</v>
      </c>
      <c r="E40" s="1" t="str">
        <f ca="1">_xll.DBR($C$37,$B40,E$38)</f>
        <v>*KEY_ERR</v>
      </c>
      <c r="F40" s="1" t="str">
        <f ca="1">_xll.DBR($C$37,$B40,F$38)</f>
        <v>*KEY_ERR</v>
      </c>
      <c r="G40" s="1" t="str">
        <f ca="1">_xll.DBR($C$37,$B40,G$38)</f>
        <v>*KEY_ERR</v>
      </c>
      <c r="H40" s="1" t="str">
        <f ca="1">_xll.DBR($C$37,$B40,H$38)</f>
        <v>*KEY_ERR</v>
      </c>
    </row>
    <row r="41" spans="2:20" hidden="1" outlineLevel="1" x14ac:dyDescent="0.25">
      <c r="B41" s="1" t="s">
        <v>48</v>
      </c>
      <c r="C41" s="1" t="str">
        <f ca="1">_xll.DBR($C$37,$B41,C$38)</f>
        <v>*KEY_ERR</v>
      </c>
      <c r="D41" s="1" t="str">
        <f ca="1">_xll.DBR($C$37,$B41,D$38)</f>
        <v>*KEY_ERR</v>
      </c>
      <c r="E41" s="1" t="str">
        <f ca="1">_xll.DBR($C$37,$B41,E$38)</f>
        <v>*KEY_ERR</v>
      </c>
      <c r="F41" s="1" t="str">
        <f ca="1">_xll.DBR($C$37,$B41,F$38)</f>
        <v>*KEY_ERR</v>
      </c>
      <c r="G41" s="1" t="str">
        <f ca="1">_xll.DBR($C$37,$B41,G$38)</f>
        <v>*KEY_ERR</v>
      </c>
      <c r="H41" s="1" t="str">
        <f ca="1">_xll.DBR($C$37,$B41,H$38)</f>
        <v>*KEY_ERR</v>
      </c>
    </row>
    <row r="42" spans="2:20" hidden="1" outlineLevel="1" x14ac:dyDescent="0.25">
      <c r="B42" s="1" t="s">
        <v>49</v>
      </c>
      <c r="C42" s="1" t="str">
        <f ca="1">_xll.DBR($C$37,$B42,C$38)</f>
        <v>*KEY_ERR</v>
      </c>
      <c r="D42" s="1" t="str">
        <f ca="1">_xll.DBR($C$37,$B42,D$38)</f>
        <v>*KEY_ERR</v>
      </c>
      <c r="E42" s="1" t="str">
        <f ca="1">_xll.DBR($C$37,$B42,E$38)</f>
        <v>*KEY_ERR</v>
      </c>
      <c r="F42" s="1" t="str">
        <f ca="1">_xll.DBR($C$37,$B42,F$38)</f>
        <v>*KEY_ERR</v>
      </c>
      <c r="G42" s="1" t="str">
        <f ca="1">_xll.DBR($C$37,$B42,G$38)</f>
        <v>*KEY_ERR</v>
      </c>
      <c r="H42" s="1" t="str">
        <f ca="1">_xll.DBR($C$37,$B42,H$38)</f>
        <v>*KEY_ERR</v>
      </c>
    </row>
    <row r="43" spans="2:20" hidden="1" outlineLevel="1" x14ac:dyDescent="0.25">
      <c r="B43" s="1" t="s">
        <v>74</v>
      </c>
      <c r="C43" s="1" t="str">
        <f ca="1">_xll.DBR($C$37,$B43,C$38)</f>
        <v>*KEY_ERR</v>
      </c>
      <c r="D43" s="1" t="str">
        <f ca="1">_xll.DBR($C$37,$B43,D$38)</f>
        <v>*KEY_ERR</v>
      </c>
      <c r="E43" s="1" t="str">
        <f ca="1">_xll.DBR($C$37,$B43,E$38)</f>
        <v>*KEY_ERR</v>
      </c>
      <c r="F43" s="1" t="str">
        <f ca="1">_xll.DBR($C$37,$B43,F$38)</f>
        <v>*KEY_ERR</v>
      </c>
      <c r="G43" s="1" t="str">
        <f ca="1">_xll.DBR($C$37,$B43,G$38)</f>
        <v>*KEY_ERR</v>
      </c>
      <c r="H43" s="1" t="str">
        <f ca="1">_xll.DBR($C$37,$B43,H$38)</f>
        <v>*KEY_ERR</v>
      </c>
    </row>
    <row r="44" spans="2:20" hidden="1" outlineLevel="1" x14ac:dyDescent="0.25">
      <c r="B44" s="1" t="s">
        <v>50</v>
      </c>
      <c r="C44" s="1" t="str">
        <f ca="1">_xll.DBR($C$37,$B44,C$38)</f>
        <v>*KEY_ERR</v>
      </c>
      <c r="D44" s="1" t="str">
        <f ca="1">_xll.DBR($C$37,$B44,D$38)</f>
        <v>*KEY_ERR</v>
      </c>
      <c r="E44" s="1" t="str">
        <f ca="1">_xll.DBR($C$37,$B44,E$38)</f>
        <v>*KEY_ERR</v>
      </c>
      <c r="F44" s="1" t="str">
        <f ca="1">_xll.DBR($C$37,$B44,F$38)</f>
        <v>*KEY_ERR</v>
      </c>
      <c r="G44" s="1" t="str">
        <f ca="1">_xll.DBR($C$37,$B44,G$38)</f>
        <v>*KEY_ERR</v>
      </c>
      <c r="H44" s="1" t="str">
        <f ca="1">_xll.DBR($C$37,$B44,H$38)</f>
        <v>*KEY_ERR</v>
      </c>
    </row>
    <row r="45" spans="2:20" hidden="1" outlineLevel="1" x14ac:dyDescent="0.25">
      <c r="B45" s="1" t="s">
        <v>51</v>
      </c>
      <c r="C45" s="1" t="str">
        <f ca="1">_xll.DBR($C$37,$B45,C$38)</f>
        <v>*KEY_ERR</v>
      </c>
      <c r="D45" s="1" t="str">
        <f ca="1">_xll.DBR($C$37,$B45,D$38)</f>
        <v>*KEY_ERR</v>
      </c>
      <c r="E45" s="1" t="str">
        <f ca="1">_xll.DBR($C$37,$B45,E$38)</f>
        <v>*KEY_ERR</v>
      </c>
      <c r="F45" s="1" t="str">
        <f ca="1">_xll.DBR($C$37,$B45,F$38)</f>
        <v>*KEY_ERR</v>
      </c>
      <c r="G45" s="1" t="str">
        <f ca="1">_xll.DBR($C$37,$B45,G$38)</f>
        <v>*KEY_ERR</v>
      </c>
      <c r="H45" s="1" t="str">
        <f ca="1">_xll.DBR($C$37,$B45,H$38)</f>
        <v>*KEY_ERR</v>
      </c>
    </row>
    <row r="46" spans="2:20" hidden="1" outlineLevel="1" x14ac:dyDescent="0.25">
      <c r="B46" s="1" t="s">
        <v>52</v>
      </c>
      <c r="C46" s="1" t="str">
        <f ca="1">_xll.DBR($C$37,$B46,C$38)</f>
        <v>*KEY_ERR</v>
      </c>
      <c r="D46" s="1" t="str">
        <f ca="1">_xll.DBR($C$37,$B46,D$38)</f>
        <v>*KEY_ERR</v>
      </c>
      <c r="E46" s="1" t="str">
        <f ca="1">_xll.DBR($C$37,$B46,E$38)</f>
        <v>*KEY_ERR</v>
      </c>
      <c r="F46" s="1" t="str">
        <f ca="1">_xll.DBR($C$37,$B46,F$38)</f>
        <v>*KEY_ERR</v>
      </c>
      <c r="G46" s="1" t="str">
        <f ca="1">_xll.DBR($C$37,$B46,G$38)</f>
        <v>*KEY_ERR</v>
      </c>
      <c r="H46" s="1" t="str">
        <f ca="1">_xll.DBR($C$37,$B46,H$38)</f>
        <v>*KEY_ERR</v>
      </c>
    </row>
    <row r="47" spans="2:20" hidden="1" outlineLevel="1" x14ac:dyDescent="0.25">
      <c r="B47" s="1" t="s">
        <v>69</v>
      </c>
      <c r="C47" s="1" t="str">
        <f ca="1">_xll.DBR($C$37,$B47,C$38)</f>
        <v>*KEY_ERR</v>
      </c>
      <c r="D47" s="1" t="str">
        <f ca="1">_xll.DBR($C$37,$B47,D$38)</f>
        <v>*KEY_ERR</v>
      </c>
      <c r="E47" s="1" t="str">
        <f ca="1">_xll.DBR($C$37,$B47,E$38)</f>
        <v>*KEY_ERR</v>
      </c>
      <c r="F47" s="1" t="str">
        <f ca="1">_xll.DBR($C$37,$B47,F$38)</f>
        <v>*KEY_ERR</v>
      </c>
      <c r="G47" s="1" t="str">
        <f ca="1">_xll.DBR($C$37,$B47,G$38)</f>
        <v>*KEY_ERR</v>
      </c>
      <c r="H47" s="1" t="str">
        <f ca="1">_xll.DBR($C$37,$B47,H$38)</f>
        <v>*KEY_ERR</v>
      </c>
    </row>
    <row r="48" spans="2:20" hidden="1" outlineLevel="1" x14ac:dyDescent="0.25"/>
    <row r="49" spans="12:21" hidden="1" outlineLevel="1" x14ac:dyDescent="0.25"/>
    <row r="50" spans="12:21" hidden="1" outlineLevel="1" x14ac:dyDescent="0.25"/>
    <row r="51" spans="12:21" hidden="1" outlineLevel="1" x14ac:dyDescent="0.25"/>
    <row r="52" spans="12:21" ht="34.5" customHeight="1" collapsed="1" x14ac:dyDescent="0.25">
      <c r="L52" s="20"/>
      <c r="M52" s="20"/>
      <c r="N52" s="20"/>
      <c r="O52" s="20"/>
      <c r="P52" s="20"/>
      <c r="Q52" s="20"/>
      <c r="R52" s="20"/>
      <c r="S52" s="20"/>
      <c r="T52" s="20"/>
      <c r="U52" s="23" t="s">
        <v>37</v>
      </c>
    </row>
    <row r="53" spans="12:21" ht="4.5" customHeight="1" x14ac:dyDescent="0.25"/>
    <row r="54" spans="12:21" ht="24.75" customHeight="1" x14ac:dyDescent="0.25"/>
    <row r="55" spans="12:21" ht="1.5" customHeight="1" x14ac:dyDescent="0.25">
      <c r="L55" s="20"/>
      <c r="M55" s="20"/>
      <c r="N55" s="20"/>
      <c r="O55" s="20"/>
      <c r="P55" s="20"/>
      <c r="Q55" s="20"/>
      <c r="R55" s="20"/>
      <c r="S55" s="20"/>
      <c r="T55" s="20"/>
      <c r="U55" s="20"/>
    </row>
    <row r="56" spans="12:21" ht="5.0999999999999996" customHeight="1" x14ac:dyDescent="0.25"/>
    <row r="57" spans="12:21" x14ac:dyDescent="0.25">
      <c r="M57" s="11" t="s">
        <v>54</v>
      </c>
    </row>
    <row r="58" spans="12:21" x14ac:dyDescent="0.25">
      <c r="M58" s="11" t="s">
        <v>18</v>
      </c>
    </row>
    <row r="59" spans="12:21" ht="5.0999999999999996" customHeight="1" x14ac:dyDescent="0.25"/>
    <row r="60" spans="12:21" x14ac:dyDescent="0.25">
      <c r="N60" s="22" t="s">
        <v>19</v>
      </c>
      <c r="T60" s="22" t="s">
        <v>20</v>
      </c>
    </row>
    <row r="61" spans="12:21" x14ac:dyDescent="0.25">
      <c r="M61" s="12" t="s">
        <v>21</v>
      </c>
      <c r="N61" s="34" t="str">
        <f ca="1">_xll.SUBNM(db_name&amp;":headline year","sys_all-n",$C$30)</f>
        <v/>
      </c>
      <c r="S61" s="12" t="s">
        <v>55</v>
      </c>
      <c r="T61" s="35" t="s">
        <v>7</v>
      </c>
    </row>
    <row r="62" spans="12:21" x14ac:dyDescent="0.25">
      <c r="M62" s="12" t="s">
        <v>22</v>
      </c>
      <c r="N62" s="34" t="str">
        <f ca="1">_xll.SUBNM(db_name&amp;":scenario","sys_BudgetRound","current")</f>
        <v/>
      </c>
    </row>
    <row r="63" spans="12:21" x14ac:dyDescent="0.25">
      <c r="M63" s="12" t="s">
        <v>55</v>
      </c>
      <c r="N63" s="34" t="str">
        <f ca="1">_xll.SUBNM(db_name&amp;":programme","","Administered programmes","code and description")</f>
        <v/>
      </c>
    </row>
    <row r="64" spans="12:21" x14ac:dyDescent="0.25">
      <c r="M64" s="12" t="s">
        <v>23</v>
      </c>
      <c r="N64" s="34" t="str">
        <f ca="1">_xll.SUBNM(db_name&amp;":account","","9000130","code and description")</f>
        <v/>
      </c>
    </row>
    <row r="65" spans="1:22" x14ac:dyDescent="0.25">
      <c r="M65" s="12" t="s">
        <v>24</v>
      </c>
      <c r="N65" s="34" t="str">
        <f ca="1">_xll.SUBNM(db_name&amp;":movement account","","Total movement")</f>
        <v/>
      </c>
    </row>
    <row r="66" spans="1:22" ht="5.0999999999999996" customHeight="1" x14ac:dyDescent="0.25"/>
    <row r="67" spans="1:22" x14ac:dyDescent="0.25">
      <c r="F67" t="s">
        <v>25</v>
      </c>
      <c r="G67" t="s">
        <v>26</v>
      </c>
      <c r="M67" s="36" t="s">
        <v>32</v>
      </c>
      <c r="N67" s="36" t="s">
        <v>33</v>
      </c>
      <c r="P67" s="21"/>
      <c r="Q67" s="21"/>
      <c r="R67" s="21"/>
      <c r="S67" s="21" t="s">
        <v>27</v>
      </c>
      <c r="T67" s="13" t="s">
        <v>28</v>
      </c>
      <c r="U67" s="21"/>
    </row>
    <row r="68" spans="1:22" x14ac:dyDescent="0.25">
      <c r="E68" s="14"/>
      <c r="F68" s="15" t="str">
        <f ca="1">$N$64</f>
        <v/>
      </c>
      <c r="G68" s="16" t="s">
        <v>29</v>
      </c>
      <c r="H68" s="17" t="s">
        <v>30</v>
      </c>
      <c r="I68" s="17" t="s">
        <v>31</v>
      </c>
      <c r="J68" s="17" t="s">
        <v>31</v>
      </c>
      <c r="K68" s="17"/>
      <c r="L68" s="18"/>
      <c r="M68" s="37"/>
      <c r="N68" s="37"/>
      <c r="P68" s="21" t="s">
        <v>68</v>
      </c>
      <c r="Q68" s="21" t="s">
        <v>72</v>
      </c>
      <c r="R68" s="21" t="s">
        <v>73</v>
      </c>
      <c r="S68" s="21" t="str">
        <f ca="1">$S$33</f>
        <v/>
      </c>
      <c r="T68" s="19" t="str">
        <f ca="1">$S$33</f>
        <v/>
      </c>
      <c r="U68" s="21" t="s">
        <v>34</v>
      </c>
      <c r="V68" s="18"/>
    </row>
    <row r="69" spans="1:22" x14ac:dyDescent="0.25">
      <c r="A69" t="str">
        <f ca="1">IF(_xll.TM1RPTELISCONSOLIDATED($E$69,$E69),IF(_xll.TM1RPTELLEV($E$69,$E69)&lt;=3,_xll.TM1RPTELLEV($E$69,$E69),"D"),"N")</f>
        <v>N</v>
      </c>
      <c r="E69" s="27" t="str">
        <f ca="1">_xll.TM1RPTROW($C$12,db_name&amp;":programme","","","code and description",0,$C$14)</f>
        <v/>
      </c>
      <c r="F69" s="2" t="str">
        <f ca="1">_xll.DBRW($C$12,$N$61,$N$62,$C$20,$C$21,$N$65,$E69,$C$25,F$68,$F$34,$C$23,$C$24,$C$22)</f>
        <v/>
      </c>
      <c r="G69" s="2" t="str">
        <f ca="1">_xll.DBRW($C$12,$N$61,$N$62,$C$20,$C$21,$N$65,$E69,$C$25,G$68,$F$34,$C$23,$C$24,$C$22)</f>
        <v/>
      </c>
      <c r="H69" s="6" t="str">
        <f ca="1">_xll.DBR($C$34,$N$61,$N$62,$E69,H$68)</f>
        <v>*KEY_ERR</v>
      </c>
      <c r="I69" s="6" t="str">
        <f ca="1">_xll.DBR($C$34,$C$30,$C$31,$E69,I$68)</f>
        <v>*KEY_ERR</v>
      </c>
      <c r="J69" s="3" t="str">
        <f ca="1">_xll.DBRA(db_name&amp;":appropriation type",$I69,"code and description")</f>
        <v/>
      </c>
      <c r="K69" s="3"/>
      <c r="L69" s="3"/>
      <c r="M69" s="4" t="str">
        <f ca="1">$E69</f>
        <v/>
      </c>
      <c r="N69" s="4" t="str">
        <f ca="1">$J69</f>
        <v/>
      </c>
      <c r="O69" s="5"/>
      <c r="P69" s="32" t="str">
        <f ca="1">_xll.DBRW($D$13,$N$61,$N$62,$D$20,$D$21,$D$26,$E69,$D$25,$D$19,P$34,$D$23,$D$24,$D$22)</f>
        <v/>
      </c>
      <c r="Q69" s="32" t="str">
        <f ca="1">_xll.DBRW($D$13,$N$61,$N$62,$D$20,$D$21,$D$26,$E69,$D$25,$D$19,Q$34,$D$23,$D$24,$E$22)</f>
        <v/>
      </c>
      <c r="R69" s="32" t="str">
        <f ca="1">_xll.DBRW($D$13,$N$61,$N$62,$D$20,$D$21,$D$26,$E69,$D$25,$D$19,R$34,$D$23,$D$24,$F$22)</f>
        <v/>
      </c>
      <c r="S69" s="2" t="str">
        <f ca="1">_xll.DBRW($C$13,$N$61,$N$62,$C$20,$C$21,$N$65,$E69,$C$25,F$68,S$34,$C$23,$C$24,$C$22)</f>
        <v/>
      </c>
      <c r="T69" s="2" t="str">
        <f ca="1">_xll.DBRW($C$13,$N$61,$N$62,$C$20,$C$21,$N$65,$E69,$C$25,F$68,T$34,$C$23,$C$24,$C$22)</f>
        <v/>
      </c>
      <c r="U69" s="2" t="e">
        <f ca="1">S69-T69</f>
        <v>#VALUE!</v>
      </c>
      <c r="V69" s="3"/>
    </row>
  </sheetData>
  <sheetProtection sheet="1" objects="1" scenarios="1"/>
  <mergeCells count="7">
    <mergeCell ref="M67:M68"/>
    <mergeCell ref="N67:N68"/>
    <mergeCell ref="B36:C36"/>
    <mergeCell ref="B10:C10"/>
    <mergeCell ref="B18:C18"/>
    <mergeCell ref="B28:C28"/>
    <mergeCell ref="B33:C33"/>
  </mergeCells>
  <conditionalFormatting sqref="U2">
    <cfRule type="cellIs" dxfId="2" priority="31" operator="notEqual">
      <formula>0</formula>
    </cfRule>
  </conditionalFormatting>
  <conditionalFormatting sqref="U7">
    <cfRule type="cellIs" dxfId="1" priority="32" operator="notEqual">
      <formula>0</formula>
    </cfRule>
  </conditionalFormatting>
  <conditionalFormatting sqref="U69">
    <cfRule type="cellIs" dxfId="0" priority="1" operator="notEqual">
      <formula>0</formula>
    </cfRule>
  </conditionalFormatting>
  <dataValidations count="1">
    <dataValidation type="list" allowBlank="1" showInputMessage="1" showErrorMessage="1" sqref="T61" xr:uid="{00000000-0002-0000-0000-000000000000}">
      <formula1>"By CBMS Prog,By Sub Prog"</formula1>
    </dataValidation>
  </dataValidations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31" r:id="rId4" name="TIButton6">
          <controlPr defaultSize="0" print="0" autoLine="0" autoPict="0" r:id="rId5">
            <anchor moveWithCells="1" sizeWithCells="1">
              <from>
                <xdr:col>12</xdr:col>
                <xdr:colOff>5067300</xdr:colOff>
                <xdr:row>53</xdr:row>
                <xdr:rowOff>0</xdr:rowOff>
              </from>
              <to>
                <xdr:col>13</xdr:col>
                <xdr:colOff>1190625</xdr:colOff>
                <xdr:row>53</xdr:row>
                <xdr:rowOff>247650</xdr:rowOff>
              </to>
            </anchor>
          </controlPr>
        </control>
      </mc:Choice>
      <mc:Fallback>
        <control shapeId="1031" r:id="rId4" name="TIButton6"/>
      </mc:Fallback>
    </mc:AlternateContent>
    <mc:AlternateContent xmlns:mc="http://schemas.openxmlformats.org/markup-compatibility/2006">
      <mc:Choice Requires="x14">
        <control shapeId="1030" r:id="rId6" name="TIButton5">
          <controlPr defaultSize="0" print="0" autoLine="0" autoPict="0" r:id="rId7">
            <anchor moveWithCells="1" sizeWithCells="1">
              <from>
                <xdr:col>12</xdr:col>
                <xdr:colOff>3533775</xdr:colOff>
                <xdr:row>53</xdr:row>
                <xdr:rowOff>0</xdr:rowOff>
              </from>
              <to>
                <xdr:col>12</xdr:col>
                <xdr:colOff>5038725</xdr:colOff>
                <xdr:row>53</xdr:row>
                <xdr:rowOff>247650</xdr:rowOff>
              </to>
            </anchor>
          </controlPr>
        </control>
      </mc:Choice>
      <mc:Fallback>
        <control shapeId="1030" r:id="rId6" name="TIButton5"/>
      </mc:Fallback>
    </mc:AlternateContent>
    <mc:AlternateContent xmlns:mc="http://schemas.openxmlformats.org/markup-compatibility/2006">
      <mc:Choice Requires="x14">
        <control shapeId="1029" r:id="rId8" name="TIButton4">
          <controlPr defaultSize="0" print="0" autoLine="0" autoPict="0" r:id="rId9">
            <anchor moveWithCells="1" sizeWithCells="1">
              <from>
                <xdr:col>12</xdr:col>
                <xdr:colOff>1990725</xdr:colOff>
                <xdr:row>53</xdr:row>
                <xdr:rowOff>0</xdr:rowOff>
              </from>
              <to>
                <xdr:col>12</xdr:col>
                <xdr:colOff>3495675</xdr:colOff>
                <xdr:row>53</xdr:row>
                <xdr:rowOff>247650</xdr:rowOff>
              </to>
            </anchor>
          </controlPr>
        </control>
      </mc:Choice>
      <mc:Fallback>
        <control shapeId="1029" r:id="rId8" name="TIButton4"/>
      </mc:Fallback>
    </mc:AlternateContent>
    <mc:AlternateContent xmlns:mc="http://schemas.openxmlformats.org/markup-compatibility/2006">
      <mc:Choice Requires="x14">
        <control shapeId="1026" r:id="rId10" name="TIButton1">
          <controlPr defaultSize="0" print="0" autoLine="0" autoPict="0" r:id="rId11">
            <anchor moveWithCells="1" sizeWithCells="1">
              <from>
                <xdr:col>12</xdr:col>
                <xdr:colOff>76200</xdr:colOff>
                <xdr:row>52</xdr:row>
                <xdr:rowOff>47625</xdr:rowOff>
              </from>
              <to>
                <xdr:col>12</xdr:col>
                <xdr:colOff>723900</xdr:colOff>
                <xdr:row>53</xdr:row>
                <xdr:rowOff>247650</xdr:rowOff>
              </to>
            </anchor>
          </controlPr>
        </control>
      </mc:Choice>
      <mc:Fallback>
        <control shapeId="1026" r:id="rId10" name="TIButton1"/>
      </mc:Fallback>
    </mc:AlternateContent>
    <mc:AlternateContent xmlns:mc="http://schemas.openxmlformats.org/markup-compatibility/2006">
      <mc:Choice Requires="x14">
        <control shapeId="1027" r:id="rId12" name="TIButton2">
          <controlPr defaultSize="0" print="0" autoLine="0" autoPict="0" r:id="rId13">
            <anchor moveWithCells="1" sizeWithCells="1">
              <from>
                <xdr:col>12</xdr:col>
                <xdr:colOff>762000</xdr:colOff>
                <xdr:row>53</xdr:row>
                <xdr:rowOff>0</xdr:rowOff>
              </from>
              <to>
                <xdr:col>12</xdr:col>
                <xdr:colOff>1971675</xdr:colOff>
                <xdr:row>53</xdr:row>
                <xdr:rowOff>247650</xdr:rowOff>
              </to>
            </anchor>
          </controlPr>
        </control>
      </mc:Choice>
      <mc:Fallback>
        <control shapeId="1027" r:id="rId12" name="TIButton2"/>
      </mc:Fallback>
    </mc:AlternateContent>
    <mc:AlternateContent xmlns:mc="http://schemas.openxmlformats.org/markup-compatibility/2006">
      <mc:Choice Requires="x14">
        <control shapeId="1028" r:id="rId14" name="TIButton3">
          <controlPr defaultSize="0" print="0" autoLine="0" autoPict="0" r:id="rId15">
            <anchor moveWithCells="1" sizeWithCells="1">
              <from>
                <xdr:col>13</xdr:col>
                <xdr:colOff>1219200</xdr:colOff>
                <xdr:row>53</xdr:row>
                <xdr:rowOff>0</xdr:rowOff>
              </from>
              <to>
                <xdr:col>13</xdr:col>
                <xdr:colOff>1847850</xdr:colOff>
                <xdr:row>53</xdr:row>
                <xdr:rowOff>247650</xdr:rowOff>
              </to>
            </anchor>
          </controlPr>
        </control>
      </mc:Choice>
      <mc:Fallback>
        <control shapeId="1028" r:id="rId14" name="TIButton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34</vt:i4>
      </vt:variant>
    </vt:vector>
  </HeadingPairs>
  <TitlesOfParts>
    <vt:vector size="35" baseType="lpstr">
      <vt:lpstr>summary</vt:lpstr>
      <vt:lpstr>db_name</vt:lpstr>
      <vt:lpstr>Freeze_here</vt:lpstr>
      <vt:lpstr>summary!Print_Titles</vt:lpstr>
      <vt:lpstr>psProgStatus_Display</vt:lpstr>
      <vt:lpstr>TM1MEBSDataEntryCAP</vt:lpstr>
      <vt:lpstr>TM1MEBSDataEntryWB</vt:lpstr>
      <vt:lpstr>TM1MEBSDataEntryWS</vt:lpstr>
      <vt:lpstr>TM1MECCMapCAP</vt:lpstr>
      <vt:lpstr>TM1MECCMapWB</vt:lpstr>
      <vt:lpstr>TM1MECCMapWS</vt:lpstr>
      <vt:lpstr>TM1MECFDataEntryCAP</vt:lpstr>
      <vt:lpstr>TM1MECFDataEntryWB</vt:lpstr>
      <vt:lpstr>TM1MECFDataEntryWS</vt:lpstr>
      <vt:lpstr>TM1MEDataEntryCAP</vt:lpstr>
      <vt:lpstr>TM1MEDataEntryWB</vt:lpstr>
      <vt:lpstr>TM1MEDataEntryWS</vt:lpstr>
      <vt:lpstr>TM1MEGLMapCAP</vt:lpstr>
      <vt:lpstr>TM1MEGLMapWB</vt:lpstr>
      <vt:lpstr>TM1MEGLMapWS</vt:lpstr>
      <vt:lpstr>TM1MEHomeCAP</vt:lpstr>
      <vt:lpstr>TM1MEHomeWB</vt:lpstr>
      <vt:lpstr>TM1MEHomeWS</vt:lpstr>
      <vt:lpstr>TM1MEOSDataEntryCAP</vt:lpstr>
      <vt:lpstr>TM1MEOSDataEntryWB</vt:lpstr>
      <vt:lpstr>TM1MEOSDataEntryWS</vt:lpstr>
      <vt:lpstr>TM1MESummaryCAP</vt:lpstr>
      <vt:lpstr>TM1MESummaryWB</vt:lpstr>
      <vt:lpstr>TM1MESummaryWS</vt:lpstr>
      <vt:lpstr>TM1MEUploadCAP</vt:lpstr>
      <vt:lpstr>TM1MEUploadWB</vt:lpstr>
      <vt:lpstr>TM1MEUploadWS</vt:lpstr>
      <vt:lpstr>summary!TM1RPTDATARNG1</vt:lpstr>
      <vt:lpstr>summary!TM1RPTFMTIDCOL</vt:lpstr>
      <vt:lpstr>summary!TM1RPTFMTRNG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2022-05-16T06:29:36Z</cp:lastPrinted>
  <dcterms:created xsi:type="dcterms:W3CDTF">2019-04-23T01:32:12Z</dcterms:created>
  <dcterms:modified xsi:type="dcterms:W3CDTF">2025-08-05T04:36:05Z</dcterms:modified>
</cp:coreProperties>
</file>