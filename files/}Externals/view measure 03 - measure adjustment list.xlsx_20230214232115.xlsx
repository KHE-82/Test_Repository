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3.bin" ContentType="application/vnd.ms-office.activeX"/>
  <Override PartName="/xl/activeX/activeX5.xml" ContentType="application/vnd.ms-office.activeX+xml"/>
  <Override PartName="/xl/activeX/activeX4.bin" ContentType="application/vnd.ms-office.activeX"/>
  <Override PartName="/xl/activeX/activeX6.xml" ContentType="application/vnd.ms-office.activeX+xml"/>
  <Override PartName="/xl/activeX/activeX5.bin" ContentType="application/vnd.ms-office.activeX"/>
  <Override PartName="/xl/activeX/activeX7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5DC94B50-7F95-4432-A645-E6210E2E0876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easure adj list" sheetId="1" r:id="rId1"/>
    <sheet name="{PL}PickLst" sheetId="7" state="hidden" r:id="rId2"/>
  </sheets>
  <definedNames>
    <definedName name="db_name">'measure adj list'!$C$12</definedName>
    <definedName name="psApp">'measure adj list'!$C$21</definedName>
    <definedName name="psHLYear">'measure adj list'!$C$56</definedName>
    <definedName name="psProgDimName">'measure adj list'!$C$44</definedName>
    <definedName name="psScenario">'measure adj list'!$C$57</definedName>
    <definedName name="psUser">'measure adj list'!$C$14</definedName>
    <definedName name="TM1BulkProcessCAP">'measure adj list'!$D$28</definedName>
    <definedName name="TM1BulkProcessWB">'measure adj list'!$F$28</definedName>
    <definedName name="TM1BulkProcessWS">'measure adj list'!$H$28</definedName>
    <definedName name="TM1EditMeas01CAP">'measure adj list'!$D$36</definedName>
    <definedName name="TM1EditMeas01WB">'measure adj list'!$F$36</definedName>
    <definedName name="TM1EditMeas01WS">'measure adj list'!$H$36</definedName>
    <definedName name="TM1HomeAECAP">'measure adj list'!$D$24</definedName>
    <definedName name="TM1HomeAEDataEntryCAP">'measure adj list'!$D$25</definedName>
    <definedName name="TM1HomeAEDataEntryWB">'measure adj list'!$F$25</definedName>
    <definedName name="TM1HomeAEDataEntryWS">'measure adj list'!$H$25</definedName>
    <definedName name="TM1HomeAEMeasuresCAP">'measure adj list'!$D$26</definedName>
    <definedName name="TM1HomeAEMeasuresWB">'measure adj list'!$F$26</definedName>
    <definedName name="TM1HomeAEMeasuresWS">'measure adj list'!$H$26</definedName>
    <definedName name="TM1HomeAEWB">'measure adj list'!$F$24</definedName>
    <definedName name="TM1HomeAEWS">'measure adj list'!$H$24</definedName>
    <definedName name="TM1HomeCAP">'measure adj list'!$D$23</definedName>
    <definedName name="TM1HomeRepCAP">'measure adj list'!$D$27</definedName>
    <definedName name="TM1HomeRepWB">'measure adj list'!$F$27</definedName>
    <definedName name="TM1HomeRepWS">'measure adj list'!$H$27</definedName>
    <definedName name="TM1HomeWB">'measure adj list'!$F$23</definedName>
    <definedName name="TM1HomeWS">'measure adj list'!$H$23</definedName>
    <definedName name="TM1MeasBulkCAP">'measure adj list'!$D$32</definedName>
    <definedName name="TM1MeasBulkWB">'measure adj list'!$F$32</definedName>
    <definedName name="TM1MeasBulkWS">'measure adj list'!$H$32</definedName>
    <definedName name="TM1MeasListCAP">'measure adj list'!$D$31</definedName>
    <definedName name="TM1MeasListWB">'measure adj list'!$F$31</definedName>
    <definedName name="TM1MeasListWS">'measure adj list'!$H$31</definedName>
    <definedName name="TM1NewMeas01HeaderCAP">'measure adj list'!$D$29</definedName>
    <definedName name="TM1NewMeas01HeaderWB">'measure adj list'!$F$29</definedName>
    <definedName name="TM1NewMeas01HeaderWS">'measure adj list'!$H$29</definedName>
    <definedName name="TM1REBUILDOPTION">1</definedName>
    <definedName name="TM1RPTDATARNG1" localSheetId="0">'measure adj list'!$113:$113</definedName>
    <definedName name="TM1RPTFMTIDCOL" localSheetId="0">'measure adj list'!$A$1:$A$8</definedName>
    <definedName name="TM1RPTFMTRNG" localSheetId="0">'measure adj list'!$J$1:$AJ$8</definedName>
    <definedName name="TM1ViewAdj01HeaderCAP">'measure adj list'!$D$35</definedName>
    <definedName name="TM1ViewAdj01HeaderWB">'measure adj list'!$F$35</definedName>
    <definedName name="TM1ViewAdj01HeaderWS">'measure adj list'!$H$35</definedName>
    <definedName name="TM1ViewMeas01HeaderCAP">'measure adj list'!$D$30</definedName>
    <definedName name="TM1ViewMeas01HeaderWB">'measure adj list'!$F$30</definedName>
    <definedName name="TM1ViewMeas01HeaderWS">'measure adj list'!$H$30</definedName>
    <definedName name="TM1ViewMeas02DetCAP">'measure adj list'!$D$33</definedName>
    <definedName name="TM1ViewMeas02DetWB">'measure adj list'!$F$33</definedName>
    <definedName name="TM1ViewMeas02DetWS">'measure adj list'!$H$33</definedName>
    <definedName name="TM1ViewMeas03AdjCAP">'measure adj list'!$D$34</definedName>
    <definedName name="TM1ViewMeas03AdjWB">'measure adj list'!$F$34</definedName>
    <definedName name="TM1ViewMeas03AdjWS">'measure adj list'!$H$34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1" i="1" l="1"/>
  <c r="F113" i="1"/>
  <c r="E113" i="1"/>
  <c r="D113" i="1"/>
  <c r="C113" i="1"/>
  <c r="C55" i="1"/>
  <c r="C14" i="1"/>
  <c r="C58" i="1"/>
  <c r="C63" i="1"/>
  <c r="B113" i="1"/>
  <c r="C56" i="1"/>
  <c r="C69" i="1"/>
  <c r="C57" i="1"/>
  <c r="C70" i="1"/>
  <c r="C71" i="1"/>
  <c r="C72" i="1"/>
  <c r="C73" i="1"/>
  <c r="C74" i="1"/>
  <c r="C75" i="1"/>
  <c r="C76" i="1"/>
  <c r="C77" i="1"/>
  <c r="C78" i="1"/>
  <c r="C79" i="1"/>
  <c r="AC57" i="1"/>
  <c r="AJ57" i="1"/>
  <c r="AJ113" i="1"/>
  <c r="AI57" i="1"/>
  <c r="AI113" i="1"/>
  <c r="AH57" i="1"/>
  <c r="AH113" i="1"/>
  <c r="AG57" i="1"/>
  <c r="AG113" i="1"/>
  <c r="AF57" i="1"/>
  <c r="AF113" i="1"/>
  <c r="AE57" i="1"/>
  <c r="AE113" i="1"/>
  <c r="C94" i="1"/>
  <c r="O113" i="1"/>
  <c r="AC113" i="1"/>
  <c r="Q113" i="1"/>
  <c r="AB113" i="1"/>
  <c r="N113" i="1"/>
  <c r="AA113" i="1"/>
  <c r="K113" i="1"/>
  <c r="Z113" i="1"/>
  <c r="C82" i="1"/>
  <c r="M113" i="1"/>
  <c r="Y113" i="1"/>
  <c r="L113" i="1"/>
  <c r="X113" i="1"/>
  <c r="I113" i="1"/>
  <c r="W113" i="1"/>
  <c r="J113" i="1"/>
  <c r="V113" i="1"/>
  <c r="U113" i="1"/>
  <c r="C83" i="1"/>
  <c r="H113" i="1"/>
  <c r="T113" i="1"/>
  <c r="S113" i="1"/>
  <c r="P113" i="1"/>
  <c r="A113" i="1"/>
  <c r="AJ112" i="1"/>
  <c r="AI112" i="1"/>
  <c r="AH112" i="1"/>
  <c r="AG112" i="1"/>
  <c r="AF112" i="1"/>
  <c r="AE112" i="1"/>
  <c r="C88" i="1"/>
  <c r="V109" i="1"/>
  <c r="C87" i="1"/>
  <c r="T109" i="1"/>
  <c r="C85" i="1"/>
  <c r="X108" i="1"/>
  <c r="C89" i="1"/>
  <c r="D89" i="1"/>
  <c r="V108" i="1"/>
  <c r="C86" i="1"/>
  <c r="T108" i="1"/>
  <c r="C90" i="1"/>
  <c r="V107" i="1"/>
  <c r="T107" i="1"/>
  <c r="C84" i="1"/>
  <c r="X106" i="1"/>
  <c r="V106" i="1"/>
  <c r="T106" i="1"/>
  <c r="C91" i="1"/>
  <c r="C62" i="1"/>
  <c r="C40" i="1"/>
  <c r="C52" i="1"/>
  <c r="C51" i="1"/>
  <c r="C50" i="1"/>
  <c r="C49" i="1"/>
  <c r="C48" i="1"/>
  <c r="C47" i="1"/>
  <c r="C46" i="1"/>
  <c r="C45" i="1"/>
  <c r="C44" i="1"/>
  <c r="C43" i="1"/>
  <c r="C42" i="1"/>
  <c r="C41" i="1"/>
  <c r="C20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C13" i="1"/>
  <c r="C15" i="1"/>
  <c r="C17" i="1"/>
  <c r="C16" i="1"/>
  <c r="A5" i="1"/>
  <c r="A4" i="1"/>
  <c r="A3" i="1"/>
  <c r="A2" i="1"/>
</calcChain>
</file>

<file path=xl/sharedStrings.xml><?xml version="1.0" encoding="utf-8"?>
<sst xmlns="http://schemas.openxmlformats.org/spreadsheetml/2006/main" count="141" uniqueCount="131">
  <si>
    <t>ID MDX</t>
  </si>
  <si>
    <t>Measure MDX</t>
  </si>
  <si>
    <t>Slice</t>
  </si>
  <si>
    <t>Active Form</t>
  </si>
  <si>
    <t>AE Adjustments</t>
  </si>
  <si>
    <t>geus measure code</t>
  </si>
  <si>
    <t>geus scenario</t>
  </si>
  <si>
    <t>Current User</t>
  </si>
  <si>
    <t>Number</t>
  </si>
  <si>
    <t>geus hlyear</t>
  </si>
  <si>
    <t>sys_Client Preference (used for filters)</t>
  </si>
  <si>
    <t>Appropriation</t>
  </si>
  <si>
    <t>Measure Title</t>
  </si>
  <si>
    <t>GEUS Program Code</t>
  </si>
  <si>
    <t>GEUS Adj Title</t>
  </si>
  <si>
    <t>CBMS Adj ID</t>
  </si>
  <si>
    <t>GEUS Adj ID</t>
  </si>
  <si>
    <t>Measure ID</t>
  </si>
  <si>
    <t>measure type</t>
  </si>
  <si>
    <t>programme code</t>
  </si>
  <si>
    <t>Control Type</t>
  </si>
  <si>
    <t>sys_measure title</t>
  </si>
  <si>
    <t>sys_title</t>
  </si>
  <si>
    <t>CBMS ID</t>
  </si>
  <si>
    <t>Costing ID</t>
  </si>
  <si>
    <t>Measure ID :</t>
  </si>
  <si>
    <t>Movement Account</t>
  </si>
  <si>
    <t>Account</t>
  </si>
  <si>
    <t>Status</t>
  </si>
  <si>
    <t>GEUS ID</t>
  </si>
  <si>
    <t>Measure Code</t>
  </si>
  <si>
    <t>Note : Highlight here to VIEW Adjustment</t>
  </si>
  <si>
    <t>Note : This screen only shows NEW adjustments made in the selected Headline Year and Scenario.</t>
  </si>
  <si>
    <t>Description</t>
  </si>
  <si>
    <t>Dec Date :</t>
  </si>
  <si>
    <t>Govt Dec :</t>
  </si>
  <si>
    <t>Active Form TM1RPTRow</t>
  </si>
  <si>
    <t>Status :</t>
  </si>
  <si>
    <t>Funding :</t>
  </si>
  <si>
    <t>Title</t>
  </si>
  <si>
    <t>CBMS Code :</t>
  </si>
  <si>
    <t>Measure</t>
  </si>
  <si>
    <t>Scenario :</t>
  </si>
  <si>
    <t>HL Year :</t>
  </si>
  <si>
    <t>VIEW</t>
  </si>
  <si>
    <t>jurisdiction</t>
  </si>
  <si>
    <t>AE ID Details</t>
  </si>
  <si>
    <t>policy entity</t>
  </si>
  <si>
    <t>CBMS</t>
  </si>
  <si>
    <t>active</t>
  </si>
  <si>
    <t>decision date</t>
  </si>
  <si>
    <t>government decision</t>
  </si>
  <si>
    <t>funding life</t>
  </si>
  <si>
    <t>measure description</t>
  </si>
  <si>
    <t>measure title</t>
  </si>
  <si>
    <t>}ElementAttributes_measure code</t>
  </si>
  <si>
    <t>government measures details</t>
  </si>
  <si>
    <t>Other Cube Views</t>
  </si>
  <si>
    <t>programme</t>
  </si>
  <si>
    <t>appropriation type</t>
  </si>
  <si>
    <t>spp</t>
  </si>
  <si>
    <t>reason</t>
  </si>
  <si>
    <t>function</t>
  </si>
  <si>
    <t>related entity</t>
  </si>
  <si>
    <t>outcome</t>
  </si>
  <si>
    <t>scenario</t>
  </si>
  <si>
    <t>{TM1FILTERBYLEVEL( {TM1DRILLDOWNMEMBER( {[movement account].[sys_Meas Movement Account]}, ALL, RECURSIVE )}, 0)}</t>
  </si>
  <si>
    <t>{TM1FILTERBYLEVEL( {TM1DRILLDOWNMEMBER( {[status].[data]}, ALL, RECURSIVE )}, 0)}</t>
  </si>
  <si>
    <t>Account MDX</t>
  </si>
  <si>
    <t>Header Details</t>
  </si>
  <si>
    <t>{TM1FILTERBYLEVEL( {TM1DRILLDOWNMEMBER( {[account].[sys_Meas Total Resourcing]}, ALL, RECURSIVE )}, 0)}</t>
  </si>
  <si>
    <t>{TM1FILTERBYLEVEL( {TM1DRILLDOWNMEMBER( {[status].[Total status]}, ALL, RECURSIVE )}, 0)}</t>
  </si>
  <si>
    <t>Status MDX</t>
  </si>
  <si>
    <t>Homepage - Reports</t>
  </si>
  <si>
    <t>Worksheet Name</t>
  </si>
  <si>
    <t>Workbook</t>
  </si>
  <si>
    <t>[End Format Range]</t>
  </si>
  <si>
    <t>Workbook Name</t>
  </si>
  <si>
    <t>Caption</t>
  </si>
  <si>
    <t>{TM1FILTERBYLEVEL( {TM1DRILLDOWNMEMBER( {[id].[New Adjustments]}, ALL, RECURSIVE )}, 0)}</t>
  </si>
  <si>
    <t>sys_Meas List Adjustment Status</t>
  </si>
  <si>
    <t>sys_Meas List Fiscal Balance Account</t>
  </si>
  <si>
    <t>sys_Meas List Underlying CashAccount</t>
  </si>
  <si>
    <t>sys_Meas List Movement Account</t>
  </si>
  <si>
    <t>sys_Meas List Capital Account</t>
  </si>
  <si>
    <t>sys_Meas List Operating Account</t>
  </si>
  <si>
    <t>sys_CBMSR GoLive Headline year</t>
  </si>
  <si>
    <t>Program Dimension Name</t>
  </si>
  <si>
    <t>Caption Name</t>
  </si>
  <si>
    <t>current budget round</t>
  </si>
  <si>
    <t>sys_Meas List Resourcing Account</t>
  </si>
  <si>
    <t>Application</t>
  </si>
  <si>
    <t>System Parameters</t>
  </si>
  <si>
    <t>N</t>
  </si>
  <si>
    <t>View</t>
  </si>
  <si>
    <t>sys_Application Cube</t>
  </si>
  <si>
    <t>headline scenario</t>
  </si>
  <si>
    <t>headline year</t>
  </si>
  <si>
    <t>Current Workbook</t>
  </si>
  <si>
    <t>Expenses</t>
  </si>
  <si>
    <t>Revenue</t>
  </si>
  <si>
    <t>Capital</t>
  </si>
  <si>
    <t>Measures - View Measure 03 - Adjustments</t>
  </si>
  <si>
    <t>GEUS User Name</t>
  </si>
  <si>
    <t>}TM1_DefaultDisplayValue</t>
  </si>
  <si>
    <t>TM1 User</t>
  </si>
  <si>
    <t>Client Attributes</t>
  </si>
  <si>
    <t>Database Name</t>
  </si>
  <si>
    <t>D</t>
  </si>
  <si>
    <t>[Begin Format Range]</t>
  </si>
  <si>
    <t>Worksheet</t>
  </si>
  <si>
    <t>appropriation item</t>
  </si>
  <si>
    <t>Cube View</t>
  </si>
  <si>
    <t>Adjustment - Bulk Process</t>
  </si>
  <si>
    <t>Measures - Measure List</t>
  </si>
  <si>
    <t>Homepage - Annual Estimates</t>
  </si>
  <si>
    <t>Measures - Edit Measure 01 - Header Details</t>
  </si>
  <si>
    <t>Measures - View Measure 02 - Details</t>
  </si>
  <si>
    <t>Measures - View Measure 01 - Header Details</t>
  </si>
  <si>
    <t>Homepage - Annual Estimates - Measures</t>
  </si>
  <si>
    <t>Data Entry - View Adj 01 - Header Details</t>
  </si>
  <si>
    <t>Measures - Bulk Process</t>
  </si>
  <si>
    <t>Measures - New Measure 01 - Header Details</t>
  </si>
  <si>
    <t>Homepage - Annual Estimates - Data Entry</t>
  </si>
  <si>
    <t>Note : Only adjustments with 'Approved' or above are reflected in the Measure Details screen.</t>
  </si>
  <si>
    <t>Measure Adjustment List</t>
  </si>
  <si>
    <t>MA MDX</t>
  </si>
  <si>
    <t>Homepage - Home</t>
  </si>
  <si>
    <t xml:space="preserve">System Variable </t>
  </si>
  <si>
    <t>CBMS Measure Code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</si>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</sst>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[Red]* \(#,##0\)_-;_-* &quot;-&quot;??_-;_-@_-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58800012207406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/>
  </cellStyleXfs>
  <cellXfs count="36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1" fillId="0" borderId="1" xfId="6" applyBorder="1"/>
    <xf numFmtId="0" fontId="0" fillId="0" borderId="1" xfId="0" applyBorder="1" applyAlignment="1">
      <alignment horizontal="center"/>
    </xf>
    <xf numFmtId="0" fontId="11" fillId="0" borderId="0" xfId="6"/>
    <xf numFmtId="0" fontId="2" fillId="2" borderId="2" xfId="0" applyFont="1" applyFill="1" applyBorder="1"/>
    <xf numFmtId="0" fontId="2" fillId="2" borderId="3" xfId="0" applyFont="1" applyFill="1" applyBorder="1"/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/>
    <xf numFmtId="0" fontId="6" fillId="3" borderId="0" xfId="0" applyFont="1" applyFill="1" applyAlignment="1">
      <alignment horizontal="right" vertical="center"/>
    </xf>
    <xf numFmtId="0" fontId="0" fillId="0" borderId="0" xfId="0" applyAlignment="1">
      <alignment wrapText="1"/>
    </xf>
    <xf numFmtId="0" fontId="6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center" wrapText="1"/>
    </xf>
    <xf numFmtId="0" fontId="2" fillId="0" borderId="2" xfId="0" applyFont="1" applyBorder="1"/>
    <xf numFmtId="0" fontId="0" fillId="0" borderId="2" xfId="0" applyBorder="1"/>
    <xf numFmtId="0" fontId="3" fillId="0" borderId="1" xfId="0" applyFont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/>
    <xf numFmtId="0" fontId="0" fillId="2" borderId="0" xfId="0" applyFill="1"/>
    <xf numFmtId="0" fontId="0" fillId="2" borderId="1" xfId="0" applyFill="1" applyBorder="1"/>
    <xf numFmtId="0" fontId="9" fillId="0" borderId="0" xfId="0" applyFont="1" applyAlignment="1">
      <alignment horizontal="right" indent="1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0" fillId="0" borderId="6" xfId="0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top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3" xfId="6" xr:uid="{00000000-0005-0000-0000-000006000000}"/>
    <cellStyle name="Percent" xfId="1" xr:uid="{00000000-0005-0000-0000-000001000000}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43"/>
  <ax:ocxPr ax:name="_ExtentY" ax:value="397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Meas02DetWB"/>
  <ax:ocxPr ax:name="TargetWorksheetName" ax:value="=TM1ViewMeas02DetWS"/>
  <ax:ocxPr ax:name="AutoTitles" ax:value="0"/>
  <ax:ocxPr ax:name="ReplaceWindow" ax:value="-1"/>
  <ax:ocxPr ax:name="IsMappingFormula" ax:value="0"/>
  <ax:ocxPr ax:name="TargetTypes" ax:value="0"/>
  <ax:ocxPr ax:name="TargetObjects" ax:value="measure code"/>
  <ax:ocxPr ax:name="TargetSubsets" ax:value=""/>
  <ax:ocxPr ax:name="TargetAliases" ax:value=""/>
  <ax:ocxPr ax:name="TargetValues" ax:value=""/>
  <ax:ocxPr ax:name="SourceTypes" ax:value="1"/>
  <ax:ocxPr ax:name="SourceObjects" ax:value="measure code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ViewMeas02Det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114300</xdr:colOff>
          <xdr:row>100</xdr:row>
          <xdr:rowOff>0</xdr:rowOff>
        </xdr:from>
        <xdr:to>
          <xdr:col>18</xdr:col>
          <xdr:colOff>838200</xdr:colOff>
          <xdr:row>100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38100</xdr:colOff>
          <xdr:row>100</xdr:row>
          <xdr:rowOff>0</xdr:rowOff>
        </xdr:from>
        <xdr:to>
          <xdr:col>20</xdr:col>
          <xdr:colOff>276225</xdr:colOff>
          <xdr:row>100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2419350</xdr:colOff>
          <xdr:row>100</xdr:row>
          <xdr:rowOff>0</xdr:rowOff>
        </xdr:from>
        <xdr:to>
          <xdr:col>23</xdr:col>
          <xdr:colOff>3200400</xdr:colOff>
          <xdr:row>100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476250</xdr:colOff>
          <xdr:row>100</xdr:row>
          <xdr:rowOff>0</xdr:rowOff>
        </xdr:from>
        <xdr:to>
          <xdr:col>22</xdr:col>
          <xdr:colOff>485775</xdr:colOff>
          <xdr:row>100</xdr:row>
          <xdr:rowOff>247650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76200</xdr:colOff>
          <xdr:row>100</xdr:row>
          <xdr:rowOff>0</xdr:rowOff>
        </xdr:from>
        <xdr:to>
          <xdr:col>23</xdr:col>
          <xdr:colOff>1419225</xdr:colOff>
          <xdr:row>100</xdr:row>
          <xdr:rowOff>247650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333375</xdr:colOff>
          <xdr:row>100</xdr:row>
          <xdr:rowOff>0</xdr:rowOff>
        </xdr:from>
        <xdr:to>
          <xdr:col>21</xdr:col>
          <xdr:colOff>409575</xdr:colOff>
          <xdr:row>100</xdr:row>
          <xdr:rowOff>247650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1447800</xdr:colOff>
          <xdr:row>100</xdr:row>
          <xdr:rowOff>0</xdr:rowOff>
        </xdr:from>
        <xdr:to>
          <xdr:col>23</xdr:col>
          <xdr:colOff>2371725</xdr:colOff>
          <xdr:row>100</xdr:row>
          <xdr:rowOff>247650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17</xdr:col>
      <xdr:colOff>28575</xdr:colOff>
      <xdr:row>98</xdr:row>
      <xdr:rowOff>28575</xdr:rowOff>
    </xdr:from>
    <xdr:to>
      <xdr:col>20</xdr:col>
      <xdr:colOff>91440</xdr:colOff>
      <xdr:row>98</xdr:row>
      <xdr:rowOff>474345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28575" y="28575"/>
          <a:ext cx="1819275" cy="4476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A282-1549-4761-B7AB-61AED30A3024}">
  <sheetPr codeName="Sheet1">
    <outlinePr showOutlineSymbols="0"/>
    <pageSetUpPr fitToPage="1"/>
  </sheetPr>
  <dimension ref="A1:AJ113"/>
  <sheetViews>
    <sheetView showGridLines="0" showRowColHeaders="0" tabSelected="1" showOutlineSymbols="0" topLeftCell="A99" workbookViewId="0">
      <pane xSplit="23" ySplit="14" topLeftCell="X113" activePane="bottomRight" state="frozen"/>
      <selection activeCell="R99" sqref="R99"/>
      <selection pane="topRight" activeCell="X99" sqref="X99"/>
      <selection pane="bottomLeft" activeCell="R111" sqref="R111"/>
      <selection pane="bottomRight"/>
    </sheetView>
  </sheetViews>
  <sheetFormatPr defaultRowHeight="15" outlineLevelRow="1" outlineLevelCol="1" x14ac:dyDescent="0.25"/>
  <cols>
    <col min="1" max="1" width="2.7109375" hidden="1" customWidth="1" outlineLevel="1"/>
    <col min="2" max="6" width="20.28515625" hidden="1" customWidth="1" outlineLevel="1"/>
    <col min="7" max="7" width="10.5703125" hidden="1" customWidth="1" outlineLevel="1"/>
    <col min="8" max="8" width="13.5703125" hidden="1" customWidth="1" outlineLevel="1"/>
    <col min="9" max="9" width="9.140625" hidden="1" customWidth="1" outlineLevel="1"/>
    <col min="10" max="10" width="14.28515625" hidden="1" customWidth="1" outlineLevel="1"/>
    <col min="11" max="11" width="20.7109375" hidden="1" customWidth="1" outlineLevel="1"/>
    <col min="12" max="12" width="14.28515625" hidden="1" customWidth="1" outlineLevel="1"/>
    <col min="13" max="13" width="53" hidden="1" customWidth="1" outlineLevel="1"/>
    <col min="14" max="14" width="11" hidden="1" customWidth="1" outlineLevel="1"/>
    <col min="15" max="15" width="15.28515625" hidden="1" customWidth="1" outlineLevel="1"/>
    <col min="16" max="16" width="11.85546875" hidden="1" customWidth="1" outlineLevel="1"/>
    <col min="17" max="17" width="18.42578125" hidden="1" customWidth="1" outlineLevel="1"/>
    <col min="18" max="18" width="0.85546875" customWidth="1" collapsed="1"/>
    <col min="19" max="20" width="12.7109375" customWidth="1"/>
    <col min="21" max="21" width="12.7109375" style="13" customWidth="1"/>
    <col min="22" max="22" width="13.7109375" customWidth="1"/>
    <col min="23" max="23" width="12.7109375" customWidth="1"/>
    <col min="24" max="24" width="60.7109375" customWidth="1"/>
    <col min="25" max="25" width="40.7109375" hidden="1" customWidth="1"/>
    <col min="26" max="26" width="20.7109375" customWidth="1"/>
    <col min="27" max="27" width="15.7109375" customWidth="1"/>
    <col min="28" max="29" width="20.7109375" customWidth="1"/>
    <col min="30" max="30" width="0.85546875" customWidth="1"/>
    <col min="31" max="36" width="15.7109375" customWidth="1"/>
  </cols>
  <sheetData>
    <row r="1" spans="1:36" ht="14.45" hidden="1" customHeight="1" outlineLevel="1" x14ac:dyDescent="0.25">
      <c r="A1" t="s">
        <v>109</v>
      </c>
    </row>
    <row r="2" spans="1:36" ht="14.45" hidden="1" customHeight="1" outlineLevel="1" x14ac:dyDescent="0.25">
      <c r="A2">
        <f>0</f>
        <v>0</v>
      </c>
      <c r="J2" s="16"/>
      <c r="S2" s="19"/>
      <c r="T2" s="19"/>
      <c r="U2" s="20"/>
      <c r="V2" s="18"/>
      <c r="W2" s="18"/>
      <c r="X2" s="18"/>
      <c r="Y2" s="18"/>
      <c r="Z2" s="21"/>
      <c r="AA2" s="21"/>
      <c r="AB2" s="18"/>
      <c r="AC2" s="18"/>
      <c r="AE2" s="22"/>
      <c r="AF2" s="22"/>
      <c r="AG2" s="22"/>
      <c r="AH2" s="22"/>
      <c r="AI2" s="22"/>
      <c r="AJ2" s="22"/>
    </row>
    <row r="3" spans="1:36" ht="14.45" hidden="1" customHeight="1" outlineLevel="1" x14ac:dyDescent="0.25">
      <c r="A3">
        <f>1</f>
        <v>1</v>
      </c>
      <c r="J3" s="17"/>
      <c r="S3" s="19"/>
      <c r="T3" s="19"/>
      <c r="U3" s="20"/>
      <c r="V3" s="18"/>
      <c r="W3" s="18"/>
      <c r="X3" s="18"/>
      <c r="Y3" s="18"/>
      <c r="Z3" s="21"/>
      <c r="AA3" s="21"/>
      <c r="AB3" s="18"/>
      <c r="AC3" s="18"/>
      <c r="AE3" s="22"/>
      <c r="AF3" s="22"/>
      <c r="AG3" s="22"/>
      <c r="AH3" s="22"/>
      <c r="AI3" s="22"/>
      <c r="AJ3" s="22"/>
    </row>
    <row r="4" spans="1:36" ht="14.45" hidden="1" customHeight="1" outlineLevel="1" x14ac:dyDescent="0.25">
      <c r="A4">
        <f>2</f>
        <v>2</v>
      </c>
      <c r="J4" s="17"/>
      <c r="S4" s="19"/>
      <c r="T4" s="19"/>
      <c r="U4" s="20"/>
      <c r="V4" s="18"/>
      <c r="W4" s="18"/>
      <c r="X4" s="18"/>
      <c r="Y4" s="18"/>
      <c r="Z4" s="21"/>
      <c r="AA4" s="21"/>
      <c r="AB4" s="18"/>
      <c r="AC4" s="18"/>
      <c r="AE4" s="22"/>
      <c r="AF4" s="22"/>
      <c r="AG4" s="22"/>
      <c r="AH4" s="22"/>
      <c r="AI4" s="22"/>
      <c r="AJ4" s="22"/>
    </row>
    <row r="5" spans="1:36" ht="14.45" hidden="1" customHeight="1" outlineLevel="1" x14ac:dyDescent="0.25">
      <c r="A5">
        <f>3</f>
        <v>3</v>
      </c>
      <c r="J5" s="17"/>
      <c r="S5" s="19"/>
      <c r="T5" s="19"/>
      <c r="U5" s="20"/>
      <c r="V5" s="18"/>
      <c r="W5" s="18"/>
      <c r="X5" s="18"/>
      <c r="Y5" s="18"/>
      <c r="Z5" s="21"/>
      <c r="AA5" s="21"/>
      <c r="AB5" s="18"/>
      <c r="AC5" s="18"/>
      <c r="AE5" s="22"/>
      <c r="AF5" s="22"/>
      <c r="AG5" s="22"/>
      <c r="AH5" s="22"/>
      <c r="AI5" s="22"/>
      <c r="AJ5" s="22"/>
    </row>
    <row r="6" spans="1:36" ht="14.45" hidden="1" customHeight="1" outlineLevel="1" x14ac:dyDescent="0.25">
      <c r="A6" t="s">
        <v>108</v>
      </c>
      <c r="J6" s="17"/>
      <c r="S6" s="19"/>
      <c r="T6" s="19"/>
      <c r="U6" s="20"/>
      <c r="V6" s="18"/>
      <c r="W6" s="18"/>
      <c r="X6" s="18"/>
      <c r="Y6" s="18"/>
      <c r="Z6" s="21"/>
      <c r="AA6" s="21"/>
      <c r="AB6" s="18"/>
      <c r="AC6" s="18"/>
      <c r="AE6" s="22"/>
      <c r="AF6" s="22"/>
      <c r="AG6" s="22"/>
      <c r="AH6" s="22"/>
      <c r="AI6" s="22"/>
      <c r="AJ6" s="22"/>
    </row>
    <row r="7" spans="1:36" ht="14.45" hidden="1" customHeight="1" outlineLevel="1" x14ac:dyDescent="0.25">
      <c r="A7" t="s">
        <v>93</v>
      </c>
      <c r="J7" s="17"/>
      <c r="S7" s="19"/>
      <c r="T7" s="19"/>
      <c r="U7" s="20"/>
      <c r="V7" s="18"/>
      <c r="W7" s="18"/>
      <c r="X7" s="18"/>
      <c r="Y7" s="18"/>
      <c r="Z7" s="21"/>
      <c r="AA7" s="21"/>
      <c r="AB7" s="18"/>
      <c r="AC7" s="18"/>
      <c r="AE7" s="22"/>
      <c r="AF7" s="22"/>
      <c r="AG7" s="22"/>
      <c r="AH7" s="22"/>
      <c r="AI7" s="22"/>
      <c r="AJ7" s="22"/>
    </row>
    <row r="8" spans="1:36" ht="14.45" hidden="1" customHeight="1" outlineLevel="1" x14ac:dyDescent="0.25">
      <c r="A8" t="s">
        <v>76</v>
      </c>
    </row>
    <row r="9" spans="1:36" ht="14.45" hidden="1" customHeight="1" outlineLevel="1" x14ac:dyDescent="0.25"/>
    <row r="10" spans="1:36" ht="14.45" hidden="1" customHeight="1" outlineLevel="1" x14ac:dyDescent="0.25"/>
    <row r="11" spans="1:36" ht="14.45" hidden="1" customHeight="1" outlineLevel="1" x14ac:dyDescent="0.25">
      <c r="B11" s="31" t="s">
        <v>92</v>
      </c>
      <c r="C11" s="32"/>
    </row>
    <row r="12" spans="1:36" ht="14.45" hidden="1" customHeight="1" outlineLevel="1" x14ac:dyDescent="0.25">
      <c r="B12" s="2" t="s">
        <v>107</v>
      </c>
      <c r="C12" s="3" t="s">
        <v>130</v>
      </c>
    </row>
    <row r="13" spans="1:36" ht="14.45" hidden="1" customHeight="1" outlineLevel="1" x14ac:dyDescent="0.25">
      <c r="B13" s="4" t="s">
        <v>106</v>
      </c>
      <c r="C13" s="3" t="str">
        <f ca="1">_xll.VIEW((db_name&amp;":}ElementAttributes_}Clients"),"!","!")</f>
        <v>dcceew_geus:}ElementAttributes_}Clients</v>
      </c>
    </row>
    <row r="14" spans="1:36" ht="14.45" hidden="1" customHeight="1" outlineLevel="1" x14ac:dyDescent="0.25">
      <c r="B14" s="2" t="s">
        <v>105</v>
      </c>
      <c r="C14" s="5" t="str">
        <f ca="1">_xll.TM1USER(db_name)</f>
        <v/>
      </c>
    </row>
    <row r="15" spans="1:36" ht="14.45" hidden="1" customHeight="1" outlineLevel="1" x14ac:dyDescent="0.25">
      <c r="B15" s="2" t="s">
        <v>104</v>
      </c>
      <c r="C15" s="5" t="str">
        <f ca="1">_xll.DBR($C$13,$C$14,$B15)</f>
        <v>*KEY_ERR</v>
      </c>
    </row>
    <row r="16" spans="1:36" ht="14.45" hidden="1" customHeight="1" outlineLevel="1" x14ac:dyDescent="0.25">
      <c r="B16" s="2" t="s">
        <v>103</v>
      </c>
      <c r="C16" s="5" t="str">
        <f ca="1">_xll.DBR($C$13,$C$14,$B16)</f>
        <v>*KEY_ERR</v>
      </c>
    </row>
    <row r="17" spans="2:8" ht="14.45" hidden="1" customHeight="1" outlineLevel="1" x14ac:dyDescent="0.25">
      <c r="B17" s="2" t="s">
        <v>7</v>
      </c>
      <c r="C17" s="5" t="str">
        <f ca="1">IF((LEFT($C$15,6)="CAM_AD"),$C$16,$C$15)</f>
        <v>*KEY_ERR</v>
      </c>
    </row>
    <row r="18" spans="2:8" ht="14.45" hidden="1" customHeight="1" outlineLevel="1" x14ac:dyDescent="0.25"/>
    <row r="19" spans="2:8" ht="14.45" hidden="1" customHeight="1" outlineLevel="1" x14ac:dyDescent="0.25">
      <c r="B19" s="31" t="s">
        <v>95</v>
      </c>
      <c r="C19" s="32"/>
      <c r="D19" s="6"/>
      <c r="E19" s="6"/>
      <c r="F19" s="6"/>
      <c r="G19" s="6"/>
      <c r="H19" s="6"/>
    </row>
    <row r="20" spans="2:8" ht="14.45" hidden="1" customHeight="1" outlineLevel="1" x14ac:dyDescent="0.25">
      <c r="B20" s="3" t="s">
        <v>94</v>
      </c>
      <c r="C20" s="3" t="str">
        <f ca="1">_xll.VIEW((db_name&amp;":sys_application"),"!","!")</f>
        <v>dcceew_geus:sys_application</v>
      </c>
      <c r="D20" s="6"/>
      <c r="E20" s="6"/>
      <c r="F20" s="6"/>
      <c r="G20" s="6"/>
      <c r="H20" s="6"/>
    </row>
    <row r="21" spans="2:8" ht="14.45" hidden="1" customHeight="1" outlineLevel="1" x14ac:dyDescent="0.25">
      <c r="B21" s="3" t="s">
        <v>98</v>
      </c>
      <c r="C21" s="3" t="s">
        <v>102</v>
      </c>
      <c r="D21" s="6"/>
      <c r="E21" s="6"/>
      <c r="F21" s="6"/>
      <c r="G21" s="6"/>
      <c r="H21" s="6"/>
    </row>
    <row r="22" spans="2:8" ht="14.45" hidden="1" customHeight="1" outlineLevel="1" x14ac:dyDescent="0.25">
      <c r="B22" s="7" t="s">
        <v>91</v>
      </c>
      <c r="C22" s="8" t="s">
        <v>88</v>
      </c>
      <c r="D22" s="8" t="s">
        <v>78</v>
      </c>
      <c r="E22" s="8" t="s">
        <v>77</v>
      </c>
      <c r="F22" s="8" t="s">
        <v>75</v>
      </c>
      <c r="G22" s="8" t="s">
        <v>74</v>
      </c>
      <c r="H22" s="8" t="s">
        <v>110</v>
      </c>
    </row>
    <row r="23" spans="2:8" ht="14.45" hidden="1" customHeight="1" outlineLevel="1" x14ac:dyDescent="0.25">
      <c r="B23" s="3" t="s">
        <v>127</v>
      </c>
      <c r="C23" s="3" t="str">
        <f ca="1">_xll.DBR($C$20,$B23,C$22)</f>
        <v>*KEY_ERR</v>
      </c>
      <c r="D23" s="3" t="str">
        <f ca="1">_xll.DBR($C$20,$B23,D$22)</f>
        <v>*KEY_ERR</v>
      </c>
      <c r="E23" s="3" t="str">
        <f ca="1">_xll.DBR($C$20,$B23,E$22)</f>
        <v>*KEY_ERR</v>
      </c>
      <c r="F23" s="3" t="str">
        <f ca="1">_xll.DBR($C$20,$B23,F$22)</f>
        <v>*KEY_ERR</v>
      </c>
      <c r="G23" s="3" t="str">
        <f ca="1">_xll.DBR($C$20,$B23,G$22)</f>
        <v>*KEY_ERR</v>
      </c>
      <c r="H23" s="3" t="str">
        <f ca="1">_xll.DBR($C$20,$B23,H$22)</f>
        <v>*KEY_ERR</v>
      </c>
    </row>
    <row r="24" spans="2:8" ht="14.45" hidden="1" customHeight="1" outlineLevel="1" x14ac:dyDescent="0.25">
      <c r="B24" s="3" t="s">
        <v>115</v>
      </c>
      <c r="C24" s="3" t="str">
        <f ca="1">_xll.DBR($C$20,$B24,C$22)</f>
        <v>*KEY_ERR</v>
      </c>
      <c r="D24" s="3" t="str">
        <f ca="1">_xll.DBR($C$20,$B24,D$22)</f>
        <v>*KEY_ERR</v>
      </c>
      <c r="E24" s="3" t="str">
        <f ca="1">_xll.DBR($C$20,$B24,E$22)</f>
        <v>*KEY_ERR</v>
      </c>
      <c r="F24" s="3" t="str">
        <f ca="1">_xll.DBR($C$20,$B24,F$22)</f>
        <v>*KEY_ERR</v>
      </c>
      <c r="G24" s="3" t="str">
        <f ca="1">_xll.DBR($C$20,$B24,G$22)</f>
        <v>*KEY_ERR</v>
      </c>
      <c r="H24" s="3" t="str">
        <f ca="1">_xll.DBR($C$20,$B24,H$22)</f>
        <v>*KEY_ERR</v>
      </c>
    </row>
    <row r="25" spans="2:8" ht="14.45" hidden="1" customHeight="1" outlineLevel="1" x14ac:dyDescent="0.25">
      <c r="B25" s="3" t="s">
        <v>123</v>
      </c>
      <c r="C25" s="3" t="str">
        <f ca="1">_xll.DBR($C$20,$B25,C$22)</f>
        <v>*KEY_ERR</v>
      </c>
      <c r="D25" s="3" t="str">
        <f ca="1">_xll.DBR($C$20,$B25,D$22)</f>
        <v>*KEY_ERR</v>
      </c>
      <c r="E25" s="3" t="str">
        <f ca="1">_xll.DBR($C$20,$B25,E$22)</f>
        <v>*KEY_ERR</v>
      </c>
      <c r="F25" s="3" t="str">
        <f ca="1">_xll.DBR($C$20,$B25,F$22)</f>
        <v>*KEY_ERR</v>
      </c>
      <c r="G25" s="3" t="str">
        <f ca="1">_xll.DBR($C$20,$B25,G$22)</f>
        <v>*KEY_ERR</v>
      </c>
      <c r="H25" s="3" t="str">
        <f ca="1">_xll.DBR($C$20,$B25,H$22)</f>
        <v>*KEY_ERR</v>
      </c>
    </row>
    <row r="26" spans="2:8" ht="14.45" hidden="1" customHeight="1" outlineLevel="1" x14ac:dyDescent="0.25">
      <c r="B26" t="s">
        <v>119</v>
      </c>
      <c r="C26" s="3" t="str">
        <f ca="1">_xll.DBR($C$20,$B26,C$22)</f>
        <v>*KEY_ERR</v>
      </c>
      <c r="D26" s="3" t="str">
        <f ca="1">_xll.DBR($C$20,$B26,D$22)</f>
        <v>*KEY_ERR</v>
      </c>
      <c r="E26" s="3" t="str">
        <f ca="1">_xll.DBR($C$20,$B26,E$22)</f>
        <v>*KEY_ERR</v>
      </c>
      <c r="F26" s="3" t="str">
        <f ca="1">_xll.DBR($C$20,$B26,F$22)</f>
        <v>*KEY_ERR</v>
      </c>
      <c r="G26" s="3" t="str">
        <f ca="1">_xll.DBR($C$20,$B26,G$22)</f>
        <v>*KEY_ERR</v>
      </c>
      <c r="H26" s="3" t="str">
        <f ca="1">_xll.DBR($C$20,$B26,H$22)</f>
        <v>*KEY_ERR</v>
      </c>
    </row>
    <row r="27" spans="2:8" ht="14.45" hidden="1" customHeight="1" outlineLevel="1" x14ac:dyDescent="0.25">
      <c r="B27" s="3" t="s">
        <v>73</v>
      </c>
      <c r="C27" s="3" t="str">
        <f ca="1">_xll.DBR($C$20,$B27,C$22)</f>
        <v>*KEY_ERR</v>
      </c>
      <c r="D27" s="3" t="str">
        <f ca="1">_xll.DBR($C$20,$B27,D$22)</f>
        <v>*KEY_ERR</v>
      </c>
      <c r="E27" s="3" t="str">
        <f ca="1">_xll.DBR($C$20,$B27,E$22)</f>
        <v>*KEY_ERR</v>
      </c>
      <c r="F27" s="3" t="str">
        <f ca="1">_xll.DBR($C$20,$B27,F$22)</f>
        <v>*KEY_ERR</v>
      </c>
      <c r="G27" s="3" t="str">
        <f ca="1">_xll.DBR($C$20,$B27,G$22)</f>
        <v>*KEY_ERR</v>
      </c>
      <c r="H27" s="3" t="str">
        <f ca="1">_xll.DBR($C$20,$B27,H$22)</f>
        <v>*KEY_ERR</v>
      </c>
    </row>
    <row r="28" spans="2:8" ht="14.45" hidden="1" customHeight="1" outlineLevel="1" x14ac:dyDescent="0.25">
      <c r="B28" s="3" t="s">
        <v>113</v>
      </c>
      <c r="C28" s="3" t="str">
        <f ca="1">_xll.DBR($C$20,$B28,C$22)</f>
        <v>*KEY_ERR</v>
      </c>
      <c r="D28" s="3" t="str">
        <f ca="1">_xll.DBR($C$20,$B28,D$22)</f>
        <v>*KEY_ERR</v>
      </c>
      <c r="E28" s="3" t="str">
        <f ca="1">_xll.DBR($C$20,$B28,E$22)</f>
        <v>*KEY_ERR</v>
      </c>
      <c r="F28" s="3" t="str">
        <f ca="1">_xll.DBR($C$20,$B28,F$22)</f>
        <v>*KEY_ERR</v>
      </c>
      <c r="G28" s="3" t="str">
        <f ca="1">_xll.DBR($C$20,$B28,G$22)</f>
        <v>*KEY_ERR</v>
      </c>
      <c r="H28" s="3" t="str">
        <f ca="1">_xll.DBR($C$20,$B28,H$22)</f>
        <v>*KEY_ERR</v>
      </c>
    </row>
    <row r="29" spans="2:8" ht="14.45" hidden="1" customHeight="1" outlineLevel="1" x14ac:dyDescent="0.25">
      <c r="B29" s="3" t="s">
        <v>122</v>
      </c>
      <c r="C29" s="3" t="str">
        <f ca="1">_xll.DBR($C$20,$B29,C$22)</f>
        <v>*KEY_ERR</v>
      </c>
      <c r="D29" s="3" t="str">
        <f ca="1">_xll.DBR($C$20,$B29,D$22)</f>
        <v>*KEY_ERR</v>
      </c>
      <c r="E29" s="3" t="str">
        <f ca="1">_xll.DBR($C$20,$B29,E$22)</f>
        <v>*KEY_ERR</v>
      </c>
      <c r="F29" s="3" t="str">
        <f ca="1">_xll.DBR($C$20,$B29,F$22)</f>
        <v>*KEY_ERR</v>
      </c>
      <c r="G29" s="3" t="str">
        <f ca="1">_xll.DBR($C$20,$B29,G$22)</f>
        <v>*KEY_ERR</v>
      </c>
      <c r="H29" s="3" t="str">
        <f ca="1">_xll.DBR($C$20,$B29,H$22)</f>
        <v>*KEY_ERR</v>
      </c>
    </row>
    <row r="30" spans="2:8" ht="14.45" hidden="1" customHeight="1" outlineLevel="1" x14ac:dyDescent="0.25">
      <c r="B30" s="3" t="s">
        <v>118</v>
      </c>
      <c r="C30" s="3" t="str">
        <f ca="1">_xll.DBR($C$20,$B30,C$22)</f>
        <v>*KEY_ERR</v>
      </c>
      <c r="D30" s="3" t="str">
        <f ca="1">_xll.DBR($C$20,$B30,D$22)</f>
        <v>*KEY_ERR</v>
      </c>
      <c r="E30" s="3" t="str">
        <f ca="1">_xll.DBR($C$20,$B30,E$22)</f>
        <v>*KEY_ERR</v>
      </c>
      <c r="F30" s="3" t="str">
        <f ca="1">_xll.DBR($C$20,$B30,F$22)</f>
        <v>*KEY_ERR</v>
      </c>
      <c r="G30" s="3" t="str">
        <f ca="1">_xll.DBR($C$20,$B30,G$22)</f>
        <v>*KEY_ERR</v>
      </c>
      <c r="H30" s="3" t="str">
        <f ca="1">_xll.DBR($C$20,$B30,H$22)</f>
        <v>*KEY_ERR</v>
      </c>
    </row>
    <row r="31" spans="2:8" ht="14.45" hidden="1" customHeight="1" outlineLevel="1" x14ac:dyDescent="0.25">
      <c r="B31" s="3" t="s">
        <v>114</v>
      </c>
      <c r="C31" s="3" t="str">
        <f ca="1">_xll.DBR($C$20,$B31,C$22)</f>
        <v>*KEY_ERR</v>
      </c>
      <c r="D31" s="3" t="str">
        <f ca="1">_xll.DBR($C$20,$B31,D$22)</f>
        <v>*KEY_ERR</v>
      </c>
      <c r="E31" s="3" t="str">
        <f ca="1">_xll.DBR($C$20,$B31,E$22)</f>
        <v>*KEY_ERR</v>
      </c>
      <c r="F31" s="3" t="str">
        <f ca="1">_xll.DBR($C$20,$B31,F$22)</f>
        <v>*KEY_ERR</v>
      </c>
      <c r="G31" s="3" t="str">
        <f ca="1">_xll.DBR($C$20,$B31,G$22)</f>
        <v>*KEY_ERR</v>
      </c>
      <c r="H31" s="3" t="str">
        <f ca="1">_xll.DBR($C$20,$B31,H$22)</f>
        <v>*KEY_ERR</v>
      </c>
    </row>
    <row r="32" spans="2:8" ht="14.45" hidden="1" customHeight="1" outlineLevel="1" x14ac:dyDescent="0.25">
      <c r="B32" s="3" t="s">
        <v>121</v>
      </c>
      <c r="C32" s="3" t="str">
        <f ca="1">_xll.DBR($C$20,$B32,C$22)</f>
        <v>*KEY_ERR</v>
      </c>
      <c r="D32" s="3" t="str">
        <f ca="1">_xll.DBR($C$20,$B32,D$22)</f>
        <v>*KEY_ERR</v>
      </c>
      <c r="E32" s="3" t="str">
        <f ca="1">_xll.DBR($C$20,$B32,E$22)</f>
        <v>*KEY_ERR</v>
      </c>
      <c r="F32" s="3" t="str">
        <f ca="1">_xll.DBR($C$20,$B32,F$22)</f>
        <v>*KEY_ERR</v>
      </c>
      <c r="G32" s="3" t="str">
        <f ca="1">_xll.DBR($C$20,$B32,G$22)</f>
        <v>*KEY_ERR</v>
      </c>
      <c r="H32" s="3" t="str">
        <f ca="1">_xll.DBR($C$20,$B32,H$22)</f>
        <v>*KEY_ERR</v>
      </c>
    </row>
    <row r="33" spans="2:8" ht="14.45" hidden="1" customHeight="1" outlineLevel="1" x14ac:dyDescent="0.25">
      <c r="B33" s="3" t="s">
        <v>117</v>
      </c>
      <c r="C33" s="3" t="str">
        <f ca="1">_xll.DBR($C$20,$B33,C$22)</f>
        <v>*KEY_ERR</v>
      </c>
      <c r="D33" s="3" t="str">
        <f ca="1">_xll.DBR($C$20,$B33,D$22)</f>
        <v>*KEY_ERR</v>
      </c>
      <c r="E33" s="3" t="str">
        <f ca="1">_xll.DBR($C$20,$B33,E$22)</f>
        <v>*KEY_ERR</v>
      </c>
      <c r="F33" s="3" t="str">
        <f ca="1">_xll.DBR($C$20,$B33,F$22)</f>
        <v>*KEY_ERR</v>
      </c>
      <c r="G33" s="3" t="str">
        <f ca="1">_xll.DBR($C$20,$B33,G$22)</f>
        <v>*KEY_ERR</v>
      </c>
      <c r="H33" s="3" t="str">
        <f ca="1">_xll.DBR($C$20,$B33,H$22)</f>
        <v>*KEY_ERR</v>
      </c>
    </row>
    <row r="34" spans="2:8" ht="14.45" hidden="1" customHeight="1" outlineLevel="1" x14ac:dyDescent="0.25">
      <c r="B34" s="3" t="s">
        <v>102</v>
      </c>
      <c r="C34" s="3" t="str">
        <f ca="1">_xll.DBR($C$20,$B34,C$22)</f>
        <v>*KEY_ERR</v>
      </c>
      <c r="D34" s="3" t="str">
        <f ca="1">_xll.DBR($C$20,$B34,D$22)</f>
        <v>*KEY_ERR</v>
      </c>
      <c r="E34" s="3" t="str">
        <f ca="1">_xll.DBR($C$20,$B34,E$22)</f>
        <v>*KEY_ERR</v>
      </c>
      <c r="F34" s="3" t="str">
        <f ca="1">_xll.DBR($C$20,$B34,F$22)</f>
        <v>*KEY_ERR</v>
      </c>
      <c r="G34" s="3" t="str">
        <f ca="1">_xll.DBR($C$20,$B34,G$22)</f>
        <v>*KEY_ERR</v>
      </c>
      <c r="H34" s="3" t="str">
        <f ca="1">_xll.DBR($C$20,$B34,H$22)</f>
        <v>*KEY_ERR</v>
      </c>
    </row>
    <row r="35" spans="2:8" ht="14.45" hidden="1" customHeight="1" outlineLevel="1" x14ac:dyDescent="0.25">
      <c r="B35" s="3" t="s">
        <v>120</v>
      </c>
      <c r="C35" s="3" t="str">
        <f ca="1">_xll.DBR($C$20,$B35,C$22)</f>
        <v>*KEY_ERR</v>
      </c>
      <c r="D35" s="3" t="str">
        <f ca="1">_xll.DBR($C$20,$B35,D$22)</f>
        <v>*KEY_ERR</v>
      </c>
      <c r="E35" s="3" t="str">
        <f ca="1">_xll.DBR($C$20,$B35,E$22)</f>
        <v>*KEY_ERR</v>
      </c>
      <c r="F35" s="3" t="str">
        <f ca="1">_xll.DBR($C$20,$B35,F$22)</f>
        <v>*KEY_ERR</v>
      </c>
      <c r="G35" s="3" t="str">
        <f ca="1">_xll.DBR($C$20,$B35,G$22)</f>
        <v>*KEY_ERR</v>
      </c>
      <c r="H35" s="3" t="str">
        <f ca="1">_xll.DBR($C$20,$B35,H$22)</f>
        <v>*KEY_ERR</v>
      </c>
    </row>
    <row r="36" spans="2:8" ht="14.45" hidden="1" customHeight="1" outlineLevel="1" x14ac:dyDescent="0.25">
      <c r="B36" t="s">
        <v>116</v>
      </c>
      <c r="C36" s="3" t="str">
        <f ca="1">_xll.DBR($C$20,$B36,C$22)</f>
        <v>*KEY_ERR</v>
      </c>
      <c r="D36" s="3" t="str">
        <f ca="1">_xll.DBR($C$20,$B36,D$22)</f>
        <v>*KEY_ERR</v>
      </c>
      <c r="E36" s="3" t="str">
        <f ca="1">_xll.DBR($C$20,$B36,E$22)</f>
        <v>*KEY_ERR</v>
      </c>
      <c r="F36" s="3" t="str">
        <f ca="1">_xll.DBR($C$20,$B36,F$22)</f>
        <v>*KEY_ERR</v>
      </c>
      <c r="G36" s="3" t="str">
        <f ca="1">_xll.DBR($C$20,$B36,G$22)</f>
        <v>*KEY_ERR</v>
      </c>
      <c r="H36" s="3" t="str">
        <f ca="1">_xll.DBR($C$20,$B36,H$22)</f>
        <v>*KEY_ERR</v>
      </c>
    </row>
    <row r="37" spans="2:8" ht="14.45" hidden="1" customHeight="1" outlineLevel="1" x14ac:dyDescent="0.25"/>
    <row r="38" spans="2:8" ht="14.45" hidden="1" customHeight="1" outlineLevel="1" x14ac:dyDescent="0.25"/>
    <row r="39" spans="2:8" ht="14.45" hidden="1" customHeight="1" outlineLevel="1" x14ac:dyDescent="0.25">
      <c r="B39" s="31" t="s">
        <v>128</v>
      </c>
      <c r="C39" s="32"/>
    </row>
    <row r="40" spans="2:8" ht="14.45" hidden="1" customHeight="1" outlineLevel="1" x14ac:dyDescent="0.25">
      <c r="B40" s="2" t="s">
        <v>112</v>
      </c>
      <c r="C40" s="3" t="str">
        <f ca="1">_xll.VIEW((db_name&amp;":}ElementAttributes_variables"),"!","!")</f>
        <v>dcceew_geus:}ElementAttributes_variables</v>
      </c>
    </row>
    <row r="41" spans="2:8" ht="14.45" hidden="1" customHeight="1" outlineLevel="1" x14ac:dyDescent="0.25">
      <c r="B41" s="3" t="s">
        <v>97</v>
      </c>
      <c r="C41" s="3" t="str">
        <f ca="1">_xll.DBR($C$40,$B41,"value")</f>
        <v>*KEY_ERR</v>
      </c>
    </row>
    <row r="42" spans="2:8" ht="14.45" hidden="1" customHeight="1" outlineLevel="1" x14ac:dyDescent="0.25">
      <c r="B42" s="3" t="s">
        <v>96</v>
      </c>
      <c r="C42" s="3" t="str">
        <f ca="1">_xll.DBR($C$40,$B42,"value")</f>
        <v>*KEY_ERR</v>
      </c>
    </row>
    <row r="43" spans="2:8" ht="14.45" hidden="1" customHeight="1" outlineLevel="1" x14ac:dyDescent="0.25">
      <c r="B43" s="3" t="s">
        <v>89</v>
      </c>
      <c r="C43" s="3" t="str">
        <f ca="1">_xll.DBR($C$40,$B43,"value")</f>
        <v>*KEY_ERR</v>
      </c>
    </row>
    <row r="44" spans="2:8" ht="14.45" hidden="1" customHeight="1" outlineLevel="1" x14ac:dyDescent="0.25">
      <c r="B44" s="3" t="s">
        <v>87</v>
      </c>
      <c r="C44" s="3" t="str">
        <f ca="1">_xll.DBR($C$40,$B44,"value")</f>
        <v>*KEY_ERR</v>
      </c>
    </row>
    <row r="45" spans="2:8" ht="14.45" hidden="1" customHeight="1" outlineLevel="1" x14ac:dyDescent="0.25">
      <c r="B45" s="4" t="s">
        <v>86</v>
      </c>
      <c r="C45" s="3" t="str">
        <f ca="1">_xll.DBR($C$40,$B45,"value")</f>
        <v>*KEY_ERR</v>
      </c>
    </row>
    <row r="46" spans="2:8" ht="14.45" hidden="1" customHeight="1" outlineLevel="1" x14ac:dyDescent="0.25">
      <c r="B46" s="3" t="s">
        <v>85</v>
      </c>
      <c r="C46" s="3" t="str">
        <f ca="1">_xll.DBR($C$40,$B46,"value")</f>
        <v>*KEY_ERR</v>
      </c>
    </row>
    <row r="47" spans="2:8" ht="14.45" hidden="1" customHeight="1" outlineLevel="1" x14ac:dyDescent="0.25">
      <c r="B47" s="3" t="s">
        <v>84</v>
      </c>
      <c r="C47" s="3" t="str">
        <f ca="1">_xll.DBR($C$40,$B47,"value")</f>
        <v>*KEY_ERR</v>
      </c>
    </row>
    <row r="48" spans="2:8" ht="14.45" hidden="1" customHeight="1" outlineLevel="1" x14ac:dyDescent="0.25">
      <c r="B48" s="3" t="s">
        <v>83</v>
      </c>
      <c r="C48" s="3" t="str">
        <f ca="1">_xll.DBR($C$40,$B48,"value")</f>
        <v>*KEY_ERR</v>
      </c>
    </row>
    <row r="49" spans="2:36" ht="14.45" hidden="1" customHeight="1" outlineLevel="1" x14ac:dyDescent="0.25">
      <c r="B49" s="3" t="s">
        <v>82</v>
      </c>
      <c r="C49" s="3" t="str">
        <f ca="1">_xll.DBR($C$40,$B49,"value")</f>
        <v>*KEY_ERR</v>
      </c>
    </row>
    <row r="50" spans="2:36" ht="14.45" hidden="1" customHeight="1" outlineLevel="1" x14ac:dyDescent="0.25">
      <c r="B50" s="3" t="s">
        <v>81</v>
      </c>
      <c r="C50" s="3" t="str">
        <f ca="1">_xll.DBR($C$40,$B50,"value")</f>
        <v>*KEY_ERR</v>
      </c>
    </row>
    <row r="51" spans="2:36" ht="14.45" hidden="1" customHeight="1" outlineLevel="1" x14ac:dyDescent="0.25">
      <c r="B51" s="3" t="s">
        <v>90</v>
      </c>
      <c r="C51" s="3" t="str">
        <f ca="1">_xll.DBR($C$40,$B51,"value")</f>
        <v>*KEY_ERR</v>
      </c>
    </row>
    <row r="52" spans="2:36" ht="14.45" hidden="1" customHeight="1" outlineLevel="1" x14ac:dyDescent="0.25">
      <c r="B52" s="3" t="s">
        <v>80</v>
      </c>
      <c r="C52" s="3" t="str">
        <f ca="1">_xll.DBR($C$40,$B52,"value")</f>
        <v>*KEY_ERR</v>
      </c>
    </row>
    <row r="53" spans="2:36" ht="14.45" hidden="1" customHeight="1" outlineLevel="1" x14ac:dyDescent="0.25"/>
    <row r="54" spans="2:36" ht="14.45" hidden="1" customHeight="1" outlineLevel="1" x14ac:dyDescent="0.25">
      <c r="B54" s="31" t="s">
        <v>10</v>
      </c>
      <c r="C54" s="32"/>
    </row>
    <row r="55" spans="2:36" ht="14.45" hidden="1" customHeight="1" outlineLevel="1" x14ac:dyDescent="0.25">
      <c r="B55" s="2" t="s">
        <v>112</v>
      </c>
      <c r="C55" s="3" t="str">
        <f ca="1">_xll.VIEW((db_name&amp;":sys_client preference"),"!","!")</f>
        <v>dcceew_geus:sys_client preference</v>
      </c>
    </row>
    <row r="56" spans="2:36" ht="14.45" hidden="1" customHeight="1" outlineLevel="1" x14ac:dyDescent="0.25">
      <c r="B56" s="4" t="s">
        <v>9</v>
      </c>
      <c r="C56" s="3" t="str">
        <f ca="1">_xll.DBR($C$55,psUser,$B56,"value")</f>
        <v>*KEY_ERR</v>
      </c>
      <c r="AC56" s="23" t="s">
        <v>8</v>
      </c>
      <c r="AD56" s="23"/>
      <c r="AE56" s="24">
        <v>-1</v>
      </c>
      <c r="AF56" s="24">
        <v>0</v>
      </c>
      <c r="AG56" s="24">
        <v>1</v>
      </c>
      <c r="AH56" s="24">
        <v>2</v>
      </c>
      <c r="AI56" s="24">
        <v>3</v>
      </c>
      <c r="AJ56" s="24">
        <v>4</v>
      </c>
    </row>
    <row r="57" spans="2:36" ht="14.45" hidden="1" customHeight="1" outlineLevel="1" x14ac:dyDescent="0.25">
      <c r="B57" s="4" t="s">
        <v>6</v>
      </c>
      <c r="C57" s="3" t="str">
        <f ca="1">_xll.DBR($C$55,psUser,$B57,"value")</f>
        <v>*KEY_ERR</v>
      </c>
      <c r="AC57" s="23" t="str">
        <f ca="1">MID(psHLYear,3,9)</f>
        <v>EY_ERR</v>
      </c>
      <c r="AD57" s="23"/>
      <c r="AE57" s="24" t="str">
        <f ca="1">_xll.DIMNM((db_name&amp;":period"),(_xll.DIMIX((db_name&amp;":period"),$AC57)+AE56))</f>
        <v/>
      </c>
      <c r="AF57" s="24" t="str">
        <f ca="1">_xll.DIMNM((db_name&amp;":period"),(_xll.DIMIX((db_name&amp;":period"),$AC57)+AF56))</f>
        <v/>
      </c>
      <c r="AG57" s="24" t="str">
        <f ca="1">_xll.DIMNM((db_name&amp;":period"),(_xll.DIMIX((db_name&amp;":period"),$AC57)+AG56))</f>
        <v/>
      </c>
      <c r="AH57" s="24" t="str">
        <f ca="1">_xll.DIMNM((db_name&amp;":period"),(_xll.DIMIX((db_name&amp;":period"),$AC57)+AH56))</f>
        <v/>
      </c>
      <c r="AI57" s="24" t="str">
        <f ca="1">_xll.DIMNM((db_name&amp;":period"),(_xll.DIMIX((db_name&amp;":period"),$AC57)+AI56))</f>
        <v/>
      </c>
      <c r="AJ57" s="24" t="str">
        <f ca="1">_xll.DIMNM((db_name&amp;":period"),(_xll.DIMIX((db_name&amp;":period"),$AC57)+AJ56))</f>
        <v/>
      </c>
    </row>
    <row r="58" spans="2:36" ht="14.45" hidden="1" customHeight="1" outlineLevel="1" x14ac:dyDescent="0.25">
      <c r="B58" s="6" t="s">
        <v>5</v>
      </c>
      <c r="C58" s="3" t="str">
        <f ca="1">_xll.DBR($C$55,psUser,$B58,"value")</f>
        <v>*KEY_ERR</v>
      </c>
    </row>
    <row r="59" spans="2:36" ht="14.45" hidden="1" customHeight="1" outlineLevel="1" x14ac:dyDescent="0.25"/>
    <row r="60" spans="2:36" ht="14.45" hidden="1" customHeight="1" outlineLevel="1" x14ac:dyDescent="0.25">
      <c r="B60" s="31" t="s">
        <v>4</v>
      </c>
      <c r="C60" s="32"/>
    </row>
    <row r="61" spans="2:36" ht="14.45" hidden="1" customHeight="1" outlineLevel="1" x14ac:dyDescent="0.25">
      <c r="B61" s="3" t="s">
        <v>3</v>
      </c>
      <c r="C61" s="3" t="str">
        <f ca="1">_xll.TM1RPTVIEW((db_name&amp;":AE adjustments:1"),1,_xll.TM1RPTTITLE((db_name&amp;":headline year"),$C$69),_xll.TM1RPTTITLE((db_name&amp;":scenario"),$C$70),_xll.TM1RPTTITLE((db_name&amp;":outcome"),$C$71),_xll.TM1RPTTITLE((db_name&amp;":related entity"),$C$72),_xll.TM1RPTTITLE((db_name&amp;":function"),$C$73),_xll.TM1RPTTITLE((db_name&amp;":reason"),$C$74),_xll.TM1RPTTITLE((db_name&amp;":spp"),$C$75),_xll.TM1RPTTITLE((db_name&amp;":appropriation type"),$C$76),_xll.TM1RPTTITLE((db_name&amp;":appropriation item"),$C$77),_xll.TM1RPTTITLE((db_name&amp;":programme"),$C$78),_xll.TM1RPTTITLE((db_name&amp;":jurisdiction"),$C$79),TM1RPTFMTRNG,TM1RPTFMTIDCOL)</f>
        <v>dcceew_geus:AE adjustments:1</v>
      </c>
    </row>
    <row r="62" spans="2:36" ht="14.45" hidden="1" customHeight="1" outlineLevel="1" x14ac:dyDescent="0.25">
      <c r="B62" s="3" t="s">
        <v>2</v>
      </c>
      <c r="C62" s="3" t="str">
        <f ca="1">_xll.VIEW((db_name&amp;":AE adjustments"),$C$69,$C$70,"!",$C$71,$C$72,$C$73,$C$74,$C$75,"!",$C$76,"!",$C$77,$C$78,"!","!",$C$79,"!")</f>
        <v>dcceew_geus:AE adjustments</v>
      </c>
    </row>
    <row r="63" spans="2:36" ht="14.45" hidden="1" customHeight="1" outlineLevel="1" x14ac:dyDescent="0.25">
      <c r="B63" t="s">
        <v>1</v>
      </c>
      <c r="C63" t="str">
        <f ca="1">(("{TM1FILTERBYLEVEL( {TM1DRILLDOWNMEMBER( {[measure code].["&amp;$C$58)&amp;"]}, ALL, RECURSIVE )}, 0)}")</f>
        <v>{TM1FILTERBYLEVEL( {TM1DRILLDOWNMEMBER( {[measure code].[*KEY_ERR]}, ALL, RECURSIVE )}, 0)}</v>
      </c>
    </row>
    <row r="64" spans="2:36" ht="14.45" hidden="1" customHeight="1" outlineLevel="1" x14ac:dyDescent="0.25">
      <c r="B64" t="s">
        <v>0</v>
      </c>
      <c r="C64" t="s">
        <v>79</v>
      </c>
    </row>
    <row r="65" spans="2:4" ht="14.45" hidden="1" customHeight="1" outlineLevel="1" x14ac:dyDescent="0.25">
      <c r="B65" t="s">
        <v>72</v>
      </c>
      <c r="C65" t="s">
        <v>67</v>
      </c>
      <c r="D65" t="s">
        <v>71</v>
      </c>
    </row>
    <row r="66" spans="2:4" ht="14.45" hidden="1" customHeight="1" outlineLevel="1" x14ac:dyDescent="0.25">
      <c r="B66" t="s">
        <v>68</v>
      </c>
      <c r="C66" t="s">
        <v>70</v>
      </c>
    </row>
    <row r="67" spans="2:4" ht="14.45" hidden="1" customHeight="1" outlineLevel="1" x14ac:dyDescent="0.25">
      <c r="B67" t="s">
        <v>126</v>
      </c>
      <c r="C67" t="s">
        <v>66</v>
      </c>
    </row>
    <row r="68" spans="2:4" ht="14.45" hidden="1" customHeight="1" outlineLevel="1" x14ac:dyDescent="0.25">
      <c r="B68" s="31" t="s">
        <v>69</v>
      </c>
      <c r="C68" s="32"/>
    </row>
    <row r="69" spans="2:4" ht="14.45" hidden="1" customHeight="1" outlineLevel="1" x14ac:dyDescent="0.25">
      <c r="B69" s="2" t="s">
        <v>97</v>
      </c>
      <c r="C69" s="3" t="str">
        <f ca="1">_xll.SUBNM((db_name&amp;":headline year"),"",$C$56)</f>
        <v/>
      </c>
    </row>
    <row r="70" spans="2:4" ht="14.45" hidden="1" customHeight="1" outlineLevel="1" x14ac:dyDescent="0.25">
      <c r="B70" s="2" t="s">
        <v>65</v>
      </c>
      <c r="C70" s="3" t="str">
        <f ca="1">_xll.SUBNM((db_name&amp;":scenario"),"",$C$57)</f>
        <v/>
      </c>
    </row>
    <row r="71" spans="2:4" ht="14.45" hidden="1" customHeight="1" outlineLevel="1" x14ac:dyDescent="0.25">
      <c r="B71" s="2" t="s">
        <v>64</v>
      </c>
      <c r="C71" s="3" t="str">
        <f ca="1">_xll.SUBNM((db_name&amp;":outcome"),"","Total outcomes")</f>
        <v/>
      </c>
    </row>
    <row r="72" spans="2:4" ht="14.45" hidden="1" customHeight="1" outlineLevel="1" x14ac:dyDescent="0.25">
      <c r="B72" s="2" t="s">
        <v>63</v>
      </c>
      <c r="C72" s="3" t="str">
        <f ca="1">_xll.SUBNM((db_name&amp;":related entity"),"","Total related entity")</f>
        <v/>
      </c>
    </row>
    <row r="73" spans="2:4" ht="14.45" hidden="1" customHeight="1" outlineLevel="1" x14ac:dyDescent="0.25">
      <c r="B73" s="2" t="s">
        <v>62</v>
      </c>
      <c r="C73" s="3" t="str">
        <f ca="1">_xll.SUBNM((db_name&amp;":function"),"","Total functions")</f>
        <v/>
      </c>
    </row>
    <row r="74" spans="2:4" ht="14.45" hidden="1" customHeight="1" outlineLevel="1" x14ac:dyDescent="0.25">
      <c r="B74" s="2" t="s">
        <v>61</v>
      </c>
      <c r="C74" s="3" t="str">
        <f ca="1">_xll.SUBNM((db_name&amp;":reason"),"","Total reason")</f>
        <v/>
      </c>
    </row>
    <row r="75" spans="2:4" ht="14.45" hidden="1" customHeight="1" outlineLevel="1" x14ac:dyDescent="0.25">
      <c r="B75" s="2" t="s">
        <v>60</v>
      </c>
      <c r="C75" s="3" t="str">
        <f ca="1">_xll.SUBNM((db_name&amp;":spp"),"","Total SPP")</f>
        <v/>
      </c>
    </row>
    <row r="76" spans="2:4" ht="14.45" hidden="1" customHeight="1" outlineLevel="1" x14ac:dyDescent="0.25">
      <c r="B76" s="2" t="s">
        <v>59</v>
      </c>
      <c r="C76" s="3" t="str">
        <f ca="1">_xll.SUBNM((db_name&amp;":appropriation type"),"","Total approp types")</f>
        <v/>
      </c>
    </row>
    <row r="77" spans="2:4" ht="14.45" hidden="1" customHeight="1" outlineLevel="1" x14ac:dyDescent="0.25">
      <c r="B77" s="2" t="s">
        <v>111</v>
      </c>
      <c r="C77" s="3" t="str">
        <f ca="1">_xll.SUBNM((db_name&amp;":appropriation item"),"","Total approp item")</f>
        <v/>
      </c>
    </row>
    <row r="78" spans="2:4" ht="14.45" hidden="1" customHeight="1" outlineLevel="1" x14ac:dyDescent="0.25">
      <c r="B78" s="2" t="s">
        <v>58</v>
      </c>
      <c r="C78" s="3" t="str">
        <f ca="1">_xll.SUBNM((db_name&amp;":programme"),"","Total programmes","code and description")</f>
        <v/>
      </c>
    </row>
    <row r="79" spans="2:4" ht="14.45" hidden="1" customHeight="1" outlineLevel="1" x14ac:dyDescent="0.25">
      <c r="B79" s="2" t="s">
        <v>45</v>
      </c>
      <c r="C79" s="3" t="str">
        <f ca="1">_xll.SUBNM((db_name&amp;":jurisdiction"),"","Total jurisdictions")</f>
        <v/>
      </c>
    </row>
    <row r="80" spans="2:4" ht="14.45" hidden="1" customHeight="1" outlineLevel="1" x14ac:dyDescent="0.25"/>
    <row r="81" spans="2:4" ht="14.45" hidden="1" customHeight="1" outlineLevel="1" x14ac:dyDescent="0.25">
      <c r="B81" s="31" t="s">
        <v>57</v>
      </c>
      <c r="C81" s="32"/>
    </row>
    <row r="82" spans="2:4" ht="14.45" hidden="1" customHeight="1" outlineLevel="1" x14ac:dyDescent="0.25">
      <c r="B82" s="2" t="s">
        <v>56</v>
      </c>
      <c r="C82" s="3" t="str">
        <f ca="1">_xll.VIEW(((db_name&amp;":")&amp;$B82),$C$56,$C$57,"!","!")</f>
        <v>dcceew_geus:government measures details</v>
      </c>
    </row>
    <row r="83" spans="2:4" ht="14.45" hidden="1" customHeight="1" outlineLevel="1" x14ac:dyDescent="0.25">
      <c r="B83" s="2" t="s">
        <v>55</v>
      </c>
      <c r="C83" s="3" t="str">
        <f ca="1">_xll.VIEW(((db_name&amp;":")&amp;$B83),"!","!")</f>
        <v>dcceew_geus:}ElementAttributes_measure code</v>
      </c>
    </row>
    <row r="84" spans="2:4" ht="14.45" hidden="1" customHeight="1" outlineLevel="1" x14ac:dyDescent="0.25">
      <c r="B84" s="10" t="s">
        <v>54</v>
      </c>
      <c r="C84" s="3" t="str">
        <f ca="1">_xll.DBR($C$82,$C$69,$C$70,$C$58,$B84)</f>
        <v>*KEY_ERR</v>
      </c>
    </row>
    <row r="85" spans="2:4" ht="14.45" hidden="1" customHeight="1" outlineLevel="1" x14ac:dyDescent="0.25">
      <c r="B85" s="10" t="s">
        <v>53</v>
      </c>
      <c r="C85" s="3" t="str">
        <f ca="1">_xll.DBR($C$82,$C$69,$C$70,$C$58,$B85)</f>
        <v>*KEY_ERR</v>
      </c>
    </row>
    <row r="86" spans="2:4" ht="14.45" hidden="1" customHeight="1" outlineLevel="1" x14ac:dyDescent="0.25">
      <c r="B86" s="10" t="s">
        <v>52</v>
      </c>
      <c r="C86" s="3" t="str">
        <f ca="1">_xll.DBR($C$82,$C$69,$C$70,$C$58,$B86)</f>
        <v>*KEY_ERR</v>
      </c>
    </row>
    <row r="87" spans="2:4" ht="14.45" hidden="1" customHeight="1" outlineLevel="1" x14ac:dyDescent="0.25">
      <c r="B87" s="10" t="s">
        <v>51</v>
      </c>
      <c r="C87" s="3" t="str">
        <f ca="1">_xll.DBR($C$82,$C$69,$C$70,$C$58,$B87)</f>
        <v>*KEY_ERR</v>
      </c>
    </row>
    <row r="88" spans="2:4" ht="14.45" hidden="1" customHeight="1" outlineLevel="1" x14ac:dyDescent="0.25">
      <c r="B88" s="10" t="s">
        <v>50</v>
      </c>
      <c r="C88" s="3" t="str">
        <f ca="1">_xll.DBR($C$82,$C$69,$C$70,$C$58,$B88)</f>
        <v>*KEY_ERR</v>
      </c>
    </row>
    <row r="89" spans="2:4" ht="14.45" hidden="1" customHeight="1" outlineLevel="1" x14ac:dyDescent="0.25">
      <c r="B89" s="10" t="s">
        <v>49</v>
      </c>
      <c r="C89" s="3" t="str">
        <f ca="1">_xll.DBR($C$83,$C$58,$B89)</f>
        <v>*KEY_ERR</v>
      </c>
      <c r="D89" t="str">
        <f ca="1">IF(($C$89="Y"),"Active","Inactive")</f>
        <v>Inactive</v>
      </c>
    </row>
    <row r="90" spans="2:4" ht="14.45" hidden="1" customHeight="1" outlineLevel="1" x14ac:dyDescent="0.25">
      <c r="B90" s="10" t="s">
        <v>48</v>
      </c>
      <c r="C90" s="3" t="str">
        <f ca="1">_xll.DBR($C$83,$C$58,$B90)</f>
        <v>*KEY_ERR</v>
      </c>
    </row>
    <row r="91" spans="2:4" ht="14.45" hidden="1" customHeight="1" outlineLevel="1" x14ac:dyDescent="0.25">
      <c r="B91" s="11" t="s">
        <v>47</v>
      </c>
      <c r="C91" s="3" t="str">
        <f ca="1">_xll.DBR($C$82,$C$69,$C$70,$C$58,$B91)</f>
        <v>*KEY_ERR</v>
      </c>
    </row>
    <row r="92" spans="2:4" ht="14.45" hidden="1" customHeight="1" outlineLevel="1" x14ac:dyDescent="0.25">
      <c r="B92" s="1"/>
    </row>
    <row r="93" spans="2:4" ht="14.45" hidden="1" customHeight="1" outlineLevel="1" x14ac:dyDescent="0.25">
      <c r="B93" s="31" t="s">
        <v>46</v>
      </c>
      <c r="C93" s="32"/>
    </row>
    <row r="94" spans="2:4" ht="14.45" hidden="1" customHeight="1" outlineLevel="1" x14ac:dyDescent="0.25">
      <c r="B94" s="2" t="s">
        <v>44</v>
      </c>
      <c r="C94" s="3" t="str">
        <f ca="1">_xll.VIEW((db_name&amp;":AE id details"),$C$56,$C$57,"!","!")</f>
        <v>dcceew_geus:AE id details</v>
      </c>
    </row>
    <row r="95" spans="2:4" ht="14.45" hidden="1" customHeight="1" outlineLevel="1" x14ac:dyDescent="0.25">
      <c r="B95" s="1"/>
    </row>
    <row r="96" spans="2:4" ht="14.45" hidden="1" customHeight="1" outlineLevel="1" x14ac:dyDescent="0.25">
      <c r="B96" s="1"/>
    </row>
    <row r="97" spans="2:36" ht="14.45" hidden="1" customHeight="1" outlineLevel="1" x14ac:dyDescent="0.25">
      <c r="B97" s="1"/>
    </row>
    <row r="98" spans="2:36" ht="14.45" hidden="1" customHeight="1" outlineLevel="1" x14ac:dyDescent="0.25">
      <c r="B98" s="1"/>
    </row>
    <row r="99" spans="2:36" ht="39.950000000000003" customHeight="1" collapsed="1" x14ac:dyDescent="0.25">
      <c r="B99" s="1"/>
      <c r="R99" s="12"/>
      <c r="S99" s="12"/>
      <c r="T99" s="12"/>
      <c r="U99" s="14"/>
      <c r="V99" s="12"/>
      <c r="W99" s="12"/>
      <c r="X99" s="12"/>
      <c r="Y99" s="12"/>
      <c r="Z99" s="12" t="s">
        <v>125</v>
      </c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spans="2:36" ht="4.5" customHeight="1" x14ac:dyDescent="0.25">
      <c r="B100" s="1"/>
    </row>
    <row r="101" spans="2:36" ht="24" customHeight="1" x14ac:dyDescent="0.25"/>
    <row r="102" spans="2:36" ht="1.5" customHeight="1" x14ac:dyDescent="0.25"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spans="2:36" ht="4.5" customHeight="1" x14ac:dyDescent="0.25"/>
    <row r="104" spans="2:36" ht="14.45" customHeight="1" x14ac:dyDescent="0.25">
      <c r="S104" s="29" t="s">
        <v>124</v>
      </c>
    </row>
    <row r="105" spans="2:36" ht="4.5" customHeight="1" x14ac:dyDescent="0.25"/>
    <row r="106" spans="2:36" ht="14.45" customHeight="1" x14ac:dyDescent="0.25">
      <c r="S106" s="25" t="s">
        <v>43</v>
      </c>
      <c r="T106" s="26" t="str">
        <f ca="1">psHLYear</f>
        <v>*KEY_ERR</v>
      </c>
      <c r="U106" s="25" t="s">
        <v>42</v>
      </c>
      <c r="V106" s="26" t="str">
        <f ca="1">psScenario</f>
        <v>*KEY_ERR</v>
      </c>
      <c r="W106" s="25" t="s">
        <v>41</v>
      </c>
      <c r="X106" s="35" t="str">
        <f ca="1">$C$84</f>
        <v>*KEY_ERR</v>
      </c>
    </row>
    <row r="107" spans="2:36" ht="14.45" customHeight="1" x14ac:dyDescent="0.25">
      <c r="S107" s="25" t="s">
        <v>25</v>
      </c>
      <c r="T107" s="27" t="str">
        <f ca="1">$C$58</f>
        <v>*KEY_ERR</v>
      </c>
      <c r="U107" s="25" t="s">
        <v>40</v>
      </c>
      <c r="V107" s="27" t="str">
        <f ca="1">$C$90</f>
        <v>*KEY_ERR</v>
      </c>
      <c r="W107" s="25" t="s">
        <v>39</v>
      </c>
      <c r="X107" s="35"/>
    </row>
    <row r="108" spans="2:36" ht="14.45" customHeight="1" x14ac:dyDescent="0.25">
      <c r="S108" s="25" t="s">
        <v>38</v>
      </c>
      <c r="T108" s="26" t="str">
        <f ca="1">$C$86</f>
        <v>*KEY_ERR</v>
      </c>
      <c r="U108" s="25" t="s">
        <v>37</v>
      </c>
      <c r="V108" s="26" t="str">
        <f ca="1">$D$89</f>
        <v>Inactive</v>
      </c>
      <c r="W108" s="25" t="s">
        <v>41</v>
      </c>
      <c r="X108" s="35" t="str">
        <f ca="1">$C$85</f>
        <v>*KEY_ERR</v>
      </c>
    </row>
    <row r="109" spans="2:36" ht="14.45" customHeight="1" x14ac:dyDescent="0.25">
      <c r="B109" s="33" t="s">
        <v>36</v>
      </c>
      <c r="C109" s="33"/>
      <c r="D109" s="33"/>
      <c r="E109" s="33"/>
      <c r="F109" s="33"/>
      <c r="S109" s="25" t="s">
        <v>35</v>
      </c>
      <c r="T109" s="28" t="str">
        <f ca="1">$C$87</f>
        <v>*KEY_ERR</v>
      </c>
      <c r="U109" s="25" t="s">
        <v>34</v>
      </c>
      <c r="V109" s="5" t="str">
        <f ca="1">$C$88</f>
        <v>*KEY_ERR</v>
      </c>
      <c r="W109" s="25" t="s">
        <v>33</v>
      </c>
      <c r="X109" s="35"/>
    </row>
    <row r="110" spans="2:36" ht="4.5" customHeight="1" x14ac:dyDescent="0.25"/>
    <row r="111" spans="2:36" ht="14.45" customHeight="1" x14ac:dyDescent="0.25">
      <c r="X111" s="29" t="s">
        <v>32</v>
      </c>
      <c r="AE111" s="34" t="s">
        <v>31</v>
      </c>
      <c r="AF111" s="34"/>
      <c r="AG111" s="34"/>
      <c r="AH111" s="34"/>
      <c r="AI111" s="34"/>
      <c r="AJ111" s="34"/>
    </row>
    <row r="112" spans="2:36" ht="27.6" customHeight="1" x14ac:dyDescent="0.25">
      <c r="B112" s="9" t="s">
        <v>30</v>
      </c>
      <c r="C112" s="9" t="s">
        <v>29</v>
      </c>
      <c r="D112" s="9" t="s">
        <v>28</v>
      </c>
      <c r="E112" s="9" t="s">
        <v>27</v>
      </c>
      <c r="F112" s="9" t="s">
        <v>26</v>
      </c>
      <c r="H112" s="9" t="s">
        <v>48</v>
      </c>
      <c r="I112" s="9" t="s">
        <v>24</v>
      </c>
      <c r="J112" s="9" t="s">
        <v>23</v>
      </c>
      <c r="K112" s="9" t="s">
        <v>28</v>
      </c>
      <c r="L112" s="9" t="s">
        <v>22</v>
      </c>
      <c r="M112" s="9" t="s">
        <v>21</v>
      </c>
      <c r="N112" s="9" t="s">
        <v>20</v>
      </c>
      <c r="O112" s="9" t="s">
        <v>19</v>
      </c>
      <c r="P112" s="9" t="s">
        <v>18</v>
      </c>
      <c r="Q112" s="9" t="s">
        <v>59</v>
      </c>
      <c r="S112" s="9" t="s">
        <v>17</v>
      </c>
      <c r="T112" s="15" t="s">
        <v>129</v>
      </c>
      <c r="U112" s="15" t="s">
        <v>16</v>
      </c>
      <c r="V112" s="15" t="s">
        <v>15</v>
      </c>
      <c r="W112" s="15" t="s">
        <v>24</v>
      </c>
      <c r="X112" s="9" t="s">
        <v>14</v>
      </c>
      <c r="Y112" s="9" t="s">
        <v>12</v>
      </c>
      <c r="Z112" s="9" t="s">
        <v>28</v>
      </c>
      <c r="AA112" s="9" t="s">
        <v>20</v>
      </c>
      <c r="AB112" s="9" t="s">
        <v>11</v>
      </c>
      <c r="AC112" s="9" t="s">
        <v>13</v>
      </c>
      <c r="AE112" s="9" t="str">
        <f t="shared" ref="AE112:AJ112" ca="1" si="0">AE$57</f>
        <v/>
      </c>
      <c r="AF112" s="9" t="str">
        <f t="shared" ca="1" si="0"/>
        <v/>
      </c>
      <c r="AG112" s="9" t="str">
        <f t="shared" ca="1" si="0"/>
        <v/>
      </c>
      <c r="AH112" s="9" t="str">
        <f t="shared" ca="1" si="0"/>
        <v/>
      </c>
      <c r="AI112" s="9" t="str">
        <f t="shared" ca="1" si="0"/>
        <v/>
      </c>
      <c r="AJ112" s="9" t="str">
        <f t="shared" ca="1" si="0"/>
        <v/>
      </c>
    </row>
    <row r="113" spans="1:36" ht="14.45" customHeight="1" x14ac:dyDescent="0.25">
      <c r="A113" t="str">
        <f ca="1">IF(_xll.TM1RPTELISCONSOLIDATED($F$25,$F113),IF((_xll.TM1RPTELLEV($F$25,$F113)&lt;=3),_xll.TM1RPTELLEV($F$25,$F113),"D"),"N")</f>
        <v>N</v>
      </c>
      <c r="B113" t="str">
        <f ca="1">_xll.TM1RPTROW($C$61,db_name&amp;":measure code","","","",0,$C$63)</f>
        <v/>
      </c>
      <c r="C113" t="str">
        <f ca="1">_xll.TM1RPTROW($C$61,db_name&amp;":id","","","",0,$C$64)</f>
        <v/>
      </c>
      <c r="D113" t="str">
        <f ca="1">_xll.TM1RPTROW($C$61,db_name&amp;":status","","","",0,$C$65)</f>
        <v/>
      </c>
      <c r="E113" t="str">
        <f ca="1">_xll.TM1RPTROW($C$61,db_name&amp;":account","","","",0,$C$66)</f>
        <v/>
      </c>
      <c r="F113" t="str">
        <f ca="1">_xll.TM1RPTROW($C$61,db_name&amp;":movement account","","","",0,$C$67)</f>
        <v/>
      </c>
      <c r="H113" t="str">
        <f ca="1">_xll.DBR($C$83,$B113,H$112)</f>
        <v>*KEY_ERR</v>
      </c>
      <c r="I113" t="str">
        <f ca="1">_xll.DBR($C$94,psHLYear,psScenario,$C113,I$112)</f>
        <v>*KEY_ERR</v>
      </c>
      <c r="J113" s="17" t="str">
        <f ca="1">_xll.DBR($C$94,psHLYear,psScenario,$C113,J$112)</f>
        <v>*KEY_ERR</v>
      </c>
      <c r="K113" t="str">
        <f ca="1">_xll.DBR($C$94,psHLYear,psScenario,$C113,K$112)</f>
        <v>*KEY_ERR</v>
      </c>
      <c r="L113" t="str">
        <f ca="1">_xll.DBR($C$94,psHLYear,psScenario,$C113,L$112)</f>
        <v>*KEY_ERR</v>
      </c>
      <c r="M113" t="str">
        <f ca="1">_xll.DBR($C$82,psHLYear,psScenario,$B113,M$112)</f>
        <v>*KEY_ERR</v>
      </c>
      <c r="N113" t="str">
        <f ca="1">_xll.DBR($C$94,psHLYear,psScenario,$C113,N$112)</f>
        <v>*KEY_ERR</v>
      </c>
      <c r="O113" t="str">
        <f ca="1">_xll.DBR($C$94,psHLYear,psScenario,$C113,O$112)</f>
        <v>*KEY_ERR</v>
      </c>
      <c r="P113" t="str">
        <f ca="1">_xll.DBR($C$82,psHLYear,psScenario,$B113,P$112)</f>
        <v>*KEY_ERR</v>
      </c>
      <c r="Q113" t="str">
        <f ca="1">_xll.DBR($C$94,psHLYear,psScenario,$C113,Q$112)</f>
        <v>*KEY_ERR</v>
      </c>
      <c r="R113" s="30"/>
      <c r="S113" s="19" t="str">
        <f ca="1">$B113</f>
        <v/>
      </c>
      <c r="T113" s="19" t="str">
        <f ca="1">$H113</f>
        <v>*KEY_ERR</v>
      </c>
      <c r="U113" s="20" t="str">
        <f ca="1">$C113</f>
        <v/>
      </c>
      <c r="V113" s="18" t="str">
        <f ca="1">$J113</f>
        <v>*KEY_ERR</v>
      </c>
      <c r="W113" s="18" t="str">
        <f ca="1">$I113</f>
        <v>*KEY_ERR</v>
      </c>
      <c r="X113" s="18" t="str">
        <f ca="1">$L113</f>
        <v>*KEY_ERR</v>
      </c>
      <c r="Y113" s="18" t="str">
        <f ca="1">$M113</f>
        <v>*KEY_ERR</v>
      </c>
      <c r="Z113" s="21" t="str">
        <f ca="1">$K113</f>
        <v>*KEY_ERR</v>
      </c>
      <c r="AA113" s="21" t="str">
        <f ca="1">$N113</f>
        <v>*KEY_ERR</v>
      </c>
      <c r="AB113" s="18" t="str">
        <f ca="1">$Q113</f>
        <v>*KEY_ERR</v>
      </c>
      <c r="AC113" s="18" t="str">
        <f ca="1">$O113</f>
        <v>*KEY_ERR</v>
      </c>
      <c r="AD113" s="17"/>
      <c r="AE113" s="22" t="str">
        <f ca="1">_xll.DBRW($C$61,$C$69,$C$70,$D113,$C$71,$C$72,$C$73,$C$74,$C$75,$B113,$C$76,$F113,$C$77,$C$78,$E113,$C113,$C$79,AE$57)</f>
        <v/>
      </c>
      <c r="AF113" s="22" t="str">
        <f ca="1">_xll.DBRW($C$61,$C$69,$C$70,$D113,$C$71,$C$72,$C$73,$C$74,$C$75,$B113,$C$76,$F113,$C$77,$C$78,$E113,$C113,$C$79,AF$57)</f>
        <v/>
      </c>
      <c r="AG113" s="22" t="str">
        <f ca="1">_xll.DBRW($C$61,$C$69,$C$70,$D113,$C$71,$C$72,$C$73,$C$74,$C$75,$B113,$C$76,$F113,$C$77,$C$78,$E113,$C113,$C$79,AG$57)</f>
        <v/>
      </c>
      <c r="AH113" s="22" t="str">
        <f ca="1">_xll.DBRW($C$61,$C$69,$C$70,$D113,$C$71,$C$72,$C$73,$C$74,$C$75,$B113,$C$76,$F113,$C$77,$C$78,$E113,$C113,$C$79,AH$57)</f>
        <v/>
      </c>
      <c r="AI113" s="22" t="str">
        <f ca="1">_xll.DBRW($C$61,$C$69,$C$70,$D113,$C$71,$C$72,$C$73,$C$74,$C$75,$B113,$C$76,$F113,$C$77,$C$78,$E113,$C113,$C$79,AI$57)</f>
        <v/>
      </c>
      <c r="AJ113" s="22" t="str">
        <f ca="1">_xll.DBRW($C$61,$C$69,$C$70,$D113,$C$71,$C$72,$C$73,$C$74,$C$75,$B113,$C$76,$F113,$C$77,$C$78,$E113,$C113,$C$79,AJ$57)</f>
        <v/>
      </c>
    </row>
  </sheetData>
  <sheetProtection sheet="1" objects="1" scenarios="1"/>
  <mergeCells count="12">
    <mergeCell ref="B109:F109"/>
    <mergeCell ref="B68:C68"/>
    <mergeCell ref="B81:C81"/>
    <mergeCell ref="B93:C93"/>
    <mergeCell ref="AE111:AJ111"/>
    <mergeCell ref="X106:X107"/>
    <mergeCell ref="X108:X109"/>
    <mergeCell ref="B11:C11"/>
    <mergeCell ref="B19:C19"/>
    <mergeCell ref="B39:C39"/>
    <mergeCell ref="B54:C54"/>
    <mergeCell ref="B60:C60"/>
  </mergeCells>
  <conditionalFormatting sqref="Z2:Z7 Z113">
    <cfRule type="beginsWith" dxfId="0" priority="1" operator="beginsWith" text="un">
      <formula>LEFT(Z2,LEN("un"))="un"</formula>
    </cfRule>
  </conditionalFormatting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2" r:id="rId4" name="TIButton7">
          <controlPr defaultSize="0" print="0" autoLine="0" autoPict="0" r:id="rId5">
            <anchor moveWithCells="1" sizeWithCells="1">
              <from>
                <xdr:col>23</xdr:col>
                <xdr:colOff>1447800</xdr:colOff>
                <xdr:row>100</xdr:row>
                <xdr:rowOff>0</xdr:rowOff>
              </from>
              <to>
                <xdr:col>23</xdr:col>
                <xdr:colOff>2371725</xdr:colOff>
                <xdr:row>100</xdr:row>
                <xdr:rowOff>247650</xdr:rowOff>
              </to>
            </anchor>
          </controlPr>
        </control>
      </mc:Choice>
      <mc:Fallback>
        <control shapeId="1032" r:id="rId4" name="TIButton7"/>
      </mc:Fallback>
    </mc:AlternateContent>
    <mc:AlternateContent xmlns:mc="http://schemas.openxmlformats.org/markup-compatibility/2006">
      <mc:Choice Requires="x14">
        <control shapeId="1031" r:id="rId6" name="TIButton5">
          <controlPr defaultSize="0" print="0" autoLine="0" autoPict="0" r:id="rId7">
            <anchor moveWithCells="1" sizeWithCells="1">
              <from>
                <xdr:col>20</xdr:col>
                <xdr:colOff>333375</xdr:colOff>
                <xdr:row>100</xdr:row>
                <xdr:rowOff>0</xdr:rowOff>
              </from>
              <to>
                <xdr:col>21</xdr:col>
                <xdr:colOff>409575</xdr:colOff>
                <xdr:row>100</xdr:row>
                <xdr:rowOff>247650</xdr:rowOff>
              </to>
            </anchor>
          </controlPr>
        </control>
      </mc:Choice>
      <mc:Fallback>
        <control shapeId="1031" r:id="rId6" name="TIButton5"/>
      </mc:Fallback>
    </mc:AlternateContent>
    <mc:AlternateContent xmlns:mc="http://schemas.openxmlformats.org/markup-compatibility/2006">
      <mc:Choice Requires="x14">
        <control shapeId="1030" r:id="rId8" name="TIButton6">
          <controlPr defaultSize="0" print="0" autoLine="0" autoPict="0" r:id="rId9">
            <anchor moveWithCells="1" sizeWithCells="1">
              <from>
                <xdr:col>23</xdr:col>
                <xdr:colOff>76200</xdr:colOff>
                <xdr:row>100</xdr:row>
                <xdr:rowOff>0</xdr:rowOff>
              </from>
              <to>
                <xdr:col>23</xdr:col>
                <xdr:colOff>1419225</xdr:colOff>
                <xdr:row>100</xdr:row>
                <xdr:rowOff>247650</xdr:rowOff>
              </to>
            </anchor>
          </controlPr>
        </control>
      </mc:Choice>
      <mc:Fallback>
        <control shapeId="1030" r:id="rId8" name="TIButton6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autoPict="0" r:id="rId11">
            <anchor moveWithCells="1" sizeWithCells="1">
              <from>
                <xdr:col>21</xdr:col>
                <xdr:colOff>476250</xdr:colOff>
                <xdr:row>100</xdr:row>
                <xdr:rowOff>0</xdr:rowOff>
              </from>
              <to>
                <xdr:col>22</xdr:col>
                <xdr:colOff>485775</xdr:colOff>
                <xdr:row>100</xdr:row>
                <xdr:rowOff>247650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28" r:id="rId12" name="TIButton3">
          <controlPr defaultSize="0" print="0" autoLine="0" autoPict="0" r:id="rId13">
            <anchor moveWithCells="1" sizeWithCells="1">
              <from>
                <xdr:col>23</xdr:col>
                <xdr:colOff>2419350</xdr:colOff>
                <xdr:row>100</xdr:row>
                <xdr:rowOff>0</xdr:rowOff>
              </from>
              <to>
                <xdr:col>23</xdr:col>
                <xdr:colOff>3200400</xdr:colOff>
                <xdr:row>100</xdr:row>
                <xdr:rowOff>247650</xdr:rowOff>
              </to>
            </anchor>
          </controlPr>
        </control>
      </mc:Choice>
      <mc:Fallback>
        <control shapeId="1028" r:id="rId12" name="TIButton3"/>
      </mc:Fallback>
    </mc:AlternateContent>
    <mc:AlternateContent xmlns:mc="http://schemas.openxmlformats.org/markup-compatibility/2006">
      <mc:Choice Requires="x14">
        <control shapeId="1027" r:id="rId14" name="TIButton2">
          <controlPr defaultSize="0" print="0" autoLine="0" autoPict="0" r:id="rId15">
            <anchor moveWithCells="1" sizeWithCells="1">
              <from>
                <xdr:col>19</xdr:col>
                <xdr:colOff>38100</xdr:colOff>
                <xdr:row>100</xdr:row>
                <xdr:rowOff>0</xdr:rowOff>
              </from>
              <to>
                <xdr:col>20</xdr:col>
                <xdr:colOff>276225</xdr:colOff>
                <xdr:row>100</xdr:row>
                <xdr:rowOff>247650</xdr:rowOff>
              </to>
            </anchor>
          </controlPr>
        </control>
      </mc:Choice>
      <mc:Fallback>
        <control shapeId="1027" r:id="rId14" name="TIButton2"/>
      </mc:Fallback>
    </mc:AlternateContent>
    <mc:AlternateContent xmlns:mc="http://schemas.openxmlformats.org/markup-compatibility/2006">
      <mc:Choice Requires="x14">
        <control shapeId="1026" r:id="rId16" name="TIButton1">
          <controlPr defaultSize="0" print="0" autoLine="0" autoPict="0" r:id="rId17">
            <anchor moveWithCells="1" sizeWithCells="1">
              <from>
                <xdr:col>18</xdr:col>
                <xdr:colOff>114300</xdr:colOff>
                <xdr:row>100</xdr:row>
                <xdr:rowOff>0</xdr:rowOff>
              </from>
              <to>
                <xdr:col>18</xdr:col>
                <xdr:colOff>838200</xdr:colOff>
                <xdr:row>100</xdr:row>
                <xdr:rowOff>247650</xdr:rowOff>
              </to>
            </anchor>
          </controlPr>
        </control>
      </mc:Choice>
      <mc:Fallback>
        <control shapeId="1026" r:id="rId16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3B9B-7C55-40ED-BD5D-378ACC52D47A}">
  <sheetPr codeName="Sheet2"/>
  <dimension ref="A1:A3"/>
  <sheetViews>
    <sheetView workbookViewId="0"/>
  </sheetViews>
  <sheetFormatPr defaultRowHeight="15" x14ac:dyDescent="0.25"/>
  <sheetData>
    <row r="1" spans="1:1" ht="14.45" customHeight="1" x14ac:dyDescent="0.25">
      <c r="A1" t="s">
        <v>99</v>
      </c>
    </row>
    <row r="2" spans="1:1" ht="14.45" customHeight="1" x14ac:dyDescent="0.25">
      <c r="A2" t="s">
        <v>100</v>
      </c>
    </row>
    <row r="3" spans="1:1" ht="14.45" customHeight="1" x14ac:dyDescent="0.25">
      <c r="A3" t="s">
        <v>101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51</vt:i4>
      </vt:variant>
    </vt:vector>
  </HeadingPairs>
  <TitlesOfParts>
    <vt:vector size="53" baseType="lpstr">
      <vt:lpstr>measure adj list</vt:lpstr>
      <vt:lpstr>{PL}PickLst</vt:lpstr>
      <vt:lpstr>db_name</vt:lpstr>
      <vt:lpstr>psApp</vt:lpstr>
      <vt:lpstr>psHLYear</vt:lpstr>
      <vt:lpstr>psProgDimName</vt:lpstr>
      <vt:lpstr>psScenario</vt:lpstr>
      <vt:lpstr>psUser</vt:lpstr>
      <vt:lpstr>TM1BulkProcessCAP</vt:lpstr>
      <vt:lpstr>TM1BulkProcessWB</vt:lpstr>
      <vt:lpstr>TM1BulkProcessWS</vt:lpstr>
      <vt:lpstr>TM1EditMeas01CAP</vt:lpstr>
      <vt:lpstr>TM1EditMeas01WB</vt:lpstr>
      <vt:lpstr>TM1EditMeas01WS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TM1MeasBulkCAP</vt:lpstr>
      <vt:lpstr>TM1MeasBulkWB</vt:lpstr>
      <vt:lpstr>TM1MeasBulkWS</vt:lpstr>
      <vt:lpstr>TM1MeasListCAP</vt:lpstr>
      <vt:lpstr>TM1MeasListWB</vt:lpstr>
      <vt:lpstr>TM1MeasListWS</vt:lpstr>
      <vt:lpstr>TM1NewMeas01HeaderCAP</vt:lpstr>
      <vt:lpstr>TM1NewMeas01HeaderWB</vt:lpstr>
      <vt:lpstr>TM1NewMeas01HeaderWS</vt:lpstr>
      <vt:lpstr>'measure adj list'!TM1RPTDATARNG1</vt:lpstr>
      <vt:lpstr>'measure adj list'!TM1RPTFMTIDCOL</vt:lpstr>
      <vt:lpstr>'measure adj list'!TM1RPTFMTRNG</vt:lpstr>
      <vt:lpstr>TM1ViewAdj01HeaderCAP</vt:lpstr>
      <vt:lpstr>TM1ViewAdj01HeaderWB</vt:lpstr>
      <vt:lpstr>TM1ViewAdj01HeaderWS</vt:lpstr>
      <vt:lpstr>TM1ViewMeas01HeaderCAP</vt:lpstr>
      <vt:lpstr>TM1ViewMeas01HeaderWB</vt:lpstr>
      <vt:lpstr>TM1ViewMeas01HeaderWS</vt:lpstr>
      <vt:lpstr>TM1ViewMeas02DetCAP</vt:lpstr>
      <vt:lpstr>TM1ViewMeas02DetWB</vt:lpstr>
      <vt:lpstr>TM1ViewMeas02DetWS</vt:lpstr>
      <vt:lpstr>TM1ViewMeas03AdjCAP</vt:lpstr>
      <vt:lpstr>TM1ViewMeas03AdjWB</vt:lpstr>
      <vt:lpstr>TM1ViewMeas03AdjWS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Xin HE</cp:lastModifiedBy>
  <dcterms:created xsi:type="dcterms:W3CDTF">2025-08-05T04:57:47Z</dcterms:created>
  <dcterms:modified xsi:type="dcterms:W3CDTF">2025-08-05T04:57:50Z</dcterms:modified>
  <cp:category/>
</cp:coreProperties>
</file>