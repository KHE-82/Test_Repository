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05C3FE1D-EABF-4482-84E3-56402043B820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RDS!$L$61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RDS!$62:$62</definedName>
    <definedName name="TM1RPTFMTIDCOL" localSheetId="0">RDS!$A$1:$A$8</definedName>
    <definedName name="TM1RPTFMTRNG" localSheetId="0">RDS!$J$1:$U$8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1" i="1"/>
  <c r="J62" i="1"/>
  <c r="C28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L58" i="1"/>
  <c r="C43" i="1"/>
  <c r="T62" i="1"/>
  <c r="S62" i="1"/>
  <c r="R62" i="1"/>
  <c r="Q62" i="1"/>
  <c r="P62" i="1"/>
  <c r="O62" i="1"/>
  <c r="N62" i="1"/>
  <c r="U62" i="1"/>
  <c r="M62" i="1"/>
  <c r="L62" i="1"/>
  <c r="C20" i="1"/>
  <c r="C25" i="1"/>
  <c r="C40" i="1"/>
  <c r="C24" i="1"/>
  <c r="C23" i="1"/>
  <c r="C22" i="1"/>
  <c r="C21" i="1"/>
  <c r="C13" i="1"/>
  <c r="C14" i="1"/>
  <c r="C15" i="1"/>
  <c r="C17" i="1"/>
  <c r="C16" i="1"/>
  <c r="A62" i="1"/>
  <c r="A5" i="1"/>
  <c r="A4" i="1"/>
  <c r="A3" i="1"/>
  <c r="A2" i="1"/>
</calcChain>
</file>

<file path=xl/sharedStrings.xml><?xml version="1.0" encoding="utf-8"?>
<sst xmlns="http://schemas.openxmlformats.org/spreadsheetml/2006/main" count="74" uniqueCount="73">
  <si>
    <t>description</t>
  </si>
  <si>
    <t>code and description</t>
  </si>
  <si>
    <t>DR/CR</t>
  </si>
  <si>
    <t>related entity enabled</t>
  </si>
  <si>
    <t>assumed related entity</t>
  </si>
  <si>
    <t>appropriation type required</t>
  </si>
  <si>
    <t>cash flow map</t>
  </si>
  <si>
    <t>flat file</t>
  </si>
  <si>
    <t>disabled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</si>
  <si>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</si>
  <si>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</si>
  <si>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</si>
  <si>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</si>
  <si>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</si>
  <si>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</si>
  <si>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</si>
  <si>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</si>
  <si>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</si>
  <si>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</si>
  <si>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</si>
  <si>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</si>
  <si>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</si>
  <si>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</si>
  <si>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</si>
  <si>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</si>
  <si>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</si>
  <si>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</si>
  <si>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</si>
  <si>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</si>
  <si>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</si>
  <si>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</si>
  <si>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</si>
  <si>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</si>
  <si>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</si>
  <si>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</si>
  <si>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Assumed Related Entity</t>
  </si>
  <si>
    <t>Cash Flow Map</t>
  </si>
  <si>
    <t>Disabled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</si>
  <si>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</si>
  <si>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</si>
  <si>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</si>
  <si>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</si>
  <si>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</si>
  <si>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</si>
  <si>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</si>
  <si>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</si>
  <si>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</si>
  <si>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</si>
  <si>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</si>
  <si>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</si>
  <si>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</si>
  <si>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</si>
  <si>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</si>
  <si>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</si>
  <si>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</si>
  <si>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</si>
  <si>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{TM1SUBSETALL( [movement account] )}</t>
  </si>
  <si>
    <t>Administration RDS - Movement Account Attributes</t>
  </si>
  <si>
    <t>}ElementAttributes_</t>
  </si>
  <si>
    <t>Movement Account :</t>
  </si>
  <si>
    <t>Editable</t>
  </si>
  <si>
    <t>No</t>
  </si>
  <si>
    <t>Movement Account</t>
  </si>
  <si>
    <t>Note : This screen is used to manage the Movement Account attribute cube which is required for GEUS.</t>
  </si>
  <si>
    <t>Admin RDS - Movement Account</t>
  </si>
  <si>
    <t>Flat File : Leave BLANK to be generated during flat file creations.</t>
  </si>
  <si>
    <t>Cash Flow Map : Should match the same cash flow mapped in the AE cash flow derivation weighting cube.</t>
  </si>
  <si>
    <t>Flat File (N)</t>
  </si>
  <si>
    <t>Editable (N)</t>
  </si>
  <si>
    <t>Appropriation Type
 Required (Y)</t>
  </si>
  <si>
    <t>Editable : Leave BLANK to allow data entry on that account. Usually movement account with N are rule driven and can not be edited.</t>
  </si>
  <si>
    <t>Related Entity Enabled (Y)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</si>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</sst>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0" fontId="7" fillId="0" borderId="0" xfId="0" applyFont="1"/>
    <xf numFmtId="164" fontId="5" fillId="6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47</xdr:row>
      <xdr:rowOff>28575</xdr:rowOff>
    </xdr:from>
    <xdr:to>
      <xdr:col>10</xdr:col>
      <xdr:colOff>19050</xdr:colOff>
      <xdr:row>47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49</xdr:row>
          <xdr:rowOff>0</xdr:rowOff>
        </xdr:from>
        <xdr:to>
          <xdr:col>9</xdr:col>
          <xdr:colOff>640080</xdr:colOff>
          <xdr:row>49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678180</xdr:colOff>
          <xdr:row>49</xdr:row>
          <xdr:rowOff>0</xdr:rowOff>
        </xdr:from>
        <xdr:to>
          <xdr:col>10</xdr:col>
          <xdr:colOff>22860</xdr:colOff>
          <xdr:row>49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49</xdr:row>
          <xdr:rowOff>0</xdr:rowOff>
        </xdr:from>
        <xdr:to>
          <xdr:col>11</xdr:col>
          <xdr:colOff>1531620</xdr:colOff>
          <xdr:row>49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274320</xdr:colOff>
          <xdr:row>48</xdr:row>
          <xdr:rowOff>30480</xdr:rowOff>
        </xdr:from>
        <xdr:to>
          <xdr:col>20</xdr:col>
          <xdr:colOff>594360</xdr:colOff>
          <xdr:row>49</xdr:row>
          <xdr:rowOff>289560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1562100</xdr:colOff>
          <xdr:row>49</xdr:row>
          <xdr:rowOff>0</xdr:rowOff>
        </xdr:from>
        <xdr:to>
          <xdr:col>11</xdr:col>
          <xdr:colOff>2346960</xdr:colOff>
          <xdr:row>49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U62"/>
  <sheetViews>
    <sheetView showGridLines="0" showRowColHeaders="0" tabSelected="1" showOutlineSymbols="0" topLeftCell="A48" workbookViewId="0">
      <pane ySplit="14" topLeftCell="A62" activePane="bottomLeft" state="frozen"/>
      <selection activeCell="I48" sqref="I48"/>
      <selection pane="bottomLeft" activeCell="L61" sqref="L61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26.6640625" customWidth="1"/>
    <col min="11" max="11" width="0.88671875" customWidth="1"/>
    <col min="12" max="13" width="60.6640625" customWidth="1"/>
    <col min="14" max="14" width="7.6640625" style="17" customWidth="1"/>
    <col min="15" max="15" width="12.6640625" customWidth="1"/>
    <col min="16" max="17" width="8.6640625" customWidth="1"/>
    <col min="18" max="18" width="14.88671875" customWidth="1"/>
    <col min="19" max="19" width="20.6640625" customWidth="1"/>
    <col min="20" max="20" width="20.109375" customWidth="1"/>
    <col min="21" max="21" width="9.6640625" customWidth="1"/>
  </cols>
  <sheetData>
    <row r="1" spans="1:21" hidden="1" outlineLevel="1" x14ac:dyDescent="0.3">
      <c r="A1" t="s">
        <v>11</v>
      </c>
    </row>
    <row r="2" spans="1:21" hidden="1" outlineLevel="1" x14ac:dyDescent="0.3">
      <c r="A2">
        <f>0</f>
        <v>0</v>
      </c>
      <c r="J2" s="12"/>
      <c r="L2" s="19"/>
      <c r="M2" s="19"/>
      <c r="N2" s="20"/>
      <c r="O2" s="20"/>
      <c r="P2" s="20"/>
      <c r="Q2" s="20"/>
      <c r="R2" s="20"/>
      <c r="S2" s="20"/>
      <c r="T2" s="20"/>
      <c r="U2" s="20"/>
    </row>
    <row r="3" spans="1:21" hidden="1" outlineLevel="1" x14ac:dyDescent="0.3">
      <c r="A3">
        <f>1</f>
        <v>1</v>
      </c>
      <c r="J3" s="13"/>
      <c r="L3" s="21"/>
      <c r="M3" s="21"/>
      <c r="N3" s="22"/>
      <c r="O3" s="22"/>
      <c r="P3" s="22"/>
      <c r="Q3" s="22"/>
      <c r="R3" s="22"/>
      <c r="S3" s="22"/>
      <c r="T3" s="22"/>
      <c r="U3" s="22"/>
    </row>
    <row r="4" spans="1:21" hidden="1" outlineLevel="1" x14ac:dyDescent="0.3">
      <c r="A4">
        <f>2</f>
        <v>2</v>
      </c>
      <c r="J4" s="13"/>
      <c r="L4" s="21"/>
      <c r="M4" s="21"/>
      <c r="N4" s="22"/>
      <c r="O4" s="22"/>
      <c r="P4" s="22"/>
      <c r="Q4" s="22"/>
      <c r="R4" s="22"/>
      <c r="S4" s="22"/>
      <c r="T4" s="22"/>
      <c r="U4" s="22"/>
    </row>
    <row r="5" spans="1:21" hidden="1" outlineLevel="1" x14ac:dyDescent="0.3">
      <c r="A5">
        <f>3</f>
        <v>3</v>
      </c>
      <c r="J5" s="13"/>
      <c r="L5" s="21"/>
      <c r="M5" s="21"/>
      <c r="N5" s="22"/>
      <c r="O5" s="22"/>
      <c r="P5" s="22"/>
      <c r="Q5" s="22"/>
      <c r="R5" s="22"/>
      <c r="S5" s="22"/>
      <c r="T5" s="22"/>
      <c r="U5" s="22"/>
    </row>
    <row r="6" spans="1:21" hidden="1" outlineLevel="1" x14ac:dyDescent="0.3">
      <c r="A6" t="s">
        <v>9</v>
      </c>
      <c r="J6" s="13"/>
      <c r="L6" s="21"/>
      <c r="M6" s="21"/>
      <c r="N6" s="22"/>
      <c r="O6" s="22"/>
      <c r="P6" s="22"/>
      <c r="Q6" s="22"/>
      <c r="R6" s="22"/>
      <c r="S6" s="22"/>
      <c r="T6" s="22"/>
      <c r="U6" s="22"/>
    </row>
    <row r="7" spans="1:21" hidden="1" outlineLevel="1" x14ac:dyDescent="0.3">
      <c r="A7" t="s">
        <v>10</v>
      </c>
      <c r="J7" s="26"/>
      <c r="L7" s="23"/>
      <c r="M7" s="23"/>
      <c r="N7" s="24"/>
      <c r="O7" s="24"/>
      <c r="P7" s="24"/>
      <c r="Q7" s="24"/>
      <c r="R7" s="24"/>
      <c r="S7" s="24"/>
      <c r="T7" s="24"/>
      <c r="U7" s="24"/>
    </row>
    <row r="8" spans="1:21" hidden="1" outlineLevel="1" x14ac:dyDescent="0.3">
      <c r="A8" t="s">
        <v>12</v>
      </c>
    </row>
    <row r="9" spans="1:21" hidden="1" outlineLevel="1" x14ac:dyDescent="0.3"/>
    <row r="10" spans="1:21" hidden="1" outlineLevel="1" x14ac:dyDescent="0.3"/>
    <row r="11" spans="1:21" hidden="1" outlineLevel="1" x14ac:dyDescent="0.3">
      <c r="B11" s="29" t="s">
        <v>13</v>
      </c>
      <c r="C11" s="30"/>
      <c r="D11" s="31"/>
    </row>
    <row r="12" spans="1:21" hidden="1" outlineLevel="1" x14ac:dyDescent="0.3">
      <c r="B12" s="3" t="s">
        <v>14</v>
      </c>
      <c r="C12" s="4" t="s">
        <v>72</v>
      </c>
      <c r="D12" s="5"/>
    </row>
    <row r="13" spans="1:21" hidden="1" outlineLevel="1" x14ac:dyDescent="0.3">
      <c r="B13" s="3" t="s">
        <v>15</v>
      </c>
      <c r="C13" s="6" t="str">
        <f ca="1">_xll.VIEW(db_name&amp;":}ElementAttributes_}Clients","!","!")</f>
        <v>dcceew_geus:}ElementAttributes_}Clients</v>
      </c>
      <c r="D13" s="5"/>
    </row>
    <row r="14" spans="1:21" hidden="1" outlineLevel="1" x14ac:dyDescent="0.3">
      <c r="B14" s="3" t="s">
        <v>16</v>
      </c>
      <c r="C14" s="4" t="str">
        <f ca="1">_xll.TM1USER(db_name)</f>
        <v/>
      </c>
      <c r="D14" s="5"/>
    </row>
    <row r="15" spans="1:21" hidden="1" outlineLevel="1" x14ac:dyDescent="0.3">
      <c r="B15" s="3" t="s">
        <v>17</v>
      </c>
      <c r="C15" s="4" t="str">
        <f ca="1">_xll.DBR($C$13,$C$14,$B15)</f>
        <v>*KEY_ERR</v>
      </c>
      <c r="D15" s="5"/>
    </row>
    <row r="16" spans="1:21" hidden="1" outlineLevel="1" x14ac:dyDescent="0.3">
      <c r="B16" s="3" t="s">
        <v>18</v>
      </c>
      <c r="C16" s="4" t="str">
        <f ca="1">_xll.DBR($C$13,$C$14,$B16)</f>
        <v>*KEY_ERR</v>
      </c>
      <c r="D16" s="5"/>
    </row>
    <row r="17" spans="2:8" hidden="1" outlineLevel="1" x14ac:dyDescent="0.3">
      <c r="B17" s="3" t="s">
        <v>19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29" t="s">
        <v>20</v>
      </c>
      <c r="C19" s="30"/>
      <c r="D19" s="31"/>
    </row>
    <row r="20" spans="2:8" hidden="1" outlineLevel="1" x14ac:dyDescent="0.3">
      <c r="B20" s="3" t="s">
        <v>21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22</v>
      </c>
      <c r="C21" s="7" t="str">
        <f ca="1">_xll.DBR($C$20,$B21,"value")</f>
        <v>*KEY_ERR</v>
      </c>
      <c r="D21" s="7"/>
    </row>
    <row r="22" spans="2:8" hidden="1" outlineLevel="1" x14ac:dyDescent="0.3">
      <c r="B22" s="3" t="s">
        <v>23</v>
      </c>
      <c r="C22" s="7" t="str">
        <f ca="1">_xll.DBR($C$20,$B22,"value")</f>
        <v>*KEY_ERR</v>
      </c>
      <c r="D22" s="7"/>
    </row>
    <row r="23" spans="2:8" hidden="1" outlineLevel="1" x14ac:dyDescent="0.3">
      <c r="B23" s="3" t="s">
        <v>24</v>
      </c>
      <c r="C23" s="7" t="str">
        <f ca="1">_xll.DBR($C$20,$B23,"value")</f>
        <v>*KEY_ERR</v>
      </c>
      <c r="D23" s="7"/>
    </row>
    <row r="24" spans="2:8" hidden="1" outlineLevel="1" x14ac:dyDescent="0.3">
      <c r="B24" s="3" t="s">
        <v>25</v>
      </c>
      <c r="C24" s="7" t="str">
        <f ca="1">_xll.DBR($C$20,$B24,"value")</f>
        <v>*KEY_ERR</v>
      </c>
      <c r="D24" s="7"/>
    </row>
    <row r="25" spans="2:8" hidden="1" outlineLevel="1" x14ac:dyDescent="0.3">
      <c r="B25" s="3" t="s">
        <v>26</v>
      </c>
      <c r="C25" s="7" t="str">
        <f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29" t="s">
        <v>38</v>
      </c>
      <c r="C27" s="30"/>
      <c r="D27" s="31"/>
    </row>
    <row r="28" spans="2:8" hidden="1" outlineLevel="1" x14ac:dyDescent="0.3">
      <c r="B28" s="3" t="s">
        <v>39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40</v>
      </c>
      <c r="C29" t="s">
        <v>64</v>
      </c>
      <c r="D29" s="7"/>
    </row>
    <row r="30" spans="2:8" hidden="1" outlineLevel="1" x14ac:dyDescent="0.3">
      <c r="B30" s="7"/>
      <c r="C30" s="3" t="s">
        <v>41</v>
      </c>
      <c r="D30" s="3" t="s">
        <v>42</v>
      </c>
      <c r="E30" s="3" t="s">
        <v>43</v>
      </c>
      <c r="F30" s="3" t="s">
        <v>44</v>
      </c>
      <c r="G30" s="3" t="s">
        <v>45</v>
      </c>
      <c r="H30" s="3" t="s">
        <v>46</v>
      </c>
    </row>
    <row r="31" spans="2:8" hidden="1" outlineLevel="1" x14ac:dyDescent="0.3">
      <c r="B31" s="7" t="s">
        <v>47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3">
      <c r="B32" s="7" t="s">
        <v>48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21" hidden="1" outlineLevel="1" x14ac:dyDescent="0.3">
      <c r="B33" s="7" t="s">
        <v>49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21" hidden="1" outlineLevel="1" x14ac:dyDescent="0.3">
      <c r="B34" s="7" t="s">
        <v>50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21" hidden="1" outlineLevel="1" x14ac:dyDescent="0.3">
      <c r="B35" s="7" t="s">
        <v>51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21" hidden="1" outlineLevel="1" x14ac:dyDescent="0.3">
      <c r="B36" s="14" t="s">
        <v>53</v>
      </c>
      <c r="C36" s="15" t="s">
        <v>52</v>
      </c>
    </row>
    <row r="37" spans="2:21" ht="17.25" hidden="1" customHeight="1" outlineLevel="1" x14ac:dyDescent="0.3"/>
    <row r="38" spans="2:21" hidden="1" outlineLevel="1" x14ac:dyDescent="0.3">
      <c r="B38" s="29" t="s">
        <v>58</v>
      </c>
      <c r="C38" s="30"/>
      <c r="D38" s="31"/>
    </row>
    <row r="39" spans="2:21" hidden="1" outlineLevel="1" x14ac:dyDescent="0.3">
      <c r="B39" s="3" t="s">
        <v>27</v>
      </c>
      <c r="C39" s="7" t="str">
        <f ca="1">_xll.TM1RPTVIEW(db_name&amp;":}ElementAttributes_movement account:1", 0,TM1RPTFMTRNG,TM1RPTFMTIDCOL)</f>
        <v>dcceew_geus:}ElementAttributes_movement account:1</v>
      </c>
    </row>
    <row r="40" spans="2:21" hidden="1" outlineLevel="1" x14ac:dyDescent="0.3">
      <c r="B40" s="3" t="s">
        <v>28</v>
      </c>
      <c r="C40" s="7" t="str">
        <f ca="1">_xll.VIEW(db_name&amp;":}ElementAttributes_movement account","!","!")</f>
        <v>dcceew_geus:}ElementAttributes_movement account</v>
      </c>
    </row>
    <row r="41" spans="2:21" hidden="1" outlineLevel="1" x14ac:dyDescent="0.3">
      <c r="B41" s="3" t="s">
        <v>29</v>
      </c>
      <c r="C41" s="7" t="str">
        <f ca="1">IF($L$59="No",$C$42,$C$43)</f>
        <v>{TM1SUBSETALL( [movement account] )}</v>
      </c>
      <c r="D41" s="5"/>
    </row>
    <row r="42" spans="2:21" hidden="1" outlineLevel="1" x14ac:dyDescent="0.3">
      <c r="B42" s="3" t="s">
        <v>32</v>
      </c>
      <c r="C42" s="7" t="s">
        <v>56</v>
      </c>
    </row>
    <row r="43" spans="2:21" hidden="1" outlineLevel="1" x14ac:dyDescent="0.3">
      <c r="B43" s="3" t="s">
        <v>33</v>
      </c>
      <c r="C43" s="7" t="str">
        <f ca="1">"{TM1DRILLDOWNMEMBER( {[movement account].[" &amp; $L$58 &amp; "]}, ALL, RECURSIVE )}"</f>
        <v>{TM1DRILLDOWNMEMBER( {[movement account].[]}, ALL, RECURSIVE )}</v>
      </c>
    </row>
    <row r="44" spans="2:21" hidden="1" outlineLevel="1" x14ac:dyDescent="0.3"/>
    <row r="45" spans="2:21" hidden="1" outlineLevel="1" x14ac:dyDescent="0.3">
      <c r="J45" s="1" t="s">
        <v>34</v>
      </c>
      <c r="L45" s="2" t="s">
        <v>0</v>
      </c>
      <c r="M45" s="2" t="s">
        <v>1</v>
      </c>
      <c r="N45" s="2" t="s">
        <v>2</v>
      </c>
      <c r="O45" s="2" t="s">
        <v>6</v>
      </c>
      <c r="P45" s="2" t="s">
        <v>7</v>
      </c>
      <c r="Q45" s="2" t="s">
        <v>60</v>
      </c>
      <c r="R45" s="2" t="s">
        <v>3</v>
      </c>
      <c r="S45" s="2" t="s">
        <v>4</v>
      </c>
      <c r="T45" s="2" t="s">
        <v>5</v>
      </c>
      <c r="U45" s="2" t="s">
        <v>8</v>
      </c>
    </row>
    <row r="46" spans="2:21" hidden="1" outlineLevel="1" x14ac:dyDescent="0.3"/>
    <row r="47" spans="2:21" hidden="1" outlineLevel="1" x14ac:dyDescent="0.3"/>
    <row r="48" spans="2:21" ht="39.75" customHeight="1" collapsed="1" x14ac:dyDescent="0.3">
      <c r="I48" s="16"/>
      <c r="J48" s="16"/>
      <c r="K48" s="16"/>
      <c r="L48" s="16"/>
      <c r="M48" s="16"/>
      <c r="N48" s="18"/>
      <c r="O48" s="16"/>
      <c r="P48" s="16"/>
      <c r="Q48" s="16"/>
      <c r="R48" s="16"/>
      <c r="S48" s="16"/>
      <c r="T48" s="16"/>
      <c r="U48" s="16" t="s">
        <v>57</v>
      </c>
    </row>
    <row r="49" spans="1:21" ht="4.5" customHeight="1" x14ac:dyDescent="0.3"/>
    <row r="50" spans="1:21" ht="24" customHeight="1" x14ac:dyDescent="0.3">
      <c r="J50" s="1"/>
    </row>
    <row r="51" spans="1:21" ht="1.5" customHeight="1" x14ac:dyDescent="0.3">
      <c r="I51" s="16"/>
      <c r="J51" s="16"/>
      <c r="K51" s="16"/>
      <c r="L51" s="16"/>
      <c r="M51" s="16"/>
      <c r="N51" s="18"/>
      <c r="O51" s="16"/>
      <c r="P51" s="16"/>
      <c r="Q51" s="16"/>
      <c r="R51" s="16"/>
      <c r="S51" s="16"/>
      <c r="T51" s="16"/>
      <c r="U51" s="16"/>
    </row>
    <row r="52" spans="1:21" x14ac:dyDescent="0.3">
      <c r="J52" s="33" t="s">
        <v>63</v>
      </c>
      <c r="K52" s="33"/>
      <c r="L52" s="33"/>
      <c r="M52" s="33"/>
    </row>
    <row r="53" spans="1:21" x14ac:dyDescent="0.3">
      <c r="J53" s="27" t="s">
        <v>65</v>
      </c>
    </row>
    <row r="54" spans="1:21" x14ac:dyDescent="0.3">
      <c r="J54" s="27" t="s">
        <v>66</v>
      </c>
    </row>
    <row r="55" spans="1:21" x14ac:dyDescent="0.3">
      <c r="J55" s="27" t="s">
        <v>70</v>
      </c>
    </row>
    <row r="56" spans="1:21" ht="5.0999999999999996" customHeight="1" x14ac:dyDescent="0.3"/>
    <row r="57" spans="1:21" x14ac:dyDescent="0.3">
      <c r="L57" s="9" t="s">
        <v>31</v>
      </c>
    </row>
    <row r="58" spans="1:21" x14ac:dyDescent="0.3">
      <c r="J58" s="8" t="s">
        <v>59</v>
      </c>
      <c r="L58" s="32" t="str">
        <f ca="1">_xll.SUBNM(db_name&amp;":movement account","","7121","code and description")</f>
        <v/>
      </c>
      <c r="M58" s="32"/>
    </row>
    <row r="59" spans="1:21" x14ac:dyDescent="0.3">
      <c r="J59" s="8" t="s">
        <v>30</v>
      </c>
      <c r="L59" s="25" t="s">
        <v>61</v>
      </c>
    </row>
    <row r="60" spans="1:21" ht="5.0999999999999996" customHeight="1" x14ac:dyDescent="0.3"/>
    <row r="61" spans="1:21" ht="28.8" x14ac:dyDescent="0.3">
      <c r="J61" s="10" t="s">
        <v>62</v>
      </c>
      <c r="L61" s="11" t="s">
        <v>54</v>
      </c>
      <c r="M61" s="11" t="s">
        <v>55</v>
      </c>
      <c r="N61" s="11" t="s">
        <v>2</v>
      </c>
      <c r="O61" s="11" t="s">
        <v>36</v>
      </c>
      <c r="P61" s="11" t="s">
        <v>67</v>
      </c>
      <c r="Q61" s="11" t="s">
        <v>68</v>
      </c>
      <c r="R61" s="11" t="s">
        <v>71</v>
      </c>
      <c r="S61" s="11" t="s">
        <v>35</v>
      </c>
      <c r="T61" s="11" t="s">
        <v>69</v>
      </c>
      <c r="U61" s="11" t="s">
        <v>37</v>
      </c>
    </row>
    <row r="62" spans="1:21" x14ac:dyDescent="0.3">
      <c r="A62" t="str">
        <f ca="1">IF(_xll.TM1RPTELISCONSOLIDATED($J$62,$J62),IF(_xll.TM1RPTELLEV($J$62,$J62)&lt;=3,_xll.TM1RPTELLEV($J$62,$J62),"D"),"N")</f>
        <v>N</v>
      </c>
      <c r="J62" s="28" t="str">
        <f ca="1">_xll.TM1RPTROW($C$39,db_name&amp;":movement account","","","",0,$C$41)</f>
        <v/>
      </c>
      <c r="L62" s="19" t="str">
        <f ca="1">_xll.DBRW($C$39,$J62,L$45)</f>
        <v/>
      </c>
      <c r="M62" s="19" t="str">
        <f ca="1">_xll.DBRW($C$39,$J62,M$45)</f>
        <v/>
      </c>
      <c r="N62" s="20" t="str">
        <f ca="1">_xll.DBRW($C$39,$J62,N$45)</f>
        <v/>
      </c>
      <c r="O62" s="20" t="str">
        <f ca="1">_xll.DBRW($C$39,$J62,O$45)</f>
        <v/>
      </c>
      <c r="P62" s="20" t="str">
        <f ca="1">_xll.DBRW($C$39,$J62,P$45)</f>
        <v/>
      </c>
      <c r="Q62" s="20" t="str">
        <f ca="1">_xll.DBRW($C$39,$J62,Q$45)</f>
        <v/>
      </c>
      <c r="R62" s="20" t="str">
        <f ca="1">_xll.DBRW($C$39,$J62,R$45)</f>
        <v/>
      </c>
      <c r="S62" s="20" t="str">
        <f ca="1">_xll.DBRW($C$39,$J62,S$45)</f>
        <v/>
      </c>
      <c r="T62" s="20" t="str">
        <f ca="1">_xll.DBRW($C$39,$J62,T$45)</f>
        <v/>
      </c>
      <c r="U62" s="20" t="str">
        <f ca="1">_xll.DBRW($C$39,$J62,U$45)</f>
        <v/>
      </c>
    </row>
  </sheetData>
  <sheetProtection sheet="1" objects="1" scenarios="1"/>
  <mergeCells count="6">
    <mergeCell ref="B11:D11"/>
    <mergeCell ref="B19:D19"/>
    <mergeCell ref="B38:D38"/>
    <mergeCell ref="L58:M58"/>
    <mergeCell ref="B27:D27"/>
    <mergeCell ref="J52:M52"/>
  </mergeCells>
  <dataValidations count="1">
    <dataValidation type="list" allowBlank="1" showInputMessage="1" showErrorMessage="1" sqref="L59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9</xdr:col>
                <xdr:colOff>0</xdr:colOff>
                <xdr:row>49</xdr:row>
                <xdr:rowOff>0</xdr:rowOff>
              </from>
              <to>
                <xdr:col>9</xdr:col>
                <xdr:colOff>640080</xdr:colOff>
                <xdr:row>49</xdr:row>
                <xdr:rowOff>251460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9</xdr:col>
                <xdr:colOff>678180</xdr:colOff>
                <xdr:row>49</xdr:row>
                <xdr:rowOff>0</xdr:rowOff>
              </from>
              <to>
                <xdr:col>10</xdr:col>
                <xdr:colOff>22860</xdr:colOff>
                <xdr:row>49</xdr:row>
                <xdr:rowOff>251460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38100</xdr:colOff>
                <xdr:row>49</xdr:row>
                <xdr:rowOff>0</xdr:rowOff>
              </from>
              <to>
                <xdr:col>11</xdr:col>
                <xdr:colOff>1531620</xdr:colOff>
                <xdr:row>49</xdr:row>
                <xdr:rowOff>251460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20</xdr:col>
                <xdr:colOff>274320</xdr:colOff>
                <xdr:row>48</xdr:row>
                <xdr:rowOff>30480</xdr:rowOff>
              </from>
              <to>
                <xdr:col>20</xdr:col>
                <xdr:colOff>594360</xdr:colOff>
                <xdr:row>49</xdr:row>
                <xdr:rowOff>289560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11</xdr:col>
                <xdr:colOff>1562100</xdr:colOff>
                <xdr:row>49</xdr:row>
                <xdr:rowOff>0</xdr:rowOff>
              </from>
              <to>
                <xdr:col>11</xdr:col>
                <xdr:colOff>2346960</xdr:colOff>
                <xdr:row>49</xdr:row>
                <xdr:rowOff>251460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2023-02-14T22:33:49Z</dcterms:modified>
</cp:coreProperties>
</file>