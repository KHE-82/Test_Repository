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8D17C24A-676D-41FF-8219-64BEF8BF4B75}" xr6:coauthVersionLast="47" xr6:coauthVersionMax="47" xr10:uidLastSave="{00000000-0000-0000-0000-000000000000}"/>
  <bookViews>
    <workbookView xWindow="28680" yWindow="-120" windowWidth="29040" windowHeight="15840" xr2:uid="{BC266C2D-0680-4645-9C80-2C341E2575D0}"/>
  </bookViews>
  <sheets>
    <sheet name="Menu" sheetId="1" r:id="rId1"/>
  </sheets>
  <definedNames>
    <definedName name="db_name">Menu!$C$2</definedName>
    <definedName name="home">Menu!$G$29</definedName>
    <definedName name="ID" localSheetId="0" hidden="1">"48ee26c1-01b5-4167-916d-230d19f48d37"</definedName>
    <definedName name="Menu">Menu!$G$30</definedName>
    <definedName name="psApp">Menu!$C$27</definedName>
    <definedName name="psUser">Menu!$C$7</definedName>
    <definedName name="rng_Start">Menu!#REF!</definedName>
    <definedName name="TM1AdminArcCBMSRecoAppropCAP">Menu!$D$45</definedName>
    <definedName name="TM1AdminArcCBMSRecoAppropWB">Menu!$F$45</definedName>
    <definedName name="TM1AdminArcCBMSRecoAppropWS">Menu!$H$45</definedName>
    <definedName name="TM1AdminArcCBMSRecoCAP">Menu!$D$39</definedName>
    <definedName name="TM1AdminArcCBMSRecoProgDetCAP">Menu!$D$44</definedName>
    <definedName name="TM1AdminArcCBMSRecoProgDetWB">Menu!$F$44</definedName>
    <definedName name="TM1AdminArcCBMSRecoProgDetWS">Menu!$H$44</definedName>
    <definedName name="TM1AdminArcCBMSRecoRepCAP">Menu!$D$40</definedName>
    <definedName name="TM1AdminArcCBMSRecoRepDetCAP">Menu!$D$41</definedName>
    <definedName name="TM1AdminArcCBMSRecoRepDetWB">Menu!$F$41</definedName>
    <definedName name="TM1AdminArcCBMSRecoRepDetWS">Menu!$H$41</definedName>
    <definedName name="TM1AdminArcCBMSRecoRepWB">Menu!$F$40</definedName>
    <definedName name="TM1AdminArcCBMSRecoRepWS">Menu!$H$40</definedName>
    <definedName name="TM1AdminArcCBMSRecoWB">Menu!$F$39</definedName>
    <definedName name="TM1AdminArcCBMSRecoWS">Menu!$H$39</definedName>
    <definedName name="TM1AdminArcNewBaseCAP">Menu!$D$42</definedName>
    <definedName name="TM1AdminArcNewBaseWB">Menu!$F$42</definedName>
    <definedName name="TM1AdminArcNewBaseWS">Menu!$H$42</definedName>
    <definedName name="TM1AdminArcRecoverBaseCAP">Menu!$D$43</definedName>
    <definedName name="TM1AdminArcRecoverBaseWB">Menu!$F$43</definedName>
    <definedName name="TM1AdminArcRecoverBaseWS">Menu!$H$43</definedName>
    <definedName name="TM1HomeAdminBaseCAP">Menu!$D$37</definedName>
    <definedName name="TM1HomeAdminBaseWB">Menu!$F$37</definedName>
    <definedName name="TM1HomeAdminBaseWS">Menu!$H$37</definedName>
    <definedName name="TM1HomeAdminCAP">Menu!$D$32</definedName>
    <definedName name="TM1HomeAdminFavCAP">Menu!$D$36</definedName>
    <definedName name="TM1HomeAdminFavWB">Menu!$F$36</definedName>
    <definedName name="TM1HomeAdminFavWS">Menu!$H$36</definedName>
    <definedName name="TM1HomeAdminGEUSCAP">Menu!$D$35</definedName>
    <definedName name="TM1HomeAdminGEUSWB">Menu!$F$35</definedName>
    <definedName name="TM1HomeAdminGEUSWS">Menu!$H$35</definedName>
    <definedName name="TM1HomeAdminRDSCAP">Menu!$D$33</definedName>
    <definedName name="TM1HomeAdminRDSMapCAP">Menu!$D$34</definedName>
    <definedName name="TM1HomeAdminRDSMapWB">Menu!$F$34</definedName>
    <definedName name="TM1HomeAdminRDSMapWS">Menu!$H$34</definedName>
    <definedName name="TM1HomeAdminRDSWB">Menu!$F$33</definedName>
    <definedName name="TM1HomeAdminRDSWS">Menu!$H$33</definedName>
    <definedName name="TM1HomeAdminWB">Menu!$F$32</definedName>
    <definedName name="TM1HomeAdminWS">Menu!$H$32</definedName>
    <definedName name="TM1HomeAECAP">Menu!$D$30</definedName>
    <definedName name="TM1HomeAEWB">Menu!$F$30</definedName>
    <definedName name="TM1HomeAEWS">Menu!$H$30</definedName>
    <definedName name="TM1HomeCAP">Menu!$D$29</definedName>
    <definedName name="TM1HomeRepAnalyticalCAP">Menu!#REF!</definedName>
    <definedName name="TM1HomeRepAnalyticalWB">Menu!#REF!</definedName>
    <definedName name="TM1HomeRepAnalyticalWS">Menu!#REF!</definedName>
    <definedName name="TM1HomeRepCAP">Menu!$D$31</definedName>
    <definedName name="TM1HomeRepOtherCAP">Menu!#REF!</definedName>
    <definedName name="TM1HomeRepOtherWB">Menu!#REF!</definedName>
    <definedName name="TM1HomeRepOtherWS">Menu!#REF!</definedName>
    <definedName name="TM1HomeRepPFSCAP">Menu!#REF!</definedName>
    <definedName name="TM1HomeRepPFSWB">Menu!#REF!</definedName>
    <definedName name="TM1HomeRepPFSWS">Menu!#REF!</definedName>
    <definedName name="TM1HomeRepWB">Menu!$F$31</definedName>
    <definedName name="TM1HomeRepWS">Menu!$H$31</definedName>
    <definedName name="TM1HomeUnderCAP">Menu!$D$38</definedName>
    <definedName name="TM1HomeUnderWB">Menu!$F$38</definedName>
    <definedName name="TM1HomeUnderWS">Menu!$H$38</definedName>
    <definedName name="TM1HomeWB">Menu!$F$29</definedName>
    <definedName name="TM1HomeWS">Menu!$H$29</definedName>
    <definedName name="TM1REBUILDOPTION">1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6" i="1" l="1"/>
  <c r="C18" i="1" a="1"/>
  <c r="C18" i="1"/>
  <c r="C10" i="1" a="1"/>
  <c r="C10" i="1"/>
  <c r="C3" i="1" a="1"/>
  <c r="C3" i="1"/>
  <c r="K90" i="1"/>
  <c r="F34" i="1" a="1"/>
  <c r="F30" i="1" a="1"/>
  <c r="D29" i="1" a="1"/>
  <c r="H45" i="1" a="1"/>
  <c r="D45" i="1" a="1"/>
  <c r="F44" i="1" a="1"/>
  <c r="H43" i="1" a="1"/>
  <c r="D43" i="1" a="1"/>
  <c r="F42" i="1" a="1"/>
  <c r="H41" i="1" a="1"/>
  <c r="D41" i="1" a="1"/>
  <c r="F40" i="1" a="1"/>
  <c r="H39" i="1" a="1"/>
  <c r="D39" i="1" a="1"/>
  <c r="F38" i="1" a="1"/>
  <c r="H37" i="1" a="1"/>
  <c r="D37" i="1" a="1"/>
  <c r="F36" i="1" a="1"/>
  <c r="D35" i="1" a="1"/>
  <c r="H33" i="1" a="1"/>
  <c r="F32" i="1" a="1"/>
  <c r="H29" i="1" a="1"/>
  <c r="C11" i="1" a="1"/>
  <c r="G45" i="1" a="1"/>
  <c r="C45" i="1" a="1"/>
  <c r="E44" i="1" a="1"/>
  <c r="G43" i="1" a="1"/>
  <c r="C43" i="1" a="1"/>
  <c r="E42" i="1" a="1"/>
  <c r="G41" i="1" a="1"/>
  <c r="C41" i="1" a="1"/>
  <c r="E40" i="1" a="1"/>
  <c r="G39" i="1" a="1"/>
  <c r="C39" i="1" a="1"/>
  <c r="E38" i="1" a="1"/>
  <c r="G37" i="1" a="1"/>
  <c r="C37" i="1" a="1"/>
  <c r="E36" i="1" a="1"/>
  <c r="G35" i="1" a="1"/>
  <c r="C35" i="1" a="1"/>
  <c r="E34" i="1" a="1"/>
  <c r="G33" i="1" a="1"/>
  <c r="C33" i="1" a="1"/>
  <c r="E32" i="1" a="1"/>
  <c r="G31" i="1" a="1"/>
  <c r="C31" i="1" a="1"/>
  <c r="E30" i="1" a="1"/>
  <c r="G29" i="1" a="1"/>
  <c r="C29" i="1" a="1"/>
  <c r="H32" i="1" a="1"/>
  <c r="F31" i="1" a="1"/>
  <c r="H30" i="1" a="1"/>
  <c r="D30" i="1" a="1"/>
  <c r="F29" i="1" a="1"/>
  <c r="C14" i="1" a="1"/>
  <c r="F45" i="1" a="1"/>
  <c r="H44" i="1" a="1"/>
  <c r="D44" i="1" a="1"/>
  <c r="F43" i="1" a="1"/>
  <c r="H42" i="1" a="1"/>
  <c r="D42" i="1" a="1"/>
  <c r="F41" i="1" a="1"/>
  <c r="H40" i="1" a="1"/>
  <c r="D40" i="1" a="1"/>
  <c r="F39" i="1" a="1"/>
  <c r="H38" i="1" a="1"/>
  <c r="D38" i="1" a="1"/>
  <c r="F37" i="1" a="1"/>
  <c r="H36" i="1" a="1"/>
  <c r="D36" i="1" a="1"/>
  <c r="F35" i="1" a="1"/>
  <c r="H34" i="1" a="1"/>
  <c r="D34" i="1" a="1"/>
  <c r="F33" i="1" a="1"/>
  <c r="D32" i="1" a="1"/>
  <c r="C13" i="1" a="1"/>
  <c r="E45" i="1" a="1"/>
  <c r="G44" i="1" a="1"/>
  <c r="C44" i="1" a="1"/>
  <c r="E43" i="1" a="1"/>
  <c r="G42" i="1" a="1"/>
  <c r="C42" i="1" a="1"/>
  <c r="E41" i="1" a="1"/>
  <c r="G40" i="1" a="1"/>
  <c r="C40" i="1" a="1"/>
  <c r="E39" i="1" a="1"/>
  <c r="G38" i="1" a="1"/>
  <c r="C38" i="1" a="1"/>
  <c r="E37" i="1" a="1"/>
  <c r="G36" i="1" a="1"/>
  <c r="C36" i="1" a="1"/>
  <c r="E35" i="1" a="1"/>
  <c r="G34" i="1" a="1"/>
  <c r="C34" i="1" a="1"/>
  <c r="E33" i="1" a="1"/>
  <c r="G32" i="1" a="1"/>
  <c r="C32" i="1" a="1"/>
  <c r="E31" i="1" a="1"/>
  <c r="G30" i="1" a="1"/>
  <c r="C30" i="1" a="1"/>
  <c r="E29" i="1" a="1"/>
  <c r="C4" i="1" a="1"/>
  <c r="C12" i="1" a="1"/>
  <c r="H35" i="1" a="1"/>
  <c r="D33" i="1" a="1"/>
  <c r="H31" i="1" a="1"/>
  <c r="D31" i="1" a="1"/>
  <c r="D31" i="1"/>
  <c r="H31" i="1"/>
  <c r="D33" i="1"/>
  <c r="H35" i="1"/>
  <c r="C12" i="1"/>
  <c r="C4" i="1"/>
  <c r="E29" i="1"/>
  <c r="C30" i="1"/>
  <c r="G30" i="1"/>
  <c r="E31" i="1"/>
  <c r="C32" i="1"/>
  <c r="G32" i="1"/>
  <c r="E33" i="1"/>
  <c r="C34" i="1"/>
  <c r="G34" i="1"/>
  <c r="E35" i="1"/>
  <c r="C36" i="1"/>
  <c r="G36" i="1"/>
  <c r="E37" i="1"/>
  <c r="C38" i="1"/>
  <c r="G38" i="1"/>
  <c r="E39" i="1"/>
  <c r="C40" i="1"/>
  <c r="G40" i="1"/>
  <c r="E41" i="1"/>
  <c r="C42" i="1"/>
  <c r="G42" i="1"/>
  <c r="E43" i="1"/>
  <c r="C44" i="1"/>
  <c r="G44" i="1"/>
  <c r="E45" i="1"/>
  <c r="C13" i="1"/>
  <c r="D32" i="1"/>
  <c r="F33" i="1"/>
  <c r="D34" i="1"/>
  <c r="H34" i="1"/>
  <c r="F35" i="1"/>
  <c r="D36" i="1"/>
  <c r="H36" i="1"/>
  <c r="F37" i="1"/>
  <c r="D38" i="1"/>
  <c r="H38" i="1"/>
  <c r="F39" i="1"/>
  <c r="D40" i="1"/>
  <c r="H40" i="1"/>
  <c r="F41" i="1"/>
  <c r="D42" i="1"/>
  <c r="H42" i="1"/>
  <c r="F43" i="1"/>
  <c r="D44" i="1"/>
  <c r="H44" i="1"/>
  <c r="F45" i="1"/>
  <c r="C14" i="1"/>
  <c r="F29" i="1"/>
  <c r="D30" i="1"/>
  <c r="H30" i="1"/>
  <c r="F31" i="1"/>
  <c r="H32" i="1"/>
  <c r="C29" i="1"/>
  <c r="G29" i="1"/>
  <c r="E30" i="1"/>
  <c r="C31" i="1"/>
  <c r="G31" i="1"/>
  <c r="E32" i="1"/>
  <c r="C33" i="1"/>
  <c r="G33" i="1"/>
  <c r="E34" i="1"/>
  <c r="C35" i="1"/>
  <c r="G35" i="1"/>
  <c r="E36" i="1"/>
  <c r="C37" i="1"/>
  <c r="G37" i="1"/>
  <c r="E38" i="1"/>
  <c r="C39" i="1"/>
  <c r="G39" i="1"/>
  <c r="E40" i="1"/>
  <c r="C41" i="1"/>
  <c r="G41" i="1"/>
  <c r="E42" i="1"/>
  <c r="C43" i="1"/>
  <c r="G43" i="1"/>
  <c r="E44" i="1"/>
  <c r="C45" i="1"/>
  <c r="G45" i="1"/>
  <c r="C11" i="1"/>
  <c r="H29" i="1"/>
  <c r="F32" i="1"/>
  <c r="H33" i="1"/>
  <c r="D35" i="1"/>
  <c r="F36" i="1"/>
  <c r="D37" i="1"/>
  <c r="H37" i="1"/>
  <c r="F38" i="1"/>
  <c r="D39" i="1"/>
  <c r="H39" i="1"/>
  <c r="F40" i="1"/>
  <c r="D41" i="1"/>
  <c r="H41" i="1"/>
  <c r="F42" i="1"/>
  <c r="D43" i="1"/>
  <c r="H43" i="1"/>
  <c r="F44" i="1"/>
  <c r="D45" i="1"/>
  <c r="H45" i="1"/>
  <c r="D29" i="1"/>
  <c r="F30" i="1"/>
  <c r="F34" i="1"/>
  <c r="C6" i="1" a="1"/>
  <c r="C5" i="1" a="1"/>
  <c r="C5" i="1"/>
  <c r="C6" i="1"/>
  <c r="C7" i="1"/>
  <c r="C15" i="1"/>
  <c r="K50" i="1"/>
  <c r="C19" i="1" a="1"/>
  <c r="C20" i="1" a="1"/>
  <c r="C21" i="1" a="1"/>
  <c r="C22" i="1" a="1"/>
  <c r="C22" i="1"/>
  <c r="C21" i="1"/>
  <c r="C20" i="1"/>
  <c r="C19" i="1"/>
  <c r="W48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<sst xmlns="http://schemas.openxmlformats.org/spreadsheetml/2006/main" count="53" uniqueCount="51">
  <si>
    <t>Workbook</t>
  </si>
  <si>
    <t>Worksheet</t>
  </si>
  <si>
    <t>Slice View</t>
  </si>
  <si>
    <t>Database Variables</t>
  </si>
  <si>
    <t>Database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</si>
  <si>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</si>
  <si>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</si>
  <si>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</si>
  <si>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</si>
  <si>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</si>
  <si>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</si>
  <si>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</si>
  <si>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</si>
  <si>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</si>
  <si>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</si>
  <si>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</si>
  <si>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</si>
  <si>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</si>
  <si>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sys_application</t>
  </si>
  <si>
    <t>favapp_application</t>
  </si>
  <si>
    <t>Client Preference Measure</t>
  </si>
  <si>
    <t>TM1 User</t>
  </si>
  <si>
    <t>}Clients</t>
  </si>
  <si>
    <t>}TM1_DefaultDisplayValue</t>
  </si>
  <si>
    <t>GEUS User Name</t>
  </si>
  <si>
    <t>Homepage - Home</t>
  </si>
  <si>
    <t>Homepage - Annual Estimates</t>
  </si>
  <si>
    <t>Homepage - Reports</t>
  </si>
  <si>
    <t>Homepage - Administration</t>
  </si>
  <si>
    <t>Homepage - Under Construction</t>
  </si>
  <si>
    <t>Caption</t>
  </si>
  <si>
    <t>Workbook Name</t>
  </si>
  <si>
    <t>Worksheet Name</t>
  </si>
  <si>
    <t>Caption Name</t>
  </si>
  <si>
    <t>Homepage - Administration - RDS</t>
  </si>
  <si>
    <t>Homepage - Administration - GEUS Setup</t>
  </si>
  <si>
    <t>Homepage - Administration - Favourites</t>
  </si>
  <si>
    <t>Homepage - Administration - Baseline</t>
  </si>
  <si>
    <t>ADMINISTRATION</t>
  </si>
  <si>
    <t>Homepage - Administration - RDS Mapping</t>
  </si>
  <si>
    <t>BASELINE MENU</t>
  </si>
  <si>
    <t>Admin Archive - CBMS GEUS Reconciliation</t>
  </si>
  <si>
    <t>Admin Archive - Create New Baseline</t>
  </si>
  <si>
    <t>Admin Archive - Recover Baseline</t>
  </si>
  <si>
    <t>Current Workbook</t>
  </si>
  <si>
    <t>Admin Archive - CBMS GEUS Reconciliation Summary Report</t>
  </si>
  <si>
    <t>Admin Archive - CBMS GEUS Reconciliation Detail Report</t>
  </si>
  <si>
    <t>`</t>
  </si>
  <si>
    <t>Admin Archive - CBMS GEUS Reconciliation Program Detail Report</t>
  </si>
  <si>
    <t>Admin Archive - CBMS GEUS Reconciliation Approp Report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</si>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</sst>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1"/>
      <color theme="0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"/>
      <family val="2"/>
    </font>
    <font>
      <sz val="8"/>
      <color indexed="62"/>
      <name val="Verdana"/>
      <family val="2"/>
    </font>
    <font>
      <sz val="11"/>
      <color theme="8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1F7DBE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7" fillId="0" borderId="0">
      <protection locked="0"/>
    </xf>
  </cellStyleXfs>
  <cellXfs count="20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2" fillId="3" borderId="0" xfId="0" applyFont="1" applyFill="1" applyAlignment="1">
      <alignment horizontal="right" vertical="center"/>
    </xf>
    <xf numFmtId="0" fontId="4" fillId="4" borderId="0" xfId="0" applyFont="1" applyFill="1" applyAlignment="1">
      <alignment vertical="center"/>
    </xf>
    <xf numFmtId="0" fontId="5" fillId="3" borderId="0" xfId="0" applyFont="1" applyFill="1" applyAlignment="1">
      <alignment horizontal="right" vertical="center"/>
    </xf>
    <xf numFmtId="0" fontId="6" fillId="5" borderId="0" xfId="1" applyFont="1" applyFill="1" applyAlignment="1" applyProtection="1">
      <alignment vertical="center"/>
    </xf>
    <xf numFmtId="0" fontId="0" fillId="6" borderId="0" xfId="0" applyFill="1"/>
    <xf numFmtId="0" fontId="0" fillId="0" borderId="1" xfId="0" applyBorder="1" applyAlignment="1">
      <alignment horizontal="left"/>
    </xf>
    <xf numFmtId="0" fontId="3" fillId="3" borderId="0" xfId="0" applyFont="1" applyFill="1" applyAlignment="1">
      <alignment horizontal="right" vertical="center" indent="1"/>
    </xf>
    <xf numFmtId="0" fontId="0" fillId="0" borderId="5" xfId="0" applyBorder="1"/>
    <xf numFmtId="0" fontId="8" fillId="0" borderId="0" xfId="0" applyFont="1"/>
    <xf numFmtId="0" fontId="6" fillId="3" borderId="0" xfId="0" applyFont="1" applyFill="1" applyAlignment="1">
      <alignment horizontal="left" vertical="center"/>
    </xf>
    <xf numFmtId="0" fontId="6" fillId="5" borderId="0" xfId="1" applyFont="1" applyFill="1" applyAlignment="1" applyProtection="1">
      <alignment horizontal="left" vertic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4" fillId="4" borderId="0" xfId="0" applyFont="1" applyFill="1" applyAlignment="1">
      <alignment horizontal="left" vertical="center" indent="1"/>
    </xf>
  </cellXfs>
  <cellStyles count="2">
    <cellStyle name="Normal" xfId="0" builtinId="0"/>
    <cellStyle name="Normal 2" xfId="1" xr:uid="{A2B67CD9-5582-4426-A06D-CD56C372B898}"/>
  </cellStyles>
  <dxfs count="1">
    <dxf>
      <font>
        <color theme="0"/>
      </font>
      <fill>
        <patternFill>
          <bgColor theme="9" tint="-0.49998474074526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  <color rgb="FF333F48"/>
      <color rgb="FF006C5B"/>
      <color rgb="FF4F86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1236052</xdr:colOff>
      <xdr:row>49</xdr:row>
      <xdr:rowOff>55686</xdr:rowOff>
    </xdr:from>
    <xdr:to>
      <xdr:col>22</xdr:col>
      <xdr:colOff>206290</xdr:colOff>
      <xdr:row>49</xdr:row>
      <xdr:rowOff>340374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577" y="9952161"/>
          <a:ext cx="284688" cy="284688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</xdr:colOff>
      <xdr:row>54</xdr:row>
      <xdr:rowOff>57150</xdr:rowOff>
    </xdr:from>
    <xdr:to>
      <xdr:col>15</xdr:col>
      <xdr:colOff>307716</xdr:colOff>
      <xdr:row>54</xdr:row>
      <xdr:rowOff>247650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49550" y="10391775"/>
          <a:ext cx="241041" cy="1905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54</xdr:row>
      <xdr:rowOff>66675</xdr:rowOff>
    </xdr:from>
    <xdr:to>
      <xdr:col>22</xdr:col>
      <xdr:colOff>289046</xdr:colOff>
      <xdr:row>54</xdr:row>
      <xdr:rowOff>246045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64600" y="10401300"/>
          <a:ext cx="241421" cy="190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28575</xdr:rowOff>
    </xdr:from>
    <xdr:to>
      <xdr:col>12</xdr:col>
      <xdr:colOff>57150</xdr:colOff>
      <xdr:row>47</xdr:row>
      <xdr:rowOff>474345</xdr:rowOff>
    </xdr:to>
    <xdr:pic>
      <xdr:nvPicPr>
        <xdr:cNvPr id="21" name="Picture 3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47625</xdr:colOff>
      <xdr:row>54</xdr:row>
      <xdr:rowOff>66675</xdr:rowOff>
    </xdr:from>
    <xdr:to>
      <xdr:col>22</xdr:col>
      <xdr:colOff>289046</xdr:colOff>
      <xdr:row>54</xdr:row>
      <xdr:rowOff>246045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7675" y="1066800"/>
          <a:ext cx="241421" cy="1908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26</xdr:col>
      <xdr:colOff>57150</xdr:colOff>
      <xdr:row>55</xdr:row>
      <xdr:rowOff>15240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1050" y="0"/>
          <a:ext cx="1885950" cy="18859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55</xdr:row>
      <xdr:rowOff>47625</xdr:rowOff>
    </xdr:from>
    <xdr:to>
      <xdr:col>14</xdr:col>
      <xdr:colOff>752475</xdr:colOff>
      <xdr:row>58</xdr:row>
      <xdr:rowOff>0</xdr:rowOff>
    </xdr:to>
    <xdr:sp macro="Sheet1.ExecuteAction_87fad424_080f_4a30_a169_e6847a79b94d" textlink="TM1HomeAdminGEUSCAP">
      <xdr:nvSpPr>
        <xdr:cNvPr id="2" name="TM1Button_87fad424_080f_4a30_a169_e6847a79b94d">
          <a:extLst>
            <a:ext uri="{FF2B5EF4-FFF2-40B4-BE49-F238E27FC236}">
              <a16:creationId xmlns:a16="http://schemas.microsoft.com/office/drawing/2014/main" id="{89793A15-1185-5F5C-FAE5-971235A7F6FF}"/>
            </a:ext>
          </a:extLst>
        </xdr:cNvPr>
        <xdr:cNvSpPr txBox="1"/>
      </xdr:nvSpPr>
      <xdr:spPr>
        <a:xfrm>
          <a:off x="438150" y="19335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5561BC8-A655-45D8-8F4F-C04258C75193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58</xdr:row>
      <xdr:rowOff>47625</xdr:rowOff>
    </xdr:from>
    <xdr:to>
      <xdr:col>21</xdr:col>
      <xdr:colOff>1038225</xdr:colOff>
      <xdr:row>60</xdr:row>
      <xdr:rowOff>57150</xdr:rowOff>
    </xdr:to>
    <xdr:sp macro="Sheet1.ExecuteAction_4176bb32_fc1b_429c_a506_dae08489d102" textlink="TM1AdminArcCBMSRecoRepCAP">
      <xdr:nvSpPr>
        <xdr:cNvPr id="3" name="TM1Button_4176bb32_fc1b_429c_a506_dae08489d102">
          <a:extLst>
            <a:ext uri="{FF2B5EF4-FFF2-40B4-BE49-F238E27FC236}">
              <a16:creationId xmlns:a16="http://schemas.microsoft.com/office/drawing/2014/main" id="{4B954F2D-EB66-C485-DC1E-E1ABC6F1DEAA}"/>
            </a:ext>
          </a:extLst>
        </xdr:cNvPr>
        <xdr:cNvSpPr txBox="1"/>
      </xdr:nvSpPr>
      <xdr:spPr>
        <a:xfrm>
          <a:off x="6858000" y="22955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914C686-697A-4338-8300-282FCF8DEB98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60</xdr:row>
      <xdr:rowOff>104775</xdr:rowOff>
    </xdr:from>
    <xdr:to>
      <xdr:col>21</xdr:col>
      <xdr:colOff>1038225</xdr:colOff>
      <xdr:row>62</xdr:row>
      <xdr:rowOff>114300</xdr:rowOff>
    </xdr:to>
    <xdr:sp macro="Sheet1.ExecuteAction_31d61ac5_08de_4f31_8cca_da32a54834aa" textlink="TM1AdminArcCBMSRecoRepDetCAP">
      <xdr:nvSpPr>
        <xdr:cNvPr id="4" name="TM1Button_31d61ac5_08de_4f31_8cca_da32a54834aa">
          <a:extLst>
            <a:ext uri="{FF2B5EF4-FFF2-40B4-BE49-F238E27FC236}">
              <a16:creationId xmlns:a16="http://schemas.microsoft.com/office/drawing/2014/main" id="{FBFC1C6E-3519-E8EA-01B5-081427A9391F}"/>
            </a:ext>
          </a:extLst>
        </xdr:cNvPr>
        <xdr:cNvSpPr txBox="1"/>
      </xdr:nvSpPr>
      <xdr:spPr>
        <a:xfrm>
          <a:off x="6858000" y="26574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F6EF9CE-B14B-4977-BEF6-26428E839789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64</xdr:row>
      <xdr:rowOff>85725</xdr:rowOff>
    </xdr:from>
    <xdr:to>
      <xdr:col>21</xdr:col>
      <xdr:colOff>1038225</xdr:colOff>
      <xdr:row>66</xdr:row>
      <xdr:rowOff>152400</xdr:rowOff>
    </xdr:to>
    <xdr:sp macro="Sheet1.ExecuteAction_b8746f4e_ab92_4ea2_8e08_5b8023e93384" textlink="TM1AdminArcCBMSRecoAppropCAP">
      <xdr:nvSpPr>
        <xdr:cNvPr id="5" name="TM1Button_b8746f4e_ab92_4ea2_8e08_5b8023e93384">
          <a:extLst>
            <a:ext uri="{FF2B5EF4-FFF2-40B4-BE49-F238E27FC236}">
              <a16:creationId xmlns:a16="http://schemas.microsoft.com/office/drawing/2014/main" id="{F4C6E289-FE40-E35C-C9E2-298B0D63FDA0}"/>
            </a:ext>
          </a:extLst>
        </xdr:cNvPr>
        <xdr:cNvSpPr txBox="1"/>
      </xdr:nvSpPr>
      <xdr:spPr>
        <a:xfrm>
          <a:off x="6858000" y="33813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DDF0F3D-5922-4197-B5D2-833D37FFA308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67</xdr:row>
      <xdr:rowOff>28575</xdr:rowOff>
    </xdr:from>
    <xdr:to>
      <xdr:col>21</xdr:col>
      <xdr:colOff>1038225</xdr:colOff>
      <xdr:row>70</xdr:row>
      <xdr:rowOff>38100</xdr:rowOff>
    </xdr:to>
    <xdr:sp macro="Sheet1.ExecuteAction_9c4b591c_b554_4eb3_805a_1bc48b3cfef9" textlink="TM1AdminArcNewBaseCAP">
      <xdr:nvSpPr>
        <xdr:cNvPr id="6" name="TM1Button_9c4b591c_b554_4eb3_805a_1bc48b3cfef9">
          <a:extLst>
            <a:ext uri="{FF2B5EF4-FFF2-40B4-BE49-F238E27FC236}">
              <a16:creationId xmlns:a16="http://schemas.microsoft.com/office/drawing/2014/main" id="{3480DA87-7196-482A-E28A-4310531EED30}"/>
            </a:ext>
          </a:extLst>
        </xdr:cNvPr>
        <xdr:cNvSpPr txBox="1"/>
      </xdr:nvSpPr>
      <xdr:spPr>
        <a:xfrm>
          <a:off x="6858000" y="37623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4BB27A3-17E6-4B4B-B132-4946EA3A026F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70</xdr:row>
      <xdr:rowOff>85725</xdr:rowOff>
    </xdr:from>
    <xdr:to>
      <xdr:col>21</xdr:col>
      <xdr:colOff>1038225</xdr:colOff>
      <xdr:row>72</xdr:row>
      <xdr:rowOff>152400</xdr:rowOff>
    </xdr:to>
    <xdr:sp macro="Sheet1.ExecuteAction_6540d678_9df9_487e_b5fa_be8244d2a40f" textlink="TM1AdminArcRecoverBaseCAP">
      <xdr:nvSpPr>
        <xdr:cNvPr id="7" name="TM1Button_6540d678_9df9_487e_b5fa_be8244d2a40f">
          <a:extLst>
            <a:ext uri="{FF2B5EF4-FFF2-40B4-BE49-F238E27FC236}">
              <a16:creationId xmlns:a16="http://schemas.microsoft.com/office/drawing/2014/main" id="{5EC9B3DE-1855-CFDA-85BF-B1B32DE7AA10}"/>
            </a:ext>
          </a:extLst>
        </xdr:cNvPr>
        <xdr:cNvSpPr txBox="1"/>
      </xdr:nvSpPr>
      <xdr:spPr>
        <a:xfrm>
          <a:off x="6858000" y="41243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E138BDA-C7D7-4132-9F1C-D66154C59081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62</xdr:row>
      <xdr:rowOff>161925</xdr:rowOff>
    </xdr:from>
    <xdr:to>
      <xdr:col>14</xdr:col>
      <xdr:colOff>752475</xdr:colOff>
      <xdr:row>64</xdr:row>
      <xdr:rowOff>38100</xdr:rowOff>
    </xdr:to>
    <xdr:sp macro="Sheet1.ExecuteAction_c123c570_a6eb_4d10_8ccf_b070e5490584" textlink="TM1HomeAdminBaseCAP">
      <xdr:nvSpPr>
        <xdr:cNvPr id="8" name="TM1Button_c123c570_a6eb_4d10_8ccf_b070e5490584">
          <a:extLst>
            <a:ext uri="{FF2B5EF4-FFF2-40B4-BE49-F238E27FC236}">
              <a16:creationId xmlns:a16="http://schemas.microsoft.com/office/drawing/2014/main" id="{0C78EBB9-6743-BEA4-6771-C021860619AF}"/>
            </a:ext>
          </a:extLst>
        </xdr:cNvPr>
        <xdr:cNvSpPr txBox="1"/>
      </xdr:nvSpPr>
      <xdr:spPr>
        <a:xfrm>
          <a:off x="438150" y="3019425"/>
          <a:ext cx="4695825" cy="314325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66BE3B0-DFE2-4B9D-8A10-C762748F3EAA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58</xdr:row>
      <xdr:rowOff>47625</xdr:rowOff>
    </xdr:from>
    <xdr:to>
      <xdr:col>14</xdr:col>
      <xdr:colOff>752475</xdr:colOff>
      <xdr:row>60</xdr:row>
      <xdr:rowOff>57150</xdr:rowOff>
    </xdr:to>
    <xdr:sp macro="Sheet1.ExecuteAction_2e9f1c25_8364_4499_9454_cacbdfc6b671" textlink="TM1HomeAdminRDSCAP">
      <xdr:nvSpPr>
        <xdr:cNvPr id="10" name="TM1Button_2e9f1c25_8364_4499_9454_cacbdfc6b671">
          <a:extLst>
            <a:ext uri="{FF2B5EF4-FFF2-40B4-BE49-F238E27FC236}">
              <a16:creationId xmlns:a16="http://schemas.microsoft.com/office/drawing/2014/main" id="{BD3D44F8-9A82-49E9-A149-1FDB54B8D115}"/>
            </a:ext>
          </a:extLst>
        </xdr:cNvPr>
        <xdr:cNvSpPr txBox="1"/>
      </xdr:nvSpPr>
      <xdr:spPr>
        <a:xfrm>
          <a:off x="438150" y="229552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B005979-FFFC-47F2-83A8-24813E505B52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64</xdr:row>
      <xdr:rowOff>85725</xdr:rowOff>
    </xdr:from>
    <xdr:to>
      <xdr:col>14</xdr:col>
      <xdr:colOff>752475</xdr:colOff>
      <xdr:row>66</xdr:row>
      <xdr:rowOff>152400</xdr:rowOff>
    </xdr:to>
    <xdr:sp macro="Sheet1.ExecuteAction_362f7760_fbe5_400a_94c7_9e3cc694485f" textlink="TM1HomeAdminFavCAP">
      <xdr:nvSpPr>
        <xdr:cNvPr id="13" name="TM1Button_362f7760_fbe5_400a_94c7_9e3cc694485f">
          <a:extLst>
            <a:ext uri="{FF2B5EF4-FFF2-40B4-BE49-F238E27FC236}">
              <a16:creationId xmlns:a16="http://schemas.microsoft.com/office/drawing/2014/main" id="{C98F9EAD-49B6-B171-94EF-5393C3EB0D68}"/>
            </a:ext>
          </a:extLst>
        </xdr:cNvPr>
        <xdr:cNvSpPr txBox="1"/>
      </xdr:nvSpPr>
      <xdr:spPr>
        <a:xfrm>
          <a:off x="438150" y="33813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0770462-5962-49D9-9D25-3B228FDAA58B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60</xdr:row>
      <xdr:rowOff>104775</xdr:rowOff>
    </xdr:from>
    <xdr:to>
      <xdr:col>14</xdr:col>
      <xdr:colOff>752475</xdr:colOff>
      <xdr:row>62</xdr:row>
      <xdr:rowOff>114300</xdr:rowOff>
    </xdr:to>
    <xdr:sp macro="Sheet1.ExecuteAction_daf9f2b3_38a6_4e61_baeb_604b63707a07" textlink="TM1HomeAdminRDSMapCAP">
      <xdr:nvSpPr>
        <xdr:cNvPr id="14" name="TM1Button_daf9f2b3_38a6_4e61_baeb_604b63707a07">
          <a:extLst>
            <a:ext uri="{FF2B5EF4-FFF2-40B4-BE49-F238E27FC236}">
              <a16:creationId xmlns:a16="http://schemas.microsoft.com/office/drawing/2014/main" id="{5B8E55D7-5CD9-8D66-3937-16BEC12AAF55}"/>
            </a:ext>
          </a:extLst>
        </xdr:cNvPr>
        <xdr:cNvSpPr txBox="1"/>
      </xdr:nvSpPr>
      <xdr:spPr>
        <a:xfrm>
          <a:off x="438150" y="26574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6C91D12-B585-4EB4-A702-7F93F3491E9B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62</xdr:row>
      <xdr:rowOff>161925</xdr:rowOff>
    </xdr:from>
    <xdr:to>
      <xdr:col>21</xdr:col>
      <xdr:colOff>1038225</xdr:colOff>
      <xdr:row>64</xdr:row>
      <xdr:rowOff>38100</xdr:rowOff>
    </xdr:to>
    <xdr:sp macro="Sheet1.ExecuteAction_50826bd0_6f27_4576_9312_f39eb2968c4c" textlink="TM1AdminArcCBMSRecoProgDetCAP">
      <xdr:nvSpPr>
        <xdr:cNvPr id="15" name="TM1Button_50826bd0_6f27_4576_9312_f39eb2968c4c">
          <a:extLst>
            <a:ext uri="{FF2B5EF4-FFF2-40B4-BE49-F238E27FC236}">
              <a16:creationId xmlns:a16="http://schemas.microsoft.com/office/drawing/2014/main" id="{A8B95CA3-7B45-EDCA-2087-051D782AEE32}"/>
            </a:ext>
          </a:extLst>
        </xdr:cNvPr>
        <xdr:cNvSpPr txBox="1"/>
      </xdr:nvSpPr>
      <xdr:spPr>
        <a:xfrm>
          <a:off x="6858000" y="30194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865F456-954C-4CEA-BDD9-0B9F5953351E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123825</xdr:colOff>
      <xdr:row>51</xdr:row>
      <xdr:rowOff>47625</xdr:rowOff>
    </xdr:from>
    <xdr:to>
      <xdr:col>13</xdr:col>
      <xdr:colOff>38100</xdr:colOff>
      <xdr:row>53</xdr:row>
      <xdr:rowOff>85725</xdr:rowOff>
    </xdr:to>
    <xdr:sp macro="Sheet1.ExecuteAction_f43ce33a_ad98_41c2_abc6_2bca5a585989" textlink="TM1HomeCAP">
      <xdr:nvSpPr>
        <xdr:cNvPr id="16" name="TM1Button_f43ce33a_ad98_41c2_abc6_2bca5a585989">
          <a:extLst>
            <a:ext uri="{FF2B5EF4-FFF2-40B4-BE49-F238E27FC236}">
              <a16:creationId xmlns:a16="http://schemas.microsoft.com/office/drawing/2014/main" id="{DC034461-FBF5-5CAB-8C77-068765991C9E}"/>
            </a:ext>
          </a:extLst>
        </xdr:cNvPr>
        <xdr:cNvSpPr txBox="1"/>
      </xdr:nvSpPr>
      <xdr:spPr>
        <a:xfrm>
          <a:off x="180975" y="1047750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E6F5651-B102-40EB-92D7-4C626DB63C72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57150</xdr:colOff>
      <xdr:row>51</xdr:row>
      <xdr:rowOff>47625</xdr:rowOff>
    </xdr:from>
    <xdr:to>
      <xdr:col>15</xdr:col>
      <xdr:colOff>352425</xdr:colOff>
      <xdr:row>53</xdr:row>
      <xdr:rowOff>85725</xdr:rowOff>
    </xdr:to>
    <xdr:sp macro="Sheet1.ExecuteAction_3dff1458_ee04_4c7d_b54e_bf3db069c943" textlink="TM1HomeAECAP">
      <xdr:nvSpPr>
        <xdr:cNvPr id="17" name="TM1Button_3dff1458_ee04_4c7d_b54e_bf3db069c943">
          <a:extLst>
            <a:ext uri="{FF2B5EF4-FFF2-40B4-BE49-F238E27FC236}">
              <a16:creationId xmlns:a16="http://schemas.microsoft.com/office/drawing/2014/main" id="{BE2CC26B-48EF-8AC0-FE40-3635365DE4F1}"/>
            </a:ext>
          </a:extLst>
        </xdr:cNvPr>
        <xdr:cNvSpPr txBox="1"/>
      </xdr:nvSpPr>
      <xdr:spPr>
        <a:xfrm>
          <a:off x="3124200" y="1047750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03F2EA5-1CFC-4C69-8EA0-2D4DCC2D8B91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371475</xdr:colOff>
      <xdr:row>51</xdr:row>
      <xdr:rowOff>38100</xdr:rowOff>
    </xdr:from>
    <xdr:to>
      <xdr:col>19</xdr:col>
      <xdr:colOff>1104900</xdr:colOff>
      <xdr:row>53</xdr:row>
      <xdr:rowOff>76200</xdr:rowOff>
    </xdr:to>
    <xdr:sp macro="Sheet1.ExecuteAction_c8cfeef5_e44f_451f_bd7e_6f729d38193f" textlink="TM1HomeRepCAP">
      <xdr:nvSpPr>
        <xdr:cNvPr id="18" name="TM1Button_c8cfeef5_e44f_451f_bd7e_6f729d38193f">
          <a:extLst>
            <a:ext uri="{FF2B5EF4-FFF2-40B4-BE49-F238E27FC236}">
              <a16:creationId xmlns:a16="http://schemas.microsoft.com/office/drawing/2014/main" id="{0D891250-2129-490A-0FBD-B5FC9350DEA8}"/>
            </a:ext>
          </a:extLst>
        </xdr:cNvPr>
        <xdr:cNvSpPr txBox="1"/>
      </xdr:nvSpPr>
      <xdr:spPr>
        <a:xfrm>
          <a:off x="6067425" y="1038225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D0BF77D-10CD-4176-A8F0-7FD41B60583A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1133475</xdr:colOff>
      <xdr:row>51</xdr:row>
      <xdr:rowOff>38100</xdr:rowOff>
    </xdr:from>
    <xdr:to>
      <xdr:col>22</xdr:col>
      <xdr:colOff>114300</xdr:colOff>
      <xdr:row>53</xdr:row>
      <xdr:rowOff>76200</xdr:rowOff>
    </xdr:to>
    <xdr:sp macro="Sheet1.ExecuteAction_13061c62_854b_40e0_862e_89e6e3816a8a" textlink="TM1HomeAdminCAP">
      <xdr:nvSpPr>
        <xdr:cNvPr id="22" name="TM1Button_13061c62_854b_40e0_862e_89e6e3816a8a">
          <a:extLst>
            <a:ext uri="{FF2B5EF4-FFF2-40B4-BE49-F238E27FC236}">
              <a16:creationId xmlns:a16="http://schemas.microsoft.com/office/drawing/2014/main" id="{9EBC2ED9-1099-2065-3403-384FBA1DDB30}"/>
            </a:ext>
          </a:extLst>
        </xdr:cNvPr>
        <xdr:cNvSpPr txBox="1"/>
      </xdr:nvSpPr>
      <xdr:spPr>
        <a:xfrm>
          <a:off x="9020175" y="1038225"/>
          <a:ext cx="2924175" cy="419100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1EE1EE8-FC1F-496A-B7C9-C177CE072AB3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55</xdr:row>
      <xdr:rowOff>47625</xdr:rowOff>
    </xdr:from>
    <xdr:to>
      <xdr:col>21</xdr:col>
      <xdr:colOff>1038225</xdr:colOff>
      <xdr:row>58</xdr:row>
      <xdr:rowOff>0</xdr:rowOff>
    </xdr:to>
    <xdr:sp macro="Sheet1.ExecuteAction_e1f42e40_7361_4ab1_9923_236a27520800" textlink="TM1AdminArcCBMSRecoCAP">
      <xdr:nvSpPr>
        <xdr:cNvPr id="23" name="TM1Button_e1f42e40_7361_4ab1_9923_236a27520800">
          <a:extLst>
            <a:ext uri="{FF2B5EF4-FFF2-40B4-BE49-F238E27FC236}">
              <a16:creationId xmlns:a16="http://schemas.microsoft.com/office/drawing/2014/main" id="{A7C70C8F-847D-1D30-2223-3D7B946EE9AA}"/>
            </a:ext>
          </a:extLst>
        </xdr:cNvPr>
        <xdr:cNvSpPr txBox="1"/>
      </xdr:nvSpPr>
      <xdr:spPr>
        <a:xfrm>
          <a:off x="6858000" y="19335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0E719FC-E5D5-46CE-A526-D44ABFAEC6D6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EFCA4-A2A2-4967-A916-C33A6C7354C5}">
  <sheetPr codeName="Sheet1">
    <outlinePr showOutlineSymbols="0"/>
  </sheetPr>
  <dimension ref="A1:W90"/>
  <sheetViews>
    <sheetView showGridLines="0" tabSelected="1" showOutlineSymbols="0" topLeftCell="J48" workbookViewId="0">
      <pane ySplit="43" topLeftCell="A91" activePane="bottomLeft" state="frozen"/>
      <selection activeCell="J48" sqref="J48"/>
      <selection pane="bottomLeft"/>
    </sheetView>
  </sheetViews>
  <sheetFormatPr defaultRowHeight="15" outlineLevelRow="1" outlineLevelCol="1" x14ac:dyDescent="0.25"/>
  <cols>
    <col min="1" max="1" width="5.7109375" hidden="1" customWidth="1" outlineLevel="1"/>
    <col min="2" max="2" width="27.85546875" hidden="1" customWidth="1" outlineLevel="1"/>
    <col min="3" max="4" width="20.28515625" hidden="1" customWidth="1" outlineLevel="1"/>
    <col min="5" max="5" width="24.42578125" hidden="1" customWidth="1" outlineLevel="1"/>
    <col min="6" max="6" width="21.7109375" hidden="1" customWidth="1" outlineLevel="1"/>
    <col min="7" max="7" width="20.140625" hidden="1" customWidth="1" outlineLevel="1"/>
    <col min="8" max="8" width="13.42578125" hidden="1" customWidth="1" outlineLevel="1"/>
    <col min="9" max="9" width="12.42578125" hidden="1" customWidth="1" outlineLevel="1"/>
    <col min="10" max="10" width="0.85546875" customWidth="1" collapsed="1"/>
    <col min="11" max="11" width="5.7109375" customWidth="1"/>
    <col min="12" max="15" width="19.7109375" customWidth="1"/>
    <col min="16" max="16" width="5.7109375" customWidth="1"/>
    <col min="17" max="17" width="1.7109375" customWidth="1"/>
    <col min="18" max="18" width="5.7109375" customWidth="1"/>
    <col min="19" max="22" width="19.7109375" customWidth="1"/>
    <col min="23" max="23" width="5.7109375" customWidth="1"/>
  </cols>
  <sheetData>
    <row r="1" spans="2:4" hidden="1" outlineLevel="1" x14ac:dyDescent="0.25">
      <c r="B1" s="16" t="s">
        <v>3</v>
      </c>
      <c r="C1" s="17"/>
      <c r="D1" s="18"/>
    </row>
    <row r="2" spans="2:4" hidden="1" outlineLevel="1" x14ac:dyDescent="0.25">
      <c r="B2" s="2" t="s">
        <v>4</v>
      </c>
      <c r="C2" s="3" t="s">
        <v>50</v>
      </c>
      <c r="D2" s="4"/>
    </row>
    <row r="3" spans="2:4" hidden="1" outlineLevel="1" x14ac:dyDescent="0.25">
      <c r="B3" s="2" t="s">
        <v>22</v>
      </c>
      <c r="C3" s="10" t="e" cm="1">
        <f t="array" aca="1" ref="C3" ca="1">_xll.VIEW(db_name&amp;":}ElementAttributes_}Clients","!","!")</f>
        <v>#NAME?</v>
      </c>
      <c r="D3" s="4"/>
    </row>
    <row r="4" spans="2:4" hidden="1" outlineLevel="1" x14ac:dyDescent="0.25">
      <c r="B4" s="2" t="s">
        <v>21</v>
      </c>
      <c r="C4" s="3" t="e" cm="1">
        <f t="array" aca="1" ref="C4" ca="1">_xll.TM1USER(db_name)</f>
        <v>#NAME?</v>
      </c>
      <c r="D4" s="4"/>
    </row>
    <row r="5" spans="2:4" hidden="1" outlineLevel="1" x14ac:dyDescent="0.25">
      <c r="B5" s="2" t="s">
        <v>23</v>
      </c>
      <c r="C5" s="3" t="e" cm="1">
        <f t="array" aca="1" ref="C5" ca="1">_xll.DBR($C$3,$C$4,$B5)</f>
        <v>#NAME?</v>
      </c>
      <c r="D5" s="4"/>
    </row>
    <row r="6" spans="2:4" hidden="1" outlineLevel="1" x14ac:dyDescent="0.25">
      <c r="B6" s="2" t="s">
        <v>24</v>
      </c>
      <c r="C6" s="3" t="e" cm="1">
        <f t="array" aca="1" ref="C6" ca="1">_xll.DBR($C$3,$C$4,$B6)</f>
        <v>#NAME?</v>
      </c>
      <c r="D6" s="4"/>
    </row>
    <row r="7" spans="2:4" hidden="1" outlineLevel="1" x14ac:dyDescent="0.25">
      <c r="B7" s="2" t="s">
        <v>5</v>
      </c>
      <c r="C7" s="3" t="e">
        <f ca="1">IF(LEFT($C$4,6)="CAM_AD",$C$5,$C$4)</f>
        <v>#NAME?</v>
      </c>
      <c r="D7" s="1"/>
    </row>
    <row r="8" spans="2:4" hidden="1" outlineLevel="1" x14ac:dyDescent="0.25"/>
    <row r="9" spans="2:4" hidden="1" outlineLevel="1" x14ac:dyDescent="0.25">
      <c r="B9" s="16" t="s">
        <v>6</v>
      </c>
      <c r="C9" s="17"/>
      <c r="D9" s="18"/>
    </row>
    <row r="10" spans="2:4" hidden="1" outlineLevel="1" x14ac:dyDescent="0.25">
      <c r="B10" s="2" t="s">
        <v>7</v>
      </c>
      <c r="C10" s="1" t="e" cm="1">
        <f t="array" aca="1" ref="C10" ca="1">_xll.VIEW(db_name&amp;":}ElementAttributes_variables","!","!")</f>
        <v>#NAME?</v>
      </c>
      <c r="D10" s="1"/>
    </row>
    <row r="11" spans="2:4" hidden="1" outlineLevel="1" x14ac:dyDescent="0.25">
      <c r="B11" s="2" t="s">
        <v>8</v>
      </c>
      <c r="C11" s="1" t="e" cm="1">
        <f t="array" aca="1" ref="C11" ca="1">_xll.DBR($C$10,$B11,"value")</f>
        <v>#NAME?</v>
      </c>
      <c r="D11" s="1"/>
    </row>
    <row r="12" spans="2:4" hidden="1" outlineLevel="1" x14ac:dyDescent="0.25">
      <c r="B12" s="2" t="s">
        <v>9</v>
      </c>
      <c r="C12" s="1" t="e" cm="1">
        <f t="array" aca="1" ref="C12" ca="1">_xll.DBR($C$10,$B12,"value")</f>
        <v>#NAME?</v>
      </c>
      <c r="D12" s="1"/>
    </row>
    <row r="13" spans="2:4" hidden="1" outlineLevel="1" x14ac:dyDescent="0.25">
      <c r="B13" s="2" t="s">
        <v>10</v>
      </c>
      <c r="C13" s="1" t="e" cm="1">
        <f t="array" aca="1" ref="C13" ca="1">_xll.DBR($C$10,$B13,"value")</f>
        <v>#NAME?</v>
      </c>
      <c r="D13" s="1"/>
    </row>
    <row r="14" spans="2:4" hidden="1" outlineLevel="1" x14ac:dyDescent="0.25">
      <c r="B14" s="2" t="s">
        <v>11</v>
      </c>
      <c r="C14" s="1" t="e" cm="1">
        <f t="array" aca="1" ref="C14" ca="1">_xll.DBR($C$10,$B14,"value")</f>
        <v>#NAME?</v>
      </c>
      <c r="D14" s="1"/>
    </row>
    <row r="15" spans="2:4" hidden="1" outlineLevel="1" x14ac:dyDescent="0.25">
      <c r="B15" s="2" t="s">
        <v>12</v>
      </c>
      <c r="C15" s="1" t="e">
        <f ca="1">"The current scenario is """ &amp; $C$12 &amp; """ for the """ &amp; $C$11 &amp; """ Headline Year. Archive was done for """ &amp; $C$13 &amp; """ on scenario """ &amp; $C$14 &amp; """."</f>
        <v>#NAME?</v>
      </c>
      <c r="D15" s="1"/>
    </row>
    <row r="16" spans="2:4" hidden="1" outlineLevel="1" x14ac:dyDescent="0.25"/>
    <row r="17" spans="2:8" hidden="1" outlineLevel="1" x14ac:dyDescent="0.25">
      <c r="B17" s="16" t="s">
        <v>13</v>
      </c>
      <c r="C17" s="17"/>
      <c r="D17" s="18"/>
    </row>
    <row r="18" spans="2:8" hidden="1" outlineLevel="1" x14ac:dyDescent="0.25">
      <c r="B18" s="2" t="s">
        <v>7</v>
      </c>
      <c r="C18" s="1" t="e" cm="1">
        <f t="array" aca="1" ref="C18" ca="1">_xll.VIEW(db_name&amp;":sys_client preference","!","!","!")</f>
        <v>#NAME?</v>
      </c>
      <c r="D18" s="1"/>
    </row>
    <row r="19" spans="2:8" hidden="1" outlineLevel="1" x14ac:dyDescent="0.25">
      <c r="B19" s="2" t="s">
        <v>14</v>
      </c>
      <c r="C19" s="1" t="e" cm="1">
        <f t="array" aca="1" ref="C19" ca="1">_xll.DBR($C$18,psUser,$B19,"value")</f>
        <v>#NAME?</v>
      </c>
      <c r="D19" s="1"/>
    </row>
    <row r="20" spans="2:8" hidden="1" outlineLevel="1" x14ac:dyDescent="0.25">
      <c r="B20" s="2" t="s">
        <v>15</v>
      </c>
      <c r="C20" s="1" t="e" cm="1">
        <f t="array" aca="1" ref="C20" ca="1">_xll.DBR($C$18,psUser,$B20,"value")</f>
        <v>#NAME?</v>
      </c>
      <c r="D20" s="1"/>
    </row>
    <row r="21" spans="2:8" hidden="1" outlineLevel="1" x14ac:dyDescent="0.25">
      <c r="B21" s="2" t="s">
        <v>16</v>
      </c>
      <c r="C21" s="1" t="e" cm="1">
        <f t="array" aca="1" ref="C21" ca="1">_xll.DBR($C$18,psUser,$B21,"value")</f>
        <v>#NAME?</v>
      </c>
      <c r="D21" s="1"/>
    </row>
    <row r="22" spans="2:8" hidden="1" outlineLevel="1" x14ac:dyDescent="0.25">
      <c r="B22" s="2" t="s">
        <v>17</v>
      </c>
      <c r="C22" s="1" t="e" cm="1">
        <f t="array" aca="1" ref="C22" ca="1">_xll.DBR($C$18,psUser,$B22,"value")</f>
        <v>#NAME?</v>
      </c>
      <c r="D22" s="1"/>
    </row>
    <row r="23" spans="2:8" hidden="1" outlineLevel="1" x14ac:dyDescent="0.25">
      <c r="B23" s="2" t="s">
        <v>20</v>
      </c>
      <c r="C23" s="1" t="s">
        <v>19</v>
      </c>
      <c r="D23" s="1"/>
    </row>
    <row r="24" spans="2:8" hidden="1" outlineLevel="1" x14ac:dyDescent="0.25"/>
    <row r="25" spans="2:8" hidden="1" outlineLevel="1" x14ac:dyDescent="0.25">
      <c r="B25" s="16" t="s">
        <v>18</v>
      </c>
      <c r="C25" s="17"/>
      <c r="D25" s="18"/>
    </row>
    <row r="26" spans="2:8" hidden="1" outlineLevel="1" x14ac:dyDescent="0.25">
      <c r="B26" s="1" t="s">
        <v>2</v>
      </c>
      <c r="C26" s="12" t="e">
        <f ca="1">_xll.VIEW(db_name&amp;":sys_application","!","!")</f>
        <v>#NAME?</v>
      </c>
      <c r="D26" s="12"/>
    </row>
    <row r="27" spans="2:8" hidden="1" outlineLevel="1" x14ac:dyDescent="0.25">
      <c r="B27" t="s">
        <v>44</v>
      </c>
      <c r="C27" s="12" t="s">
        <v>37</v>
      </c>
      <c r="D27" s="12"/>
    </row>
    <row r="28" spans="2:8" hidden="1" outlineLevel="1" x14ac:dyDescent="0.25">
      <c r="C28" s="12" t="s">
        <v>33</v>
      </c>
      <c r="D28" s="12" t="s">
        <v>30</v>
      </c>
      <c r="E28" s="12" t="s">
        <v>31</v>
      </c>
      <c r="F28" s="12" t="s">
        <v>0</v>
      </c>
      <c r="G28" s="12" t="s">
        <v>32</v>
      </c>
      <c r="H28" s="12" t="s">
        <v>1</v>
      </c>
    </row>
    <row r="29" spans="2:8" hidden="1" outlineLevel="1" x14ac:dyDescent="0.25">
      <c r="B29" s="1" t="s">
        <v>25</v>
      </c>
      <c r="C29" s="1" t="e" cm="1">
        <f t="array" aca="1" ref="C29" ca="1">_xll.DBR($C$26,$B29,C$28)</f>
        <v>#NAME?</v>
      </c>
      <c r="D29" s="1" t="e" cm="1">
        <f t="array" aca="1" ref="D29" ca="1">_xll.DBR($C$26,$B29,D$28)</f>
        <v>#NAME?</v>
      </c>
      <c r="E29" s="1" t="e" cm="1">
        <f t="array" aca="1" ref="E29" ca="1">_xll.DBR($C$26,$B29,E$28)</f>
        <v>#NAME?</v>
      </c>
      <c r="F29" s="1" t="e" cm="1">
        <f t="array" aca="1" ref="F29" ca="1">_xll.DBR($C$26,$B29,F$28)</f>
        <v>#NAME?</v>
      </c>
      <c r="G29" s="1" t="e" cm="1">
        <f t="array" aca="1" ref="G29" ca="1">_xll.DBR($C$26,$B29,G$28)</f>
        <v>#NAME?</v>
      </c>
      <c r="H29" s="1" t="e" cm="1">
        <f t="array" aca="1" ref="H29" ca="1">_xll.DBR($C$26,$B29,H$28)</f>
        <v>#NAME?</v>
      </c>
    </row>
    <row r="30" spans="2:8" hidden="1" outlineLevel="1" x14ac:dyDescent="0.25">
      <c r="B30" s="1" t="s">
        <v>26</v>
      </c>
      <c r="C30" s="1" t="e" cm="1">
        <f t="array" aca="1" ref="C30" ca="1">_xll.DBR($C$26,$B30,C$28)</f>
        <v>#NAME?</v>
      </c>
      <c r="D30" s="1" t="e" cm="1">
        <f t="array" aca="1" ref="D30" ca="1">_xll.DBR($C$26,$B30,D$28)</f>
        <v>#NAME?</v>
      </c>
      <c r="E30" s="1" t="e" cm="1">
        <f t="array" aca="1" ref="E30" ca="1">_xll.DBR($C$26,$B30,E$28)</f>
        <v>#NAME?</v>
      </c>
      <c r="F30" s="1" t="e" cm="1">
        <f t="array" aca="1" ref="F30" ca="1">_xll.DBR($C$26,$B30,F$28)</f>
        <v>#NAME?</v>
      </c>
      <c r="G30" s="1" t="e" cm="1">
        <f t="array" aca="1" ref="G30" ca="1">_xll.DBR($C$26,$B30,G$28)</f>
        <v>#NAME?</v>
      </c>
      <c r="H30" s="1" t="e" cm="1">
        <f t="array" aca="1" ref="H30" ca="1">_xll.DBR($C$26,$B30,H$28)</f>
        <v>#NAME?</v>
      </c>
    </row>
    <row r="31" spans="2:8" hidden="1" outlineLevel="1" x14ac:dyDescent="0.25">
      <c r="B31" s="1" t="s">
        <v>27</v>
      </c>
      <c r="C31" s="1" t="e" cm="1">
        <f t="array" aca="1" ref="C31" ca="1">_xll.DBR($C$26,$B31,C$28)</f>
        <v>#NAME?</v>
      </c>
      <c r="D31" s="1" t="e" cm="1">
        <f t="array" aca="1" ref="D31" ca="1">_xll.DBR($C$26,$B31,D$28)</f>
        <v>#NAME?</v>
      </c>
      <c r="E31" s="1" t="e" cm="1">
        <f t="array" aca="1" ref="E31" ca="1">_xll.DBR($C$26,$B31,E$28)</f>
        <v>#NAME?</v>
      </c>
      <c r="F31" s="1" t="e" cm="1">
        <f t="array" aca="1" ref="F31" ca="1">_xll.DBR($C$26,$B31,F$28)</f>
        <v>#NAME?</v>
      </c>
      <c r="G31" s="1" t="e" cm="1">
        <f t="array" aca="1" ref="G31" ca="1">_xll.DBR($C$26,$B31,G$28)</f>
        <v>#NAME?</v>
      </c>
      <c r="H31" s="1" t="e" cm="1">
        <f t="array" aca="1" ref="H31" ca="1">_xll.DBR($C$26,$B31,H$28)</f>
        <v>#NAME?</v>
      </c>
    </row>
    <row r="32" spans="2:8" hidden="1" outlineLevel="1" x14ac:dyDescent="0.25">
      <c r="B32" s="1" t="s">
        <v>28</v>
      </c>
      <c r="C32" s="1" t="e" cm="1">
        <f t="array" aca="1" ref="C32" ca="1">_xll.DBR($C$26,$B32,C$28)</f>
        <v>#NAME?</v>
      </c>
      <c r="D32" s="1" t="e" cm="1">
        <f t="array" aca="1" ref="D32" ca="1">_xll.DBR($C$26,$B32,D$28)</f>
        <v>#NAME?</v>
      </c>
      <c r="E32" s="1" t="e" cm="1">
        <f t="array" aca="1" ref="E32" ca="1">_xll.DBR($C$26,$B32,E$28)</f>
        <v>#NAME?</v>
      </c>
      <c r="F32" s="1" t="e" cm="1">
        <f t="array" aca="1" ref="F32" ca="1">_xll.DBR($C$26,$B32,F$28)</f>
        <v>#NAME?</v>
      </c>
      <c r="G32" s="1" t="e" cm="1">
        <f t="array" aca="1" ref="G32" ca="1">_xll.DBR($C$26,$B32,G$28)</f>
        <v>#NAME?</v>
      </c>
      <c r="H32" s="1" t="e" cm="1">
        <f t="array" aca="1" ref="H32" ca="1">_xll.DBR($C$26,$B32,H$28)</f>
        <v>#NAME?</v>
      </c>
    </row>
    <row r="33" spans="2:23" hidden="1" outlineLevel="1" x14ac:dyDescent="0.25">
      <c r="B33" s="1" t="s">
        <v>34</v>
      </c>
      <c r="C33" s="1" t="e" cm="1">
        <f t="array" aca="1" ref="C33" ca="1">_xll.DBR($C$26,$B33,C$28)</f>
        <v>#NAME?</v>
      </c>
      <c r="D33" s="1" t="e" cm="1">
        <f t="array" aca="1" ref="D33" ca="1">_xll.DBR($C$26,$B33,D$28)</f>
        <v>#NAME?</v>
      </c>
      <c r="E33" s="1" t="e" cm="1">
        <f t="array" aca="1" ref="E33" ca="1">_xll.DBR($C$26,$B33,E$28)</f>
        <v>#NAME?</v>
      </c>
      <c r="F33" s="1" t="e" cm="1">
        <f t="array" aca="1" ref="F33" ca="1">_xll.DBR($C$26,$B33,F$28)</f>
        <v>#NAME?</v>
      </c>
      <c r="G33" s="1" t="e" cm="1">
        <f t="array" aca="1" ref="G33" ca="1">_xll.DBR($C$26,$B33,G$28)</f>
        <v>#NAME?</v>
      </c>
      <c r="H33" s="1" t="e" cm="1">
        <f t="array" aca="1" ref="H33" ca="1">_xll.DBR($C$26,$B33,H$28)</f>
        <v>#NAME?</v>
      </c>
    </row>
    <row r="34" spans="2:23" hidden="1" outlineLevel="1" x14ac:dyDescent="0.25">
      <c r="B34" s="1" t="s">
        <v>39</v>
      </c>
      <c r="C34" s="1" t="e" cm="1">
        <f t="array" aca="1" ref="C34" ca="1">_xll.DBR($C$26,$B34,C$28)</f>
        <v>#NAME?</v>
      </c>
      <c r="D34" s="1" t="e" cm="1">
        <f t="array" aca="1" ref="D34" ca="1">_xll.DBR($C$26,$B34,D$28)</f>
        <v>#NAME?</v>
      </c>
      <c r="E34" s="1" t="e" cm="1">
        <f t="array" aca="1" ref="E34" ca="1">_xll.DBR($C$26,$B34,E$28)</f>
        <v>#NAME?</v>
      </c>
      <c r="F34" s="1" t="e" cm="1">
        <f t="array" aca="1" ref="F34" ca="1">_xll.DBR($C$26,$B34,F$28)</f>
        <v>#NAME?</v>
      </c>
      <c r="G34" s="1" t="e" cm="1">
        <f t="array" aca="1" ref="G34" ca="1">_xll.DBR($C$26,$B34,G$28)</f>
        <v>#NAME?</v>
      </c>
      <c r="H34" s="1" t="e" cm="1">
        <f t="array" aca="1" ref="H34" ca="1">_xll.DBR($C$26,$B34,H$28)</f>
        <v>#NAME?</v>
      </c>
    </row>
    <row r="35" spans="2:23" hidden="1" outlineLevel="1" x14ac:dyDescent="0.25">
      <c r="B35" s="1" t="s">
        <v>35</v>
      </c>
      <c r="C35" s="1" t="e" cm="1">
        <f t="array" aca="1" ref="C35" ca="1">_xll.DBR($C$26,$B35,C$28)</f>
        <v>#NAME?</v>
      </c>
      <c r="D35" s="1" t="e" cm="1">
        <f t="array" aca="1" ref="D35" ca="1">_xll.DBR($C$26,$B35,D$28)</f>
        <v>#NAME?</v>
      </c>
      <c r="E35" s="1" t="e" cm="1">
        <f t="array" aca="1" ref="E35" ca="1">_xll.DBR($C$26,$B35,E$28)</f>
        <v>#NAME?</v>
      </c>
      <c r="F35" s="1" t="e" cm="1">
        <f t="array" aca="1" ref="F35" ca="1">_xll.DBR($C$26,$B35,F$28)</f>
        <v>#NAME?</v>
      </c>
      <c r="G35" s="1" t="e" cm="1">
        <f t="array" aca="1" ref="G35" ca="1">_xll.DBR($C$26,$B35,G$28)</f>
        <v>#NAME?</v>
      </c>
      <c r="H35" s="1" t="e" cm="1">
        <f t="array" aca="1" ref="H35" ca="1">_xll.DBR($C$26,$B35,H$28)</f>
        <v>#NAME?</v>
      </c>
    </row>
    <row r="36" spans="2:23" hidden="1" outlineLevel="1" x14ac:dyDescent="0.25">
      <c r="B36" s="1" t="s">
        <v>36</v>
      </c>
      <c r="C36" s="1" t="e" cm="1">
        <f t="array" aca="1" ref="C36" ca="1">_xll.DBR($C$26,$B36,C$28)</f>
        <v>#NAME?</v>
      </c>
      <c r="D36" s="1" t="e" cm="1">
        <f t="array" aca="1" ref="D36" ca="1">_xll.DBR($C$26,$B36,D$28)</f>
        <v>#NAME?</v>
      </c>
      <c r="E36" s="1" t="e" cm="1">
        <f t="array" aca="1" ref="E36" ca="1">_xll.DBR($C$26,$B36,E$28)</f>
        <v>#NAME?</v>
      </c>
      <c r="F36" s="1" t="e" cm="1">
        <f t="array" aca="1" ref="F36" ca="1">_xll.DBR($C$26,$B36,F$28)</f>
        <v>#NAME?</v>
      </c>
      <c r="G36" s="1" t="e" cm="1">
        <f t="array" aca="1" ref="G36" ca="1">_xll.DBR($C$26,$B36,G$28)</f>
        <v>#NAME?</v>
      </c>
      <c r="H36" s="1" t="e" cm="1">
        <f t="array" aca="1" ref="H36" ca="1">_xll.DBR($C$26,$B36,H$28)</f>
        <v>#NAME?</v>
      </c>
      <c r="L36" t="s">
        <v>47</v>
      </c>
    </row>
    <row r="37" spans="2:23" hidden="1" outlineLevel="1" x14ac:dyDescent="0.25">
      <c r="B37" s="1" t="s">
        <v>37</v>
      </c>
      <c r="C37" s="1" t="e" cm="1">
        <f t="array" aca="1" ref="C37" ca="1">_xll.DBR($C$26,$B37,C$28)</f>
        <v>#NAME?</v>
      </c>
      <c r="D37" s="1" t="e" cm="1">
        <f t="array" aca="1" ref="D37" ca="1">_xll.DBR($C$26,$B37,D$28)</f>
        <v>#NAME?</v>
      </c>
      <c r="E37" s="1" t="e" cm="1">
        <f t="array" aca="1" ref="E37" ca="1">_xll.DBR($C$26,$B37,E$28)</f>
        <v>#NAME?</v>
      </c>
      <c r="F37" s="1" t="e" cm="1">
        <f t="array" aca="1" ref="F37" ca="1">_xll.DBR($C$26,$B37,F$28)</f>
        <v>#NAME?</v>
      </c>
      <c r="G37" s="1" t="e" cm="1">
        <f t="array" aca="1" ref="G37" ca="1">_xll.DBR($C$26,$B37,G$28)</f>
        <v>#NAME?</v>
      </c>
      <c r="H37" s="1" t="e" cm="1">
        <f t="array" aca="1" ref="H37" ca="1">_xll.DBR($C$26,$B37,H$28)</f>
        <v>#NAME?</v>
      </c>
    </row>
    <row r="38" spans="2:23" hidden="1" outlineLevel="1" x14ac:dyDescent="0.25">
      <c r="B38" s="1" t="s">
        <v>29</v>
      </c>
      <c r="C38" s="1" t="e" cm="1">
        <f t="array" aca="1" ref="C38" ca="1">_xll.DBR($C$26,$B38,C$28)</f>
        <v>#NAME?</v>
      </c>
      <c r="D38" s="1" t="e" cm="1">
        <f t="array" aca="1" ref="D38" ca="1">_xll.DBR($C$26,$B38,D$28)</f>
        <v>#NAME?</v>
      </c>
      <c r="E38" s="1" t="e" cm="1">
        <f t="array" aca="1" ref="E38" ca="1">_xll.DBR($C$26,$B38,E$28)</f>
        <v>#NAME?</v>
      </c>
      <c r="F38" s="1" t="e" cm="1">
        <f t="array" aca="1" ref="F38" ca="1">_xll.DBR($C$26,$B38,F$28)</f>
        <v>#NAME?</v>
      </c>
      <c r="G38" s="1" t="e" cm="1">
        <f t="array" aca="1" ref="G38" ca="1">_xll.DBR($C$26,$B38,G$28)</f>
        <v>#NAME?</v>
      </c>
      <c r="H38" s="1" t="e" cm="1">
        <f t="array" aca="1" ref="H38" ca="1">_xll.DBR($C$26,$B38,H$28)</f>
        <v>#NAME?</v>
      </c>
    </row>
    <row r="39" spans="2:23" hidden="1" outlineLevel="1" x14ac:dyDescent="0.25">
      <c r="B39" s="1" t="s">
        <v>41</v>
      </c>
      <c r="C39" s="1" t="e" cm="1">
        <f t="array" aca="1" ref="C39" ca="1">_xll.DBR($C$26,$B39,C$28)</f>
        <v>#NAME?</v>
      </c>
      <c r="D39" s="1" t="e" cm="1">
        <f t="array" aca="1" ref="D39" ca="1">_xll.DBR($C$26,$B39,D$28)</f>
        <v>#NAME?</v>
      </c>
      <c r="E39" s="1" t="e" cm="1">
        <f t="array" aca="1" ref="E39" ca="1">_xll.DBR($C$26,$B39,E$28)</f>
        <v>#NAME?</v>
      </c>
      <c r="F39" s="1" t="e" cm="1">
        <f t="array" aca="1" ref="F39" ca="1">_xll.DBR($C$26,$B39,F$28)</f>
        <v>#NAME?</v>
      </c>
      <c r="G39" s="1" t="e" cm="1">
        <f t="array" aca="1" ref="G39" ca="1">_xll.DBR($C$26,$B39,G$28)</f>
        <v>#NAME?</v>
      </c>
      <c r="H39" s="1" t="e" cm="1">
        <f t="array" aca="1" ref="H39" ca="1">_xll.DBR($C$26,$B39,H$28)</f>
        <v>#NAME?</v>
      </c>
    </row>
    <row r="40" spans="2:23" hidden="1" outlineLevel="1" x14ac:dyDescent="0.25">
      <c r="B40" s="1" t="s">
        <v>45</v>
      </c>
      <c r="C40" s="1" t="e" cm="1">
        <f t="array" aca="1" ref="C40" ca="1">_xll.DBR($C$26,$B40,C$28)</f>
        <v>#NAME?</v>
      </c>
      <c r="D40" s="1" t="e" cm="1">
        <f t="array" aca="1" ref="D40" ca="1">_xll.DBR($C$26,$B40,D$28)</f>
        <v>#NAME?</v>
      </c>
      <c r="E40" s="1" t="e" cm="1">
        <f t="array" aca="1" ref="E40" ca="1">_xll.DBR($C$26,$B40,E$28)</f>
        <v>#NAME?</v>
      </c>
      <c r="F40" s="1" t="e" cm="1">
        <f t="array" aca="1" ref="F40" ca="1">_xll.DBR($C$26,$B40,F$28)</f>
        <v>#NAME?</v>
      </c>
      <c r="G40" s="1" t="e" cm="1">
        <f t="array" aca="1" ref="G40" ca="1">_xll.DBR($C$26,$B40,G$28)</f>
        <v>#NAME?</v>
      </c>
      <c r="H40" s="1" t="e" cm="1">
        <f t="array" aca="1" ref="H40" ca="1">_xll.DBR($C$26,$B40,H$28)</f>
        <v>#NAME?</v>
      </c>
    </row>
    <row r="41" spans="2:23" hidden="1" outlineLevel="1" x14ac:dyDescent="0.25">
      <c r="B41" s="1" t="s">
        <v>46</v>
      </c>
      <c r="C41" s="1" t="e" cm="1">
        <f t="array" aca="1" ref="C41" ca="1">_xll.DBR($C$26,$B41,C$28)</f>
        <v>#NAME?</v>
      </c>
      <c r="D41" s="1" t="e" cm="1">
        <f t="array" aca="1" ref="D41" ca="1">_xll.DBR($C$26,$B41,D$28)</f>
        <v>#NAME?</v>
      </c>
      <c r="E41" s="1" t="e" cm="1">
        <f t="array" aca="1" ref="E41" ca="1">_xll.DBR($C$26,$B41,E$28)</f>
        <v>#NAME?</v>
      </c>
      <c r="F41" s="1" t="e" cm="1">
        <f t="array" aca="1" ref="F41" ca="1">_xll.DBR($C$26,$B41,F$28)</f>
        <v>#NAME?</v>
      </c>
      <c r="G41" s="1" t="e" cm="1">
        <f t="array" aca="1" ref="G41" ca="1">_xll.DBR($C$26,$B41,G$28)</f>
        <v>#NAME?</v>
      </c>
      <c r="H41" s="1" t="e" cm="1">
        <f t="array" aca="1" ref="H41" ca="1">_xll.DBR($C$26,$B41,H$28)</f>
        <v>#NAME?</v>
      </c>
    </row>
    <row r="42" spans="2:23" hidden="1" outlineLevel="1" x14ac:dyDescent="0.25">
      <c r="B42" s="1" t="s">
        <v>42</v>
      </c>
      <c r="C42" s="1" t="e" cm="1">
        <f t="array" aca="1" ref="C42" ca="1">_xll.DBR($C$26,$B42,C$28)</f>
        <v>#NAME?</v>
      </c>
      <c r="D42" s="1" t="e" cm="1">
        <f t="array" aca="1" ref="D42" ca="1">_xll.DBR($C$26,$B42,D$28)</f>
        <v>#NAME?</v>
      </c>
      <c r="E42" s="1" t="e" cm="1">
        <f t="array" aca="1" ref="E42" ca="1">_xll.DBR($C$26,$B42,E$28)</f>
        <v>#NAME?</v>
      </c>
      <c r="F42" s="1" t="e" cm="1">
        <f t="array" aca="1" ref="F42" ca="1">_xll.DBR($C$26,$B42,F$28)</f>
        <v>#NAME?</v>
      </c>
      <c r="G42" s="1" t="e" cm="1">
        <f t="array" aca="1" ref="G42" ca="1">_xll.DBR($C$26,$B42,G$28)</f>
        <v>#NAME?</v>
      </c>
      <c r="H42" s="1" t="e" cm="1">
        <f t="array" aca="1" ref="H42" ca="1">_xll.DBR($C$26,$B42,H$28)</f>
        <v>#NAME?</v>
      </c>
    </row>
    <row r="43" spans="2:23" hidden="1" outlineLevel="1" x14ac:dyDescent="0.25">
      <c r="B43" s="1" t="s">
        <v>43</v>
      </c>
      <c r="C43" s="1" t="e" cm="1">
        <f t="array" aca="1" ref="C43" ca="1">_xll.DBR($C$26,$B43,C$28)</f>
        <v>#NAME?</v>
      </c>
      <c r="D43" s="1" t="e" cm="1">
        <f t="array" aca="1" ref="D43" ca="1">_xll.DBR($C$26,$B43,D$28)</f>
        <v>#NAME?</v>
      </c>
      <c r="E43" s="1" t="e" cm="1">
        <f t="array" aca="1" ref="E43" ca="1">_xll.DBR($C$26,$B43,E$28)</f>
        <v>#NAME?</v>
      </c>
      <c r="F43" s="1" t="e" cm="1">
        <f t="array" aca="1" ref="F43" ca="1">_xll.DBR($C$26,$B43,F$28)</f>
        <v>#NAME?</v>
      </c>
      <c r="G43" s="1" t="e" cm="1">
        <f t="array" aca="1" ref="G43" ca="1">_xll.DBR($C$26,$B43,G$28)</f>
        <v>#NAME?</v>
      </c>
      <c r="H43" s="1" t="e" cm="1">
        <f t="array" aca="1" ref="H43" ca="1">_xll.DBR($C$26,$B43,H$28)</f>
        <v>#NAME?</v>
      </c>
    </row>
    <row r="44" spans="2:23" hidden="1" outlineLevel="1" x14ac:dyDescent="0.25">
      <c r="B44" s="1" t="s">
        <v>48</v>
      </c>
      <c r="C44" s="1" t="e" cm="1">
        <f t="array" aca="1" ref="C44" ca="1">_xll.DBR($C$26,$B44,C$28)</f>
        <v>#NAME?</v>
      </c>
      <c r="D44" s="1" t="e" cm="1">
        <f t="array" aca="1" ref="D44" ca="1">_xll.DBR($C$26,$B44,D$28)</f>
        <v>#NAME?</v>
      </c>
      <c r="E44" s="1" t="e" cm="1">
        <f t="array" aca="1" ref="E44" ca="1">_xll.DBR($C$26,$B44,E$28)</f>
        <v>#NAME?</v>
      </c>
      <c r="F44" s="1" t="e" cm="1">
        <f t="array" aca="1" ref="F44" ca="1">_xll.DBR($C$26,$B44,F$28)</f>
        <v>#NAME?</v>
      </c>
      <c r="G44" s="1" t="e" cm="1">
        <f t="array" aca="1" ref="G44" ca="1">_xll.DBR($C$26,$B44,G$28)</f>
        <v>#NAME?</v>
      </c>
      <c r="H44" s="1" t="e" cm="1">
        <f t="array" aca="1" ref="H44" ca="1">_xll.DBR($C$26,$B44,H$28)</f>
        <v>#NAME?</v>
      </c>
    </row>
    <row r="45" spans="2:23" hidden="1" outlineLevel="1" x14ac:dyDescent="0.25">
      <c r="B45" s="1" t="s">
        <v>49</v>
      </c>
      <c r="C45" s="1" t="e" cm="1">
        <f t="array" aca="1" ref="C45" ca="1">_xll.DBR($C$26,$B45,C$28)</f>
        <v>#NAME?</v>
      </c>
      <c r="D45" s="1" t="e" cm="1">
        <f t="array" aca="1" ref="D45" ca="1">_xll.DBR($C$26,$B45,D$28)</f>
        <v>#NAME?</v>
      </c>
      <c r="E45" s="1" t="e" cm="1">
        <f t="array" aca="1" ref="E45" ca="1">_xll.DBR($C$26,$B45,E$28)</f>
        <v>#NAME?</v>
      </c>
      <c r="F45" s="1" t="e" cm="1">
        <f t="array" aca="1" ref="F45" ca="1">_xll.DBR($C$26,$B45,F$28)</f>
        <v>#NAME?</v>
      </c>
      <c r="G45" s="1" t="e" cm="1">
        <f t="array" aca="1" ref="G45" ca="1">_xll.DBR($C$26,$B45,G$28)</f>
        <v>#NAME?</v>
      </c>
      <c r="H45" s="1" t="e" cm="1">
        <f t="array" aca="1" ref="H45" ca="1">_xll.DBR($C$26,$B45,H$28)</f>
        <v>#NAME?</v>
      </c>
    </row>
    <row r="46" spans="2:23" hidden="1" outlineLevel="1" x14ac:dyDescent="0.25"/>
    <row r="47" spans="2:23" hidden="1" outlineLevel="1" x14ac:dyDescent="0.25"/>
    <row r="48" spans="2:23" ht="39.75" customHeight="1" collapsed="1" x14ac:dyDescent="0.25"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11" t="e">
        <f ca="1">"Welcome "&amp; psUser</f>
        <v>#NAME?</v>
      </c>
    </row>
    <row r="49" spans="10:23" ht="4.5" customHeight="1" x14ac:dyDescent="0.25"/>
    <row r="50" spans="10:23" ht="30" customHeight="1" x14ac:dyDescent="0.25">
      <c r="J50" s="6"/>
      <c r="K50" s="19" t="e">
        <f ca="1">$C$15</f>
        <v>#NAME?</v>
      </c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6"/>
      <c r="W50" s="6"/>
    </row>
    <row r="51" spans="10:23" ht="4.5" customHeight="1" x14ac:dyDescent="0.25"/>
    <row r="55" spans="10:23" ht="24.75" customHeight="1" x14ac:dyDescent="0.25">
      <c r="J55" s="7"/>
      <c r="K55" s="7"/>
      <c r="L55" s="14" t="s">
        <v>38</v>
      </c>
      <c r="M55" s="14"/>
      <c r="N55" s="14"/>
      <c r="O55" s="14"/>
      <c r="P55" s="5"/>
      <c r="R55" s="8"/>
      <c r="S55" s="15" t="s">
        <v>40</v>
      </c>
      <c r="T55" s="15"/>
      <c r="U55" s="15"/>
      <c r="V55" s="15"/>
      <c r="W55" s="8"/>
    </row>
    <row r="56" spans="10:23" ht="4.5" customHeight="1" x14ac:dyDescent="0.25">
      <c r="J56" s="9"/>
      <c r="K56" s="9"/>
      <c r="L56" s="9"/>
      <c r="M56" s="9"/>
      <c r="N56" s="9"/>
      <c r="O56" s="9"/>
      <c r="P56" s="9"/>
      <c r="R56" s="9"/>
      <c r="S56" s="9"/>
      <c r="T56" s="9"/>
      <c r="U56" s="9"/>
      <c r="V56" s="9"/>
      <c r="W56" s="9"/>
    </row>
    <row r="57" spans="10:23" ht="19.5" customHeight="1" x14ac:dyDescent="0.25">
      <c r="J57" s="9"/>
      <c r="K57" s="9"/>
      <c r="L57" s="9"/>
      <c r="M57" s="9"/>
      <c r="N57" s="9"/>
      <c r="O57" s="9"/>
      <c r="P57" s="9"/>
      <c r="R57" s="9"/>
      <c r="S57" s="9"/>
      <c r="T57" s="9"/>
      <c r="U57" s="9"/>
      <c r="V57" s="9"/>
      <c r="W57" s="9"/>
    </row>
    <row r="58" spans="10:23" ht="4.5" customHeight="1" x14ac:dyDescent="0.25">
      <c r="J58" s="9"/>
      <c r="K58" s="9"/>
      <c r="L58" s="9"/>
      <c r="M58" s="9"/>
      <c r="N58" s="9"/>
      <c r="O58" s="9"/>
      <c r="P58" s="9"/>
      <c r="R58" s="9"/>
      <c r="S58" s="9"/>
      <c r="T58" s="9"/>
      <c r="U58" s="9"/>
      <c r="V58" s="9"/>
      <c r="W58" s="9"/>
    </row>
    <row r="59" spans="10:23" ht="19.5" customHeight="1" x14ac:dyDescent="0.25">
      <c r="J59" s="9"/>
      <c r="K59" s="9"/>
      <c r="L59" s="9"/>
      <c r="M59" s="9"/>
      <c r="N59" s="9"/>
      <c r="O59" s="9"/>
      <c r="P59" s="9"/>
      <c r="R59" s="9"/>
      <c r="S59" s="9"/>
      <c r="T59" s="9"/>
      <c r="U59" s="9"/>
      <c r="V59" s="9"/>
      <c r="W59" s="9"/>
    </row>
    <row r="60" spans="10:23" ht="4.5" customHeight="1" x14ac:dyDescent="0.25">
      <c r="J60" s="9"/>
      <c r="K60" s="9"/>
      <c r="L60" s="9"/>
      <c r="M60" s="9"/>
      <c r="N60" s="9"/>
      <c r="O60" s="9"/>
      <c r="P60" s="9"/>
      <c r="R60" s="9"/>
      <c r="S60" s="9"/>
      <c r="T60" s="9"/>
      <c r="U60" s="9"/>
      <c r="V60" s="9"/>
      <c r="W60" s="9"/>
    </row>
    <row r="61" spans="10:23" ht="19.5" customHeight="1" x14ac:dyDescent="0.25">
      <c r="J61" s="9"/>
      <c r="K61" s="9"/>
      <c r="L61" s="9"/>
      <c r="M61" s="9"/>
      <c r="N61" s="9"/>
      <c r="O61" s="9"/>
      <c r="P61" s="9"/>
      <c r="R61" s="9"/>
      <c r="S61" s="9"/>
      <c r="T61" s="9"/>
      <c r="U61" s="9"/>
      <c r="V61" s="9"/>
      <c r="W61" s="9"/>
    </row>
    <row r="62" spans="10:23" ht="4.5" customHeight="1" x14ac:dyDescent="0.25">
      <c r="J62" s="9"/>
      <c r="K62" s="9"/>
      <c r="L62" s="9"/>
      <c r="M62" s="9"/>
      <c r="N62" s="9"/>
      <c r="O62" s="9"/>
      <c r="P62" s="9"/>
      <c r="R62" s="9"/>
      <c r="S62" s="9"/>
      <c r="T62" s="9"/>
      <c r="U62" s="9"/>
      <c r="V62" s="9"/>
      <c r="W62" s="9"/>
    </row>
    <row r="63" spans="10:23" ht="19.5" customHeight="1" x14ac:dyDescent="0.25">
      <c r="J63" s="9"/>
      <c r="K63" s="9"/>
      <c r="L63" s="9"/>
      <c r="M63" s="9"/>
      <c r="N63" s="9"/>
      <c r="O63" s="9"/>
      <c r="P63" s="9"/>
      <c r="R63" s="9"/>
      <c r="S63" s="9"/>
      <c r="T63" s="9"/>
      <c r="U63" s="9"/>
      <c r="V63" s="9"/>
      <c r="W63" s="9"/>
    </row>
    <row r="64" spans="10:23" x14ac:dyDescent="0.25">
      <c r="J64" s="9"/>
      <c r="K64" s="9"/>
      <c r="L64" s="9"/>
      <c r="M64" s="9"/>
      <c r="N64" s="9"/>
      <c r="O64" s="9"/>
      <c r="P64" s="9"/>
      <c r="R64" s="9"/>
      <c r="S64" s="9"/>
      <c r="T64" s="9"/>
      <c r="U64" s="9"/>
      <c r="V64" s="9"/>
      <c r="W64" s="9"/>
    </row>
    <row r="65" spans="10:23" x14ac:dyDescent="0.25">
      <c r="J65" s="9"/>
      <c r="K65" s="9"/>
      <c r="L65" s="9"/>
      <c r="M65" s="9"/>
      <c r="N65" s="9"/>
      <c r="O65" s="9"/>
      <c r="P65" s="9"/>
      <c r="R65" s="9"/>
      <c r="S65" s="9"/>
      <c r="T65" s="9"/>
      <c r="U65" s="9"/>
      <c r="V65" s="9"/>
      <c r="W65" s="9"/>
    </row>
    <row r="66" spans="10:23" ht="4.5" customHeight="1" x14ac:dyDescent="0.25">
      <c r="J66" s="9"/>
      <c r="K66" s="9"/>
      <c r="L66" s="9"/>
      <c r="M66" s="9"/>
      <c r="N66" s="9"/>
      <c r="O66" s="9"/>
      <c r="P66" s="9"/>
      <c r="R66" s="9"/>
      <c r="S66" s="9"/>
      <c r="T66" s="9"/>
      <c r="U66" s="9"/>
      <c r="V66" s="9"/>
      <c r="W66" s="9"/>
    </row>
    <row r="67" spans="10:23" x14ac:dyDescent="0.25">
      <c r="J67" s="9"/>
      <c r="K67" s="9"/>
      <c r="L67" s="9"/>
      <c r="M67" s="9"/>
      <c r="N67" s="9"/>
      <c r="O67" s="9"/>
      <c r="P67" s="9"/>
      <c r="R67" s="9"/>
      <c r="S67" s="9"/>
      <c r="T67" s="9"/>
      <c r="U67" s="9"/>
      <c r="V67" s="9"/>
      <c r="W67" s="9"/>
    </row>
    <row r="68" spans="10:23" ht="4.5" customHeight="1" x14ac:dyDescent="0.25">
      <c r="J68" s="9"/>
      <c r="K68" s="9"/>
      <c r="L68" s="9"/>
      <c r="M68" s="9"/>
      <c r="N68" s="9"/>
      <c r="O68" s="9"/>
      <c r="P68" s="9"/>
      <c r="R68" s="9"/>
      <c r="S68" s="9"/>
      <c r="T68" s="9"/>
      <c r="U68" s="9"/>
      <c r="V68" s="9"/>
      <c r="W68" s="9"/>
    </row>
    <row r="69" spans="10:23" x14ac:dyDescent="0.25">
      <c r="J69" s="9"/>
      <c r="K69" s="9"/>
      <c r="L69" s="9"/>
      <c r="M69" s="9"/>
      <c r="N69" s="9"/>
      <c r="O69" s="9"/>
      <c r="P69" s="9"/>
      <c r="R69" s="9"/>
      <c r="S69" s="9"/>
      <c r="T69" s="9"/>
      <c r="U69" s="9"/>
      <c r="V69" s="9"/>
      <c r="W69" s="9"/>
    </row>
    <row r="70" spans="10:23" ht="4.5" customHeight="1" x14ac:dyDescent="0.25">
      <c r="J70" s="9"/>
      <c r="K70" s="9"/>
      <c r="L70" s="9"/>
      <c r="M70" s="9"/>
      <c r="N70" s="9"/>
      <c r="O70" s="9"/>
      <c r="P70" s="9"/>
      <c r="R70" s="9"/>
      <c r="S70" s="9"/>
      <c r="T70" s="9"/>
      <c r="U70" s="9"/>
      <c r="V70" s="9"/>
      <c r="W70" s="9"/>
    </row>
    <row r="71" spans="10:23" x14ac:dyDescent="0.25">
      <c r="J71" s="9"/>
      <c r="K71" s="9"/>
      <c r="L71" s="9"/>
      <c r="M71" s="9"/>
      <c r="N71" s="9"/>
      <c r="O71" s="9"/>
      <c r="P71" s="9"/>
      <c r="R71" s="9"/>
      <c r="S71" s="9"/>
      <c r="T71" s="9"/>
      <c r="U71" s="9"/>
      <c r="V71" s="9"/>
      <c r="W71" s="9"/>
    </row>
    <row r="72" spans="10:23" ht="4.5" customHeight="1" x14ac:dyDescent="0.25">
      <c r="J72" s="9"/>
      <c r="K72" s="9"/>
      <c r="L72" s="9"/>
      <c r="M72" s="9"/>
      <c r="N72" s="9"/>
      <c r="O72" s="9"/>
      <c r="P72" s="9"/>
      <c r="R72" s="9"/>
      <c r="S72" s="9"/>
      <c r="T72" s="9"/>
      <c r="U72" s="9"/>
      <c r="V72" s="9"/>
      <c r="W72" s="9"/>
    </row>
    <row r="73" spans="10:23" x14ac:dyDescent="0.25">
      <c r="J73" s="9"/>
      <c r="K73" s="9"/>
      <c r="L73" s="9"/>
      <c r="M73" s="9"/>
      <c r="N73" s="9"/>
      <c r="O73" s="9"/>
      <c r="P73" s="9"/>
      <c r="R73" s="9"/>
      <c r="S73" s="9"/>
      <c r="T73" s="9"/>
      <c r="U73" s="9"/>
      <c r="V73" s="9"/>
      <c r="W73" s="9"/>
    </row>
    <row r="74" spans="10:23" ht="4.5" customHeight="1" x14ac:dyDescent="0.25">
      <c r="J74" s="9"/>
      <c r="K74" s="9"/>
      <c r="L74" s="9"/>
      <c r="M74" s="9"/>
      <c r="N74" s="9"/>
      <c r="O74" s="9"/>
      <c r="P74" s="9"/>
      <c r="R74" s="9"/>
      <c r="S74" s="9"/>
      <c r="T74" s="9"/>
      <c r="U74" s="9"/>
      <c r="V74" s="9"/>
      <c r="W74" s="9"/>
    </row>
    <row r="75" spans="10:23" x14ac:dyDescent="0.25">
      <c r="J75" s="9"/>
      <c r="K75" s="9"/>
      <c r="L75" s="9"/>
      <c r="M75" s="9"/>
      <c r="N75" s="9"/>
      <c r="O75" s="9"/>
      <c r="P75" s="9"/>
      <c r="R75" s="9"/>
      <c r="S75" s="9"/>
      <c r="T75" s="9"/>
      <c r="U75" s="9"/>
      <c r="V75" s="9"/>
      <c r="W75" s="9"/>
    </row>
    <row r="76" spans="10:23" ht="4.5" customHeight="1" x14ac:dyDescent="0.25">
      <c r="J76" s="9"/>
      <c r="K76" s="9"/>
      <c r="L76" s="9"/>
      <c r="M76" s="9"/>
      <c r="N76" s="9"/>
      <c r="O76" s="9"/>
      <c r="P76" s="9"/>
      <c r="R76" s="9"/>
      <c r="S76" s="9"/>
      <c r="T76" s="9"/>
      <c r="U76" s="9"/>
      <c r="V76" s="9"/>
      <c r="W76" s="9"/>
    </row>
    <row r="77" spans="10:23" x14ac:dyDescent="0.25">
      <c r="J77" s="9"/>
      <c r="K77" s="9"/>
      <c r="L77" s="9"/>
      <c r="M77" s="9"/>
      <c r="N77" s="9"/>
      <c r="O77" s="9"/>
      <c r="P77" s="9"/>
      <c r="R77" s="9"/>
      <c r="S77" s="9"/>
      <c r="T77" s="9"/>
      <c r="U77" s="9"/>
      <c r="V77" s="9"/>
      <c r="W77" s="9"/>
    </row>
    <row r="78" spans="10:23" ht="4.5" customHeight="1" x14ac:dyDescent="0.25">
      <c r="J78" s="9"/>
      <c r="K78" s="9"/>
      <c r="L78" s="9"/>
      <c r="M78" s="9"/>
      <c r="N78" s="9"/>
      <c r="O78" s="9"/>
      <c r="P78" s="9"/>
      <c r="R78" s="9"/>
      <c r="S78" s="9"/>
      <c r="T78" s="9"/>
      <c r="U78" s="9"/>
      <c r="V78" s="9"/>
      <c r="W78" s="9"/>
    </row>
    <row r="79" spans="10:23" x14ac:dyDescent="0.25">
      <c r="J79" s="9"/>
      <c r="K79" s="9"/>
      <c r="L79" s="9"/>
      <c r="M79" s="9"/>
      <c r="N79" s="9"/>
      <c r="O79" s="9"/>
      <c r="P79" s="9"/>
      <c r="R79" s="9"/>
      <c r="S79" s="9"/>
      <c r="T79" s="9"/>
      <c r="U79" s="9"/>
      <c r="V79" s="9"/>
      <c r="W79" s="9"/>
    </row>
    <row r="80" spans="10:23" ht="4.5" customHeight="1" x14ac:dyDescent="0.25">
      <c r="J80" s="9"/>
      <c r="K80" s="9"/>
      <c r="L80" s="9"/>
      <c r="M80" s="9"/>
      <c r="N80" s="9"/>
      <c r="O80" s="9"/>
      <c r="P80" s="9"/>
      <c r="R80" s="9"/>
      <c r="S80" s="9"/>
      <c r="T80" s="9"/>
      <c r="U80" s="9"/>
      <c r="V80" s="9"/>
      <c r="W80" s="9"/>
    </row>
    <row r="81" spans="10:23" x14ac:dyDescent="0.25">
      <c r="J81" s="9"/>
      <c r="K81" s="9"/>
      <c r="L81" s="9"/>
      <c r="M81" s="9"/>
      <c r="N81" s="9"/>
      <c r="O81" s="9"/>
      <c r="P81" s="9"/>
      <c r="R81" s="9"/>
      <c r="S81" s="9"/>
      <c r="T81" s="9"/>
      <c r="U81" s="9"/>
      <c r="V81" s="9"/>
      <c r="W81" s="9"/>
    </row>
    <row r="82" spans="10:23" ht="4.5" customHeight="1" x14ac:dyDescent="0.25">
      <c r="J82" s="9"/>
      <c r="K82" s="9"/>
      <c r="L82" s="9"/>
      <c r="M82" s="9"/>
      <c r="N82" s="9"/>
      <c r="O82" s="9"/>
      <c r="P82" s="9"/>
      <c r="R82" s="9"/>
      <c r="S82" s="9"/>
      <c r="T82" s="9"/>
      <c r="U82" s="9"/>
      <c r="V82" s="9"/>
      <c r="W82" s="9"/>
    </row>
    <row r="83" spans="10:23" x14ac:dyDescent="0.25">
      <c r="J83" s="9"/>
      <c r="K83" s="9"/>
      <c r="L83" s="9"/>
      <c r="M83" s="9"/>
      <c r="N83" s="9"/>
      <c r="O83" s="9"/>
      <c r="P83" s="9"/>
      <c r="R83" s="9"/>
      <c r="S83" s="9"/>
      <c r="T83" s="9"/>
      <c r="U83" s="9"/>
      <c r="V83" s="9"/>
      <c r="W83" s="9"/>
    </row>
    <row r="84" spans="10:23" ht="4.5" customHeight="1" x14ac:dyDescent="0.25">
      <c r="J84" s="9"/>
      <c r="K84" s="9"/>
      <c r="L84" s="9"/>
      <c r="M84" s="9"/>
      <c r="N84" s="9"/>
      <c r="O84" s="9"/>
      <c r="P84" s="9"/>
      <c r="R84" s="9"/>
      <c r="S84" s="9"/>
      <c r="T84" s="9"/>
      <c r="U84" s="9"/>
      <c r="V84" s="9"/>
      <c r="W84" s="9"/>
    </row>
    <row r="85" spans="10:23" x14ac:dyDescent="0.25">
      <c r="J85" s="9"/>
      <c r="K85" s="9"/>
      <c r="L85" s="9"/>
      <c r="M85" s="9"/>
      <c r="N85" s="9"/>
      <c r="O85" s="9"/>
      <c r="P85" s="9"/>
      <c r="R85" s="9"/>
      <c r="S85" s="9"/>
      <c r="T85" s="9"/>
      <c r="U85" s="9"/>
      <c r="V85" s="9"/>
      <c r="W85" s="9"/>
    </row>
    <row r="86" spans="10:23" ht="4.5" customHeight="1" x14ac:dyDescent="0.25">
      <c r="J86" s="9"/>
      <c r="K86" s="9"/>
      <c r="L86" s="9"/>
      <c r="M86" s="9"/>
      <c r="N86" s="9"/>
      <c r="O86" s="9"/>
      <c r="P86" s="9"/>
      <c r="R86" s="9"/>
      <c r="S86" s="9"/>
      <c r="T86" s="9"/>
      <c r="U86" s="9"/>
      <c r="V86" s="9"/>
      <c r="W86" s="9"/>
    </row>
    <row r="87" spans="10:23" x14ac:dyDescent="0.25">
      <c r="J87" s="9"/>
      <c r="K87" s="9"/>
      <c r="L87" s="9"/>
      <c r="M87" s="9"/>
      <c r="N87" s="9"/>
      <c r="O87" s="9"/>
      <c r="P87" s="9"/>
      <c r="R87" s="9"/>
      <c r="S87" s="9"/>
      <c r="T87" s="9"/>
      <c r="U87" s="9"/>
      <c r="V87" s="9"/>
      <c r="W87" s="9"/>
    </row>
    <row r="88" spans="10:23" ht="4.5" customHeight="1" x14ac:dyDescent="0.25">
      <c r="J88" s="9"/>
      <c r="K88" s="9"/>
      <c r="L88" s="9"/>
      <c r="M88" s="9"/>
      <c r="N88" s="9"/>
      <c r="O88" s="9"/>
      <c r="P88" s="9"/>
      <c r="R88" s="9"/>
      <c r="S88" s="9"/>
      <c r="T88" s="9"/>
      <c r="U88" s="9"/>
      <c r="V88" s="9"/>
      <c r="W88" s="9"/>
    </row>
    <row r="89" spans="10:23" x14ac:dyDescent="0.25">
      <c r="J89" s="9"/>
      <c r="K89" s="9"/>
      <c r="L89" s="9"/>
      <c r="M89" s="9"/>
      <c r="N89" s="9"/>
      <c r="O89" s="9"/>
      <c r="P89" s="9"/>
      <c r="R89" s="9"/>
      <c r="S89" s="9"/>
      <c r="T89" s="9"/>
      <c r="U89" s="9"/>
      <c r="V89" s="9"/>
      <c r="W89" s="9"/>
    </row>
    <row r="90" spans="10:23" x14ac:dyDescent="0.25">
      <c r="K90" s="13" t="str">
        <f ca="1">"© Excelerated Consulting Pty Ltd 2001-" &amp; YEAR(NOW())</f>
        <v>© Excelerated Consulting Pty Ltd 2001-2025</v>
      </c>
    </row>
  </sheetData>
  <sheetProtection sheet="1" objects="1" scenarios="1"/>
  <mergeCells count="7">
    <mergeCell ref="L55:O55"/>
    <mergeCell ref="S55:V55"/>
    <mergeCell ref="B1:D1"/>
    <mergeCell ref="B9:D9"/>
    <mergeCell ref="B17:D17"/>
    <mergeCell ref="B25:D25"/>
    <mergeCell ref="K50:U50"/>
  </mergeCells>
  <conditionalFormatting sqref="R55:W55">
    <cfRule type="expression" dxfId="0" priority="1">
      <formula>$C$25="gbms-reporting"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56</vt:i4>
      </vt:variant>
    </vt:vector>
  </HeadingPairs>
  <TitlesOfParts>
    <vt:vector size="57" baseType="lpstr">
      <vt:lpstr>Menu</vt:lpstr>
      <vt:lpstr>db_name</vt:lpstr>
      <vt:lpstr>home</vt:lpstr>
      <vt:lpstr>Menu</vt:lpstr>
      <vt:lpstr>psApp</vt:lpstr>
      <vt:lpstr>psUser</vt:lpstr>
      <vt:lpstr>TM1AdminArcCBMSRecoAppropCAP</vt:lpstr>
      <vt:lpstr>TM1AdminArcCBMSRecoAppropWB</vt:lpstr>
      <vt:lpstr>TM1AdminArcCBMSRecoAppropWS</vt:lpstr>
      <vt:lpstr>TM1AdminArcCBMSRecoCAP</vt:lpstr>
      <vt:lpstr>TM1AdminArcCBMSRecoProgDetCAP</vt:lpstr>
      <vt:lpstr>TM1AdminArcCBMSRecoProgDetWB</vt:lpstr>
      <vt:lpstr>TM1AdminArcCBMSRecoProgDetWS</vt:lpstr>
      <vt:lpstr>TM1AdminArcCBMSRecoRepCAP</vt:lpstr>
      <vt:lpstr>TM1AdminArcCBMSRecoRepDetCAP</vt:lpstr>
      <vt:lpstr>TM1AdminArcCBMSRecoRepDetWB</vt:lpstr>
      <vt:lpstr>TM1AdminArcCBMSRecoRepDetWS</vt:lpstr>
      <vt:lpstr>TM1AdminArcCBMSRecoRepWB</vt:lpstr>
      <vt:lpstr>TM1AdminArcCBMSRecoRepWS</vt:lpstr>
      <vt:lpstr>TM1AdminArcCBMSRecoWB</vt:lpstr>
      <vt:lpstr>TM1AdminArcCBMSRecoWS</vt:lpstr>
      <vt:lpstr>TM1AdminArcNewBaseCAP</vt:lpstr>
      <vt:lpstr>TM1AdminArcNewBaseWB</vt:lpstr>
      <vt:lpstr>TM1AdminArcNewBaseWS</vt:lpstr>
      <vt:lpstr>TM1AdminArcRecoverBaseCAP</vt:lpstr>
      <vt:lpstr>TM1AdminArcRecoverBaseWB</vt:lpstr>
      <vt:lpstr>TM1AdminArcRecoverBaseWS</vt:lpstr>
      <vt:lpstr>TM1HomeAdminBaseCAP</vt:lpstr>
      <vt:lpstr>TM1HomeAdminBaseWB</vt:lpstr>
      <vt:lpstr>TM1HomeAdminBaseWS</vt:lpstr>
      <vt:lpstr>TM1HomeAdminCAP</vt:lpstr>
      <vt:lpstr>TM1HomeAdminFavCAP</vt:lpstr>
      <vt:lpstr>TM1HomeAdminFavWB</vt:lpstr>
      <vt:lpstr>TM1HomeAdminFavWS</vt:lpstr>
      <vt:lpstr>TM1HomeAdminGEUSCAP</vt:lpstr>
      <vt:lpstr>TM1HomeAdminGEUSWB</vt:lpstr>
      <vt:lpstr>TM1HomeAdminGEUSWS</vt:lpstr>
      <vt:lpstr>TM1HomeAdminRDSCAP</vt:lpstr>
      <vt:lpstr>TM1HomeAdminRDSMapCAP</vt:lpstr>
      <vt:lpstr>TM1HomeAdminRDSMapWB</vt:lpstr>
      <vt:lpstr>TM1HomeAdminRDSMapWS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2018-10-30T00:46:04Z</dcterms:created>
  <dcterms:modified xsi:type="dcterms:W3CDTF">2025-08-11T06:19:41Z</dcterms:modified>
</cp:coreProperties>
</file>