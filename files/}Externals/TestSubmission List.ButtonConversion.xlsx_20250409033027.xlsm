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_h_i\AppData\Local\Temp\"/>
    </mc:Choice>
  </mc:AlternateContent>
  <xr:revisionPtr revIDLastSave="0" documentId="8_{56615B12-B443-4CFA-BB8E-A7F7F9776BC9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Cognos_Office_Connection_Cache" sheetId="4" state="veryHidden" r:id="rId1"/>
    <sheet name="Sheet1" sheetId="2" r:id="rId2"/>
    <sheet name="{PL}PickLst" sheetId="3" state="hidden" r:id="rId3"/>
  </sheets>
  <definedNames>
    <definedName name="ID" localSheetId="2" hidden="1">"0baa9aec-8100-4dc2-bfe3-57eb08c4e3d9"</definedName>
    <definedName name="ID" localSheetId="0" hidden="1">"abff832f-8289-4948-82e2-ea95a018ce57"</definedName>
    <definedName name="ID" localSheetId="1" hidden="1">"11f01a2c-d243-479f-b4f8-c71fb805fe3b"</definedName>
    <definedName name="tm1_CurrWB">Sheet1!$C$35</definedName>
    <definedName name="tm1_PrevWB">Sheet1!$C$36</definedName>
    <definedName name="tm1AdminMenuBOOK">Sheet1!$G$50</definedName>
    <definedName name="tm1AdminMenuCAPTION">Sheet1!$E$50</definedName>
    <definedName name="tm1AdminMenuFILENAME">Sheet1!$C$50</definedName>
    <definedName name="tm1AdminMenuSHEET">Sheet1!$I$50</definedName>
    <definedName name="tm1BudgetRound">Sheet1!$O$110</definedName>
    <definedName name="tm1CostingPkgListBOOK">Sheet1!$G$55</definedName>
    <definedName name="tm1CostingPkgListCAPTION">Sheet1!$E$55</definedName>
    <definedName name="tm1CostingPkgListSHEET">Sheet1!$I$55</definedName>
    <definedName name="tm1CotingPkgListFILENAME">Sheet1!$C$55</definedName>
    <definedName name="tm1DB">Sheet1!$B$13</definedName>
    <definedName name="tm1DocHubLink">Sheet1!$K$51</definedName>
    <definedName name="tm1DocHubLinkCAP">Sheet1!$J$51</definedName>
    <definedName name="tm1MainMenuBOOK">Sheet1!$G$49</definedName>
    <definedName name="tm1MainMenuCAPTION">Sheet1!$E$49</definedName>
    <definedName name="tm1MainMenuFILENAME">Sheet1!$C$49</definedName>
    <definedName name="tm1MainMenuSHEET">Sheet1!$I$49</definedName>
    <definedName name="tm1MeasureListBOOK">Sheet1!$G$52</definedName>
    <definedName name="tm1MeasureListCAPTION">Sheet1!$E$52</definedName>
    <definedName name="tm1MeasureListFILENAME">Sheet1!$C$52</definedName>
    <definedName name="tm1MeasureListSHEET">Sheet1!$I$52</definedName>
    <definedName name="tm1MeasurePkgListBOOK">Sheet1!$G$56</definedName>
    <definedName name="tm1MeasurePkgListCAPTION">Sheet1!$E$56</definedName>
    <definedName name="tm1MeasurePkgListSHEET">Sheet1!$I$56</definedName>
    <definedName name="tm1NPPListBOOK">Sheet1!$G$54</definedName>
    <definedName name="tm1NPPListCAPTION">Sheet1!$E$54</definedName>
    <definedName name="tm1NPPListFILENAME">Sheet1!$C$54</definedName>
    <definedName name="tm1NPPListSHEET">Sheet1!$I$54</definedName>
    <definedName name="tm1NPPPkgListBOOK">Sheet1!$G$53</definedName>
    <definedName name="tm1NPPPkgListCAPTION">Sheet1!$E$53</definedName>
    <definedName name="tm1NPPPkgListFILENAME">Sheet1!$C$53</definedName>
    <definedName name="tm1NPPPkgListSHEET">Sheet1!$I$53</definedName>
    <definedName name="TM1Prefix">tm1DB&amp;":"</definedName>
    <definedName name="TM1RPTDATARNG1" localSheetId="1">Sheet1!$121:$121</definedName>
    <definedName name="TM1RPTDATARNG1">Sheet1!$121:$121</definedName>
    <definedName name="TM1RPTFMTIDCOL">Sheet1!$A$1:$A$9</definedName>
    <definedName name="TM1RPTFMTRNG">Sheet1!$L$1:$AH$9</definedName>
    <definedName name="tm1Status">Sheet1!$O$111</definedName>
    <definedName name="tm1SubListBOOK">Sheet1!$G$51</definedName>
    <definedName name="tm1SubListCAPTION">Sheet1!$E$51</definedName>
    <definedName name="tm1SubListFILENAME">Sheet1!$C$51</definedName>
    <definedName name="tm1SubListSHEET">Sheet1!$I$51</definedName>
    <definedName name="TM1UserApps">Sheet1!$B$22</definedName>
    <definedName name="TM1UserName">Sheet1!$C$33</definedName>
  </definedNames>
  <calcPr calcId="191029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2" l="1"/>
  <c r="B23" i="2"/>
  <c r="B21" i="2"/>
  <c r="B22" i="2"/>
  <c r="B18" i="2"/>
  <c r="D51" i="2" a="1"/>
  <c r="J54" i="2" a="1"/>
  <c r="J49" i="2" a="1"/>
  <c r="I50" i="2" a="1"/>
  <c r="H52" i="2" a="1"/>
  <c r="K52" i="2" a="1"/>
  <c r="H54" i="2" a="1"/>
  <c r="F51" i="2" a="1"/>
  <c r="D53" i="2" a="1"/>
  <c r="K49" i="2" a="1"/>
  <c r="J50" i="2" a="1"/>
  <c r="G56" i="2" a="1"/>
  <c r="E55" i="2" a="1"/>
  <c r="E51" i="2" a="1"/>
  <c r="B17" i="2"/>
  <c r="K56" i="2" a="1"/>
  <c r="J51" i="2" a="1"/>
  <c r="C33" i="2"/>
  <c r="E54" i="2" a="1"/>
  <c r="H51" i="2" a="1"/>
  <c r="D56" i="2" a="1"/>
  <c r="F49" i="2" a="1"/>
  <c r="G55" i="2" a="1"/>
  <c r="K50" i="2" a="1"/>
  <c r="G54" i="2" a="1"/>
  <c r="J55" i="2" a="1"/>
  <c r="G52" i="2" a="1"/>
  <c r="K53" i="2" a="1"/>
  <c r="E50" i="2" a="1"/>
  <c r="F56" i="2" a="1"/>
  <c r="E49" i="2" a="1"/>
  <c r="D55" i="2" a="1"/>
  <c r="C49" i="2" a="1"/>
  <c r="I54" i="2" a="1"/>
  <c r="J56" i="2" a="1"/>
  <c r="H49" i="2" a="1"/>
  <c r="G50" i="2" a="1"/>
  <c r="K55" i="2" a="1"/>
  <c r="C65" i="2"/>
  <c r="C54" i="2" a="1"/>
  <c r="F53" i="2" a="1"/>
  <c r="K51" i="2" a="1"/>
  <c r="C51" i="2" a="1"/>
  <c r="O110" i="2"/>
  <c r="F54" i="2" a="1"/>
  <c r="D50" i="2" a="1"/>
  <c r="G49" i="2" a="1"/>
  <c r="E52" i="2" a="1"/>
  <c r="I49" i="2" a="1"/>
  <c r="I56" i="2" a="1"/>
  <c r="F50" i="2" a="1"/>
  <c r="J53" i="2" a="1"/>
  <c r="G51" i="2" a="1"/>
  <c r="H53" i="2" a="1"/>
  <c r="G53" i="2" a="1"/>
  <c r="H55" i="2" a="1"/>
  <c r="H50" i="2" a="1"/>
  <c r="E53" i="2" a="1"/>
  <c r="C50" i="2" a="1"/>
  <c r="I52" i="2" a="1"/>
  <c r="C55" i="2" a="1"/>
  <c r="D52" i="2" a="1"/>
  <c r="C52" i="2" a="1"/>
  <c r="F52" i="2" a="1"/>
  <c r="I55" i="2" a="1"/>
  <c r="K54" i="2" a="1"/>
  <c r="E56" i="2" a="1"/>
  <c r="F55" i="2" a="1"/>
  <c r="J52" i="2" a="1"/>
  <c r="H56" i="2" a="1"/>
  <c r="D54" i="2" a="1"/>
  <c r="C53" i="2" a="1"/>
  <c r="D49" i="2" a="1"/>
  <c r="I51" i="2" a="1"/>
  <c r="C56" i="2" a="1"/>
  <c r="I53" i="2" a="1"/>
  <c r="I53" i="2"/>
  <c r="C56" i="2"/>
  <c r="I51" i="2"/>
  <c r="D49" i="2"/>
  <c r="C53" i="2"/>
  <c r="D54" i="2"/>
  <c r="H56" i="2"/>
  <c r="J52" i="2"/>
  <c r="F55" i="2"/>
  <c r="E56" i="2"/>
  <c r="K54" i="2"/>
  <c r="I55" i="2"/>
  <c r="F52" i="2"/>
  <c r="C52" i="2"/>
  <c r="D52" i="2"/>
  <c r="C55" i="2"/>
  <c r="I52" i="2"/>
  <c r="C50" i="2"/>
  <c r="E53" i="2"/>
  <c r="H50" i="2"/>
  <c r="H55" i="2"/>
  <c r="G53" i="2"/>
  <c r="H53" i="2"/>
  <c r="G51" i="2"/>
  <c r="C35" i="2"/>
  <c r="J53" i="2"/>
  <c r="F50" i="2"/>
  <c r="I56" i="2"/>
  <c r="I49" i="2"/>
  <c r="E52" i="2"/>
  <c r="G49" i="2"/>
  <c r="D50" i="2"/>
  <c r="F54" i="2"/>
  <c r="B19" i="2"/>
  <c r="C42" i="2"/>
  <c r="C51" i="2"/>
  <c r="K51" i="2"/>
  <c r="F53" i="2"/>
  <c r="C54" i="2"/>
  <c r="K55" i="2"/>
  <c r="G50" i="2"/>
  <c r="H49" i="2"/>
  <c r="J56" i="2"/>
  <c r="I54" i="2"/>
  <c r="C49" i="2"/>
  <c r="D55" i="2"/>
  <c r="E49" i="2"/>
  <c r="F56" i="2"/>
  <c r="E50" i="2"/>
  <c r="K53" i="2"/>
  <c r="G52" i="2"/>
  <c r="J55" i="2"/>
  <c r="G54" i="2"/>
  <c r="K50" i="2"/>
  <c r="G55" i="2"/>
  <c r="F49" i="2"/>
  <c r="D56" i="2"/>
  <c r="H51" i="2"/>
  <c r="E54" i="2"/>
  <c r="B20" i="2"/>
  <c r="J51" i="2"/>
  <c r="K56" i="2"/>
  <c r="E51" i="2"/>
  <c r="E55" i="2"/>
  <c r="G56" i="2"/>
  <c r="J50" i="2"/>
  <c r="K49" i="2"/>
  <c r="D53" i="2"/>
  <c r="F51" i="2"/>
  <c r="H54" i="2"/>
  <c r="K52" i="2"/>
  <c r="H52" i="2"/>
  <c r="I50" i="2"/>
  <c r="J49" i="2"/>
  <c r="J54" i="2"/>
  <c r="D51" i="2"/>
  <c r="O111" i="2"/>
  <c r="Q110" i="2"/>
  <c r="O112" i="2"/>
  <c r="D41" i="2"/>
  <c r="D42" i="2"/>
  <c r="D44" i="2"/>
  <c r="A121" i="2"/>
  <c r="D43" i="2"/>
  <c r="M121" i="2"/>
  <c r="T121" i="2"/>
  <c r="AA121" i="2"/>
  <c r="AF121" i="2"/>
  <c r="P121" i="2"/>
  <c r="U121" i="2"/>
  <c r="Y121" i="2"/>
  <c r="AC121" i="2"/>
  <c r="W121" i="2"/>
  <c r="S121" i="2"/>
  <c r="C3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<sst xmlns="http://schemas.openxmlformats.org/spreadsheetml/2006/main" count="162" uniqueCount="109">
  <si>
    <t xml:space="preserve">Budget Round </t>
  </si>
  <si>
    <t>Name/Description*</t>
  </si>
  <si>
    <t>VIEWS</t>
  </si>
  <si>
    <t>Client Preferences</t>
  </si>
  <si>
    <t>sValue - New</t>
  </si>
  <si>
    <t>Validate</t>
  </si>
  <si>
    <t>Open Budget Round</t>
  </si>
  <si>
    <t>MDX</t>
  </si>
  <si>
    <t>TEMPLATE NAVIGATION</t>
  </si>
  <si>
    <t>Template</t>
  </si>
  <si>
    <t>Caption Name</t>
  </si>
  <si>
    <t>Caption</t>
  </si>
  <si>
    <t>Workbook Name</t>
  </si>
  <si>
    <t>Workbook</t>
  </si>
  <si>
    <t>Worksheet Name</t>
  </si>
  <si>
    <t>Worksheet</t>
  </si>
  <si>
    <t>Status</t>
  </si>
  <si>
    <t>Validation Message</t>
  </si>
  <si>
    <t>[Begin Format Range]</t>
  </si>
  <si>
    <t>[End Format Range]</t>
  </si>
  <si>
    <t/>
  </si>
  <si>
    <t>Submission</t>
  </si>
  <si>
    <t>Submission Reference</t>
  </si>
  <si>
    <t>CM - Submission List</t>
  </si>
  <si>
    <t>CM - NPP List</t>
  </si>
  <si>
    <t>CM - NPP Package List</t>
  </si>
  <si>
    <t>CM - Measure List</t>
  </si>
  <si>
    <t>CM - Costing Package List</t>
  </si>
  <si>
    <t>File Name</t>
  </si>
  <si>
    <t>Server</t>
  </si>
  <si>
    <t>Main Data Entry</t>
  </si>
  <si>
    <t>Dimension References</t>
  </si>
  <si>
    <t>Settings</t>
  </si>
  <si>
    <t>User</t>
  </si>
  <si>
    <t>Timestamp</t>
  </si>
  <si>
    <t>Current workbook</t>
  </si>
  <si>
    <t>Misc Report Items</t>
  </si>
  <si>
    <t>Current Template</t>
  </si>
  <si>
    <t>DBSS Data Entry</t>
  </si>
  <si>
    <t>GET</t>
  </si>
  <si>
    <t>CONVERT</t>
  </si>
  <si>
    <t>SEND</t>
  </si>
  <si>
    <t>DBSS Reporting</t>
  </si>
  <si>
    <t>Stargate</t>
  </si>
  <si>
    <t>Active Form</t>
  </si>
  <si>
    <t>Variable Cube</t>
  </si>
  <si>
    <t>Navigation</t>
  </si>
  <si>
    <t>Application Blob</t>
  </si>
  <si>
    <t>Last Access TimeStamp</t>
  </si>
  <si>
    <t>Usage Cube</t>
  </si>
  <si>
    <t>CM - Main Menu</t>
  </si>
  <si>
    <t>CM - Administration Menu</t>
  </si>
  <si>
    <t>Sample Text</t>
  </si>
  <si>
    <t>Sample Test</t>
  </si>
  <si>
    <t>Previous Workbook</t>
  </si>
  <si>
    <t>Submission ID</t>
  </si>
  <si>
    <t>Submission Title</t>
  </si>
  <si>
    <t>Coordination Date</t>
  </si>
  <si>
    <t>ERC/NSC Date</t>
  </si>
  <si>
    <t>Coordination Date*</t>
  </si>
  <si>
    <t>ERC/NSC Date*</t>
  </si>
  <si>
    <t>Status*</t>
  </si>
  <si>
    <t>* Denotes a mandatory field</t>
  </si>
  <si>
    <t>New Costing ID Parent - Submission</t>
  </si>
  <si>
    <t>Exclude</t>
  </si>
  <si>
    <t>Budget Round</t>
  </si>
  <si>
    <t>Budget Round Measure</t>
  </si>
  <si>
    <t>0Open</t>
  </si>
  <si>
    <t>0Closed</t>
  </si>
  <si>
    <t>1Open</t>
  </si>
  <si>
    <t>1Closed</t>
  </si>
  <si>
    <t>Current Budget Round</t>
  </si>
  <si>
    <t>Status - Update</t>
  </si>
  <si>
    <t>Update Status</t>
  </si>
  <si>
    <t>Date</t>
  </si>
  <si>
    <t>TBC</t>
  </si>
  <si>
    <t>Coordination Date Text</t>
  </si>
  <si>
    <t>ERC/NSC Date Text</t>
  </si>
  <si>
    <t>Budget Round Status</t>
  </si>
  <si>
    <t>Submission ID Status</t>
  </si>
  <si>
    <t>Selected Status Filter</t>
  </si>
  <si>
    <t>DocHub Link Caption</t>
  </si>
  <si>
    <t>DocHub Link</t>
  </si>
  <si>
    <t>CM - Measure Package List</t>
  </si>
  <si>
    <t>MYEFO 2021-2022</t>
  </si>
  <si>
    <t>MYEFO - 2022-2023</t>
  </si>
  <si>
    <t>Budget 2022-2023</t>
  </si>
  <si>
    <t>Pre-ERC 2022-2023</t>
  </si>
  <si>
    <t>PEFO 2022-2023</t>
  </si>
  <si>
    <t>PEFO (Phase 1) 2022-2023</t>
  </si>
  <si>
    <t>MYEFO 2023-2024</t>
  </si>
  <si>
    <t>Budget 2023-2024</t>
  </si>
  <si>
    <t>Budget 2024-2025</t>
  </si>
  <si>
    <t>MYEFO 2024-2025</t>
  </si>
  <si>
    <t>Budget 2025-2026</t>
  </si>
  <si>
    <t>MYEFO 2025-2026</t>
  </si>
  <si>
    <t>Budget 2026-2027</t>
  </si>
  <si>
    <t>MEFO 2026-2027</t>
  </si>
  <si>
    <t>MYEFO 2026-2027</t>
  </si>
  <si>
    <t>MYEFO 2022-2023</t>
  </si>
  <si>
    <t>MYEFO 2042-2043</t>
  </si>
  <si>
    <t>MYEFO 2031-2032</t>
  </si>
  <si>
    <t>Budget 2043-2044</t>
  </si>
  <si>
    <t>Budget 2044-2045</t>
  </si>
  <si>
    <t>Budget 2047-2048</t>
  </si>
  <si>
    <t>Budget 2049-2050</t>
  </si>
  <si>
    <t>PEFO 2025-2026</t>
  </si>
  <si>
    <t>MYEFO 2043-2044</t>
  </si>
  <si>
    <t>DCCEEW_COSTINGS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</si>
</sst>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;"/>
  </numFmts>
  <fonts count="28" x14ac:knownFonts="1">
    <font>
      <sz val="11"/>
      <color theme="1"/>
      <name val="Calibri"/>
      <family val="2"/>
      <scheme val="minor"/>
    </font>
    <font>
      <b/>
      <sz val="11"/>
      <color rgb="FF005677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Segoe UI"/>
      <family val="2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/>
      <name val="Segoe UI"/>
      <family val="2"/>
    </font>
    <font>
      <sz val="10"/>
      <name val="Segoe UI"/>
      <family val="2"/>
    </font>
    <font>
      <sz val="11"/>
      <color theme="0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sz val="9"/>
      <name val="Segoe UI"/>
      <family val="2"/>
    </font>
    <font>
      <sz val="9"/>
      <color rgb="FFFF0000"/>
      <name val="Segoe UI"/>
      <family val="2"/>
    </font>
    <font>
      <sz val="8"/>
      <color theme="1"/>
      <name val="Segoe UI"/>
      <family val="2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5F4FA"/>
        <bgColor indexed="64"/>
      </patternFill>
    </fill>
    <fill>
      <patternFill patternType="solid">
        <fgColor rgb="FF22608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7F2F9"/>
        <bgColor indexed="64"/>
      </patternFill>
    </fill>
    <fill>
      <patternFill patternType="solid">
        <fgColor rgb="FF184058"/>
        <bgColor indexed="64"/>
      </patternFill>
    </fill>
    <fill>
      <patternFill patternType="solid">
        <fgColor rgb="FFBED7A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EFBE6"/>
        <bgColor indexed="64"/>
      </patternFill>
    </fill>
  </fills>
  <borders count="109">
    <border>
      <left/>
      <right/>
      <top/>
      <bottom/>
      <diagonal/>
    </border>
    <border>
      <left style="thin">
        <color theme="0" tint="-0.149937437055574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8764000366222"/>
      </top>
      <bottom style="thin">
        <color theme="0" tint="-0.1498764000366222"/>
      </bottom>
      <diagonal/>
    </border>
    <border>
      <left/>
      <right/>
      <top style="thin">
        <color theme="0" tint="-0.1498764000366222"/>
      </top>
      <bottom style="thin">
        <color theme="0" tint="-0.1498764000366222"/>
      </bottom>
      <diagonal/>
    </border>
    <border>
      <left/>
      <right style="thin">
        <color theme="0" tint="-0.149937437055574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93743705557422"/>
      </left>
      <right/>
      <top style="thin">
        <color theme="0" tint="-0.14990691854609822"/>
      </top>
      <bottom style="thin">
        <color theme="0" tint="-0.14993743705557422"/>
      </bottom>
      <diagonal/>
    </border>
    <border>
      <left/>
      <right/>
      <top style="thin">
        <color theme="0" tint="-0.14990691854609822"/>
      </top>
      <bottom style="thin">
        <color theme="0" tint="-0.14993743705557422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n">
        <color rgb="FF969696"/>
      </bottom>
      <diagonal/>
    </border>
    <border>
      <left style="thick">
        <color rgb="FF000000"/>
      </left>
      <right style="thick">
        <color rgb="FF000000"/>
      </right>
      <top style="thin">
        <color rgb="FF969696"/>
      </top>
      <bottom style="thin">
        <color rgb="FF969696"/>
      </bottom>
      <diagonal/>
    </border>
    <border>
      <left style="thick">
        <color rgb="FF000000"/>
      </left>
      <right style="thick">
        <color rgb="FF000000"/>
      </right>
      <top style="thin">
        <color rgb="FF969696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969696"/>
      </right>
      <top style="thick">
        <color rgb="FF000000"/>
      </top>
      <bottom style="thin">
        <color rgb="FF969696"/>
      </bottom>
      <diagonal/>
    </border>
    <border>
      <left style="thin">
        <color rgb="FF969696"/>
      </left>
      <right style="thick">
        <color rgb="FF000000"/>
      </right>
      <top style="thick">
        <color rgb="FF000000"/>
      </top>
      <bottom style="thin">
        <color rgb="FF969696"/>
      </bottom>
      <diagonal/>
    </border>
    <border>
      <left style="thick">
        <color rgb="FF000000"/>
      </left>
      <right style="thin">
        <color rgb="FF969696"/>
      </right>
      <top/>
      <bottom style="thin">
        <color rgb="FF969696"/>
      </bottom>
      <diagonal/>
    </border>
    <border>
      <left style="thin">
        <color rgb="FF969696"/>
      </left>
      <right style="thick">
        <color rgb="FF000000"/>
      </right>
      <top/>
      <bottom style="thin">
        <color rgb="FF969696"/>
      </bottom>
      <diagonal/>
    </border>
    <border>
      <left style="thick">
        <color rgb="FF000000"/>
      </left>
      <right style="thin">
        <color rgb="FF969696"/>
      </right>
      <top/>
      <bottom/>
      <diagonal/>
    </border>
    <border>
      <left style="thick">
        <color rgb="FF000000"/>
      </left>
      <right style="thin">
        <color rgb="FF969696"/>
      </right>
      <top style="thin">
        <color rgb="FF969696"/>
      </top>
      <bottom style="thick">
        <color rgb="FF000000"/>
      </bottom>
      <diagonal/>
    </border>
    <border>
      <left style="thin">
        <color rgb="FF969696"/>
      </left>
      <right style="thick">
        <color rgb="FF000000"/>
      </right>
      <top style="thin">
        <color rgb="FF969696"/>
      </top>
      <bottom style="thick">
        <color rgb="FF000000"/>
      </bottom>
      <diagonal/>
    </border>
    <border>
      <left style="thin">
        <color rgb="FF969696"/>
      </left>
      <right style="thin">
        <color rgb="FF969696"/>
      </right>
      <top style="thick">
        <color rgb="FF000000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ck">
        <color rgb="FF00000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ck">
        <color auto="1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ck">
        <color rgb="FF000000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thick">
        <color rgb="FF000000"/>
      </right>
      <top style="thin">
        <color rgb="FF969696"/>
      </top>
      <bottom style="thin">
        <color rgb="FF969696"/>
      </bottom>
      <diagonal/>
    </border>
    <border>
      <left style="thick">
        <color auto="1"/>
      </left>
      <right style="thin">
        <color rgb="FF969696"/>
      </right>
      <top style="thin">
        <color rgb="FF969696"/>
      </top>
      <bottom style="thick">
        <color rgb="FF000000"/>
      </bottom>
      <diagonal/>
    </border>
    <border>
      <left style="thick">
        <color rgb="FF000000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rgb="FF000000"/>
      </left>
      <right style="thin">
        <color rgb="FF969696"/>
      </right>
      <top/>
      <bottom style="thick">
        <color rgb="FF000000"/>
      </bottom>
      <diagonal/>
    </border>
    <border>
      <left style="thin">
        <color rgb="FF969696"/>
      </left>
      <right style="thick">
        <color rgb="FF000000"/>
      </right>
      <top/>
      <bottom style="thick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969696"/>
      </left>
      <right/>
      <top style="thick">
        <color rgb="FF000000"/>
      </top>
      <bottom style="thin">
        <color rgb="FF969696"/>
      </bottom>
      <diagonal/>
    </border>
    <border>
      <left/>
      <right/>
      <top style="thick">
        <color rgb="FF000000"/>
      </top>
      <bottom style="thin">
        <color rgb="FF969696"/>
      </bottom>
      <diagonal/>
    </border>
    <border>
      <left/>
      <right style="thick">
        <color auto="1"/>
      </right>
      <top style="thick">
        <color rgb="FF000000"/>
      </top>
      <bottom style="thin">
        <color rgb="FF969696"/>
      </bottom>
      <diagonal/>
    </border>
    <border>
      <left style="thin">
        <color rgb="FF969696"/>
      </left>
      <right/>
      <top style="thin">
        <color rgb="FF969696"/>
      </top>
      <bottom style="thin">
        <color rgb="FF969696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 style="thick">
        <color auto="1"/>
      </right>
      <top style="thin">
        <color rgb="FF969696"/>
      </top>
      <bottom style="thin">
        <color rgb="FF969696"/>
      </bottom>
      <diagonal/>
    </border>
    <border>
      <left style="thin">
        <color rgb="FF969696"/>
      </left>
      <right/>
      <top style="thin">
        <color rgb="FF969696"/>
      </top>
      <bottom style="thick">
        <color rgb="FF000000"/>
      </bottom>
      <diagonal/>
    </border>
    <border>
      <left/>
      <right/>
      <top style="thin">
        <color rgb="FF969696"/>
      </top>
      <bottom style="thick">
        <color rgb="FF000000"/>
      </bottom>
      <diagonal/>
    </border>
    <border>
      <left/>
      <right style="thick">
        <color auto="1"/>
      </right>
      <top style="thin">
        <color rgb="FF969696"/>
      </top>
      <bottom style="thick">
        <color rgb="FF000000"/>
      </bottom>
      <diagonal/>
    </border>
    <border>
      <left style="medium">
        <color indexed="64"/>
      </left>
      <right style="thin">
        <color rgb="FF969696"/>
      </right>
      <top/>
      <bottom style="thin">
        <color rgb="FF969696"/>
      </bottom>
      <diagonal/>
    </border>
    <border>
      <left style="thin">
        <color rgb="FF969696"/>
      </left>
      <right style="medium">
        <color indexed="64"/>
      </right>
      <top style="thin">
        <color rgb="FF969696"/>
      </top>
      <bottom style="thin">
        <color rgb="FF969696"/>
      </bottom>
      <diagonal/>
    </border>
    <border>
      <left style="medium">
        <color indexed="64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medium">
        <color indexed="64"/>
      </left>
      <right style="thin">
        <color rgb="FF969696"/>
      </right>
      <top style="thin">
        <color rgb="FF969696"/>
      </top>
      <bottom style="medium">
        <color indexed="64"/>
      </bottom>
      <diagonal/>
    </border>
    <border>
      <left style="thin">
        <color rgb="FF969696"/>
      </left>
      <right style="medium">
        <color indexed="64"/>
      </right>
      <top style="thin">
        <color rgb="FF969696"/>
      </top>
      <bottom style="medium">
        <color indexed="64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8458815271462"/>
      </left>
      <right/>
      <top style="thin">
        <color theme="0" tint="-0.1498764000366222"/>
      </top>
      <bottom style="thin">
        <color theme="0" tint="-0.1498764000366222"/>
      </bottom>
      <diagonal/>
    </border>
    <border>
      <left/>
      <right style="thin">
        <color theme="0" tint="-0.1498458815271462"/>
      </right>
      <top style="thin">
        <color theme="0" tint="-0.1498764000366222"/>
      </top>
      <bottom style="thin">
        <color theme="0" tint="-0.1498458815271462"/>
      </bottom>
      <diagonal/>
    </border>
    <border>
      <left/>
      <right/>
      <top style="thin">
        <color theme="0" tint="-0.1498764000366222"/>
      </top>
      <bottom style="thin">
        <color theme="0" tint="-0.1498458815271462"/>
      </bottom>
      <diagonal/>
    </border>
    <border>
      <left/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93743705557422"/>
      </left>
      <right/>
      <top style="thin">
        <color theme="0" tint="-0.1498764000366222"/>
      </top>
      <bottom style="thin">
        <color theme="0" tint="-0.1498764000366222"/>
      </bottom>
      <diagonal/>
    </border>
    <border>
      <left/>
      <right style="thin">
        <color theme="0" tint="-0.14990691854609822"/>
      </right>
      <top style="thin">
        <color theme="0" tint="-0.1498764000366222"/>
      </top>
      <bottom style="thin">
        <color theme="0" tint="-0.1498764000366222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 tint="-0.34998626667073579"/>
      </left>
      <right style="medium">
        <color theme="0"/>
      </right>
      <top style="thin">
        <color theme="0" tint="-0.34998626667073579"/>
      </top>
      <bottom/>
      <diagonal/>
    </border>
    <border>
      <left style="medium">
        <color theme="0"/>
      </left>
      <right style="medium">
        <color theme="0"/>
      </right>
      <top style="thin">
        <color theme="0" tint="-0.34998626667073579"/>
      </top>
      <bottom/>
      <diagonal/>
    </border>
    <border>
      <left style="medium">
        <color theme="0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/>
      </right>
      <top/>
      <bottom style="thin">
        <color theme="0" tint="-0.34998626667073579"/>
      </bottom>
      <diagonal/>
    </border>
    <border>
      <left style="medium">
        <color theme="0"/>
      </left>
      <right style="medium">
        <color theme="0"/>
      </right>
      <top/>
      <bottom style="thin">
        <color theme="0" tint="-0.34998626667073579"/>
      </bottom>
      <diagonal/>
    </border>
    <border>
      <left style="medium">
        <color theme="0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1498458815271462"/>
      </bottom>
      <diagonal/>
    </border>
    <border>
      <left/>
      <right/>
      <top style="thin">
        <color theme="0" tint="-0.34998626667073579"/>
      </top>
      <bottom style="thin">
        <color theme="0" tint="-0.1498458815271462"/>
      </bottom>
      <diagonal/>
    </border>
    <border>
      <left/>
      <right style="thin">
        <color theme="0" tint="-0.1498458815271462"/>
      </right>
      <top style="thin">
        <color theme="0" tint="-0.34998626667073579"/>
      </top>
      <bottom style="thin">
        <color theme="0" tint="-0.1498458815271462"/>
      </bottom>
      <diagonal/>
    </border>
    <border>
      <left style="thin">
        <color theme="0" tint="-0.1498458815271462"/>
      </left>
      <right/>
      <top style="thin">
        <color theme="0" tint="-0.34998626667073579"/>
      </top>
      <bottom style="thin">
        <color theme="0" tint="-0.1498764000366222"/>
      </bottom>
      <diagonal/>
    </border>
    <border>
      <left/>
      <right/>
      <top style="thin">
        <color theme="0" tint="-0.34998626667073579"/>
      </top>
      <bottom style="thin">
        <color theme="0" tint="-0.1498764000366222"/>
      </bottom>
      <diagonal/>
    </border>
    <border>
      <left/>
      <right style="thin">
        <color theme="0" tint="-0.14993743705557422"/>
      </right>
      <top style="thin">
        <color theme="0" tint="-0.34998626667073579"/>
      </top>
      <bottom style="thin">
        <color theme="0" tint="-0.14987640003662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34998626667073579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34998626667073579"/>
      </top>
      <bottom style="thin">
        <color theme="0" tint="-0.1498764000366222"/>
      </bottom>
      <diagonal/>
    </border>
    <border>
      <left/>
      <right style="thin">
        <color theme="0" tint="-0.1498764000366222"/>
      </right>
      <top style="thin">
        <color theme="0" tint="-0.34998626667073579"/>
      </top>
      <bottom style="thin">
        <color theme="0" tint="-0.1498764000366222"/>
      </bottom>
      <diagonal/>
    </border>
    <border>
      <left style="thin">
        <color theme="0" tint="-0.14993743705557422"/>
      </left>
      <right/>
      <top style="thin">
        <color theme="0" tint="-0.34998626667073579"/>
      </top>
      <bottom style="thin">
        <color theme="0" tint="-0.14993743705557422"/>
      </bottom>
      <diagonal/>
    </border>
    <border>
      <left/>
      <right/>
      <top style="thin">
        <color theme="0" tint="-0.34998626667073579"/>
      </top>
      <bottom style="thin">
        <color theme="0" tint="-0.1499374370555742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14993743705557422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theme="0" tint="-0.34998626667073579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34998626667073579"/>
      </left>
      <right/>
      <top style="thin">
        <color theme="0" tint="-0.1498764000366222"/>
      </top>
      <bottom style="thin">
        <color theme="0" tint="-0.1498458815271462"/>
      </bottom>
      <diagonal/>
    </border>
    <border>
      <left style="medium">
        <color theme="0"/>
      </left>
      <right style="medium">
        <color theme="0"/>
      </right>
      <top style="thin">
        <color theme="0" tint="-0.34998626667073579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thin">
        <color theme="0" tint="-0.34998626667073579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tted">
        <color rgb="FF3BAB5A"/>
      </left>
      <right style="dotted">
        <color rgb="FF3BAB5A"/>
      </right>
      <top style="dotted">
        <color rgb="FF3BAB5A"/>
      </top>
      <bottom style="dotted">
        <color rgb="FF3BAB5A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75">
    <xf numFmtId="0" fontId="0" fillId="0" borderId="0"/>
    <xf numFmtId="0" fontId="19" fillId="0" borderId="102" applyNumberFormat="0" applyFill="0" applyProtection="0">
      <alignment horizontal="center" vertical="center"/>
    </xf>
    <xf numFmtId="3" fontId="20" fillId="0" borderId="103" applyFont="0" applyFill="0" applyAlignment="0" applyProtection="0"/>
    <xf numFmtId="3" fontId="20" fillId="0" borderId="103" applyFont="0" applyFill="0" applyAlignment="0" applyProtection="0"/>
    <xf numFmtId="3" fontId="20" fillId="0" borderId="103" applyFont="0" applyFill="0" applyAlignment="0" applyProtection="0"/>
    <xf numFmtId="3" fontId="20" fillId="0" borderId="103" applyFont="0" applyFill="0" applyAlignment="0" applyProtection="0"/>
    <xf numFmtId="3" fontId="20" fillId="0" borderId="103" applyFont="0" applyFill="0" applyAlignment="0" applyProtection="0"/>
    <xf numFmtId="3" fontId="20" fillId="0" borderId="103" applyFont="0" applyFill="0" applyAlignment="0" applyProtection="0"/>
    <xf numFmtId="3" fontId="20" fillId="0" borderId="103" applyFont="0" applyFill="0" applyAlignment="0" applyProtection="0"/>
    <xf numFmtId="3" fontId="20" fillId="0" borderId="103" applyFont="0" applyFill="0" applyAlignment="0" applyProtection="0"/>
    <xf numFmtId="3" fontId="19" fillId="0" borderId="102" applyNumberFormat="0" applyFill="0" applyAlignment="0" applyProtection="0"/>
    <xf numFmtId="0" fontId="19" fillId="0" borderId="102" applyNumberFormat="0" applyFill="0" applyAlignment="0" applyProtection="0"/>
    <xf numFmtId="3" fontId="19" fillId="0" borderId="102" applyNumberFormat="0" applyFill="0" applyAlignment="0" applyProtection="0"/>
    <xf numFmtId="0" fontId="19" fillId="0" borderId="102" applyNumberFormat="0" applyFill="0" applyAlignment="0" applyProtection="0"/>
    <xf numFmtId="0" fontId="19" fillId="0" borderId="102" applyNumberFormat="0" applyFill="0" applyAlignment="0" applyProtection="0"/>
    <xf numFmtId="0" fontId="19" fillId="0" borderId="102" applyNumberFormat="0" applyFill="0" applyAlignment="0" applyProtection="0"/>
    <xf numFmtId="0" fontId="19" fillId="0" borderId="102" applyNumberFormat="0" applyFill="0" applyAlignment="0" applyProtection="0"/>
    <xf numFmtId="0" fontId="19" fillId="0" borderId="102" applyNumberFormat="0" applyFill="0" applyAlignment="0" applyProtection="0"/>
    <xf numFmtId="3" fontId="20" fillId="0" borderId="0" applyNumberFormat="0" applyBorder="0" applyAlignment="0" applyProtection="0"/>
    <xf numFmtId="3" fontId="20" fillId="0" borderId="0" applyNumberFormat="0" applyBorder="0" applyAlignment="0" applyProtection="0"/>
    <xf numFmtId="3" fontId="20" fillId="0" borderId="0" applyNumberFormat="0" applyBorder="0" applyAlignment="0" applyProtection="0"/>
    <xf numFmtId="3" fontId="20" fillId="0" borderId="0" applyNumberFormat="0" applyBorder="0" applyAlignment="0" applyProtection="0"/>
    <xf numFmtId="3" fontId="20" fillId="0" borderId="0" applyNumberFormat="0" applyBorder="0" applyAlignment="0" applyProtection="0"/>
    <xf numFmtId="3" fontId="20" fillId="0" borderId="103" applyNumberFormat="0" applyBorder="0" applyAlignment="0" applyProtection="0"/>
    <xf numFmtId="3" fontId="20" fillId="0" borderId="103" applyNumberFormat="0" applyBorder="0" applyAlignment="0" applyProtection="0"/>
    <xf numFmtId="3" fontId="20" fillId="0" borderId="103" applyNumberFormat="0" applyBorder="0" applyAlignment="0" applyProtection="0"/>
    <xf numFmtId="0" fontId="20" fillId="0" borderId="103" applyNumberFormat="0" applyFill="0" applyAlignment="0" applyProtection="0"/>
    <xf numFmtId="0" fontId="20" fillId="0" borderId="103" applyNumberFormat="0" applyFill="0" applyAlignment="0" applyProtection="0"/>
    <xf numFmtId="0" fontId="20" fillId="0" borderId="103">
      <alignment horizontal="right" vertical="center"/>
    </xf>
    <xf numFmtId="3" fontId="20" fillId="9" borderId="103">
      <alignment horizontal="center" vertical="center"/>
    </xf>
    <xf numFmtId="0" fontId="20" fillId="9" borderId="103">
      <alignment horizontal="right" vertical="center"/>
    </xf>
    <xf numFmtId="0" fontId="19" fillId="0" borderId="104">
      <alignment horizontal="left" vertical="center"/>
    </xf>
    <xf numFmtId="0" fontId="19" fillId="0" borderId="105">
      <alignment horizontal="center" vertical="center"/>
    </xf>
    <xf numFmtId="0" fontId="21" fillId="0" borderId="106">
      <alignment horizontal="center" vertical="center"/>
    </xf>
    <xf numFmtId="0" fontId="20" fillId="10" borderId="103"/>
    <xf numFmtId="3" fontId="19" fillId="0" borderId="102" applyFill="0" applyAlignment="0" applyProtection="0"/>
    <xf numFmtId="3" fontId="19" fillId="0" borderId="102" applyFill="0" applyAlignment="0" applyProtection="0"/>
    <xf numFmtId="3" fontId="19" fillId="0" borderId="102" applyFill="0" applyAlignment="0" applyProtection="0"/>
    <xf numFmtId="3" fontId="19" fillId="0" borderId="102" applyFill="0" applyAlignment="0" applyProtection="0"/>
    <xf numFmtId="0" fontId="19" fillId="0" borderId="102" applyFill="0" applyAlignment="0" applyProtection="0"/>
    <xf numFmtId="3" fontId="19" fillId="0" borderId="102" applyFill="0" applyAlignment="0" applyProtection="0"/>
    <xf numFmtId="0" fontId="19" fillId="0" borderId="105">
      <alignment horizontal="center" vertical="center"/>
    </xf>
    <xf numFmtId="0" fontId="19" fillId="0" borderId="105">
      <alignment horizontal="center" vertical="center"/>
    </xf>
    <xf numFmtId="3" fontId="20" fillId="0" borderId="103" applyFill="0" applyAlignment="0" applyProtection="0"/>
    <xf numFmtId="0" fontId="20" fillId="0" borderId="103" applyFill="0" applyAlignment="0" applyProtection="0"/>
    <xf numFmtId="3" fontId="19" fillId="11" borderId="107" applyNumberFormat="0" applyFont="0" applyAlignment="0" applyProtection="0"/>
    <xf numFmtId="0" fontId="19" fillId="0" borderId="102" applyFill="0" applyAlignment="0" applyProtection="0"/>
    <xf numFmtId="3" fontId="19" fillId="0" borderId="102" applyFill="0" applyAlignment="0" applyProtection="0"/>
    <xf numFmtId="0" fontId="19" fillId="0" borderId="102" applyFill="0" applyAlignment="0" applyProtection="0"/>
    <xf numFmtId="0" fontId="19" fillId="0" borderId="102" applyFill="0" applyAlignment="0" applyProtection="0"/>
    <xf numFmtId="0" fontId="19" fillId="0" borderId="102" applyFill="0" applyAlignment="0" applyProtection="0"/>
    <xf numFmtId="0" fontId="19" fillId="0" borderId="102" applyFill="0" applyAlignment="0" applyProtection="0"/>
    <xf numFmtId="0" fontId="19" fillId="0" borderId="104">
      <alignment horizontal="left" vertical="center"/>
    </xf>
    <xf numFmtId="3" fontId="19" fillId="0" borderId="102" applyFill="0" applyAlignment="0" applyProtection="0"/>
    <xf numFmtId="3" fontId="22" fillId="0" borderId="103"/>
    <xf numFmtId="3" fontId="23" fillId="0" borderId="103"/>
    <xf numFmtId="0" fontId="19" fillId="0" borderId="105">
      <alignment horizontal="left" vertical="top"/>
    </xf>
    <xf numFmtId="0" fontId="24" fillId="0" borderId="103"/>
    <xf numFmtId="0" fontId="19" fillId="0" borderId="105">
      <alignment horizontal="left" vertical="center"/>
    </xf>
    <xf numFmtId="0" fontId="20" fillId="9" borderId="108"/>
    <xf numFmtId="3" fontId="20" fillId="0" borderId="103">
      <alignment horizontal="right" vertical="center"/>
    </xf>
    <xf numFmtId="0" fontId="19" fillId="0" borderId="105">
      <alignment horizontal="right" vertical="center"/>
    </xf>
    <xf numFmtId="0" fontId="20" fillId="0" borderId="106">
      <alignment horizontal="center" vertical="center"/>
    </xf>
    <xf numFmtId="3" fontId="20" fillId="0" borderId="103"/>
    <xf numFmtId="3" fontId="20" fillId="0" borderId="103"/>
    <xf numFmtId="0" fontId="20" fillId="0" borderId="106">
      <alignment horizontal="center" vertical="center" wrapText="1"/>
    </xf>
    <xf numFmtId="0" fontId="25" fillId="0" borderId="106">
      <alignment horizontal="left" vertical="center" indent="1"/>
    </xf>
    <xf numFmtId="0" fontId="26" fillId="0" borderId="103"/>
    <xf numFmtId="0" fontId="19" fillId="0" borderId="104">
      <alignment horizontal="left" vertical="center"/>
    </xf>
    <xf numFmtId="3" fontId="20" fillId="0" borderId="103">
      <alignment horizontal="center" vertical="center"/>
    </xf>
    <xf numFmtId="0" fontId="19" fillId="0" borderId="105">
      <alignment horizontal="center" vertical="center"/>
    </xf>
    <xf numFmtId="0" fontId="19" fillId="0" borderId="105">
      <alignment horizontal="center" vertical="center"/>
    </xf>
    <xf numFmtId="0" fontId="19" fillId="0" borderId="104">
      <alignment horizontal="left" vertical="center"/>
    </xf>
    <xf numFmtId="0" fontId="19" fillId="0" borderId="104">
      <alignment horizontal="left" vertical="center"/>
    </xf>
    <xf numFmtId="0" fontId="27" fillId="0" borderId="103"/>
  </cellStyleXfs>
  <cellXfs count="158">
    <xf numFmtId="0" fontId="0" fillId="0" borderId="0" xfId="0"/>
    <xf numFmtId="0" fontId="1" fillId="0" borderId="0" xfId="0" applyFont="1" applyAlignment="1">
      <alignment horizontal="right" inden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quotePrefix="1"/>
    <xf numFmtId="0" fontId="5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2" xfId="0" applyFont="1" applyBorder="1"/>
    <xf numFmtId="0" fontId="5" fillId="0" borderId="13" xfId="0" applyFont="1" applyBorder="1"/>
    <xf numFmtId="0" fontId="3" fillId="0" borderId="14" xfId="0" applyFont="1" applyBorder="1"/>
    <xf numFmtId="0" fontId="5" fillId="0" borderId="15" xfId="0" applyFont="1" applyBorder="1"/>
    <xf numFmtId="0" fontId="3" fillId="0" borderId="16" xfId="0" applyFont="1" applyBorder="1"/>
    <xf numFmtId="0" fontId="5" fillId="0" borderId="17" xfId="0" applyFont="1" applyBorder="1"/>
    <xf numFmtId="0" fontId="3" fillId="0" borderId="18" xfId="0" applyFont="1" applyBorder="1"/>
    <xf numFmtId="0" fontId="5" fillId="0" borderId="19" xfId="0" applyFont="1" applyBorder="1"/>
    <xf numFmtId="0" fontId="3" fillId="0" borderId="20" xfId="0" applyFont="1" applyBorder="1"/>
    <xf numFmtId="0" fontId="3" fillId="0" borderId="21" xfId="0" applyFont="1" applyBorder="1"/>
    <xf numFmtId="0" fontId="3" fillId="0" borderId="22" xfId="0" applyFont="1" applyBorder="1"/>
    <xf numFmtId="0" fontId="3" fillId="0" borderId="23" xfId="0" applyFont="1" applyBorder="1"/>
    <xf numFmtId="0" fontId="3" fillId="0" borderId="24" xfId="0" applyFont="1" applyBorder="1"/>
    <xf numFmtId="0" fontId="5" fillId="2" borderId="25" xfId="0" applyFont="1" applyFill="1" applyBorder="1" applyAlignment="1">
      <alignment vertical="center"/>
    </xf>
    <xf numFmtId="0" fontId="5" fillId="2" borderId="24" xfId="0" applyFont="1" applyFill="1" applyBorder="1" applyAlignment="1">
      <alignment vertical="center"/>
    </xf>
    <xf numFmtId="0" fontId="6" fillId="2" borderId="26" xfId="0" applyFont="1" applyFill="1" applyBorder="1" applyAlignment="1">
      <alignment vertical="center"/>
    </xf>
    <xf numFmtId="0" fontId="3" fillId="2" borderId="27" xfId="0" applyFont="1" applyFill="1" applyBorder="1" applyAlignment="1">
      <alignment vertical="center"/>
    </xf>
    <xf numFmtId="0" fontId="5" fillId="0" borderId="28" xfId="0" applyFont="1" applyBorder="1"/>
    <xf numFmtId="0" fontId="3" fillId="0" borderId="28" xfId="0" applyFont="1" applyBorder="1"/>
    <xf numFmtId="0" fontId="3" fillId="0" borderId="29" xfId="0" applyFont="1" applyBorder="1"/>
    <xf numFmtId="0" fontId="3" fillId="0" borderId="30" xfId="0" applyFont="1" applyBorder="1"/>
    <xf numFmtId="0" fontId="3" fillId="0" borderId="27" xfId="0" applyFont="1" applyBorder="1"/>
    <xf numFmtId="0" fontId="5" fillId="0" borderId="31" xfId="0" applyFont="1" applyBorder="1"/>
    <xf numFmtId="0" fontId="5" fillId="0" borderId="11" xfId="0" applyFont="1" applyBorder="1"/>
    <xf numFmtId="0" fontId="3" fillId="0" borderId="32" xfId="0" applyFont="1" applyBorder="1"/>
    <xf numFmtId="0" fontId="3" fillId="0" borderId="33" xfId="0" applyFont="1" applyBorder="1"/>
    <xf numFmtId="0" fontId="3" fillId="0" borderId="34" xfId="0" applyFont="1" applyBorder="1"/>
    <xf numFmtId="0" fontId="3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0" fontId="5" fillId="0" borderId="38" xfId="0" applyFont="1" applyBorder="1"/>
    <xf numFmtId="0" fontId="3" fillId="0" borderId="39" xfId="0" applyFont="1" applyBorder="1"/>
    <xf numFmtId="0" fontId="3" fillId="0" borderId="40" xfId="0" applyFont="1" applyBorder="1"/>
    <xf numFmtId="0" fontId="3" fillId="0" borderId="41" xfId="0" applyFont="1" applyBorder="1"/>
    <xf numFmtId="0" fontId="3" fillId="0" borderId="42" xfId="0" applyFont="1" applyBorder="1"/>
    <xf numFmtId="0" fontId="3" fillId="0" borderId="43" xfId="0" applyFont="1" applyBorder="1"/>
    <xf numFmtId="0" fontId="3" fillId="0" borderId="44" xfId="0" applyFont="1" applyBorder="1"/>
    <xf numFmtId="0" fontId="5" fillId="0" borderId="45" xfId="0" applyFont="1" applyBorder="1"/>
    <xf numFmtId="0" fontId="3" fillId="0" borderId="46" xfId="0" applyFont="1" applyBorder="1"/>
    <xf numFmtId="0" fontId="3" fillId="0" borderId="17" xfId="0" applyFont="1" applyBorder="1"/>
    <xf numFmtId="0" fontId="5" fillId="0" borderId="47" xfId="0" applyFont="1" applyBorder="1"/>
    <xf numFmtId="0" fontId="3" fillId="0" borderId="48" xfId="0" applyFont="1" applyBorder="1"/>
    <xf numFmtId="0" fontId="7" fillId="2" borderId="0" xfId="0" applyFont="1" applyFill="1" applyAlignment="1">
      <alignment vertical="center"/>
    </xf>
    <xf numFmtId="0" fontId="3" fillId="2" borderId="20" xfId="0" applyFont="1" applyFill="1" applyBorder="1" applyAlignment="1">
      <alignment vertical="center"/>
    </xf>
    <xf numFmtId="0" fontId="3" fillId="2" borderId="21" xfId="0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5" fillId="2" borderId="17" xfId="0" applyFont="1" applyFill="1" applyBorder="1" applyAlignment="1">
      <alignment vertical="center"/>
    </xf>
    <xf numFmtId="0" fontId="5" fillId="2" borderId="30" xfId="0" applyFont="1" applyFill="1" applyBorder="1" applyAlignment="1">
      <alignment vertical="center"/>
    </xf>
    <xf numFmtId="0" fontId="3" fillId="2" borderId="28" xfId="0" applyFont="1" applyFill="1" applyBorder="1" applyAlignment="1">
      <alignment vertical="center"/>
    </xf>
    <xf numFmtId="0" fontId="3" fillId="0" borderId="49" xfId="0" applyFont="1" applyBorder="1"/>
    <xf numFmtId="0" fontId="3" fillId="0" borderId="50" xfId="0" applyFont="1" applyBorder="1"/>
    <xf numFmtId="0" fontId="3" fillId="0" borderId="51" xfId="0" applyFont="1" applyBorder="1"/>
    <xf numFmtId="0" fontId="3" fillId="0" borderId="52" xfId="0" applyFont="1" applyBorder="1"/>
    <xf numFmtId="0" fontId="3" fillId="0" borderId="53" xfId="0" applyFont="1" applyBorder="1"/>
    <xf numFmtId="0" fontId="3" fillId="0" borderId="54" xfId="0" applyFont="1" applyBorder="1"/>
    <xf numFmtId="0" fontId="3" fillId="0" borderId="55" xfId="0" applyFont="1" applyBorder="1"/>
    <xf numFmtId="0" fontId="3" fillId="0" borderId="56" xfId="0" applyFont="1" applyBorder="1"/>
    <xf numFmtId="0" fontId="3" fillId="0" borderId="57" xfId="0" applyFont="1" applyBorder="1"/>
    <xf numFmtId="0" fontId="5" fillId="0" borderId="58" xfId="0" applyFont="1" applyBorder="1"/>
    <xf numFmtId="0" fontId="3" fillId="0" borderId="59" xfId="0" applyFont="1" applyBorder="1"/>
    <xf numFmtId="0" fontId="5" fillId="2" borderId="60" xfId="0" applyFont="1" applyFill="1" applyBorder="1" applyAlignment="1">
      <alignment vertical="center"/>
    </xf>
    <xf numFmtId="0" fontId="3" fillId="2" borderId="59" xfId="0" applyFont="1" applyFill="1" applyBorder="1" applyAlignment="1">
      <alignment vertical="center"/>
    </xf>
    <xf numFmtId="0" fontId="3" fillId="2" borderId="61" xfId="0" applyFont="1" applyFill="1" applyBorder="1" applyAlignment="1">
      <alignment vertical="center"/>
    </xf>
    <xf numFmtId="0" fontId="3" fillId="2" borderId="62" xfId="0" applyFont="1" applyFill="1" applyBorder="1" applyAlignment="1">
      <alignment vertical="center"/>
    </xf>
    <xf numFmtId="0" fontId="7" fillId="0" borderId="0" xfId="0" applyFont="1"/>
    <xf numFmtId="0" fontId="10" fillId="0" borderId="0" xfId="0" applyFont="1"/>
    <xf numFmtId="0" fontId="3" fillId="0" borderId="22" xfId="0" applyFont="1" applyBorder="1" applyAlignment="1">
      <alignment horizontal="right"/>
    </xf>
    <xf numFmtId="0" fontId="11" fillId="5" borderId="71" xfId="0" applyFont="1" applyFill="1" applyBorder="1" applyAlignment="1">
      <alignment horizontal="right" vertical="center"/>
    </xf>
    <xf numFmtId="0" fontId="11" fillId="5" borderId="72" xfId="0" applyFont="1" applyFill="1" applyBorder="1" applyAlignment="1">
      <alignment horizontal="right" vertical="center"/>
    </xf>
    <xf numFmtId="0" fontId="12" fillId="7" borderId="70" xfId="0" applyFont="1" applyFill="1" applyBorder="1" applyAlignment="1" applyProtection="1">
      <alignment horizontal="left" vertical="center"/>
      <protection locked="0"/>
    </xf>
    <xf numFmtId="0" fontId="12" fillId="6" borderId="70" xfId="0" applyFont="1" applyFill="1" applyBorder="1" applyAlignment="1">
      <alignment horizontal="left" vertical="center"/>
    </xf>
    <xf numFmtId="0" fontId="13" fillId="8" borderId="0" xfId="0" applyFont="1" applyFill="1" applyAlignment="1">
      <alignment vertical="center"/>
    </xf>
    <xf numFmtId="0" fontId="9" fillId="2" borderId="85" xfId="0" applyFont="1" applyFill="1" applyBorder="1" applyAlignment="1">
      <alignment horizontal="left"/>
    </xf>
    <xf numFmtId="0" fontId="9" fillId="3" borderId="85" xfId="0" applyFont="1" applyFill="1" applyBorder="1" applyAlignment="1" applyProtection="1">
      <alignment horizontal="left"/>
      <protection locked="0"/>
    </xf>
    <xf numFmtId="0" fontId="0" fillId="0" borderId="91" xfId="0" applyBorder="1"/>
    <xf numFmtId="0" fontId="0" fillId="0" borderId="92" xfId="0" applyBorder="1"/>
    <xf numFmtId="0" fontId="0" fillId="0" borderId="93" xfId="0" applyBorder="1"/>
    <xf numFmtId="0" fontId="8" fillId="0" borderId="0" xfId="0" applyFont="1"/>
    <xf numFmtId="0" fontId="14" fillId="0" borderId="8" xfId="0" applyFont="1" applyBorder="1"/>
    <xf numFmtId="0" fontId="15" fillId="0" borderId="9" xfId="0" applyFont="1" applyBorder="1"/>
    <xf numFmtId="0" fontId="15" fillId="0" borderId="0" xfId="0" applyFont="1"/>
    <xf numFmtId="0" fontId="16" fillId="2" borderId="63" xfId="0" applyFont="1" applyFill="1" applyBorder="1" applyAlignment="1">
      <alignment horizontal="left"/>
    </xf>
    <xf numFmtId="0" fontId="16" fillId="6" borderId="63" xfId="0" applyFont="1" applyFill="1" applyBorder="1" applyAlignment="1">
      <alignment horizontal="left"/>
    </xf>
    <xf numFmtId="164" fontId="16" fillId="6" borderId="3" xfId="0" applyNumberFormat="1" applyFont="1" applyFill="1" applyBorder="1"/>
    <xf numFmtId="0" fontId="16" fillId="6" borderId="4" xfId="0" applyFont="1" applyFill="1" applyBorder="1"/>
    <xf numFmtId="0" fontId="16" fillId="7" borderId="63" xfId="0" applyFont="1" applyFill="1" applyBorder="1" applyAlignment="1" applyProtection="1">
      <alignment horizontal="left"/>
      <protection locked="0"/>
    </xf>
    <xf numFmtId="0" fontId="15" fillId="0" borderId="94" xfId="0" applyFont="1" applyBorder="1"/>
    <xf numFmtId="0" fontId="15" fillId="0" borderId="97" xfId="0" applyFont="1" applyBorder="1"/>
    <xf numFmtId="0" fontId="18" fillId="0" borderId="0" xfId="0" applyFont="1"/>
    <xf numFmtId="0" fontId="11" fillId="5" borderId="74" xfId="0" applyFont="1" applyFill="1" applyBorder="1" applyAlignment="1">
      <alignment horizontal="left" vertical="center" wrapText="1"/>
    </xf>
    <xf numFmtId="0" fontId="11" fillId="5" borderId="75" xfId="0" applyFont="1" applyFill="1" applyBorder="1" applyAlignment="1">
      <alignment horizontal="left" vertical="center" wrapText="1"/>
    </xf>
    <xf numFmtId="0" fontId="11" fillId="5" borderId="77" xfId="0" applyFont="1" applyFill="1" applyBorder="1" applyAlignment="1">
      <alignment horizontal="left" vertical="center" wrapText="1"/>
    </xf>
    <xf numFmtId="0" fontId="11" fillId="5" borderId="78" xfId="0" applyFont="1" applyFill="1" applyBorder="1" applyAlignment="1">
      <alignment horizontal="left" vertical="center" wrapText="1"/>
    </xf>
    <xf numFmtId="0" fontId="17" fillId="2" borderId="1" xfId="0" applyFont="1" applyFill="1" applyBorder="1" applyAlignment="1">
      <alignment horizontal="left"/>
    </xf>
    <xf numFmtId="0" fontId="17" fillId="2" borderId="2" xfId="0" applyFont="1" applyFill="1" applyBorder="1" applyAlignment="1">
      <alignment horizontal="left"/>
    </xf>
    <xf numFmtId="0" fontId="17" fillId="2" borderId="95" xfId="0" applyFont="1" applyFill="1" applyBorder="1" applyAlignment="1">
      <alignment horizontal="left"/>
    </xf>
    <xf numFmtId="0" fontId="11" fillId="5" borderId="74" xfId="0" applyFont="1" applyFill="1" applyBorder="1" applyAlignment="1">
      <alignment vertical="center" wrapText="1"/>
    </xf>
    <xf numFmtId="0" fontId="11" fillId="5" borderId="77" xfId="0" applyFont="1" applyFill="1" applyBorder="1" applyAlignment="1">
      <alignment vertical="center" wrapText="1"/>
    </xf>
    <xf numFmtId="0" fontId="16" fillId="7" borderId="64" xfId="0" applyFont="1" applyFill="1" applyBorder="1" applyAlignment="1" applyProtection="1">
      <alignment horizontal="left"/>
      <protection locked="0"/>
    </xf>
    <xf numFmtId="0" fontId="16" fillId="7" borderId="4" xfId="0" applyFont="1" applyFill="1" applyBorder="1" applyAlignment="1" applyProtection="1">
      <alignment horizontal="left"/>
      <protection locked="0"/>
    </xf>
    <xf numFmtId="0" fontId="16" fillId="7" borderId="5" xfId="0" applyFont="1" applyFill="1" applyBorder="1" applyAlignment="1" applyProtection="1">
      <alignment horizontal="left"/>
      <protection locked="0"/>
    </xf>
    <xf numFmtId="0" fontId="16" fillId="2" borderId="64" xfId="0" applyFont="1" applyFill="1" applyBorder="1" applyAlignment="1">
      <alignment horizontal="left"/>
    </xf>
    <xf numFmtId="0" fontId="16" fillId="2" borderId="4" xfId="0" applyFont="1" applyFill="1" applyBorder="1" applyAlignment="1">
      <alignment horizontal="left"/>
    </xf>
    <xf numFmtId="0" fontId="16" fillId="2" borderId="5" xfId="0" applyFont="1" applyFill="1" applyBorder="1" applyAlignment="1">
      <alignment horizontal="left"/>
    </xf>
    <xf numFmtId="0" fontId="16" fillId="6" borderId="64" xfId="0" applyFont="1" applyFill="1" applyBorder="1" applyAlignment="1">
      <alignment horizontal="left"/>
    </xf>
    <xf numFmtId="0" fontId="16" fillId="6" borderId="4" xfId="0" applyFont="1" applyFill="1" applyBorder="1" applyAlignment="1">
      <alignment horizontal="left"/>
    </xf>
    <xf numFmtId="0" fontId="16" fillId="6" borderId="5" xfId="0" applyFont="1" applyFill="1" applyBorder="1" applyAlignment="1">
      <alignment horizontal="left"/>
    </xf>
    <xf numFmtId="164" fontId="16" fillId="6" borderId="68" xfId="0" applyNumberFormat="1" applyFont="1" applyFill="1" applyBorder="1" applyAlignment="1">
      <alignment horizontal="left"/>
    </xf>
    <xf numFmtId="164" fontId="16" fillId="6" borderId="69" xfId="0" applyNumberFormat="1" applyFont="1" applyFill="1" applyBorder="1" applyAlignment="1">
      <alignment horizontal="left"/>
    </xf>
    <xf numFmtId="0" fontId="16" fillId="6" borderId="68" xfId="0" applyFont="1" applyFill="1" applyBorder="1" applyAlignment="1">
      <alignment horizontal="left"/>
    </xf>
    <xf numFmtId="0" fontId="16" fillId="6" borderId="69" xfId="0" applyFont="1" applyFill="1" applyBorder="1" applyAlignment="1">
      <alignment horizontal="left"/>
    </xf>
    <xf numFmtId="0" fontId="11" fillId="5" borderId="100" xfId="0" applyFont="1" applyFill="1" applyBorder="1" applyAlignment="1">
      <alignment horizontal="center" vertical="center"/>
    </xf>
    <xf numFmtId="0" fontId="17" fillId="6" borderId="6" xfId="0" applyFont="1" applyFill="1" applyBorder="1" applyAlignment="1">
      <alignment horizontal="left"/>
    </xf>
    <xf numFmtId="0" fontId="17" fillId="6" borderId="7" xfId="0" applyFont="1" applyFill="1" applyBorder="1" applyAlignment="1">
      <alignment horizontal="left"/>
    </xf>
    <xf numFmtId="0" fontId="17" fillId="6" borderId="96" xfId="0" applyFont="1" applyFill="1" applyBorder="1" applyAlignment="1">
      <alignment horizontal="left"/>
    </xf>
    <xf numFmtId="0" fontId="11" fillId="5" borderId="101" xfId="0" applyFont="1" applyFill="1" applyBorder="1" applyAlignment="1">
      <alignment horizontal="center" vertical="center" wrapText="1"/>
    </xf>
    <xf numFmtId="0" fontId="16" fillId="7" borderId="3" xfId="0" applyFont="1" applyFill="1" applyBorder="1" applyProtection="1">
      <protection locked="0"/>
    </xf>
    <xf numFmtId="0" fontId="16" fillId="7" borderId="67" xfId="0" applyFont="1" applyFill="1" applyBorder="1" applyProtection="1">
      <protection locked="0"/>
    </xf>
    <xf numFmtId="0" fontId="10" fillId="4" borderId="88" xfId="0" applyFont="1" applyFill="1" applyBorder="1" applyAlignment="1">
      <alignment horizontal="left"/>
    </xf>
    <xf numFmtId="0" fontId="10" fillId="4" borderId="89" xfId="0" applyFont="1" applyFill="1" applyBorder="1" applyAlignment="1">
      <alignment horizontal="left"/>
    </xf>
    <xf numFmtId="0" fontId="10" fillId="4" borderId="90" xfId="0" applyFont="1" applyFill="1" applyBorder="1" applyAlignment="1">
      <alignment horizontal="left"/>
    </xf>
    <xf numFmtId="164" fontId="16" fillId="7" borderId="3" xfId="0" applyNumberFormat="1" applyFont="1" applyFill="1" applyBorder="1" applyProtection="1">
      <protection locked="0"/>
    </xf>
    <xf numFmtId="164" fontId="16" fillId="7" borderId="67" xfId="0" applyNumberFormat="1" applyFont="1" applyFill="1" applyBorder="1" applyProtection="1">
      <protection locked="0"/>
    </xf>
    <xf numFmtId="164" fontId="9" fillId="3" borderId="86" xfId="0" applyNumberFormat="1" applyFont="1" applyFill="1" applyBorder="1" applyProtection="1">
      <protection locked="0"/>
    </xf>
    <xf numFmtId="164" fontId="9" fillId="3" borderId="87" xfId="0" applyNumberFormat="1" applyFont="1" applyFill="1" applyBorder="1" applyProtection="1">
      <protection locked="0"/>
    </xf>
    <xf numFmtId="0" fontId="9" fillId="3" borderId="86" xfId="0" applyFont="1" applyFill="1" applyBorder="1" applyProtection="1">
      <protection locked="0"/>
    </xf>
    <xf numFmtId="0" fontId="9" fillId="3" borderId="87" xfId="0" applyFont="1" applyFill="1" applyBorder="1" applyProtection="1">
      <protection locked="0"/>
    </xf>
    <xf numFmtId="0" fontId="16" fillId="2" borderId="3" xfId="0" applyFont="1" applyFill="1" applyBorder="1" applyAlignment="1">
      <alignment horizontal="left"/>
    </xf>
    <xf numFmtId="0" fontId="16" fillId="2" borderId="67" xfId="0" applyFont="1" applyFill="1" applyBorder="1" applyAlignment="1">
      <alignment horizontal="left"/>
    </xf>
    <xf numFmtId="164" fontId="16" fillId="2" borderId="3" xfId="0" applyNumberFormat="1" applyFont="1" applyFill="1" applyBorder="1" applyAlignment="1">
      <alignment horizontal="left"/>
    </xf>
    <xf numFmtId="164" fontId="16" fillId="2" borderId="67" xfId="0" applyNumberFormat="1" applyFont="1" applyFill="1" applyBorder="1" applyAlignment="1">
      <alignment horizontal="left"/>
    </xf>
    <xf numFmtId="0" fontId="17" fillId="0" borderId="1" xfId="0" applyFont="1" applyBorder="1" applyAlignment="1">
      <alignment horizontal="left"/>
    </xf>
    <xf numFmtId="0" fontId="17" fillId="0" borderId="2" xfId="0" applyFont="1" applyBorder="1" applyAlignment="1">
      <alignment horizontal="left"/>
    </xf>
    <xf numFmtId="0" fontId="17" fillId="0" borderId="95" xfId="0" applyFont="1" applyBorder="1" applyAlignment="1">
      <alignment horizontal="left"/>
    </xf>
    <xf numFmtId="0" fontId="9" fillId="3" borderId="83" xfId="0" applyFont="1" applyFill="1" applyBorder="1" applyAlignment="1" applyProtection="1">
      <alignment horizontal="left"/>
      <protection locked="0"/>
    </xf>
    <xf numFmtId="0" fontId="9" fillId="3" borderId="84" xfId="0" applyFont="1" applyFill="1" applyBorder="1" applyAlignment="1" applyProtection="1">
      <alignment horizontal="left"/>
      <protection locked="0"/>
    </xf>
    <xf numFmtId="49" fontId="16" fillId="0" borderId="98" xfId="0" applyNumberFormat="1" applyFont="1" applyBorder="1" applyAlignment="1">
      <alignment horizontal="left"/>
    </xf>
    <xf numFmtId="49" fontId="16" fillId="0" borderId="4" xfId="0" applyNumberFormat="1" applyFont="1" applyBorder="1" applyAlignment="1">
      <alignment horizontal="left"/>
    </xf>
    <xf numFmtId="0" fontId="15" fillId="6" borderId="99" xfId="0" applyFont="1" applyFill="1" applyBorder="1" applyAlignment="1">
      <alignment horizontal="left"/>
    </xf>
    <xf numFmtId="0" fontId="15" fillId="6" borderId="66" xfId="0" applyFont="1" applyFill="1" applyBorder="1" applyAlignment="1">
      <alignment horizontal="left"/>
    </xf>
    <xf numFmtId="0" fontId="15" fillId="6" borderId="65" xfId="0" applyFont="1" applyFill="1" applyBorder="1" applyAlignment="1">
      <alignment horizontal="left"/>
    </xf>
    <xf numFmtId="0" fontId="7" fillId="4" borderId="79" xfId="0" applyFont="1" applyFill="1" applyBorder="1" applyAlignment="1">
      <alignment horizontal="left"/>
    </xf>
    <xf numFmtId="49" fontId="7" fillId="4" borderId="80" xfId="0" applyNumberFormat="1" applyFont="1" applyFill="1" applyBorder="1" applyAlignment="1">
      <alignment horizontal="left"/>
    </xf>
    <xf numFmtId="49" fontId="7" fillId="4" borderId="81" xfId="0" applyNumberFormat="1" applyFont="1" applyFill="1" applyBorder="1" applyAlignment="1">
      <alignment horizontal="left"/>
    </xf>
    <xf numFmtId="0" fontId="11" fillId="5" borderId="73" xfId="0" applyFont="1" applyFill="1" applyBorder="1" applyAlignment="1">
      <alignment horizontal="left" vertical="center" wrapText="1"/>
    </xf>
    <xf numFmtId="0" fontId="11" fillId="5" borderId="76" xfId="0" applyFont="1" applyFill="1" applyBorder="1" applyAlignment="1">
      <alignment horizontal="left" vertical="center" wrapText="1"/>
    </xf>
    <xf numFmtId="0" fontId="9" fillId="3" borderId="82" xfId="0" applyFont="1" applyFill="1" applyBorder="1" applyAlignment="1" applyProtection="1">
      <alignment horizontal="left"/>
      <protection locked="0"/>
    </xf>
  </cellXfs>
  <cellStyles count="75">
    <cellStyle name="AF Column - IBM Cognos" xfId="1" xr:uid="{4ED64B76-D304-4DDA-BFB9-0EAC0A972A68}"/>
    <cellStyle name="AF Data - IBM Cognos" xfId="2" xr:uid="{46D0EC1A-AAD4-4149-870D-47C2CACD4FAA}"/>
    <cellStyle name="AF Data 0 - IBM Cognos" xfId="3" xr:uid="{85806023-81A5-42EF-82E1-508EB82B13DF}"/>
    <cellStyle name="AF Data 1 - IBM Cognos" xfId="4" xr:uid="{0FE46063-134D-4B8A-ABFC-B6BD2E5C4D55}"/>
    <cellStyle name="AF Data 2 - IBM Cognos" xfId="5" xr:uid="{6CEE4098-00FF-4F85-8E03-BCB4DC30E43C}"/>
    <cellStyle name="AF Data 3 - IBM Cognos" xfId="6" xr:uid="{622EC966-EA01-40EF-845A-3158DDE9E09E}"/>
    <cellStyle name="AF Data 4 - IBM Cognos" xfId="7" xr:uid="{1078CFD8-3EAE-40CE-B71F-F371760471AE}"/>
    <cellStyle name="AF Data 5 - IBM Cognos" xfId="8" xr:uid="{DCEC4E87-F368-413D-A639-85ECAE6AD4C6}"/>
    <cellStyle name="AF Data Leaf - IBM Cognos" xfId="9" xr:uid="{B8C6ABE2-24C4-4037-BC99-BB9433A144BF}"/>
    <cellStyle name="AF Header - IBM Cognos" xfId="10" xr:uid="{4F31B2A3-753B-4A53-9A96-37EC13C58518}"/>
    <cellStyle name="AF Header 0 - IBM Cognos" xfId="11" xr:uid="{2808915B-C53B-4015-88C7-4738A2196081}"/>
    <cellStyle name="AF Header 1 - IBM Cognos" xfId="12" xr:uid="{9310B705-29FD-4E13-A78C-FA072DAF3ABF}"/>
    <cellStyle name="AF Header 2 - IBM Cognos" xfId="13" xr:uid="{80FD8E1D-7DFF-40CB-891F-AE67A8E2A17C}"/>
    <cellStyle name="AF Header 3 - IBM Cognos" xfId="14" xr:uid="{F8F89C8A-1159-44BC-A20D-7F55DB36C71F}"/>
    <cellStyle name="AF Header 4 - IBM Cognos" xfId="15" xr:uid="{89506818-9594-498F-8E61-905AFEAB07B8}"/>
    <cellStyle name="AF Header 5 - IBM Cognos" xfId="16" xr:uid="{303355BB-C4FC-4E54-9D86-E84EC490B446}"/>
    <cellStyle name="AF Header Leaf - IBM Cognos" xfId="17" xr:uid="{501D9386-4A3F-4757-85FE-1DFA6A5F3414}"/>
    <cellStyle name="AF Row - IBM Cognos" xfId="18" xr:uid="{083ED683-7615-47C4-A6DF-8DAA01C77EFE}"/>
    <cellStyle name="AF Row 0 - IBM Cognos" xfId="19" xr:uid="{D301E69A-A662-4B38-9CF8-62F285E33160}"/>
    <cellStyle name="AF Row 1 - IBM Cognos" xfId="20" xr:uid="{6259A268-3E0D-4F9E-B68E-C556CE1C1D2E}"/>
    <cellStyle name="AF Row 2 - IBM Cognos" xfId="21" xr:uid="{49AA15F7-5940-4178-9223-4FED78689FF8}"/>
    <cellStyle name="AF Row 3 - IBM Cognos" xfId="22" xr:uid="{8F285CFD-582A-485B-8CAC-8657BFFB14A9}"/>
    <cellStyle name="AF Row 4 - IBM Cognos" xfId="23" xr:uid="{9C0DFA60-E14C-4E74-BABA-3CC2F0B949A7}"/>
    <cellStyle name="AF Row 5 - IBM Cognos" xfId="24" xr:uid="{9AA93A1C-9759-46C8-BCA9-ADBA04CBB694}"/>
    <cellStyle name="AF Row Leaf - IBM Cognos" xfId="25" xr:uid="{AF710F7E-D4DB-4E35-98DE-AC58D07D8467}"/>
    <cellStyle name="AF Subnm - IBM Cognos" xfId="26" xr:uid="{B880FD08-791A-4A63-89B9-704DDD97AAFD}"/>
    <cellStyle name="AF Title - IBM Cognos" xfId="27" xr:uid="{3EC32EBC-8920-4508-8A35-45137DAAAB5D}"/>
    <cellStyle name="Calculated Column - IBM Cognos" xfId="28" xr:uid="{227BE7B5-E78F-47F0-B957-2285C2BFDBE7}"/>
    <cellStyle name="Calculated Column Name - IBM Cognos" xfId="29" xr:uid="{ED71DF7B-33D4-4ACE-A3A9-BB94CC37CAA3}"/>
    <cellStyle name="Calculated Row - IBM Cognos" xfId="30" xr:uid="{A511FC82-4A30-4987-9516-E95F440F90AA}"/>
    <cellStyle name="Calculated Row Name - IBM Cognos" xfId="31" xr:uid="{D8D03C83-DE2D-4893-9D9E-CF198A9C8703}"/>
    <cellStyle name="Column Name - IBM Cognos" xfId="32" xr:uid="{91FBD96C-E3F2-4593-B35B-3B314B7488F3}"/>
    <cellStyle name="Column Template - IBM Cognos" xfId="33" xr:uid="{CCCF9644-3C00-466A-AC9B-9FB412D41E98}"/>
    <cellStyle name="Differs From Base - IBM Cognos" xfId="34" xr:uid="{3D563008-7B93-447A-A40D-EA2D97EE9112}"/>
    <cellStyle name="DQR Column 0 - IBM Cognos" xfId="35" xr:uid="{90C4D85D-4E90-454D-B2AF-FAA3EF6AD060}"/>
    <cellStyle name="DQR Column 1 - IBM Cognos" xfId="36" xr:uid="{7B2C867C-9CC2-490A-8CBD-91079124825D}"/>
    <cellStyle name="DQR Column 2 - IBM Cognos" xfId="37" xr:uid="{8CF1238C-7085-4565-867D-2AE4033CB315}"/>
    <cellStyle name="DQR Column 3 - IBM Cognos" xfId="38" xr:uid="{F8DA7197-63B8-46BE-BA98-D5040FFC4B0E}"/>
    <cellStyle name="DQR Column 4 - IBM Cognos" xfId="39" xr:uid="{80AE7CF0-EB5E-4F6C-95D4-88CDF3D04E0E}"/>
    <cellStyle name="DQR Column 5 - IBM Cognos" xfId="40" xr:uid="{B47C2CB7-EC42-46BA-853B-0FF5D6F6FD4D}"/>
    <cellStyle name="DQR Column Default - IBM Cognos" xfId="41" xr:uid="{B5D0C709-83FE-4BAB-98F2-68343B8A30AD}"/>
    <cellStyle name="DQR Column Leaf - IBM Cognos" xfId="42" xr:uid="{5061A1A6-1150-4A4F-9450-B8D0F03D3350}"/>
    <cellStyle name="DQR Data Default - IBM Cognos" xfId="43" xr:uid="{788049D5-EA1E-4D18-BD28-C8B17374F1E8}"/>
    <cellStyle name="DQR Default - IBM Cognos" xfId="44" xr:uid="{60323572-AEF9-491C-926F-BFF0C7C02EEE}"/>
    <cellStyle name="DQR Gutter Default - IBM Cognos" xfId="45" xr:uid="{763E85E4-0BE6-454A-8E0D-0DCF3E2222DB}"/>
    <cellStyle name="DQR Row 0 - IBM Cognos" xfId="46" xr:uid="{43E3EDA4-7754-436D-A318-145D779D0D29}"/>
    <cellStyle name="DQR Row 1 - IBM Cognos" xfId="47" xr:uid="{5BC1656C-B3FF-4DFB-8DA3-36D5555BF69E}"/>
    <cellStyle name="DQR Row 2 - IBM Cognos" xfId="48" xr:uid="{E0844D39-FC86-4801-A4EB-7E347F7876FE}"/>
    <cellStyle name="DQR Row 3 - IBM Cognos" xfId="49" xr:uid="{F00B4E55-DCCB-4890-8D33-4D210E60EDA3}"/>
    <cellStyle name="DQR Row 4 - IBM Cognos" xfId="50" xr:uid="{955EC518-74B9-451C-A148-1EC2B4240D05}"/>
    <cellStyle name="DQR Row 5 - IBM Cognos" xfId="51" xr:uid="{3106936C-D77D-4492-B40B-7F89B8E828C5}"/>
    <cellStyle name="DQR Row Default - IBM Cognos" xfId="52" xr:uid="{EA94A397-7CCC-4BC8-ADEE-8B89331DEACA}"/>
    <cellStyle name="DQR Row Leaf - IBM Cognos" xfId="53" xr:uid="{FC614F9E-7830-481C-90F5-B37BF864A8E9}"/>
    <cellStyle name="Edit - IBM Cognos" xfId="54" xr:uid="{71B1B509-CA21-4C26-A936-3F22E340213F}"/>
    <cellStyle name="Formula - IBM Cognos" xfId="55" xr:uid="{EA18E727-4679-4F3F-A346-D37FFD602FA2}"/>
    <cellStyle name="Group Name - IBM Cognos" xfId="56" xr:uid="{FC7423B2-8239-441F-8398-AF2AACC65614}"/>
    <cellStyle name="Hold Values - IBM Cognos" xfId="57" xr:uid="{7BE8FB4A-F7FC-4E93-BA0A-B81E8A307B8C}"/>
    <cellStyle name="List Name - IBM Cognos" xfId="58" xr:uid="{AB7D4F80-A9A5-4775-8783-87A9ECCC56DB}"/>
    <cellStyle name="Locked - IBM Cognos" xfId="59" xr:uid="{552448DC-F10A-43A8-9BE6-2F5AE61A8A18}"/>
    <cellStyle name="Measure - IBM Cognos" xfId="60" xr:uid="{CA956A06-FD93-4D2B-BD7E-9D5D701DB205}"/>
    <cellStyle name="Measure Header - IBM Cognos" xfId="61" xr:uid="{5116A0E4-7E61-4DA7-BBF2-1A20F8B550E0}"/>
    <cellStyle name="Measure Name - IBM Cognos" xfId="62" xr:uid="{25DC0583-5D25-4A5C-9C1F-0F886FA18104}"/>
    <cellStyle name="Measure Summary - IBM Cognos" xfId="63" xr:uid="{0994F886-5C3E-4E9B-A165-4DA14C043C3B}"/>
    <cellStyle name="Measure Summary TM1 - IBM Cognos" xfId="64" xr:uid="{6898F212-E9F3-4EB2-B9BA-1F51E0CFEC2C}"/>
    <cellStyle name="Measure Template - IBM Cognos" xfId="65" xr:uid="{58F2BA50-C390-48E1-928C-A86976D740D7}"/>
    <cellStyle name="More - IBM Cognos" xfId="66" xr:uid="{D61A3AC2-587B-4A8F-9635-64FB5DE6549D}"/>
    <cellStyle name="Normal" xfId="0" builtinId="0" customBuiltin="1"/>
    <cellStyle name="Pending Change - IBM Cognos" xfId="67" xr:uid="{837253EB-D830-48EE-AEFA-966A5D155578}"/>
    <cellStyle name="Row Name - IBM Cognos" xfId="68" xr:uid="{29B81402-28D0-4B70-96E2-A74E0C408C7E}"/>
    <cellStyle name="Row Template - IBM Cognos" xfId="69" xr:uid="{5AC51B11-BC90-4DBC-B540-4B2BB27BE518}"/>
    <cellStyle name="Summary Column Name - IBM Cognos" xfId="70" xr:uid="{F40D112A-9829-4D63-B5EE-7658CCF8F0DF}"/>
    <cellStyle name="Summary Column Name TM1 - IBM Cognos" xfId="71" xr:uid="{59C5D146-B3C2-4118-BD01-CFB091409BA0}"/>
    <cellStyle name="Summary Row Name - IBM Cognos" xfId="72" xr:uid="{3EC52BED-F6F5-42C4-BFEB-B6A8BEB577D7}"/>
    <cellStyle name="Summary Row Name TM1 - IBM Cognos" xfId="73" xr:uid="{FA01FBC8-2D70-411D-96E8-5FD68B851EBC}"/>
    <cellStyle name="Unsaved Change - IBM Cognos" xfId="74" xr:uid="{9E91240D-0EC5-41D8-950C-C45801ACBFA8}"/>
  </cellStyles>
  <dxfs count="0"/>
  <tableStyles count="0" defaultTableStyle="TableStyleMedium2" defaultPivotStyle="PivotStyleLight16"/>
  <colors>
    <mruColors>
      <color rgb="FFE7F2F9"/>
      <color rgb="FF226086"/>
      <color rgb="FF184058"/>
      <color rgb="FFE5F4FA"/>
      <color rgb="FF00283E"/>
      <color rgb="FF9EDAE0"/>
      <color rgb="FF61C6C6"/>
      <color rgb="FF1F847D"/>
      <color rgb="FF818385"/>
      <color rgb="FF0056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6.wdp"/><Relationship Id="rId3" Type="http://schemas.microsoft.com/office/2007/relationships/hdphoto" Target="../media/hdphoto1.wdp"/><Relationship Id="rId7" Type="http://schemas.microsoft.com/office/2007/relationships/hdphoto" Target="../media/hdphoto3.wdp"/><Relationship Id="rId12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microsoft.com/office/2007/relationships/hdphoto" Target="../media/hdphoto7.wdp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microsoft.com/office/2007/relationships/hdphoto" Target="../media/hdphoto5.wdp"/><Relationship Id="rId5" Type="http://schemas.microsoft.com/office/2007/relationships/hdphoto" Target="../media/hdphoto2.wdp"/><Relationship Id="rId15" Type="http://schemas.openxmlformats.org/officeDocument/2006/relationships/image" Target="../media/image8.png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microsoft.com/office/2007/relationships/hdphoto" Target="../media/hdphoto4.wdp"/><Relationship Id="rId14" Type="http://schemas.openxmlformats.org/officeDocument/2006/relationships/hyperlink" Target="https://dochub/div/corporate/businessfunctions/corporatesystemsmanagement/planninganalyticstm1/docs/User%20Guide%20-%20NPP%20Costing%20Tool%20-%2012.8%20Primary%20Contact.doc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153890</xdr:colOff>
      <xdr:row>101</xdr:row>
      <xdr:rowOff>82944</xdr:rowOff>
    </xdr:from>
    <xdr:to>
      <xdr:col>32</xdr:col>
      <xdr:colOff>985927</xdr:colOff>
      <xdr:row>104</xdr:row>
      <xdr:rowOff>1064620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54354" y="18316515"/>
          <a:ext cx="17592862" cy="1580390"/>
        </a:xfrm>
        <a:prstGeom prst="rect">
          <a:avLst/>
        </a:prstGeom>
      </xdr:spPr>
    </xdr:pic>
    <xdr:clientData/>
  </xdr:twoCellAnchor>
  <xdr:twoCellAnchor>
    <xdr:from>
      <xdr:col>11</xdr:col>
      <xdr:colOff>153684</xdr:colOff>
      <xdr:row>101</xdr:row>
      <xdr:rowOff>70750</xdr:rowOff>
    </xdr:from>
    <xdr:to>
      <xdr:col>32</xdr:col>
      <xdr:colOff>983785</xdr:colOff>
      <xdr:row>104</xdr:row>
      <xdr:rowOff>373395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754148" y="18304321"/>
          <a:ext cx="17594101" cy="901360"/>
        </a:xfrm>
        <a:prstGeom prst="rect">
          <a:avLst/>
        </a:prstGeom>
        <a:gradFill flip="none" rotWithShape="1">
          <a:gsLst>
            <a:gs pos="29000">
              <a:srgbClr val="00426A"/>
            </a:gs>
            <a:gs pos="0">
              <a:srgbClr val="00426A">
                <a:alpha val="95000"/>
              </a:srgbClr>
            </a:gs>
            <a:gs pos="100000">
              <a:srgbClr val="00426A">
                <a:alpha val="60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22</xdr:col>
      <xdr:colOff>117878</xdr:colOff>
      <xdr:row>101</xdr:row>
      <xdr:rowOff>142605</xdr:rowOff>
    </xdr:from>
    <xdr:to>
      <xdr:col>25</xdr:col>
      <xdr:colOff>61639</xdr:colOff>
      <xdr:row>102</xdr:row>
      <xdr:rowOff>202625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7AF0B761-2C2D-41C0-85F4-F6B171418D39}"/>
            </a:ext>
          </a:extLst>
        </xdr:cNvPr>
        <xdr:cNvSpPr/>
      </xdr:nvSpPr>
      <xdr:spPr>
        <a:xfrm>
          <a:off x="8233178" y="256905"/>
          <a:ext cx="1610636" cy="298145"/>
        </a:xfrm>
        <a:prstGeom prst="roundRect">
          <a:avLst/>
        </a:prstGeom>
        <a:solidFill>
          <a:schemeClr val="bg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200">
            <a:solidFill>
              <a:schemeClr val="bg1"/>
            </a:solidFill>
            <a:effectLst/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11</xdr:col>
      <xdr:colOff>247253</xdr:colOff>
      <xdr:row>101</xdr:row>
      <xdr:rowOff>149850</xdr:rowOff>
    </xdr:from>
    <xdr:to>
      <xdr:col>19</xdr:col>
      <xdr:colOff>550372</xdr:colOff>
      <xdr:row>104</xdr:row>
      <xdr:rowOff>276395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4847717" y="18383421"/>
          <a:ext cx="6766512" cy="72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AU" sz="220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Submission List</a:t>
          </a:r>
          <a:endParaRPr lang="en-AU" sz="2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18</xdr:col>
      <xdr:colOff>100652</xdr:colOff>
      <xdr:row>102</xdr:row>
      <xdr:rowOff>57321</xdr:rowOff>
    </xdr:from>
    <xdr:to>
      <xdr:col>18</xdr:col>
      <xdr:colOff>100652</xdr:colOff>
      <xdr:row>104</xdr:row>
      <xdr:rowOff>172895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20484152" y="18535821"/>
          <a:ext cx="0" cy="46936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604277</xdr:colOff>
      <xdr:row>102</xdr:row>
      <xdr:rowOff>57321</xdr:rowOff>
    </xdr:from>
    <xdr:to>
      <xdr:col>20</xdr:col>
      <xdr:colOff>604277</xdr:colOff>
      <xdr:row>104</xdr:row>
      <xdr:rowOff>172895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22348491" y="18535821"/>
          <a:ext cx="0" cy="46936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79779</xdr:colOff>
      <xdr:row>103</xdr:row>
      <xdr:rowOff>68239</xdr:rowOff>
    </xdr:from>
    <xdr:to>
      <xdr:col>28</xdr:col>
      <xdr:colOff>377324</xdr:colOff>
      <xdr:row>104</xdr:row>
      <xdr:rowOff>283382</xdr:rowOff>
    </xdr:to>
    <xdr:sp macro="" textlink="tm1MeasureListCAPTION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4490993" y="18791668"/>
          <a:ext cx="1603831" cy="324000"/>
        </a:xfrm>
        <a:prstGeom prst="roundRect">
          <a:avLst/>
        </a:prstGeom>
        <a:solidFill>
          <a:schemeClr val="bg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168C7E0-16E4-4B18-8BB1-673762E351F3}" type="TxLink">
            <a:rPr lang="en-US" sz="1200" b="0" i="0" u="none" strike="noStrike">
              <a:solidFill>
                <a:schemeClr val="bg1"/>
              </a:solidFill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algn="ctr"/>
            <a:t>*KEY_ERR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13</xdr:col>
      <xdr:colOff>383732</xdr:colOff>
      <xdr:row>104</xdr:row>
      <xdr:rowOff>369353</xdr:rowOff>
    </xdr:from>
    <xdr:to>
      <xdr:col>32</xdr:col>
      <xdr:colOff>1899918</xdr:colOff>
      <xdr:row>104</xdr:row>
      <xdr:rowOff>1102188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012382" y="1074203"/>
          <a:ext cx="17622961" cy="732835"/>
        </a:xfrm>
        <a:prstGeom prst="rect">
          <a:avLst/>
        </a:prstGeom>
        <a:gradFill flip="none" rotWithShape="1">
          <a:gsLst>
            <a:gs pos="0">
              <a:schemeClr val="bg1"/>
            </a:gs>
            <a:gs pos="100000">
              <a:schemeClr val="bg1">
                <a:alpha val="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25</xdr:col>
      <xdr:colOff>79779</xdr:colOff>
      <xdr:row>101</xdr:row>
      <xdr:rowOff>180705</xdr:rowOff>
    </xdr:from>
    <xdr:to>
      <xdr:col>28</xdr:col>
      <xdr:colOff>377324</xdr:colOff>
      <xdr:row>103</xdr:row>
      <xdr:rowOff>2600</xdr:rowOff>
    </xdr:to>
    <xdr:sp macro="" textlink="tm1MeasurePkgListCAPTION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4490993" y="18414276"/>
          <a:ext cx="1603831" cy="311753"/>
        </a:xfrm>
        <a:prstGeom prst="roundRect">
          <a:avLst/>
        </a:prstGeom>
        <a:solidFill>
          <a:schemeClr val="bg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7E7186F-4428-4FF2-88D6-0C3DF9C5B278}" type="TxLink">
            <a:rPr lang="en-US" sz="1200" b="0" i="0" u="none" strike="noStrike">
              <a:solidFill>
                <a:schemeClr val="bg1"/>
              </a:solidFill>
              <a:effectLst/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algn="ctr"/>
            <a:t>*KEY_ERR</a:t>
          </a:fld>
          <a:endParaRPr lang="en-AU" sz="1200">
            <a:solidFill>
              <a:schemeClr val="bg1"/>
            </a:solidFill>
            <a:effectLst/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22</xdr:col>
      <xdr:colOff>45597</xdr:colOff>
      <xdr:row>103</xdr:row>
      <xdr:rowOff>59600</xdr:rowOff>
    </xdr:from>
    <xdr:to>
      <xdr:col>24</xdr:col>
      <xdr:colOff>670115</xdr:colOff>
      <xdr:row>104</xdr:row>
      <xdr:rowOff>278825</xdr:rowOff>
    </xdr:to>
    <xdr:sp macro="" textlink="tm1SubListCAPTION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2783133" y="18783029"/>
          <a:ext cx="1617839" cy="328082"/>
        </a:xfrm>
        <a:prstGeom prst="roundRect">
          <a:avLst/>
        </a:prstGeom>
        <a:solidFill>
          <a:schemeClr val="tx1">
            <a:alpha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A8F025C-62AC-4C49-B8E1-4CEBC58D32F7}" type="TxLink">
            <a:rPr lang="en-US" sz="1200" b="0" i="0" u="none" strike="noStrike">
              <a:solidFill>
                <a:schemeClr val="bg1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rPr>
            <a:pPr algn="ctr"/>
            <a:t>*KEY_ERR</a:t>
          </a:fld>
          <a:endParaRPr lang="en-AU" sz="1200" b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28</xdr:col>
      <xdr:colOff>467346</xdr:colOff>
      <xdr:row>101</xdr:row>
      <xdr:rowOff>180705</xdr:rowOff>
    </xdr:from>
    <xdr:to>
      <xdr:col>29</xdr:col>
      <xdr:colOff>613853</xdr:colOff>
      <xdr:row>103</xdr:row>
      <xdr:rowOff>2600</xdr:rowOff>
    </xdr:to>
    <xdr:sp macro="" textlink="tm1NPPPkgListCAPTION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6184846" y="18414276"/>
          <a:ext cx="1602471" cy="311753"/>
        </a:xfrm>
        <a:prstGeom prst="roundRect">
          <a:avLst/>
        </a:prstGeom>
        <a:solidFill>
          <a:schemeClr val="bg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D0DFCB7-1EF9-40E6-A34E-8B1B170340B1}" type="TxLink">
            <a:rPr lang="en-US" sz="1200" b="0" i="0" u="none" strike="noStrike">
              <a:solidFill>
                <a:schemeClr val="bg1"/>
              </a:solidFill>
              <a:effectLst/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*KEY_ERR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28</xdr:col>
      <xdr:colOff>467346</xdr:colOff>
      <xdr:row>103</xdr:row>
      <xdr:rowOff>68239</xdr:rowOff>
    </xdr:from>
    <xdr:to>
      <xdr:col>29</xdr:col>
      <xdr:colOff>613853</xdr:colOff>
      <xdr:row>104</xdr:row>
      <xdr:rowOff>283382</xdr:rowOff>
    </xdr:to>
    <xdr:sp macro="" textlink="tm1NPPListCAPTION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6184846" y="18791668"/>
          <a:ext cx="1602471" cy="324000"/>
        </a:xfrm>
        <a:prstGeom prst="roundRect">
          <a:avLst/>
        </a:prstGeom>
        <a:solidFill>
          <a:schemeClr val="bg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13E33D0-1A7C-479E-810C-43A7159D2D57}" type="TxLink">
            <a:rPr lang="en-US" sz="1200" b="0" i="0" u="none" strike="noStrike">
              <a:solidFill>
                <a:schemeClr val="bg1"/>
              </a:solidFill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algn="ctr"/>
            <a:t>*KEY_ERR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12</xdr:col>
      <xdr:colOff>3097</xdr:colOff>
      <xdr:row>104</xdr:row>
      <xdr:rowOff>465948</xdr:rowOff>
    </xdr:from>
    <xdr:to>
      <xdr:col>13</xdr:col>
      <xdr:colOff>1127971</xdr:colOff>
      <xdr:row>104</xdr:row>
      <xdr:rowOff>806277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4916526" y="19298234"/>
          <a:ext cx="1437838" cy="340329"/>
        </a:xfrm>
        <a:prstGeom prst="roundRect">
          <a:avLst/>
        </a:prstGeom>
        <a:solidFill>
          <a:srgbClr val="3E6D76">
            <a:alpha val="90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latin typeface="Segoe UI Light" panose="020B0502040204020203" pitchFamily="34" charset="0"/>
              <a:cs typeface="Segoe UI Light" panose="020B0502040204020203" pitchFamily="34" charset="0"/>
            </a:rPr>
            <a:t>Validate</a:t>
          </a:r>
        </a:p>
      </xdr:txBody>
    </xdr:sp>
    <xdr:clientData/>
  </xdr:twoCellAnchor>
  <xdr:twoCellAnchor>
    <xdr:from>
      <xdr:col>11</xdr:col>
      <xdr:colOff>311444</xdr:colOff>
      <xdr:row>104</xdr:row>
      <xdr:rowOff>844588</xdr:rowOff>
    </xdr:from>
    <xdr:to>
      <xdr:col>32</xdr:col>
      <xdr:colOff>982468</xdr:colOff>
      <xdr:row>104</xdr:row>
      <xdr:rowOff>862588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4911908" y="19676874"/>
          <a:ext cx="17435024" cy="18000"/>
        </a:xfrm>
        <a:prstGeom prst="rect">
          <a:avLst/>
        </a:prstGeom>
        <a:gradFill>
          <a:gsLst>
            <a:gs pos="0">
              <a:srgbClr val="173D55"/>
            </a:gs>
            <a:gs pos="100000">
              <a:srgbClr val="1F5577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1191016</xdr:colOff>
      <xdr:row>104</xdr:row>
      <xdr:rowOff>465948</xdr:rowOff>
    </xdr:from>
    <xdr:to>
      <xdr:col>14</xdr:col>
      <xdr:colOff>843199</xdr:colOff>
      <xdr:row>104</xdr:row>
      <xdr:rowOff>806277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6417409" y="19298234"/>
          <a:ext cx="1421111" cy="340329"/>
        </a:xfrm>
        <a:prstGeom prst="roundRect">
          <a:avLst/>
        </a:prstGeom>
        <a:solidFill>
          <a:srgbClr val="3E6D76">
            <a:alpha val="90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latin typeface="Segoe UI Light" panose="020B0502040204020203" pitchFamily="34" charset="0"/>
              <a:cs typeface="Segoe UI Light" panose="020B0502040204020203" pitchFamily="34" charset="0"/>
            </a:rPr>
            <a:t>Create</a:t>
          </a:r>
        </a:p>
      </xdr:txBody>
    </xdr:sp>
    <xdr:clientData/>
  </xdr:twoCellAnchor>
  <xdr:twoCellAnchor>
    <xdr:from>
      <xdr:col>14</xdr:col>
      <xdr:colOff>910326</xdr:colOff>
      <xdr:row>104</xdr:row>
      <xdr:rowOff>465948</xdr:rowOff>
    </xdr:from>
    <xdr:to>
      <xdr:col>16</xdr:col>
      <xdr:colOff>322061</xdr:colOff>
      <xdr:row>104</xdr:row>
      <xdr:rowOff>806277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7905647" y="19298234"/>
          <a:ext cx="1439200" cy="340329"/>
        </a:xfrm>
        <a:prstGeom prst="roundRect">
          <a:avLst/>
        </a:prstGeom>
        <a:solidFill>
          <a:srgbClr val="3E6D76">
            <a:alpha val="90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latin typeface="Segoe UI Light" panose="020B0502040204020203" pitchFamily="34" charset="0"/>
              <a:cs typeface="Segoe UI Light" panose="020B0502040204020203" pitchFamily="34" charset="0"/>
            </a:rPr>
            <a:t>Refresh</a:t>
          </a:r>
        </a:p>
      </xdr:txBody>
    </xdr:sp>
    <xdr:clientData/>
  </xdr:twoCellAnchor>
  <xdr:twoCellAnchor>
    <xdr:from>
      <xdr:col>16</xdr:col>
      <xdr:colOff>385106</xdr:colOff>
      <xdr:row>104</xdr:row>
      <xdr:rowOff>465948</xdr:rowOff>
    </xdr:from>
    <xdr:to>
      <xdr:col>18</xdr:col>
      <xdr:colOff>463591</xdr:colOff>
      <xdr:row>104</xdr:row>
      <xdr:rowOff>806277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9407892" y="19298234"/>
          <a:ext cx="1439199" cy="340329"/>
        </a:xfrm>
        <a:prstGeom prst="roundRect">
          <a:avLst/>
        </a:prstGeom>
        <a:solidFill>
          <a:srgbClr val="3E6D76">
            <a:alpha val="90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latin typeface="Segoe UI Light" panose="020B0502040204020203" pitchFamily="34" charset="0"/>
              <a:cs typeface="Segoe UI Light" panose="020B0502040204020203" pitchFamily="34" charset="0"/>
            </a:rPr>
            <a:t>Update</a:t>
          </a:r>
        </a:p>
      </xdr:txBody>
    </xdr:sp>
    <xdr:clientData/>
  </xdr:twoCellAnchor>
  <xdr:twoCellAnchor editAs="oneCell">
    <xdr:from>
      <xdr:col>12</xdr:col>
      <xdr:colOff>81924</xdr:colOff>
      <xdr:row>104</xdr:row>
      <xdr:rowOff>542223</xdr:rowOff>
    </xdr:from>
    <xdr:to>
      <xdr:col>12</xdr:col>
      <xdr:colOff>302637</xdr:colOff>
      <xdr:row>104</xdr:row>
      <xdr:rowOff>758630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95353" y="19374509"/>
          <a:ext cx="220713" cy="213232"/>
        </a:xfrm>
        <a:prstGeom prst="rect">
          <a:avLst/>
        </a:prstGeom>
      </xdr:spPr>
    </xdr:pic>
    <xdr:clientData/>
  </xdr:twoCellAnchor>
  <xdr:twoCellAnchor editAs="oneCell">
    <xdr:from>
      <xdr:col>13</xdr:col>
      <xdr:colOff>1281273</xdr:colOff>
      <xdr:row>104</xdr:row>
      <xdr:rowOff>555317</xdr:rowOff>
    </xdr:from>
    <xdr:to>
      <xdr:col>13</xdr:col>
      <xdr:colOff>1482886</xdr:colOff>
      <xdr:row>104</xdr:row>
      <xdr:rowOff>742362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07666" y="19387603"/>
          <a:ext cx="192088" cy="187045"/>
        </a:xfrm>
        <a:prstGeom prst="rect">
          <a:avLst/>
        </a:prstGeom>
      </xdr:spPr>
    </xdr:pic>
    <xdr:clientData/>
  </xdr:twoCellAnchor>
  <xdr:twoCellAnchor editAs="oneCell">
    <xdr:from>
      <xdr:col>14</xdr:col>
      <xdr:colOff>1040587</xdr:colOff>
      <xdr:row>104</xdr:row>
      <xdr:rowOff>563006</xdr:rowOff>
    </xdr:from>
    <xdr:to>
      <xdr:col>14</xdr:col>
      <xdr:colOff>1215428</xdr:colOff>
      <xdr:row>104</xdr:row>
      <xdr:rowOff>725147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35908" y="19395292"/>
          <a:ext cx="171666" cy="162141"/>
        </a:xfrm>
        <a:prstGeom prst="rect">
          <a:avLst/>
        </a:prstGeom>
      </xdr:spPr>
    </xdr:pic>
    <xdr:clientData/>
  </xdr:twoCellAnchor>
  <xdr:twoCellAnchor editAs="oneCell">
    <xdr:from>
      <xdr:col>16</xdr:col>
      <xdr:colOff>507748</xdr:colOff>
      <xdr:row>104</xdr:row>
      <xdr:rowOff>544792</xdr:rowOff>
    </xdr:from>
    <xdr:to>
      <xdr:col>17</xdr:col>
      <xdr:colOff>34177</xdr:colOff>
      <xdr:row>104</xdr:row>
      <xdr:rowOff>759237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30534" y="19377078"/>
          <a:ext cx="203612" cy="208095"/>
        </a:xfrm>
        <a:prstGeom prst="rect">
          <a:avLst/>
        </a:prstGeom>
      </xdr:spPr>
    </xdr:pic>
    <xdr:clientData/>
  </xdr:twoCellAnchor>
  <xdr:twoCellAnchor editAs="oneCell">
    <xdr:from>
      <xdr:col>18</xdr:col>
      <xdr:colOff>430657</xdr:colOff>
      <xdr:row>102</xdr:row>
      <xdr:rowOff>154286</xdr:rowOff>
    </xdr:from>
    <xdr:to>
      <xdr:col>18</xdr:col>
      <xdr:colOff>665605</xdr:colOff>
      <xdr:row>104</xdr:row>
      <xdr:rowOff>53676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colorTemperature colorTemp="11500"/>
                  </a14:imgEffect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4157" y="18632786"/>
          <a:ext cx="234948" cy="246825"/>
        </a:xfrm>
        <a:prstGeom prst="rect">
          <a:avLst/>
        </a:prstGeom>
      </xdr:spPr>
    </xdr:pic>
    <xdr:clientData/>
  </xdr:twoCellAnchor>
  <xdr:twoCellAnchor editAs="oneCell">
    <xdr:from>
      <xdr:col>19</xdr:col>
      <xdr:colOff>225929</xdr:colOff>
      <xdr:row>102</xdr:row>
      <xdr:rowOff>158001</xdr:rowOff>
    </xdr:from>
    <xdr:to>
      <xdr:col>19</xdr:col>
      <xdr:colOff>473877</xdr:colOff>
      <xdr:row>104</xdr:row>
      <xdr:rowOff>57692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89786" y="18636501"/>
          <a:ext cx="241598" cy="253476"/>
        </a:xfrm>
        <a:prstGeom prst="rect">
          <a:avLst/>
        </a:prstGeom>
      </xdr:spPr>
    </xdr:pic>
    <xdr:clientData/>
  </xdr:twoCellAnchor>
  <xdr:twoCellAnchor editAs="oneCell">
    <xdr:from>
      <xdr:col>20</xdr:col>
      <xdr:colOff>22409</xdr:colOff>
      <xdr:row>102</xdr:row>
      <xdr:rowOff>153013</xdr:rowOff>
    </xdr:from>
    <xdr:to>
      <xdr:col>20</xdr:col>
      <xdr:colOff>281779</xdr:colOff>
      <xdr:row>104</xdr:row>
      <xdr:rowOff>72205</xdr:rowOff>
    </xdr:to>
    <xdr:pic>
      <xdr:nvPicPr>
        <xdr:cNvPr id="30" name="Picture 2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66623" y="18631513"/>
          <a:ext cx="259370" cy="263452"/>
        </a:xfrm>
        <a:prstGeom prst="rect">
          <a:avLst/>
        </a:prstGeom>
      </xdr:spPr>
    </xdr:pic>
    <xdr:clientData/>
  </xdr:twoCellAnchor>
  <xdr:twoCellAnchor>
    <xdr:from>
      <xdr:col>14</xdr:col>
      <xdr:colOff>660803</xdr:colOff>
      <xdr:row>101</xdr:row>
      <xdr:rowOff>237855</xdr:rowOff>
    </xdr:from>
    <xdr:to>
      <xdr:col>16</xdr:col>
      <xdr:colOff>242614</xdr:colOff>
      <xdr:row>103</xdr:row>
      <xdr:rowOff>59750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051578" y="352155"/>
          <a:ext cx="1610636" cy="298145"/>
        </a:xfrm>
        <a:prstGeom prst="roundRect">
          <a:avLst/>
        </a:prstGeom>
        <a:solidFill>
          <a:schemeClr val="bg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effectLst/>
              <a:latin typeface="Segoe UI Light" panose="020B0502040204020203" pitchFamily="34" charset="0"/>
              <a:cs typeface="Segoe UI Light" panose="020B0502040204020203" pitchFamily="34" charset="0"/>
            </a:rPr>
            <a:t>*KEY_ERR</a:t>
          </a:r>
        </a:p>
      </xdr:txBody>
    </xdr:sp>
    <xdr:clientData/>
  </xdr:twoCellAnchor>
  <xdr:twoCellAnchor>
    <xdr:from>
      <xdr:col>29</xdr:col>
      <xdr:colOff>693225</xdr:colOff>
      <xdr:row>101</xdr:row>
      <xdr:rowOff>185262</xdr:rowOff>
    </xdr:from>
    <xdr:to>
      <xdr:col>30</xdr:col>
      <xdr:colOff>792107</xdr:colOff>
      <xdr:row>103</xdr:row>
      <xdr:rowOff>16682</xdr:rowOff>
    </xdr:to>
    <xdr:sp macro="" textlink="tm1CostingPkgListCAPTION">
      <xdr:nvSpPr>
        <xdr:cNvPr id="32" name="Rectangle: Rounded Corners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27866689" y="18418833"/>
          <a:ext cx="1609275" cy="321278"/>
        </a:xfrm>
        <a:prstGeom prst="roundRect">
          <a:avLst/>
        </a:prstGeom>
        <a:solidFill>
          <a:schemeClr val="bg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799CD27-79BA-4D6D-B6AC-27F84EEF7E30}" type="TxLink">
            <a:rPr lang="en-US" sz="1200" b="0" i="0" u="none" strike="noStrike">
              <a:solidFill>
                <a:schemeClr val="bg1"/>
              </a:solidFill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algn="ctr"/>
            <a:t>*KEY_ERR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12</xdr:col>
      <xdr:colOff>9525</xdr:colOff>
      <xdr:row>104</xdr:row>
      <xdr:rowOff>485775</xdr:rowOff>
    </xdr:from>
    <xdr:to>
      <xdr:col>13</xdr:col>
      <xdr:colOff>1104900</xdr:colOff>
      <xdr:row>104</xdr:row>
      <xdr:rowOff>752475</xdr:rowOff>
    </xdr:to>
    <xdr:sp macro="Sheet1.ExecuteAction_0887a2cb_2a96_48cf_a237_dbdaf4ad4e97" textlink="">
      <xdr:nvSpPr>
        <xdr:cNvPr id="2" name="TM1Button_0887a2cb_2a96_48cf_a237_dbdaf4ad4e97">
          <a:extLst>
            <a:ext uri="{FF2B5EF4-FFF2-40B4-BE49-F238E27FC236}">
              <a16:creationId xmlns:a16="http://schemas.microsoft.com/office/drawing/2014/main" id="{0E41D5E7-82B1-E9FF-0159-46BFF436B9EE}"/>
            </a:ext>
          </a:extLst>
        </xdr:cNvPr>
        <xdr:cNvSpPr txBox="1"/>
      </xdr:nvSpPr>
      <xdr:spPr>
        <a:xfrm>
          <a:off x="323850" y="1190625"/>
          <a:ext cx="1409700" cy="266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00" b="0" i="0" u="words" strike="noStrike">
              <a:solidFill>
                <a:srgbClr val="0000FF"/>
              </a:solidFill>
              <a:latin typeface="Arial" panose="020B0604020202020204" pitchFamily="34" charset="0"/>
            </a:rPr>
            <a:t>CVsys_Master List Validations</a:t>
          </a:r>
        </a:p>
      </xdr:txBody>
    </xdr:sp>
    <xdr:clientData/>
  </xdr:twoCellAnchor>
  <xdr:twoCellAnchor editAs="oneCell">
    <xdr:from>
      <xdr:col>28</xdr:col>
      <xdr:colOff>552450</xdr:colOff>
      <xdr:row>102</xdr:row>
      <xdr:rowOff>9525</xdr:rowOff>
    </xdr:from>
    <xdr:to>
      <xdr:col>29</xdr:col>
      <xdr:colOff>504825</xdr:colOff>
      <xdr:row>103</xdr:row>
      <xdr:rowOff>38100</xdr:rowOff>
    </xdr:to>
    <xdr:sp macro="Sheet1.ExecuteAction_67d0c85a_7fc5_4664_961e_3b48cbd23a0c" textlink="">
      <xdr:nvSpPr>
        <xdr:cNvPr id="4" name="TM1Button_67d0c85a_7fc5_4664_961e_3b48cbd23a0c">
          <a:extLst>
            <a:ext uri="{FF2B5EF4-FFF2-40B4-BE49-F238E27FC236}">
              <a16:creationId xmlns:a16="http://schemas.microsoft.com/office/drawing/2014/main" id="{3FBEE8D3-A38F-CB6D-9D77-AF7FC11AA8BD}"/>
            </a:ext>
          </a:extLst>
        </xdr:cNvPr>
        <xdr:cNvSpPr txBox="1"/>
      </xdr:nvSpPr>
      <xdr:spPr>
        <a:xfrm>
          <a:off x="11639550" y="361950"/>
          <a:ext cx="1409700" cy="266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CVtm1NPPPkgListBOOK</a:t>
          </a:r>
        </a:p>
      </xdr:txBody>
    </xdr:sp>
    <xdr:clientData/>
  </xdr:twoCellAnchor>
  <xdr:twoCellAnchor editAs="oneCell">
    <xdr:from>
      <xdr:col>28</xdr:col>
      <xdr:colOff>552450</xdr:colOff>
      <xdr:row>104</xdr:row>
      <xdr:rowOff>0</xdr:rowOff>
    </xdr:from>
    <xdr:to>
      <xdr:col>29</xdr:col>
      <xdr:colOff>533400</xdr:colOff>
      <xdr:row>104</xdr:row>
      <xdr:rowOff>304800</xdr:rowOff>
    </xdr:to>
    <xdr:sp macro="Sheet1.ExecuteAction_ee3d7204_3e57_4609_bde0_26b8d44441b1" textlink="">
      <xdr:nvSpPr>
        <xdr:cNvPr id="10" name="TM1Button_ee3d7204_3e57_4609_bde0_26b8d44441b1">
          <a:extLst>
            <a:ext uri="{FF2B5EF4-FFF2-40B4-BE49-F238E27FC236}">
              <a16:creationId xmlns:a16="http://schemas.microsoft.com/office/drawing/2014/main" id="{9E11D109-1AB3-6E31-FC0D-F19AC306D059}"/>
            </a:ext>
          </a:extLst>
        </xdr:cNvPr>
        <xdr:cNvSpPr txBox="1"/>
      </xdr:nvSpPr>
      <xdr:spPr>
        <a:xfrm>
          <a:off x="11639550" y="704850"/>
          <a:ext cx="143827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CVtm1NPPListBOOK</a:t>
          </a:r>
        </a:p>
      </xdr:txBody>
    </xdr:sp>
    <xdr:clientData/>
  </xdr:twoCellAnchor>
  <xdr:twoCellAnchor editAs="oneCell">
    <xdr:from>
      <xdr:col>29</xdr:col>
      <xdr:colOff>742950</xdr:colOff>
      <xdr:row>101</xdr:row>
      <xdr:rowOff>228600</xdr:rowOff>
    </xdr:from>
    <xdr:to>
      <xdr:col>30</xdr:col>
      <xdr:colOff>733425</xdr:colOff>
      <xdr:row>103</xdr:row>
      <xdr:rowOff>19050</xdr:rowOff>
    </xdr:to>
    <xdr:sp macro="Sheet1.ExecuteAction_253e75a2_fbcc_4d3c_a0ed_b92800e7d52e" textlink="">
      <xdr:nvSpPr>
        <xdr:cNvPr id="21" name="TM1Button_253e75a2_fbcc_4d3c_a0ed_b92800e7d52e">
          <a:extLst>
            <a:ext uri="{FF2B5EF4-FFF2-40B4-BE49-F238E27FC236}">
              <a16:creationId xmlns:a16="http://schemas.microsoft.com/office/drawing/2014/main" id="{22133B52-82E5-F77E-A245-248CA2A64167}"/>
            </a:ext>
          </a:extLst>
        </xdr:cNvPr>
        <xdr:cNvSpPr txBox="1"/>
      </xdr:nvSpPr>
      <xdr:spPr>
        <a:xfrm>
          <a:off x="13287375" y="342900"/>
          <a:ext cx="1504950" cy="266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CVtm1CostingPkgListBOOK</a:t>
          </a:r>
        </a:p>
      </xdr:txBody>
    </xdr:sp>
    <xdr:clientData/>
  </xdr:twoCellAnchor>
  <xdr:twoCellAnchor editAs="oneCell">
    <xdr:from>
      <xdr:col>19</xdr:col>
      <xdr:colOff>142875</xdr:colOff>
      <xdr:row>101</xdr:row>
      <xdr:rowOff>104775</xdr:rowOff>
    </xdr:from>
    <xdr:to>
      <xdr:col>20</xdr:col>
      <xdr:colOff>628650</xdr:colOff>
      <xdr:row>104</xdr:row>
      <xdr:rowOff>276225</xdr:rowOff>
    </xdr:to>
    <xdr:sp macro="Sheet1.ExecuteAction_160886c3_cf53_4966_9d0b_928aabac70d2" textlink="">
      <xdr:nvSpPr>
        <xdr:cNvPr id="22" name="TM1Button_160886c3_cf53_4966_9d0b_928aabac70d2">
          <a:extLst>
            <a:ext uri="{FF2B5EF4-FFF2-40B4-BE49-F238E27FC236}">
              <a16:creationId xmlns:a16="http://schemas.microsoft.com/office/drawing/2014/main" id="{813A6F25-2B7B-3848-CCA5-FABEC4107B43}"/>
            </a:ext>
          </a:extLst>
        </xdr:cNvPr>
        <xdr:cNvSpPr txBox="1"/>
      </xdr:nvSpPr>
      <xdr:spPr>
        <a:xfrm>
          <a:off x="6591300" y="219075"/>
          <a:ext cx="1162050" cy="762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0" i="0" u="words" strike="noStrike">
              <a:solidFill>
                <a:srgbClr val="0000FF"/>
              </a:solidFill>
              <a:latin typeface="Arial" panose="020B0604020202020204" pitchFamily="34" charset="0"/>
            </a:rPr>
            <a:t>CVtm1_PrevWB</a:t>
          </a:r>
        </a:p>
      </xdr:txBody>
    </xdr:sp>
    <xdr:clientData/>
  </xdr:twoCellAnchor>
  <xdr:twoCellAnchor editAs="oneCell">
    <xdr:from>
      <xdr:col>13</xdr:col>
      <xdr:colOff>1171575</xdr:colOff>
      <xdr:row>104</xdr:row>
      <xdr:rowOff>457200</xdr:rowOff>
    </xdr:from>
    <xdr:to>
      <xdr:col>14</xdr:col>
      <xdr:colOff>866775</xdr:colOff>
      <xdr:row>104</xdr:row>
      <xdr:rowOff>752475</xdr:rowOff>
    </xdr:to>
    <xdr:sp macro="Sheet1.ExecuteAction_c0cd0ea4_3bbd_4d96_b982_0afeba693f5e" textlink="">
      <xdr:nvSpPr>
        <xdr:cNvPr id="27" name="TM1Button_c0cd0ea4_3bbd_4d96_b982_0afeba693f5e">
          <a:extLst>
            <a:ext uri="{FF2B5EF4-FFF2-40B4-BE49-F238E27FC236}">
              <a16:creationId xmlns:a16="http://schemas.microsoft.com/office/drawing/2014/main" id="{0EDB7E58-6326-BFA5-4F61-74C394FFA1F3}"/>
            </a:ext>
          </a:extLst>
        </xdr:cNvPr>
        <xdr:cNvSpPr txBox="1"/>
      </xdr:nvSpPr>
      <xdr:spPr>
        <a:xfrm>
          <a:off x="1800225" y="1162050"/>
          <a:ext cx="1457325" cy="2952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00" b="0" i="0" u="words" strike="noStrike">
              <a:solidFill>
                <a:srgbClr val="0000FF"/>
              </a:solidFill>
              <a:latin typeface="Arial" panose="020B0604020202020204" pitchFamily="34" charset="0"/>
            </a:rPr>
            <a:t>CVsys_Create New Costing ID Parent</a:t>
          </a:r>
        </a:p>
      </xdr:txBody>
    </xdr:sp>
    <xdr:clientData/>
  </xdr:twoCellAnchor>
  <xdr:twoCellAnchor editAs="oneCell">
    <xdr:from>
      <xdr:col>16</xdr:col>
      <xdr:colOff>542925</xdr:colOff>
      <xdr:row>104</xdr:row>
      <xdr:rowOff>476250</xdr:rowOff>
    </xdr:from>
    <xdr:to>
      <xdr:col>18</xdr:col>
      <xdr:colOff>285750</xdr:colOff>
      <xdr:row>104</xdr:row>
      <xdr:rowOff>781050</xdr:rowOff>
    </xdr:to>
    <xdr:sp macro="Sheet1.ExecuteAction_f4952335_2de4_44b2_ba0f_f15edc8f76c6" textlink="">
      <xdr:nvSpPr>
        <xdr:cNvPr id="33" name="TM1Button_f4952335_2de4_44b2_ba0f_f15edc8f76c6">
          <a:extLst>
            <a:ext uri="{FF2B5EF4-FFF2-40B4-BE49-F238E27FC236}">
              <a16:creationId xmlns:a16="http://schemas.microsoft.com/office/drawing/2014/main" id="{2DEAD679-607E-A2A3-EA84-8D367D42B739}"/>
            </a:ext>
          </a:extLst>
        </xdr:cNvPr>
        <xdr:cNvSpPr txBox="1"/>
      </xdr:nvSpPr>
      <xdr:spPr>
        <a:xfrm>
          <a:off x="4962525" y="1181100"/>
          <a:ext cx="109537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00" b="0" i="0" u="words" strike="noStrike">
              <a:solidFill>
                <a:srgbClr val="0000FF"/>
              </a:solidFill>
              <a:latin typeface="Arial" panose="020B0604020202020204" pitchFamily="34" charset="0"/>
            </a:rPr>
            <a:t>CVsys_Costing ID Hierarchy Management</a:t>
          </a:r>
        </a:p>
      </xdr:txBody>
    </xdr:sp>
    <xdr:clientData/>
  </xdr:twoCellAnchor>
  <xdr:twoCellAnchor editAs="oneCell">
    <xdr:from>
      <xdr:col>14</xdr:col>
      <xdr:colOff>971550</xdr:colOff>
      <xdr:row>104</xdr:row>
      <xdr:rowOff>495300</xdr:rowOff>
    </xdr:from>
    <xdr:to>
      <xdr:col>16</xdr:col>
      <xdr:colOff>295275</xdr:colOff>
      <xdr:row>104</xdr:row>
      <xdr:rowOff>771525</xdr:rowOff>
    </xdr:to>
    <xdr:sp macro="Sheet1.ExecuteAction_a34ecdae_582d_47eb_8a15_729e0fe387db" textlink="">
      <xdr:nvSpPr>
        <xdr:cNvPr id="34" name="TM1Button_a34ecdae_582d_47eb_8a15_729e0fe387db">
          <a:extLst>
            <a:ext uri="{FF2B5EF4-FFF2-40B4-BE49-F238E27FC236}">
              <a16:creationId xmlns:a16="http://schemas.microsoft.com/office/drawing/2014/main" id="{FABAC262-C9C8-059A-5D2C-A132072DC11C}"/>
            </a:ext>
          </a:extLst>
        </xdr:cNvPr>
        <xdr:cNvSpPr txBox="1"/>
      </xdr:nvSpPr>
      <xdr:spPr>
        <a:xfrm>
          <a:off x="3362325" y="1200150"/>
          <a:ext cx="1352550" cy="2762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00" b="0" i="0" u="words" strike="noStrike">
              <a:solidFill>
                <a:srgbClr val="0000FF"/>
              </a:solidFill>
              <a:latin typeface="Arial" panose="020B060402020202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66675</xdr:colOff>
      <xdr:row>102</xdr:row>
      <xdr:rowOff>9525</xdr:rowOff>
    </xdr:from>
    <xdr:to>
      <xdr:col>18</xdr:col>
      <xdr:colOff>504825</xdr:colOff>
      <xdr:row>104</xdr:row>
      <xdr:rowOff>85725</xdr:rowOff>
    </xdr:to>
    <xdr:sp macro="Sheet1.ExecuteAction_0b8f532d_ced1_4f8c_9fad_f8dcac0ccd06" textlink="">
      <xdr:nvSpPr>
        <xdr:cNvPr id="35" name="TM1Button_0b8f532d_ced1_4f8c_9fad_f8dcac0ccd06">
          <a:extLst>
            <a:ext uri="{FF2B5EF4-FFF2-40B4-BE49-F238E27FC236}">
              <a16:creationId xmlns:a16="http://schemas.microsoft.com/office/drawing/2014/main" id="{9E28586C-F3B7-044C-EED1-C211E4ABBFC3}"/>
            </a:ext>
          </a:extLst>
        </xdr:cNvPr>
        <xdr:cNvSpPr txBox="1"/>
      </xdr:nvSpPr>
      <xdr:spPr>
        <a:xfrm>
          <a:off x="5162550" y="361950"/>
          <a:ext cx="1114425" cy="4286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0" i="0" u="words" strike="noStrike">
              <a:solidFill>
                <a:srgbClr val="0000FF"/>
              </a:solidFill>
              <a:latin typeface="Arial" panose="020B0604020202020204" pitchFamily="34" charset="0"/>
            </a:rPr>
            <a:t>CVtm1MainMenuBOOK</a:t>
          </a:r>
        </a:p>
      </xdr:txBody>
    </xdr:sp>
    <xdr:clientData/>
  </xdr:twoCellAnchor>
  <xdr:twoCellAnchor editAs="oneCell">
    <xdr:from>
      <xdr:col>25</xdr:col>
      <xdr:colOff>180975</xdr:colOff>
      <xdr:row>101</xdr:row>
      <xdr:rowOff>228600</xdr:rowOff>
    </xdr:from>
    <xdr:to>
      <xdr:col>28</xdr:col>
      <xdr:colOff>276225</xdr:colOff>
      <xdr:row>103</xdr:row>
      <xdr:rowOff>19050</xdr:rowOff>
    </xdr:to>
    <xdr:sp macro="Sheet1.ExecuteAction_df2e584c_ea57_41eb_8648_1970b83b563d" textlink="">
      <xdr:nvSpPr>
        <xdr:cNvPr id="36" name="TM1Button_df2e584c_ea57_41eb_8648_1970b83b563d">
          <a:extLst>
            <a:ext uri="{FF2B5EF4-FFF2-40B4-BE49-F238E27FC236}">
              <a16:creationId xmlns:a16="http://schemas.microsoft.com/office/drawing/2014/main" id="{EB2E5082-19B2-94F6-3E7E-D648F05B8BD6}"/>
            </a:ext>
          </a:extLst>
        </xdr:cNvPr>
        <xdr:cNvSpPr txBox="1"/>
      </xdr:nvSpPr>
      <xdr:spPr>
        <a:xfrm>
          <a:off x="9963150" y="342900"/>
          <a:ext cx="1400175" cy="266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CVtm1MeasurePkgListBOOK</a:t>
          </a:r>
        </a:p>
      </xdr:txBody>
    </xdr:sp>
    <xdr:clientData/>
  </xdr:twoCellAnchor>
  <xdr:twoCellAnchor editAs="oneCell">
    <xdr:from>
      <xdr:col>18</xdr:col>
      <xdr:colOff>295275</xdr:colOff>
      <xdr:row>109</xdr:row>
      <xdr:rowOff>266700</xdr:rowOff>
    </xdr:from>
    <xdr:to>
      <xdr:col>20</xdr:col>
      <xdr:colOff>485775</xdr:colOff>
      <xdr:row>110</xdr:row>
      <xdr:rowOff>219075</xdr:rowOff>
    </xdr:to>
    <xdr:sp macro="Sheet1.ExecuteAction_b9e4b053_6e27_4586_97d4_75b19c2252c4" textlink="">
      <xdr:nvSpPr>
        <xdr:cNvPr id="37" name="TM1Button_b9e4b053_6e27_4586_97d4_75b19c2252c4">
          <a:extLst>
            <a:ext uri="{FF2B5EF4-FFF2-40B4-BE49-F238E27FC236}">
              <a16:creationId xmlns:a16="http://schemas.microsoft.com/office/drawing/2014/main" id="{16F2A1FF-97D9-C671-E89A-DC02195AD415}"/>
            </a:ext>
          </a:extLst>
        </xdr:cNvPr>
        <xdr:cNvSpPr txBox="1"/>
      </xdr:nvSpPr>
      <xdr:spPr>
        <a:xfrm>
          <a:off x="6067425" y="2533650"/>
          <a:ext cx="1543050" cy="266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words" strike="noStrike">
            <a:solidFill>
              <a:srgbClr val="0000FF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oneCell">
    <xdr:from>
      <xdr:col>22</xdr:col>
      <xdr:colOff>28575</xdr:colOff>
      <xdr:row>104</xdr:row>
      <xdr:rowOff>0</xdr:rowOff>
    </xdr:from>
    <xdr:to>
      <xdr:col>24</xdr:col>
      <xdr:colOff>609600</xdr:colOff>
      <xdr:row>104</xdr:row>
      <xdr:rowOff>276225</xdr:rowOff>
    </xdr:to>
    <xdr:sp macro="Sheet1.ExecuteAction_419e4584_556c_414d_b5b7_b4fd3f527c3b" textlink="">
      <xdr:nvSpPr>
        <xdr:cNvPr id="38" name="TM1Button_419e4584_556c_414d_b5b7_b4fd3f527c3b">
          <a:extLst>
            <a:ext uri="{FF2B5EF4-FFF2-40B4-BE49-F238E27FC236}">
              <a16:creationId xmlns:a16="http://schemas.microsoft.com/office/drawing/2014/main" id="{901982CF-4258-C921-73BF-5253D02B685C}"/>
            </a:ext>
          </a:extLst>
        </xdr:cNvPr>
        <xdr:cNvSpPr txBox="1"/>
      </xdr:nvSpPr>
      <xdr:spPr>
        <a:xfrm>
          <a:off x="8143875" y="704850"/>
          <a:ext cx="1571625" cy="2762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CVtm1SubListBOOK</a:t>
          </a:r>
        </a:p>
      </xdr:txBody>
    </xdr:sp>
    <xdr:clientData/>
  </xdr:twoCellAnchor>
  <xdr:twoCellAnchor editAs="oneCell">
    <xdr:from>
      <xdr:col>25</xdr:col>
      <xdr:colOff>247650</xdr:colOff>
      <xdr:row>104</xdr:row>
      <xdr:rowOff>0</xdr:rowOff>
    </xdr:from>
    <xdr:to>
      <xdr:col>28</xdr:col>
      <xdr:colOff>304800</xdr:colOff>
      <xdr:row>104</xdr:row>
      <xdr:rowOff>323850</xdr:rowOff>
    </xdr:to>
    <xdr:sp macro="Sheet1.ExecuteAction_63d5a6c2_d788_4dde_927f_b50cf14fd73f" textlink="">
      <xdr:nvSpPr>
        <xdr:cNvPr id="39" name="TM1Button_63d5a6c2_d788_4dde_927f_b50cf14fd73f">
          <a:extLst>
            <a:ext uri="{FF2B5EF4-FFF2-40B4-BE49-F238E27FC236}">
              <a16:creationId xmlns:a16="http://schemas.microsoft.com/office/drawing/2014/main" id="{866F0255-11F9-09B7-E572-353C586428D3}"/>
            </a:ext>
          </a:extLst>
        </xdr:cNvPr>
        <xdr:cNvSpPr txBox="1"/>
      </xdr:nvSpPr>
      <xdr:spPr>
        <a:xfrm>
          <a:off x="10029825" y="704850"/>
          <a:ext cx="1362075" cy="3238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CVtm1MeasureListBOOK</a:t>
          </a:r>
        </a:p>
      </xdr:txBody>
    </xdr:sp>
    <xdr:clientData/>
  </xdr:twoCellAnchor>
  <xdr:twoCellAnchor editAs="oneCell">
    <xdr:from>
      <xdr:col>22</xdr:col>
      <xdr:colOff>257175</xdr:colOff>
      <xdr:row>101</xdr:row>
      <xdr:rowOff>133350</xdr:rowOff>
    </xdr:from>
    <xdr:to>
      <xdr:col>24</xdr:col>
      <xdr:colOff>571500</xdr:colOff>
      <xdr:row>102</xdr:row>
      <xdr:rowOff>209550</xdr:rowOff>
    </xdr:to>
    <xdr:sp macro="Sheet1.ExecuteAction_860153e4_2310_430d_ba63_17bd3cfd1ec2" textlink="">
      <xdr:nvSpPr>
        <xdr:cNvPr id="40" name="TM1Button_860153e4_2310_430d_ba63_17bd3cfd1ec2">
          <a:extLst>
            <a:ext uri="{FF2B5EF4-FFF2-40B4-BE49-F238E27FC236}">
              <a16:creationId xmlns:a16="http://schemas.microsoft.com/office/drawing/2014/main" id="{F69790C4-7052-C649-0275-9A8BA0AC14B4}"/>
            </a:ext>
          </a:extLst>
        </xdr:cNvPr>
        <xdr:cNvSpPr txBox="1"/>
      </xdr:nvSpPr>
      <xdr:spPr>
        <a:xfrm>
          <a:off x="8372475" y="247650"/>
          <a:ext cx="1304925" cy="314325"/>
        </a:xfrm>
        <a:prstGeom prst="rect">
          <a:avLst/>
        </a:prstGeom>
        <a:solidFill>
          <a:srgbClr val="F0F0F0">
            <a:alpha val="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000" b="0" i="0" u="none" strike="noStrike">
              <a:solidFill>
                <a:schemeClr val="bg1"/>
              </a:solidFill>
              <a:latin typeface="Arial" panose="020B0604020202020204" pitchFamily="34" charset="0"/>
            </a:rPr>
            <a:t>Run</a:t>
          </a:r>
        </a:p>
      </xdr:txBody>
    </xdr:sp>
    <xdr:clientData/>
  </xdr:twoCellAnchor>
  <xdr:twoCellAnchor>
    <xdr:from>
      <xdr:col>38</xdr:col>
      <xdr:colOff>214489</xdr:colOff>
      <xdr:row>196</xdr:row>
      <xdr:rowOff>107226</xdr:rowOff>
    </xdr:from>
    <xdr:to>
      <xdr:col>40</xdr:col>
      <xdr:colOff>605925</xdr:colOff>
      <xdr:row>198</xdr:row>
      <xdr:rowOff>24371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48E6F96E-93A6-4E82-A357-C05B527D1699}"/>
            </a:ext>
          </a:extLst>
        </xdr:cNvPr>
        <xdr:cNvSpPr/>
      </xdr:nvSpPr>
      <xdr:spPr>
        <a:xfrm>
          <a:off x="22788739" y="18414276"/>
          <a:ext cx="1610636" cy="298145"/>
        </a:xfrm>
        <a:prstGeom prst="roundRect">
          <a:avLst/>
        </a:prstGeom>
        <a:solidFill>
          <a:schemeClr val="bg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effectLst/>
              <a:latin typeface="Segoe UI Light" panose="020B0502040204020203" pitchFamily="34" charset="0"/>
              <a:cs typeface="Segoe UI Light" panose="020B0502040204020203" pitchFamily="34" charset="0"/>
            </a:rPr>
            <a:t>*KEY_ERR</a:t>
          </a:r>
        </a:p>
      </xdr:txBody>
    </xdr:sp>
    <xdr:clientData/>
  </xdr:twoCellAnchor>
  <xdr:twoCellAnchor>
    <xdr:from>
      <xdr:col>20</xdr:col>
      <xdr:colOff>638175</xdr:colOff>
      <xdr:row>108</xdr:row>
      <xdr:rowOff>9525</xdr:rowOff>
    </xdr:from>
    <xdr:to>
      <xdr:col>24</xdr:col>
      <xdr:colOff>267611</xdr:colOff>
      <xdr:row>109</xdr:row>
      <xdr:rowOff>288620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C8082465-8E66-4307-8013-0D5B7E5CD769}"/>
            </a:ext>
          </a:extLst>
        </xdr:cNvPr>
        <xdr:cNvSpPr/>
      </xdr:nvSpPr>
      <xdr:spPr>
        <a:xfrm>
          <a:off x="7762875" y="2257425"/>
          <a:ext cx="1610636" cy="298145"/>
        </a:xfrm>
        <a:prstGeom prst="roundRect">
          <a:avLst/>
        </a:prstGeom>
        <a:solidFill>
          <a:schemeClr val="bg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effectLst/>
              <a:latin typeface="Segoe UI Light" panose="020B0502040204020203" pitchFamily="34" charset="0"/>
              <a:cs typeface="Segoe UI Light" panose="020B0502040204020203" pitchFamily="34" charset="0"/>
            </a:rPr>
            <a:t>*KEY_ERR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DDC9-DCEB-4D96-9219-72CA2549F862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CafeStyleVersion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M122"/>
  <sheetViews>
    <sheetView showGridLines="0" tabSelected="1" topLeftCell="L101" zoomScaleNormal="100" workbookViewId="0">
      <pane ySplit="20" topLeftCell="A121" activePane="bottomLeft" state="frozen"/>
      <selection activeCell="L101" sqref="L101"/>
      <selection pane="bottomLeft"/>
    </sheetView>
  </sheetViews>
  <sheetFormatPr defaultRowHeight="15" outlineLevelRow="1" outlineLevelCol="1" x14ac:dyDescent="0.25"/>
  <cols>
    <col min="1" max="1" width="8.7109375" hidden="1" customWidth="1" outlineLevel="1"/>
    <col min="2" max="11" width="21" hidden="1" customWidth="1" outlineLevel="1"/>
    <col min="12" max="12" width="4.7109375" customWidth="1" collapsed="1"/>
    <col min="13" max="13" width="4.7109375" customWidth="1"/>
    <col min="14" max="14" width="26.42578125" customWidth="1"/>
    <col min="15" max="15" width="20.28515625" customWidth="1"/>
    <col min="16" max="21" width="10.140625" customWidth="1"/>
    <col min="22" max="22" width="4.7109375" customWidth="1"/>
    <col min="23" max="23" width="10.140625" customWidth="1"/>
    <col min="24" max="24" width="4.7109375" customWidth="1"/>
    <col min="25" max="25" width="10.140625" customWidth="1"/>
    <col min="26" max="26" width="4.7109375" customWidth="1"/>
    <col min="27" max="27" width="10.140625" customWidth="1"/>
    <col min="28" max="28" width="4.7109375" customWidth="1"/>
    <col min="29" max="29" width="21.85546875" customWidth="1"/>
    <col min="30" max="30" width="22.7109375" customWidth="1"/>
    <col min="31" max="31" width="16.28515625" customWidth="1"/>
    <col min="32" max="32" width="23.85546875" customWidth="1"/>
    <col min="33" max="33" width="35.28515625" customWidth="1"/>
    <col min="34" max="34" width="4.85546875" customWidth="1"/>
    <col min="35" max="35" width="20" customWidth="1"/>
  </cols>
  <sheetData>
    <row r="1" spans="1:39" s="91" customFormat="1" ht="20.100000000000001" hidden="1" customHeight="1" outlineLevel="1" x14ac:dyDescent="0.2">
      <c r="A1" s="91" t="s">
        <v>18</v>
      </c>
      <c r="M1" s="98"/>
      <c r="AH1" s="97"/>
    </row>
    <row r="2" spans="1:39" s="91" customFormat="1" ht="20.100000000000001" hidden="1" customHeight="1" outlineLevel="1" x14ac:dyDescent="0.2">
      <c r="A2" s="91" t="s">
        <v>67</v>
      </c>
      <c r="M2" s="147" t="s">
        <v>53</v>
      </c>
      <c r="N2" s="148"/>
      <c r="O2" s="148"/>
      <c r="P2" s="109" t="s">
        <v>52</v>
      </c>
      <c r="Q2" s="110"/>
      <c r="R2" s="111"/>
      <c r="S2" s="92" t="s">
        <v>52</v>
      </c>
      <c r="T2" s="96" t="s">
        <v>52</v>
      </c>
      <c r="U2" s="132" t="s">
        <v>52</v>
      </c>
      <c r="V2" s="133"/>
      <c r="W2" s="127" t="s">
        <v>52</v>
      </c>
      <c r="X2" s="128"/>
      <c r="Y2" s="132" t="s">
        <v>52</v>
      </c>
      <c r="Z2" s="133"/>
      <c r="AA2" s="127" t="s">
        <v>52</v>
      </c>
      <c r="AB2" s="128"/>
      <c r="AC2" s="110" t="s">
        <v>52</v>
      </c>
      <c r="AD2" s="110"/>
      <c r="AE2" s="111"/>
      <c r="AF2" s="142" t="s">
        <v>52</v>
      </c>
      <c r="AG2" s="143"/>
      <c r="AH2" s="144"/>
    </row>
    <row r="3" spans="1:39" s="91" customFormat="1" ht="20.100000000000001" hidden="1" customHeight="1" outlineLevel="1" x14ac:dyDescent="0.2">
      <c r="M3" s="98"/>
      <c r="AH3" s="97"/>
    </row>
    <row r="4" spans="1:39" s="91" customFormat="1" ht="20.100000000000001" hidden="1" customHeight="1" outlineLevel="1" x14ac:dyDescent="0.2">
      <c r="A4" s="91" t="s">
        <v>69</v>
      </c>
      <c r="M4" s="149" t="s">
        <v>53</v>
      </c>
      <c r="N4" s="150"/>
      <c r="O4" s="151"/>
      <c r="P4" s="109" t="s">
        <v>52</v>
      </c>
      <c r="Q4" s="110"/>
      <c r="R4" s="111"/>
      <c r="S4" s="92" t="s">
        <v>52</v>
      </c>
      <c r="T4" s="96" t="s">
        <v>52</v>
      </c>
      <c r="U4" s="132" t="s">
        <v>52</v>
      </c>
      <c r="V4" s="133"/>
      <c r="W4" s="127" t="s">
        <v>52</v>
      </c>
      <c r="X4" s="128"/>
      <c r="Y4" s="132" t="s">
        <v>52</v>
      </c>
      <c r="Z4" s="133"/>
      <c r="AA4" s="127" t="s">
        <v>52</v>
      </c>
      <c r="AB4" s="128"/>
      <c r="AC4" s="110" t="s">
        <v>52</v>
      </c>
      <c r="AD4" s="110"/>
      <c r="AE4" s="111"/>
      <c r="AF4" s="123" t="s">
        <v>52</v>
      </c>
      <c r="AG4" s="124"/>
      <c r="AH4" s="125"/>
    </row>
    <row r="5" spans="1:39" s="91" customFormat="1" ht="20.100000000000001" hidden="1" customHeight="1" outlineLevel="1" x14ac:dyDescent="0.2">
      <c r="M5" s="98"/>
      <c r="AH5" s="97"/>
    </row>
    <row r="6" spans="1:39" s="91" customFormat="1" ht="20.100000000000001" hidden="1" customHeight="1" outlineLevel="1" x14ac:dyDescent="0.2">
      <c r="A6" s="91" t="s">
        <v>68</v>
      </c>
      <c r="M6" s="147" t="s">
        <v>53</v>
      </c>
      <c r="N6" s="148"/>
      <c r="O6" s="148"/>
      <c r="P6" s="112" t="s">
        <v>52</v>
      </c>
      <c r="Q6" s="113"/>
      <c r="R6" s="114"/>
      <c r="S6" s="92" t="s">
        <v>52</v>
      </c>
      <c r="T6" s="92" t="s">
        <v>52</v>
      </c>
      <c r="U6" s="140" t="s">
        <v>52</v>
      </c>
      <c r="V6" s="141"/>
      <c r="W6" s="138" t="s">
        <v>52</v>
      </c>
      <c r="X6" s="139"/>
      <c r="Y6" s="140" t="s">
        <v>52</v>
      </c>
      <c r="Z6" s="141"/>
      <c r="AA6" s="138" t="s">
        <v>52</v>
      </c>
      <c r="AB6" s="139"/>
      <c r="AC6" s="113" t="s">
        <v>52</v>
      </c>
      <c r="AD6" s="113"/>
      <c r="AE6" s="114"/>
      <c r="AF6" s="104" t="s">
        <v>52</v>
      </c>
      <c r="AG6" s="105"/>
      <c r="AH6" s="106"/>
    </row>
    <row r="7" spans="1:39" s="91" customFormat="1" ht="20.100000000000001" hidden="1" customHeight="1" outlineLevel="1" x14ac:dyDescent="0.2">
      <c r="M7" s="98"/>
      <c r="AH7" s="97"/>
    </row>
    <row r="8" spans="1:39" s="91" customFormat="1" ht="20.100000000000001" hidden="1" customHeight="1" outlineLevel="1" x14ac:dyDescent="0.2">
      <c r="A8" s="91" t="s">
        <v>70</v>
      </c>
      <c r="M8" s="149" t="s">
        <v>53</v>
      </c>
      <c r="N8" s="150"/>
      <c r="O8" s="151"/>
      <c r="P8" s="115" t="s">
        <v>52</v>
      </c>
      <c r="Q8" s="116"/>
      <c r="R8" s="117"/>
      <c r="S8" s="93" t="s">
        <v>52</v>
      </c>
      <c r="T8" s="93" t="s">
        <v>52</v>
      </c>
      <c r="U8" s="94" t="s">
        <v>52</v>
      </c>
      <c r="V8" s="95"/>
      <c r="W8" s="120" t="s">
        <v>52</v>
      </c>
      <c r="X8" s="121"/>
      <c r="Y8" s="118" t="s">
        <v>52</v>
      </c>
      <c r="Z8" s="119"/>
      <c r="AA8" s="120" t="s">
        <v>52</v>
      </c>
      <c r="AB8" s="121"/>
      <c r="AC8" s="116" t="s">
        <v>52</v>
      </c>
      <c r="AD8" s="116"/>
      <c r="AE8" s="117"/>
      <c r="AF8" s="123" t="s">
        <v>52</v>
      </c>
      <c r="AG8" s="124"/>
      <c r="AH8" s="125"/>
    </row>
    <row r="9" spans="1:39" s="91" customFormat="1" ht="20.100000000000001" hidden="1" customHeight="1" outlineLevel="1" x14ac:dyDescent="0.2">
      <c r="A9" s="91" t="s">
        <v>19</v>
      </c>
      <c r="M9" s="98"/>
      <c r="AH9" s="97"/>
    </row>
    <row r="10" spans="1:39" s="91" customFormat="1" ht="12" hidden="1" outlineLevel="1" x14ac:dyDescent="0.2"/>
    <row r="11" spans="1:39" s="91" customFormat="1" ht="15" hidden="1" customHeight="1" outlineLevel="1" thickBot="1" x14ac:dyDescent="0.25"/>
    <row r="12" spans="1:39" s="91" customFormat="1" ht="15" hidden="1" customHeight="1" outlineLevel="1" thickTop="1" x14ac:dyDescent="0.2">
      <c r="B12" s="89" t="s">
        <v>29</v>
      </c>
    </row>
    <row r="13" spans="1:39" s="91" customFormat="1" ht="15" hidden="1" customHeight="1" outlineLevel="1" x14ac:dyDescent="0.2">
      <c r="B13" s="90" t="s">
        <v>108</v>
      </c>
    </row>
    <row r="14" spans="1:39" ht="4.5" hidden="1" customHeight="1" outlineLevel="1" thickBot="1" x14ac:dyDescent="0.3">
      <c r="B14" s="8"/>
      <c r="AK14" s="75"/>
      <c r="AL14" s="75"/>
      <c r="AM14" s="75"/>
    </row>
    <row r="15" spans="1:39" ht="15" hidden="1" customHeight="1" outlineLevel="1" thickTop="1" thickBot="1" x14ac:dyDescent="0.3">
      <c r="AK15" s="75"/>
      <c r="AL15" s="75"/>
      <c r="AM15" s="75"/>
    </row>
    <row r="16" spans="1:39" ht="15" hidden="1" customHeight="1" outlineLevel="1" x14ac:dyDescent="0.25">
      <c r="B16" s="49" t="s">
        <v>2</v>
      </c>
      <c r="C16" s="50"/>
    </row>
    <row r="17" spans="1:24" ht="15" hidden="1" customHeight="1" outlineLevel="1" x14ac:dyDescent="0.25">
      <c r="B17" s="69" t="str">
        <f ca="1">_xll.TM1RPTVIEW(tm1DB&amp;":Submission Details:1", 0,TM1RPTFMTRNG,TM1RPTFMTIDCOL)</f>
        <v>DCCEEW_COSTINGS:Submission Details:1</v>
      </c>
      <c r="C17" s="70" t="s">
        <v>44</v>
      </c>
    </row>
    <row r="18" spans="1:24" s="2" customFormat="1" ht="15" hidden="1" customHeight="1" outlineLevel="1" x14ac:dyDescent="0.25">
      <c r="B18" s="69" t="str">
        <f ca="1">_xll.VIEW(tm1DB&amp;":Submission Details","!","!")</f>
        <v>DCCEEW_COSTINGS:Submission Details</v>
      </c>
      <c r="C18" s="70" t="s">
        <v>30</v>
      </c>
      <c r="E18"/>
      <c r="F18"/>
      <c r="H18"/>
      <c r="I18"/>
      <c r="J18"/>
      <c r="K18"/>
      <c r="L18"/>
      <c r="M18"/>
      <c r="N18"/>
    </row>
    <row r="19" spans="1:24" s="2" customFormat="1" ht="15" hidden="1" customHeight="1" outlineLevel="1" x14ac:dyDescent="0.25">
      <c r="B19" s="69" t="str">
        <f ca="1">_xll.VIEW(tm1DB&amp;":sys_Budget Round Details",tm1BudgetRound,"!")</f>
        <v>DCCEEW_COSTINGS:sys_Budget Round Details</v>
      </c>
      <c r="C19" s="70" t="s">
        <v>65</v>
      </c>
      <c r="E19"/>
      <c r="F19"/>
      <c r="H19"/>
      <c r="I19"/>
      <c r="J19"/>
      <c r="K19"/>
      <c r="L19"/>
      <c r="M19"/>
      <c r="N19"/>
    </row>
    <row r="20" spans="1:24" s="2" customFormat="1" ht="15" hidden="1" customHeight="1" outlineLevel="1" x14ac:dyDescent="0.25">
      <c r="B20" s="69" t="str">
        <f ca="1">_xll.VIEW(tm1DB&amp;":sys_Client Preferences",$C$33,"!")</f>
        <v>DCCEEW_COSTINGS:sys_Client Preferences</v>
      </c>
      <c r="C20" s="70" t="s">
        <v>3</v>
      </c>
      <c r="E20"/>
      <c r="F20"/>
      <c r="H20"/>
      <c r="I20"/>
      <c r="J20"/>
      <c r="K20"/>
      <c r="L20"/>
      <c r="M20"/>
      <c r="N20"/>
    </row>
    <row r="21" spans="1:24" ht="15" hidden="1" customHeight="1" outlineLevel="1" x14ac:dyDescent="0.25">
      <c r="B21" s="69" t="str">
        <f ca="1">_xll.VIEW(tm1DB&amp;":sys_Variable","!","!")</f>
        <v>DCCEEW_COSTINGS:sys_Variable</v>
      </c>
      <c r="C21" s="70" t="s">
        <v>45</v>
      </c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15" hidden="1" customHeight="1" outlineLevel="1" x14ac:dyDescent="0.25">
      <c r="B22" s="69" t="str">
        <f ca="1">_xll.VIEW(tm1DB&amp;":sys_User Application",$C$34,"!")</f>
        <v>DCCEEW_COSTINGS:sys_User Application</v>
      </c>
      <c r="C22" s="70" t="s">
        <v>49</v>
      </c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s="55" customFormat="1" ht="15" hidden="1" customHeight="1" outlineLevel="1" x14ac:dyDescent="0.25">
      <c r="A23" s="51"/>
      <c r="B23" s="71" t="str">
        <f ca="1">_xll.VIEW(tm1DB&amp;":sys_Application","!","!")</f>
        <v>DCCEEW_COSTINGS:sys_Application</v>
      </c>
      <c r="C23" s="72" t="s">
        <v>46</v>
      </c>
      <c r="D23" s="54"/>
      <c r="E23" s="54"/>
      <c r="F23" s="54"/>
      <c r="G23" s="54"/>
      <c r="H23"/>
      <c r="I23"/>
      <c r="J23"/>
      <c r="K23"/>
      <c r="L23"/>
      <c r="M23"/>
      <c r="N23"/>
      <c r="Q23" s="56"/>
    </row>
    <row r="24" spans="1:24" s="55" customFormat="1" ht="5.0999999999999996" hidden="1" customHeight="1" outlineLevel="1" thickBot="1" x14ac:dyDescent="0.3">
      <c r="A24" s="51"/>
      <c r="B24" s="73"/>
      <c r="C24" s="74"/>
      <c r="D24" s="54"/>
      <c r="E24" s="54"/>
      <c r="F24" s="54"/>
      <c r="G24" s="54"/>
      <c r="H24"/>
      <c r="I24"/>
      <c r="J24"/>
      <c r="K24"/>
      <c r="L24"/>
      <c r="M24"/>
      <c r="N24"/>
      <c r="Q24" s="56"/>
    </row>
    <row r="25" spans="1:24" ht="15.75" hidden="1" outlineLevel="1" thickBot="1" x14ac:dyDescent="0.3"/>
    <row r="26" spans="1:24" ht="15.75" hidden="1" outlineLevel="1" thickTop="1" x14ac:dyDescent="0.25">
      <c r="B26" s="6" t="s">
        <v>31</v>
      </c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hidden="1" outlineLevel="1" x14ac:dyDescent="0.25">
      <c r="B27" s="7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hidden="1" outlineLevel="1" x14ac:dyDescent="0.25">
      <c r="B28" s="7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hidden="1" outlineLevel="1" x14ac:dyDescent="0.25">
      <c r="B29" s="7"/>
    </row>
    <row r="30" spans="1:24" ht="4.5" hidden="1" customHeight="1" outlineLevel="1" thickBot="1" x14ac:dyDescent="0.3">
      <c r="B30" s="8"/>
    </row>
    <row r="31" spans="1:24" ht="16.5" hidden="1" outlineLevel="1" thickTop="1" thickBot="1" x14ac:dyDescent="0.3"/>
    <row r="32" spans="1:24" ht="15.75" hidden="1" outlineLevel="1" thickTop="1" x14ac:dyDescent="0.25">
      <c r="B32" s="12" t="s">
        <v>32</v>
      </c>
      <c r="C32" s="13"/>
    </row>
    <row r="33" spans="1:17" ht="15" hidden="1" customHeight="1" outlineLevel="1" x14ac:dyDescent="0.25">
      <c r="B33" s="14" t="s">
        <v>33</v>
      </c>
      <c r="C33" s="15" t="str">
        <f ca="1">_xll.TM1USER(tm1DB)</f>
        <v/>
      </c>
    </row>
    <row r="34" spans="1:17" ht="15" hidden="1" customHeight="1" outlineLevel="1" x14ac:dyDescent="0.25">
      <c r="B34" s="57" t="s">
        <v>47</v>
      </c>
      <c r="C34" s="15" t="s">
        <v>23</v>
      </c>
    </row>
    <row r="35" spans="1:17" ht="15" hidden="1" customHeight="1" outlineLevel="1" x14ac:dyDescent="0.25">
      <c r="B35" s="57" t="s">
        <v>35</v>
      </c>
      <c r="C35" s="15" t="str">
        <f ca="1">tm1SubListBOOK</f>
        <v>*KEY_ERR</v>
      </c>
    </row>
    <row r="36" spans="1:17" ht="15" hidden="1" customHeight="1" outlineLevel="1" x14ac:dyDescent="0.25">
      <c r="B36" s="57" t="s">
        <v>54</v>
      </c>
      <c r="C36" s="15"/>
    </row>
    <row r="37" spans="1:17" ht="15" hidden="1" customHeight="1" outlineLevel="1" x14ac:dyDescent="0.25">
      <c r="B37" s="14" t="s">
        <v>34</v>
      </c>
      <c r="C37" s="15" t="str">
        <f ca="1">TEXT(NOW(),"yyyy-mm-dd HH:MM:ss")</f>
        <v>2025-04-09 13:25:43</v>
      </c>
    </row>
    <row r="38" spans="1:17" s="55" customFormat="1" ht="15" hidden="1" customHeight="1" outlineLevel="1" x14ac:dyDescent="0.25">
      <c r="A38" s="51"/>
      <c r="B38" s="58" t="s">
        <v>48</v>
      </c>
      <c r="C38" s="59" t="str">
        <f ca="1">_xll.DBSS($C$37,TM1UserApps,TM1UserName,$C$34,$B$38)</f>
        <v>*KEY_ERR</v>
      </c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Q38" s="56"/>
    </row>
    <row r="39" spans="1:17" s="55" customFormat="1" ht="5.0999999999999996" hidden="1" customHeight="1" outlineLevel="1" thickBot="1" x14ac:dyDescent="0.3">
      <c r="A39" s="51"/>
      <c r="B39" s="52"/>
      <c r="C39" s="53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Q39" s="56"/>
    </row>
    <row r="40" spans="1:17" ht="16.5" hidden="1" outlineLevel="1" thickTop="1" thickBot="1" x14ac:dyDescent="0.3"/>
    <row r="41" spans="1:17" ht="15.75" hidden="1" outlineLevel="1" thickTop="1" x14ac:dyDescent="0.25">
      <c r="B41" s="12" t="s">
        <v>7</v>
      </c>
      <c r="C41" s="77" t="s">
        <v>64</v>
      </c>
      <c r="D41" s="60" t="str">
        <f ca="1">C42&amp;" - "&amp;B42&amp;" TBC"</f>
        <v xml:space="preserve"> - Submission TBC</v>
      </c>
      <c r="E41" s="61"/>
      <c r="F41" s="61"/>
      <c r="G41" s="61"/>
      <c r="H41" s="61"/>
      <c r="I41" s="62"/>
      <c r="J41" s="3"/>
      <c r="K41" s="3"/>
    </row>
    <row r="42" spans="1:17" s="2" customFormat="1" ht="15" hidden="1" customHeight="1" outlineLevel="1" x14ac:dyDescent="0.2">
      <c r="B42" s="48" t="s">
        <v>21</v>
      </c>
      <c r="C42" s="21" t="str">
        <f ca="1">tm1BudgetRound</f>
        <v/>
      </c>
      <c r="D42" s="63" t="str">
        <f ca="1">"{FILTER(
     {EXCEPT(
        {TM1SORT(
           {TM1FILTERBYLEVEL(
               {TM1DRILLDOWNMEMBER( 
               {["&amp;$B$42&amp;"].["&amp;$C$42&amp;"]},ALL,RECURSIVE )}, 
           0)},
        ASC)},
     {["&amp;$B$42&amp;"].["&amp;$D$41&amp;"]} )},
(["&amp;$B$42&amp;" Details].(["&amp;$B$42&amp;" Details Measure].[Status])='"&amp;$O$112&amp;"'))} "</f>
        <v xml:space="preserve">{FILTER(
     {EXCEPT(
        {TM1SORT(
           {TM1FILTERBYLEVEL(
               {TM1DRILLDOWNMEMBER( 
               {[Submission].[]},ALL,RECURSIVE )}, 
           0)},
        ASC)},
     {[Submission].[ - Submission TBC]} )},
([Submission Details].([Submission Details Measure].[Status])=''))} </v>
      </c>
      <c r="E42" s="64"/>
      <c r="F42" s="64"/>
      <c r="G42" s="64"/>
      <c r="H42" s="64"/>
      <c r="I42" s="65"/>
      <c r="J42" s="3"/>
      <c r="K42" s="3"/>
    </row>
    <row r="43" spans="1:17" ht="15" hidden="1" customHeight="1" outlineLevel="1" x14ac:dyDescent="0.25">
      <c r="B43" s="14"/>
      <c r="C43" s="21"/>
      <c r="D43" s="63" t="str">
        <f ca="1">"{EXCEPT( {TM1SORT( {TM1FILTERBYLEVEL({TM1DRILLDOWNMEMBER({["&amp;$B42&amp;"].["&amp;$C42&amp;"]},ALL,RECURSIVE)},0)}, ASC)}, {["&amp;$B42&amp;"].["&amp;$D41&amp;"]})}"</f>
        <v>{EXCEPT( {TM1SORT( {TM1FILTERBYLEVEL({TM1DRILLDOWNMEMBER({[Submission].[]},ALL,RECURSIVE)},0)}, ASC)}, {[Submission].[ - Submission TBC]})}</v>
      </c>
      <c r="E43" s="64"/>
      <c r="F43" s="64"/>
      <c r="G43" s="64"/>
      <c r="H43" s="64"/>
      <c r="I43" s="65"/>
      <c r="J43" s="3"/>
      <c r="K43" s="3"/>
    </row>
    <row r="44" spans="1:17" s="2" customFormat="1" ht="15" hidden="1" customHeight="1" outlineLevel="1" x14ac:dyDescent="0.2">
      <c r="B44" s="16"/>
      <c r="C44" s="21"/>
      <c r="D44" s="63" t="str">
        <f ca="1">IF($O$112="All",$D$43,$D$42)</f>
        <v xml:space="preserve">{FILTER(
     {EXCEPT(
        {TM1SORT(
           {TM1FILTERBYLEVEL(
               {TM1DRILLDOWNMEMBER( 
               {[Submission].[]},ALL,RECURSIVE )}, 
           0)},
        ASC)},
     {[Submission].[ - Submission TBC]} )},
([Submission Details].([Submission Details Measure].[Status])=''))} </v>
      </c>
      <c r="E44" s="64"/>
      <c r="F44" s="64"/>
      <c r="G44" s="64"/>
      <c r="H44" s="64"/>
      <c r="I44" s="65"/>
      <c r="J44" s="3"/>
      <c r="K44" s="3"/>
    </row>
    <row r="45" spans="1:17" ht="4.5" hidden="1" customHeight="1" outlineLevel="1" thickBot="1" x14ac:dyDescent="0.3">
      <c r="B45" s="17"/>
      <c r="C45" s="20"/>
      <c r="D45" s="66"/>
      <c r="E45" s="67"/>
      <c r="F45" s="67"/>
      <c r="G45" s="67"/>
      <c r="H45" s="67"/>
      <c r="I45" s="68"/>
      <c r="J45" s="3"/>
      <c r="K45" s="3"/>
    </row>
    <row r="46" spans="1:17" s="2" customFormat="1" ht="12.75" hidden="1" outlineLevel="1" thickTop="1" thickBot="1" x14ac:dyDescent="0.25"/>
    <row r="47" spans="1:17" ht="15.75" hidden="1" outlineLevel="1" thickTop="1" x14ac:dyDescent="0.25">
      <c r="B47" s="12" t="s">
        <v>8</v>
      </c>
      <c r="C47" s="19"/>
      <c r="D47" s="19"/>
      <c r="E47" s="19"/>
      <c r="F47" s="19"/>
      <c r="G47" s="19"/>
      <c r="H47" s="19"/>
      <c r="I47" s="19"/>
      <c r="J47" s="19"/>
      <c r="K47" s="13"/>
    </row>
    <row r="48" spans="1:17" hidden="1" outlineLevel="1" x14ac:dyDescent="0.25">
      <c r="B48" s="22" t="s">
        <v>9</v>
      </c>
      <c r="C48" s="23" t="s">
        <v>28</v>
      </c>
      <c r="D48" s="23" t="s">
        <v>10</v>
      </c>
      <c r="E48" s="23" t="s">
        <v>11</v>
      </c>
      <c r="F48" s="23" t="s">
        <v>12</v>
      </c>
      <c r="G48" s="23" t="s">
        <v>13</v>
      </c>
      <c r="H48" s="23" t="s">
        <v>14</v>
      </c>
      <c r="I48" s="23" t="s">
        <v>15</v>
      </c>
      <c r="J48" s="23" t="s">
        <v>81</v>
      </c>
      <c r="K48" s="26" t="s">
        <v>82</v>
      </c>
    </row>
    <row r="49" spans="2:11" hidden="1" outlineLevel="1" x14ac:dyDescent="0.25">
      <c r="B49" s="24" t="s">
        <v>50</v>
      </c>
      <c r="C49" s="25" t="str" cm="1">
        <f t="array" aca="1" ref="C49" ca="1">_xll.DBRW($B$23,$B49,C$48)</f>
        <v>*KEY_ERR</v>
      </c>
      <c r="D49" s="25" t="str" cm="1">
        <f t="array" aca="1" ref="D49" ca="1">_xll.DBRW($B$23,$B49,D$48)</f>
        <v>*KEY_ERR</v>
      </c>
      <c r="E49" s="25" t="str" cm="1">
        <f t="array" aca="1" ref="E49" ca="1">_xll.DBRW($B$23,$B49,E$48)</f>
        <v>*KEY_ERR</v>
      </c>
      <c r="F49" s="25" t="str" cm="1">
        <f t="array" aca="1" ref="F49" ca="1">_xll.DBRW($B$23,$B49,F$48)</f>
        <v>*KEY_ERR</v>
      </c>
      <c r="G49" s="25" t="str" cm="1">
        <f t="array" aca="1" ref="G49" ca="1">_xll.DBRW($B$23,$B49,G$48)</f>
        <v>*KEY_ERR</v>
      </c>
      <c r="H49" s="25" t="str" cm="1">
        <f t="array" aca="1" ref="H49" ca="1">_xll.DBRW($B$23,$B49,H$48)</f>
        <v>*KEY_ERR</v>
      </c>
      <c r="I49" s="25" t="str" cm="1">
        <f t="array" aca="1" ref="I49" ca="1">_xll.DBRW($B$23,$B49,I$48)</f>
        <v>*KEY_ERR</v>
      </c>
      <c r="J49" s="25" t="str" cm="1">
        <f t="array" aca="1" ref="J49" ca="1">_xll.DBRW($B$23,$B49,J$48)</f>
        <v>*KEY_ERR</v>
      </c>
      <c r="K49" s="27" t="str" cm="1">
        <f t="array" aca="1" ref="K49" ca="1">_xll.DBRW($B$23,$B49,K$48)</f>
        <v>*KEY_ERR</v>
      </c>
    </row>
    <row r="50" spans="2:11" hidden="1" outlineLevel="1" x14ac:dyDescent="0.25">
      <c r="B50" s="24" t="s">
        <v>51</v>
      </c>
      <c r="C50" s="25" t="str" cm="1">
        <f t="array" aca="1" ref="C50" ca="1">_xll.DBRW($B$23,$B50,C$48)</f>
        <v>*KEY_ERR</v>
      </c>
      <c r="D50" s="25" t="str" cm="1">
        <f t="array" aca="1" ref="D50" ca="1">_xll.DBRW($B$23,$B50,D$48)</f>
        <v>*KEY_ERR</v>
      </c>
      <c r="E50" s="25" t="str" cm="1">
        <f t="array" aca="1" ref="E50" ca="1">_xll.DBRW($B$23,$B50,E$48)</f>
        <v>*KEY_ERR</v>
      </c>
      <c r="F50" s="25" t="str" cm="1">
        <f t="array" aca="1" ref="F50" ca="1">_xll.DBRW($B$23,$B50,F$48)</f>
        <v>*KEY_ERR</v>
      </c>
      <c r="G50" s="25" t="str" cm="1">
        <f t="array" aca="1" ref="G50" ca="1">_xll.DBRW($B$23,$B50,G$48)</f>
        <v>*KEY_ERR</v>
      </c>
      <c r="H50" s="25" t="str" cm="1">
        <f t="array" aca="1" ref="H50" ca="1">_xll.DBRW($B$23,$B50,H$48)</f>
        <v>*KEY_ERR</v>
      </c>
      <c r="I50" s="25" t="str" cm="1">
        <f t="array" aca="1" ref="I50" ca="1">_xll.DBRW($B$23,$B50,I$48)</f>
        <v>*KEY_ERR</v>
      </c>
      <c r="J50" s="25" t="str" cm="1">
        <f t="array" aca="1" ref="J50" ca="1">_xll.DBRW($B$23,$B50,J$48)</f>
        <v>*KEY_ERR</v>
      </c>
      <c r="K50" s="27" t="str" cm="1">
        <f t="array" aca="1" ref="K50" ca="1">_xll.DBRW($B$23,$B50,K$48)</f>
        <v>*KEY_ERR</v>
      </c>
    </row>
    <row r="51" spans="2:11" hidden="1" outlineLevel="1" x14ac:dyDescent="0.25">
      <c r="B51" s="24" t="s">
        <v>23</v>
      </c>
      <c r="C51" s="25" t="str" cm="1">
        <f t="array" aca="1" ref="C51" ca="1">_xll.DBRW($B$23,$B51,C$48)</f>
        <v>*KEY_ERR</v>
      </c>
      <c r="D51" s="25" t="str" cm="1">
        <f t="array" aca="1" ref="D51" ca="1">_xll.DBRW($B$23,$B51,D$48)</f>
        <v>*KEY_ERR</v>
      </c>
      <c r="E51" s="25" t="str" cm="1">
        <f t="array" aca="1" ref="E51" ca="1">_xll.DBRW($B$23,$B51,E$48)</f>
        <v>*KEY_ERR</v>
      </c>
      <c r="F51" s="25" t="str" cm="1">
        <f t="array" aca="1" ref="F51" ca="1">_xll.DBRW($B$23,$B51,F$48)</f>
        <v>*KEY_ERR</v>
      </c>
      <c r="G51" s="25" t="str" cm="1">
        <f t="array" aca="1" ref="G51" ca="1">_xll.DBRW($B$23,$B51,G$48)</f>
        <v>*KEY_ERR</v>
      </c>
      <c r="H51" s="25" t="str" cm="1">
        <f t="array" aca="1" ref="H51" ca="1">_xll.DBRW($B$23,$B51,H$48)</f>
        <v>*KEY_ERR</v>
      </c>
      <c r="I51" s="25" t="str" cm="1">
        <f t="array" aca="1" ref="I51" ca="1">_xll.DBRW($B$23,$B51,I$48)</f>
        <v>*KEY_ERR</v>
      </c>
      <c r="J51" s="25" t="str" cm="1">
        <f t="array" aca="1" ref="J51" ca="1">_xll.DBRW($B$23,$B51,J$48)</f>
        <v>*KEY_ERR</v>
      </c>
      <c r="K51" s="27" t="str" cm="1">
        <f t="array" aca="1" ref="K51" ca="1">_xll.DBRW($B$23,$B51,K$48)</f>
        <v>*KEY_ERR</v>
      </c>
    </row>
    <row r="52" spans="2:11" hidden="1" outlineLevel="1" x14ac:dyDescent="0.25">
      <c r="B52" s="24" t="s">
        <v>26</v>
      </c>
      <c r="C52" s="25" t="str" cm="1">
        <f t="array" aca="1" ref="C52" ca="1">_xll.DBRW($B$23,$B52,C$48)</f>
        <v>*KEY_ERR</v>
      </c>
      <c r="D52" s="25" t="str" cm="1">
        <f t="array" aca="1" ref="D52" ca="1">_xll.DBRW($B$23,$B52,D$48)</f>
        <v>*KEY_ERR</v>
      </c>
      <c r="E52" s="25" t="str" cm="1">
        <f t="array" aca="1" ref="E52" ca="1">_xll.DBRW($B$23,$B52,E$48)</f>
        <v>*KEY_ERR</v>
      </c>
      <c r="F52" s="25" t="str" cm="1">
        <f t="array" aca="1" ref="F52" ca="1">_xll.DBRW($B$23,$B52,F$48)</f>
        <v>*KEY_ERR</v>
      </c>
      <c r="G52" s="25" t="str" cm="1">
        <f t="array" aca="1" ref="G52" ca="1">_xll.DBRW($B$23,$B52,G$48)</f>
        <v>*KEY_ERR</v>
      </c>
      <c r="H52" s="25" t="str" cm="1">
        <f t="array" aca="1" ref="H52" ca="1">_xll.DBRW($B$23,$B52,H$48)</f>
        <v>*KEY_ERR</v>
      </c>
      <c r="I52" s="25" t="str" cm="1">
        <f t="array" aca="1" ref="I52" ca="1">_xll.DBRW($B$23,$B52,I$48)</f>
        <v>*KEY_ERR</v>
      </c>
      <c r="J52" s="25" t="str" cm="1">
        <f t="array" aca="1" ref="J52" ca="1">_xll.DBRW($B$23,$B52,J$48)</f>
        <v>*KEY_ERR</v>
      </c>
      <c r="K52" s="27" t="str" cm="1">
        <f t="array" aca="1" ref="K52" ca="1">_xll.DBRW($B$23,$B52,K$48)</f>
        <v>*KEY_ERR</v>
      </c>
    </row>
    <row r="53" spans="2:11" hidden="1" outlineLevel="1" x14ac:dyDescent="0.25">
      <c r="B53" s="24" t="s">
        <v>25</v>
      </c>
      <c r="C53" s="25" t="str" cm="1">
        <f t="array" aca="1" ref="C53" ca="1">_xll.DBRW($B$23,$B53,C$48)</f>
        <v>*KEY_ERR</v>
      </c>
      <c r="D53" s="25" t="str" cm="1">
        <f t="array" aca="1" ref="D53" ca="1">_xll.DBRW($B$23,$B53,D$48)</f>
        <v>*KEY_ERR</v>
      </c>
      <c r="E53" s="25" t="str" cm="1">
        <f t="array" aca="1" ref="E53" ca="1">_xll.DBRW($B$23,$B53,E$48)</f>
        <v>*KEY_ERR</v>
      </c>
      <c r="F53" s="25" t="str" cm="1">
        <f t="array" aca="1" ref="F53" ca="1">_xll.DBRW($B$23,$B53,F$48)</f>
        <v>*KEY_ERR</v>
      </c>
      <c r="G53" s="25" t="str" cm="1">
        <f t="array" aca="1" ref="G53" ca="1">_xll.DBRW($B$23,$B53,G$48)</f>
        <v>*KEY_ERR</v>
      </c>
      <c r="H53" s="25" t="str" cm="1">
        <f t="array" aca="1" ref="H53" ca="1">_xll.DBRW($B$23,$B53,H$48)</f>
        <v>*KEY_ERR</v>
      </c>
      <c r="I53" s="25" t="str" cm="1">
        <f t="array" aca="1" ref="I53" ca="1">_xll.DBRW($B$23,$B53,I$48)</f>
        <v>*KEY_ERR</v>
      </c>
      <c r="J53" s="25" t="str" cm="1">
        <f t="array" aca="1" ref="J53" ca="1">_xll.DBRW($B$23,$B53,J$48)</f>
        <v>*KEY_ERR</v>
      </c>
      <c r="K53" s="27" t="str" cm="1">
        <f t="array" aca="1" ref="K53" ca="1">_xll.DBRW($B$23,$B53,K$48)</f>
        <v>*KEY_ERR</v>
      </c>
    </row>
    <row r="54" spans="2:11" hidden="1" outlineLevel="1" x14ac:dyDescent="0.25">
      <c r="B54" s="24" t="s">
        <v>24</v>
      </c>
      <c r="C54" s="25" t="str" cm="1">
        <f t="array" aca="1" ref="C54" ca="1">_xll.DBRW($B$23,$B54,C$48)</f>
        <v>*KEY_ERR</v>
      </c>
      <c r="D54" s="25" t="str" cm="1">
        <f t="array" aca="1" ref="D54" ca="1">_xll.DBRW($B$23,$B54,D$48)</f>
        <v>*KEY_ERR</v>
      </c>
      <c r="E54" s="25" t="str" cm="1">
        <f t="array" aca="1" ref="E54" ca="1">_xll.DBRW($B$23,$B54,E$48)</f>
        <v>*KEY_ERR</v>
      </c>
      <c r="F54" s="25" t="str" cm="1">
        <f t="array" aca="1" ref="F54" ca="1">_xll.DBRW($B$23,$B54,F$48)</f>
        <v>*KEY_ERR</v>
      </c>
      <c r="G54" s="25" t="str" cm="1">
        <f t="array" aca="1" ref="G54" ca="1">_xll.DBRW($B$23,$B54,G$48)</f>
        <v>*KEY_ERR</v>
      </c>
      <c r="H54" s="25" t="str" cm="1">
        <f t="array" aca="1" ref="H54" ca="1">_xll.DBRW($B$23,$B54,H$48)</f>
        <v>*KEY_ERR</v>
      </c>
      <c r="I54" s="25" t="str" cm="1">
        <f t="array" aca="1" ref="I54" ca="1">_xll.DBRW($B$23,$B54,I$48)</f>
        <v>*KEY_ERR</v>
      </c>
      <c r="J54" s="25" t="str" cm="1">
        <f t="array" aca="1" ref="J54" ca="1">_xll.DBRW($B$23,$B54,J$48)</f>
        <v>*KEY_ERR</v>
      </c>
      <c r="K54" s="27" t="str" cm="1">
        <f t="array" aca="1" ref="K54" ca="1">_xll.DBRW($B$23,$B54,K$48)</f>
        <v>*KEY_ERR</v>
      </c>
    </row>
    <row r="55" spans="2:11" hidden="1" outlineLevel="1" x14ac:dyDescent="0.25">
      <c r="B55" s="24" t="s">
        <v>27</v>
      </c>
      <c r="C55" s="25" t="str" cm="1">
        <f t="array" aca="1" ref="C55" ca="1">_xll.DBRW($B$23,$B55,C$48)</f>
        <v>*KEY_ERR</v>
      </c>
      <c r="D55" s="25" t="str" cm="1">
        <f t="array" aca="1" ref="D55" ca="1">_xll.DBRW($B$23,$B55,D$48)</f>
        <v>*KEY_ERR</v>
      </c>
      <c r="E55" s="25" t="str" cm="1">
        <f t="array" aca="1" ref="E55" ca="1">_xll.DBRW($B$23,$B55,E$48)</f>
        <v>*KEY_ERR</v>
      </c>
      <c r="F55" s="25" t="str" cm="1">
        <f t="array" aca="1" ref="F55" ca="1">_xll.DBRW($B$23,$B55,F$48)</f>
        <v>*KEY_ERR</v>
      </c>
      <c r="G55" s="25" t="str" cm="1">
        <f t="array" aca="1" ref="G55" ca="1">_xll.DBRW($B$23,$B55,G$48)</f>
        <v>*KEY_ERR</v>
      </c>
      <c r="H55" s="25" t="str" cm="1">
        <f t="array" aca="1" ref="H55" ca="1">_xll.DBRW($B$23,$B55,H$48)</f>
        <v>*KEY_ERR</v>
      </c>
      <c r="I55" s="25" t="str" cm="1">
        <f t="array" aca="1" ref="I55" ca="1">_xll.DBRW($B$23,$B55,I$48)</f>
        <v>*KEY_ERR</v>
      </c>
      <c r="J55" s="25" t="str" cm="1">
        <f t="array" aca="1" ref="J55" ca="1">_xll.DBRW($B$23,$B55,J$48)</f>
        <v>*KEY_ERR</v>
      </c>
      <c r="K55" s="27" t="str" cm="1">
        <f t="array" aca="1" ref="K55" ca="1">_xll.DBRW($B$23,$B55,K$48)</f>
        <v>*KEY_ERR</v>
      </c>
    </row>
    <row r="56" spans="2:11" hidden="1" outlineLevel="1" x14ac:dyDescent="0.25">
      <c r="B56" s="24" t="s">
        <v>83</v>
      </c>
      <c r="C56" s="25" t="str" cm="1">
        <f t="array" aca="1" ref="C56" ca="1">_xll.DBRW($B$23,$B56,C$48)</f>
        <v>*KEY_ERR</v>
      </c>
      <c r="D56" s="25" t="str" cm="1">
        <f t="array" aca="1" ref="D56" ca="1">_xll.DBRW($B$23,$B56,D$48)</f>
        <v>*KEY_ERR</v>
      </c>
      <c r="E56" s="25" t="str" cm="1">
        <f t="array" aca="1" ref="E56" ca="1">_xll.DBRW($B$23,$B56,E$48)</f>
        <v>*KEY_ERR</v>
      </c>
      <c r="F56" s="25" t="str" cm="1">
        <f t="array" aca="1" ref="F56" ca="1">_xll.DBRW($B$23,$B56,F$48)</f>
        <v>*KEY_ERR</v>
      </c>
      <c r="G56" s="25" t="str" cm="1">
        <f t="array" aca="1" ref="G56" ca="1">_xll.DBRW($B$23,$B56,G$48)</f>
        <v>*KEY_ERR</v>
      </c>
      <c r="H56" s="25" t="str" cm="1">
        <f t="array" aca="1" ref="H56" ca="1">_xll.DBRW($B$23,$B56,H$48)</f>
        <v>*KEY_ERR</v>
      </c>
      <c r="I56" s="25" t="str" cm="1">
        <f t="array" aca="1" ref="I56" ca="1">_xll.DBRW($B$23,$B56,I$48)</f>
        <v>*KEY_ERR</v>
      </c>
      <c r="J56" s="25" t="str" cm="1">
        <f t="array" aca="1" ref="J56" ca="1">_xll.DBRW($B$23,$B56,J$48)</f>
        <v>*KEY_ERR</v>
      </c>
      <c r="K56" s="27" t="str" cm="1">
        <f t="array" aca="1" ref="K56" ca="1">_xll.DBRW($B$23,$B56,K$48)</f>
        <v>*KEY_ERR</v>
      </c>
    </row>
    <row r="57" spans="2:11" hidden="1" outlineLevel="1" x14ac:dyDescent="0.25">
      <c r="B57" s="24"/>
      <c r="C57" s="25"/>
      <c r="D57" s="25"/>
      <c r="E57" s="25"/>
      <c r="F57" s="25"/>
      <c r="G57" s="25"/>
      <c r="H57" s="25"/>
      <c r="I57" s="25"/>
      <c r="J57" s="25"/>
      <c r="K57" s="27"/>
    </row>
    <row r="58" spans="2:11" ht="4.5" hidden="1" customHeight="1" outlineLevel="1" thickBot="1" x14ac:dyDescent="0.3">
      <c r="B58" s="28"/>
      <c r="C58" s="20"/>
      <c r="D58" s="20"/>
      <c r="E58" s="20"/>
      <c r="F58" s="20"/>
      <c r="G58" s="20"/>
      <c r="H58" s="20"/>
      <c r="I58" s="20"/>
      <c r="J58" s="20"/>
      <c r="K58" s="18"/>
    </row>
    <row r="59" spans="2:11" ht="16.5" hidden="1" outlineLevel="1" thickTop="1" thickBot="1" x14ac:dyDescent="0.3"/>
    <row r="60" spans="2:11" ht="15.75" hidden="1" outlineLevel="1" thickTop="1" x14ac:dyDescent="0.25">
      <c r="B60" s="12" t="s">
        <v>36</v>
      </c>
      <c r="C60" s="19"/>
      <c r="D60" s="13"/>
      <c r="E60" s="3"/>
    </row>
    <row r="61" spans="2:11" hidden="1" outlineLevel="1" x14ac:dyDescent="0.25">
      <c r="B61" s="29" t="s">
        <v>37</v>
      </c>
      <c r="C61" s="30" t="s">
        <v>23</v>
      </c>
      <c r="D61" s="27"/>
      <c r="E61" s="3"/>
    </row>
    <row r="62" spans="2:11" hidden="1" outlineLevel="1" x14ac:dyDescent="0.25">
      <c r="B62" s="29" t="s">
        <v>3</v>
      </c>
      <c r="C62" s="30" t="s">
        <v>4</v>
      </c>
      <c r="D62" s="27"/>
      <c r="E62" s="3"/>
    </row>
    <row r="63" spans="2:11" hidden="1" outlineLevel="1" x14ac:dyDescent="0.25">
      <c r="B63" s="29" t="s">
        <v>3</v>
      </c>
      <c r="C63" s="30" t="s">
        <v>5</v>
      </c>
      <c r="D63" s="27"/>
      <c r="E63" s="3"/>
    </row>
    <row r="64" spans="2:11" hidden="1" outlineLevel="1" x14ac:dyDescent="0.25">
      <c r="B64" s="29" t="s">
        <v>3</v>
      </c>
      <c r="C64" s="30" t="s">
        <v>6</v>
      </c>
      <c r="D64" s="27"/>
      <c r="E64" s="3"/>
    </row>
    <row r="65" spans="2:5" hidden="1" outlineLevel="1" x14ac:dyDescent="0.25">
      <c r="B65" s="29" t="s">
        <v>71</v>
      </c>
      <c r="C65" s="30" t="str">
        <f ca="1">_xll.DBR($B$21,B65,"sValue")</f>
        <v>*KEY_ERR</v>
      </c>
      <c r="D65" s="27"/>
      <c r="E65" s="3"/>
    </row>
    <row r="66" spans="2:5" hidden="1" outlineLevel="1" x14ac:dyDescent="0.25">
      <c r="B66" s="29" t="s">
        <v>3</v>
      </c>
      <c r="C66" s="30" t="s">
        <v>63</v>
      </c>
      <c r="D66" s="27"/>
      <c r="E66" s="3"/>
    </row>
    <row r="67" spans="2:5" hidden="1" outlineLevel="1" x14ac:dyDescent="0.25">
      <c r="B67" s="29" t="s">
        <v>66</v>
      </c>
      <c r="C67" s="30" t="s">
        <v>16</v>
      </c>
      <c r="D67" s="27"/>
      <c r="E67" s="3"/>
    </row>
    <row r="68" spans="2:5" hidden="1" outlineLevel="1" x14ac:dyDescent="0.25">
      <c r="B68" s="29" t="s">
        <v>80</v>
      </c>
      <c r="C68" s="30"/>
      <c r="D68" s="27"/>
      <c r="E68" s="3"/>
    </row>
    <row r="69" spans="2:5" ht="4.5" hidden="1" customHeight="1" outlineLevel="1" thickBot="1" x14ac:dyDescent="0.3">
      <c r="B69" s="17"/>
      <c r="C69" s="20"/>
      <c r="D69" s="18"/>
      <c r="E69" s="3"/>
    </row>
    <row r="70" spans="2:5" ht="16.5" hidden="1" outlineLevel="1" thickTop="1" thickBot="1" x14ac:dyDescent="0.3">
      <c r="B70" s="3"/>
      <c r="C70" s="3"/>
      <c r="D70" s="3"/>
      <c r="E70" s="3"/>
    </row>
    <row r="71" spans="2:5" ht="15.75" hidden="1" outlineLevel="1" thickTop="1" x14ac:dyDescent="0.25">
      <c r="B71" s="10" t="s">
        <v>38</v>
      </c>
      <c r="C71" s="31" t="s">
        <v>39</v>
      </c>
      <c r="D71" s="31" t="s">
        <v>40</v>
      </c>
      <c r="E71" s="32" t="s">
        <v>41</v>
      </c>
    </row>
    <row r="72" spans="2:5" ht="15" hidden="1" customHeight="1" outlineLevel="1" x14ac:dyDescent="0.25">
      <c r="B72" s="11"/>
      <c r="C72" s="33"/>
      <c r="D72" s="33"/>
      <c r="E72" s="9"/>
    </row>
    <row r="73" spans="2:5" ht="15" hidden="1" customHeight="1" outlineLevel="1" x14ac:dyDescent="0.25">
      <c r="B73" s="11"/>
      <c r="C73" s="33"/>
      <c r="D73" s="33"/>
      <c r="E73" s="9"/>
    </row>
    <row r="74" spans="2:5" ht="15" hidden="1" customHeight="1" outlineLevel="1" x14ac:dyDescent="0.25">
      <c r="B74" s="11"/>
      <c r="C74" s="33"/>
      <c r="D74" s="33"/>
      <c r="E74" s="9"/>
    </row>
    <row r="75" spans="2:5" ht="15" hidden="1" customHeight="1" outlineLevel="1" x14ac:dyDescent="0.25">
      <c r="B75" s="11"/>
      <c r="C75" s="33"/>
      <c r="D75" s="33"/>
      <c r="E75" s="9"/>
    </row>
    <row r="76" spans="2:5" ht="15" hidden="1" customHeight="1" outlineLevel="1" x14ac:dyDescent="0.25">
      <c r="B76" s="11"/>
      <c r="C76" s="33"/>
      <c r="D76" s="33"/>
      <c r="E76" s="9"/>
    </row>
    <row r="77" spans="2:5" ht="4.5" hidden="1" customHeight="1" outlineLevel="1" thickBot="1" x14ac:dyDescent="0.3">
      <c r="B77" s="34"/>
      <c r="C77" s="35"/>
      <c r="D77" s="35"/>
      <c r="E77" s="36"/>
    </row>
    <row r="78" spans="2:5" ht="16.5" hidden="1" outlineLevel="1" thickTop="1" thickBot="1" x14ac:dyDescent="0.3">
      <c r="B78" s="3"/>
      <c r="C78" s="3"/>
      <c r="D78" s="3"/>
      <c r="E78" s="3"/>
    </row>
    <row r="79" spans="2:5" ht="15.75" hidden="1" outlineLevel="1" thickTop="1" x14ac:dyDescent="0.25">
      <c r="B79" s="37" t="s">
        <v>42</v>
      </c>
      <c r="C79" s="38" t="s">
        <v>39</v>
      </c>
      <c r="D79" s="38" t="s">
        <v>40</v>
      </c>
      <c r="E79" s="39" t="s">
        <v>41</v>
      </c>
    </row>
    <row r="80" spans="2:5" hidden="1" outlineLevel="1" x14ac:dyDescent="0.25">
      <c r="B80" s="40"/>
      <c r="C80" s="41"/>
      <c r="D80" s="41"/>
      <c r="E80" s="42"/>
    </row>
    <row r="81" spans="2:5" hidden="1" outlineLevel="1" x14ac:dyDescent="0.25">
      <c r="B81" s="40"/>
      <c r="C81" s="41"/>
      <c r="D81" s="41"/>
      <c r="E81" s="42"/>
    </row>
    <row r="82" spans="2:5" hidden="1" outlineLevel="1" x14ac:dyDescent="0.25">
      <c r="B82" s="40"/>
      <c r="C82" s="41"/>
      <c r="D82" s="41"/>
      <c r="E82" s="42"/>
    </row>
    <row r="83" spans="2:5" ht="4.5" hidden="1" customHeight="1" outlineLevel="1" thickBot="1" x14ac:dyDescent="0.3">
      <c r="B83" s="43"/>
      <c r="C83" s="44"/>
      <c r="D83" s="44"/>
      <c r="E83" s="45"/>
    </row>
    <row r="84" spans="2:5" ht="16.5" hidden="1" outlineLevel="1" thickTop="1" thickBot="1" x14ac:dyDescent="0.3">
      <c r="B84" s="3"/>
      <c r="C84" s="3"/>
      <c r="D84" s="3"/>
      <c r="E84" s="3"/>
    </row>
    <row r="85" spans="2:5" ht="15.75" hidden="1" outlineLevel="1" thickTop="1" x14ac:dyDescent="0.25">
      <c r="B85" s="12" t="s">
        <v>43</v>
      </c>
      <c r="C85" s="13"/>
      <c r="D85" s="3"/>
      <c r="E85" s="3"/>
    </row>
    <row r="86" spans="2:5" hidden="1" outlineLevel="1" x14ac:dyDescent="0.25">
      <c r="B86" s="14"/>
      <c r="C86" s="15"/>
      <c r="D86" s="3"/>
      <c r="E86" s="3"/>
    </row>
    <row r="87" spans="2:5" hidden="1" outlineLevel="1" x14ac:dyDescent="0.25">
      <c r="B87" s="14"/>
      <c r="C87" s="15"/>
      <c r="D87" s="3"/>
      <c r="E87" s="3"/>
    </row>
    <row r="88" spans="2:5" ht="4.5" hidden="1" customHeight="1" outlineLevel="1" thickBot="1" x14ac:dyDescent="0.3">
      <c r="B88" s="46"/>
      <c r="C88" s="47"/>
      <c r="D88" s="3"/>
      <c r="E88" s="3"/>
    </row>
    <row r="89" spans="2:5" ht="15.75" hidden="1" outlineLevel="1" thickTop="1" x14ac:dyDescent="0.25"/>
    <row r="90" spans="2:5" hidden="1" outlineLevel="1" x14ac:dyDescent="0.25"/>
    <row r="91" spans="2:5" hidden="1" outlineLevel="1" x14ac:dyDescent="0.25"/>
    <row r="92" spans="2:5" s="2" customFormat="1" ht="11.25" hidden="1" outlineLevel="1" x14ac:dyDescent="0.2"/>
    <row r="93" spans="2:5" hidden="1" outlineLevel="1" x14ac:dyDescent="0.25"/>
    <row r="94" spans="2:5" s="2" customFormat="1" ht="11.25" hidden="1" outlineLevel="1" x14ac:dyDescent="0.2"/>
    <row r="95" spans="2:5" hidden="1" outlineLevel="1" x14ac:dyDescent="0.25"/>
    <row r="96" spans="2:5" s="2" customFormat="1" ht="11.25" hidden="1" outlineLevel="1" x14ac:dyDescent="0.2"/>
    <row r="97" spans="13:17" hidden="1" outlineLevel="1" x14ac:dyDescent="0.25"/>
    <row r="98" spans="13:17" s="2" customFormat="1" ht="11.25" hidden="1" outlineLevel="1" x14ac:dyDescent="0.2"/>
    <row r="99" spans="13:17" hidden="1" outlineLevel="1" x14ac:dyDescent="0.25"/>
    <row r="100" spans="13:17" s="2" customFormat="1" ht="11.25" hidden="1" outlineLevel="1" x14ac:dyDescent="0.2"/>
    <row r="101" spans="13:17" ht="9" customHeight="1" collapsed="1" x14ac:dyDescent="0.25"/>
    <row r="102" spans="13:17" ht="18.75" customHeight="1" x14ac:dyDescent="0.25"/>
    <row r="103" spans="13:17" ht="18.75" customHeight="1" x14ac:dyDescent="0.25"/>
    <row r="104" spans="13:17" ht="9" customHeight="1" x14ac:dyDescent="0.25"/>
    <row r="105" spans="13:17" ht="87.95" customHeight="1" x14ac:dyDescent="0.25">
      <c r="N105" s="5" t="s">
        <v>20</v>
      </c>
    </row>
    <row r="106" spans="13:17" ht="4.5" customHeight="1" x14ac:dyDescent="0.25">
      <c r="M106" s="1"/>
      <c r="N106" s="1"/>
      <c r="O106" s="1"/>
    </row>
    <row r="107" spans="13:17" ht="24.95" customHeight="1" x14ac:dyDescent="0.25">
      <c r="M107" s="82" t="s">
        <v>65</v>
      </c>
      <c r="N107" s="82"/>
      <c r="O107" s="82"/>
      <c r="Q107" s="99" t="s">
        <v>62</v>
      </c>
    </row>
    <row r="108" spans="13:17" ht="4.5" customHeight="1" x14ac:dyDescent="0.25">
      <c r="M108" s="1"/>
      <c r="N108" s="1"/>
      <c r="O108" s="1"/>
    </row>
    <row r="109" spans="13:17" ht="2.1" customHeight="1" thickBot="1" x14ac:dyDescent="0.3">
      <c r="N109" s="4"/>
    </row>
    <row r="110" spans="13:17" ht="24.95" customHeight="1" thickTop="1" thickBot="1" x14ac:dyDescent="0.3">
      <c r="M110" s="78"/>
      <c r="N110" s="79" t="s">
        <v>0</v>
      </c>
      <c r="O110" s="80" t="str">
        <f ca="1">_xll.SUBNM(tm1DB&amp;":Budget Round","Pick_N Levels",$C$65)</f>
        <v/>
      </c>
      <c r="Q110" s="76" t="str">
        <f ca="1">_xll.DBR($B$20,$C$33,$C$66,$C$63)</f>
        <v>*KEY_ERR</v>
      </c>
    </row>
    <row r="111" spans="13:17" ht="24.95" customHeight="1" thickTop="1" thickBot="1" x14ac:dyDescent="0.3">
      <c r="M111" s="78"/>
      <c r="N111" s="79" t="s">
        <v>78</v>
      </c>
      <c r="O111" s="81" t="str">
        <f ca="1">_xll.DBR($B$19,tm1BudgetRound,$C$67)</f>
        <v>*KEY_ERR</v>
      </c>
      <c r="Q111" s="76"/>
    </row>
    <row r="112" spans="13:17" ht="24.95" customHeight="1" thickTop="1" thickBot="1" x14ac:dyDescent="0.3">
      <c r="M112" s="78"/>
      <c r="N112" s="79" t="s">
        <v>79</v>
      </c>
      <c r="O112" s="80" t="str">
        <f ca="1">_xll.DBRW($B$20,TM1UserName,$B68,$C$62)</f>
        <v/>
      </c>
      <c r="Q112" s="76"/>
    </row>
    <row r="113" spans="1:34" ht="21.95" customHeight="1" thickTop="1" x14ac:dyDescent="0.25"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</row>
    <row r="114" spans="1:34" ht="4.5" customHeight="1" x14ac:dyDescent="0.25"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</row>
    <row r="115" spans="1:34" s="88" customFormat="1" ht="15.95" customHeight="1" thickBot="1" x14ac:dyDescent="0.3">
      <c r="M115" s="155" t="s">
        <v>55</v>
      </c>
      <c r="N115" s="100"/>
      <c r="O115" s="100"/>
      <c r="P115" s="100" t="s">
        <v>1</v>
      </c>
      <c r="Q115" s="100"/>
      <c r="R115" s="100"/>
      <c r="S115" s="100" t="s">
        <v>61</v>
      </c>
      <c r="T115" s="107" t="s">
        <v>73</v>
      </c>
      <c r="U115" s="122" t="s">
        <v>59</v>
      </c>
      <c r="V115" s="122"/>
      <c r="W115" s="122"/>
      <c r="X115" s="122"/>
      <c r="Y115" s="122" t="s">
        <v>60</v>
      </c>
      <c r="Z115" s="122"/>
      <c r="AA115" s="122"/>
      <c r="AB115" s="122"/>
      <c r="AC115" s="100" t="s">
        <v>22</v>
      </c>
      <c r="AD115" s="100"/>
      <c r="AE115" s="100"/>
      <c r="AF115" s="100" t="s">
        <v>17</v>
      </c>
      <c r="AG115" s="100"/>
      <c r="AH115" s="101"/>
    </row>
    <row r="116" spans="1:34" s="88" customFormat="1" ht="15.95" customHeight="1" x14ac:dyDescent="0.25">
      <c r="M116" s="156"/>
      <c r="N116" s="102"/>
      <c r="O116" s="102"/>
      <c r="P116" s="102"/>
      <c r="Q116" s="102"/>
      <c r="R116" s="102"/>
      <c r="S116" s="102"/>
      <c r="T116" s="108"/>
      <c r="U116" s="126" t="s">
        <v>74</v>
      </c>
      <c r="V116" s="126"/>
      <c r="W116" s="126" t="s">
        <v>75</v>
      </c>
      <c r="X116" s="126"/>
      <c r="Y116" s="126" t="s">
        <v>74</v>
      </c>
      <c r="Z116" s="126"/>
      <c r="AA116" s="126" t="s">
        <v>75</v>
      </c>
      <c r="AB116" s="126"/>
      <c r="AC116" s="102"/>
      <c r="AD116" s="102"/>
      <c r="AE116" s="102"/>
      <c r="AF116" s="102"/>
      <c r="AG116" s="102"/>
      <c r="AH116" s="103"/>
    </row>
    <row r="117" spans="1:34" ht="4.5" hidden="1" customHeight="1" outlineLevel="1" x14ac:dyDescent="0.25"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</row>
    <row r="118" spans="1:34" s="2" customFormat="1" ht="11.25" hidden="1" customHeight="1" outlineLevel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P118" s="2" t="s">
        <v>56</v>
      </c>
      <c r="S118" s="2" t="s">
        <v>16</v>
      </c>
      <c r="T118" s="2" t="s">
        <v>72</v>
      </c>
      <c r="U118" s="2" t="s">
        <v>57</v>
      </c>
      <c r="W118" s="2" t="s">
        <v>76</v>
      </c>
      <c r="Y118" s="2" t="s">
        <v>58</v>
      </c>
      <c r="AA118" s="2" t="s">
        <v>77</v>
      </c>
      <c r="AC118" s="2" t="s">
        <v>22</v>
      </c>
      <c r="AF118" s="2" t="s">
        <v>17</v>
      </c>
    </row>
    <row r="119" spans="1:34" ht="7.5" hidden="1" customHeight="1" outlineLevel="1" x14ac:dyDescent="0.25"/>
    <row r="120" spans="1:34" ht="7.5" hidden="1" customHeight="1" outlineLevel="1" x14ac:dyDescent="0.25"/>
    <row r="121" spans="1:34" ht="20.100000000000001" customHeight="1" collapsed="1" x14ac:dyDescent="0.25">
      <c r="A121" s="75" t="str">
        <f t="shared" ref="A121" ca="1" si="0">MOD(ROW(),2)&amp;tm1Status</f>
        <v>1*KEY_ERR</v>
      </c>
      <c r="B121" s="75"/>
      <c r="C121" s="75"/>
      <c r="D121" s="75"/>
      <c r="E121" s="75"/>
      <c r="F121" s="75"/>
      <c r="G121" s="75"/>
      <c r="H121" s="75"/>
      <c r="I121" s="75"/>
      <c r="J121" s="75"/>
      <c r="K121" s="75"/>
      <c r="L121" s="75"/>
      <c r="M121" s="152" t="str">
        <f ca="1">_xll.TM1RPTROW($B$17,tm1DB&amp;":Submission","","","Code and Description",0,$D$44)</f>
        <v/>
      </c>
      <c r="N121" s="153"/>
      <c r="O121" s="154"/>
      <c r="P121" s="157" t="str">
        <f ca="1">_xll.DBRW($B$17,$M121,P$118)</f>
        <v/>
      </c>
      <c r="Q121" s="145"/>
      <c r="R121" s="146"/>
      <c r="S121" s="83" t="str">
        <f ca="1">_xll.DBRW($B$18,$M121,S$118)</f>
        <v/>
      </c>
      <c r="T121" s="84" t="str">
        <f ca="1">_xll.DBRW($B$18,$M121,T$118)</f>
        <v/>
      </c>
      <c r="U121" s="134" t="str">
        <f ca="1">_xll.DBRW($B$18,$M121,U$118)</f>
        <v/>
      </c>
      <c r="V121" s="135"/>
      <c r="W121" s="136" t="str">
        <f ca="1">_xll.DBRW($B$18,$M121,W$118)</f>
        <v/>
      </c>
      <c r="X121" s="137"/>
      <c r="Y121" s="134" t="str">
        <f ca="1">_xll.DBRW($B$18,$M121,Y$118)</f>
        <v/>
      </c>
      <c r="Z121" s="135"/>
      <c r="AA121" s="136" t="str">
        <f ca="1">_xll.DBRW($B$18,$M121,AA$118)</f>
        <v/>
      </c>
      <c r="AB121" s="137"/>
      <c r="AC121" s="145" t="str">
        <f ca="1">_xll.DBRW($B$18,$M121,AC$118)</f>
        <v/>
      </c>
      <c r="AD121" s="145"/>
      <c r="AE121" s="146"/>
      <c r="AF121" s="129" t="str">
        <f ca="1">_xll.DBRW($B$18,$M121,AF$118)</f>
        <v/>
      </c>
      <c r="AG121" s="130"/>
      <c r="AH121" s="131"/>
    </row>
    <row r="122" spans="1:34" ht="2.1" customHeight="1" x14ac:dyDescent="0.25">
      <c r="M122" s="85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87"/>
    </row>
  </sheetData>
  <mergeCells count="51">
    <mergeCell ref="S115:S116"/>
    <mergeCell ref="U116:V116"/>
    <mergeCell ref="M121:O121"/>
    <mergeCell ref="M6:O6"/>
    <mergeCell ref="M8:O8"/>
    <mergeCell ref="M115:O116"/>
    <mergeCell ref="P121:R121"/>
    <mergeCell ref="W4:X4"/>
    <mergeCell ref="AA2:AB2"/>
    <mergeCell ref="AA4:AB4"/>
    <mergeCell ref="U6:V6"/>
    <mergeCell ref="M2:O2"/>
    <mergeCell ref="M4:O4"/>
    <mergeCell ref="P4:R4"/>
    <mergeCell ref="AC121:AE121"/>
    <mergeCell ref="AC8:AE8"/>
    <mergeCell ref="AC4:AE4"/>
    <mergeCell ref="Y2:Z2"/>
    <mergeCell ref="Y4:Z4"/>
    <mergeCell ref="AF121:AH121"/>
    <mergeCell ref="U2:V2"/>
    <mergeCell ref="U4:V4"/>
    <mergeCell ref="AC115:AE116"/>
    <mergeCell ref="Y121:Z121"/>
    <mergeCell ref="AA121:AB121"/>
    <mergeCell ref="AC6:AE6"/>
    <mergeCell ref="AC2:AE2"/>
    <mergeCell ref="U121:V121"/>
    <mergeCell ref="W121:X121"/>
    <mergeCell ref="W6:X6"/>
    <mergeCell ref="Y6:Z6"/>
    <mergeCell ref="AA6:AB6"/>
    <mergeCell ref="AF2:AH2"/>
    <mergeCell ref="AF4:AH4"/>
    <mergeCell ref="W116:X116"/>
    <mergeCell ref="AF115:AH116"/>
    <mergeCell ref="P115:R116"/>
    <mergeCell ref="AF6:AH6"/>
    <mergeCell ref="T115:T116"/>
    <mergeCell ref="P2:R2"/>
    <mergeCell ref="P6:R6"/>
    <mergeCell ref="P8:R8"/>
    <mergeCell ref="Y8:Z8"/>
    <mergeCell ref="W8:X8"/>
    <mergeCell ref="AA8:AB8"/>
    <mergeCell ref="U115:X115"/>
    <mergeCell ref="Y115:AB115"/>
    <mergeCell ref="AF8:AH8"/>
    <mergeCell ref="Y116:Z116"/>
    <mergeCell ref="AA116:AB116"/>
    <mergeCell ref="W2:X2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A24"/>
  <sheetViews>
    <sheetView workbookViewId="0"/>
  </sheetViews>
  <sheetFormatPr defaultRowHeight="15" x14ac:dyDescent="0.25"/>
  <sheetData>
    <row r="1" spans="1:1" x14ac:dyDescent="0.25">
      <c r="A1" t="s">
        <v>84</v>
      </c>
    </row>
    <row r="2" spans="1:1" x14ac:dyDescent="0.25">
      <c r="A2" t="s">
        <v>85</v>
      </c>
    </row>
    <row r="3" spans="1:1" x14ac:dyDescent="0.25">
      <c r="A3" t="s">
        <v>86</v>
      </c>
    </row>
    <row r="4" spans="1:1" x14ac:dyDescent="0.25">
      <c r="A4" t="s">
        <v>87</v>
      </c>
    </row>
    <row r="5" spans="1:1" x14ac:dyDescent="0.25">
      <c r="A5" t="s">
        <v>88</v>
      </c>
    </row>
    <row r="6" spans="1:1" x14ac:dyDescent="0.25">
      <c r="A6" t="s">
        <v>89</v>
      </c>
    </row>
    <row r="7" spans="1:1" x14ac:dyDescent="0.25">
      <c r="A7" t="s">
        <v>90</v>
      </c>
    </row>
    <row r="8" spans="1:1" x14ac:dyDescent="0.25">
      <c r="A8" t="s">
        <v>91</v>
      </c>
    </row>
    <row r="9" spans="1:1" x14ac:dyDescent="0.25">
      <c r="A9" t="s">
        <v>92</v>
      </c>
    </row>
    <row r="10" spans="1:1" x14ac:dyDescent="0.25">
      <c r="A10" t="s">
        <v>93</v>
      </c>
    </row>
    <row r="11" spans="1:1" x14ac:dyDescent="0.25">
      <c r="A11" t="s">
        <v>94</v>
      </c>
    </row>
    <row r="12" spans="1:1" x14ac:dyDescent="0.25">
      <c r="A12" t="s">
        <v>95</v>
      </c>
    </row>
    <row r="13" spans="1:1" x14ac:dyDescent="0.25">
      <c r="A13" t="s">
        <v>96</v>
      </c>
    </row>
    <row r="14" spans="1:1" x14ac:dyDescent="0.25">
      <c r="A14" t="s">
        <v>97</v>
      </c>
    </row>
    <row r="15" spans="1:1" x14ac:dyDescent="0.25">
      <c r="A15" t="s">
        <v>98</v>
      </c>
    </row>
    <row r="16" spans="1:1" x14ac:dyDescent="0.25">
      <c r="A16" t="s">
        <v>99</v>
      </c>
    </row>
    <row r="17" spans="1:1" x14ac:dyDescent="0.25">
      <c r="A17" t="s">
        <v>100</v>
      </c>
    </row>
    <row r="18" spans="1:1" x14ac:dyDescent="0.25">
      <c r="A18" t="s">
        <v>101</v>
      </c>
    </row>
    <row r="19" spans="1:1" x14ac:dyDescent="0.25">
      <c r="A19" t="s">
        <v>102</v>
      </c>
    </row>
    <row r="20" spans="1:1" x14ac:dyDescent="0.25">
      <c r="A20" t="s">
        <v>103</v>
      </c>
    </row>
    <row r="21" spans="1:1" x14ac:dyDescent="0.25">
      <c r="A21" t="s">
        <v>104</v>
      </c>
    </row>
    <row r="22" spans="1:1" x14ac:dyDescent="0.25">
      <c r="A22" t="s">
        <v>105</v>
      </c>
    </row>
    <row r="23" spans="1:1" x14ac:dyDescent="0.25">
      <c r="A23" t="s">
        <v>106</v>
      </c>
    </row>
    <row r="24" spans="1:1" x14ac:dyDescent="0.25">
      <c r="A24" t="s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44</vt:i4>
      </vt:variant>
    </vt:vector>
  </HeadingPairs>
  <TitlesOfParts>
    <vt:vector size="46" baseType="lpstr">
      <vt:lpstr>Sheet1</vt:lpstr>
      <vt:lpstr>{PL}PickLst</vt:lpstr>
      <vt:lpstr>tm1_CurrWB</vt:lpstr>
      <vt:lpstr>tm1_PrevWB</vt:lpstr>
      <vt:lpstr>tm1AdminMenuBOOK</vt:lpstr>
      <vt:lpstr>tm1AdminMenuCAPTION</vt:lpstr>
      <vt:lpstr>tm1AdminMenuFILENAME</vt:lpstr>
      <vt:lpstr>tm1AdminMenuSHEET</vt:lpstr>
      <vt:lpstr>tm1BudgetRound</vt:lpstr>
      <vt:lpstr>tm1CostingPkgListBOOK</vt:lpstr>
      <vt:lpstr>tm1CostingPkgListCAPTION</vt:lpstr>
      <vt:lpstr>tm1CostingPkgListSHEET</vt:lpstr>
      <vt:lpstr>tm1CotingPkgListFILENAME</vt:lpstr>
      <vt:lpstr>tm1DB</vt:lpstr>
      <vt:lpstr>tm1DocHubLink</vt:lpstr>
      <vt:lpstr>tm1DocHubLinkCAP</vt:lpstr>
      <vt:lpstr>tm1MainMenuBOOK</vt:lpstr>
      <vt:lpstr>tm1MainMenuCAPTION</vt:lpstr>
      <vt:lpstr>tm1MainMenuFILENAME</vt:lpstr>
      <vt:lpstr>tm1MainMenuSHEET</vt:lpstr>
      <vt:lpstr>tm1MeasureListBOOK</vt:lpstr>
      <vt:lpstr>tm1MeasureListCAPTION</vt:lpstr>
      <vt:lpstr>tm1MeasureListFILENAME</vt:lpstr>
      <vt:lpstr>tm1MeasureListSHEET</vt:lpstr>
      <vt:lpstr>tm1MeasurePkgListBOOK</vt:lpstr>
      <vt:lpstr>tm1MeasurePkgListCAPTION</vt:lpstr>
      <vt:lpstr>tm1MeasurePkgListSHEET</vt:lpstr>
      <vt:lpstr>tm1NPPListBOOK</vt:lpstr>
      <vt:lpstr>tm1NPPListCAPTION</vt:lpstr>
      <vt:lpstr>tm1NPPListFILENAME</vt:lpstr>
      <vt:lpstr>tm1NPPListSHEET</vt:lpstr>
      <vt:lpstr>tm1NPPPkgListBOOK</vt:lpstr>
      <vt:lpstr>tm1NPPPkgListCAPTION</vt:lpstr>
      <vt:lpstr>tm1NPPPkgListFILENAME</vt:lpstr>
      <vt:lpstr>tm1NPPPkgListSHEET</vt:lpstr>
      <vt:lpstr>Sheet1!TM1RPTDATARNG1</vt:lpstr>
      <vt:lpstr>TM1RPTDATARNG1</vt:lpstr>
      <vt:lpstr>TM1RPTFMTIDCOL</vt:lpstr>
      <vt:lpstr>TM1RPTFMTRNG</vt:lpstr>
      <vt:lpstr>tm1Status</vt:lpstr>
      <vt:lpstr>tm1SubListBOOK</vt:lpstr>
      <vt:lpstr>tm1SubListCAPTION</vt:lpstr>
      <vt:lpstr>tm1SubListFILENAME</vt:lpstr>
      <vt:lpstr>tm1SubListSHEET</vt:lpstr>
      <vt:lpstr>TM1UserApps</vt:lpstr>
      <vt:lpstr>TM1UserName</vt:lpstr>
    </vt:vector>
  </TitlesOfParts>
  <Company>Department of Industry, Innovation and Science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Richardson, Rodney</dc:creator>
  <cp:lastModifiedBy>Philip Anderson</cp:lastModifiedBy>
  <dcterms:created xsi:type="dcterms:W3CDTF">2022-02-08T02:16:30Z</dcterms:created>
  <dcterms:modified xsi:type="dcterms:W3CDTF">2025-04-09T03:27:59Z</dcterms:modified>
</cp:coreProperties>
</file>