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2CF18021-487C-4BF1-B249-E79D4801DF51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RDS!$L$61</definedName>
    <definedName name="psApp">RDS!$C$29</definedName>
    <definedName name="psUser">RDS!$C$14</definedName>
    <definedName name="TM1AdminProgDetCAP">RDS!$D$37</definedName>
    <definedName name="TM1AdminProgDetWB">RDS!$F$37</definedName>
    <definedName name="TM1AdminProgDetWS">RDS!$H$37</definedName>
    <definedName name="TM1AdminRDSProgCAP">RDS!$D$36</definedName>
    <definedName name="TM1AdminRDSProgWB">RDS!$F$36</definedName>
    <definedName name="TM1AdminRDSProgWS">RDS!$H$36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0</definedName>
    <definedName name="TM1RPTDATARNG1" localSheetId="0">RDS!$62:$62</definedName>
    <definedName name="TM1RPTFMTIDCOL" localSheetId="0">RDS!$A$1:$A$8</definedName>
    <definedName name="TM1RPTFMTRNG" localSheetId="0">RDS!$J$1:$T$8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Q58" i="1"/>
  <c r="L58" i="1"/>
  <c r="C45" i="1"/>
  <c r="C46" i="1"/>
  <c r="C43" i="1"/>
  <c r="J62" i="1"/>
  <c r="O62" i="1"/>
  <c r="N62" i="1"/>
  <c r="M62" i="1"/>
  <c r="C28" i="1"/>
  <c r="S62" i="1"/>
  <c r="R62" i="1"/>
  <c r="H37" i="1"/>
  <c r="G37" i="1"/>
  <c r="F37" i="1"/>
  <c r="E37" i="1"/>
  <c r="D37" i="1"/>
  <c r="C37" i="1"/>
  <c r="H36" i="1"/>
  <c r="G36" i="1"/>
  <c r="F36" i="1"/>
  <c r="E36" i="1"/>
  <c r="D36" i="1"/>
  <c r="C36" i="1"/>
  <c r="C42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Q62" i="1"/>
  <c r="P62" i="1"/>
  <c r="T62" i="1"/>
  <c r="L62" i="1"/>
  <c r="C20" i="1"/>
  <c r="C25" i="1"/>
  <c r="C24" i="1"/>
  <c r="C23" i="1"/>
  <c r="C22" i="1"/>
  <c r="C21" i="1"/>
  <c r="C13" i="1"/>
  <c r="C14" i="1"/>
  <c r="C15" i="1"/>
  <c r="C17" i="1"/>
  <c r="C16" i="1"/>
  <c r="A62" i="1"/>
  <c r="A5" i="1"/>
  <c r="A4" i="1"/>
  <c r="A3" i="1"/>
  <c r="A2" i="1"/>
</calcChain>
</file>

<file path=xl/sharedStrings.xml><?xml version="1.0" encoding="utf-8"?>
<sst xmlns="http://schemas.openxmlformats.org/spreadsheetml/2006/main" count="74" uniqueCount="71">
  <si>
    <t>description</t>
  </si>
  <si>
    <t>code and description</t>
  </si>
  <si>
    <t>disabled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</si>
  <si>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</si>
  <si>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</si>
  <si>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</si>
  <si>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</si>
  <si>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</si>
  <si>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</si>
  <si>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</si>
  <si>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</si>
  <si>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</si>
  <si>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</si>
  <si>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</si>
  <si>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</si>
  <si>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</si>
  <si>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</si>
  <si>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</si>
  <si>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</si>
  <si>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</si>
  <si>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</si>
  <si>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</si>
  <si>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</si>
  <si>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</si>
  <si>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</si>
  <si>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</si>
  <si>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</si>
  <si>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</si>
  <si>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</si>
  <si>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</si>
  <si>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</si>
  <si>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</si>
  <si>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</si>
  <si>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</si>
  <si>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</si>
  <si>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</si>
  <si>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</si>
  <si>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</si>
  <si>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</si>
  <si>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</si>
  <si>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</si>
  <si>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</si>
  <si>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</si>
  <si>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</si>
  <si>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</si>
  <si>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</si>
  <si>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</si>
  <si>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}ElementAttributes_</t>
  </si>
  <si>
    <t>No</t>
  </si>
  <si>
    <t>Admin RDS - Programme</t>
  </si>
  <si>
    <t>{TM1SUBSETALL( [programme] )}</t>
  </si>
  <si>
    <t>CBMS</t>
  </si>
  <si>
    <t>CBMS Prog and description</t>
  </si>
  <si>
    <t>Not all of the attributes specific to the agency database would be included here. Administrators can access the Attribute cube to update and view.</t>
  </si>
  <si>
    <t>CBMS Code</t>
  </si>
  <si>
    <t>CBMS Code and Description</t>
  </si>
  <si>
    <t>Program :</t>
  </si>
  <si>
    <t>Program</t>
  </si>
  <si>
    <t>Administration RDS - Program Attributes</t>
  </si>
  <si>
    <t>CBMS Prog</t>
  </si>
  <si>
    <t>CBMS Level Program</t>
  </si>
  <si>
    <t>CBMS Program</t>
  </si>
  <si>
    <t>Admin - Programme Details</t>
  </si>
  <si>
    <t>Note : This screen is used to manage the Programme attribute cube which is required for GEUS. Program Details should also be reviewed.</t>
  </si>
  <si>
    <t xml:space="preserve"> DISPLAY SETTINGS</t>
  </si>
  <si>
    <t>CBMS Level Program (Y)</t>
  </si>
  <si>
    <t>Collapse</t>
  </si>
  <si>
    <t>Disabled (Y)</t>
  </si>
  <si>
    <t>SPP Mapping</t>
  </si>
  <si>
    <t>Treasury level 3 program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</si>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</sst>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BDD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164" fontId="5" fillId="6" borderId="4" xfId="0" applyNumberFormat="1" applyFont="1" applyFill="1" applyBorder="1"/>
    <xf numFmtId="0" fontId="4" fillId="0" borderId="4" xfId="0" applyFont="1" applyBorder="1"/>
    <xf numFmtId="0" fontId="7" fillId="0" borderId="0" xfId="0" applyFont="1"/>
    <xf numFmtId="0" fontId="5" fillId="6" borderId="4" xfId="0" applyFont="1" applyFill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0" fillId="7" borderId="7" xfId="0" applyFill="1" applyBorder="1" applyAlignment="1" applyProtection="1">
      <alignment horizontal="center" vertical="center"/>
      <protection locked="0"/>
    </xf>
    <xf numFmtId="0" fontId="1" fillId="4" borderId="6" xfId="0" applyFont="1" applyFill="1" applyBorder="1"/>
    <xf numFmtId="0" fontId="2" fillId="0" borderId="8" xfId="0" applyFont="1" applyBorder="1"/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 applyProtection="1">
      <alignment horizontal="left" indent="1"/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49</xdr:row>
      <xdr:rowOff>28575</xdr:rowOff>
    </xdr:from>
    <xdr:to>
      <xdr:col>9</xdr:col>
      <xdr:colOff>1790700</xdr:colOff>
      <xdr:row>49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51</xdr:row>
          <xdr:rowOff>0</xdr:rowOff>
        </xdr:from>
        <xdr:to>
          <xdr:col>9</xdr:col>
          <xdr:colOff>666750</xdr:colOff>
          <xdr:row>51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51</xdr:row>
          <xdr:rowOff>0</xdr:rowOff>
        </xdr:from>
        <xdr:to>
          <xdr:col>9</xdr:col>
          <xdr:colOff>1819275</xdr:colOff>
          <xdr:row>51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1838325</xdr:colOff>
          <xdr:row>51</xdr:row>
          <xdr:rowOff>0</xdr:rowOff>
        </xdr:from>
        <xdr:to>
          <xdr:col>11</xdr:col>
          <xdr:colOff>1257300</xdr:colOff>
          <xdr:row>51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266700</xdr:colOff>
          <xdr:row>50</xdr:row>
          <xdr:rowOff>28575</xdr:rowOff>
        </xdr:from>
        <xdr:to>
          <xdr:col>19</xdr:col>
          <xdr:colOff>476250</xdr:colOff>
          <xdr:row>51</xdr:row>
          <xdr:rowOff>180975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2628900</xdr:colOff>
          <xdr:row>51</xdr:row>
          <xdr:rowOff>0</xdr:rowOff>
        </xdr:from>
        <xdr:to>
          <xdr:col>11</xdr:col>
          <xdr:colOff>3276600</xdr:colOff>
          <xdr:row>51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1257300</xdr:colOff>
          <xdr:row>51</xdr:row>
          <xdr:rowOff>0</xdr:rowOff>
        </xdr:from>
        <xdr:to>
          <xdr:col>11</xdr:col>
          <xdr:colOff>2609850</xdr:colOff>
          <xdr:row>51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T62"/>
  <sheetViews>
    <sheetView showGridLines="0" showRowColHeaders="0" tabSelected="1" showOutlineSymbols="0" topLeftCell="A50" workbookViewId="0">
      <pane ySplit="12" topLeftCell="A62" activePane="bottomLeft" state="frozen"/>
      <selection activeCell="I50" sqref="I50"/>
      <selection pane="bottomLeft" activeCell="L61" sqref="L61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30.7109375" customWidth="1"/>
    <col min="11" max="11" width="0.85546875" customWidth="1"/>
    <col min="12" max="13" width="60.7109375" customWidth="1"/>
    <col min="14" max="14" width="11.42578125" customWidth="1"/>
    <col min="15" max="15" width="22.42578125" customWidth="1"/>
    <col min="16" max="16" width="10.5703125" style="17" customWidth="1"/>
    <col min="17" max="17" width="50.7109375" customWidth="1"/>
    <col min="18" max="18" width="10.7109375" hidden="1" customWidth="1"/>
    <col min="19" max="19" width="15.7109375" customWidth="1"/>
    <col min="20" max="20" width="9.7109375" customWidth="1"/>
  </cols>
  <sheetData>
    <row r="1" spans="1:20" hidden="1" outlineLevel="1" x14ac:dyDescent="0.25">
      <c r="A1" t="s">
        <v>5</v>
      </c>
    </row>
    <row r="2" spans="1:20" hidden="1" outlineLevel="1" x14ac:dyDescent="0.25">
      <c r="A2">
        <f>0</f>
        <v>0</v>
      </c>
      <c r="J2" s="12"/>
      <c r="L2" s="19"/>
      <c r="M2" s="19"/>
      <c r="N2" s="19"/>
      <c r="O2" s="19"/>
      <c r="P2" s="20"/>
      <c r="Q2" s="29"/>
      <c r="R2" s="29"/>
      <c r="S2" s="29"/>
      <c r="T2" s="20"/>
    </row>
    <row r="3" spans="1:20" hidden="1" outlineLevel="1" x14ac:dyDescent="0.25">
      <c r="A3">
        <f>1</f>
        <v>1</v>
      </c>
      <c r="J3" s="13"/>
      <c r="L3" s="21"/>
      <c r="M3" s="21"/>
      <c r="N3" s="21"/>
      <c r="O3" s="21"/>
      <c r="P3" s="22"/>
      <c r="Q3" s="30"/>
      <c r="R3" s="30"/>
      <c r="S3" s="30"/>
      <c r="T3" s="22"/>
    </row>
    <row r="4" spans="1:20" hidden="1" outlineLevel="1" x14ac:dyDescent="0.25">
      <c r="A4">
        <f>2</f>
        <v>2</v>
      </c>
      <c r="J4" s="13"/>
      <c r="L4" s="21"/>
      <c r="M4" s="21"/>
      <c r="N4" s="21"/>
      <c r="O4" s="21"/>
      <c r="P4" s="22"/>
      <c r="Q4" s="30"/>
      <c r="R4" s="30"/>
      <c r="S4" s="30"/>
      <c r="T4" s="22"/>
    </row>
    <row r="5" spans="1:20" hidden="1" outlineLevel="1" x14ac:dyDescent="0.25">
      <c r="A5">
        <f>3</f>
        <v>3</v>
      </c>
      <c r="J5" s="13"/>
      <c r="L5" s="21"/>
      <c r="M5" s="21"/>
      <c r="N5" s="21"/>
      <c r="O5" s="21"/>
      <c r="P5" s="22"/>
      <c r="Q5" s="30"/>
      <c r="R5" s="30"/>
      <c r="S5" s="30"/>
      <c r="T5" s="22"/>
    </row>
    <row r="6" spans="1:20" hidden="1" outlineLevel="1" x14ac:dyDescent="0.25">
      <c r="A6" t="s">
        <v>3</v>
      </c>
      <c r="J6" s="13"/>
      <c r="L6" s="21"/>
      <c r="M6" s="21"/>
      <c r="N6" s="21"/>
      <c r="O6" s="21"/>
      <c r="P6" s="22"/>
      <c r="Q6" s="30"/>
      <c r="R6" s="30"/>
      <c r="S6" s="30"/>
      <c r="T6" s="22"/>
    </row>
    <row r="7" spans="1:20" hidden="1" outlineLevel="1" x14ac:dyDescent="0.25">
      <c r="A7" t="s">
        <v>4</v>
      </c>
      <c r="J7" s="27"/>
      <c r="L7" s="23"/>
      <c r="M7" s="23"/>
      <c r="N7" s="23"/>
      <c r="O7" s="23"/>
      <c r="P7" s="24"/>
      <c r="Q7" s="31"/>
      <c r="R7" s="31"/>
      <c r="S7" s="31"/>
      <c r="T7" s="24"/>
    </row>
    <row r="8" spans="1:20" hidden="1" outlineLevel="1" x14ac:dyDescent="0.25">
      <c r="A8" t="s">
        <v>6</v>
      </c>
    </row>
    <row r="9" spans="1:20" hidden="1" outlineLevel="1" x14ac:dyDescent="0.25"/>
    <row r="10" spans="1:20" hidden="1" outlineLevel="1" x14ac:dyDescent="0.25"/>
    <row r="11" spans="1:20" hidden="1" outlineLevel="1" x14ac:dyDescent="0.25">
      <c r="B11" s="38" t="s">
        <v>7</v>
      </c>
      <c r="C11" s="39"/>
      <c r="D11" s="40"/>
    </row>
    <row r="12" spans="1:20" hidden="1" outlineLevel="1" x14ac:dyDescent="0.25">
      <c r="B12" s="3" t="s">
        <v>8</v>
      </c>
      <c r="C12" s="4" t="s">
        <v>70</v>
      </c>
      <c r="D12" s="5"/>
    </row>
    <row r="13" spans="1:20" hidden="1" outlineLevel="1" x14ac:dyDescent="0.25">
      <c r="B13" s="3" t="s">
        <v>9</v>
      </c>
      <c r="C13" s="6" t="str">
        <f ca="1">_xll.VIEW(db_name&amp;":}ElementAttributes_}Clients","!","!")</f>
        <v>dcceew_geus:}ElementAttributes_}Clients</v>
      </c>
      <c r="D13" s="5"/>
    </row>
    <row r="14" spans="1:20" hidden="1" outlineLevel="1" x14ac:dyDescent="0.25">
      <c r="B14" s="3" t="s">
        <v>10</v>
      </c>
      <c r="C14" s="4" t="str">
        <f ca="1">_xll.TM1USER(db_name)</f>
        <v/>
      </c>
      <c r="D14" s="5"/>
    </row>
    <row r="15" spans="1:20" hidden="1" outlineLevel="1" x14ac:dyDescent="0.25">
      <c r="B15" s="3" t="s">
        <v>11</v>
      </c>
      <c r="C15" s="4" t="str">
        <f ca="1">_xll.DBR($C$13,$C$14,$B15)</f>
        <v>*KEY_ERR</v>
      </c>
      <c r="D15" s="5"/>
    </row>
    <row r="16" spans="1:20" hidden="1" outlineLevel="1" x14ac:dyDescent="0.25">
      <c r="B16" s="3" t="s">
        <v>12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13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38" t="s">
        <v>14</v>
      </c>
      <c r="C19" s="39"/>
      <c r="D19" s="40"/>
    </row>
    <row r="20" spans="2:8" hidden="1" outlineLevel="1" x14ac:dyDescent="0.25">
      <c r="B20" s="3" t="s">
        <v>15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16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17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18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19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20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38" t="s">
        <v>29</v>
      </c>
      <c r="C27" s="39"/>
      <c r="D27" s="40"/>
    </row>
    <row r="28" spans="2:8" hidden="1" outlineLevel="1" x14ac:dyDescent="0.25">
      <c r="B28" s="3" t="s">
        <v>30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31</v>
      </c>
      <c r="C29" t="s">
        <v>49</v>
      </c>
      <c r="D29" s="7"/>
    </row>
    <row r="30" spans="2:8" hidden="1" outlineLevel="1" x14ac:dyDescent="0.25">
      <c r="B30" s="7"/>
      <c r="C30" s="3" t="s">
        <v>32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37</v>
      </c>
    </row>
    <row r="31" spans="2:8" hidden="1" outlineLevel="1" x14ac:dyDescent="0.25">
      <c r="B31" s="7" t="s">
        <v>38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39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20" hidden="1" outlineLevel="1" x14ac:dyDescent="0.25">
      <c r="B33" s="7" t="s">
        <v>40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20" hidden="1" outlineLevel="1" x14ac:dyDescent="0.25">
      <c r="B34" s="7" t="s">
        <v>41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20" hidden="1" outlineLevel="1" x14ac:dyDescent="0.25">
      <c r="B35" s="7" t="s">
        <v>42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20" hidden="1" outlineLevel="1" x14ac:dyDescent="0.25">
      <c r="B36" s="7" t="s">
        <v>49</v>
      </c>
      <c r="C36" s="7" t="str">
        <f ca="1">_xll.DBR($C$28,$B36,C$30)</f>
        <v>*KEY_ERR</v>
      </c>
      <c r="D36" s="7" t="str">
        <f ca="1">_xll.DBR($C$28,$B36,D$30)</f>
        <v>*KEY_ERR</v>
      </c>
      <c r="E36" s="7" t="str">
        <f ca="1">_xll.DBR($C$28,$B36,E$30)</f>
        <v>*KEY_ERR</v>
      </c>
      <c r="F36" s="7" t="str">
        <f ca="1">_xll.DBR($C$28,$B36,F$30)</f>
        <v>*KEY_ERR</v>
      </c>
      <c r="G36" s="7" t="str">
        <f ca="1">_xll.DBR($C$28,$B36,G$30)</f>
        <v>*KEY_ERR</v>
      </c>
      <c r="H36" s="7" t="str">
        <f ca="1">_xll.DBR($C$28,$B36,H$30)</f>
        <v>*KEY_ERR</v>
      </c>
    </row>
    <row r="37" spans="2:20" hidden="1" outlineLevel="1" x14ac:dyDescent="0.25">
      <c r="B37" s="7" t="s">
        <v>62</v>
      </c>
      <c r="C37" s="7" t="str">
        <f ca="1">_xll.DBR($C$28,$B37,C$30)</f>
        <v>*KEY_ERR</v>
      </c>
      <c r="D37" s="7" t="str">
        <f ca="1">_xll.DBR($C$28,$B37,D$30)</f>
        <v>*KEY_ERR</v>
      </c>
      <c r="E37" s="7" t="str">
        <f ca="1">_xll.DBR($C$28,$B37,E$30)</f>
        <v>*KEY_ERR</v>
      </c>
      <c r="F37" s="7" t="str">
        <f ca="1">_xll.DBR($C$28,$B37,F$30)</f>
        <v>*KEY_ERR</v>
      </c>
      <c r="G37" s="7" t="str">
        <f ca="1">_xll.DBR($C$28,$B37,G$30)</f>
        <v>*KEY_ERR</v>
      </c>
      <c r="H37" s="7" t="str">
        <f ca="1">_xll.DBR($C$28,$B37,H$30)</f>
        <v>*KEY_ERR</v>
      </c>
    </row>
    <row r="38" spans="2:20" hidden="1" outlineLevel="1" x14ac:dyDescent="0.25">
      <c r="B38" s="14" t="s">
        <v>44</v>
      </c>
      <c r="C38" s="15" t="s">
        <v>43</v>
      </c>
    </row>
    <row r="39" spans="2:20" ht="17.25" hidden="1" customHeight="1" outlineLevel="1" x14ac:dyDescent="0.25"/>
    <row r="40" spans="2:20" hidden="1" outlineLevel="1" x14ac:dyDescent="0.25">
      <c r="B40" s="38" t="s">
        <v>47</v>
      </c>
      <c r="C40" s="39"/>
      <c r="D40" s="40"/>
    </row>
    <row r="41" spans="2:20" hidden="1" outlineLevel="1" x14ac:dyDescent="0.25">
      <c r="B41" s="3" t="s">
        <v>21</v>
      </c>
      <c r="C41" s="7" t="str">
        <f ca="1">_xll.TM1RPTVIEW(db_name&amp;":}ElementAttributes_programme:1", 0,TM1RPTFMTRNG,TM1RPTFMTIDCOL)</f>
        <v>dcceew_geus:}ElementAttributes_programme:1</v>
      </c>
    </row>
    <row r="42" spans="2:20" hidden="1" outlineLevel="1" x14ac:dyDescent="0.25">
      <c r="B42" s="3" t="s">
        <v>22</v>
      </c>
      <c r="C42" s="7" t="str">
        <f ca="1">_xll.VIEW(db_name&amp;":}ElementAttributes_programme","!","!")</f>
        <v>dcceew_geus:}ElementAttributes_programme</v>
      </c>
    </row>
    <row r="43" spans="2:20" hidden="1" outlineLevel="1" x14ac:dyDescent="0.25">
      <c r="B43" s="3" t="s">
        <v>23</v>
      </c>
      <c r="C43" s="7" t="str">
        <f ca="1">IF($Q$58="Expand",$C$45,$C$46)</f>
        <v>{[programme].[]}</v>
      </c>
      <c r="D43" s="5"/>
    </row>
    <row r="44" spans="2:20" hidden="1" outlineLevel="1" x14ac:dyDescent="0.25">
      <c r="B44" s="3" t="s">
        <v>26</v>
      </c>
      <c r="C44" s="7" t="s">
        <v>50</v>
      </c>
      <c r="J44" s="8" t="s">
        <v>24</v>
      </c>
      <c r="L44" s="25" t="s">
        <v>48</v>
      </c>
    </row>
    <row r="45" spans="2:20" hidden="1" outlineLevel="1" x14ac:dyDescent="0.25">
      <c r="B45" s="3" t="s">
        <v>27</v>
      </c>
      <c r="C45" s="7" t="str">
        <f ca="1">"{TM1DRILLDOWNMEMBER( {[programme].[" &amp; $L$58 &amp; "]}, ALL, RECURSIVE )}"</f>
        <v>{TM1DRILLDOWNMEMBER( {[programme].[]}, ALL, RECURSIVE )}</v>
      </c>
    </row>
    <row r="46" spans="2:20" hidden="1" outlineLevel="1" x14ac:dyDescent="0.25">
      <c r="B46" s="34" t="s">
        <v>66</v>
      </c>
      <c r="C46" t="str">
        <f ca="1">"{[programme].[" &amp; $L$58 &amp; "]}"</f>
        <v>{[programme].[]}</v>
      </c>
    </row>
    <row r="47" spans="2:20" ht="30" hidden="1" outlineLevel="1" x14ac:dyDescent="0.25">
      <c r="J47" s="1" t="s">
        <v>28</v>
      </c>
      <c r="L47" s="2" t="s">
        <v>0</v>
      </c>
      <c r="M47" s="2" t="s">
        <v>1</v>
      </c>
      <c r="N47" s="11" t="s">
        <v>68</v>
      </c>
      <c r="O47" s="11" t="s">
        <v>69</v>
      </c>
      <c r="P47" s="2" t="s">
        <v>51</v>
      </c>
      <c r="Q47" s="2" t="s">
        <v>52</v>
      </c>
      <c r="R47" s="2" t="s">
        <v>59</v>
      </c>
      <c r="S47" s="2" t="s">
        <v>60</v>
      </c>
      <c r="T47" s="2" t="s">
        <v>2</v>
      </c>
    </row>
    <row r="48" spans="2:20" hidden="1" outlineLevel="1" x14ac:dyDescent="0.25"/>
    <row r="49" spans="1:20" hidden="1" outlineLevel="1" x14ac:dyDescent="0.25"/>
    <row r="50" spans="1:20" ht="39.75" customHeight="1" collapsed="1" x14ac:dyDescent="0.25">
      <c r="I50" s="16"/>
      <c r="J50" s="16"/>
      <c r="K50" s="16"/>
      <c r="L50" s="16"/>
      <c r="M50" s="16"/>
      <c r="N50" s="16"/>
      <c r="O50" s="16"/>
      <c r="P50" s="18"/>
      <c r="Q50" s="16"/>
      <c r="R50" s="16"/>
      <c r="S50" s="16"/>
      <c r="T50" s="16" t="s">
        <v>58</v>
      </c>
    </row>
    <row r="51" spans="1:20" ht="4.5" customHeight="1" x14ac:dyDescent="0.25"/>
    <row r="52" spans="1:20" ht="24" customHeight="1" x14ac:dyDescent="0.25">
      <c r="J52" s="1"/>
    </row>
    <row r="53" spans="1:20" ht="1.5" customHeight="1" x14ac:dyDescent="0.25">
      <c r="I53" s="16"/>
      <c r="J53" s="16"/>
      <c r="K53" s="16"/>
      <c r="L53" s="16"/>
      <c r="M53" s="16"/>
      <c r="N53" s="16"/>
      <c r="O53" s="16"/>
      <c r="P53" s="18"/>
      <c r="Q53" s="16"/>
      <c r="R53" s="16"/>
      <c r="S53" s="16"/>
      <c r="T53" s="16"/>
    </row>
    <row r="54" spans="1:20" x14ac:dyDescent="0.25">
      <c r="J54" s="42" t="s">
        <v>63</v>
      </c>
      <c r="K54" s="42"/>
      <c r="L54" s="42"/>
      <c r="M54" s="42"/>
      <c r="N54" s="36"/>
      <c r="O54" s="36"/>
    </row>
    <row r="55" spans="1:20" x14ac:dyDescent="0.25">
      <c r="J55" s="28" t="s">
        <v>53</v>
      </c>
    </row>
    <row r="56" spans="1:20" ht="5.0999999999999996" customHeight="1" x14ac:dyDescent="0.25"/>
    <row r="57" spans="1:20" ht="15.75" thickBot="1" x14ac:dyDescent="0.3">
      <c r="L57" s="9" t="s">
        <v>25</v>
      </c>
      <c r="Q57" s="33" t="s">
        <v>64</v>
      </c>
    </row>
    <row r="58" spans="1:20" ht="15.75" thickBot="1" x14ac:dyDescent="0.3">
      <c r="J58" s="8" t="s">
        <v>56</v>
      </c>
      <c r="L58" s="41" t="str">
        <f ca="1">_xll.SUBNM(db_name&amp;":programme","","Total Programmes","code and description")</f>
        <v/>
      </c>
      <c r="M58" s="41"/>
      <c r="N58" s="37"/>
      <c r="O58" s="37"/>
      <c r="Q58" s="32" t="str">
        <f ca="1">_xll.SUBNM(db_name&amp;":sys_report display","","Expand")</f>
        <v/>
      </c>
    </row>
    <row r="59" spans="1:20" x14ac:dyDescent="0.25">
      <c r="T59" s="35"/>
    </row>
    <row r="60" spans="1:20" ht="5.0999999999999996" customHeight="1" x14ac:dyDescent="0.25"/>
    <row r="61" spans="1:20" ht="30" x14ac:dyDescent="0.25">
      <c r="J61" s="10" t="s">
        <v>57</v>
      </c>
      <c r="L61" s="11" t="s">
        <v>45</v>
      </c>
      <c r="M61" s="11" t="s">
        <v>46</v>
      </c>
      <c r="N61" s="11" t="s">
        <v>68</v>
      </c>
      <c r="O61" s="11" t="s">
        <v>69</v>
      </c>
      <c r="P61" s="11" t="s">
        <v>54</v>
      </c>
      <c r="Q61" s="11" t="s">
        <v>55</v>
      </c>
      <c r="R61" s="11" t="s">
        <v>61</v>
      </c>
      <c r="S61" s="11" t="s">
        <v>65</v>
      </c>
      <c r="T61" s="11" t="s">
        <v>67</v>
      </c>
    </row>
    <row r="62" spans="1:20" x14ac:dyDescent="0.25">
      <c r="A62" t="str">
        <f ca="1">IF(_xll.TM1RPTELISCONSOLIDATED($J$62,$J62),IF(_xll.TM1RPTELLEV($J$62,$J62)&lt;=3,_xll.TM1RPTELLEV($J$62,$J62),"D"),"N")</f>
        <v>N</v>
      </c>
      <c r="J62" s="26" t="str">
        <f ca="1">_xll.TM1RPTROW($C$41,db_name&amp;":programme","","","",0,$C$43)</f>
        <v/>
      </c>
      <c r="L62" s="19" t="str">
        <f ca="1">_xll.DBRW($C$41,$J62,L$47)</f>
        <v/>
      </c>
      <c r="M62" s="19" t="str">
        <f ca="1">_xll.DBRW($C$41,$J62,M$47)</f>
        <v/>
      </c>
      <c r="N62" s="19" t="str">
        <f ca="1">_xll.DBRW($C$41,$J62,N$47)</f>
        <v/>
      </c>
      <c r="O62" s="19" t="str">
        <f ca="1">_xll.DBRW($C$41,$J62,O$47)</f>
        <v/>
      </c>
      <c r="P62" s="20" t="str">
        <f ca="1">_xll.DBRW($C$41,$J62,P$47)</f>
        <v/>
      </c>
      <c r="Q62" s="29" t="str">
        <f ca="1">_xll.DBRW($C$41,$J62,Q$47)</f>
        <v/>
      </c>
      <c r="R62" s="29" t="str">
        <f ca="1">_xll.DBRW($C$41,$J62,R$47)</f>
        <v/>
      </c>
      <c r="S62" s="29" t="str">
        <f ca="1">_xll.DBRW($C$41,$J62,S$47)</f>
        <v/>
      </c>
      <c r="T62" s="20" t="str">
        <f ca="1">_xll.DBRW($C$41,$J62,T$47)</f>
        <v/>
      </c>
    </row>
  </sheetData>
  <sheetProtection sheet="1" objects="1" scenarios="1"/>
  <mergeCells count="6">
    <mergeCell ref="B11:D11"/>
    <mergeCell ref="B19:D19"/>
    <mergeCell ref="B40:D40"/>
    <mergeCell ref="L58:M58"/>
    <mergeCell ref="B27:D27"/>
    <mergeCell ref="J54:M54"/>
  </mergeCells>
  <dataValidations count="1">
    <dataValidation type="list" allowBlank="1" showInputMessage="1" showErrorMessage="1" sqref="L44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autoPict="0" r:id="rId5">
            <anchor moveWithCells="1" sizeWithCells="1">
              <from>
                <xdr:col>11</xdr:col>
                <xdr:colOff>1257300</xdr:colOff>
                <xdr:row>51</xdr:row>
                <xdr:rowOff>0</xdr:rowOff>
              </from>
              <to>
                <xdr:col>11</xdr:col>
                <xdr:colOff>2609850</xdr:colOff>
                <xdr:row>51</xdr:row>
                <xdr:rowOff>247650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9" r:id="rId6" name="TIButton5">
          <controlPr defaultSize="0" print="0" autoLine="0" autoPict="0" r:id="rId7">
            <anchor moveWithCells="1" sizeWithCells="1">
              <from>
                <xdr:col>11</xdr:col>
                <xdr:colOff>2628900</xdr:colOff>
                <xdr:row>51</xdr:row>
                <xdr:rowOff>0</xdr:rowOff>
              </from>
              <to>
                <xdr:col>11</xdr:col>
                <xdr:colOff>3276600</xdr:colOff>
                <xdr:row>51</xdr:row>
                <xdr:rowOff>247650</xdr:rowOff>
              </to>
            </anchor>
          </controlPr>
        </control>
      </mc:Choice>
      <mc:Fallback>
        <control shapeId="1029" r:id="rId6" name="TIButton5"/>
      </mc:Fallback>
    </mc:AlternateContent>
    <mc:AlternateContent xmlns:mc="http://schemas.openxmlformats.org/markup-compatibility/2006">
      <mc:Choice Requires="x14">
        <control shapeId="1028" r:id="rId8" name="TIButton4">
          <controlPr defaultSize="0" print="0" autoLine="0" r:id="rId9">
            <anchor moveWithCells="1" sizeWithCells="1">
              <from>
                <xdr:col>19</xdr:col>
                <xdr:colOff>266700</xdr:colOff>
                <xdr:row>50</xdr:row>
                <xdr:rowOff>28575</xdr:rowOff>
              </from>
              <to>
                <xdr:col>19</xdr:col>
                <xdr:colOff>476250</xdr:colOff>
                <xdr:row>51</xdr:row>
                <xdr:rowOff>180975</xdr:rowOff>
              </to>
            </anchor>
          </controlPr>
        </control>
      </mc:Choice>
      <mc:Fallback>
        <control shapeId="1028" r:id="rId8" name="TIButton4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r:id="rId11">
            <anchor moveWithCells="1" sizeWithCells="1">
              <from>
                <xdr:col>9</xdr:col>
                <xdr:colOff>1838325</xdr:colOff>
                <xdr:row>51</xdr:row>
                <xdr:rowOff>0</xdr:rowOff>
              </from>
              <to>
                <xdr:col>11</xdr:col>
                <xdr:colOff>1257300</xdr:colOff>
                <xdr:row>51</xdr:row>
                <xdr:rowOff>247650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autoPict="0" r:id="rId13">
            <anchor moveWithCells="1" sizeWithCells="1">
              <from>
                <xdr:col>9</xdr:col>
                <xdr:colOff>676275</xdr:colOff>
                <xdr:row>51</xdr:row>
                <xdr:rowOff>0</xdr:rowOff>
              </from>
              <to>
                <xdr:col>9</xdr:col>
                <xdr:colOff>1819275</xdr:colOff>
                <xdr:row>51</xdr:row>
                <xdr:rowOff>247650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autoPict="0" r:id="rId15">
            <anchor moveWithCells="1" sizeWithCells="1">
              <from>
                <xdr:col>9</xdr:col>
                <xdr:colOff>0</xdr:colOff>
                <xdr:row>51</xdr:row>
                <xdr:rowOff>0</xdr:rowOff>
              </from>
              <to>
                <xdr:col>9</xdr:col>
                <xdr:colOff>666750</xdr:colOff>
                <xdr:row>51</xdr:row>
                <xdr:rowOff>247650</xdr:rowOff>
              </to>
            </anchor>
          </controlPr>
        </control>
      </mc:Choice>
      <mc:Fallback>
        <control shapeId="1025" r:id="rId1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RDS</vt:lpstr>
      <vt:lpstr>db_name</vt:lpstr>
      <vt:lpstr>Freeze_here</vt:lpstr>
      <vt:lpstr>psApp</vt:lpstr>
      <vt:lpstr>psUser</vt:lpstr>
      <vt:lpstr>TM1AdminProgDetCAP</vt:lpstr>
      <vt:lpstr>TM1AdminProgDetWB</vt:lpstr>
      <vt:lpstr>TM1AdminProgDetWS</vt:lpstr>
      <vt:lpstr>TM1AdminRDSProgCAP</vt:lpstr>
      <vt:lpstr>TM1AdminRDSProgWB</vt:lpstr>
      <vt:lpstr>TM1AdminRDSProgWS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2025-08-05T04:51:28Z</dcterms:modified>
</cp:coreProperties>
</file>