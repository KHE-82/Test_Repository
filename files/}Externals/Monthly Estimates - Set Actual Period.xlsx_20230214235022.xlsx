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75F7960A-BEEC-4EC1-8B4E-28079DDFB870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setup" sheetId="1" r:id="rId1"/>
  </sheets>
  <definedNames>
    <definedName name="db_name">setup!$B$2</definedName>
    <definedName name="sys_month_list">setup!$E$1:$E$13</definedName>
    <definedName name="TM1MEAccTempCAP">setup!$C$27</definedName>
    <definedName name="TM1MEAccTempWB">setup!$E$27</definedName>
    <definedName name="TM1MEAccTempWS">setup!$G$27</definedName>
    <definedName name="TM1MEBSDataEntryCAP">setup!$C$23</definedName>
    <definedName name="TM1MEBSDataEntryWB">setup!$E$23</definedName>
    <definedName name="TM1MEBSDataEntryWS">setup!$G$23</definedName>
    <definedName name="TM1MECCMapCAP">setup!$C$24</definedName>
    <definedName name="TM1MECCMapWB">setup!$E$24</definedName>
    <definedName name="TM1MECCMapWS">setup!$G$24</definedName>
    <definedName name="TM1MEDataEntryCAP">setup!$C$21</definedName>
    <definedName name="TM1MEDataEntryWB">setup!$E$21</definedName>
    <definedName name="TM1MEDataEntryWS">setup!$G$21</definedName>
    <definedName name="TM1MEGLMapCAP">setup!$C$25</definedName>
    <definedName name="TM1MEGLMapWB">setup!$E$25</definedName>
    <definedName name="TM1MEGLMapWS">setup!$G$25</definedName>
    <definedName name="TM1MEHomeCAP">setup!$C$20</definedName>
    <definedName name="TM1MEHomeWB">setup!$E$20</definedName>
    <definedName name="TM1MEHomeWS">setup!$G$20</definedName>
    <definedName name="TM1MEOSDataEntryCAP">setup!$C$22</definedName>
    <definedName name="TM1MEOSDataEntryWB">setup!$E$22</definedName>
    <definedName name="TM1MEOSDataEntryWS">setup!$G$22</definedName>
    <definedName name="TM1MESummaryCAP">setup!$C$26</definedName>
    <definedName name="TM1MESummaryWB">setup!$E$26</definedName>
    <definedName name="TM1MESummaryWS">setup!$G$26</definedName>
    <definedName name="TM1REBUILDOPTION">1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1" l="1"/>
  <c r="K41" i="1"/>
  <c r="K40" i="1"/>
  <c r="B6" i="1"/>
  <c r="K37" i="1"/>
  <c r="B18" i="1"/>
  <c r="F26" i="1"/>
  <c r="D25" i="1"/>
  <c r="B24" i="1"/>
  <c r="F22" i="1"/>
  <c r="D21" i="1"/>
  <c r="B20" i="1"/>
  <c r="B3" i="1"/>
  <c r="G27" i="1"/>
  <c r="E26" i="1"/>
  <c r="C25" i="1"/>
  <c r="G23" i="1"/>
  <c r="E22" i="1"/>
  <c r="C21" i="1"/>
  <c r="K44" i="1"/>
  <c r="F27" i="1"/>
  <c r="D26" i="1"/>
  <c r="B25" i="1"/>
  <c r="F23" i="1"/>
  <c r="D22" i="1"/>
  <c r="B21" i="1"/>
  <c r="B12" i="1"/>
  <c r="K51" i="1"/>
  <c r="K43" i="1"/>
  <c r="B26" i="1"/>
  <c r="F24" i="1"/>
  <c r="D23" i="1"/>
  <c r="F20" i="1"/>
  <c r="K49" i="1"/>
  <c r="C27" i="1"/>
  <c r="E24" i="1"/>
  <c r="C23" i="1"/>
  <c r="E20" i="1"/>
  <c r="K48" i="1"/>
  <c r="B23" i="1"/>
  <c r="D20" i="1"/>
  <c r="K47" i="1"/>
  <c r="C20" i="1"/>
  <c r="E21" i="1"/>
  <c r="G22" i="1"/>
  <c r="C24" i="1"/>
  <c r="E25" i="1"/>
  <c r="G26" i="1"/>
  <c r="D24" i="1"/>
  <c r="F25" i="1"/>
  <c r="B27" i="1"/>
  <c r="F21" i="1"/>
  <c r="G21" i="1"/>
  <c r="G25" i="1"/>
  <c r="B22" i="1"/>
  <c r="D27" i="1"/>
  <c r="G20" i="1"/>
  <c r="C22" i="1"/>
  <c r="E23" i="1"/>
  <c r="G24" i="1"/>
  <c r="C26" i="1"/>
  <c r="E27" i="1"/>
  <c r="B7" i="1"/>
  <c r="B8" i="1"/>
  <c r="B9" i="1"/>
  <c r="B10" i="1"/>
  <c r="B11" i="1"/>
  <c r="K45" i="1"/>
  <c r="K46" i="1"/>
  <c r="K42" i="1"/>
  <c r="K50" i="1"/>
</calcChain>
</file>

<file path=xl/sharedStrings.xml><?xml version="1.0" encoding="utf-8"?>
<sst xmlns="http://schemas.openxmlformats.org/spreadsheetml/2006/main" count="86" uniqueCount="61">
  <si>
    <t>CUBE:</t>
  </si>
  <si>
    <t>ME Actuals</t>
  </si>
  <si>
    <t>Jul YTD</t>
  </si>
  <si>
    <t>Aug YTD</t>
  </si>
  <si>
    <t>Sep YTD</t>
  </si>
  <si>
    <t>Oct YTD</t>
  </si>
  <si>
    <t>Nov YTD</t>
  </si>
  <si>
    <t>Dec YTD</t>
  </si>
  <si>
    <t>Jan YTD</t>
  </si>
  <si>
    <t>Feb YTD</t>
  </si>
  <si>
    <t>Mar YTD</t>
  </si>
  <si>
    <t>Apr YTD</t>
  </si>
  <si>
    <t>May YTD</t>
  </si>
  <si>
    <t>Jun YTD</t>
  </si>
  <si>
    <t>System Variables</t>
  </si>
  <si>
    <t>Database Name</t>
  </si>
  <si>
    <t>Current User</t>
  </si>
  <si>
    <t>ME System Variable</t>
  </si>
  <si>
    <t>Cube View</t>
  </si>
  <si>
    <t>ME_headline year</t>
  </si>
  <si>
    <t>ME year</t>
  </si>
  <si>
    <t>ME_period</t>
  </si>
  <si>
    <t>ME_save location</t>
  </si>
  <si>
    <t>ME_Reason Code</t>
  </si>
  <si>
    <t>ME_Journal Title</t>
  </si>
  <si>
    <t>}ElementAttributes_period</t>
  </si>
  <si>
    <t>sys_application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</si>
  <si>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</si>
  <si>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</si>
  <si>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</si>
  <si>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</si>
  <si>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</si>
  <si>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</si>
  <si>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</si>
  <si>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- Data Entry</t>
  </si>
  <si>
    <t>ME - OS Data Entry</t>
  </si>
  <si>
    <t>ME - BS Data Entry</t>
  </si>
  <si>
    <t>ME - CC Mapping</t>
  </si>
  <si>
    <t>ME - GL Mapping</t>
  </si>
  <si>
    <t>ME - Summary</t>
  </si>
  <si>
    <t>ME - Account Template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</si>
  <si>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</si>
  <si>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</si>
  <si>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</si>
  <si>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</si>
  <si>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</si>
  <si>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</si>
  <si>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</si>
  <si>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</si>
  <si>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</si>
  <si>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</si>
  <si>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</si>
  <si>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</si>
  <si>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Month</t>
  </si>
  <si>
    <t>Monthly Estimates - Set Actual Periods</t>
  </si>
  <si>
    <t xml:space="preserve">Note : This screen is used to manage the 'Actual' periods during the Monthly Estimates process in MYEFO. </t>
  </si>
  <si>
    <t>It is to identify which periods the flatfile process will exclude for CBMS.</t>
  </si>
  <si>
    <t>ME Actuals Period</t>
  </si>
  <si>
    <t>Select Actual Period :</t>
  </si>
  <si>
    <t>ME Actuals (Y)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</si>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</sst>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2" fillId="0" borderId="1" xfId="0" applyFont="1" applyBorder="1"/>
    <xf numFmtId="0" fontId="1" fillId="3" borderId="0" xfId="0" applyFont="1" applyFill="1" applyAlignment="1">
      <alignment horizontal="center" vertical="center"/>
    </xf>
    <xf numFmtId="0" fontId="3" fillId="4" borderId="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4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3" fillId="0" borderId="0" xfId="0" applyFont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32"/>
  <ax:ocxPr ax:name="_ExtentY" ax:value="42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032"/>
  <ax:ocxPr ax:name="_ExtentY" ax:value="423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31</xdr:row>
          <xdr:rowOff>9525</xdr:rowOff>
        </xdr:from>
        <xdr:to>
          <xdr:col>9</xdr:col>
          <xdr:colOff>676275</xdr:colOff>
          <xdr:row>31</xdr:row>
          <xdr:rowOff>257175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752475</xdr:colOff>
          <xdr:row>31</xdr:row>
          <xdr:rowOff>9525</xdr:rowOff>
        </xdr:from>
        <xdr:to>
          <xdr:col>10</xdr:col>
          <xdr:colOff>161925</xdr:colOff>
          <xdr:row>31</xdr:row>
          <xdr:rowOff>257175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9</xdr:col>
      <xdr:colOff>0</xdr:colOff>
      <xdr:row>0</xdr:row>
      <xdr:rowOff>0</xdr:rowOff>
    </xdr:from>
    <xdr:to>
      <xdr:col>10</xdr:col>
      <xdr:colOff>586740</xdr:colOff>
      <xdr:row>30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O52"/>
  <sheetViews>
    <sheetView showGridLines="0" showRowColHeaders="0" tabSelected="1" showOutlineSymbols="0" topLeftCell="I30" workbookViewId="0">
      <selection sqref="A1:B1"/>
    </sheetView>
  </sheetViews>
  <sheetFormatPr defaultRowHeight="15" outlineLevelRow="1" outlineLevelCol="1" x14ac:dyDescent="0.25"/>
  <cols>
    <col min="1" max="1" width="29.140625" hidden="1" customWidth="1" outlineLevel="1"/>
    <col min="2" max="2" width="21" hidden="1" customWidth="1" outlineLevel="1"/>
    <col min="3" max="7" width="20.28515625" hidden="1" customWidth="1" outlineLevel="1"/>
    <col min="8" max="8" width="9.140625" hidden="1" customWidth="1" outlineLevel="1"/>
    <col min="9" max="9" width="0.85546875" customWidth="1" collapsed="1"/>
    <col min="10" max="10" width="18.42578125" customWidth="1"/>
    <col min="11" max="11" width="26.42578125" customWidth="1"/>
    <col min="15" max="15" width="19.5703125" customWidth="1"/>
  </cols>
  <sheetData>
    <row r="1" spans="1:5" hidden="1" outlineLevel="1" x14ac:dyDescent="0.25">
      <c r="A1" s="14" t="s">
        <v>14</v>
      </c>
      <c r="B1" s="14"/>
    </row>
    <row r="2" spans="1:5" hidden="1" outlineLevel="1" x14ac:dyDescent="0.25">
      <c r="A2" s="2" t="s">
        <v>15</v>
      </c>
      <c r="B2" s="2" t="s">
        <v>60</v>
      </c>
      <c r="E2" t="s">
        <v>41</v>
      </c>
    </row>
    <row r="3" spans="1:5" hidden="1" outlineLevel="1" x14ac:dyDescent="0.25">
      <c r="A3" s="2" t="s">
        <v>16</v>
      </c>
      <c r="B3" s="2" t="str">
        <f ca="1">_xll.TM1USER(db_name)</f>
        <v/>
      </c>
      <c r="E3" t="s">
        <v>42</v>
      </c>
    </row>
    <row r="4" spans="1:5" hidden="1" outlineLevel="1" x14ac:dyDescent="0.25">
      <c r="E4" t="s">
        <v>43</v>
      </c>
    </row>
    <row r="5" spans="1:5" hidden="1" outlineLevel="1" x14ac:dyDescent="0.25">
      <c r="A5" s="14" t="s">
        <v>17</v>
      </c>
      <c r="B5" s="14"/>
      <c r="E5" t="s">
        <v>44</v>
      </c>
    </row>
    <row r="6" spans="1:5" hidden="1" outlineLevel="1" x14ac:dyDescent="0.25">
      <c r="A6" s="2" t="s">
        <v>18</v>
      </c>
      <c r="B6" s="2" t="str">
        <f ca="1">_xll.VIEW(db_name&amp;":sys_ME variable","!","!")</f>
        <v>dcceew_geus:sys_ME variable</v>
      </c>
      <c r="E6" t="s">
        <v>45</v>
      </c>
    </row>
    <row r="7" spans="1:5" hidden="1" outlineLevel="1" x14ac:dyDescent="0.25">
      <c r="A7" s="2" t="s">
        <v>19</v>
      </c>
      <c r="B7" s="2" t="str">
        <f ca="1">_xll.DBR($B$6,$A7,"value")</f>
        <v>*KEY_ERR</v>
      </c>
      <c r="E7" t="s">
        <v>46</v>
      </c>
    </row>
    <row r="8" spans="1:5" hidden="1" outlineLevel="1" x14ac:dyDescent="0.25">
      <c r="A8" s="2" t="s">
        <v>20</v>
      </c>
      <c r="B8" s="2" t="str">
        <f ca="1">_xll.DBR($B$6,$A8,"value")</f>
        <v>*KEY_ERR</v>
      </c>
      <c r="E8" t="s">
        <v>47</v>
      </c>
    </row>
    <row r="9" spans="1:5" hidden="1" outlineLevel="1" x14ac:dyDescent="0.25">
      <c r="A9" s="2" t="s">
        <v>21</v>
      </c>
      <c r="B9" s="2" t="str">
        <f ca="1">_xll.DBR($B$6,$A9,"value")</f>
        <v>*KEY_ERR</v>
      </c>
      <c r="E9" t="s">
        <v>48</v>
      </c>
    </row>
    <row r="10" spans="1:5" hidden="1" outlineLevel="1" x14ac:dyDescent="0.25">
      <c r="A10" s="2" t="s">
        <v>22</v>
      </c>
      <c r="B10" s="2" t="str">
        <f ca="1">_xll.DBR($B$6,$A10,"value")</f>
        <v>*KEY_ERR</v>
      </c>
      <c r="E10" t="s">
        <v>49</v>
      </c>
    </row>
    <row r="11" spans="1:5" hidden="1" outlineLevel="1" x14ac:dyDescent="0.25">
      <c r="A11" s="2" t="s">
        <v>23</v>
      </c>
      <c r="B11" s="2" t="str">
        <f ca="1">_xll.DBR($B$6,$A11,"value")</f>
        <v>*KEY_ERR</v>
      </c>
      <c r="E11" t="s">
        <v>50</v>
      </c>
    </row>
    <row r="12" spans="1:5" hidden="1" outlineLevel="1" x14ac:dyDescent="0.25">
      <c r="A12" s="2" t="s">
        <v>24</v>
      </c>
      <c r="B12" s="2" t="str">
        <f ca="1">_xll.DBR($B$6,$A12,"value")</f>
        <v>*KEY_ERR</v>
      </c>
      <c r="E12" t="s">
        <v>51</v>
      </c>
    </row>
    <row r="13" spans="1:5" hidden="1" outlineLevel="1" x14ac:dyDescent="0.25">
      <c r="E13" t="s">
        <v>52</v>
      </c>
    </row>
    <row r="14" spans="1:5" hidden="1" outlineLevel="1" x14ac:dyDescent="0.25">
      <c r="A14" s="14" t="s">
        <v>25</v>
      </c>
      <c r="B14" s="14"/>
    </row>
    <row r="15" spans="1:5" hidden="1" outlineLevel="1" x14ac:dyDescent="0.25">
      <c r="A15" t="s">
        <v>0</v>
      </c>
      <c r="B15" t="str">
        <f ca="1">_xll.VIEW(db_name&amp;":}ElementAttributes_period","!","!")</f>
        <v>dcceew_geus:}ElementAttributes_period</v>
      </c>
    </row>
    <row r="16" spans="1:5" hidden="1" outlineLevel="1" x14ac:dyDescent="0.25"/>
    <row r="17" spans="1:15" hidden="1" outlineLevel="1" x14ac:dyDescent="0.25">
      <c r="A17" s="14" t="s">
        <v>26</v>
      </c>
      <c r="B17" s="14"/>
    </row>
    <row r="18" spans="1:15" hidden="1" outlineLevel="1" x14ac:dyDescent="0.25">
      <c r="A18" s="3" t="s">
        <v>18</v>
      </c>
      <c r="B18" s="3" t="str">
        <f ca="1">_xll.VIEW(db_name&amp;":sys_application","!","!")</f>
        <v>dcceew_geus:sys_application</v>
      </c>
    </row>
    <row r="19" spans="1:15" hidden="1" outlineLevel="1" x14ac:dyDescent="0.25">
      <c r="A19" s="2"/>
      <c r="B19" s="4" t="s">
        <v>27</v>
      </c>
      <c r="C19" s="4" t="s">
        <v>28</v>
      </c>
      <c r="D19" s="4" t="s">
        <v>29</v>
      </c>
      <c r="E19" s="4" t="s">
        <v>30</v>
      </c>
      <c r="F19" s="4" t="s">
        <v>31</v>
      </c>
      <c r="G19" s="4" t="s">
        <v>32</v>
      </c>
    </row>
    <row r="20" spans="1:15" hidden="1" outlineLevel="1" x14ac:dyDescent="0.25">
      <c r="A20" s="2" t="s">
        <v>33</v>
      </c>
      <c r="B20" s="2" t="str">
        <f ca="1">_xll.DBR($B$18,$A20,B$19)</f>
        <v>*KEY_ERR</v>
      </c>
      <c r="C20" s="2" t="str">
        <f ca="1">_xll.DBR($B$18,$A20,C$19)</f>
        <v>*KEY_ERR</v>
      </c>
      <c r="D20" s="2" t="str">
        <f ca="1">_xll.DBR($B$18,$A20,D$19)</f>
        <v>*KEY_ERR</v>
      </c>
      <c r="E20" s="2" t="str">
        <f ca="1">_xll.DBR($B$18,$A20,E$19)</f>
        <v>*KEY_ERR</v>
      </c>
      <c r="F20" s="2" t="str">
        <f ca="1">_xll.DBR($B$18,$A20,F$19)</f>
        <v>*KEY_ERR</v>
      </c>
      <c r="G20" s="2" t="str">
        <f ca="1">_xll.DBR($B$18,$A20,G$19)</f>
        <v>*KEY_ERR</v>
      </c>
      <c r="K20" s="5" t="s">
        <v>1</v>
      </c>
    </row>
    <row r="21" spans="1:15" hidden="1" outlineLevel="1" x14ac:dyDescent="0.25">
      <c r="A21" s="2" t="s">
        <v>34</v>
      </c>
      <c r="B21" s="2" t="str">
        <f ca="1">_xll.DBR($B$18,$A21,B$19)</f>
        <v>*KEY_ERR</v>
      </c>
      <c r="C21" s="2" t="str">
        <f ca="1">_xll.DBR($B$18,$A21,C$19)</f>
        <v>*KEY_ERR</v>
      </c>
      <c r="D21" s="2" t="str">
        <f ca="1">_xll.DBR($B$18,$A21,D$19)</f>
        <v>*KEY_ERR</v>
      </c>
      <c r="E21" s="2" t="str">
        <f ca="1">_xll.DBR($B$18,$A21,E$19)</f>
        <v>*KEY_ERR</v>
      </c>
      <c r="F21" s="2" t="str">
        <f ca="1">_xll.DBR($B$18,$A21,F$19)</f>
        <v>*KEY_ERR</v>
      </c>
      <c r="G21" s="2" t="str">
        <f ca="1">_xll.DBR($B$18,$A21,G$19)</f>
        <v>*KEY_ERR</v>
      </c>
    </row>
    <row r="22" spans="1:15" hidden="1" outlineLevel="1" x14ac:dyDescent="0.25">
      <c r="A22" s="2" t="s">
        <v>35</v>
      </c>
      <c r="B22" s="2" t="str">
        <f ca="1">_xll.DBR($B$18,$A22,B$19)</f>
        <v>*KEY_ERR</v>
      </c>
      <c r="C22" s="2" t="str">
        <f ca="1">_xll.DBR($B$18,$A22,C$19)</f>
        <v>*KEY_ERR</v>
      </c>
      <c r="D22" s="2" t="str">
        <f ca="1">_xll.DBR($B$18,$A22,D$19)</f>
        <v>*KEY_ERR</v>
      </c>
      <c r="E22" s="2" t="str">
        <f ca="1">_xll.DBR($B$18,$A22,E$19)</f>
        <v>*KEY_ERR</v>
      </c>
      <c r="F22" s="2" t="str">
        <f ca="1">_xll.DBR($B$18,$A22,F$19)</f>
        <v>*KEY_ERR</v>
      </c>
      <c r="G22" s="2" t="str">
        <f ca="1">_xll.DBR($B$18,$A22,G$19)</f>
        <v>*KEY_ERR</v>
      </c>
    </row>
    <row r="23" spans="1:15" hidden="1" outlineLevel="1" x14ac:dyDescent="0.25">
      <c r="A23" s="2" t="s">
        <v>36</v>
      </c>
      <c r="B23" s="2" t="str">
        <f ca="1">_xll.DBR($B$18,$A23,B$19)</f>
        <v>*KEY_ERR</v>
      </c>
      <c r="C23" s="2" t="str">
        <f ca="1">_xll.DBR($B$18,$A23,C$19)</f>
        <v>*KEY_ERR</v>
      </c>
      <c r="D23" s="2" t="str">
        <f ca="1">_xll.DBR($B$18,$A23,D$19)</f>
        <v>*KEY_ERR</v>
      </c>
      <c r="E23" s="2" t="str">
        <f ca="1">_xll.DBR($B$18,$A23,E$19)</f>
        <v>*KEY_ERR</v>
      </c>
      <c r="F23" s="2" t="str">
        <f ca="1">_xll.DBR($B$18,$A23,F$19)</f>
        <v>*KEY_ERR</v>
      </c>
      <c r="G23" s="2" t="str">
        <f ca="1">_xll.DBR($B$18,$A23,G$19)</f>
        <v>*KEY_ERR</v>
      </c>
    </row>
    <row r="24" spans="1:15" hidden="1" outlineLevel="1" x14ac:dyDescent="0.25">
      <c r="A24" s="2" t="s">
        <v>37</v>
      </c>
      <c r="B24" s="2" t="str">
        <f ca="1">_xll.DBR($B$18,$A24,B$19)</f>
        <v>*KEY_ERR</v>
      </c>
      <c r="C24" s="2" t="str">
        <f ca="1">_xll.DBR($B$18,$A24,C$19)</f>
        <v>*KEY_ERR</v>
      </c>
      <c r="D24" s="2" t="str">
        <f ca="1">_xll.DBR($B$18,$A24,D$19)</f>
        <v>*KEY_ERR</v>
      </c>
      <c r="E24" s="2" t="str">
        <f ca="1">_xll.DBR($B$18,$A24,E$19)</f>
        <v>*KEY_ERR</v>
      </c>
      <c r="F24" s="2" t="str">
        <f ca="1">_xll.DBR($B$18,$A24,F$19)</f>
        <v>*KEY_ERR</v>
      </c>
      <c r="G24" s="2" t="str">
        <f ca="1">_xll.DBR($B$18,$A24,G$19)</f>
        <v>*KEY_ERR</v>
      </c>
    </row>
    <row r="25" spans="1:15" hidden="1" outlineLevel="1" x14ac:dyDescent="0.25">
      <c r="A25" s="2" t="s">
        <v>38</v>
      </c>
      <c r="B25" s="2" t="str">
        <f ca="1">_xll.DBR($B$18,$A25,B$19)</f>
        <v>*KEY_ERR</v>
      </c>
      <c r="C25" s="2" t="str">
        <f ca="1">_xll.DBR($B$18,$A25,C$19)</f>
        <v>*KEY_ERR</v>
      </c>
      <c r="D25" s="2" t="str">
        <f ca="1">_xll.DBR($B$18,$A25,D$19)</f>
        <v>*KEY_ERR</v>
      </c>
      <c r="E25" s="2" t="str">
        <f ca="1">_xll.DBR($B$18,$A25,E$19)</f>
        <v>*KEY_ERR</v>
      </c>
      <c r="F25" s="2" t="str">
        <f ca="1">_xll.DBR($B$18,$A25,F$19)</f>
        <v>*KEY_ERR</v>
      </c>
      <c r="G25" s="2" t="str">
        <f ca="1">_xll.DBR($B$18,$A25,G$19)</f>
        <v>*KEY_ERR</v>
      </c>
    </row>
    <row r="26" spans="1:15" hidden="1" outlineLevel="1" x14ac:dyDescent="0.25">
      <c r="A26" s="2" t="s">
        <v>39</v>
      </c>
      <c r="B26" s="2" t="str">
        <f ca="1">_xll.DBR($B$18,$A26,B$19)</f>
        <v>*KEY_ERR</v>
      </c>
      <c r="C26" s="2" t="str">
        <f ca="1">_xll.DBR($B$18,$A26,C$19)</f>
        <v>*KEY_ERR</v>
      </c>
      <c r="D26" s="2" t="str">
        <f ca="1">_xll.DBR($B$18,$A26,D$19)</f>
        <v>*KEY_ERR</v>
      </c>
      <c r="E26" s="2" t="str">
        <f ca="1">_xll.DBR($B$18,$A26,E$19)</f>
        <v>*KEY_ERR</v>
      </c>
      <c r="F26" s="2" t="str">
        <f ca="1">_xll.DBR($B$18,$A26,F$19)</f>
        <v>*KEY_ERR</v>
      </c>
      <c r="G26" s="2" t="str">
        <f ca="1">_xll.DBR($B$18,$A26,G$19)</f>
        <v>*KEY_ERR</v>
      </c>
    </row>
    <row r="27" spans="1:15" hidden="1" outlineLevel="1" x14ac:dyDescent="0.25">
      <c r="A27" s="2" t="s">
        <v>40</v>
      </c>
      <c r="B27" s="2" t="str">
        <f ca="1">_xll.DBR($B$18,$A27,B$19)</f>
        <v>*KEY_ERR</v>
      </c>
      <c r="C27" s="2" t="str">
        <f ca="1">_xll.DBR($B$18,$A27,C$19)</f>
        <v>*KEY_ERR</v>
      </c>
      <c r="D27" s="2" t="str">
        <f ca="1">_xll.DBR($B$18,$A27,D$19)</f>
        <v>*KEY_ERR</v>
      </c>
      <c r="E27" s="2" t="str">
        <f ca="1">_xll.DBR($B$18,$A27,E$19)</f>
        <v>*KEY_ERR</v>
      </c>
      <c r="F27" s="2" t="str">
        <f ca="1">_xll.DBR($B$18,$A27,F$19)</f>
        <v>*KEY_ERR</v>
      </c>
      <c r="G27" s="2" t="str">
        <f ca="1">_xll.DBR($B$18,$A27,G$19)</f>
        <v>*KEY_ERR</v>
      </c>
    </row>
    <row r="28" spans="1:15" hidden="1" outlineLevel="1" x14ac:dyDescent="0.25"/>
    <row r="29" spans="1:15" hidden="1" outlineLevel="1" x14ac:dyDescent="0.25"/>
    <row r="30" spans="1:15" ht="34.5" customHeight="1" collapsed="1" x14ac:dyDescent="0.4">
      <c r="I30" s="7"/>
      <c r="J30" s="7"/>
      <c r="K30" s="7"/>
      <c r="L30" s="7"/>
      <c r="M30" s="7"/>
      <c r="N30" s="7"/>
      <c r="O30" s="8" t="s">
        <v>54</v>
      </c>
    </row>
    <row r="31" spans="1:15" ht="4.5" customHeight="1" x14ac:dyDescent="0.25"/>
    <row r="32" spans="1:15" ht="24" customHeight="1" x14ac:dyDescent="0.25"/>
    <row r="33" spans="6:15" ht="1.5" customHeight="1" x14ac:dyDescent="0.25">
      <c r="I33" s="7"/>
      <c r="J33" s="7"/>
      <c r="K33" s="7"/>
      <c r="L33" s="7"/>
      <c r="M33" s="7"/>
      <c r="N33" s="7"/>
      <c r="O33" s="7"/>
    </row>
    <row r="34" spans="6:15" x14ac:dyDescent="0.25">
      <c r="J34" s="13" t="s">
        <v>55</v>
      </c>
      <c r="K34" s="13"/>
      <c r="L34" s="13"/>
      <c r="M34" s="13"/>
      <c r="N34" s="13"/>
      <c r="O34" s="13"/>
    </row>
    <row r="35" spans="6:15" x14ac:dyDescent="0.25">
      <c r="J35" s="13" t="s">
        <v>56</v>
      </c>
      <c r="K35" s="13"/>
      <c r="L35" s="13"/>
      <c r="M35" s="13"/>
      <c r="N35" s="13"/>
      <c r="O35" s="13"/>
    </row>
    <row r="36" spans="6:15" ht="4.5" customHeight="1" x14ac:dyDescent="0.25">
      <c r="J36" s="10"/>
      <c r="K36" s="10"/>
      <c r="L36" s="10"/>
      <c r="M36" s="10"/>
      <c r="N36" s="10"/>
      <c r="O36" s="10"/>
    </row>
    <row r="37" spans="6:15" x14ac:dyDescent="0.25">
      <c r="G37" s="1" t="s">
        <v>57</v>
      </c>
      <c r="J37" s="11" t="s">
        <v>58</v>
      </c>
      <c r="K37" s="9" t="str">
        <f ca="1">_xll.DBR($B$6,$G37,"value")</f>
        <v>*KEY_ERR</v>
      </c>
      <c r="L37" s="10"/>
      <c r="M37" s="10"/>
      <c r="N37" s="10"/>
      <c r="O37" s="10"/>
    </row>
    <row r="38" spans="6:15" hidden="1" x14ac:dyDescent="0.25">
      <c r="J38" s="10"/>
      <c r="K38" s="10"/>
      <c r="L38" s="10"/>
      <c r="M38" s="10"/>
      <c r="N38" s="10"/>
      <c r="O38" s="10"/>
    </row>
    <row r="39" spans="6:15" hidden="1" x14ac:dyDescent="0.25">
      <c r="J39" s="5" t="s">
        <v>53</v>
      </c>
      <c r="K39" s="5" t="s">
        <v>59</v>
      </c>
    </row>
    <row r="40" spans="6:15" hidden="1" x14ac:dyDescent="0.25">
      <c r="F40" s="1" t="s">
        <v>2</v>
      </c>
      <c r="G40" s="1" t="s">
        <v>41</v>
      </c>
      <c r="J40" s="6" t="s">
        <v>41</v>
      </c>
      <c r="K40" s="12" t="str">
        <f ca="1">_xll.DBRW($B$15,$G40,K$20)</f>
        <v>*KEY_ERR</v>
      </c>
    </row>
    <row r="41" spans="6:15" hidden="1" x14ac:dyDescent="0.25">
      <c r="F41" s="1" t="s">
        <v>3</v>
      </c>
      <c r="G41" s="1" t="s">
        <v>42</v>
      </c>
      <c r="J41" s="6" t="s">
        <v>42</v>
      </c>
      <c r="K41" s="12" t="str">
        <f ca="1">_xll.DBRW($B$15,$G41,K$20)</f>
        <v>*KEY_ERR</v>
      </c>
    </row>
    <row r="42" spans="6:15" hidden="1" x14ac:dyDescent="0.25">
      <c r="F42" s="1" t="s">
        <v>4</v>
      </c>
      <c r="G42" s="1" t="s">
        <v>43</v>
      </c>
      <c r="J42" s="6" t="s">
        <v>43</v>
      </c>
      <c r="K42" s="12" t="str">
        <f ca="1">_xll.DBRW($B$15,$G42,K$20)</f>
        <v>*KEY_ERR</v>
      </c>
    </row>
    <row r="43" spans="6:15" hidden="1" x14ac:dyDescent="0.25">
      <c r="F43" s="1" t="s">
        <v>5</v>
      </c>
      <c r="G43" s="1" t="s">
        <v>44</v>
      </c>
      <c r="J43" s="6" t="s">
        <v>44</v>
      </c>
      <c r="K43" s="12" t="str">
        <f ca="1">_xll.DBRW($B$15,$G43,K$20)</f>
        <v>*KEY_ERR</v>
      </c>
    </row>
    <row r="44" spans="6:15" hidden="1" x14ac:dyDescent="0.25">
      <c r="F44" s="1" t="s">
        <v>6</v>
      </c>
      <c r="G44" s="1" t="s">
        <v>45</v>
      </c>
      <c r="J44" s="6" t="s">
        <v>45</v>
      </c>
      <c r="K44" s="12" t="str">
        <f ca="1">_xll.DBRW($B$15,$G44,K$20)</f>
        <v>*KEY_ERR</v>
      </c>
    </row>
    <row r="45" spans="6:15" hidden="1" x14ac:dyDescent="0.25">
      <c r="F45" s="1" t="s">
        <v>7</v>
      </c>
      <c r="G45" s="1" t="s">
        <v>46</v>
      </c>
      <c r="J45" s="6" t="s">
        <v>46</v>
      </c>
      <c r="K45" s="12" t="str">
        <f ca="1">_xll.DBRW($B$15,$G45,K$20)</f>
        <v>*KEY_ERR</v>
      </c>
    </row>
    <row r="46" spans="6:15" hidden="1" x14ac:dyDescent="0.25">
      <c r="F46" s="1" t="s">
        <v>8</v>
      </c>
      <c r="G46" s="1" t="s">
        <v>47</v>
      </c>
      <c r="J46" s="6" t="s">
        <v>47</v>
      </c>
      <c r="K46" s="12" t="str">
        <f ca="1">_xll.DBRW($B$15,$G46,K$20)</f>
        <v>*KEY_ERR</v>
      </c>
    </row>
    <row r="47" spans="6:15" hidden="1" x14ac:dyDescent="0.25">
      <c r="F47" s="1" t="s">
        <v>9</v>
      </c>
      <c r="G47" s="1" t="s">
        <v>48</v>
      </c>
      <c r="J47" s="6" t="s">
        <v>48</v>
      </c>
      <c r="K47" s="12" t="str">
        <f ca="1">_xll.DBRW($B$15,$G47,K$20)</f>
        <v>*KEY_ERR</v>
      </c>
    </row>
    <row r="48" spans="6:15" hidden="1" x14ac:dyDescent="0.25">
      <c r="F48" s="1" t="s">
        <v>10</v>
      </c>
      <c r="G48" s="1" t="s">
        <v>49</v>
      </c>
      <c r="J48" s="6" t="s">
        <v>49</v>
      </c>
      <c r="K48" s="12" t="str">
        <f ca="1">_xll.DBRW($B$15,$G48,K$20)</f>
        <v>*KEY_ERR</v>
      </c>
    </row>
    <row r="49" spans="6:11" hidden="1" x14ac:dyDescent="0.25">
      <c r="F49" s="1" t="s">
        <v>11</v>
      </c>
      <c r="G49" s="1" t="s">
        <v>50</v>
      </c>
      <c r="J49" s="6" t="s">
        <v>50</v>
      </c>
      <c r="K49" s="12" t="str">
        <f ca="1">_xll.DBRW($B$15,$G49,K$20)</f>
        <v>*KEY_ERR</v>
      </c>
    </row>
    <row r="50" spans="6:11" hidden="1" x14ac:dyDescent="0.25">
      <c r="F50" s="1" t="s">
        <v>12</v>
      </c>
      <c r="G50" s="1" t="s">
        <v>51</v>
      </c>
      <c r="J50" s="6" t="s">
        <v>51</v>
      </c>
      <c r="K50" s="12" t="str">
        <f ca="1">_xll.DBRW($B$15,$G50,K$20)</f>
        <v>*KEY_ERR</v>
      </c>
    </row>
    <row r="51" spans="6:11" hidden="1" x14ac:dyDescent="0.25">
      <c r="F51" s="1" t="s">
        <v>13</v>
      </c>
      <c r="G51" s="1" t="s">
        <v>52</v>
      </c>
      <c r="J51" s="6" t="s">
        <v>52</v>
      </c>
      <c r="K51" s="12" t="str">
        <f ca="1">_xll.DBRW($B$15,$G51,K$20)</f>
        <v>*KEY_ERR</v>
      </c>
    </row>
    <row r="52" spans="6:11" hidden="1" x14ac:dyDescent="0.25"/>
  </sheetData>
  <sheetProtection sheet="1" objects="1" scenarios="1"/>
  <mergeCells count="6">
    <mergeCell ref="J35:O35"/>
    <mergeCell ref="A1:B1"/>
    <mergeCell ref="A5:B5"/>
    <mergeCell ref="A14:B14"/>
    <mergeCell ref="A17:B17"/>
    <mergeCell ref="J34:O34"/>
  </mergeCells>
  <phoneticPr fontId="7" type="noConversion"/>
  <dataValidations count="1">
    <dataValidation type="list" allowBlank="1" showInputMessage="1" showErrorMessage="1" sqref="K37" xr:uid="{00000000-0002-0000-0000-000000000000}">
      <formula1>sys_month_list</formula1>
    </dataValidation>
  </dataValidations>
  <pageMargins left="0.70866141732283472" right="0.70866141732283472" top="0.74803149606299213" bottom="0.74803149606299213" header="0.31496062992125984" footer="0.31496062992125984"/>
  <pageSetup paperSize="9" scale="94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 sizeWithCells="1">
              <from>
                <xdr:col>9</xdr:col>
                <xdr:colOff>38100</xdr:colOff>
                <xdr:row>31</xdr:row>
                <xdr:rowOff>9525</xdr:rowOff>
              </from>
              <to>
                <xdr:col>9</xdr:col>
                <xdr:colOff>676275</xdr:colOff>
                <xdr:row>31</xdr:row>
                <xdr:rowOff>257175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autoPict="0" r:id="rId7">
            <anchor moveWithCells="1" sizeWithCells="1">
              <from>
                <xdr:col>9</xdr:col>
                <xdr:colOff>752475</xdr:colOff>
                <xdr:row>31</xdr:row>
                <xdr:rowOff>9525</xdr:rowOff>
              </from>
              <to>
                <xdr:col>10</xdr:col>
                <xdr:colOff>161925</xdr:colOff>
                <xdr:row>31</xdr:row>
                <xdr:rowOff>257175</xdr:rowOff>
              </to>
            </anchor>
          </controlPr>
        </control>
      </mc:Choice>
      <mc:Fallback>
        <control shapeId="1026" r:id="rId6" name="TIButton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setup</vt:lpstr>
      <vt:lpstr>db_name</vt:lpstr>
      <vt:lpstr>sys_month_list</vt:lpstr>
      <vt:lpstr>TM1MEAccTempCAP</vt:lpstr>
      <vt:lpstr>TM1MEAccTempWB</vt:lpstr>
      <vt:lpstr>TM1MEAccTempWS</vt:lpstr>
      <vt:lpstr>TM1MEBSDataEntryCAP</vt:lpstr>
      <vt:lpstr>TM1MEBSDataEntryWB</vt:lpstr>
      <vt:lpstr>TM1MEBSDataEntryWS</vt:lpstr>
      <vt:lpstr>TM1MECCMapCAP</vt:lpstr>
      <vt:lpstr>TM1MECCMapWB</vt:lpstr>
      <vt:lpstr>TM1MECCMapWS</vt:lpstr>
      <vt:lpstr>TM1MEDataEntryCAP</vt:lpstr>
      <vt:lpstr>TM1MEDataEntryWB</vt:lpstr>
      <vt:lpstr>TM1MEDataEntryWS</vt:lpstr>
      <vt:lpstr>TM1MEGLMapCAP</vt:lpstr>
      <vt:lpstr>TM1MEGLMapWB</vt:lpstr>
      <vt:lpstr>TM1MEGLMapWS</vt:lpstr>
      <vt:lpstr>TM1MEHomeCAP</vt:lpstr>
      <vt:lpstr>TM1MEHomeWB</vt:lpstr>
      <vt:lpstr>TM1MEHomeWS</vt:lpstr>
      <vt:lpstr>TM1MEOSDataEntryCAP</vt:lpstr>
      <vt:lpstr>TM1MEOSDataEntryWB</vt:lpstr>
      <vt:lpstr>TM1MEOSDataEntryWS</vt:lpstr>
      <vt:lpstr>TM1MESummaryCAP</vt:lpstr>
      <vt:lpstr>TM1MESummaryWB</vt:lpstr>
      <vt:lpstr>TM1MESummaryWS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2019-04-21T10:25:35Z</dcterms:created>
  <dcterms:modified xsi:type="dcterms:W3CDTF">2025-08-05T04:36:49Z</dcterms:modified>
</cp:coreProperties>
</file>