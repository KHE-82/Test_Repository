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237B7A78-3849-4EAF-AF2C-2FD8860627DA}" xr6:coauthVersionLast="47" xr6:coauthVersionMax="47" xr10:uidLastSave="{00000000-0000-0000-0000-000000000000}"/>
  <bookViews>
    <workbookView xWindow="57480" yWindow="-1965" windowWidth="29040" windowHeight="15840" xr2:uid="{E3558D82-7C80-4BA2-B706-747F07A5257C}"/>
  </bookViews>
  <sheets>
    <sheet name="report" sheetId="1" r:id="rId1"/>
  </sheets>
  <definedNames>
    <definedName name="Acc_Disp_List">report!$C$37:$C$38</definedName>
    <definedName name="Account_Disp_List">report!$C$37:$C$38</definedName>
    <definedName name="db_name">report!$C$12</definedName>
    <definedName name="Freeze_HERE">report!$B$81</definedName>
    <definedName name="_xlnm.Print_Area" localSheetId="0">report!$J$79:$AA$82</definedName>
    <definedName name="psApp">report!$C$27</definedName>
    <definedName name="psProgDimName">report!$C$23</definedName>
    <definedName name="psUser">report!$C$14</definedName>
    <definedName name="sys_YN_List">report!$C$35:$C$36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REBUILDOPTION">0</definedName>
    <definedName name="TM1RPTDATARNG1" localSheetId="0">report!$82:$82</definedName>
    <definedName name="TM1RPTFMTIDCOL" localSheetId="0">report!$A$1:$A$8</definedName>
    <definedName name="TM1RPTFMTRNG" localSheetId="0">report!$J$1:$AA$8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7" i="1" l="1"/>
  <c r="C20" i="1"/>
  <c r="C21" i="1"/>
  <c r="K74" i="1"/>
  <c r="O19" i="1"/>
  <c r="Q20" i="1"/>
  <c r="K76" i="1"/>
  <c r="C22" i="1"/>
  <c r="K75" i="1"/>
  <c r="C58" i="1"/>
  <c r="C57" i="1"/>
  <c r="C55" i="1"/>
  <c r="C54" i="1"/>
  <c r="C53" i="1"/>
  <c r="C52" i="1"/>
  <c r="C51" i="1"/>
  <c r="C50" i="1"/>
  <c r="C49" i="1"/>
  <c r="C48" i="1"/>
  <c r="C47" i="1"/>
  <c r="P75" i="1"/>
  <c r="C66" i="1"/>
  <c r="C41" i="1"/>
  <c r="C26" i="1"/>
  <c r="H33" i="1"/>
  <c r="G33" i="1"/>
  <c r="F33" i="1"/>
  <c r="E33" i="1"/>
  <c r="D33" i="1"/>
  <c r="C33" i="1"/>
  <c r="C44" i="1"/>
  <c r="C13" i="1"/>
  <c r="C14" i="1"/>
  <c r="C15" i="1"/>
  <c r="C17" i="1"/>
  <c r="C16" i="1"/>
  <c r="Z77" i="1"/>
  <c r="P74" i="1"/>
  <c r="C65" i="1"/>
  <c r="J82" i="1"/>
  <c r="G82" i="1"/>
  <c r="M82" i="1"/>
  <c r="H32" i="1"/>
  <c r="G32" i="1"/>
  <c r="H31" i="1"/>
  <c r="G31" i="1"/>
  <c r="H30" i="1"/>
  <c r="G30" i="1"/>
  <c r="H29" i="1"/>
  <c r="F32" i="1"/>
  <c r="E32" i="1"/>
  <c r="D32" i="1"/>
  <c r="C32" i="1"/>
  <c r="F31" i="1"/>
  <c r="E31" i="1"/>
  <c r="D31" i="1"/>
  <c r="C31" i="1"/>
  <c r="F30" i="1"/>
  <c r="E30" i="1"/>
  <c r="D30" i="1"/>
  <c r="C30" i="1"/>
  <c r="G29" i="1"/>
  <c r="F29" i="1"/>
  <c r="E29" i="1"/>
  <c r="D29" i="1"/>
  <c r="C29" i="1"/>
  <c r="C23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Q19" i="1"/>
  <c r="N20" i="1"/>
  <c r="O20" i="1"/>
  <c r="P20" i="1"/>
  <c r="S19" i="1"/>
  <c r="J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S20" i="1"/>
  <c r="R20" i="1"/>
  <c r="M80" i="1"/>
  <c r="A82" i="1"/>
  <c r="A5" i="1"/>
  <c r="A4" i="1"/>
  <c r="A3" i="1"/>
  <c r="A2" i="1"/>
</calcChain>
</file>

<file path=xl/sharedStrings.xml><?xml version="1.0" encoding="utf-8"?>
<sst xmlns="http://schemas.openxmlformats.org/spreadsheetml/2006/main" count="109" uniqueCount="94">
  <si>
    <t>headline year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</si>
  <si>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</si>
  <si>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</si>
  <si>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</si>
  <si>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</si>
  <si>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</si>
  <si>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</si>
  <si>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</si>
  <si>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</si>
  <si>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</si>
  <si>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appropriation item</t>
  </si>
  <si>
    <t>programme</t>
  </si>
  <si>
    <t>id</t>
  </si>
  <si>
    <t>jurisdiction</t>
  </si>
  <si>
    <t>period</t>
  </si>
  <si>
    <t>D</t>
  </si>
  <si>
    <t>N</t>
  </si>
  <si>
    <t>[Begin Format Range]</t>
  </si>
  <si>
    <t>[End Format Range]</t>
  </si>
  <si>
    <t>DR/CR</t>
  </si>
  <si>
    <t>System Parameters</t>
  </si>
  <si>
    <t>Dataabase Name</t>
  </si>
  <si>
    <t xml:space="preserve">System Variables </t>
  </si>
  <si>
    <t>headline scenario</t>
  </si>
  <si>
    <t>Period Variables</t>
  </si>
  <si>
    <t>Report Variables</t>
  </si>
  <si>
    <t>Active Form Views</t>
  </si>
  <si>
    <t>Sections</t>
  </si>
  <si>
    <t>DR/CR Slice View</t>
  </si>
  <si>
    <t>Report MDX</t>
  </si>
  <si>
    <t>IS Account MDX</t>
  </si>
  <si>
    <t>BS Account MDX</t>
  </si>
  <si>
    <t>{DESCENDANTS(ACCOUNT.[3800001]) }</t>
  </si>
  <si>
    <t>CFS Account MDX</t>
  </si>
  <si>
    <t>{DESCENDANTS(ACCOUNT.[9000003]) }</t>
  </si>
  <si>
    <t xml:space="preserve">Scenario:    </t>
  </si>
  <si>
    <t xml:space="preserve">Programme:    </t>
  </si>
  <si>
    <t>$'000</t>
  </si>
  <si>
    <t>Freeze Rows HERE</t>
  </si>
  <si>
    <t>{DESCENDANTS(MOVEMENT ACCOUNT.[7110]) }</t>
  </si>
  <si>
    <t>DBRW Column Labels</t>
  </si>
  <si>
    <t>HLYear:</t>
  </si>
  <si>
    <t>Fin Year:</t>
  </si>
  <si>
    <t>Budget Year:</t>
  </si>
  <si>
    <t>GEUS Period</t>
  </si>
  <si>
    <t>Index</t>
  </si>
  <si>
    <t>Budget period</t>
  </si>
  <si>
    <t>PA</t>
  </si>
  <si>
    <t>RB</t>
  </si>
  <si>
    <t>NB</t>
  </si>
  <si>
    <t>FE1</t>
  </si>
  <si>
    <t>FE2</t>
  </si>
  <si>
    <t>FE3</t>
  </si>
  <si>
    <t>sys_YN_list</t>
  </si>
  <si>
    <t>Yes</t>
  </si>
  <si>
    <t>No</t>
  </si>
  <si>
    <t>Account_Disp_List</t>
  </si>
  <si>
    <t>Code and description</t>
  </si>
  <si>
    <t>Description</t>
  </si>
  <si>
    <t>Expand Above Flag</t>
  </si>
  <si>
    <t>Suppress Zero</t>
  </si>
  <si>
    <t>Expand Above:</t>
  </si>
  <si>
    <t>Suppress Zero:</t>
  </si>
  <si>
    <t>Account Display:</t>
  </si>
  <si>
    <t>``</t>
  </si>
  <si>
    <t>VIEW</t>
  </si>
  <si>
    <t>program dimension name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</si>
  <si>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</si>
  <si>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</si>
  <si>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</si>
  <si>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</si>
  <si>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</si>
  <si>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</si>
  <si>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</si>
  <si>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</si>
  <si>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</si>
  <si>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</si>
  <si>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</si>
  <si>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</si>
  <si>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</si>
  <si>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Asset Movement Table Report</t>
  </si>
  <si>
    <t>REPORT PARAMETERS</t>
  </si>
  <si>
    <t xml:space="preserve">Headline Year:    </t>
  </si>
  <si>
    <t xml:space="preserve">Financial Year:    </t>
  </si>
  <si>
    <t>DISPLAY SETTINGS</t>
  </si>
  <si>
    <t>As at</t>
  </si>
  <si>
    <t>}Clients</t>
  </si>
  <si>
    <t>TM1 User</t>
  </si>
  <si>
    <t>}TM1_DefaultDisplayValue</t>
  </si>
  <si>
    <t>GEUS User Name</t>
  </si>
  <si>
    <t>Current User</t>
  </si>
  <si>
    <t>Reports - Asset Movement Table</t>
  </si>
  <si>
    <t>Homepage - Reports - Analytical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</si>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</sst>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[Red]* \(#,##0\)_-;_-* &quot;-&quot;??_-;_-@_-"/>
    <numFmt numFmtId="166" formatCode="&quot;- &quot;@"/>
    <numFmt numFmtId="167" formatCode="dd\ mmmm\ yyyy\ h:mm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18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theme="0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4" fillId="0" borderId="0"/>
    <xf numFmtId="164" fontId="4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2" fillId="0" borderId="3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 applyAlignment="1">
      <alignment horizontal="center"/>
    </xf>
    <xf numFmtId="0" fontId="0" fillId="2" borderId="10" xfId="0" applyFill="1" applyBorder="1"/>
    <xf numFmtId="0" fontId="2" fillId="0" borderId="5" xfId="0" applyFont="1" applyBorder="1"/>
    <xf numFmtId="0" fontId="2" fillId="0" borderId="11" xfId="0" applyFont="1" applyBorder="1"/>
    <xf numFmtId="0" fontId="0" fillId="0" borderId="12" xfId="0" applyBorder="1"/>
    <xf numFmtId="0" fontId="6" fillId="0" borderId="6" xfId="0" applyFont="1" applyBorder="1"/>
    <xf numFmtId="0" fontId="6" fillId="0" borderId="12" xfId="0" applyFont="1" applyBorder="1"/>
    <xf numFmtId="0" fontId="2" fillId="0" borderId="7" xfId="0" applyFont="1" applyBorder="1"/>
    <xf numFmtId="0" fontId="6" fillId="0" borderId="8" xfId="0" applyFont="1" applyBorder="1"/>
    <xf numFmtId="0" fontId="0" fillId="4" borderId="0" xfId="0" applyFill="1"/>
    <xf numFmtId="0" fontId="0" fillId="0" borderId="11" xfId="0" applyBorder="1"/>
    <xf numFmtId="0" fontId="2" fillId="2" borderId="10" xfId="0" applyFont="1" applyFill="1" applyBorder="1" applyAlignment="1">
      <alignment vertical="top"/>
    </xf>
    <xf numFmtId="0" fontId="10" fillId="0" borderId="10" xfId="0" applyFont="1" applyBorder="1" applyAlignment="1">
      <alignment vertical="top" wrapText="1"/>
    </xf>
    <xf numFmtId="165" fontId="9" fillId="3" borderId="23" xfId="3" applyNumberFormat="1" applyFont="1" applyFill="1" applyBorder="1"/>
    <xf numFmtId="165" fontId="9" fillId="3" borderId="24" xfId="3" applyNumberFormat="1" applyFont="1" applyFill="1" applyBorder="1"/>
    <xf numFmtId="165" fontId="9" fillId="3" borderId="26" xfId="3" applyNumberFormat="1" applyFont="1" applyFill="1" applyBorder="1"/>
    <xf numFmtId="165" fontId="9" fillId="3" borderId="27" xfId="3" applyNumberFormat="1" applyFont="1" applyFill="1" applyBorder="1"/>
    <xf numFmtId="0" fontId="0" fillId="0" borderId="13" xfId="0" applyBorder="1" applyAlignment="1">
      <alignment vertical="top" wrapText="1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right" vertical="top" wrapText="1"/>
    </xf>
    <xf numFmtId="0" fontId="0" fillId="0" borderId="10" xfId="0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5" borderId="36" xfId="0" applyFill="1" applyBorder="1"/>
    <xf numFmtId="0" fontId="2" fillId="2" borderId="36" xfId="0" applyFont="1" applyFill="1" applyBorder="1" applyAlignment="1">
      <alignment horizontal="right"/>
    </xf>
    <xf numFmtId="0" fontId="0" fillId="5" borderId="37" xfId="0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1" fillId="0" borderId="10" xfId="2" applyFont="1" applyBorder="1" applyAlignment="1">
      <alignment horizontal="right" indent="1"/>
    </xf>
    <xf numFmtId="0" fontId="3" fillId="0" borderId="10" xfId="0" applyFont="1" applyBorder="1"/>
    <xf numFmtId="0" fontId="12" fillId="6" borderId="0" xfId="0" quotePrefix="1" applyFont="1" applyFill="1" applyAlignment="1">
      <alignment horizontal="center" wrapText="1"/>
    </xf>
    <xf numFmtId="0" fontId="0" fillId="0" borderId="0" xfId="0" applyAlignment="1">
      <alignment vertical="top"/>
    </xf>
    <xf numFmtId="0" fontId="2" fillId="0" borderId="11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12" fillId="6" borderId="0" xfId="0" quotePrefix="1" applyFont="1" applyFill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7" borderId="18" xfId="0" applyFont="1" applyFill="1" applyBorder="1" applyAlignment="1">
      <alignment horizontal="center"/>
    </xf>
    <xf numFmtId="0" fontId="1" fillId="7" borderId="42" xfId="0" applyFont="1" applyFill="1" applyBorder="1" applyAlignment="1">
      <alignment horizontal="center" wrapText="1"/>
    </xf>
    <xf numFmtId="0" fontId="7" fillId="7" borderId="0" xfId="0" applyFont="1" applyFill="1" applyAlignment="1">
      <alignment vertical="center" wrapText="1"/>
    </xf>
    <xf numFmtId="0" fontId="8" fillId="7" borderId="0" xfId="0" applyFont="1" applyFill="1" applyAlignment="1">
      <alignment horizontal="right" vertical="center"/>
    </xf>
    <xf numFmtId="0" fontId="0" fillId="0" borderId="10" xfId="0" applyBorder="1"/>
    <xf numFmtId="0" fontId="2" fillId="2" borderId="0" xfId="0" applyFont="1" applyFill="1" applyAlignment="1">
      <alignment horizontal="center"/>
    </xf>
    <xf numFmtId="0" fontId="2" fillId="0" borderId="10" xfId="0" applyFont="1" applyBorder="1"/>
    <xf numFmtId="165" fontId="9" fillId="0" borderId="26" xfId="3" applyNumberFormat="1" applyFont="1" applyFill="1" applyBorder="1"/>
    <xf numFmtId="165" fontId="9" fillId="0" borderId="27" xfId="3" applyNumberFormat="1" applyFont="1" applyFill="1" applyBorder="1"/>
    <xf numFmtId="0" fontId="0" fillId="0" borderId="33" xfId="0" applyBorder="1" applyProtection="1">
      <protection locked="0"/>
    </xf>
    <xf numFmtId="0" fontId="8" fillId="7" borderId="0" xfId="0" applyFont="1" applyFill="1" applyAlignment="1">
      <alignment vertical="center" wrapText="1"/>
    </xf>
    <xf numFmtId="0" fontId="9" fillId="3" borderId="49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13" fillId="0" borderId="0" xfId="2" applyFont="1" applyAlignment="1">
      <alignment horizontal="center"/>
    </xf>
    <xf numFmtId="0" fontId="1" fillId="7" borderId="17" xfId="0" applyFont="1" applyFill="1" applyBorder="1" applyAlignment="1">
      <alignment wrapText="1"/>
    </xf>
    <xf numFmtId="0" fontId="1" fillId="7" borderId="22" xfId="0" applyFont="1" applyFill="1" applyBorder="1" applyAlignment="1">
      <alignment horizontal="center" vertical="top" wrapText="1"/>
    </xf>
    <xf numFmtId="0" fontId="1" fillId="0" borderId="0" xfId="0" applyFont="1"/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indent="1"/>
    </xf>
    <xf numFmtId="0" fontId="10" fillId="0" borderId="0" xfId="0" applyFont="1"/>
    <xf numFmtId="0" fontId="2" fillId="0" borderId="0" xfId="0" applyFont="1" applyAlignment="1">
      <alignment horizontal="righ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165" fontId="9" fillId="2" borderId="24" xfId="3" applyNumberFormat="1" applyFont="1" applyFill="1" applyBorder="1"/>
    <xf numFmtId="165" fontId="9" fillId="2" borderId="27" xfId="3" applyNumberFormat="1" applyFont="1" applyFill="1" applyBorder="1"/>
    <xf numFmtId="165" fontId="9" fillId="2" borderId="25" xfId="3" applyNumberFormat="1" applyFont="1" applyFill="1" applyBorder="1"/>
    <xf numFmtId="165" fontId="9" fillId="2" borderId="28" xfId="3" applyNumberFormat="1" applyFont="1" applyFill="1" applyBorder="1"/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" fillId="8" borderId="30" xfId="0" applyFont="1" applyFill="1" applyBorder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167" fontId="2" fillId="0" borderId="0" xfId="0" applyNumberFormat="1" applyFont="1" applyAlignment="1">
      <alignment horizontal="left" indent="1"/>
    </xf>
    <xf numFmtId="0" fontId="2" fillId="2" borderId="4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10" fillId="0" borderId="10" xfId="0" applyFont="1" applyBorder="1" applyAlignment="1" applyProtection="1">
      <alignment horizontal="left" vertical="center" indent="1"/>
      <protection locked="0"/>
    </xf>
    <xf numFmtId="166" fontId="9" fillId="3" borderId="46" xfId="0" applyNumberFormat="1" applyFont="1" applyFill="1" applyBorder="1" applyAlignment="1">
      <alignment horizontal="left" wrapText="1"/>
    </xf>
    <xf numFmtId="166" fontId="9" fillId="3" borderId="29" xfId="0" applyNumberFormat="1" applyFont="1" applyFill="1" applyBorder="1" applyAlignment="1">
      <alignment horizontal="left" wrapText="1"/>
    </xf>
    <xf numFmtId="0" fontId="7" fillId="7" borderId="43" xfId="0" applyFont="1" applyFill="1" applyBorder="1" applyAlignment="1">
      <alignment horizontal="left" vertical="top" wrapText="1"/>
    </xf>
    <xf numFmtId="0" fontId="7" fillId="7" borderId="16" xfId="0" applyFont="1" applyFill="1" applyBorder="1" applyAlignment="1">
      <alignment horizontal="left" vertical="top" wrapText="1"/>
    </xf>
    <xf numFmtId="0" fontId="7" fillId="7" borderId="15" xfId="0" applyFont="1" applyFill="1" applyBorder="1" applyAlignment="1">
      <alignment horizontal="left" vertical="top" wrapText="1"/>
    </xf>
    <xf numFmtId="0" fontId="7" fillId="7" borderId="44" xfId="0" applyFont="1" applyFill="1" applyBorder="1" applyAlignment="1">
      <alignment horizontal="left" vertical="top" wrapText="1"/>
    </xf>
    <xf numFmtId="0" fontId="7" fillId="7" borderId="19" xfId="0" applyFont="1" applyFill="1" applyBorder="1" applyAlignment="1">
      <alignment horizontal="left" vertical="top" wrapText="1"/>
    </xf>
    <xf numFmtId="0" fontId="7" fillId="7" borderId="20" xfId="0" applyFont="1" applyFill="1" applyBorder="1" applyAlignment="1">
      <alignment horizontal="left" vertical="top" wrapText="1"/>
    </xf>
    <xf numFmtId="0" fontId="9" fillId="3" borderId="46" xfId="0" applyFont="1" applyFill="1" applyBorder="1" applyAlignment="1">
      <alignment horizontal="left" wrapText="1"/>
    </xf>
    <xf numFmtId="0" fontId="9" fillId="3" borderId="29" xfId="0" applyFont="1" applyFill="1" applyBorder="1" applyAlignment="1">
      <alignment horizontal="left" wrapText="1"/>
    </xf>
    <xf numFmtId="0" fontId="9" fillId="3" borderId="47" xfId="0" applyFont="1" applyFill="1" applyBorder="1" applyAlignment="1">
      <alignment horizontal="left" wrapText="1"/>
    </xf>
    <xf numFmtId="0" fontId="3" fillId="0" borderId="2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0" borderId="47" xfId="0" applyFont="1" applyBorder="1" applyAlignment="1">
      <alignment horizontal="left" wrapText="1"/>
    </xf>
    <xf numFmtId="0" fontId="2" fillId="2" borderId="35" xfId="0" applyFont="1" applyFill="1" applyBorder="1" applyAlignment="1">
      <alignment horizontal="left" wrapText="1"/>
    </xf>
    <xf numFmtId="0" fontId="2" fillId="2" borderId="37" xfId="0" applyFont="1" applyFill="1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</cellXfs>
  <cellStyles count="4">
    <cellStyle name="Comma 4" xfId="3" xr:uid="{3FD6C383-FCF9-407F-AA62-81C7E8584AB8}"/>
    <cellStyle name="Normal" xfId="0" builtinId="0"/>
    <cellStyle name="Normal 2" xfId="1" xr:uid="{5A95E1A0-DBDF-4740-A441-BA8FBC3464BD}"/>
    <cellStyle name="Normal 3" xfId="2" xr:uid="{99A5B00F-BEA8-49AE-AE2E-F075D2CD343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37093</xdr:rowOff>
    </xdr:from>
    <xdr:to>
      <xdr:col>10</xdr:col>
      <xdr:colOff>588345</xdr:colOff>
      <xdr:row>68</xdr:row>
      <xdr:rowOff>17229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27" y="37093"/>
          <a:ext cx="1870710" cy="483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69</xdr:row>
          <xdr:rowOff>0</xdr:rowOff>
        </xdr:from>
        <xdr:to>
          <xdr:col>9</xdr:col>
          <xdr:colOff>670560</xdr:colOff>
          <xdr:row>69</xdr:row>
          <xdr:rowOff>251460</xdr:rowOff>
        </xdr:to>
        <xdr:sp macro="" textlink="">
          <xdr:nvSpPr>
            <xdr:cNvPr id="2052" name="TIButton2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647700</xdr:colOff>
          <xdr:row>69</xdr:row>
          <xdr:rowOff>0</xdr:rowOff>
        </xdr:from>
        <xdr:to>
          <xdr:col>14</xdr:col>
          <xdr:colOff>381000</xdr:colOff>
          <xdr:row>69</xdr:row>
          <xdr:rowOff>251460</xdr:rowOff>
        </xdr:to>
        <xdr:sp macro="" textlink="">
          <xdr:nvSpPr>
            <xdr:cNvPr id="2053" name="TIButton3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708660</xdr:colOff>
          <xdr:row>69</xdr:row>
          <xdr:rowOff>0</xdr:rowOff>
        </xdr:from>
        <xdr:to>
          <xdr:col>10</xdr:col>
          <xdr:colOff>617220</xdr:colOff>
          <xdr:row>69</xdr:row>
          <xdr:rowOff>251460</xdr:rowOff>
        </xdr:to>
        <xdr:sp macro="" textlink="">
          <xdr:nvSpPr>
            <xdr:cNvPr id="2054" name="TIButton1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731520</xdr:colOff>
          <xdr:row>68</xdr:row>
          <xdr:rowOff>22860</xdr:rowOff>
        </xdr:from>
        <xdr:to>
          <xdr:col>19</xdr:col>
          <xdr:colOff>0</xdr:colOff>
          <xdr:row>69</xdr:row>
          <xdr:rowOff>274320</xdr:rowOff>
        </xdr:to>
        <xdr:sp macro="" textlink="">
          <xdr:nvSpPr>
            <xdr:cNvPr id="2055" name="TIButton4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647700</xdr:colOff>
          <xdr:row>69</xdr:row>
          <xdr:rowOff>0</xdr:rowOff>
        </xdr:from>
        <xdr:to>
          <xdr:col>11</xdr:col>
          <xdr:colOff>754380</xdr:colOff>
          <xdr:row>69</xdr:row>
          <xdr:rowOff>251460</xdr:rowOff>
        </xdr:to>
        <xdr:sp macro="" textlink="">
          <xdr:nvSpPr>
            <xdr:cNvPr id="2056" name="TIButton5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784860</xdr:colOff>
          <xdr:row>69</xdr:row>
          <xdr:rowOff>0</xdr:rowOff>
        </xdr:from>
        <xdr:to>
          <xdr:col>13</xdr:col>
          <xdr:colOff>617220</xdr:colOff>
          <xdr:row>69</xdr:row>
          <xdr:rowOff>251460</xdr:rowOff>
        </xdr:to>
        <xdr:sp macro="" textlink="">
          <xdr:nvSpPr>
            <xdr:cNvPr id="2057" name="TIButton6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DE73-924A-4C4B-939B-331D7C869773}">
  <sheetPr codeName="Sheet1">
    <outlinePr showOutlineSymbols="0"/>
    <pageSetUpPr fitToPage="1"/>
  </sheetPr>
  <dimension ref="A1:AA84"/>
  <sheetViews>
    <sheetView showGridLines="0" showRowColHeaders="0" tabSelected="1" showOutlineSymbols="0" topLeftCell="A68" zoomScaleNormal="100" workbookViewId="0">
      <pane xSplit="19" ySplit="14" topLeftCell="T82" activePane="bottomRight" state="frozen"/>
      <selection activeCell="I68" sqref="I68"/>
      <selection pane="topRight" activeCell="T68" sqref="T68"/>
      <selection pane="bottomLeft" activeCell="I82" sqref="I82"/>
      <selection pane="bottomRight" activeCell="B81" sqref="B81"/>
    </sheetView>
  </sheetViews>
  <sheetFormatPr defaultColWidth="8.6640625" defaultRowHeight="14.4" outlineLevelRow="1" outlineLevelCol="1" x14ac:dyDescent="0.3"/>
  <cols>
    <col min="1" max="1" width="2.6640625" hidden="1" customWidth="1" outlineLevel="1"/>
    <col min="2" max="2" width="28" hidden="1" customWidth="1" outlineLevel="1"/>
    <col min="3" max="3" width="45.44140625" hidden="1" customWidth="1" outlineLevel="1"/>
    <col min="4" max="7" width="25.88671875" hidden="1" customWidth="1" outlineLevel="1"/>
    <col min="8" max="8" width="13.33203125" hidden="1" customWidth="1" outlineLevel="1"/>
    <col min="9" max="9" width="0.88671875" customWidth="1" collapsed="1"/>
    <col min="10" max="10" width="18.109375" customWidth="1"/>
    <col min="11" max="12" width="18.6640625" customWidth="1"/>
    <col min="13" max="13" width="7" customWidth="1"/>
    <col min="14" max="27" width="15.6640625" customWidth="1"/>
  </cols>
  <sheetData>
    <row r="1" spans="1:27" hidden="1" outlineLevel="1" x14ac:dyDescent="0.3">
      <c r="A1" t="s">
        <v>17</v>
      </c>
    </row>
    <row r="2" spans="1:27" s="1" customFormat="1" hidden="1" outlineLevel="1" x14ac:dyDescent="0.3">
      <c r="A2" s="1">
        <f>0</f>
        <v>0</v>
      </c>
      <c r="J2" s="97"/>
      <c r="K2" s="98"/>
      <c r="L2" s="98"/>
      <c r="M2" s="64"/>
      <c r="N2" s="23"/>
      <c r="O2" s="24"/>
      <c r="P2" s="77"/>
      <c r="Q2" s="24"/>
      <c r="R2" s="24"/>
      <c r="S2" s="77"/>
      <c r="T2" s="24"/>
      <c r="U2" s="24"/>
      <c r="V2" s="77"/>
      <c r="W2" s="24"/>
      <c r="X2" s="24"/>
      <c r="Y2" s="24"/>
      <c r="Z2" s="24"/>
      <c r="AA2" s="79"/>
    </row>
    <row r="3" spans="1:27" s="1" customFormat="1" hidden="1" outlineLevel="1" x14ac:dyDescent="0.3">
      <c r="A3" s="1">
        <f>1</f>
        <v>1</v>
      </c>
      <c r="J3" s="99"/>
      <c r="K3" s="100"/>
      <c r="L3" s="100"/>
      <c r="M3" s="65"/>
      <c r="N3" s="25"/>
      <c r="O3" s="26"/>
      <c r="P3" s="78"/>
      <c r="Q3" s="26"/>
      <c r="R3" s="26"/>
      <c r="S3" s="78"/>
      <c r="T3" s="26"/>
      <c r="U3" s="26"/>
      <c r="V3" s="78"/>
      <c r="W3" s="26"/>
      <c r="X3" s="26"/>
      <c r="Y3" s="26"/>
      <c r="Z3" s="26"/>
      <c r="AA3" s="80"/>
    </row>
    <row r="4" spans="1:27" s="1" customFormat="1" hidden="1" outlineLevel="1" x14ac:dyDescent="0.3">
      <c r="A4" s="1">
        <f>2</f>
        <v>2</v>
      </c>
      <c r="J4" s="99"/>
      <c r="K4" s="100"/>
      <c r="L4" s="100"/>
      <c r="M4" s="65"/>
      <c r="N4" s="25"/>
      <c r="O4" s="26"/>
      <c r="P4" s="78"/>
      <c r="Q4" s="26"/>
      <c r="R4" s="26"/>
      <c r="S4" s="78"/>
      <c r="T4" s="26"/>
      <c r="U4" s="26"/>
      <c r="V4" s="78"/>
      <c r="W4" s="26"/>
      <c r="X4" s="26"/>
      <c r="Y4" s="26"/>
      <c r="Z4" s="26"/>
      <c r="AA4" s="80"/>
    </row>
    <row r="5" spans="1:27" s="1" customFormat="1" hidden="1" outlineLevel="1" x14ac:dyDescent="0.3">
      <c r="A5" s="1">
        <f>3</f>
        <v>3</v>
      </c>
      <c r="J5" s="99"/>
      <c r="K5" s="100"/>
      <c r="L5" s="100"/>
      <c r="M5" s="65"/>
      <c r="N5" s="25"/>
      <c r="O5" s="26"/>
      <c r="P5" s="78"/>
      <c r="Q5" s="26"/>
      <c r="R5" s="26"/>
      <c r="S5" s="78"/>
      <c r="T5" s="26"/>
      <c r="U5" s="26"/>
      <c r="V5" s="78"/>
      <c r="W5" s="26"/>
      <c r="X5" s="26"/>
      <c r="Y5" s="26"/>
      <c r="Z5" s="26"/>
      <c r="AA5" s="80"/>
    </row>
    <row r="6" spans="1:27" s="1" customFormat="1" hidden="1" outlineLevel="1" x14ac:dyDescent="0.3">
      <c r="A6" s="1" t="s">
        <v>15</v>
      </c>
      <c r="J6" s="99"/>
      <c r="K6" s="100"/>
      <c r="L6" s="100"/>
      <c r="M6" s="65"/>
      <c r="N6" s="25"/>
      <c r="O6" s="26"/>
      <c r="P6" s="78"/>
      <c r="Q6" s="26"/>
      <c r="R6" s="26"/>
      <c r="S6" s="78"/>
      <c r="T6" s="26"/>
      <c r="U6" s="26"/>
      <c r="V6" s="78"/>
      <c r="W6" s="26"/>
      <c r="X6" s="26"/>
      <c r="Y6" s="26"/>
      <c r="Z6" s="26"/>
      <c r="AA6" s="80"/>
    </row>
    <row r="7" spans="1:27" hidden="1" outlineLevel="1" x14ac:dyDescent="0.3">
      <c r="A7" t="s">
        <v>16</v>
      </c>
      <c r="J7" s="105"/>
      <c r="K7" s="100"/>
      <c r="L7" s="100"/>
      <c r="M7" s="66"/>
      <c r="N7" s="60"/>
      <c r="O7" s="61"/>
      <c r="P7" s="78"/>
      <c r="Q7" s="61"/>
      <c r="R7" s="61"/>
      <c r="S7" s="78"/>
      <c r="T7" s="61"/>
      <c r="U7" s="61"/>
      <c r="V7" s="78"/>
      <c r="W7" s="61"/>
      <c r="X7" s="61"/>
      <c r="Y7" s="61"/>
      <c r="Z7" s="61"/>
      <c r="AA7" s="80"/>
    </row>
    <row r="8" spans="1:27" hidden="1" outlineLevel="1" x14ac:dyDescent="0.3">
      <c r="A8" t="s">
        <v>18</v>
      </c>
    </row>
    <row r="9" spans="1:27" hidden="1" outlineLevel="1" x14ac:dyDescent="0.3"/>
    <row r="10" spans="1:27" ht="15" hidden="1" outlineLevel="1" thickBot="1" x14ac:dyDescent="0.35"/>
    <row r="11" spans="1:27" ht="15" hidden="1" outlineLevel="1" thickBot="1" x14ac:dyDescent="0.35">
      <c r="B11" s="101" t="s">
        <v>20</v>
      </c>
      <c r="C11" s="102"/>
    </row>
    <row r="12" spans="1:27" ht="15" hidden="1" outlineLevel="1" thickBot="1" x14ac:dyDescent="0.35">
      <c r="B12" s="3" t="s">
        <v>21</v>
      </c>
      <c r="C12" s="4" t="s">
        <v>93</v>
      </c>
    </row>
    <row r="13" spans="1:27" hidden="1" outlineLevel="1" x14ac:dyDescent="0.3">
      <c r="B13" s="59" t="s">
        <v>86</v>
      </c>
      <c r="C13" s="75" t="str">
        <f ca="1">_xll.VIEW(db_name&amp;":}ElementAttributes_}Clients","!","!")</f>
        <v>dcceew_geus:}ElementAttributes_}Clients</v>
      </c>
    </row>
    <row r="14" spans="1:27" hidden="1" outlineLevel="1" x14ac:dyDescent="0.3">
      <c r="B14" s="59" t="s">
        <v>87</v>
      </c>
      <c r="C14" s="76" t="str">
        <f ca="1">_xll.TM1USER(db_name)</f>
        <v/>
      </c>
    </row>
    <row r="15" spans="1:27" hidden="1" outlineLevel="1" x14ac:dyDescent="0.3">
      <c r="B15" s="59" t="s">
        <v>88</v>
      </c>
      <c r="C15" s="76" t="str">
        <f ca="1">_xll.DBR($C$13,$C$14,$B15)</f>
        <v>*KEY_ERR</v>
      </c>
    </row>
    <row r="16" spans="1:27" hidden="1" outlineLevel="1" x14ac:dyDescent="0.3">
      <c r="B16" s="59" t="s">
        <v>89</v>
      </c>
      <c r="C16" s="76" t="str">
        <f ca="1">_xll.DBR($C$13,$C$14,$B16)</f>
        <v>*KEY_ERR</v>
      </c>
    </row>
    <row r="17" spans="2:27" hidden="1" outlineLevel="1" x14ac:dyDescent="0.3">
      <c r="B17" s="59" t="s">
        <v>90</v>
      </c>
      <c r="C17" s="76" t="str">
        <f ca="1">IF(LEFT($C$15,6)="CAM_AD",$C$16,$C$15)</f>
        <v>*KEY_ERR</v>
      </c>
    </row>
    <row r="18" spans="2:27" ht="15" hidden="1" outlineLevel="1" thickBot="1" x14ac:dyDescent="0.35">
      <c r="B18" s="1"/>
      <c r="C18" s="5"/>
    </row>
    <row r="19" spans="2:27" ht="15" hidden="1" outlineLevel="1" thickBot="1" x14ac:dyDescent="0.35">
      <c r="B19" s="103" t="s">
        <v>22</v>
      </c>
      <c r="C19" s="104"/>
      <c r="L19" s="106" t="s">
        <v>24</v>
      </c>
      <c r="M19" s="107"/>
      <c r="N19" s="41" t="s">
        <v>41</v>
      </c>
      <c r="O19" s="38" t="str">
        <f ca="1">RIGHT($K$74,9)</f>
        <v/>
      </c>
      <c r="P19" s="39" t="s">
        <v>42</v>
      </c>
      <c r="Q19" s="38" t="str">
        <f ca="1">K76</f>
        <v/>
      </c>
      <c r="R19" s="39" t="s">
        <v>43</v>
      </c>
      <c r="S19" s="40" t="str">
        <f ca="1">HLOOKUP(Q19,N20:S22,3,FALSE)</f>
        <v>PA</v>
      </c>
      <c r="AA19" s="10"/>
    </row>
    <row r="20" spans="2:27" hidden="1" outlineLevel="1" x14ac:dyDescent="0.3">
      <c r="B20" s="57" t="s">
        <v>65</v>
      </c>
      <c r="C20" s="57" t="str">
        <f ca="1">_xll.VIEW(db_name&amp;":}ElementAttributes_variables","!","!")</f>
        <v>dcceew_geus:}ElementAttributes_variables</v>
      </c>
      <c r="L20" s="108" t="s">
        <v>44</v>
      </c>
      <c r="M20" s="109"/>
      <c r="N20" s="42" t="str">
        <f ca="1">_xll.DIMNM(db_name&amp;":period",_xll.DIMIX(db_name&amp;":period",$O$19)+N$21)</f>
        <v/>
      </c>
      <c r="O20" s="36" t="str">
        <f ca="1">_xll.DIMNM(db_name&amp;":period",_xll.DIMIX(db_name&amp;":period",$O$19)+O$21)</f>
        <v/>
      </c>
      <c r="P20" s="36" t="str">
        <f ca="1">_xll.DIMNM(db_name&amp;":period",_xll.DIMIX(db_name&amp;":period",$O$19)+P$21)</f>
        <v/>
      </c>
      <c r="Q20" s="36" t="str">
        <f ca="1">_xll.DIMNM(db_name&amp;":period",_xll.DIMIX(db_name&amp;":period",$O$19)+Q$21)</f>
        <v/>
      </c>
      <c r="R20" s="36" t="str">
        <f ca="1">_xll.DIMNM(db_name&amp;":period",_xll.DIMIX(db_name&amp;":period",$O$19)+R$21)</f>
        <v/>
      </c>
      <c r="S20" s="37" t="str">
        <f ca="1">_xll.DIMNM(db_name&amp;":period",_xll.DIMIX(db_name&amp;":period",$O$19)+S$21)</f>
        <v/>
      </c>
      <c r="AA20" s="11"/>
    </row>
    <row r="21" spans="2:27" hidden="1" outlineLevel="1" x14ac:dyDescent="0.3">
      <c r="B21" s="57" t="s">
        <v>0</v>
      </c>
      <c r="C21" s="57" t="str">
        <f ca="1">_xll.DBR($C$20,$B21,"value")</f>
        <v>*KEY_ERR</v>
      </c>
      <c r="L21" s="110" t="s">
        <v>45</v>
      </c>
      <c r="M21" s="111"/>
      <c r="N21" s="43">
        <v>-2</v>
      </c>
      <c r="O21" s="30">
        <v>-1</v>
      </c>
      <c r="P21" s="30">
        <v>0</v>
      </c>
      <c r="Q21" s="30">
        <v>1</v>
      </c>
      <c r="R21" s="30">
        <v>2</v>
      </c>
      <c r="S21" s="33">
        <v>3</v>
      </c>
      <c r="AA21" s="11"/>
    </row>
    <row r="22" spans="2:27" ht="15" hidden="1" outlineLevel="1" thickBot="1" x14ac:dyDescent="0.35">
      <c r="B22" s="57" t="s">
        <v>23</v>
      </c>
      <c r="C22" s="57" t="str">
        <f ca="1">_xll.DBR($C$20,$B22,"value")</f>
        <v>*KEY_ERR</v>
      </c>
      <c r="L22" s="112" t="s">
        <v>46</v>
      </c>
      <c r="M22" s="113"/>
      <c r="N22" s="44" t="s">
        <v>47</v>
      </c>
      <c r="O22" s="34" t="s">
        <v>48</v>
      </c>
      <c r="P22" s="34" t="s">
        <v>49</v>
      </c>
      <c r="Q22" s="34" t="s">
        <v>50</v>
      </c>
      <c r="R22" s="34" t="s">
        <v>51</v>
      </c>
      <c r="S22" s="35" t="s">
        <v>52</v>
      </c>
    </row>
    <row r="23" spans="2:27" hidden="1" outlineLevel="1" x14ac:dyDescent="0.3">
      <c r="B23" s="57" t="s">
        <v>66</v>
      </c>
      <c r="C23" s="57" t="str">
        <f ca="1">_xll.DBR($C$20,$B23,"value")</f>
        <v>*KEY_ERR</v>
      </c>
    </row>
    <row r="24" spans="2:27" hidden="1" outlineLevel="1" x14ac:dyDescent="0.3"/>
    <row r="25" spans="2:27" hidden="1" outlineLevel="1" x14ac:dyDescent="0.3">
      <c r="B25" s="85" t="s">
        <v>67</v>
      </c>
      <c r="C25" s="86"/>
      <c r="D25" s="87"/>
      <c r="E25" s="58"/>
      <c r="F25" s="58"/>
      <c r="G25" s="58"/>
      <c r="H25" s="58"/>
      <c r="I25" s="58"/>
    </row>
    <row r="26" spans="2:27" hidden="1" outlineLevel="1" x14ac:dyDescent="0.3">
      <c r="B26" s="59" t="s">
        <v>68</v>
      </c>
      <c r="C26" s="57" t="str">
        <f ca="1">_xll.VIEW(db_name&amp;":sys_application","!","!")</f>
        <v>dcceew_geus:sys_application</v>
      </c>
      <c r="D26" s="57"/>
    </row>
    <row r="27" spans="2:27" hidden="1" outlineLevel="1" x14ac:dyDescent="0.3">
      <c r="B27" s="59" t="s">
        <v>69</v>
      </c>
      <c r="C27" t="s">
        <v>91</v>
      </c>
      <c r="D27" s="57"/>
    </row>
    <row r="28" spans="2:27" hidden="1" outlineLevel="1" x14ac:dyDescent="0.3">
      <c r="B28" s="57"/>
      <c r="C28" s="59" t="s">
        <v>70</v>
      </c>
      <c r="D28" s="59" t="s">
        <v>71</v>
      </c>
      <c r="E28" s="59" t="s">
        <v>72</v>
      </c>
      <c r="F28" s="59" t="s">
        <v>73</v>
      </c>
      <c r="G28" s="59" t="s">
        <v>74</v>
      </c>
      <c r="H28" s="59" t="s">
        <v>75</v>
      </c>
    </row>
    <row r="29" spans="2:27" hidden="1" outlineLevel="1" x14ac:dyDescent="0.3">
      <c r="B29" s="57" t="s">
        <v>76</v>
      </c>
      <c r="C29" s="57" t="str">
        <f ca="1">_xll.DBR($C$26,$B29,C$28)</f>
        <v>*KEY_ERR</v>
      </c>
      <c r="D29" s="57" t="str">
        <f ca="1">_xll.DBR($C$26,$B29,D$28)</f>
        <v>*KEY_ERR</v>
      </c>
      <c r="E29" s="57" t="str">
        <f ca="1">_xll.DBR($C$26,$B29,E$28)</f>
        <v>*KEY_ERR</v>
      </c>
      <c r="F29" s="57" t="str">
        <f ca="1">_xll.DBR($C$26,$B29,F$28)</f>
        <v>*KEY_ERR</v>
      </c>
      <c r="G29" s="57" t="str">
        <f ca="1">_xll.DBR($C$26,$B29,G$28)</f>
        <v>*KEY_ERR</v>
      </c>
      <c r="H29" s="57" t="str">
        <f ca="1">_xll.DBR($C$26,$B29,H$28)</f>
        <v>*KEY_ERR</v>
      </c>
    </row>
    <row r="30" spans="2:27" hidden="1" outlineLevel="1" x14ac:dyDescent="0.3">
      <c r="B30" s="57" t="s">
        <v>77</v>
      </c>
      <c r="C30" s="57" t="str">
        <f ca="1">_xll.DBR($C$26,$B30,C$28)</f>
        <v>*KEY_ERR</v>
      </c>
      <c r="D30" s="57" t="str">
        <f ca="1">_xll.DBR($C$26,$B30,D$28)</f>
        <v>*KEY_ERR</v>
      </c>
      <c r="E30" s="57" t="str">
        <f ca="1">_xll.DBR($C$26,$B30,E$28)</f>
        <v>*KEY_ERR</v>
      </c>
      <c r="F30" s="57" t="str">
        <f ca="1">_xll.DBR($C$26,$B30,F$28)</f>
        <v>*KEY_ERR</v>
      </c>
      <c r="G30" s="57" t="str">
        <f ca="1">_xll.DBR($C$26,$B30,G$28)</f>
        <v>*KEY_ERR</v>
      </c>
      <c r="H30" s="57" t="str">
        <f ca="1">_xll.DBR($C$26,$B30,H$28)</f>
        <v>*KEY_ERR</v>
      </c>
    </row>
    <row r="31" spans="2:27" hidden="1" outlineLevel="1" x14ac:dyDescent="0.3">
      <c r="B31" s="57" t="s">
        <v>78</v>
      </c>
      <c r="C31" s="57" t="str">
        <f ca="1">_xll.DBR($C$26,$B31,C$28)</f>
        <v>*KEY_ERR</v>
      </c>
      <c r="D31" s="57" t="str">
        <f ca="1">_xll.DBR($C$26,$B31,D$28)</f>
        <v>*KEY_ERR</v>
      </c>
      <c r="E31" s="57" t="str">
        <f ca="1">_xll.DBR($C$26,$B31,E$28)</f>
        <v>*KEY_ERR</v>
      </c>
      <c r="F31" s="57" t="str">
        <f ca="1">_xll.DBR($C$26,$B31,F$28)</f>
        <v>*KEY_ERR</v>
      </c>
      <c r="G31" s="57" t="str">
        <f ca="1">_xll.DBR($C$26,$B31,G$28)</f>
        <v>*KEY_ERR</v>
      </c>
      <c r="H31" s="57" t="str">
        <f ca="1">_xll.DBR($C$26,$B31,H$28)</f>
        <v>*KEY_ERR</v>
      </c>
    </row>
    <row r="32" spans="2:27" hidden="1" outlineLevel="1" x14ac:dyDescent="0.3">
      <c r="B32" s="57" t="s">
        <v>79</v>
      </c>
      <c r="C32" s="57" t="str">
        <f ca="1">_xll.DBR($C$26,$B32,C$28)</f>
        <v>*KEY_ERR</v>
      </c>
      <c r="D32" s="57" t="str">
        <f ca="1">_xll.DBR($C$26,$B32,D$28)</f>
        <v>*KEY_ERR</v>
      </c>
      <c r="E32" s="57" t="str">
        <f ca="1">_xll.DBR($C$26,$B32,E$28)</f>
        <v>*KEY_ERR</v>
      </c>
      <c r="F32" s="57" t="str">
        <f ca="1">_xll.DBR($C$26,$B32,F$28)</f>
        <v>*KEY_ERR</v>
      </c>
      <c r="G32" s="57" t="str">
        <f ca="1">_xll.DBR($C$26,$B32,G$28)</f>
        <v>*KEY_ERR</v>
      </c>
      <c r="H32" s="57" t="str">
        <f ca="1">_xll.DBR($C$26,$B32,H$28)</f>
        <v>*KEY_ERR</v>
      </c>
    </row>
    <row r="33" spans="2:8" hidden="1" outlineLevel="1" x14ac:dyDescent="0.3">
      <c r="B33" s="57" t="s">
        <v>92</v>
      </c>
      <c r="C33" s="57" t="str">
        <f ca="1">_xll.DBR($C$26,$B33,C$28)</f>
        <v>*KEY_ERR</v>
      </c>
      <c r="D33" s="57" t="str">
        <f ca="1">_xll.DBR($C$26,$B33,D$28)</f>
        <v>*KEY_ERR</v>
      </c>
      <c r="E33" s="57" t="str">
        <f ca="1">_xll.DBR($C$26,$B33,E$28)</f>
        <v>*KEY_ERR</v>
      </c>
      <c r="F33" s="57" t="str">
        <f ca="1">_xll.DBR($C$26,$B33,F$28)</f>
        <v>*KEY_ERR</v>
      </c>
      <c r="G33" s="57" t="str">
        <f ca="1">_xll.DBR($C$26,$B33,G$28)</f>
        <v>*KEY_ERR</v>
      </c>
      <c r="H33" s="57" t="str">
        <f ca="1">_xll.DBR($C$26,$B33,H$28)</f>
        <v>*KEY_ERR</v>
      </c>
    </row>
    <row r="34" spans="2:8" ht="15" hidden="1" outlineLevel="1" thickBot="1" x14ac:dyDescent="0.35"/>
    <row r="35" spans="2:8" hidden="1" outlineLevel="1" x14ac:dyDescent="0.3">
      <c r="B35" s="6" t="s">
        <v>53</v>
      </c>
      <c r="C35" s="31" t="s">
        <v>54</v>
      </c>
    </row>
    <row r="36" spans="2:8" ht="15" hidden="1" outlineLevel="1" thickBot="1" x14ac:dyDescent="0.35">
      <c r="B36" s="8"/>
      <c r="C36" s="32" t="s">
        <v>55</v>
      </c>
    </row>
    <row r="37" spans="2:8" hidden="1" outlineLevel="1" x14ac:dyDescent="0.3">
      <c r="B37" s="6" t="s">
        <v>56</v>
      </c>
      <c r="C37" s="7" t="s">
        <v>57</v>
      </c>
    </row>
    <row r="38" spans="2:8" ht="15" hidden="1" outlineLevel="1" thickBot="1" x14ac:dyDescent="0.35">
      <c r="B38" s="8"/>
      <c r="C38" s="9" t="s">
        <v>58</v>
      </c>
    </row>
    <row r="39" spans="2:8" ht="15" hidden="1" outlineLevel="1" thickBot="1" x14ac:dyDescent="0.35"/>
    <row r="40" spans="2:8" ht="15" hidden="1" outlineLevel="1" thickBot="1" x14ac:dyDescent="0.35">
      <c r="B40" s="103" t="s">
        <v>25</v>
      </c>
      <c r="C40" s="104"/>
    </row>
    <row r="41" spans="2:8" hidden="1" outlineLevel="1" x14ac:dyDescent="0.3">
      <c r="B41" s="12" t="s">
        <v>26</v>
      </c>
      <c r="C41" s="7" t="str">
        <f ca="1">_xll.TM1RPTVIEW(db_name&amp;":AE adjustments:1",$C$66, _xll.TM1RPTTITLE(db_name&amp;":headline year",$K$74), _xll.TM1RPTTITLE(db_name&amp;":scenario",$K$75), _xll.TM1RPTTITLE(db_name&amp;":status",$C$47), _xll.TM1RPTTITLE(db_name&amp;":outcome",$C$48), _xll.TM1RPTTITLE(db_name&amp;":related entity",$C$49), _xll.TM1RPTTITLE(db_name&amp;":function",$C$50), _xll.TM1RPTTITLE(db_name&amp;":reason",$C$51), _xll.TM1RPTTITLE(db_name&amp;":spp",$C$52), _xll.TM1RPTTITLE(db_name&amp;":measure code",$C$53), _xll.TM1RPTTITLE(db_name&amp;":appropriation type",$C$54), _xll.TM1RPTTITLE(db_name&amp;":appropriation item",$C$55), _xll.TM1RPTTITLE(db_name&amp;":programme",$K$77), _xll.TM1RPTTITLE(db_name&amp;":id",$C$57), _xll.TM1RPTTITLE(db_name&amp;":jurisdiction",$C$58), _xll.TM1RPTTITLE(db_name&amp;":period",$K$76),TM1RPTFMTRNG,TM1RPTFMTIDCOL)</f>
        <v>dcceew_geus:AE adjustments:1</v>
      </c>
    </row>
    <row r="42" spans="2:8" hidden="1" outlineLevel="1" x14ac:dyDescent="0.3">
      <c r="B42" s="20" t="s">
        <v>27</v>
      </c>
      <c r="C42" s="14"/>
    </row>
    <row r="43" spans="2:8" hidden="1" outlineLevel="1" x14ac:dyDescent="0.3">
      <c r="B43" s="20"/>
      <c r="C43" s="14"/>
    </row>
    <row r="44" spans="2:8" hidden="1" outlineLevel="1" x14ac:dyDescent="0.3">
      <c r="B44" s="49" t="s">
        <v>28</v>
      </c>
      <c r="C44" s="50" t="str">
        <f ca="1">_xll.VIEW(db_name&amp;":}ElementAttributes_movement account","!","!")</f>
        <v>dcceew_geus:}ElementAttributes_movement account</v>
      </c>
    </row>
    <row r="45" spans="2:8" hidden="1" outlineLevel="1" x14ac:dyDescent="0.3">
      <c r="B45" s="13" t="s">
        <v>0</v>
      </c>
      <c r="C45" s="14"/>
    </row>
    <row r="46" spans="2:8" hidden="1" outlineLevel="1" x14ac:dyDescent="0.3">
      <c r="B46" s="13" t="s">
        <v>1</v>
      </c>
      <c r="C46" s="14"/>
    </row>
    <row r="47" spans="2:8" hidden="1" outlineLevel="1" x14ac:dyDescent="0.3">
      <c r="B47" s="13" t="s">
        <v>2</v>
      </c>
      <c r="C47" s="14" t="str">
        <f ca="1">_xll.SUBNM(db_name&amp;":status","","Total approved")</f>
        <v/>
      </c>
    </row>
    <row r="48" spans="2:8" hidden="1" outlineLevel="1" x14ac:dyDescent="0.3">
      <c r="B48" s="13" t="s">
        <v>3</v>
      </c>
      <c r="C48" s="14" t="str">
        <f ca="1">_xll.SUBNM(db_name&amp;":outcome","","Total outcomes")</f>
        <v/>
      </c>
    </row>
    <row r="49" spans="2:27" hidden="1" outlineLevel="1" x14ac:dyDescent="0.3">
      <c r="B49" s="13" t="s">
        <v>4</v>
      </c>
      <c r="C49" s="14" t="str">
        <f ca="1">_xll.SUBNM(db_name&amp;":related entity","","Total related entity")</f>
        <v/>
      </c>
      <c r="N49" s="47">
        <v>5311001</v>
      </c>
      <c r="O49" s="47">
        <v>5311002</v>
      </c>
      <c r="P49" s="47">
        <v>5311000</v>
      </c>
      <c r="Q49" s="47">
        <v>5312001</v>
      </c>
      <c r="R49" s="47">
        <v>5312002</v>
      </c>
      <c r="S49" s="47">
        <v>5312000</v>
      </c>
      <c r="T49" s="47">
        <v>5313001</v>
      </c>
      <c r="U49" s="47">
        <v>5313002</v>
      </c>
      <c r="V49" s="47">
        <v>5313000</v>
      </c>
      <c r="W49" s="47">
        <v>5314000</v>
      </c>
      <c r="X49" s="47">
        <v>5315000</v>
      </c>
      <c r="Y49" s="47">
        <v>5316000</v>
      </c>
      <c r="Z49" s="47">
        <v>5356010</v>
      </c>
      <c r="AA49" s="47">
        <v>5310000</v>
      </c>
    </row>
    <row r="50" spans="2:27" s="48" customFormat="1" ht="57.6" hidden="1" outlineLevel="1" x14ac:dyDescent="0.3">
      <c r="B50" s="13" t="s">
        <v>5</v>
      </c>
      <c r="C50" s="14" t="str">
        <f ca="1">_xll.SUBNM(db_name&amp;":function","","Total functions")</f>
        <v/>
      </c>
      <c r="L50" s="21" t="s">
        <v>40</v>
      </c>
      <c r="M50" s="22" t="s">
        <v>19</v>
      </c>
      <c r="N50" s="51" t="str">
        <f ca="1">_xll.DBRA(db_name&amp;":account",TRIM(N$49),"description")</f>
        <v/>
      </c>
      <c r="O50" s="51" t="str">
        <f ca="1">_xll.DBRA(db_name&amp;":account",TRIM(O$49),"description")</f>
        <v/>
      </c>
      <c r="P50" s="51" t="str">
        <f ca="1">_xll.DBRA(db_name&amp;":account",TRIM(P$49),"description")</f>
        <v/>
      </c>
      <c r="Q50" s="51" t="str">
        <f ca="1">_xll.DBRA(db_name&amp;":account",TRIM(Q$49),"description")</f>
        <v/>
      </c>
      <c r="R50" s="51" t="str">
        <f ca="1">_xll.DBRA(db_name&amp;":account",TRIM(R$49),"description")</f>
        <v/>
      </c>
      <c r="S50" s="51" t="str">
        <f ca="1">_xll.DBRA(db_name&amp;":account",TRIM(S$49),"description")</f>
        <v/>
      </c>
      <c r="T50" s="51" t="str">
        <f ca="1">_xll.DBRA(db_name&amp;":account",TRIM(T$49),"description")</f>
        <v/>
      </c>
      <c r="U50" s="51" t="str">
        <f ca="1">_xll.DBRA(db_name&amp;":account",TRIM(U$49),"description")</f>
        <v/>
      </c>
      <c r="V50" s="51" t="str">
        <f ca="1">_xll.DBRA(db_name&amp;":account",TRIM(V$49),"description")</f>
        <v/>
      </c>
      <c r="W50" s="51" t="str">
        <f ca="1">_xll.DBRA(db_name&amp;":account",TRIM(W$49),"description")</f>
        <v/>
      </c>
      <c r="X50" s="51" t="str">
        <f ca="1">_xll.DBRA(db_name&amp;":account",TRIM(X$49),"description")</f>
        <v/>
      </c>
      <c r="Y50" s="51" t="str">
        <f ca="1">_xll.DBRA(db_name&amp;":account",TRIM(Y$49),"description")</f>
        <v/>
      </c>
      <c r="Z50" s="51" t="str">
        <f ca="1">_xll.DBRA(db_name&amp;":account",TRIM(Z$49),"description")</f>
        <v/>
      </c>
      <c r="AA50" s="51" t="str">
        <f ca="1">_xll.DBRA(db_name&amp;":account",TRIM(AA$49),"description")</f>
        <v/>
      </c>
    </row>
    <row r="51" spans="2:27" hidden="1" outlineLevel="1" x14ac:dyDescent="0.3">
      <c r="B51" s="13" t="s">
        <v>6</v>
      </c>
      <c r="C51" s="14" t="str">
        <f ca="1">_xll.SUBNM(db_name&amp;":reason","","Total reason")</f>
        <v/>
      </c>
    </row>
    <row r="52" spans="2:27" hidden="1" outlineLevel="1" x14ac:dyDescent="0.3">
      <c r="B52" s="13" t="s">
        <v>7</v>
      </c>
      <c r="C52" s="14" t="str">
        <f ca="1">_xll.SUBNM(db_name&amp;":spp","","Total SPP")</f>
        <v/>
      </c>
    </row>
    <row r="53" spans="2:27" hidden="1" outlineLevel="1" x14ac:dyDescent="0.3">
      <c r="B53" s="13" t="s">
        <v>8</v>
      </c>
      <c r="C53" s="14" t="str">
        <f ca="1">_xll.SUBNM(db_name&amp;":measure code","","Total Measures","CBMS")</f>
        <v/>
      </c>
    </row>
    <row r="54" spans="2:27" hidden="1" outlineLevel="1" x14ac:dyDescent="0.3">
      <c r="B54" s="13" t="s">
        <v>9</v>
      </c>
      <c r="C54" s="14" t="str">
        <f ca="1">_xll.SUBNM(db_name&amp;":appropriation type","","Total approp types")</f>
        <v/>
      </c>
      <c r="V54" s="67" t="s">
        <v>63</v>
      </c>
      <c r="W54" s="62" t="s">
        <v>57</v>
      </c>
    </row>
    <row r="55" spans="2:27" hidden="1" outlineLevel="1" x14ac:dyDescent="0.3">
      <c r="B55" s="13" t="s">
        <v>10</v>
      </c>
      <c r="C55" s="14" t="str">
        <f ca="1">_xll.SUBNM(db_name&amp;":appropriation item","","Total approp item")</f>
        <v/>
      </c>
    </row>
    <row r="56" spans="2:27" hidden="1" outlineLevel="1" x14ac:dyDescent="0.3">
      <c r="B56" s="13" t="s">
        <v>11</v>
      </c>
      <c r="C56" s="14"/>
    </row>
    <row r="57" spans="2:27" hidden="1" outlineLevel="1" x14ac:dyDescent="0.3">
      <c r="B57" s="13" t="s">
        <v>12</v>
      </c>
      <c r="C57" s="14" t="str">
        <f ca="1">_xll.SUBNM(db_name&amp;":id","","Total IDs")</f>
        <v/>
      </c>
    </row>
    <row r="58" spans="2:27" hidden="1" outlineLevel="1" x14ac:dyDescent="0.3">
      <c r="B58" s="13" t="s">
        <v>13</v>
      </c>
      <c r="C58" s="14" t="str">
        <f ca="1">_xll.SUBNM(db_name&amp;":jurisdiction","","Total jurisdictions")</f>
        <v/>
      </c>
    </row>
    <row r="59" spans="2:27" ht="15" hidden="1" outlineLevel="1" thickBot="1" x14ac:dyDescent="0.35">
      <c r="B59" s="17" t="s">
        <v>14</v>
      </c>
      <c r="C59" s="9"/>
    </row>
    <row r="60" spans="2:27" ht="15" hidden="1" outlineLevel="1" thickBot="1" x14ac:dyDescent="0.35"/>
    <row r="61" spans="2:27" ht="15" hidden="1" outlineLevel="1" thickBot="1" x14ac:dyDescent="0.35">
      <c r="B61" s="103" t="s">
        <v>29</v>
      </c>
      <c r="C61" s="104"/>
    </row>
    <row r="62" spans="2:27" hidden="1" outlineLevel="1" x14ac:dyDescent="0.3">
      <c r="B62" s="12" t="s">
        <v>30</v>
      </c>
      <c r="C62" s="15" t="s">
        <v>39</v>
      </c>
    </row>
    <row r="63" spans="2:27" hidden="1" outlineLevel="1" x14ac:dyDescent="0.3">
      <c r="B63" s="13" t="s">
        <v>31</v>
      </c>
      <c r="C63" s="16" t="s">
        <v>32</v>
      </c>
    </row>
    <row r="64" spans="2:27" ht="15" hidden="1" outlineLevel="1" thickBot="1" x14ac:dyDescent="0.35">
      <c r="B64" s="17" t="s">
        <v>33</v>
      </c>
      <c r="C64" s="18" t="s">
        <v>34</v>
      </c>
    </row>
    <row r="65" spans="2:27" hidden="1" outlineLevel="1" x14ac:dyDescent="0.3">
      <c r="B65" s="45" t="s">
        <v>59</v>
      </c>
      <c r="C65" s="46">
        <f ca="1">IF($P$74="Yes",1,0)</f>
        <v>0</v>
      </c>
    </row>
    <row r="66" spans="2:27" hidden="1" outlineLevel="1" x14ac:dyDescent="0.3">
      <c r="B66" s="45" t="s">
        <v>60</v>
      </c>
      <c r="C66" s="46">
        <f ca="1">IF($P$75="Yes",1,0)</f>
        <v>0</v>
      </c>
    </row>
    <row r="67" spans="2:27" hidden="1" outlineLevel="1" x14ac:dyDescent="0.3"/>
    <row r="68" spans="2:27" ht="39.9" customHeight="1" collapsed="1" x14ac:dyDescent="0.3">
      <c r="I68" s="63"/>
      <c r="J68" s="55"/>
      <c r="K68" s="55"/>
      <c r="L68" s="55"/>
      <c r="M68" s="55"/>
      <c r="N68" s="55"/>
      <c r="O68" s="55"/>
      <c r="P68" s="55"/>
      <c r="Q68" s="55"/>
      <c r="R68" s="55"/>
      <c r="S68" s="56" t="s">
        <v>80</v>
      </c>
      <c r="T68" s="55"/>
      <c r="U68" s="55"/>
      <c r="V68" s="55"/>
      <c r="W68" s="55"/>
      <c r="X68" s="55"/>
      <c r="Y68" s="55"/>
      <c r="Z68" s="55"/>
      <c r="AA68" s="55"/>
    </row>
    <row r="69" spans="2:27" ht="4.5" customHeight="1" x14ac:dyDescent="0.3"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 spans="2:27" ht="24" customHeight="1" x14ac:dyDescent="0.3">
      <c r="J70" s="1"/>
      <c r="K70" s="52"/>
      <c r="L70" s="52"/>
      <c r="M70" s="52"/>
      <c r="N70" s="52"/>
      <c r="O70" s="52"/>
      <c r="P70" s="52"/>
      <c r="Q70" s="52"/>
      <c r="R70" s="52"/>
      <c r="S70" s="52"/>
      <c r="U70" s="52"/>
      <c r="V70" s="52"/>
      <c r="W70" s="52"/>
      <c r="X70" s="52"/>
      <c r="Y70" s="52"/>
      <c r="Z70" s="52"/>
      <c r="AA70" s="52"/>
    </row>
    <row r="71" spans="2:27" ht="1.5" customHeight="1" x14ac:dyDescent="0.3"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 spans="2:27" ht="4.5" customHeight="1" x14ac:dyDescent="0.3">
      <c r="J72" s="1"/>
      <c r="K72" s="52"/>
      <c r="L72" s="52"/>
      <c r="M72" s="52"/>
      <c r="N72" s="52"/>
      <c r="O72" s="52"/>
      <c r="P72" s="52"/>
      <c r="Q72" s="52"/>
      <c r="R72" s="52"/>
      <c r="S72" s="52"/>
      <c r="U72" s="52"/>
      <c r="V72" s="52"/>
      <c r="W72" s="52"/>
      <c r="X72" s="52"/>
      <c r="Y72" s="52"/>
      <c r="Z72" s="52"/>
      <c r="AA72" s="52"/>
    </row>
    <row r="73" spans="2:27" x14ac:dyDescent="0.3">
      <c r="J73" s="1"/>
      <c r="K73" s="82" t="s">
        <v>81</v>
      </c>
      <c r="L73" s="83"/>
      <c r="M73" s="52"/>
      <c r="N73" s="52"/>
      <c r="O73" s="82" t="s">
        <v>84</v>
      </c>
      <c r="P73" s="83"/>
      <c r="Q73" s="71"/>
      <c r="R73" s="71"/>
      <c r="S73" s="71"/>
      <c r="T73" s="73"/>
      <c r="U73" s="71"/>
      <c r="V73" s="71"/>
      <c r="W73" s="71"/>
      <c r="X73" s="52"/>
      <c r="Y73" s="52"/>
      <c r="Z73" s="52"/>
      <c r="AA73" s="52"/>
    </row>
    <row r="74" spans="2:27" x14ac:dyDescent="0.3">
      <c r="J74" s="72" t="s">
        <v>82</v>
      </c>
      <c r="K74" s="88" t="str">
        <f ca="1">_xll.SUBNM(db_name&amp;":headline year","",$C$21)</f>
        <v/>
      </c>
      <c r="L74" s="88"/>
      <c r="M74" s="52"/>
      <c r="N74" s="52"/>
      <c r="O74" s="72" t="s">
        <v>61</v>
      </c>
      <c r="P74" s="81" t="str">
        <f ca="1">_xll.SUBNM(db_name&amp;":sys_YesNo","","No")</f>
        <v/>
      </c>
      <c r="Q74" s="71"/>
      <c r="R74" s="71"/>
      <c r="S74" s="71"/>
      <c r="T74" s="71"/>
      <c r="U74" s="71"/>
      <c r="V74" s="71"/>
      <c r="W74" s="71"/>
      <c r="X74" s="52"/>
      <c r="Y74" s="52"/>
      <c r="Z74" s="52"/>
      <c r="AA74" s="52"/>
    </row>
    <row r="75" spans="2:27" ht="18" customHeight="1" x14ac:dyDescent="0.3">
      <c r="J75" s="72" t="s">
        <v>35</v>
      </c>
      <c r="K75" s="88" t="str">
        <f ca="1">_xll.SUBNM(db_name&amp;":scenario","",$C$22)</f>
        <v/>
      </c>
      <c r="L75" s="88"/>
      <c r="M75" s="70"/>
      <c r="N75" s="70"/>
      <c r="O75" s="72" t="s">
        <v>62</v>
      </c>
      <c r="P75" s="81" t="str">
        <f ca="1">_xll.SUBNM(db_name&amp;":sys_YesNo","","No")</f>
        <v/>
      </c>
      <c r="Q75" s="73"/>
      <c r="R75" s="73"/>
      <c r="S75" s="73"/>
      <c r="T75" s="73"/>
      <c r="U75" s="73"/>
      <c r="V75" s="73"/>
      <c r="W75" s="73"/>
    </row>
    <row r="76" spans="2:27" x14ac:dyDescent="0.3">
      <c r="J76" s="72" t="s">
        <v>83</v>
      </c>
      <c r="K76" s="88" t="str">
        <f ca="1">_xll.SUBNM(db_name&amp;":period","",$Q$20)</f>
        <v/>
      </c>
      <c r="L76" s="88"/>
      <c r="M76" s="52"/>
      <c r="N76" s="52"/>
      <c r="O76" s="52"/>
      <c r="P76" s="73"/>
      <c r="Q76" s="73"/>
      <c r="R76" s="71"/>
      <c r="S76" s="71"/>
      <c r="T76" s="73"/>
      <c r="U76" s="71"/>
      <c r="V76" s="71"/>
      <c r="W76" s="71"/>
      <c r="X76" s="52"/>
      <c r="Y76" s="52"/>
      <c r="Z76" s="52"/>
      <c r="AA76" s="52"/>
    </row>
    <row r="77" spans="2:27" x14ac:dyDescent="0.3">
      <c r="J77" s="72" t="s">
        <v>36</v>
      </c>
      <c r="K77" s="88" t="str">
        <f ca="1">_xll.SUBNM(db_name&amp;":programme","","Departmental Programmes","code and description")</f>
        <v/>
      </c>
      <c r="L77" s="88"/>
      <c r="M77" s="52"/>
      <c r="N77" s="52"/>
      <c r="O77" s="52"/>
      <c r="P77" s="71"/>
      <c r="Q77" s="71"/>
      <c r="R77" s="71"/>
      <c r="S77" s="71"/>
      <c r="T77" s="73"/>
      <c r="U77" s="71"/>
      <c r="X77" s="52"/>
      <c r="Y77" s="74" t="s">
        <v>85</v>
      </c>
      <c r="Z77" s="84">
        <f ca="1">NOW()</f>
        <v>44972.398139236109</v>
      </c>
      <c r="AA77" s="84"/>
    </row>
    <row r="78" spans="2:27" ht="4.5" customHeight="1" thickBot="1" x14ac:dyDescent="0.35">
      <c r="L78" s="52"/>
      <c r="M78" s="52"/>
      <c r="N78" s="52"/>
      <c r="O78" s="52"/>
      <c r="P78" s="71"/>
      <c r="Q78" s="71"/>
      <c r="R78" s="71"/>
      <c r="S78" s="71"/>
      <c r="T78" s="73"/>
      <c r="U78" s="71"/>
      <c r="X78" s="52"/>
      <c r="Y78" s="52"/>
      <c r="Z78" s="52"/>
      <c r="AA78" s="52"/>
    </row>
    <row r="79" spans="2:27" ht="49.95" customHeight="1" x14ac:dyDescent="0.3">
      <c r="J79" s="91" t="str">
        <f ca="1">"Asset Movement Table"&amp;CHAR(10)&amp;"Financial Year -  "&amp;LEFT(K76,4)&amp;"-"&amp;RIGHT(K76,2)&amp;" ("&amp;RIGHT(S19,2)&amp;")"</f>
        <v>Asset Movement Table
Financial Year -  - (PA)</v>
      </c>
      <c r="K79" s="92"/>
      <c r="L79" s="93"/>
      <c r="M79" s="68"/>
      <c r="N79" s="69" t="str">
        <f t="shared" ref="N79:AA79" ca="1" si="0">IF($W$54="Code and Description",N$49&amp;CHAR(10)&amp;N$50,N$50)</f>
        <v xml:space="preserve">5311001
</v>
      </c>
      <c r="O79" s="69" t="str">
        <f t="shared" ca="1" si="0"/>
        <v xml:space="preserve">5311002
</v>
      </c>
      <c r="P79" s="69" t="str">
        <f t="shared" ca="1" si="0"/>
        <v xml:space="preserve">5311000
</v>
      </c>
      <c r="Q79" s="69" t="str">
        <f t="shared" ca="1" si="0"/>
        <v xml:space="preserve">5312001
</v>
      </c>
      <c r="R79" s="69" t="str">
        <f t="shared" ca="1" si="0"/>
        <v xml:space="preserve">5312002
</v>
      </c>
      <c r="S79" s="69" t="str">
        <f t="shared" ca="1" si="0"/>
        <v xml:space="preserve">5312000
</v>
      </c>
      <c r="T79" s="69" t="str">
        <f t="shared" ca="1" si="0"/>
        <v xml:space="preserve">5313001
</v>
      </c>
      <c r="U79" s="69" t="str">
        <f t="shared" ca="1" si="0"/>
        <v xml:space="preserve">5313002
</v>
      </c>
      <c r="V79" s="69" t="str">
        <f t="shared" ca="1" si="0"/>
        <v xml:space="preserve">5313000
</v>
      </c>
      <c r="W79" s="69" t="str">
        <f t="shared" ca="1" si="0"/>
        <v xml:space="preserve">5314000
</v>
      </c>
      <c r="X79" s="69" t="str">
        <f t="shared" ca="1" si="0"/>
        <v xml:space="preserve">5315000
</v>
      </c>
      <c r="Y79" s="69" t="str">
        <f t="shared" ca="1" si="0"/>
        <v xml:space="preserve">5316000
</v>
      </c>
      <c r="Z79" s="69" t="str">
        <f t="shared" ca="1" si="0"/>
        <v xml:space="preserve">5356010
</v>
      </c>
      <c r="AA79" s="69" t="str">
        <f t="shared" ca="1" si="0"/>
        <v xml:space="preserve">5310000
</v>
      </c>
    </row>
    <row r="80" spans="2:27" s="2" customFormat="1" ht="15" thickBot="1" x14ac:dyDescent="0.35">
      <c r="D80"/>
      <c r="E80"/>
      <c r="F80"/>
      <c r="G80"/>
      <c r="J80" s="94"/>
      <c r="K80" s="95"/>
      <c r="L80" s="96"/>
      <c r="M80" s="53" t="str">
        <f ca="1">M50</f>
        <v>DR/CR</v>
      </c>
      <c r="N80" s="54" t="s">
        <v>37</v>
      </c>
      <c r="O80" s="54" t="s">
        <v>37</v>
      </c>
      <c r="P80" s="54" t="s">
        <v>37</v>
      </c>
      <c r="Q80" s="54" t="s">
        <v>37</v>
      </c>
      <c r="R80" s="54" t="s">
        <v>37</v>
      </c>
      <c r="S80" s="54" t="s">
        <v>37</v>
      </c>
      <c r="T80" s="54" t="s">
        <v>37</v>
      </c>
      <c r="U80" s="54" t="s">
        <v>37</v>
      </c>
      <c r="V80" s="54" t="s">
        <v>37</v>
      </c>
      <c r="W80" s="54" t="s">
        <v>37</v>
      </c>
      <c r="X80" s="54" t="s">
        <v>37</v>
      </c>
      <c r="Y80" s="54" t="s">
        <v>37</v>
      </c>
      <c r="Z80" s="54" t="s">
        <v>37</v>
      </c>
      <c r="AA80" s="54" t="s">
        <v>37</v>
      </c>
    </row>
    <row r="81" spans="1:27" s="2" customFormat="1" ht="3" customHeight="1" x14ac:dyDescent="0.3">
      <c r="B81" s="19" t="s">
        <v>38</v>
      </c>
      <c r="D81"/>
      <c r="E81"/>
      <c r="F81"/>
      <c r="G81"/>
      <c r="J81" s="27"/>
      <c r="K81" s="27"/>
      <c r="L81" s="27"/>
      <c r="M81" s="28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4.4" customHeight="1" x14ac:dyDescent="0.3">
      <c r="A82" s="1" t="str">
        <f ca="1">IF(_xll.TM1RPTELISCONSOLIDATED($J$82,$J82),IF(_xll.TM1RPTELLEV($J$82,$J82)&lt;=3,_xll.TM1RPTELLEV($J$82,$J82),"D"),"N")</f>
        <v>N</v>
      </c>
      <c r="B82" s="1"/>
      <c r="C82" s="1"/>
      <c r="D82" s="1"/>
      <c r="E82" s="1"/>
      <c r="F82" s="1"/>
      <c r="G82" s="1" t="str">
        <f ca="1">_xll.DBRW($C$44,$J82,M$50)</f>
        <v/>
      </c>
      <c r="H82" s="1"/>
      <c r="I82" s="1"/>
      <c r="J82" s="89" t="str">
        <f ca="1">_xll.TM1RPTROW($C$41,db_name&amp;":movement account","sys_assets",,$W$54,$C$65,,,1)</f>
        <v/>
      </c>
      <c r="K82" s="90"/>
      <c r="L82" s="90"/>
      <c r="M82" s="64" t="str">
        <f ca="1">$G82</f>
        <v/>
      </c>
      <c r="N82" s="23" t="str">
        <f ca="1">_xll.DBRW($C$41,$K$74,$K$75,$C$47,$C$48,$C$49,$C$50,$C$51,$C$52,$C$53,$C$54,$J82,$C$55,$K$77,N$49,$C$57,$C$58,$K$76)</f>
        <v/>
      </c>
      <c r="O82" s="24" t="str">
        <f ca="1">_xll.DBRW($C$41,$K$74,$K$75,$C$47,$C$48,$C$49,$C$50,$C$51,$C$52,$C$53,$C$54,$J82,$C$55,$K$77,O$49,$C$57,$C$58,$K$76)</f>
        <v/>
      </c>
      <c r="P82" s="77" t="str">
        <f ca="1">_xll.DBRW($C$41,$K$74,$K$75,$C$47,$C$48,$C$49,$C$50,$C$51,$C$52,$C$53,$C$54,$J82,$C$55,$K$77,P$49,$C$57,$C$58,$K$76)</f>
        <v/>
      </c>
      <c r="Q82" s="24" t="str">
        <f ca="1">_xll.DBRW($C$41,$K$74,$K$75,$C$47,$C$48,$C$49,$C$50,$C$51,$C$52,$C$53,$C$54,$J82,$C$55,$K$77,Q$49,$C$57,$C$58,$K$76)</f>
        <v/>
      </c>
      <c r="R82" s="24" t="str">
        <f ca="1">_xll.DBRW($C$41,$K$74,$K$75,$C$47,$C$48,$C$49,$C$50,$C$51,$C$52,$C$53,$C$54,$J82,$C$55,$K$77,R$49,$C$57,$C$58,$K$76)</f>
        <v/>
      </c>
      <c r="S82" s="77" t="str">
        <f ca="1">_xll.DBRW($C$41,$K$74,$K$75,$C$47,$C$48,$C$49,$C$50,$C$51,$C$52,$C$53,$C$54,$J82,$C$55,$K$77,S$49,$C$57,$C$58,$K$76)</f>
        <v/>
      </c>
      <c r="T82" s="24" t="str">
        <f ca="1">_xll.DBRW($C$41,$K$74,$K$75,$C$47,$C$48,$C$49,$C$50,$C$51,$C$52,$C$53,$C$54,$J82,$C$55,$K$77,T$49,$C$57,$C$58,$K$76)</f>
        <v/>
      </c>
      <c r="U82" s="24" t="str">
        <f ca="1">_xll.DBRW($C$41,$K$74,$K$75,$C$47,$C$48,$C$49,$C$50,$C$51,$C$52,$C$53,$C$54,$J82,$C$55,$K$77,U$49,$C$57,$C$58,$K$76)</f>
        <v/>
      </c>
      <c r="V82" s="77" t="str">
        <f ca="1">_xll.DBRW($C$41,$K$74,$K$75,$C$47,$C$48,$C$49,$C$50,$C$51,$C$52,$C$53,$C$54,$J82,$C$55,$K$77,V$49,$C$57,$C$58,$K$76)</f>
        <v/>
      </c>
      <c r="W82" s="24" t="str">
        <f ca="1">_xll.DBRW($C$41,$K$74,$K$75,$C$47,$C$48,$C$49,$C$50,$C$51,$C$52,$C$53,$C$54,$J82,$C$55,$K$77,W$49,$C$57,$C$58,$K$76)</f>
        <v/>
      </c>
      <c r="X82" s="24" t="str">
        <f ca="1">_xll.DBRW($C$41,$K$74,$K$75,$C$47,$C$48,$C$49,$C$50,$C$51,$C$52,$C$53,$C$54,$J82,$C$55,$K$77,X$49,$C$57,$C$58,$K$76)</f>
        <v/>
      </c>
      <c r="Y82" s="24" t="str">
        <f ca="1">_xll.DBRW($C$41,$K$74,$K$75,$C$47,$C$48,$C$49,$C$50,$C$51,$C$52,$C$53,$C$54,$J82,$C$55,$K$77,Y$49,$C$57,$C$58,$K$76)</f>
        <v/>
      </c>
      <c r="Z82" s="24" t="str">
        <f ca="1">_xll.DBRW($C$41,$K$74,$K$75,$C$47,$C$48,$C$49,$C$50,$C$51,$C$52,$C$53,$C$54,$J82,$C$55,$K$77,Z$49,$C$57,$C$58,$K$76)</f>
        <v/>
      </c>
      <c r="AA82" s="79" t="str">
        <f ca="1">_xll.DBRW($C$41,$K$74,$K$75,$C$47,$C$48,$C$49,$C$50,$C$51,$C$52,$C$53,$C$54,$J82,$C$55,$K$77,AA$49,$C$57,$C$58,$K$76)</f>
        <v/>
      </c>
    </row>
    <row r="84" spans="1:27" x14ac:dyDescent="0.3">
      <c r="Q84" t="s">
        <v>64</v>
      </c>
    </row>
  </sheetData>
  <sheetProtection sheet="1" objects="1" scenarios="1"/>
  <mergeCells count="24">
    <mergeCell ref="B11:C11"/>
    <mergeCell ref="B19:C19"/>
    <mergeCell ref="B40:C40"/>
    <mergeCell ref="B61:C61"/>
    <mergeCell ref="J7:L7"/>
    <mergeCell ref="L19:M19"/>
    <mergeCell ref="L20:M20"/>
    <mergeCell ref="L21:M21"/>
    <mergeCell ref="L22:M22"/>
    <mergeCell ref="J82:L82"/>
    <mergeCell ref="J79:L80"/>
    <mergeCell ref="J2:L2"/>
    <mergeCell ref="J3:L3"/>
    <mergeCell ref="J4:L4"/>
    <mergeCell ref="J5:L5"/>
    <mergeCell ref="J6:L6"/>
    <mergeCell ref="O73:P73"/>
    <mergeCell ref="Z77:AA77"/>
    <mergeCell ref="B25:D25"/>
    <mergeCell ref="K73:L73"/>
    <mergeCell ref="K74:L74"/>
    <mergeCell ref="K75:L75"/>
    <mergeCell ref="K76:L76"/>
    <mergeCell ref="K77:L77"/>
  </mergeCells>
  <dataValidations disablePrompts="1" count="1">
    <dataValidation type="list" allowBlank="1" showInputMessage="1" showErrorMessage="1" sqref="W54" xr:uid="{E58A412F-3C5A-4EE6-B1CE-0AC3C22A366C}">
      <formula1>Account_Disp_List</formula1>
    </dataValidation>
  </dataValidations>
  <pageMargins left="0.23622047244094491" right="0.23622047244094491" top="0.74803149606299213" bottom="0.74803149606299213" header="0.31496062992125984" footer="0.31496062992125984"/>
  <pageSetup paperSize="9" scale="50" orientation="landscape" r:id="rId1"/>
  <headerFooter>
    <oddFooter>&amp;L&amp;8&amp;F&amp;C&amp;8&amp;D &amp;T&amp;R&amp;8Page &amp;P</oddFooter>
  </headerFooter>
  <drawing r:id="rId2"/>
  <legacyDrawing r:id="rId3"/>
  <controls>
    <mc:AlternateContent xmlns:mc="http://schemas.openxmlformats.org/markup-compatibility/2006">
      <mc:Choice Requires="x14">
        <control shapeId="2052" r:id="rId4" name="TIButton2">
          <controlPr defaultSize="0" print="0" autoLine="0" r:id="rId5">
            <anchor moveWithCells="1" sizeWithCells="1">
              <from>
                <xdr:col>9</xdr:col>
                <xdr:colOff>30480</xdr:colOff>
                <xdr:row>69</xdr:row>
                <xdr:rowOff>0</xdr:rowOff>
              </from>
              <to>
                <xdr:col>9</xdr:col>
                <xdr:colOff>670560</xdr:colOff>
                <xdr:row>69</xdr:row>
                <xdr:rowOff>251460</xdr:rowOff>
              </to>
            </anchor>
          </controlPr>
        </control>
      </mc:Choice>
      <mc:Fallback>
        <control shapeId="2052" r:id="rId4" name="TIButton2"/>
      </mc:Fallback>
    </mc:AlternateContent>
    <mc:AlternateContent xmlns:mc="http://schemas.openxmlformats.org/markup-compatibility/2006">
      <mc:Choice Requires="x14">
        <control shapeId="2053" r:id="rId6" name="TIButton3">
          <controlPr defaultSize="0" print="0" autoLine="0" r:id="rId7">
            <anchor moveWithCells="1" sizeWithCells="1">
              <from>
                <xdr:col>13</xdr:col>
                <xdr:colOff>647700</xdr:colOff>
                <xdr:row>69</xdr:row>
                <xdr:rowOff>0</xdr:rowOff>
              </from>
              <to>
                <xdr:col>14</xdr:col>
                <xdr:colOff>381000</xdr:colOff>
                <xdr:row>69</xdr:row>
                <xdr:rowOff>251460</xdr:rowOff>
              </to>
            </anchor>
          </controlPr>
        </control>
      </mc:Choice>
      <mc:Fallback>
        <control shapeId="2053" r:id="rId6" name="TIButton3"/>
      </mc:Fallback>
    </mc:AlternateContent>
    <mc:AlternateContent xmlns:mc="http://schemas.openxmlformats.org/markup-compatibility/2006">
      <mc:Choice Requires="x14">
        <control shapeId="2054" r:id="rId8" name="TIButton1">
          <controlPr defaultSize="0" print="0" autoLine="0" r:id="rId9">
            <anchor moveWithCells="1" sizeWithCells="1">
              <from>
                <xdr:col>9</xdr:col>
                <xdr:colOff>708660</xdr:colOff>
                <xdr:row>69</xdr:row>
                <xdr:rowOff>0</xdr:rowOff>
              </from>
              <to>
                <xdr:col>10</xdr:col>
                <xdr:colOff>617220</xdr:colOff>
                <xdr:row>69</xdr:row>
                <xdr:rowOff>251460</xdr:rowOff>
              </to>
            </anchor>
          </controlPr>
        </control>
      </mc:Choice>
      <mc:Fallback>
        <control shapeId="2054" r:id="rId8" name="TIButton1"/>
      </mc:Fallback>
    </mc:AlternateContent>
    <mc:AlternateContent xmlns:mc="http://schemas.openxmlformats.org/markup-compatibility/2006">
      <mc:Choice Requires="x14">
        <control shapeId="2055" r:id="rId10" name="TIButton4">
          <controlPr defaultSize="0" print="0" autoLine="0" r:id="rId11">
            <anchor moveWithCells="1" sizeWithCells="1">
              <from>
                <xdr:col>18</xdr:col>
                <xdr:colOff>731520</xdr:colOff>
                <xdr:row>68</xdr:row>
                <xdr:rowOff>22860</xdr:rowOff>
              </from>
              <to>
                <xdr:col>19</xdr:col>
                <xdr:colOff>0</xdr:colOff>
                <xdr:row>69</xdr:row>
                <xdr:rowOff>274320</xdr:rowOff>
              </to>
            </anchor>
          </controlPr>
        </control>
      </mc:Choice>
      <mc:Fallback>
        <control shapeId="2055" r:id="rId10" name="TIButton4"/>
      </mc:Fallback>
    </mc:AlternateContent>
    <mc:AlternateContent xmlns:mc="http://schemas.openxmlformats.org/markup-compatibility/2006">
      <mc:Choice Requires="x14">
        <control shapeId="2056" r:id="rId12" name="TIButton5">
          <controlPr defaultSize="0" print="0" autoLine="0" r:id="rId13">
            <anchor moveWithCells="1" sizeWithCells="1">
              <from>
                <xdr:col>10</xdr:col>
                <xdr:colOff>647700</xdr:colOff>
                <xdr:row>69</xdr:row>
                <xdr:rowOff>0</xdr:rowOff>
              </from>
              <to>
                <xdr:col>11</xdr:col>
                <xdr:colOff>754380</xdr:colOff>
                <xdr:row>69</xdr:row>
                <xdr:rowOff>251460</xdr:rowOff>
              </to>
            </anchor>
          </controlPr>
        </control>
      </mc:Choice>
      <mc:Fallback>
        <control shapeId="2056" r:id="rId12" name="TIButton5"/>
      </mc:Fallback>
    </mc:AlternateContent>
    <mc:AlternateContent xmlns:mc="http://schemas.openxmlformats.org/markup-compatibility/2006">
      <mc:Choice Requires="x14">
        <control shapeId="2057" r:id="rId14" name="TIButton6">
          <controlPr defaultSize="0" print="0" autoLine="0" r:id="rId15">
            <anchor moveWithCells="1" sizeWithCells="1">
              <from>
                <xdr:col>11</xdr:col>
                <xdr:colOff>784860</xdr:colOff>
                <xdr:row>69</xdr:row>
                <xdr:rowOff>0</xdr:rowOff>
              </from>
              <to>
                <xdr:col>13</xdr:col>
                <xdr:colOff>617220</xdr:colOff>
                <xdr:row>69</xdr:row>
                <xdr:rowOff>251460</xdr:rowOff>
              </to>
            </anchor>
          </controlPr>
        </control>
      </mc:Choice>
      <mc:Fallback>
        <control shapeId="2057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report</vt:lpstr>
      <vt:lpstr>Acc_Disp_List</vt:lpstr>
      <vt:lpstr>Account_Disp_List</vt:lpstr>
      <vt:lpstr>db_name</vt:lpstr>
      <vt:lpstr>Freeze_HERE</vt:lpstr>
      <vt:lpstr>report!Print_Area</vt:lpstr>
      <vt:lpstr>psApp</vt:lpstr>
      <vt:lpstr>psProgDimName</vt:lpstr>
      <vt:lpstr>psUser</vt:lpstr>
      <vt:lpstr>sys_YN_List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report!TM1RPTDATARNG1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cp:lastPrinted>2019-02-27T04:00:12Z</cp:lastPrinted>
  <dcterms:created xsi:type="dcterms:W3CDTF">2019-01-25T10:51:51Z</dcterms:created>
  <dcterms:modified xsi:type="dcterms:W3CDTF">2023-02-14T22:33:19Z</dcterms:modified>
</cp:coreProperties>
</file>