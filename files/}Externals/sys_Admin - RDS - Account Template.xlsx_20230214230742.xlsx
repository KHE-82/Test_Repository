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D322F8D-8A98-429C-921C-91A0EFCF04FC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DS" sheetId="1" r:id="rId1"/>
  </sheets>
  <definedNames>
    <definedName name="db_name">RDS!$C$12</definedName>
    <definedName name="Freeze_here">RDS!$L$61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MEAccTempCAP">RDS!$D$36</definedName>
    <definedName name="TM1MEAccTempWB">RDS!$F$36</definedName>
    <definedName name="TM1MEAccTempWS">RDS!$H$36</definedName>
    <definedName name="TM1REBUILDOPTION">1</definedName>
    <definedName name="TM1RPTDATARNG1" localSheetId="0">RDS!$62:$62</definedName>
    <definedName name="TM1RPTFMTIDCOL" localSheetId="0">RDS!$A$1:$A$8</definedName>
    <definedName name="TM1RPTFMTRNG" localSheetId="0">RDS!$J$1:$N$8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42" i="1"/>
  <c r="J62" i="1"/>
  <c r="C28" i="1"/>
  <c r="L58" i="1"/>
  <c r="C44" i="1"/>
  <c r="C41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N62" i="1"/>
  <c r="M62" i="1"/>
  <c r="L62" i="1"/>
  <c r="C20" i="1"/>
  <c r="C25" i="1"/>
  <c r="C24" i="1"/>
  <c r="C23" i="1"/>
  <c r="C22" i="1"/>
  <c r="C21" i="1"/>
  <c r="C13" i="1"/>
  <c r="C14" i="1"/>
  <c r="C15" i="1"/>
  <c r="C17" i="1"/>
  <c r="C16" i="1"/>
  <c r="A62" i="1"/>
  <c r="A5" i="1"/>
  <c r="A4" i="1"/>
  <c r="A3" i="1"/>
  <c r="A2" i="1"/>
</calcChain>
</file>

<file path=xl/sharedStrings.xml><?xml version="1.0" encoding="utf-8"?>
<sst xmlns="http://schemas.openxmlformats.org/spreadsheetml/2006/main" count="61" uniqueCount="59">
  <si>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</si>
  <si>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</si>
  <si>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</si>
  <si>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</si>
  <si>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</si>
  <si>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</si>
  <si>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</si>
  <si>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</si>
  <si>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</si>
  <si>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</si>
  <si>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</si>
  <si>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</si>
  <si>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</si>
  <si>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</si>
  <si>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</si>
  <si>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</si>
  <si>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</si>
  <si>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</si>
  <si>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</si>
  <si>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</si>
  <si>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</si>
  <si>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</si>
  <si>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No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</si>
  <si>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</si>
  <si>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</si>
  <si>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</si>
  <si>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</si>
  <si>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</si>
  <si>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</si>
  <si>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</si>
  <si>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</si>
  <si>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</si>
  <si>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</si>
  <si>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</si>
  <si>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</si>
  <si>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</si>
  <si>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</si>
  <si>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</si>
  <si>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</si>
  <si>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</si>
  <si>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</si>
  <si>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</si>
  <si>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</si>
  <si>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}ElementAttributes_</t>
  </si>
  <si>
    <t>Related Entity</t>
  </si>
  <si>
    <t>Administration RDS - Account Template Attributes</t>
  </si>
  <si>
    <t>ME - Account Template</t>
  </si>
  <si>
    <t>Admin RDS - Account Template</t>
  </si>
  <si>
    <t>{TM1SUBSETALL( [account template] )}</t>
  </si>
  <si>
    <t>Account Template :</t>
  </si>
  <si>
    <t>ME Title</t>
  </si>
  <si>
    <t>ME Description</t>
  </si>
  <si>
    <t>ME Used</t>
  </si>
  <si>
    <t>ME TItle (ALIAS)</t>
  </si>
  <si>
    <t>Note : This screen is used to manage the Account Template attribute cube which is required for GEUS - Monthly Profiles</t>
  </si>
  <si>
    <t>Note : To search for a single entity, select a Account Template, Set Filter to Yes and Click Refresh.</t>
  </si>
  <si>
    <t>ME Used - is used as an attribute to add in the sys_ME subset required for valid account templates</t>
  </si>
  <si>
    <t>1 = active, 0 = inactive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</si>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</sst>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4" xfId="0" applyFont="1" applyBorder="1"/>
    <xf numFmtId="0" fontId="7" fillId="0" borderId="0" xfId="0" applyFont="1" applyAlignment="1">
      <alignment horizontal="left"/>
    </xf>
    <xf numFmtId="0" fontId="4" fillId="0" borderId="0" xfId="0" applyFont="1"/>
    <xf numFmtId="164" fontId="5" fillId="6" borderId="4" xfId="0" applyNumberFormat="1" applyFont="1" applyFill="1" applyBorder="1"/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1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48</xdr:row>
      <xdr:rowOff>19050</xdr:rowOff>
    </xdr:from>
    <xdr:to>
      <xdr:col>11</xdr:col>
      <xdr:colOff>0</xdr:colOff>
      <xdr:row>48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47625</xdr:colOff>
          <xdr:row>50</xdr:row>
          <xdr:rowOff>0</xdr:rowOff>
        </xdr:from>
        <xdr:to>
          <xdr:col>9</xdr:col>
          <xdr:colOff>628650</xdr:colOff>
          <xdr:row>50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666750</xdr:colOff>
          <xdr:row>50</xdr:row>
          <xdr:rowOff>0</xdr:rowOff>
        </xdr:from>
        <xdr:to>
          <xdr:col>11</xdr:col>
          <xdr:colOff>0</xdr:colOff>
          <xdr:row>50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57150</xdr:colOff>
          <xdr:row>50</xdr:row>
          <xdr:rowOff>0</xdr:rowOff>
        </xdr:from>
        <xdr:to>
          <xdr:col>11</xdr:col>
          <xdr:colOff>1552575</xdr:colOff>
          <xdr:row>50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657225</xdr:colOff>
          <xdr:row>49</xdr:row>
          <xdr:rowOff>28575</xdr:rowOff>
        </xdr:from>
        <xdr:to>
          <xdr:col>13</xdr:col>
          <xdr:colOff>971550</xdr:colOff>
          <xdr:row>50</xdr:row>
          <xdr:rowOff>285750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3448050</xdr:colOff>
          <xdr:row>50</xdr:row>
          <xdr:rowOff>0</xdr:rowOff>
        </xdr:from>
        <xdr:to>
          <xdr:col>12</xdr:col>
          <xdr:colOff>180975</xdr:colOff>
          <xdr:row>50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1600200</xdr:colOff>
          <xdr:row>50</xdr:row>
          <xdr:rowOff>0</xdr:rowOff>
        </xdr:from>
        <xdr:to>
          <xdr:col>11</xdr:col>
          <xdr:colOff>3095625</xdr:colOff>
          <xdr:row>50</xdr:row>
          <xdr:rowOff>247650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N62"/>
  <sheetViews>
    <sheetView showGridLines="0" showRowColHeaders="0" tabSelected="1" showOutlineSymbols="0" topLeftCell="A49" workbookViewId="0">
      <pane xSplit="11" ySplit="13" topLeftCell="L62" activePane="bottomRight" state="frozen"/>
      <selection activeCell="I49" sqref="I49"/>
      <selection pane="topRight" activeCell="L49" sqref="L49"/>
      <selection pane="bottomLeft" activeCell="I62" sqref="I62"/>
      <selection pane="bottomRight" activeCell="L61" sqref="L61"/>
    </sheetView>
  </sheetViews>
  <sheetFormatPr defaultRowHeight="15" outlineLevelRow="1" outlineLevelCol="1" x14ac:dyDescent="0.25"/>
  <cols>
    <col min="1" max="1" width="2.7109375" hidden="1" customWidth="1" outlineLevel="1"/>
    <col min="2" max="2" width="31.42578125" hidden="1" customWidth="1" outlineLevel="1"/>
    <col min="3" max="8" width="16.140625" hidden="1" customWidth="1" outlineLevel="1"/>
    <col min="9" max="9" width="0.85546875" customWidth="1" collapsed="1"/>
    <col min="10" max="10" width="26" customWidth="1"/>
    <col min="11" max="11" width="0.85546875" customWidth="1"/>
    <col min="12" max="12" width="60.7109375" customWidth="1"/>
    <col min="13" max="13" width="58.7109375" bestFit="1" customWidth="1"/>
    <col min="14" max="14" width="14.7109375" customWidth="1"/>
  </cols>
  <sheetData>
    <row r="1" spans="1:14" hidden="1" outlineLevel="1" x14ac:dyDescent="0.25">
      <c r="A1" t="s">
        <v>2</v>
      </c>
    </row>
    <row r="2" spans="1:14" hidden="1" outlineLevel="1" x14ac:dyDescent="0.25">
      <c r="A2">
        <f>0</f>
        <v>0</v>
      </c>
      <c r="J2" s="12"/>
      <c r="L2" s="17"/>
      <c r="M2" s="17"/>
      <c r="N2" s="18"/>
    </row>
    <row r="3" spans="1:14" hidden="1" outlineLevel="1" x14ac:dyDescent="0.25">
      <c r="A3">
        <f>1</f>
        <v>1</v>
      </c>
      <c r="J3" s="13"/>
      <c r="L3" s="19"/>
      <c r="M3" s="19"/>
      <c r="N3" s="20"/>
    </row>
    <row r="4" spans="1:14" hidden="1" outlineLevel="1" x14ac:dyDescent="0.25">
      <c r="A4">
        <f>2</f>
        <v>2</v>
      </c>
      <c r="J4" s="13"/>
      <c r="L4" s="19"/>
      <c r="M4" s="19"/>
      <c r="N4" s="20"/>
    </row>
    <row r="5" spans="1:14" hidden="1" outlineLevel="1" x14ac:dyDescent="0.25">
      <c r="A5">
        <f>3</f>
        <v>3</v>
      </c>
      <c r="J5" s="13"/>
      <c r="L5" s="19"/>
      <c r="M5" s="19"/>
      <c r="N5" s="20"/>
    </row>
    <row r="6" spans="1:14" hidden="1" outlineLevel="1" x14ac:dyDescent="0.25">
      <c r="A6" t="s">
        <v>0</v>
      </c>
      <c r="J6" s="13"/>
      <c r="L6" s="19"/>
      <c r="M6" s="19"/>
      <c r="N6" s="20"/>
    </row>
    <row r="7" spans="1:14" hidden="1" outlineLevel="1" x14ac:dyDescent="0.25">
      <c r="A7" t="s">
        <v>1</v>
      </c>
      <c r="J7" s="25"/>
      <c r="L7" s="21"/>
      <c r="M7" s="21"/>
      <c r="N7" s="22"/>
    </row>
    <row r="8" spans="1:14" hidden="1" outlineLevel="1" x14ac:dyDescent="0.25">
      <c r="A8" t="s">
        <v>3</v>
      </c>
    </row>
    <row r="9" spans="1:14" hidden="1" outlineLevel="1" x14ac:dyDescent="0.25"/>
    <row r="10" spans="1:14" hidden="1" outlineLevel="1" x14ac:dyDescent="0.25"/>
    <row r="11" spans="1:14" hidden="1" outlineLevel="1" x14ac:dyDescent="0.25">
      <c r="B11" s="30" t="s">
        <v>4</v>
      </c>
      <c r="C11" s="31"/>
      <c r="D11" s="32"/>
    </row>
    <row r="12" spans="1:14" hidden="1" outlineLevel="1" x14ac:dyDescent="0.25">
      <c r="B12" s="3" t="s">
        <v>5</v>
      </c>
      <c r="C12" s="4" t="s">
        <v>58</v>
      </c>
      <c r="D12" s="5"/>
    </row>
    <row r="13" spans="1:14" hidden="1" outlineLevel="1" x14ac:dyDescent="0.25">
      <c r="B13" s="3" t="s">
        <v>6</v>
      </c>
      <c r="C13" s="6" t="str">
        <f ca="1">_xll.VIEW(db_name&amp;":}ElementAttributes_}Clients","!","!")</f>
        <v>dcceew_geus:}ElementAttributes_}Clients</v>
      </c>
      <c r="D13" s="5"/>
    </row>
    <row r="14" spans="1:14" hidden="1" outlineLevel="1" x14ac:dyDescent="0.25">
      <c r="B14" s="3" t="s">
        <v>7</v>
      </c>
      <c r="C14" s="4" t="str">
        <f ca="1">_xll.TM1USER(db_name)</f>
        <v/>
      </c>
      <c r="D14" s="5"/>
    </row>
    <row r="15" spans="1:14" hidden="1" outlineLevel="1" x14ac:dyDescent="0.25">
      <c r="B15" s="3" t="s">
        <v>8</v>
      </c>
      <c r="C15" s="4" t="str">
        <f ca="1">_xll.DBR($C$13,$C$14,$B15)</f>
        <v>*KEY_ERR</v>
      </c>
      <c r="D15" s="5"/>
    </row>
    <row r="16" spans="1:14" hidden="1" outlineLevel="1" x14ac:dyDescent="0.25">
      <c r="B16" s="3" t="s">
        <v>9</v>
      </c>
      <c r="C16" s="4" t="str">
        <f ca="1">_xll.DBR($C$13,$C$14,$B16)</f>
        <v>*KEY_ERR</v>
      </c>
      <c r="D16" s="5"/>
    </row>
    <row r="17" spans="2:8" hidden="1" outlineLevel="1" x14ac:dyDescent="0.25">
      <c r="B17" s="3" t="s">
        <v>10</v>
      </c>
      <c r="C17" s="4" t="str">
        <f ca="1">IF(LEFT($C$15,6)="CAM_AD",$C$16,$C$15)</f>
        <v>*KEY_ERR</v>
      </c>
      <c r="D17" s="7"/>
    </row>
    <row r="18" spans="2:8" hidden="1" outlineLevel="1" x14ac:dyDescent="0.25"/>
    <row r="19" spans="2:8" hidden="1" outlineLevel="1" x14ac:dyDescent="0.25">
      <c r="B19" s="30" t="s">
        <v>11</v>
      </c>
      <c r="C19" s="31"/>
      <c r="D19" s="32"/>
    </row>
    <row r="20" spans="2:8" hidden="1" outlineLevel="1" x14ac:dyDescent="0.25">
      <c r="B20" s="3" t="s">
        <v>12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25">
      <c r="B21" s="3" t="s">
        <v>13</v>
      </c>
      <c r="C21" s="7" t="str">
        <f ca="1">_xll.DBR($C$20,$B21,"value")</f>
        <v>*KEY_ERR</v>
      </c>
      <c r="D21" s="7"/>
    </row>
    <row r="22" spans="2:8" hidden="1" outlineLevel="1" x14ac:dyDescent="0.25">
      <c r="B22" s="3" t="s">
        <v>14</v>
      </c>
      <c r="C22" s="7" t="str">
        <f ca="1">_xll.DBR($C$20,$B22,"value")</f>
        <v>*KEY_ERR</v>
      </c>
      <c r="D22" s="7"/>
    </row>
    <row r="23" spans="2:8" hidden="1" outlineLevel="1" x14ac:dyDescent="0.25">
      <c r="B23" s="3" t="s">
        <v>15</v>
      </c>
      <c r="C23" s="7" t="str">
        <f ca="1">_xll.DBR($C$20,$B23,"value")</f>
        <v>*KEY_ERR</v>
      </c>
      <c r="D23" s="7"/>
    </row>
    <row r="24" spans="2:8" hidden="1" outlineLevel="1" x14ac:dyDescent="0.25">
      <c r="B24" s="3" t="s">
        <v>16</v>
      </c>
      <c r="C24" s="7" t="str">
        <f ca="1">_xll.DBR($C$20,$B24,"value")</f>
        <v>*KEY_ERR</v>
      </c>
      <c r="D24" s="7"/>
    </row>
    <row r="25" spans="2:8" hidden="1" outlineLevel="1" x14ac:dyDescent="0.25">
      <c r="B25" s="3" t="s">
        <v>17</v>
      </c>
      <c r="C25" s="7" t="str">
        <f ca="1">_xll.DBR($C$20,$B25,"value")</f>
        <v>*KEY_ERR</v>
      </c>
      <c r="D25" s="7"/>
    </row>
    <row r="26" spans="2:8" hidden="1" outlineLevel="1" x14ac:dyDescent="0.25"/>
    <row r="27" spans="2:8" hidden="1" outlineLevel="1" x14ac:dyDescent="0.25">
      <c r="B27" s="30" t="s">
        <v>27</v>
      </c>
      <c r="C27" s="31"/>
      <c r="D27" s="32"/>
    </row>
    <row r="28" spans="2:8" hidden="1" outlineLevel="1" x14ac:dyDescent="0.25">
      <c r="B28" s="3" t="s">
        <v>28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3" t="s">
        <v>29</v>
      </c>
      <c r="C29" t="s">
        <v>47</v>
      </c>
      <c r="D29" s="7"/>
    </row>
    <row r="30" spans="2:8" hidden="1" outlineLevel="1" x14ac:dyDescent="0.25">
      <c r="B30" s="7"/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35</v>
      </c>
    </row>
    <row r="31" spans="2:8" hidden="1" outlineLevel="1" x14ac:dyDescent="0.25">
      <c r="B31" s="7" t="s">
        <v>36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25">
      <c r="B32" s="7" t="s">
        <v>37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4" hidden="1" outlineLevel="1" x14ac:dyDescent="0.25">
      <c r="B33" s="7" t="s">
        <v>38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4" hidden="1" outlineLevel="1" x14ac:dyDescent="0.25">
      <c r="B34" s="7" t="s">
        <v>39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4" hidden="1" outlineLevel="1" x14ac:dyDescent="0.25">
      <c r="B35" s="7" t="s">
        <v>40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4" hidden="1" outlineLevel="1" x14ac:dyDescent="0.25">
      <c r="B36" s="7" t="s">
        <v>46</v>
      </c>
      <c r="C36" s="7" t="str">
        <f ca="1">_xll.DBR($C$28,$B36,C$30)</f>
        <v>*KEY_ERR</v>
      </c>
      <c r="D36" s="7" t="str">
        <f ca="1">_xll.DBR($C$28,$B36,D$30)</f>
        <v>*KEY_ERR</v>
      </c>
      <c r="E36" s="7" t="str">
        <f ca="1">_xll.DBR($C$28,$B36,E$30)</f>
        <v>*KEY_ERR</v>
      </c>
      <c r="F36" s="7" t="str">
        <f ca="1">_xll.DBR($C$28,$B36,F$30)</f>
        <v>*KEY_ERR</v>
      </c>
      <c r="G36" s="7" t="str">
        <f ca="1">_xll.DBR($C$28,$B36,G$30)</f>
        <v>*KEY_ERR</v>
      </c>
      <c r="H36" s="7" t="str">
        <f ca="1">_xll.DBR($C$28,$B36,H$30)</f>
        <v>*KEY_ERR</v>
      </c>
    </row>
    <row r="37" spans="2:14" hidden="1" outlineLevel="1" x14ac:dyDescent="0.25">
      <c r="B37" s="14" t="s">
        <v>42</v>
      </c>
      <c r="C37" s="15" t="s">
        <v>41</v>
      </c>
    </row>
    <row r="38" spans="2:14" ht="17.25" hidden="1" customHeight="1" outlineLevel="1" x14ac:dyDescent="0.25"/>
    <row r="39" spans="2:14" hidden="1" outlineLevel="1" x14ac:dyDescent="0.25">
      <c r="B39" s="30" t="s">
        <v>43</v>
      </c>
      <c r="C39" s="31"/>
      <c r="D39" s="32"/>
    </row>
    <row r="40" spans="2:14" hidden="1" outlineLevel="1" x14ac:dyDescent="0.25">
      <c r="B40" s="3" t="s">
        <v>18</v>
      </c>
      <c r="C40" s="7" t="str">
        <f ca="1">_xll.TM1RPTVIEW(db_name&amp;":}ElementAttributes_account template:1", 0,TM1RPTFMTRNG,TM1RPTFMTIDCOL)</f>
        <v>dcceew_geus:}ElementAttributes_account template:1</v>
      </c>
    </row>
    <row r="41" spans="2:14" hidden="1" outlineLevel="1" x14ac:dyDescent="0.25">
      <c r="B41" s="3" t="s">
        <v>19</v>
      </c>
      <c r="C41" s="7" t="str">
        <f ca="1">_xll.VIEW(db_name&amp;":}ElementAttributes_account template","!","!")</f>
        <v>dcceew_geus:}ElementAttributes_account template</v>
      </c>
    </row>
    <row r="42" spans="2:14" hidden="1" outlineLevel="1" x14ac:dyDescent="0.25">
      <c r="B42" s="3" t="s">
        <v>20</v>
      </c>
      <c r="C42" s="7" t="str">
        <f ca="1">IF($L$59="No",$C$43,$C$44)</f>
        <v>{TM1SUBSETALL( [account template] )}</v>
      </c>
      <c r="D42" s="5"/>
    </row>
    <row r="43" spans="2:14" hidden="1" outlineLevel="1" x14ac:dyDescent="0.25">
      <c r="B43" s="3" t="s">
        <v>24</v>
      </c>
      <c r="C43" s="7" t="s">
        <v>48</v>
      </c>
    </row>
    <row r="44" spans="2:14" hidden="1" outlineLevel="1" x14ac:dyDescent="0.25">
      <c r="B44" s="3" t="s">
        <v>25</v>
      </c>
      <c r="C44" s="7" t="str">
        <f ca="1">"{TM1DRILLDOWNMEMBER( {[account template].[" &amp; $L$58 &amp; "]}, ALL, RECURSIVE )}"</f>
        <v>{TM1DRILLDOWNMEMBER( {[account template].[]}, ALL, RECURSIVE )}</v>
      </c>
    </row>
    <row r="45" spans="2:14" hidden="1" outlineLevel="1" x14ac:dyDescent="0.25"/>
    <row r="46" spans="2:14" hidden="1" outlineLevel="1" x14ac:dyDescent="0.25">
      <c r="J46" s="1" t="s">
        <v>26</v>
      </c>
      <c r="L46" s="2" t="s">
        <v>50</v>
      </c>
      <c r="M46" s="2" t="s">
        <v>51</v>
      </c>
      <c r="N46" s="2" t="s">
        <v>52</v>
      </c>
    </row>
    <row r="47" spans="2:14" hidden="1" outlineLevel="1" x14ac:dyDescent="0.25"/>
    <row r="48" spans="2:14" hidden="1" outlineLevel="1" x14ac:dyDescent="0.25"/>
    <row r="49" spans="1:14" ht="39.75" customHeight="1" collapsed="1" x14ac:dyDescent="0.25">
      <c r="I49" s="16"/>
      <c r="J49" s="16"/>
      <c r="K49" s="16"/>
      <c r="L49" s="16"/>
      <c r="M49" s="16"/>
      <c r="N49" s="16" t="s">
        <v>45</v>
      </c>
    </row>
    <row r="50" spans="1:14" ht="4.5" customHeight="1" x14ac:dyDescent="0.25"/>
    <row r="51" spans="1:14" ht="24" customHeight="1" x14ac:dyDescent="0.25">
      <c r="J51" s="1"/>
    </row>
    <row r="52" spans="1:14" ht="1.5" customHeight="1" x14ac:dyDescent="0.25">
      <c r="I52" s="16"/>
      <c r="J52" s="16"/>
      <c r="K52" s="16"/>
      <c r="L52" s="16"/>
      <c r="M52" s="16"/>
      <c r="N52" s="16"/>
    </row>
    <row r="53" spans="1:14" x14ac:dyDescent="0.25">
      <c r="J53" s="29" t="s">
        <v>54</v>
      </c>
      <c r="K53" s="29"/>
      <c r="L53" s="29"/>
      <c r="M53" s="29"/>
    </row>
    <row r="54" spans="1:14" x14ac:dyDescent="0.25">
      <c r="J54" s="29" t="s">
        <v>55</v>
      </c>
      <c r="K54" s="29"/>
      <c r="L54" s="29"/>
      <c r="M54" s="29"/>
    </row>
    <row r="55" spans="1:14" x14ac:dyDescent="0.25">
      <c r="J55" s="26" t="s">
        <v>56</v>
      </c>
      <c r="K55" s="26"/>
      <c r="L55" s="26"/>
      <c r="M55" s="26"/>
    </row>
    <row r="56" spans="1:14" ht="5.0999999999999996" customHeight="1" x14ac:dyDescent="0.25"/>
    <row r="57" spans="1:14" x14ac:dyDescent="0.25">
      <c r="L57" s="9" t="s">
        <v>23</v>
      </c>
    </row>
    <row r="58" spans="1:14" x14ac:dyDescent="0.25">
      <c r="J58" s="8" t="s">
        <v>49</v>
      </c>
      <c r="L58" s="23" t="str">
        <f ca="1">_xll.SUBNM(db_name&amp;":account template","","Total account templates","code and description")</f>
        <v/>
      </c>
    </row>
    <row r="59" spans="1:14" x14ac:dyDescent="0.25">
      <c r="J59" s="8" t="s">
        <v>21</v>
      </c>
      <c r="L59" s="24" t="s">
        <v>22</v>
      </c>
      <c r="N59" s="27" t="s">
        <v>57</v>
      </c>
    </row>
    <row r="60" spans="1:14" ht="5.0999999999999996" customHeight="1" x14ac:dyDescent="0.25"/>
    <row r="61" spans="1:14" x14ac:dyDescent="0.25">
      <c r="J61" s="10" t="s">
        <v>44</v>
      </c>
      <c r="L61" s="11" t="s">
        <v>53</v>
      </c>
      <c r="M61" s="11" t="s">
        <v>51</v>
      </c>
      <c r="N61" s="11" t="s">
        <v>52</v>
      </c>
    </row>
    <row r="62" spans="1:14" x14ac:dyDescent="0.25">
      <c r="A62" t="str">
        <f ca="1">IF(_xll.TM1RPTELISCONSOLIDATED($J$62,$J62),IF(_xll.TM1RPTELLEV($J$62,$J62)&lt;=3,_xll.TM1RPTELLEV($J$62,$J62),"D"),"N")</f>
        <v>N</v>
      </c>
      <c r="J62" s="28" t="str">
        <f ca="1">_xll.TM1RPTROW($C$40,db_name&amp;":account template","","","",0,$C$42)</f>
        <v/>
      </c>
      <c r="L62" s="17" t="str">
        <f ca="1">_xll.DBRW($C$40,$J62,L$46)</f>
        <v/>
      </c>
      <c r="M62" s="17" t="str">
        <f ca="1">_xll.DBRW($C$40,$J62,M$46)</f>
        <v/>
      </c>
      <c r="N62" s="18" t="str">
        <f ca="1">_xll.DBRW($C$40,$J62,N$46)</f>
        <v/>
      </c>
    </row>
  </sheetData>
  <sheetProtection sheet="1" objects="1" scenarios="1"/>
  <mergeCells count="6">
    <mergeCell ref="J54:M54"/>
    <mergeCell ref="B11:D11"/>
    <mergeCell ref="B19:D19"/>
    <mergeCell ref="B39:D39"/>
    <mergeCell ref="B27:D27"/>
    <mergeCell ref="J53:M53"/>
  </mergeCells>
  <dataValidations count="1">
    <dataValidation type="list" allowBlank="1" showInputMessage="1" showErrorMessage="1" sqref="L59" xr:uid="{00000000-0002-0000-0000-000000000000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TIButton6">
          <controlPr defaultSize="0" print="0" autoLine="0" r:id="rId5">
            <anchor moveWithCells="1" sizeWithCells="1">
              <from>
                <xdr:col>11</xdr:col>
                <xdr:colOff>1600200</xdr:colOff>
                <xdr:row>50</xdr:row>
                <xdr:rowOff>0</xdr:rowOff>
              </from>
              <to>
                <xdr:col>11</xdr:col>
                <xdr:colOff>3095625</xdr:colOff>
                <xdr:row>50</xdr:row>
                <xdr:rowOff>247650</xdr:rowOff>
              </to>
            </anchor>
          </controlPr>
        </control>
      </mc:Choice>
      <mc:Fallback>
        <control shapeId="1030" r:id="rId4" name="TIButton6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autoPict="0" r:id="rId7">
            <anchor moveWithCells="1" sizeWithCells="1">
              <from>
                <xdr:col>8</xdr:col>
                <xdr:colOff>47625</xdr:colOff>
                <xdr:row>50</xdr:row>
                <xdr:rowOff>0</xdr:rowOff>
              </from>
              <to>
                <xdr:col>9</xdr:col>
                <xdr:colOff>628650</xdr:colOff>
                <xdr:row>50</xdr:row>
                <xdr:rowOff>247650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autoPict="0" r:id="rId9">
            <anchor moveWithCells="1" sizeWithCells="1">
              <from>
                <xdr:col>9</xdr:col>
                <xdr:colOff>666750</xdr:colOff>
                <xdr:row>50</xdr:row>
                <xdr:rowOff>0</xdr:rowOff>
              </from>
              <to>
                <xdr:col>11</xdr:col>
                <xdr:colOff>0</xdr:colOff>
                <xdr:row>50</xdr:row>
                <xdr:rowOff>247650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autoPict="0" r:id="rId11">
            <anchor moveWithCells="1" sizeWithCells="1">
              <from>
                <xdr:col>11</xdr:col>
                <xdr:colOff>57150</xdr:colOff>
                <xdr:row>50</xdr:row>
                <xdr:rowOff>0</xdr:rowOff>
              </from>
              <to>
                <xdr:col>11</xdr:col>
                <xdr:colOff>1552575</xdr:colOff>
                <xdr:row>50</xdr:row>
                <xdr:rowOff>247650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28" r:id="rId12" name="TIButton4">
          <controlPr defaultSize="0" print="0" autoLine="0" autoPict="0" r:id="rId13">
            <anchor moveWithCells="1" sizeWithCells="1">
              <from>
                <xdr:col>13</xdr:col>
                <xdr:colOff>657225</xdr:colOff>
                <xdr:row>49</xdr:row>
                <xdr:rowOff>28575</xdr:rowOff>
              </from>
              <to>
                <xdr:col>13</xdr:col>
                <xdr:colOff>971550</xdr:colOff>
                <xdr:row>50</xdr:row>
                <xdr:rowOff>285750</xdr:rowOff>
              </to>
            </anchor>
          </controlPr>
        </control>
      </mc:Choice>
      <mc:Fallback>
        <control shapeId="1028" r:id="rId12" name="TIButton4"/>
      </mc:Fallback>
    </mc:AlternateContent>
    <mc:AlternateContent xmlns:mc="http://schemas.openxmlformats.org/markup-compatibility/2006">
      <mc:Choice Requires="x14">
        <control shapeId="1029" r:id="rId14" name="TIButton5">
          <controlPr defaultSize="0" print="0" autoLine="0" r:id="rId15">
            <anchor moveWithCells="1" sizeWithCells="1">
              <from>
                <xdr:col>11</xdr:col>
                <xdr:colOff>3448050</xdr:colOff>
                <xdr:row>50</xdr:row>
                <xdr:rowOff>0</xdr:rowOff>
              </from>
              <to>
                <xdr:col>12</xdr:col>
                <xdr:colOff>180975</xdr:colOff>
                <xdr:row>50</xdr:row>
                <xdr:rowOff>247650</xdr:rowOff>
              </to>
            </anchor>
          </controlPr>
        </control>
      </mc:Choice>
      <mc:Fallback>
        <control shapeId="1029" r:id="rId14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TM1MEAccTempCAP</vt:lpstr>
      <vt:lpstr>TM1MEAccTempWB</vt:lpstr>
      <vt:lpstr>TM1MEAccTempWS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2019-04-08T23:13:27Z</dcterms:created>
  <dcterms:modified xsi:type="dcterms:W3CDTF">2025-08-05T04:49:51Z</dcterms:modified>
</cp:coreProperties>
</file>