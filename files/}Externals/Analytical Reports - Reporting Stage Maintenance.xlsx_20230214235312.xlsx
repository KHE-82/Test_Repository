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5\"/>
    </mc:Choice>
  </mc:AlternateContent>
  <bookViews>
    <workbookView xWindow="57480" yWindow="-1965" windowWidth="29040" windowHeight="15840"/>
  </bookViews>
  <sheets>
    <sheet name="stage maintenance" sheetId="1" r:id="rId1"/>
    <sheet name="{PL}PickLst" sheetId="3" state="hidden" r:id="rId2"/>
  </sheets>
  <definedNames>
    <definedName name="cbSysRpt">'stage maintenance'!$C$47</definedName>
    <definedName name="db_name">'stage maintenance'!$C$12</definedName>
    <definedName name="psApp">'stage maintenance'!$C$31</definedName>
    <definedName name="psSourceHLYear">'stage maintenance'!$L$65</definedName>
    <definedName name="psSourceScenario">'stage maintenance'!$L$66</definedName>
    <definedName name="psTargetMeas">'stage maintenance'!$C$27</definedName>
    <definedName name="psUser">'stage maintenance'!$C$14</definedName>
    <definedName name="TM1AnalRptARTRecoCAP">'stage maintenance'!$D$42</definedName>
    <definedName name="TM1AnalRptARTRecoWB">'stage maintenance'!$F$42</definedName>
    <definedName name="TM1AnalRptARTRecoWS">'stage maintenance'!$H$42</definedName>
    <definedName name="TM1AnalRptDashboardCAP">'stage maintenance'!$D$41</definedName>
    <definedName name="TM1AnalRptDashboardWB">'stage maintenance'!$F$41</definedName>
    <definedName name="TM1AnalRptDashboardWS">'stage maintenance'!$H$41</definedName>
    <definedName name="TM1AnalRptExportToCSVCAP">'stage maintenance'!$D$43</definedName>
    <definedName name="TM1AnalRptExportToCSVWB">'stage maintenance'!$F$43</definedName>
    <definedName name="TM1AnalRptExportToCSVWS">'stage maintenance'!$H$43</definedName>
    <definedName name="TM1AnalRptRecoCAP">'stage maintenance'!$D$40</definedName>
    <definedName name="TM1AnalRptRecoWB">'stage maintenance'!$F$40</definedName>
    <definedName name="TM1AnalRptRecoWS">'stage maintenance'!$H$40</definedName>
    <definedName name="TM1AnalRptRepAdjRecoCAP">'stage maintenance'!$D$39</definedName>
    <definedName name="TM1AnalRptRepAdjRecoWB">'stage maintenance'!$F$39</definedName>
    <definedName name="TM1AnalRptRepAdjRecoWS">'stage maintenance'!$H$39</definedName>
    <definedName name="TM1AnalRptRepStageMaintCAP">'stage maintenance'!$D$44</definedName>
    <definedName name="TM1AnalRptRepStageMaintWB">'stage maintenance'!$F$44</definedName>
    <definedName name="TM1AnalRptRepStageMaintWS">'stage maintenance'!$H$44</definedName>
    <definedName name="TM1AnalRptTransCAP">'stage maintenance'!$D$38</definedName>
    <definedName name="TM1AnalRptTransWB">'stage maintenance'!$F$38</definedName>
    <definedName name="TM1AnalRptTransWS">'stage maintenance'!$H$38</definedName>
    <definedName name="TM1HomeAECAP">'stage maintenance'!$D$34</definedName>
    <definedName name="TM1HomeAEWB">'stage maintenance'!$F$34</definedName>
    <definedName name="TM1HomeAEWS">'stage maintenance'!$H$34</definedName>
    <definedName name="TM1HomeCAP">'stage maintenance'!$D$33</definedName>
    <definedName name="TM1HomeRepAnalyticalCAP">'stage maintenance'!$D$37</definedName>
    <definedName name="TM1HomeRepAnalyticalWB">'stage maintenance'!$F$37</definedName>
    <definedName name="TM1HomeRepAnalyticalWS">'stage maintenance'!$H$37</definedName>
    <definedName name="TM1HomeRepCAP">'stage maintenance'!$D$35</definedName>
    <definedName name="TM1HomeRepOtherCAP">'stage maintenance'!$D$36</definedName>
    <definedName name="TM1HomeRepOtherWB">'stage maintenance'!$F$36</definedName>
    <definedName name="TM1HomeRepOtherWS">'stage maintenance'!$H$36</definedName>
    <definedName name="TM1HomeRepWB">'stage maintenance'!$F$35</definedName>
    <definedName name="TM1HomeRepWS">'stage maintenance'!$H$35</definedName>
    <definedName name="TM1HomeWB">'stage maintenance'!$F$33</definedName>
    <definedName name="TM1HomeWS">'stage maintenance'!$H$33</definedName>
    <definedName name="TM1PICKLIST">'{PL}PickLst'!$A$1:$A$11</definedName>
    <definedName name="TM1REBUILDOPTION">1</definedName>
    <definedName name="TM1RPTDATARNG1" localSheetId="0">'stage maintenance'!$73:$73</definedName>
    <definedName name="TM1RPTFMTIDCOL" localSheetId="0">'stage maintenance'!$A$1:$A$8</definedName>
    <definedName name="TM1RPTFMTRNG" localSheetId="0">'stage maintenance'!$J$1:$N$8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L70" i="1"/>
  <c r="L69" i="1"/>
  <c r="C48" i="1" a="1"/>
  <c r="C48" i="1"/>
  <c r="J73" i="1"/>
  <c r="C30" i="1"/>
  <c r="C22" i="1" a="1"/>
  <c r="C22" i="1"/>
  <c r="L65" i="1" a="1"/>
  <c r="L65" i="1"/>
  <c r="C23" i="1" a="1"/>
  <c r="C23" i="1"/>
  <c r="L66" i="1" a="1"/>
  <c r="L66" i="1"/>
  <c r="C26" i="1" a="1"/>
  <c r="C26" i="1"/>
  <c r="L67" i="1"/>
  <c r="M67" i="1"/>
  <c r="N73" i="1" a="1"/>
  <c r="N73" i="1"/>
  <c r="M73" i="1" a="1"/>
  <c r="M73" i="1"/>
  <c r="L73" i="1" a="1"/>
  <c r="L73" i="1"/>
  <c r="K73" i="1" a="1"/>
  <c r="K73" i="1"/>
  <c r="A73" i="1" a="1"/>
  <c r="A73" i="1"/>
  <c r="C49" i="1" a="1"/>
  <c r="C49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C25" i="1" a="1"/>
  <c r="C25" i="1"/>
  <c r="C24" i="1" a="1"/>
  <c r="C24" i="1"/>
  <c r="C13" i="1" a="1"/>
  <c r="C13" i="1"/>
  <c r="C14" i="1" a="1"/>
  <c r="C14" i="1"/>
  <c r="C16" i="1" a="1"/>
  <c r="C16" i="1"/>
  <c r="C15" i="1" a="1"/>
  <c r="C15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<sst xmlns="http://schemas.openxmlformats.org/spreadsheetml/2006/main" count="92" uniqueCount="88">
  <si>
    <t>Scenario</t>
  </si>
  <si>
    <t>Description</t>
  </si>
  <si>
    <t>D</t>
  </si>
  <si>
    <t>N</t>
  </si>
  <si>
    <t>[Begin Format Range]</t>
  </si>
  <si>
    <t>[End Format Range]</t>
  </si>
  <si>
    <t>HL2016-2017</t>
  </si>
  <si>
    <t>HL2017-2018</t>
  </si>
  <si>
    <t>HL2018-2019</t>
  </si>
  <si>
    <t>HL2019-2020</t>
  </si>
  <si>
    <t>HL2020-2021</t>
  </si>
  <si>
    <t>HL2021-2022</t>
  </si>
  <si>
    <t>HL2022-2023</t>
  </si>
  <si>
    <t>HL2023-2024</t>
  </si>
  <si>
    <t>HL2024-2025</t>
  </si>
  <si>
    <t>System Parameters</t>
  </si>
  <si>
    <t>Database Name</t>
  </si>
  <si>
    <t>Current User</t>
  </si>
  <si>
    <t>Cube</t>
  </si>
  <si>
    <t>Name</t>
  </si>
  <si>
    <t>sys_ae reporting stage</t>
  </si>
  <si>
    <t>Active Form View</t>
  </si>
  <si>
    <t>Slice View</t>
  </si>
  <si>
    <t>{TM1FILTERBYLEVEL( {TM1DRILLDOWNMEMBER( {[reporting stage].[total stages]}, ALL, RECURSIVE )}, 0)}</t>
  </si>
  <si>
    <t>Validation</t>
  </si>
  <si>
    <t>Stage Index</t>
  </si>
  <si>
    <t>Reporting Stage Maintenance</t>
  </si>
  <si>
    <t>}Clients</t>
  </si>
  <si>
    <t>TM1 User</t>
  </si>
  <si>
    <t>}TM1_DefaultDisplayValue</t>
  </si>
  <si>
    <t>GEUS User Name</t>
  </si>
  <si>
    <t>System Variables</t>
  </si>
  <si>
    <t>View</t>
  </si>
  <si>
    <t>value</t>
  </si>
  <si>
    <t>headline year</t>
  </si>
  <si>
    <t>headline scenario</t>
  </si>
  <si>
    <t>archive year</t>
  </si>
  <si>
    <t>archive scenario</t>
  </si>
  <si>
    <t>current budget round</t>
  </si>
  <si>
    <t>sys_application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</si>
  <si>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</si>
  <si>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</si>
  <si>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</si>
  <si>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</si>
  <si>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</si>
  <si>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</si>
  <si>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</si>
  <si>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</si>
  <si>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</si>
  <si>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</si>
  <si>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</si>
  <si>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Homepage - Reports - Analytical</t>
  </si>
  <si>
    <t>Analytical Reports - Transaction Listing</t>
  </si>
  <si>
    <t>Analytical Reports - Reporting Cube and AE Adj Reconciliation</t>
  </si>
  <si>
    <t>Analytical Reports - Validations and Reconciliation</t>
  </si>
  <si>
    <t>Analytical Reports - Dashboard Reporting</t>
  </si>
  <si>
    <t>Analytical Reports - Agency Resourcing Table Reconciliation</t>
  </si>
  <si>
    <t>Analytical Reports - Export To CSV</t>
  </si>
  <si>
    <t>Analytical Reports - Reporting Stage Maintenance</t>
  </si>
  <si>
    <t>reportng stage MDX</t>
  </si>
  <si>
    <t>Note : This screen is used to maintain the STAGE dimension required for the Transaction Listing report.</t>
  </si>
  <si>
    <t xml:space="preserve">Note : Ensure that the relevant Headline Year and Scenario are in correct order for the reports to be displayed correctly. </t>
  </si>
  <si>
    <t>Target Measure</t>
  </si>
  <si>
    <t>SELECTED STAGE PARAMETERS</t>
  </si>
  <si>
    <t xml:space="preserve">Note : 'Update ALL' button would update ALL Stages, while the 'Update SELECTED' uses parameters below. </t>
  </si>
  <si>
    <t>Headline Year</t>
  </si>
  <si>
    <t xml:space="preserve">Note : If the stage is incorrect and re-shuffled, the 'UPDATE ALL' button will need to be selected in order to update the reporting cube. </t>
  </si>
  <si>
    <t>Budget Stage Name :</t>
  </si>
  <si>
    <t>Scenario :</t>
  </si>
  <si>
    <t>Headline Year :</t>
  </si>
  <si>
    <t>Note : The reporting cube relies on 'ARCHIVED' data so when using 'CURRENT' scenario it will post data to the 'Budget Stage Name' scenario</t>
  </si>
  <si>
    <t>PEFO</t>
  </si>
  <si>
    <t>MYEFO</t>
  </si>
  <si>
    <t>Additional Estimates</t>
  </si>
  <si>
    <t>Pre-ERC</t>
  </si>
  <si>
    <t>Budget</t>
  </si>
  <si>
    <t>current</t>
  </si>
  <si>
    <t>dcceew_geus</t>
  </si>
  <si>
    <t>Appropriation Bills</t>
  </si>
  <si>
    <t>Economic Update</t>
  </si>
  <si>
    <t>FBO</t>
  </si>
  <si>
    <t>Budget(2)</t>
  </si>
  <si>
    <t>Outcome Restructure</t>
  </si>
  <si>
    <t>sys_Transaction Listing From</t>
  </si>
  <si>
    <t>sys_Transaction Listing To</t>
  </si>
  <si>
    <t xml:space="preserve">Default FROM Period : </t>
  </si>
  <si>
    <t xml:space="preserve">Default TO Period : </t>
  </si>
  <si>
    <t>Note : These are used in the Transaction Listing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</si>
</sst>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3">
    <xf numFmtId="0" fontId="0" fillId="0" borderId="0" xfId="0"/>
    <xf numFmtId="0" fontId="0" fillId="0" borderId="3" xfId="0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4" fillId="4" borderId="0" xfId="0" applyFont="1" applyFill="1" applyAlignment="1">
      <alignment horizontal="right" vertical="center"/>
    </xf>
    <xf numFmtId="0" fontId="1" fillId="0" borderId="3" xfId="0" applyFont="1" applyBorder="1"/>
    <xf numFmtId="0" fontId="0" fillId="0" borderId="3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5" fillId="4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/>
    </xf>
    <xf numFmtId="0" fontId="1" fillId="0" borderId="7" xfId="0" applyFont="1" applyBorder="1"/>
    <xf numFmtId="0" fontId="0" fillId="0" borderId="7" xfId="0" applyBorder="1"/>
    <xf numFmtId="0" fontId="3" fillId="0" borderId="3" xfId="0" applyFont="1" applyBorder="1" applyAlignment="1">
      <alignment horizontal="left" indent="1"/>
    </xf>
    <xf numFmtId="0" fontId="8" fillId="0" borderId="0" xfId="1" applyFont="1" applyAlignment="1">
      <alignment horizontal="right" indent="1"/>
    </xf>
    <xf numFmtId="0" fontId="9" fillId="0" borderId="0" xfId="0" applyFont="1"/>
    <xf numFmtId="0" fontId="7" fillId="0" borderId="0" xfId="0" applyFont="1"/>
    <xf numFmtId="0" fontId="3" fillId="3" borderId="3" xfId="0" applyFont="1" applyFill="1" applyBorder="1" applyAlignment="1">
      <alignment horizontal="left" indent="1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Protection="1">
      <protection locked="0"/>
    </xf>
    <xf numFmtId="0" fontId="2" fillId="3" borderId="3" xfId="0" applyFont="1" applyFill="1" applyBorder="1"/>
    <xf numFmtId="0" fontId="5" fillId="5" borderId="6" xfId="0" applyFont="1" applyFill="1" applyBorder="1" applyAlignment="1">
      <alignment horizontal="center"/>
    </xf>
    <xf numFmtId="0" fontId="7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0" xfId="2" applyFill="1"/>
    <xf numFmtId="0" fontId="8" fillId="0" borderId="0" xfId="1" applyFont="1" applyFill="1" applyBorder="1" applyAlignment="1">
      <alignment horizontal="right" indent="1"/>
    </xf>
    <xf numFmtId="0" fontId="3" fillId="0" borderId="3" xfId="0" applyFont="1" applyBorder="1" applyAlignment="1" applyProtection="1">
      <alignment horizontal="left" indent="1"/>
      <protection locked="0"/>
    </xf>
  </cellXfs>
  <cellStyles count="3">
    <cellStyle name="Normal" xfId="0" builtinId="0"/>
    <cellStyle name="Normal 3" xfId="1"/>
    <cellStyle name="Normal_Current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53</xdr:row>
          <xdr:rowOff>47625</xdr:rowOff>
        </xdr:from>
        <xdr:to>
          <xdr:col>9</xdr:col>
          <xdr:colOff>619125</xdr:colOff>
          <xdr:row>54</xdr:row>
          <xdr:rowOff>238125</xdr:rowOff>
        </xdr:to>
        <xdr:sp macro="" textlink="">
          <xdr:nvSpPr>
            <xdr:cNvPr id="1048" name="TIButton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657225</xdr:colOff>
          <xdr:row>53</xdr:row>
          <xdr:rowOff>47625</xdr:rowOff>
        </xdr:from>
        <xdr:to>
          <xdr:col>10</xdr:col>
          <xdr:colOff>504825</xdr:colOff>
          <xdr:row>54</xdr:row>
          <xdr:rowOff>238125</xdr:rowOff>
        </xdr:to>
        <xdr:sp macro="" textlink="">
          <xdr:nvSpPr>
            <xdr:cNvPr id="1049" name="TIButton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742950</xdr:colOff>
          <xdr:row>53</xdr:row>
          <xdr:rowOff>47625</xdr:rowOff>
        </xdr:from>
        <xdr:to>
          <xdr:col>11</xdr:col>
          <xdr:colOff>2228850</xdr:colOff>
          <xdr:row>54</xdr:row>
          <xdr:rowOff>238125</xdr:rowOff>
        </xdr:to>
        <xdr:sp macro="" textlink="">
          <xdr:nvSpPr>
            <xdr:cNvPr id="1050" name="TIButton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390525</xdr:colOff>
          <xdr:row>53</xdr:row>
          <xdr:rowOff>47625</xdr:rowOff>
        </xdr:from>
        <xdr:to>
          <xdr:col>13</xdr:col>
          <xdr:colOff>1171575</xdr:colOff>
          <xdr:row>54</xdr:row>
          <xdr:rowOff>238125</xdr:rowOff>
        </xdr:to>
        <xdr:sp macro="" textlink="">
          <xdr:nvSpPr>
            <xdr:cNvPr id="1051" name="TIButton4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1657350</xdr:colOff>
          <xdr:row>53</xdr:row>
          <xdr:rowOff>28575</xdr:rowOff>
        </xdr:from>
        <xdr:to>
          <xdr:col>13</xdr:col>
          <xdr:colOff>1971675</xdr:colOff>
          <xdr:row>54</xdr:row>
          <xdr:rowOff>285750</xdr:rowOff>
        </xdr:to>
        <xdr:sp macro="" textlink="">
          <xdr:nvSpPr>
            <xdr:cNvPr id="1052" name="TIButton5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2247900</xdr:colOff>
          <xdr:row>53</xdr:row>
          <xdr:rowOff>47625</xdr:rowOff>
        </xdr:from>
        <xdr:to>
          <xdr:col>12</xdr:col>
          <xdr:colOff>800100</xdr:colOff>
          <xdr:row>54</xdr:row>
          <xdr:rowOff>238125</xdr:rowOff>
        </xdr:to>
        <xdr:sp macro="" textlink="">
          <xdr:nvSpPr>
            <xdr:cNvPr id="1053" name="TIButton6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838200</xdr:colOff>
          <xdr:row>53</xdr:row>
          <xdr:rowOff>47625</xdr:rowOff>
        </xdr:from>
        <xdr:to>
          <xdr:col>12</xdr:col>
          <xdr:colOff>2390775</xdr:colOff>
          <xdr:row>54</xdr:row>
          <xdr:rowOff>238125</xdr:rowOff>
        </xdr:to>
        <xdr:sp macro="" textlink="">
          <xdr:nvSpPr>
            <xdr:cNvPr id="1054" name="TIButton7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2419350</xdr:colOff>
          <xdr:row>53</xdr:row>
          <xdr:rowOff>47625</xdr:rowOff>
        </xdr:from>
        <xdr:to>
          <xdr:col>12</xdr:col>
          <xdr:colOff>3295650</xdr:colOff>
          <xdr:row>54</xdr:row>
          <xdr:rowOff>238125</xdr:rowOff>
        </xdr:to>
        <xdr:sp macro="" textlink="">
          <xdr:nvSpPr>
            <xdr:cNvPr id="1056" name="TIButton9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3314700</xdr:colOff>
          <xdr:row>53</xdr:row>
          <xdr:rowOff>47625</xdr:rowOff>
        </xdr:from>
        <xdr:to>
          <xdr:col>13</xdr:col>
          <xdr:colOff>333375</xdr:colOff>
          <xdr:row>54</xdr:row>
          <xdr:rowOff>238125</xdr:rowOff>
        </xdr:to>
        <xdr:sp macro="" textlink="">
          <xdr:nvSpPr>
            <xdr:cNvPr id="1057" name="TIButton10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19050</xdr:colOff>
      <xdr:row>52</xdr:row>
      <xdr:rowOff>38100</xdr:rowOff>
    </xdr:from>
    <xdr:to>
      <xdr:col>10</xdr:col>
      <xdr:colOff>800100</xdr:colOff>
      <xdr:row>52</xdr:row>
      <xdr:rowOff>495300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533400</xdr:colOff>
          <xdr:row>53</xdr:row>
          <xdr:rowOff>47625</xdr:rowOff>
        </xdr:from>
        <xdr:to>
          <xdr:col>11</xdr:col>
          <xdr:colOff>714375</xdr:colOff>
          <xdr:row>54</xdr:row>
          <xdr:rowOff>238125</xdr:rowOff>
        </xdr:to>
        <xdr:sp macro="" textlink="">
          <xdr:nvSpPr>
            <xdr:cNvPr id="1058" name="TIButton8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O90"/>
  <sheetViews>
    <sheetView showGridLines="0" tabSelected="1" showOutlineSymbols="0" topLeftCell="I53" zoomScaleNormal="100" workbookViewId="0">
      <pane ySplit="20" topLeftCell="A73" activePane="bottomLeft" state="frozen"/>
      <selection activeCell="I53" sqref="I53"/>
      <selection pane="bottomLeft" activeCell="L69" sqref="L69:L70"/>
    </sheetView>
  </sheetViews>
  <sheetFormatPr defaultRowHeight="15" outlineLevelRow="1" outlineLevelCol="1" x14ac:dyDescent="0.25"/>
  <cols>
    <col min="1" max="1" width="1.85546875" hidden="1" customWidth="1" outlineLevel="1"/>
    <col min="2" max="2" width="37.42578125" hidden="1" customWidth="1" outlineLevel="1"/>
    <col min="3" max="4" width="21.85546875" hidden="1" customWidth="1" outlineLevel="1"/>
    <col min="5" max="5" width="22.7109375" hidden="1" customWidth="1" outlineLevel="1"/>
    <col min="6" max="6" width="21.85546875" hidden="1" customWidth="1" outlineLevel="1"/>
    <col min="7" max="7" width="19.140625" hidden="1" customWidth="1" outlineLevel="1"/>
    <col min="8" max="8" width="19.5703125" hidden="1" customWidth="1" outlineLevel="1"/>
    <col min="9" max="9" width="0.85546875" customWidth="1" collapsed="1"/>
    <col min="10" max="10" width="14.5703125" customWidth="1"/>
    <col min="11" max="11" width="17.7109375" customWidth="1"/>
    <col min="12" max="12" width="40.7109375" customWidth="1"/>
    <col min="13" max="13" width="60.7109375" customWidth="1"/>
    <col min="14" max="14" width="29.85546875" customWidth="1"/>
    <col min="15" max="15" width="15" customWidth="1"/>
  </cols>
  <sheetData>
    <row r="1" spans="1:14" hidden="1" outlineLevel="1" x14ac:dyDescent="0.25">
      <c r="A1" t="s">
        <v>4</v>
      </c>
    </row>
    <row r="2" spans="1:14" hidden="1" outlineLevel="1" x14ac:dyDescent="0.25">
      <c r="A2">
        <f>0</f>
        <v>0</v>
      </c>
      <c r="J2" s="11"/>
      <c r="K2" s="20"/>
      <c r="L2" s="21"/>
      <c r="M2" s="22"/>
      <c r="N2" s="22"/>
    </row>
    <row r="3" spans="1:14" hidden="1" outlineLevel="1" x14ac:dyDescent="0.25">
      <c r="A3">
        <f>1</f>
        <v>1</v>
      </c>
      <c r="J3" s="11"/>
      <c r="K3" s="20"/>
      <c r="L3" s="21"/>
      <c r="M3" s="22"/>
      <c r="N3" s="22"/>
    </row>
    <row r="4" spans="1:14" hidden="1" outlineLevel="1" x14ac:dyDescent="0.25">
      <c r="A4">
        <f>2</f>
        <v>2</v>
      </c>
      <c r="J4" s="11"/>
      <c r="K4" s="20"/>
      <c r="L4" s="21"/>
      <c r="M4" s="22"/>
      <c r="N4" s="22"/>
    </row>
    <row r="5" spans="1:14" hidden="1" outlineLevel="1" x14ac:dyDescent="0.25">
      <c r="A5">
        <f>3</f>
        <v>3</v>
      </c>
      <c r="J5" s="11"/>
      <c r="K5" s="20"/>
      <c r="L5" s="21"/>
      <c r="M5" s="22"/>
      <c r="N5" s="22"/>
    </row>
    <row r="6" spans="1:14" hidden="1" outlineLevel="1" x14ac:dyDescent="0.25">
      <c r="A6" t="s">
        <v>2</v>
      </c>
      <c r="J6" s="11"/>
      <c r="K6" s="20"/>
      <c r="L6" s="21"/>
      <c r="M6" s="22"/>
      <c r="N6" s="22"/>
    </row>
    <row r="7" spans="1:14" hidden="1" outlineLevel="1" x14ac:dyDescent="0.25">
      <c r="A7" t="s">
        <v>3</v>
      </c>
      <c r="J7" s="11"/>
      <c r="K7" s="20"/>
      <c r="L7" s="21"/>
      <c r="M7" s="22"/>
      <c r="N7" s="22"/>
    </row>
    <row r="8" spans="1:14" hidden="1" outlineLevel="1" x14ac:dyDescent="0.25">
      <c r="A8" t="s">
        <v>5</v>
      </c>
    </row>
    <row r="9" spans="1:14" hidden="1" outlineLevel="1" x14ac:dyDescent="0.25"/>
    <row r="10" spans="1:14" hidden="1" outlineLevel="1" x14ac:dyDescent="0.25"/>
    <row r="11" spans="1:14" hidden="1" outlineLevel="1" x14ac:dyDescent="0.25">
      <c r="B11" s="25" t="s">
        <v>15</v>
      </c>
      <c r="C11" s="26"/>
    </row>
    <row r="12" spans="1:14" hidden="1" outlineLevel="1" x14ac:dyDescent="0.25">
      <c r="B12" s="1" t="s">
        <v>16</v>
      </c>
      <c r="C12" s="1" t="s">
        <v>77</v>
      </c>
    </row>
    <row r="13" spans="1:14" hidden="1" outlineLevel="1" x14ac:dyDescent="0.25">
      <c r="B13" s="5" t="s">
        <v>27</v>
      </c>
      <c r="C13" s="6" t="str" cm="1">
        <f t="array" aca="1" ref="C13" ca="1">_xll.VIEW(db_name&amp;":}ElementAttributes_}Clients","!","!")</f>
        <v>dcceew_geus:}ElementAttributes_}Clients</v>
      </c>
      <c r="D13" s="7"/>
    </row>
    <row r="14" spans="1:14" hidden="1" outlineLevel="1" x14ac:dyDescent="0.25">
      <c r="B14" s="5" t="s">
        <v>28</v>
      </c>
      <c r="C14" s="8" t="str" cm="1">
        <f t="array" aca="1" ref="C14" ca="1">_xll.TM1USER(db_name)</f>
        <v>CAMID("pans:u:kgimena@excelerated.com.au")</v>
      </c>
      <c r="D14" s="7"/>
    </row>
    <row r="15" spans="1:14" hidden="1" outlineLevel="1" x14ac:dyDescent="0.25">
      <c r="B15" s="5" t="s">
        <v>29</v>
      </c>
      <c r="C15" s="8" t="str" cm="1">
        <f t="array" aca="1" ref="C15" ca="1">_xll.DBR($C$13,psUser,$B15)</f>
        <v>Business Analytics/Khristian Gimena</v>
      </c>
      <c r="D15" s="7"/>
    </row>
    <row r="16" spans="1:14" hidden="1" outlineLevel="1" x14ac:dyDescent="0.25">
      <c r="B16" s="5" t="s">
        <v>30</v>
      </c>
      <c r="C16" s="8" t="str" cm="1">
        <f t="array" aca="1" ref="C16" ca="1">_xll.DBR($C$13,psUser,$B16)</f>
        <v>Khristian Gimena</v>
      </c>
      <c r="D16" s="7"/>
    </row>
    <row r="17" spans="2:8" hidden="1" outlineLevel="1" x14ac:dyDescent="0.25">
      <c r="B17" s="5" t="s">
        <v>17</v>
      </c>
      <c r="C17" s="8" t="str">
        <f ca="1">IF(LEFT($C$15,6)="CAM_AD",$C$16,$C$15)</f>
        <v>Business Analytics/Khristian Gimena</v>
      </c>
      <c r="D17" s="1"/>
    </row>
    <row r="18" spans="2:8" hidden="1" outlineLevel="1" x14ac:dyDescent="0.25"/>
    <row r="19" spans="2:8" hidden="1" outlineLevel="1" x14ac:dyDescent="0.25">
      <c r="B19" s="27" t="s">
        <v>31</v>
      </c>
      <c r="C19" s="28"/>
      <c r="D19" s="29"/>
    </row>
    <row r="20" spans="2:8" hidden="1" outlineLevel="1" x14ac:dyDescent="0.25">
      <c r="B20" s="5" t="s">
        <v>32</v>
      </c>
      <c r="C20" s="9" t="str" cm="1">
        <f t="array" aca="1" ref="C20" ca="1">_xll.VIEW(db_name&amp;":}ElementAttributes_variables","!","!")</f>
        <v>dcceew_geus:}ElementAttributes_variables</v>
      </c>
    </row>
    <row r="21" spans="2:8" hidden="1" outlineLevel="1" x14ac:dyDescent="0.25">
      <c r="B21" s="5"/>
      <c r="C21" s="1" t="s">
        <v>33</v>
      </c>
      <c r="D21" s="1"/>
    </row>
    <row r="22" spans="2:8" hidden="1" outlineLevel="1" x14ac:dyDescent="0.25">
      <c r="B22" s="5" t="s">
        <v>34</v>
      </c>
      <c r="C22" s="1" t="str" cm="1">
        <f t="array" aca="1" ref="C22" ca="1">_xll.DBR($C$20,$B22,$C$21)</f>
        <v>HL2025-2026</v>
      </c>
      <c r="D22" s="1"/>
    </row>
    <row r="23" spans="2:8" hidden="1" outlineLevel="1" x14ac:dyDescent="0.25">
      <c r="B23" s="5" t="s">
        <v>35</v>
      </c>
      <c r="C23" s="1" t="str" cm="1">
        <f t="array" aca="1" ref="C23" ca="1">_xll.DBR($C$20,$B23,$C$21)</f>
        <v>current</v>
      </c>
      <c r="D23" s="1"/>
    </row>
    <row r="24" spans="2:8" hidden="1" outlineLevel="1" x14ac:dyDescent="0.25">
      <c r="B24" s="5" t="s">
        <v>36</v>
      </c>
      <c r="C24" s="1" t="str" cm="1">
        <f t="array" aca="1" ref="C24" ca="1">_xll.DBR($C$20,$B24,$C$21)</f>
        <v>HL2024-2025</v>
      </c>
      <c r="D24" s="1"/>
    </row>
    <row r="25" spans="2:8" hidden="1" outlineLevel="1" x14ac:dyDescent="0.25">
      <c r="B25" s="5" t="s">
        <v>37</v>
      </c>
      <c r="C25" s="1" t="str" cm="1">
        <f t="array" aca="1" ref="C25" ca="1">_xll.DBR($C$20,$B25,$C$21)</f>
        <v>Budget</v>
      </c>
      <c r="D25" s="1"/>
    </row>
    <row r="26" spans="2:8" hidden="1" outlineLevel="1" x14ac:dyDescent="0.25">
      <c r="B26" s="13" t="s">
        <v>38</v>
      </c>
      <c r="C26" s="14" t="str" cm="1">
        <f t="array" aca="1" ref="C26" ca="1">_xll.DBR($C$20,$B26,$C$21)</f>
        <v>MYEFO</v>
      </c>
      <c r="D26" s="1"/>
    </row>
    <row r="27" spans="2:8" hidden="1" outlineLevel="1" x14ac:dyDescent="0.25">
      <c r="B27" s="5" t="s">
        <v>62</v>
      </c>
      <c r="C27" s="1" t="s">
        <v>33</v>
      </c>
      <c r="D27" s="1"/>
    </row>
    <row r="28" spans="2:8" hidden="1" outlineLevel="1" x14ac:dyDescent="0.25"/>
    <row r="29" spans="2:8" hidden="1" outlineLevel="1" x14ac:dyDescent="0.25">
      <c r="B29" s="27" t="s">
        <v>39</v>
      </c>
      <c r="C29" s="28"/>
      <c r="D29" s="29"/>
    </row>
    <row r="30" spans="2:8" hidden="1" outlineLevel="1" x14ac:dyDescent="0.25">
      <c r="B30" s="5" t="s">
        <v>22</v>
      </c>
      <c r="C30" s="1" t="str">
        <f ca="1">_xll.VIEW(db_name&amp;":sys_application","!","!")</f>
        <v>dcceew_geus:sys_application</v>
      </c>
      <c r="D30" s="1"/>
    </row>
    <row r="31" spans="2:8" hidden="1" outlineLevel="1" x14ac:dyDescent="0.25">
      <c r="B31" s="5" t="s">
        <v>40</v>
      </c>
      <c r="C31" s="1" t="s">
        <v>58</v>
      </c>
      <c r="D31" s="1"/>
    </row>
    <row r="32" spans="2:8" hidden="1" outlineLevel="1" x14ac:dyDescent="0.25">
      <c r="B32" s="1"/>
      <c r="C32" s="5" t="s">
        <v>41</v>
      </c>
      <c r="D32" s="5" t="s">
        <v>42</v>
      </c>
      <c r="E32" s="5" t="s">
        <v>43</v>
      </c>
      <c r="F32" s="5" t="s">
        <v>44</v>
      </c>
      <c r="G32" s="5" t="s">
        <v>45</v>
      </c>
      <c r="H32" s="5" t="s">
        <v>46</v>
      </c>
    </row>
    <row r="33" spans="2:8" hidden="1" outlineLevel="1" x14ac:dyDescent="0.25">
      <c r="B33" s="1" t="s">
        <v>47</v>
      </c>
      <c r="C33" s="1" t="str" cm="1">
        <f t="array" aca="1" ref="C33" ca="1">_xll.DBR($C$30,$B33,C$32)</f>
        <v>TM1HomeCAP</v>
      </c>
      <c r="D33" s="1" t="str" cm="1">
        <f t="array" aca="1" ref="D33" ca="1">_xll.DBR($C$30,$B33,D$32)</f>
        <v>Home</v>
      </c>
      <c r="E33" s="1" t="str" cm="1">
        <f t="array" aca="1" ref="E33" ca="1">_xll.DBR($C$30,$B33,E$32)</f>
        <v>TM1HomeWB</v>
      </c>
      <c r="F33" s="1" t="str" cm="1">
        <f t="array" aca="1" ref="F33" ca="1">_xll.DBR($C$30,$B33,F$32)</f>
        <v>PRIMUS\GEUS WEB\Homepage\sys_Home.xlsx</v>
      </c>
      <c r="G33" s="1" t="str" cm="1">
        <f t="array" aca="1" ref="G33" ca="1">_xll.DBR($C$30,$B33,G$32)</f>
        <v>TM1HomeWS</v>
      </c>
      <c r="H33" s="1" t="str" cm="1">
        <f t="array" aca="1" ref="H33" ca="1">_xll.DBR($C$30,$B33,H$32)</f>
        <v>home</v>
      </c>
    </row>
    <row r="34" spans="2:8" hidden="1" outlineLevel="1" x14ac:dyDescent="0.25">
      <c r="B34" s="1" t="s">
        <v>48</v>
      </c>
      <c r="C34" s="1" t="str" cm="1">
        <f t="array" aca="1" ref="C34" ca="1">_xll.DBR($C$30,$B34,C$32)</f>
        <v>TM1HomeAECAP</v>
      </c>
      <c r="D34" s="1" t="str" cm="1">
        <f t="array" aca="1" ref="D34" ca="1">_xll.DBR($C$30,$B34,D$32)</f>
        <v>Annual Estimates</v>
      </c>
      <c r="E34" s="1" t="str" cm="1">
        <f t="array" aca="1" ref="E34" ca="1">_xll.DBR($C$30,$B34,E$32)</f>
        <v>TM1HomeAEWB</v>
      </c>
      <c r="F34" s="1" t="str" cm="1">
        <f t="array" aca="1" ref="F34" ca="1">_xll.DBR($C$30,$B34,F$32)</f>
        <v>PRIMUS\GEUS WEB\Homepage\sys_Home - Annual Estimates - Data Entry.xlsx</v>
      </c>
      <c r="G34" s="1" t="str" cm="1">
        <f t="array" aca="1" ref="G34" ca="1">_xll.DBR($C$30,$B34,G$32)</f>
        <v>TM1HomeAEWS</v>
      </c>
      <c r="H34" s="1" t="str" cm="1">
        <f t="array" aca="1" ref="H34" ca="1">_xll.DBR($C$30,$B34,H$32)</f>
        <v>Menu</v>
      </c>
    </row>
    <row r="35" spans="2:8" hidden="1" outlineLevel="1" x14ac:dyDescent="0.25">
      <c r="B35" s="1" t="s">
        <v>49</v>
      </c>
      <c r="C35" s="1" t="str" cm="1">
        <f t="array" aca="1" ref="C35" ca="1">_xll.DBR($C$30,$B35,C$32)</f>
        <v>TM1HomeRepCAP</v>
      </c>
      <c r="D35" s="1" t="str" cm="1">
        <f t="array" aca="1" ref="D35" ca="1">_xll.DBR($C$30,$B35,D$32)</f>
        <v>Reports</v>
      </c>
      <c r="E35" s="1" t="str" cm="1">
        <f t="array" aca="1" ref="E35" ca="1">_xll.DBR($C$30,$B35,E$32)</f>
        <v>TM1HomeRepWB</v>
      </c>
      <c r="F35" s="1" t="str" cm="1">
        <f t="array" aca="1" ref="F35" ca="1">_xll.DBR($C$30,$B35,F$32)</f>
        <v>PRIMUS\GEUS WEB\Homepage\sys_Home - Reports - PFS.xlsx</v>
      </c>
      <c r="G35" s="1" t="str" cm="1">
        <f t="array" aca="1" ref="G35" ca="1">_xll.DBR($C$30,$B35,G$32)</f>
        <v>TM1HomeRepWS</v>
      </c>
      <c r="H35" s="1" t="str" cm="1">
        <f t="array" aca="1" ref="H35" ca="1">_xll.DBR($C$30,$B35,H$32)</f>
        <v>Menu</v>
      </c>
    </row>
    <row r="36" spans="2:8" hidden="1" outlineLevel="1" x14ac:dyDescent="0.25">
      <c r="B36" s="1" t="s">
        <v>50</v>
      </c>
      <c r="C36" s="1" t="str" cm="1">
        <f t="array" aca="1" ref="C36" ca="1">_xll.DBR($C$30,$B36,C$32)</f>
        <v>TM1HomeRepOtherCAP</v>
      </c>
      <c r="D36" s="1" t="str" cm="1">
        <f t="array" aca="1" ref="D36" ca="1">_xll.DBR($C$30,$B36,D$32)</f>
        <v>Other Reports Menu</v>
      </c>
      <c r="E36" s="1" t="str" cm="1">
        <f t="array" aca="1" ref="E36" ca="1">_xll.DBR($C$30,$B36,E$32)</f>
        <v>TM1HomeRepOtherWB</v>
      </c>
      <c r="F36" s="1" t="str" cm="1">
        <f t="array" aca="1" ref="F36" ca="1">_xll.DBR($C$30,$B36,F$32)</f>
        <v>PRIMUS\GEUS WEB\Homepage\sys_Home - Reports - Other.xlsx</v>
      </c>
      <c r="G36" s="1" t="str" cm="1">
        <f t="array" aca="1" ref="G36" ca="1">_xll.DBR($C$30,$B36,G$32)</f>
        <v>TM1HomeRepOtherWS</v>
      </c>
      <c r="H36" s="1" t="str" cm="1">
        <f t="array" aca="1" ref="H36" ca="1">_xll.DBR($C$30,$B36,H$32)</f>
        <v>Menu</v>
      </c>
    </row>
    <row r="37" spans="2:8" hidden="1" outlineLevel="1" x14ac:dyDescent="0.25">
      <c r="B37" s="1" t="s">
        <v>51</v>
      </c>
      <c r="C37" s="1" t="str" cm="1">
        <f t="array" aca="1" ref="C37" ca="1">_xll.DBR($C$30,$B37,C$32)</f>
        <v>TM1HomeRepAnalyticalCAP</v>
      </c>
      <c r="D37" s="1" t="str" cm="1">
        <f t="array" aca="1" ref="D37" ca="1">_xll.DBR($C$30,$B37,D$32)</f>
        <v>Analytical Reports Menu</v>
      </c>
      <c r="E37" s="1" t="str" cm="1">
        <f t="array" aca="1" ref="E37" ca="1">_xll.DBR($C$30,$B37,E$32)</f>
        <v>TM1HomeRepAnalyticalWB</v>
      </c>
      <c r="F37" s="1" t="str" cm="1">
        <f t="array" aca="1" ref="F37" ca="1">_xll.DBR($C$30,$B37,F$32)</f>
        <v>PRIMUS\GEUS WEB\Homepage\sys_Home - Reports - Analytical.xlsx</v>
      </c>
      <c r="G37" s="1" t="str" cm="1">
        <f t="array" aca="1" ref="G37" ca="1">_xll.DBR($C$30,$B37,G$32)</f>
        <v>TM1HomeRepAnalyticalWS</v>
      </c>
      <c r="H37" s="1" t="str" cm="1">
        <f t="array" aca="1" ref="H37" ca="1">_xll.DBR($C$30,$B37,H$32)</f>
        <v>Menu</v>
      </c>
    </row>
    <row r="38" spans="2:8" hidden="1" outlineLevel="1" x14ac:dyDescent="0.25">
      <c r="B38" s="1" t="s">
        <v>52</v>
      </c>
      <c r="C38" s="1" t="str" cm="1">
        <f t="array" aca="1" ref="C38" ca="1">_xll.DBR($C$30,$B38,C$32)</f>
        <v>TM1AnalRptTransCAP</v>
      </c>
      <c r="D38" s="1" t="str" cm="1">
        <f t="array" aca="1" ref="D38" ca="1">_xll.DBR($C$30,$B38,D$32)</f>
        <v/>
      </c>
      <c r="E38" s="1" t="str" cm="1">
        <f t="array" aca="1" ref="E38" ca="1">_xll.DBR($C$30,$B38,E$32)</f>
        <v>TM1AnalRptTransWB</v>
      </c>
      <c r="F38" s="1" t="str" cm="1">
        <f t="array" aca="1" ref="F38" ca="1">_xll.DBR($C$30,$B38,F$32)</f>
        <v>PRIMUS\GEUS WEB\Reports\Analytical Reports\Analytical Reports - Transaction Listing.xlsx</v>
      </c>
      <c r="G38" s="1" t="str" cm="1">
        <f t="array" aca="1" ref="G38" ca="1">_xll.DBR($C$30,$B38,G$32)</f>
        <v>TM1AnalRptTransWS</v>
      </c>
      <c r="H38" s="1" t="str" cm="1">
        <f t="array" aca="1" ref="H38" ca="1">_xll.DBR($C$30,$B38,H$32)</f>
        <v>transaction listing</v>
      </c>
    </row>
    <row r="39" spans="2:8" hidden="1" outlineLevel="1" x14ac:dyDescent="0.25">
      <c r="B39" s="1" t="s">
        <v>53</v>
      </c>
      <c r="C39" s="1" t="str" cm="1">
        <f t="array" aca="1" ref="C39" ca="1">_xll.DBR($C$30,$B39,C$32)</f>
        <v>TM1AnalRptRepAdjRecoCAP</v>
      </c>
      <c r="D39" s="1" t="str" cm="1">
        <f t="array" aca="1" ref="D39" ca="1">_xll.DBR($C$30,$B39,D$32)</f>
        <v/>
      </c>
      <c r="E39" s="1" t="str" cm="1">
        <f t="array" aca="1" ref="E39" ca="1">_xll.DBR($C$30,$B39,E$32)</f>
        <v>TM1AnalRptRepAdjRecoWB</v>
      </c>
      <c r="F39" s="1" t="str" cm="1">
        <f t="array" aca="1" ref="F39" ca="1">_xll.DBR($C$30,$B39,F$32)</f>
        <v>PRIMUS\GEUS WEB\Reports\Analytical Reports\Analytical Reports - AE Adj and AE Reporting Reconciliation.xlsx</v>
      </c>
      <c r="G39" s="1" t="str" cm="1">
        <f t="array" aca="1" ref="G39" ca="1">_xll.DBR($C$30,$B39,G$32)</f>
        <v>TM1AnalRptRepAdjRecoWS</v>
      </c>
      <c r="H39" s="1" t="str" cm="1">
        <f t="array" aca="1" ref="H39" ca="1">_xll.DBR($C$30,$B39,H$32)</f>
        <v>reco</v>
      </c>
    </row>
    <row r="40" spans="2:8" hidden="1" outlineLevel="1" x14ac:dyDescent="0.25">
      <c r="B40" s="1" t="s">
        <v>54</v>
      </c>
      <c r="C40" s="1" t="str" cm="1">
        <f t="array" aca="1" ref="C40" ca="1">_xll.DBR($C$30,$B40,C$32)</f>
        <v>TM1AnalRptRecoCAP</v>
      </c>
      <c r="D40" s="1" t="str" cm="1">
        <f t="array" aca="1" ref="D40" ca="1">_xll.DBR($C$30,$B40,D$32)</f>
        <v/>
      </c>
      <c r="E40" s="1" t="str" cm="1">
        <f t="array" aca="1" ref="E40" ca="1">_xll.DBR($C$30,$B40,E$32)</f>
        <v>TM1AnalRptRecoWB</v>
      </c>
      <c r="F40" s="1" t="str" cm="1">
        <f t="array" aca="1" ref="F40" ca="1">_xll.DBR($C$30,$B40,F$32)</f>
        <v>PRIMUS\GEUS WEB\Reports\Analytical Reports\Analytical Reports - Reconciliation and Validations.xlsx</v>
      </c>
      <c r="G40" s="1" t="str" cm="1">
        <f t="array" aca="1" ref="G40" ca="1">_xll.DBR($C$30,$B40,G$32)</f>
        <v>TM1AnalRptRecoWS</v>
      </c>
      <c r="H40" s="1" t="str" cm="1">
        <f t="array" aca="1" ref="H40" ca="1">_xll.DBR($C$30,$B40,H$32)</f>
        <v>reco</v>
      </c>
    </row>
    <row r="41" spans="2:8" hidden="1" outlineLevel="1" x14ac:dyDescent="0.25">
      <c r="B41" s="1" t="s">
        <v>55</v>
      </c>
      <c r="C41" s="1" t="str" cm="1">
        <f t="array" aca="1" ref="C41" ca="1">_xll.DBR($C$30,$B41,C$32)</f>
        <v>TM1AnalRptDashboardCAP</v>
      </c>
      <c r="D41" s="1" t="str" cm="1">
        <f t="array" aca="1" ref="D41" ca="1">_xll.DBR($C$30,$B41,D$32)</f>
        <v/>
      </c>
      <c r="E41" s="1" t="str" cm="1">
        <f t="array" aca="1" ref="E41" ca="1">_xll.DBR($C$30,$B41,E$32)</f>
        <v>TM1AnalRptDashboardWB</v>
      </c>
      <c r="F41" s="1" t="str" cm="1">
        <f t="array" aca="1" ref="F41" ca="1">_xll.DBR($C$30,$B41,F$32)</f>
        <v/>
      </c>
      <c r="G41" s="1" t="str" cm="1">
        <f t="array" aca="1" ref="G41" ca="1">_xll.DBR($C$30,$B41,G$32)</f>
        <v>TM1AnalRptDashboardWS</v>
      </c>
      <c r="H41" s="1" t="str" cm="1">
        <f t="array" aca="1" ref="H41" ca="1">_xll.DBR($C$30,$B41,H$32)</f>
        <v/>
      </c>
    </row>
    <row r="42" spans="2:8" hidden="1" outlineLevel="1" x14ac:dyDescent="0.25">
      <c r="B42" s="1" t="s">
        <v>56</v>
      </c>
      <c r="C42" s="1" t="str" cm="1">
        <f t="array" aca="1" ref="C42" ca="1">_xll.DBR($C$30,$B42,C$32)</f>
        <v>TM1AnalRptARTRecoCAP</v>
      </c>
      <c r="D42" s="1" t="str" cm="1">
        <f t="array" aca="1" ref="D42" ca="1">_xll.DBR($C$30,$B42,D$32)</f>
        <v/>
      </c>
      <c r="E42" s="1" t="str" cm="1">
        <f t="array" aca="1" ref="E42" ca="1">_xll.DBR($C$30,$B42,E$32)</f>
        <v>TM1AnalRptARTRecoWB</v>
      </c>
      <c r="F42" s="1" t="str" cm="1">
        <f t="array" aca="1" ref="F42" ca="1">_xll.DBR($C$30,$B42,F$32)</f>
        <v/>
      </c>
      <c r="G42" s="1" t="str" cm="1">
        <f t="array" aca="1" ref="G42" ca="1">_xll.DBR($C$30,$B42,G$32)</f>
        <v>TM1AnalRptARTRecoWS</v>
      </c>
      <c r="H42" s="1" t="str" cm="1">
        <f t="array" aca="1" ref="H42" ca="1">_xll.DBR($C$30,$B42,H$32)</f>
        <v/>
      </c>
    </row>
    <row r="43" spans="2:8" hidden="1" outlineLevel="1" x14ac:dyDescent="0.25">
      <c r="B43" s="1" t="s">
        <v>57</v>
      </c>
      <c r="C43" s="1" t="str" cm="1">
        <f t="array" aca="1" ref="C43" ca="1">_xll.DBR($C$30,$B43,C$32)</f>
        <v>TM1AnalRptExportToCSVCAP</v>
      </c>
      <c r="D43" s="1" t="str" cm="1">
        <f t="array" aca="1" ref="D43" ca="1">_xll.DBR($C$30,$B43,D$32)</f>
        <v/>
      </c>
      <c r="E43" s="1" t="str" cm="1">
        <f t="array" aca="1" ref="E43" ca="1">_xll.DBR($C$30,$B43,E$32)</f>
        <v>TM1AnalRptExportToCSVWB</v>
      </c>
      <c r="F43" s="1" t="str" cm="1">
        <f t="array" aca="1" ref="F43" ca="1">_xll.DBR($C$30,$B43,F$32)</f>
        <v>PRIMUS\GEUS WEB\Reports\Analytical Reports\Analytical Reports - Data Extract To CSV.xlsx</v>
      </c>
      <c r="G43" s="1" t="str" cm="1">
        <f t="array" aca="1" ref="G43" ca="1">_xll.DBR($C$30,$B43,G$32)</f>
        <v>TM1AnalRptExportToCSVWS</v>
      </c>
      <c r="H43" s="1" t="str" cm="1">
        <f t="array" aca="1" ref="H43" ca="1">_xll.DBR($C$30,$B43,H$32)</f>
        <v>data etxract</v>
      </c>
    </row>
    <row r="44" spans="2:8" hidden="1" outlineLevel="1" x14ac:dyDescent="0.25">
      <c r="B44" s="1" t="s">
        <v>58</v>
      </c>
      <c r="C44" s="1" t="str" cm="1">
        <f t="array" aca="1" ref="C44" ca="1">_xll.DBR($C$30,$B44,C$32)</f>
        <v>TM1AnalRptRepStageMaintCAP</v>
      </c>
      <c r="D44" s="1" t="str" cm="1">
        <f t="array" aca="1" ref="D44" ca="1">_xll.DBR($C$30,$B44,D$32)</f>
        <v/>
      </c>
      <c r="E44" s="1" t="str" cm="1">
        <f t="array" aca="1" ref="E44" ca="1">_xll.DBR($C$30,$B44,E$32)</f>
        <v>TM1AnalRptRepStageMaintWB</v>
      </c>
      <c r="F44" s="1" t="str" cm="1">
        <f t="array" aca="1" ref="F44" ca="1">_xll.DBR($C$30,$B44,F$32)</f>
        <v>PRIMUS\GEUS WEB\Reports\Analytical Reports\Analytical Reports - Reporting Stage Maintenance.xlsx</v>
      </c>
      <c r="G44" s="1" t="str" cm="1">
        <f t="array" aca="1" ref="G44" ca="1">_xll.DBR($C$30,$B44,G$32)</f>
        <v>TM1AnalRptRepStageMaintWS</v>
      </c>
      <c r="H44" s="1" t="str" cm="1">
        <f t="array" aca="1" ref="H44" ca="1">_xll.DBR($C$30,$B44,H$32)</f>
        <v>stage maintenance</v>
      </c>
    </row>
    <row r="45" spans="2:8" hidden="1" outlineLevel="1" x14ac:dyDescent="0.25"/>
    <row r="46" spans="2:8" hidden="1" outlineLevel="1" x14ac:dyDescent="0.25">
      <c r="B46" s="25" t="s">
        <v>18</v>
      </c>
      <c r="C46" s="26"/>
    </row>
    <row r="47" spans="2:8" hidden="1" outlineLevel="1" x14ac:dyDescent="0.25">
      <c r="B47" s="1" t="s">
        <v>19</v>
      </c>
      <c r="C47" s="1" t="s">
        <v>20</v>
      </c>
    </row>
    <row r="48" spans="2:8" hidden="1" outlineLevel="1" x14ac:dyDescent="0.25">
      <c r="B48" s="1" t="s">
        <v>21</v>
      </c>
      <c r="C48" s="1" t="str" cm="1">
        <f t="array" aca="1" ref="C48" ca="1">_xll.TM1RPTVIEW(db_name&amp;":"&amp;cbSysRpt&amp;":1", 0,TM1RPTFMTRNG,TM1RPTFMTIDCOL)</f>
        <v>dcceew_geus:sys_ae reporting stage:1</v>
      </c>
    </row>
    <row r="49" spans="2:14" hidden="1" outlineLevel="1" x14ac:dyDescent="0.25">
      <c r="B49" s="1" t="s">
        <v>22</v>
      </c>
      <c r="C49" s="1" t="str" cm="1">
        <f t="array" aca="1" ref="C49" ca="1">_xll.VIEW(db_name&amp;":"&amp;cbSysRpt, "!","!")</f>
        <v>dcceew_geus:sys_ae reporting stage</v>
      </c>
    </row>
    <row r="50" spans="2:14" hidden="1" outlineLevel="1" x14ac:dyDescent="0.25">
      <c r="B50" s="1" t="s">
        <v>59</v>
      </c>
      <c r="C50" s="1" t="s">
        <v>23</v>
      </c>
    </row>
    <row r="51" spans="2:14" hidden="1" outlineLevel="1" x14ac:dyDescent="0.25"/>
    <row r="52" spans="2:14" hidden="1" outlineLevel="1" x14ac:dyDescent="0.25"/>
    <row r="53" spans="2:14" ht="39.950000000000003" customHeight="1" collapsed="1" x14ac:dyDescent="0.25">
      <c r="I53" s="4"/>
      <c r="J53" s="4"/>
      <c r="K53" s="4"/>
      <c r="L53" s="4"/>
      <c r="M53" s="4"/>
      <c r="N53" s="4" t="s">
        <v>26</v>
      </c>
    </row>
    <row r="54" spans="2:14" ht="4.5" customHeight="1" x14ac:dyDescent="0.25"/>
    <row r="55" spans="2:14" ht="24" customHeight="1" x14ac:dyDescent="0.25"/>
    <row r="56" spans="2:14" ht="1.5" customHeight="1" x14ac:dyDescent="0.25">
      <c r="I56" s="4"/>
      <c r="J56" s="4"/>
      <c r="K56" s="4"/>
      <c r="L56" s="4"/>
      <c r="M56" s="4"/>
      <c r="N56" s="4"/>
    </row>
    <row r="57" spans="2:14" ht="4.5" customHeight="1" x14ac:dyDescent="0.25"/>
    <row r="58" spans="2:14" x14ac:dyDescent="0.25">
      <c r="J58" s="24" t="s">
        <v>60</v>
      </c>
      <c r="K58" s="24"/>
      <c r="L58" s="24"/>
      <c r="M58" s="24"/>
      <c r="N58" s="24"/>
    </row>
    <row r="59" spans="2:14" x14ac:dyDescent="0.25">
      <c r="J59" s="24" t="s">
        <v>61</v>
      </c>
      <c r="K59" s="24"/>
      <c r="L59" s="24"/>
      <c r="M59" s="24"/>
      <c r="N59" s="24"/>
    </row>
    <row r="60" spans="2:14" x14ac:dyDescent="0.25">
      <c r="J60" s="24" t="s">
        <v>70</v>
      </c>
      <c r="K60" s="24"/>
      <c r="L60" s="24"/>
      <c r="M60" s="24"/>
      <c r="N60" s="24"/>
    </row>
    <row r="61" spans="2:14" x14ac:dyDescent="0.25">
      <c r="J61" s="24" t="s">
        <v>64</v>
      </c>
      <c r="K61" s="24"/>
      <c r="L61" s="24"/>
      <c r="M61" s="24"/>
      <c r="N61" s="24"/>
    </row>
    <row r="62" spans="2:14" x14ac:dyDescent="0.25">
      <c r="J62" s="24" t="s">
        <v>66</v>
      </c>
      <c r="K62" s="24"/>
      <c r="L62" s="24"/>
      <c r="M62" s="24"/>
      <c r="N62" s="24"/>
    </row>
    <row r="63" spans="2:14" ht="4.5" customHeight="1" x14ac:dyDescent="0.25"/>
    <row r="64" spans="2:14" x14ac:dyDescent="0.25">
      <c r="K64" s="23" t="s">
        <v>63</v>
      </c>
      <c r="L64" s="23"/>
    </row>
    <row r="65" spans="1:14" x14ac:dyDescent="0.25">
      <c r="K65" s="16" t="s">
        <v>69</v>
      </c>
      <c r="L65" s="15" t="str" cm="1">
        <f t="array" aca="1" ref="L65" ca="1">_xll.SUBNM(db_name&amp;":headline year","",$C$22)</f>
        <v>HL2025-2026</v>
      </c>
    </row>
    <row r="66" spans="1:14" x14ac:dyDescent="0.25">
      <c r="K66" s="16" t="s">
        <v>68</v>
      </c>
      <c r="L66" s="15" t="str" cm="1">
        <f t="array" aca="1" ref="L66" ca="1">_xll.SUBNM(db_name&amp;":scenario","",$C$23)</f>
        <v>current</v>
      </c>
    </row>
    <row r="67" spans="1:14" x14ac:dyDescent="0.25">
      <c r="K67" s="16" t="s">
        <v>67</v>
      </c>
      <c r="L67" s="19" t="str">
        <f ca="1">IF($L$66="current",$C$26,$L$66)</f>
        <v>MYEFO</v>
      </c>
      <c r="M67" s="18" t="str">
        <f ca="1">"Note : Data will be posted under " &amp;psSourceHLYear &amp; " " &amp;$L$67</f>
        <v>Note : Data will be posted under HL2025-2026 MYEFO</v>
      </c>
    </row>
    <row r="68" spans="1:14" ht="4.5" customHeight="1" x14ac:dyDescent="0.25"/>
    <row r="69" spans="1:14" x14ac:dyDescent="0.25">
      <c r="B69" s="30" t="s">
        <v>83</v>
      </c>
      <c r="K69" s="31" t="s">
        <v>85</v>
      </c>
      <c r="L69" s="32" t="str">
        <f ca="1">_xll.DBR($C$20,$B69,$C$21)</f>
        <v/>
      </c>
      <c r="M69" s="18" t="s">
        <v>87</v>
      </c>
    </row>
    <row r="70" spans="1:14" x14ac:dyDescent="0.25">
      <c r="B70" s="30" t="s">
        <v>84</v>
      </c>
      <c r="K70" s="31" t="s">
        <v>86</v>
      </c>
      <c r="L70" s="32" t="str">
        <f ca="1">_xll.DBR($C$20,$B70,$C$21)</f>
        <v/>
      </c>
      <c r="M70" s="18" t="s">
        <v>87</v>
      </c>
    </row>
    <row r="71" spans="1:14" ht="4.5" customHeight="1" x14ac:dyDescent="0.25"/>
    <row r="72" spans="1:14" x14ac:dyDescent="0.25">
      <c r="J72" s="10" t="s">
        <v>25</v>
      </c>
      <c r="K72" s="10" t="s">
        <v>65</v>
      </c>
      <c r="L72" s="10" t="s">
        <v>0</v>
      </c>
      <c r="M72" s="10" t="s">
        <v>1</v>
      </c>
      <c r="N72" s="10" t="s">
        <v>24</v>
      </c>
    </row>
    <row r="73" spans="1:14" x14ac:dyDescent="0.25">
      <c r="A73" t="str" cm="1">
        <f t="array" aca="1" ref="A73" ca="1">IF(_xll.TM1RPTELISCONSOLIDATED($J$73,$J73),IF(_xll.TM1RPTELLEV($J$73,$J73)&lt;=3,_xll.TM1RPTELLEV($J$73,$J73),"D"),"N")</f>
        <v>N</v>
      </c>
      <c r="J73" s="12" t="str">
        <f ca="1">_xll.TM1RPTROW($C$48,db_name&amp;":reporting stage","",,"",0,$C$50)</f>
        <v/>
      </c>
      <c r="K73" s="3" t="str" cm="1">
        <f t="array" aca="1" ref="K73" ca="1">_xll.DBRW($C$48,$J73,K$72)</f>
        <v/>
      </c>
      <c r="L73" s="2" t="str" cm="1">
        <f t="array" aca="1" ref="L73" ca="1">_xll.DBRW($C$48,$J73,L$72)</f>
        <v/>
      </c>
      <c r="M73" s="2" t="str" cm="1">
        <f t="array" aca="1" ref="M73" ca="1">_xll.DBRW($C$48,$J73,M$72)</f>
        <v/>
      </c>
      <c r="N73" s="2" t="str" cm="1">
        <f t="array" aca="1" ref="N73" ca="1">_xll.DBRW($C$48,$J73,N$72)</f>
        <v/>
      </c>
    </row>
    <row r="88" spans="12:15" x14ac:dyDescent="0.25">
      <c r="L88" s="17"/>
      <c r="M88" s="17"/>
      <c r="N88" s="17"/>
      <c r="O88" s="17"/>
    </row>
    <row r="89" spans="12:15" x14ac:dyDescent="0.25">
      <c r="L89" s="17"/>
      <c r="M89" s="17"/>
      <c r="N89" s="17"/>
      <c r="O89" s="17"/>
    </row>
    <row r="90" spans="12:15" x14ac:dyDescent="0.25">
      <c r="L90" s="17"/>
      <c r="M90" s="17"/>
      <c r="N90" s="17"/>
      <c r="O90" s="17"/>
    </row>
  </sheetData>
  <mergeCells count="10">
    <mergeCell ref="K64:L64"/>
    <mergeCell ref="J58:N58"/>
    <mergeCell ref="J59:N59"/>
    <mergeCell ref="J60:N60"/>
    <mergeCell ref="B11:C11"/>
    <mergeCell ref="B46:C46"/>
    <mergeCell ref="B19:D19"/>
    <mergeCell ref="B29:D29"/>
    <mergeCell ref="J61:N61"/>
    <mergeCell ref="J62:N62"/>
  </mergeCells>
  <pageMargins left="0.70866141732283472" right="0.70866141732283472" top="0.74803149606299213" bottom="0.74803149606299213" header="0.31496062992125984" footer="0.31496062992125984"/>
  <pageSetup paperSize="9" scale="53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48" r:id="rId4" name="TIButton1">
          <controlPr defaultSize="0" print="0" autoLine="0" r:id="rId5">
            <anchor moveWithCells="1" sizeWithCells="1">
              <from>
                <xdr:col>8</xdr:col>
                <xdr:colOff>38100</xdr:colOff>
                <xdr:row>53</xdr:row>
                <xdr:rowOff>47625</xdr:rowOff>
              </from>
              <to>
                <xdr:col>9</xdr:col>
                <xdr:colOff>619125</xdr:colOff>
                <xdr:row>54</xdr:row>
                <xdr:rowOff>238125</xdr:rowOff>
              </to>
            </anchor>
          </controlPr>
        </control>
      </mc:Choice>
      <mc:Fallback>
        <control shapeId="1048" r:id="rId4" name="TIButton1"/>
      </mc:Fallback>
    </mc:AlternateContent>
    <mc:AlternateContent xmlns:mc="http://schemas.openxmlformats.org/markup-compatibility/2006">
      <mc:Choice Requires="x14">
        <control shapeId="1049" r:id="rId6" name="TIButton2">
          <controlPr defaultSize="0" print="0" autoLine="0" r:id="rId7">
            <anchor moveWithCells="1" sizeWithCells="1">
              <from>
                <xdr:col>9</xdr:col>
                <xdr:colOff>657225</xdr:colOff>
                <xdr:row>53</xdr:row>
                <xdr:rowOff>47625</xdr:rowOff>
              </from>
              <to>
                <xdr:col>10</xdr:col>
                <xdr:colOff>504825</xdr:colOff>
                <xdr:row>54</xdr:row>
                <xdr:rowOff>238125</xdr:rowOff>
              </to>
            </anchor>
          </controlPr>
        </control>
      </mc:Choice>
      <mc:Fallback>
        <control shapeId="1049" r:id="rId6" name="TIButton2"/>
      </mc:Fallback>
    </mc:AlternateContent>
    <mc:AlternateContent xmlns:mc="http://schemas.openxmlformats.org/markup-compatibility/2006">
      <mc:Choice Requires="x14">
        <control shapeId="1050" r:id="rId8" name="TIButton3">
          <controlPr defaultSize="0" print="0" autoLine="0" r:id="rId9">
            <anchor moveWithCells="1" sizeWithCells="1">
              <from>
                <xdr:col>11</xdr:col>
                <xdr:colOff>742950</xdr:colOff>
                <xdr:row>53</xdr:row>
                <xdr:rowOff>47625</xdr:rowOff>
              </from>
              <to>
                <xdr:col>11</xdr:col>
                <xdr:colOff>2228850</xdr:colOff>
                <xdr:row>54</xdr:row>
                <xdr:rowOff>238125</xdr:rowOff>
              </to>
            </anchor>
          </controlPr>
        </control>
      </mc:Choice>
      <mc:Fallback>
        <control shapeId="1050" r:id="rId8" name="TIButton3"/>
      </mc:Fallback>
    </mc:AlternateContent>
    <mc:AlternateContent xmlns:mc="http://schemas.openxmlformats.org/markup-compatibility/2006">
      <mc:Choice Requires="x14">
        <control shapeId="1051" r:id="rId10" name="TIButton4">
          <controlPr defaultSize="0" print="0" autoLine="0" r:id="rId11">
            <anchor moveWithCells="1" sizeWithCells="1">
              <from>
                <xdr:col>13</xdr:col>
                <xdr:colOff>390525</xdr:colOff>
                <xdr:row>53</xdr:row>
                <xdr:rowOff>47625</xdr:rowOff>
              </from>
              <to>
                <xdr:col>13</xdr:col>
                <xdr:colOff>1171575</xdr:colOff>
                <xdr:row>54</xdr:row>
                <xdr:rowOff>238125</xdr:rowOff>
              </to>
            </anchor>
          </controlPr>
        </control>
      </mc:Choice>
      <mc:Fallback>
        <control shapeId="1051" r:id="rId10" name="TIButton4"/>
      </mc:Fallback>
    </mc:AlternateContent>
    <mc:AlternateContent xmlns:mc="http://schemas.openxmlformats.org/markup-compatibility/2006">
      <mc:Choice Requires="x14">
        <control shapeId="1052" r:id="rId12" name="TIButton5">
          <controlPr defaultSize="0" print="0" autoLine="0" r:id="rId13">
            <anchor moveWithCells="1" sizeWithCells="1">
              <from>
                <xdr:col>13</xdr:col>
                <xdr:colOff>1657350</xdr:colOff>
                <xdr:row>53</xdr:row>
                <xdr:rowOff>28575</xdr:rowOff>
              </from>
              <to>
                <xdr:col>13</xdr:col>
                <xdr:colOff>1971675</xdr:colOff>
                <xdr:row>54</xdr:row>
                <xdr:rowOff>285750</xdr:rowOff>
              </to>
            </anchor>
          </controlPr>
        </control>
      </mc:Choice>
      <mc:Fallback>
        <control shapeId="1052" r:id="rId12" name="TIButton5"/>
      </mc:Fallback>
    </mc:AlternateContent>
    <mc:AlternateContent xmlns:mc="http://schemas.openxmlformats.org/markup-compatibility/2006">
      <mc:Choice Requires="x14">
        <control shapeId="1053" r:id="rId14" name="TIButton6">
          <controlPr defaultSize="0" print="0" autoLine="0" r:id="rId15">
            <anchor moveWithCells="1" sizeWithCells="1">
              <from>
                <xdr:col>11</xdr:col>
                <xdr:colOff>2247900</xdr:colOff>
                <xdr:row>53</xdr:row>
                <xdr:rowOff>47625</xdr:rowOff>
              </from>
              <to>
                <xdr:col>12</xdr:col>
                <xdr:colOff>800100</xdr:colOff>
                <xdr:row>54</xdr:row>
                <xdr:rowOff>238125</xdr:rowOff>
              </to>
            </anchor>
          </controlPr>
        </control>
      </mc:Choice>
      <mc:Fallback>
        <control shapeId="1053" r:id="rId14" name="TIButton6"/>
      </mc:Fallback>
    </mc:AlternateContent>
    <mc:AlternateContent xmlns:mc="http://schemas.openxmlformats.org/markup-compatibility/2006">
      <mc:Choice Requires="x14">
        <control shapeId="1054" r:id="rId16" name="TIButton7">
          <controlPr defaultSize="0" print="0" autoLine="0" r:id="rId17">
            <anchor moveWithCells="1" sizeWithCells="1">
              <from>
                <xdr:col>12</xdr:col>
                <xdr:colOff>838200</xdr:colOff>
                <xdr:row>53</xdr:row>
                <xdr:rowOff>47625</xdr:rowOff>
              </from>
              <to>
                <xdr:col>12</xdr:col>
                <xdr:colOff>2390775</xdr:colOff>
                <xdr:row>54</xdr:row>
                <xdr:rowOff>238125</xdr:rowOff>
              </to>
            </anchor>
          </controlPr>
        </control>
      </mc:Choice>
      <mc:Fallback>
        <control shapeId="1054" r:id="rId16" name="TIButton7"/>
      </mc:Fallback>
    </mc:AlternateContent>
    <mc:AlternateContent xmlns:mc="http://schemas.openxmlformats.org/markup-compatibility/2006">
      <mc:Choice Requires="x14">
        <control shapeId="1056" r:id="rId18" name="TIButton9">
          <controlPr defaultSize="0" print="0" autoLine="0" r:id="rId19">
            <anchor moveWithCells="1" sizeWithCells="1">
              <from>
                <xdr:col>12</xdr:col>
                <xdr:colOff>2419350</xdr:colOff>
                <xdr:row>53</xdr:row>
                <xdr:rowOff>47625</xdr:rowOff>
              </from>
              <to>
                <xdr:col>12</xdr:col>
                <xdr:colOff>3295650</xdr:colOff>
                <xdr:row>54</xdr:row>
                <xdr:rowOff>238125</xdr:rowOff>
              </to>
            </anchor>
          </controlPr>
        </control>
      </mc:Choice>
      <mc:Fallback>
        <control shapeId="1056" r:id="rId18" name="TIButton9"/>
      </mc:Fallback>
    </mc:AlternateContent>
    <mc:AlternateContent xmlns:mc="http://schemas.openxmlformats.org/markup-compatibility/2006">
      <mc:Choice Requires="x14">
        <control shapeId="1057" r:id="rId20" name="TIButton10">
          <controlPr defaultSize="0" print="0" autoLine="0" r:id="rId21">
            <anchor moveWithCells="1" sizeWithCells="1">
              <from>
                <xdr:col>12</xdr:col>
                <xdr:colOff>3314700</xdr:colOff>
                <xdr:row>53</xdr:row>
                <xdr:rowOff>47625</xdr:rowOff>
              </from>
              <to>
                <xdr:col>13</xdr:col>
                <xdr:colOff>333375</xdr:colOff>
                <xdr:row>54</xdr:row>
                <xdr:rowOff>238125</xdr:rowOff>
              </to>
            </anchor>
          </controlPr>
        </control>
      </mc:Choice>
      <mc:Fallback>
        <control shapeId="1057" r:id="rId20" name="TIButton10"/>
      </mc:Fallback>
    </mc:AlternateContent>
    <mc:AlternateContent xmlns:mc="http://schemas.openxmlformats.org/markup-compatibility/2006">
      <mc:Choice Requires="x14">
        <control shapeId="1058" r:id="rId22" name="TIButton8">
          <controlPr defaultSize="0" print="0" autoLine="0" r:id="rId23">
            <anchor moveWithCells="1" sizeWithCells="1">
              <from>
                <xdr:col>10</xdr:col>
                <xdr:colOff>533400</xdr:colOff>
                <xdr:row>53</xdr:row>
                <xdr:rowOff>47625</xdr:rowOff>
              </from>
              <to>
                <xdr:col>11</xdr:col>
                <xdr:colOff>714375</xdr:colOff>
                <xdr:row>54</xdr:row>
                <xdr:rowOff>238125</xdr:rowOff>
              </to>
            </anchor>
          </controlPr>
        </control>
      </mc:Choice>
      <mc:Fallback>
        <control shapeId="1058" r:id="rId22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20"/>
  <sheetViews>
    <sheetView workbookViewId="0"/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78</v>
      </c>
    </row>
    <row r="7" spans="1:1" x14ac:dyDescent="0.25">
      <c r="A7" t="s">
        <v>79</v>
      </c>
    </row>
    <row r="8" spans="1:1" x14ac:dyDescent="0.25">
      <c r="A8" t="s">
        <v>80</v>
      </c>
    </row>
    <row r="9" spans="1:1" x14ac:dyDescent="0.25">
      <c r="A9" t="s">
        <v>81</v>
      </c>
    </row>
    <row r="10" spans="1:1" x14ac:dyDescent="0.25">
      <c r="A10" t="s">
        <v>76</v>
      </c>
    </row>
    <row r="11" spans="1:1" x14ac:dyDescent="0.25">
      <c r="A11" t="s">
        <v>82</v>
      </c>
    </row>
    <row r="12" spans="1:1" x14ac:dyDescent="0.25">
      <c r="A12" t="s">
        <v>6</v>
      </c>
    </row>
    <row r="13" spans="1:1" x14ac:dyDescent="0.25">
      <c r="A13" t="s">
        <v>7</v>
      </c>
    </row>
    <row r="14" spans="1:1" x14ac:dyDescent="0.25">
      <c r="A14" t="s">
        <v>8</v>
      </c>
    </row>
    <row r="15" spans="1:1" x14ac:dyDescent="0.25">
      <c r="A15" t="s">
        <v>9</v>
      </c>
    </row>
    <row r="16" spans="1:1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47</vt:i4>
      </vt:variant>
    </vt:vector>
  </HeadingPairs>
  <TitlesOfParts>
    <vt:vector size="49" baseType="lpstr">
      <vt:lpstr>stage maintenance</vt:lpstr>
      <vt:lpstr>{PL}PickLst</vt:lpstr>
      <vt:lpstr>cbSysRpt</vt:lpstr>
      <vt:lpstr>db_name</vt:lpstr>
      <vt:lpstr>psApp</vt:lpstr>
      <vt:lpstr>psSourceHLYear</vt:lpstr>
      <vt:lpstr>psSourceScenario</vt:lpstr>
      <vt:lpstr>psTargetMeas</vt:lpstr>
      <vt:lpstr>psUser</vt:lpstr>
      <vt:lpstr>TM1AnalRptARTRecoCAP</vt:lpstr>
      <vt:lpstr>TM1AnalRptARTRecoWB</vt:lpstr>
      <vt:lpstr>TM1AnalRptARTRecoWS</vt:lpstr>
      <vt:lpstr>TM1AnalRptDashboardCAP</vt:lpstr>
      <vt:lpstr>TM1AnalRptDashboardWB</vt:lpstr>
      <vt:lpstr>TM1AnalRptDashboardWS</vt:lpstr>
      <vt:lpstr>TM1AnalRptExportToCSVCAP</vt:lpstr>
      <vt:lpstr>TM1AnalRptExportToCSVWB</vt:lpstr>
      <vt:lpstr>TM1AnalRptExportToCSVWS</vt:lpstr>
      <vt:lpstr>TM1AnalRptRecoCAP</vt:lpstr>
      <vt:lpstr>TM1AnalRptRecoWB</vt:lpstr>
      <vt:lpstr>TM1AnalRptRecoWS</vt:lpstr>
      <vt:lpstr>TM1AnalRptRepAdjRecoCAP</vt:lpstr>
      <vt:lpstr>TM1AnalRptRepAdjRecoWB</vt:lpstr>
      <vt:lpstr>TM1AnalRptRepAdjRecoWS</vt:lpstr>
      <vt:lpstr>TM1AnalRptRepStageMaintCAP</vt:lpstr>
      <vt:lpstr>TM1AnalRptRepStageMaintWB</vt:lpstr>
      <vt:lpstr>TM1AnalRptRepStageMaintWS</vt:lpstr>
      <vt:lpstr>TM1AnalRptTransCAP</vt:lpstr>
      <vt:lpstr>TM1AnalRptTransWB</vt:lpstr>
      <vt:lpstr>TM1AnalRptTransWS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TM1PICKLIST</vt:lpstr>
      <vt:lpstr>'stage maintenance'!TM1RPTDATARNG1</vt:lpstr>
      <vt:lpstr>'stage maintenance'!TM1RPTFMTIDCOL</vt:lpstr>
      <vt:lpstr>'stage maintenance'!TM1RPTFMTRNG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</dc:creator>
  <cp:lastModifiedBy>modeler1</cp:lastModifiedBy>
  <dcterms:created xsi:type="dcterms:W3CDTF">2019-01-10T03:48:46Z</dcterms:created>
  <dcterms:modified xsi:type="dcterms:W3CDTF">2024-09-18T22:56:22Z</dcterms:modified>
</cp:coreProperties>
</file>