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June 2025 Reports\ME Update\"/>
    </mc:Choice>
  </mc:AlternateContent>
  <xr:revisionPtr revIDLastSave="0" documentId="8_{127949F1-51DE-4F66-A73E-6DF0BC9FFF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ping" sheetId="1" r:id="rId1"/>
  </sheets>
  <definedNames>
    <definedName name="db_name">mapping!$C$12</definedName>
    <definedName name="Freeze_Here">mapping!$A$82</definedName>
    <definedName name="ID" localSheetId="0" hidden="1">"cf99c18b-6c8f-4b53-8174-f7fed90fecea"</definedName>
    <definedName name="psHLYear">mapping!$L$72</definedName>
    <definedName name="psScenario">mapping!$L$73</definedName>
    <definedName name="RangeName_List">mapping!#REF!</definedName>
    <definedName name="TM1AdminRDSAccTempCAP">mapping!$D$55</definedName>
    <definedName name="TM1AdminRDSAccTempWB">mapping!$F$55</definedName>
    <definedName name="TM1AdminRDSAccTempWS">mapping!$H$55</definedName>
    <definedName name="TM1MEAssignProgCAP">mapping!$D$56</definedName>
    <definedName name="TM1MEAssignProgWB">mapping!$F$56</definedName>
    <definedName name="TM1MEAssignProgWS">mapping!$H$56</definedName>
    <definedName name="TM1MEBSDataEntryCAP">mapping!$D$51</definedName>
    <definedName name="TM1MEBSDataEntryWB">mapping!$F$51</definedName>
    <definedName name="TM1MEBSDataEntryWS">mapping!$H$51</definedName>
    <definedName name="TM1MECCMapCAP">mapping!$D$52</definedName>
    <definedName name="TM1MECCMapWB">mapping!$F$52</definedName>
    <definedName name="TM1MECCMapWS">mapping!$H$52</definedName>
    <definedName name="TM1MEDataEntryCAP">mapping!$D$49</definedName>
    <definedName name="TM1MEDataEntryWB">mapping!$F$49</definedName>
    <definedName name="TM1MEDataEntryWS">mapping!$H$49</definedName>
    <definedName name="TM1MEGLMapCAP">mapping!$D$53</definedName>
    <definedName name="TM1MEGLMapWB">mapping!$F$53</definedName>
    <definedName name="TM1MEGLMapWS">mapping!$H$53</definedName>
    <definedName name="TM1MEHomeCAP">mapping!$D$48</definedName>
    <definedName name="TM1MEHomeWB">mapping!$F$48</definedName>
    <definedName name="TM1MEHomeWS">mapping!$H$48</definedName>
    <definedName name="TM1MEOSDataEntryCAP">mapping!$D$50</definedName>
    <definedName name="TM1MEOSDataEntryWB">mapping!$F$50</definedName>
    <definedName name="TM1MEOSDataEntryWS">mapping!$H$50</definedName>
    <definedName name="TM1MESummaryCAP">mapping!$D$54</definedName>
    <definedName name="TM1MESummaryWB">mapping!$F$54</definedName>
    <definedName name="TM1MESummaryWS">mapping!$H$54</definedName>
    <definedName name="TM1REBUILDOPTION">1</definedName>
    <definedName name="TM1RPTDATARNG1" localSheetId="0">mapping!$82:$82</definedName>
    <definedName name="TM1RPTFMTIDCOL" localSheetId="0">mapping!$A$1:$A$8</definedName>
    <definedName name="TM1RPTFMTRNG" localSheetId="0">mapping!$K$1:$O$8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 a="1"/>
  <c r="C21" i="1" s="1"/>
  <c r="C41" i="1" a="1"/>
  <c r="C41" i="1" s="1"/>
  <c r="C43" i="1" a="1"/>
  <c r="C43" i="1" s="1"/>
  <c r="C42" i="1" a="1"/>
  <c r="C42" i="1" s="1"/>
  <c r="C46" i="1" a="1"/>
  <c r="C46" i="1" s="1"/>
  <c r="C16" i="1" a="1"/>
  <c r="C16" i="1" s="1"/>
  <c r="A5" i="1"/>
  <c r="A4" i="1"/>
  <c r="A3" i="1"/>
  <c r="A2" i="1"/>
  <c r="L73" i="1" a="1"/>
  <c r="C37" i="1" a="1"/>
  <c r="K78" i="1" a="1"/>
  <c r="A82" i="1" a="1"/>
  <c r="F56" i="1" a="1"/>
  <c r="H55" i="1" a="1"/>
  <c r="D55" i="1" a="1"/>
  <c r="F54" i="1" a="1"/>
  <c r="H53" i="1" a="1"/>
  <c r="D53" i="1" a="1"/>
  <c r="F52" i="1" a="1"/>
  <c r="H51" i="1" a="1"/>
  <c r="D51" i="1" a="1"/>
  <c r="F50" i="1" a="1"/>
  <c r="H49" i="1" a="1"/>
  <c r="D49" i="1" a="1"/>
  <c r="F48" i="1" a="1"/>
  <c r="C24" i="1" a="1"/>
  <c r="C17" i="1" a="1"/>
  <c r="E48" i="1" a="1"/>
  <c r="C48" i="1" a="1"/>
  <c r="L74" i="1" a="1"/>
  <c r="L78" i="1" a="1"/>
  <c r="N78" i="1" a="1"/>
  <c r="G55" i="1" a="1"/>
  <c r="E54" i="1" a="1"/>
  <c r="G51" i="1" a="1"/>
  <c r="G49" i="1" a="1"/>
  <c r="C13" i="1" a="1"/>
  <c r="E56" i="1" a="1"/>
  <c r="C55" i="1" a="1"/>
  <c r="G53" i="1" a="1"/>
  <c r="C53" i="1" a="1"/>
  <c r="E52" i="1" a="1"/>
  <c r="C51" i="1" a="1"/>
  <c r="E50" i="1" a="1"/>
  <c r="C49" i="1" a="1"/>
  <c r="C23" i="1" a="1"/>
  <c r="C35" i="1" a="1"/>
  <c r="F55" i="1" a="1"/>
  <c r="D54" i="1" a="1"/>
  <c r="C22" i="1" a="1"/>
  <c r="H56" i="1" a="1"/>
  <c r="D56" i="1" a="1"/>
  <c r="H54" i="1" a="1"/>
  <c r="F53" i="1" a="1"/>
  <c r="H52" i="1" a="1"/>
  <c r="D52" i="1" a="1"/>
  <c r="F51" i="1" a="1"/>
  <c r="H50" i="1" a="1"/>
  <c r="D50" i="1" a="1"/>
  <c r="F49" i="1" a="1"/>
  <c r="H48" i="1" a="1"/>
  <c r="D48" i="1" a="1"/>
  <c r="C56" i="1" a="1"/>
  <c r="G54" i="1" a="1"/>
  <c r="E53" i="1" a="1"/>
  <c r="C52" i="1" a="1"/>
  <c r="C36" i="1" a="1"/>
  <c r="M78" i="1" a="1"/>
  <c r="G56" i="1" a="1"/>
  <c r="E55" i="1" a="1"/>
  <c r="C54" i="1" a="1"/>
  <c r="G52" i="1" a="1"/>
  <c r="E51" i="1" a="1"/>
  <c r="G50" i="1" a="1"/>
  <c r="C50" i="1" a="1"/>
  <c r="E49" i="1" a="1"/>
  <c r="G48" i="1" a="1"/>
  <c r="C18" i="1" a="1"/>
  <c r="C18" i="1" l="1"/>
  <c r="G48" i="1"/>
  <c r="E49" i="1"/>
  <c r="C50" i="1"/>
  <c r="G50" i="1"/>
  <c r="E51" i="1"/>
  <c r="G52" i="1"/>
  <c r="C54" i="1"/>
  <c r="E55" i="1"/>
  <c r="G56" i="1"/>
  <c r="M78" i="1"/>
  <c r="C36" i="1"/>
  <c r="C52" i="1"/>
  <c r="E53" i="1"/>
  <c r="G54" i="1"/>
  <c r="C56" i="1"/>
  <c r="D48" i="1"/>
  <c r="H48" i="1"/>
  <c r="F49" i="1"/>
  <c r="D50" i="1"/>
  <c r="H50" i="1"/>
  <c r="F51" i="1"/>
  <c r="D52" i="1"/>
  <c r="H52" i="1"/>
  <c r="F53" i="1"/>
  <c r="H54" i="1"/>
  <c r="D56" i="1"/>
  <c r="H56" i="1"/>
  <c r="C22" i="1"/>
  <c r="D54" i="1"/>
  <c r="F55" i="1"/>
  <c r="C35" i="1"/>
  <c r="C23" i="1"/>
  <c r="C49" i="1"/>
  <c r="E50" i="1"/>
  <c r="C51" i="1"/>
  <c r="E52" i="1"/>
  <c r="C53" i="1"/>
  <c r="G53" i="1"/>
  <c r="C55" i="1"/>
  <c r="E56" i="1"/>
  <c r="C13" i="1"/>
  <c r="G49" i="1"/>
  <c r="G51" i="1"/>
  <c r="E54" i="1"/>
  <c r="G55" i="1"/>
  <c r="N78" i="1"/>
  <c r="L78" i="1"/>
  <c r="L74" i="1"/>
  <c r="C48" i="1"/>
  <c r="E48" i="1"/>
  <c r="C17" i="1"/>
  <c r="C24" i="1"/>
  <c r="F48" i="1"/>
  <c r="D49" i="1"/>
  <c r="H49" i="1"/>
  <c r="F50" i="1"/>
  <c r="D51" i="1"/>
  <c r="H51" i="1"/>
  <c r="F52" i="1"/>
  <c r="D53" i="1"/>
  <c r="H53" i="1"/>
  <c r="F54" i="1"/>
  <c r="D55" i="1"/>
  <c r="H55" i="1"/>
  <c r="F56" i="1"/>
  <c r="A82" i="1"/>
  <c r="K78" i="1"/>
  <c r="C37" i="1"/>
  <c r="L73" i="1"/>
  <c r="L75" i="1" a="1"/>
  <c r="B78" i="1" a="1"/>
  <c r="D78" i="1" a="1"/>
  <c r="E78" i="1" a="1"/>
  <c r="L72" i="1" a="1"/>
  <c r="L72" i="1" l="1"/>
  <c r="E78" i="1"/>
  <c r="D78" i="1"/>
  <c r="B78" i="1"/>
  <c r="C78" i="1" s="1"/>
  <c r="K79" i="1" s="1"/>
  <c r="L75" i="1"/>
  <c r="C27" i="1" a="1"/>
  <c r="C27" i="1" l="1"/>
  <c r="F78" i="1"/>
  <c r="M79" i="1" s="1"/>
  <c r="C28" i="1" a="1"/>
  <c r="C28" i="1" s="1"/>
  <c r="L82" i="1" a="1"/>
  <c r="K82" i="1" a="1"/>
  <c r="N82" i="1" a="1"/>
  <c r="M82" i="1" a="1"/>
  <c r="G78" i="1" a="1"/>
  <c r="O78" i="1" a="1"/>
  <c r="O78" i="1" l="1"/>
  <c r="G78" i="1"/>
  <c r="H78" i="1" s="1"/>
  <c r="N79" i="1" s="1"/>
  <c r="M82" i="1"/>
  <c r="N82" i="1"/>
  <c r="K82" i="1"/>
  <c r="L82" i="1"/>
  <c r="O82" i="1" a="1"/>
  <c r="O8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<sst xmlns="http://schemas.openxmlformats.org/spreadsheetml/2006/main" count="85" uniqueCount="78">
  <si>
    <t>headline year</t>
  </si>
  <si>
    <t>id</t>
  </si>
  <si>
    <t>balance sheet measure</t>
  </si>
  <si>
    <t>cash flow</t>
  </si>
  <si>
    <t>D</t>
  </si>
  <si>
    <t>N</t>
  </si>
  <si>
    <t>[Begin Format Range]</t>
  </si>
  <si>
    <t>[End Format Range]</t>
  </si>
  <si>
    <t>System Variables</t>
  </si>
  <si>
    <t>Database Name</t>
  </si>
  <si>
    <t>Current User</t>
  </si>
  <si>
    <t>}ElementAttributes_variables</t>
  </si>
  <si>
    <t>Cube View</t>
  </si>
  <si>
    <t>headline scenario</t>
  </si>
  <si>
    <t>ME System Variable</t>
  </si>
  <si>
    <t>ME_headline year</t>
  </si>
  <si>
    <t>ME year</t>
  </si>
  <si>
    <t>ME_period</t>
  </si>
  <si>
    <t>ME Balance Sheet (Account Template)</t>
  </si>
  <si>
    <t>Active Form View</t>
  </si>
  <si>
    <t>Slice View</t>
  </si>
  <si>
    <t>Account MDX</t>
  </si>
  <si>
    <t>Account BS MDX</t>
  </si>
  <si>
    <t>Movement Account MDX</t>
  </si>
  <si>
    <t>Related Entity MDX</t>
  </si>
  <si>
    <t>{TM1SORT( {TM1FILTERBYLEVEL( {TM1SUBSETALL( [related entity] )}, 0)}, ASC)}</t>
  </si>
  <si>
    <t>{TM1SORT( {TM1FILTERBYLEVEL( {TM1SUBSETALL( [account] )}, 0)}, ASC)}</t>
  </si>
  <si>
    <t>{TM1SORT( {TM1FILTERBYLEVEL( {TM1SUBSETALL( [movement account] )}, 0)}, ASC)}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</si>
  <si>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</si>
  <si>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</si>
  <si>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</si>
  <si>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</si>
  <si>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</si>
  <si>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</si>
  <si>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</si>
  <si>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</si>
  <si>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</si>
  <si>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OS Data Entry</t>
  </si>
  <si>
    <t>ME - BS Data Entry</t>
  </si>
  <si>
    <t>ME - CC Mapping</t>
  </si>
  <si>
    <t>ME - GL Mapping</t>
  </si>
  <si>
    <t>ME - Summary</t>
  </si>
  <si>
    <t>ME Balance Sheet (Header Details)</t>
  </si>
  <si>
    <t>Headline Year :</t>
  </si>
  <si>
    <t>Scenario :</t>
  </si>
  <si>
    <t>Account Template :</t>
  </si>
  <si>
    <t>REPORT PARAMETERS</t>
  </si>
  <si>
    <t>Monthly Estimates - Account Template Mappings</t>
  </si>
  <si>
    <t>Account</t>
  </si>
  <si>
    <t>Account (Balance Sheet / Cash Flow)</t>
  </si>
  <si>
    <t>Movement Account</t>
  </si>
  <si>
    <t>Related Entity</t>
  </si>
  <si>
    <t>period</t>
  </si>
  <si>
    <t>Mapping</t>
  </si>
  <si>
    <t>Expense (DR) To 4100001 / 7593 / 49800 (CR) : 1</t>
  </si>
  <si>
    <t>Revenue (CR) To 4100001 / 7592 / 49800 (DR) : -1</t>
  </si>
  <si>
    <t>Depn (DR) To Asset Movement Account 7153 (CR) : 1</t>
  </si>
  <si>
    <t>Attribute Cubes</t>
  </si>
  <si>
    <t>account</t>
  </si>
  <si>
    <t>movement account</t>
  </si>
  <si>
    <t>Check Account BS MA Required</t>
  </si>
  <si>
    <t>UNIQUE MA</t>
  </si>
  <si>
    <t>MA Validation Message</t>
  </si>
  <si>
    <t>RE Check</t>
  </si>
  <si>
    <t>MA ASSUMED</t>
  </si>
  <si>
    <t>Unique ACC</t>
  </si>
  <si>
    <t>Account Validation</t>
  </si>
  <si>
    <t xml:space="preserve">The following are current examples used in the Monthly Estimates assigned to a program. The Program Details cube is where the accout template is assigned to a program used to generate the templates. </t>
  </si>
  <si>
    <t>Note : Put a 0 to clear the mapping.</t>
  </si>
  <si>
    <t>Note : This screen is used to manage the automated calculation of balance sheets for certain revenue and expense accounts. ('Current' scenario has been Pre-Populated To ALL Headline Years)</t>
  </si>
  <si>
    <t>{ EXCEPT( {TM1SORT( {TM1FILTERBYLEVEL( {TM1SUBSETALL( [account_bs] )}, 0)}, ASC)}, { [account_bs].[balance sheet] }) }</t>
  </si>
  <si>
    <t>Admin RDS - Account Template</t>
  </si>
  <si>
    <t>ME - Assign Account Template To Program</t>
  </si>
  <si>
    <t>account template</t>
  </si>
  <si>
    <t>Update Account Template Name :</t>
  </si>
  <si>
    <t xml:space="preserve">Note :  The 'Update Account Subsets' button is used during the Generation Of Balance Sheet/Cash Flow to assist with the CLEARING of the TARGET Accounts (Balance Sheet/Cash Flow) as indicated below. </t>
  </si>
  <si>
    <t>programme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</si>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</sst>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2" fillId="3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right" indent="1"/>
    </xf>
    <xf numFmtId="0" fontId="1" fillId="4" borderId="0" xfId="0" applyFont="1" applyFill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5" borderId="0" xfId="0" applyFont="1" applyFill="1" applyAlignment="1">
      <alignment horizontal="right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1" xfId="0" applyFont="1" applyBorder="1" applyAlignment="1" applyProtection="1">
      <alignment horizontal="center"/>
      <protection locked="0"/>
    </xf>
    <xf numFmtId="0" fontId="3" fillId="6" borderId="1" xfId="0" applyFont="1" applyFill="1" applyBorder="1" applyProtection="1"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2" fillId="7" borderId="3" xfId="0" applyFont="1" applyFill="1" applyBorder="1" applyAlignment="1" applyProtection="1">
      <alignment horizontal="left" indent="1"/>
      <protection locked="0"/>
    </xf>
    <xf numFmtId="0" fontId="7" fillId="0" borderId="0" xfId="0" applyFont="1" applyAlignment="1">
      <alignment horizontal="right"/>
    </xf>
    <xf numFmtId="49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BD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413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DS - Account Templat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AdminRDSAccTempWB"/>
  <ax:ocxPr ax:name="TargetWorksheetName" ax:value="=TM1AdminRDSAccTem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minRDSAccTemp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863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ssign Template To Program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AssignProgWB"/>
  <ax:ocxPr ax:name="TargetWorksheetName" ax:value="=TM1MEAssignProg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2.emf"/><Relationship Id="rId1" Type="http://schemas.openxmlformats.org/officeDocument/2006/relationships/image" Target="../media/image3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61</xdr:row>
          <xdr:rowOff>0</xdr:rowOff>
        </xdr:from>
        <xdr:to>
          <xdr:col>10</xdr:col>
          <xdr:colOff>638175</xdr:colOff>
          <xdr:row>61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1914525</xdr:colOff>
          <xdr:row>61</xdr:row>
          <xdr:rowOff>0</xdr:rowOff>
        </xdr:from>
        <xdr:to>
          <xdr:col>11</xdr:col>
          <xdr:colOff>2552700</xdr:colOff>
          <xdr:row>61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1809750</xdr:colOff>
      <xdr:row>60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61</xdr:row>
          <xdr:rowOff>0</xdr:rowOff>
        </xdr:from>
        <xdr:to>
          <xdr:col>10</xdr:col>
          <xdr:colOff>2105025</xdr:colOff>
          <xdr:row>61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2124075</xdr:colOff>
          <xdr:row>61</xdr:row>
          <xdr:rowOff>0</xdr:rowOff>
        </xdr:from>
        <xdr:to>
          <xdr:col>11</xdr:col>
          <xdr:colOff>361950</xdr:colOff>
          <xdr:row>61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381000</xdr:colOff>
          <xdr:row>61</xdr:row>
          <xdr:rowOff>0</xdr:rowOff>
        </xdr:from>
        <xdr:to>
          <xdr:col>11</xdr:col>
          <xdr:colOff>1885950</xdr:colOff>
          <xdr:row>61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82"/>
  <sheetViews>
    <sheetView showGridLines="0" tabSelected="1" showOutlineSymbols="0" topLeftCell="J60" workbookViewId="0">
      <pane ySplit="22" topLeftCell="A82" activePane="bottomLeft" state="frozen"/>
      <selection activeCell="J60" sqref="J60"/>
      <selection pane="bottomLeft"/>
    </sheetView>
  </sheetViews>
  <sheetFormatPr defaultRowHeight="15" outlineLevelRow="1" outlineLevelCol="1" x14ac:dyDescent="0.25"/>
  <cols>
    <col min="1" max="1" width="2.7109375" hidden="1" customWidth="1" outlineLevel="1"/>
    <col min="2" max="9" width="20.28515625" hidden="1" customWidth="1" outlineLevel="1"/>
    <col min="10" max="10" width="0.85546875" customWidth="1" collapsed="1"/>
    <col min="11" max="12" width="50.7109375" customWidth="1"/>
    <col min="13" max="13" width="40.7109375" customWidth="1"/>
    <col min="14" max="14" width="19.7109375" bestFit="1" customWidth="1"/>
    <col min="15" max="15" width="12.7109375" customWidth="1"/>
  </cols>
  <sheetData>
    <row r="1" spans="1:15" hidden="1" outlineLevel="1" x14ac:dyDescent="0.25">
      <c r="A1" t="s">
        <v>6</v>
      </c>
    </row>
    <row r="2" spans="1:15" hidden="1" outlineLevel="1" x14ac:dyDescent="0.25">
      <c r="A2">
        <f>0</f>
        <v>0</v>
      </c>
      <c r="K2" s="15"/>
      <c r="L2" s="16"/>
      <c r="M2" s="16"/>
      <c r="N2" s="16"/>
      <c r="O2" s="20"/>
    </row>
    <row r="3" spans="1:15" hidden="1" outlineLevel="1" x14ac:dyDescent="0.25">
      <c r="A3">
        <f>1</f>
        <v>1</v>
      </c>
      <c r="K3" s="16"/>
      <c r="L3" s="16"/>
      <c r="M3" s="16"/>
      <c r="N3" s="16"/>
      <c r="O3" s="20"/>
    </row>
    <row r="4" spans="1:15" hidden="1" outlineLevel="1" x14ac:dyDescent="0.25">
      <c r="A4">
        <f>2</f>
        <v>2</v>
      </c>
      <c r="K4" s="16"/>
      <c r="L4" s="16"/>
      <c r="M4" s="16"/>
      <c r="N4" s="16"/>
      <c r="O4" s="20"/>
    </row>
    <row r="5" spans="1:15" hidden="1" outlineLevel="1" x14ac:dyDescent="0.25">
      <c r="A5">
        <f>3</f>
        <v>3</v>
      </c>
      <c r="K5" s="16"/>
      <c r="L5" s="16"/>
      <c r="M5" s="16"/>
      <c r="N5" s="16"/>
      <c r="O5" s="20"/>
    </row>
    <row r="6" spans="1:15" hidden="1" outlineLevel="1" x14ac:dyDescent="0.25">
      <c r="A6" t="s">
        <v>4</v>
      </c>
      <c r="K6" s="16"/>
      <c r="L6" s="16"/>
      <c r="M6" s="16"/>
      <c r="N6" s="16"/>
      <c r="O6" s="20"/>
    </row>
    <row r="7" spans="1:15" hidden="1" outlineLevel="1" x14ac:dyDescent="0.25">
      <c r="A7" t="s">
        <v>5</v>
      </c>
      <c r="K7" s="16"/>
      <c r="L7" s="16"/>
      <c r="M7" s="16"/>
      <c r="N7" s="16"/>
      <c r="O7" s="20"/>
    </row>
    <row r="8" spans="1:15" hidden="1" outlineLevel="1" x14ac:dyDescent="0.25">
      <c r="A8" t="s">
        <v>7</v>
      </c>
    </row>
    <row r="9" spans="1:15" hidden="1" outlineLevel="1" x14ac:dyDescent="0.25"/>
    <row r="10" spans="1:15" hidden="1" outlineLevel="1" x14ac:dyDescent="0.25"/>
    <row r="11" spans="1:15" hidden="1" outlineLevel="1" x14ac:dyDescent="0.25">
      <c r="B11" s="27" t="s">
        <v>8</v>
      </c>
      <c r="C11" s="27"/>
    </row>
    <row r="12" spans="1:15" hidden="1" outlineLevel="1" x14ac:dyDescent="0.25">
      <c r="B12" s="3" t="s">
        <v>9</v>
      </c>
      <c r="C12" s="3" t="s">
        <v>77</v>
      </c>
    </row>
    <row r="13" spans="1:15" hidden="1" outlineLevel="1" x14ac:dyDescent="0.25">
      <c r="B13" s="3" t="s">
        <v>10</v>
      </c>
      <c r="C13" s="3" t="str" cm="1">
        <f t="array" ref="C13">_xll.TM1USER(db_name)</f>
        <v>CAMID("pans:u:kgimena@excelerated.com.au")</v>
      </c>
    </row>
    <row r="14" spans="1:15" hidden="1" outlineLevel="1" x14ac:dyDescent="0.25"/>
    <row r="15" spans="1:15" hidden="1" outlineLevel="1" x14ac:dyDescent="0.25">
      <c r="B15" s="27" t="s">
        <v>11</v>
      </c>
      <c r="C15" s="27"/>
    </row>
    <row r="16" spans="1:15" hidden="1" outlineLevel="1" x14ac:dyDescent="0.25">
      <c r="B16" s="3" t="s">
        <v>12</v>
      </c>
      <c r="C16" s="3" t="str" cm="1">
        <f t="array" ref="C16">_xll.VIEW(db_name&amp;":}ElementAttributes_variables","!","!")</f>
        <v>dcceew_geus:}ElementAttributes_variables</v>
      </c>
    </row>
    <row r="17" spans="2:11" hidden="1" outlineLevel="1" x14ac:dyDescent="0.25">
      <c r="B17" s="3" t="s">
        <v>0</v>
      </c>
      <c r="C17" s="3" t="str" cm="1">
        <f t="array" ref="C17">_xll.DBR($C$16,$B17,"value")</f>
        <v>HL2025-2026</v>
      </c>
    </row>
    <row r="18" spans="2:11" hidden="1" outlineLevel="1" x14ac:dyDescent="0.25">
      <c r="B18" s="3" t="s">
        <v>13</v>
      </c>
      <c r="C18" s="3" t="str" cm="1">
        <f t="array" ref="C18">_xll.DBR($C$16,$B18,"value")</f>
        <v>current</v>
      </c>
    </row>
    <row r="19" spans="2:11" hidden="1" outlineLevel="1" x14ac:dyDescent="0.25"/>
    <row r="20" spans="2:11" hidden="1" outlineLevel="1" x14ac:dyDescent="0.25">
      <c r="B20" s="27" t="s">
        <v>14</v>
      </c>
      <c r="C20" s="27"/>
    </row>
    <row r="21" spans="2:11" hidden="1" outlineLevel="1" x14ac:dyDescent="0.25">
      <c r="B21" s="3" t="s">
        <v>12</v>
      </c>
      <c r="C21" s="3" t="str" cm="1">
        <f t="array" ref="C21">_xll.VIEW(db_name&amp;":sys_ME variable","!","!")</f>
        <v>dcceew_geus:sys_ME variable</v>
      </c>
    </row>
    <row r="22" spans="2:11" hidden="1" outlineLevel="1" x14ac:dyDescent="0.25">
      <c r="B22" s="3" t="s">
        <v>15</v>
      </c>
      <c r="C22" s="3" t="str" cm="1">
        <f t="array" ref="C22">_xll.DBR($C$21,$B22,"value")</f>
        <v>HL2025-2026</v>
      </c>
    </row>
    <row r="23" spans="2:11" hidden="1" outlineLevel="1" x14ac:dyDescent="0.25">
      <c r="B23" s="3" t="s">
        <v>16</v>
      </c>
      <c r="C23" s="3" t="str" cm="1">
        <f t="array" ref="C23">_xll.DBR($C$21,$B23,"value")</f>
        <v>2024-2025</v>
      </c>
    </row>
    <row r="24" spans="2:11" hidden="1" outlineLevel="1" x14ac:dyDescent="0.25">
      <c r="B24" s="3" t="s">
        <v>17</v>
      </c>
      <c r="C24" s="3" t="str" cm="1">
        <f t="array" ref="C24">_xll.DBR($C$21,$B24,"value")</f>
        <v>2024-2025</v>
      </c>
    </row>
    <row r="25" spans="2:11" hidden="1" outlineLevel="1" x14ac:dyDescent="0.25"/>
    <row r="26" spans="2:11" hidden="1" outlineLevel="1" x14ac:dyDescent="0.25">
      <c r="B26" s="27" t="s">
        <v>18</v>
      </c>
      <c r="C26" s="27"/>
    </row>
    <row r="27" spans="2:11" hidden="1" outlineLevel="1" x14ac:dyDescent="0.25">
      <c r="B27" s="3" t="s">
        <v>19</v>
      </c>
      <c r="C27" s="3" t="str" cm="1">
        <f t="array" aca="1" ref="C27" ca="1">_xll.TM1RPTVIEW(db_name&amp;":ME balance sheet:1", 1, _xll.TM1RPTTITLE(db_name&amp;":headline year",$L$72), _xll.TM1RPTTITLE(db_name&amp;":scenario",$L$73), _xll.TM1RPTTITLE(db_name&amp;":account template",$L$74), _xll.TM1RPTTITLE(db_name&amp;":id",$C$35), _xll.TM1RPTTITLE(db_name&amp;":programme",$C$36), _xll.TM1RPTTITLE(db_name&amp;":balance sheet measure",$C$37),TM1RPTFMTRNG,TM1RPTFMTIDCOL)</f>
        <v>dcceew_geus:ME balance sheet:1</v>
      </c>
    </row>
    <row r="28" spans="2:11" hidden="1" outlineLevel="1" x14ac:dyDescent="0.25">
      <c r="B28" s="3" t="s">
        <v>20</v>
      </c>
      <c r="C28" s="3" t="e" cm="1">
        <f t="array" ref="C28">_xll.VIEW(db_name&amp;":ME balance sheet",$L$72,$L$73,$L$74,"!",$C$35,$C$36,"!","!","!","!")</f>
        <v>#VALUE!</v>
      </c>
    </row>
    <row r="29" spans="2:11" hidden="1" outlineLevel="1" x14ac:dyDescent="0.25">
      <c r="B29" s="3" t="s">
        <v>21</v>
      </c>
      <c r="C29" s="3" t="s">
        <v>26</v>
      </c>
    </row>
    <row r="30" spans="2:11" hidden="1" outlineLevel="1" x14ac:dyDescent="0.25">
      <c r="B30" s="3" t="s">
        <v>22</v>
      </c>
      <c r="C30" s="3" t="s">
        <v>70</v>
      </c>
      <c r="K30" s="1"/>
    </row>
    <row r="31" spans="2:11" hidden="1" outlineLevel="1" x14ac:dyDescent="0.25">
      <c r="B31" s="3" t="s">
        <v>23</v>
      </c>
      <c r="C31" s="3" t="s">
        <v>27</v>
      </c>
      <c r="K31" s="1"/>
    </row>
    <row r="32" spans="2:11" hidden="1" outlineLevel="1" x14ac:dyDescent="0.25">
      <c r="B32" s="3" t="s">
        <v>24</v>
      </c>
      <c r="C32" s="3" t="s">
        <v>25</v>
      </c>
      <c r="K32" s="1"/>
    </row>
    <row r="33" spans="2:11" hidden="1" outlineLevel="1" x14ac:dyDescent="0.25">
      <c r="K33" s="1"/>
    </row>
    <row r="34" spans="2:11" hidden="1" outlineLevel="1" x14ac:dyDescent="0.25">
      <c r="B34" s="27" t="s">
        <v>42</v>
      </c>
      <c r="C34" s="27"/>
      <c r="K34" s="1"/>
    </row>
    <row r="35" spans="2:11" hidden="1" outlineLevel="1" x14ac:dyDescent="0.25">
      <c r="B35" s="6" t="s">
        <v>1</v>
      </c>
      <c r="C35" s="3" t="str" cm="1">
        <f t="array" ref="C35">_xll.SUBNM(db_name&amp;":id","","cash flow")</f>
        <v>cash flow</v>
      </c>
      <c r="K35" s="1"/>
    </row>
    <row r="36" spans="2:11" hidden="1" outlineLevel="1" x14ac:dyDescent="0.25">
      <c r="B36" s="6" t="s">
        <v>76</v>
      </c>
      <c r="C36" s="3" t="str" cm="1">
        <f t="array" ref="C36">_xll.SUBNM(db_name&amp;":programme","","cash flow","code and description")</f>
        <v>cash flow</v>
      </c>
      <c r="K36" s="1"/>
    </row>
    <row r="37" spans="2:11" hidden="1" outlineLevel="1" x14ac:dyDescent="0.25">
      <c r="B37" s="6" t="s">
        <v>2</v>
      </c>
      <c r="C37" s="3" t="str" cm="1">
        <f t="array" ref="C37">_xll.SUBNM(db_name&amp;":balance sheet measure","","derivation weightings")</f>
        <v>derivation weightings</v>
      </c>
      <c r="K37" s="1"/>
    </row>
    <row r="38" spans="2:11" hidden="1" outlineLevel="1" x14ac:dyDescent="0.25">
      <c r="B38" s="6" t="s">
        <v>52</v>
      </c>
      <c r="C38" s="3" t="s">
        <v>3</v>
      </c>
      <c r="K38" s="1"/>
    </row>
    <row r="39" spans="2:11" hidden="1" outlineLevel="1" x14ac:dyDescent="0.25">
      <c r="K39" s="1"/>
    </row>
    <row r="40" spans="2:11" hidden="1" outlineLevel="1" x14ac:dyDescent="0.25">
      <c r="B40" s="27" t="s">
        <v>57</v>
      </c>
      <c r="C40" s="27"/>
      <c r="K40" s="1"/>
    </row>
    <row r="41" spans="2:11" hidden="1" outlineLevel="1" x14ac:dyDescent="0.25">
      <c r="B41" s="6" t="s">
        <v>58</v>
      </c>
      <c r="C41" s="3" t="str" cm="1">
        <f t="array" ref="C41">_xll.VIEW(db_name&amp;":}ElementAttributes_account","!","!")</f>
        <v>dcceew_geus:}ElementAttributes_account</v>
      </c>
      <c r="K41" s="1"/>
    </row>
    <row r="42" spans="2:11" hidden="1" outlineLevel="1" x14ac:dyDescent="0.25">
      <c r="B42" s="6" t="s">
        <v>73</v>
      </c>
      <c r="C42" s="3" t="str" cm="1">
        <f t="array" ref="C42">_xll.VIEW(db_name&amp;":}ElementAttributes_account template","!","!")</f>
        <v>dcceew_geus:}ElementAttributes_account template</v>
      </c>
      <c r="K42" s="1"/>
    </row>
    <row r="43" spans="2:11" hidden="1" outlineLevel="1" x14ac:dyDescent="0.25">
      <c r="B43" s="6" t="s">
        <v>59</v>
      </c>
      <c r="C43" s="3" t="str" cm="1">
        <f t="array" ref="C43">_xll.VIEW(db_name&amp;":}ElementAttributes_movement account","!","!")</f>
        <v>dcceew_geus:}ElementAttributes_movement account</v>
      </c>
      <c r="K43" s="1"/>
    </row>
    <row r="44" spans="2:11" hidden="1" outlineLevel="1" x14ac:dyDescent="0.25">
      <c r="K44" s="1"/>
    </row>
    <row r="45" spans="2:11" hidden="1" outlineLevel="1" x14ac:dyDescent="0.25">
      <c r="B45" s="27" t="s">
        <v>28</v>
      </c>
      <c r="C45" s="27"/>
      <c r="K45" s="1"/>
    </row>
    <row r="46" spans="2:11" hidden="1" outlineLevel="1" x14ac:dyDescent="0.25">
      <c r="B46" s="4" t="s">
        <v>12</v>
      </c>
      <c r="C46" s="4" t="str" cm="1">
        <f t="array" ref="C46">_xll.VIEW(db_name&amp;":sys_application","!","!")</f>
        <v>dcceew_geus:sys_application</v>
      </c>
      <c r="K46" s="1"/>
    </row>
    <row r="47" spans="2:11" hidden="1" outlineLevel="1" x14ac:dyDescent="0.25">
      <c r="B47" s="3"/>
      <c r="C47" s="5" t="s">
        <v>29</v>
      </c>
      <c r="D47" s="5" t="s">
        <v>30</v>
      </c>
      <c r="E47" s="5" t="s">
        <v>31</v>
      </c>
      <c r="F47" s="5" t="s">
        <v>32</v>
      </c>
      <c r="G47" s="5" t="s">
        <v>33</v>
      </c>
      <c r="H47" s="5" t="s">
        <v>34</v>
      </c>
      <c r="K47" s="1"/>
    </row>
    <row r="48" spans="2:11" hidden="1" outlineLevel="1" x14ac:dyDescent="0.25">
      <c r="B48" s="3" t="s">
        <v>35</v>
      </c>
      <c r="C48" s="3" t="str" cm="1">
        <f t="array" ref="C48">_xll.DBR($C$46,$B48,C$47)</f>
        <v>TM1MEHomeCAP</v>
      </c>
      <c r="D48" s="3" t="str" cm="1">
        <f t="array" ref="D48">_xll.DBR($C$46,$B48,D$47)</f>
        <v>Home</v>
      </c>
      <c r="E48" s="3" t="str" cm="1">
        <f t="array" ref="E48">_xll.DBR($C$46,$B48,E$47)</f>
        <v>TM1MEHomeWB</v>
      </c>
      <c r="F48" s="3" t="str" cm="1">
        <f t="array" ref="F48">_xll.DBR($C$46,$B48,F$47)</f>
        <v>PRIMUS\GEUS WEB\Monthly Estimates\Monthly Estimates - Homepage.xlsx</v>
      </c>
      <c r="G48" s="3" t="str" cm="1">
        <f t="array" ref="G48">_xll.DBR($C$46,$B48,G$47)</f>
        <v>TM1MEHomeWS</v>
      </c>
      <c r="H48" s="3" t="str" cm="1">
        <f t="array" ref="H48">_xll.DBR($C$46,$B48,H$47)</f>
        <v>Homepage</v>
      </c>
      <c r="K48" s="1"/>
    </row>
    <row r="49" spans="2:15" hidden="1" outlineLevel="1" x14ac:dyDescent="0.25">
      <c r="B49" s="3" t="s">
        <v>36</v>
      </c>
      <c r="C49" s="3" t="str" cm="1">
        <f t="array" ref="C49">_xll.DBR($C$46,$B49,C$47)</f>
        <v>TM1MEDataEntryCAP</v>
      </c>
      <c r="D49" s="3" t="str" cm="1">
        <f t="array" ref="D49">_xll.DBR($C$46,$B49,D$47)</f>
        <v/>
      </c>
      <c r="E49" s="3" t="str" cm="1">
        <f t="array" ref="E49">_xll.DBR($C$46,$B49,E$47)</f>
        <v>TM1MEDataEntryWB</v>
      </c>
      <c r="F49" s="3" t="str" cm="1">
        <f t="array" ref="F49">_xll.DBR($C$46,$B49,F$47)</f>
        <v>PRIMUS\GEUS WEB\Monthly Estimates\</v>
      </c>
      <c r="G49" s="3" t="str" cm="1">
        <f t="array" ref="G49">_xll.DBR($C$46,$B49,G$47)</f>
        <v>TM1MEDataEntryWS</v>
      </c>
      <c r="H49" s="3" t="str" cm="1">
        <f t="array" ref="H49">_xll.DBR($C$46,$B49,H$47)</f>
        <v/>
      </c>
      <c r="K49" s="1"/>
    </row>
    <row r="50" spans="2:15" hidden="1" outlineLevel="1" x14ac:dyDescent="0.25">
      <c r="B50" s="3" t="s">
        <v>37</v>
      </c>
      <c r="C50" s="3" t="str" cm="1">
        <f t="array" ref="C50">_xll.DBR($C$46,$B50,C$47)</f>
        <v>TM1MEOSDataEntryCAP</v>
      </c>
      <c r="D50" s="3" t="str" cm="1">
        <f t="array" ref="D50">_xll.DBR($C$46,$B50,D$47)</f>
        <v>Operating Statement</v>
      </c>
      <c r="E50" s="3" t="str" cm="1">
        <f t="array" ref="E50">_xll.DBR($C$46,$B50,E$47)</f>
        <v>TM1MEOSDataEntryWB</v>
      </c>
      <c r="F50" s="3" t="str" cm="1">
        <f t="array" ref="F50">_xll.DBR($C$46,$B50,F$47)</f>
        <v>PRIMUS\GEUS WEB\Monthly Estimates\Monthly Estimates - Operating Statement Data Entry.xlsx</v>
      </c>
      <c r="G50" s="3" t="str" cm="1">
        <f t="array" ref="G50">_xll.DBR($C$46,$B50,G$47)</f>
        <v>TM1MEOSDataEntryWS</v>
      </c>
      <c r="H50" s="3" t="str" cm="1">
        <f t="array" ref="H50">_xll.DBR($C$46,$B50,H$47)</f>
        <v>operating</v>
      </c>
      <c r="K50" s="1"/>
    </row>
    <row r="51" spans="2:15" hidden="1" outlineLevel="1" x14ac:dyDescent="0.25">
      <c r="B51" s="3" t="s">
        <v>38</v>
      </c>
      <c r="C51" s="3" t="str" cm="1">
        <f t="array" ref="C51">_xll.DBR($C$46,$B51,C$47)</f>
        <v>TM1MEBSDataEntryCAP</v>
      </c>
      <c r="D51" s="3" t="str" cm="1">
        <f t="array" ref="D51">_xll.DBR($C$46,$B51,D$47)</f>
        <v>Balance Sheet</v>
      </c>
      <c r="E51" s="3" t="str" cm="1">
        <f t="array" ref="E51">_xll.DBR($C$46,$B51,E$47)</f>
        <v>TM1MEBSDataEntryWB</v>
      </c>
      <c r="F51" s="3" t="str" cm="1">
        <f t="array" ref="F51">_xll.DBR($C$46,$B51,F$47)</f>
        <v>PRIMUS\GEUS WEB\Monthly Estimates\Monthly Estimates - Balance Sheet Data Entry.xlsx</v>
      </c>
      <c r="G51" s="3" t="str" cm="1">
        <f t="array" ref="G51">_xll.DBR($C$46,$B51,G$47)</f>
        <v>TM1MEBSDataEntryWS</v>
      </c>
      <c r="H51" s="3" t="str" cm="1">
        <f t="array" ref="H51">_xll.DBR($C$46,$B51,H$47)</f>
        <v>balance sheet</v>
      </c>
      <c r="K51" s="1"/>
    </row>
    <row r="52" spans="2:15" hidden="1" outlineLevel="1" x14ac:dyDescent="0.25">
      <c r="B52" s="3" t="s">
        <v>39</v>
      </c>
      <c r="C52" s="3" t="str" cm="1">
        <f t="array" ref="C52">_xll.DBR($C$46,$B52,C$47)</f>
        <v>TM1MECCMapCAP</v>
      </c>
      <c r="D52" s="3" t="str" cm="1">
        <f t="array" ref="D52">_xll.DBR($C$46,$B52,D$47)</f>
        <v>Cost Centre Mapping</v>
      </c>
      <c r="E52" s="3" t="str" cm="1">
        <f t="array" ref="E52">_xll.DBR($C$46,$B52,E$47)</f>
        <v>TM1MECCMapWB</v>
      </c>
      <c r="F52" s="3" t="str" cm="1">
        <f t="array" ref="F52">_xll.DBR($C$46,$B52,F$47)</f>
        <v>PRIMUS\GEUS WEB\Monthly Estimates\Monthly Estimates - Cost Centre Mapping.xlsx</v>
      </c>
      <c r="G52" s="3" t="str" cm="1">
        <f t="array" ref="G52">_xll.DBR($C$46,$B52,G$47)</f>
        <v>TM1MECCMapWS</v>
      </c>
      <c r="H52" s="3" t="str" cm="1">
        <f t="array" ref="H52">_xll.DBR($C$46,$B52,H$47)</f>
        <v>mapping</v>
      </c>
      <c r="K52" s="1"/>
    </row>
    <row r="53" spans="2:15" hidden="1" outlineLevel="1" x14ac:dyDescent="0.25">
      <c r="B53" s="3" t="s">
        <v>40</v>
      </c>
      <c r="C53" s="3" t="str" cm="1">
        <f t="array" ref="C53">_xll.DBR($C$46,$B53,C$47)</f>
        <v>TM1MEGLMapCAP</v>
      </c>
      <c r="D53" s="3" t="str" cm="1">
        <f t="array" ref="D53">_xll.DBR($C$46,$B53,D$47)</f>
        <v>GL Code Mapping</v>
      </c>
      <c r="E53" s="3" t="str" cm="1">
        <f t="array" ref="E53">_xll.DBR($C$46,$B53,E$47)</f>
        <v>TM1MEGLMapWB</v>
      </c>
      <c r="F53" s="3" t="str" cm="1">
        <f t="array" ref="F53">_xll.DBR($C$46,$B53,F$47)</f>
        <v>PRIMUS\GEUS WEB\Monthly Estimates\Monthly Estimates - GL Mapping.xlsx</v>
      </c>
      <c r="G53" s="3" t="str" cm="1">
        <f t="array" ref="G53">_xll.DBR($C$46,$B53,G$47)</f>
        <v>TM1MEGLMapWS</v>
      </c>
      <c r="H53" s="3" t="str" cm="1">
        <f t="array" ref="H53">_xll.DBR($C$46,$B53,H$47)</f>
        <v>mapping</v>
      </c>
      <c r="K53" s="1"/>
    </row>
    <row r="54" spans="2:15" hidden="1" outlineLevel="1" x14ac:dyDescent="0.25">
      <c r="B54" s="3" t="s">
        <v>41</v>
      </c>
      <c r="C54" s="3" t="str" cm="1">
        <f t="array" ref="C54">_xll.DBR($C$46,$B54,C$47)</f>
        <v>TM1MESummaryCAP</v>
      </c>
      <c r="D54" s="3" t="str" cm="1">
        <f t="array" ref="D54">_xll.DBR($C$46,$B54,D$47)</f>
        <v>Program Summary</v>
      </c>
      <c r="E54" s="3" t="str" cm="1">
        <f t="array" ref="E54">_xll.DBR($C$46,$B54,E$47)</f>
        <v>TM1MESummaryWB</v>
      </c>
      <c r="F54" s="3" t="str" cm="1">
        <f t="array" ref="F54">_xll.DBR($C$46,$B54,F$47)</f>
        <v>PRIMUS\GEUS WEB\Monthly Estimates\Monthly Estimates - Program Summary.xlsx</v>
      </c>
      <c r="G54" s="3" t="str" cm="1">
        <f t="array" ref="G54">_xll.DBR($C$46,$B54,G$47)</f>
        <v>TM1MESummaryWS</v>
      </c>
      <c r="H54" s="3" t="str" cm="1">
        <f t="array" ref="H54">_xll.DBR($C$46,$B54,H$47)</f>
        <v>summary</v>
      </c>
      <c r="K54" s="1"/>
    </row>
    <row r="55" spans="2:15" hidden="1" outlineLevel="1" x14ac:dyDescent="0.25">
      <c r="B55" s="3" t="s">
        <v>71</v>
      </c>
      <c r="C55" s="3" t="str" cm="1">
        <f t="array" ref="C55">_xll.DBR($C$46,$B55,C$47)</f>
        <v>TM1AdminRDSAccTempCAP</v>
      </c>
      <c r="D55" s="3" t="str" cm="1">
        <f t="array" ref="D55">_xll.DBR($C$46,$B55,D$47)</f>
        <v>RDS - Account Template</v>
      </c>
      <c r="E55" s="3" t="str" cm="1">
        <f t="array" ref="E55">_xll.DBR($C$46,$B55,E$47)</f>
        <v>TM1AdminRDSAccTempWB</v>
      </c>
      <c r="F55" s="3" t="str" cm="1">
        <f t="array" ref="F55">_xll.DBR($C$46,$B55,F$47)</f>
        <v>PRIMUS\GEUS WEB\Administration\Reference Data Set\sys_Admin - RDS - Account Template.xlsx</v>
      </c>
      <c r="G55" s="3" t="str" cm="1">
        <f t="array" ref="G55">_xll.DBR($C$46,$B55,G$47)</f>
        <v>TM1AdminRDSAccTempWS</v>
      </c>
      <c r="H55" s="3" t="str" cm="1">
        <f t="array" ref="H55">_xll.DBR($C$46,$B55,H$47)</f>
        <v>RDS</v>
      </c>
      <c r="K55" s="1"/>
    </row>
    <row r="56" spans="2:15" hidden="1" outlineLevel="1" x14ac:dyDescent="0.25">
      <c r="B56" s="3" t="s">
        <v>72</v>
      </c>
      <c r="C56" s="3" t="str" cm="1">
        <f t="array" ref="C56">_xll.DBR($C$46,$B56,C$47)</f>
        <v>TM1MEAssignProgCAP</v>
      </c>
      <c r="D56" s="3" t="str" cm="1">
        <f t="array" ref="D56">_xll.DBR($C$46,$B56,D$47)</f>
        <v>Assign Acc Temp To Program</v>
      </c>
      <c r="E56" s="3" t="str" cm="1">
        <f t="array" ref="E56">_xll.DBR($C$46,$B56,E$47)</f>
        <v>TM1MEAssignProgWB</v>
      </c>
      <c r="F56" s="3" t="str" cm="1">
        <f t="array" ref="F56">_xll.DBR($C$46,$B56,F$47)</f>
        <v>PRIMUS\GEUS WEB\Monthly Estimates\Monthly Estimates - Assign Account Template To Program.xlsx</v>
      </c>
      <c r="G56" s="3" t="str" cm="1">
        <f t="array" ref="G56">_xll.DBR($C$46,$B56,G$47)</f>
        <v>TM1MEAssignProgWS</v>
      </c>
      <c r="H56" s="3" t="str" cm="1">
        <f t="array" ref="H56">_xll.DBR($C$46,$B56,H$47)</f>
        <v>assign</v>
      </c>
      <c r="K56" s="1"/>
    </row>
    <row r="57" spans="2:15" hidden="1" outlineLevel="1" x14ac:dyDescent="0.25">
      <c r="K57" s="1"/>
    </row>
    <row r="58" spans="2:15" hidden="1" outlineLevel="1" x14ac:dyDescent="0.25">
      <c r="K58" s="1"/>
    </row>
    <row r="59" spans="2:15" hidden="1" outlineLevel="1" x14ac:dyDescent="0.25">
      <c r="K59" s="1"/>
    </row>
    <row r="60" spans="2:15" ht="34.5" customHeight="1" collapsed="1" x14ac:dyDescent="0.4">
      <c r="J60" s="10"/>
      <c r="K60" s="10"/>
      <c r="L60" s="10"/>
      <c r="M60" s="10"/>
      <c r="N60" s="10"/>
      <c r="O60" s="12" t="s">
        <v>47</v>
      </c>
    </row>
    <row r="61" spans="2:15" ht="4.5" customHeight="1" x14ac:dyDescent="0.25">
      <c r="K61" s="1"/>
      <c r="O61" s="11"/>
    </row>
    <row r="62" spans="2:15" ht="24.6" customHeight="1" x14ac:dyDescent="0.25">
      <c r="K62" s="1"/>
    </row>
    <row r="63" spans="2:15" ht="1.5" customHeight="1" x14ac:dyDescent="0.25">
      <c r="J63" s="10"/>
      <c r="K63" s="10"/>
      <c r="L63" s="10"/>
      <c r="M63" s="10"/>
      <c r="N63" s="10"/>
      <c r="O63" s="10"/>
    </row>
    <row r="64" spans="2:15" x14ac:dyDescent="0.25">
      <c r="K64" s="17" t="s">
        <v>69</v>
      </c>
    </row>
    <row r="65" spans="2:15" x14ac:dyDescent="0.25">
      <c r="K65" s="17" t="s">
        <v>75</v>
      </c>
    </row>
    <row r="66" spans="2:15" x14ac:dyDescent="0.25">
      <c r="K66" s="17" t="s">
        <v>67</v>
      </c>
    </row>
    <row r="67" spans="2:15" x14ac:dyDescent="0.25">
      <c r="K67" s="18" t="s">
        <v>54</v>
      </c>
    </row>
    <row r="68" spans="2:15" x14ac:dyDescent="0.25">
      <c r="K68" s="18" t="s">
        <v>55</v>
      </c>
    </row>
    <row r="69" spans="2:15" x14ac:dyDescent="0.25">
      <c r="K69" s="18" t="s">
        <v>56</v>
      </c>
    </row>
    <row r="70" spans="2:15" ht="5.0999999999999996" customHeight="1" x14ac:dyDescent="0.25">
      <c r="K70" s="1"/>
    </row>
    <row r="71" spans="2:15" x14ac:dyDescent="0.25">
      <c r="K71" s="1"/>
      <c r="L71" s="8" t="s">
        <v>46</v>
      </c>
    </row>
    <row r="72" spans="2:15" x14ac:dyDescent="0.25">
      <c r="K72" s="7" t="s">
        <v>43</v>
      </c>
      <c r="L72" s="9" t="str" cm="1">
        <f t="array" ref="L72">_xll.SUBNM(db_name&amp;":headline year","sys_all-n",$C$22)</f>
        <v>HL2025-2026</v>
      </c>
    </row>
    <row r="73" spans="2:15" x14ac:dyDescent="0.25">
      <c r="K73" s="7" t="s">
        <v>44</v>
      </c>
      <c r="L73" s="9" t="str" cm="1">
        <f t="array" ref="L73">_xll.SUBNM(db_name&amp;":scenario","sys_Budget Round","current")</f>
        <v>current</v>
      </c>
    </row>
    <row r="74" spans="2:15" ht="15.75" thickBot="1" x14ac:dyDescent="0.3">
      <c r="K74" s="7" t="s">
        <v>45</v>
      </c>
      <c r="L74" s="23" t="e" cm="1">
        <f t="array" ref="L74">_xll.SUBNM(db_name&amp;":account template","sys_all-n",1,"code and description")</f>
        <v>#VALUE!</v>
      </c>
      <c r="O74" s="25" t="s">
        <v>68</v>
      </c>
    </row>
    <row r="75" spans="2:15" ht="15.75" thickBot="1" x14ac:dyDescent="0.3">
      <c r="K75" s="7" t="s">
        <v>74</v>
      </c>
      <c r="L75" s="24" t="e" cm="1">
        <f t="array" ref="L75">_xll.DBRW($C$42,$L$74,"ME Title")</f>
        <v>#VALUE!</v>
      </c>
      <c r="O75" s="18"/>
    </row>
    <row r="76" spans="2:15" ht="5.0999999999999996" customHeight="1" x14ac:dyDescent="0.25"/>
    <row r="77" spans="2:15" ht="30" x14ac:dyDescent="0.25">
      <c r="B77" s="13" t="s">
        <v>65</v>
      </c>
      <c r="C77" s="13" t="s">
        <v>66</v>
      </c>
      <c r="D77" s="14" t="s">
        <v>60</v>
      </c>
      <c r="E77" s="13" t="s">
        <v>61</v>
      </c>
      <c r="F77" s="13" t="s">
        <v>62</v>
      </c>
      <c r="G77" s="13" t="s">
        <v>63</v>
      </c>
      <c r="H77" s="13" t="s">
        <v>64</v>
      </c>
      <c r="K77" s="13" t="s">
        <v>48</v>
      </c>
      <c r="L77" s="14" t="s">
        <v>49</v>
      </c>
      <c r="M77" s="13" t="s">
        <v>50</v>
      </c>
      <c r="N77" s="13" t="s">
        <v>51</v>
      </c>
      <c r="O77" s="13" t="s">
        <v>53</v>
      </c>
    </row>
    <row r="78" spans="2:15" x14ac:dyDescent="0.25">
      <c r="B78" s="2" t="str" cm="1">
        <f t="array" ref="B78">_xll.DIMNM(db_name&amp;":account",_xll.DIMIX(db_name&amp;":account",$K78))</f>
        <v>account template</v>
      </c>
      <c r="C78" s="2" t="str">
        <f>IF($B$78="account template","Please select a valid account","")</f>
        <v>Please select a valid account</v>
      </c>
      <c r="D78" s="2" t="str" cm="1">
        <f t="array" ref="D78">_xll.DBR($C$41,$L78,"movement account required")</f>
        <v>Y</v>
      </c>
      <c r="E78" s="2" t="str" cm="1">
        <f t="array" ref="E78">_xll.DIMNM(db_name&amp;":movement account",_xll.DIMIX(db_name&amp;":movement account",$M78))</f>
        <v>7593</v>
      </c>
      <c r="F78" s="2" t="str">
        <f>IF(AND($D78="Y",$E78="-"),"Please select a valid movement account code","")</f>
        <v/>
      </c>
      <c r="G78" s="2" t="str" cm="1">
        <f t="array" ref="G78">IF($D78="Y",_xll.DBR($C$43,$M78,"assumed related entity"),_xll.DBR($C$41,$L78,"assumed related entity"))</f>
        <v>49800</v>
      </c>
      <c r="H78" s="2" t="str">
        <f>IF($G78="","","Selected account has an assumed related entity of " &amp;$G78)</f>
        <v>Selected account has an assumed related entity of 49800</v>
      </c>
      <c r="K78" s="21" t="str" cm="1">
        <f t="array" ref="K78">_xll.SUBNM(db_name&amp;":account","","account template","code and description")</f>
        <v>account template -</v>
      </c>
      <c r="L78" s="21" t="str" cm="1">
        <f t="array" ref="L78">_xll.SUBNM(db_name&amp;":account_bs","","4100001","code and description")</f>
        <v>4100001 - Accumulated results</v>
      </c>
      <c r="M78" s="21" t="str" cm="1">
        <f t="array" ref="M78">_xll.SUBNM(db_name&amp;":movement account","","7593","code and description")</f>
        <v>7593 - Administered Appropriations from the OPA (Admin Only) - agreed</v>
      </c>
      <c r="N78" s="21" t="str" cm="1">
        <f t="array" ref="N78">_xll.SUBNM(db_name&amp;":related entity","","-","code and description")</f>
        <v>No_interagency</v>
      </c>
      <c r="O78" s="22" t="e" cm="1">
        <f t="array" ref="O78">_xll.DBRW($C$28,$L$72,$L$73,$L$74,$M78,$C$35,$K78,$C$36,$L78,$N78,$C$38,$C$37)</f>
        <v>#VALUE!</v>
      </c>
    </row>
    <row r="79" spans="2:15" x14ac:dyDescent="0.25">
      <c r="K79" s="19" t="str">
        <f>$C$78</f>
        <v>Please select a valid account</v>
      </c>
      <c r="M79" s="19" t="str">
        <f>$F78</f>
        <v/>
      </c>
      <c r="N79" s="19" t="str">
        <f>$H$78</f>
        <v>Selected account has an assumed related entity of 49800</v>
      </c>
    </row>
    <row r="80" spans="2:15" ht="5.0999999999999996" customHeight="1" x14ac:dyDescent="0.25"/>
    <row r="81" spans="1:15" x14ac:dyDescent="0.25">
      <c r="K81" s="13" t="s">
        <v>48</v>
      </c>
      <c r="L81" s="14" t="s">
        <v>49</v>
      </c>
      <c r="M81" s="13" t="s">
        <v>50</v>
      </c>
      <c r="N81" s="13" t="s">
        <v>51</v>
      </c>
      <c r="O81" s="13" t="s">
        <v>53</v>
      </c>
    </row>
    <row r="82" spans="1:15" x14ac:dyDescent="0.25">
      <c r="A82" t="e" cm="1">
        <f t="array" aca="1" ref="A82" ca="1">IF(_xll.TM1RPTELISCONSOLIDATED($N$82,$N82),IF(_xll.TM1RPTELLEV($N$82,$N82)&lt;=3,_xll.TM1RPTELLEV($N$82,$N82),"D"),"N")</f>
        <v>#VALUE!</v>
      </c>
      <c r="K82" s="26" t="str" cm="1">
        <f t="array" aca="1" ref="K82" ca="1">_xll.TM1RPTROW($C$27,db_name&amp;":account","","","code and description",0,$C$29)</f>
        <v>pending__Monthly Estimates - Account Template.xlsx:mapping:TM1RPTDATARNG:1</v>
      </c>
      <c r="L82" s="26" t="str" cm="1">
        <f t="array" aca="1" ref="L82" ca="1">_xll.TM1RPTROW($C$27,db_name&amp;":account_bs","","","code and description",0,$C$30)</f>
        <v>pending__Monthly Estimates - Account Template.xlsx:mapping:TM1RPTDATARNG:1</v>
      </c>
      <c r="M82" s="26" t="str" cm="1">
        <f t="array" aca="1" ref="M82" ca="1">_xll.TM1RPTROW($C$27,db_name&amp;":movement account","","","code and description",0,$C$31)</f>
        <v>pending__Monthly Estimates - Account Template.xlsx:mapping:TM1RPTDATARNG:1</v>
      </c>
      <c r="N82" s="26" t="str" cm="1">
        <f t="array" aca="1" ref="N82" ca="1">_xll.TM1RPTROW($C$27,db_name&amp;":related entity","","","code and description",0,$C$32)</f>
        <v>pending__Monthly Estimates - Account Template.xlsx:mapping:TM1RPTDATARNG:1</v>
      </c>
      <c r="O82" s="20" t="e" cm="1">
        <f t="array" aca="1" ref="O82" ca="1">_xll.DBRW($C$27,$L$72,$L$73,$L$74,$M82,$C$35,$K82,$C$36,$L82,$N82,$C$38,$C$37)</f>
        <v>#VALUE!</v>
      </c>
    </row>
  </sheetData>
  <sheetProtection sheet="1" objects="1" scenarios="1"/>
  <mergeCells count="7">
    <mergeCell ref="B11:C11"/>
    <mergeCell ref="B15:C15"/>
    <mergeCell ref="B20:C20"/>
    <mergeCell ref="B26:C26"/>
    <mergeCell ref="B45:C45"/>
    <mergeCell ref="B34:C34"/>
    <mergeCell ref="B40:C40"/>
  </mergeCells>
  <conditionalFormatting sqref="K7:O7">
    <cfRule type="cellIs" dxfId="1" priority="18" operator="notEqual">
      <formula>"zxzxz"</formula>
    </cfRule>
  </conditionalFormatting>
  <conditionalFormatting sqref="K82:O82">
    <cfRule type="cellIs" dxfId="0" priority="1" operator="notEqual">
      <formula>"zxzxz"</formula>
    </cfRule>
  </conditionalFormatting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autoPict="0" r:id="rId5">
            <anchor moveWithCells="1" sizeWithCells="1">
              <from>
                <xdr:col>11</xdr:col>
                <xdr:colOff>381000</xdr:colOff>
                <xdr:row>61</xdr:row>
                <xdr:rowOff>0</xdr:rowOff>
              </from>
              <to>
                <xdr:col>11</xdr:col>
                <xdr:colOff>1885950</xdr:colOff>
                <xdr:row>61</xdr:row>
                <xdr:rowOff>247650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11</xdr:col>
                <xdr:colOff>1914525</xdr:colOff>
                <xdr:row>61</xdr:row>
                <xdr:rowOff>0</xdr:rowOff>
              </from>
              <to>
                <xdr:col>11</xdr:col>
                <xdr:colOff>2552700</xdr:colOff>
                <xdr:row>61</xdr:row>
                <xdr:rowOff>247650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autoPict="0" r:id="rId9">
            <anchor moveWithCells="1" sizeWithCells="1">
              <from>
                <xdr:col>10</xdr:col>
                <xdr:colOff>0</xdr:colOff>
                <xdr:row>61</xdr:row>
                <xdr:rowOff>0</xdr:rowOff>
              </from>
              <to>
                <xdr:col>10</xdr:col>
                <xdr:colOff>638175</xdr:colOff>
                <xdr:row>61</xdr:row>
                <xdr:rowOff>247650</xdr:rowOff>
              </to>
            </anchor>
          </controlPr>
        </control>
      </mc:Choice>
      <mc:Fallback>
        <control shapeId="1025" r:id="rId8" name="TIButton1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autoPict="0" r:id="rId11">
            <anchor moveWithCells="1" sizeWithCells="1">
              <from>
                <xdr:col>10</xdr:col>
                <xdr:colOff>676275</xdr:colOff>
                <xdr:row>61</xdr:row>
                <xdr:rowOff>0</xdr:rowOff>
              </from>
              <to>
                <xdr:col>10</xdr:col>
                <xdr:colOff>2105025</xdr:colOff>
                <xdr:row>61</xdr:row>
                <xdr:rowOff>247650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8" r:id="rId12" name="TIButton4">
          <controlPr defaultSize="0" print="0" autoLine="0" autoPict="0" r:id="rId13">
            <anchor moveWithCells="1" sizeWithCells="1">
              <from>
                <xdr:col>10</xdr:col>
                <xdr:colOff>2124075</xdr:colOff>
                <xdr:row>61</xdr:row>
                <xdr:rowOff>0</xdr:rowOff>
              </from>
              <to>
                <xdr:col>11</xdr:col>
                <xdr:colOff>361950</xdr:colOff>
                <xdr:row>61</xdr:row>
                <xdr:rowOff>247650</xdr:rowOff>
              </to>
            </anchor>
          </controlPr>
        </control>
      </mc:Choice>
      <mc:Fallback>
        <control shapeId="1028" r:id="rId12" name="TI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mapping</vt:lpstr>
      <vt:lpstr>db_name</vt:lpstr>
      <vt:lpstr>Freeze_Here</vt:lpstr>
      <vt:lpstr>psHLYear</vt:lpstr>
      <vt:lpstr>psScenario</vt:lpstr>
      <vt:lpstr>TM1AdminRDSAccTempCAP</vt:lpstr>
      <vt:lpstr>TM1AdminRDSAccTempWB</vt:lpstr>
      <vt:lpstr>TM1AdminRDSAccTempWS</vt:lpstr>
      <vt:lpstr>TM1MEAssignProgCAP</vt:lpstr>
      <vt:lpstr>TM1MEAssignProgWB</vt:lpstr>
      <vt:lpstr>TM1MEAssignProgWS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TM1MESummaryCAP</vt:lpstr>
      <vt:lpstr>TM1MESummaryWB</vt:lpstr>
      <vt:lpstr>TM1MESummaryWS</vt:lpstr>
      <vt:lpstr>mapping!TM1RPTDATARNG1</vt:lpstr>
      <vt:lpstr>mapping!TM1RPTFMTIDCOL</vt:lpstr>
      <vt:lpstr>mapping!TM1RPTFMTRNG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Khristian Gimena</cp:lastModifiedBy>
  <dcterms:created xsi:type="dcterms:W3CDTF">2019-04-20T20:55:48Z</dcterms:created>
  <dcterms:modified xsi:type="dcterms:W3CDTF">2025-06-04T08:12:06Z</dcterms:modified>
</cp:coreProperties>
</file>