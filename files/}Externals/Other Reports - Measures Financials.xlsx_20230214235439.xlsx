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1.bin" ContentType="application/vnd.ms-office.activeX"/>
  <Override PartName="/xl/activeX/activeX3.xml" ContentType="application/vnd.ms-office.activeX+xml"/>
  <Override PartName="/xl/activeX/activeX2.bin" ContentType="application/vnd.ms-office.activeX"/>
  <Override PartName="/xl/activeX/activeX4.xml" ContentType="application/vnd.ms-office.activeX+xml"/>
  <Override PartName="/xl/activeX/activeX3.bin" ContentType="application/vnd.ms-office.activeX"/>
  <Override PartName="/xl/activeX/activeX5.xml" ContentType="application/vnd.ms-office.activeX+xml"/>
  <Override PartName="/xl/activeX/activeX4.bin" ContentType="application/vnd.ms-office.activeX"/>
  <Override PartName="/xl/activeX/activeX6.xml" ContentType="application/vnd.ms-office.activeX+xml"/>
  <Override PartName="/xl/activeX/activeX5.bin" ContentType="application/vnd.ms-office.activeX"/>
  <Override PartName="/xl/activeX/activeX7.xml" ContentType="application/vnd.ms-office.activeX+xml"/>
  <Override PartName="/xl/activeX/activeX6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he\Test_Repository\files\}Externals\"/>
    </mc:Choice>
  </mc:AlternateContent>
  <xr:revisionPtr revIDLastSave="0" documentId="8_{61B6A7A4-6223-4C3E-AE63-154FBA71E05B}" xr6:coauthVersionLast="47" xr6:coauthVersionMax="47" xr10:uidLastSave="{00000000-0000-0000-0000-000000000000}"/>
  <bookViews>
    <workbookView xWindow="29580" yWindow="780" windowWidth="21600" windowHeight="11385" xr2:uid="{9BDCBE56-3DD6-4B92-8391-6C2C8595A339}"/>
  </bookViews>
  <sheets>
    <sheet name="measure" sheetId="1" r:id="rId1"/>
  </sheets>
  <definedNames>
    <definedName name="db_name">measure!$C$12</definedName>
    <definedName name="psApp">measure!$C$29</definedName>
    <definedName name="psHLYear">measure!$K$76</definedName>
    <definedName name="psScenario">measure!$K$77</definedName>
    <definedName name="psUser">measure!$C$14</definedName>
    <definedName name="TM1HomeAdminCAP">measure!$D$34</definedName>
    <definedName name="TM1HomeAdminWB">measure!$F$34</definedName>
    <definedName name="TM1HomeAdminWS">measure!$H$34</definedName>
    <definedName name="TM1HomeAECAP">measure!$D$32</definedName>
    <definedName name="TM1HomeAEWB">measure!$F$32</definedName>
    <definedName name="TM1HomeAEWS">measure!$H$32</definedName>
    <definedName name="TM1HomeCAP">measure!$D$31</definedName>
    <definedName name="TM1HomeRepAnalyticalCAP">measure!$D$36</definedName>
    <definedName name="TM1HomeRepAnalyticalWB">measure!$F$36</definedName>
    <definedName name="TM1HomeRepAnalyticalWS">measure!$H$36</definedName>
    <definedName name="TM1HomeRepCAP">measure!$D$33</definedName>
    <definedName name="TM1HomeRepOtherCAP">measure!$D$35</definedName>
    <definedName name="TM1HomeRepOtherWB">measure!$F$35</definedName>
    <definedName name="TM1HomeRepOtherWS">measure!$H$35</definedName>
    <definedName name="TM1HomeRepWB">measure!$F$33</definedName>
    <definedName name="TM1HomeRepWS">measure!$H$33</definedName>
    <definedName name="TM1HomeWB">measure!$F$31</definedName>
    <definedName name="TM1HomeWS">measure!$H$31</definedName>
    <definedName name="TM1OthRprMeasRecoCAP">measure!$D$41</definedName>
    <definedName name="TM1OthRprMeasRecoWB">measure!$F$41</definedName>
    <definedName name="TM1OthRprMeasRecoWS">measure!$H$41</definedName>
    <definedName name="TM1OthRprTBalAccCAP">measure!$D$38</definedName>
    <definedName name="TM1OthRprTBalAccWB">measure!$F$38</definedName>
    <definedName name="TM1OthRprTBalAccWS">measure!$H$38</definedName>
    <definedName name="TM1OthRprTBalCAP">measure!$D$37</definedName>
    <definedName name="TM1OthRprTBalDetailCAP">measure!$D$39</definedName>
    <definedName name="TM1OthRprTBalDetailWB">measure!$F$39</definedName>
    <definedName name="TM1OthRprTBalDetailWS">measure!$H$39</definedName>
    <definedName name="TM1OthRprTBalDrillCAP">measure!$D$40</definedName>
    <definedName name="TM1OthRprTBalDrillWB">measure!$F$40</definedName>
    <definedName name="TM1OthRprTBalDrillWS">measure!$H$40</definedName>
    <definedName name="TM1OthRprTBalWB">measure!$F$37</definedName>
    <definedName name="TM1OthRprTBalWS">measure!$H$37</definedName>
    <definedName name="TM1REBUILDOPTION">1</definedName>
    <definedName name="TM1RPTDATARNG1" localSheetId="0">measure!$89:$89</definedName>
    <definedName name="TM1RPTFMTIDCOL" localSheetId="0">measure!$A$1:$A$8</definedName>
    <definedName name="TM1RPTFMTRNG" localSheetId="0">measure!$J$1:$AB$8</definedName>
    <definedName name="TM1ViewMeas01HeaderCAP">measure!$D$42</definedName>
    <definedName name="TM1ViewMeas01HeaderWB">measure!$F$42</definedName>
    <definedName name="TM1ViewMeas01HeaderWS">measure!$H$42</definedName>
    <definedName name="TM1ViewMeas03AdjCAP">measure!$D$43</definedName>
    <definedName name="TM1ViewMeas03AdjWB">measure!$F$43</definedName>
    <definedName name="TM1ViewMeas03AdjWS">measure!$H$43</definedName>
  </definedNames>
  <calcPr calcId="18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2" i="1" l="1" a="1"/>
  <c r="C62" i="1"/>
  <c r="N78" i="1" a="1"/>
  <c r="N78" i="1"/>
  <c r="C50" i="1"/>
  <c r="C48" i="1"/>
  <c r="C20" i="1" a="1"/>
  <c r="C20" i="1"/>
  <c r="C21" i="1" a="1"/>
  <c r="C21" i="1"/>
  <c r="K76" i="1"/>
  <c r="C22" i="1" a="1"/>
  <c r="C22" i="1"/>
  <c r="K77" i="1"/>
  <c r="K78" i="1"/>
  <c r="K79" i="1"/>
  <c r="C56" i="1"/>
  <c r="C51" i="1"/>
  <c r="C54" i="1"/>
  <c r="C52" i="1"/>
  <c r="C55" i="1"/>
  <c r="K83" i="1"/>
  <c r="K80" i="1"/>
  <c r="K82" i="1"/>
  <c r="K81" i="1"/>
  <c r="C53" i="1"/>
  <c r="N79" i="1" a="1"/>
  <c r="N79" i="1"/>
  <c r="M48" i="1"/>
  <c r="AB50" i="1" a="1"/>
  <c r="AB50" i="1"/>
  <c r="AA50" i="1" a="1"/>
  <c r="AA50" i="1"/>
  <c r="Z50" i="1" a="1"/>
  <c r="Z50" i="1"/>
  <c r="Y50" i="1" a="1"/>
  <c r="Y50" i="1"/>
  <c r="X50" i="1" a="1"/>
  <c r="X50" i="1"/>
  <c r="W50" i="1" a="1"/>
  <c r="W50" i="1"/>
  <c r="V50" i="1" a="1"/>
  <c r="V50" i="1"/>
  <c r="U50" i="1" a="1"/>
  <c r="U50" i="1"/>
  <c r="T50" i="1" a="1"/>
  <c r="T50" i="1"/>
  <c r="S50" i="1" a="1"/>
  <c r="S50" i="1"/>
  <c r="R50" i="1" a="1"/>
  <c r="R50" i="1"/>
  <c r="Q50" i="1" a="1"/>
  <c r="Q50" i="1"/>
  <c r="P50" i="1" a="1"/>
  <c r="P50" i="1"/>
  <c r="O50" i="1" a="1"/>
  <c r="O50" i="1"/>
  <c r="N50" i="1" a="1"/>
  <c r="N50" i="1"/>
  <c r="N76" i="1" a="1"/>
  <c r="N76" i="1"/>
  <c r="K84" i="1"/>
  <c r="E59" i="1"/>
  <c r="C59" i="1"/>
  <c r="K89" i="1" a="1"/>
  <c r="K89" i="1"/>
  <c r="N77" i="1" a="1"/>
  <c r="N77" i="1"/>
  <c r="C57" i="1"/>
  <c r="J89" i="1" a="1"/>
  <c r="J89" i="1"/>
  <c r="C49" i="1"/>
  <c r="C28" i="1"/>
  <c r="AB89" i="1" a="1"/>
  <c r="AB89" i="1"/>
  <c r="AA89" i="1" a="1"/>
  <c r="AA89" i="1"/>
  <c r="Z89" i="1" a="1"/>
  <c r="Z89" i="1"/>
  <c r="Y89" i="1" a="1"/>
  <c r="Y89" i="1"/>
  <c r="X89" i="1" a="1"/>
  <c r="X89" i="1"/>
  <c r="W89" i="1" a="1"/>
  <c r="W89" i="1"/>
  <c r="V89" i="1" a="1"/>
  <c r="V89" i="1"/>
  <c r="U89" i="1" a="1"/>
  <c r="U89" i="1"/>
  <c r="T89" i="1" a="1"/>
  <c r="T89" i="1"/>
  <c r="S89" i="1" a="1"/>
  <c r="S89" i="1"/>
  <c r="R89" i="1" a="1"/>
  <c r="R89" i="1"/>
  <c r="Q89" i="1" a="1"/>
  <c r="Q89" i="1"/>
  <c r="P89" i="1" a="1"/>
  <c r="P89" i="1"/>
  <c r="O89" i="1" a="1"/>
  <c r="O89" i="1"/>
  <c r="N89" i="1" a="1"/>
  <c r="N89" i="1"/>
  <c r="G89" i="1" a="1"/>
  <c r="G89" i="1"/>
  <c r="F89" i="1" a="1"/>
  <c r="F89" i="1"/>
  <c r="E89" i="1" a="1"/>
  <c r="E89" i="1"/>
  <c r="A89" i="1" a="1"/>
  <c r="A89" i="1"/>
  <c r="C65" i="1" a="1"/>
  <c r="C65" i="1"/>
  <c r="H43" i="1" a="1"/>
  <c r="H43" i="1"/>
  <c r="G43" i="1" a="1"/>
  <c r="G43" i="1"/>
  <c r="F43" i="1" a="1"/>
  <c r="F43" i="1"/>
  <c r="E43" i="1" a="1"/>
  <c r="E43" i="1"/>
  <c r="D43" i="1" a="1"/>
  <c r="D43" i="1"/>
  <c r="C43" i="1" a="1"/>
  <c r="C43" i="1"/>
  <c r="H42" i="1" a="1"/>
  <c r="H42" i="1"/>
  <c r="G42" i="1" a="1"/>
  <c r="G42" i="1"/>
  <c r="F42" i="1" a="1"/>
  <c r="F42" i="1"/>
  <c r="E42" i="1" a="1"/>
  <c r="E42" i="1"/>
  <c r="D42" i="1" a="1"/>
  <c r="D42" i="1"/>
  <c r="C42" i="1" a="1"/>
  <c r="C42" i="1"/>
  <c r="H41" i="1" a="1"/>
  <c r="H41" i="1"/>
  <c r="G41" i="1" a="1"/>
  <c r="G41" i="1"/>
  <c r="F41" i="1" a="1"/>
  <c r="F41" i="1"/>
  <c r="E41" i="1" a="1"/>
  <c r="E41" i="1"/>
  <c r="D41" i="1" a="1"/>
  <c r="D41" i="1"/>
  <c r="C41" i="1" a="1"/>
  <c r="C41" i="1"/>
  <c r="H40" i="1" a="1"/>
  <c r="H40" i="1"/>
  <c r="G40" i="1" a="1"/>
  <c r="G40" i="1"/>
  <c r="F40" i="1" a="1"/>
  <c r="F40" i="1"/>
  <c r="E40" i="1" a="1"/>
  <c r="E40" i="1"/>
  <c r="D40" i="1" a="1"/>
  <c r="D40" i="1"/>
  <c r="C40" i="1" a="1"/>
  <c r="C40" i="1"/>
  <c r="H39" i="1" a="1"/>
  <c r="H39" i="1"/>
  <c r="G39" i="1" a="1"/>
  <c r="G39" i="1"/>
  <c r="F39" i="1" a="1"/>
  <c r="F39" i="1"/>
  <c r="E39" i="1" a="1"/>
  <c r="E39" i="1"/>
  <c r="D39" i="1" a="1"/>
  <c r="D39" i="1"/>
  <c r="C39" i="1" a="1"/>
  <c r="C39" i="1"/>
  <c r="H38" i="1" a="1"/>
  <c r="H38" i="1"/>
  <c r="G38" i="1" a="1"/>
  <c r="G38" i="1"/>
  <c r="F38" i="1" a="1"/>
  <c r="F38" i="1"/>
  <c r="E38" i="1" a="1"/>
  <c r="E38" i="1"/>
  <c r="D38" i="1" a="1"/>
  <c r="D38" i="1"/>
  <c r="C38" i="1" a="1"/>
  <c r="C38" i="1"/>
  <c r="H37" i="1" a="1"/>
  <c r="H37" i="1"/>
  <c r="G37" i="1" a="1"/>
  <c r="G37" i="1"/>
  <c r="F37" i="1" a="1"/>
  <c r="F37" i="1"/>
  <c r="E37" i="1" a="1"/>
  <c r="E37" i="1"/>
  <c r="D37" i="1" a="1"/>
  <c r="D37" i="1"/>
  <c r="C37" i="1" a="1"/>
  <c r="C37" i="1"/>
  <c r="H36" i="1" a="1"/>
  <c r="H36" i="1"/>
  <c r="G36" i="1" a="1"/>
  <c r="G36" i="1"/>
  <c r="F36" i="1" a="1"/>
  <c r="F36" i="1"/>
  <c r="E36" i="1" a="1"/>
  <c r="E36" i="1"/>
  <c r="D36" i="1" a="1"/>
  <c r="D36" i="1"/>
  <c r="C36" i="1" a="1"/>
  <c r="C36" i="1"/>
  <c r="H35" i="1" a="1"/>
  <c r="H35" i="1"/>
  <c r="G35" i="1" a="1"/>
  <c r="G35" i="1"/>
  <c r="F35" i="1" a="1"/>
  <c r="F35" i="1"/>
  <c r="E35" i="1" a="1"/>
  <c r="E35" i="1"/>
  <c r="D35" i="1" a="1"/>
  <c r="D35" i="1"/>
  <c r="C35" i="1" a="1"/>
  <c r="C35" i="1"/>
  <c r="H34" i="1" a="1"/>
  <c r="H34" i="1"/>
  <c r="G34" i="1" a="1"/>
  <c r="G34" i="1"/>
  <c r="F34" i="1" a="1"/>
  <c r="F34" i="1"/>
  <c r="E34" i="1" a="1"/>
  <c r="E34" i="1"/>
  <c r="D34" i="1" a="1"/>
  <c r="D34" i="1"/>
  <c r="C34" i="1" a="1"/>
  <c r="C34" i="1"/>
  <c r="H33" i="1" a="1"/>
  <c r="H33" i="1"/>
  <c r="G33" i="1" a="1"/>
  <c r="G33" i="1"/>
  <c r="F33" i="1" a="1"/>
  <c r="F33" i="1"/>
  <c r="E33" i="1" a="1"/>
  <c r="E33" i="1"/>
  <c r="D33" i="1" a="1"/>
  <c r="D33" i="1"/>
  <c r="C33" i="1" a="1"/>
  <c r="C33" i="1"/>
  <c r="H32" i="1" a="1"/>
  <c r="H32" i="1"/>
  <c r="G32" i="1" a="1"/>
  <c r="G32" i="1"/>
  <c r="F32" i="1" a="1"/>
  <c r="F32" i="1"/>
  <c r="E32" i="1" a="1"/>
  <c r="E32" i="1"/>
  <c r="D32" i="1" a="1"/>
  <c r="D32" i="1"/>
  <c r="C32" i="1" a="1"/>
  <c r="C32" i="1"/>
  <c r="H31" i="1" a="1"/>
  <c r="H31" i="1"/>
  <c r="G31" i="1" a="1"/>
  <c r="G31" i="1"/>
  <c r="F31" i="1" a="1"/>
  <c r="F31" i="1"/>
  <c r="E31" i="1" a="1"/>
  <c r="E31" i="1"/>
  <c r="D31" i="1" a="1"/>
  <c r="D31" i="1"/>
  <c r="C31" i="1" a="1"/>
  <c r="C31" i="1"/>
  <c r="C25" i="1" a="1"/>
  <c r="C25" i="1"/>
  <c r="C24" i="1" a="1"/>
  <c r="C24" i="1"/>
  <c r="C23" i="1" a="1"/>
  <c r="C23" i="1"/>
  <c r="C13" i="1" a="1"/>
  <c r="C13" i="1"/>
  <c r="C14" i="1" a="1"/>
  <c r="C14" i="1"/>
  <c r="C16" i="1" a="1"/>
  <c r="C16" i="1"/>
  <c r="C15" i="1" a="1"/>
  <c r="C15" i="1"/>
  <c r="Q91" i="1"/>
  <c r="Q84" i="1"/>
  <c r="D59" i="1"/>
  <c r="S87" i="1"/>
  <c r="T87" i="1"/>
  <c r="U87" i="1"/>
  <c r="V87" i="1"/>
  <c r="W87" i="1"/>
  <c r="X87" i="1"/>
  <c r="Y87" i="1"/>
  <c r="Z87" i="1"/>
  <c r="AA87" i="1"/>
  <c r="AB87" i="1"/>
  <c r="M89" i="1"/>
  <c r="L89" i="1"/>
  <c r="R87" i="1"/>
  <c r="Q87" i="1"/>
  <c r="P87" i="1"/>
  <c r="O87" i="1"/>
  <c r="N87" i="1"/>
  <c r="C17" i="1"/>
  <c r="A5" i="1"/>
  <c r="A4" i="1"/>
  <c r="A3" i="1"/>
  <c r="A2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<sst xmlns="http://schemas.openxmlformats.org/spreadsheetml/2006/main" count="99" uniqueCount="90">
  <si>
    <t>headline year</t>
  </si>
  <si>
    <t>D</t>
  </si>
  <si>
    <t>N</t>
  </si>
  <si>
    <t>[Begin Format Range]</t>
  </si>
  <si>
    <t>[End Format Range]</t>
  </si>
  <si>
    <t>{TM1SORT( { EXCEPT( {TM1FILTERBYLEVEL( {TM1SUBSETALL( [measure code] )}, 0)}, { [measure code].[M00000] }) }, ASC)}</t>
  </si>
  <si>
    <t xml:space="preserve">Outcome </t>
  </si>
  <si>
    <t>Related Entity</t>
  </si>
  <si>
    <t>Function</t>
  </si>
  <si>
    <t>SPP</t>
  </si>
  <si>
    <t>Jurisdiction</t>
  </si>
  <si>
    <t>Reason</t>
  </si>
  <si>
    <t>Appropriation Type</t>
  </si>
  <si>
    <t>Database Variables</t>
  </si>
  <si>
    <t>Database Name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</si>
  <si>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</si>
  <si>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</si>
  <si>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</si>
  <si>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</si>
  <si>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</si>
  <si>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</si>
  <si>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</si>
  <si>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headline scenario</t>
  </si>
  <si>
    <t>archive year</t>
  </si>
  <si>
    <t>archive scenario</t>
  </si>
  <si>
    <t>current budget round</t>
  </si>
  <si>
    <t>sys_application</t>
  </si>
  <si>
    <t>Slice View</t>
  </si>
  <si>
    <t>Current Workbook</t>
  </si>
  <si>
    <t>Other Reports - Trial Balance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</si>
  <si>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</si>
  <si>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</si>
  <si>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</si>
  <si>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</si>
  <si>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</si>
  <si>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</si>
  <si>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</si>
  <si>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</si>
  <si>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Reports</t>
  </si>
  <si>
    <t>Homepage - Administration</t>
  </si>
  <si>
    <t>Homepage - Reports - Other</t>
  </si>
  <si>
    <t>Other Reports - Trial Balance Acc By Prog</t>
  </si>
  <si>
    <t>Other Reports - Trial Balance Detail</t>
  </si>
  <si>
    <t>Other Reports - Trial Balance Drill</t>
  </si>
  <si>
    <t>Other Reports - Measure Financials</t>
  </si>
  <si>
    <t>AE Adjustments</t>
  </si>
  <si>
    <t>Active Form View</t>
  </si>
  <si>
    <t>View Statement</t>
  </si>
  <si>
    <t>Measure Code</t>
  </si>
  <si>
    <t>Program</t>
  </si>
  <si>
    <t>Measure Code MDX</t>
  </si>
  <si>
    <t>Program MDX To Use</t>
  </si>
  <si>
    <t>Summary</t>
  </si>
  <si>
    <t>TO Use</t>
  </si>
  <si>
    <t>Detail</t>
  </si>
  <si>
    <t>Report Display :</t>
  </si>
  <si>
    <t>Period</t>
  </si>
  <si>
    <t>Index Change</t>
  </si>
  <si>
    <t>REPORT PARAMETERS</t>
  </si>
  <si>
    <t xml:space="preserve"> DISPLAY SETTINGS</t>
  </si>
  <si>
    <t>Headline Year :</t>
  </si>
  <si>
    <t>Scenario :</t>
  </si>
  <si>
    <t>Status :</t>
  </si>
  <si>
    <t>Appropriation Item :</t>
  </si>
  <si>
    <t>ID :</t>
  </si>
  <si>
    <t>Account :</t>
  </si>
  <si>
    <t>Movement Account :</t>
  </si>
  <si>
    <t>Program :</t>
  </si>
  <si>
    <t>Terminating Year</t>
  </si>
  <si>
    <t>From Attributes</t>
  </si>
  <si>
    <t>}ElementAttributes_measure Code</t>
  </si>
  <si>
    <t>GEUS Code</t>
  </si>
  <si>
    <t>Funding Life</t>
  </si>
  <si>
    <t>government measures details</t>
  </si>
  <si>
    <t>Measures Financials Report</t>
  </si>
  <si>
    <t>Suppress Zero :</t>
  </si>
  <si>
    <t>Supress Zero</t>
  </si>
  <si>
    <t>Note : Suppressing Zero will not 'Expand' program dimension when using the 'Report Display' option.</t>
  </si>
  <si>
    <t>Show Next 10 FE :</t>
  </si>
  <si>
    <t>Notes : Update report parameters to populate report such as the 'Account and Movement Account' dimensions.</t>
  </si>
  <si>
    <t>Terminating Measures Only? :</t>
  </si>
  <si>
    <t>{FILTER( {TM1SORT( { EXCEPT( {TM1FILTERBYLEVEL( {TM1SUBSETALL( [measure code] )}, 0)}, { [measure code].[M00000] }) }, ASC)}, [measure code].[Funding Life] = "terminating")}</t>
  </si>
  <si>
    <t>Other Reports - Terminating Measures Reconciliation</t>
  </si>
  <si>
    <t>$'000</t>
  </si>
  <si>
    <t>As at</t>
  </si>
  <si>
    <t>Measures - View Measure 03 - Adjustments</t>
  </si>
  <si>
    <t>Measures - View Measure 01 - Header Details</t>
  </si>
  <si>
    <t>Homepage - Reports - Analytical</t>
  </si>
  <si>
    <t xml:space="preserve">Note : Highlight any cell below to 'VIEW' a measure. </t>
  </si>
  <si>
    <t>finance_geus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</si>
</sst>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[Red]_(* \(#,##0\);_(* &quot;-&quot;??_);_(@_)"/>
    <numFmt numFmtId="165" formatCode="dd\ mmmm\ yyyy\ h:mm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28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rgb="FF333F48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4" tint="-0.499984740745262"/>
      </left>
      <right style="thin">
        <color theme="4" tint="-0.499984740745262"/>
      </right>
      <top/>
      <bottom style="thin">
        <color theme="4" tint="-0.499984740745262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1" xfId="0" applyFont="1" applyBorder="1"/>
    <xf numFmtId="0" fontId="0" fillId="0" borderId="1" xfId="0" applyBorder="1" applyAlignment="1">
      <alignment horizontal="center"/>
    </xf>
    <xf numFmtId="0" fontId="0" fillId="0" borderId="4" xfId="0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1" fillId="3" borderId="0" xfId="0" applyFont="1" applyFill="1" applyAlignment="1">
      <alignment horizontal="center" vertical="center"/>
    </xf>
    <xf numFmtId="164" fontId="3" fillId="0" borderId="1" xfId="0" applyNumberFormat="1" applyFont="1" applyBorder="1"/>
    <xf numFmtId="0" fontId="4" fillId="0" borderId="1" xfId="0" applyFont="1" applyBorder="1"/>
    <xf numFmtId="0" fontId="3" fillId="0" borderId="1" xfId="0" applyFont="1" applyBorder="1"/>
    <xf numFmtId="0" fontId="1" fillId="4" borderId="5" xfId="0" applyFont="1" applyFill="1" applyBorder="1" applyAlignment="1">
      <alignment horizontal="center"/>
    </xf>
    <xf numFmtId="0" fontId="2" fillId="0" borderId="0" xfId="0" applyFont="1" applyAlignment="1">
      <alignment horizontal="right" indent="1"/>
    </xf>
    <xf numFmtId="0" fontId="0" fillId="0" borderId="0" xfId="0" applyAlignment="1">
      <alignment horizontal="left" indent="1"/>
    </xf>
    <xf numFmtId="0" fontId="5" fillId="0" borderId="0" xfId="0" applyFont="1" applyAlignment="1">
      <alignment horizontal="left" indent="1"/>
    </xf>
    <xf numFmtId="0" fontId="3" fillId="0" borderId="1" xfId="0" applyFont="1" applyBorder="1" applyAlignment="1">
      <alignment horizontal="center"/>
    </xf>
    <xf numFmtId="0" fontId="6" fillId="0" borderId="0" xfId="0" applyFont="1"/>
    <xf numFmtId="0" fontId="2" fillId="0" borderId="1" xfId="0" applyFont="1" applyBorder="1" applyAlignment="1">
      <alignment horizontal="right" indent="1"/>
    </xf>
    <xf numFmtId="0" fontId="7" fillId="3" borderId="0" xfId="0" applyFont="1" applyFill="1" applyAlignment="1">
      <alignment horizontal="right" vertical="center"/>
    </xf>
    <xf numFmtId="0" fontId="6" fillId="0" borderId="0" xfId="0" applyFont="1" applyAlignment="1">
      <alignment horizontal="left" indent="1"/>
    </xf>
    <xf numFmtId="0" fontId="0" fillId="0" borderId="7" xfId="0" applyBorder="1" applyAlignment="1" applyProtection="1">
      <alignment horizontal="center" vertical="center"/>
      <protection locked="0"/>
    </xf>
    <xf numFmtId="0" fontId="0" fillId="0" borderId="8" xfId="0" applyBorder="1"/>
    <xf numFmtId="0" fontId="2" fillId="0" borderId="0" xfId="0" applyFont="1" applyAlignment="1">
      <alignment horizontal="right"/>
    </xf>
    <xf numFmtId="0" fontId="0" fillId="0" borderId="1" xfId="0" applyBorder="1" applyAlignment="1" applyProtection="1">
      <alignment horizontal="left" indent="1"/>
      <protection locked="0"/>
    </xf>
    <xf numFmtId="0" fontId="5" fillId="0" borderId="1" xfId="0" applyFont="1" applyBorder="1" applyAlignment="1" applyProtection="1">
      <alignment horizontal="left" indent="1"/>
      <protection locked="0"/>
    </xf>
    <xf numFmtId="0" fontId="0" fillId="0" borderId="1" xfId="0" applyBorder="1" applyAlignment="1" applyProtection="1">
      <alignment horizontal="center"/>
      <protection locked="0"/>
    </xf>
    <xf numFmtId="49" fontId="3" fillId="0" borderId="1" xfId="0" applyNumberFormat="1" applyFont="1" applyBorder="1"/>
    <xf numFmtId="0" fontId="1" fillId="4" borderId="5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165" fontId="2" fillId="0" borderId="0" xfId="0" applyNumberFormat="1" applyFont="1" applyAlignment="1">
      <alignment horizontal="left" indent="1"/>
    </xf>
    <xf numFmtId="0" fontId="1" fillId="3" borderId="0" xfId="0" applyFont="1" applyFill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5">
    <dxf>
      <font>
        <color theme="0"/>
      </font>
      <fill>
        <patternFill>
          <bgColor theme="0"/>
        </patternFill>
      </fill>
      <border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right/>
        <top/>
        <bottom/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746"/>
  <ax:ocxPr ax:name="_ExtentY" ax:value="476"/>
  <ax:ocxPr ax:name="_StockProps" ax:value="0"/>
  <ax:ocxPr ax:name="ServerName" ax:value="=db_name"/>
  <ax:ocxPr ax:name="ProcessName" ax:value="sys_Client - Clear Validation Data"/>
  <ax:ocxPr ax:name="Name" ax:value=""/>
  <ax:ocxPr ax:name="Type" ax:value=""/>
  <ax:ocxPr ax:name="Value" ax:value="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View Measur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ViewMeas01HeaderWB"/>
  <ax:ocxPr ax:name="TargetWorksheetName" ax:value="=TM1ViewMeas01HeaderWS"/>
  <ax:ocxPr ax:name="AutoTitles" ax:value="-1"/>
  <ax:ocxPr ax:name="ReplaceWindow" ax:value="0"/>
  <ax:ocxPr ax:name="IsMappingFormula" ax:value="0"/>
  <ax:ocxPr ax:name="TargetTypes" ax:value="0"/>
  <ax:ocxPr ax:name="TargetObjects" ax:value="measure code"/>
  <ax:ocxPr ax:name="TargetSubsets" ax:value=""/>
  <ax:ocxPr ax:name="TargetAliases" ax:value=""/>
  <ax:ocxPr ax:name="TargetValues" ax:value=""/>
  <ax:ocxPr ax:name="SourceTypes" ax:value="1"/>
  <ax:ocxPr ax:name="SourceObjects" ax:value="measure code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ResizeButtonToCaption" ax:value="0"/>
</ax:ocx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7" Type="http://schemas.openxmlformats.org/officeDocument/2006/relationships/image" Target="../media/image7.emf"/><Relationship Id="rId2" Type="http://schemas.openxmlformats.org/officeDocument/2006/relationships/image" Target="../media/image5.emf"/><Relationship Id="rId1" Type="http://schemas.openxmlformats.org/officeDocument/2006/relationships/image" Target="../media/image6.emf"/><Relationship Id="rId6" Type="http://schemas.openxmlformats.org/officeDocument/2006/relationships/image" Target="../media/image1.emf"/><Relationship Id="rId5" Type="http://schemas.openxmlformats.org/officeDocument/2006/relationships/image" Target="../media/image2.emf"/><Relationship Id="rId4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38100</xdr:colOff>
      <xdr:row>69</xdr:row>
      <xdr:rowOff>28575</xdr:rowOff>
    </xdr:from>
    <xdr:to>
      <xdr:col>9</xdr:col>
      <xdr:colOff>1790700</xdr:colOff>
      <xdr:row>69</xdr:row>
      <xdr:rowOff>474345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8575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533400</xdr:colOff>
          <xdr:row>70</xdr:row>
          <xdr:rowOff>28575</xdr:rowOff>
        </xdr:from>
        <xdr:to>
          <xdr:col>17</xdr:col>
          <xdr:colOff>847725</xdr:colOff>
          <xdr:row>71</xdr:row>
          <xdr:rowOff>285750</xdr:rowOff>
        </xdr:to>
        <xdr:sp macro="" textlink="">
          <xdr:nvSpPr>
            <xdr:cNvPr id="1028" name="TIButton2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71</xdr:row>
          <xdr:rowOff>0</xdr:rowOff>
        </xdr:from>
        <xdr:to>
          <xdr:col>9</xdr:col>
          <xdr:colOff>666750</xdr:colOff>
          <xdr:row>71</xdr:row>
          <xdr:rowOff>247650</xdr:rowOff>
        </xdr:to>
        <xdr:sp macro="" textlink="">
          <xdr:nvSpPr>
            <xdr:cNvPr id="1029" name="TIButton4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1714500</xdr:colOff>
          <xdr:row>71</xdr:row>
          <xdr:rowOff>0</xdr:rowOff>
        </xdr:from>
        <xdr:to>
          <xdr:col>10</xdr:col>
          <xdr:colOff>2495550</xdr:colOff>
          <xdr:row>71</xdr:row>
          <xdr:rowOff>247650</xdr:rowOff>
        </xdr:to>
        <xdr:sp macro="" textlink="">
          <xdr:nvSpPr>
            <xdr:cNvPr id="1030" name="TIButton3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704850</xdr:colOff>
          <xdr:row>71</xdr:row>
          <xdr:rowOff>0</xdr:rowOff>
        </xdr:from>
        <xdr:to>
          <xdr:col>9</xdr:col>
          <xdr:colOff>1828800</xdr:colOff>
          <xdr:row>71</xdr:row>
          <xdr:rowOff>247650</xdr:rowOff>
        </xdr:to>
        <xdr:sp macro="" textlink="">
          <xdr:nvSpPr>
            <xdr:cNvPr id="1031" name="TIButton1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1857375</xdr:colOff>
          <xdr:row>71</xdr:row>
          <xdr:rowOff>0</xdr:rowOff>
        </xdr:from>
        <xdr:to>
          <xdr:col>9</xdr:col>
          <xdr:colOff>3209925</xdr:colOff>
          <xdr:row>71</xdr:row>
          <xdr:rowOff>247650</xdr:rowOff>
        </xdr:to>
        <xdr:sp macro="" textlink="">
          <xdr:nvSpPr>
            <xdr:cNvPr id="1032" name="TIButton5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742950</xdr:colOff>
          <xdr:row>71</xdr:row>
          <xdr:rowOff>0</xdr:rowOff>
        </xdr:from>
        <xdr:to>
          <xdr:col>10</xdr:col>
          <xdr:colOff>1676400</xdr:colOff>
          <xdr:row>71</xdr:row>
          <xdr:rowOff>247650</xdr:rowOff>
        </xdr:to>
        <xdr:sp macro="" textlink="">
          <xdr:nvSpPr>
            <xdr:cNvPr id="1034" name="TIButton7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3248025</xdr:colOff>
          <xdr:row>71</xdr:row>
          <xdr:rowOff>0</xdr:rowOff>
        </xdr:from>
        <xdr:to>
          <xdr:col>10</xdr:col>
          <xdr:colOff>685800</xdr:colOff>
          <xdr:row>71</xdr:row>
          <xdr:rowOff>247650</xdr:rowOff>
        </xdr:to>
        <xdr:sp macro="" textlink="">
          <xdr:nvSpPr>
            <xdr:cNvPr id="1036" name="TIButton8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5BCAE-C7A3-4515-889E-40C4641F8D31}">
  <sheetPr codeName="Sheet1">
    <outlinePr showOutlineSymbols="0"/>
    <pageSetUpPr fitToPage="1"/>
  </sheetPr>
  <dimension ref="A1:AB91"/>
  <sheetViews>
    <sheetView showGridLines="0" showRowColHeaders="0" tabSelected="1" showOutlineSymbols="0" topLeftCell="A70" workbookViewId="0">
      <pane ySplit="19" topLeftCell="A89" activePane="bottomLeft" state="frozen"/>
      <selection activeCell="I70" sqref="I70"/>
      <selection pane="bottomLeft"/>
    </sheetView>
  </sheetViews>
  <sheetFormatPr defaultRowHeight="15" outlineLevelRow="1" outlineLevelCol="1" x14ac:dyDescent="0.25"/>
  <cols>
    <col min="1" max="1" width="20.28515625" hidden="1" customWidth="1" outlineLevel="1"/>
    <col min="2" max="2" width="50" hidden="1" customWidth="1" outlineLevel="1"/>
    <col min="3" max="8" width="20.28515625" hidden="1" customWidth="1" outlineLevel="1"/>
    <col min="9" max="9" width="0.85546875" customWidth="1" collapsed="1"/>
    <col min="10" max="10" width="60.7109375" customWidth="1"/>
    <col min="11" max="11" width="50.7109375" customWidth="1"/>
    <col min="12" max="12" width="15.7109375" customWidth="1"/>
    <col min="13" max="13" width="17" customWidth="1"/>
    <col min="14" max="18" width="13.7109375" customWidth="1"/>
    <col min="19" max="28" width="12.7109375" customWidth="1"/>
  </cols>
  <sheetData>
    <row r="1" spans="1:28" hidden="1" outlineLevel="1" x14ac:dyDescent="0.25">
      <c r="A1" t="s">
        <v>3</v>
      </c>
    </row>
    <row r="2" spans="1:28" hidden="1" outlineLevel="1" x14ac:dyDescent="0.25">
      <c r="A2">
        <f>0</f>
        <v>0</v>
      </c>
      <c r="J2" s="8"/>
      <c r="K2" s="9"/>
      <c r="L2" s="14"/>
      <c r="M2" s="14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spans="1:28" hidden="1" outlineLevel="1" x14ac:dyDescent="0.25">
      <c r="A3">
        <f>1</f>
        <v>1</v>
      </c>
      <c r="J3" s="9"/>
      <c r="K3" s="9"/>
      <c r="L3" s="14"/>
      <c r="M3" s="14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spans="1:28" hidden="1" outlineLevel="1" x14ac:dyDescent="0.25">
      <c r="A4">
        <f>2</f>
        <v>2</v>
      </c>
      <c r="J4" s="9"/>
      <c r="K4" s="9"/>
      <c r="L4" s="14"/>
      <c r="M4" s="14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spans="1:28" hidden="1" outlineLevel="1" x14ac:dyDescent="0.25">
      <c r="A5">
        <f>3</f>
        <v>3</v>
      </c>
      <c r="J5" s="9"/>
      <c r="K5" s="9"/>
      <c r="L5" s="14"/>
      <c r="M5" s="14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spans="1:28" hidden="1" outlineLevel="1" x14ac:dyDescent="0.25">
      <c r="A6" t="s">
        <v>1</v>
      </c>
      <c r="J6" s="9"/>
      <c r="K6" s="9"/>
      <c r="L6" s="14"/>
      <c r="M6" s="14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spans="1:28" hidden="1" outlineLevel="1" x14ac:dyDescent="0.25">
      <c r="A7" t="s">
        <v>2</v>
      </c>
      <c r="J7" s="9"/>
      <c r="K7" s="9"/>
      <c r="L7" s="14"/>
      <c r="M7" s="14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spans="1:28" hidden="1" outlineLevel="1" x14ac:dyDescent="0.25">
      <c r="A8" t="s">
        <v>4</v>
      </c>
    </row>
    <row r="9" spans="1:28" hidden="1" outlineLevel="1" x14ac:dyDescent="0.25"/>
    <row r="10" spans="1:28" hidden="1" outlineLevel="1" x14ac:dyDescent="0.25"/>
    <row r="11" spans="1:28" hidden="1" outlineLevel="1" x14ac:dyDescent="0.25">
      <c r="B11" s="30" t="s">
        <v>13</v>
      </c>
      <c r="C11" s="31"/>
      <c r="D11" s="32"/>
    </row>
    <row r="12" spans="1:28" hidden="1" outlineLevel="1" x14ac:dyDescent="0.25">
      <c r="B12" s="1" t="s">
        <v>14</v>
      </c>
      <c r="C12" s="2" t="s">
        <v>89</v>
      </c>
      <c r="D12" s="3"/>
    </row>
    <row r="13" spans="1:28" hidden="1" outlineLevel="1" x14ac:dyDescent="0.25">
      <c r="B13" s="1" t="s">
        <v>15</v>
      </c>
      <c r="C13" s="4" t="str" cm="1">
        <f t="array" aca="1" ref="C13" ca="1">_xll.VIEW(db_name&amp;":}ElementAttributes_}Clients","!","!")</f>
        <v>dcceew_geus:}ElementAttributes_}Clients</v>
      </c>
      <c r="D13" s="3"/>
    </row>
    <row r="14" spans="1:28" hidden="1" outlineLevel="1" x14ac:dyDescent="0.25">
      <c r="B14" s="1" t="s">
        <v>16</v>
      </c>
      <c r="C14" s="2" t="str" cm="1">
        <f t="array" aca="1" ref="C14" ca="1">_xll.TM1USER(db_name)</f>
        <v/>
      </c>
      <c r="D14" s="3"/>
    </row>
    <row r="15" spans="1:28" hidden="1" outlineLevel="1" x14ac:dyDescent="0.25">
      <c r="B15" s="1" t="s">
        <v>17</v>
      </c>
      <c r="C15" s="2" t="str" cm="1">
        <f t="array" aca="1" ref="C15" ca="1">_xll.DBR($C$13,$C$14,$B15)</f>
        <v>*KEY_ERR</v>
      </c>
      <c r="D15" s="3"/>
    </row>
    <row r="16" spans="1:28" hidden="1" outlineLevel="1" x14ac:dyDescent="0.25">
      <c r="B16" s="1" t="s">
        <v>18</v>
      </c>
      <c r="C16" s="2" t="str" cm="1">
        <f t="array" aca="1" ref="C16" ca="1">_xll.DBR($C$13,$C$14,$B16)</f>
        <v>*KEY_ERR</v>
      </c>
      <c r="D16" s="3"/>
    </row>
    <row r="17" spans="2:8" hidden="1" outlineLevel="1" x14ac:dyDescent="0.25">
      <c r="B17" s="1" t="s">
        <v>19</v>
      </c>
      <c r="C17" s="2" t="str">
        <f ca="1">IF(LEFT($C$15,6)="CAM_AD",$C$16,$C$15)</f>
        <v>*KEY_ERR</v>
      </c>
      <c r="D17" s="5"/>
    </row>
    <row r="18" spans="2:8" hidden="1" outlineLevel="1" x14ac:dyDescent="0.25"/>
    <row r="19" spans="2:8" hidden="1" outlineLevel="1" x14ac:dyDescent="0.25">
      <c r="B19" s="30" t="s">
        <v>20</v>
      </c>
      <c r="C19" s="31"/>
      <c r="D19" s="32"/>
    </row>
    <row r="20" spans="2:8" hidden="1" outlineLevel="1" x14ac:dyDescent="0.25">
      <c r="B20" s="1" t="s">
        <v>21</v>
      </c>
      <c r="C20" s="5" t="str" cm="1">
        <f t="array" aca="1" ref="C20" ca="1">_xll.VIEW(db_name&amp;":}ElementAttributes_variables","!","!")</f>
        <v>dcceew_geus:}ElementAttributes_variables</v>
      </c>
      <c r="D20" s="5"/>
    </row>
    <row r="21" spans="2:8" hidden="1" outlineLevel="1" x14ac:dyDescent="0.25">
      <c r="B21" s="1" t="s">
        <v>0</v>
      </c>
      <c r="C21" s="5" t="str" cm="1">
        <f t="array" aca="1" ref="C21" ca="1">_xll.DBR($C$20,$B21,"value")</f>
        <v>*KEY_ERR</v>
      </c>
      <c r="D21" s="5"/>
    </row>
    <row r="22" spans="2:8" hidden="1" outlineLevel="1" x14ac:dyDescent="0.25">
      <c r="B22" s="1" t="s">
        <v>22</v>
      </c>
      <c r="C22" s="5" t="str" cm="1">
        <f t="array" aca="1" ref="C22" ca="1">_xll.DBR($C$20,$B22,"value")</f>
        <v>*KEY_ERR</v>
      </c>
      <c r="D22" s="5"/>
    </row>
    <row r="23" spans="2:8" hidden="1" outlineLevel="1" x14ac:dyDescent="0.25">
      <c r="B23" s="1" t="s">
        <v>23</v>
      </c>
      <c r="C23" s="5" t="str" cm="1">
        <f t="array" aca="1" ref="C23" ca="1">_xll.DBR($C$20,$B23,"value")</f>
        <v>*KEY_ERR</v>
      </c>
      <c r="D23" s="5"/>
    </row>
    <row r="24" spans="2:8" hidden="1" outlineLevel="1" x14ac:dyDescent="0.25">
      <c r="B24" s="1" t="s">
        <v>24</v>
      </c>
      <c r="C24" s="5" t="str" cm="1">
        <f t="array" aca="1" ref="C24" ca="1">_xll.DBR($C$20,$B24,"value")</f>
        <v>*KEY_ERR</v>
      </c>
      <c r="D24" s="5"/>
    </row>
    <row r="25" spans="2:8" hidden="1" outlineLevel="1" x14ac:dyDescent="0.25">
      <c r="B25" s="1" t="s">
        <v>25</v>
      </c>
      <c r="C25" s="5" t="str" cm="1">
        <f t="array" aca="1" ref="C25" ca="1">_xll.DBR($C$20,$B25,"value")</f>
        <v>*KEY_ERR</v>
      </c>
      <c r="D25" s="5"/>
    </row>
    <row r="26" spans="2:8" hidden="1" outlineLevel="1" x14ac:dyDescent="0.25"/>
    <row r="27" spans="2:8" hidden="1" outlineLevel="1" x14ac:dyDescent="0.25">
      <c r="B27" s="30" t="s">
        <v>26</v>
      </c>
      <c r="C27" s="31"/>
      <c r="D27" s="32"/>
    </row>
    <row r="28" spans="2:8" hidden="1" outlineLevel="1" x14ac:dyDescent="0.25">
      <c r="B28" s="1" t="s">
        <v>27</v>
      </c>
      <c r="C28" s="5" t="str">
        <f ca="1">_xll.VIEW(db_name&amp;":sys_application","!","!")</f>
        <v>dcceew_geus:sys_application</v>
      </c>
      <c r="D28" s="5"/>
    </row>
    <row r="29" spans="2:8" hidden="1" outlineLevel="1" x14ac:dyDescent="0.25">
      <c r="B29" s="1" t="s">
        <v>28</v>
      </c>
      <c r="C29" t="s">
        <v>44</v>
      </c>
      <c r="D29" s="5"/>
    </row>
    <row r="30" spans="2:8" hidden="1" outlineLevel="1" x14ac:dyDescent="0.25">
      <c r="B30" s="5"/>
      <c r="C30" s="1" t="s">
        <v>30</v>
      </c>
      <c r="D30" s="1" t="s">
        <v>31</v>
      </c>
      <c r="E30" s="1" t="s">
        <v>32</v>
      </c>
      <c r="F30" s="1" t="s">
        <v>33</v>
      </c>
      <c r="G30" s="1" t="s">
        <v>34</v>
      </c>
      <c r="H30" s="1" t="s">
        <v>35</v>
      </c>
    </row>
    <row r="31" spans="2:8" hidden="1" outlineLevel="1" x14ac:dyDescent="0.25">
      <c r="B31" s="5" t="s">
        <v>36</v>
      </c>
      <c r="C31" s="5" t="str" cm="1">
        <f t="array" aca="1" ref="C31" ca="1">_xll.DBR($C$28,$B31,C$30)</f>
        <v>*KEY_ERR</v>
      </c>
      <c r="D31" s="5" t="str" cm="1">
        <f t="array" aca="1" ref="D31" ca="1">_xll.DBR($C$28,$B31,D$30)</f>
        <v>*KEY_ERR</v>
      </c>
      <c r="E31" s="5" t="str" cm="1">
        <f t="array" aca="1" ref="E31" ca="1">_xll.DBR($C$28,$B31,E$30)</f>
        <v>*KEY_ERR</v>
      </c>
      <c r="F31" s="5" t="str" cm="1">
        <f t="array" aca="1" ref="F31" ca="1">_xll.DBR($C$28,$B31,F$30)</f>
        <v>*KEY_ERR</v>
      </c>
      <c r="G31" s="5" t="str" cm="1">
        <f t="array" aca="1" ref="G31" ca="1">_xll.DBR($C$28,$B31,G$30)</f>
        <v>*KEY_ERR</v>
      </c>
      <c r="H31" s="5" t="str" cm="1">
        <f t="array" aca="1" ref="H31" ca="1">_xll.DBR($C$28,$B31,H$30)</f>
        <v>*KEY_ERR</v>
      </c>
    </row>
    <row r="32" spans="2:8" hidden="1" outlineLevel="1" x14ac:dyDescent="0.25">
      <c r="B32" s="5" t="s">
        <v>37</v>
      </c>
      <c r="C32" s="5" t="str" cm="1">
        <f t="array" aca="1" ref="C32" ca="1">_xll.DBR($C$28,$B32,C$30)</f>
        <v>*KEY_ERR</v>
      </c>
      <c r="D32" s="5" t="str" cm="1">
        <f t="array" aca="1" ref="D32" ca="1">_xll.DBR($C$28,$B32,D$30)</f>
        <v>*KEY_ERR</v>
      </c>
      <c r="E32" s="5" t="str" cm="1">
        <f t="array" aca="1" ref="E32" ca="1">_xll.DBR($C$28,$B32,E$30)</f>
        <v>*KEY_ERR</v>
      </c>
      <c r="F32" s="5" t="str" cm="1">
        <f t="array" aca="1" ref="F32" ca="1">_xll.DBR($C$28,$B32,F$30)</f>
        <v>*KEY_ERR</v>
      </c>
      <c r="G32" s="5" t="str" cm="1">
        <f t="array" aca="1" ref="G32" ca="1">_xll.DBR($C$28,$B32,G$30)</f>
        <v>*KEY_ERR</v>
      </c>
      <c r="H32" s="5" t="str" cm="1">
        <f t="array" aca="1" ref="H32" ca="1">_xll.DBR($C$28,$B32,H$30)</f>
        <v>*KEY_ERR</v>
      </c>
    </row>
    <row r="33" spans="2:18" hidden="1" outlineLevel="1" x14ac:dyDescent="0.25">
      <c r="B33" s="5" t="s">
        <v>38</v>
      </c>
      <c r="C33" s="5" t="str" cm="1">
        <f t="array" aca="1" ref="C33" ca="1">_xll.DBR($C$28,$B33,C$30)</f>
        <v>*KEY_ERR</v>
      </c>
      <c r="D33" s="5" t="str" cm="1">
        <f t="array" aca="1" ref="D33" ca="1">_xll.DBR($C$28,$B33,D$30)</f>
        <v>*KEY_ERR</v>
      </c>
      <c r="E33" s="5" t="str" cm="1">
        <f t="array" aca="1" ref="E33" ca="1">_xll.DBR($C$28,$B33,E$30)</f>
        <v>*KEY_ERR</v>
      </c>
      <c r="F33" s="5" t="str" cm="1">
        <f t="array" aca="1" ref="F33" ca="1">_xll.DBR($C$28,$B33,F$30)</f>
        <v>*KEY_ERR</v>
      </c>
      <c r="G33" s="5" t="str" cm="1">
        <f t="array" aca="1" ref="G33" ca="1">_xll.DBR($C$28,$B33,G$30)</f>
        <v>*KEY_ERR</v>
      </c>
      <c r="H33" s="5" t="str" cm="1">
        <f t="array" aca="1" ref="H33" ca="1">_xll.DBR($C$28,$B33,H$30)</f>
        <v>*KEY_ERR</v>
      </c>
    </row>
    <row r="34" spans="2:18" hidden="1" outlineLevel="1" x14ac:dyDescent="0.25">
      <c r="B34" s="5" t="s">
        <v>39</v>
      </c>
      <c r="C34" s="5" t="str" cm="1">
        <f t="array" aca="1" ref="C34" ca="1">_xll.DBR($C$28,$B34,C$30)</f>
        <v>*KEY_ERR</v>
      </c>
      <c r="D34" s="5" t="str" cm="1">
        <f t="array" aca="1" ref="D34" ca="1">_xll.DBR($C$28,$B34,D$30)</f>
        <v>*KEY_ERR</v>
      </c>
      <c r="E34" s="5" t="str" cm="1">
        <f t="array" aca="1" ref="E34" ca="1">_xll.DBR($C$28,$B34,E$30)</f>
        <v>*KEY_ERR</v>
      </c>
      <c r="F34" s="5" t="str" cm="1">
        <f t="array" aca="1" ref="F34" ca="1">_xll.DBR($C$28,$B34,F$30)</f>
        <v>*KEY_ERR</v>
      </c>
      <c r="G34" s="5" t="str" cm="1">
        <f t="array" aca="1" ref="G34" ca="1">_xll.DBR($C$28,$B34,G$30)</f>
        <v>*KEY_ERR</v>
      </c>
      <c r="H34" s="5" t="str" cm="1">
        <f t="array" aca="1" ref="H34" ca="1">_xll.DBR($C$28,$B34,H$30)</f>
        <v>*KEY_ERR</v>
      </c>
    </row>
    <row r="35" spans="2:18" hidden="1" outlineLevel="1" x14ac:dyDescent="0.25">
      <c r="B35" s="5" t="s">
        <v>40</v>
      </c>
      <c r="C35" s="5" t="str" cm="1">
        <f t="array" aca="1" ref="C35" ca="1">_xll.DBR($C$28,$B35,C$30)</f>
        <v>*KEY_ERR</v>
      </c>
      <c r="D35" s="5" t="str" cm="1">
        <f t="array" aca="1" ref="D35" ca="1">_xll.DBR($C$28,$B35,D$30)</f>
        <v>*KEY_ERR</v>
      </c>
      <c r="E35" s="5" t="str" cm="1">
        <f t="array" aca="1" ref="E35" ca="1">_xll.DBR($C$28,$B35,E$30)</f>
        <v>*KEY_ERR</v>
      </c>
      <c r="F35" s="5" t="str" cm="1">
        <f t="array" aca="1" ref="F35" ca="1">_xll.DBR($C$28,$B35,F$30)</f>
        <v>*KEY_ERR</v>
      </c>
      <c r="G35" s="5" t="str" cm="1">
        <f t="array" aca="1" ref="G35" ca="1">_xll.DBR($C$28,$B35,G$30)</f>
        <v>*KEY_ERR</v>
      </c>
      <c r="H35" s="5" t="str" cm="1">
        <f t="array" aca="1" ref="H35" ca="1">_xll.DBR($C$28,$B35,H$30)</f>
        <v>*KEY_ERR</v>
      </c>
    </row>
    <row r="36" spans="2:18" hidden="1" outlineLevel="1" x14ac:dyDescent="0.25">
      <c r="B36" s="5" t="s">
        <v>87</v>
      </c>
      <c r="C36" s="5" t="str" cm="1">
        <f t="array" aca="1" ref="C36" ca="1">_xll.DBR($C$28,$B36,C$30)</f>
        <v>*KEY_ERR</v>
      </c>
      <c r="D36" s="5" t="str" cm="1">
        <f t="array" aca="1" ref="D36" ca="1">_xll.DBR($C$28,$B36,D$30)</f>
        <v>*KEY_ERR</v>
      </c>
      <c r="E36" s="5" t="str" cm="1">
        <f t="array" aca="1" ref="E36" ca="1">_xll.DBR($C$28,$B36,E$30)</f>
        <v>*KEY_ERR</v>
      </c>
      <c r="F36" s="5" t="str" cm="1">
        <f t="array" aca="1" ref="F36" ca="1">_xll.DBR($C$28,$B36,F$30)</f>
        <v>*KEY_ERR</v>
      </c>
      <c r="G36" s="5" t="str" cm="1">
        <f t="array" aca="1" ref="G36" ca="1">_xll.DBR($C$28,$B36,G$30)</f>
        <v>*KEY_ERR</v>
      </c>
      <c r="H36" s="5" t="str" cm="1">
        <f t="array" aca="1" ref="H36" ca="1">_xll.DBR($C$28,$B36,H$30)</f>
        <v>*KEY_ERR</v>
      </c>
    </row>
    <row r="37" spans="2:18" hidden="1" outlineLevel="1" x14ac:dyDescent="0.25">
      <c r="B37" s="5" t="s">
        <v>29</v>
      </c>
      <c r="C37" s="5" t="str" cm="1">
        <f t="array" aca="1" ref="C37" ca="1">_xll.DBR($C$28,$B37,C$30)</f>
        <v>*KEY_ERR</v>
      </c>
      <c r="D37" s="5" t="str" cm="1">
        <f t="array" aca="1" ref="D37" ca="1">_xll.DBR($C$28,$B37,D$30)</f>
        <v>*KEY_ERR</v>
      </c>
      <c r="E37" s="5" t="str" cm="1">
        <f t="array" aca="1" ref="E37" ca="1">_xll.DBR($C$28,$B37,E$30)</f>
        <v>*KEY_ERR</v>
      </c>
      <c r="F37" s="5" t="str" cm="1">
        <f t="array" aca="1" ref="F37" ca="1">_xll.DBR($C$28,$B37,F$30)</f>
        <v>*KEY_ERR</v>
      </c>
      <c r="G37" s="5" t="str" cm="1">
        <f t="array" aca="1" ref="G37" ca="1">_xll.DBR($C$28,$B37,G$30)</f>
        <v>*KEY_ERR</v>
      </c>
      <c r="H37" s="5" t="str" cm="1">
        <f t="array" aca="1" ref="H37" ca="1">_xll.DBR($C$28,$B37,H$30)</f>
        <v>*KEY_ERR</v>
      </c>
    </row>
    <row r="38" spans="2:18" hidden="1" outlineLevel="1" x14ac:dyDescent="0.25">
      <c r="B38" s="5" t="s">
        <v>41</v>
      </c>
      <c r="C38" s="5" t="str" cm="1">
        <f t="array" aca="1" ref="C38" ca="1">_xll.DBR($C$28,$B38,C$30)</f>
        <v>*KEY_ERR</v>
      </c>
      <c r="D38" s="5" t="str" cm="1">
        <f t="array" aca="1" ref="D38" ca="1">_xll.DBR($C$28,$B38,D$30)</f>
        <v>*KEY_ERR</v>
      </c>
      <c r="E38" s="5" t="str" cm="1">
        <f t="array" aca="1" ref="E38" ca="1">_xll.DBR($C$28,$B38,E$30)</f>
        <v>*KEY_ERR</v>
      </c>
      <c r="F38" s="5" t="str" cm="1">
        <f t="array" aca="1" ref="F38" ca="1">_xll.DBR($C$28,$B38,F$30)</f>
        <v>*KEY_ERR</v>
      </c>
      <c r="G38" s="5" t="str" cm="1">
        <f t="array" aca="1" ref="G38" ca="1">_xll.DBR($C$28,$B38,G$30)</f>
        <v>*KEY_ERR</v>
      </c>
      <c r="H38" s="5" t="str" cm="1">
        <f t="array" aca="1" ref="H38" ca="1">_xll.DBR($C$28,$B38,H$30)</f>
        <v>*KEY_ERR</v>
      </c>
    </row>
    <row r="39" spans="2:18" hidden="1" outlineLevel="1" x14ac:dyDescent="0.25">
      <c r="B39" s="5" t="s">
        <v>42</v>
      </c>
      <c r="C39" s="5" t="str" cm="1">
        <f t="array" aca="1" ref="C39" ca="1">_xll.DBR($C$28,$B39,C$30)</f>
        <v>*KEY_ERR</v>
      </c>
      <c r="D39" s="5" t="str" cm="1">
        <f t="array" aca="1" ref="D39" ca="1">_xll.DBR($C$28,$B39,D$30)</f>
        <v>*KEY_ERR</v>
      </c>
      <c r="E39" s="5" t="str" cm="1">
        <f t="array" aca="1" ref="E39" ca="1">_xll.DBR($C$28,$B39,E$30)</f>
        <v>*KEY_ERR</v>
      </c>
      <c r="F39" s="5" t="str" cm="1">
        <f t="array" aca="1" ref="F39" ca="1">_xll.DBR($C$28,$B39,F$30)</f>
        <v>*KEY_ERR</v>
      </c>
      <c r="G39" s="5" t="str" cm="1">
        <f t="array" aca="1" ref="G39" ca="1">_xll.DBR($C$28,$B39,G$30)</f>
        <v>*KEY_ERR</v>
      </c>
      <c r="H39" s="5" t="str" cm="1">
        <f t="array" aca="1" ref="H39" ca="1">_xll.DBR($C$28,$B39,H$30)</f>
        <v>*KEY_ERR</v>
      </c>
    </row>
    <row r="40" spans="2:18" hidden="1" outlineLevel="1" x14ac:dyDescent="0.25">
      <c r="B40" s="5" t="s">
        <v>43</v>
      </c>
      <c r="C40" s="5" t="str" cm="1">
        <f t="array" aca="1" ref="C40" ca="1">_xll.DBR($C$28,$B40,C$30)</f>
        <v>*KEY_ERR</v>
      </c>
      <c r="D40" s="5" t="str" cm="1">
        <f t="array" aca="1" ref="D40" ca="1">_xll.DBR($C$28,$B40,D$30)</f>
        <v>*KEY_ERR</v>
      </c>
      <c r="E40" s="5" t="str" cm="1">
        <f t="array" aca="1" ref="E40" ca="1">_xll.DBR($C$28,$B40,E$30)</f>
        <v>*KEY_ERR</v>
      </c>
      <c r="F40" s="5" t="str" cm="1">
        <f t="array" aca="1" ref="F40" ca="1">_xll.DBR($C$28,$B40,F$30)</f>
        <v>*KEY_ERR</v>
      </c>
      <c r="G40" s="5" t="str" cm="1">
        <f t="array" aca="1" ref="G40" ca="1">_xll.DBR($C$28,$B40,G$30)</f>
        <v>*KEY_ERR</v>
      </c>
      <c r="H40" s="5" t="str" cm="1">
        <f t="array" aca="1" ref="H40" ca="1">_xll.DBR($C$28,$B40,H$30)</f>
        <v>*KEY_ERR</v>
      </c>
    </row>
    <row r="41" spans="2:18" hidden="1" outlineLevel="1" x14ac:dyDescent="0.25">
      <c r="B41" s="5" t="s">
        <v>82</v>
      </c>
      <c r="C41" s="5" t="str" cm="1">
        <f t="array" aca="1" ref="C41" ca="1">_xll.DBR($C$28,$B41,C$30)</f>
        <v>*KEY_ERR</v>
      </c>
      <c r="D41" s="5" t="str" cm="1">
        <f t="array" aca="1" ref="D41" ca="1">_xll.DBR($C$28,$B41,D$30)</f>
        <v>*KEY_ERR</v>
      </c>
      <c r="E41" s="5" t="str" cm="1">
        <f t="array" aca="1" ref="E41" ca="1">_xll.DBR($C$28,$B41,E$30)</f>
        <v>*KEY_ERR</v>
      </c>
      <c r="F41" s="5" t="str" cm="1">
        <f t="array" aca="1" ref="F41" ca="1">_xll.DBR($C$28,$B41,F$30)</f>
        <v>*KEY_ERR</v>
      </c>
      <c r="G41" s="5" t="str" cm="1">
        <f t="array" aca="1" ref="G41" ca="1">_xll.DBR($C$28,$B41,G$30)</f>
        <v>*KEY_ERR</v>
      </c>
      <c r="H41" s="5" t="str" cm="1">
        <f t="array" aca="1" ref="H41" ca="1">_xll.DBR($C$28,$B41,H$30)</f>
        <v>*KEY_ERR</v>
      </c>
    </row>
    <row r="42" spans="2:18" hidden="1" outlineLevel="1" x14ac:dyDescent="0.25">
      <c r="B42" s="5" t="s">
        <v>86</v>
      </c>
      <c r="C42" s="5" t="str" cm="1">
        <f t="array" aca="1" ref="C42" ca="1">_xll.DBR($C$28,$B42,C$30)</f>
        <v>*KEY_ERR</v>
      </c>
      <c r="D42" s="5" t="str" cm="1">
        <f t="array" aca="1" ref="D42" ca="1">_xll.DBR($C$28,$B42,D$30)</f>
        <v>*KEY_ERR</v>
      </c>
      <c r="E42" s="5" t="str" cm="1">
        <f t="array" aca="1" ref="E42" ca="1">_xll.DBR($C$28,$B42,E$30)</f>
        <v>*KEY_ERR</v>
      </c>
      <c r="F42" s="5" t="str" cm="1">
        <f t="array" aca="1" ref="F42" ca="1">_xll.DBR($C$28,$B42,F$30)</f>
        <v>*KEY_ERR</v>
      </c>
      <c r="G42" s="5" t="str" cm="1">
        <f t="array" aca="1" ref="G42" ca="1">_xll.DBR($C$28,$B42,G$30)</f>
        <v>*KEY_ERR</v>
      </c>
      <c r="H42" s="5" t="str" cm="1">
        <f t="array" aca="1" ref="H42" ca="1">_xll.DBR($C$28,$B42,H$30)</f>
        <v>*KEY_ERR</v>
      </c>
    </row>
    <row r="43" spans="2:18" hidden="1" outlineLevel="1" x14ac:dyDescent="0.25">
      <c r="B43" s="5" t="s">
        <v>85</v>
      </c>
      <c r="C43" s="5" t="str" cm="1">
        <f t="array" aca="1" ref="C43" ca="1">_xll.DBR($C$28,$B43,C$30)</f>
        <v>*KEY_ERR</v>
      </c>
      <c r="D43" s="5" t="str" cm="1">
        <f t="array" aca="1" ref="D43" ca="1">_xll.DBR($C$28,$B43,D$30)</f>
        <v>*KEY_ERR</v>
      </c>
      <c r="E43" s="5" t="str" cm="1">
        <f t="array" aca="1" ref="E43" ca="1">_xll.DBR($C$28,$B43,E$30)</f>
        <v>*KEY_ERR</v>
      </c>
      <c r="F43" s="5" t="str" cm="1">
        <f t="array" aca="1" ref="F43" ca="1">_xll.DBR($C$28,$B43,F$30)</f>
        <v>*KEY_ERR</v>
      </c>
      <c r="G43" s="5" t="str" cm="1">
        <f t="array" aca="1" ref="G43" ca="1">_xll.DBR($C$28,$B43,G$30)</f>
        <v>*KEY_ERR</v>
      </c>
      <c r="H43" s="5" t="str" cm="1">
        <f t="array" aca="1" ref="H43" ca="1">_xll.DBR($C$28,$B43,H$30)</f>
        <v>*KEY_ERR</v>
      </c>
    </row>
    <row r="44" spans="2:18" hidden="1" outlineLevel="1" x14ac:dyDescent="0.25"/>
    <row r="45" spans="2:18" hidden="1" outlineLevel="1" x14ac:dyDescent="0.25"/>
    <row r="46" spans="2:18" hidden="1" outlineLevel="1" x14ac:dyDescent="0.25"/>
    <row r="47" spans="2:18" hidden="1" outlineLevel="1" x14ac:dyDescent="0.25">
      <c r="B47" s="30" t="s">
        <v>45</v>
      </c>
      <c r="C47" s="31"/>
      <c r="D47" s="32"/>
    </row>
    <row r="48" spans="2:18" hidden="1" outlineLevel="1" x14ac:dyDescent="0.25">
      <c r="B48" s="5" t="s">
        <v>46</v>
      </c>
      <c r="C48" s="5" t="str">
        <f ca="1">_xll.TM1RPTVIEW(db_name&amp;":AE adjustments:1", $C$50, _xll.TM1RPTTITLE(db_name&amp;":headline year",$K$76), _xll.TM1RPTTITLE(db_name&amp;":scenario",$K$77), _xll.TM1RPTTITLE(db_name&amp;":status",$K$78), _xll.TM1RPTTITLE(db_name&amp;":outcome",$K$79), _xll.TM1RPTTITLE(db_name&amp;":related entity",$C$56), _xll.TM1RPTTITLE(db_name&amp;":function",$C$51), _xll.TM1RPTTITLE(db_name&amp;":reason",$C$54), _xll.TM1RPTTITLE(db_name&amp;":spp",$C$52), _xll.TM1RPTTITLE(db_name&amp;":appropriation type",$C$55), _xll.TM1RPTTITLE(db_name&amp;":movement account",$K$83), _xll.TM1RPTTITLE(db_name&amp;":appropriation item",$K$80), _xll.TM1RPTTITLE(db_name&amp;":account",$K$82), _xll.TM1RPTTITLE(db_name&amp;":id",$K$81), _xll.TM1RPTTITLE(db_name&amp;":jurisdiction",$C$53),TM1RPTFMTRNG,TM1RPTFMTIDCOL)</f>
        <v>dcceew_geus:AE adjustments:1</v>
      </c>
      <c r="D48" s="5"/>
      <c r="M48" s="5" t="str">
        <f ca="1">RIGHT(psHLYear,9)</f>
        <v/>
      </c>
      <c r="N48" s="5"/>
      <c r="O48" s="5"/>
      <c r="P48" s="5"/>
      <c r="Q48" s="5"/>
      <c r="R48" s="5"/>
    </row>
    <row r="49" spans="2:28" hidden="1" outlineLevel="1" x14ac:dyDescent="0.25">
      <c r="B49" s="5" t="s">
        <v>47</v>
      </c>
      <c r="C49" s="5" t="str">
        <f ca="1">_xll.VIEW(db_name&amp;":AE adjustments",$K$76,$K$77,$K$78,$K$79,$C$56,$C$51,$C$54,$C$52,"!",$C$55,$K$83,$K$80,"!",$K$82,$K$81,$C$53,"!")</f>
        <v>dcceew_geus:AE adjustments</v>
      </c>
      <c r="D49" s="5"/>
      <c r="M49" s="5" t="s">
        <v>57</v>
      </c>
      <c r="N49" s="5">
        <v>-1</v>
      </c>
      <c r="O49" s="5">
        <v>0</v>
      </c>
      <c r="P49" s="5">
        <v>1</v>
      </c>
      <c r="Q49" s="5">
        <v>2</v>
      </c>
      <c r="R49" s="5">
        <v>3</v>
      </c>
      <c r="S49" s="5">
        <v>4</v>
      </c>
      <c r="T49" s="5">
        <v>5</v>
      </c>
      <c r="U49" s="5">
        <v>6</v>
      </c>
      <c r="V49" s="5">
        <v>7</v>
      </c>
      <c r="W49" s="5">
        <v>8</v>
      </c>
      <c r="X49" s="5">
        <v>9</v>
      </c>
      <c r="Y49" s="5">
        <v>10</v>
      </c>
      <c r="Z49" s="5">
        <v>11</v>
      </c>
      <c r="AA49" s="5">
        <v>12</v>
      </c>
      <c r="AB49" s="5">
        <v>13</v>
      </c>
    </row>
    <row r="50" spans="2:28" hidden="1" outlineLevel="1" x14ac:dyDescent="0.25">
      <c r="B50" s="5" t="s">
        <v>76</v>
      </c>
      <c r="C50" s="5">
        <f ca="1">IF($N$78="No",0,1)</f>
        <v>1</v>
      </c>
      <c r="D50" s="5"/>
      <c r="M50" s="5" t="s">
        <v>56</v>
      </c>
      <c r="N50" s="5" t="str" cm="1">
        <f t="array" aca="1" ref="N50" ca="1">_xll.DIMNM(db_name&amp;":period",_xll.DIMIX(db_name&amp;":period",$M$48)+N49)</f>
        <v/>
      </c>
      <c r="O50" s="5" t="str" cm="1">
        <f t="array" aca="1" ref="O50" ca="1">_xll.DIMNM(db_name&amp;":period",_xll.DIMIX(db_name&amp;":period",$M$48)+O49)</f>
        <v/>
      </c>
      <c r="P50" s="5" t="str" cm="1">
        <f t="array" aca="1" ref="P50" ca="1">_xll.DIMNM(db_name&amp;":period",_xll.DIMIX(db_name&amp;":period",$M$48)+P49)</f>
        <v/>
      </c>
      <c r="Q50" s="5" t="str" cm="1">
        <f t="array" aca="1" ref="Q50" ca="1">_xll.DIMNM(db_name&amp;":period",_xll.DIMIX(db_name&amp;":period",$M$48)+Q49)</f>
        <v/>
      </c>
      <c r="R50" s="5" t="str" cm="1">
        <f t="array" aca="1" ref="R50" ca="1">_xll.DIMNM(db_name&amp;":period",_xll.DIMIX(db_name&amp;":period",$M$48)+R49)</f>
        <v/>
      </c>
      <c r="S50" s="5" t="str" cm="1">
        <f t="array" aca="1" ref="S50" ca="1">IF($N$79="No","",_xll.DIMNM(db_name&amp;":period",_xll.DIMIX(db_name&amp;":period",$M$48)+S49))</f>
        <v/>
      </c>
      <c r="T50" s="5" t="str" cm="1">
        <f t="array" aca="1" ref="T50" ca="1">IF($N$79="No","",_xll.DIMNM(db_name&amp;":period",_xll.DIMIX(db_name&amp;":period",$M$48)+T49))</f>
        <v/>
      </c>
      <c r="U50" s="5" t="str" cm="1">
        <f t="array" aca="1" ref="U50" ca="1">IF($N$79="No","",_xll.DIMNM(db_name&amp;":period",_xll.DIMIX(db_name&amp;":period",$M$48)+U49))</f>
        <v/>
      </c>
      <c r="V50" s="5" t="str" cm="1">
        <f t="array" aca="1" ref="V50" ca="1">IF($N$79="No","",_xll.DIMNM(db_name&amp;":period",_xll.DIMIX(db_name&amp;":period",$M$48)+V49))</f>
        <v/>
      </c>
      <c r="W50" s="5" t="str" cm="1">
        <f t="array" aca="1" ref="W50" ca="1">IF($N$79="No","",_xll.DIMNM(db_name&amp;":period",_xll.DIMIX(db_name&amp;":period",$M$48)+W49))</f>
        <v/>
      </c>
      <c r="X50" s="5" t="str" cm="1">
        <f t="array" aca="1" ref="X50" ca="1">IF($N$79="No","",_xll.DIMNM(db_name&amp;":period",_xll.DIMIX(db_name&amp;":period",$M$48)+X49))</f>
        <v/>
      </c>
      <c r="Y50" s="5" t="str" cm="1">
        <f t="array" aca="1" ref="Y50" ca="1">IF($N$79="No","",_xll.DIMNM(db_name&amp;":period",_xll.DIMIX(db_name&amp;":period",$M$48)+Y49))</f>
        <v/>
      </c>
      <c r="Z50" s="5" t="str" cm="1">
        <f t="array" aca="1" ref="Z50" ca="1">IF($N$79="No","",_xll.DIMNM(db_name&amp;":period",_xll.DIMIX(db_name&amp;":period",$M$48)+Z49))</f>
        <v/>
      </c>
      <c r="AA50" s="5" t="str" cm="1">
        <f t="array" aca="1" ref="AA50" ca="1">IF($N$79="No","",_xll.DIMNM(db_name&amp;":period",_xll.DIMIX(db_name&amp;":period",$M$48)+AA49))</f>
        <v/>
      </c>
      <c r="AB50" s="5" t="str" cm="1">
        <f t="array" aca="1" ref="AB50" ca="1">IF($N$79="No","",_xll.DIMNM(db_name&amp;":period",_xll.DIMIX(db_name&amp;":period",$M$48)+AB49))</f>
        <v/>
      </c>
    </row>
    <row r="51" spans="2:28" hidden="1" outlineLevel="1" x14ac:dyDescent="0.25">
      <c r="B51" s="1" t="s">
        <v>8</v>
      </c>
      <c r="C51" s="5" t="str">
        <f ca="1">_xll.SUBNM(db_name&amp;":function","","Total functions")</f>
        <v/>
      </c>
      <c r="D51" s="5"/>
    </row>
    <row r="52" spans="2:28" hidden="1" outlineLevel="1" x14ac:dyDescent="0.25">
      <c r="B52" s="1" t="s">
        <v>9</v>
      </c>
      <c r="C52" s="5" t="str">
        <f ca="1">_xll.SUBNM(db_name&amp;":spp","","Total SPP")</f>
        <v/>
      </c>
      <c r="D52" s="5"/>
    </row>
    <row r="53" spans="2:28" hidden="1" outlineLevel="1" x14ac:dyDescent="0.25">
      <c r="B53" s="1" t="s">
        <v>10</v>
      </c>
      <c r="C53" s="5" t="str">
        <f ca="1">_xll.SUBNM(db_name&amp;":jurisdiction","","Total jurisdictions")</f>
        <v/>
      </c>
      <c r="D53" s="5"/>
    </row>
    <row r="54" spans="2:28" hidden="1" outlineLevel="1" x14ac:dyDescent="0.25">
      <c r="B54" s="1" t="s">
        <v>11</v>
      </c>
      <c r="C54" s="5" t="str">
        <f ca="1">_xll.SUBNM(db_name&amp;":reason","","Total reason","CBMS code and description")</f>
        <v/>
      </c>
      <c r="D54" s="5"/>
    </row>
    <row r="55" spans="2:28" hidden="1" outlineLevel="1" x14ac:dyDescent="0.25">
      <c r="B55" s="1" t="s">
        <v>12</v>
      </c>
      <c r="C55" s="5" t="str">
        <f ca="1">_xll.SUBNM(db_name&amp;":appropriation type","","Total approp types")</f>
        <v/>
      </c>
      <c r="D55" s="5"/>
    </row>
    <row r="56" spans="2:28" hidden="1" outlineLevel="1" x14ac:dyDescent="0.25">
      <c r="B56" s="1" t="s">
        <v>7</v>
      </c>
      <c r="C56" s="5" t="str">
        <f ca="1">_xll.SUBNM(db_name&amp;":related entity","","Total related entity")</f>
        <v/>
      </c>
      <c r="D56" s="5"/>
    </row>
    <row r="57" spans="2:28" hidden="1" outlineLevel="1" x14ac:dyDescent="0.25">
      <c r="B57" s="5" t="s">
        <v>50</v>
      </c>
      <c r="C57" s="5" t="str">
        <f ca="1">IF($N$77="No",$D57,$E57)</f>
        <v>{FILTER( {TM1SORT( { EXCEPT( {TM1FILTERBYLEVEL( {TM1SUBSETALL( [measure code] )}, 0)}, { [measure code].[M00000] }) }, ASC)}, [measure code].[Funding Life] = "terminating")}</v>
      </c>
      <c r="D57" s="5" t="s">
        <v>5</v>
      </c>
      <c r="E57" s="5" t="s">
        <v>81</v>
      </c>
      <c r="F57" s="20"/>
    </row>
    <row r="58" spans="2:28" hidden="1" outlineLevel="1" x14ac:dyDescent="0.25">
      <c r="B58" s="5"/>
      <c r="C58" s="5" t="s">
        <v>53</v>
      </c>
      <c r="D58" s="5" t="s">
        <v>52</v>
      </c>
      <c r="E58" t="s">
        <v>54</v>
      </c>
    </row>
    <row r="59" spans="2:28" hidden="1" outlineLevel="1" x14ac:dyDescent="0.25">
      <c r="B59" s="5" t="s">
        <v>51</v>
      </c>
      <c r="C59" s="5" t="str">
        <f ca="1">IF($N$76="Collapse",$D$59,$E$59)</f>
        <v>{TM1SORT( {TM1FILTERBYLEVEL( {TM1DRILLDOWNMEMBER( {[programme].[]}, ALL, RECURSIVE )}, 0)}, ASC)}</v>
      </c>
      <c r="D59" s="5" t="str">
        <f ca="1">"{[programme].[" &amp; $K$84 &amp;"]}"</f>
        <v>{[programme].[]}</v>
      </c>
      <c r="E59" t="str">
        <f ca="1">"{TM1SORT( {TM1FILTERBYLEVEL( {TM1DRILLDOWNMEMBER( {[programme].[" &amp; $K$84 &amp;"]}, ALL, RECURSIVE )}, 0)}, ASC)}"</f>
        <v>{TM1SORT( {TM1FILTERBYLEVEL( {TM1DRILLDOWNMEMBER( {[programme].[]}, ALL, RECURSIVE )}, 0)}, ASC)}</v>
      </c>
    </row>
    <row r="60" spans="2:28" hidden="1" outlineLevel="1" x14ac:dyDescent="0.25"/>
    <row r="61" spans="2:28" hidden="1" outlineLevel="1" x14ac:dyDescent="0.25">
      <c r="B61" s="30" t="s">
        <v>70</v>
      </c>
      <c r="C61" s="31"/>
      <c r="D61" s="32"/>
    </row>
    <row r="62" spans="2:28" hidden="1" outlineLevel="1" x14ac:dyDescent="0.25">
      <c r="B62" t="s">
        <v>47</v>
      </c>
      <c r="C62" t="str" cm="1">
        <f t="array" aca="1" ref="C62" ca="1">_xll.VIEW(db_name&amp;":}ElementAttributes_measure code","!","!")</f>
        <v>dcceew_geus:}ElementAttributes_measure code</v>
      </c>
    </row>
    <row r="63" spans="2:28" hidden="1" outlineLevel="1" x14ac:dyDescent="0.25"/>
    <row r="64" spans="2:28" hidden="1" outlineLevel="1" x14ac:dyDescent="0.25">
      <c r="B64" s="30" t="s">
        <v>73</v>
      </c>
      <c r="C64" s="31"/>
      <c r="D64" s="32"/>
    </row>
    <row r="65" spans="2:28" hidden="1" outlineLevel="1" x14ac:dyDescent="0.25">
      <c r="B65" t="s">
        <v>47</v>
      </c>
      <c r="C65" t="str" cm="1">
        <f t="array" aca="1" ref="C65" ca="1">_xll.VIEW(db_name&amp;":government measures details",psHLYear,"!","!","!")</f>
        <v>dcceew_geus:government measures details</v>
      </c>
    </row>
    <row r="66" spans="2:28" hidden="1" outlineLevel="1" x14ac:dyDescent="0.25"/>
    <row r="67" spans="2:28" hidden="1" outlineLevel="1" x14ac:dyDescent="0.25"/>
    <row r="68" spans="2:28" hidden="1" outlineLevel="1" x14ac:dyDescent="0.25"/>
    <row r="69" spans="2:28" hidden="1" outlineLevel="1" x14ac:dyDescent="0.25"/>
    <row r="70" spans="2:28" ht="39.75" customHeight="1" collapsed="1" x14ac:dyDescent="0.25">
      <c r="I70" s="17"/>
      <c r="J70" s="17"/>
      <c r="K70" s="17"/>
      <c r="L70" s="17"/>
      <c r="M70" s="17"/>
      <c r="N70" s="17"/>
      <c r="O70" s="17"/>
      <c r="P70" s="17"/>
      <c r="Q70" s="17"/>
      <c r="R70" s="17" t="s">
        <v>74</v>
      </c>
      <c r="S70" s="17"/>
      <c r="T70" s="17"/>
      <c r="U70" s="17"/>
      <c r="V70" s="17"/>
      <c r="W70" s="17"/>
      <c r="X70" s="17"/>
      <c r="Y70" s="17"/>
      <c r="Z70" s="17"/>
      <c r="AA70" s="17"/>
      <c r="AB70" s="17"/>
    </row>
    <row r="71" spans="2:28" ht="4.5" customHeight="1" x14ac:dyDescent="0.25"/>
    <row r="72" spans="2:28" ht="24" customHeight="1" x14ac:dyDescent="0.25"/>
    <row r="73" spans="2:28" ht="1.5" customHeight="1" x14ac:dyDescent="0.25"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</row>
    <row r="74" spans="2:28" ht="4.5" customHeight="1" x14ac:dyDescent="0.25"/>
    <row r="75" spans="2:28" x14ac:dyDescent="0.25">
      <c r="K75" s="10" t="s">
        <v>58</v>
      </c>
      <c r="M75" s="26" t="s">
        <v>59</v>
      </c>
      <c r="N75" s="27"/>
    </row>
    <row r="76" spans="2:28" x14ac:dyDescent="0.25">
      <c r="J76" s="11" t="s">
        <v>60</v>
      </c>
      <c r="K76" s="22" t="str">
        <f ca="1">_xll.SUBNM(db_name&amp;":headline year","",$C$21)</f>
        <v/>
      </c>
      <c r="M76" s="16" t="s">
        <v>55</v>
      </c>
      <c r="N76" s="19" t="str" cm="1">
        <f t="array" aca="1" ref="N76" ca="1">_xll.SUBNM(db_name&amp;":sys_report display","","Expand")</f>
        <v/>
      </c>
    </row>
    <row r="77" spans="2:28" x14ac:dyDescent="0.25">
      <c r="J77" s="11" t="s">
        <v>61</v>
      </c>
      <c r="K77" s="22" t="str">
        <f ca="1">_xll.SUBNM(db_name&amp;":scenario","",$C$22)</f>
        <v/>
      </c>
      <c r="M77" s="11" t="s">
        <v>80</v>
      </c>
      <c r="N77" s="24" t="str" cm="1">
        <f t="array" aca="1" ref="N77" ca="1">_xll.SUBNM(db_name&amp;":sys_YesNo","","No")</f>
        <v/>
      </c>
      <c r="P77" s="18"/>
      <c r="Q77" s="18"/>
      <c r="R77" s="18"/>
      <c r="S77" s="18"/>
    </row>
    <row r="78" spans="2:28" x14ac:dyDescent="0.25">
      <c r="J78" s="11" t="s">
        <v>62</v>
      </c>
      <c r="K78" s="22" t="str">
        <f ca="1">_xll.SUBNM(db_name&amp;":status","","Total approved")</f>
        <v/>
      </c>
      <c r="L78" s="12"/>
      <c r="M78" s="16" t="s">
        <v>75</v>
      </c>
      <c r="N78" s="24" t="str" cm="1">
        <f t="array" aca="1" ref="N78" ca="1">_xll.SUBNM(db_name&amp;":sys_YesNo","","Yes")</f>
        <v/>
      </c>
    </row>
    <row r="79" spans="2:28" x14ac:dyDescent="0.25">
      <c r="J79" s="11" t="s">
        <v>6</v>
      </c>
      <c r="K79" s="22" t="str">
        <f ca="1">_xll.SUBNM(db_name&amp;":outcome","","Total outcomes","code and description")</f>
        <v/>
      </c>
      <c r="L79" s="12"/>
      <c r="M79" s="16" t="s">
        <v>78</v>
      </c>
      <c r="N79" s="24" t="str" cm="1">
        <f t="array" aca="1" ref="N79" ca="1">_xll.SUBNM(db_name&amp;":sys_YesNo","","No")</f>
        <v/>
      </c>
    </row>
    <row r="80" spans="2:28" x14ac:dyDescent="0.25">
      <c r="J80" s="11" t="s">
        <v>63</v>
      </c>
      <c r="K80" s="22" t="str">
        <f ca="1">_xll.SUBNM(db_name&amp;":appropriation item","","Total approp item","code and description")</f>
        <v/>
      </c>
      <c r="L80" s="12"/>
      <c r="M80" s="28" t="s">
        <v>77</v>
      </c>
      <c r="N80" s="28"/>
      <c r="O80" s="28"/>
      <c r="P80" s="28"/>
      <c r="Q80" s="28"/>
      <c r="R80" s="28"/>
      <c r="S80" s="28"/>
    </row>
    <row r="81" spans="1:28" x14ac:dyDescent="0.25">
      <c r="J81" s="11" t="s">
        <v>64</v>
      </c>
      <c r="K81" s="22" t="str">
        <f ca="1">_xll.SUBNM(db_name&amp;":id","","Total IDs")</f>
        <v/>
      </c>
      <c r="L81" s="12"/>
    </row>
    <row r="82" spans="1:28" x14ac:dyDescent="0.25">
      <c r="J82" s="11" t="s">
        <v>65</v>
      </c>
      <c r="K82" s="23" t="str">
        <f ca="1">_xll.SUBNM(db_name&amp;":account","sys_Rep Measure Resourcing","sys_Meas Total Resourcing","code and description")</f>
        <v/>
      </c>
      <c r="L82" s="13"/>
      <c r="M82" s="13"/>
    </row>
    <row r="83" spans="1:28" x14ac:dyDescent="0.25">
      <c r="J83" s="11" t="s">
        <v>66</v>
      </c>
      <c r="K83" s="23" t="str">
        <f ca="1">_xll.SUBNM(db_name&amp;":movement account","sys_Rep Measure Resourcing","sys_Meas Movement Account","code and description")</f>
        <v/>
      </c>
      <c r="L83" s="13"/>
      <c r="M83" s="13"/>
    </row>
    <row r="84" spans="1:28" x14ac:dyDescent="0.25">
      <c r="J84" s="11" t="s">
        <v>67</v>
      </c>
      <c r="K84" s="23" t="str">
        <f ca="1">_xll.SUBNM(db_name&amp;":programme","","Total Programmes","code and description")</f>
        <v/>
      </c>
      <c r="L84" s="13"/>
      <c r="M84" s="13"/>
      <c r="P84" s="21" t="s">
        <v>84</v>
      </c>
      <c r="Q84" s="38">
        <f ca="1">NOW()</f>
        <v>44972.397974768515</v>
      </c>
      <c r="R84" s="38"/>
    </row>
    <row r="85" spans="1:28" ht="4.5" customHeight="1" x14ac:dyDescent="0.25"/>
    <row r="86" spans="1:28" x14ac:dyDescent="0.25">
      <c r="F86" s="29" t="s">
        <v>69</v>
      </c>
      <c r="G86" s="29"/>
      <c r="J86" s="15" t="s">
        <v>79</v>
      </c>
      <c r="N86" s="33" t="s">
        <v>88</v>
      </c>
      <c r="O86" s="34"/>
      <c r="P86" s="34"/>
      <c r="Q86" s="34"/>
      <c r="R86" s="35"/>
    </row>
    <row r="87" spans="1:28" x14ac:dyDescent="0.25">
      <c r="E87" t="s">
        <v>71</v>
      </c>
      <c r="F87" t="s">
        <v>68</v>
      </c>
      <c r="G87" t="s">
        <v>72</v>
      </c>
      <c r="J87" s="36" t="s">
        <v>48</v>
      </c>
      <c r="K87" s="36" t="s">
        <v>49</v>
      </c>
      <c r="L87" s="36" t="s">
        <v>72</v>
      </c>
      <c r="M87" s="39" t="s">
        <v>68</v>
      </c>
      <c r="N87" s="6" t="str">
        <f ca="1">N$50</f>
        <v/>
      </c>
      <c r="O87" s="6" t="str">
        <f ca="1">O$50</f>
        <v/>
      </c>
      <c r="P87" s="6" t="str">
        <f ca="1">P$50</f>
        <v/>
      </c>
      <c r="Q87" s="6" t="str">
        <f ca="1">Q$50</f>
        <v/>
      </c>
      <c r="R87" s="6" t="str">
        <f ca="1">R$50</f>
        <v/>
      </c>
      <c r="S87" s="6" t="str">
        <f t="shared" ref="S87:AB87" ca="1" si="0">S$50</f>
        <v/>
      </c>
      <c r="T87" s="6" t="str">
        <f t="shared" ca="1" si="0"/>
        <v/>
      </c>
      <c r="U87" s="6" t="str">
        <f t="shared" ca="1" si="0"/>
        <v/>
      </c>
      <c r="V87" s="6" t="str">
        <f t="shared" ca="1" si="0"/>
        <v/>
      </c>
      <c r="W87" s="6" t="str">
        <f t="shared" ca="1" si="0"/>
        <v/>
      </c>
      <c r="X87" s="6" t="str">
        <f t="shared" ca="1" si="0"/>
        <v/>
      </c>
      <c r="Y87" s="6" t="str">
        <f t="shared" ca="1" si="0"/>
        <v/>
      </c>
      <c r="Z87" s="6" t="str">
        <f t="shared" ca="1" si="0"/>
        <v/>
      </c>
      <c r="AA87" s="6" t="str">
        <f t="shared" ca="1" si="0"/>
        <v/>
      </c>
      <c r="AB87" s="6" t="str">
        <f t="shared" ca="1" si="0"/>
        <v/>
      </c>
    </row>
    <row r="88" spans="1:28" x14ac:dyDescent="0.25">
      <c r="J88" s="37"/>
      <c r="K88" s="37"/>
      <c r="L88" s="37"/>
      <c r="M88" s="40"/>
      <c r="N88" s="6" t="s">
        <v>83</v>
      </c>
      <c r="O88" s="6" t="s">
        <v>83</v>
      </c>
      <c r="P88" s="6" t="s">
        <v>83</v>
      </c>
      <c r="Q88" s="6" t="s">
        <v>83</v>
      </c>
      <c r="R88" s="6" t="s">
        <v>83</v>
      </c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x14ac:dyDescent="0.25">
      <c r="A89" t="str" cm="1">
        <f t="array" aca="1" ref="A89" ca="1">IF(_xll.TM1RPTELISCONSOLIDATED($K$89,$K89),IF(_xll.TM1RPTELLEV($K$89,$K89)&lt;=3,_xll.TM1RPTELLEV($K$89,$K89),"D"),"N")</f>
        <v>N</v>
      </c>
      <c r="E89" t="str" cm="1">
        <f t="array" aca="1" ref="E89" ca="1">_xll.DIMNM(db_name&amp;":measure code",_xll.DIMIX(db_name&amp;":measure code",$J89))</f>
        <v/>
      </c>
      <c r="F89" t="str" cm="1">
        <f t="array" aca="1" ref="F89" ca="1">_xll.DBR($C$62,$J89,F$87)</f>
        <v>*KEY_ERR</v>
      </c>
      <c r="G89" t="str" cm="1">
        <f t="array" aca="1" ref="G89" ca="1">_xll.DBR($C$62,$J89,G$87)</f>
        <v>*KEY_ERR</v>
      </c>
      <c r="J89" s="25" t="str" cm="1">
        <f t="array" aca="1" ref="J89" ca="1">_xll.TM1RPTROW($C$48,db_name&amp;":measure code","","","CBMS code and description",0,$C$57)</f>
        <v/>
      </c>
      <c r="K89" s="25" t="str" cm="1">
        <f t="array" aca="1" ref="K89" ca="1">_xll.TM1RPTROW($C$48,db_name&amp;":programme","","","code and description",0,$C$59)</f>
        <v/>
      </c>
      <c r="L89" s="14" t="str">
        <f ca="1">$G89</f>
        <v>*KEY_ERR</v>
      </c>
      <c r="M89" s="14" t="str">
        <f ca="1">$F89</f>
        <v>*KEY_ERR</v>
      </c>
      <c r="N89" s="7" t="str" cm="1">
        <f t="array" aca="1" ref="N89" ca="1">_xll.DBRW($C$48,$K$76,$K$77,$K$78,$K$79,$C$56,$C$51,$C$54,$C$52,$J89,$C$55,$K$83,$K$80,$K89,$K$82,$K$81,$C$53,N$50)</f>
        <v/>
      </c>
      <c r="O89" s="7" t="str" cm="1">
        <f t="array" aca="1" ref="O89" ca="1">_xll.DBRW($C$48,$K$76,$K$77,$K$78,$K$79,$C$56,$C$51,$C$54,$C$52,$J89,$C$55,$K$83,$K$80,$K89,$K$82,$K$81,$C$53,O$50)</f>
        <v/>
      </c>
      <c r="P89" s="7" t="str" cm="1">
        <f t="array" aca="1" ref="P89" ca="1">_xll.DBRW($C$48,$K$76,$K$77,$K$78,$K$79,$C$56,$C$51,$C$54,$C$52,$J89,$C$55,$K$83,$K$80,$K89,$K$82,$K$81,$C$53,P$50)</f>
        <v/>
      </c>
      <c r="Q89" s="7" t="str" cm="1">
        <f t="array" aca="1" ref="Q89" ca="1">_xll.DBRW($C$48,$K$76,$K$77,$K$78,$K$79,$C$56,$C$51,$C$54,$C$52,$J89,$C$55,$K$83,$K$80,$K89,$K$82,$K$81,$C$53,Q$50)</f>
        <v/>
      </c>
      <c r="R89" s="7" t="str" cm="1">
        <f t="array" aca="1" ref="R89" ca="1">_xll.DBRW($C$48,$K$76,$K$77,$K$78,$K$79,$C$56,$C$51,$C$54,$C$52,$J89,$C$55,$K$83,$K$80,$K89,$K$82,$K$81,$C$53,R$50)</f>
        <v/>
      </c>
      <c r="S89" s="7" t="str" cm="1">
        <f t="array" aca="1" ref="S89" ca="1">_xll.DBRW($C$48,$K$76,$K$77,$K$78,$K$79,$C$56,$C$51,$C$54,$C$52,$J89,$C$55,$K$83,$K$80,$K89,$K$82,$K$81,$C$53,S$50)</f>
        <v/>
      </c>
      <c r="T89" s="7" t="str" cm="1">
        <f t="array" aca="1" ref="T89" ca="1">_xll.DBRW($C$48,$K$76,$K$77,$K$78,$K$79,$C$56,$C$51,$C$54,$C$52,$J89,$C$55,$K$83,$K$80,$K89,$K$82,$K$81,$C$53,T$50)</f>
        <v/>
      </c>
      <c r="U89" s="7" t="str" cm="1">
        <f t="array" aca="1" ref="U89" ca="1">_xll.DBRW($C$48,$K$76,$K$77,$K$78,$K$79,$C$56,$C$51,$C$54,$C$52,$J89,$C$55,$K$83,$K$80,$K89,$K$82,$K$81,$C$53,U$50)</f>
        <v/>
      </c>
      <c r="V89" s="7" t="str" cm="1">
        <f t="array" aca="1" ref="V89" ca="1">_xll.DBRW($C$48,$K$76,$K$77,$K$78,$K$79,$C$56,$C$51,$C$54,$C$52,$J89,$C$55,$K$83,$K$80,$K89,$K$82,$K$81,$C$53,V$50)</f>
        <v/>
      </c>
      <c r="W89" s="7" t="str" cm="1">
        <f t="array" aca="1" ref="W89" ca="1">_xll.DBRW($C$48,$K$76,$K$77,$K$78,$K$79,$C$56,$C$51,$C$54,$C$52,$J89,$C$55,$K$83,$K$80,$K89,$K$82,$K$81,$C$53,W$50)</f>
        <v/>
      </c>
      <c r="X89" s="7" t="str" cm="1">
        <f t="array" aca="1" ref="X89" ca="1">_xll.DBRW($C$48,$K$76,$K$77,$K$78,$K$79,$C$56,$C$51,$C$54,$C$52,$J89,$C$55,$K$83,$K$80,$K89,$K$82,$K$81,$C$53,X$50)</f>
        <v/>
      </c>
      <c r="Y89" s="7" t="str" cm="1">
        <f t="array" aca="1" ref="Y89" ca="1">_xll.DBRW($C$48,$K$76,$K$77,$K$78,$K$79,$C$56,$C$51,$C$54,$C$52,$J89,$C$55,$K$83,$K$80,$K89,$K$82,$K$81,$C$53,Y$50)</f>
        <v/>
      </c>
      <c r="Z89" s="7" t="str" cm="1">
        <f t="array" aca="1" ref="Z89" ca="1">_xll.DBRW($C$48,$K$76,$K$77,$K$78,$K$79,$C$56,$C$51,$C$54,$C$52,$J89,$C$55,$K$83,$K$80,$K89,$K$82,$K$81,$C$53,Z$50)</f>
        <v/>
      </c>
      <c r="AA89" s="7" t="str" cm="1">
        <f t="array" aca="1" ref="AA89" ca="1">_xll.DBRW($C$48,$K$76,$K$77,$K$78,$K$79,$C$56,$C$51,$C$54,$C$52,$J89,$C$55,$K$83,$K$80,$K89,$K$82,$K$81,$C$53,AA$50)</f>
        <v/>
      </c>
      <c r="AB89" s="7" t="str" cm="1">
        <f t="array" aca="1" ref="AB89" ca="1">_xll.DBRW($C$48,$K$76,$K$77,$K$78,$K$79,$C$56,$C$51,$C$54,$C$52,$J89,$C$55,$K$83,$K$80,$K89,$K$82,$K$81,$C$53,AB$50)</f>
        <v/>
      </c>
    </row>
    <row r="90" spans="1:28" ht="4.5" customHeight="1" x14ac:dyDescent="0.25"/>
    <row r="91" spans="1:28" x14ac:dyDescent="0.25">
      <c r="P91" s="21" t="s">
        <v>84</v>
      </c>
      <c r="Q91" s="38">
        <f ca="1">NOW()</f>
        <v>44972.397974768515</v>
      </c>
      <c r="R91" s="38"/>
    </row>
  </sheetData>
  <sheetProtection sheet="1" objects="1" scenarios="1"/>
  <mergeCells count="16">
    <mergeCell ref="Q91:R91"/>
    <mergeCell ref="K87:K88"/>
    <mergeCell ref="L87:L88"/>
    <mergeCell ref="M87:M88"/>
    <mergeCell ref="Q84:R84"/>
    <mergeCell ref="B11:D11"/>
    <mergeCell ref="B19:D19"/>
    <mergeCell ref="B27:D27"/>
    <mergeCell ref="B47:D47"/>
    <mergeCell ref="J87:J88"/>
    <mergeCell ref="M75:N75"/>
    <mergeCell ref="M80:S80"/>
    <mergeCell ref="F86:G86"/>
    <mergeCell ref="B61:D61"/>
    <mergeCell ref="B64:D64"/>
    <mergeCell ref="N86:R86"/>
  </mergeCells>
  <conditionalFormatting sqref="L2:L7">
    <cfRule type="containsText" dxfId="4" priority="79" operator="containsText" text="term">
      <formula>NOT(ISERROR(SEARCH("term",L2)))</formula>
    </cfRule>
  </conditionalFormatting>
  <conditionalFormatting sqref="L89">
    <cfRule type="containsText" dxfId="3" priority="1" operator="containsText" text="term">
      <formula>NOT(ISERROR(SEARCH("term",L89)))</formula>
    </cfRule>
  </conditionalFormatting>
  <conditionalFormatting sqref="S2:AB7">
    <cfRule type="expression" dxfId="2" priority="91">
      <formula>$N$79="No"</formula>
    </cfRule>
  </conditionalFormatting>
  <conditionalFormatting sqref="S87:AB88">
    <cfRule type="expression" dxfId="1" priority="92">
      <formula>$N$79="No"</formula>
    </cfRule>
  </conditionalFormatting>
  <conditionalFormatting sqref="S89:AB89">
    <cfRule type="expression" dxfId="0" priority="2">
      <formula>$N$79="No"</formula>
    </cfRule>
  </conditionalFormatting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drawing r:id="rId2"/>
  <legacyDrawing r:id="rId3"/>
  <controls>
    <mc:AlternateContent xmlns:mc="http://schemas.openxmlformats.org/markup-compatibility/2006">
      <mc:Choice Requires="x14">
        <control shapeId="1034" r:id="rId4" name="TIButton7">
          <controlPr defaultSize="0" print="0" autoLine="0" r:id="rId5">
            <anchor moveWithCells="1" sizeWithCells="1">
              <from>
                <xdr:col>10</xdr:col>
                <xdr:colOff>742950</xdr:colOff>
                <xdr:row>71</xdr:row>
                <xdr:rowOff>0</xdr:rowOff>
              </from>
              <to>
                <xdr:col>10</xdr:col>
                <xdr:colOff>1676400</xdr:colOff>
                <xdr:row>71</xdr:row>
                <xdr:rowOff>247650</xdr:rowOff>
              </to>
            </anchor>
          </controlPr>
        </control>
      </mc:Choice>
      <mc:Fallback>
        <control shapeId="1034" r:id="rId4" name="TIButton7"/>
      </mc:Fallback>
    </mc:AlternateContent>
    <mc:AlternateContent xmlns:mc="http://schemas.openxmlformats.org/markup-compatibility/2006">
      <mc:Choice Requires="x14">
        <control shapeId="1032" r:id="rId6" name="TIButton5">
          <controlPr defaultSize="0" print="0" autoLine="0" r:id="rId7">
            <anchor moveWithCells="1" sizeWithCells="1">
              <from>
                <xdr:col>9</xdr:col>
                <xdr:colOff>1857375</xdr:colOff>
                <xdr:row>71</xdr:row>
                <xdr:rowOff>0</xdr:rowOff>
              </from>
              <to>
                <xdr:col>9</xdr:col>
                <xdr:colOff>3209925</xdr:colOff>
                <xdr:row>71</xdr:row>
                <xdr:rowOff>247650</xdr:rowOff>
              </to>
            </anchor>
          </controlPr>
        </control>
      </mc:Choice>
      <mc:Fallback>
        <control shapeId="1032" r:id="rId6" name="TIButton5"/>
      </mc:Fallback>
    </mc:AlternateContent>
    <mc:AlternateContent xmlns:mc="http://schemas.openxmlformats.org/markup-compatibility/2006">
      <mc:Choice Requires="x14">
        <control shapeId="1031" r:id="rId8" name="TIButton1">
          <controlPr defaultSize="0" print="0" autoLine="0" r:id="rId9">
            <anchor moveWithCells="1" sizeWithCells="1">
              <from>
                <xdr:col>9</xdr:col>
                <xdr:colOff>704850</xdr:colOff>
                <xdr:row>71</xdr:row>
                <xdr:rowOff>0</xdr:rowOff>
              </from>
              <to>
                <xdr:col>9</xdr:col>
                <xdr:colOff>1828800</xdr:colOff>
                <xdr:row>71</xdr:row>
                <xdr:rowOff>247650</xdr:rowOff>
              </to>
            </anchor>
          </controlPr>
        </control>
      </mc:Choice>
      <mc:Fallback>
        <control shapeId="1031" r:id="rId8" name="TIButton1"/>
      </mc:Fallback>
    </mc:AlternateContent>
    <mc:AlternateContent xmlns:mc="http://schemas.openxmlformats.org/markup-compatibility/2006">
      <mc:Choice Requires="x14">
        <control shapeId="1030" r:id="rId10" name="TIButton3">
          <controlPr defaultSize="0" print="0" autoLine="0" r:id="rId11">
            <anchor moveWithCells="1" sizeWithCells="1">
              <from>
                <xdr:col>10</xdr:col>
                <xdr:colOff>1714500</xdr:colOff>
                <xdr:row>71</xdr:row>
                <xdr:rowOff>0</xdr:rowOff>
              </from>
              <to>
                <xdr:col>10</xdr:col>
                <xdr:colOff>2495550</xdr:colOff>
                <xdr:row>71</xdr:row>
                <xdr:rowOff>247650</xdr:rowOff>
              </to>
            </anchor>
          </controlPr>
        </control>
      </mc:Choice>
      <mc:Fallback>
        <control shapeId="1030" r:id="rId10" name="TIButton3"/>
      </mc:Fallback>
    </mc:AlternateContent>
    <mc:AlternateContent xmlns:mc="http://schemas.openxmlformats.org/markup-compatibility/2006">
      <mc:Choice Requires="x14">
        <control shapeId="1029" r:id="rId12" name="TIButton4">
          <controlPr defaultSize="0" print="0" autoLine="0" r:id="rId13">
            <anchor moveWithCells="1" sizeWithCells="1">
              <from>
                <xdr:col>9</xdr:col>
                <xdr:colOff>28575</xdr:colOff>
                <xdr:row>71</xdr:row>
                <xdr:rowOff>0</xdr:rowOff>
              </from>
              <to>
                <xdr:col>9</xdr:col>
                <xdr:colOff>666750</xdr:colOff>
                <xdr:row>71</xdr:row>
                <xdr:rowOff>247650</xdr:rowOff>
              </to>
            </anchor>
          </controlPr>
        </control>
      </mc:Choice>
      <mc:Fallback>
        <control shapeId="1029" r:id="rId12" name="TIButton4"/>
      </mc:Fallback>
    </mc:AlternateContent>
    <mc:AlternateContent xmlns:mc="http://schemas.openxmlformats.org/markup-compatibility/2006">
      <mc:Choice Requires="x14">
        <control shapeId="1028" r:id="rId14" name="TIButton2">
          <controlPr defaultSize="0" print="0" autoLine="0" r:id="rId15">
            <anchor moveWithCells="1" sizeWithCells="1">
              <from>
                <xdr:col>17</xdr:col>
                <xdr:colOff>533400</xdr:colOff>
                <xdr:row>70</xdr:row>
                <xdr:rowOff>28575</xdr:rowOff>
              </from>
              <to>
                <xdr:col>17</xdr:col>
                <xdr:colOff>847725</xdr:colOff>
                <xdr:row>71</xdr:row>
                <xdr:rowOff>285750</xdr:rowOff>
              </to>
            </anchor>
          </controlPr>
        </control>
      </mc:Choice>
      <mc:Fallback>
        <control shapeId="1028" r:id="rId14" name="TIButton2"/>
      </mc:Fallback>
    </mc:AlternateContent>
    <mc:AlternateContent xmlns:mc="http://schemas.openxmlformats.org/markup-compatibility/2006">
      <mc:Choice Requires="x14">
        <control shapeId="1036" r:id="rId16" name="TIButton8">
          <controlPr defaultSize="0" print="0" autoLine="0" r:id="rId17">
            <anchor moveWithCells="1" sizeWithCells="1">
              <from>
                <xdr:col>9</xdr:col>
                <xdr:colOff>3248025</xdr:colOff>
                <xdr:row>71</xdr:row>
                <xdr:rowOff>0</xdr:rowOff>
              </from>
              <to>
                <xdr:col>10</xdr:col>
                <xdr:colOff>685800</xdr:colOff>
                <xdr:row>71</xdr:row>
                <xdr:rowOff>247650</xdr:rowOff>
              </to>
            </anchor>
          </controlPr>
        </control>
      </mc:Choice>
      <mc:Fallback>
        <control shapeId="1036" r:id="rId16" name="TIButton8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47</vt:i4>
      </vt:variant>
    </vt:vector>
  </HeadingPairs>
  <TitlesOfParts>
    <vt:vector size="48" baseType="lpstr">
      <vt:lpstr>measure</vt:lpstr>
      <vt:lpstr>db_name</vt:lpstr>
      <vt:lpstr>psApp</vt:lpstr>
      <vt:lpstr>psHLYear</vt:lpstr>
      <vt:lpstr>psScenario</vt:lpstr>
      <vt:lpstr>psUser</vt:lpstr>
      <vt:lpstr>TM1HomeAdminCAP</vt:lpstr>
      <vt:lpstr>TM1HomeAdminWB</vt:lpstr>
      <vt:lpstr>TM1HomeAdminWS</vt:lpstr>
      <vt:lpstr>TM1HomeAECAP</vt:lpstr>
      <vt:lpstr>TM1HomeAEWB</vt:lpstr>
      <vt:lpstr>TM1HomeAEWS</vt:lpstr>
      <vt:lpstr>TM1HomeCAP</vt:lpstr>
      <vt:lpstr>TM1HomeRepAnalyticalCAP</vt:lpstr>
      <vt:lpstr>TM1HomeRepAnalyticalWB</vt:lpstr>
      <vt:lpstr>TM1HomeRepAnalyticalWS</vt:lpstr>
      <vt:lpstr>TM1HomeRepCAP</vt:lpstr>
      <vt:lpstr>TM1HomeRepOtherCAP</vt:lpstr>
      <vt:lpstr>TM1HomeRepOtherWB</vt:lpstr>
      <vt:lpstr>TM1HomeRepOtherWS</vt:lpstr>
      <vt:lpstr>TM1HomeRepWB</vt:lpstr>
      <vt:lpstr>TM1HomeRepWS</vt:lpstr>
      <vt:lpstr>TM1HomeWB</vt:lpstr>
      <vt:lpstr>TM1HomeWS</vt:lpstr>
      <vt:lpstr>TM1OthRprMeasRecoCAP</vt:lpstr>
      <vt:lpstr>TM1OthRprMeasRecoWB</vt:lpstr>
      <vt:lpstr>TM1OthRprMeasRecoWS</vt:lpstr>
      <vt:lpstr>TM1OthRprTBalAccCAP</vt:lpstr>
      <vt:lpstr>TM1OthRprTBalAccWB</vt:lpstr>
      <vt:lpstr>TM1OthRprTBalAccWS</vt:lpstr>
      <vt:lpstr>TM1OthRprTBalCAP</vt:lpstr>
      <vt:lpstr>TM1OthRprTBalDetailCAP</vt:lpstr>
      <vt:lpstr>TM1OthRprTBalDetailWB</vt:lpstr>
      <vt:lpstr>TM1OthRprTBalDetailWS</vt:lpstr>
      <vt:lpstr>TM1OthRprTBalDrillCAP</vt:lpstr>
      <vt:lpstr>TM1OthRprTBalDrillWB</vt:lpstr>
      <vt:lpstr>TM1OthRprTBalDrillWS</vt:lpstr>
      <vt:lpstr>TM1OthRprTBalWB</vt:lpstr>
      <vt:lpstr>TM1OthRprTBalWS</vt:lpstr>
      <vt:lpstr>measure!TM1RPTDATARNG1</vt:lpstr>
      <vt:lpstr>measure!TM1RPTFMTIDCOL</vt:lpstr>
      <vt:lpstr>measure!TM1RPTFMTRNG</vt:lpstr>
      <vt:lpstr>TM1ViewMeas01HeaderCAP</vt:lpstr>
      <vt:lpstr>TM1ViewMeas01HeaderWB</vt:lpstr>
      <vt:lpstr>TM1ViewMeas01HeaderWS</vt:lpstr>
      <vt:lpstr>TM1ViewMeas03AdjCAP</vt:lpstr>
      <vt:lpstr>TM1ViewMeas03AdjWB</vt:lpstr>
      <vt:lpstr>TM1ViewMeas03AdjWS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Xin HE</cp:lastModifiedBy>
  <cp:lastPrinted>2019-09-18T08:14:42Z</cp:lastPrinted>
  <dcterms:created xsi:type="dcterms:W3CDTF">2019-08-04T23:56:16Z</dcterms:created>
  <dcterms:modified xsi:type="dcterms:W3CDTF">2025-08-05T04:42:03Z</dcterms:modified>
</cp:coreProperties>
</file>