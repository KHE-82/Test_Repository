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prod\DCCEEW_GEUS\EC Files\20231130 Report\"/>
    </mc:Choice>
  </mc:AlternateContent>
  <bookViews>
    <workbookView xWindow="0" yWindow="0" windowWidth="28800" windowHeight="11100"/>
  </bookViews>
  <sheets>
    <sheet name="report" sheetId="1" r:id="rId1"/>
  </sheets>
  <definedNames>
    <definedName name="db_name">report!$C$12</definedName>
    <definedName name="PL_progtype_list">report!$B$68:$B$69</definedName>
    <definedName name="PL_progtype_lookup">report!$B$68:$D$69</definedName>
    <definedName name="psApp">report!$C$27</definedName>
    <definedName name="psProgDimName">report!$C$23</definedName>
    <definedName name="psUser">report!$C$14</definedName>
    <definedName name="TargetCells">report!$N$136:$N$136</definedName>
    <definedName name="TM1AdjIDListCAP">report!$D$35</definedName>
    <definedName name="TM1AdjIDListWB">report!$F$35</definedName>
    <definedName name="TM1HomeAECAP">report!$D$30</definedName>
    <definedName name="TM1HomeAEWB">report!$F$30</definedName>
    <definedName name="TM1HomeAEWS">report!$H$30</definedName>
    <definedName name="TM1HomeCAP">report!$D$29</definedName>
    <definedName name="TM1HomeRepAnalyticalCAP">report!$D$33</definedName>
    <definedName name="TM1HomeRepAnalyticalWB">report!$F$33</definedName>
    <definedName name="TM1HomeRepAnalyticalWS">report!$H$33</definedName>
    <definedName name="TM1HomeRepCAP">report!$D$31</definedName>
    <definedName name="TM1HomeRepOtherCAP">report!$D$32</definedName>
    <definedName name="TM1HomeRepOtherWB">report!$F$32</definedName>
    <definedName name="TM1HomeRepOtherWS">report!$H$32</definedName>
    <definedName name="TM1HomeRepWB">report!$F$31</definedName>
    <definedName name="TM1HomeRepWS">report!$H$31</definedName>
    <definedName name="TM1HomeWB">report!$F$29</definedName>
    <definedName name="TM1HomeWS">report!$H$29</definedName>
    <definedName name="TM1IDListWS">report!$H$35</definedName>
    <definedName name="TM1OthRprTBalDrillCAP">report!$D$34</definedName>
    <definedName name="TM1OthRprTBalDrillWB">report!$F$34</definedName>
    <definedName name="TM1OthRprTBalDrillWS">report!$H$34</definedName>
    <definedName name="TM1REBUILDOPTION">0</definedName>
    <definedName name="TM1RPTDATARNG1" localSheetId="0">report!$130:$130</definedName>
    <definedName name="TM1RPTDATARNGARPT1" localSheetId="0">report!$133:$133</definedName>
    <definedName name="TM1RPTDATARNGARPT2" localSheetId="0">report!$136:$136</definedName>
    <definedName name="TM1RPTFMTIDCOL" localSheetId="0">report!$A$1:$A$8</definedName>
    <definedName name="TM1RPTFMTRNG" localSheetId="0">report!$B$1:$AL$8</definedName>
    <definedName name="TM1ViewAdj01HeaderCAP">report!$D$36</definedName>
    <definedName name="TM1ViewAdj01HeaderWB">report!$F$36</definedName>
    <definedName name="TM1ViewAdj01HeaderWS">report!$H$36</definedName>
  </definedNames>
  <calcPr calcId="162913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 a="1"/>
  <c r="C20" i="1"/>
  <c r="D23" i="1" a="1"/>
  <c r="D23" i="1"/>
  <c r="C23" i="1"/>
  <c r="O109" i="1" a="1"/>
  <c r="O109" i="1"/>
  <c r="O110" i="1" a="1"/>
  <c r="O110" i="1"/>
  <c r="C40" i="1" a="1"/>
  <c r="C40" i="1"/>
  <c r="D21" i="1" a="1"/>
  <c r="D21" i="1"/>
  <c r="Z115" i="1" a="1"/>
  <c r="Z115" i="1"/>
  <c r="D22" i="1" a="1"/>
  <c r="D22" i="1"/>
  <c r="Z116" i="1" a="1"/>
  <c r="O108" i="1" a="1"/>
  <c r="O108" i="1"/>
  <c r="C46" i="1" a="1"/>
  <c r="C47" i="1" a="1"/>
  <c r="U109" i="1" a="1"/>
  <c r="U109" i="1"/>
  <c r="C48" i="1" a="1"/>
  <c r="C48" i="1"/>
  <c r="D83" i="1"/>
  <c r="D84" i="1"/>
  <c r="D82" i="1"/>
  <c r="U108" i="1" a="1"/>
  <c r="U108" i="1"/>
  <c r="D72" i="1"/>
  <c r="P133" i="1" a="1"/>
  <c r="C49" i="1" a="1"/>
  <c r="C50" i="1" a="1"/>
  <c r="O111" i="1" a="1"/>
  <c r="C53" i="1" a="1"/>
  <c r="C54" i="1" a="1"/>
  <c r="C54" i="1"/>
  <c r="D79" i="1"/>
  <c r="D80" i="1"/>
  <c r="D78" i="1"/>
  <c r="O133" i="1" a="1"/>
  <c r="C55" i="1" a="1"/>
  <c r="E64" i="1"/>
  <c r="D64" i="1"/>
  <c r="N133" i="1" a="1"/>
  <c r="V109" i="1" a="1"/>
  <c r="V109" i="1"/>
  <c r="C58" i="1" a="1"/>
  <c r="C58" i="1"/>
  <c r="D87" i="1"/>
  <c r="D88" i="1"/>
  <c r="D86" i="1"/>
  <c r="Q133" i="1" a="1"/>
  <c r="O112" i="1" a="1"/>
  <c r="C21" i="1" a="1"/>
  <c r="C21" i="1"/>
  <c r="S115" i="1" a="1"/>
  <c r="S115" i="1"/>
  <c r="N20" i="1"/>
  <c r="AE20" i="1" a="1"/>
  <c r="Z116" i="1"/>
  <c r="C46" i="1"/>
  <c r="C47" i="1"/>
  <c r="P133" i="1"/>
  <c r="C49" i="1"/>
  <c r="C50" i="1"/>
  <c r="O111" i="1"/>
  <c r="C53" i="1"/>
  <c r="O133" i="1"/>
  <c r="C55" i="1"/>
  <c r="N133" i="1"/>
  <c r="Q133" i="1"/>
  <c r="O112" i="1"/>
  <c r="AE20" i="1"/>
  <c r="AE133" i="1" a="1"/>
  <c r="AE133" i="1"/>
  <c r="AD20" i="1" a="1"/>
  <c r="AD20" i="1"/>
  <c r="AD133" i="1" a="1"/>
  <c r="AD133" i="1"/>
  <c r="AC20" i="1" a="1"/>
  <c r="AC20" i="1"/>
  <c r="AC133" i="1" a="1"/>
  <c r="AC133" i="1"/>
  <c r="AB20" i="1" a="1"/>
  <c r="AB20" i="1"/>
  <c r="AB133" i="1" a="1"/>
  <c r="AB133" i="1"/>
  <c r="AA20" i="1" a="1"/>
  <c r="AA20" i="1"/>
  <c r="AA133" i="1" a="1"/>
  <c r="AA133" i="1"/>
  <c r="E65" i="1"/>
  <c r="E63" i="1"/>
  <c r="U110" i="1" a="1"/>
  <c r="U110" i="1"/>
  <c r="D65" i="1"/>
  <c r="C39" i="1" a="1"/>
  <c r="C39" i="1"/>
  <c r="V108" i="1" a="1"/>
  <c r="V108" i="1"/>
  <c r="C87" i="1"/>
  <c r="C88" i="1"/>
  <c r="C86" i="1"/>
  <c r="Q130" i="1" a="1"/>
  <c r="Q130" i="1"/>
  <c r="D63" i="1"/>
  <c r="N130" i="1" a="1"/>
  <c r="N130" i="1"/>
  <c r="C22" i="1" a="1"/>
  <c r="C22" i="1"/>
  <c r="S116" i="1" a="1"/>
  <c r="S116" i="1"/>
  <c r="C41" i="1" a="1"/>
  <c r="C41" i="1"/>
  <c r="C26" i="1" a="1"/>
  <c r="C26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F65" i="1"/>
  <c r="F64" i="1"/>
  <c r="F63" i="1"/>
  <c r="E83" i="1"/>
  <c r="E84" i="1"/>
  <c r="E82" i="1"/>
  <c r="D73" i="1"/>
  <c r="P136" i="1" a="1"/>
  <c r="E79" i="1"/>
  <c r="E80" i="1"/>
  <c r="E78" i="1"/>
  <c r="O136" i="1" a="1"/>
  <c r="V110" i="1" a="1"/>
  <c r="V110" i="1"/>
  <c r="E87" i="1"/>
  <c r="E88" i="1"/>
  <c r="E86" i="1"/>
  <c r="Q136" i="1" a="1"/>
  <c r="X20" i="1" a="1"/>
  <c r="P136" i="1"/>
  <c r="O136" i="1"/>
  <c r="Q136" i="1"/>
  <c r="X20" i="1"/>
  <c r="W20" i="1" a="1"/>
  <c r="W20" i="1"/>
  <c r="V20" i="1" a="1"/>
  <c r="V20" i="1"/>
  <c r="U20" i="1" a="1"/>
  <c r="U20" i="1"/>
  <c r="T20" i="1" a="1"/>
  <c r="T20" i="1"/>
  <c r="S20" i="1" a="1"/>
  <c r="S20" i="1"/>
  <c r="Z20" i="1" a="1"/>
  <c r="Z20" i="1"/>
  <c r="C83" i="1"/>
  <c r="C84" i="1"/>
  <c r="C82" i="1"/>
  <c r="D71" i="1"/>
  <c r="P130" i="1" a="1"/>
  <c r="P130" i="1"/>
  <c r="C79" i="1"/>
  <c r="C80" i="1"/>
  <c r="C78" i="1"/>
  <c r="O130" i="1" a="1"/>
  <c r="O130" i="1"/>
  <c r="AL20" i="1" a="1"/>
  <c r="AL20" i="1"/>
  <c r="AL125" i="1"/>
  <c r="AK20" i="1" a="1"/>
  <c r="AK20" i="1"/>
  <c r="AK125" i="1"/>
  <c r="AJ20" i="1" a="1"/>
  <c r="AJ20" i="1"/>
  <c r="AJ125" i="1"/>
  <c r="AI20" i="1" a="1"/>
  <c r="AI20" i="1"/>
  <c r="AI125" i="1"/>
  <c r="AH20" i="1" a="1"/>
  <c r="AH20" i="1"/>
  <c r="AH125" i="1"/>
  <c r="AG20" i="1" a="1"/>
  <c r="AG20" i="1"/>
  <c r="AG125" i="1"/>
  <c r="AE125" i="1"/>
  <c r="AD125" i="1"/>
  <c r="AC125" i="1"/>
  <c r="AB125" i="1"/>
  <c r="AA125" i="1"/>
  <c r="Z125" i="1"/>
  <c r="C42" i="1" a="1"/>
  <c r="C42" i="1"/>
  <c r="T125" i="1"/>
  <c r="AA123" i="1" a="1"/>
  <c r="AA123" i="1"/>
  <c r="AA122" i="1" a="1"/>
  <c r="AA122" i="1"/>
  <c r="AA121" i="1" a="1"/>
  <c r="AA121" i="1"/>
  <c r="AA120" i="1" a="1"/>
  <c r="AA120" i="1"/>
  <c r="AA119" i="1" a="1"/>
  <c r="AA119" i="1"/>
  <c r="AA118" i="1"/>
  <c r="T123" i="1" a="1"/>
  <c r="T123" i="1"/>
  <c r="AH123" i="1"/>
  <c r="T122" i="1" a="1"/>
  <c r="T122" i="1"/>
  <c r="AH122" i="1"/>
  <c r="T121" i="1" a="1"/>
  <c r="T121" i="1"/>
  <c r="AH121" i="1"/>
  <c r="T120" i="1" a="1"/>
  <c r="T120" i="1"/>
  <c r="AH120" i="1"/>
  <c r="T119" i="1" a="1"/>
  <c r="T119" i="1"/>
  <c r="AH119" i="1"/>
  <c r="AH118" i="1"/>
  <c r="T118" i="1"/>
  <c r="X123" i="1" a="1"/>
  <c r="X123" i="1"/>
  <c r="AE123" i="1" a="1"/>
  <c r="AE123" i="1"/>
  <c r="AL123" i="1"/>
  <c r="W123" i="1" a="1"/>
  <c r="W123" i="1"/>
  <c r="AD123" i="1" a="1"/>
  <c r="AD123" i="1"/>
  <c r="AK123" i="1"/>
  <c r="V123" i="1" a="1"/>
  <c r="V123" i="1"/>
  <c r="AC123" i="1" a="1"/>
  <c r="AC123" i="1"/>
  <c r="AJ123" i="1"/>
  <c r="U123" i="1" a="1"/>
  <c r="U123" i="1"/>
  <c r="AB123" i="1" a="1"/>
  <c r="AB123" i="1"/>
  <c r="AI123" i="1"/>
  <c r="S123" i="1" a="1"/>
  <c r="S123" i="1"/>
  <c r="Z123" i="1" a="1"/>
  <c r="Z123" i="1"/>
  <c r="AG123" i="1"/>
  <c r="X122" i="1" a="1"/>
  <c r="X122" i="1"/>
  <c r="AE122" i="1" a="1"/>
  <c r="AE122" i="1"/>
  <c r="AL122" i="1"/>
  <c r="W122" i="1" a="1"/>
  <c r="W122" i="1"/>
  <c r="AD122" i="1" a="1"/>
  <c r="AD122" i="1"/>
  <c r="AK122" i="1"/>
  <c r="V122" i="1" a="1"/>
  <c r="V122" i="1"/>
  <c r="AC122" i="1" a="1"/>
  <c r="AC122" i="1"/>
  <c r="AJ122" i="1"/>
  <c r="U122" i="1" a="1"/>
  <c r="U122" i="1"/>
  <c r="AB122" i="1" a="1"/>
  <c r="AB122" i="1"/>
  <c r="AI122" i="1"/>
  <c r="S122" i="1" a="1"/>
  <c r="S122" i="1"/>
  <c r="Z122" i="1" a="1"/>
  <c r="Z122" i="1"/>
  <c r="AG122" i="1"/>
  <c r="X121" i="1" a="1"/>
  <c r="X121" i="1"/>
  <c r="AE121" i="1" a="1"/>
  <c r="AE121" i="1"/>
  <c r="AL121" i="1"/>
  <c r="W121" i="1" a="1"/>
  <c r="W121" i="1"/>
  <c r="AD121" i="1" a="1"/>
  <c r="AD121" i="1"/>
  <c r="AK121" i="1"/>
  <c r="V121" i="1" a="1"/>
  <c r="V121" i="1"/>
  <c r="AC121" i="1" a="1"/>
  <c r="AC121" i="1"/>
  <c r="AJ121" i="1"/>
  <c r="U121" i="1" a="1"/>
  <c r="U121" i="1"/>
  <c r="AB121" i="1" a="1"/>
  <c r="AB121" i="1"/>
  <c r="AI121" i="1"/>
  <c r="S121" i="1" a="1"/>
  <c r="S121" i="1"/>
  <c r="Z121" i="1" a="1"/>
  <c r="Z121" i="1"/>
  <c r="AG121" i="1"/>
  <c r="X120" i="1" a="1"/>
  <c r="X120" i="1"/>
  <c r="AE120" i="1" a="1"/>
  <c r="AE120" i="1"/>
  <c r="AL120" i="1"/>
  <c r="W120" i="1" a="1"/>
  <c r="W120" i="1"/>
  <c r="AD120" i="1" a="1"/>
  <c r="AD120" i="1"/>
  <c r="AK120" i="1"/>
  <c r="V120" i="1" a="1"/>
  <c r="V120" i="1"/>
  <c r="AC120" i="1" a="1"/>
  <c r="AC120" i="1"/>
  <c r="AJ120" i="1"/>
  <c r="U120" i="1" a="1"/>
  <c r="U120" i="1"/>
  <c r="AB120" i="1" a="1"/>
  <c r="AB120" i="1"/>
  <c r="AI120" i="1"/>
  <c r="S120" i="1" a="1"/>
  <c r="S120" i="1"/>
  <c r="Z120" i="1" a="1"/>
  <c r="Z120" i="1"/>
  <c r="AG120" i="1"/>
  <c r="X119" i="1" a="1"/>
  <c r="X119" i="1"/>
  <c r="AE119" i="1" a="1"/>
  <c r="AE119" i="1"/>
  <c r="AL119" i="1"/>
  <c r="W119" i="1" a="1"/>
  <c r="W119" i="1"/>
  <c r="AD119" i="1" a="1"/>
  <c r="AD119" i="1"/>
  <c r="AK119" i="1"/>
  <c r="V119" i="1" a="1"/>
  <c r="V119" i="1"/>
  <c r="AC119" i="1" a="1"/>
  <c r="AC119" i="1"/>
  <c r="AJ119" i="1"/>
  <c r="U119" i="1" a="1"/>
  <c r="U119" i="1"/>
  <c r="AB119" i="1" a="1"/>
  <c r="AB119" i="1"/>
  <c r="AI119" i="1"/>
  <c r="S119" i="1" a="1"/>
  <c r="S119" i="1"/>
  <c r="Z119" i="1" a="1"/>
  <c r="Z119" i="1"/>
  <c r="AG119" i="1"/>
  <c r="AL118" i="1"/>
  <c r="AK118" i="1"/>
  <c r="AJ118" i="1"/>
  <c r="AI118" i="1"/>
  <c r="AG118" i="1"/>
  <c r="AE118" i="1"/>
  <c r="AD118" i="1"/>
  <c r="AC118" i="1"/>
  <c r="AB118" i="1"/>
  <c r="Z118" i="1"/>
  <c r="E123" i="1" a="1"/>
  <c r="E123" i="1"/>
  <c r="R123" i="1"/>
  <c r="E122" i="1" a="1"/>
  <c r="E122" i="1"/>
  <c r="R122" i="1"/>
  <c r="E121" i="1" a="1"/>
  <c r="E121" i="1"/>
  <c r="R121" i="1"/>
  <c r="E120" i="1" a="1"/>
  <c r="E120" i="1"/>
  <c r="R120" i="1"/>
  <c r="E119" i="1" a="1"/>
  <c r="E119" i="1"/>
  <c r="R119" i="1"/>
  <c r="X118" i="1"/>
  <c r="W118" i="1"/>
  <c r="V118" i="1"/>
  <c r="U118" i="1"/>
  <c r="S118" i="1"/>
  <c r="X125" i="1"/>
  <c r="W125" i="1"/>
  <c r="V125" i="1"/>
  <c r="U125" i="1"/>
  <c r="S125" i="1"/>
  <c r="C43" i="1" a="1"/>
  <c r="C43" i="1"/>
  <c r="A133" i="1" a="1"/>
  <c r="A133" i="1"/>
  <c r="A136" i="1" a="1"/>
  <c r="A136" i="1"/>
  <c r="C68" i="1"/>
  <c r="C73" i="1"/>
  <c r="C72" i="1"/>
  <c r="W112" i="1"/>
  <c r="C71" i="1"/>
  <c r="A130" i="1" a="1"/>
  <c r="A130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H30" i="1" a="1"/>
  <c r="H30" i="1"/>
  <c r="G30" i="1" a="1"/>
  <c r="G30" i="1"/>
  <c r="F30" i="1" a="1"/>
  <c r="F30" i="1"/>
  <c r="E30" i="1" a="1"/>
  <c r="E30" i="1"/>
  <c r="D30" i="1" a="1"/>
  <c r="D30" i="1"/>
  <c r="C30" i="1" a="1"/>
  <c r="C30" i="1"/>
  <c r="H29" i="1" a="1"/>
  <c r="H29" i="1"/>
  <c r="G29" i="1" a="1"/>
  <c r="G29" i="1"/>
  <c r="F29" i="1" a="1"/>
  <c r="F29" i="1"/>
  <c r="E29" i="1" a="1"/>
  <c r="E29" i="1"/>
  <c r="D29" i="1" a="1"/>
  <c r="D29" i="1"/>
  <c r="C29" i="1" a="1"/>
  <c r="C29" i="1"/>
  <c r="C13" i="1" a="1"/>
  <c r="C13" i="1"/>
  <c r="C14" i="1" a="1"/>
  <c r="C14" i="1"/>
  <c r="C16" i="1" a="1"/>
  <c r="C16" i="1"/>
  <c r="C15" i="1" a="1"/>
  <c r="C15" i="1"/>
  <c r="C17" i="1"/>
  <c r="C75" i="1"/>
  <c r="C74" i="1"/>
  <c r="C69" i="1"/>
  <c r="A5" i="1"/>
  <c r="A4" i="1"/>
  <c r="A3" i="1"/>
  <c r="A2" i="1"/>
  <c r="N136" i="1" a="1"/>
  <c r="N136" i="1"/>
  <c r="AE136" i="1" a="1"/>
  <c r="AE136" i="1"/>
  <c r="X136" i="1" a="1"/>
  <c r="X136" i="1"/>
  <c r="AL136" i="1"/>
  <c r="AD136" i="1" a="1"/>
  <c r="AD136" i="1"/>
  <c r="W136" i="1" a="1"/>
  <c r="W136" i="1"/>
  <c r="AK136" i="1"/>
  <c r="AC136" i="1" a="1"/>
  <c r="AC136" i="1"/>
  <c r="V136" i="1" a="1"/>
  <c r="V136" i="1"/>
  <c r="AJ136" i="1"/>
  <c r="AB136" i="1" a="1"/>
  <c r="AB136" i="1"/>
  <c r="U136" i="1" a="1"/>
  <c r="U136" i="1"/>
  <c r="AI136" i="1"/>
  <c r="AA136" i="1" a="1"/>
  <c r="AA136" i="1"/>
  <c r="T136" i="1" a="1"/>
  <c r="T136" i="1"/>
  <c r="AH136" i="1"/>
  <c r="Z136" i="1" a="1"/>
  <c r="Z136" i="1"/>
  <c r="S136" i="1" a="1"/>
  <c r="S136" i="1"/>
  <c r="AG136" i="1"/>
  <c r="X133" i="1" a="1"/>
  <c r="X133" i="1"/>
  <c r="AL133" i="1"/>
  <c r="W133" i="1" a="1"/>
  <c r="W133" i="1"/>
  <c r="AK133" i="1"/>
  <c r="V133" i="1" a="1"/>
  <c r="V133" i="1"/>
  <c r="AJ133" i="1"/>
  <c r="U133" i="1" a="1"/>
  <c r="U133" i="1"/>
  <c r="AI133" i="1"/>
  <c r="T133" i="1" a="1"/>
  <c r="T133" i="1"/>
  <c r="AH133" i="1"/>
  <c r="Z133" i="1" a="1"/>
  <c r="Z133" i="1"/>
  <c r="S133" i="1" a="1"/>
  <c r="S133" i="1"/>
  <c r="AG133" i="1"/>
  <c r="AA130" i="1" a="1"/>
  <c r="AA130" i="1"/>
  <c r="AB130" i="1" a="1"/>
  <c r="AB130" i="1"/>
  <c r="AC130" i="1" a="1"/>
  <c r="AC130" i="1"/>
  <c r="AD130" i="1" a="1"/>
  <c r="AD130" i="1"/>
  <c r="AE130" i="1" a="1"/>
  <c r="AE130" i="1"/>
  <c r="X130" i="1" a="1"/>
  <c r="X130" i="1"/>
  <c r="AL130" i="1"/>
  <c r="W130" i="1" a="1"/>
  <c r="W130" i="1"/>
  <c r="AK130" i="1"/>
  <c r="V130" i="1" a="1"/>
  <c r="V130" i="1"/>
  <c r="AJ130" i="1"/>
  <c r="U130" i="1" a="1"/>
  <c r="U130" i="1"/>
  <c r="AI130" i="1"/>
  <c r="T130" i="1" a="1"/>
  <c r="T130" i="1"/>
  <c r="AH130" i="1"/>
  <c r="Z130" i="1" a="1"/>
  <c r="Z130" i="1"/>
  <c r="S130" i="1" a="1"/>
  <c r="S130" i="1"/>
  <c r="AG130" i="1"/>
  <c r="K136" i="1" a="1"/>
  <c r="K136" i="1"/>
  <c r="R136" i="1"/>
  <c r="K133" i="1" a="1"/>
  <c r="K133" i="1"/>
  <c r="R133" i="1"/>
  <c r="K130" i="1" a="1"/>
  <c r="K130" i="1"/>
  <c r="R130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<sst xmlns="http://schemas.openxmlformats.org/spreadsheetml/2006/main" count="177" uniqueCount="117">
  <si>
    <t>headline year</t>
  </si>
  <si>
    <t>status</t>
  </si>
  <si>
    <t>outcome</t>
  </si>
  <si>
    <t>related entity</t>
  </si>
  <si>
    <t>function</t>
  </si>
  <si>
    <t>reason</t>
  </si>
  <si>
    <t>spp</t>
  </si>
  <si>
    <t>measure code</t>
  </si>
  <si>
    <t>appropriation type</t>
  </si>
  <si>
    <t>movement account</t>
  </si>
  <si>
    <t>appropriation item</t>
  </si>
  <si>
    <t>id</t>
  </si>
  <si>
    <t>jurisdiction</t>
  </si>
  <si>
    <t>D</t>
  </si>
  <si>
    <t>N</t>
  </si>
  <si>
    <t>[Begin Format Range]</t>
  </si>
  <si>
    <t>[End Format Range]</t>
  </si>
  <si>
    <t>System Parameters</t>
  </si>
  <si>
    <t>Dataabase Name</t>
  </si>
  <si>
    <t xml:space="preserve">System Variables </t>
  </si>
  <si>
    <t>Period Variables</t>
  </si>
  <si>
    <t>headline scenario</t>
  </si>
  <si>
    <t>current</t>
  </si>
  <si>
    <t>Report Variables</t>
  </si>
  <si>
    <t>IS AF RPTView</t>
  </si>
  <si>
    <t>BS AF RPTView</t>
  </si>
  <si>
    <t>CFS AF RPT View</t>
  </si>
  <si>
    <t>AE Adj Cube Slice</t>
  </si>
  <si>
    <t>DR/CR Slice View</t>
  </si>
  <si>
    <t xml:space="preserve">Headline year:    </t>
  </si>
  <si>
    <t>See Rreport Parameters</t>
  </si>
  <si>
    <t xml:space="preserve">Scenario:    </t>
  </si>
  <si>
    <t xml:space="preserve">Programme:    </t>
  </si>
  <si>
    <t>Account:</t>
  </si>
  <si>
    <t>See MDX</t>
  </si>
  <si>
    <t>Period</t>
  </si>
  <si>
    <t>See Period Variables</t>
  </si>
  <si>
    <t>Report MDX</t>
  </si>
  <si>
    <t>IS Account MDX</t>
  </si>
  <si>
    <t>BS Account MDX</t>
  </si>
  <si>
    <t>CFS Account MDX</t>
  </si>
  <si>
    <t>Programmes MDX</t>
  </si>
  <si>
    <t>Drill Function</t>
  </si>
  <si>
    <t/>
  </si>
  <si>
    <t>Report Parameters:</t>
  </si>
  <si>
    <t>Income</t>
  </si>
  <si>
    <t>Balance Sheet</t>
  </si>
  <si>
    <t>CashFlow</t>
  </si>
  <si>
    <t>Income Statement</t>
  </si>
  <si>
    <t>Cash Flow Statement</t>
  </si>
  <si>
    <t>MDX To Use</t>
  </si>
  <si>
    <t>Cash Flow</t>
  </si>
  <si>
    <t>REPORT PARAMETERS</t>
  </si>
  <si>
    <t>RB</t>
  </si>
  <si>
    <t>NB</t>
  </si>
  <si>
    <t>FE1</t>
  </si>
  <si>
    <t>FE2</t>
  </si>
  <si>
    <t>FE3</t>
  </si>
  <si>
    <t>ACCOUNT</t>
  </si>
  <si>
    <t>DR/CR</t>
  </si>
  <si>
    <t>$'000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</si>
  <si>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</si>
  <si>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</si>
  <si>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</si>
  <si>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</si>
  <si>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</si>
  <si>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</si>
  <si>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</si>
  <si>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</si>
  <si>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</si>
  <si>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</si>
  <si>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</si>
  <si>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</si>
  <si>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program dimension name</t>
  </si>
  <si>
    <t>VIEW</t>
  </si>
  <si>
    <t>DISPLAY SETTINGS</t>
  </si>
  <si>
    <t>Collapse</t>
  </si>
  <si>
    <t>Expand</t>
  </si>
  <si>
    <t>Homepage - Reports - Other</t>
  </si>
  <si>
    <t>As at</t>
  </si>
  <si>
    <t>}Clients</t>
  </si>
  <si>
    <t>TM1 User</t>
  </si>
  <si>
    <t>}TM1_DefaultDisplayValue</t>
  </si>
  <si>
    <t>GEUS User Name</t>
  </si>
  <si>
    <t>Current User</t>
  </si>
  <si>
    <t xml:space="preserve">Headline Year : </t>
  </si>
  <si>
    <t>Scenario :</t>
  </si>
  <si>
    <t>Status :</t>
  </si>
  <si>
    <t>Program :</t>
  </si>
  <si>
    <t>Homepage - Reports - Analytical</t>
  </si>
  <si>
    <t>Other Reports - Trial Balance Drill</t>
  </si>
  <si>
    <t>SPP :</t>
  </si>
  <si>
    <t>Jurisdiction :</t>
  </si>
  <si>
    <t>MOVEMENT ACCOUNT</t>
  </si>
  <si>
    <t>RELATED ENTITY</t>
  </si>
  <si>
    <t>ID</t>
  </si>
  <si>
    <t>MA MDX TO Use</t>
  </si>
  <si>
    <t>RE MDX TO Use</t>
  </si>
  <si>
    <t>ID MDX TO Use</t>
  </si>
  <si>
    <t>Reports - Detailed Primary Financial Statements</t>
  </si>
  <si>
    <t>ID DISPLAY</t>
  </si>
  <si>
    <t>Measure :</t>
  </si>
  <si>
    <t>Total movement</t>
  </si>
  <si>
    <t>Total related entity</t>
  </si>
  <si>
    <t>Total IDs</t>
  </si>
  <si>
    <t xml:space="preserve">Scenario 1 </t>
  </si>
  <si>
    <t>Scenario 2</t>
  </si>
  <si>
    <t>Variance (Scenario 1 - Scenario 2)</t>
  </si>
  <si>
    <t>Account</t>
  </si>
  <si>
    <t>Account Description</t>
  </si>
  <si>
    <t>MA</t>
  </si>
  <si>
    <t>RE</t>
  </si>
  <si>
    <t>PA</t>
  </si>
  <si>
    <t>Adjustment - ID List</t>
  </si>
  <si>
    <t>Data Entry - View Adj 01 - Header Details</t>
  </si>
  <si>
    <t xml:space="preserve">Detailed Financial Statements 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</si>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</sst>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&quot;+ &quot;@"/>
    <numFmt numFmtId="165" formatCode="_-* #,##0_-;[Red]* \(#,##0\)_-;_-* &quot;-&quot;??_-;_-@_-"/>
    <numFmt numFmtId="166" formatCode="dd\ mmmm\ yyyy\ h:mm"/>
    <numFmt numFmtId="167" formatCode="_(* #,##0_);[Red]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00426A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04">
    <xf numFmtId="0" fontId="0" fillId="0" borderId="0" xfId="0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4" xfId="0" applyFont="1" applyFill="1" applyBorder="1"/>
    <xf numFmtId="0" fontId="3" fillId="2" borderId="5" xfId="0" applyFont="1" applyFill="1" applyBorder="1"/>
    <xf numFmtId="0" fontId="0" fillId="2" borderId="5" xfId="0" applyFill="1" applyBorder="1" applyAlignment="1">
      <alignment horizontal="center"/>
    </xf>
    <xf numFmtId="0" fontId="0" fillId="2" borderId="5" xfId="0" applyFill="1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3" fillId="0" borderId="6" xfId="0" applyFont="1" applyBorder="1"/>
    <xf numFmtId="0" fontId="0" fillId="0" borderId="11" xfId="0" applyBorder="1"/>
    <xf numFmtId="0" fontId="0" fillId="0" borderId="12" xfId="0" applyBorder="1"/>
    <xf numFmtId="0" fontId="3" fillId="0" borderId="11" xfId="0" applyFont="1" applyBorder="1"/>
    <xf numFmtId="0" fontId="0" fillId="2" borderId="12" xfId="0" applyFill="1" applyBorder="1"/>
    <xf numFmtId="0" fontId="3" fillId="0" borderId="9" xfId="0" applyFont="1" applyBorder="1"/>
    <xf numFmtId="0" fontId="0" fillId="2" borderId="10" xfId="0" applyFill="1" applyBorder="1"/>
    <xf numFmtId="0" fontId="5" fillId="0" borderId="8" xfId="0" quotePrefix="1" applyFont="1" applyBorder="1"/>
    <xf numFmtId="0" fontId="6" fillId="0" borderId="7" xfId="0" applyFont="1" applyBorder="1"/>
    <xf numFmtId="0" fontId="5" fillId="0" borderId="8" xfId="0" applyFont="1" applyBorder="1"/>
    <xf numFmtId="0" fontId="6" fillId="0" borderId="0" xfId="0" applyFont="1"/>
    <xf numFmtId="0" fontId="3" fillId="2" borderId="2" xfId="0" applyFont="1" applyFill="1" applyBorder="1"/>
    <xf numFmtId="0" fontId="3" fillId="2" borderId="15" xfId="0" applyFont="1" applyFill="1" applyBorder="1"/>
    <xf numFmtId="0" fontId="7" fillId="2" borderId="16" xfId="0" applyFont="1" applyFill="1" applyBorder="1"/>
    <xf numFmtId="0" fontId="5" fillId="0" borderId="17" xfId="0" applyFont="1" applyBorder="1"/>
    <xf numFmtId="0" fontId="5" fillId="0" borderId="18" xfId="0" applyFont="1" applyBorder="1"/>
    <xf numFmtId="0" fontId="5" fillId="0" borderId="7" xfId="0" applyFont="1" applyBorder="1"/>
    <xf numFmtId="0" fontId="0" fillId="0" borderId="0" xfId="0" quotePrefix="1"/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5" fontId="7" fillId="4" borderId="0" xfId="2" applyNumberFormat="1" applyFont="1" applyFill="1"/>
    <xf numFmtId="165" fontId="7" fillId="4" borderId="19" xfId="2" applyNumberFormat="1" applyFont="1" applyFill="1" applyBorder="1"/>
    <xf numFmtId="165" fontId="5" fillId="0" borderId="0" xfId="2" applyNumberFormat="1" applyFont="1"/>
    <xf numFmtId="165" fontId="5" fillId="0" borderId="19" xfId="2" applyNumberFormat="1" applyFont="1" applyBorder="1"/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7" fillId="4" borderId="1" xfId="0" applyFont="1" applyFill="1" applyBorder="1"/>
    <xf numFmtId="0" fontId="5" fillId="0" borderId="1" xfId="0" applyFont="1" applyBorder="1"/>
    <xf numFmtId="0" fontId="5" fillId="0" borderId="22" xfId="0" applyFont="1" applyBorder="1"/>
    <xf numFmtId="0" fontId="5" fillId="0" borderId="23" xfId="0" applyFont="1" applyBorder="1"/>
    <xf numFmtId="0" fontId="5" fillId="0" borderId="24" xfId="0" applyFont="1" applyBorder="1"/>
    <xf numFmtId="0" fontId="6" fillId="0" borderId="8" xfId="0" applyFont="1" applyBorder="1"/>
    <xf numFmtId="0" fontId="0" fillId="0" borderId="0" xfId="0" applyProtection="1">
      <protection locked="0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 indent="1"/>
    </xf>
    <xf numFmtId="0" fontId="2" fillId="5" borderId="8" xfId="0" applyFont="1" applyFill="1" applyBorder="1" applyAlignment="1">
      <alignment horizontal="center" wrapText="1"/>
    </xf>
    <xf numFmtId="0" fontId="3" fillId="0" borderId="1" xfId="0" applyFont="1" applyBorder="1"/>
    <xf numFmtId="0" fontId="0" fillId="0" borderId="1" xfId="0" applyBorder="1"/>
    <xf numFmtId="0" fontId="7" fillId="4" borderId="19" xfId="0" applyFont="1" applyFill="1" applyBorder="1"/>
    <xf numFmtId="0" fontId="7" fillId="4" borderId="1" xfId="0" applyFont="1" applyFill="1" applyBorder="1" applyAlignment="1">
      <alignment horizontal="center"/>
    </xf>
    <xf numFmtId="165" fontId="7" fillId="4" borderId="25" xfId="2" applyNumberFormat="1" applyFont="1" applyFill="1" applyBorder="1"/>
    <xf numFmtId="0" fontId="5" fillId="0" borderId="19" xfId="0" applyFont="1" applyBorder="1"/>
    <xf numFmtId="0" fontId="5" fillId="0" borderId="1" xfId="0" applyFont="1" applyBorder="1" applyAlignment="1">
      <alignment horizontal="center"/>
    </xf>
    <xf numFmtId="165" fontId="5" fillId="0" borderId="25" xfId="2" applyNumberFormat="1" applyFont="1" applyBorder="1"/>
    <xf numFmtId="0" fontId="12" fillId="0" borderId="5" xfId="0" applyFont="1" applyBorder="1"/>
    <xf numFmtId="0" fontId="11" fillId="0" borderId="5" xfId="0" applyFont="1" applyBorder="1"/>
    <xf numFmtId="0" fontId="9" fillId="0" borderId="5" xfId="0" applyFont="1" applyBorder="1" applyAlignment="1">
      <alignment horizontal="center"/>
    </xf>
    <xf numFmtId="0" fontId="9" fillId="0" borderId="5" xfId="0" applyFont="1" applyBorder="1" applyAlignment="1">
      <alignment horizontal="right"/>
    </xf>
    <xf numFmtId="0" fontId="2" fillId="3" borderId="0" xfId="0" applyFont="1" applyFill="1" applyAlignment="1">
      <alignment horizontal="center"/>
    </xf>
    <xf numFmtId="0" fontId="3" fillId="0" borderId="8" xfId="0" applyFont="1" applyBorder="1"/>
    <xf numFmtId="0" fontId="0" fillId="0" borderId="14" xfId="0" applyBorder="1"/>
    <xf numFmtId="0" fontId="0" fillId="0" borderId="21" xfId="0" applyBorder="1"/>
    <xf numFmtId="0" fontId="0" fillId="0" borderId="8" xfId="0" quotePrefix="1" applyBorder="1"/>
    <xf numFmtId="0" fontId="8" fillId="3" borderId="0" xfId="0" applyFont="1" applyFill="1" applyAlignment="1">
      <alignment vertical="center" wrapText="1"/>
    </xf>
    <xf numFmtId="0" fontId="8" fillId="3" borderId="0" xfId="0" applyFont="1" applyFill="1" applyAlignment="1">
      <alignment horizontal="right" vertical="center"/>
    </xf>
    <xf numFmtId="0" fontId="0" fillId="0" borderId="8" xfId="0" applyBorder="1" applyAlignment="1" applyProtection="1">
      <alignment horizontal="center"/>
      <protection locked="0"/>
    </xf>
    <xf numFmtId="0" fontId="3" fillId="0" borderId="0" xfId="0" applyFont="1" applyAlignment="1">
      <alignment horizontal="right"/>
    </xf>
    <xf numFmtId="0" fontId="0" fillId="0" borderId="8" xfId="0" applyBorder="1" applyAlignment="1">
      <alignment horizontal="left"/>
    </xf>
    <xf numFmtId="0" fontId="0" fillId="0" borderId="8" xfId="0" applyBorder="1" applyAlignment="1" applyProtection="1">
      <alignment horizontal="left" indent="1"/>
      <protection locked="0"/>
    </xf>
    <xf numFmtId="0" fontId="2" fillId="5" borderId="25" xfId="0" applyFont="1" applyFill="1" applyBorder="1" applyAlignment="1">
      <alignment horizontal="center" wrapText="1"/>
    </xf>
    <xf numFmtId="0" fontId="0" fillId="0" borderId="0" xfId="0" applyAlignment="1" applyProtection="1">
      <alignment horizontal="left" indent="1"/>
      <protection locked="0"/>
    </xf>
    <xf numFmtId="0" fontId="13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2" fillId="0" borderId="26" xfId="0" applyFont="1" applyBorder="1"/>
    <xf numFmtId="49" fontId="5" fillId="0" borderId="1" xfId="0" applyNumberFormat="1" applyFont="1" applyBorder="1" applyAlignment="1">
      <alignment horizontal="left" indent="7"/>
    </xf>
    <xf numFmtId="164" fontId="5" fillId="0" borderId="19" xfId="0" applyNumberFormat="1" applyFont="1" applyBorder="1"/>
    <xf numFmtId="49" fontId="5" fillId="0" borderId="1" xfId="0" applyNumberFormat="1" applyFont="1" applyBorder="1" applyAlignment="1">
      <alignment horizontal="left" indent="6"/>
    </xf>
    <xf numFmtId="49" fontId="5" fillId="0" borderId="1" xfId="0" applyNumberFormat="1" applyFont="1" applyBorder="1" applyAlignment="1">
      <alignment horizontal="left" indent="2"/>
    </xf>
    <xf numFmtId="165" fontId="5" fillId="0" borderId="0" xfId="2" applyNumberFormat="1" applyFont="1" applyBorder="1"/>
    <xf numFmtId="165" fontId="5" fillId="2" borderId="8" xfId="2" applyNumberFormat="1" applyFont="1" applyFill="1" applyBorder="1"/>
    <xf numFmtId="167" fontId="5" fillId="6" borderId="8" xfId="0" applyNumberFormat="1" applyFont="1" applyFill="1" applyBorder="1"/>
    <xf numFmtId="165" fontId="7" fillId="4" borderId="0" xfId="2" applyNumberFormat="1" applyFont="1" applyFill="1" applyBorder="1"/>
    <xf numFmtId="0" fontId="0" fillId="0" borderId="26" xfId="0" applyBorder="1"/>
    <xf numFmtId="0" fontId="14" fillId="2" borderId="28" xfId="0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wrapText="1"/>
    </xf>
    <xf numFmtId="0" fontId="2" fillId="5" borderId="19" xfId="0" applyFont="1" applyFill="1" applyBorder="1" applyAlignment="1">
      <alignment horizontal="center" wrapText="1"/>
    </xf>
    <xf numFmtId="0" fontId="2" fillId="5" borderId="27" xfId="0" applyFont="1" applyFill="1" applyBorder="1" applyAlignment="1">
      <alignment horizontal="center"/>
    </xf>
    <xf numFmtId="0" fontId="2" fillId="5" borderId="26" xfId="0" applyFont="1" applyFill="1" applyBorder="1" applyAlignment="1">
      <alignment horizontal="center"/>
    </xf>
    <xf numFmtId="0" fontId="0" fillId="0" borderId="8" xfId="0" applyBorder="1" applyAlignment="1" applyProtection="1">
      <alignment horizontal="center"/>
      <protection locked="0"/>
    </xf>
    <xf numFmtId="166" fontId="3" fillId="0" borderId="0" xfId="0" applyNumberFormat="1" applyFont="1" applyAlignment="1">
      <alignment horizontal="left" indent="1"/>
    </xf>
    <xf numFmtId="0" fontId="2" fillId="3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</cellXfs>
  <cellStyles count="3">
    <cellStyle name="Comma 4" xfId="2"/>
    <cellStyle name="Normal" xfId="0" builtinId="0"/>
    <cellStyle name="Normal 3" xfId="1"/>
  </cellStyles>
  <dxfs count="1">
    <dxf>
      <font>
        <color theme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5.emf"/><Relationship Id="rId7" Type="http://schemas.openxmlformats.org/officeDocument/2006/relationships/image" Target="../media/image1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6" Type="http://schemas.openxmlformats.org/officeDocument/2006/relationships/image" Target="../media/image2.emf"/><Relationship Id="rId5" Type="http://schemas.openxmlformats.org/officeDocument/2006/relationships/image" Target="../media/image3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28575</xdr:colOff>
      <xdr:row>101</xdr:row>
      <xdr:rowOff>28575</xdr:rowOff>
    </xdr:from>
    <xdr:to>
      <xdr:col>13</xdr:col>
      <xdr:colOff>1845522</xdr:colOff>
      <xdr:row>101</xdr:row>
      <xdr:rowOff>474345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864572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28575</xdr:colOff>
          <xdr:row>103</xdr:row>
          <xdr:rowOff>0</xdr:rowOff>
        </xdr:from>
        <xdr:to>
          <xdr:col>13</xdr:col>
          <xdr:colOff>666750</xdr:colOff>
          <xdr:row>103</xdr:row>
          <xdr:rowOff>247650</xdr:rowOff>
        </xdr:to>
        <xdr:sp macro="" textlink="">
          <xdr:nvSpPr>
            <xdr:cNvPr id="1034" name="TIButton2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828675</xdr:colOff>
          <xdr:row>103</xdr:row>
          <xdr:rowOff>0</xdr:rowOff>
        </xdr:from>
        <xdr:to>
          <xdr:col>16</xdr:col>
          <xdr:colOff>180975</xdr:colOff>
          <xdr:row>103</xdr:row>
          <xdr:rowOff>247650</xdr:rowOff>
        </xdr:to>
        <xdr:sp macro="" textlink="">
          <xdr:nvSpPr>
            <xdr:cNvPr id="1035" name="TIButton3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704850</xdr:colOff>
          <xdr:row>103</xdr:row>
          <xdr:rowOff>0</xdr:rowOff>
        </xdr:from>
        <xdr:to>
          <xdr:col>13</xdr:col>
          <xdr:colOff>1666875</xdr:colOff>
          <xdr:row>103</xdr:row>
          <xdr:rowOff>247650</xdr:rowOff>
        </xdr:to>
        <xdr:sp macro="" textlink="">
          <xdr:nvSpPr>
            <xdr:cNvPr id="1036" name="TIButton1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542925</xdr:colOff>
          <xdr:row>102</xdr:row>
          <xdr:rowOff>38100</xdr:rowOff>
        </xdr:from>
        <xdr:to>
          <xdr:col>24</xdr:col>
          <xdr:colOff>0</xdr:colOff>
          <xdr:row>103</xdr:row>
          <xdr:rowOff>285750</xdr:rowOff>
        </xdr:to>
        <xdr:sp macro="" textlink="">
          <xdr:nvSpPr>
            <xdr:cNvPr id="1037" name="TIButton4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1685925</xdr:colOff>
          <xdr:row>103</xdr:row>
          <xdr:rowOff>0</xdr:rowOff>
        </xdr:from>
        <xdr:to>
          <xdr:col>13</xdr:col>
          <xdr:colOff>2933700</xdr:colOff>
          <xdr:row>103</xdr:row>
          <xdr:rowOff>247650</xdr:rowOff>
        </xdr:to>
        <xdr:sp macro="" textlink="">
          <xdr:nvSpPr>
            <xdr:cNvPr id="1038" name="TIButton5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103</xdr:row>
          <xdr:rowOff>0</xdr:rowOff>
        </xdr:from>
        <xdr:to>
          <xdr:col>14</xdr:col>
          <xdr:colOff>1428750</xdr:colOff>
          <xdr:row>103</xdr:row>
          <xdr:rowOff>247650</xdr:rowOff>
        </xdr:to>
        <xdr:sp macro="" textlink="">
          <xdr:nvSpPr>
            <xdr:cNvPr id="1039" name="TIButton6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1447800</xdr:colOff>
          <xdr:row>103</xdr:row>
          <xdr:rowOff>0</xdr:rowOff>
        </xdr:from>
        <xdr:to>
          <xdr:col>14</xdr:col>
          <xdr:colOff>2609850</xdr:colOff>
          <xdr:row>103</xdr:row>
          <xdr:rowOff>247650</xdr:rowOff>
        </xdr:to>
        <xdr:sp macro="" textlink="">
          <xdr:nvSpPr>
            <xdr:cNvPr id="1040" name="TIButton7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76200</xdr:colOff>
          <xdr:row>103</xdr:row>
          <xdr:rowOff>0</xdr:rowOff>
        </xdr:from>
        <xdr:to>
          <xdr:col>15</xdr:col>
          <xdr:colOff>800100</xdr:colOff>
          <xdr:row>103</xdr:row>
          <xdr:rowOff>247650</xdr:rowOff>
        </xdr:to>
        <xdr:sp macro="" textlink="">
          <xdr:nvSpPr>
            <xdr:cNvPr id="1041" name="TIButton8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outlinePr showOutlineSymbols="0"/>
    <pageSetUpPr fitToPage="1"/>
  </sheetPr>
  <dimension ref="A1:AL136"/>
  <sheetViews>
    <sheetView showGridLines="0" tabSelected="1" showOutlineSymbols="0" topLeftCell="M102" workbookViewId="0">
      <pane xSplit="6" ySplit="27" topLeftCell="S129" activePane="bottomRight" state="frozen"/>
      <selection activeCell="M102" sqref="M102"/>
      <selection pane="topRight" activeCell="S102" sqref="S102"/>
      <selection pane="bottomLeft" activeCell="M129" sqref="M129"/>
      <selection pane="bottomRight"/>
    </sheetView>
  </sheetViews>
  <sheetFormatPr defaultColWidth="15.7109375" defaultRowHeight="15" outlineLevelRow="1" outlineLevelCol="1" x14ac:dyDescent="0.25"/>
  <cols>
    <col min="1" max="1" width="20.28515625" hidden="1" customWidth="1" outlineLevel="1"/>
    <col min="2" max="2" width="23.5703125" hidden="1" customWidth="1" outlineLevel="1"/>
    <col min="3" max="3" width="33.7109375" hidden="1" customWidth="1" outlineLevel="1"/>
    <col min="4" max="12" width="15.7109375" hidden="1" customWidth="1" outlineLevel="1"/>
    <col min="13" max="13" width="0.85546875" customWidth="1" collapsed="1"/>
    <col min="14" max="14" width="45.7109375" customWidth="1"/>
    <col min="15" max="15" width="38.7109375" customWidth="1"/>
    <col min="16" max="16" width="19.7109375" customWidth="1"/>
    <col min="17" max="17" width="10.7109375" customWidth="1"/>
    <col min="18" max="18" width="6.7109375" customWidth="1"/>
    <col min="19" max="24" width="12.7109375" customWidth="1"/>
    <col min="25" max="25" width="0.85546875" customWidth="1"/>
    <col min="26" max="31" width="12.7109375" customWidth="1"/>
    <col min="32" max="32" width="0.85546875" customWidth="1"/>
    <col min="33" max="38" width="12.7109375" customWidth="1"/>
  </cols>
  <sheetData>
    <row r="1" spans="1:38" hidden="1" outlineLevel="1" x14ac:dyDescent="0.25">
      <c r="A1" t="s">
        <v>15</v>
      </c>
    </row>
    <row r="2" spans="1:38" hidden="1" outlineLevel="1" x14ac:dyDescent="0.25">
      <c r="A2">
        <f>0</f>
        <v>0</v>
      </c>
      <c r="B2" s="48"/>
      <c r="D2" s="2"/>
      <c r="E2" s="2"/>
      <c r="F2" s="2"/>
      <c r="G2" s="2"/>
      <c r="H2" s="2"/>
      <c r="I2" s="2"/>
      <c r="J2" s="2"/>
      <c r="K2" s="20"/>
      <c r="L2" s="2"/>
      <c r="M2" s="2"/>
      <c r="N2" s="37"/>
      <c r="O2" s="50"/>
      <c r="P2" s="50"/>
      <c r="Q2" s="50"/>
      <c r="R2" s="51"/>
      <c r="S2" s="52"/>
      <c r="T2" s="83"/>
      <c r="U2" s="31"/>
      <c r="V2" s="31"/>
      <c r="W2" s="31"/>
      <c r="X2" s="32"/>
      <c r="Z2" s="52"/>
      <c r="AA2" s="83"/>
      <c r="AB2" s="31"/>
      <c r="AC2" s="31"/>
      <c r="AD2" s="31"/>
      <c r="AE2" s="32"/>
      <c r="AG2" s="52"/>
      <c r="AH2" s="83"/>
      <c r="AI2" s="31"/>
      <c r="AJ2" s="31"/>
      <c r="AK2" s="31"/>
      <c r="AL2" s="32"/>
    </row>
    <row r="3" spans="1:38" hidden="1" outlineLevel="1" x14ac:dyDescent="0.25">
      <c r="A3">
        <f>1</f>
        <v>1</v>
      </c>
      <c r="B3" s="49"/>
      <c r="D3" s="2"/>
      <c r="E3" s="2"/>
      <c r="F3" s="2"/>
      <c r="G3" s="2"/>
      <c r="H3" s="2"/>
      <c r="I3" s="2"/>
      <c r="J3" s="2"/>
      <c r="K3" s="20"/>
      <c r="L3" s="2"/>
      <c r="M3" s="2"/>
      <c r="N3" s="37"/>
      <c r="O3" s="50"/>
      <c r="P3" s="50"/>
      <c r="Q3" s="50"/>
      <c r="R3" s="51"/>
      <c r="S3" s="52"/>
      <c r="T3" s="83"/>
      <c r="U3" s="31"/>
      <c r="V3" s="31"/>
      <c r="W3" s="31"/>
      <c r="X3" s="32"/>
      <c r="Z3" s="52"/>
      <c r="AA3" s="83"/>
      <c r="AB3" s="31"/>
      <c r="AC3" s="31"/>
      <c r="AD3" s="31"/>
      <c r="AE3" s="32"/>
      <c r="AG3" s="52"/>
      <c r="AH3" s="83"/>
      <c r="AI3" s="31"/>
      <c r="AJ3" s="31"/>
      <c r="AK3" s="31"/>
      <c r="AL3" s="32"/>
    </row>
    <row r="4" spans="1:38" hidden="1" outlineLevel="1" x14ac:dyDescent="0.25">
      <c r="A4">
        <f>2</f>
        <v>2</v>
      </c>
      <c r="B4" s="49"/>
      <c r="D4" s="2"/>
      <c r="E4" s="2"/>
      <c r="F4" s="2"/>
      <c r="G4" s="2"/>
      <c r="H4" s="2"/>
      <c r="I4" s="2"/>
      <c r="J4" s="2"/>
      <c r="K4" s="20"/>
      <c r="L4" s="2"/>
      <c r="M4" s="2"/>
      <c r="N4" s="37"/>
      <c r="O4" s="50"/>
      <c r="P4" s="50"/>
      <c r="Q4" s="50"/>
      <c r="R4" s="51"/>
      <c r="S4" s="52"/>
      <c r="T4" s="83"/>
      <c r="U4" s="31"/>
      <c r="V4" s="31"/>
      <c r="W4" s="31"/>
      <c r="X4" s="32"/>
      <c r="Z4" s="52"/>
      <c r="AA4" s="83"/>
      <c r="AB4" s="31"/>
      <c r="AC4" s="31"/>
      <c r="AD4" s="31"/>
      <c r="AE4" s="32"/>
      <c r="AG4" s="52"/>
      <c r="AH4" s="83"/>
      <c r="AI4" s="31"/>
      <c r="AJ4" s="31"/>
      <c r="AK4" s="31"/>
      <c r="AL4" s="32"/>
    </row>
    <row r="5" spans="1:38" hidden="1" outlineLevel="1" x14ac:dyDescent="0.25">
      <c r="A5">
        <f>3</f>
        <v>3</v>
      </c>
      <c r="B5" s="49"/>
      <c r="D5" s="2"/>
      <c r="E5" s="2"/>
      <c r="F5" s="2"/>
      <c r="G5" s="2"/>
      <c r="H5" s="2"/>
      <c r="I5" s="2"/>
      <c r="J5" s="2"/>
      <c r="K5" s="20"/>
      <c r="L5" s="2"/>
      <c r="M5" s="2"/>
      <c r="N5" s="37"/>
      <c r="O5" s="50"/>
      <c r="P5" s="50"/>
      <c r="Q5" s="50"/>
      <c r="R5" s="51"/>
      <c r="S5" s="52"/>
      <c r="T5" s="83"/>
      <c r="U5" s="31"/>
      <c r="V5" s="31"/>
      <c r="W5" s="31"/>
      <c r="X5" s="32"/>
      <c r="Z5" s="52"/>
      <c r="AA5" s="83"/>
      <c r="AB5" s="31"/>
      <c r="AC5" s="31"/>
      <c r="AD5" s="31"/>
      <c r="AE5" s="32"/>
      <c r="AG5" s="52"/>
      <c r="AH5" s="83"/>
      <c r="AI5" s="31"/>
      <c r="AJ5" s="31"/>
      <c r="AK5" s="31"/>
      <c r="AL5" s="32"/>
    </row>
    <row r="6" spans="1:38" hidden="1" outlineLevel="1" x14ac:dyDescent="0.25">
      <c r="A6" t="s">
        <v>13</v>
      </c>
      <c r="B6" s="49"/>
      <c r="D6" s="2"/>
      <c r="E6" s="2"/>
      <c r="F6" s="2"/>
      <c r="G6" s="2"/>
      <c r="H6" s="2"/>
      <c r="I6" s="2"/>
      <c r="J6" s="2"/>
      <c r="K6" s="20"/>
      <c r="L6" s="2"/>
      <c r="M6" s="2"/>
      <c r="N6" s="37"/>
      <c r="O6" s="50"/>
      <c r="P6" s="50"/>
      <c r="Q6" s="50"/>
      <c r="R6" s="51"/>
      <c r="S6" s="52"/>
      <c r="T6" s="83"/>
      <c r="U6" s="31"/>
      <c r="V6" s="31"/>
      <c r="W6" s="31"/>
      <c r="X6" s="32"/>
      <c r="Z6" s="52"/>
      <c r="AA6" s="83"/>
      <c r="AB6" s="31"/>
      <c r="AC6" s="31"/>
      <c r="AD6" s="31"/>
      <c r="AE6" s="32"/>
      <c r="AG6" s="52"/>
      <c r="AH6" s="83"/>
      <c r="AI6" s="31"/>
      <c r="AJ6" s="31"/>
      <c r="AK6" s="31"/>
      <c r="AL6" s="32"/>
    </row>
    <row r="7" spans="1:38" hidden="1" outlineLevel="1" x14ac:dyDescent="0.25">
      <c r="A7" t="s">
        <v>14</v>
      </c>
      <c r="B7" s="49"/>
      <c r="D7" s="2"/>
      <c r="E7" s="2"/>
      <c r="F7" s="2"/>
      <c r="G7" s="2"/>
      <c r="H7" s="2"/>
      <c r="I7" s="2"/>
      <c r="J7" s="2"/>
      <c r="K7" s="20"/>
      <c r="L7" s="2"/>
      <c r="M7" s="2"/>
      <c r="N7" s="38"/>
      <c r="O7" s="53"/>
      <c r="P7" s="53"/>
      <c r="Q7" s="53"/>
      <c r="R7" s="54"/>
      <c r="S7" s="55"/>
      <c r="T7" s="80"/>
      <c r="U7" s="33"/>
      <c r="V7" s="33"/>
      <c r="W7" s="33"/>
      <c r="X7" s="34"/>
      <c r="Z7" s="55"/>
      <c r="AA7" s="80"/>
      <c r="AB7" s="33"/>
      <c r="AC7" s="33"/>
      <c r="AD7" s="33"/>
      <c r="AE7" s="34"/>
      <c r="AG7" s="55"/>
      <c r="AH7" s="80"/>
      <c r="AI7" s="33"/>
      <c r="AJ7" s="33"/>
      <c r="AK7" s="33"/>
      <c r="AL7" s="34"/>
    </row>
    <row r="8" spans="1:38" hidden="1" outlineLevel="1" x14ac:dyDescent="0.25">
      <c r="A8" t="s">
        <v>16</v>
      </c>
      <c r="S8" s="3"/>
      <c r="T8" s="3"/>
    </row>
    <row r="9" spans="1:38" hidden="1" outlineLevel="1" x14ac:dyDescent="0.25"/>
    <row r="10" spans="1:38" hidden="1" outlineLevel="1" x14ac:dyDescent="0.25"/>
    <row r="11" spans="1:38" hidden="1" outlineLevel="1" x14ac:dyDescent="0.25">
      <c r="B11" s="99" t="s">
        <v>17</v>
      </c>
      <c r="C11" s="99"/>
    </row>
    <row r="12" spans="1:38" hidden="1" outlineLevel="1" x14ac:dyDescent="0.25">
      <c r="B12" s="61" t="s">
        <v>18</v>
      </c>
      <c r="C12" s="10" t="s">
        <v>116</v>
      </c>
    </row>
    <row r="13" spans="1:38" hidden="1" outlineLevel="1" x14ac:dyDescent="0.25">
      <c r="B13" s="61" t="s">
        <v>80</v>
      </c>
      <c r="C13" s="69" t="str" cm="1">
        <f t="array" aca="1" ref="C13" ca="1">_xll.VIEW(db_name&amp;":}ElementAttributes_}Clients","!","!")</f>
        <v>generic_geus:}ElementAttributes_}Clients</v>
      </c>
    </row>
    <row r="14" spans="1:38" hidden="1" outlineLevel="1" x14ac:dyDescent="0.25">
      <c r="B14" s="61" t="s">
        <v>81</v>
      </c>
      <c r="C14" s="10" t="str" cm="1">
        <f t="array" aca="1" ref="C14" ca="1">_xll.TM1USER(db_name)</f>
        <v>Admin</v>
      </c>
    </row>
    <row r="15" spans="1:38" hidden="1" outlineLevel="1" x14ac:dyDescent="0.25">
      <c r="B15" s="61" t="s">
        <v>82</v>
      </c>
      <c r="C15" s="10" t="str" cm="1">
        <f t="array" aca="1" ref="C15" ca="1">_xll.DBR($C$13,$C$14,$B15)</f>
        <v>Admin</v>
      </c>
    </row>
    <row r="16" spans="1:38" hidden="1" outlineLevel="1" x14ac:dyDescent="0.25">
      <c r="B16" s="61" t="s">
        <v>83</v>
      </c>
      <c r="C16" s="10" t="str" cm="1">
        <f t="array" aca="1" ref="C16" ca="1">_xll.DBR($C$13,$C$14,$B16)</f>
        <v>Admin</v>
      </c>
    </row>
    <row r="17" spans="2:38" hidden="1" outlineLevel="1" x14ac:dyDescent="0.25">
      <c r="B17" s="61" t="s">
        <v>84</v>
      </c>
      <c r="C17" s="10" t="str">
        <f ca="1">IF(LEFT($C$15,6)="CAM_AD",$C$16,$C$15)</f>
        <v>Admin</v>
      </c>
    </row>
    <row r="18" spans="2:38" hidden="1" outlineLevel="1" x14ac:dyDescent="0.25">
      <c r="B18" s="1"/>
      <c r="C18" s="3"/>
      <c r="D18" s="3"/>
      <c r="S18" s="3"/>
      <c r="T18" s="3"/>
    </row>
    <row r="19" spans="2:38" hidden="1" outlineLevel="1" x14ac:dyDescent="0.25">
      <c r="B19" s="99" t="s">
        <v>19</v>
      </c>
      <c r="C19" s="99"/>
      <c r="D19" s="3"/>
      <c r="N19" s="5" t="s">
        <v>20</v>
      </c>
      <c r="O19" s="6"/>
      <c r="P19" s="6"/>
      <c r="Q19" s="6"/>
      <c r="R19" s="6"/>
      <c r="S19" s="7"/>
      <c r="T19" s="7"/>
      <c r="U19" s="8"/>
      <c r="V19" s="8"/>
      <c r="W19" s="8"/>
      <c r="X19" s="8"/>
    </row>
    <row r="20" spans="2:38" hidden="1" outlineLevel="1" x14ac:dyDescent="0.25">
      <c r="B20" t="s">
        <v>74</v>
      </c>
      <c r="C20" t="str" cm="1">
        <f t="array" aca="1" ref="C20" ca="1">_xll.VIEW(db_name&amp;":}ElementAttributes_variables","!","!")</f>
        <v>generic_geus:}ElementAttributes_variables</v>
      </c>
      <c r="N20" s="9" t="str">
        <f ca="1">RIGHT($S$115,9)</f>
        <v>2022-2023</v>
      </c>
      <c r="O20" s="9"/>
      <c r="P20" s="9"/>
      <c r="Q20" s="9"/>
      <c r="R20" s="9"/>
      <c r="S20" s="10" t="str" cm="1">
        <f t="array" aca="1" ref="S20" ca="1">_xll.DIMNM(db_name&amp;":period",_xll.DIMIX(db_name&amp;":period",$N$20)+S$21)</f>
        <v>2020-2021</v>
      </c>
      <c r="T20" s="10" t="str" cm="1">
        <f t="array" aca="1" ref="T20" ca="1">_xll.DIMNM(db_name&amp;":period",_xll.DIMIX(db_name&amp;":period",$N$20)+T$21)</f>
        <v>2021-2022</v>
      </c>
      <c r="U20" s="10" t="str" cm="1">
        <f t="array" aca="1" ref="U20" ca="1">_xll.DIMNM(db_name&amp;":period",_xll.DIMIX(db_name&amp;":period",$N$20)+U$21)</f>
        <v>2022-2023</v>
      </c>
      <c r="V20" s="10" t="str" cm="1">
        <f t="array" aca="1" ref="V20" ca="1">_xll.DIMNM(db_name&amp;":period",_xll.DIMIX(db_name&amp;":period",$N$20)+V$21)</f>
        <v>2023-2024</v>
      </c>
      <c r="W20" s="10" t="str" cm="1">
        <f t="array" aca="1" ref="W20" ca="1">_xll.DIMNM(db_name&amp;":period",_xll.DIMIX(db_name&amp;":period",$N$20)+W$21)</f>
        <v>2024-2025</v>
      </c>
      <c r="X20" s="10" t="str" cm="1">
        <f t="array" aca="1" ref="X20" ca="1">_xll.DIMNM(db_name&amp;":period",_xll.DIMIX(db_name&amp;":period",$N$20)+X$21)</f>
        <v>2025-2026</v>
      </c>
      <c r="Z20" s="10" t="str" cm="1">
        <f t="array" aca="1" ref="Z20" ca="1">_xll.DIMNM(db_name&amp;":period",_xll.DIMIX(db_name&amp;":period",$N$20)+Z$21)</f>
        <v>2020-2021</v>
      </c>
      <c r="AA20" s="10" t="str" cm="1">
        <f t="array" aca="1" ref="AA20" ca="1">_xll.DIMNM(db_name&amp;":period",_xll.DIMIX(db_name&amp;":period",$N$20)+AA$21)</f>
        <v>2021-2022</v>
      </c>
      <c r="AB20" s="10" t="str" cm="1">
        <f t="array" aca="1" ref="AB20" ca="1">_xll.DIMNM(db_name&amp;":period",_xll.DIMIX(db_name&amp;":period",$N$20)+AB$21)</f>
        <v>2022-2023</v>
      </c>
      <c r="AC20" s="10" t="str" cm="1">
        <f t="array" aca="1" ref="AC20" ca="1">_xll.DIMNM(db_name&amp;":period",_xll.DIMIX(db_name&amp;":period",$N$20)+AC$21)</f>
        <v>2023-2024</v>
      </c>
      <c r="AD20" s="10" t="str" cm="1">
        <f t="array" aca="1" ref="AD20" ca="1">_xll.DIMNM(db_name&amp;":period",_xll.DIMIX(db_name&amp;":period",$N$20)+AD$21)</f>
        <v>2024-2025</v>
      </c>
      <c r="AE20" s="10" t="str" cm="1">
        <f t="array" aca="1" ref="AE20" ca="1">_xll.DIMNM(db_name&amp;":period",_xll.DIMIX(db_name&amp;":period",$N$20)+AE$21)</f>
        <v>2025-2026</v>
      </c>
      <c r="AG20" s="10" t="str" cm="1">
        <f t="array" aca="1" ref="AG20" ca="1">_xll.DIMNM(db_name&amp;":period",_xll.DIMIX(db_name&amp;":period",$N$20)+AG$21)</f>
        <v>2020-2021</v>
      </c>
      <c r="AH20" s="10" t="str" cm="1">
        <f t="array" aca="1" ref="AH20" ca="1">_xll.DIMNM(db_name&amp;":period",_xll.DIMIX(db_name&amp;":period",$N$20)+AH$21)</f>
        <v>2021-2022</v>
      </c>
      <c r="AI20" s="10" t="str" cm="1">
        <f t="array" aca="1" ref="AI20" ca="1">_xll.DIMNM(db_name&amp;":period",_xll.DIMIX(db_name&amp;":period",$N$20)+AI$21)</f>
        <v>2022-2023</v>
      </c>
      <c r="AJ20" s="10" t="str" cm="1">
        <f t="array" aca="1" ref="AJ20" ca="1">_xll.DIMNM(db_name&amp;":period",_xll.DIMIX(db_name&amp;":period",$N$20)+AJ$21)</f>
        <v>2023-2024</v>
      </c>
      <c r="AK20" s="10" t="str" cm="1">
        <f t="array" aca="1" ref="AK20" ca="1">_xll.DIMNM(db_name&amp;":period",_xll.DIMIX(db_name&amp;":period",$N$20)+AK$21)</f>
        <v>2024-2025</v>
      </c>
      <c r="AL20" s="10" t="str" cm="1">
        <f t="array" aca="1" ref="AL20" ca="1">_xll.DIMNM(db_name&amp;":period",_xll.DIMIX(db_name&amp;":period",$N$20)+AL$21)</f>
        <v>2025-2026</v>
      </c>
    </row>
    <row r="21" spans="2:38" hidden="1" outlineLevel="1" x14ac:dyDescent="0.25">
      <c r="B21" s="9" t="s">
        <v>0</v>
      </c>
      <c r="C21" s="9" t="str" cm="1">
        <f t="array" aca="1" ref="C21" ca="1">_xll.DBR($C$20,$B21,"value")</f>
        <v>HL2022-2023</v>
      </c>
      <c r="D21" s="9" t="str" cm="1">
        <f t="array" aca="1" ref="D21" ca="1">_xll.DBR($C$20,"archive year","value")</f>
        <v>HL2022-2023</v>
      </c>
      <c r="N21" s="9" t="s">
        <v>22</v>
      </c>
      <c r="O21" s="9"/>
      <c r="P21" s="9"/>
      <c r="Q21" s="9"/>
      <c r="R21" s="9"/>
      <c r="S21" s="10">
        <v>-2</v>
      </c>
      <c r="T21" s="10">
        <v>-1</v>
      </c>
      <c r="U21" s="10">
        <v>0</v>
      </c>
      <c r="V21" s="10">
        <v>1</v>
      </c>
      <c r="W21" s="10">
        <v>2</v>
      </c>
      <c r="X21" s="10">
        <v>3</v>
      </c>
      <c r="Z21" s="10">
        <v>-2</v>
      </c>
      <c r="AA21" s="10">
        <v>-1</v>
      </c>
      <c r="AB21" s="10">
        <v>0</v>
      </c>
      <c r="AC21" s="10">
        <v>1</v>
      </c>
      <c r="AD21" s="10">
        <v>2</v>
      </c>
      <c r="AE21" s="10">
        <v>3</v>
      </c>
      <c r="AG21" s="10">
        <v>-2</v>
      </c>
      <c r="AH21" s="10">
        <v>-1</v>
      </c>
      <c r="AI21" s="10">
        <v>0</v>
      </c>
      <c r="AJ21" s="10">
        <v>1</v>
      </c>
      <c r="AK21" s="10">
        <v>2</v>
      </c>
      <c r="AL21" s="10">
        <v>3</v>
      </c>
    </row>
    <row r="22" spans="2:38" hidden="1" outlineLevel="1" x14ac:dyDescent="0.25">
      <c r="B22" s="9" t="s">
        <v>21</v>
      </c>
      <c r="C22" s="9" t="str" cm="1">
        <f t="array" aca="1" ref="C22" ca="1">_xll.DBR($C$20,$B22,"value")</f>
        <v>current</v>
      </c>
      <c r="D22" s="9" t="str" cm="1">
        <f t="array" aca="1" ref="D22" ca="1">_xll.DBR($C$20,"archive scenario","value")</f>
        <v>PEFO</v>
      </c>
      <c r="S22" s="3"/>
      <c r="T22" s="3"/>
    </row>
    <row r="23" spans="2:38" hidden="1" outlineLevel="1" x14ac:dyDescent="0.25">
      <c r="B23" s="9" t="s">
        <v>73</v>
      </c>
      <c r="C23" s="9" t="str">
        <f ca="1">IF($D$23="","programme",$D$23)</f>
        <v>programme</v>
      </c>
      <c r="D23" t="str" cm="1">
        <f t="array" aca="1" ref="D23" ca="1">_xll.DBR($C$20,$B23,"value")</f>
        <v>programme</v>
      </c>
      <c r="S23" s="3"/>
      <c r="T23" s="3"/>
    </row>
    <row r="24" spans="2:38" hidden="1" outlineLevel="1" x14ac:dyDescent="0.25">
      <c r="S24" s="3"/>
      <c r="T24" s="3"/>
    </row>
    <row r="25" spans="2:38" hidden="1" outlineLevel="1" x14ac:dyDescent="0.25">
      <c r="B25" s="96" t="s">
        <v>61</v>
      </c>
      <c r="C25" s="97"/>
      <c r="D25" s="98"/>
      <c r="E25" s="4"/>
      <c r="F25" s="4"/>
      <c r="G25" s="4"/>
      <c r="H25" s="4"/>
      <c r="S25" s="3"/>
      <c r="T25" s="3"/>
    </row>
    <row r="26" spans="2:38" hidden="1" outlineLevel="1" x14ac:dyDescent="0.25">
      <c r="B26" s="61" t="s">
        <v>62</v>
      </c>
      <c r="C26" s="9" t="str" cm="1">
        <f t="array" aca="1" ref="C26" ca="1">_xll.VIEW(db_name&amp;":sys_application","!","!")</f>
        <v>generic_geus:sys_application</v>
      </c>
      <c r="D26" s="9"/>
      <c r="S26" s="3"/>
      <c r="T26" s="3"/>
    </row>
    <row r="27" spans="2:38" hidden="1" outlineLevel="1" x14ac:dyDescent="0.25">
      <c r="B27" s="61" t="s">
        <v>63</v>
      </c>
      <c r="C27" t="s">
        <v>99</v>
      </c>
      <c r="D27" s="9"/>
      <c r="S27" s="3"/>
      <c r="T27" s="3"/>
    </row>
    <row r="28" spans="2:38" hidden="1" outlineLevel="1" x14ac:dyDescent="0.25">
      <c r="B28" s="9"/>
      <c r="C28" s="61" t="s">
        <v>64</v>
      </c>
      <c r="D28" s="61" t="s">
        <v>65</v>
      </c>
      <c r="E28" s="61" t="s">
        <v>66</v>
      </c>
      <c r="F28" s="61" t="s">
        <v>67</v>
      </c>
      <c r="G28" s="61" t="s">
        <v>68</v>
      </c>
      <c r="H28" s="61" t="s">
        <v>69</v>
      </c>
      <c r="S28" s="3"/>
      <c r="T28" s="3"/>
    </row>
    <row r="29" spans="2:38" hidden="1" outlineLevel="1" x14ac:dyDescent="0.25">
      <c r="B29" s="9" t="s">
        <v>70</v>
      </c>
      <c r="C29" s="9" t="str" cm="1">
        <f t="array" aca="1" ref="C29" ca="1">_xll.DBR($C$26,$B29,C$28)</f>
        <v>TM1HomeCAP</v>
      </c>
      <c r="D29" s="9" t="str" cm="1">
        <f t="array" aca="1" ref="D29" ca="1">_xll.DBR($C$26,$B29,D$28)</f>
        <v>Home</v>
      </c>
      <c r="E29" s="9" t="str" cm="1">
        <f t="array" aca="1" ref="E29" ca="1">_xll.DBR($C$26,$B29,E$28)</f>
        <v>TM1HomeWB</v>
      </c>
      <c r="F29" s="9" t="str" cm="1">
        <f t="array" aca="1" ref="F29" ca="1">_xll.DBR($C$26,$B29,F$28)</f>
        <v>PRIMUS\GEUS WEB\Homepage\sys_Home.xlsx</v>
      </c>
      <c r="G29" s="9" t="str" cm="1">
        <f t="array" aca="1" ref="G29" ca="1">_xll.DBR($C$26,$B29,G$28)</f>
        <v>TM1HomeWS</v>
      </c>
      <c r="H29" s="9" t="str" cm="1">
        <f t="array" aca="1" ref="H29" ca="1">_xll.DBR($C$26,$B29,H$28)</f>
        <v>home</v>
      </c>
      <c r="S29" s="3"/>
      <c r="T29" s="3"/>
    </row>
    <row r="30" spans="2:38" hidden="1" outlineLevel="1" x14ac:dyDescent="0.25">
      <c r="B30" s="9" t="s">
        <v>71</v>
      </c>
      <c r="C30" s="9" t="str" cm="1">
        <f t="array" aca="1" ref="C30" ca="1">_xll.DBR($C$26,$B30,C$28)</f>
        <v>TM1HomeAECAP</v>
      </c>
      <c r="D30" s="9" t="str" cm="1">
        <f t="array" aca="1" ref="D30" ca="1">_xll.DBR($C$26,$B30,D$28)</f>
        <v>Annual Estimates</v>
      </c>
      <c r="E30" s="9" t="str" cm="1">
        <f t="array" aca="1" ref="E30" ca="1">_xll.DBR($C$26,$B30,E$28)</f>
        <v>TM1HomeAEWB</v>
      </c>
      <c r="F30" s="9" t="str" cm="1">
        <f t="array" aca="1" ref="F30" ca="1">_xll.DBR($C$26,$B30,F$28)</f>
        <v>PRIMUS\GEUS WEB\Homepage\sys_Home - Annual Estimates - Data Entry.xlsx</v>
      </c>
      <c r="G30" s="9" t="str" cm="1">
        <f t="array" aca="1" ref="G30" ca="1">_xll.DBR($C$26,$B30,G$28)</f>
        <v>TM1HomeAEWS</v>
      </c>
      <c r="H30" s="9" t="str" cm="1">
        <f t="array" aca="1" ref="H30" ca="1">_xll.DBR($C$26,$B30,H$28)</f>
        <v>Menu</v>
      </c>
      <c r="S30" s="3"/>
      <c r="T30" s="3"/>
    </row>
    <row r="31" spans="2:38" hidden="1" outlineLevel="1" x14ac:dyDescent="0.25">
      <c r="B31" s="9" t="s">
        <v>72</v>
      </c>
      <c r="C31" s="9" t="str" cm="1">
        <f t="array" aca="1" ref="C31" ca="1">_xll.DBR($C$26,$B31,C$28)</f>
        <v>TM1HomeRepCAP</v>
      </c>
      <c r="D31" s="9" t="str" cm="1">
        <f t="array" aca="1" ref="D31" ca="1">_xll.DBR($C$26,$B31,D$28)</f>
        <v>Reports</v>
      </c>
      <c r="E31" s="9" t="str" cm="1">
        <f t="array" aca="1" ref="E31" ca="1">_xll.DBR($C$26,$B31,E$28)</f>
        <v>TM1HomeRepWB</v>
      </c>
      <c r="F31" s="9" t="str" cm="1">
        <f t="array" aca="1" ref="F31" ca="1">_xll.DBR($C$26,$B31,F$28)</f>
        <v>PRIMUS\GEUS WEB\Homepage\sys_Home - Reports - PFS.xlsx</v>
      </c>
      <c r="G31" s="9" t="str" cm="1">
        <f t="array" aca="1" ref="G31" ca="1">_xll.DBR($C$26,$B31,G$28)</f>
        <v>TM1HomeRepWS</v>
      </c>
      <c r="H31" s="9" t="str" cm="1">
        <f t="array" aca="1" ref="H31" ca="1">_xll.DBR($C$26,$B31,H$28)</f>
        <v>Menu</v>
      </c>
      <c r="S31" s="3"/>
      <c r="T31" s="3"/>
    </row>
    <row r="32" spans="2:38" hidden="1" outlineLevel="1" x14ac:dyDescent="0.25">
      <c r="B32" s="9" t="s">
        <v>78</v>
      </c>
      <c r="C32" s="9" t="str" cm="1">
        <f t="array" aca="1" ref="C32" ca="1">_xll.DBR($C$26,$B32,C$28)</f>
        <v>TM1HomeRepOtherCAP</v>
      </c>
      <c r="D32" s="9" t="str" cm="1">
        <f t="array" aca="1" ref="D32" ca="1">_xll.DBR($C$26,$B32,D$28)</f>
        <v>Other Reports Menu</v>
      </c>
      <c r="E32" s="9" t="str" cm="1">
        <f t="array" aca="1" ref="E32" ca="1">_xll.DBR($C$26,$B32,E$28)</f>
        <v>TM1HomeRepOtherWB</v>
      </c>
      <c r="F32" s="9" t="str" cm="1">
        <f t="array" aca="1" ref="F32" ca="1">_xll.DBR($C$26,$B32,F$28)</f>
        <v>PRIMUS\GEUS WEB\Homepage\sys_Home - Reports - Other.xlsx</v>
      </c>
      <c r="G32" s="9" t="str" cm="1">
        <f t="array" aca="1" ref="G32" ca="1">_xll.DBR($C$26,$B32,G$28)</f>
        <v>TM1HomeRepOtherWS</v>
      </c>
      <c r="H32" s="9" t="str" cm="1">
        <f t="array" aca="1" ref="H32" ca="1">_xll.DBR($C$26,$B32,H$28)</f>
        <v>Menu</v>
      </c>
      <c r="S32" s="3"/>
      <c r="T32" s="3"/>
    </row>
    <row r="33" spans="2:20" hidden="1" outlineLevel="1" x14ac:dyDescent="0.25">
      <c r="B33" s="9" t="s">
        <v>89</v>
      </c>
      <c r="C33" s="9" t="str" cm="1">
        <f t="array" aca="1" ref="C33" ca="1">_xll.DBR($C$26,$B33,C$28)</f>
        <v>TM1HomeRepAnalyticalCAP</v>
      </c>
      <c r="D33" s="9" t="str" cm="1">
        <f t="array" aca="1" ref="D33" ca="1">_xll.DBR($C$26,$B33,D$28)</f>
        <v>Analytical Reports Menu</v>
      </c>
      <c r="E33" s="9" t="str" cm="1">
        <f t="array" aca="1" ref="E33" ca="1">_xll.DBR($C$26,$B33,E$28)</f>
        <v>TM1HomeRepAnalyticalWB</v>
      </c>
      <c r="F33" s="9" t="str" cm="1">
        <f t="array" aca="1" ref="F33" ca="1">_xll.DBR($C$26,$B33,F$28)</f>
        <v>PRIMUS\GEUS WEB\Homepage\sys_Home - Reports - Analytical.xlsx</v>
      </c>
      <c r="G33" s="9" t="str" cm="1">
        <f t="array" aca="1" ref="G33" ca="1">_xll.DBR($C$26,$B33,G$28)</f>
        <v>TM1HomeRepAnalyticalWS</v>
      </c>
      <c r="H33" s="9" t="str" cm="1">
        <f t="array" aca="1" ref="H33" ca="1">_xll.DBR($C$26,$B33,H$28)</f>
        <v>Menu</v>
      </c>
      <c r="S33" s="3"/>
      <c r="T33" s="3"/>
    </row>
    <row r="34" spans="2:20" hidden="1" outlineLevel="1" x14ac:dyDescent="0.25">
      <c r="B34" s="9" t="s">
        <v>90</v>
      </c>
      <c r="C34" s="9" t="str" cm="1">
        <f t="array" aca="1" ref="C34" ca="1">_xll.DBR($C$26,$B34,C$28)</f>
        <v>TM1OthRprTBalDrillCAP</v>
      </c>
      <c r="D34" s="9" t="str" cm="1">
        <f t="array" aca="1" ref="D34" ca="1">_xll.DBR($C$26,$B34,D$28)</f>
        <v/>
      </c>
      <c r="E34" s="9" t="str" cm="1">
        <f t="array" aca="1" ref="E34" ca="1">_xll.DBR($C$26,$B34,E$28)</f>
        <v>TM1OthRprTBalDrillWB</v>
      </c>
      <c r="F34" s="9" t="str" cm="1">
        <f t="array" aca="1" ref="F34" ca="1">_xll.DBR($C$26,$B34,F$28)</f>
        <v>PRIMUS\GEUS WEB\Reports\Other Reports\Other Reports - Trial Balance Drill Down.xlsx</v>
      </c>
      <c r="G34" s="9" t="str" cm="1">
        <f t="array" aca="1" ref="G34" ca="1">_xll.DBR($C$26,$B34,G$28)</f>
        <v>TM1OthRprTBalDrillWS</v>
      </c>
      <c r="H34" s="9" t="str" cm="1">
        <f t="array" aca="1" ref="H34" ca="1">_xll.DBR($C$26,$B34,H$28)</f>
        <v>TBAL</v>
      </c>
      <c r="S34" s="3"/>
      <c r="T34" s="3"/>
    </row>
    <row r="35" spans="2:20" hidden="1" outlineLevel="1" x14ac:dyDescent="0.25">
      <c r="B35" s="9" t="s">
        <v>113</v>
      </c>
      <c r="C35" s="9" t="str" cm="1">
        <f t="array" aca="1" ref="C35" ca="1">_xll.DBR($C$26,$B35,C$28)</f>
        <v>TM1AdjIDListCAP</v>
      </c>
      <c r="D35" s="9" t="str" cm="1">
        <f t="array" aca="1" ref="D35" ca="1">_xll.DBR($C$26,$B35,D$28)</f>
        <v>Adj List</v>
      </c>
      <c r="E35" s="9" t="str" cm="1">
        <f t="array" aca="1" ref="E35" ca="1">_xll.DBR($C$26,$B35,E$28)</f>
        <v>TM1AdjIDListWB</v>
      </c>
      <c r="F35" s="9" t="str" cm="1">
        <f t="array" aca="1" ref="F35" ca="1">_xll.DBR($C$26,$B35,F$28)</f>
        <v>PRIMUS\GEUS WEB\Annual Estimates\Adjustment\adj_id list.xlsx</v>
      </c>
      <c r="G35" s="9" t="str" cm="1">
        <f t="array" aca="1" ref="G35" ca="1">_xll.DBR($C$26,$B35,G$28)</f>
        <v>TM1IDListWS</v>
      </c>
      <c r="H35" s="9" t="str" cm="1">
        <f t="array" aca="1" ref="H35" ca="1">_xll.DBR($C$26,$B35,H$28)</f>
        <v>ID List</v>
      </c>
      <c r="S35" s="3"/>
      <c r="T35" s="3"/>
    </row>
    <row r="36" spans="2:20" hidden="1" outlineLevel="1" x14ac:dyDescent="0.25">
      <c r="B36" s="9" t="s">
        <v>114</v>
      </c>
      <c r="C36" s="9" t="str" cm="1">
        <f t="array" aca="1" ref="C36" ca="1">_xll.DBR($C$26,$B36,C$28)</f>
        <v>TM1ViewAdj01HeaderCAP</v>
      </c>
      <c r="D36" s="9" t="str" cm="1">
        <f t="array" aca="1" ref="D36" ca="1">_xll.DBR($C$26,$B36,D$28)</f>
        <v>Edit Adj Details</v>
      </c>
      <c r="E36" s="9" t="str" cm="1">
        <f t="array" aca="1" ref="E36" ca="1">_xll.DBR($C$26,$B36,E$28)</f>
        <v>TM1ViewAdj01HeaderWB</v>
      </c>
      <c r="F36" s="9" t="str" cm="1">
        <f t="array" aca="1" ref="F36" ca="1">_xll.DBR($C$26,$B36,F$28)</f>
        <v>PRIMUS\GEUS WEB\Annual Estimates\Data Entry\view adj 01 - header details.xlsx</v>
      </c>
      <c r="G36" s="9" t="str" cm="1">
        <f t="array" aca="1" ref="G36" ca="1">_xll.DBR($C$26,$B36,G$28)</f>
        <v>TM1ViewAdj01HeaderWS</v>
      </c>
      <c r="H36" s="9" t="str" cm="1">
        <f t="array" aca="1" ref="H36" ca="1">_xll.DBR($C$26,$B36,H$28)</f>
        <v>header</v>
      </c>
      <c r="S36" s="3"/>
      <c r="T36" s="3"/>
    </row>
    <row r="37" spans="2:20" ht="15.75" hidden="1" outlineLevel="1" thickBot="1" x14ac:dyDescent="0.3">
      <c r="S37" s="3"/>
      <c r="T37" s="3"/>
    </row>
    <row r="38" spans="2:20" ht="15.75" hidden="1" outlineLevel="1" thickBot="1" x14ac:dyDescent="0.3">
      <c r="B38" s="100" t="s">
        <v>23</v>
      </c>
      <c r="C38" s="101"/>
      <c r="S38" s="3"/>
      <c r="T38" s="3"/>
    </row>
    <row r="39" spans="2:20" hidden="1" outlineLevel="1" x14ac:dyDescent="0.25">
      <c r="B39" s="11" t="s">
        <v>24</v>
      </c>
      <c r="C39" s="62" t="str" cm="1">
        <f t="array" aca="1" ref="C39" ca="1">_xll.TM1RPTVIEW(db_name&amp;":AE adjustments:1", 1, _xll.TM1RPTTITLE(db_name&amp;":status",$O$108), _xll.TM1RPTTITLE(db_name&amp;":outcome",$C$47), _xll.TM1RPTTITLE(db_name&amp;":" &amp; psProgDimName,$O$109), _xll.TM1RPTTITLE(db_name&amp;":function",$C$49), _xll.TM1RPTTITLE(db_name&amp;":reason",$C$50), _xll.TM1RPTTITLE(db_name&amp;":spp",$O$111), _xll.TM1RPTTITLE(db_name&amp;":measure code",$O$110), _xll.TM1RPTTITLE(db_name&amp;":appropriation type",$C$53), _xll.TM1RPTTITLE(db_name&amp;":appropriation item",$C$55), _xll.TM1RPTTITLE(db_name&amp;":jurisdiction",$O$112),TM1RPTFMTRNG,TM1RPTFMTIDCOL)</f>
        <v>generic_geus:AE adjustments:1</v>
      </c>
      <c r="S39" s="3"/>
      <c r="T39" s="3"/>
    </row>
    <row r="40" spans="2:20" hidden="1" outlineLevel="1" x14ac:dyDescent="0.25">
      <c r="B40" s="12" t="s">
        <v>25</v>
      </c>
      <c r="C40" s="63" t="str" cm="1">
        <f t="array" aca="1" ref="C40" ca="1">_xll.TM1RPTVIEW(db_name&amp;":AE adjustments:ARPT1", 1,_xll.TM1RPTTITLE(db_name&amp;":status",$O$108), _xll.TM1RPTTITLE(db_name&amp;":outcome",$C$47), _xll.TM1RPTTITLE(db_name&amp;":" &amp; psProgDimName,$O$109), _xll.TM1RPTTITLE(db_name&amp;":function",$C$49), _xll.TM1RPTTITLE(db_name&amp;":reason",$C$50), _xll.TM1RPTTITLE(db_name&amp;":spp",$O$111), _xll.TM1RPTTITLE(db_name&amp;":measure code",$O$110), _xll.TM1RPTTITLE(db_name&amp;":appropriation type",$C$53), _xll.TM1RPTTITLE(db_name&amp;":appropriation item",$C$55), _xll.TM1RPTTITLE(db_name&amp;":jurisdiction",$O$112),TM1RPTFMTRNG,TM1RPTFMTIDCOL)</f>
        <v>generic_geus:AE adjustments:ARPT1</v>
      </c>
      <c r="S40" s="3"/>
      <c r="T40" s="3"/>
    </row>
    <row r="41" spans="2:20" hidden="1" outlineLevel="1" x14ac:dyDescent="0.25">
      <c r="B41" s="12" t="s">
        <v>26</v>
      </c>
      <c r="C41" s="63" t="str" cm="1">
        <f t="array" aca="1" ref="C41" ca="1">_xll.TM1RPTVIEW(db_name&amp;":AE adjustments:ARPT2", 1, _xll.TM1RPTTITLE(db_name&amp;":status",$O$108), _xll.TM1RPTTITLE(db_name&amp;":outcome",$C$47), _xll.TM1RPTTITLE(db_name&amp;":" &amp; psProgDimName,$O$109), _xll.TM1RPTTITLE(db_name&amp;":function",$C$49), _xll.TM1RPTTITLE(db_name&amp;":reason",$C$50), _xll.TM1RPTTITLE(db_name&amp;":spp",$O$111), _xll.TM1RPTTITLE(db_name&amp;":measure code",$O$110), _xll.TM1RPTTITLE(db_name&amp;":appropriation type",$C$53), _xll.TM1RPTTITLE(db_name&amp;":appropriation item",$C$55), _xll.TM1RPTTITLE(db_name&amp;":jurisdiction",$O$112),TM1RPTFMTRNG,TM1RPTFMTIDCOL)</f>
        <v>generic_geus:AE adjustments:ARPT2</v>
      </c>
      <c r="S41" s="3"/>
      <c r="T41" s="3"/>
    </row>
    <row r="42" spans="2:20" hidden="1" outlineLevel="1" x14ac:dyDescent="0.25">
      <c r="B42" s="12" t="s">
        <v>27</v>
      </c>
      <c r="C42" s="13" t="str" cm="1">
        <f t="array" aca="1" ref="C42" ca="1">_xll.VIEW(db_name&amp;":AE adjustments","!","!",$O$108,$C$47,"!",$C$49,$C$50,$O$111,$O$110,$C$53,"!",$C$55,$O$109,"!","!",$O$112,"!")</f>
        <v>generic_geus:AE adjustments</v>
      </c>
      <c r="S42" s="3"/>
      <c r="T42" s="3"/>
    </row>
    <row r="43" spans="2:20" hidden="1" outlineLevel="1" x14ac:dyDescent="0.25">
      <c r="B43" s="14" t="s">
        <v>28</v>
      </c>
      <c r="C43" s="13" t="str" cm="1">
        <f t="array" aca="1" ref="C43" ca="1">_xll.VIEW(db_name&amp;":}ElementAttributes_account","!","!")</f>
        <v>generic_geus:}ElementAttributes_account</v>
      </c>
      <c r="S43" s="3"/>
      <c r="T43" s="3"/>
    </row>
    <row r="44" spans="2:20" hidden="1" outlineLevel="1" x14ac:dyDescent="0.25">
      <c r="B44" s="14" t="s">
        <v>29</v>
      </c>
      <c r="C44" s="15" t="s">
        <v>30</v>
      </c>
      <c r="S44" s="3"/>
      <c r="T44" s="3"/>
    </row>
    <row r="45" spans="2:20" hidden="1" outlineLevel="1" x14ac:dyDescent="0.25">
      <c r="B45" s="14" t="s">
        <v>31</v>
      </c>
      <c r="C45" s="15" t="s">
        <v>30</v>
      </c>
      <c r="S45" s="3"/>
      <c r="T45" s="3"/>
    </row>
    <row r="46" spans="2:20" hidden="1" outlineLevel="1" x14ac:dyDescent="0.25">
      <c r="B46" s="14" t="s">
        <v>1</v>
      </c>
      <c r="C46" s="63" t="str" cm="1">
        <f t="array" aca="1" ref="C46" ca="1">_xll.SUBNM(db_name&amp;":status","",$O$108)</f>
        <v>Total approved</v>
      </c>
      <c r="S46" s="3"/>
      <c r="T46" s="3"/>
    </row>
    <row r="47" spans="2:20" hidden="1" outlineLevel="1" x14ac:dyDescent="0.25">
      <c r="B47" s="14" t="s">
        <v>2</v>
      </c>
      <c r="C47" s="63" t="str" cm="1">
        <f t="array" aca="1" ref="C47" ca="1">_xll.SUBNM(db_name&amp;":outcome","","Total outcomes")</f>
        <v>Total outcomes</v>
      </c>
      <c r="S47" s="3"/>
      <c r="T47" s="3"/>
    </row>
    <row r="48" spans="2:20" hidden="1" outlineLevel="1" x14ac:dyDescent="0.25">
      <c r="B48" s="14" t="s">
        <v>3</v>
      </c>
      <c r="C48" s="63" t="str" cm="1">
        <f t="array" aca="1" ref="C48" ca="1">_xll.SUBNM(db_name&amp;":related entity","","Total related entity")</f>
        <v>Total related entity</v>
      </c>
      <c r="S48" s="3"/>
      <c r="T48" s="3"/>
    </row>
    <row r="49" spans="2:20" hidden="1" outlineLevel="1" x14ac:dyDescent="0.25">
      <c r="B49" s="14" t="s">
        <v>4</v>
      </c>
      <c r="C49" s="63" t="str" cm="1">
        <f t="array" aca="1" ref="C49" ca="1">_xll.SUBNM(db_name&amp;":function","","Total functions")</f>
        <v>Total functions</v>
      </c>
      <c r="S49" s="3"/>
      <c r="T49" s="3"/>
    </row>
    <row r="50" spans="2:20" hidden="1" outlineLevel="1" x14ac:dyDescent="0.25">
      <c r="B50" s="14" t="s">
        <v>5</v>
      </c>
      <c r="C50" s="63" t="str" cm="1">
        <f t="array" aca="1" ref="C50" ca="1">_xll.SUBNM(db_name&amp;":reason","","Total reason")</f>
        <v>Total reason</v>
      </c>
      <c r="S50" s="3"/>
      <c r="T50" s="3"/>
    </row>
    <row r="51" spans="2:20" hidden="1" outlineLevel="1" x14ac:dyDescent="0.25">
      <c r="B51" s="14" t="s">
        <v>6</v>
      </c>
      <c r="S51" s="3"/>
      <c r="T51" s="3"/>
    </row>
    <row r="52" spans="2:20" hidden="1" outlineLevel="1" x14ac:dyDescent="0.25">
      <c r="B52" s="14" t="s">
        <v>7</v>
      </c>
      <c r="S52" s="3"/>
      <c r="T52" s="3"/>
    </row>
    <row r="53" spans="2:20" hidden="1" outlineLevel="1" x14ac:dyDescent="0.25">
      <c r="B53" s="14" t="s">
        <v>8</v>
      </c>
      <c r="C53" s="63" t="str" cm="1">
        <f t="array" aca="1" ref="C53" ca="1">_xll.SUBNM(db_name&amp;":appropriation type","","Total approp types")</f>
        <v>Total approp types</v>
      </c>
      <c r="S53" s="3"/>
      <c r="T53" s="3"/>
    </row>
    <row r="54" spans="2:20" hidden="1" outlineLevel="1" x14ac:dyDescent="0.25">
      <c r="B54" s="14" t="s">
        <v>9</v>
      </c>
      <c r="C54" s="63" t="str" cm="1">
        <f t="array" aca="1" ref="C54" ca="1">_xll.SUBNM(db_name&amp;":movement account","","Total movement","code and description")</f>
        <v>Total movement</v>
      </c>
      <c r="S54" s="3"/>
      <c r="T54" s="3"/>
    </row>
    <row r="55" spans="2:20" hidden="1" outlineLevel="1" x14ac:dyDescent="0.25">
      <c r="B55" s="14" t="s">
        <v>10</v>
      </c>
      <c r="C55" s="63" t="str" cm="1">
        <f t="array" aca="1" ref="C55" ca="1">_xll.SUBNM(db_name&amp;":appropriation item","","Total approp item")</f>
        <v>Total approp item</v>
      </c>
      <c r="S55" s="3"/>
      <c r="T55" s="3"/>
    </row>
    <row r="56" spans="2:20" hidden="1" outlineLevel="1" x14ac:dyDescent="0.25">
      <c r="B56" s="14" t="s">
        <v>32</v>
      </c>
      <c r="C56" s="15" t="s">
        <v>30</v>
      </c>
      <c r="S56" s="3"/>
      <c r="T56" s="3"/>
    </row>
    <row r="57" spans="2:20" hidden="1" outlineLevel="1" x14ac:dyDescent="0.25">
      <c r="B57" s="14" t="s">
        <v>33</v>
      </c>
      <c r="C57" s="15" t="s">
        <v>34</v>
      </c>
      <c r="S57" s="3"/>
      <c r="T57" s="3"/>
    </row>
    <row r="58" spans="2:20" hidden="1" outlineLevel="1" x14ac:dyDescent="0.25">
      <c r="B58" s="14" t="s">
        <v>11</v>
      </c>
      <c r="C58" s="63" t="str" cm="1">
        <f t="array" aca="1" ref="C58" ca="1">_xll.SUBNM(db_name&amp;":id","","Total IDs")</f>
        <v>Total IDs</v>
      </c>
      <c r="S58" s="3"/>
      <c r="T58" s="3"/>
    </row>
    <row r="59" spans="2:20" hidden="1" outlineLevel="1" x14ac:dyDescent="0.25">
      <c r="B59" s="14" t="s">
        <v>12</v>
      </c>
      <c r="S59" s="3"/>
      <c r="T59" s="3"/>
    </row>
    <row r="60" spans="2:20" ht="15.75" hidden="1" outlineLevel="1" thickBot="1" x14ac:dyDescent="0.3">
      <c r="B60" s="16" t="s">
        <v>35</v>
      </c>
      <c r="C60" s="17" t="s">
        <v>36</v>
      </c>
      <c r="S60" s="3"/>
      <c r="T60" s="3"/>
    </row>
    <row r="61" spans="2:20" ht="15.75" hidden="1" outlineLevel="1" thickBot="1" x14ac:dyDescent="0.3">
      <c r="B61" s="1"/>
      <c r="S61" s="3"/>
      <c r="T61" s="3"/>
    </row>
    <row r="62" spans="2:20" ht="15.75" hidden="1" outlineLevel="1" thickBot="1" x14ac:dyDescent="0.3">
      <c r="B62" s="102" t="s">
        <v>37</v>
      </c>
      <c r="C62" s="103"/>
      <c r="E62" t="s">
        <v>76</v>
      </c>
      <c r="F62" t="s">
        <v>77</v>
      </c>
      <c r="S62" s="3"/>
      <c r="T62" s="3"/>
    </row>
    <row r="63" spans="2:20" ht="15.75" hidden="1" outlineLevel="1" thickBot="1" x14ac:dyDescent="0.3">
      <c r="B63" s="11" t="s">
        <v>38</v>
      </c>
      <c r="C63" s="18">
        <v>9000140</v>
      </c>
      <c r="D63" s="19" t="str">
        <f ca="1">IF($U$108="Collapse",$E63,$F63)</f>
        <v>{DESCENDANTS(ACCOUNT.[9000140]) }</v>
      </c>
      <c r="E63" s="19" t="str">
        <f>"{DESCENDANTS(ACCOUNT.["&amp;$C63&amp;"]) }"</f>
        <v>{DESCENDANTS(ACCOUNT.[9000140]) }</v>
      </c>
      <c r="F63" t="str">
        <f>"{TM1FILTERBYLEVEL( {TM1DRILLDOWNMEMBER( {[account].[" &amp;$C63 &amp; "]}, ALL, RECURSIVE )}, 0)}"</f>
        <v>{TM1FILTERBYLEVEL( {TM1DRILLDOWNMEMBER( {[account].[9000140]}, ALL, RECURSIVE )}, 0)}</v>
      </c>
      <c r="S63" s="3"/>
      <c r="T63" s="3"/>
    </row>
    <row r="64" spans="2:20" ht="15.75" hidden="1" outlineLevel="1" thickBot="1" x14ac:dyDescent="0.3">
      <c r="B64" s="14" t="s">
        <v>39</v>
      </c>
      <c r="C64" s="20">
        <v>3800001</v>
      </c>
      <c r="D64" s="19" t="str">
        <f ca="1">IF($U$109="Collapse",$E64,$F64)</f>
        <v>{DESCENDANTS(ACCOUNT.[3800001]) }</v>
      </c>
      <c r="E64" s="19" t="str">
        <f t="shared" ref="E64:E65" si="0">"{DESCENDANTS(ACCOUNT.["&amp;$C64&amp;"]) }"</f>
        <v>{DESCENDANTS(ACCOUNT.[3800001]) }</v>
      </c>
      <c r="F64" t="str">
        <f t="shared" ref="F64:F65" si="1">"{TM1FILTERBYLEVEL( {TM1DRILLDOWNMEMBER( {[account].[" &amp;$C64 &amp; "]}, ALL, RECURSIVE )}, 0)}"</f>
        <v>{TM1FILTERBYLEVEL( {TM1DRILLDOWNMEMBER( {[account].[3800001]}, ALL, RECURSIVE )}, 0)}</v>
      </c>
      <c r="S64" s="3"/>
      <c r="T64" s="3"/>
    </row>
    <row r="65" spans="2:20" ht="15.75" hidden="1" outlineLevel="1" thickBot="1" x14ac:dyDescent="0.3">
      <c r="B65" s="16" t="s">
        <v>40</v>
      </c>
      <c r="C65" s="20">
        <v>9000003</v>
      </c>
      <c r="D65" s="19" t="str">
        <f ca="1">IF($U$110="Collapse",$E65,$F65)</f>
        <v>{DESCENDANTS(ACCOUNT.[9000003]) }</v>
      </c>
      <c r="E65" s="19" t="str">
        <f t="shared" si="0"/>
        <v>{DESCENDANTS(ACCOUNT.[9000003]) }</v>
      </c>
      <c r="F65" t="str">
        <f t="shared" si="1"/>
        <v>{TM1FILTERBYLEVEL( {TM1DRILLDOWNMEMBER( {[account].[9000003]}, ALL, RECURSIVE )}, 0)}</v>
      </c>
      <c r="S65" s="3"/>
      <c r="T65" s="3"/>
    </row>
    <row r="66" spans="2:20" ht="15.75" hidden="1" outlineLevel="1" thickBot="1" x14ac:dyDescent="0.3">
      <c r="B66" s="1"/>
      <c r="C66" s="21"/>
      <c r="D66" s="21"/>
      <c r="S66" s="3"/>
      <c r="T66" s="3"/>
    </row>
    <row r="67" spans="2:20" ht="15.75" hidden="1" outlineLevel="1" thickBot="1" x14ac:dyDescent="0.3">
      <c r="B67" s="22"/>
      <c r="C67" s="23" t="s">
        <v>41</v>
      </c>
      <c r="D67" s="24" t="s">
        <v>42</v>
      </c>
      <c r="S67" s="3"/>
      <c r="T67" s="3"/>
    </row>
    <row r="68" spans="2:20" hidden="1" outlineLevel="1" x14ac:dyDescent="0.25">
      <c r="B68" s="25" t="s">
        <v>76</v>
      </c>
      <c r="C68" s="26" t="str">
        <f ca="1">"{HIERARCHIZE ({[" &amp; psProgDimName &amp;"].["&amp;$O$109&amp;"]})}"</f>
        <v>{HIERARCHIZE ({[programme].[Departmental Programmes]})}</v>
      </c>
      <c r="D68" s="27">
        <v>1</v>
      </c>
      <c r="S68" s="3"/>
      <c r="T68" s="3"/>
    </row>
    <row r="69" spans="2:20" hidden="1" outlineLevel="1" x14ac:dyDescent="0.25">
      <c r="B69" s="39" t="s">
        <v>77</v>
      </c>
      <c r="C69" s="40" t="str">
        <f ca="1">"{TM1FILTERBYLEVEL( {TM1DRILLDOWNMEMBER( {[" &amp; psProgDimName &amp; "].[" &amp;$O$109 &amp; "]}, ALL, RECURSIVE )}, 0)}"</f>
        <v>{TM1FILTERBYLEVEL( {TM1DRILLDOWNMEMBER( {[programme].[Departmental Programmes]}, ALL, RECURSIVE )}, 0)}</v>
      </c>
      <c r="D69" s="41">
        <v>0</v>
      </c>
      <c r="O69" t="s">
        <v>43</v>
      </c>
      <c r="S69" s="3"/>
      <c r="T69" s="3"/>
    </row>
    <row r="70" spans="2:20" hidden="1" outlineLevel="1" x14ac:dyDescent="0.25">
      <c r="B70" s="9"/>
      <c r="C70" s="9" t="s">
        <v>50</v>
      </c>
      <c r="D70" s="42" t="s">
        <v>42</v>
      </c>
      <c r="O70" s="28"/>
      <c r="P70" s="28"/>
      <c r="Q70" s="28"/>
      <c r="R70" s="28"/>
      <c r="S70" s="3"/>
      <c r="T70" s="3"/>
    </row>
    <row r="71" spans="2:20" hidden="1" outlineLevel="1" x14ac:dyDescent="0.25">
      <c r="B71" s="9" t="s">
        <v>45</v>
      </c>
      <c r="C71" s="42" t="str">
        <f ca="1">VLOOKUP($U$108,PL_progtype_lookup,2,FALSE)</f>
        <v>{HIERARCHIZE ({[programme].[Departmental Programmes]})}</v>
      </c>
      <c r="D71" s="42">
        <f ca="1">VLOOKUP($U$108,PL_progtype_lookup,3,FALSE)</f>
        <v>1</v>
      </c>
      <c r="O71" s="28"/>
      <c r="P71" s="28"/>
      <c r="Q71" s="28"/>
      <c r="R71" s="28"/>
      <c r="S71" s="3"/>
      <c r="T71" s="3"/>
    </row>
    <row r="72" spans="2:20" hidden="1" outlineLevel="1" x14ac:dyDescent="0.25">
      <c r="B72" s="9" t="s">
        <v>46</v>
      </c>
      <c r="C72" s="42" t="str">
        <f ca="1">VLOOKUP($U$109,PL_progtype_lookup,2,FALSE)</f>
        <v>{HIERARCHIZE ({[programme].[Departmental Programmes]})}</v>
      </c>
      <c r="D72" s="42">
        <f ca="1">VLOOKUP($U$108,PL_progtype_lookup,3,FALSE)</f>
        <v>1</v>
      </c>
      <c r="O72" s="28"/>
      <c r="P72" s="28"/>
      <c r="Q72" s="28"/>
      <c r="R72" s="28"/>
      <c r="S72" s="3"/>
      <c r="T72" s="3"/>
    </row>
    <row r="73" spans="2:20" hidden="1" outlineLevel="1" x14ac:dyDescent="0.25">
      <c r="B73" s="9" t="s">
        <v>51</v>
      </c>
      <c r="C73" s="42" t="str">
        <f ca="1">VLOOKUP($U$110,PL_progtype_lookup,2,FALSE)</f>
        <v>{HIERARCHIZE ({[programme].[Departmental Programmes]})}</v>
      </c>
      <c r="D73" s="42">
        <f ca="1">VLOOKUP($U$108,PL_progtype_lookup,3,FALSE)</f>
        <v>1</v>
      </c>
      <c r="O73" s="28"/>
      <c r="P73" s="28"/>
      <c r="Q73" s="28"/>
      <c r="R73" s="28"/>
      <c r="S73" s="3"/>
      <c r="T73" s="3"/>
    </row>
    <row r="74" spans="2:20" hidden="1" outlineLevel="1" x14ac:dyDescent="0.25">
      <c r="B74" s="61"/>
      <c r="C74" s="64" t="str">
        <f ca="1">"{TM1SORTBYINDEX( {TM1FILTERBYLEVEL( {TM1DRILLDOWNMEMBER( {[" &amp; psProgDimName &amp; "].["&amp;$O$109&amp;"]}, ALL, RECURSIVE )}, 0,4)}, DESC)}"</f>
        <v>{TM1SORTBYINDEX( {TM1FILTERBYLEVEL( {TM1DRILLDOWNMEMBER( {[programme].[Departmental Programmes]}, ALL, RECURSIVE )}, 0,4)}, DESC)}</v>
      </c>
      <c r="D74" s="42"/>
      <c r="S74" s="3"/>
      <c r="T74" s="3"/>
    </row>
    <row r="75" spans="2:20" hidden="1" outlineLevel="1" x14ac:dyDescent="0.25">
      <c r="B75" s="61"/>
      <c r="C75" s="42" t="str">
        <f ca="1">"{TM1FILTERBYLEVEL( {TM1DRILLDOWNMEMBER( {[" &amp; psProgDimName &amp; "].[" &amp;$O$109 &amp; "]}, ALL, RECURSIVE )}, 0)}"</f>
        <v>{TM1FILTERBYLEVEL( {TM1DRILLDOWNMEMBER( {[programme].[Departmental Programmes]}, ALL, RECURSIVE )}, 0)}</v>
      </c>
      <c r="D75" s="42"/>
      <c r="S75" s="3"/>
      <c r="T75" s="3"/>
    </row>
    <row r="76" spans="2:20" hidden="1" outlineLevel="1" x14ac:dyDescent="0.25">
      <c r="B76" s="1"/>
      <c r="C76" s="21"/>
      <c r="D76" s="21"/>
      <c r="S76" s="3"/>
      <c r="T76" s="3"/>
    </row>
    <row r="77" spans="2:20" hidden="1" outlineLevel="1" x14ac:dyDescent="0.25">
      <c r="B77" s="1"/>
      <c r="C77" s="73" t="s">
        <v>45</v>
      </c>
      <c r="D77" s="73" t="s">
        <v>46</v>
      </c>
      <c r="E77" s="74" t="s">
        <v>51</v>
      </c>
      <c r="S77" s="3"/>
      <c r="T77" s="3"/>
    </row>
    <row r="78" spans="2:20" hidden="1" outlineLevel="1" x14ac:dyDescent="0.25">
      <c r="B78" s="61" t="s">
        <v>96</v>
      </c>
      <c r="C78" s="20" t="str">
        <f ca="1">IF($U$108="Collapse",C79,C80)</f>
        <v>{[movement account].[Total movement]}</v>
      </c>
      <c r="D78" s="20" t="str">
        <f ca="1">IF($U$109="Collapse",D79,D80)</f>
        <v>{[movement account].[Total movement]}</v>
      </c>
      <c r="E78" s="20" t="str">
        <f ca="1">IF($U$110="Collapse",E79,E80)</f>
        <v>{[movement account].[Total movement]}</v>
      </c>
      <c r="S78" s="3"/>
      <c r="T78" s="3"/>
    </row>
    <row r="79" spans="2:20" hidden="1" outlineLevel="1" x14ac:dyDescent="0.25">
      <c r="B79" s="61" t="s">
        <v>76</v>
      </c>
      <c r="C79" s="20" t="str">
        <f ca="1">"{[movement account].[" &amp;$C$54 &amp; "]}"</f>
        <v>{[movement account].[Total movement]}</v>
      </c>
      <c r="D79" s="20" t="str">
        <f t="shared" ref="D79:E79" ca="1" si="2">"{[movement account].[" &amp;$C$54 &amp; "]}"</f>
        <v>{[movement account].[Total movement]}</v>
      </c>
      <c r="E79" s="20" t="str">
        <f t="shared" ca="1" si="2"/>
        <v>{[movement account].[Total movement]}</v>
      </c>
      <c r="S79" s="3"/>
      <c r="T79" s="3"/>
    </row>
    <row r="80" spans="2:20" hidden="1" outlineLevel="1" x14ac:dyDescent="0.25">
      <c r="B80" s="61" t="s">
        <v>77</v>
      </c>
      <c r="C80" s="20" t="str">
        <f ca="1">"{TM1FILTERBYLEVEL( {TM1DRILLDOWNMEMBER( {[movement account].[" &amp;$C$54 &amp; "]}, ALL, RECURSIVE )}, 0)}"</f>
        <v>{TM1FILTERBYLEVEL( {TM1DRILLDOWNMEMBER( {[movement account].[Total movement]}, ALL, RECURSIVE )}, 0)}</v>
      </c>
      <c r="D80" s="20" t="str">
        <f t="shared" ref="D80:E80" ca="1" si="3">"{TM1FILTERBYLEVEL( {TM1DRILLDOWNMEMBER( {[movement account].[" &amp;$C$54 &amp; "]}, ALL, RECURSIVE )}, 0)}"</f>
        <v>{TM1FILTERBYLEVEL( {TM1DRILLDOWNMEMBER( {[movement account].[Total movement]}, ALL, RECURSIVE )}, 0)}</v>
      </c>
      <c r="E80" s="20" t="str">
        <f t="shared" ca="1" si="3"/>
        <v>{TM1FILTERBYLEVEL( {TM1DRILLDOWNMEMBER( {[movement account].[Total movement]}, ALL, RECURSIVE )}, 0)}</v>
      </c>
      <c r="S80" s="3"/>
      <c r="T80" s="3"/>
    </row>
    <row r="81" spans="2:20" hidden="1" outlineLevel="1" x14ac:dyDescent="0.25">
      <c r="B81" s="1"/>
      <c r="C81" s="21"/>
      <c r="D81" s="21"/>
      <c r="S81" s="3"/>
      <c r="T81" s="3"/>
    </row>
    <row r="82" spans="2:20" hidden="1" outlineLevel="1" x14ac:dyDescent="0.25">
      <c r="B82" s="61" t="s">
        <v>97</v>
      </c>
      <c r="C82" s="20" t="str">
        <f ca="1">IF($U$108="Collapse",C83,C84)</f>
        <v>{[related entity].[Total related entity]}</v>
      </c>
      <c r="D82" s="20" t="str">
        <f ca="1">IF($U$109="Collapse",D83,D84)</f>
        <v>{[related entity].[Total related entity]}</v>
      </c>
      <c r="E82" s="20" t="str">
        <f ca="1">IF($U$110="Collapse",E83,E84)</f>
        <v>{[related entity].[Total related entity]}</v>
      </c>
      <c r="S82" s="3"/>
      <c r="T82" s="3"/>
    </row>
    <row r="83" spans="2:20" hidden="1" outlineLevel="1" x14ac:dyDescent="0.25">
      <c r="B83" s="61" t="s">
        <v>76</v>
      </c>
      <c r="C83" s="20" t="str">
        <f ca="1">"{[related entity].[" &amp;$C$48 &amp; "]}"</f>
        <v>{[related entity].[Total related entity]}</v>
      </c>
      <c r="D83" s="20" t="str">
        <f ca="1">"{[related entity].[" &amp;$C$48 &amp; "]}"</f>
        <v>{[related entity].[Total related entity]}</v>
      </c>
      <c r="E83" s="20" t="str">
        <f ca="1">"{[related entity].[" &amp;$C$48 &amp; "]}"</f>
        <v>{[related entity].[Total related entity]}</v>
      </c>
      <c r="S83" s="3"/>
      <c r="T83" s="3"/>
    </row>
    <row r="84" spans="2:20" hidden="1" outlineLevel="1" x14ac:dyDescent="0.25">
      <c r="B84" s="61" t="s">
        <v>77</v>
      </c>
      <c r="C84" s="20" t="str">
        <f ca="1">"{TM1FILTERBYLEVEL( {TM1DRILLDOWNMEMBER( {[related entity].[" &amp;$C$48 &amp; "]}, ALL, RECURSIVE )}, 0)}"</f>
        <v>{TM1FILTERBYLEVEL( {TM1DRILLDOWNMEMBER( {[related entity].[Total related entity]}, ALL, RECURSIVE )}, 0)}</v>
      </c>
      <c r="D84" s="20" t="str">
        <f ca="1">"{TM1FILTERBYLEVEL( {TM1DRILLDOWNMEMBER( {[related entity].[" &amp;$C$48 &amp; "]}, ALL, RECURSIVE )}, 0)}"</f>
        <v>{TM1FILTERBYLEVEL( {TM1DRILLDOWNMEMBER( {[related entity].[Total related entity]}, ALL, RECURSIVE )}, 0)}</v>
      </c>
      <c r="E84" s="20" t="str">
        <f ca="1">"{TM1FILTERBYLEVEL( {TM1DRILLDOWNMEMBER( {[related entity].[" &amp;$C$48 &amp; "]}, ALL, RECURSIVE )}, 0)}"</f>
        <v>{TM1FILTERBYLEVEL( {TM1DRILLDOWNMEMBER( {[related entity].[Total related entity]}, ALL, RECURSIVE )}, 0)}</v>
      </c>
      <c r="S84" s="3"/>
      <c r="T84" s="3"/>
    </row>
    <row r="85" spans="2:20" hidden="1" outlineLevel="1" x14ac:dyDescent="0.25">
      <c r="B85" s="1"/>
      <c r="C85" s="21"/>
      <c r="D85" s="21"/>
      <c r="S85" s="3"/>
      <c r="T85" s="3"/>
    </row>
    <row r="86" spans="2:20" hidden="1" outlineLevel="1" x14ac:dyDescent="0.25">
      <c r="B86" s="61" t="s">
        <v>98</v>
      </c>
      <c r="C86" s="20" t="str">
        <f ca="1">IF($V$108="Collapse",C87,C88)</f>
        <v>{[id].[Total IDs]}</v>
      </c>
      <c r="D86" s="20" t="str">
        <f ca="1">IF($V$109="Collapse",D87,D88)</f>
        <v>{[id].[Total IDs]}</v>
      </c>
      <c r="E86" s="20" t="str">
        <f ca="1">IF($V$110="Collapse",E87,E88)</f>
        <v>{[id].[Total IDs]}</v>
      </c>
      <c r="S86" s="3"/>
      <c r="T86" s="3"/>
    </row>
    <row r="87" spans="2:20" hidden="1" outlineLevel="1" x14ac:dyDescent="0.25">
      <c r="B87" s="61" t="s">
        <v>76</v>
      </c>
      <c r="C87" s="20" t="str">
        <f ca="1">"{[id].[" &amp;$C$58 &amp; "]}"</f>
        <v>{[id].[Total IDs]}</v>
      </c>
      <c r="D87" s="20" t="str">
        <f t="shared" ref="D87:E87" ca="1" si="4">"{[id].[" &amp;$C$58 &amp; "]}"</f>
        <v>{[id].[Total IDs]}</v>
      </c>
      <c r="E87" s="20" t="str">
        <f t="shared" ca="1" si="4"/>
        <v>{[id].[Total IDs]}</v>
      </c>
      <c r="S87" s="3"/>
      <c r="T87" s="3"/>
    </row>
    <row r="88" spans="2:20" hidden="1" outlineLevel="1" x14ac:dyDescent="0.25">
      <c r="B88" s="61" t="s">
        <v>77</v>
      </c>
      <c r="C88" s="20" t="str">
        <f ca="1">"{TM1FILTERBYLEVEL( {TM1DRILLDOWNMEMBER( {[id].[" &amp;$C$58 &amp; "]}, ALL, RECURSIVE )}, 0)}"</f>
        <v>{TM1FILTERBYLEVEL( {TM1DRILLDOWNMEMBER( {[id].[Total IDs]}, ALL, RECURSIVE )}, 0)}</v>
      </c>
      <c r="D88" s="20" t="str">
        <f t="shared" ref="D88:E88" ca="1" si="5">"{TM1FILTERBYLEVEL( {TM1DRILLDOWNMEMBER( {[id].[" &amp;$C$58 &amp; "]}, ALL, RECURSIVE )}, 0)}"</f>
        <v>{TM1FILTERBYLEVEL( {TM1DRILLDOWNMEMBER( {[id].[Total IDs]}, ALL, RECURSIVE )}, 0)}</v>
      </c>
      <c r="E88" s="20" t="str">
        <f t="shared" ca="1" si="5"/>
        <v>{TM1FILTERBYLEVEL( {TM1DRILLDOWNMEMBER( {[id].[Total IDs]}, ALL, RECURSIVE )}, 0)}</v>
      </c>
      <c r="S88" s="3"/>
      <c r="T88" s="3"/>
    </row>
    <row r="89" spans="2:20" hidden="1" outlineLevel="1" x14ac:dyDescent="0.25">
      <c r="B89" s="1"/>
      <c r="C89" s="21"/>
      <c r="D89" s="21"/>
      <c r="S89" s="3"/>
      <c r="T89" s="3"/>
    </row>
    <row r="90" spans="2:20" hidden="1" outlineLevel="1" x14ac:dyDescent="0.25">
      <c r="B90" s="1"/>
      <c r="C90" s="21"/>
      <c r="D90" s="21"/>
      <c r="S90" s="3"/>
      <c r="T90" s="3"/>
    </row>
    <row r="91" spans="2:20" hidden="1" outlineLevel="1" x14ac:dyDescent="0.25">
      <c r="B91" s="1"/>
      <c r="C91" s="21"/>
      <c r="D91" s="21"/>
      <c r="S91" s="3"/>
      <c r="T91" s="3"/>
    </row>
    <row r="92" spans="2:20" hidden="1" outlineLevel="1" x14ac:dyDescent="0.25">
      <c r="B92" s="1"/>
      <c r="C92" s="21"/>
      <c r="D92" s="21"/>
      <c r="S92" s="3"/>
      <c r="T92" s="3"/>
    </row>
    <row r="93" spans="2:20" hidden="1" outlineLevel="1" x14ac:dyDescent="0.25">
      <c r="B93" s="1"/>
      <c r="C93" s="21"/>
      <c r="D93" s="21"/>
      <c r="S93" s="3"/>
      <c r="T93" s="3"/>
    </row>
    <row r="94" spans="2:20" hidden="1" outlineLevel="1" x14ac:dyDescent="0.25">
      <c r="B94" s="1"/>
      <c r="C94" s="21"/>
      <c r="D94" s="21"/>
      <c r="S94" s="3"/>
      <c r="T94" s="3"/>
    </row>
    <row r="95" spans="2:20" hidden="1" outlineLevel="1" x14ac:dyDescent="0.25">
      <c r="B95" s="1"/>
      <c r="C95" s="21"/>
      <c r="D95" s="21"/>
      <c r="S95" s="3"/>
      <c r="T95" s="3"/>
    </row>
    <row r="96" spans="2:20" hidden="1" outlineLevel="1" x14ac:dyDescent="0.25">
      <c r="B96" s="1"/>
      <c r="C96" s="21"/>
      <c r="D96" s="21"/>
      <c r="S96" s="3"/>
      <c r="T96" s="3"/>
    </row>
    <row r="97" spans="2:24" hidden="1" outlineLevel="1" x14ac:dyDescent="0.25">
      <c r="B97" s="1"/>
      <c r="C97" s="21"/>
      <c r="D97" s="21"/>
      <c r="S97" s="3"/>
      <c r="T97" s="3"/>
    </row>
    <row r="98" spans="2:24" hidden="1" outlineLevel="1" x14ac:dyDescent="0.25">
      <c r="B98" s="1"/>
      <c r="C98" s="21"/>
      <c r="D98" s="21"/>
      <c r="S98" s="3"/>
      <c r="T98" s="3"/>
    </row>
    <row r="99" spans="2:24" hidden="1" outlineLevel="1" x14ac:dyDescent="0.25">
      <c r="B99" s="1"/>
      <c r="C99" s="21"/>
      <c r="D99" s="21"/>
      <c r="S99" s="3"/>
      <c r="T99" s="3"/>
    </row>
    <row r="100" spans="2:24" hidden="1" outlineLevel="1" x14ac:dyDescent="0.25">
      <c r="B100" s="1"/>
      <c r="C100" s="21"/>
      <c r="D100" s="21"/>
      <c r="S100" s="3"/>
      <c r="T100" s="3"/>
    </row>
    <row r="101" spans="2:24" hidden="1" outlineLevel="1" x14ac:dyDescent="0.25">
      <c r="B101" s="1"/>
      <c r="C101" s="21"/>
      <c r="D101" s="21"/>
      <c r="S101" s="3"/>
      <c r="T101" s="3"/>
    </row>
    <row r="102" spans="2:24" ht="39.950000000000003" customHeight="1" collapsed="1" x14ac:dyDescent="0.25">
      <c r="M102" s="66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6" t="s">
        <v>115</v>
      </c>
    </row>
    <row r="103" spans="2:24" ht="4.5" customHeight="1" x14ac:dyDescent="0.25">
      <c r="N103" s="29"/>
      <c r="O103" s="29"/>
      <c r="P103" s="29"/>
      <c r="Q103" s="29"/>
      <c r="R103" s="29"/>
      <c r="S103" s="29"/>
      <c r="T103" s="29"/>
      <c r="U103" s="29"/>
      <c r="V103" s="29"/>
      <c r="X103" s="29"/>
    </row>
    <row r="104" spans="2:24" ht="24" customHeight="1" x14ac:dyDescent="0.25">
      <c r="N104" s="1"/>
      <c r="O104" s="29"/>
      <c r="P104" s="29"/>
      <c r="Q104" s="29"/>
      <c r="R104" s="29"/>
      <c r="S104" s="29"/>
      <c r="T104" s="29"/>
      <c r="U104" s="29"/>
      <c r="V104" s="29"/>
      <c r="W104" s="29"/>
      <c r="X104" s="29"/>
    </row>
    <row r="105" spans="2:24" ht="1.5" customHeight="1" x14ac:dyDescent="0.25"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</row>
    <row r="106" spans="2:24" ht="4.5" customHeight="1" x14ac:dyDescent="0.25">
      <c r="N106" s="1"/>
      <c r="O106" s="29"/>
      <c r="P106" s="29"/>
      <c r="Q106" s="29"/>
      <c r="R106" s="29"/>
      <c r="S106" s="29"/>
      <c r="T106" s="29"/>
      <c r="U106" s="29"/>
      <c r="V106" s="29"/>
      <c r="W106" s="29"/>
      <c r="X106" s="29"/>
    </row>
    <row r="107" spans="2:24" s="2" customFormat="1" ht="15" customHeight="1" x14ac:dyDescent="0.25">
      <c r="N107" s="45" t="s">
        <v>44</v>
      </c>
      <c r="O107" s="47" t="s">
        <v>52</v>
      </c>
      <c r="P107" s="72"/>
      <c r="Q107" s="72"/>
      <c r="R107" s="45"/>
      <c r="T107" s="89" t="s">
        <v>75</v>
      </c>
      <c r="U107" s="90"/>
      <c r="V107" s="71" t="s">
        <v>100</v>
      </c>
      <c r="W107" s="45"/>
      <c r="X107" s="45"/>
    </row>
    <row r="108" spans="2:24" s="2" customFormat="1" x14ac:dyDescent="0.25">
      <c r="N108" s="46" t="s">
        <v>87</v>
      </c>
      <c r="O108" s="70" t="str" cm="1">
        <f t="array" aca="1" ref="O108" ca="1">_xll.SUBNM(db_name&amp;":status","","Total approved")</f>
        <v>Total approved</v>
      </c>
      <c r="P108" s="72"/>
      <c r="Q108" s="72"/>
      <c r="R108" s="43"/>
      <c r="T108" s="46" t="s">
        <v>45</v>
      </c>
      <c r="U108" s="67" t="str" cm="1">
        <f t="array" aca="1" ref="U108" ca="1">_xll.SUBNM(db_name&amp;":sys_ReportDisplay","","Collapse")</f>
        <v>Collapse</v>
      </c>
      <c r="V108" s="67" t="str" cm="1">
        <f t="array" aca="1" ref="V108" ca="1">_xll.SUBNM(db_name&amp;":sys_ReportDisplay","","Collapse")</f>
        <v>Collapse</v>
      </c>
      <c r="W108" s="43"/>
      <c r="X108" s="44"/>
    </row>
    <row r="109" spans="2:24" s="2" customFormat="1" x14ac:dyDescent="0.25">
      <c r="N109" s="46" t="s">
        <v>88</v>
      </c>
      <c r="O109" s="70" t="str" cm="1">
        <f t="array" aca="1" ref="O109" ca="1">_xll.SUBNM(db_name&amp;":" &amp; psProgDimName,"","Departmental Programmes","code and description")</f>
        <v>Departmental Programmes</v>
      </c>
      <c r="P109" s="72"/>
      <c r="Q109" s="72"/>
      <c r="R109" s="43"/>
      <c r="T109" s="46" t="s">
        <v>46</v>
      </c>
      <c r="U109" s="67" t="str" cm="1">
        <f t="array" aca="1" ref="U109" ca="1">_xll.SUBNM(db_name&amp;":sys_ReportDisplay","","Collapse")</f>
        <v>Collapse</v>
      </c>
      <c r="V109" s="67" t="str" cm="1">
        <f t="array" aca="1" ref="V109" ca="1">_xll.SUBNM(db_name&amp;":sys_ReportDisplay","","Collapse")</f>
        <v>Collapse</v>
      </c>
      <c r="W109" s="44"/>
      <c r="X109" s="44"/>
    </row>
    <row r="110" spans="2:24" s="2" customFormat="1" x14ac:dyDescent="0.25">
      <c r="N110" s="46" t="s">
        <v>101</v>
      </c>
      <c r="O110" s="70" t="str" cm="1">
        <f t="array" aca="1" ref="O110" ca="1">_xll.SUBNM(db_name&amp;":measure code","","Total Measures","CBMS code and description")</f>
        <v xml:space="preserve">Total Measures - </v>
      </c>
      <c r="P110" s="72"/>
      <c r="Q110" s="72"/>
      <c r="R110" s="43"/>
      <c r="T110" s="46" t="s">
        <v>47</v>
      </c>
      <c r="U110" s="67" t="str" cm="1">
        <f t="array" aca="1" ref="U110" ca="1">_xll.SUBNM(db_name&amp;":sys_ReportDisplay","","Collapse")</f>
        <v>Collapse</v>
      </c>
      <c r="V110" s="67" t="str" cm="1">
        <f t="array" aca="1" ref="V110" ca="1">_xll.SUBNM(db_name&amp;":sys_ReportDisplay","","Collapse")</f>
        <v>Collapse</v>
      </c>
      <c r="W110" s="44"/>
      <c r="X110" s="44"/>
    </row>
    <row r="111" spans="2:24" s="2" customFormat="1" x14ac:dyDescent="0.25">
      <c r="N111" s="46" t="s">
        <v>91</v>
      </c>
      <c r="O111" s="70" t="str" cm="1">
        <f t="array" aca="1" ref="O111" ca="1">_xll.SUBNM(db_name&amp;":spp","","Total SPP","Code and description")</f>
        <v>Total SPP</v>
      </c>
      <c r="P111" s="72"/>
      <c r="Q111" s="72"/>
      <c r="R111" s="43"/>
      <c r="S111" s="43"/>
      <c r="T111" s="43"/>
      <c r="U111" s="43"/>
      <c r="V111" s="68"/>
      <c r="W111" s="94"/>
      <c r="X111" s="94"/>
    </row>
    <row r="112" spans="2:24" s="2" customFormat="1" x14ac:dyDescent="0.25">
      <c r="N112" s="46" t="s">
        <v>92</v>
      </c>
      <c r="O112" s="70" t="str" cm="1">
        <f t="array" aca="1" ref="O112" ca="1">_xll.SUBNM(db_name&amp;":jurisdiction","","Total jurisdictions","code and description")</f>
        <v>Total jurisdictions</v>
      </c>
      <c r="P112" s="72"/>
      <c r="Q112" s="72"/>
      <c r="R112" s="43"/>
      <c r="S112" s="43"/>
      <c r="T112" s="43"/>
      <c r="U112" s="43"/>
      <c r="V112" s="68" t="s">
        <v>79</v>
      </c>
      <c r="W112" s="94">
        <f ca="1">NOW()</f>
        <v>45260.436866203701</v>
      </c>
      <c r="X112" s="94"/>
    </row>
    <row r="113" spans="4:38" s="2" customFormat="1" ht="4.5" customHeight="1" x14ac:dyDescent="0.25">
      <c r="P113" s="72"/>
      <c r="Q113" s="72"/>
      <c r="R113" s="43"/>
      <c r="S113" s="43"/>
      <c r="T113" s="43"/>
      <c r="U113" s="43"/>
      <c r="V113" s="68"/>
      <c r="W113" s="94"/>
      <c r="X113" s="94"/>
    </row>
    <row r="114" spans="4:38" ht="14.25" customHeight="1" x14ac:dyDescent="0.25">
      <c r="N114" s="30"/>
      <c r="O114" s="29"/>
      <c r="P114" s="29"/>
      <c r="Q114" s="29"/>
      <c r="R114" s="29"/>
      <c r="S114" s="91" t="s">
        <v>105</v>
      </c>
      <c r="T114" s="92"/>
      <c r="U114" s="92"/>
      <c r="V114" s="92"/>
      <c r="W114" s="92"/>
      <c r="X114" s="92"/>
      <c r="Z114" s="91" t="s">
        <v>106</v>
      </c>
      <c r="AA114" s="92"/>
      <c r="AB114" s="92"/>
      <c r="AC114" s="92"/>
      <c r="AD114" s="92"/>
      <c r="AE114" s="92"/>
    </row>
    <row r="115" spans="4:38" ht="15" customHeight="1" x14ac:dyDescent="0.25">
      <c r="N115" s="30"/>
      <c r="O115" s="29"/>
      <c r="P115" s="29"/>
      <c r="Q115" s="29"/>
      <c r="R115" s="46" t="s">
        <v>85</v>
      </c>
      <c r="S115" s="93" t="str" cm="1">
        <f t="array" aca="1" ref="S115" ca="1">_xll.SUBNM(db_name&amp;":headline year","",$C$21)</f>
        <v>HL2022-2023</v>
      </c>
      <c r="T115" s="93"/>
      <c r="U115" s="93"/>
      <c r="V115" s="93"/>
      <c r="W115" s="93"/>
      <c r="X115" s="93"/>
      <c r="Z115" s="93" t="str" cm="1">
        <f t="array" aca="1" ref="Z115" ca="1">_xll.SUBNM(db_name&amp;":headline year","",$D$21)</f>
        <v>HL2022-2023</v>
      </c>
      <c r="AA115" s="93"/>
      <c r="AB115" s="93"/>
      <c r="AC115" s="93"/>
      <c r="AD115" s="93"/>
      <c r="AE115" s="93"/>
    </row>
    <row r="116" spans="4:38" ht="15" customHeight="1" x14ac:dyDescent="0.25">
      <c r="N116" s="30"/>
      <c r="O116" s="29"/>
      <c r="P116" s="29"/>
      <c r="Q116" s="29"/>
      <c r="R116" s="46" t="s">
        <v>86</v>
      </c>
      <c r="S116" s="93" t="str" cm="1">
        <f t="array" aca="1" ref="S116" ca="1">_xll.SUBNM(db_name&amp;":scenario","sys_BudgetRound",$C$22)</f>
        <v>current</v>
      </c>
      <c r="T116" s="93"/>
      <c r="U116" s="93"/>
      <c r="V116" s="93"/>
      <c r="W116" s="93"/>
      <c r="X116" s="93"/>
      <c r="Z116" s="93" t="str" cm="1">
        <f t="array" aca="1" ref="Z116" ca="1">_xll.SUBNM(db_name&amp;":scenario","sys_BudgetRound",$D$22)</f>
        <v>PEFO</v>
      </c>
      <c r="AA116" s="93"/>
      <c r="AB116" s="93"/>
      <c r="AC116" s="93"/>
      <c r="AD116" s="93"/>
      <c r="AE116" s="93"/>
      <c r="AG116" s="85" t="s">
        <v>107</v>
      </c>
      <c r="AH116" s="86"/>
      <c r="AI116" s="87"/>
      <c r="AJ116" s="87"/>
      <c r="AK116" s="87"/>
      <c r="AL116" s="88"/>
    </row>
    <row r="117" spans="4:38" ht="4.5" customHeight="1" x14ac:dyDescent="0.25">
      <c r="N117" s="30"/>
      <c r="O117" s="29"/>
      <c r="P117" s="29"/>
      <c r="Q117" s="29"/>
      <c r="R117" s="46"/>
      <c r="S117" s="29"/>
      <c r="T117" s="29"/>
      <c r="U117" s="29"/>
      <c r="V117" s="29"/>
      <c r="W117" s="29"/>
      <c r="X117" s="29"/>
    </row>
    <row r="118" spans="4:38" ht="15" hidden="1" customHeight="1" x14ac:dyDescent="0.25">
      <c r="D118" s="61" t="s">
        <v>108</v>
      </c>
      <c r="E118" s="61" t="s">
        <v>109</v>
      </c>
      <c r="F118" s="61" t="s">
        <v>110</v>
      </c>
      <c r="G118" s="61" t="s">
        <v>111</v>
      </c>
      <c r="H118" s="61" t="s">
        <v>95</v>
      </c>
      <c r="N118" s="30"/>
      <c r="O118" s="29"/>
      <c r="P118" s="29"/>
      <c r="Q118" s="29"/>
      <c r="R118" s="46"/>
      <c r="S118" s="35" t="str">
        <f t="shared" ref="S118:X118" ca="1" si="6">S$20</f>
        <v>2020-2021</v>
      </c>
      <c r="T118" s="35" t="str">
        <f t="shared" ca="1" si="6"/>
        <v>2021-2022</v>
      </c>
      <c r="U118" s="35" t="str">
        <f t="shared" ca="1" si="6"/>
        <v>2022-2023</v>
      </c>
      <c r="V118" s="35" t="str">
        <f t="shared" ca="1" si="6"/>
        <v>2023-2024</v>
      </c>
      <c r="W118" s="35" t="str">
        <f t="shared" ca="1" si="6"/>
        <v>2024-2025</v>
      </c>
      <c r="X118" s="35" t="str">
        <f t="shared" ca="1" si="6"/>
        <v>2025-2026</v>
      </c>
      <c r="Z118" s="35" t="str">
        <f t="shared" ref="Z118:AE118" ca="1" si="7">Z$20</f>
        <v>2020-2021</v>
      </c>
      <c r="AA118" s="35" t="str">
        <f t="shared" ca="1" si="7"/>
        <v>2021-2022</v>
      </c>
      <c r="AB118" s="35" t="str">
        <f t="shared" ca="1" si="7"/>
        <v>2022-2023</v>
      </c>
      <c r="AC118" s="35" t="str">
        <f t="shared" ca="1" si="7"/>
        <v>2023-2024</v>
      </c>
      <c r="AD118" s="35" t="str">
        <f t="shared" ca="1" si="7"/>
        <v>2024-2025</v>
      </c>
      <c r="AE118" s="35" t="str">
        <f t="shared" ca="1" si="7"/>
        <v>2025-2026</v>
      </c>
      <c r="AG118" s="35" t="str">
        <f t="shared" ref="AG118:AL118" ca="1" si="8">AG$20</f>
        <v>2020-2021</v>
      </c>
      <c r="AH118" s="35" t="str">
        <f t="shared" ca="1" si="8"/>
        <v>2021-2022</v>
      </c>
      <c r="AI118" s="35" t="str">
        <f t="shared" ca="1" si="8"/>
        <v>2022-2023</v>
      </c>
      <c r="AJ118" s="35" t="str">
        <f t="shared" ca="1" si="8"/>
        <v>2023-2024</v>
      </c>
      <c r="AK118" s="35" t="str">
        <f t="shared" ca="1" si="8"/>
        <v>2024-2025</v>
      </c>
      <c r="AL118" s="35" t="str">
        <f t="shared" ca="1" si="8"/>
        <v>2025-2026</v>
      </c>
    </row>
    <row r="119" spans="4:38" ht="15" hidden="1" customHeight="1" x14ac:dyDescent="0.25">
      <c r="D119">
        <v>1000001</v>
      </c>
      <c r="E119" t="str" cm="1">
        <f t="array" aca="1" ref="E119" ca="1">_xll.DBR(db_name&amp;":}ElementAttributes_account",$D119,"code and description")</f>
        <v>1000001 - Income</v>
      </c>
      <c r="F119" t="s">
        <v>102</v>
      </c>
      <c r="G119" t="s">
        <v>103</v>
      </c>
      <c r="H119" t="s">
        <v>104</v>
      </c>
      <c r="N119" s="30"/>
      <c r="O119" s="29"/>
      <c r="P119" s="29"/>
      <c r="R119" s="46" t="str">
        <f ca="1">$E119 &amp; " : "</f>
        <v xml:space="preserve">1000001 - Income : </v>
      </c>
      <c r="S119" s="81" cm="1">
        <f t="array" aca="1" ref="S119" ca="1">_xll.DBRW($C$42,$S$115,$S$116,$C$46,$C$47,$G119,$C$49,$C$50,$O$111,$O$110,$C$53,$F119,$C$55,$O$109,$D119,$H119,$O$112,S$20)</f>
        <v>271240</v>
      </c>
      <c r="T119" s="81" cm="1">
        <f t="array" aca="1" ref="T119" ca="1">_xll.DBRW($C$42,$S$115,$S$116,$C$46,$C$47,$G119,$C$49,$C$50,$O$111,$O$110,$C$53,$F119,$C$55,$O$109,$D119,$H119,$O$112,T$20)</f>
        <v>337675</v>
      </c>
      <c r="U119" s="81" cm="1">
        <f t="array" aca="1" ref="U119" ca="1">_xll.DBRW($C$42,$S$115,$S$116,$C$46,$C$47,$G119,$C$49,$C$50,$O$111,$O$110,$C$53,$F119,$C$55,$O$109,$D119,$H119,$O$112,U$20)</f>
        <v>359404</v>
      </c>
      <c r="V119" s="81" cm="1">
        <f t="array" aca="1" ref="V119" ca="1">_xll.DBRW($C$42,$S$115,$S$116,$C$46,$C$47,$G119,$C$49,$C$50,$O$111,$O$110,$C$53,$F119,$C$55,$O$109,$D119,$H119,$O$112,V$20)</f>
        <v>309265</v>
      </c>
      <c r="W119" s="81" cm="1">
        <f t="array" aca="1" ref="W119" ca="1">_xll.DBRW($C$42,$S$115,$S$116,$C$46,$C$47,$G119,$C$49,$C$50,$O$111,$O$110,$C$53,$F119,$C$55,$O$109,$D119,$H119,$O$112,W$20)</f>
        <v>285861</v>
      </c>
      <c r="X119" s="81" cm="1">
        <f t="array" aca="1" ref="X119" ca="1">_xll.DBRW($C$42,$S$115,$S$116,$C$46,$C$47,$G119,$C$49,$C$50,$O$111,$O$110,$C$53,$F119,$C$55,$O$109,$D119,$H119,$O$112,X$20)</f>
        <v>279708</v>
      </c>
      <c r="Z119" s="81" cm="1">
        <f t="array" aca="1" ref="Z119" ca="1">_xll.DBRW($C$42,$Z$115,$Z$116,$C$46,$C$47,$G119,$C$49,$C$50,$O$111,$O$110,$C$53,$F119,$C$55,$O$109,$D119,$H119,$O$112,Z$20)</f>
        <v>271240</v>
      </c>
      <c r="AA119" s="81" cm="1">
        <f t="array" aca="1" ref="AA119" ca="1">_xll.DBRW($C$42,$Z$115,$Z$116,$C$46,$C$47,$G119,$C$49,$C$50,$O$111,$O$110,$C$53,$F119,$C$55,$O$109,$D119,$H119,$O$112,AA$20)</f>
        <v>342845</v>
      </c>
      <c r="AB119" s="81" cm="1">
        <f t="array" aca="1" ref="AB119" ca="1">_xll.DBRW($C$42,$Z$115,$Z$116,$C$46,$C$47,$G119,$C$49,$C$50,$O$111,$O$110,$C$53,$F119,$C$55,$O$109,$D119,$H119,$O$112,AB$20)</f>
        <v>339486</v>
      </c>
      <c r="AC119" s="81" cm="1">
        <f t="array" aca="1" ref="AC119" ca="1">_xll.DBRW($C$42,$Z$115,$Z$116,$C$46,$C$47,$G119,$C$49,$C$50,$O$111,$O$110,$C$53,$F119,$C$55,$O$109,$D119,$H119,$O$112,AC$20)</f>
        <v>286794</v>
      </c>
      <c r="AD119" s="81" cm="1">
        <f t="array" aca="1" ref="AD119" ca="1">_xll.DBRW($C$42,$Z$115,$Z$116,$C$46,$C$47,$G119,$C$49,$C$50,$O$111,$O$110,$C$53,$F119,$C$55,$O$109,$D119,$H119,$O$112,AD$20)</f>
        <v>265055</v>
      </c>
      <c r="AE119" s="81" cm="1">
        <f t="array" aca="1" ref="AE119" ca="1">_xll.DBRW($C$42,$Z$115,$Z$116,$C$46,$C$47,$G119,$C$49,$C$50,$O$111,$O$110,$C$53,$F119,$C$55,$O$109,$D119,$H119,$O$112,AE$20)</f>
        <v>258479</v>
      </c>
      <c r="AG119" s="82">
        <f t="shared" ref="AG119:AL119" ca="1" si="9">S119-Z119</f>
        <v>0</v>
      </c>
      <c r="AH119" s="82">
        <f t="shared" ca="1" si="9"/>
        <v>-5170</v>
      </c>
      <c r="AI119" s="82">
        <f t="shared" ca="1" si="9"/>
        <v>19918</v>
      </c>
      <c r="AJ119" s="82">
        <f t="shared" ca="1" si="9"/>
        <v>22471</v>
      </c>
      <c r="AK119" s="82">
        <f t="shared" ca="1" si="9"/>
        <v>20806</v>
      </c>
      <c r="AL119" s="82">
        <f t="shared" ca="1" si="9"/>
        <v>21229</v>
      </c>
    </row>
    <row r="120" spans="4:38" ht="15" hidden="1" customHeight="1" x14ac:dyDescent="0.25">
      <c r="D120">
        <v>2000000</v>
      </c>
      <c r="E120" t="str" cm="1">
        <f t="array" aca="1" ref="E120" ca="1">_xll.DBR(db_name&amp;":}ElementAttributes_account",$D120,"code and description")</f>
        <v>2000000 - Total Expenses</v>
      </c>
      <c r="F120" t="s">
        <v>102</v>
      </c>
      <c r="G120" t="s">
        <v>103</v>
      </c>
      <c r="H120" t="s">
        <v>104</v>
      </c>
      <c r="N120" s="30"/>
      <c r="O120" s="29"/>
      <c r="P120" s="29"/>
      <c r="R120" s="46" t="str">
        <f t="shared" ref="R120:R123" ca="1" si="10">$E120 &amp; " : "</f>
        <v xml:space="preserve">2000000 - Total Expenses : </v>
      </c>
      <c r="S120" s="81" cm="1">
        <f t="array" aca="1" ref="S120" ca="1">_xll.DBRW($C$42,$S$115,$S$116,$C$46,$C$47,$G120,$C$49,$C$50,$O$111,$O$110,$C$53,$F120,$C$55,$O$109,$D120,$H120,$O$112,S$20)</f>
        <v>277563</v>
      </c>
      <c r="T120" s="81" cm="1">
        <f t="array" aca="1" ref="T120" ca="1">_xll.DBRW($C$42,$S$115,$S$116,$C$46,$C$47,$G120,$C$49,$C$50,$O$111,$O$110,$C$53,$F120,$C$55,$O$109,$D120,$H120,$O$112,T$20)</f>
        <v>351221</v>
      </c>
      <c r="U120" s="81" cm="1">
        <f t="array" aca="1" ref="U120" ca="1">_xll.DBRW($C$42,$S$115,$S$116,$C$46,$C$47,$G120,$C$49,$C$50,$O$111,$O$110,$C$53,$F120,$C$55,$O$109,$D120,$H120,$O$112,U$20)</f>
        <v>366728</v>
      </c>
      <c r="V120" s="81" cm="1">
        <f t="array" aca="1" ref="V120" ca="1">_xll.DBRW($C$42,$S$115,$S$116,$C$46,$C$47,$G120,$C$49,$C$50,$O$111,$O$110,$C$53,$F120,$C$55,$O$109,$D120,$H120,$O$112,V$20)</f>
        <v>317700</v>
      </c>
      <c r="W120" s="81" cm="1">
        <f t="array" aca="1" ref="W120" ca="1">_xll.DBRW($C$42,$S$115,$S$116,$C$46,$C$47,$G120,$C$49,$C$50,$O$111,$O$110,$C$53,$F120,$C$55,$O$109,$D120,$H120,$O$112,W$20)</f>
        <v>294483</v>
      </c>
      <c r="X120" s="81" cm="1">
        <f t="array" aca="1" ref="X120" ca="1">_xll.DBRW($C$42,$S$115,$S$116,$C$46,$C$47,$G120,$C$49,$C$50,$O$111,$O$110,$C$53,$F120,$C$55,$O$109,$D120,$H120,$O$112,X$20)</f>
        <v>288330</v>
      </c>
      <c r="Z120" s="81" cm="1">
        <f t="array" aca="1" ref="Z120" ca="1">_xll.DBRW($C$42,$Z$115,$Z$116,$C$46,$C$47,$G120,$C$49,$C$50,$O$111,$O$110,$C$53,$F120,$C$55,$O$109,$D120,$H120,$O$112,Z$20)</f>
        <v>277563</v>
      </c>
      <c r="AA120" s="81" cm="1">
        <f t="array" aca="1" ref="AA120" ca="1">_xll.DBRW($C$42,$Z$115,$Z$116,$C$46,$C$47,$G120,$C$49,$C$50,$O$111,$O$110,$C$53,$F120,$C$55,$O$109,$D120,$H120,$O$112,AA$20)</f>
        <v>351914</v>
      </c>
      <c r="AB120" s="81" cm="1">
        <f t="array" aca="1" ref="AB120" ca="1">_xll.DBRW($C$42,$Z$115,$Z$116,$C$46,$C$47,$G120,$C$49,$C$50,$O$111,$O$110,$C$53,$F120,$C$55,$O$109,$D120,$H120,$O$112,AB$20)</f>
        <v>347945</v>
      </c>
      <c r="AC120" s="81" cm="1">
        <f t="array" aca="1" ref="AC120" ca="1">_xll.DBRW($C$42,$Z$115,$Z$116,$C$46,$C$47,$G120,$C$49,$C$50,$O$111,$O$110,$C$53,$F120,$C$55,$O$109,$D120,$H120,$O$112,AC$20)</f>
        <v>295209</v>
      </c>
      <c r="AD120" s="81" cm="1">
        <f t="array" aca="1" ref="AD120" ca="1">_xll.DBRW($C$42,$Z$115,$Z$116,$C$46,$C$47,$G120,$C$49,$C$50,$O$111,$O$110,$C$53,$F120,$C$55,$O$109,$D120,$H120,$O$112,AD$20)</f>
        <v>273677</v>
      </c>
      <c r="AE120" s="81" cm="1">
        <f t="array" aca="1" ref="AE120" ca="1">_xll.DBRW($C$42,$Z$115,$Z$116,$C$46,$C$47,$G120,$C$49,$C$50,$O$111,$O$110,$C$53,$F120,$C$55,$O$109,$D120,$H120,$O$112,AE$20)</f>
        <v>267101</v>
      </c>
      <c r="AG120" s="82">
        <f t="shared" ref="AG120:AH123" ca="1" si="11">S120-Z120</f>
        <v>0</v>
      </c>
      <c r="AH120" s="82">
        <f t="shared" ca="1" si="11"/>
        <v>-693</v>
      </c>
      <c r="AI120" s="82">
        <f t="shared" ref="AI120:AI123" ca="1" si="12">U120-AB120</f>
        <v>18783</v>
      </c>
      <c r="AJ120" s="82">
        <f t="shared" ref="AJ120:AJ123" ca="1" si="13">V120-AC120</f>
        <v>22491</v>
      </c>
      <c r="AK120" s="82">
        <f t="shared" ref="AK120:AK123" ca="1" si="14">W120-AD120</f>
        <v>20806</v>
      </c>
      <c r="AL120" s="82">
        <f t="shared" ref="AL120:AL123" ca="1" si="15">X120-AE120</f>
        <v>21229</v>
      </c>
    </row>
    <row r="121" spans="4:38" ht="15" hidden="1" customHeight="1" x14ac:dyDescent="0.25">
      <c r="D121">
        <v>3000000</v>
      </c>
      <c r="E121" t="str" cm="1">
        <f t="array" aca="1" ref="E121" ca="1">_xll.DBR(db_name&amp;":}ElementAttributes_account",$D121,"code and description")</f>
        <v>3000000 - Total Liability</v>
      </c>
      <c r="F121" t="s">
        <v>102</v>
      </c>
      <c r="G121" t="s">
        <v>103</v>
      </c>
      <c r="H121" t="s">
        <v>104</v>
      </c>
      <c r="N121" s="30"/>
      <c r="O121" s="29"/>
      <c r="P121" s="29"/>
      <c r="R121" s="46" t="str">
        <f t="shared" ca="1" si="10"/>
        <v xml:space="preserve">3000000 - Total Liability : </v>
      </c>
      <c r="S121" s="81" cm="1">
        <f t="array" aca="1" ref="S121" ca="1">_xll.DBRW($C$42,$S$115,$S$116,$C$46,$C$47,$G121,$C$49,$C$50,$O$111,$O$110,$C$53,$F121,$C$55,$O$109,$D121,$H121,$O$112,S$20)</f>
        <v>224954</v>
      </c>
      <c r="T121" s="81" cm="1">
        <f t="array" aca="1" ref="T121" ca="1">_xll.DBRW($C$42,$S$115,$S$116,$C$46,$C$47,$G121,$C$49,$C$50,$O$111,$O$110,$C$53,$F121,$C$55,$O$109,$D121,$H121,$O$112,T$20)</f>
        <v>238443</v>
      </c>
      <c r="U121" s="81" cm="1">
        <f t="array" aca="1" ref="U121" ca="1">_xll.DBRW($C$42,$S$115,$S$116,$C$46,$C$47,$G121,$C$49,$C$50,$O$111,$O$110,$C$53,$F121,$C$55,$O$109,$D121,$H121,$O$112,U$20)</f>
        <v>233682</v>
      </c>
      <c r="V121" s="81" cm="1">
        <f t="array" aca="1" ref="V121" ca="1">_xll.DBRW($C$42,$S$115,$S$116,$C$46,$C$47,$G121,$C$49,$C$50,$O$111,$O$110,$C$53,$F121,$C$55,$O$109,$D121,$H121,$O$112,V$20)</f>
        <v>228166</v>
      </c>
      <c r="W121" s="81" cm="1">
        <f t="array" aca="1" ref="W121" ca="1">_xll.DBRW($C$42,$S$115,$S$116,$C$46,$C$47,$G121,$C$49,$C$50,$O$111,$O$110,$C$53,$F121,$C$55,$O$109,$D121,$H121,$O$112,W$20)</f>
        <v>223085</v>
      </c>
      <c r="X121" s="81" cm="1">
        <f t="array" aca="1" ref="X121" ca="1">_xll.DBRW($C$42,$S$115,$S$116,$C$46,$C$47,$G121,$C$49,$C$50,$O$111,$O$110,$C$53,$F121,$C$55,$O$109,$D121,$H121,$O$112,X$20)</f>
        <v>218004</v>
      </c>
      <c r="Z121" s="81" cm="1">
        <f t="array" aca="1" ref="Z121" ca="1">_xll.DBRW($C$42,$Z$115,$Z$116,$C$46,$C$47,$G121,$C$49,$C$50,$O$111,$O$110,$C$53,$F121,$C$55,$O$109,$D121,$H121,$O$112,Z$20)</f>
        <v>224954</v>
      </c>
      <c r="AA121" s="81" cm="1">
        <f t="array" aca="1" ref="AA121" ca="1">_xll.DBRW($C$42,$Z$115,$Z$116,$C$46,$C$47,$G121,$C$49,$C$50,$O$111,$O$110,$C$53,$F121,$C$55,$O$109,$D121,$H121,$O$112,AA$20)</f>
        <v>214934</v>
      </c>
      <c r="AB121" s="81" cm="1">
        <f t="array" aca="1" ref="AB121" ca="1">_xll.DBRW($C$42,$Z$115,$Z$116,$C$46,$C$47,$G121,$C$49,$C$50,$O$111,$O$110,$C$53,$F121,$C$55,$O$109,$D121,$H121,$O$112,AB$20)</f>
        <v>210173</v>
      </c>
      <c r="AC121" s="81" cm="1">
        <f t="array" aca="1" ref="AC121" ca="1">_xll.DBRW($C$42,$Z$115,$Z$116,$C$46,$C$47,$G121,$C$49,$C$50,$O$111,$O$110,$C$53,$F121,$C$55,$O$109,$D121,$H121,$O$112,AC$20)</f>
        <v>204657</v>
      </c>
      <c r="AD121" s="81" cm="1">
        <f t="array" aca="1" ref="AD121" ca="1">_xll.DBRW($C$42,$Z$115,$Z$116,$C$46,$C$47,$G121,$C$49,$C$50,$O$111,$O$110,$C$53,$F121,$C$55,$O$109,$D121,$H121,$O$112,AD$20)</f>
        <v>199576</v>
      </c>
      <c r="AE121" s="81" cm="1">
        <f t="array" aca="1" ref="AE121" ca="1">_xll.DBRW($C$42,$Z$115,$Z$116,$C$46,$C$47,$G121,$C$49,$C$50,$O$111,$O$110,$C$53,$F121,$C$55,$O$109,$D121,$H121,$O$112,AE$20)</f>
        <v>194495</v>
      </c>
      <c r="AG121" s="82">
        <f t="shared" ca="1" si="11"/>
        <v>0</v>
      </c>
      <c r="AH121" s="82">
        <f t="shared" ca="1" si="11"/>
        <v>23509</v>
      </c>
      <c r="AI121" s="82">
        <f t="shared" ca="1" si="12"/>
        <v>23509</v>
      </c>
      <c r="AJ121" s="82">
        <f t="shared" ca="1" si="13"/>
        <v>23509</v>
      </c>
      <c r="AK121" s="82">
        <f t="shared" ca="1" si="14"/>
        <v>23509</v>
      </c>
      <c r="AL121" s="82">
        <f t="shared" ca="1" si="15"/>
        <v>23509</v>
      </c>
    </row>
    <row r="122" spans="4:38" ht="15" hidden="1" customHeight="1" x14ac:dyDescent="0.25">
      <c r="D122">
        <v>4000000</v>
      </c>
      <c r="E122" t="str" cm="1">
        <f t="array" aca="1" ref="E122" ca="1">_xll.DBR(db_name&amp;":}ElementAttributes_account",$D122,"code and description")</f>
        <v>4000000 - Equity</v>
      </c>
      <c r="F122" t="s">
        <v>102</v>
      </c>
      <c r="G122" t="s">
        <v>103</v>
      </c>
      <c r="H122" t="s">
        <v>104</v>
      </c>
      <c r="N122" s="30"/>
      <c r="O122" s="29"/>
      <c r="P122" s="29"/>
      <c r="R122" s="46" t="str">
        <f t="shared" ca="1" si="10"/>
        <v xml:space="preserve">4000000 - Equity : </v>
      </c>
      <c r="S122" s="81" cm="1">
        <f t="array" aca="1" ref="S122" ca="1">_xll.DBRW($C$42,$S$115,$S$116,$C$46,$C$47,$G122,$C$49,$C$50,$O$111,$O$110,$C$53,$F122,$C$55,$O$109,$D122,$H122,$O$112,S$20)</f>
        <v>51302</v>
      </c>
      <c r="T122" s="81" cm="1">
        <f t="array" aca="1" ref="T122" ca="1">_xll.DBRW($C$42,$S$115,$S$116,$C$46,$C$47,$G122,$C$49,$C$50,$O$111,$O$110,$C$53,$F122,$C$55,$O$109,$D122,$H122,$O$112,T$20)</f>
        <v>53849</v>
      </c>
      <c r="U122" s="81" cm="1">
        <f t="array" aca="1" ref="U122" ca="1">_xll.DBRW($C$42,$S$115,$S$116,$C$46,$C$47,$G122,$C$49,$C$50,$O$111,$O$110,$C$53,$F122,$C$55,$O$109,$D122,$H122,$O$112,U$20)</f>
        <v>50318</v>
      </c>
      <c r="V122" s="81" cm="1">
        <f t="array" aca="1" ref="V122" ca="1">_xll.DBRW($C$42,$S$115,$S$116,$C$46,$C$47,$G122,$C$49,$C$50,$O$111,$O$110,$C$53,$F122,$C$55,$O$109,$D122,$H122,$O$112,V$20)</f>
        <v>49953</v>
      </c>
      <c r="W122" s="81" cm="1">
        <f t="array" aca="1" ref="W122" ca="1">_xll.DBRW($C$42,$S$115,$S$116,$C$46,$C$47,$G122,$C$49,$C$50,$O$111,$O$110,$C$53,$F122,$C$55,$O$109,$D122,$H122,$O$112,W$20)</f>
        <v>49743</v>
      </c>
      <c r="X122" s="81" cm="1">
        <f t="array" aca="1" ref="X122" ca="1">_xll.DBRW($C$42,$S$115,$S$116,$C$46,$C$47,$G122,$C$49,$C$50,$O$111,$O$110,$C$53,$F122,$C$55,$O$109,$D122,$H122,$O$112,X$20)</f>
        <v>49450</v>
      </c>
      <c r="Z122" s="81" cm="1">
        <f t="array" aca="1" ref="Z122" ca="1">_xll.DBRW($C$42,$Z$115,$Z$116,$C$46,$C$47,$G122,$C$49,$C$50,$O$111,$O$110,$C$53,$F122,$C$55,$O$109,$D122,$H122,$O$112,Z$20)</f>
        <v>51302</v>
      </c>
      <c r="AA122" s="81" cm="1">
        <f t="array" aca="1" ref="AA122" ca="1">_xll.DBRW($C$42,$Z$115,$Z$116,$C$46,$C$47,$G122,$C$49,$C$50,$O$111,$O$110,$C$53,$F122,$C$55,$O$109,$D122,$H122,$O$112,AA$20)</f>
        <v>58576</v>
      </c>
      <c r="AB122" s="81" cm="1">
        <f t="array" aca="1" ref="AB122" ca="1">_xll.DBRW($C$42,$Z$115,$Z$116,$C$46,$C$47,$G122,$C$49,$C$50,$O$111,$O$110,$C$53,$F122,$C$55,$O$109,$D122,$H122,$O$112,AB$20)</f>
        <v>59257</v>
      </c>
      <c r="AC122" s="81" cm="1">
        <f t="array" aca="1" ref="AC122" ca="1">_xll.DBRW($C$42,$Z$115,$Z$116,$C$46,$C$47,$G122,$C$49,$C$50,$O$111,$O$110,$C$53,$F122,$C$55,$O$109,$D122,$H122,$O$112,AC$20)</f>
        <v>59099</v>
      </c>
      <c r="AD122" s="81" cm="1">
        <f t="array" aca="1" ref="AD122" ca="1">_xll.DBRW($C$42,$Z$115,$Z$116,$C$46,$C$47,$G122,$C$49,$C$50,$O$111,$O$110,$C$53,$F122,$C$55,$O$109,$D122,$H122,$O$112,AD$20)</f>
        <v>59055</v>
      </c>
      <c r="AE122" s="81" cm="1">
        <f t="array" aca="1" ref="AE122" ca="1">_xll.DBRW($C$42,$Z$115,$Z$116,$C$46,$C$47,$G122,$C$49,$C$50,$O$111,$O$110,$C$53,$F122,$C$55,$O$109,$D122,$H122,$O$112,AE$20)</f>
        <v>58914</v>
      </c>
      <c r="AG122" s="82">
        <f t="shared" ca="1" si="11"/>
        <v>0</v>
      </c>
      <c r="AH122" s="82">
        <f t="shared" ca="1" si="11"/>
        <v>-4727</v>
      </c>
      <c r="AI122" s="82">
        <f t="shared" ca="1" si="12"/>
        <v>-8939</v>
      </c>
      <c r="AJ122" s="82">
        <f t="shared" ca="1" si="13"/>
        <v>-9146</v>
      </c>
      <c r="AK122" s="82">
        <f t="shared" ca="1" si="14"/>
        <v>-9312</v>
      </c>
      <c r="AL122" s="82">
        <f t="shared" ca="1" si="15"/>
        <v>-9464</v>
      </c>
    </row>
    <row r="123" spans="4:38" ht="15" hidden="1" customHeight="1" x14ac:dyDescent="0.25">
      <c r="D123">
        <v>6000000</v>
      </c>
      <c r="E123" t="str" cm="1">
        <f t="array" aca="1" ref="E123" ca="1">_xll.DBR(db_name&amp;":}ElementAttributes_account",$D123,"code and description")</f>
        <v>6000000 - Cash at end of year</v>
      </c>
      <c r="F123" t="s">
        <v>102</v>
      </c>
      <c r="G123" t="s">
        <v>103</v>
      </c>
      <c r="H123" t="s">
        <v>104</v>
      </c>
      <c r="N123" s="30"/>
      <c r="O123" s="29"/>
      <c r="P123" s="29"/>
      <c r="R123" s="46" t="str">
        <f t="shared" ca="1" si="10"/>
        <v xml:space="preserve">6000000 - Cash at end of year : </v>
      </c>
      <c r="S123" s="81" cm="1">
        <f t="array" aca="1" ref="S123" ca="1">_xll.DBRW($C$42,$S$115,$S$116,$C$46,$C$47,$G123,$C$49,$C$50,$O$111,$O$110,$C$53,$F123,$C$55,$O$109,$D123,$H123,$O$112,S$20)</f>
        <v>760</v>
      </c>
      <c r="T123" s="81" cm="1">
        <f t="array" aca="1" ref="T123" ca="1">_xll.DBRW($C$42,$S$115,$S$116,$C$46,$C$47,$G123,$C$49,$C$50,$O$111,$O$110,$C$53,$F123,$C$55,$O$109,$D123,$H123,$O$112,T$20)</f>
        <v>424</v>
      </c>
      <c r="U123" s="81" cm="1">
        <f t="array" aca="1" ref="U123" ca="1">_xll.DBRW($C$42,$S$115,$S$116,$C$46,$C$47,$G123,$C$49,$C$50,$O$111,$O$110,$C$53,$F123,$C$55,$O$109,$D123,$H123,$O$112,U$20)</f>
        <v>1557</v>
      </c>
      <c r="V123" s="81" cm="1">
        <f t="array" aca="1" ref="V123" ca="1">_xll.DBRW($C$42,$S$115,$S$116,$C$46,$C$47,$G123,$C$49,$C$50,$O$111,$O$110,$C$53,$F123,$C$55,$O$109,$D123,$H123,$O$112,V$20)</f>
        <v>1557</v>
      </c>
      <c r="W123" s="81" cm="1">
        <f t="array" aca="1" ref="W123" ca="1">_xll.DBRW($C$42,$S$115,$S$116,$C$46,$C$47,$G123,$C$49,$C$50,$O$111,$O$110,$C$53,$F123,$C$55,$O$109,$D123,$H123,$O$112,W$20)</f>
        <v>1557</v>
      </c>
      <c r="X123" s="81" cm="1">
        <f t="array" aca="1" ref="X123" ca="1">_xll.DBRW($C$42,$S$115,$S$116,$C$46,$C$47,$G123,$C$49,$C$50,$O$111,$O$110,$C$53,$F123,$C$55,$O$109,$D123,$H123,$O$112,X$20)</f>
        <v>1557</v>
      </c>
      <c r="Z123" s="81" cm="1">
        <f t="array" aca="1" ref="Z123" ca="1">_xll.DBRW($C$42,$Z$115,$Z$116,$C$46,$C$47,$G123,$C$49,$C$50,$O$111,$O$110,$C$53,$F123,$C$55,$O$109,$D123,$H123,$O$112,Z$20)</f>
        <v>760</v>
      </c>
      <c r="AA123" s="81" cm="1">
        <f t="array" aca="1" ref="AA123" ca="1">_xll.DBRW($C$42,$Z$115,$Z$116,$C$46,$C$47,$G123,$C$49,$C$50,$O$111,$O$110,$C$53,$F123,$C$55,$O$109,$D123,$H123,$O$112,AA$20)</f>
        <v>1043</v>
      </c>
      <c r="AB123" s="81" cm="1">
        <f t="array" aca="1" ref="AB123" ca="1">_xll.DBRW($C$42,$Z$115,$Z$116,$C$46,$C$47,$G123,$C$49,$C$50,$O$111,$O$110,$C$53,$F123,$C$55,$O$109,$D123,$H123,$O$112,AB$20)</f>
        <v>2176</v>
      </c>
      <c r="AC123" s="81" cm="1">
        <f t="array" aca="1" ref="AC123" ca="1">_xll.DBRW($C$42,$Z$115,$Z$116,$C$46,$C$47,$G123,$C$49,$C$50,$O$111,$O$110,$C$53,$F123,$C$55,$O$109,$D123,$H123,$O$112,AC$20)</f>
        <v>2176</v>
      </c>
      <c r="AD123" s="81" cm="1">
        <f t="array" aca="1" ref="AD123" ca="1">_xll.DBRW($C$42,$Z$115,$Z$116,$C$46,$C$47,$G123,$C$49,$C$50,$O$111,$O$110,$C$53,$F123,$C$55,$O$109,$D123,$H123,$O$112,AD$20)</f>
        <v>2176</v>
      </c>
      <c r="AE123" s="81" cm="1">
        <f t="array" aca="1" ref="AE123" ca="1">_xll.DBRW($C$42,$Z$115,$Z$116,$C$46,$C$47,$G123,$C$49,$C$50,$O$111,$O$110,$C$53,$F123,$C$55,$O$109,$D123,$H123,$O$112,AE$20)</f>
        <v>2176</v>
      </c>
      <c r="AG123" s="82">
        <f t="shared" ca="1" si="11"/>
        <v>0</v>
      </c>
      <c r="AH123" s="82">
        <f t="shared" ca="1" si="11"/>
        <v>-619</v>
      </c>
      <c r="AI123" s="82">
        <f t="shared" ca="1" si="12"/>
        <v>-619</v>
      </c>
      <c r="AJ123" s="82">
        <f t="shared" ca="1" si="13"/>
        <v>-619</v>
      </c>
      <c r="AK123" s="82">
        <f t="shared" ca="1" si="14"/>
        <v>-619</v>
      </c>
      <c r="AL123" s="82">
        <f t="shared" ca="1" si="15"/>
        <v>-619</v>
      </c>
    </row>
    <row r="124" spans="4:38" ht="4.5" customHeight="1" x14ac:dyDescent="0.25">
      <c r="N124" s="30"/>
      <c r="O124" s="29"/>
      <c r="P124" s="29"/>
      <c r="Q124" s="29"/>
      <c r="R124" s="46"/>
      <c r="S124" s="29"/>
      <c r="T124" s="29"/>
      <c r="U124" s="29"/>
      <c r="V124" s="29"/>
      <c r="W124" s="29"/>
      <c r="X124" s="29"/>
    </row>
    <row r="125" spans="4:38" x14ac:dyDescent="0.25">
      <c r="N125" s="95" t="s">
        <v>58</v>
      </c>
      <c r="O125" s="95" t="s">
        <v>93</v>
      </c>
      <c r="P125" s="95" t="s">
        <v>94</v>
      </c>
      <c r="Q125" s="95" t="s">
        <v>95</v>
      </c>
      <c r="R125" s="95" t="s">
        <v>59</v>
      </c>
      <c r="S125" s="35" t="str">
        <f t="shared" ref="S125:X125" ca="1" si="16">S$20</f>
        <v>2020-2021</v>
      </c>
      <c r="T125" s="35" t="str">
        <f t="shared" ca="1" si="16"/>
        <v>2021-2022</v>
      </c>
      <c r="U125" s="35" t="str">
        <f t="shared" ca="1" si="16"/>
        <v>2022-2023</v>
      </c>
      <c r="V125" s="35" t="str">
        <f t="shared" ca="1" si="16"/>
        <v>2023-2024</v>
      </c>
      <c r="W125" s="35" t="str">
        <f t="shared" ca="1" si="16"/>
        <v>2024-2025</v>
      </c>
      <c r="X125" s="35" t="str">
        <f t="shared" ca="1" si="16"/>
        <v>2025-2026</v>
      </c>
      <c r="Z125" s="35" t="str">
        <f t="shared" ref="Z125:AE125" ca="1" si="17">Z$20</f>
        <v>2020-2021</v>
      </c>
      <c r="AA125" s="35" t="str">
        <f t="shared" ca="1" si="17"/>
        <v>2021-2022</v>
      </c>
      <c r="AB125" s="35" t="str">
        <f t="shared" ca="1" si="17"/>
        <v>2022-2023</v>
      </c>
      <c r="AC125" s="35" t="str">
        <f t="shared" ca="1" si="17"/>
        <v>2023-2024</v>
      </c>
      <c r="AD125" s="35" t="str">
        <f t="shared" ca="1" si="17"/>
        <v>2024-2025</v>
      </c>
      <c r="AE125" s="35" t="str">
        <f t="shared" ca="1" si="17"/>
        <v>2025-2026</v>
      </c>
      <c r="AG125" s="35" t="str">
        <f t="shared" ref="AG125:AL125" ca="1" si="18">AG$20</f>
        <v>2020-2021</v>
      </c>
      <c r="AH125" s="35" t="str">
        <f t="shared" ca="1" si="18"/>
        <v>2021-2022</v>
      </c>
      <c r="AI125" s="35" t="str">
        <f t="shared" ca="1" si="18"/>
        <v>2022-2023</v>
      </c>
      <c r="AJ125" s="35" t="str">
        <f t="shared" ca="1" si="18"/>
        <v>2023-2024</v>
      </c>
      <c r="AK125" s="35" t="str">
        <f t="shared" ca="1" si="18"/>
        <v>2024-2025</v>
      </c>
      <c r="AL125" s="35" t="str">
        <f t="shared" ca="1" si="18"/>
        <v>2025-2026</v>
      </c>
    </row>
    <row r="126" spans="4:38" x14ac:dyDescent="0.25">
      <c r="N126" s="95"/>
      <c r="O126" s="95"/>
      <c r="P126" s="95"/>
      <c r="Q126" s="95"/>
      <c r="R126" s="95"/>
      <c r="S126" s="60" t="s">
        <v>112</v>
      </c>
      <c r="T126" s="60" t="s">
        <v>53</v>
      </c>
      <c r="U126" s="60" t="s">
        <v>54</v>
      </c>
      <c r="V126" s="60" t="s">
        <v>55</v>
      </c>
      <c r="W126" s="60" t="s">
        <v>56</v>
      </c>
      <c r="X126" s="60" t="s">
        <v>57</v>
      </c>
      <c r="Z126" s="60" t="s">
        <v>112</v>
      </c>
      <c r="AA126" s="60" t="s">
        <v>53</v>
      </c>
      <c r="AB126" s="60" t="s">
        <v>54</v>
      </c>
      <c r="AC126" s="60" t="s">
        <v>55</v>
      </c>
      <c r="AD126" s="60" t="s">
        <v>56</v>
      </c>
      <c r="AE126" s="60" t="s">
        <v>57</v>
      </c>
      <c r="AG126" s="60" t="s">
        <v>112</v>
      </c>
      <c r="AH126" s="60" t="s">
        <v>53</v>
      </c>
      <c r="AI126" s="60" t="s">
        <v>54</v>
      </c>
      <c r="AJ126" s="60" t="s">
        <v>55</v>
      </c>
      <c r="AK126" s="60" t="s">
        <v>56</v>
      </c>
      <c r="AL126" s="60" t="s">
        <v>57</v>
      </c>
    </row>
    <row r="127" spans="4:38" x14ac:dyDescent="0.25">
      <c r="K127" s="60" t="s">
        <v>59</v>
      </c>
      <c r="N127" s="95"/>
      <c r="O127" s="95"/>
      <c r="P127" s="95"/>
      <c r="Q127" s="95"/>
      <c r="R127" s="95"/>
      <c r="S127" s="60" t="s">
        <v>60</v>
      </c>
      <c r="T127" s="60" t="s">
        <v>60</v>
      </c>
      <c r="U127" s="60" t="s">
        <v>60</v>
      </c>
      <c r="V127" s="60" t="s">
        <v>60</v>
      </c>
      <c r="W127" s="60" t="s">
        <v>60</v>
      </c>
      <c r="X127" s="60" t="s">
        <v>60</v>
      </c>
      <c r="Z127" s="60" t="s">
        <v>60</v>
      </c>
      <c r="AA127" s="60" t="s">
        <v>60</v>
      </c>
      <c r="AB127" s="60" t="s">
        <v>60</v>
      </c>
      <c r="AC127" s="60" t="s">
        <v>60</v>
      </c>
      <c r="AD127" s="60" t="s">
        <v>60</v>
      </c>
      <c r="AE127" s="60" t="s">
        <v>60</v>
      </c>
      <c r="AG127" s="60" t="s">
        <v>60</v>
      </c>
      <c r="AH127" s="60" t="s">
        <v>60</v>
      </c>
      <c r="AI127" s="60" t="s">
        <v>60</v>
      </c>
      <c r="AJ127" s="60" t="s">
        <v>60</v>
      </c>
      <c r="AK127" s="60" t="s">
        <v>60</v>
      </c>
      <c r="AL127" s="60" t="s">
        <v>60</v>
      </c>
    </row>
    <row r="128" spans="4:38" ht="3" customHeight="1" x14ac:dyDescent="0.25">
      <c r="S128" s="36"/>
      <c r="T128" s="36"/>
      <c r="U128" s="36"/>
      <c r="V128" s="36"/>
      <c r="W128" s="36"/>
      <c r="X128" s="36"/>
      <c r="Z128" s="36"/>
      <c r="AA128" s="36"/>
      <c r="AB128" s="36"/>
      <c r="AC128" s="36"/>
      <c r="AD128" s="36"/>
      <c r="AE128" s="36"/>
    </row>
    <row r="129" spans="1:38" ht="18.75" x14ac:dyDescent="0.3">
      <c r="N129" s="56" t="s">
        <v>48</v>
      </c>
      <c r="O129" s="57"/>
      <c r="P129" s="57"/>
      <c r="Q129" s="57"/>
      <c r="R129" s="58"/>
      <c r="S129" s="59"/>
      <c r="T129" s="59"/>
      <c r="U129" s="59"/>
      <c r="V129" s="59"/>
      <c r="W129" s="59"/>
      <c r="X129" s="59"/>
      <c r="Z129" s="59"/>
      <c r="AA129" s="59"/>
      <c r="AB129" s="59"/>
      <c r="AC129" s="59"/>
      <c r="AD129" s="59"/>
      <c r="AE129" s="59"/>
      <c r="AG129" s="59"/>
      <c r="AH129" s="59"/>
      <c r="AI129" s="59"/>
      <c r="AJ129" s="59"/>
      <c r="AK129" s="59"/>
      <c r="AL129" s="59"/>
    </row>
    <row r="130" spans="1:38" x14ac:dyDescent="0.25">
      <c r="A130" t="str" cm="1">
        <f t="array" aca="1" ref="A130" ca="1">IF(_xll.TM1RPTELISCONSOLIDATED($N$130,$N130),IF(_xll.TM1RPTELLEV($N$130,$N130)&lt;=3,_xll.TM1RPTELLEV($N$130,$N130),"D"),"N")</f>
        <v>N</v>
      </c>
      <c r="B130" s="49"/>
      <c r="D130" s="2"/>
      <c r="E130" s="2"/>
      <c r="F130" s="2"/>
      <c r="G130" s="2"/>
      <c r="H130" s="2"/>
      <c r="I130" s="2"/>
      <c r="J130" s="2"/>
      <c r="K130" s="20" t="str" cm="1">
        <f t="array" aca="1" ref="K130" ca="1">_xll.DBRW($C$43,$N130,K$127)</f>
        <v/>
      </c>
      <c r="L130" s="2"/>
      <c r="M130" s="2"/>
      <c r="N130" s="76" t="str" cm="1">
        <f t="array" aca="1" ref="N130" ca="1">_xll.TM1RPTROW($C$39,db_name&amp;":account","",,"code and description",1,$D$63)</f>
        <v/>
      </c>
      <c r="O130" s="77" t="str" cm="1">
        <f t="array" aca="1" ref="O130" ca="1">_xll.TM1RPTROW($C$39,db_name&amp;":movement account","",,"code and description","",$C$78,,$D$71)</f>
        <v/>
      </c>
      <c r="P130" s="77" t="str" cm="1">
        <f t="array" aca="1" ref="P130" ca="1">_xll.TM1RPTROW($C$39,db_name&amp;":related entity","",,"code and description","",$C$82,,$D$71)</f>
        <v/>
      </c>
      <c r="Q130" s="77" t="str" cm="1">
        <f t="array" aca="1" ref="Q130" ca="1">_xll.TM1RPTROW($C$39,db_name&amp;":id","",,"","",$C$86,,1)</f>
        <v/>
      </c>
      <c r="R130" s="54" t="str">
        <f ca="1">$K130</f>
        <v/>
      </c>
      <c r="S130" s="55" t="str" cm="1">
        <f t="array" aca="1" ref="S130" ca="1">_xll.DBRW($C$39,$S$115,$S$116,$C$46,$C$47,$P130,$C$49,$C$50,$O$111,$O$110,$C$53,$O130,$C$55,$O$109,$N130,$Q130,$O$112,S$20)</f>
        <v/>
      </c>
      <c r="T130" s="55" t="str" cm="1">
        <f t="array" aca="1" ref="T130" ca="1">_xll.DBRW($C$39,$S$115,$S$116,$C$46,$C$47,$P130,$C$49,$C$50,$O$111,$O$110,$C$53,$O130,$C$55,$O$109,$N130,$Q130,$O$112,T$20)</f>
        <v/>
      </c>
      <c r="U130" s="33" t="str" cm="1">
        <f t="array" aca="1" ref="U130" ca="1">_xll.DBRW($C$39,$S$115,$S$116,$C$46,$C$47,$P130,$C$49,$C$50,$O$111,$O$110,$C$53,$O130,$C$55,$O$109,$N130,$Q130,$O$112,U$20)</f>
        <v/>
      </c>
      <c r="V130" s="33" t="str" cm="1">
        <f t="array" aca="1" ref="V130" ca="1">_xll.DBRW($C$39,$S$115,$S$116,$C$46,$C$47,$P130,$C$49,$C$50,$O$111,$O$110,$C$53,$O130,$C$55,$O$109,$N130,$Q130,$O$112,V$20)</f>
        <v/>
      </c>
      <c r="W130" s="33" t="str" cm="1">
        <f t="array" aca="1" ref="W130" ca="1">_xll.DBRW($C$39,$S$115,$S$116,$C$46,$C$47,$P130,$C$49,$C$50,$O$111,$O$110,$C$53,$O130,$C$55,$O$109,$N130,$Q130,$O$112,W$20)</f>
        <v/>
      </c>
      <c r="X130" s="34" t="str" cm="1">
        <f t="array" aca="1" ref="X130" ca="1">_xll.DBRW($C$39,$S$115,$S$116,$C$46,$C$47,$P130,$C$49,$C$50,$O$111,$O$110,$C$53,$O130,$C$55,$O$109,$N130,$Q130,$O$112,X$20)</f>
        <v/>
      </c>
      <c r="Z130" s="55" t="str" cm="1">
        <f t="array" aca="1" ref="Z130" ca="1">_xll.DBRW($C$39,$Z$115,$Z$116,$C$46,$C$47,$P130,$C$49,$C$50,$O$111,$O$110,$C$53,$O130,$C$55,$O$109,$N130,$Q130,$O$112,Z$20)</f>
        <v/>
      </c>
      <c r="AA130" s="55" t="str" cm="1">
        <f t="array" aca="1" ref="AA130" ca="1">_xll.DBRW($C$39,$Z$115,$Z$116,$C$46,$C$47,$P130,$C$49,$C$50,$O$111,$O$110,$C$53,$O130,$C$55,$O$109,$N130,$Q130,$O$112,AA$20)</f>
        <v/>
      </c>
      <c r="AB130" s="55" t="str" cm="1">
        <f t="array" aca="1" ref="AB130" ca="1">_xll.DBRW($C$39,$Z$115,$Z$116,$C$46,$C$47,$P130,$C$49,$C$50,$O$111,$O$110,$C$53,$O130,$C$55,$O$109,$N130,$Q130,$O$112,AB$20)</f>
        <v/>
      </c>
      <c r="AC130" s="55" t="str" cm="1">
        <f t="array" aca="1" ref="AC130" ca="1">_xll.DBRW($C$39,$Z$115,$Z$116,$C$46,$C$47,$P130,$C$49,$C$50,$O$111,$O$110,$C$53,$O130,$C$55,$O$109,$N130,$Q130,$O$112,AC$20)</f>
        <v/>
      </c>
      <c r="AD130" s="55" t="str" cm="1">
        <f t="array" aca="1" ref="AD130" ca="1">_xll.DBRW($C$39,$Z$115,$Z$116,$C$46,$C$47,$P130,$C$49,$C$50,$O$111,$O$110,$C$53,$O130,$C$55,$O$109,$N130,$Q130,$O$112,AD$20)</f>
        <v/>
      </c>
      <c r="AE130" s="55" t="str" cm="1">
        <f t="array" aca="1" ref="AE130" ca="1">_xll.DBRW($C$39,$Z$115,$Z$116,$C$46,$C$47,$P130,$C$49,$C$50,$O$111,$O$110,$C$53,$O130,$C$55,$O$109,$N130,$Q130,$O$112,AE$20)</f>
        <v/>
      </c>
      <c r="AG130" s="82" t="e">
        <f t="shared" ref="AG130:AL130" ca="1" si="19">S130-Z130</f>
        <v>#VALUE!</v>
      </c>
      <c r="AH130" s="82" t="e">
        <f t="shared" ca="1" si="19"/>
        <v>#VALUE!</v>
      </c>
      <c r="AI130" s="82" t="e">
        <f t="shared" ca="1" si="19"/>
        <v>#VALUE!</v>
      </c>
      <c r="AJ130" s="82" t="e">
        <f t="shared" ca="1" si="19"/>
        <v>#VALUE!</v>
      </c>
      <c r="AK130" s="82" t="e">
        <f t="shared" ca="1" si="19"/>
        <v>#VALUE!</v>
      </c>
      <c r="AL130" s="82" t="e">
        <f t="shared" ca="1" si="19"/>
        <v>#VALUE!</v>
      </c>
    </row>
    <row r="131" spans="1:38" ht="4.5" customHeight="1" x14ac:dyDescent="0.25"/>
    <row r="132" spans="1:38" ht="18.75" x14ac:dyDescent="0.3">
      <c r="N132" s="75" t="s">
        <v>46</v>
      </c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Z132" s="84"/>
      <c r="AA132" s="84"/>
      <c r="AB132" s="84"/>
      <c r="AC132" s="84"/>
      <c r="AD132" s="84"/>
      <c r="AE132" s="84"/>
    </row>
    <row r="133" spans="1:38" x14ac:dyDescent="0.25">
      <c r="A133" t="str" cm="1">
        <f t="array" aca="1" ref="A133" ca="1">IF(_xll.TM1RPTELISCONSOLIDATED($N$133,$N133),IF(_xll.TM1RPTELLEV($N$133,$N133)&lt;=3,_xll.TM1RPTELLEV($N$133,$N133),"D"),"N")</f>
        <v>N</v>
      </c>
      <c r="B133" s="49"/>
      <c r="D133" s="2"/>
      <c r="E133" s="2"/>
      <c r="F133" s="2"/>
      <c r="G133" s="2"/>
      <c r="H133" s="2"/>
      <c r="I133" s="2"/>
      <c r="J133" s="2"/>
      <c r="K133" s="20" t="str" cm="1">
        <f t="array" aca="1" ref="K133" ca="1">_xll.DBRW($C$43,$N133,K$127)</f>
        <v/>
      </c>
      <c r="L133" s="2"/>
      <c r="M133" s="2"/>
      <c r="N133" s="78" t="str" cm="1">
        <f t="array" aca="1" ref="N133" ca="1">_xll.TM1RPTROW($C$40,db_name&amp;":account","",,"code and description",1,$D$64)</f>
        <v/>
      </c>
      <c r="O133" s="77" t="str" cm="1">
        <f t="array" aca="1" ref="O133" ca="1">_xll.TM1RPTROW($C$40,db_name&amp;":movement account","",,"code and description","",$D$78,,$D$72)</f>
        <v/>
      </c>
      <c r="P133" s="77" t="str" cm="1">
        <f t="array" aca="1" ref="P133" ca="1">_xll.TM1RPTROW($C$40,db_name&amp;":related entity","",,"code and description","",$D$82,,$D$72)</f>
        <v/>
      </c>
      <c r="Q133" s="77" t="str" cm="1">
        <f t="array" aca="1" ref="Q133" ca="1">_xll.TM1RPTROW($C$40,db_name&amp;":id","",,"","",$D$86,,1)</f>
        <v/>
      </c>
      <c r="R133" s="54" t="str">
        <f ca="1">$K133</f>
        <v/>
      </c>
      <c r="S133" s="55" t="str" cm="1">
        <f t="array" aca="1" ref="S133" ca="1">_xll.DBRW($C$40,$S$115,$S$116,$C$46,$C$47,$P133,$C$49,$C$50,$O$111,$O$110,$C$53,$O133,$C$55,$O$109,$N133,$Q133,$O$112,S$20)</f>
        <v/>
      </c>
      <c r="T133" s="55" t="str" cm="1">
        <f t="array" aca="1" ref="T133" ca="1">_xll.DBRW($C$40,$S$115,$S$116,$C$46,$C$47,$P133,$C$49,$C$50,$O$111,$O$110,$C$53,$O133,$C$55,$O$109,$N133,$Q133,$O$112,T$20)</f>
        <v/>
      </c>
      <c r="U133" s="33" t="str" cm="1">
        <f t="array" aca="1" ref="U133" ca="1">_xll.DBRW($C$40,$S$115,$S$116,$C$46,$C$47,$P133,$C$49,$C$50,$O$111,$O$110,$C$53,$O133,$C$55,$O$109,$N133,$Q133,$O$112,U$20)</f>
        <v/>
      </c>
      <c r="V133" s="33" t="str" cm="1">
        <f t="array" aca="1" ref="V133" ca="1">_xll.DBRW($C$40,$S$115,$S$116,$C$46,$C$47,$P133,$C$49,$C$50,$O$111,$O$110,$C$53,$O133,$C$55,$O$109,$N133,$Q133,$O$112,V$20)</f>
        <v/>
      </c>
      <c r="W133" s="33" t="str" cm="1">
        <f t="array" aca="1" ref="W133" ca="1">_xll.DBRW($C$40,$S$115,$S$116,$C$46,$C$47,$P133,$C$49,$C$50,$O$111,$O$110,$C$53,$O133,$C$55,$O$109,$N133,$Q133,$O$112,W$20)</f>
        <v/>
      </c>
      <c r="X133" s="34" t="str" cm="1">
        <f t="array" aca="1" ref="X133" ca="1">_xll.DBRW($C$40,$S$115,$S$116,$C$46,$C$47,$P133,$C$49,$C$50,$O$111,$O$110,$C$53,$O133,$C$55,$O$109,$N133,$Q133,$O$112,X$20)</f>
        <v/>
      </c>
      <c r="Z133" s="55" t="str" cm="1">
        <f t="array" aca="1" ref="Z133" ca="1">_xll.DBRW($C$40,$Z$115,$Z$116,$C$46,$C$47,$P133,$C$49,$C$50,$O$111,$O$110,$C$53,$O133,$C$55,$O$109,$N133,$Q133,$O$112,Z$20)</f>
        <v/>
      </c>
      <c r="AA133" s="55" t="str" cm="1">
        <f t="array" aca="1" ref="AA133" ca="1">_xll.DBRW($C$40,$Z$115,$Z$116,$C$46,$C$47,$P133,$C$49,$C$50,$O$111,$O$110,$C$53,$O133,$C$55,$O$109,$N133,$Q133,$O$112,AA$20)</f>
        <v/>
      </c>
      <c r="AB133" s="33" t="str" cm="1">
        <f t="array" aca="1" ref="AB133" ca="1">_xll.DBRW($C$40,$Z$115,$Z$116,$C$46,$C$47,$P133,$C$49,$C$50,$O$111,$O$110,$C$53,$O133,$C$55,$O$109,$N133,$Q133,$O$112,AB$20)</f>
        <v/>
      </c>
      <c r="AC133" s="33" t="str" cm="1">
        <f t="array" aca="1" ref="AC133" ca="1">_xll.DBRW($C$40,$Z$115,$Z$116,$C$46,$C$47,$P133,$C$49,$C$50,$O$111,$O$110,$C$53,$O133,$C$55,$O$109,$N133,$Q133,$O$112,AC$20)</f>
        <v/>
      </c>
      <c r="AD133" s="33" t="str" cm="1">
        <f t="array" aca="1" ref="AD133" ca="1">_xll.DBRW($C$40,$Z$115,$Z$116,$C$46,$C$47,$P133,$C$49,$C$50,$O$111,$O$110,$C$53,$O133,$C$55,$O$109,$N133,$Q133,$O$112,AD$20)</f>
        <v/>
      </c>
      <c r="AE133" s="34" t="str" cm="1">
        <f t="array" aca="1" ref="AE133" ca="1">_xll.DBRW($C$40,$Z$115,$Z$116,$C$46,$C$47,$P133,$C$49,$C$50,$O$111,$O$110,$C$53,$O133,$C$55,$O$109,$N133,$Q133,$O$112,AE$20)</f>
        <v/>
      </c>
      <c r="AG133" s="82" t="e">
        <f t="shared" ref="AG133:AL133" ca="1" si="20">S133-Z133</f>
        <v>#VALUE!</v>
      </c>
      <c r="AH133" s="82" t="e">
        <f t="shared" ca="1" si="20"/>
        <v>#VALUE!</v>
      </c>
      <c r="AI133" s="82" t="e">
        <f t="shared" ca="1" si="20"/>
        <v>#VALUE!</v>
      </c>
      <c r="AJ133" s="82" t="e">
        <f t="shared" ca="1" si="20"/>
        <v>#VALUE!</v>
      </c>
      <c r="AK133" s="82" t="e">
        <f t="shared" ca="1" si="20"/>
        <v>#VALUE!</v>
      </c>
      <c r="AL133" s="82" t="e">
        <f t="shared" ca="1" si="20"/>
        <v>#VALUE!</v>
      </c>
    </row>
    <row r="134" spans="1:38" ht="4.5" customHeight="1" x14ac:dyDescent="0.25"/>
    <row r="135" spans="1:38" ht="18.75" x14ac:dyDescent="0.3">
      <c r="N135" s="75" t="s">
        <v>49</v>
      </c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Z135" s="84"/>
      <c r="AA135" s="84"/>
      <c r="AB135" s="84"/>
      <c r="AC135" s="84"/>
      <c r="AD135" s="84"/>
      <c r="AE135" s="84"/>
    </row>
    <row r="136" spans="1:38" x14ac:dyDescent="0.25">
      <c r="A136" t="str" cm="1">
        <f t="array" aca="1" ref="A136" ca="1">IF(_xll.TM1RPTELISCONSOLIDATED($N$136,$N136),IF(_xll.TM1RPTELLEV($N$136,$N136)&lt;=3,_xll.TM1RPTELLEV($N$136,$N136),"D"),"N")</f>
        <v>N</v>
      </c>
      <c r="B136" s="49"/>
      <c r="D136" s="2"/>
      <c r="E136" s="2"/>
      <c r="F136" s="2"/>
      <c r="G136" s="2"/>
      <c r="H136" s="2"/>
      <c r="I136" s="2"/>
      <c r="J136" s="2"/>
      <c r="K136" s="20" t="str" cm="1">
        <f t="array" aca="1" ref="K136" ca="1">_xll.DBRW($C$43,$N136,K$127)</f>
        <v/>
      </c>
      <c r="L136" s="2"/>
      <c r="M136" s="2"/>
      <c r="N136" s="79" t="str" cm="1">
        <f t="array" aca="1" ref="N136" ca="1">_xll.TM1RPTROW($C$41,db_name&amp;":account","",,"code and description",1,$D$65)</f>
        <v/>
      </c>
      <c r="O136" s="77" t="str" cm="1">
        <f t="array" aca="1" ref="O136" ca="1">_xll.TM1RPTROW($C$41,db_name&amp;":movement account","",,"code and description","",$E$78,,$D$73)</f>
        <v/>
      </c>
      <c r="P136" s="77" t="str" cm="1">
        <f t="array" aca="1" ref="P136" ca="1">_xll.TM1RPTROW($C$41,db_name&amp;":related entity","",,"code and description","",$E$82,,$D$73)</f>
        <v/>
      </c>
      <c r="Q136" s="77" t="str" cm="1">
        <f t="array" aca="1" ref="Q136" ca="1">_xll.TM1RPTROW($C$41,db_name&amp;":id","",,"","",$E$86,,1)</f>
        <v/>
      </c>
      <c r="R136" s="54" t="str">
        <f ca="1">$K136</f>
        <v/>
      </c>
      <c r="S136" s="55" t="str" cm="1">
        <f t="array" aca="1" ref="S136" ca="1">_xll.DBRW($C$41,$S$115,$S$116,$C$46,$C$47,$P136,$C$49,$C$50,$O$111,$O$110,$C$53,$O136,$C$55,$O$109,$N136,$Q136,$O$112,S$20)</f>
        <v/>
      </c>
      <c r="T136" s="55" t="str" cm="1">
        <f t="array" aca="1" ref="T136" ca="1">_xll.DBRW($C$41,$S$115,$S$116,$C$46,$C$47,$P136,$C$49,$C$50,$O$111,$O$110,$C$53,$O136,$C$55,$O$109,$N136,$Q136,$O$112,T$20)</f>
        <v/>
      </c>
      <c r="U136" s="33" t="str" cm="1">
        <f t="array" aca="1" ref="U136" ca="1">_xll.DBRW($C$41,$S$115,$S$116,$C$46,$C$47,$P136,$C$49,$C$50,$O$111,$O$110,$C$53,$O136,$C$55,$O$109,$N136,$Q136,$O$112,U$20)</f>
        <v/>
      </c>
      <c r="V136" s="33" t="str" cm="1">
        <f t="array" aca="1" ref="V136" ca="1">_xll.DBRW($C$41,$S$115,$S$116,$C$46,$C$47,$P136,$C$49,$C$50,$O$111,$O$110,$C$53,$O136,$C$55,$O$109,$N136,$Q136,$O$112,V$20)</f>
        <v/>
      </c>
      <c r="W136" s="33" t="str" cm="1">
        <f t="array" aca="1" ref="W136" ca="1">_xll.DBRW($C$41,$S$115,$S$116,$C$46,$C$47,$P136,$C$49,$C$50,$O$111,$O$110,$C$53,$O136,$C$55,$O$109,$N136,$Q136,$O$112,W$20)</f>
        <v/>
      </c>
      <c r="X136" s="34" t="str" cm="1">
        <f t="array" aca="1" ref="X136" ca="1">_xll.DBRW($C$41,$S$115,$S$116,$C$46,$C$47,$P136,$C$49,$C$50,$O$111,$O$110,$C$53,$O136,$C$55,$O$109,$N136,$Q136,$O$112,X$20)</f>
        <v/>
      </c>
      <c r="Z136" s="55" t="str" cm="1">
        <f t="array" aca="1" ref="Z136" ca="1">_xll.DBRW($C$41,$Z$115,$Z$116,$C$46,$C$47,$P136,$C$49,$C$50,$O$111,$O$110,$C$53,$O136,$C$55,$O$109,$N136,$Q136,$O$112,Z$20)</f>
        <v/>
      </c>
      <c r="AA136" s="55" t="str" cm="1">
        <f t="array" aca="1" ref="AA136" ca="1">_xll.DBRW($C$41,$Z$115,$Z$116,$C$46,$C$47,$P136,$C$49,$C$50,$O$111,$O$110,$C$53,$O136,$C$55,$O$109,$N136,$Q136,$O$112,AA$20)</f>
        <v/>
      </c>
      <c r="AB136" s="55" t="str" cm="1">
        <f t="array" aca="1" ref="AB136" ca="1">_xll.DBRW($C$41,$Z$115,$Z$116,$C$46,$C$47,$P136,$C$49,$C$50,$O$111,$O$110,$C$53,$O136,$C$55,$O$109,$N136,$Q136,$O$112,AB$20)</f>
        <v/>
      </c>
      <c r="AC136" s="55" t="str" cm="1">
        <f t="array" aca="1" ref="AC136" ca="1">_xll.DBRW($C$41,$Z$115,$Z$116,$C$46,$C$47,$P136,$C$49,$C$50,$O$111,$O$110,$C$53,$O136,$C$55,$O$109,$N136,$Q136,$O$112,AC$20)</f>
        <v/>
      </c>
      <c r="AD136" s="55" t="str" cm="1">
        <f t="array" aca="1" ref="AD136" ca="1">_xll.DBRW($C$41,$Z$115,$Z$116,$C$46,$C$47,$P136,$C$49,$C$50,$O$111,$O$110,$C$53,$O136,$C$55,$O$109,$N136,$Q136,$O$112,AD$20)</f>
        <v/>
      </c>
      <c r="AE136" s="55" t="str" cm="1">
        <f t="array" aca="1" ref="AE136" ca="1">_xll.DBRW($C$41,$Z$115,$Z$116,$C$46,$C$47,$P136,$C$49,$C$50,$O$111,$O$110,$C$53,$O136,$C$55,$O$109,$N136,$Q136,$O$112,AE$20)</f>
        <v/>
      </c>
      <c r="AG136" s="82" t="e">
        <f t="shared" ref="AG136:AL136" ca="1" si="21">S136-Z136</f>
        <v>#VALUE!</v>
      </c>
      <c r="AH136" s="82" t="e">
        <f t="shared" ca="1" si="21"/>
        <v>#VALUE!</v>
      </c>
      <c r="AI136" s="82" t="e">
        <f t="shared" ca="1" si="21"/>
        <v>#VALUE!</v>
      </c>
      <c r="AJ136" s="82" t="e">
        <f t="shared" ca="1" si="21"/>
        <v>#VALUE!</v>
      </c>
      <c r="AK136" s="82" t="e">
        <f t="shared" ca="1" si="21"/>
        <v>#VALUE!</v>
      </c>
      <c r="AL136" s="82" t="e">
        <f t="shared" ca="1" si="21"/>
        <v>#VALUE!</v>
      </c>
    </row>
  </sheetData>
  <sheetProtection sheet="1" objects="1" scenarios="1"/>
  <mergeCells count="21">
    <mergeCell ref="B25:D25"/>
    <mergeCell ref="B11:C11"/>
    <mergeCell ref="B19:C19"/>
    <mergeCell ref="B38:C38"/>
    <mergeCell ref="B62:C62"/>
    <mergeCell ref="N125:N127"/>
    <mergeCell ref="O125:O127"/>
    <mergeCell ref="R125:R127"/>
    <mergeCell ref="W112:X112"/>
    <mergeCell ref="W113:X113"/>
    <mergeCell ref="P125:P127"/>
    <mergeCell ref="Q125:Q127"/>
    <mergeCell ref="S114:X114"/>
    <mergeCell ref="AG116:AL116"/>
    <mergeCell ref="T107:U107"/>
    <mergeCell ref="Z114:AE114"/>
    <mergeCell ref="S115:X115"/>
    <mergeCell ref="S116:X116"/>
    <mergeCell ref="Z115:AE115"/>
    <mergeCell ref="Z116:AE116"/>
    <mergeCell ref="W111:X111"/>
  </mergeCells>
  <conditionalFormatting sqref="N2:P7">
    <cfRule type="cellIs" dxfId="0" priority="1" operator="notEqual">
      <formula>"cxzzz"</formula>
    </cfRule>
  </conditionalFormatting>
  <pageMargins left="0.70866141732283472" right="0.70866141732283472" top="0.74803149606299213" bottom="0.74803149606299213" header="0.31496062992125984" footer="0.31496062992125984"/>
  <pageSetup paperSize="9" scale="37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40" r:id="rId4" name="TIButton7">
          <controlPr defaultSize="0" print="0" autoLine="0" autoPict="0" r:id="rId5">
            <anchor moveWithCells="1" sizeWithCells="1">
              <from>
                <xdr:col>14</xdr:col>
                <xdr:colOff>1447800</xdr:colOff>
                <xdr:row>103</xdr:row>
                <xdr:rowOff>0</xdr:rowOff>
              </from>
              <to>
                <xdr:col>14</xdr:col>
                <xdr:colOff>2609850</xdr:colOff>
                <xdr:row>103</xdr:row>
                <xdr:rowOff>247650</xdr:rowOff>
              </to>
            </anchor>
          </controlPr>
        </control>
      </mc:Choice>
      <mc:Fallback>
        <control shapeId="1040" r:id="rId4" name="TIButton7"/>
      </mc:Fallback>
    </mc:AlternateContent>
    <mc:AlternateContent xmlns:mc="http://schemas.openxmlformats.org/markup-compatibility/2006">
      <mc:Choice Requires="x14">
        <control shapeId="1039" r:id="rId6" name="TIButton6">
          <controlPr defaultSize="0" print="0" autoLine="0" r:id="rId7">
            <anchor moveWithCells="1" sizeWithCells="1">
              <from>
                <xdr:col>14</xdr:col>
                <xdr:colOff>28575</xdr:colOff>
                <xdr:row>103</xdr:row>
                <xdr:rowOff>0</xdr:rowOff>
              </from>
              <to>
                <xdr:col>14</xdr:col>
                <xdr:colOff>1428750</xdr:colOff>
                <xdr:row>103</xdr:row>
                <xdr:rowOff>247650</xdr:rowOff>
              </to>
            </anchor>
          </controlPr>
        </control>
      </mc:Choice>
      <mc:Fallback>
        <control shapeId="1039" r:id="rId6" name="TIButton6"/>
      </mc:Fallback>
    </mc:AlternateContent>
    <mc:AlternateContent xmlns:mc="http://schemas.openxmlformats.org/markup-compatibility/2006">
      <mc:Choice Requires="x14">
        <control shapeId="1038" r:id="rId8" name="TIButton5">
          <controlPr defaultSize="0" print="0" autoLine="0" r:id="rId9">
            <anchor moveWithCells="1" sizeWithCells="1">
              <from>
                <xdr:col>13</xdr:col>
                <xdr:colOff>1685925</xdr:colOff>
                <xdr:row>103</xdr:row>
                <xdr:rowOff>0</xdr:rowOff>
              </from>
              <to>
                <xdr:col>13</xdr:col>
                <xdr:colOff>2933700</xdr:colOff>
                <xdr:row>103</xdr:row>
                <xdr:rowOff>247650</xdr:rowOff>
              </to>
            </anchor>
          </controlPr>
        </control>
      </mc:Choice>
      <mc:Fallback>
        <control shapeId="1038" r:id="rId8" name="TIButton5"/>
      </mc:Fallback>
    </mc:AlternateContent>
    <mc:AlternateContent xmlns:mc="http://schemas.openxmlformats.org/markup-compatibility/2006">
      <mc:Choice Requires="x14">
        <control shapeId="1037" r:id="rId10" name="TIButton4">
          <controlPr defaultSize="0" print="0" autoLine="0" r:id="rId11">
            <anchor moveWithCells="1" sizeWithCells="1">
              <from>
                <xdr:col>23</xdr:col>
                <xdr:colOff>542925</xdr:colOff>
                <xdr:row>102</xdr:row>
                <xdr:rowOff>38100</xdr:rowOff>
              </from>
              <to>
                <xdr:col>24</xdr:col>
                <xdr:colOff>0</xdr:colOff>
                <xdr:row>103</xdr:row>
                <xdr:rowOff>285750</xdr:rowOff>
              </to>
            </anchor>
          </controlPr>
        </control>
      </mc:Choice>
      <mc:Fallback>
        <control shapeId="1037" r:id="rId10" name="TIButton4"/>
      </mc:Fallback>
    </mc:AlternateContent>
    <mc:AlternateContent xmlns:mc="http://schemas.openxmlformats.org/markup-compatibility/2006">
      <mc:Choice Requires="x14">
        <control shapeId="1036" r:id="rId12" name="TIButton1">
          <controlPr defaultSize="0" print="0" autoLine="0" autoPict="0" r:id="rId13">
            <anchor moveWithCells="1" sizeWithCells="1">
              <from>
                <xdr:col>13</xdr:col>
                <xdr:colOff>704850</xdr:colOff>
                <xdr:row>103</xdr:row>
                <xdr:rowOff>0</xdr:rowOff>
              </from>
              <to>
                <xdr:col>13</xdr:col>
                <xdr:colOff>1666875</xdr:colOff>
                <xdr:row>103</xdr:row>
                <xdr:rowOff>247650</xdr:rowOff>
              </to>
            </anchor>
          </controlPr>
        </control>
      </mc:Choice>
      <mc:Fallback>
        <control shapeId="1036" r:id="rId12" name="TIButton1"/>
      </mc:Fallback>
    </mc:AlternateContent>
    <mc:AlternateContent xmlns:mc="http://schemas.openxmlformats.org/markup-compatibility/2006">
      <mc:Choice Requires="x14">
        <control shapeId="1035" r:id="rId14" name="TIButton3">
          <controlPr defaultSize="0" print="0" autoLine="0" r:id="rId15">
            <anchor moveWithCells="1" sizeWithCells="1">
              <from>
                <xdr:col>15</xdr:col>
                <xdr:colOff>828675</xdr:colOff>
                <xdr:row>103</xdr:row>
                <xdr:rowOff>0</xdr:rowOff>
              </from>
              <to>
                <xdr:col>16</xdr:col>
                <xdr:colOff>180975</xdr:colOff>
                <xdr:row>103</xdr:row>
                <xdr:rowOff>247650</xdr:rowOff>
              </to>
            </anchor>
          </controlPr>
        </control>
      </mc:Choice>
      <mc:Fallback>
        <control shapeId="1035" r:id="rId14" name="TIButton3"/>
      </mc:Fallback>
    </mc:AlternateContent>
    <mc:AlternateContent xmlns:mc="http://schemas.openxmlformats.org/markup-compatibility/2006">
      <mc:Choice Requires="x14">
        <control shapeId="1034" r:id="rId16" name="TIButton2">
          <controlPr defaultSize="0" print="0" autoLine="0" autoPict="0" r:id="rId17">
            <anchor moveWithCells="1" sizeWithCells="1">
              <from>
                <xdr:col>13</xdr:col>
                <xdr:colOff>28575</xdr:colOff>
                <xdr:row>103</xdr:row>
                <xdr:rowOff>0</xdr:rowOff>
              </from>
              <to>
                <xdr:col>13</xdr:col>
                <xdr:colOff>666750</xdr:colOff>
                <xdr:row>103</xdr:row>
                <xdr:rowOff>247650</xdr:rowOff>
              </to>
            </anchor>
          </controlPr>
        </control>
      </mc:Choice>
      <mc:Fallback>
        <control shapeId="1034" r:id="rId16" name="TIButton2"/>
      </mc:Fallback>
    </mc:AlternateContent>
    <mc:AlternateContent xmlns:mc="http://schemas.openxmlformats.org/markup-compatibility/2006">
      <mc:Choice Requires="x14">
        <control shapeId="1041" r:id="rId18" name="TIButton8">
          <controlPr defaultSize="0" print="0" autoLine="0" r:id="rId19">
            <anchor moveWithCells="1" sizeWithCells="1">
              <from>
                <xdr:col>15</xdr:col>
                <xdr:colOff>76200</xdr:colOff>
                <xdr:row>103</xdr:row>
                <xdr:rowOff>0</xdr:rowOff>
              </from>
              <to>
                <xdr:col>15</xdr:col>
                <xdr:colOff>800100</xdr:colOff>
                <xdr:row>103</xdr:row>
                <xdr:rowOff>247650</xdr:rowOff>
              </to>
            </anchor>
          </controlPr>
        </control>
      </mc:Choice>
      <mc:Fallback>
        <control shapeId="1041" r:id="rId18" name="TIButton8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065A59-BB3B-4EF4-8750-FFE5A62C6BD2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report</vt:lpstr>
      <vt:lpstr>db_name</vt:lpstr>
      <vt:lpstr>PL_progtype_list</vt:lpstr>
      <vt:lpstr>PL_progtype_lookup</vt:lpstr>
      <vt:lpstr>psApp</vt:lpstr>
      <vt:lpstr>psProgDimName</vt:lpstr>
      <vt:lpstr>psUser</vt:lpstr>
      <vt:lpstr>TargetCells</vt:lpstr>
      <vt:lpstr>TM1AdjIDListCAP</vt:lpstr>
      <vt:lpstr>TM1AdjIDListWB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TM1IDListWS</vt:lpstr>
      <vt:lpstr>TM1OthRprTBalDrillCAP</vt:lpstr>
      <vt:lpstr>TM1OthRprTBalDrillWB</vt:lpstr>
      <vt:lpstr>TM1OthRprTBalDrillWS</vt:lpstr>
      <vt:lpstr>report!TM1RPTDATARNG1</vt:lpstr>
      <vt:lpstr>report!TM1RPTDATARNGARPT1</vt:lpstr>
      <vt:lpstr>report!TM1RPTDATARNGARPT2</vt:lpstr>
      <vt:lpstr>report!TM1RPTFMTIDCOL</vt:lpstr>
      <vt:lpstr>report!TM1RPTFMTRNG</vt:lpstr>
      <vt:lpstr>TM1ViewAdj01HeaderCAP</vt:lpstr>
      <vt:lpstr>TM1ViewAdj01HeaderWB</vt:lpstr>
      <vt:lpstr>TM1ViewAdj01HeaderWS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modeler1</cp:lastModifiedBy>
  <dcterms:created xsi:type="dcterms:W3CDTF">2019-06-27T05:48:38Z</dcterms:created>
  <dcterms:modified xsi:type="dcterms:W3CDTF">2023-11-30T00:27:07Z</dcterms:modified>
</cp:coreProperties>
</file>