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66933CDD-948D-4F11-82B9-FCA2FCA7F757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report" sheetId="1" r:id="rId1"/>
  </sheets>
  <definedNames>
    <definedName name="db_name" localSheetId="0">report!$C$12</definedName>
    <definedName name="_xlnm.Print_Titles" localSheetId="0">report!$J:$K,report!$84:$85</definedName>
    <definedName name="psApp">report!$C$27</definedName>
    <definedName name="psProgDimName">report!$C$23</definedName>
    <definedName name="psUser">report!$C$14</definedName>
    <definedName name="TM1HomeAECAP">report!$D$30</definedName>
    <definedName name="TM1HomeAEWB">report!$F$30</definedName>
    <definedName name="TM1HomeAEWS">report!$H$30</definedName>
    <definedName name="TM1HomeCAP">report!$D$29</definedName>
    <definedName name="TM1HomeRepAnalyticalCAP">report!$D$33</definedName>
    <definedName name="TM1HomeRepAnalyticalWB">report!$F$33</definedName>
    <definedName name="TM1HomeRepAnalyticalWS">report!$H$33</definedName>
    <definedName name="TM1HomeRepCAP">report!$D$31</definedName>
    <definedName name="TM1HomeRepOtherCAP">report!$D$32</definedName>
    <definedName name="TM1HomeRepOtherWB">report!$F$32</definedName>
    <definedName name="TM1HomeRepOtherWS">report!$H$32</definedName>
    <definedName name="TM1HomeRepWB">report!$F$31</definedName>
    <definedName name="TM1HomeRepWS">report!$H$31</definedName>
    <definedName name="TM1HomeWB">report!$F$29</definedName>
    <definedName name="TM1HomeWS">report!$H$29</definedName>
    <definedName name="TM1REBUILDOPTION">0</definedName>
    <definedName name="TM1RPTDATARNG1" localSheetId="0">report!$86:$86</definedName>
    <definedName name="TM1RPTDATARNGARPT3" localSheetId="0">report!$92:$92</definedName>
    <definedName name="TM1RPTDATARNGARPT6" localSheetId="0">report!$98:$98</definedName>
    <definedName name="TM1RPTFMTIDCOL" localSheetId="0">report!$A$1:$A$8</definedName>
    <definedName name="TM1RPTFMTRNG" localSheetId="0">report!$J$1:$R$8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8" i="1" l="1"/>
  <c r="C53" i="1"/>
  <c r="C38" i="1"/>
  <c r="C44" i="1"/>
  <c r="J98" i="1"/>
  <c r="C26" i="1"/>
  <c r="H33" i="1"/>
  <c r="G33" i="1"/>
  <c r="F33" i="1"/>
  <c r="E33" i="1"/>
  <c r="D33" i="1"/>
  <c r="C33" i="1"/>
  <c r="C20" i="1"/>
  <c r="C21" i="1"/>
  <c r="M76" i="1"/>
  <c r="K20" i="1"/>
  <c r="R20" i="1"/>
  <c r="R97" i="1"/>
  <c r="Q20" i="1"/>
  <c r="Q97" i="1"/>
  <c r="P20" i="1"/>
  <c r="P97" i="1"/>
  <c r="O20" i="1"/>
  <c r="O97" i="1"/>
  <c r="N20" i="1"/>
  <c r="N97" i="1"/>
  <c r="M20" i="1"/>
  <c r="M97" i="1"/>
  <c r="R91" i="1"/>
  <c r="Q91" i="1"/>
  <c r="P91" i="1"/>
  <c r="O91" i="1"/>
  <c r="N91" i="1"/>
  <c r="M91" i="1"/>
  <c r="R85" i="1"/>
  <c r="Q85" i="1"/>
  <c r="P85" i="1"/>
  <c r="O85" i="1"/>
  <c r="N85" i="1"/>
  <c r="M85" i="1"/>
  <c r="C36" i="1"/>
  <c r="C22" i="1"/>
  <c r="M77" i="1"/>
  <c r="M78" i="1"/>
  <c r="C58" i="1"/>
  <c r="C59" i="1"/>
  <c r="C60" i="1"/>
  <c r="C61" i="1"/>
  <c r="C62" i="1"/>
  <c r="C63" i="1"/>
  <c r="C64" i="1"/>
  <c r="C65" i="1"/>
  <c r="M79" i="1"/>
  <c r="C67" i="1"/>
  <c r="C66" i="1"/>
  <c r="C37" i="1"/>
  <c r="Q82" i="1"/>
  <c r="C43" i="1"/>
  <c r="C42" i="1"/>
  <c r="Q77" i="1"/>
  <c r="K98" i="1"/>
  <c r="C48" i="1"/>
  <c r="K92" i="1"/>
  <c r="Q76" i="1"/>
  <c r="C47" i="1"/>
  <c r="K86" i="1"/>
  <c r="J92" i="1"/>
  <c r="C39" i="1"/>
  <c r="R104" i="1"/>
  <c r="Q104" i="1"/>
  <c r="P104" i="1"/>
  <c r="O104" i="1"/>
  <c r="N104" i="1"/>
  <c r="R102" i="1"/>
  <c r="Q102" i="1"/>
  <c r="P102" i="1"/>
  <c r="O102" i="1"/>
  <c r="N102" i="1"/>
  <c r="R100" i="1"/>
  <c r="Q100" i="1"/>
  <c r="P100" i="1"/>
  <c r="O100" i="1"/>
  <c r="N100" i="1"/>
  <c r="R98" i="1"/>
  <c r="Q98" i="1"/>
  <c r="P98" i="1"/>
  <c r="O98" i="1"/>
  <c r="N98" i="1"/>
  <c r="M104" i="1"/>
  <c r="M102" i="1"/>
  <c r="M100" i="1"/>
  <c r="M98" i="1"/>
  <c r="R94" i="1"/>
  <c r="Q94" i="1"/>
  <c r="P94" i="1"/>
  <c r="O94" i="1"/>
  <c r="N94" i="1"/>
  <c r="R92" i="1"/>
  <c r="Q92" i="1"/>
  <c r="P92" i="1"/>
  <c r="O92" i="1"/>
  <c r="N92" i="1"/>
  <c r="M94" i="1"/>
  <c r="M92" i="1"/>
  <c r="R88" i="1"/>
  <c r="Q88" i="1"/>
  <c r="P88" i="1"/>
  <c r="O88" i="1"/>
  <c r="N88" i="1"/>
  <c r="M88" i="1"/>
  <c r="J86" i="1"/>
  <c r="R86" i="1"/>
  <c r="Q86" i="1"/>
  <c r="P86" i="1"/>
  <c r="O86" i="1"/>
  <c r="N86" i="1"/>
  <c r="M86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C23" i="1"/>
  <c r="C13" i="1"/>
  <c r="C14" i="1"/>
  <c r="C15" i="1"/>
  <c r="C17" i="1"/>
  <c r="C16" i="1"/>
  <c r="A98" i="1"/>
  <c r="A92" i="1"/>
  <c r="A86" i="1"/>
  <c r="J82" i="1"/>
  <c r="J81" i="1"/>
  <c r="A5" i="1"/>
  <c r="A4" i="1"/>
  <c r="S3" i="1"/>
  <c r="A3" i="1"/>
  <c r="S2" i="1"/>
  <c r="A2" i="1"/>
</calcChain>
</file>

<file path=xl/sharedStrings.xml><?xml version="1.0" encoding="utf-8"?>
<sst xmlns="http://schemas.openxmlformats.org/spreadsheetml/2006/main" count="118" uniqueCount="90">
  <si>
    <t>[Begin Format Range]</t>
  </si>
  <si>
    <t>Drill Function</t>
  </si>
  <si>
    <t>Yes</t>
  </si>
  <si>
    <t>No</t>
  </si>
  <si>
    <t>{TM1SORTBYINDEX( {TM1FILTERBYLEVEL( {TM1DRILLDOWNMEMBER( {TM1SUBSETALL( [programmes] )}, ALL, RECURSIVE )}, 0,4)}, DESC)}</t>
  </si>
  <si>
    <t>D</t>
  </si>
  <si>
    <t>N</t>
  </si>
  <si>
    <t>[End Format Range]</t>
  </si>
  <si>
    <t>{[movement account].[Total movement]}</t>
  </si>
  <si>
    <t>{{[movement account].[-]},{TM1DRILLDOWNMEMBER( {[movement account].[7110]}, ALL, RECURSIVE )}}</t>
  </si>
  <si>
    <t>{{[movement account].[-]},{TM1DRILLDOWNMEMBER( {[movement account].[7250]}, ALL, RECURSIVE )}}</t>
  </si>
  <si>
    <t>Outcome</t>
  </si>
  <si>
    <t>Related Entity</t>
  </si>
  <si>
    <t>Functions</t>
  </si>
  <si>
    <t>Reason</t>
  </si>
  <si>
    <t>SPP</t>
  </si>
  <si>
    <t>Measure Code</t>
  </si>
  <si>
    <t>Appropriation Type</t>
  </si>
  <si>
    <t>Appropriation Item</t>
  </si>
  <si>
    <t>Jurisdiction</t>
  </si>
  <si>
    <t>ID</t>
  </si>
  <si>
    <t>PA</t>
  </si>
  <si>
    <t>RB</t>
  </si>
  <si>
    <t>NB</t>
  </si>
  <si>
    <t>FE1</t>
  </si>
  <si>
    <t>FE2</t>
  </si>
  <si>
    <t>FE3</t>
  </si>
  <si>
    <t>ASSETS</t>
  </si>
  <si>
    <t>MOVEMENT ACCOUNT</t>
  </si>
  <si>
    <t>Total Movement</t>
  </si>
  <si>
    <t>Total ASSETS</t>
  </si>
  <si>
    <t>LIABILTITIES</t>
  </si>
  <si>
    <t>Total LIABILITIES</t>
  </si>
  <si>
    <t>EQUITY</t>
  </si>
  <si>
    <t>Total EQUITY</t>
  </si>
  <si>
    <t>Total LIABILTIES AND EQUITY</t>
  </si>
  <si>
    <t>BALANCE SHEET</t>
  </si>
  <si>
    <t>System Parameters</t>
  </si>
  <si>
    <t>Dataabase Name</t>
  </si>
  <si>
    <t>}Clients</t>
  </si>
  <si>
    <t>TM1 User</t>
  </si>
  <si>
    <t>}TM1_DefaultDisplayValue</t>
  </si>
  <si>
    <t>GEUS User Name</t>
  </si>
  <si>
    <t>Current User</t>
  </si>
  <si>
    <t xml:space="preserve">System Variables </t>
  </si>
  <si>
    <t>VIEW</t>
  </si>
  <si>
    <t>headline year</t>
  </si>
  <si>
    <t>headline scenario</t>
  </si>
  <si>
    <t>program dimension name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</si>
  <si>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</si>
  <si>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</si>
  <si>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</si>
  <si>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</si>
  <si>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</si>
  <si>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</si>
  <si>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</si>
  <si>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</si>
  <si>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</si>
  <si>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</si>
  <si>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</si>
  <si>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</si>
  <si>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Reports - Other</t>
  </si>
  <si>
    <t>Period Variables</t>
  </si>
  <si>
    <t>current</t>
  </si>
  <si>
    <t>AE Adjustment</t>
  </si>
  <si>
    <t>ASSETS Active Form</t>
  </si>
  <si>
    <t>LIABILITIES ACTIVE FORM</t>
  </si>
  <si>
    <t>EQUITY ACTIVE FORM</t>
  </si>
  <si>
    <t>Account MDX</t>
  </si>
  <si>
    <t>MA MDX</t>
  </si>
  <si>
    <t>Summary/Collapse</t>
  </si>
  <si>
    <t>Detail/Expand</t>
  </si>
  <si>
    <t>Equity MA To Use</t>
  </si>
  <si>
    <t>Liabilities MDX TO Use</t>
  </si>
  <si>
    <t xml:space="preserve">Assets To Use </t>
  </si>
  <si>
    <t>Header Details</t>
  </si>
  <si>
    <t>REPORT PARAMETERS</t>
  </si>
  <si>
    <t>As at</t>
  </si>
  <si>
    <t>DISPLAY SETTINGS</t>
  </si>
  <si>
    <t>Reports - Balance Sheet By Movement Account</t>
  </si>
  <si>
    <t>Balance Sheet By Movement Account</t>
  </si>
  <si>
    <t>Assets :</t>
  </si>
  <si>
    <t>Liabilities :</t>
  </si>
  <si>
    <t>Equity :</t>
  </si>
  <si>
    <t xml:space="preserve">Headline Year : </t>
  </si>
  <si>
    <t>Scenario :</t>
  </si>
  <si>
    <t>Status :</t>
  </si>
  <si>
    <t>Program :</t>
  </si>
  <si>
    <t>Homepage - Reports - Analytical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</si>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</sst>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[Red]* \(#,##0\)_-;_-* &quot;-&quot;??_-;_-@_-"/>
    <numFmt numFmtId="166" formatCode="&quot;+ &quot;@"/>
    <numFmt numFmtId="167" formatCode="_-* #,##0_-;* \(#,##0\)_-;_-* &quot;-&quot;??_-;_-@_-"/>
    <numFmt numFmtId="168" formatCode="dd\ mmmm\ yyyy\ h:mm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8"/>
      <color indexed="62"/>
      <name val="Verdana"/>
      <family val="2"/>
    </font>
    <font>
      <sz val="11"/>
      <color theme="3" tint="-0.249977111117893"/>
      <name val="Calibri"/>
      <family val="2"/>
    </font>
    <font>
      <b/>
      <sz val="10"/>
      <color theme="3" tint="-0.24997711111789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6" fillId="0" borderId="0">
      <protection locked="0"/>
    </xf>
    <xf numFmtId="0" fontId="1" fillId="0" borderId="0"/>
  </cellStyleXfs>
  <cellXfs count="62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165" fontId="4" fillId="0" borderId="2" xfId="1" applyNumberFormat="1" applyFont="1" applyBorder="1"/>
    <xf numFmtId="165" fontId="4" fillId="0" borderId="0" xfId="1" applyNumberFormat="1" applyFont="1"/>
    <xf numFmtId="165" fontId="4" fillId="0" borderId="3" xfId="1" applyNumberFormat="1" applyFont="1" applyBorder="1"/>
    <xf numFmtId="0" fontId="3" fillId="0" borderId="1" xfId="0" applyFont="1" applyBorder="1"/>
    <xf numFmtId="165" fontId="3" fillId="0" borderId="2" xfId="1" applyNumberFormat="1" applyFont="1" applyBorder="1"/>
    <xf numFmtId="165" fontId="3" fillId="0" borderId="0" xfId="1" applyNumberFormat="1" applyFont="1"/>
    <xf numFmtId="165" fontId="3" fillId="0" borderId="3" xfId="1" applyNumberFormat="1" applyFont="1" applyBorder="1"/>
    <xf numFmtId="0" fontId="3" fillId="0" borderId="4" xfId="0" applyFont="1" applyBorder="1"/>
    <xf numFmtId="0" fontId="8" fillId="0" borderId="0" xfId="3" applyFont="1" applyAlignment="1">
      <alignment horizontal="right"/>
    </xf>
    <xf numFmtId="0" fontId="9" fillId="0" borderId="0" xfId="0" applyFont="1"/>
    <xf numFmtId="0" fontId="11" fillId="0" borderId="0" xfId="0" applyFont="1" applyAlignment="1">
      <alignment horizontal="left"/>
    </xf>
    <xf numFmtId="49" fontId="3" fillId="0" borderId="11" xfId="0" applyNumberFormat="1" applyFont="1" applyBorder="1"/>
    <xf numFmtId="166" fontId="3" fillId="0" borderId="11" xfId="0" applyNumberFormat="1" applyFont="1" applyBorder="1"/>
    <xf numFmtId="0" fontId="3" fillId="0" borderId="11" xfId="0" applyFont="1" applyBorder="1"/>
    <xf numFmtId="0" fontId="10" fillId="0" borderId="0" xfId="0" applyFont="1" applyAlignment="1">
      <alignment horizontal="right"/>
    </xf>
    <xf numFmtId="167" fontId="4" fillId="0" borderId="12" xfId="1" applyNumberFormat="1" applyFont="1" applyBorder="1"/>
    <xf numFmtId="0" fontId="12" fillId="0" borderId="0" xfId="0" applyFont="1"/>
    <xf numFmtId="0" fontId="12" fillId="0" borderId="11" xfId="0" applyFont="1" applyBorder="1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0" fontId="2" fillId="3" borderId="0" xfId="0" applyFont="1" applyFill="1" applyAlignment="1">
      <alignment horizontal="center"/>
    </xf>
    <xf numFmtId="0" fontId="2" fillId="3" borderId="8" xfId="0" applyFont="1" applyFill="1" applyBorder="1"/>
    <xf numFmtId="49" fontId="4" fillId="0" borderId="1" xfId="0" applyNumberFormat="1" applyFont="1" applyBorder="1"/>
    <xf numFmtId="166" fontId="4" fillId="0" borderId="1" xfId="0" applyNumberFormat="1" applyFont="1" applyBorder="1"/>
    <xf numFmtId="0" fontId="3" fillId="0" borderId="15" xfId="0" quotePrefix="1" applyFont="1" applyBorder="1"/>
    <xf numFmtId="0" fontId="3" fillId="0" borderId="15" xfId="0" applyFont="1" applyBorder="1"/>
    <xf numFmtId="0" fontId="0" fillId="0" borderId="4" xfId="0" applyBorder="1" applyAlignment="1" applyProtection="1">
      <alignment horizontal="center"/>
      <protection locked="0"/>
    </xf>
    <xf numFmtId="0" fontId="3" fillId="2" borderId="4" xfId="0" applyFont="1" applyFill="1" applyBorder="1"/>
    <xf numFmtId="0" fontId="7" fillId="0" borderId="0" xfId="2" applyFont="1" applyProtection="1"/>
    <xf numFmtId="0" fontId="14" fillId="0" borderId="0" xfId="0" applyFont="1" applyAlignment="1">
      <alignment vertical="center"/>
    </xf>
    <xf numFmtId="0" fontId="6" fillId="0" borderId="0" xfId="2" applyProtection="1"/>
    <xf numFmtId="0" fontId="5" fillId="4" borderId="0" xfId="0" applyFont="1" applyFill="1" applyAlignment="1">
      <alignment horizontal="right" vertical="center"/>
    </xf>
    <xf numFmtId="0" fontId="2" fillId="0" borderId="0" xfId="0" applyFont="1" applyAlignment="1">
      <alignment horizontal="right" indent="1"/>
    </xf>
    <xf numFmtId="0" fontId="2" fillId="0" borderId="0" xfId="0" applyFont="1" applyAlignment="1">
      <alignment horizontal="right"/>
    </xf>
    <xf numFmtId="0" fontId="11" fillId="4" borderId="0" xfId="0" applyFont="1" applyFill="1" applyAlignment="1">
      <alignment horizontal="left"/>
    </xf>
    <xf numFmtId="0" fontId="11" fillId="4" borderId="7" xfId="0" applyFont="1" applyFill="1" applyBorder="1" applyAlignment="1">
      <alignment horizontal="left"/>
    </xf>
    <xf numFmtId="0" fontId="11" fillId="4" borderId="0" xfId="0" applyFont="1" applyFill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4" fillId="0" borderId="3" xfId="0" applyFont="1" applyBorder="1" applyAlignment="1">
      <alignment horizontal="right" indent="1"/>
    </xf>
    <xf numFmtId="0" fontId="3" fillId="0" borderId="4" xfId="0" applyFont="1" applyBorder="1" applyAlignment="1">
      <alignment horizontal="left" indent="1"/>
    </xf>
    <xf numFmtId="0" fontId="2" fillId="3" borderId="13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8" fontId="2" fillId="0" borderId="0" xfId="0" applyNumberFormat="1" applyFont="1" applyAlignment="1">
      <alignment horizontal="left" indent="1"/>
    </xf>
    <xf numFmtId="0" fontId="13" fillId="5" borderId="2" xfId="0" applyFont="1" applyFill="1" applyBorder="1" applyAlignment="1">
      <alignment horizontal="center" wrapText="1"/>
    </xf>
    <xf numFmtId="0" fontId="13" fillId="5" borderId="0" xfId="0" applyFont="1" applyFill="1" applyAlignment="1">
      <alignment horizontal="center" wrapText="1"/>
    </xf>
    <xf numFmtId="0" fontId="4" fillId="3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left" indent="1"/>
    </xf>
    <xf numFmtId="0" fontId="3" fillId="0" borderId="6" xfId="0" applyFont="1" applyBorder="1" applyAlignment="1">
      <alignment horizontal="left" indent="1"/>
    </xf>
    <xf numFmtId="0" fontId="10" fillId="0" borderId="0" xfId="0" applyFont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</cellXfs>
  <cellStyles count="4">
    <cellStyle name="Comma 4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</cellStyles>
  <dxfs count="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1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71</xdr:row>
          <xdr:rowOff>9525</xdr:rowOff>
        </xdr:from>
        <xdr:to>
          <xdr:col>9</xdr:col>
          <xdr:colOff>666750</xdr:colOff>
          <xdr:row>71</xdr:row>
          <xdr:rowOff>257175</xdr:rowOff>
        </xdr:to>
        <xdr:sp macro="" textlink="">
          <xdr:nvSpPr>
            <xdr:cNvPr id="1025" name="TIButton2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2105025</xdr:colOff>
          <xdr:row>71</xdr:row>
          <xdr:rowOff>9525</xdr:rowOff>
        </xdr:from>
        <xdr:to>
          <xdr:col>12</xdr:col>
          <xdr:colOff>114300</xdr:colOff>
          <xdr:row>71</xdr:row>
          <xdr:rowOff>257175</xdr:rowOff>
        </xdr:to>
        <xdr:sp macro="" textlink="">
          <xdr:nvSpPr>
            <xdr:cNvPr id="1026" name="TIButton3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704850</xdr:colOff>
          <xdr:row>71</xdr:row>
          <xdr:rowOff>9525</xdr:rowOff>
        </xdr:from>
        <xdr:to>
          <xdr:col>9</xdr:col>
          <xdr:colOff>1828800</xdr:colOff>
          <xdr:row>71</xdr:row>
          <xdr:rowOff>257175</xdr:rowOff>
        </xdr:to>
        <xdr:sp macro="" textlink="">
          <xdr:nvSpPr>
            <xdr:cNvPr id="1027" name="TIButton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723900</xdr:colOff>
          <xdr:row>70</xdr:row>
          <xdr:rowOff>19050</xdr:rowOff>
        </xdr:from>
        <xdr:to>
          <xdr:col>17</xdr:col>
          <xdr:colOff>1038225</xdr:colOff>
          <xdr:row>71</xdr:row>
          <xdr:rowOff>276225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1857375</xdr:colOff>
          <xdr:row>71</xdr:row>
          <xdr:rowOff>9525</xdr:rowOff>
        </xdr:from>
        <xdr:to>
          <xdr:col>10</xdr:col>
          <xdr:colOff>495300</xdr:colOff>
          <xdr:row>71</xdr:row>
          <xdr:rowOff>257175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38100</xdr:colOff>
      <xdr:row>69</xdr:row>
      <xdr:rowOff>38100</xdr:rowOff>
    </xdr:from>
    <xdr:to>
      <xdr:col>9</xdr:col>
      <xdr:colOff>1845522</xdr:colOff>
      <xdr:row>69</xdr:row>
      <xdr:rowOff>495300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100"/>
          <a:ext cx="1864572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514350</xdr:colOff>
          <xdr:row>71</xdr:row>
          <xdr:rowOff>9525</xdr:rowOff>
        </xdr:from>
        <xdr:to>
          <xdr:col>10</xdr:col>
          <xdr:colOff>2066925</xdr:colOff>
          <xdr:row>71</xdr:row>
          <xdr:rowOff>257175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8">
    <outlinePr showOutlineSymbols="0"/>
    <pageSetUpPr fitToPage="1"/>
  </sheetPr>
  <dimension ref="A1:U105"/>
  <sheetViews>
    <sheetView showGridLines="0" tabSelected="1" showOutlineSymbols="0" topLeftCell="I70" zoomScaleNormal="100" workbookViewId="0">
      <pane ySplit="16" topLeftCell="A86" activePane="bottomLeft" state="frozen"/>
      <selection activeCell="I70" sqref="I70"/>
      <selection pane="bottomLeft" activeCell="M70" sqref="M70"/>
    </sheetView>
  </sheetViews>
  <sheetFormatPr defaultColWidth="9.140625" defaultRowHeight="12" outlineLevelRow="1" outlineLevelCol="1" x14ac:dyDescent="0.2"/>
  <cols>
    <col min="1" max="1" width="4.85546875" style="1" hidden="1" customWidth="1" outlineLevel="1"/>
    <col min="2" max="2" width="24.85546875" style="1" hidden="1" customWidth="1" outlineLevel="1"/>
    <col min="3" max="3" width="26.28515625" style="1" hidden="1" customWidth="1" outlineLevel="1"/>
    <col min="4" max="8" width="20.5703125" style="1" hidden="1" customWidth="1" outlineLevel="1"/>
    <col min="9" max="9" width="0.85546875" style="1" customWidth="1" collapsed="1"/>
    <col min="10" max="11" width="40.7109375" style="1" customWidth="1"/>
    <col min="12" max="12" width="0.85546875" style="1" customWidth="1"/>
    <col min="13" max="18" width="15.7109375" style="1" customWidth="1"/>
    <col min="19" max="19" width="113" style="1" bestFit="1" customWidth="1"/>
    <col min="20" max="20" width="11.5703125" style="1" bestFit="1" customWidth="1"/>
    <col min="21" max="21" width="3.7109375" style="1" bestFit="1" customWidth="1"/>
    <col min="22" max="16384" width="9.140625" style="1"/>
  </cols>
  <sheetData>
    <row r="1" spans="1:21" hidden="1" outlineLevel="1" x14ac:dyDescent="0.2">
      <c r="A1" s="1" t="s">
        <v>0</v>
      </c>
      <c r="T1" s="1" t="s">
        <v>1</v>
      </c>
    </row>
    <row r="2" spans="1:21" hidden="1" outlineLevel="1" x14ac:dyDescent="0.2">
      <c r="A2" s="1">
        <f>0</f>
        <v>0</v>
      </c>
      <c r="J2" s="2"/>
      <c r="K2" s="2"/>
      <c r="L2" s="3"/>
      <c r="M2" s="4"/>
      <c r="N2" s="5"/>
      <c r="O2" s="5"/>
      <c r="P2" s="5"/>
      <c r="Q2" s="5"/>
      <c r="R2" s="6"/>
      <c r="S2" s="1" t="e">
        <f ca="1">"{HIERARCHIZE ({[programme].["&amp;$M$79&amp;"]})}"</f>
        <v>#NAME?</v>
      </c>
      <c r="T2" s="1">
        <v>1</v>
      </c>
      <c r="U2" s="1" t="s">
        <v>2</v>
      </c>
    </row>
    <row r="3" spans="1:21" hidden="1" outlineLevel="1" x14ac:dyDescent="0.2">
      <c r="A3" s="1">
        <f>1</f>
        <v>1</v>
      </c>
      <c r="J3" s="2"/>
      <c r="K3" s="2"/>
      <c r="L3" s="3"/>
      <c r="M3" s="4"/>
      <c r="N3" s="5"/>
      <c r="O3" s="5"/>
      <c r="P3" s="5"/>
      <c r="Q3" s="5"/>
      <c r="R3" s="6"/>
      <c r="S3" s="1" t="e">
        <f ca="1">"{TM1SORTBYINDEX( {TM1FILTERBYLEVEL( {TM1DRILLDOWNMEMBER( {[programme].["&amp;$M$79&amp;"]}, ALL, RECURSIVE )}, 0,4)}, DESC)}"</f>
        <v>#NAME?</v>
      </c>
      <c r="T3" s="1">
        <v>0</v>
      </c>
      <c r="U3" s="1" t="s">
        <v>3</v>
      </c>
    </row>
    <row r="4" spans="1:21" hidden="1" outlineLevel="1" x14ac:dyDescent="0.2">
      <c r="A4" s="1">
        <f>2</f>
        <v>2</v>
      </c>
      <c r="J4" s="2"/>
      <c r="K4" s="2"/>
      <c r="L4" s="3"/>
      <c r="M4" s="4"/>
      <c r="N4" s="5"/>
      <c r="O4" s="5"/>
      <c r="P4" s="5"/>
      <c r="Q4" s="5"/>
      <c r="R4" s="6"/>
    </row>
    <row r="5" spans="1:21" hidden="1" outlineLevel="1" x14ac:dyDescent="0.2">
      <c r="A5" s="1">
        <f>3</f>
        <v>3</v>
      </c>
      <c r="J5" s="2"/>
      <c r="K5" s="2"/>
      <c r="L5" s="3"/>
      <c r="M5" s="4"/>
      <c r="N5" s="5"/>
      <c r="O5" s="5"/>
      <c r="P5" s="5"/>
      <c r="Q5" s="5"/>
      <c r="R5" s="6"/>
      <c r="S5" s="1" t="s">
        <v>4</v>
      </c>
    </row>
    <row r="6" spans="1:21" hidden="1" outlineLevel="1" x14ac:dyDescent="0.2">
      <c r="A6" s="1" t="s">
        <v>5</v>
      </c>
      <c r="J6" s="2"/>
      <c r="K6" s="2"/>
      <c r="L6" s="3"/>
      <c r="M6" s="4"/>
      <c r="N6" s="5"/>
      <c r="O6" s="5"/>
      <c r="P6" s="5"/>
      <c r="Q6" s="5"/>
      <c r="R6" s="6"/>
    </row>
    <row r="7" spans="1:21" hidden="1" outlineLevel="1" x14ac:dyDescent="0.2">
      <c r="A7" s="1" t="s">
        <v>6</v>
      </c>
      <c r="J7" s="7"/>
      <c r="K7" s="7"/>
      <c r="M7" s="8"/>
      <c r="N7" s="9"/>
      <c r="O7" s="9"/>
      <c r="P7" s="9"/>
      <c r="Q7" s="9"/>
      <c r="R7" s="10"/>
    </row>
    <row r="8" spans="1:21" hidden="1" outlineLevel="1" x14ac:dyDescent="0.2">
      <c r="A8" s="1" t="s">
        <v>7</v>
      </c>
    </row>
    <row r="9" spans="1:21" hidden="1" outlineLevel="1" x14ac:dyDescent="0.2"/>
    <row r="10" spans="1:21" hidden="1" outlineLevel="1" x14ac:dyDescent="0.2"/>
    <row r="11" spans="1:21" ht="15" hidden="1" outlineLevel="1" x14ac:dyDescent="0.25">
      <c r="B11" s="58" t="s">
        <v>37</v>
      </c>
      <c r="C11" s="58"/>
    </row>
    <row r="12" spans="1:21" ht="15" hidden="1" outlineLevel="1" x14ac:dyDescent="0.25">
      <c r="B12" s="22" t="s">
        <v>38</v>
      </c>
      <c r="C12" s="23" t="s">
        <v>89</v>
      </c>
    </row>
    <row r="13" spans="1:21" ht="15" hidden="1" outlineLevel="1" x14ac:dyDescent="0.25">
      <c r="B13" s="22" t="s">
        <v>39</v>
      </c>
      <c r="C13" s="24" t="e">
        <f ca="1">_xll.VIEW(db_name&amp;":}ElementAttributes_}Clients","!","!")</f>
        <v>#NAME?</v>
      </c>
    </row>
    <row r="14" spans="1:21" ht="15" hidden="1" outlineLevel="1" x14ac:dyDescent="0.25">
      <c r="B14" s="22" t="s">
        <v>40</v>
      </c>
      <c r="C14" s="23" t="e">
        <f ca="1">_xll.TM1USER(db_name)</f>
        <v>#NAME?</v>
      </c>
    </row>
    <row r="15" spans="1:21" ht="15" hidden="1" outlineLevel="1" x14ac:dyDescent="0.25">
      <c r="B15" s="22" t="s">
        <v>41</v>
      </c>
      <c r="C15" s="23" t="e">
        <f ca="1">_xll.DBR($C$13,$C$14,$B15)</f>
        <v>#NAME?</v>
      </c>
    </row>
    <row r="16" spans="1:21" ht="15" hidden="1" outlineLevel="1" x14ac:dyDescent="0.25">
      <c r="B16" s="22" t="s">
        <v>42</v>
      </c>
      <c r="C16" s="23" t="e">
        <f ca="1">_xll.DBR($C$13,$C$14,$B16)</f>
        <v>#NAME?</v>
      </c>
    </row>
    <row r="17" spans="2:18" ht="15" hidden="1" outlineLevel="1" x14ac:dyDescent="0.25">
      <c r="B17" s="22" t="s">
        <v>43</v>
      </c>
      <c r="C17" s="23" t="e">
        <f ca="1">IF(LEFT($C$15,6)="CAM_AD",$C$16,$C$15)</f>
        <v>#NAME?</v>
      </c>
    </row>
    <row r="18" spans="2:18" hidden="1" outlineLevel="1" x14ac:dyDescent="0.2"/>
    <row r="19" spans="2:18" ht="15" hidden="1" outlineLevel="1" x14ac:dyDescent="0.25">
      <c r="B19" s="58" t="s">
        <v>44</v>
      </c>
      <c r="C19" s="58"/>
      <c r="K19" s="27" t="s">
        <v>62</v>
      </c>
    </row>
    <row r="20" spans="2:18" ht="15" hidden="1" outlineLevel="1" x14ac:dyDescent="0.25">
      <c r="B20" t="s">
        <v>45</v>
      </c>
      <c r="C20" t="e">
        <f ca="1">_xll.VIEW(db_name&amp;":}ElementAttributes_variables","!","!")</f>
        <v>#NAME?</v>
      </c>
      <c r="K20" s="25" t="e">
        <f ca="1">RIGHT($M$76,9)</f>
        <v>#NAME?</v>
      </c>
      <c r="M20" s="23" t="e">
        <f ca="1">_xll.DIMNM(db_name&amp;":period",_xll.DIMIX(db_name&amp;":period",$K$20)+M$21)</f>
        <v>#NAME?</v>
      </c>
      <c r="N20" s="23" t="e">
        <f ca="1">_xll.DIMNM(db_name&amp;":period",_xll.DIMIX(db_name&amp;":period",$K$20)+N$21)</f>
        <v>#NAME?</v>
      </c>
      <c r="O20" s="23" t="e">
        <f ca="1">_xll.DIMNM(db_name&amp;":period",_xll.DIMIX(db_name&amp;":period",$K$20)+O$21)</f>
        <v>#NAME?</v>
      </c>
      <c r="P20" s="23" t="e">
        <f ca="1">_xll.DIMNM(db_name&amp;":period",_xll.DIMIX(db_name&amp;":period",$K$20)+P$21)</f>
        <v>#NAME?</v>
      </c>
      <c r="Q20" s="23" t="e">
        <f ca="1">_xll.DIMNM(db_name&amp;":period",_xll.DIMIX(db_name&amp;":period",$K$20)+Q$21)</f>
        <v>#NAME?</v>
      </c>
      <c r="R20" s="23" t="e">
        <f ca="1">_xll.DIMNM(db_name&amp;":period",_xll.DIMIX(db_name&amp;":period",$K$20)+R$21)</f>
        <v>#NAME?</v>
      </c>
    </row>
    <row r="21" spans="2:18" ht="15" hidden="1" outlineLevel="1" x14ac:dyDescent="0.25">
      <c r="B21" s="25" t="s">
        <v>46</v>
      </c>
      <c r="C21" s="25" t="e">
        <f ca="1">_xll.DBR($C$20,$B21,"value")</f>
        <v>#NAME?</v>
      </c>
      <c r="K21" s="25" t="s">
        <v>63</v>
      </c>
      <c r="M21" s="23">
        <v>-2</v>
      </c>
      <c r="N21" s="23">
        <v>-1</v>
      </c>
      <c r="O21" s="23">
        <v>0</v>
      </c>
      <c r="P21" s="23">
        <v>1</v>
      </c>
      <c r="Q21" s="23">
        <v>2</v>
      </c>
      <c r="R21" s="23">
        <v>3</v>
      </c>
    </row>
    <row r="22" spans="2:18" ht="15" hidden="1" outlineLevel="1" x14ac:dyDescent="0.25">
      <c r="B22" s="25" t="s">
        <v>47</v>
      </c>
      <c r="C22" s="25" t="e">
        <f ca="1">_xll.DBR($C$20,$B22,"value")</f>
        <v>#NAME?</v>
      </c>
      <c r="M22" s="11" t="s">
        <v>21</v>
      </c>
      <c r="N22" s="11" t="s">
        <v>22</v>
      </c>
      <c r="O22" s="11" t="s">
        <v>23</v>
      </c>
      <c r="P22" s="11" t="s">
        <v>24</v>
      </c>
      <c r="Q22" s="11" t="s">
        <v>25</v>
      </c>
      <c r="R22" s="11" t="s">
        <v>26</v>
      </c>
    </row>
    <row r="23" spans="2:18" ht="15" hidden="1" outlineLevel="1" x14ac:dyDescent="0.25">
      <c r="B23" s="25" t="s">
        <v>48</v>
      </c>
      <c r="C23" s="25" t="e">
        <f ca="1">_xll.DBR($C$20,$B23,"value")</f>
        <v>#NAME?</v>
      </c>
    </row>
    <row r="24" spans="2:18" hidden="1" outlineLevel="1" x14ac:dyDescent="0.2"/>
    <row r="25" spans="2:18" ht="15" hidden="1" outlineLevel="1" x14ac:dyDescent="0.25">
      <c r="B25" s="59" t="s">
        <v>49</v>
      </c>
      <c r="C25" s="60"/>
      <c r="D25" s="61"/>
      <c r="E25" s="26"/>
      <c r="F25" s="26"/>
      <c r="G25" s="26"/>
      <c r="H25" s="26"/>
    </row>
    <row r="26" spans="2:18" ht="15" hidden="1" outlineLevel="1" x14ac:dyDescent="0.25">
      <c r="B26" s="22" t="s">
        <v>50</v>
      </c>
      <c r="C26" s="25" t="e">
        <f ca="1">_xll.VIEW(db_name&amp;":sys_application","!","!")</f>
        <v>#NAME?</v>
      </c>
      <c r="D26" s="25"/>
      <c r="E26"/>
      <c r="F26"/>
      <c r="G26"/>
      <c r="H26"/>
    </row>
    <row r="27" spans="2:18" ht="15" hidden="1" outlineLevel="1" x14ac:dyDescent="0.25">
      <c r="B27" s="22" t="s">
        <v>51</v>
      </c>
      <c r="C27" t="s">
        <v>79</v>
      </c>
      <c r="D27" s="25"/>
      <c r="E27"/>
      <c r="F27"/>
      <c r="G27"/>
      <c r="H27"/>
    </row>
    <row r="28" spans="2:18" ht="15" hidden="1" outlineLevel="1" x14ac:dyDescent="0.25">
      <c r="B28" s="25"/>
      <c r="C28" s="22" t="s">
        <v>52</v>
      </c>
      <c r="D28" s="22" t="s">
        <v>53</v>
      </c>
      <c r="E28" s="22" t="s">
        <v>54</v>
      </c>
      <c r="F28" s="22" t="s">
        <v>55</v>
      </c>
      <c r="G28" s="22" t="s">
        <v>56</v>
      </c>
      <c r="H28" s="22" t="s">
        <v>57</v>
      </c>
    </row>
    <row r="29" spans="2:18" ht="15" hidden="1" outlineLevel="1" x14ac:dyDescent="0.25">
      <c r="B29" s="25" t="s">
        <v>58</v>
      </c>
      <c r="C29" s="25" t="e">
        <f ca="1">_xll.DBR($C$26,$B29,C$28)</f>
        <v>#NAME?</v>
      </c>
      <c r="D29" s="25" t="e">
        <f ca="1">_xll.DBR($C$26,$B29,D$28)</f>
        <v>#NAME?</v>
      </c>
      <c r="E29" s="25" t="e">
        <f ca="1">_xll.DBR($C$26,$B29,E$28)</f>
        <v>#NAME?</v>
      </c>
      <c r="F29" s="25" t="e">
        <f ca="1">_xll.DBR($C$26,$B29,F$28)</f>
        <v>#NAME?</v>
      </c>
      <c r="G29" s="25" t="e">
        <f ca="1">_xll.DBR($C$26,$B29,G$28)</f>
        <v>#NAME?</v>
      </c>
      <c r="H29" s="25" t="e">
        <f ca="1">_xll.DBR($C$26,$B29,H$28)</f>
        <v>#NAME?</v>
      </c>
    </row>
    <row r="30" spans="2:18" ht="15" hidden="1" outlineLevel="1" x14ac:dyDescent="0.25">
      <c r="B30" s="25" t="s">
        <v>59</v>
      </c>
      <c r="C30" s="25" t="e">
        <f ca="1">_xll.DBR($C$26,$B30,C$28)</f>
        <v>#NAME?</v>
      </c>
      <c r="D30" s="25" t="e">
        <f ca="1">_xll.DBR($C$26,$B30,D$28)</f>
        <v>#NAME?</v>
      </c>
      <c r="E30" s="25" t="e">
        <f ca="1">_xll.DBR($C$26,$B30,E$28)</f>
        <v>#NAME?</v>
      </c>
      <c r="F30" s="25" t="e">
        <f ca="1">_xll.DBR($C$26,$B30,F$28)</f>
        <v>#NAME?</v>
      </c>
      <c r="G30" s="25" t="e">
        <f ca="1">_xll.DBR($C$26,$B30,G$28)</f>
        <v>#NAME?</v>
      </c>
      <c r="H30" s="25" t="e">
        <f ca="1">_xll.DBR($C$26,$B30,H$28)</f>
        <v>#NAME?</v>
      </c>
    </row>
    <row r="31" spans="2:18" ht="15" hidden="1" outlineLevel="1" x14ac:dyDescent="0.25">
      <c r="B31" s="25" t="s">
        <v>60</v>
      </c>
      <c r="C31" s="25" t="e">
        <f ca="1">_xll.DBR($C$26,$B31,C$28)</f>
        <v>#NAME?</v>
      </c>
      <c r="D31" s="25" t="e">
        <f ca="1">_xll.DBR($C$26,$B31,D$28)</f>
        <v>#NAME?</v>
      </c>
      <c r="E31" s="25" t="e">
        <f ca="1">_xll.DBR($C$26,$B31,E$28)</f>
        <v>#NAME?</v>
      </c>
      <c r="F31" s="25" t="e">
        <f ca="1">_xll.DBR($C$26,$B31,F$28)</f>
        <v>#NAME?</v>
      </c>
      <c r="G31" s="25" t="e">
        <f ca="1">_xll.DBR($C$26,$B31,G$28)</f>
        <v>#NAME?</v>
      </c>
      <c r="H31" s="25" t="e">
        <f ca="1">_xll.DBR($C$26,$B31,H$28)</f>
        <v>#NAME?</v>
      </c>
    </row>
    <row r="32" spans="2:18" ht="15" hidden="1" outlineLevel="1" x14ac:dyDescent="0.25">
      <c r="B32" s="25" t="s">
        <v>61</v>
      </c>
      <c r="C32" s="25" t="e">
        <f ca="1">_xll.DBR($C$26,$B32,C$28)</f>
        <v>#NAME?</v>
      </c>
      <c r="D32" s="25" t="e">
        <f ca="1">_xll.DBR($C$26,$B32,D$28)</f>
        <v>#NAME?</v>
      </c>
      <c r="E32" s="25" t="e">
        <f ca="1">_xll.DBR($C$26,$B32,E$28)</f>
        <v>#NAME?</v>
      </c>
      <c r="F32" s="25" t="e">
        <f ca="1">_xll.DBR($C$26,$B32,F$28)</f>
        <v>#NAME?</v>
      </c>
      <c r="G32" s="25" t="e">
        <f ca="1">_xll.DBR($C$26,$B32,G$28)</f>
        <v>#NAME?</v>
      </c>
      <c r="H32" s="25" t="e">
        <f ca="1">_xll.DBR($C$26,$B32,H$28)</f>
        <v>#NAME?</v>
      </c>
    </row>
    <row r="33" spans="2:8" ht="15" hidden="1" outlineLevel="1" x14ac:dyDescent="0.25">
      <c r="B33" s="25" t="s">
        <v>88</v>
      </c>
      <c r="C33" s="25" t="e">
        <f ca="1">_xll.DBR($C$26,$B33,C$28)</f>
        <v>#NAME?</v>
      </c>
      <c r="D33" s="25" t="e">
        <f ca="1">_xll.DBR($C$26,$B33,D$28)</f>
        <v>#NAME?</v>
      </c>
      <c r="E33" s="25" t="e">
        <f ca="1">_xll.DBR($C$26,$B33,E$28)</f>
        <v>#NAME?</v>
      </c>
      <c r="F33" s="25" t="e">
        <f ca="1">_xll.DBR($C$26,$B33,F$28)</f>
        <v>#NAME?</v>
      </c>
      <c r="G33" s="25" t="e">
        <f ca="1">_xll.DBR($C$26,$B33,G$28)</f>
        <v>#NAME?</v>
      </c>
      <c r="H33" s="25" t="e">
        <f ca="1">_xll.DBR($C$26,$B33,H$28)</f>
        <v>#NAME?</v>
      </c>
    </row>
    <row r="34" spans="2:8" hidden="1" outlineLevel="1" x14ac:dyDescent="0.2"/>
    <row r="35" spans="2:8" ht="15" hidden="1" outlineLevel="1" x14ac:dyDescent="0.25">
      <c r="B35" s="46" t="s">
        <v>64</v>
      </c>
      <c r="C35" s="47"/>
      <c r="D35" s="48"/>
    </row>
    <row r="36" spans="2:8" hidden="1" outlineLevel="1" x14ac:dyDescent="0.2">
      <c r="B36" s="11" t="s">
        <v>65</v>
      </c>
      <c r="C36" s="11" t="e">
        <f ca="1">_xll.TM1RPTVIEW(db_name&amp;":AE adjustments:1", 1, _xll.TM1RPTTITLE(db_name&amp;":headline year",$M$76),_xll.TM1RPTTITLE(db_name&amp;":status",$M$78), _xll.TM1RPTTITLE(db_name&amp;":outcome",$C$58), _xll.TM1RPTTITLE(db_name&amp;":related entity",$C$59), _xll.TM1RPTTITLE(db_name&amp;":function",$C$60), _xll.TM1RPTTITLE(db_name&amp;":reason",$C$61), _xll.TM1RPTTITLE(db_name&amp;":spp",$C$62),_xll.TM1RPTTITLE(db_name&amp;":measure code",$C$63),  _xll.TM1RPTTITLE(db_name&amp;":appropriation type",$C$64), _xll.TM1RPTTITLE(db_name&amp;":programme",$M$79), _xll.TM1RPTTITLE(db_name&amp;":appropriation item",$C$65), _xll.TM1RPTTITLE(db_name&amp;":id",$C$67), _xll.TM1RPTTITLE(db_name&amp;":jurisdiction",$C$66),TM1RPTFMTRNG,TM1RPTFMTIDCOL)</f>
        <v>#NAME?</v>
      </c>
      <c r="D36" s="11"/>
    </row>
    <row r="37" spans="2:8" hidden="1" outlineLevel="1" x14ac:dyDescent="0.2">
      <c r="B37" s="11" t="s">
        <v>66</v>
      </c>
      <c r="C37" s="11" t="e">
        <f ca="1">_xll.TM1RPTVIEW(db_name&amp;":AE adjustments:ARPT3", 1, _xll.TM1RPTTITLE(db_name&amp;":headline year",$M$76), _xll.TM1RPTTITLE(db_name&amp;":status",$M$78), _xll.TM1RPTTITLE(db_name&amp;":outcome",$C$58), _xll.TM1RPTTITLE(db_name&amp;":related entity",$C$59), _xll.TM1RPTTITLE(db_name&amp;":function",$C$60), _xll.TM1RPTTITLE(db_name&amp;":reason",$C$61), _xll.TM1RPTTITLE(db_name&amp;":spp",$C$62),_xll.TM1RPTTITLE(db_name&amp;":measure code",$C$63),  _xll.TM1RPTTITLE(db_name&amp;":appropriation type",$C$64), _xll.TM1RPTTITLE(db_name&amp;":programme",$M$79), _xll.TM1RPTTITLE(db_name&amp;":appropriation item",$C$65), _xll.TM1RPTTITLE(db_name&amp;":id",$C$67), _xll.TM1RPTTITLE(db_name&amp;":jurisdiction",$C$66),TM1RPTFMTRNG,TM1RPTFMTIDCOL)</f>
        <v>#NAME?</v>
      </c>
      <c r="D37" s="11"/>
    </row>
    <row r="38" spans="2:8" hidden="1" outlineLevel="1" x14ac:dyDescent="0.2">
      <c r="B38" s="11" t="s">
        <v>67</v>
      </c>
      <c r="C38" s="11" t="e">
        <f ca="1">_xll.TM1RPTVIEW(db_name&amp;":AE adjustments:ARPT6", 1,_xll.TM1RPTTITLE(db_name&amp;":headline year",$M$76), _xll.TM1RPTTITLE(db_name&amp;":status",$M$78), _xll.TM1RPTTITLE(db_name&amp;":outcome",$C$58), _xll.TM1RPTTITLE(db_name&amp;":related entity",$C$59), _xll.TM1RPTTITLE(db_name&amp;":function",$C$60), _xll.TM1RPTTITLE(db_name&amp;":reason",$C$61), _xll.TM1RPTTITLE(db_name&amp;":spp",$C$62),_xll.TM1RPTTITLE(db_name&amp;":measure code",$C$63),  _xll.TM1RPTTITLE(db_name&amp;":appropriation type",$C$64), _xll.TM1RPTTITLE(db_name&amp;":programme",$M$79), _xll.TM1RPTTITLE(db_name&amp;":appropriation item",$C$65), _xll.TM1RPTTITLE(db_name&amp;":id",$C$67), _xll.TM1RPTTITLE(db_name&amp;":jurisdiction",$C$66),TM1RPTFMTRNG,TM1RPTFMTIDCOL)</f>
        <v>#NAME?</v>
      </c>
      <c r="D38" s="11"/>
    </row>
    <row r="39" spans="2:8" hidden="1" outlineLevel="1" x14ac:dyDescent="0.2">
      <c r="B39" s="11" t="s">
        <v>50</v>
      </c>
      <c r="C39" s="11" t="e">
        <f ca="1">_xll.VIEW(db_name&amp;":AE adjustments",$M$76,"!",$M$78,$C$58,$C$59,$C$60,$C$61,$C$62,$C$63,$C$64,#REF!,$C$65,"!","!",$C$67,$C$66,"!")</f>
        <v>#NAME?</v>
      </c>
      <c r="D39" s="11"/>
    </row>
    <row r="40" spans="2:8" hidden="1" outlineLevel="1" x14ac:dyDescent="0.2"/>
    <row r="41" spans="2:8" hidden="1" outlineLevel="1" x14ac:dyDescent="0.2">
      <c r="B41" s="54" t="s">
        <v>68</v>
      </c>
      <c r="C41" s="54"/>
      <c r="D41" s="54"/>
    </row>
    <row r="42" spans="2:8" hidden="1" outlineLevel="1" x14ac:dyDescent="0.2">
      <c r="B42" s="30">
        <v>5000000</v>
      </c>
      <c r="C42" s="31" t="str">
        <f>"{TM1FILTERBYLEVEL( {TM1DRILLDOWNMEMBER( {[account].["&amp;B42&amp;"]}, ALL, RECURSIVE )}, 0)}"</f>
        <v>{TM1FILTERBYLEVEL( {TM1DRILLDOWNMEMBER( {[account].[5000000]}, ALL, RECURSIVE )}, 0)}</v>
      </c>
    </row>
    <row r="43" spans="2:8" hidden="1" outlineLevel="1" x14ac:dyDescent="0.2">
      <c r="B43" s="11">
        <v>3000000</v>
      </c>
      <c r="C43" s="11" t="str">
        <f>"{TM1FILTERBYLEVEL( {TM1DRILLDOWNMEMBER( {[account].["&amp;B43&amp;"]}, ALL, RECURSIVE )}, 0)}"</f>
        <v>{TM1FILTERBYLEVEL( {TM1DRILLDOWNMEMBER( {[account].[3000000]}, ALL, RECURSIVE )}, 0)}</v>
      </c>
    </row>
    <row r="44" spans="2:8" hidden="1" outlineLevel="1" x14ac:dyDescent="0.2">
      <c r="B44" s="11">
        <v>4000000</v>
      </c>
      <c r="C44" s="11" t="str">
        <f>"{TM1FILTERBYLEVEL( {TM1DRILLDOWNMEMBER( {[account].["&amp;B44&amp;"]}, ALL, RECURSIVE )}, 0)}"</f>
        <v>{TM1FILTERBYLEVEL( {TM1DRILLDOWNMEMBER( {[account].[4000000]}, ALL, RECURSIVE )}, 0)}</v>
      </c>
    </row>
    <row r="45" spans="2:8" hidden="1" outlineLevel="1" x14ac:dyDescent="0.2"/>
    <row r="46" spans="2:8" hidden="1" outlineLevel="1" x14ac:dyDescent="0.2">
      <c r="B46" s="54" t="s">
        <v>69</v>
      </c>
      <c r="C46" s="54"/>
      <c r="D46" s="54"/>
    </row>
    <row r="47" spans="2:8" hidden="1" outlineLevel="1" x14ac:dyDescent="0.2">
      <c r="B47" s="11" t="s">
        <v>74</v>
      </c>
      <c r="C47" s="33" t="e">
        <f ca="1">IF($Q$76="Collapse",$C$49,$C$50)</f>
        <v>#NAME?</v>
      </c>
      <c r="D47" s="11"/>
    </row>
    <row r="48" spans="2:8" hidden="1" outlineLevel="1" x14ac:dyDescent="0.2">
      <c r="B48" s="11" t="s">
        <v>73</v>
      </c>
      <c r="C48" s="33" t="e">
        <f ca="1">IF($Q$77="Collapse",$C$49,$C$50)</f>
        <v>#NAME?</v>
      </c>
      <c r="D48" s="11"/>
    </row>
    <row r="49" spans="2:4" hidden="1" outlineLevel="1" x14ac:dyDescent="0.2">
      <c r="B49" s="11" t="s">
        <v>70</v>
      </c>
      <c r="C49" s="11" t="s">
        <v>8</v>
      </c>
      <c r="D49" s="11"/>
    </row>
    <row r="50" spans="2:4" hidden="1" outlineLevel="1" x14ac:dyDescent="0.2">
      <c r="B50" s="11" t="s">
        <v>71</v>
      </c>
      <c r="C50" s="11" t="s">
        <v>9</v>
      </c>
      <c r="D50" s="11"/>
    </row>
    <row r="51" spans="2:4" hidden="1" outlineLevel="1" x14ac:dyDescent="0.2"/>
    <row r="52" spans="2:4" hidden="1" outlineLevel="1" x14ac:dyDescent="0.2"/>
    <row r="53" spans="2:4" hidden="1" outlineLevel="1" x14ac:dyDescent="0.2">
      <c r="B53" s="11" t="s">
        <v>72</v>
      </c>
      <c r="C53" s="33" t="e">
        <f ca="1">IF($Q$78="Collapse",$C$54,$C$55)</f>
        <v>#NAME?</v>
      </c>
      <c r="D53" s="11"/>
    </row>
    <row r="54" spans="2:4" hidden="1" outlineLevel="1" x14ac:dyDescent="0.2">
      <c r="B54" s="11" t="s">
        <v>70</v>
      </c>
      <c r="C54" s="11" t="s">
        <v>8</v>
      </c>
      <c r="D54" s="11"/>
    </row>
    <row r="55" spans="2:4" hidden="1" outlineLevel="1" x14ac:dyDescent="0.2">
      <c r="B55" s="11" t="s">
        <v>71</v>
      </c>
      <c r="C55" s="11" t="s">
        <v>10</v>
      </c>
      <c r="D55" s="11"/>
    </row>
    <row r="56" spans="2:4" hidden="1" outlineLevel="1" x14ac:dyDescent="0.2"/>
    <row r="57" spans="2:4" ht="15.75" hidden="1" outlineLevel="1" thickBot="1" x14ac:dyDescent="0.3">
      <c r="B57" s="46" t="s">
        <v>75</v>
      </c>
      <c r="C57" s="47"/>
      <c r="D57" s="48"/>
    </row>
    <row r="58" spans="2:4" ht="13.5" hidden="1" outlineLevel="1" thickBot="1" x14ac:dyDescent="0.25">
      <c r="B58" s="12" t="s">
        <v>11</v>
      </c>
      <c r="C58" s="55" t="e">
        <f ca="1">_xll.SUBNM(db_name&amp;":outcome","","Total outcomes")</f>
        <v>#NAME?</v>
      </c>
      <c r="D58" s="56"/>
    </row>
    <row r="59" spans="2:4" ht="13.5" hidden="1" outlineLevel="1" thickBot="1" x14ac:dyDescent="0.25">
      <c r="B59" s="12" t="s">
        <v>12</v>
      </c>
      <c r="C59" s="55" t="e">
        <f ca="1">_xll.SUBNM(db_name&amp;":related entity","","Total related entity")</f>
        <v>#NAME?</v>
      </c>
      <c r="D59" s="56"/>
    </row>
    <row r="60" spans="2:4" ht="13.5" hidden="1" outlineLevel="1" thickBot="1" x14ac:dyDescent="0.25">
      <c r="B60" s="12" t="s">
        <v>13</v>
      </c>
      <c r="C60" s="55" t="e">
        <f ca="1">_xll.SUBNM(db_name&amp;":function","","Total functions")</f>
        <v>#NAME?</v>
      </c>
      <c r="D60" s="56"/>
    </row>
    <row r="61" spans="2:4" ht="13.5" hidden="1" outlineLevel="1" thickBot="1" x14ac:dyDescent="0.25">
      <c r="B61" s="12" t="s">
        <v>14</v>
      </c>
      <c r="C61" s="55" t="e">
        <f ca="1">_xll.SUBNM(db_name&amp;":reason","Default","Total reason")</f>
        <v>#NAME?</v>
      </c>
      <c r="D61" s="56"/>
    </row>
    <row r="62" spans="2:4" ht="13.5" hidden="1" outlineLevel="1" thickBot="1" x14ac:dyDescent="0.25">
      <c r="B62" s="12" t="s">
        <v>15</v>
      </c>
      <c r="C62" s="55" t="e">
        <f ca="1">_xll.SUBNM(db_name&amp;":spp","","Total SPP")</f>
        <v>#NAME?</v>
      </c>
      <c r="D62" s="56"/>
    </row>
    <row r="63" spans="2:4" ht="13.5" hidden="1" outlineLevel="1" thickBot="1" x14ac:dyDescent="0.25">
      <c r="B63" s="12" t="s">
        <v>16</v>
      </c>
      <c r="C63" s="55" t="e">
        <f ca="1">_xll.SUBNM(db_name&amp;":measure code","","Total Measures")</f>
        <v>#NAME?</v>
      </c>
      <c r="D63" s="56"/>
    </row>
    <row r="64" spans="2:4" ht="13.5" hidden="1" outlineLevel="1" thickBot="1" x14ac:dyDescent="0.25">
      <c r="B64" s="12" t="s">
        <v>17</v>
      </c>
      <c r="C64" s="55" t="e">
        <f ca="1">_xll.SUBNM(db_name&amp;":appropriation type","","Total approp types")</f>
        <v>#NAME?</v>
      </c>
      <c r="D64" s="56"/>
    </row>
    <row r="65" spans="1:18" ht="13.5" hidden="1" outlineLevel="1" thickBot="1" x14ac:dyDescent="0.25">
      <c r="B65" s="12" t="s">
        <v>18</v>
      </c>
      <c r="C65" s="55" t="e">
        <f ca="1">_xll.SUBNM(db_name&amp;":appropriation item","","Total approp item")</f>
        <v>#NAME?</v>
      </c>
      <c r="D65" s="56"/>
    </row>
    <row r="66" spans="1:18" ht="13.5" hidden="1" outlineLevel="1" thickBot="1" x14ac:dyDescent="0.25">
      <c r="B66" s="12" t="s">
        <v>19</v>
      </c>
      <c r="C66" s="55" t="e">
        <f ca="1">_xll.SUBNM(db_name&amp;":jurisdiction","","Total jurisdictions")</f>
        <v>#NAME?</v>
      </c>
      <c r="D66" s="56"/>
    </row>
    <row r="67" spans="1:18" ht="13.5" hidden="1" outlineLevel="1" thickBot="1" x14ac:dyDescent="0.25">
      <c r="B67" s="12" t="s">
        <v>20</v>
      </c>
      <c r="C67" s="55" t="e">
        <f ca="1">_xll.SUBNM(db_name&amp;":id","","Total IDs")</f>
        <v>#NAME?</v>
      </c>
      <c r="D67" s="56"/>
    </row>
    <row r="68" spans="1:18" hidden="1" outlineLevel="1" x14ac:dyDescent="0.2"/>
    <row r="69" spans="1:18" hidden="1" outlineLevel="1" x14ac:dyDescent="0.2"/>
    <row r="70" spans="1:18" ht="39.950000000000003" customHeight="1" collapsed="1" x14ac:dyDescent="0.2">
      <c r="A70" s="35"/>
      <c r="B70" s="35"/>
      <c r="C70" s="35"/>
      <c r="D70" s="35"/>
      <c r="E70" s="35"/>
      <c r="F70" s="35"/>
      <c r="G70" s="35"/>
      <c r="H70" s="35"/>
      <c r="I70" s="37"/>
      <c r="J70" s="37"/>
      <c r="K70" s="37"/>
      <c r="L70" s="37"/>
      <c r="M70" s="37"/>
      <c r="N70" s="37"/>
      <c r="O70" s="37"/>
      <c r="P70" s="37"/>
      <c r="Q70" s="37"/>
      <c r="R70" s="37" t="s">
        <v>80</v>
      </c>
    </row>
    <row r="71" spans="1:18" ht="4.5" customHeight="1" x14ac:dyDescent="0.25">
      <c r="B71" s="34"/>
      <c r="J71" s="34"/>
      <c r="K71" s="36"/>
      <c r="L71" s="36"/>
      <c r="M71" s="36"/>
      <c r="N71" s="36"/>
      <c r="O71" s="36"/>
      <c r="P71" s="36"/>
      <c r="Q71" s="36"/>
      <c r="R71" s="36"/>
    </row>
    <row r="72" spans="1:18" ht="24" customHeight="1" x14ac:dyDescent="0.2"/>
    <row r="73" spans="1:18" ht="1.5" customHeight="1" x14ac:dyDescent="0.2">
      <c r="I73" s="37"/>
      <c r="J73" s="37"/>
      <c r="K73" s="37"/>
      <c r="L73" s="37"/>
      <c r="M73" s="37"/>
      <c r="N73" s="37"/>
      <c r="O73" s="37"/>
      <c r="P73" s="37"/>
      <c r="Q73" s="37"/>
      <c r="R73" s="37"/>
    </row>
    <row r="74" spans="1:18" ht="4.5" customHeight="1" x14ac:dyDescent="0.2"/>
    <row r="75" spans="1:18" ht="15" x14ac:dyDescent="0.25">
      <c r="M75" s="49" t="s">
        <v>76</v>
      </c>
      <c r="N75" s="50"/>
      <c r="P75" s="52" t="s">
        <v>78</v>
      </c>
      <c r="Q75" s="53"/>
    </row>
    <row r="76" spans="1:18" ht="15" x14ac:dyDescent="0.25">
      <c r="K76" s="38" t="s">
        <v>84</v>
      </c>
      <c r="M76" s="45" t="e">
        <f ca="1">_xll.SUBNM(db_name&amp;":headline year","",$C$21)</f>
        <v>#NAME?</v>
      </c>
      <c r="N76" s="45"/>
      <c r="P76" s="44" t="s">
        <v>81</v>
      </c>
      <c r="Q76" s="32" t="e">
        <f ca="1">_xll.SUBNM(db_name&amp;":sys_ReportDisplay","","Collapse")</f>
        <v>#NAME?</v>
      </c>
    </row>
    <row r="77" spans="1:18" ht="15" x14ac:dyDescent="0.25">
      <c r="K77" s="38" t="s">
        <v>85</v>
      </c>
      <c r="M77" s="45" t="e">
        <f ca="1">_xll.SUBNM(db_name&amp;":scenario","",$C$22)</f>
        <v>#NAME?</v>
      </c>
      <c r="N77" s="45"/>
      <c r="P77" s="44" t="s">
        <v>82</v>
      </c>
      <c r="Q77" s="32" t="e">
        <f ca="1">_xll.SUBNM(db_name&amp;":sys_ReportDisplay","","Collapse")</f>
        <v>#NAME?</v>
      </c>
    </row>
    <row r="78" spans="1:18" ht="15" x14ac:dyDescent="0.25">
      <c r="K78" s="38" t="s">
        <v>86</v>
      </c>
      <c r="M78" s="45" t="e">
        <f ca="1">_xll.SUBNM(db_name&amp;":status","","Total approved")</f>
        <v>#NAME?</v>
      </c>
      <c r="N78" s="45"/>
      <c r="P78" s="44" t="s">
        <v>83</v>
      </c>
      <c r="Q78" s="32" t="e">
        <f ca="1">_xll.SUBNM(db_name&amp;":sys_ReportDisplay","","Collapse")</f>
        <v>#NAME?</v>
      </c>
    </row>
    <row r="79" spans="1:18" ht="15" x14ac:dyDescent="0.25">
      <c r="K79" s="38" t="s">
        <v>87</v>
      </c>
      <c r="M79" s="45" t="e">
        <f ca="1">_xll.SUBNM(db_name&amp;":programme","Default","Administered Programmes","code and description")</f>
        <v>#NAME?</v>
      </c>
      <c r="N79" s="45"/>
    </row>
    <row r="80" spans="1:18" ht="4.5" customHeight="1" x14ac:dyDescent="0.2">
      <c r="J80" s="13"/>
    </row>
    <row r="81" spans="1:18" ht="12.75" x14ac:dyDescent="0.2">
      <c r="J81" s="57" t="e">
        <f ca="1">UPPER($M$79) &amp; " BALANCE SHEET"</f>
        <v>#NAME?</v>
      </c>
      <c r="K81" s="57"/>
    </row>
    <row r="82" spans="1:18" ht="15" x14ac:dyDescent="0.25">
      <c r="J82" s="57" t="e">
        <f ca="1">"As at "&amp; MID(M76,3,4) &amp; "-"  &amp; RIGHT(M76,2)&amp; " " &amp;M77 &amp; " Update"</f>
        <v>#NAME?</v>
      </c>
      <c r="K82" s="57"/>
      <c r="P82" s="39" t="s">
        <v>77</v>
      </c>
      <c r="Q82" s="51">
        <f ca="1">NOW()</f>
        <v>45874.614446180552</v>
      </c>
      <c r="R82" s="51"/>
    </row>
    <row r="83" spans="1:18" ht="4.5" customHeight="1" x14ac:dyDescent="0.2"/>
    <row r="84" spans="1:18" ht="12.75" x14ac:dyDescent="0.2">
      <c r="J84" s="40"/>
      <c r="K84" s="40"/>
      <c r="L84" s="14"/>
      <c r="M84" s="42" t="s">
        <v>21</v>
      </c>
      <c r="N84" s="42" t="s">
        <v>22</v>
      </c>
      <c r="O84" s="42" t="s">
        <v>23</v>
      </c>
      <c r="P84" s="42" t="s">
        <v>24</v>
      </c>
      <c r="Q84" s="42" t="s">
        <v>25</v>
      </c>
      <c r="R84" s="42" t="s">
        <v>26</v>
      </c>
    </row>
    <row r="85" spans="1:18" ht="12.75" x14ac:dyDescent="0.2">
      <c r="J85" s="41" t="s">
        <v>27</v>
      </c>
      <c r="K85" s="41" t="s">
        <v>28</v>
      </c>
      <c r="L85" s="14"/>
      <c r="M85" s="43" t="e">
        <f ca="1">M$20</f>
        <v>#NAME?</v>
      </c>
      <c r="N85" s="43" t="e">
        <f t="shared" ref="N85:R85" ca="1" si="0">N$20</f>
        <v>#NAME?</v>
      </c>
      <c r="O85" s="43" t="e">
        <f t="shared" ca="1" si="0"/>
        <v>#NAME?</v>
      </c>
      <c r="P85" s="43" t="e">
        <f t="shared" ca="1" si="0"/>
        <v>#NAME?</v>
      </c>
      <c r="Q85" s="43" t="e">
        <f t="shared" ca="1" si="0"/>
        <v>#NAME?</v>
      </c>
      <c r="R85" s="43" t="e">
        <f t="shared" ca="1" si="0"/>
        <v>#NAME?</v>
      </c>
    </row>
    <row r="86" spans="1:18" ht="12" customHeight="1" x14ac:dyDescent="0.2">
      <c r="A86" s="1" t="e">
        <f ca="1">IF(_xll.TM1RPTELISCONSOLIDATED($K$86,$K86),IF(_xll.TM1RPTELLEV($K$86,$K86)&lt;=3,_xll.TM1RPTELLEV($K$86,$K86),"D"),"N")</f>
        <v>#NAME?</v>
      </c>
      <c r="J86" s="28" t="e">
        <f ca="1">_xll.TM1RPTROW($C$36,db_name&amp;":account","","","code and description",0,$C42)</f>
        <v>#NAME?</v>
      </c>
      <c r="K86" s="29" t="e">
        <f ca="1">_xll.TM1RPTROW($C$36,db_name&amp;":movement account","","","code and description",0,$C$47)</f>
        <v>#NAME?</v>
      </c>
      <c r="L86" s="3"/>
      <c r="M86" s="4" t="e">
        <f ca="1">_xll.DBRW($C$36,$M$76,$M$77,$M$78,$C$58,$C$59,$C$60,$C$61,$C$62,$C$63,$C$64,$K86,$C$65,$M$79,$J86,$C$67,$C$66,M$20)</f>
        <v>#NAME?</v>
      </c>
      <c r="N86" s="5" t="e">
        <f ca="1">_xll.DBRW($C$36,$M$76,$M$77,$M$78,$C$58,$C$59,$C$60,$C$61,$C$62,$C$63,$C$64,$K86,$C$65,$M$79,$J86,$C$67,$C$66,N$20)</f>
        <v>#NAME?</v>
      </c>
      <c r="O86" s="5" t="e">
        <f ca="1">_xll.DBRW($C$36,$M$76,$M$77,$M$78,$C$58,$C$59,$C$60,$C$61,$C$62,$C$63,$C$64,$K86,$C$65,$M$79,$J86,$C$67,$C$66,O$20)</f>
        <v>#NAME?</v>
      </c>
      <c r="P86" s="5" t="e">
        <f ca="1">_xll.DBRW($C$36,$M$76,$M$77,$M$78,$C$58,$C$59,$C$60,$C$61,$C$62,$C$63,$C$64,$K86,$C$65,$M$79,$J86,$C$67,$C$66,P$20)</f>
        <v>#NAME?</v>
      </c>
      <c r="Q86" s="5" t="e">
        <f ca="1">_xll.DBRW($C$36,$M$76,$M$77,$M$78,$C$58,$C$59,$C$60,$C$61,$C$62,$C$63,$C$64,$K86,$C$65,$M$79,$J86,$C$67,$C$66,Q$20)</f>
        <v>#NAME?</v>
      </c>
      <c r="R86" s="6" t="e">
        <f ca="1">_xll.DBRW($C$36,$M$76,$M$77,$M$78,$C$58,$C$59,$C$60,$C$61,$C$62,$C$63,$C$64,$K86,$C$65,$M$79,$J86,$C$67,$C$66,R$20)</f>
        <v>#NAME?</v>
      </c>
    </row>
    <row r="87" spans="1:18" ht="5.0999999999999996" customHeight="1" x14ac:dyDescent="0.2">
      <c r="J87" s="15"/>
      <c r="K87" s="16"/>
      <c r="M87" s="17"/>
      <c r="N87" s="17"/>
      <c r="O87" s="17"/>
      <c r="P87" s="17"/>
      <c r="Q87" s="17"/>
      <c r="R87" s="17"/>
    </row>
    <row r="88" spans="1:18" ht="12" customHeight="1" thickBot="1" x14ac:dyDescent="0.25">
      <c r="C88" s="1">
        <v>5000000</v>
      </c>
      <c r="D88" s="3" t="s">
        <v>29</v>
      </c>
      <c r="E88" s="3"/>
      <c r="F88" s="3"/>
      <c r="G88" s="3"/>
      <c r="H88" s="3"/>
      <c r="I88" s="3"/>
      <c r="K88" s="18" t="s">
        <v>30</v>
      </c>
      <c r="M88" s="19" t="e">
        <f ca="1">_xll.DBRW($C$39,$M$76,$M$77,$M$78,$C$58,$C$59,$C$60,$C$61,$C$62,$C$63,$C$64,$D88,$C$65,$M$79,$C88,$C$67,$C$66,M$20)</f>
        <v>#NAME?</v>
      </c>
      <c r="N88" s="19" t="e">
        <f ca="1">_xll.DBRW($C$39,$M$76,$M$77,$M$78,$C$58,$C$59,$C$60,$C$61,$C$62,$C$63,$C$64,$D88,$C$65,$M$79,$C88,$C$67,$C$66,N$20)</f>
        <v>#NAME?</v>
      </c>
      <c r="O88" s="19" t="e">
        <f ca="1">_xll.DBRW($C$39,$M$76,$M$77,$M$78,$C$58,$C$59,$C$60,$C$61,$C$62,$C$63,$C$64,$D88,$C$65,$M$79,$C88,$C$67,$C$66,O$20)</f>
        <v>#NAME?</v>
      </c>
      <c r="P88" s="19" t="e">
        <f ca="1">_xll.DBRW($C$39,$M$76,$M$77,$M$78,$C$58,$C$59,$C$60,$C$61,$C$62,$C$63,$C$64,$D88,$C$65,$M$79,$C88,$C$67,$C$66,P$20)</f>
        <v>#NAME?</v>
      </c>
      <c r="Q88" s="19" t="e">
        <f ca="1">_xll.DBRW($C$39,$M$76,$M$77,$M$78,$C$58,$C$59,$C$60,$C$61,$C$62,$C$63,$C$64,$D88,$C$65,$M$79,$C88,$C$67,$C$66,Q$20)</f>
        <v>#NAME?</v>
      </c>
      <c r="R88" s="19" t="e">
        <f ca="1">_xll.DBRW($C$39,$M$76,$M$77,$M$78,$C$58,$C$59,$C$60,$C$61,$C$62,$C$63,$C$64,$D88,$C$65,$M$79,$C88,$C$67,$C$66,R$20)</f>
        <v>#NAME?</v>
      </c>
    </row>
    <row r="89" spans="1:18" ht="9.9499999999999993" customHeight="1" thickTop="1" x14ac:dyDescent="0.2"/>
    <row r="90" spans="1:18" ht="12.75" x14ac:dyDescent="0.2">
      <c r="J90" s="40"/>
      <c r="K90" s="40"/>
      <c r="L90" s="14"/>
      <c r="M90" s="42" t="s">
        <v>21</v>
      </c>
      <c r="N90" s="42" t="s">
        <v>22</v>
      </c>
      <c r="O90" s="42" t="s">
        <v>23</v>
      </c>
      <c r="P90" s="42" t="s">
        <v>24</v>
      </c>
      <c r="Q90" s="42" t="s">
        <v>25</v>
      </c>
      <c r="R90" s="42" t="s">
        <v>26</v>
      </c>
    </row>
    <row r="91" spans="1:18" ht="12.75" x14ac:dyDescent="0.2">
      <c r="J91" s="41" t="s">
        <v>31</v>
      </c>
      <c r="K91" s="41" t="s">
        <v>28</v>
      </c>
      <c r="L91" s="14"/>
      <c r="M91" s="43" t="e">
        <f ca="1">M$20</f>
        <v>#NAME?</v>
      </c>
      <c r="N91" s="43" t="e">
        <f t="shared" ref="N91:R91" ca="1" si="1">N$20</f>
        <v>#NAME?</v>
      </c>
      <c r="O91" s="43" t="e">
        <f t="shared" ca="1" si="1"/>
        <v>#NAME?</v>
      </c>
      <c r="P91" s="43" t="e">
        <f t="shared" ca="1" si="1"/>
        <v>#NAME?</v>
      </c>
      <c r="Q91" s="43" t="e">
        <f t="shared" ca="1" si="1"/>
        <v>#NAME?</v>
      </c>
      <c r="R91" s="43" t="e">
        <f t="shared" ca="1" si="1"/>
        <v>#NAME?</v>
      </c>
    </row>
    <row r="92" spans="1:18" ht="12" customHeight="1" x14ac:dyDescent="0.2">
      <c r="A92" s="1" t="e">
        <f ca="1">IF(_xll.TM1RPTELISCONSOLIDATED($K$92,$K92),IF(_xll.TM1RPTELLEV($K$92,$K92)&lt;=3,_xll.TM1RPTELLEV($K$92,$K92),"D"),"N")</f>
        <v>#NAME?</v>
      </c>
      <c r="J92" s="28" t="e">
        <f ca="1">_xll.TM1RPTROW($C$37,db_name&amp;":account","",,"code and description",,$C43)</f>
        <v>#NAME?</v>
      </c>
      <c r="K92" s="29" t="e">
        <f ca="1">_xll.TM1RPTROW($C$37,db_name&amp;":movement account","","","code and description",0,$C$48,,"")</f>
        <v>#NAME?</v>
      </c>
      <c r="L92" s="3"/>
      <c r="M92" s="4" t="e">
        <f ca="1">_xll.DBRW($C$37,$M$76,$M$77,$M$78,$C$58,$C$59,$C$60,$C$61,$C$62,$C$63,$C$64,$K92,$C$65,$M$79,$J92,$C$67,$C$66,M$20)</f>
        <v>#NAME?</v>
      </c>
      <c r="N92" s="5" t="e">
        <f ca="1">_xll.DBRW($C$37,$M$76,$M$77,$M$78,$C$58,$C$59,$C$60,$C$61,$C$62,$C$63,$C$64,$K92,$C$65,$M$79,$J92,$C$67,$C$66,N$20)</f>
        <v>#NAME?</v>
      </c>
      <c r="O92" s="5" t="e">
        <f ca="1">_xll.DBRW($C$37,$M$76,$M$77,$M$78,$C$58,$C$59,$C$60,$C$61,$C$62,$C$63,$C$64,$K92,$C$65,$M$79,$J92,$C$67,$C$66,O$20)</f>
        <v>#NAME?</v>
      </c>
      <c r="P92" s="5" t="e">
        <f ca="1">_xll.DBRW($C$37,$M$76,$M$77,$M$78,$C$58,$C$59,$C$60,$C$61,$C$62,$C$63,$C$64,$K92,$C$65,$M$79,$J92,$C$67,$C$66,P$20)</f>
        <v>#NAME?</v>
      </c>
      <c r="Q92" s="5" t="e">
        <f ca="1">_xll.DBRW($C$37,$M$76,$M$77,$M$78,$C$58,$C$59,$C$60,$C$61,$C$62,$C$63,$C$64,$K92,$C$65,$M$79,$J92,$C$67,$C$66,Q$20)</f>
        <v>#NAME?</v>
      </c>
      <c r="R92" s="6" t="e">
        <f ca="1">_xll.DBRW($C$37,$M$76,$M$77,$M$78,$C$58,$C$59,$C$60,$C$61,$C$62,$C$63,$C$64,$K92,$C$65,$M$79,$J92,$C$67,$C$66,R$20)</f>
        <v>#NAME?</v>
      </c>
    </row>
    <row r="93" spans="1:18" ht="5.0999999999999996" customHeight="1" x14ac:dyDescent="0.2">
      <c r="J93" s="17"/>
      <c r="K93" s="17"/>
      <c r="M93" s="17"/>
      <c r="N93" s="17"/>
      <c r="O93" s="17"/>
      <c r="P93" s="17"/>
      <c r="Q93" s="17"/>
      <c r="R93" s="17"/>
    </row>
    <row r="94" spans="1:18" ht="12" customHeight="1" thickBot="1" x14ac:dyDescent="0.25">
      <c r="C94" s="1">
        <v>3000000</v>
      </c>
      <c r="D94" s="3" t="s">
        <v>29</v>
      </c>
      <c r="E94" s="3"/>
      <c r="F94" s="3"/>
      <c r="G94" s="3"/>
      <c r="H94" s="3"/>
      <c r="I94" s="3"/>
      <c r="K94" s="18" t="s">
        <v>32</v>
      </c>
      <c r="M94" s="19" t="e">
        <f ca="1">_xll.DBRW($C$39,$M$76,$M$77,$M$78,$C$58,$C$59,$C$60,$C$61,$C$62,$C$63,$C$64,$D94,$C$65,$M$79,$C94,$C$67,$C$66,M$20)</f>
        <v>#NAME?</v>
      </c>
      <c r="N94" s="19" t="e">
        <f ca="1">_xll.DBRW($C$39,$M$76,$M$77,$M$78,$C$58,$C$59,$C$60,$C$61,$C$62,$C$63,$C$64,$D94,$C$65,$M$79,$C94,$C$67,$C$66,N$20)</f>
        <v>#NAME?</v>
      </c>
      <c r="O94" s="19" t="e">
        <f ca="1">_xll.DBRW($C$39,$M$76,$M$77,$M$78,$C$58,$C$59,$C$60,$C$61,$C$62,$C$63,$C$64,$D94,$C$65,$M$79,$C94,$C$67,$C$66,O$20)</f>
        <v>#NAME?</v>
      </c>
      <c r="P94" s="19" t="e">
        <f ca="1">_xll.DBRW($C$39,$M$76,$M$77,$M$78,$C$58,$C$59,$C$60,$C$61,$C$62,$C$63,$C$64,$D94,$C$65,$M$79,$C94,$C$67,$C$66,P$20)</f>
        <v>#NAME?</v>
      </c>
      <c r="Q94" s="19" t="e">
        <f ca="1">_xll.DBRW($C$39,$M$76,$M$77,$M$78,$C$58,$C$59,$C$60,$C$61,$C$62,$C$63,$C$64,$D94,$C$65,$M$79,$C94,$C$67,$C$66,Q$20)</f>
        <v>#NAME?</v>
      </c>
      <c r="R94" s="19" t="e">
        <f ca="1">_xll.DBRW($C$39,$M$76,$M$77,$M$78,$C$58,$C$59,$C$60,$C$61,$C$62,$C$63,$C$64,$D94,$C$65,$M$79,$C94,$C$67,$C$66,R$20)</f>
        <v>#NAME?</v>
      </c>
    </row>
    <row r="95" spans="1:18" ht="9.9499999999999993" customHeight="1" thickTop="1" x14ac:dyDescent="0.2">
      <c r="K95" s="20"/>
    </row>
    <row r="96" spans="1:18" ht="12.75" x14ac:dyDescent="0.2">
      <c r="J96" s="40"/>
      <c r="K96" s="40"/>
      <c r="L96" s="14"/>
      <c r="M96" s="42" t="s">
        <v>21</v>
      </c>
      <c r="N96" s="42" t="s">
        <v>22</v>
      </c>
      <c r="O96" s="42" t="s">
        <v>23</v>
      </c>
      <c r="P96" s="42" t="s">
        <v>24</v>
      </c>
      <c r="Q96" s="42" t="s">
        <v>25</v>
      </c>
      <c r="R96" s="42" t="s">
        <v>26</v>
      </c>
    </row>
    <row r="97" spans="1:18" ht="12.75" x14ac:dyDescent="0.2">
      <c r="J97" s="41" t="s">
        <v>33</v>
      </c>
      <c r="K97" s="41" t="s">
        <v>28</v>
      </c>
      <c r="L97" s="14"/>
      <c r="M97" s="43" t="e">
        <f ca="1">M$20</f>
        <v>#NAME?</v>
      </c>
      <c r="N97" s="43" t="e">
        <f t="shared" ref="N97:R97" ca="1" si="2">N$20</f>
        <v>#NAME?</v>
      </c>
      <c r="O97" s="43" t="e">
        <f t="shared" ca="1" si="2"/>
        <v>#NAME?</v>
      </c>
      <c r="P97" s="43" t="e">
        <f t="shared" ca="1" si="2"/>
        <v>#NAME?</v>
      </c>
      <c r="Q97" s="43" t="e">
        <f t="shared" ca="1" si="2"/>
        <v>#NAME?</v>
      </c>
      <c r="R97" s="43" t="e">
        <f t="shared" ca="1" si="2"/>
        <v>#NAME?</v>
      </c>
    </row>
    <row r="98" spans="1:18" ht="12" customHeight="1" x14ac:dyDescent="0.2">
      <c r="A98" s="1" t="e">
        <f ca="1">IF(_xll.TM1RPTELISCONSOLIDATED($K$98,$K98),IF(_xll.TM1RPTELLEV($K$98,$K98)&lt;=3,_xll.TM1RPTELLEV($K$98,$K98),"D"),"N")</f>
        <v>#NAME?</v>
      </c>
      <c r="J98" s="28" t="e">
        <f ca="1">_xll.TM1RPTROW($C$38,db_name&amp;":account","",,"code and description",,$C44)</f>
        <v>#NAME?</v>
      </c>
      <c r="K98" s="29" t="e">
        <f ca="1">_xll.TM1RPTROW($C$38,db_name&amp;":movement account","","","code and description",0,$C$53,,"")</f>
        <v>#NAME?</v>
      </c>
      <c r="L98" s="3"/>
      <c r="M98" s="4" t="e">
        <f ca="1">_xll.DBRW($C$38,$M$76,$M$77,$M$78,$C$58,$C$59,$C$60,$C$61,$C$62,$C$63,$C$64,$K98,$C$65,$M$79,$J98,$C$67,$C$66,M$20)</f>
        <v>#NAME?</v>
      </c>
      <c r="N98" s="5" t="e">
        <f ca="1">_xll.DBRW($C$38,$M$76,$M$77,$M$78,$C$58,$C$59,$C$60,$C$61,$C$62,$C$63,$C$64,$K98,$C$65,$M$79,$J98,$C$67,$C$66,N$20)</f>
        <v>#NAME?</v>
      </c>
      <c r="O98" s="5" t="e">
        <f ca="1">_xll.DBRW($C$38,$M$76,$M$77,$M$78,$C$58,$C$59,$C$60,$C$61,$C$62,$C$63,$C$64,$K98,$C$65,$M$79,$J98,$C$67,$C$66,O$20)</f>
        <v>#NAME?</v>
      </c>
      <c r="P98" s="5" t="e">
        <f ca="1">_xll.DBRW($C$38,$M$76,$M$77,$M$78,$C$58,$C$59,$C$60,$C$61,$C$62,$C$63,$C$64,$K98,$C$65,$M$79,$J98,$C$67,$C$66,P$20)</f>
        <v>#NAME?</v>
      </c>
      <c r="Q98" s="5" t="e">
        <f ca="1">_xll.DBRW($C$38,$M$76,$M$77,$M$78,$C$58,$C$59,$C$60,$C$61,$C$62,$C$63,$C$64,$K98,$C$65,$M$79,$J98,$C$67,$C$66,Q$20)</f>
        <v>#NAME?</v>
      </c>
      <c r="R98" s="6" t="e">
        <f ca="1">_xll.DBRW($C$38,$M$76,$M$77,$M$78,$C$58,$C$59,$C$60,$C$61,$C$62,$C$63,$C$64,$K98,$C$65,$M$79,$J98,$C$67,$C$66,R$20)</f>
        <v>#NAME?</v>
      </c>
    </row>
    <row r="99" spans="1:18" ht="4.5" customHeight="1" x14ac:dyDescent="0.2">
      <c r="J99" s="17"/>
      <c r="K99" s="21"/>
      <c r="M99" s="17"/>
      <c r="N99" s="17"/>
      <c r="O99" s="17"/>
      <c r="P99" s="17"/>
      <c r="Q99" s="17"/>
      <c r="R99" s="17"/>
    </row>
    <row r="100" spans="1:18" ht="12" customHeight="1" thickBot="1" x14ac:dyDescent="0.25">
      <c r="C100" s="1">
        <v>4000000</v>
      </c>
      <c r="D100" s="3" t="s">
        <v>29</v>
      </c>
      <c r="E100" s="3"/>
      <c r="F100" s="3"/>
      <c r="G100" s="3"/>
      <c r="H100" s="3"/>
      <c r="I100" s="3"/>
      <c r="K100" s="18" t="s">
        <v>34</v>
      </c>
      <c r="M100" s="19" t="e">
        <f ca="1">_xll.DBRW($C$39,$M$76,$M$77,$M$78,$C$58,$C$59,$C$60,$C$61,$C$62,$C$63,$C$64,$D100,$C$65,$M$79,$C100,$C$67,$C$66,M$20)</f>
        <v>#NAME?</v>
      </c>
      <c r="N100" s="19" t="e">
        <f ca="1">_xll.DBRW($C$39,$M$76,$M$77,$M$78,$C$58,$C$59,$C$60,$C$61,$C$62,$C$63,$C$64,$D100,$C$65,$M$79,$C100,$C$67,$C$66,N$20)</f>
        <v>#NAME?</v>
      </c>
      <c r="O100" s="19" t="e">
        <f ca="1">_xll.DBRW($C$39,$M$76,$M$77,$M$78,$C$58,$C$59,$C$60,$C$61,$C$62,$C$63,$C$64,$D100,$C$65,$M$79,$C100,$C$67,$C$66,O$20)</f>
        <v>#NAME?</v>
      </c>
      <c r="P100" s="19" t="e">
        <f ca="1">_xll.DBRW($C$39,$M$76,$M$77,$M$78,$C$58,$C$59,$C$60,$C$61,$C$62,$C$63,$C$64,$D100,$C$65,$M$79,$C100,$C$67,$C$66,P$20)</f>
        <v>#NAME?</v>
      </c>
      <c r="Q100" s="19" t="e">
        <f ca="1">_xll.DBRW($C$39,$M$76,$M$77,$M$78,$C$58,$C$59,$C$60,$C$61,$C$62,$C$63,$C$64,$D100,$C$65,$M$79,$C100,$C$67,$C$66,Q$20)</f>
        <v>#NAME?</v>
      </c>
      <c r="R100" s="19" t="e">
        <f ca="1">_xll.DBRW($C$39,$M$76,$M$77,$M$78,$C$58,$C$59,$C$60,$C$61,$C$62,$C$63,$C$64,$D100,$C$65,$M$79,$C100,$C$67,$C$66,R$20)</f>
        <v>#NAME?</v>
      </c>
    </row>
    <row r="101" spans="1:18" ht="9.9499999999999993" customHeight="1" thickTop="1" x14ac:dyDescent="0.2">
      <c r="K101" s="20"/>
    </row>
    <row r="102" spans="1:18" ht="12" customHeight="1" thickBot="1" x14ac:dyDescent="0.25">
      <c r="C102" s="1">
        <v>3900000</v>
      </c>
      <c r="D102" s="3" t="s">
        <v>29</v>
      </c>
      <c r="E102" s="3"/>
      <c r="F102" s="3"/>
      <c r="G102" s="3"/>
      <c r="H102" s="3"/>
      <c r="I102" s="3"/>
      <c r="K102" s="18" t="s">
        <v>35</v>
      </c>
      <c r="M102" s="19" t="e">
        <f ca="1">_xll.DBRW($C$39,$M$76,$M$77,$M$78,$C$58,$C$59,$C$60,$C$61,$C$62,$C$63,$C$64,$D102,$C$65,$M$79,$C102,$C$67,$C$66,M$20)</f>
        <v>#NAME?</v>
      </c>
      <c r="N102" s="19" t="e">
        <f ca="1">_xll.DBRW($C$39,$M$76,$M$77,$M$78,$C$58,$C$59,$C$60,$C$61,$C$62,$C$63,$C$64,$D102,$C$65,$M$79,$C102,$C$67,$C$66,N$20)</f>
        <v>#NAME?</v>
      </c>
      <c r="O102" s="19" t="e">
        <f ca="1">_xll.DBRW($C$39,$M$76,$M$77,$M$78,$C$58,$C$59,$C$60,$C$61,$C$62,$C$63,$C$64,$D102,$C$65,$M$79,$C102,$C$67,$C$66,O$20)</f>
        <v>#NAME?</v>
      </c>
      <c r="P102" s="19" t="e">
        <f ca="1">_xll.DBRW($C$39,$M$76,$M$77,$M$78,$C$58,$C$59,$C$60,$C$61,$C$62,$C$63,$C$64,$D102,$C$65,$M$79,$C102,$C$67,$C$66,P$20)</f>
        <v>#NAME?</v>
      </c>
      <c r="Q102" s="19" t="e">
        <f ca="1">_xll.DBRW($C$39,$M$76,$M$77,$M$78,$C$58,$C$59,$C$60,$C$61,$C$62,$C$63,$C$64,$D102,$C$65,$M$79,$C102,$C$67,$C$66,Q$20)</f>
        <v>#NAME?</v>
      </c>
      <c r="R102" s="19" t="e">
        <f ca="1">_xll.DBRW($C$39,$M$76,$M$77,$M$78,$C$58,$C$59,$C$60,$C$61,$C$62,$C$63,$C$64,$D102,$C$65,$M$79,$C102,$C$67,$C$66,R$20)</f>
        <v>#NAME?</v>
      </c>
    </row>
    <row r="103" spans="1:18" ht="9.9499999999999993" customHeight="1" thickTop="1" x14ac:dyDescent="0.2">
      <c r="K103" s="20"/>
    </row>
    <row r="104" spans="1:18" ht="12" customHeight="1" thickBot="1" x14ac:dyDescent="0.25">
      <c r="C104" s="1">
        <v>3800001</v>
      </c>
      <c r="D104" s="3" t="s">
        <v>29</v>
      </c>
      <c r="E104" s="3"/>
      <c r="F104" s="3"/>
      <c r="G104" s="3"/>
      <c r="H104" s="3"/>
      <c r="I104" s="3"/>
      <c r="K104" s="18" t="s">
        <v>36</v>
      </c>
      <c r="M104" s="19" t="e">
        <f ca="1">_xll.DBRW($C$39,$M$76,$M$77,$M$78,$C$58,$C$59,$C$60,$C$61,$C$62,$C$63,$C$64,$D104,$C$65,$M$79,$C104,$C$67,$C$66,M$20)</f>
        <v>#NAME?</v>
      </c>
      <c r="N104" s="19" t="e">
        <f ca="1">_xll.DBRW($C$39,$M$76,$M$77,$M$78,$C$58,$C$59,$C$60,$C$61,$C$62,$C$63,$C$64,$D104,$C$65,$M$79,$C104,$C$67,$C$66,N$20)</f>
        <v>#NAME?</v>
      </c>
      <c r="O104" s="19" t="e">
        <f ca="1">_xll.DBRW($C$39,$M$76,$M$77,$M$78,$C$58,$C$59,$C$60,$C$61,$C$62,$C$63,$C$64,$D104,$C$65,$M$79,$C104,$C$67,$C$66,O$20)</f>
        <v>#NAME?</v>
      </c>
      <c r="P104" s="19" t="e">
        <f ca="1">_xll.DBRW($C$39,$M$76,$M$77,$M$78,$C$58,$C$59,$C$60,$C$61,$C$62,$C$63,$C$64,$D104,$C$65,$M$79,$C104,$C$67,$C$66,P$20)</f>
        <v>#NAME?</v>
      </c>
      <c r="Q104" s="19" t="e">
        <f ca="1">_xll.DBRW($C$39,$M$76,$M$77,$M$78,$C$58,$C$59,$C$60,$C$61,$C$62,$C$63,$C$64,$D104,$C$65,$M$79,$C104,$C$67,$C$66,Q$20)</f>
        <v>#NAME?</v>
      </c>
      <c r="R104" s="19" t="e">
        <f ca="1">_xll.DBRW($C$39,$M$76,$M$77,$M$78,$C$58,$C$59,$C$60,$C$61,$C$62,$C$63,$C$64,$D104,$C$65,$M$79,$C104,$C$67,$C$66,R$20)</f>
        <v>#NAME?</v>
      </c>
    </row>
    <row r="105" spans="1:18" ht="12.75" thickTop="1" x14ac:dyDescent="0.2"/>
  </sheetData>
  <sheetProtection sheet="1" objects="1" scenarios="1"/>
  <mergeCells count="26">
    <mergeCell ref="B11:C11"/>
    <mergeCell ref="B19:C19"/>
    <mergeCell ref="B25:D25"/>
    <mergeCell ref="B35:D35"/>
    <mergeCell ref="B41:D41"/>
    <mergeCell ref="Q82:R82"/>
    <mergeCell ref="P75:Q75"/>
    <mergeCell ref="B46:D46"/>
    <mergeCell ref="C64:D64"/>
    <mergeCell ref="C65:D65"/>
    <mergeCell ref="C66:D66"/>
    <mergeCell ref="C67:D67"/>
    <mergeCell ref="M76:N76"/>
    <mergeCell ref="J81:K81"/>
    <mergeCell ref="J82:K82"/>
    <mergeCell ref="C58:D58"/>
    <mergeCell ref="C59:D59"/>
    <mergeCell ref="C60:D60"/>
    <mergeCell ref="C61:D61"/>
    <mergeCell ref="C62:D62"/>
    <mergeCell ref="C63:D63"/>
    <mergeCell ref="M78:N78"/>
    <mergeCell ref="M77:N77"/>
    <mergeCell ref="M79:N79"/>
    <mergeCell ref="B57:D57"/>
    <mergeCell ref="M75:N75"/>
  </mergeCells>
  <conditionalFormatting sqref="M88:R88">
    <cfRule type="cellIs" dxfId="4" priority="9" operator="lessThan">
      <formula>0</formula>
    </cfRule>
  </conditionalFormatting>
  <conditionalFormatting sqref="M94:R94">
    <cfRule type="cellIs" dxfId="3" priority="5" operator="lessThan">
      <formula>0</formula>
    </cfRule>
  </conditionalFormatting>
  <conditionalFormatting sqref="M100:R100">
    <cfRule type="cellIs" dxfId="2" priority="7" operator="lessThan">
      <formula>0</formula>
    </cfRule>
  </conditionalFormatting>
  <conditionalFormatting sqref="M102:R102">
    <cfRule type="cellIs" dxfId="1" priority="8" operator="lessThan">
      <formula>0</formula>
    </cfRule>
  </conditionalFormatting>
  <conditionalFormatting sqref="M104:R104">
    <cfRule type="cellIs" dxfId="0" priority="10" operator="lessThan">
      <formula>0</formula>
    </cfRule>
  </conditionalFormatting>
  <pageMargins left="0.39370078740157483" right="0.39370078740157483" top="0.39370078740157483" bottom="0.39370078740157483" header="0.19685039370078741" footer="0.19685039370078741"/>
  <pageSetup paperSize="9" scale="53" fitToHeight="0" orientation="landscape" r:id="rId1"/>
  <headerFooter>
    <oddFooter>&amp;L&amp;D &amp;T</oddFooter>
  </headerFooter>
  <drawing r:id="rId2"/>
  <legacyDrawing r:id="rId3"/>
  <controls>
    <mc:AlternateContent xmlns:mc="http://schemas.openxmlformats.org/markup-compatibility/2006">
      <mc:Choice Requires="x14">
        <control shapeId="1030" r:id="rId4" name="TIButton6">
          <controlPr defaultSize="0" print="0" autoLine="0" r:id="rId5">
            <anchor moveWithCells="1" sizeWithCells="1">
              <from>
                <xdr:col>10</xdr:col>
                <xdr:colOff>514350</xdr:colOff>
                <xdr:row>71</xdr:row>
                <xdr:rowOff>9525</xdr:rowOff>
              </from>
              <to>
                <xdr:col>10</xdr:col>
                <xdr:colOff>2066925</xdr:colOff>
                <xdr:row>71</xdr:row>
                <xdr:rowOff>257175</xdr:rowOff>
              </to>
            </anchor>
          </controlPr>
        </control>
      </mc:Choice>
      <mc:Fallback>
        <control shapeId="1030" r:id="rId4" name="TIButton6"/>
      </mc:Fallback>
    </mc:AlternateContent>
    <mc:AlternateContent xmlns:mc="http://schemas.openxmlformats.org/markup-compatibility/2006">
      <mc:Choice Requires="x14">
        <control shapeId="1025" r:id="rId6" name="TIButton2">
          <controlPr defaultSize="0" print="0" autoLine="0" r:id="rId7">
            <anchor moveWithCells="1" sizeWithCells="1">
              <from>
                <xdr:col>9</xdr:col>
                <xdr:colOff>28575</xdr:colOff>
                <xdr:row>71</xdr:row>
                <xdr:rowOff>9525</xdr:rowOff>
              </from>
              <to>
                <xdr:col>9</xdr:col>
                <xdr:colOff>666750</xdr:colOff>
                <xdr:row>71</xdr:row>
                <xdr:rowOff>257175</xdr:rowOff>
              </to>
            </anchor>
          </controlPr>
        </control>
      </mc:Choice>
      <mc:Fallback>
        <control shapeId="1025" r:id="rId6" name="TIButton2"/>
      </mc:Fallback>
    </mc:AlternateContent>
    <mc:AlternateContent xmlns:mc="http://schemas.openxmlformats.org/markup-compatibility/2006">
      <mc:Choice Requires="x14">
        <control shapeId="1026" r:id="rId8" name="TIButton3">
          <controlPr defaultSize="0" print="0" autoLine="0" r:id="rId9">
            <anchor moveWithCells="1" sizeWithCells="1">
              <from>
                <xdr:col>10</xdr:col>
                <xdr:colOff>2105025</xdr:colOff>
                <xdr:row>71</xdr:row>
                <xdr:rowOff>9525</xdr:rowOff>
              </from>
              <to>
                <xdr:col>12</xdr:col>
                <xdr:colOff>114300</xdr:colOff>
                <xdr:row>71</xdr:row>
                <xdr:rowOff>257175</xdr:rowOff>
              </to>
            </anchor>
          </controlPr>
        </control>
      </mc:Choice>
      <mc:Fallback>
        <control shapeId="1026" r:id="rId8" name="TIButton3"/>
      </mc:Fallback>
    </mc:AlternateContent>
    <mc:AlternateContent xmlns:mc="http://schemas.openxmlformats.org/markup-compatibility/2006">
      <mc:Choice Requires="x14">
        <control shapeId="1027" r:id="rId10" name="TIButton1">
          <controlPr defaultSize="0" print="0" autoLine="0" r:id="rId11">
            <anchor moveWithCells="1" sizeWithCells="1">
              <from>
                <xdr:col>9</xdr:col>
                <xdr:colOff>704850</xdr:colOff>
                <xdr:row>71</xdr:row>
                <xdr:rowOff>9525</xdr:rowOff>
              </from>
              <to>
                <xdr:col>9</xdr:col>
                <xdr:colOff>1828800</xdr:colOff>
                <xdr:row>71</xdr:row>
                <xdr:rowOff>257175</xdr:rowOff>
              </to>
            </anchor>
          </controlPr>
        </control>
      </mc:Choice>
      <mc:Fallback>
        <control shapeId="1027" r:id="rId10" name="TIButton1"/>
      </mc:Fallback>
    </mc:AlternateContent>
    <mc:AlternateContent xmlns:mc="http://schemas.openxmlformats.org/markup-compatibility/2006">
      <mc:Choice Requires="x14">
        <control shapeId="1028" r:id="rId12" name="TIButton4">
          <controlPr defaultSize="0" print="0" autoLine="0" r:id="rId13">
            <anchor moveWithCells="1" sizeWithCells="1">
              <from>
                <xdr:col>17</xdr:col>
                <xdr:colOff>723900</xdr:colOff>
                <xdr:row>70</xdr:row>
                <xdr:rowOff>19050</xdr:rowOff>
              </from>
              <to>
                <xdr:col>17</xdr:col>
                <xdr:colOff>1038225</xdr:colOff>
                <xdr:row>71</xdr:row>
                <xdr:rowOff>276225</xdr:rowOff>
              </to>
            </anchor>
          </controlPr>
        </control>
      </mc:Choice>
      <mc:Fallback>
        <control shapeId="1028" r:id="rId12" name="TIButton4"/>
      </mc:Fallback>
    </mc:AlternateContent>
    <mc:AlternateContent xmlns:mc="http://schemas.openxmlformats.org/markup-compatibility/2006">
      <mc:Choice Requires="x14">
        <control shapeId="1029" r:id="rId14" name="TIButton5">
          <controlPr defaultSize="0" print="0" autoLine="0" r:id="rId15">
            <anchor moveWithCells="1" sizeWithCells="1">
              <from>
                <xdr:col>9</xdr:col>
                <xdr:colOff>1857375</xdr:colOff>
                <xdr:row>71</xdr:row>
                <xdr:rowOff>9525</xdr:rowOff>
              </from>
              <to>
                <xdr:col>10</xdr:col>
                <xdr:colOff>495300</xdr:colOff>
                <xdr:row>71</xdr:row>
                <xdr:rowOff>257175</xdr:rowOff>
              </to>
            </anchor>
          </controlPr>
        </control>
      </mc:Choice>
      <mc:Fallback>
        <control shapeId="1029" r:id="rId14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report</vt:lpstr>
      <vt:lpstr>report!db_name</vt:lpstr>
      <vt:lpstr>report!Print_Titles</vt:lpstr>
      <vt:lpstr>psApp</vt:lpstr>
      <vt:lpstr>psProgDimName</vt:lpstr>
      <vt:lpstr>psUser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report!TM1RPTDATARNG1</vt:lpstr>
      <vt:lpstr>report!TM1RPTDATARNGARPT3</vt:lpstr>
      <vt:lpstr>report!TM1RPTDATARNGARPT6</vt:lpstr>
      <vt:lpstr>report!TM1RPTFMTIDCOL</vt:lpstr>
      <vt:lpstr>report!TM1RPTFMTRNG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2019-09-11T05:08:37Z</dcterms:created>
  <dcterms:modified xsi:type="dcterms:W3CDTF">2025-08-05T04:44:48Z</dcterms:modified>
</cp:coreProperties>
</file>