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BFA8BED-A217-448B-AAE9-891DC838B942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ID" localSheetId="0" hidden="1">"87662e75-095d-445b-8da0-3f4c8f75a82c"</definedName>
    <definedName name="Menu">Menu!$G$29</definedName>
    <definedName name="psUser">Menu!$C$7</definedName>
    <definedName name="rng_Start">#REF!</definedName>
    <definedName name="TM1Admin00BALAdjCAP">Menu!$D$48</definedName>
    <definedName name="TM1Admin00BALAdjWB">Menu!$F$48</definedName>
    <definedName name="TM1Admin00BALAdjWS">Menu!$H$48</definedName>
    <definedName name="TM1AdminAppSetupCAP">Menu!$D$43</definedName>
    <definedName name="TM1AdminAppSetupWB">Menu!$F$43</definedName>
    <definedName name="TM1AdminAppSetupWS">Menu!$H$43</definedName>
    <definedName name="TM1AdminCreateProgCAP">Menu!$D$50</definedName>
    <definedName name="TM1AdminCreateProgWB">Menu!$F$50</definedName>
    <definedName name="TM1AdminCreateProgWS">Menu!$H$50</definedName>
    <definedName name="TM1AdminExtractFFCAP">Menu!$D$40</definedName>
    <definedName name="TM1AdminExtractFFWB">Menu!$F$40</definedName>
    <definedName name="TM1AdminExtractFFWS">Menu!$H$40</definedName>
    <definedName name="TM1AdminGEUSDiagnosticRepCAP">Menu!$D$49</definedName>
    <definedName name="TM1AdminGEUSDiagnosticRepWB">Menu!$F$49</definedName>
    <definedName name="TM1AdminGEUSDiagnosticRepWS">Menu!$H$49</definedName>
    <definedName name="TM1AdminIndexSetupCAP">Menu!$D$46</definedName>
    <definedName name="TM1AdminIndexSetupWB">Menu!$F$46</definedName>
    <definedName name="TM1AdminIndexSetupWS">Menu!$H$46</definedName>
    <definedName name="TM1AdminNewsItemCAP">Menu!$D$39</definedName>
    <definedName name="TM1AdminNewsItemWB">Menu!$F$39</definedName>
    <definedName name="TM1AdminNewsItemWS">Menu!$H$39</definedName>
    <definedName name="TM1AdminProgDetCAP">Menu!$D$44</definedName>
    <definedName name="TM1AdminProgDetWB">Menu!$F$44</definedName>
    <definedName name="TM1AdminProgDetWS">Menu!$H$44</definedName>
    <definedName name="TM1AdminProgTransferCAP">Menu!$D$45</definedName>
    <definedName name="TM1AdminProgTransferWB">Menu!$F$45</definedName>
    <definedName name="TM1AdminProgTransferWS">Menu!$H$45</definedName>
    <definedName name="TM1AdminReActivateIndexFE3CAP">Menu!$D$47</definedName>
    <definedName name="TM1AdminReActivateIndexFE3WB">Menu!$F$47</definedName>
    <definedName name="TM1AdminReActivateIndexFE3WS">Menu!$H$47</definedName>
    <definedName name="TM1AdminRepStageLookupCAP">Menu!$D$41</definedName>
    <definedName name="TM1AdminRepStageLookupWB">Menu!$F$41</definedName>
    <definedName name="TM1AdminRepStageLookupWS">Menu!$H$41</definedName>
    <definedName name="TM1AdminSetDefAccCAP">Menu!$D$42</definedName>
    <definedName name="TM1AdminSetDefAccWB">Menu!$F$42</definedName>
    <definedName name="TM1AdminSetDefAccWS">Menu!$H$42</definedName>
    <definedName name="TM1AdminSysVarCAP">Menu!$D$38</definedName>
    <definedName name="TM1AdminSysVarWB">Menu!$F$38</definedName>
    <definedName name="TM1AdminSysVarWS">Menu!$H$38</definedName>
    <definedName name="TM1AdminUploadProgCAP">Menu!$D$51</definedName>
    <definedName name="TM1AdminUploadProgWB">Menu!$F$51</definedName>
    <definedName name="TM1AdminUploadProgWS">Menu!$H$51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AnalyticalCAP">#REF!</definedName>
    <definedName name="TM1HomeRepAnalyticalWB">#REF!</definedName>
    <definedName name="TM1HomeRepAnalyticalWS">#REF!</definedName>
    <definedName name="TM1HomeRepCAP">Menu!$D$30</definedName>
    <definedName name="TM1HomeRepOtherCAP">#REF!</definedName>
    <definedName name="TM1HomeRepOtherWB">#REF!</definedName>
    <definedName name="TM1HomeRepOtherWS">#REF!</definedName>
    <definedName name="TM1HomeRepPFSCAP">#REF!</definedName>
    <definedName name="TM1HomeRepPFSWB">#REF!</definedName>
    <definedName name="TM1HomeRepPFSWS">#REF!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H51" i="1"/>
  <c r="G51" i="1"/>
  <c r="F51" i="1"/>
  <c r="E51" i="1"/>
  <c r="D51" i="1"/>
  <c r="C51" i="1"/>
  <c r="H50" i="1"/>
  <c r="G50" i="1"/>
  <c r="F50" i="1"/>
  <c r="E50" i="1"/>
  <c r="D50" i="1"/>
  <c r="C50" i="1"/>
  <c r="K98" i="1"/>
  <c r="C10" i="1"/>
  <c r="C12" i="1"/>
  <c r="C11" i="1"/>
  <c r="C13" i="1"/>
  <c r="C14" i="1"/>
  <c r="C15" i="1"/>
  <c r="K58" i="1"/>
  <c r="C4" i="1"/>
  <c r="C7" i="1"/>
  <c r="W56" i="1"/>
  <c r="H49" i="1"/>
  <c r="G49" i="1"/>
  <c r="F49" i="1"/>
  <c r="E49" i="1"/>
  <c r="D49" i="1"/>
  <c r="C49" i="1"/>
  <c r="H48" i="1"/>
  <c r="G48" i="1"/>
  <c r="F48" i="1"/>
  <c r="E48" i="1"/>
  <c r="D48" i="1"/>
  <c r="C48" i="1"/>
  <c r="H47" i="1"/>
  <c r="G47" i="1"/>
  <c r="F47" i="1"/>
  <c r="E47" i="1"/>
  <c r="D47" i="1"/>
  <c r="C47" i="1"/>
  <c r="H46" i="1"/>
  <c r="G46" i="1"/>
  <c r="F46" i="1"/>
  <c r="E46" i="1"/>
  <c r="D46" i="1"/>
  <c r="C46" i="1"/>
  <c r="H45" i="1"/>
  <c r="G45" i="1"/>
  <c r="F45" i="1"/>
  <c r="E45" i="1"/>
  <c r="D45" i="1"/>
  <c r="C45" i="1"/>
  <c r="H44" i="1"/>
  <c r="G44" i="1"/>
  <c r="F44" i="1"/>
  <c r="E44" i="1"/>
  <c r="D44" i="1"/>
  <c r="C44" i="1"/>
  <c r="H43" i="1"/>
  <c r="G43" i="1"/>
  <c r="F43" i="1"/>
  <c r="E43" i="1"/>
  <c r="D43" i="1"/>
  <c r="C43" i="1"/>
  <c r="H42" i="1"/>
  <c r="G42" i="1"/>
  <c r="F42" i="1"/>
  <c r="E42" i="1"/>
  <c r="D42" i="1"/>
  <c r="C42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C18" i="1"/>
  <c r="C22" i="1"/>
  <c r="C21" i="1"/>
  <c r="C20" i="1"/>
  <c r="C19" i="1"/>
  <c r="C3" i="1"/>
  <c r="C6" i="1"/>
  <c r="C5" i="1"/>
</calcChain>
</file>

<file path=xl/sharedStrings.xml><?xml version="1.0" encoding="utf-8"?>
<sst xmlns="http://schemas.openxmlformats.org/spreadsheetml/2006/main" count="57" uniqueCount="56">
  <si>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</si>
  <si>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</si>
  <si>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</si>
  <si>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</si>
  <si>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</si>
  <si>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</si>
  <si>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</si>
  <si>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</si>
  <si>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</si>
  <si>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</si>
  <si>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</si>
  <si>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</si>
  <si>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</si>
  <si>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</si>
  <si>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</si>
  <si>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</si>
  <si>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</si>
  <si>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</si>
  <si>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</si>
  <si>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</si>
  <si>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</si>
  <si>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</si>
  <si>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</si>
  <si>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</si>
  <si>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</si>
  <si>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</si>
  <si>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</si>
  <si>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</si>
  <si>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</si>
  <si>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</si>
  <si>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</si>
  <si>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</si>
  <si>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</si>
  <si>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</si>
  <si>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Administration - RDS Mapping</t>
  </si>
  <si>
    <t>Homepage - Administration - GEUS Setup</t>
  </si>
  <si>
    <t>Homepage - Administration - Favourites</t>
  </si>
  <si>
    <t>Homepage - Administration - Baseline</t>
  </si>
  <si>
    <t>Homepage - Under Construction</t>
  </si>
  <si>
    <t>Admin - System Variables</t>
  </si>
  <si>
    <t>Admin - News Item Homepage</t>
  </si>
  <si>
    <t>Admin - Extract Flatfile</t>
  </si>
  <si>
    <t>Admin - Reporting Stage Name Lookup</t>
  </si>
  <si>
    <t>Admin - Set Default Accounts</t>
  </si>
  <si>
    <t>Admin - Application Set Up</t>
  </si>
  <si>
    <t>Admin - Programme Details</t>
  </si>
  <si>
    <t>Admin - Programme Transfers</t>
  </si>
  <si>
    <t>Admin - Indexation Setup</t>
  </si>
  <si>
    <t>Admin - Re-Activating Indexation and FE3</t>
  </si>
  <si>
    <t>Admin - 00BAL Adjustments</t>
  </si>
  <si>
    <t>Admin - GEUS Diagnostic Report</t>
  </si>
  <si>
    <t>ADMINISTRATION</t>
  </si>
  <si>
    <t>GEUS ADMINISTRATION MENU</t>
  </si>
  <si>
    <t>Admin - Create Programme</t>
  </si>
  <si>
    <t>Admin - Upload Programme Dimension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</si>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</sst>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rgb="FF333399"/>
      <name val="Verdana"/>
      <family val="2"/>
    </font>
    <font>
      <sz val="11"/>
      <color theme="8" tint="-0.4999542222357860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8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3" fillId="2" borderId="0" xfId="0" applyFont="1" applyFill="1" applyAlignment="1">
      <alignment horizontal="right" vertical="center"/>
    </xf>
    <xf numFmtId="0" fontId="5" fillId="3" borderId="0" xfId="0" applyFont="1" applyFill="1" applyAlignment="1">
      <alignment vertical="center"/>
    </xf>
    <xf numFmtId="0" fontId="6" fillId="2" borderId="0" xfId="0" applyFont="1" applyFill="1" applyAlignment="1">
      <alignment horizontal="right" vertical="center"/>
    </xf>
    <xf numFmtId="0" fontId="7" fillId="4" borderId="0" xfId="6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4" fillId="2" borderId="0" xfId="0" applyFont="1" applyFill="1" applyAlignment="1">
      <alignment horizontal="right" vertical="center" indent="1"/>
    </xf>
    <xf numFmtId="0" fontId="0" fillId="0" borderId="3" xfId="0" applyBorder="1"/>
    <xf numFmtId="0" fontId="9" fillId="0" borderId="0" xfId="0" applyFont="1"/>
    <xf numFmtId="0" fontId="7" fillId="2" borderId="0" xfId="0" applyFont="1" applyFill="1" applyAlignment="1">
      <alignment horizontal="left" vertical="center"/>
    </xf>
    <xf numFmtId="0" fontId="7" fillId="4" borderId="0" xfId="6" applyFont="1" applyFill="1" applyAlignment="1" applyProtection="1">
      <alignment horizontal="left" vertical="center"/>
    </xf>
    <xf numFmtId="0" fontId="2" fillId="6" borderId="4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6" xr:uid="{00000000-0005-0000-0000-000006000000}"/>
    <cellStyle name="Percent" xfId="1" xr:uid="{00000000-0005-0000-0000-000001000000}"/>
  </cellStyles>
  <dxfs count="1">
    <dxf>
      <font>
        <color theme="0"/>
      </font>
      <fill>
        <patternFill>
          <bgColor theme="9" tint="-0.499954222235786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57</xdr:row>
      <xdr:rowOff>55686</xdr:rowOff>
    </xdr:from>
    <xdr:to>
      <xdr:col>22</xdr:col>
      <xdr:colOff>206290</xdr:colOff>
      <xdr:row>57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6191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62</xdr:row>
      <xdr:rowOff>57150</xdr:rowOff>
    </xdr:from>
    <xdr:to>
      <xdr:col>15</xdr:col>
      <xdr:colOff>307716</xdr:colOff>
      <xdr:row>62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62625" y="1600200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28575</xdr:rowOff>
    </xdr:from>
    <xdr:to>
      <xdr:col>12</xdr:col>
      <xdr:colOff>57150</xdr:colOff>
      <xdr:row>55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62</xdr:row>
      <xdr:rowOff>66675</xdr:rowOff>
    </xdr:from>
    <xdr:to>
      <xdr:col>22</xdr:col>
      <xdr:colOff>289046</xdr:colOff>
      <xdr:row>62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77675" y="1609725"/>
          <a:ext cx="238125" cy="180975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19052</xdr:colOff>
      <xdr:row>0</xdr:row>
      <xdr:rowOff>0</xdr:rowOff>
    </xdr:from>
    <xdr:to>
      <xdr:col>26</xdr:col>
      <xdr:colOff>76202</xdr:colOff>
      <xdr:row>63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0100" y="0"/>
          <a:ext cx="1885950" cy="1905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63</xdr:row>
      <xdr:rowOff>47625</xdr:rowOff>
    </xdr:from>
    <xdr:to>
      <xdr:col>14</xdr:col>
      <xdr:colOff>752475</xdr:colOff>
      <xdr:row>66</xdr:row>
      <xdr:rowOff>0</xdr:rowOff>
    </xdr:to>
    <xdr:sp macro="Sheet1.ExecuteAction_c53ac11a_d4ad_4254_912c_fc4136b1cdde" textlink="TM1HomeAdminGEUSCAP">
      <xdr:nvSpPr>
        <xdr:cNvPr id="2" name="TM1Button_c53ac11a_d4ad_4254_912c_fc4136b1cdde">
          <a:extLst>
            <a:ext uri="{FF2B5EF4-FFF2-40B4-BE49-F238E27FC236}">
              <a16:creationId xmlns:a16="http://schemas.microsoft.com/office/drawing/2014/main" id="{E30FCDDC-A33F-5797-988C-881C23F805DD}"/>
            </a:ext>
          </a:extLst>
        </xdr:cNvPr>
        <xdr:cNvSpPr txBox="1"/>
      </xdr:nvSpPr>
      <xdr:spPr>
        <a:xfrm>
          <a:off x="438150" y="1905000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A9B6C87-3F9F-4708-9992-98D54D05E22F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47625</xdr:rowOff>
    </xdr:from>
    <xdr:to>
      <xdr:col>21</xdr:col>
      <xdr:colOff>1038225</xdr:colOff>
      <xdr:row>68</xdr:row>
      <xdr:rowOff>57150</xdr:rowOff>
    </xdr:to>
    <xdr:sp macro="Sheet1.ExecuteAction_5a402abf_8682_44c4_8c7c_9808afc5a3a6" textlink="">
      <xdr:nvSpPr>
        <xdr:cNvPr id="4" name="TM1Button_5a402abf_8682_44c4_8c7c_9808afc5a3a6">
          <a:extLst>
            <a:ext uri="{FF2B5EF4-FFF2-40B4-BE49-F238E27FC236}">
              <a16:creationId xmlns:a16="http://schemas.microsoft.com/office/drawing/2014/main" id="{EC6B1835-E0AA-E10E-EFCC-970B80B6F1FA}"/>
            </a:ext>
          </a:extLst>
        </xdr:cNvPr>
        <xdr:cNvSpPr txBox="1"/>
      </xdr:nvSpPr>
      <xdr:spPr>
        <a:xfrm>
          <a:off x="6858000" y="226695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News Item and Homepage Setup</a:t>
          </a:r>
        </a:p>
      </xdr:txBody>
    </xdr:sp>
    <xdr:clientData/>
  </xdr:twoCellAnchor>
  <xdr:twoCellAnchor editAs="oneCell">
    <xdr:from>
      <xdr:col>18</xdr:col>
      <xdr:colOff>285750</xdr:colOff>
      <xdr:row>68</xdr:row>
      <xdr:rowOff>104775</xdr:rowOff>
    </xdr:from>
    <xdr:to>
      <xdr:col>21</xdr:col>
      <xdr:colOff>1038225</xdr:colOff>
      <xdr:row>70</xdr:row>
      <xdr:rowOff>114300</xdr:rowOff>
    </xdr:to>
    <xdr:sp macro="Sheet1.ExecuteAction_e7924628_e156_4866_b3e6_54f8a63ce375" textlink="">
      <xdr:nvSpPr>
        <xdr:cNvPr id="5" name="TM1Button_e7924628_e156_4866_b3e6_54f8a63ce375">
          <a:extLst>
            <a:ext uri="{FF2B5EF4-FFF2-40B4-BE49-F238E27FC236}">
              <a16:creationId xmlns:a16="http://schemas.microsoft.com/office/drawing/2014/main" id="{54CE4C00-FD2E-B581-F237-2664B630C073}"/>
            </a:ext>
          </a:extLst>
        </xdr:cNvPr>
        <xdr:cNvSpPr txBox="1"/>
      </xdr:nvSpPr>
      <xdr:spPr>
        <a:xfrm>
          <a:off x="6858000" y="26289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 / Flatfile Management</a:t>
          </a:r>
        </a:p>
      </xdr:txBody>
    </xdr:sp>
    <xdr:clientData/>
  </xdr:twoCellAnchor>
  <xdr:twoCellAnchor editAs="oneCell">
    <xdr:from>
      <xdr:col>18</xdr:col>
      <xdr:colOff>285750</xdr:colOff>
      <xdr:row>81</xdr:row>
      <xdr:rowOff>19050</xdr:rowOff>
    </xdr:from>
    <xdr:to>
      <xdr:col>21</xdr:col>
      <xdr:colOff>1038225</xdr:colOff>
      <xdr:row>84</xdr:row>
      <xdr:rowOff>28575</xdr:rowOff>
    </xdr:to>
    <xdr:sp macro="Sheet1.ExecuteAction_8c8e983d_d990_4420_9490_96872cc2b085" textlink="TM1AdminCreateProgCAP">
      <xdr:nvSpPr>
        <xdr:cNvPr id="6" name="TM1Button_8c8e983d_d990_4420_9490_96872cc2b085">
          <a:extLst>
            <a:ext uri="{FF2B5EF4-FFF2-40B4-BE49-F238E27FC236}">
              <a16:creationId xmlns:a16="http://schemas.microsoft.com/office/drawing/2014/main" id="{99AA0564-3100-3CB6-9661-97E3F88506E5}"/>
            </a:ext>
          </a:extLst>
        </xdr:cNvPr>
        <xdr:cNvSpPr txBox="1"/>
      </xdr:nvSpPr>
      <xdr:spPr>
        <a:xfrm>
          <a:off x="6858000" y="44100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7C909C7-DF6F-43D0-8E18-67B8F6CC905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70</xdr:row>
      <xdr:rowOff>161925</xdr:rowOff>
    </xdr:from>
    <xdr:to>
      <xdr:col>21</xdr:col>
      <xdr:colOff>1038225</xdr:colOff>
      <xdr:row>72</xdr:row>
      <xdr:rowOff>38100</xdr:rowOff>
    </xdr:to>
    <xdr:sp macro="Sheet1.ExecuteAction_97427daa_7843_43c1_bdd7_294d41ff8d24" textlink="">
      <xdr:nvSpPr>
        <xdr:cNvPr id="7" name="TM1Button_97427daa_7843_43c1_bdd7_294d41ff8d24">
          <a:extLst>
            <a:ext uri="{FF2B5EF4-FFF2-40B4-BE49-F238E27FC236}">
              <a16:creationId xmlns:a16="http://schemas.microsoft.com/office/drawing/2014/main" id="{BC24764D-DE06-C746-CB55-248A848353DF}"/>
            </a:ext>
          </a:extLst>
        </xdr:cNvPr>
        <xdr:cNvSpPr txBox="1"/>
      </xdr:nvSpPr>
      <xdr:spPr>
        <a:xfrm>
          <a:off x="6858000" y="299085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Default Accounts For Data Entry</a:t>
          </a:r>
        </a:p>
      </xdr:txBody>
    </xdr:sp>
    <xdr:clientData/>
  </xdr:twoCellAnchor>
  <xdr:twoCellAnchor editAs="oneCell">
    <xdr:from>
      <xdr:col>18</xdr:col>
      <xdr:colOff>285750</xdr:colOff>
      <xdr:row>72</xdr:row>
      <xdr:rowOff>85725</xdr:rowOff>
    </xdr:from>
    <xdr:to>
      <xdr:col>21</xdr:col>
      <xdr:colOff>1038225</xdr:colOff>
      <xdr:row>74</xdr:row>
      <xdr:rowOff>152400</xdr:rowOff>
    </xdr:to>
    <xdr:sp macro="Sheet1.ExecuteAction_eeecf294_3d34_4850_8550_dc1b8193d414" textlink="">
      <xdr:nvSpPr>
        <xdr:cNvPr id="8" name="TM1Button_eeecf294_3d34_4850_8550_dc1b8193d414">
          <a:extLst>
            <a:ext uri="{FF2B5EF4-FFF2-40B4-BE49-F238E27FC236}">
              <a16:creationId xmlns:a16="http://schemas.microsoft.com/office/drawing/2014/main" id="{137C5535-0E58-2E95-7417-17175C47EC3F}"/>
            </a:ext>
          </a:extLst>
        </xdr:cNvPr>
        <xdr:cNvSpPr txBox="1"/>
      </xdr:nvSpPr>
      <xdr:spPr>
        <a:xfrm>
          <a:off x="6858000" y="33432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Applications Management</a:t>
          </a:r>
        </a:p>
      </xdr:txBody>
    </xdr:sp>
    <xdr:clientData/>
  </xdr:twoCellAnchor>
  <xdr:twoCellAnchor editAs="oneCell">
    <xdr:from>
      <xdr:col>18</xdr:col>
      <xdr:colOff>285750</xdr:colOff>
      <xdr:row>75</xdr:row>
      <xdr:rowOff>9525</xdr:rowOff>
    </xdr:from>
    <xdr:to>
      <xdr:col>21</xdr:col>
      <xdr:colOff>1038225</xdr:colOff>
      <xdr:row>78</xdr:row>
      <xdr:rowOff>19050</xdr:rowOff>
    </xdr:to>
    <xdr:sp macro="Sheet1.ExecuteAction_24b5292a_1df3_4d3e_aa01_1b99ec54013d" textlink="">
      <xdr:nvSpPr>
        <xdr:cNvPr id="10" name="TM1Button_24b5292a_1df3_4d3e_aa01_1b99ec54013d">
          <a:extLst>
            <a:ext uri="{FF2B5EF4-FFF2-40B4-BE49-F238E27FC236}">
              <a16:creationId xmlns:a16="http://schemas.microsoft.com/office/drawing/2014/main" id="{03351FC9-8857-5F6D-7929-BD5D192869B6}"/>
            </a:ext>
          </a:extLst>
        </xdr:cNvPr>
        <xdr:cNvSpPr txBox="1"/>
      </xdr:nvSpPr>
      <xdr:spPr>
        <a:xfrm>
          <a:off x="6858000" y="3686175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Program Details</a:t>
          </a:r>
        </a:p>
      </xdr:txBody>
    </xdr:sp>
    <xdr:clientData/>
  </xdr:twoCellAnchor>
  <xdr:twoCellAnchor editAs="oneCell">
    <xdr:from>
      <xdr:col>18</xdr:col>
      <xdr:colOff>285750</xdr:colOff>
      <xdr:row>87</xdr:row>
      <xdr:rowOff>38100</xdr:rowOff>
    </xdr:from>
    <xdr:to>
      <xdr:col>21</xdr:col>
      <xdr:colOff>1038225</xdr:colOff>
      <xdr:row>90</xdr:row>
      <xdr:rowOff>38100</xdr:rowOff>
    </xdr:to>
    <xdr:sp macro="Sheet1.ExecuteAction_385c5a58_d056_4d40_b4c4_cb6c06f78333" textlink="">
      <xdr:nvSpPr>
        <xdr:cNvPr id="13" name="TM1Button_385c5a58_d056_4d40_b4c4_cb6c06f78333">
          <a:extLst>
            <a:ext uri="{FF2B5EF4-FFF2-40B4-BE49-F238E27FC236}">
              <a16:creationId xmlns:a16="http://schemas.microsoft.com/office/drawing/2014/main" id="{DB14FDA9-B12C-611A-2218-AEAE2B80CDCA}"/>
            </a:ext>
          </a:extLst>
        </xdr:cNvPr>
        <xdr:cNvSpPr txBox="1"/>
      </xdr:nvSpPr>
      <xdr:spPr>
        <a:xfrm>
          <a:off x="6858000" y="5143500"/>
          <a:ext cx="4695825" cy="2952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Indexation Rates For Parameters and ED</a:t>
          </a:r>
        </a:p>
      </xdr:txBody>
    </xdr:sp>
    <xdr:clientData/>
  </xdr:twoCellAnchor>
  <xdr:twoCellAnchor editAs="oneCell">
    <xdr:from>
      <xdr:col>18</xdr:col>
      <xdr:colOff>285750</xdr:colOff>
      <xdr:row>90</xdr:row>
      <xdr:rowOff>85725</xdr:rowOff>
    </xdr:from>
    <xdr:to>
      <xdr:col>21</xdr:col>
      <xdr:colOff>1038225</xdr:colOff>
      <xdr:row>92</xdr:row>
      <xdr:rowOff>152400</xdr:rowOff>
    </xdr:to>
    <xdr:sp macro="Sheet1.ExecuteAction_7e8bf607_aa41_4fbc_b18e_4e10c97e793b" textlink="">
      <xdr:nvSpPr>
        <xdr:cNvPr id="14" name="TM1Button_7e8bf607_aa41_4fbc_b18e_4e10c97e793b">
          <a:extLst>
            <a:ext uri="{FF2B5EF4-FFF2-40B4-BE49-F238E27FC236}">
              <a16:creationId xmlns:a16="http://schemas.microsoft.com/office/drawing/2014/main" id="{97A0A81B-C42E-2D83-4BA7-1EB6C704FF81}"/>
            </a:ext>
          </a:extLst>
        </xdr:cNvPr>
        <xdr:cNvSpPr txBox="1"/>
      </xdr:nvSpPr>
      <xdr:spPr>
        <a:xfrm>
          <a:off x="6858000" y="54864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GEUS Diagnostic Report</a:t>
          </a:r>
        </a:p>
      </xdr:txBody>
    </xdr:sp>
    <xdr:clientData/>
  </xdr:twoCellAnchor>
  <xdr:twoCellAnchor editAs="oneCell">
    <xdr:from>
      <xdr:col>11</xdr:col>
      <xdr:colOff>0</xdr:colOff>
      <xdr:row>70</xdr:row>
      <xdr:rowOff>161925</xdr:rowOff>
    </xdr:from>
    <xdr:to>
      <xdr:col>14</xdr:col>
      <xdr:colOff>752475</xdr:colOff>
      <xdr:row>72</xdr:row>
      <xdr:rowOff>38100</xdr:rowOff>
    </xdr:to>
    <xdr:sp macro="Sheet1.ExecuteAction_5577f78b_c2e9_4bfd_9319_c12c3fd767da" textlink="TM1HomeAdminBaseCAP">
      <xdr:nvSpPr>
        <xdr:cNvPr id="15" name="TM1Button_5577f78b_c2e9_4bfd_9319_c12c3fd767da">
          <a:extLst>
            <a:ext uri="{FF2B5EF4-FFF2-40B4-BE49-F238E27FC236}">
              <a16:creationId xmlns:a16="http://schemas.microsoft.com/office/drawing/2014/main" id="{6A450872-5907-D1B4-8D1A-18807E7F073A}"/>
            </a:ext>
          </a:extLst>
        </xdr:cNvPr>
        <xdr:cNvSpPr txBox="1"/>
      </xdr:nvSpPr>
      <xdr:spPr>
        <a:xfrm>
          <a:off x="438150" y="2990850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730FB88-CD5B-42DD-9464-989F42D89DB1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84</xdr:row>
      <xdr:rowOff>76200</xdr:rowOff>
    </xdr:from>
    <xdr:to>
      <xdr:col>21</xdr:col>
      <xdr:colOff>1038225</xdr:colOff>
      <xdr:row>86</xdr:row>
      <xdr:rowOff>142875</xdr:rowOff>
    </xdr:to>
    <xdr:sp macro="Sheet1.ExecuteAction_cec2921f_ebc0_479a_83d2_c2769358fda3" textlink="TM1AdminUploadProgCAP">
      <xdr:nvSpPr>
        <xdr:cNvPr id="16" name="TM1Button_cec2921f_ebc0_479a_83d2_c2769358fda3">
          <a:extLst>
            <a:ext uri="{FF2B5EF4-FFF2-40B4-BE49-F238E27FC236}">
              <a16:creationId xmlns:a16="http://schemas.microsoft.com/office/drawing/2014/main" id="{04C8C8D2-04AB-82C9-9EB7-362B9813266A}"/>
            </a:ext>
          </a:extLst>
        </xdr:cNvPr>
        <xdr:cNvSpPr txBox="1"/>
      </xdr:nvSpPr>
      <xdr:spPr>
        <a:xfrm>
          <a:off x="6858000" y="47625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B712EE-1C4E-4E90-AB4B-A4EC29562F22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47625</xdr:rowOff>
    </xdr:from>
    <xdr:to>
      <xdr:col>14</xdr:col>
      <xdr:colOff>752475</xdr:colOff>
      <xdr:row>68</xdr:row>
      <xdr:rowOff>57150</xdr:rowOff>
    </xdr:to>
    <xdr:sp macro="Sheet1.ExecuteAction_819a6485_1a43_4fc3_8681_66ca9d4c33ac" textlink="TM1HomeAdminRDSCAP">
      <xdr:nvSpPr>
        <xdr:cNvPr id="17" name="TM1Button_819a6485_1a43_4fc3_8681_66ca9d4c33ac">
          <a:extLst>
            <a:ext uri="{FF2B5EF4-FFF2-40B4-BE49-F238E27FC236}">
              <a16:creationId xmlns:a16="http://schemas.microsoft.com/office/drawing/2014/main" id="{A4A54174-E7FA-0FC3-5B70-FBD1E13AD59A}"/>
            </a:ext>
          </a:extLst>
        </xdr:cNvPr>
        <xdr:cNvSpPr txBox="1"/>
      </xdr:nvSpPr>
      <xdr:spPr>
        <a:xfrm>
          <a:off x="438150" y="226695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3DCB8A5-B072-4C49-AA19-1A20A8CA005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72</xdr:row>
      <xdr:rowOff>85725</xdr:rowOff>
    </xdr:from>
    <xdr:to>
      <xdr:col>14</xdr:col>
      <xdr:colOff>752475</xdr:colOff>
      <xdr:row>74</xdr:row>
      <xdr:rowOff>152400</xdr:rowOff>
    </xdr:to>
    <xdr:sp macro="Sheet1.ExecuteAction_4e74d238_272b_4a9f_95e1_8d226b3ebe69" textlink="TM1HomeAdminFavCAP">
      <xdr:nvSpPr>
        <xdr:cNvPr id="18" name="TM1Button_4e74d238_272b_4a9f_95e1_8d226b3ebe69">
          <a:extLst>
            <a:ext uri="{FF2B5EF4-FFF2-40B4-BE49-F238E27FC236}">
              <a16:creationId xmlns:a16="http://schemas.microsoft.com/office/drawing/2014/main" id="{A0417616-A907-5466-C3EB-7D156D8496A4}"/>
            </a:ext>
          </a:extLst>
        </xdr:cNvPr>
        <xdr:cNvSpPr txBox="1"/>
      </xdr:nvSpPr>
      <xdr:spPr>
        <a:xfrm>
          <a:off x="438150" y="3343275"/>
          <a:ext cx="4695825" cy="3048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BB5DA22-D7CD-4F7C-8453-1F7C2B816D2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104775</xdr:rowOff>
    </xdr:from>
    <xdr:to>
      <xdr:col>14</xdr:col>
      <xdr:colOff>752475</xdr:colOff>
      <xdr:row>70</xdr:row>
      <xdr:rowOff>114300</xdr:rowOff>
    </xdr:to>
    <xdr:sp macro="Sheet1.ExecuteAction_c83dfa71_df5a_465b_970f_7a719e60663c" textlink="TM1HomeAdminRDSMapCAP">
      <xdr:nvSpPr>
        <xdr:cNvPr id="20" name="TM1Button_c83dfa71_df5a_465b_970f_7a719e60663c">
          <a:extLst>
            <a:ext uri="{FF2B5EF4-FFF2-40B4-BE49-F238E27FC236}">
              <a16:creationId xmlns:a16="http://schemas.microsoft.com/office/drawing/2014/main" id="{97D3E37B-A47C-F605-7446-B8827EAD87DA}"/>
            </a:ext>
          </a:extLst>
        </xdr:cNvPr>
        <xdr:cNvSpPr txBox="1"/>
      </xdr:nvSpPr>
      <xdr:spPr>
        <a:xfrm>
          <a:off x="438150" y="2628900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A4B3D8-04A9-41D1-B84C-4DC5395DBE1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78</xdr:row>
      <xdr:rowOff>66675</xdr:rowOff>
    </xdr:from>
    <xdr:to>
      <xdr:col>21</xdr:col>
      <xdr:colOff>1038225</xdr:colOff>
      <xdr:row>80</xdr:row>
      <xdr:rowOff>133350</xdr:rowOff>
    </xdr:to>
    <xdr:sp macro="Sheet1.ExecuteAction_feb6819e_e12f_4107_81a7_0cc6892356c6" textlink="">
      <xdr:nvSpPr>
        <xdr:cNvPr id="22" name="TM1Button_feb6819e_e12f_4107_81a7_0cc6892356c6">
          <a:extLst>
            <a:ext uri="{FF2B5EF4-FFF2-40B4-BE49-F238E27FC236}">
              <a16:creationId xmlns:a16="http://schemas.microsoft.com/office/drawing/2014/main" id="{094EF949-1B9F-68AB-99AE-32BD1FF8526B}"/>
            </a:ext>
          </a:extLst>
        </xdr:cNvPr>
        <xdr:cNvSpPr txBox="1"/>
      </xdr:nvSpPr>
      <xdr:spPr>
        <a:xfrm>
          <a:off x="6858000" y="4038600"/>
          <a:ext cx="4695825" cy="3048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Transfers</a:t>
          </a:r>
        </a:p>
      </xdr:txBody>
    </xdr:sp>
    <xdr:clientData/>
  </xdr:twoCellAnchor>
  <xdr:twoCellAnchor editAs="oneCell">
    <xdr:from>
      <xdr:col>10</xdr:col>
      <xdr:colOff>123825</xdr:colOff>
      <xdr:row>59</xdr:row>
      <xdr:rowOff>47625</xdr:rowOff>
    </xdr:from>
    <xdr:to>
      <xdr:col>13</xdr:col>
      <xdr:colOff>38100</xdr:colOff>
      <xdr:row>61</xdr:row>
      <xdr:rowOff>85725</xdr:rowOff>
    </xdr:to>
    <xdr:sp macro="Sheet1.ExecuteAction_c4380338_72bb_4e75_b50e_efd722561786" textlink="TM1HomeCAP">
      <xdr:nvSpPr>
        <xdr:cNvPr id="23" name="TM1Button_c4380338_72bb_4e75_b50e_efd722561786">
          <a:extLst>
            <a:ext uri="{FF2B5EF4-FFF2-40B4-BE49-F238E27FC236}">
              <a16:creationId xmlns:a16="http://schemas.microsoft.com/office/drawing/2014/main" id="{1FBA23C2-F57C-18A9-5C0A-72E13C4458CC}"/>
            </a:ext>
          </a:extLst>
        </xdr:cNvPr>
        <xdr:cNvSpPr txBox="1"/>
      </xdr:nvSpPr>
      <xdr:spPr>
        <a:xfrm>
          <a:off x="180975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CDA1E38-4184-442D-80D2-48FEFBF4EA08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59</xdr:row>
      <xdr:rowOff>47625</xdr:rowOff>
    </xdr:from>
    <xdr:to>
      <xdr:col>15</xdr:col>
      <xdr:colOff>352425</xdr:colOff>
      <xdr:row>61</xdr:row>
      <xdr:rowOff>85725</xdr:rowOff>
    </xdr:to>
    <xdr:sp macro="Sheet1.ExecuteAction_26f19c5b_d57a_4897_9fc4_6a3d553f40ab" textlink="TM1HomeAECAP">
      <xdr:nvSpPr>
        <xdr:cNvPr id="24" name="TM1Button_26f19c5b_d57a_4897_9fc4_6a3d553f40ab">
          <a:extLst>
            <a:ext uri="{FF2B5EF4-FFF2-40B4-BE49-F238E27FC236}">
              <a16:creationId xmlns:a16="http://schemas.microsoft.com/office/drawing/2014/main" id="{86B74AF3-5D64-F48F-B3E7-01C5E9BD7594}"/>
            </a:ext>
          </a:extLst>
        </xdr:cNvPr>
        <xdr:cNvSpPr txBox="1"/>
      </xdr:nvSpPr>
      <xdr:spPr>
        <a:xfrm>
          <a:off x="3124200" y="1047750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FA995E-843F-4493-99BB-3DC1FFD07A1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59</xdr:row>
      <xdr:rowOff>38100</xdr:rowOff>
    </xdr:from>
    <xdr:to>
      <xdr:col>19</xdr:col>
      <xdr:colOff>1104900</xdr:colOff>
      <xdr:row>61</xdr:row>
      <xdr:rowOff>76200</xdr:rowOff>
    </xdr:to>
    <xdr:sp macro="Sheet1.ExecuteAction_32ed1db3_52e9_4e3c_9285_0d538840cb10" textlink="TM1HomeRepCAP">
      <xdr:nvSpPr>
        <xdr:cNvPr id="25" name="TM1Button_32ed1db3_52e9_4e3c_9285_0d538840cb10">
          <a:extLst>
            <a:ext uri="{FF2B5EF4-FFF2-40B4-BE49-F238E27FC236}">
              <a16:creationId xmlns:a16="http://schemas.microsoft.com/office/drawing/2014/main" id="{50D11F50-964F-617F-C88A-B9D7152238E5}"/>
            </a:ext>
          </a:extLst>
        </xdr:cNvPr>
        <xdr:cNvSpPr txBox="1"/>
      </xdr:nvSpPr>
      <xdr:spPr>
        <a:xfrm>
          <a:off x="6067425" y="1038225"/>
          <a:ext cx="2924175" cy="4000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798BD1C-8E7E-40E2-BC35-0BA4A45EC87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59</xdr:row>
      <xdr:rowOff>38100</xdr:rowOff>
    </xdr:from>
    <xdr:to>
      <xdr:col>22</xdr:col>
      <xdr:colOff>114300</xdr:colOff>
      <xdr:row>61</xdr:row>
      <xdr:rowOff>76200</xdr:rowOff>
    </xdr:to>
    <xdr:sp macro="Sheet1.ExecuteAction_c9e82ff8_4d93_4003_8294_d0f55ce65e7b" textlink="TM1HomeAdminCAP">
      <xdr:nvSpPr>
        <xdr:cNvPr id="26" name="TM1Button_c9e82ff8_4d93_4003_8294_d0f55ce65e7b">
          <a:extLst>
            <a:ext uri="{FF2B5EF4-FFF2-40B4-BE49-F238E27FC236}">
              <a16:creationId xmlns:a16="http://schemas.microsoft.com/office/drawing/2014/main" id="{45D36264-EB1F-1282-99A3-DFB9B2A337CC}"/>
            </a:ext>
          </a:extLst>
        </xdr:cNvPr>
        <xdr:cNvSpPr txBox="1"/>
      </xdr:nvSpPr>
      <xdr:spPr>
        <a:xfrm>
          <a:off x="9020175" y="1038225"/>
          <a:ext cx="2924175" cy="40005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950275A-110A-4FB0-A727-51BDD511636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63</xdr:row>
      <xdr:rowOff>47625</xdr:rowOff>
    </xdr:from>
    <xdr:to>
      <xdr:col>21</xdr:col>
      <xdr:colOff>1038225</xdr:colOff>
      <xdr:row>66</xdr:row>
      <xdr:rowOff>0</xdr:rowOff>
    </xdr:to>
    <xdr:sp macro="Sheet1.ExecuteAction_325b8a78_4570_4a11_938b_41430ce8f5a6" textlink="">
      <xdr:nvSpPr>
        <xdr:cNvPr id="27" name="TM1Button_325b8a78_4570_4a11_938b_41430ce8f5a6">
          <a:extLst>
            <a:ext uri="{FF2B5EF4-FFF2-40B4-BE49-F238E27FC236}">
              <a16:creationId xmlns:a16="http://schemas.microsoft.com/office/drawing/2014/main" id="{630C1AD5-D483-D192-9C36-32798F7658EA}"/>
            </a:ext>
          </a:extLst>
        </xdr:cNvPr>
        <xdr:cNvSpPr txBox="1"/>
      </xdr:nvSpPr>
      <xdr:spPr>
        <a:xfrm>
          <a:off x="6858000" y="1905000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System Variable Management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/>
  <dimension ref="A1:W98"/>
  <sheetViews>
    <sheetView showGridLines="0" tabSelected="1" topLeftCell="J56" workbookViewId="0"/>
  </sheetViews>
  <sheetFormatPr defaultRowHeight="14.45" customHeight="1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83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t="14.45" hidden="1" customHeight="1" outlineLevel="1" x14ac:dyDescent="0.25">
      <c r="B1" s="16" t="s">
        <v>0</v>
      </c>
      <c r="C1" s="17"/>
      <c r="D1" s="18"/>
    </row>
    <row r="2" spans="2:4" ht="14.45" hidden="1" customHeight="1" outlineLevel="1" x14ac:dyDescent="0.25">
      <c r="B2" s="2" t="s">
        <v>1</v>
      </c>
      <c r="C2" s="3" t="s">
        <v>55</v>
      </c>
      <c r="D2" s="4"/>
    </row>
    <row r="3" spans="2:4" ht="14.45" hidden="1" customHeight="1" outlineLevel="1" x14ac:dyDescent="0.25">
      <c r="B3" s="2" t="s">
        <v>2</v>
      </c>
      <c r="C3" s="10" t="e">
        <f ca="1">_xll.VIEW((db_name&amp;":}ElementAttributes_}Clients"),"!","!")</f>
        <v>#NAME?</v>
      </c>
      <c r="D3" s="4"/>
    </row>
    <row r="4" spans="2:4" ht="14.45" hidden="1" customHeight="1" outlineLevel="1" x14ac:dyDescent="0.25">
      <c r="B4" s="2" t="s">
        <v>3</v>
      </c>
      <c r="C4" s="3" t="e">
        <f ca="1">_xll.TM1USER(db_name)</f>
        <v>#NAME?</v>
      </c>
      <c r="D4" s="4"/>
    </row>
    <row r="5" spans="2:4" ht="14.45" hidden="1" customHeight="1" outlineLevel="1" x14ac:dyDescent="0.25">
      <c r="B5" s="2" t="s">
        <v>4</v>
      </c>
      <c r="C5" s="3" t="e">
        <f ca="1">_xll.DBR($C$3,$C$4,$B5)</f>
        <v>#NAME?</v>
      </c>
      <c r="D5" s="4"/>
    </row>
    <row r="6" spans="2:4" ht="14.45" hidden="1" customHeight="1" outlineLevel="1" x14ac:dyDescent="0.25">
      <c r="B6" s="2" t="s">
        <v>5</v>
      </c>
      <c r="C6" s="3" t="e">
        <f ca="1">_xll.DBR($C$3,$C$4,$B6)</f>
        <v>#NAME?</v>
      </c>
      <c r="D6" s="4"/>
    </row>
    <row r="7" spans="2:4" ht="14.45" hidden="1" customHeight="1" outlineLevel="1" x14ac:dyDescent="0.25">
      <c r="B7" s="2" t="s">
        <v>6</v>
      </c>
      <c r="C7" s="3" t="e">
        <f ca="1">IF((LEFT($C$4,6)="CAM_AD"),$C$5,$C$4)</f>
        <v>#NAME?</v>
      </c>
      <c r="D7" s="1"/>
    </row>
    <row r="8" spans="2:4" ht="14.45" hidden="1" customHeight="1" outlineLevel="1" x14ac:dyDescent="0.25"/>
    <row r="9" spans="2:4" ht="14.45" hidden="1" customHeight="1" outlineLevel="1" x14ac:dyDescent="0.25">
      <c r="B9" s="16" t="s">
        <v>7</v>
      </c>
      <c r="C9" s="17"/>
      <c r="D9" s="18"/>
    </row>
    <row r="10" spans="2:4" ht="14.45" hidden="1" customHeight="1" outlineLevel="1" x14ac:dyDescent="0.25">
      <c r="B10" s="2" t="s">
        <v>8</v>
      </c>
      <c r="C10" s="1" t="e">
        <f ca="1">_xll.VIEW((db_name&amp;":}ElementAttributes_variables"),"!","!")</f>
        <v>#NAME?</v>
      </c>
      <c r="D10" s="1"/>
    </row>
    <row r="11" spans="2:4" ht="14.45" hidden="1" customHeight="1" outlineLevel="1" x14ac:dyDescent="0.25">
      <c r="B11" s="2" t="s">
        <v>9</v>
      </c>
      <c r="C11" s="1" t="e">
        <f ca="1">_xll.DBR($C$10,$B11,"value")</f>
        <v>#NAME?</v>
      </c>
      <c r="D11" s="1"/>
    </row>
    <row r="12" spans="2:4" ht="14.45" hidden="1" customHeight="1" outlineLevel="1" x14ac:dyDescent="0.25">
      <c r="B12" s="2" t="s">
        <v>10</v>
      </c>
      <c r="C12" s="1" t="e">
        <f ca="1">_xll.DBR($C$10,$B12,"value")</f>
        <v>#NAME?</v>
      </c>
      <c r="D12" s="1"/>
    </row>
    <row r="13" spans="2:4" ht="14.45" hidden="1" customHeight="1" outlineLevel="1" x14ac:dyDescent="0.25">
      <c r="B13" s="2" t="s">
        <v>11</v>
      </c>
      <c r="C13" s="1" t="e">
        <f ca="1">_xll.DBR($C$10,$B13,"value")</f>
        <v>#NAME?</v>
      </c>
      <c r="D13" s="1"/>
    </row>
    <row r="14" spans="2:4" ht="14.45" hidden="1" customHeight="1" outlineLevel="1" x14ac:dyDescent="0.25">
      <c r="B14" s="2" t="s">
        <v>12</v>
      </c>
      <c r="C14" s="1" t="e">
        <f ca="1">_xll.DBR($C$10,$B14,"value")</f>
        <v>#NAME?</v>
      </c>
      <c r="D14" s="1"/>
    </row>
    <row r="15" spans="2:4" ht="14.45" hidden="1" customHeight="1" outlineLevel="1" x14ac:dyDescent="0.25">
      <c r="B15" s="2" t="s">
        <v>13</v>
      </c>
      <c r="C15" s="1" t="e">
        <f ca="1">("The current scenario is """&amp;($C$12&amp;(""" for the """&amp;($C$11&amp;(""" Headline Year. Archive was done for """&amp;($C$13&amp;(""" on scenario """&amp;($C$14&amp;"""."))))))))</f>
        <v>#NAME?</v>
      </c>
      <c r="D15" s="1"/>
    </row>
    <row r="16" spans="2:4" ht="14.45" hidden="1" customHeight="1" outlineLevel="1" x14ac:dyDescent="0.25"/>
    <row r="17" spans="2:8" ht="14.45" hidden="1" customHeight="1" outlineLevel="1" x14ac:dyDescent="0.25">
      <c r="B17" s="16" t="s">
        <v>14</v>
      </c>
      <c r="C17" s="17"/>
      <c r="D17" s="18"/>
    </row>
    <row r="18" spans="2:8" ht="14.45" hidden="1" customHeight="1" outlineLevel="1" x14ac:dyDescent="0.25">
      <c r="B18" s="2" t="s">
        <v>8</v>
      </c>
      <c r="C18" s="1" t="e">
        <f ca="1">_xll.VIEW((db_name&amp;":sys_client preference"),"!","!","!")</f>
        <v>#NAME?</v>
      </c>
      <c r="D18" s="1"/>
    </row>
    <row r="19" spans="2:8" ht="14.45" hidden="1" customHeight="1" outlineLevel="1" x14ac:dyDescent="0.25">
      <c r="B19" s="2" t="s">
        <v>15</v>
      </c>
      <c r="C19" s="1" t="e">
        <f ca="1">_xll.DBR($C$18,psUser,$B19,"value")</f>
        <v>#NAME?</v>
      </c>
      <c r="D19" s="1"/>
    </row>
    <row r="20" spans="2:8" ht="14.45" hidden="1" customHeight="1" outlineLevel="1" x14ac:dyDescent="0.25">
      <c r="B20" s="2" t="s">
        <v>16</v>
      </c>
      <c r="C20" s="1" t="e">
        <f ca="1">_xll.DBR($C$18,psUser,$B20,"value")</f>
        <v>#NAME?</v>
      </c>
      <c r="D20" s="1"/>
    </row>
    <row r="21" spans="2:8" ht="14.45" hidden="1" customHeight="1" outlineLevel="1" x14ac:dyDescent="0.25">
      <c r="B21" s="2" t="s">
        <v>17</v>
      </c>
      <c r="C21" s="1" t="e">
        <f ca="1">_xll.DBR($C$18,psUser,$B21,"value")</f>
        <v>#NAME?</v>
      </c>
      <c r="D21" s="1"/>
    </row>
    <row r="22" spans="2:8" ht="14.45" hidden="1" customHeight="1" outlineLevel="1" x14ac:dyDescent="0.25">
      <c r="B22" s="2" t="s">
        <v>18</v>
      </c>
      <c r="C22" s="1" t="e">
        <f ca="1">_xll.DBR($C$18,psUser,$B22,"value")</f>
        <v>#NAME?</v>
      </c>
      <c r="D22" s="1"/>
    </row>
    <row r="23" spans="2:8" ht="14.45" hidden="1" customHeight="1" outlineLevel="1" x14ac:dyDescent="0.25">
      <c r="B23" s="2" t="s">
        <v>19</v>
      </c>
      <c r="C23" s="1" t="s">
        <v>20</v>
      </c>
      <c r="D23" s="1"/>
    </row>
    <row r="24" spans="2:8" ht="14.45" hidden="1" customHeight="1" outlineLevel="1" x14ac:dyDescent="0.25"/>
    <row r="25" spans="2:8" ht="14.45" hidden="1" customHeight="1" outlineLevel="1" x14ac:dyDescent="0.25">
      <c r="B25" s="16" t="s">
        <v>21</v>
      </c>
      <c r="C25" s="17"/>
      <c r="D25" s="18"/>
    </row>
    <row r="26" spans="2:8" ht="14.45" hidden="1" customHeight="1" outlineLevel="1" x14ac:dyDescent="0.25">
      <c r="B26" s="1" t="s">
        <v>22</v>
      </c>
      <c r="C26" s="12" t="e">
        <f ca="1">_xll.VIEW((db_name&amp;":sys_application"),"!","!")</f>
        <v>#NAME?</v>
      </c>
      <c r="D26" s="12"/>
    </row>
    <row r="27" spans="2:8" ht="14.45" hidden="1" customHeight="1" outlineLevel="1" x14ac:dyDescent="0.25">
      <c r="C27" s="12" t="s">
        <v>23</v>
      </c>
      <c r="D27" s="12" t="s">
        <v>24</v>
      </c>
      <c r="E27" s="12" t="s">
        <v>25</v>
      </c>
      <c r="F27" s="12" t="s">
        <v>26</v>
      </c>
      <c r="G27" s="12" t="s">
        <v>27</v>
      </c>
      <c r="H27" s="12" t="s">
        <v>28</v>
      </c>
    </row>
    <row r="28" spans="2:8" ht="14.45" hidden="1" customHeight="1" outlineLevel="1" x14ac:dyDescent="0.25">
      <c r="B28" s="1" t="s">
        <v>29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</row>
    <row r="29" spans="2:8" ht="14.45" hidden="1" customHeight="1" outlineLevel="1" x14ac:dyDescent="0.25">
      <c r="B29" s="1" t="s">
        <v>30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</row>
    <row r="30" spans="2:8" ht="14.45" hidden="1" customHeight="1" outlineLevel="1" x14ac:dyDescent="0.25">
      <c r="B30" s="1" t="s">
        <v>31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</row>
    <row r="31" spans="2:8" ht="14.45" hidden="1" customHeight="1" outlineLevel="1" x14ac:dyDescent="0.25">
      <c r="B31" s="1" t="s">
        <v>32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</row>
    <row r="32" spans="2:8" ht="14.45" hidden="1" customHeight="1" outlineLevel="1" x14ac:dyDescent="0.25">
      <c r="B32" s="1" t="s">
        <v>33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</row>
    <row r="33" spans="2:8" ht="14.45" hidden="1" customHeight="1" outlineLevel="1" x14ac:dyDescent="0.25">
      <c r="B33" s="1" t="s">
        <v>34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</row>
    <row r="34" spans="2:8" ht="14.45" hidden="1" customHeight="1" outlineLevel="1" x14ac:dyDescent="0.25">
      <c r="B34" s="1" t="s">
        <v>35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8" ht="14.45" hidden="1" customHeight="1" outlineLevel="1" x14ac:dyDescent="0.25">
      <c r="B35" s="1" t="s">
        <v>36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8" ht="14.45" hidden="1" customHeight="1" outlineLevel="1" x14ac:dyDescent="0.25">
      <c r="B36" s="1" t="s">
        <v>37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8" ht="14.45" hidden="1" customHeight="1" outlineLevel="1" x14ac:dyDescent="0.25">
      <c r="B37" s="1" t="s">
        <v>38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8" ht="14.45" hidden="1" customHeight="1" outlineLevel="1" x14ac:dyDescent="0.25">
      <c r="B38" s="1" t="s">
        <v>39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8" ht="14.45" hidden="1" customHeight="1" outlineLevel="1" x14ac:dyDescent="0.25">
      <c r="B39" s="1" t="s">
        <v>40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8" ht="14.45" hidden="1" customHeight="1" outlineLevel="1" x14ac:dyDescent="0.25">
      <c r="B40" s="1" t="s">
        <v>41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8" ht="14.45" hidden="1" customHeight="1" outlineLevel="1" x14ac:dyDescent="0.25">
      <c r="B41" s="1" t="s">
        <v>42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8" ht="14.45" hidden="1" customHeight="1" outlineLevel="1" x14ac:dyDescent="0.25">
      <c r="B42" s="1" t="s">
        <v>43</v>
      </c>
      <c r="C42" s="1" t="e">
        <f ca="1">_xll.DBR($C$26,$B42,C$27)</f>
        <v>#NAME?</v>
      </c>
      <c r="D42" s="1" t="e">
        <f ca="1">_xll.DBR($C$26,$B42,D$27)</f>
        <v>#NAME?</v>
      </c>
      <c r="E42" s="1" t="e">
        <f ca="1">_xll.DBR($C$26,$B42,E$27)</f>
        <v>#NAME?</v>
      </c>
      <c r="F42" s="1" t="e">
        <f ca="1">_xll.DBR($C$26,$B42,F$27)</f>
        <v>#NAME?</v>
      </c>
      <c r="G42" s="1" t="e">
        <f ca="1">_xll.DBR($C$26,$B42,G$27)</f>
        <v>#NAME?</v>
      </c>
      <c r="H42" s="1" t="e">
        <f ca="1">_xll.DBR($C$26,$B42,H$27)</f>
        <v>#NAME?</v>
      </c>
    </row>
    <row r="43" spans="2:8" ht="14.45" hidden="1" customHeight="1" outlineLevel="1" x14ac:dyDescent="0.25">
      <c r="B43" s="1" t="s">
        <v>44</v>
      </c>
      <c r="C43" s="1" t="e">
        <f ca="1">_xll.DBR($C$26,$B43,C$27)</f>
        <v>#NAME?</v>
      </c>
      <c r="D43" s="1" t="e">
        <f ca="1">_xll.DBR($C$26,$B43,D$27)</f>
        <v>#NAME?</v>
      </c>
      <c r="E43" s="1" t="e">
        <f ca="1">_xll.DBR($C$26,$B43,E$27)</f>
        <v>#NAME?</v>
      </c>
      <c r="F43" s="1" t="e">
        <f ca="1">_xll.DBR($C$26,$B43,F$27)</f>
        <v>#NAME?</v>
      </c>
      <c r="G43" s="1" t="e">
        <f ca="1">_xll.DBR($C$26,$B43,G$27)</f>
        <v>#NAME?</v>
      </c>
      <c r="H43" s="1" t="e">
        <f ca="1">_xll.DBR($C$26,$B43,H$27)</f>
        <v>#NAME?</v>
      </c>
    </row>
    <row r="44" spans="2:8" ht="14.45" hidden="1" customHeight="1" outlineLevel="1" x14ac:dyDescent="0.25">
      <c r="B44" s="1" t="s">
        <v>45</v>
      </c>
      <c r="C44" s="1" t="e">
        <f ca="1">_xll.DBR($C$26,$B44,C$27)</f>
        <v>#NAME?</v>
      </c>
      <c r="D44" s="1" t="e">
        <f ca="1">_xll.DBR($C$26,$B44,D$27)</f>
        <v>#NAME?</v>
      </c>
      <c r="E44" s="1" t="e">
        <f ca="1">_xll.DBR($C$26,$B44,E$27)</f>
        <v>#NAME?</v>
      </c>
      <c r="F44" s="1" t="e">
        <f ca="1">_xll.DBR($C$26,$B44,F$27)</f>
        <v>#NAME?</v>
      </c>
      <c r="G44" s="1" t="e">
        <f ca="1">_xll.DBR($C$26,$B44,G$27)</f>
        <v>#NAME?</v>
      </c>
      <c r="H44" s="1" t="e">
        <f ca="1">_xll.DBR($C$26,$B44,H$27)</f>
        <v>#NAME?</v>
      </c>
    </row>
    <row r="45" spans="2:8" ht="14.45" hidden="1" customHeight="1" outlineLevel="1" x14ac:dyDescent="0.25">
      <c r="B45" s="1" t="s">
        <v>46</v>
      </c>
      <c r="C45" s="1" t="e">
        <f ca="1">_xll.DBR($C$26,$B45,C$27)</f>
        <v>#NAME?</v>
      </c>
      <c r="D45" s="1" t="e">
        <f ca="1">_xll.DBR($C$26,$B45,D$27)</f>
        <v>#NAME?</v>
      </c>
      <c r="E45" s="1" t="e">
        <f ca="1">_xll.DBR($C$26,$B45,E$27)</f>
        <v>#NAME?</v>
      </c>
      <c r="F45" s="1" t="e">
        <f ca="1">_xll.DBR($C$26,$B45,F$27)</f>
        <v>#NAME?</v>
      </c>
      <c r="G45" s="1" t="e">
        <f ca="1">_xll.DBR($C$26,$B45,G$27)</f>
        <v>#NAME?</v>
      </c>
      <c r="H45" s="1" t="e">
        <f ca="1">_xll.DBR($C$26,$B45,H$27)</f>
        <v>#NAME?</v>
      </c>
    </row>
    <row r="46" spans="2:8" ht="14.45" hidden="1" customHeight="1" outlineLevel="1" x14ac:dyDescent="0.25">
      <c r="B46" s="1" t="s">
        <v>47</v>
      </c>
      <c r="C46" s="1" t="e">
        <f ca="1">_xll.DBR($C$26,$B46,C$27)</f>
        <v>#NAME?</v>
      </c>
      <c r="D46" s="1" t="e">
        <f ca="1">_xll.DBR($C$26,$B46,D$27)</f>
        <v>#NAME?</v>
      </c>
      <c r="E46" s="1" t="e">
        <f ca="1">_xll.DBR($C$26,$B46,E$27)</f>
        <v>#NAME?</v>
      </c>
      <c r="F46" s="1" t="e">
        <f ca="1">_xll.DBR($C$26,$B46,F$27)</f>
        <v>#NAME?</v>
      </c>
      <c r="G46" s="1" t="e">
        <f ca="1">_xll.DBR($C$26,$B46,G$27)</f>
        <v>#NAME?</v>
      </c>
      <c r="H46" s="1" t="e">
        <f ca="1">_xll.DBR($C$26,$B46,H$27)</f>
        <v>#NAME?</v>
      </c>
    </row>
    <row r="47" spans="2:8" ht="14.45" hidden="1" customHeight="1" outlineLevel="1" x14ac:dyDescent="0.25">
      <c r="B47" s="1" t="s">
        <v>48</v>
      </c>
      <c r="C47" s="1" t="e">
        <f ca="1">_xll.DBR($C$26,$B47,C$27)</f>
        <v>#NAME?</v>
      </c>
      <c r="D47" s="1" t="e">
        <f ca="1">_xll.DBR($C$26,$B47,D$27)</f>
        <v>#NAME?</v>
      </c>
      <c r="E47" s="1" t="e">
        <f ca="1">_xll.DBR($C$26,$B47,E$27)</f>
        <v>#NAME?</v>
      </c>
      <c r="F47" s="1" t="e">
        <f ca="1">_xll.DBR($C$26,$B47,F$27)</f>
        <v>#NAME?</v>
      </c>
      <c r="G47" s="1" t="e">
        <f ca="1">_xll.DBR($C$26,$B47,G$27)</f>
        <v>#NAME?</v>
      </c>
      <c r="H47" s="1" t="e">
        <f ca="1">_xll.DBR($C$26,$B47,H$27)</f>
        <v>#NAME?</v>
      </c>
    </row>
    <row r="48" spans="2:8" ht="14.45" hidden="1" customHeight="1" outlineLevel="1" x14ac:dyDescent="0.25">
      <c r="B48" s="1" t="s">
        <v>49</v>
      </c>
      <c r="C48" s="1" t="e">
        <f ca="1">_xll.DBR($C$26,$B48,C$27)</f>
        <v>#NAME?</v>
      </c>
      <c r="D48" s="1" t="e">
        <f ca="1">_xll.DBR($C$26,$B48,D$27)</f>
        <v>#NAME?</v>
      </c>
      <c r="E48" s="1" t="e">
        <f ca="1">_xll.DBR($C$26,$B48,E$27)</f>
        <v>#NAME?</v>
      </c>
      <c r="F48" s="1" t="e">
        <f ca="1">_xll.DBR($C$26,$B48,F$27)</f>
        <v>#NAME?</v>
      </c>
      <c r="G48" s="1" t="e">
        <f ca="1">_xll.DBR($C$26,$B48,G$27)</f>
        <v>#NAME?</v>
      </c>
      <c r="H48" s="1" t="e">
        <f ca="1">_xll.DBR($C$26,$B48,H$27)</f>
        <v>#NAME?</v>
      </c>
    </row>
    <row r="49" spans="2:23" ht="14.45" hidden="1" customHeight="1" outlineLevel="1" x14ac:dyDescent="0.25">
      <c r="B49" s="1" t="s">
        <v>50</v>
      </c>
      <c r="C49" s="1" t="e">
        <f ca="1">_xll.DBR($C$26,$B49,C$27)</f>
        <v>#NAME?</v>
      </c>
      <c r="D49" s="1" t="e">
        <f ca="1">_xll.DBR($C$26,$B49,D$27)</f>
        <v>#NAME?</v>
      </c>
      <c r="E49" s="1" t="e">
        <f ca="1">_xll.DBR($C$26,$B49,E$27)</f>
        <v>#NAME?</v>
      </c>
      <c r="F49" s="1" t="e">
        <f ca="1">_xll.DBR($C$26,$B49,F$27)</f>
        <v>#NAME?</v>
      </c>
      <c r="G49" s="1" t="e">
        <f ca="1">_xll.DBR($C$26,$B49,G$27)</f>
        <v>#NAME?</v>
      </c>
      <c r="H49" s="1" t="e">
        <f ca="1">_xll.DBR($C$26,$B49,H$27)</f>
        <v>#NAME?</v>
      </c>
    </row>
    <row r="50" spans="2:23" ht="14.45" hidden="1" customHeight="1" outlineLevel="1" x14ac:dyDescent="0.25">
      <c r="B50" s="1" t="s">
        <v>53</v>
      </c>
      <c r="C50" s="1" t="e">
        <f ca="1">_xll.DBR($C$26,$B50,C$27)</f>
        <v>#NAME?</v>
      </c>
      <c r="D50" s="1" t="e">
        <f ca="1">_xll.DBR($C$26,$B50,D$27)</f>
        <v>#NAME?</v>
      </c>
      <c r="E50" s="1" t="e">
        <f ca="1">_xll.DBR($C$26,$B50,E$27)</f>
        <v>#NAME?</v>
      </c>
      <c r="F50" s="1" t="e">
        <f ca="1">_xll.DBR($C$26,$B50,F$27)</f>
        <v>#NAME?</v>
      </c>
      <c r="G50" s="1" t="e">
        <f ca="1">_xll.DBR($C$26,$B50,G$27)</f>
        <v>#NAME?</v>
      </c>
      <c r="H50" s="1" t="e">
        <f ca="1">_xll.DBR($C$26,$B50,H$27)</f>
        <v>#NAME?</v>
      </c>
    </row>
    <row r="51" spans="2:23" ht="14.45" hidden="1" customHeight="1" outlineLevel="1" x14ac:dyDescent="0.25">
      <c r="B51" s="1" t="s">
        <v>54</v>
      </c>
      <c r="C51" s="1" t="e">
        <f ca="1">_xll.DBR($C$26,$B51,C$27)</f>
        <v>#NAME?</v>
      </c>
      <c r="D51" s="1" t="e">
        <f ca="1">_xll.DBR($C$26,$B51,D$27)</f>
        <v>#NAME?</v>
      </c>
      <c r="E51" s="1" t="e">
        <f ca="1">_xll.DBR($C$26,$B51,E$27)</f>
        <v>#NAME?</v>
      </c>
      <c r="F51" s="1" t="e">
        <f ca="1">_xll.DBR($C$26,$B51,F$27)</f>
        <v>#NAME?</v>
      </c>
      <c r="G51" s="1" t="e">
        <f ca="1">_xll.DBR($C$26,$B51,G$27)</f>
        <v>#NAME?</v>
      </c>
      <c r="H51" s="1" t="e">
        <f ca="1">_xll.DBR($C$26,$B51,H$27)</f>
        <v>#NAME?</v>
      </c>
    </row>
    <row r="52" spans="2:23" ht="14.45" hidden="1" customHeight="1" outlineLevel="1" x14ac:dyDescent="0.25"/>
    <row r="53" spans="2:23" ht="14.45" hidden="1" customHeight="1" outlineLevel="1" x14ac:dyDescent="0.25"/>
    <row r="54" spans="2:23" ht="14.45" hidden="1" customHeight="1" outlineLevel="1" x14ac:dyDescent="0.25"/>
    <row r="55" spans="2:23" ht="14.45" hidden="1" customHeight="1" outlineLevel="1" x14ac:dyDescent="0.25"/>
    <row r="56" spans="2:23" ht="39.75" customHeight="1" collapsed="1" x14ac:dyDescent="0.25"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11" t="e">
        <f ca="1">("Welcome "&amp;psUser)</f>
        <v>#NAME?</v>
      </c>
    </row>
    <row r="57" spans="2:23" ht="4.5" customHeight="1" x14ac:dyDescent="0.25"/>
    <row r="58" spans="2:23" ht="30" customHeight="1" x14ac:dyDescent="0.25">
      <c r="J58" s="6"/>
      <c r="K58" s="19" t="e">
        <f ca="1">$C$15</f>
        <v>#NAME?</v>
      </c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6"/>
      <c r="W58" s="6"/>
    </row>
    <row r="59" spans="2:23" ht="4.5" customHeight="1" x14ac:dyDescent="0.25"/>
    <row r="63" spans="2:23" ht="24.75" customHeight="1" x14ac:dyDescent="0.25">
      <c r="J63" s="7"/>
      <c r="K63" s="7"/>
      <c r="L63" s="14" t="s">
        <v>51</v>
      </c>
      <c r="M63" s="14"/>
      <c r="N63" s="14"/>
      <c r="O63" s="14"/>
      <c r="P63" s="5"/>
      <c r="R63" s="8"/>
      <c r="S63" s="15" t="s">
        <v>52</v>
      </c>
      <c r="T63" s="15"/>
      <c r="U63" s="15"/>
      <c r="V63" s="15"/>
      <c r="W63" s="8"/>
    </row>
    <row r="64" spans="2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ht="19.5" customHeight="1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14.4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ht="14.45" customHeight="1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ht="14.45" customHeight="1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ht="14.45" customHeight="1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ht="14.45" customHeight="1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ht="14.45" customHeight="1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ht="14.45" customHeight="1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ht="14.45" customHeight="1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ht="14.45" customHeight="1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ht="14.45" customHeight="1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ht="14.45" customHeight="1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ht="14.45" customHeight="1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ht="4.5" customHeight="1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ht="14.45" customHeight="1" x14ac:dyDescent="0.25">
      <c r="J95" s="9"/>
      <c r="K95" s="9"/>
      <c r="L95" s="9"/>
      <c r="M95" s="9"/>
      <c r="N95" s="9"/>
      <c r="O95" s="9"/>
      <c r="P95" s="9"/>
      <c r="R95" s="9"/>
      <c r="S95" s="9"/>
      <c r="T95" s="9"/>
      <c r="U95" s="9"/>
      <c r="V95" s="9"/>
      <c r="W95" s="9"/>
    </row>
    <row r="96" spans="10:23" ht="4.5" customHeight="1" x14ac:dyDescent="0.25">
      <c r="J96" s="9"/>
      <c r="K96" s="9"/>
      <c r="L96" s="9"/>
      <c r="M96" s="9"/>
      <c r="N96" s="9"/>
      <c r="O96" s="9"/>
      <c r="P96" s="9"/>
      <c r="R96" s="9"/>
      <c r="S96" s="9"/>
      <c r="T96" s="9"/>
      <c r="U96" s="9"/>
      <c r="V96" s="9"/>
      <c r="W96" s="9"/>
    </row>
    <row r="97" spans="10:23" ht="14.45" customHeight="1" x14ac:dyDescent="0.25">
      <c r="J97" s="9"/>
      <c r="K97" s="9"/>
      <c r="L97" s="9"/>
      <c r="M97" s="9"/>
      <c r="N97" s="9"/>
      <c r="O97" s="9"/>
      <c r="P97" s="9"/>
      <c r="R97" s="9"/>
      <c r="S97" s="9"/>
      <c r="T97" s="9"/>
      <c r="U97" s="9"/>
      <c r="V97" s="9"/>
      <c r="W97" s="9"/>
    </row>
    <row r="98" spans="10:23" ht="14.45" customHeight="1" x14ac:dyDescent="0.25">
      <c r="K98" s="13" t="str">
        <f ca="1">("© Excelerated Consulting Pty Ltd 2001-"&amp;YEAR(NOW()))</f>
        <v>© Excelerated Consulting Pty Ltd 2001-2025</v>
      </c>
    </row>
  </sheetData>
  <sheetProtection sheet="1" objects="1" scenarios="1"/>
  <mergeCells count="7">
    <mergeCell ref="L63:O63"/>
    <mergeCell ref="S63:V63"/>
    <mergeCell ref="B1:D1"/>
    <mergeCell ref="B9:D9"/>
    <mergeCell ref="B17:D17"/>
    <mergeCell ref="B25:D25"/>
    <mergeCell ref="K58:U58"/>
  </mergeCells>
  <conditionalFormatting sqref="R63:W63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76</vt:i4>
      </vt:variant>
    </vt:vector>
  </HeadingPairs>
  <TitlesOfParts>
    <vt:vector size="77" baseType="lpstr">
      <vt:lpstr>Menu</vt:lpstr>
      <vt:lpstr>db_name</vt:lpstr>
      <vt:lpstr>home</vt:lpstr>
      <vt:lpstr>Menu</vt:lpstr>
      <vt:lpstr>psUser</vt:lpstr>
      <vt:lpstr>TM1Admin00BALAdjCAP</vt:lpstr>
      <vt:lpstr>TM1Admin00BALAdjWB</vt:lpstr>
      <vt:lpstr>TM1Admin00BALAdjWS</vt:lpstr>
      <vt:lpstr>TM1AdminAppSetupCAP</vt:lpstr>
      <vt:lpstr>TM1AdminAppSetupWB</vt:lpstr>
      <vt:lpstr>TM1AdminAppSetupWS</vt:lpstr>
      <vt:lpstr>TM1AdminCreateProgCAP</vt:lpstr>
      <vt:lpstr>TM1AdminCreateProgWB</vt:lpstr>
      <vt:lpstr>TM1AdminCreateProgWS</vt:lpstr>
      <vt:lpstr>TM1AdminExtractFFCAP</vt:lpstr>
      <vt:lpstr>TM1AdminExtractFFWB</vt:lpstr>
      <vt:lpstr>TM1AdminExtractFFWS</vt:lpstr>
      <vt:lpstr>TM1AdminGEUSDiagnosticRepCAP</vt:lpstr>
      <vt:lpstr>TM1AdminGEUSDiagnosticRepWB</vt:lpstr>
      <vt:lpstr>TM1AdminGEUSDiagnosticRepWS</vt:lpstr>
      <vt:lpstr>TM1AdminIndexSetupCAP</vt:lpstr>
      <vt:lpstr>TM1AdminIndexSetupWB</vt:lpstr>
      <vt:lpstr>TM1AdminIndexSetupWS</vt:lpstr>
      <vt:lpstr>TM1AdminNewsItemCAP</vt:lpstr>
      <vt:lpstr>TM1AdminNewsItemWB</vt:lpstr>
      <vt:lpstr>TM1AdminNewsItemWS</vt:lpstr>
      <vt:lpstr>TM1AdminProgDetCAP</vt:lpstr>
      <vt:lpstr>TM1AdminProgDetWB</vt:lpstr>
      <vt:lpstr>TM1AdminProgDetWS</vt:lpstr>
      <vt:lpstr>TM1AdminProgTransferCAP</vt:lpstr>
      <vt:lpstr>TM1AdminProgTransferWB</vt:lpstr>
      <vt:lpstr>TM1AdminProgTransferWS</vt:lpstr>
      <vt:lpstr>TM1AdminReActivateIndexFE3CAP</vt:lpstr>
      <vt:lpstr>TM1AdminReActivateIndexFE3WB</vt:lpstr>
      <vt:lpstr>TM1AdminReActivateIndexFE3WS</vt:lpstr>
      <vt:lpstr>TM1AdminRepStageLookupCAP</vt:lpstr>
      <vt:lpstr>TM1AdminRepStageLookupWB</vt:lpstr>
      <vt:lpstr>TM1AdminRepStageLookupWS</vt:lpstr>
      <vt:lpstr>TM1AdminSetDefAccCAP</vt:lpstr>
      <vt:lpstr>TM1AdminSetDefAccWB</vt:lpstr>
      <vt:lpstr>TM1AdminSetDefAccWS</vt:lpstr>
      <vt:lpstr>TM1AdminSysVarCAP</vt:lpstr>
      <vt:lpstr>TM1AdminSysVarWB</vt:lpstr>
      <vt:lpstr>TM1AdminSysVarWS</vt:lpstr>
      <vt:lpstr>TM1AdminUploadProgCAP</vt:lpstr>
      <vt:lpstr>TM1AdminUploadProgWB</vt:lpstr>
      <vt:lpstr>TM1AdminUploadProgWS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2023-08-21T05:31:49Z</dcterms:created>
  <dcterms:modified xsi:type="dcterms:W3CDTF">2025-08-11T06:19:50Z</dcterms:modified>
  <cp:category/>
  <cp:contentStatus/>
</cp:coreProperties>
</file>