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3AA49578-F723-41A4-9926-68699C81338E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nu" sheetId="1" r:id="rId1"/>
    <sheet name="{PL}PickLst" sheetId="3" state="hidden" r:id="rId2"/>
  </sheets>
  <definedNames>
    <definedName name="db_name">Menu!$C$2</definedName>
    <definedName name="home">Menu!$G$28</definedName>
    <definedName name="Menu">Menu!$G$29</definedName>
    <definedName name="psUser">Menu!$C$7</definedName>
    <definedName name="rng_Start">Menu!#REF!</definedName>
    <definedName name="TM1HomeAdminCAP">Menu!$D$35</definedName>
    <definedName name="TM1HomeAdminWB">Menu!$F$35</definedName>
    <definedName name="TM1HomeAdminWS">Menu!$H$35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AdditionalCAP">Menu!$D$34</definedName>
    <definedName name="TM1HomeRepAdditionalWB">Menu!$F$34</definedName>
    <definedName name="TM1HomeRepAdditionalWS">Menu!$H$34</definedName>
    <definedName name="TM1HomeRepAnalyticalCAP">Menu!$D$33</definedName>
    <definedName name="TM1HomeRepAnalyticalWB">Menu!$F$33</definedName>
    <definedName name="TM1HomeRepAnalyticalWS">Menu!$H$33</definedName>
    <definedName name="TM1HomeRepCAP">Menu!$D$30</definedName>
    <definedName name="TM1HomeRepOtherCAP">Menu!$D$32</definedName>
    <definedName name="TM1HomeRepOtherWB">Menu!$F$32</definedName>
    <definedName name="TM1HomeRepOtherWS">Menu!$H$32</definedName>
    <definedName name="TM1HomeRepPFSCAP">Menu!$D$31</definedName>
    <definedName name="TM1HomeRepPFSWB">Menu!$F$31</definedName>
    <definedName name="TM1HomeRepPFSWS">Menu!$H$31</definedName>
    <definedName name="TM1HomeRepWB">Menu!$F$30</definedName>
    <definedName name="TM1HomeRepWS">Menu!$H$30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OthRprDetMvtCAP">Menu!$D$47</definedName>
    <definedName name="TM1OthRprDetMvtWB">Menu!$F$47</definedName>
    <definedName name="TM1OthRprDetMvtWS">Menu!$H$47</definedName>
    <definedName name="TM1OthRprFinDETCAP">Menu!$D$49</definedName>
    <definedName name="TM1OthRprFinDETWB">Menu!$F$49</definedName>
    <definedName name="TM1OthRprFinDETWS">Menu!$H$49</definedName>
    <definedName name="TM1OthRprFinSPPCAP">Menu!$D$48</definedName>
    <definedName name="TM1OthRprFinSPPWB">Menu!$F$48</definedName>
    <definedName name="TM1OthRprFuncCAP">Menu!$D$51</definedName>
    <definedName name="TM1OthRprFuncWB">Menu!$F$51</definedName>
    <definedName name="TM1OthRprFuncWS">Menu!$H$51</definedName>
    <definedName name="TM1OthRprMeasFinCAP">Menu!$D$45</definedName>
    <definedName name="TM1OthRprMeasFinWB">Menu!$F$45</definedName>
    <definedName name="TM1OthRprMeasFinWS">Menu!$H$45</definedName>
    <definedName name="TM1OthRprMeasRecoCAP">Menu!$D$46</definedName>
    <definedName name="TM1OthRprMeasRecoWB">Menu!$F$46</definedName>
    <definedName name="TM1OthRprMeasRecoWS">Menu!$H$46</definedName>
    <definedName name="TM1OthRprSPPCAP">Menu!$D$50</definedName>
    <definedName name="TM1OthRprSPPWB">Menu!$F$50</definedName>
    <definedName name="TM1OthRprSPPWS">Menu!$H$50</definedName>
    <definedName name="TM1OthRprSumMACAP">Menu!$D$52</definedName>
    <definedName name="TM1OthRprSumMAWB">Menu!$F$52</definedName>
    <definedName name="TM1OthRprTBalAccCAP">Menu!$D$40</definedName>
    <definedName name="TM1OthRprTBalAccWB">Menu!$F$40</definedName>
    <definedName name="TM1OthRprTBalAccWS">Menu!$H$40</definedName>
    <definedName name="TM1OthRprTBalCAP">Menu!$D$39</definedName>
    <definedName name="TM1OthRprTBalDetailCAP">Menu!$D$41</definedName>
    <definedName name="TM1OthRprTBalDetailWB">Menu!$F$41</definedName>
    <definedName name="TM1OthRprTBalDetailWS">Menu!$H$41</definedName>
    <definedName name="TM1OthRprTBalDrillCAP">Menu!$D$42</definedName>
    <definedName name="TM1OthRprTBalDrillWB">Menu!$F$42</definedName>
    <definedName name="TM1OthRprTBalDrillWS">Menu!$H$42</definedName>
    <definedName name="TM1OthRprTBalWB">Menu!$F$39</definedName>
    <definedName name="TM1OthRprTBalWS">Menu!$H$39</definedName>
    <definedName name="TM1OthRprTFinSPPWS">Menu!$H$48</definedName>
    <definedName name="TM1OthRprTxnByReasonCAP">Menu!$D$43</definedName>
    <definedName name="TM1OthRprTxnByReasonDetCAP">Menu!$D$44</definedName>
    <definedName name="TM1OthRprTxnByReasonDetWB">Menu!$F$44</definedName>
    <definedName name="TM1OthRprTxnByReasonDetWS">Menu!$H$44</definedName>
    <definedName name="TM1OthRprTxnByReasonWB">Menu!$F$43</definedName>
    <definedName name="TM1OthRprTxnByReasonWS">Menu!$H$43</definedName>
    <definedName name="TM1REBUILDOPTION">1</definedName>
    <definedName name="TM1RptPFSCAP">Menu!$D$38</definedName>
    <definedName name="TM1RptPFSWB">Menu!$F$38</definedName>
    <definedName name="TM1RptPFSWS">Menu!$H$38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/>
  <c r="C5" i="1" a="1"/>
  <c r="C5" i="1"/>
  <c r="W58" i="1"/>
  <c r="C26" i="1"/>
  <c r="H52" i="1" a="1"/>
  <c r="H52" i="1"/>
  <c r="G52" i="1" a="1"/>
  <c r="G52" i="1"/>
  <c r="F52" i="1" a="1"/>
  <c r="F52" i="1"/>
  <c r="E52" i="1" a="1"/>
  <c r="E52" i="1"/>
  <c r="D52" i="1" a="1"/>
  <c r="D52" i="1"/>
  <c r="C52" i="1" a="1"/>
  <c r="C52" i="1"/>
  <c r="H51" i="1" a="1"/>
  <c r="H51" i="1"/>
  <c r="G51" i="1" a="1"/>
  <c r="G51" i="1"/>
  <c r="F51" i="1" a="1"/>
  <c r="F51" i="1"/>
  <c r="E51" i="1" a="1"/>
  <c r="E51" i="1"/>
  <c r="D51" i="1" a="1"/>
  <c r="D51" i="1"/>
  <c r="C51" i="1" a="1"/>
  <c r="C51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8" i="1" a="1"/>
  <c r="C18" i="1"/>
  <c r="C7" i="1"/>
  <c r="C22" i="1" a="1"/>
  <c r="C22" i="1"/>
  <c r="C21" i="1" a="1"/>
  <c r="C21" i="1"/>
  <c r="C20" i="1" a="1"/>
  <c r="C20" i="1"/>
  <c r="C19" i="1" a="1"/>
  <c r="C19" i="1"/>
  <c r="C10" i="1" a="1"/>
  <c r="C10" i="1"/>
  <c r="C14" i="1" a="1"/>
  <c r="C14" i="1"/>
  <c r="C13" i="1" a="1"/>
  <c r="C13" i="1"/>
  <c r="C12" i="1" a="1"/>
  <c r="C12" i="1"/>
  <c r="C11" i="1" a="1"/>
  <c r="C11" i="1"/>
  <c r="C6" i="1" a="1"/>
  <c r="C6" i="1"/>
  <c r="K103" i="1"/>
  <c r="C15" i="1"/>
  <c r="K6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<sst xmlns="http://schemas.openxmlformats.org/spreadsheetml/2006/main" count="62" uniqueCount="59">
  <si>
    <t>Workbook</t>
  </si>
  <si>
    <t>Worksheet</t>
  </si>
  <si>
    <t>Data Entry - New Adj 01 - Header Details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</si>
  <si>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</si>
  <si>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</si>
  <si>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</si>
  <si>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</si>
  <si>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</si>
  <si>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</si>
  <si>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</si>
  <si>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</si>
  <si>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</si>
  <si>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</si>
  <si>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</si>
  <si>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</si>
  <si>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</si>
  <si>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</si>
  <si>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</si>
  <si>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</si>
  <si>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</si>
  <si>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</si>
  <si>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Navigate to the adjustment list</t>
  </si>
  <si>
    <t>Navigate to the Primary Financial Statements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</si>
  <si>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</si>
  <si>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</si>
  <si>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</si>
  <si>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</si>
  <si>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</si>
  <si>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</si>
  <si>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</si>
  <si>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</si>
  <si>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</si>
  <si>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</si>
  <si>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</si>
  <si>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</si>
  <si>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</si>
  <si>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</si>
  <si>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REPORTS</t>
  </si>
  <si>
    <t>Homepage - Reports - PFS</t>
  </si>
  <si>
    <t>Homepage - Reports - Other</t>
  </si>
  <si>
    <t>Homepage - Reports - Analytical</t>
  </si>
  <si>
    <t>OTHER REPORTS MENU</t>
  </si>
  <si>
    <t>Reports - Primary Financial Statements</t>
  </si>
  <si>
    <t>Other Reports - Trial Balance</t>
  </si>
  <si>
    <t>Other Reports - Trial Balance Acc By Prog</t>
  </si>
  <si>
    <t>Other Reports - Trial Balance Detail</t>
  </si>
  <si>
    <t>Other Reports - Trial Balance Drill</t>
  </si>
  <si>
    <t>Other Reports - Transactions By Reason</t>
  </si>
  <si>
    <t>Other Reports - Transactions By Reason Detail</t>
  </si>
  <si>
    <t>Other Reports - Measure Financials</t>
  </si>
  <si>
    <t>Other Reports - Terminating Measures Reconciliation</t>
  </si>
  <si>
    <t>Homepage - Reports - Additional</t>
  </si>
  <si>
    <t>Other Reports - Detail Movement by Program and Reason Code</t>
  </si>
  <si>
    <t>Other Reports - Primary Financial Statements SPP and Jur</t>
  </si>
  <si>
    <t>Other Reports - Primary Financial Statements Details</t>
  </si>
  <si>
    <t>Other Reports - SPP</t>
  </si>
  <si>
    <t>Other Reports - SubFunction</t>
  </si>
  <si>
    <t>Other Reports - Summary Movement by Program and Reason Code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</si>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</sst>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 xr:uid="{00000000-0005-0000-0000-000001000000}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jpg"/><Relationship Id="rId4" Type="http://schemas.openxmlformats.org/officeDocument/2006/relationships/image" Target="../media/image2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1.emf"/><Relationship Id="rId18" Type="http://schemas.openxmlformats.org/officeDocument/2006/relationships/image" Target="../media/image18.emf"/><Relationship Id="rId3" Type="http://schemas.openxmlformats.org/officeDocument/2006/relationships/image" Target="../media/image11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2.emf"/><Relationship Id="rId17" Type="http://schemas.openxmlformats.org/officeDocument/2006/relationships/image" Target="../media/image17.emf"/><Relationship Id="rId2" Type="http://schemas.openxmlformats.org/officeDocument/2006/relationships/image" Target="../media/image1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3.emf"/><Relationship Id="rId6" Type="http://schemas.openxmlformats.org/officeDocument/2006/relationships/image" Target="../media/image8.emf"/><Relationship Id="rId11" Type="http://schemas.openxmlformats.org/officeDocument/2006/relationships/image" Target="../media/image3.emf"/><Relationship Id="rId5" Type="http://schemas.openxmlformats.org/officeDocument/2006/relationships/image" Target="../media/image9.emf"/><Relationship Id="rId15" Type="http://schemas.openxmlformats.org/officeDocument/2006/relationships/image" Target="../media/image15.emf"/><Relationship Id="rId10" Type="http://schemas.openxmlformats.org/officeDocument/2006/relationships/image" Target="../media/image4.emf"/><Relationship Id="rId19" Type="http://schemas.openxmlformats.org/officeDocument/2006/relationships/image" Target="../media/image19.emf"/><Relationship Id="rId4" Type="http://schemas.openxmlformats.org/officeDocument/2006/relationships/image" Target="../media/image10.emf"/><Relationship Id="rId9" Type="http://schemas.openxmlformats.org/officeDocument/2006/relationships/image" Target="../media/image5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59</xdr:row>
      <xdr:rowOff>55686</xdr:rowOff>
    </xdr:from>
    <xdr:to>
      <xdr:col>22</xdr:col>
      <xdr:colOff>206290</xdr:colOff>
      <xdr:row>59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64</xdr:row>
      <xdr:rowOff>57150</xdr:rowOff>
    </xdr:from>
    <xdr:to>
      <xdr:col>15</xdr:col>
      <xdr:colOff>307716</xdr:colOff>
      <xdr:row>64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64</xdr:row>
      <xdr:rowOff>66675</xdr:rowOff>
    </xdr:from>
    <xdr:to>
      <xdr:col>22</xdr:col>
      <xdr:colOff>289046</xdr:colOff>
      <xdr:row>64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28575</xdr:rowOff>
    </xdr:from>
    <xdr:to>
      <xdr:col>12</xdr:col>
      <xdr:colOff>57150</xdr:colOff>
      <xdr:row>57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64</xdr:row>
      <xdr:rowOff>66675</xdr:rowOff>
    </xdr:from>
    <xdr:to>
      <xdr:col>22</xdr:col>
      <xdr:colOff>289046</xdr:colOff>
      <xdr:row>64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65</xdr:row>
          <xdr:rowOff>47625</xdr:rowOff>
        </xdr:from>
        <xdr:to>
          <xdr:col>14</xdr:col>
          <xdr:colOff>752475</xdr:colOff>
          <xdr:row>68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47625</xdr:rowOff>
        </xdr:from>
        <xdr:to>
          <xdr:col>14</xdr:col>
          <xdr:colOff>752475</xdr:colOff>
          <xdr:row>70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104775</xdr:rowOff>
        </xdr:from>
        <xdr:to>
          <xdr:col>14</xdr:col>
          <xdr:colOff>752475</xdr:colOff>
          <xdr:row>72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61</xdr:row>
          <xdr:rowOff>47625</xdr:rowOff>
        </xdr:from>
        <xdr:to>
          <xdr:col>13</xdr:col>
          <xdr:colOff>38100</xdr:colOff>
          <xdr:row>63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61</xdr:row>
          <xdr:rowOff>47625</xdr:rowOff>
        </xdr:from>
        <xdr:to>
          <xdr:col>15</xdr:col>
          <xdr:colOff>352425</xdr:colOff>
          <xdr:row>63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61</xdr:row>
          <xdr:rowOff>38100</xdr:rowOff>
        </xdr:from>
        <xdr:to>
          <xdr:col>19</xdr:col>
          <xdr:colOff>1104900</xdr:colOff>
          <xdr:row>63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61</xdr:row>
          <xdr:rowOff>38100</xdr:rowOff>
        </xdr:from>
        <xdr:to>
          <xdr:col>22</xdr:col>
          <xdr:colOff>114300</xdr:colOff>
          <xdr:row>63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65</xdr:row>
          <xdr:rowOff>47625</xdr:rowOff>
        </xdr:from>
        <xdr:to>
          <xdr:col>21</xdr:col>
          <xdr:colOff>1038225</xdr:colOff>
          <xdr:row>68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47625</xdr:rowOff>
        </xdr:from>
        <xdr:to>
          <xdr:col>21</xdr:col>
          <xdr:colOff>1038225</xdr:colOff>
          <xdr:row>70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104775</xdr:rowOff>
        </xdr:from>
        <xdr:to>
          <xdr:col>21</xdr:col>
          <xdr:colOff>1038225</xdr:colOff>
          <xdr:row>72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72</xdr:row>
          <xdr:rowOff>161925</xdr:rowOff>
        </xdr:from>
        <xdr:to>
          <xdr:col>21</xdr:col>
          <xdr:colOff>1038225</xdr:colOff>
          <xdr:row>74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74</xdr:row>
          <xdr:rowOff>85725</xdr:rowOff>
        </xdr:from>
        <xdr:to>
          <xdr:col>21</xdr:col>
          <xdr:colOff>1038225</xdr:colOff>
          <xdr:row>76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77</xdr:row>
          <xdr:rowOff>9525</xdr:rowOff>
        </xdr:from>
        <xdr:to>
          <xdr:col>21</xdr:col>
          <xdr:colOff>1038225</xdr:colOff>
          <xdr:row>80</xdr:row>
          <xdr:rowOff>19050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0</xdr:colOff>
      <xdr:row>0</xdr:row>
      <xdr:rowOff>0</xdr:rowOff>
    </xdr:from>
    <xdr:to>
      <xdr:col>26</xdr:col>
      <xdr:colOff>38100</xdr:colOff>
      <xdr:row>64</xdr:row>
      <xdr:rowOff>283846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0"/>
          <a:ext cx="1866900" cy="1866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80</xdr:row>
          <xdr:rowOff>66675</xdr:rowOff>
        </xdr:from>
        <xdr:to>
          <xdr:col>21</xdr:col>
          <xdr:colOff>1038225</xdr:colOff>
          <xdr:row>82</xdr:row>
          <xdr:rowOff>133350</xdr:rowOff>
        </xdr:to>
        <xdr:sp macro="" textlink="">
          <xdr:nvSpPr>
            <xdr:cNvPr id="1041" name="TIButton4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381000</xdr:colOff>
          <xdr:row>72</xdr:row>
          <xdr:rowOff>161925</xdr:rowOff>
        </xdr:from>
        <xdr:to>
          <xdr:col>14</xdr:col>
          <xdr:colOff>752475</xdr:colOff>
          <xdr:row>74</xdr:row>
          <xdr:rowOff>38100</xdr:rowOff>
        </xdr:to>
        <xdr:sp macro="" textlink="">
          <xdr:nvSpPr>
            <xdr:cNvPr id="1042" name="TIButton1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83</xdr:row>
          <xdr:rowOff>0</xdr:rowOff>
        </xdr:from>
        <xdr:to>
          <xdr:col>21</xdr:col>
          <xdr:colOff>1038225</xdr:colOff>
          <xdr:row>86</xdr:row>
          <xdr:rowOff>9525</xdr:rowOff>
        </xdr:to>
        <xdr:sp macro="" textlink="">
          <xdr:nvSpPr>
            <xdr:cNvPr id="1043" name="TIButton1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276225</xdr:colOff>
          <xdr:row>86</xdr:row>
          <xdr:rowOff>38100</xdr:rowOff>
        </xdr:from>
        <xdr:to>
          <xdr:col>21</xdr:col>
          <xdr:colOff>1028700</xdr:colOff>
          <xdr:row>88</xdr:row>
          <xdr:rowOff>104775</xdr:rowOff>
        </xdr:to>
        <xdr:sp macro="" textlink="">
          <xdr:nvSpPr>
            <xdr:cNvPr id="1050" name="TIButton17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276225</xdr:colOff>
          <xdr:row>88</xdr:row>
          <xdr:rowOff>152400</xdr:rowOff>
        </xdr:from>
        <xdr:to>
          <xdr:col>21</xdr:col>
          <xdr:colOff>1028700</xdr:colOff>
          <xdr:row>91</xdr:row>
          <xdr:rowOff>28575</xdr:rowOff>
        </xdr:to>
        <xdr:sp macro="" textlink="">
          <xdr:nvSpPr>
            <xdr:cNvPr id="1051" name="TIButton18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276225</xdr:colOff>
          <xdr:row>92</xdr:row>
          <xdr:rowOff>19050</xdr:rowOff>
        </xdr:from>
        <xdr:to>
          <xdr:col>21</xdr:col>
          <xdr:colOff>1028700</xdr:colOff>
          <xdr:row>94</xdr:row>
          <xdr:rowOff>85725</xdr:rowOff>
        </xdr:to>
        <xdr:sp macro="" textlink="">
          <xdr:nvSpPr>
            <xdr:cNvPr id="1052" name="TIButton19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276225</xdr:colOff>
          <xdr:row>94</xdr:row>
          <xdr:rowOff>133350</xdr:rowOff>
        </xdr:from>
        <xdr:to>
          <xdr:col>21</xdr:col>
          <xdr:colOff>1028700</xdr:colOff>
          <xdr:row>97</xdr:row>
          <xdr:rowOff>9525</xdr:rowOff>
        </xdr:to>
        <xdr:sp macro="" textlink="">
          <xdr:nvSpPr>
            <xdr:cNvPr id="1053" name="TIButton20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276225</xdr:colOff>
          <xdr:row>97</xdr:row>
          <xdr:rowOff>57150</xdr:rowOff>
        </xdr:from>
        <xdr:to>
          <xdr:col>21</xdr:col>
          <xdr:colOff>1028700</xdr:colOff>
          <xdr:row>98</xdr:row>
          <xdr:rowOff>180975</xdr:rowOff>
        </xdr:to>
        <xdr:sp macro="" textlink="">
          <xdr:nvSpPr>
            <xdr:cNvPr id="1054" name="TIButton2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W103"/>
  <sheetViews>
    <sheetView showGridLines="0" showRowColHeaders="0" tabSelected="1" showOutlineSymbols="0" topLeftCell="J58" workbookViewId="0">
      <pane ySplit="8" topLeftCell="A66" activePane="bottomLeft" state="frozen"/>
      <selection activeCell="J58" sqref="J58"/>
      <selection pane="bottomLeft" activeCell="N58" sqref="N58"/>
    </sheetView>
  </sheetViews>
  <sheetFormatPr defaultRowHeight="15" outlineLevelRow="1" outlineLevelCol="1" x14ac:dyDescent="0.25"/>
  <cols>
    <col min="1" max="1" width="5.7109375" hidden="1" customWidth="1" outlineLevel="1"/>
    <col min="2" max="2" width="57.2851562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4</v>
      </c>
      <c r="C1" s="17"/>
      <c r="D1" s="18"/>
    </row>
    <row r="2" spans="2:4" hidden="1" outlineLevel="1" x14ac:dyDescent="0.25">
      <c r="B2" s="2" t="s">
        <v>5</v>
      </c>
      <c r="C2" s="3" t="s">
        <v>58</v>
      </c>
      <c r="D2" s="4"/>
    </row>
    <row r="3" spans="2:4" hidden="1" outlineLevel="1" x14ac:dyDescent="0.25">
      <c r="B3" s="2" t="s">
        <v>25</v>
      </c>
      <c r="C3" s="10" t="e" cm="1">
        <f t="array" aca="1" ref="C3" ca="1">_xll.VIEW(db_name&amp;":}ElementAttributes_}Clients","!","!")</f>
        <v>#NAME?</v>
      </c>
      <c r="D3" s="4"/>
    </row>
    <row r="4" spans="2:4" hidden="1" outlineLevel="1" x14ac:dyDescent="0.25">
      <c r="B4" s="2" t="s">
        <v>24</v>
      </c>
      <c r="C4" s="3" t="e" cm="1">
        <f t="array" aca="1" ref="C4" ca="1">_xll.TM1USER(db_name)</f>
        <v>#NAME?</v>
      </c>
      <c r="D4" s="4"/>
    </row>
    <row r="5" spans="2:4" hidden="1" outlineLevel="1" x14ac:dyDescent="0.25">
      <c r="B5" s="2" t="s">
        <v>26</v>
      </c>
      <c r="C5" s="3" t="e" cm="1">
        <f t="array" aca="1" ref="C5" ca="1">_xll.DBR($C$3,$C$4,$B5)</f>
        <v>#NAME?</v>
      </c>
      <c r="D5" s="4"/>
    </row>
    <row r="6" spans="2:4" hidden="1" outlineLevel="1" x14ac:dyDescent="0.25">
      <c r="B6" s="2" t="s">
        <v>27</v>
      </c>
      <c r="C6" s="3" t="e" cm="1">
        <f t="array" aca="1" ref="C6" ca="1">_xll.DBR($C$3,$C$4,$B6)</f>
        <v>#NAME?</v>
      </c>
      <c r="D6" s="4"/>
    </row>
    <row r="7" spans="2:4" hidden="1" outlineLevel="1" x14ac:dyDescent="0.25">
      <c r="B7" s="2" t="s">
        <v>6</v>
      </c>
      <c r="C7" s="3" t="e">
        <f ca="1">IF(LEFT($C$4,6)="CAM_AD",$C$5,$C$4)</f>
        <v>#NAME?</v>
      </c>
      <c r="D7" s="1"/>
    </row>
    <row r="8" spans="2:4" hidden="1" outlineLevel="1" x14ac:dyDescent="0.25"/>
    <row r="9" spans="2:4" hidden="1" outlineLevel="1" x14ac:dyDescent="0.25">
      <c r="B9" s="16" t="s">
        <v>7</v>
      </c>
      <c r="C9" s="17"/>
      <c r="D9" s="18"/>
    </row>
    <row r="10" spans="2:4" hidden="1" outlineLevel="1" x14ac:dyDescent="0.25">
      <c r="B10" s="2" t="s">
        <v>8</v>
      </c>
      <c r="C10" s="1" t="e" cm="1">
        <f t="array" aca="1" ref="C10" ca="1">_xll.VIEW(db_name&amp;":}ElementAttributes_variables","!","!")</f>
        <v>#NAME?</v>
      </c>
      <c r="D10" s="1"/>
    </row>
    <row r="11" spans="2:4" hidden="1" outlineLevel="1" x14ac:dyDescent="0.25">
      <c r="B11" s="2" t="s">
        <v>9</v>
      </c>
      <c r="C11" s="1" t="e" cm="1">
        <f t="array" aca="1" ref="C11" ca="1">_xll.DBR($C$10,$B11,"value")</f>
        <v>#NAME?</v>
      </c>
      <c r="D11" s="1"/>
    </row>
    <row r="12" spans="2:4" hidden="1" outlineLevel="1" x14ac:dyDescent="0.25">
      <c r="B12" s="2" t="s">
        <v>10</v>
      </c>
      <c r="C12" s="1" t="e" cm="1">
        <f t="array" aca="1" ref="C12" ca="1">_xll.DBR($C$10,$B12,"value")</f>
        <v>#NAME?</v>
      </c>
      <c r="D12" s="1"/>
    </row>
    <row r="13" spans="2:4" hidden="1" outlineLevel="1" x14ac:dyDescent="0.25">
      <c r="B13" s="2" t="s">
        <v>11</v>
      </c>
      <c r="C13" s="1" t="e" cm="1">
        <f t="array" aca="1" ref="C13" ca="1">_xll.DBR($C$10,$B13,"value")</f>
        <v>#NAME?</v>
      </c>
      <c r="D13" s="1"/>
    </row>
    <row r="14" spans="2:4" hidden="1" outlineLevel="1" x14ac:dyDescent="0.25">
      <c r="B14" s="2" t="s">
        <v>12</v>
      </c>
      <c r="C14" s="1" t="e" cm="1">
        <f t="array" aca="1" ref="C14" ca="1">_xll.DBR($C$10,$B14,"value")</f>
        <v>#NAME?</v>
      </c>
      <c r="D14" s="1"/>
    </row>
    <row r="15" spans="2:4" hidden="1" outlineLevel="1" x14ac:dyDescent="0.25">
      <c r="B15" s="2" t="s">
        <v>13</v>
      </c>
      <c r="C15" s="1" t="e">
        <f ca="1">"The current scenario is """ &amp; $C$12 &amp; """ for the """ &amp; $C$11 &amp; """ Headline Year. Archive was done for """ &amp; $C$13 &amp; """ on scenario """ &amp; $C$14 &amp; """."</f>
        <v>#NAME?</v>
      </c>
      <c r="D15" s="1"/>
    </row>
    <row r="16" spans="2:4" hidden="1" outlineLevel="1" x14ac:dyDescent="0.25"/>
    <row r="17" spans="2:13" hidden="1" outlineLevel="1" x14ac:dyDescent="0.25">
      <c r="B17" s="16" t="s">
        <v>14</v>
      </c>
      <c r="C17" s="17"/>
      <c r="D17" s="18"/>
    </row>
    <row r="18" spans="2:13" hidden="1" outlineLevel="1" x14ac:dyDescent="0.25">
      <c r="B18" s="2" t="s">
        <v>8</v>
      </c>
      <c r="C18" s="1" t="e" cm="1">
        <f t="array" aca="1" ref="C18" ca="1">_xll.VIEW(db_name&amp;":sys_client preference","!","!","!")</f>
        <v>#NAME?</v>
      </c>
      <c r="D18" s="1"/>
    </row>
    <row r="19" spans="2:13" hidden="1" outlineLevel="1" x14ac:dyDescent="0.25">
      <c r="B19" s="2" t="s">
        <v>15</v>
      </c>
      <c r="C19" s="1" t="e" cm="1">
        <f t="array" aca="1" ref="C19" ca="1">_xll.DBR($C$18,psUser,$B19,"value")</f>
        <v>#NAME?</v>
      </c>
      <c r="D19" s="1"/>
    </row>
    <row r="20" spans="2:13" hidden="1" outlineLevel="1" x14ac:dyDescent="0.25">
      <c r="B20" s="2" t="s">
        <v>16</v>
      </c>
      <c r="C20" s="1" t="e" cm="1">
        <f t="array" aca="1" ref="C20" ca="1">_xll.DBR($C$18,psUser,$B20,"value")</f>
        <v>#NAME?</v>
      </c>
      <c r="D20" s="1"/>
    </row>
    <row r="21" spans="2:13" hidden="1" outlineLevel="1" x14ac:dyDescent="0.25">
      <c r="B21" s="2" t="s">
        <v>17</v>
      </c>
      <c r="C21" s="1" t="e" cm="1">
        <f t="array" aca="1" ref="C21" ca="1">_xll.DBR($C$18,psUser,$B21,"value")</f>
        <v>#NAME?</v>
      </c>
      <c r="D21" s="1"/>
    </row>
    <row r="22" spans="2:13" hidden="1" outlineLevel="1" x14ac:dyDescent="0.25">
      <c r="B22" s="2" t="s">
        <v>18</v>
      </c>
      <c r="C22" s="1" t="e" cm="1">
        <f t="array" aca="1" ref="C22" ca="1">_xll.DBR($C$18,psUser,$B22,"value")</f>
        <v>#NAME?</v>
      </c>
      <c r="D22" s="1"/>
    </row>
    <row r="23" spans="2:13" hidden="1" outlineLevel="1" x14ac:dyDescent="0.25">
      <c r="B23" s="2" t="s">
        <v>23</v>
      </c>
      <c r="C23" s="1" t="s">
        <v>20</v>
      </c>
      <c r="D23" s="1"/>
    </row>
    <row r="24" spans="2:13" hidden="1" outlineLevel="1" x14ac:dyDescent="0.25"/>
    <row r="25" spans="2:13" hidden="1" outlineLevel="1" x14ac:dyDescent="0.25">
      <c r="B25" s="16" t="s">
        <v>19</v>
      </c>
      <c r="C25" s="17"/>
      <c r="D25" s="18"/>
    </row>
    <row r="26" spans="2:13" hidden="1" outlineLevel="1" x14ac:dyDescent="0.25">
      <c r="B26" s="1" t="s">
        <v>3</v>
      </c>
      <c r="C26" s="12" t="e">
        <f ca="1">_xll.VIEW(db_name&amp;":sys_application","!","!")</f>
        <v>#NAME?</v>
      </c>
      <c r="D26" s="12"/>
    </row>
    <row r="27" spans="2:13" hidden="1" outlineLevel="1" x14ac:dyDescent="0.25">
      <c r="C27" s="12" t="s">
        <v>36</v>
      </c>
      <c r="D27" s="12" t="s">
        <v>33</v>
      </c>
      <c r="E27" s="12" t="s">
        <v>34</v>
      </c>
      <c r="F27" s="12" t="s">
        <v>0</v>
      </c>
      <c r="G27" s="12" t="s">
        <v>35</v>
      </c>
      <c r="H27" s="12" t="s">
        <v>1</v>
      </c>
    </row>
    <row r="28" spans="2:13" hidden="1" outlineLevel="1" x14ac:dyDescent="0.25">
      <c r="B28" s="1" t="s">
        <v>28</v>
      </c>
      <c r="C28" s="1" t="e" cm="1">
        <f t="array" aca="1" ref="C28" ca="1">_xll.DBR($C$26,$B28,C$27)</f>
        <v>#NAME?</v>
      </c>
      <c r="D28" s="1" t="e" cm="1">
        <f t="array" aca="1" ref="D28" ca="1">_xll.DBR($C$26,$B28,D$27)</f>
        <v>#NAME?</v>
      </c>
      <c r="E28" s="1" t="e" cm="1">
        <f t="array" aca="1" ref="E28" ca="1">_xll.DBR($C$26,$B28,E$27)</f>
        <v>#NAME?</v>
      </c>
      <c r="F28" s="1" t="e" cm="1">
        <f t="array" aca="1" ref="F28" ca="1">_xll.DBR($C$26,$B28,F$27)</f>
        <v>#NAME?</v>
      </c>
      <c r="G28" s="1" t="e" cm="1">
        <f t="array" aca="1" ref="G28" ca="1">_xll.DBR($C$26,$B28,G$27)</f>
        <v>#NAME?</v>
      </c>
      <c r="H28" s="1" t="e" cm="1">
        <f t="array" aca="1" ref="H28" ca="1">_xll.DBR($C$26,$B28,H$27)</f>
        <v>#NAME?</v>
      </c>
      <c r="M28" t="s">
        <v>33</v>
      </c>
    </row>
    <row r="29" spans="2:13" hidden="1" outlineLevel="1" x14ac:dyDescent="0.25">
      <c r="B29" s="1" t="s">
        <v>29</v>
      </c>
      <c r="C29" s="1" t="e" cm="1">
        <f t="array" aca="1" ref="C29" ca="1">_xll.DBR($C$26,$B29,C$27)</f>
        <v>#NAME?</v>
      </c>
      <c r="D29" s="1" t="e" cm="1">
        <f t="array" aca="1" ref="D29" ca="1">_xll.DBR($C$26,$B29,D$27)</f>
        <v>#NAME?</v>
      </c>
      <c r="E29" s="1" t="e" cm="1">
        <f t="array" aca="1" ref="E29" ca="1">_xll.DBR($C$26,$B29,E$27)</f>
        <v>#NAME?</v>
      </c>
      <c r="F29" s="1" t="e" cm="1">
        <f t="array" aca="1" ref="F29" ca="1">_xll.DBR($C$26,$B29,F$27)</f>
        <v>#NAME?</v>
      </c>
      <c r="G29" s="1" t="e" cm="1">
        <f t="array" aca="1" ref="G29" ca="1">_xll.DBR($C$26,$B29,G$27)</f>
        <v>#NAME?</v>
      </c>
      <c r="H29" s="1" t="e" cm="1">
        <f t="array" aca="1" ref="H29" ca="1">_xll.DBR($C$26,$B29,H$27)</f>
        <v>#NAME?</v>
      </c>
      <c r="M29" t="s">
        <v>34</v>
      </c>
    </row>
    <row r="30" spans="2:13" hidden="1" outlineLevel="1" x14ac:dyDescent="0.25">
      <c r="B30" s="1" t="s">
        <v>30</v>
      </c>
      <c r="C30" s="1" t="e" cm="1">
        <f t="array" aca="1" ref="C30" ca="1">_xll.DBR($C$26,$B30,C$27)</f>
        <v>#NAME?</v>
      </c>
      <c r="D30" s="1" t="e" cm="1">
        <f t="array" aca="1" ref="D30" ca="1">_xll.DBR($C$26,$B30,D$27)</f>
        <v>#NAME?</v>
      </c>
      <c r="E30" s="1" t="e" cm="1">
        <f t="array" aca="1" ref="E30" ca="1">_xll.DBR($C$26,$B30,E$27)</f>
        <v>#NAME?</v>
      </c>
      <c r="F30" s="1" t="e" cm="1">
        <f t="array" aca="1" ref="F30" ca="1">_xll.DBR($C$26,$B30,F$27)</f>
        <v>#NAME?</v>
      </c>
      <c r="G30" s="1" t="e" cm="1">
        <f t="array" aca="1" ref="G30" ca="1">_xll.DBR($C$26,$B30,G$27)</f>
        <v>#NAME?</v>
      </c>
      <c r="H30" s="1" t="e" cm="1">
        <f t="array" aca="1" ref="H30" ca="1">_xll.DBR($C$26,$B30,H$27)</f>
        <v>#NAME?</v>
      </c>
    </row>
    <row r="31" spans="2:13" hidden="1" outlineLevel="1" x14ac:dyDescent="0.25">
      <c r="B31" s="1" t="s">
        <v>38</v>
      </c>
      <c r="C31" s="1" t="e" cm="1">
        <f t="array" aca="1" ref="C31" ca="1">_xll.DBR($C$26,$B31,C$27)</f>
        <v>#NAME?</v>
      </c>
      <c r="D31" s="1" t="e" cm="1">
        <f t="array" aca="1" ref="D31" ca="1">_xll.DBR($C$26,$B31,D$27)</f>
        <v>#NAME?</v>
      </c>
      <c r="E31" s="1" t="e" cm="1">
        <f t="array" aca="1" ref="E31" ca="1">_xll.DBR($C$26,$B31,E$27)</f>
        <v>#NAME?</v>
      </c>
      <c r="F31" s="1" t="e" cm="1">
        <f t="array" aca="1" ref="F31" ca="1">_xll.DBR($C$26,$B31,F$27)</f>
        <v>#NAME?</v>
      </c>
      <c r="G31" s="1" t="e" cm="1">
        <f t="array" aca="1" ref="G31" ca="1">_xll.DBR($C$26,$B31,G$27)</f>
        <v>#NAME?</v>
      </c>
      <c r="H31" s="1" t="e" cm="1">
        <f t="array" aca="1" ref="H31" ca="1">_xll.DBR($C$26,$B31,H$27)</f>
        <v>#NAME?</v>
      </c>
    </row>
    <row r="32" spans="2:13" hidden="1" outlineLevel="1" x14ac:dyDescent="0.25">
      <c r="B32" s="1" t="s">
        <v>39</v>
      </c>
      <c r="C32" s="1" t="e" cm="1">
        <f t="array" aca="1" ref="C32" ca="1">_xll.DBR($C$26,$B32,C$27)</f>
        <v>#NAME?</v>
      </c>
      <c r="D32" s="1" t="e" cm="1">
        <f t="array" aca="1" ref="D32" ca="1">_xll.DBR($C$26,$B32,D$27)</f>
        <v>#NAME?</v>
      </c>
      <c r="E32" s="1" t="e" cm="1">
        <f t="array" aca="1" ref="E32" ca="1">_xll.DBR($C$26,$B32,E$27)</f>
        <v>#NAME?</v>
      </c>
      <c r="F32" s="1" t="e" cm="1">
        <f t="array" aca="1" ref="F32" ca="1">_xll.DBR($C$26,$B32,F$27)</f>
        <v>#NAME?</v>
      </c>
      <c r="G32" s="1" t="e" cm="1">
        <f t="array" aca="1" ref="G32" ca="1">_xll.DBR($C$26,$B32,G$27)</f>
        <v>#NAME?</v>
      </c>
      <c r="H32" s="1" t="e" cm="1">
        <f t="array" aca="1" ref="H32" ca="1">_xll.DBR($C$26,$B32,H$27)</f>
        <v>#NAME?</v>
      </c>
    </row>
    <row r="33" spans="2:8" hidden="1" outlineLevel="1" x14ac:dyDescent="0.25">
      <c r="B33" s="1" t="s">
        <v>40</v>
      </c>
      <c r="C33" s="1" t="e" cm="1">
        <f t="array" aca="1" ref="C33" ca="1">_xll.DBR($C$26,$B33,C$27)</f>
        <v>#NAME?</v>
      </c>
      <c r="D33" s="1" t="e" cm="1">
        <f t="array" aca="1" ref="D33" ca="1">_xll.DBR($C$26,$B33,D$27)</f>
        <v>#NAME?</v>
      </c>
      <c r="E33" s="1" t="e" cm="1">
        <f t="array" aca="1" ref="E33" ca="1">_xll.DBR($C$26,$B33,E$27)</f>
        <v>#NAME?</v>
      </c>
      <c r="F33" s="1" t="e" cm="1">
        <f t="array" aca="1" ref="F33" ca="1">_xll.DBR($C$26,$B33,F$27)</f>
        <v>#NAME?</v>
      </c>
      <c r="G33" s="1" t="e" cm="1">
        <f t="array" aca="1" ref="G33" ca="1">_xll.DBR($C$26,$B33,G$27)</f>
        <v>#NAME?</v>
      </c>
      <c r="H33" s="1" t="e" cm="1">
        <f t="array" aca="1" ref="H33" ca="1">_xll.DBR($C$26,$B33,H$27)</f>
        <v>#NAME?</v>
      </c>
    </row>
    <row r="34" spans="2:8" hidden="1" outlineLevel="1" x14ac:dyDescent="0.25">
      <c r="B34" s="1" t="s">
        <v>51</v>
      </c>
      <c r="C34" s="1" t="e" cm="1">
        <f t="array" aca="1" ref="C34" ca="1">_xll.DBR($C$26,$B34,C$27)</f>
        <v>#NAME?</v>
      </c>
      <c r="D34" s="1" t="e" cm="1">
        <f t="array" aca="1" ref="D34" ca="1">_xll.DBR($C$26,$B34,D$27)</f>
        <v>#NAME?</v>
      </c>
      <c r="E34" s="1" t="e" cm="1">
        <f t="array" aca="1" ref="E34" ca="1">_xll.DBR($C$26,$B34,E$27)</f>
        <v>#NAME?</v>
      </c>
      <c r="F34" s="1" t="e" cm="1">
        <f t="array" aca="1" ref="F34" ca="1">_xll.DBR($C$26,$B34,F$27)</f>
        <v>#NAME?</v>
      </c>
      <c r="G34" s="1" t="e" cm="1">
        <f t="array" aca="1" ref="G34" ca="1">_xll.DBR($C$26,$B34,G$27)</f>
        <v>#NAME?</v>
      </c>
      <c r="H34" s="1" t="e" cm="1">
        <f t="array" aca="1" ref="H34" ca="1">_xll.DBR($C$26,$B34,H$27)</f>
        <v>#NAME?</v>
      </c>
    </row>
    <row r="35" spans="2:8" hidden="1" outlineLevel="1" x14ac:dyDescent="0.25">
      <c r="B35" s="1" t="s">
        <v>31</v>
      </c>
      <c r="C35" s="1" t="e" cm="1">
        <f t="array" aca="1" ref="C35" ca="1">_xll.DBR($C$26,$B35,C$27)</f>
        <v>#NAME?</v>
      </c>
      <c r="D35" s="1" t="e" cm="1">
        <f t="array" aca="1" ref="D35" ca="1">_xll.DBR($C$26,$B35,D$27)</f>
        <v>#NAME?</v>
      </c>
      <c r="E35" s="1" t="e" cm="1">
        <f t="array" aca="1" ref="E35" ca="1">_xll.DBR($C$26,$B35,E$27)</f>
        <v>#NAME?</v>
      </c>
      <c r="F35" s="1" t="e" cm="1">
        <f t="array" aca="1" ref="F35" ca="1">_xll.DBR($C$26,$B35,F$27)</f>
        <v>#NAME?</v>
      </c>
      <c r="G35" s="1" t="e" cm="1">
        <f t="array" aca="1" ref="G35" ca="1">_xll.DBR($C$26,$B35,G$27)</f>
        <v>#NAME?</v>
      </c>
      <c r="H35" s="1" t="e" cm="1">
        <f t="array" aca="1" ref="H35" ca="1">_xll.DBR($C$26,$B35,H$27)</f>
        <v>#NAME?</v>
      </c>
    </row>
    <row r="36" spans="2:8" hidden="1" outlineLevel="1" x14ac:dyDescent="0.25">
      <c r="B36" s="1" t="s">
        <v>32</v>
      </c>
      <c r="C36" s="1" t="e" cm="1">
        <f t="array" aca="1" ref="C36" ca="1">_xll.DBR($C$26,$B36,C$27)</f>
        <v>#NAME?</v>
      </c>
      <c r="D36" s="1" t="e" cm="1">
        <f t="array" aca="1" ref="D36" ca="1">_xll.DBR($C$26,$B36,D$27)</f>
        <v>#NAME?</v>
      </c>
      <c r="E36" s="1" t="e" cm="1">
        <f t="array" aca="1" ref="E36" ca="1">_xll.DBR($C$26,$B36,E$27)</f>
        <v>#NAME?</v>
      </c>
      <c r="F36" s="1" t="e" cm="1">
        <f t="array" aca="1" ref="F36" ca="1">_xll.DBR($C$26,$B36,F$27)</f>
        <v>#NAME?</v>
      </c>
      <c r="G36" s="1" t="e" cm="1">
        <f t="array" aca="1" ref="G36" ca="1">_xll.DBR($C$26,$B36,G$27)</f>
        <v>#NAME?</v>
      </c>
      <c r="H36" s="1" t="e" cm="1">
        <f t="array" aca="1" ref="H36" ca="1">_xll.DBR($C$26,$B36,H$27)</f>
        <v>#NAME?</v>
      </c>
    </row>
    <row r="37" spans="2:8" hidden="1" outlineLevel="1" x14ac:dyDescent="0.25"/>
    <row r="38" spans="2:8" hidden="1" outlineLevel="1" x14ac:dyDescent="0.25">
      <c r="B38" s="1" t="s">
        <v>42</v>
      </c>
      <c r="C38" s="1" t="e" cm="1">
        <f t="array" aca="1" ref="C38" ca="1">_xll.DBR($C$26,$B38,C$27)</f>
        <v>#NAME?</v>
      </c>
      <c r="D38" s="1" t="e" cm="1">
        <f t="array" aca="1" ref="D38" ca="1">_xll.DBR($C$26,$B38,D$27)</f>
        <v>#NAME?</v>
      </c>
      <c r="E38" s="1" t="e" cm="1">
        <f t="array" aca="1" ref="E38" ca="1">_xll.DBR($C$26,$B38,E$27)</f>
        <v>#NAME?</v>
      </c>
      <c r="F38" s="1" t="e" cm="1">
        <f t="array" aca="1" ref="F38" ca="1">_xll.DBR($C$26,$B38,F$27)</f>
        <v>#NAME?</v>
      </c>
      <c r="G38" s="1" t="e" cm="1">
        <f t="array" aca="1" ref="G38" ca="1">_xll.DBR($C$26,$B38,G$27)</f>
        <v>#NAME?</v>
      </c>
      <c r="H38" s="1" t="e" cm="1">
        <f t="array" aca="1" ref="H38" ca="1">_xll.DBR($C$26,$B38,H$27)</f>
        <v>#NAME?</v>
      </c>
    </row>
    <row r="39" spans="2:8" hidden="1" outlineLevel="1" x14ac:dyDescent="0.25">
      <c r="B39" s="1" t="s">
        <v>43</v>
      </c>
      <c r="C39" s="1" t="e" cm="1">
        <f t="array" aca="1" ref="C39" ca="1">_xll.DBR($C$26,$B39,C$27)</f>
        <v>#NAME?</v>
      </c>
      <c r="D39" s="1" t="e" cm="1">
        <f t="array" aca="1" ref="D39" ca="1">_xll.DBR($C$26,$B39,D$27)</f>
        <v>#NAME?</v>
      </c>
      <c r="E39" s="1" t="e" cm="1">
        <f t="array" aca="1" ref="E39" ca="1">_xll.DBR($C$26,$B39,E$27)</f>
        <v>#NAME?</v>
      </c>
      <c r="F39" s="1" t="e" cm="1">
        <f t="array" aca="1" ref="F39" ca="1">_xll.DBR($C$26,$B39,F$27)</f>
        <v>#NAME?</v>
      </c>
      <c r="G39" s="1" t="e" cm="1">
        <f t="array" aca="1" ref="G39" ca="1">_xll.DBR($C$26,$B39,G$27)</f>
        <v>#NAME?</v>
      </c>
      <c r="H39" s="1" t="e" cm="1">
        <f t="array" aca="1" ref="H39" ca="1">_xll.DBR($C$26,$B39,H$27)</f>
        <v>#NAME?</v>
      </c>
    </row>
    <row r="40" spans="2:8" hidden="1" outlineLevel="1" x14ac:dyDescent="0.25">
      <c r="B40" s="1" t="s">
        <v>44</v>
      </c>
      <c r="C40" s="1" t="e" cm="1">
        <f t="array" aca="1" ref="C40" ca="1">_xll.DBR($C$26,$B40,C$27)</f>
        <v>#NAME?</v>
      </c>
      <c r="D40" s="1" t="e" cm="1">
        <f t="array" aca="1" ref="D40" ca="1">_xll.DBR($C$26,$B40,D$27)</f>
        <v>#NAME?</v>
      </c>
      <c r="E40" s="1" t="e" cm="1">
        <f t="array" aca="1" ref="E40" ca="1">_xll.DBR($C$26,$B40,E$27)</f>
        <v>#NAME?</v>
      </c>
      <c r="F40" s="1" t="e" cm="1">
        <f t="array" aca="1" ref="F40" ca="1">_xll.DBR($C$26,$B40,F$27)</f>
        <v>#NAME?</v>
      </c>
      <c r="G40" s="1" t="e" cm="1">
        <f t="array" aca="1" ref="G40" ca="1">_xll.DBR($C$26,$B40,G$27)</f>
        <v>#NAME?</v>
      </c>
      <c r="H40" s="1" t="e" cm="1">
        <f t="array" aca="1" ref="H40" ca="1">_xll.DBR($C$26,$B40,H$27)</f>
        <v>#NAME?</v>
      </c>
    </row>
    <row r="41" spans="2:8" hidden="1" outlineLevel="1" x14ac:dyDescent="0.25">
      <c r="B41" s="1" t="s">
        <v>45</v>
      </c>
      <c r="C41" s="1" t="e" cm="1">
        <f t="array" aca="1" ref="C41" ca="1">_xll.DBR($C$26,$B41,C$27)</f>
        <v>#NAME?</v>
      </c>
      <c r="D41" s="1" t="e" cm="1">
        <f t="array" aca="1" ref="D41" ca="1">_xll.DBR($C$26,$B41,D$27)</f>
        <v>#NAME?</v>
      </c>
      <c r="E41" s="1" t="e" cm="1">
        <f t="array" aca="1" ref="E41" ca="1">_xll.DBR($C$26,$B41,E$27)</f>
        <v>#NAME?</v>
      </c>
      <c r="F41" s="1" t="e" cm="1">
        <f t="array" aca="1" ref="F41" ca="1">_xll.DBR($C$26,$B41,F$27)</f>
        <v>#NAME?</v>
      </c>
      <c r="G41" s="1" t="e" cm="1">
        <f t="array" aca="1" ref="G41" ca="1">_xll.DBR($C$26,$B41,G$27)</f>
        <v>#NAME?</v>
      </c>
      <c r="H41" s="1" t="e" cm="1">
        <f t="array" aca="1" ref="H41" ca="1">_xll.DBR($C$26,$B41,H$27)</f>
        <v>#NAME?</v>
      </c>
    </row>
    <row r="42" spans="2:8" hidden="1" outlineLevel="1" x14ac:dyDescent="0.25">
      <c r="B42" s="1" t="s">
        <v>46</v>
      </c>
      <c r="C42" s="1" t="e" cm="1">
        <f t="array" aca="1" ref="C42" ca="1">_xll.DBR($C$26,$B42,C$27)</f>
        <v>#NAME?</v>
      </c>
      <c r="D42" s="1" t="e" cm="1">
        <f t="array" aca="1" ref="D42" ca="1">_xll.DBR($C$26,$B42,D$27)</f>
        <v>#NAME?</v>
      </c>
      <c r="E42" s="1" t="e" cm="1">
        <f t="array" aca="1" ref="E42" ca="1">_xll.DBR($C$26,$B42,E$27)</f>
        <v>#NAME?</v>
      </c>
      <c r="F42" s="1" t="e" cm="1">
        <f t="array" aca="1" ref="F42" ca="1">_xll.DBR($C$26,$B42,F$27)</f>
        <v>#NAME?</v>
      </c>
      <c r="G42" s="1" t="e" cm="1">
        <f t="array" aca="1" ref="G42" ca="1">_xll.DBR($C$26,$B42,G$27)</f>
        <v>#NAME?</v>
      </c>
      <c r="H42" s="1" t="e" cm="1">
        <f t="array" aca="1" ref="H42" ca="1">_xll.DBR($C$26,$B42,H$27)</f>
        <v>#NAME?</v>
      </c>
    </row>
    <row r="43" spans="2:8" hidden="1" outlineLevel="1" x14ac:dyDescent="0.25">
      <c r="B43" s="1" t="s">
        <v>47</v>
      </c>
      <c r="C43" s="1" t="e" cm="1">
        <f t="array" aca="1" ref="C43" ca="1">_xll.DBR($C$26,$B43,C$27)</f>
        <v>#NAME?</v>
      </c>
      <c r="D43" s="1" t="e" cm="1">
        <f t="array" aca="1" ref="D43" ca="1">_xll.DBR($C$26,$B43,D$27)</f>
        <v>#NAME?</v>
      </c>
      <c r="E43" s="1" t="e" cm="1">
        <f t="array" aca="1" ref="E43" ca="1">_xll.DBR($C$26,$B43,E$27)</f>
        <v>#NAME?</v>
      </c>
      <c r="F43" s="1" t="e" cm="1">
        <f t="array" aca="1" ref="F43" ca="1">_xll.DBR($C$26,$B43,F$27)</f>
        <v>#NAME?</v>
      </c>
      <c r="G43" s="1" t="e" cm="1">
        <f t="array" aca="1" ref="G43" ca="1">_xll.DBR($C$26,$B43,G$27)</f>
        <v>#NAME?</v>
      </c>
      <c r="H43" s="1" t="e" cm="1">
        <f t="array" aca="1" ref="H43" ca="1">_xll.DBR($C$26,$B43,H$27)</f>
        <v>#NAME?</v>
      </c>
    </row>
    <row r="44" spans="2:8" hidden="1" outlineLevel="1" x14ac:dyDescent="0.25">
      <c r="B44" s="1" t="s">
        <v>48</v>
      </c>
      <c r="C44" s="1" t="e" cm="1">
        <f t="array" aca="1" ref="C44" ca="1">_xll.DBR($C$26,$B44,C$27)</f>
        <v>#NAME?</v>
      </c>
      <c r="D44" s="1" t="e" cm="1">
        <f t="array" aca="1" ref="D44" ca="1">_xll.DBR($C$26,$B44,D$27)</f>
        <v>#NAME?</v>
      </c>
      <c r="E44" s="1" t="e" cm="1">
        <f t="array" aca="1" ref="E44" ca="1">_xll.DBR($C$26,$B44,E$27)</f>
        <v>#NAME?</v>
      </c>
      <c r="F44" s="1" t="e" cm="1">
        <f t="array" aca="1" ref="F44" ca="1">_xll.DBR($C$26,$B44,F$27)</f>
        <v>#NAME?</v>
      </c>
      <c r="G44" s="1" t="e" cm="1">
        <f t="array" aca="1" ref="G44" ca="1">_xll.DBR($C$26,$B44,G$27)</f>
        <v>#NAME?</v>
      </c>
      <c r="H44" s="1" t="e" cm="1">
        <f t="array" aca="1" ref="H44" ca="1">_xll.DBR($C$26,$B44,H$27)</f>
        <v>#NAME?</v>
      </c>
    </row>
    <row r="45" spans="2:8" hidden="1" outlineLevel="1" x14ac:dyDescent="0.25">
      <c r="B45" s="1" t="s">
        <v>49</v>
      </c>
      <c r="C45" s="1" t="e" cm="1">
        <f t="array" aca="1" ref="C45" ca="1">_xll.DBR($C$26,$B45,C$27)</f>
        <v>#NAME?</v>
      </c>
      <c r="D45" s="1" t="e" cm="1">
        <f t="array" aca="1" ref="D45" ca="1">_xll.DBR($C$26,$B45,D$27)</f>
        <v>#NAME?</v>
      </c>
      <c r="E45" s="1" t="e" cm="1">
        <f t="array" aca="1" ref="E45" ca="1">_xll.DBR($C$26,$B45,E$27)</f>
        <v>#NAME?</v>
      </c>
      <c r="F45" s="1" t="e" cm="1">
        <f t="array" aca="1" ref="F45" ca="1">_xll.DBR($C$26,$B45,F$27)</f>
        <v>#NAME?</v>
      </c>
      <c r="G45" s="1" t="e" cm="1">
        <f t="array" aca="1" ref="G45" ca="1">_xll.DBR($C$26,$B45,G$27)</f>
        <v>#NAME?</v>
      </c>
      <c r="H45" s="1" t="e" cm="1">
        <f t="array" aca="1" ref="H45" ca="1">_xll.DBR($C$26,$B45,H$27)</f>
        <v>#NAME?</v>
      </c>
    </row>
    <row r="46" spans="2:8" hidden="1" outlineLevel="1" x14ac:dyDescent="0.25">
      <c r="B46" s="1" t="s">
        <v>50</v>
      </c>
      <c r="C46" s="1" t="e" cm="1">
        <f t="array" aca="1" ref="C46" ca="1">_xll.DBR($C$26,$B46,C$27)</f>
        <v>#NAME?</v>
      </c>
      <c r="D46" s="1" t="e" cm="1">
        <f t="array" aca="1" ref="D46" ca="1">_xll.DBR($C$26,$B46,D$27)</f>
        <v>#NAME?</v>
      </c>
      <c r="E46" s="1" t="e" cm="1">
        <f t="array" aca="1" ref="E46" ca="1">_xll.DBR($C$26,$B46,E$27)</f>
        <v>#NAME?</v>
      </c>
      <c r="F46" s="1" t="e" cm="1">
        <f t="array" aca="1" ref="F46" ca="1">_xll.DBR($C$26,$B46,F$27)</f>
        <v>#NAME?</v>
      </c>
      <c r="G46" s="1" t="e" cm="1">
        <f t="array" aca="1" ref="G46" ca="1">_xll.DBR($C$26,$B46,G$27)</f>
        <v>#NAME?</v>
      </c>
      <c r="H46" s="1" t="e" cm="1">
        <f t="array" aca="1" ref="H46" ca="1">_xll.DBR($C$26,$B46,H$27)</f>
        <v>#NAME?</v>
      </c>
    </row>
    <row r="47" spans="2:8" hidden="1" outlineLevel="1" x14ac:dyDescent="0.25">
      <c r="B47" s="1" t="s">
        <v>52</v>
      </c>
      <c r="C47" s="1" t="e" cm="1">
        <f t="array" aca="1" ref="C47" ca="1">_xll.DBR($C$26,$B47,C$27)</f>
        <v>#NAME?</v>
      </c>
      <c r="D47" s="1" t="e" cm="1">
        <f t="array" aca="1" ref="D47" ca="1">_xll.DBR($C$26,$B47,D$27)</f>
        <v>#NAME?</v>
      </c>
      <c r="E47" s="1" t="e" cm="1">
        <f t="array" aca="1" ref="E47" ca="1">_xll.DBR($C$26,$B47,E$27)</f>
        <v>#NAME?</v>
      </c>
      <c r="F47" s="1" t="e" cm="1">
        <f t="array" aca="1" ref="F47" ca="1">_xll.DBR($C$26,$B47,F$27)</f>
        <v>#NAME?</v>
      </c>
      <c r="G47" s="1" t="e" cm="1">
        <f t="array" aca="1" ref="G47" ca="1">_xll.DBR($C$26,$B47,G$27)</f>
        <v>#NAME?</v>
      </c>
      <c r="H47" s="1" t="e" cm="1">
        <f t="array" aca="1" ref="H47" ca="1">_xll.DBR($C$26,$B47,H$27)</f>
        <v>#NAME?</v>
      </c>
    </row>
    <row r="48" spans="2:8" hidden="1" outlineLevel="1" x14ac:dyDescent="0.25">
      <c r="B48" s="1" t="s">
        <v>53</v>
      </c>
      <c r="C48" s="1" t="e" cm="1">
        <f t="array" aca="1" ref="C48" ca="1">_xll.DBR($C$26,$B48,C$27)</f>
        <v>#NAME?</v>
      </c>
      <c r="D48" s="1" t="e" cm="1">
        <f t="array" aca="1" ref="D48" ca="1">_xll.DBR($C$26,$B48,D$27)</f>
        <v>#NAME?</v>
      </c>
      <c r="E48" s="1" t="e" cm="1">
        <f t="array" aca="1" ref="E48" ca="1">_xll.DBR($C$26,$B48,E$27)</f>
        <v>#NAME?</v>
      </c>
      <c r="F48" s="1" t="e" cm="1">
        <f t="array" aca="1" ref="F48" ca="1">_xll.DBR($C$26,$B48,F$27)</f>
        <v>#NAME?</v>
      </c>
      <c r="G48" s="1" t="e" cm="1">
        <f t="array" aca="1" ref="G48" ca="1">_xll.DBR($C$26,$B48,G$27)</f>
        <v>#NAME?</v>
      </c>
      <c r="H48" s="1" t="e" cm="1">
        <f t="array" aca="1" ref="H48" ca="1">_xll.DBR($C$26,$B48,H$27)</f>
        <v>#NAME?</v>
      </c>
    </row>
    <row r="49" spans="2:23" hidden="1" outlineLevel="1" x14ac:dyDescent="0.25">
      <c r="B49" s="1" t="s">
        <v>54</v>
      </c>
      <c r="C49" s="1" t="e" cm="1">
        <f t="array" aca="1" ref="C49" ca="1">_xll.DBR($C$26,$B49,C$27)</f>
        <v>#NAME?</v>
      </c>
      <c r="D49" s="1" t="e" cm="1">
        <f t="array" aca="1" ref="D49" ca="1">_xll.DBR($C$26,$B49,D$27)</f>
        <v>#NAME?</v>
      </c>
      <c r="E49" s="1" t="e" cm="1">
        <f t="array" aca="1" ref="E49" ca="1">_xll.DBR($C$26,$B49,E$27)</f>
        <v>#NAME?</v>
      </c>
      <c r="F49" s="1" t="e" cm="1">
        <f t="array" aca="1" ref="F49" ca="1">_xll.DBR($C$26,$B49,F$27)</f>
        <v>#NAME?</v>
      </c>
      <c r="G49" s="1" t="e" cm="1">
        <f t="array" aca="1" ref="G49" ca="1">_xll.DBR($C$26,$B49,G$27)</f>
        <v>#NAME?</v>
      </c>
      <c r="H49" s="1" t="e" cm="1">
        <f t="array" aca="1" ref="H49" ca="1">_xll.DBR($C$26,$B49,H$27)</f>
        <v>#NAME?</v>
      </c>
    </row>
    <row r="50" spans="2:23" hidden="1" outlineLevel="1" x14ac:dyDescent="0.25">
      <c r="B50" s="1" t="s">
        <v>55</v>
      </c>
      <c r="C50" s="1" t="e" cm="1">
        <f t="array" aca="1" ref="C50" ca="1">_xll.DBR($C$26,$B50,C$27)</f>
        <v>#NAME?</v>
      </c>
      <c r="D50" s="1" t="e" cm="1">
        <f t="array" aca="1" ref="D50" ca="1">_xll.DBR($C$26,$B50,D$27)</f>
        <v>#NAME?</v>
      </c>
      <c r="E50" s="1" t="e" cm="1">
        <f t="array" aca="1" ref="E50" ca="1">_xll.DBR($C$26,$B50,E$27)</f>
        <v>#NAME?</v>
      </c>
      <c r="F50" s="1" t="e" cm="1">
        <f t="array" aca="1" ref="F50" ca="1">_xll.DBR($C$26,$B50,F$27)</f>
        <v>#NAME?</v>
      </c>
      <c r="G50" s="1" t="e" cm="1">
        <f t="array" aca="1" ref="G50" ca="1">_xll.DBR($C$26,$B50,G$27)</f>
        <v>#NAME?</v>
      </c>
      <c r="H50" s="1" t="e" cm="1">
        <f t="array" aca="1" ref="H50" ca="1">_xll.DBR($C$26,$B50,H$27)</f>
        <v>#NAME?</v>
      </c>
    </row>
    <row r="51" spans="2:23" hidden="1" outlineLevel="1" x14ac:dyDescent="0.25">
      <c r="B51" s="1" t="s">
        <v>56</v>
      </c>
      <c r="C51" s="1" t="e" cm="1">
        <f t="array" aca="1" ref="C51" ca="1">_xll.DBR($C$26,$B51,C$27)</f>
        <v>#NAME?</v>
      </c>
      <c r="D51" s="1" t="e" cm="1">
        <f t="array" aca="1" ref="D51" ca="1">_xll.DBR($C$26,$B51,D$27)</f>
        <v>#NAME?</v>
      </c>
      <c r="E51" s="1" t="e" cm="1">
        <f t="array" aca="1" ref="E51" ca="1">_xll.DBR($C$26,$B51,E$27)</f>
        <v>#NAME?</v>
      </c>
      <c r="F51" s="1" t="e" cm="1">
        <f t="array" aca="1" ref="F51" ca="1">_xll.DBR($C$26,$B51,F$27)</f>
        <v>#NAME?</v>
      </c>
      <c r="G51" s="1" t="e" cm="1">
        <f t="array" aca="1" ref="G51" ca="1">_xll.DBR($C$26,$B51,G$27)</f>
        <v>#NAME?</v>
      </c>
      <c r="H51" s="1" t="e" cm="1">
        <f t="array" aca="1" ref="H51" ca="1">_xll.DBR($C$26,$B51,H$27)</f>
        <v>#NAME?</v>
      </c>
    </row>
    <row r="52" spans="2:23" hidden="1" outlineLevel="1" x14ac:dyDescent="0.25">
      <c r="B52" s="1" t="s">
        <v>57</v>
      </c>
      <c r="C52" s="1" t="e" cm="1">
        <f t="array" aca="1" ref="C52" ca="1">_xll.DBR($C$26,$B52,C$27)</f>
        <v>#NAME?</v>
      </c>
      <c r="D52" s="1" t="e" cm="1">
        <f t="array" aca="1" ref="D52" ca="1">_xll.DBR($C$26,$B52,D$27)</f>
        <v>#NAME?</v>
      </c>
      <c r="E52" s="1" t="e" cm="1">
        <f t="array" aca="1" ref="E52" ca="1">_xll.DBR($C$26,$B52,E$27)</f>
        <v>#NAME?</v>
      </c>
      <c r="F52" s="1" t="e" cm="1">
        <f t="array" aca="1" ref="F52" ca="1">_xll.DBR($C$26,$B52,F$27)</f>
        <v>#NAME?</v>
      </c>
      <c r="G52" s="1" t="e" cm="1">
        <f t="array" aca="1" ref="G52" ca="1">_xll.DBR($C$26,$B52,G$27)</f>
        <v>#NAME?</v>
      </c>
      <c r="H52" s="1" t="e" cm="1">
        <f t="array" aca="1" ref="H52" ca="1">_xll.DBR($C$26,$B52,H$27)</f>
        <v>#NAME?</v>
      </c>
    </row>
    <row r="53" spans="2:23" hidden="1" outlineLevel="1" x14ac:dyDescent="0.25"/>
    <row r="54" spans="2:23" hidden="1" outlineLevel="1" x14ac:dyDescent="0.25"/>
    <row r="55" spans="2:23" hidden="1" outlineLevel="1" x14ac:dyDescent="0.25"/>
    <row r="56" spans="2:23" hidden="1" outlineLevel="1" x14ac:dyDescent="0.25"/>
    <row r="57" spans="2:23" hidden="1" outlineLevel="1" x14ac:dyDescent="0.25"/>
    <row r="58" spans="2:23" ht="39.75" customHeight="1" collapsed="1" x14ac:dyDescent="0.25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1" t="e">
        <f ca="1">"Welcome "&amp; $C$5</f>
        <v>#NAME?</v>
      </c>
    </row>
    <row r="59" spans="2:23" ht="4.5" customHeight="1" x14ac:dyDescent="0.25"/>
    <row r="60" spans="2:23" ht="30" customHeight="1" x14ac:dyDescent="0.25">
      <c r="J60" s="6"/>
      <c r="K60" s="19" t="e">
        <f ca="1">$C$15</f>
        <v>#NAME?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6"/>
      <c r="W60" s="6"/>
    </row>
    <row r="61" spans="2:23" ht="4.5" customHeight="1" x14ac:dyDescent="0.25"/>
    <row r="65" spans="10:23" ht="24.75" customHeight="1" x14ac:dyDescent="0.25">
      <c r="J65" s="7"/>
      <c r="K65" s="7"/>
      <c r="L65" s="14" t="s">
        <v>37</v>
      </c>
      <c r="M65" s="14"/>
      <c r="N65" s="14"/>
      <c r="O65" s="14"/>
      <c r="P65" s="5"/>
      <c r="R65" s="8"/>
      <c r="S65" s="15" t="s">
        <v>41</v>
      </c>
      <c r="T65" s="15"/>
      <c r="U65" s="15"/>
      <c r="V65" s="15"/>
      <c r="W65" s="8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19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4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ht="19.5" customHeight="1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ht="19.5" customHeight="1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ht="4.5" customHeight="1" x14ac:dyDescent="0.25"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</row>
    <row r="91" spans="10:23" x14ac:dyDescent="0.25"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</row>
    <row r="92" spans="10:23" ht="4.5" customHeight="1" x14ac:dyDescent="0.25"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</row>
    <row r="93" spans="10:23" x14ac:dyDescent="0.25"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</row>
    <row r="94" spans="10:23" ht="4.5" customHeight="1" x14ac:dyDescent="0.25">
      <c r="J94" s="9"/>
      <c r="K94" s="9"/>
      <c r="L94" s="9"/>
      <c r="M94" s="9"/>
      <c r="N94" s="9"/>
      <c r="O94" s="9"/>
      <c r="P94" s="9"/>
      <c r="R94" s="9"/>
      <c r="S94" s="9"/>
      <c r="T94" s="9"/>
      <c r="U94" s="9"/>
      <c r="V94" s="9"/>
      <c r="W94" s="9"/>
    </row>
    <row r="95" spans="10:23" x14ac:dyDescent="0.25">
      <c r="J95" s="9"/>
      <c r="K95" s="9"/>
      <c r="L95" s="9"/>
      <c r="M95" s="9"/>
      <c r="N95" s="9"/>
      <c r="O95" s="9"/>
      <c r="P95" s="9"/>
      <c r="R95" s="9"/>
      <c r="S95" s="9"/>
      <c r="T95" s="9"/>
      <c r="U95" s="9"/>
      <c r="V95" s="9"/>
      <c r="W95" s="9"/>
    </row>
    <row r="96" spans="10:23" ht="4.5" customHeight="1" x14ac:dyDescent="0.25">
      <c r="J96" s="9"/>
      <c r="K96" s="9"/>
      <c r="L96" s="9"/>
      <c r="M96" s="9"/>
      <c r="N96" s="9"/>
      <c r="O96" s="9"/>
      <c r="P96" s="9"/>
      <c r="R96" s="9"/>
      <c r="S96" s="9"/>
      <c r="T96" s="9"/>
      <c r="U96" s="9"/>
      <c r="V96" s="9"/>
      <c r="W96" s="9"/>
    </row>
    <row r="97" spans="10:23" x14ac:dyDescent="0.25">
      <c r="J97" s="9"/>
      <c r="K97" s="9"/>
      <c r="L97" s="9"/>
      <c r="M97" s="9"/>
      <c r="N97" s="9"/>
      <c r="O97" s="9"/>
      <c r="P97" s="9"/>
      <c r="R97" s="9"/>
      <c r="S97" s="9"/>
      <c r="T97" s="9"/>
      <c r="U97" s="9"/>
      <c r="V97" s="9"/>
      <c r="W97" s="9"/>
    </row>
    <row r="98" spans="10:23" x14ac:dyDescent="0.25">
      <c r="J98" s="9"/>
      <c r="K98" s="9"/>
      <c r="L98" s="9"/>
      <c r="M98" s="9"/>
      <c r="N98" s="9"/>
      <c r="O98" s="9"/>
      <c r="P98" s="9"/>
      <c r="R98" s="9"/>
      <c r="S98" s="9"/>
      <c r="T98" s="9"/>
      <c r="U98" s="9"/>
      <c r="V98" s="9"/>
      <c r="W98" s="9"/>
    </row>
    <row r="99" spans="10:23" x14ac:dyDescent="0.25">
      <c r="J99" s="9"/>
      <c r="K99" s="9"/>
      <c r="L99" s="9"/>
      <c r="M99" s="9"/>
      <c r="N99" s="9"/>
      <c r="O99" s="9"/>
      <c r="P99" s="9"/>
      <c r="R99" s="9"/>
      <c r="S99" s="9"/>
      <c r="T99" s="9"/>
      <c r="U99" s="9"/>
      <c r="V99" s="9"/>
      <c r="W99" s="9"/>
    </row>
    <row r="100" spans="10:23" x14ac:dyDescent="0.25">
      <c r="J100" s="9"/>
      <c r="K100" s="9"/>
      <c r="L100" s="9"/>
      <c r="M100" s="9"/>
      <c r="N100" s="9"/>
      <c r="O100" s="9"/>
      <c r="P100" s="9"/>
      <c r="R100" s="9"/>
      <c r="S100" s="9"/>
      <c r="T100" s="9"/>
      <c r="U100" s="9"/>
      <c r="V100" s="9"/>
      <c r="W100" s="9"/>
    </row>
    <row r="101" spans="10:23" x14ac:dyDescent="0.25">
      <c r="J101" s="9"/>
      <c r="K101" s="9"/>
      <c r="L101" s="9"/>
      <c r="M101" s="9"/>
      <c r="N101" s="9"/>
      <c r="O101" s="9"/>
      <c r="P101" s="9"/>
      <c r="R101" s="9"/>
      <c r="S101" s="9"/>
      <c r="T101" s="9"/>
      <c r="U101" s="9"/>
      <c r="V101" s="9"/>
      <c r="W101" s="9"/>
    </row>
    <row r="102" spans="10:23" x14ac:dyDescent="0.25">
      <c r="J102" s="9"/>
      <c r="K102" s="9"/>
      <c r="L102" s="9"/>
      <c r="M102" s="9"/>
      <c r="N102" s="9"/>
      <c r="O102" s="9"/>
      <c r="P102" s="9"/>
      <c r="R102" s="9"/>
      <c r="S102" s="9"/>
      <c r="T102" s="9"/>
      <c r="U102" s="9"/>
      <c r="V102" s="9"/>
      <c r="W102" s="9"/>
    </row>
    <row r="103" spans="10:23" x14ac:dyDescent="0.25">
      <c r="K103" s="13" t="str">
        <f ca="1">"© Excelerated Consulting Pty Ltd 2001-" &amp; YEAR(NOW())</f>
        <v>© Excelerated Consulting Pty Ltd 2001-2025</v>
      </c>
    </row>
  </sheetData>
  <sheetProtection sheet="1" objects="1" scenarios="1"/>
  <mergeCells count="7">
    <mergeCell ref="L65:O65"/>
    <mergeCell ref="S65:V65"/>
    <mergeCell ref="B1:D1"/>
    <mergeCell ref="B9:D9"/>
    <mergeCell ref="B17:D17"/>
    <mergeCell ref="B25:D25"/>
    <mergeCell ref="K60:U60"/>
  </mergeCells>
  <conditionalFormatting sqref="R65:W65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0" r:id="rId4" name="TIButton14">
          <controlPr defaultSize="0" print="0" autoLine="0" r:id="rId5">
            <anchor moveWithCells="1" sizeWithCells="1">
              <from>
                <xdr:col>18</xdr:col>
                <xdr:colOff>285750</xdr:colOff>
                <xdr:row>77</xdr:row>
                <xdr:rowOff>9525</xdr:rowOff>
              </from>
              <to>
                <xdr:col>21</xdr:col>
                <xdr:colOff>1038225</xdr:colOff>
                <xdr:row>80</xdr:row>
                <xdr:rowOff>19050</xdr:rowOff>
              </to>
            </anchor>
          </controlPr>
        </control>
      </mc:Choice>
      <mc:Fallback>
        <control shapeId="1040" r:id="rId4" name="TIButton14"/>
      </mc:Fallback>
    </mc:AlternateContent>
    <mc:AlternateContent xmlns:mc="http://schemas.openxmlformats.org/markup-compatibility/2006">
      <mc:Choice Requires="x14">
        <control shapeId="1039" r:id="rId6" name="TIButton13">
          <controlPr defaultSize="0" print="0" autoLine="0" r:id="rId7">
            <anchor moveWithCells="1" sizeWithCells="1">
              <from>
                <xdr:col>18</xdr:col>
                <xdr:colOff>285750</xdr:colOff>
                <xdr:row>74</xdr:row>
                <xdr:rowOff>85725</xdr:rowOff>
              </from>
              <to>
                <xdr:col>21</xdr:col>
                <xdr:colOff>1038225</xdr:colOff>
                <xdr:row>76</xdr:row>
                <xdr:rowOff>152400</xdr:rowOff>
              </to>
            </anchor>
          </controlPr>
        </control>
      </mc:Choice>
      <mc:Fallback>
        <control shapeId="1039" r:id="rId6" name="TIButton13"/>
      </mc:Fallback>
    </mc:AlternateContent>
    <mc:AlternateContent xmlns:mc="http://schemas.openxmlformats.org/markup-compatibility/2006">
      <mc:Choice Requires="x14">
        <control shapeId="1038" r:id="rId8" name="TIButton12">
          <controlPr defaultSize="0" print="0" autoLine="0" r:id="rId9">
            <anchor moveWithCells="1" sizeWithCells="1">
              <from>
                <xdr:col>18</xdr:col>
                <xdr:colOff>285750</xdr:colOff>
                <xdr:row>72</xdr:row>
                <xdr:rowOff>161925</xdr:rowOff>
              </from>
              <to>
                <xdr:col>21</xdr:col>
                <xdr:colOff>1038225</xdr:colOff>
                <xdr:row>74</xdr:row>
                <xdr:rowOff>38100</xdr:rowOff>
              </to>
            </anchor>
          </controlPr>
        </control>
      </mc:Choice>
      <mc:Fallback>
        <control shapeId="1038" r:id="rId8" name="TIButton12"/>
      </mc:Fallback>
    </mc:AlternateContent>
    <mc:AlternateContent xmlns:mc="http://schemas.openxmlformats.org/markup-compatibility/2006">
      <mc:Choice Requires="x14">
        <control shapeId="1037" r:id="rId10" name="TIButton11">
          <controlPr defaultSize="0" print="0" autoLine="0" r:id="rId11">
            <anchor moveWithCells="1" sizeWithCells="1">
              <from>
                <xdr:col>18</xdr:col>
                <xdr:colOff>285750</xdr:colOff>
                <xdr:row>70</xdr:row>
                <xdr:rowOff>104775</xdr:rowOff>
              </from>
              <to>
                <xdr:col>21</xdr:col>
                <xdr:colOff>1038225</xdr:colOff>
                <xdr:row>72</xdr:row>
                <xdr:rowOff>114300</xdr:rowOff>
              </to>
            </anchor>
          </controlPr>
        </control>
      </mc:Choice>
      <mc:Fallback>
        <control shapeId="1037" r:id="rId10" name="TIButton11"/>
      </mc:Fallback>
    </mc:AlternateContent>
    <mc:AlternateContent xmlns:mc="http://schemas.openxmlformats.org/markup-compatibility/2006">
      <mc:Choice Requires="x14">
        <control shapeId="1036" r:id="rId12" name="TIButton10">
          <controlPr defaultSize="0" print="0" autoLine="0" r:id="rId13">
            <anchor moveWithCells="1" sizeWithCells="1">
              <from>
                <xdr:col>18</xdr:col>
                <xdr:colOff>285750</xdr:colOff>
                <xdr:row>68</xdr:row>
                <xdr:rowOff>47625</xdr:rowOff>
              </from>
              <to>
                <xdr:col>21</xdr:col>
                <xdr:colOff>1038225</xdr:colOff>
                <xdr:row>70</xdr:row>
                <xdr:rowOff>57150</xdr:rowOff>
              </to>
            </anchor>
          </controlPr>
        </control>
      </mc:Choice>
      <mc:Fallback>
        <control shapeId="1036" r:id="rId12" name="TIButton10"/>
      </mc:Fallback>
    </mc:AlternateContent>
    <mc:AlternateContent xmlns:mc="http://schemas.openxmlformats.org/markup-compatibility/2006">
      <mc:Choice Requires="x14">
        <control shapeId="1035" r:id="rId14" name="TIButton9">
          <controlPr defaultSize="0" print="0" autoLine="0" r:id="rId15">
            <anchor moveWithCells="1" sizeWithCells="1">
              <from>
                <xdr:col>18</xdr:col>
                <xdr:colOff>285750</xdr:colOff>
                <xdr:row>65</xdr:row>
                <xdr:rowOff>47625</xdr:rowOff>
              </from>
              <to>
                <xdr:col>21</xdr:col>
                <xdr:colOff>1038225</xdr:colOff>
                <xdr:row>68</xdr:row>
                <xdr:rowOff>0</xdr:rowOff>
              </to>
            </anchor>
          </controlPr>
        </control>
      </mc:Choice>
      <mc:Fallback>
        <control shapeId="1035" r:id="rId14" name="TIButton9"/>
      </mc:Fallback>
    </mc:AlternateContent>
    <mc:AlternateContent xmlns:mc="http://schemas.openxmlformats.org/markup-compatibility/2006">
      <mc:Choice Requires="x14">
        <control shapeId="1034" r:id="rId16" name="TIButton8">
          <controlPr defaultSize="0" print="0" autoLine="0" r:id="rId17">
            <anchor moveWithCells="1" sizeWithCells="1">
              <from>
                <xdr:col>19</xdr:col>
                <xdr:colOff>1133475</xdr:colOff>
                <xdr:row>61</xdr:row>
                <xdr:rowOff>38100</xdr:rowOff>
              </from>
              <to>
                <xdr:col>22</xdr:col>
                <xdr:colOff>114300</xdr:colOff>
                <xdr:row>63</xdr:row>
                <xdr:rowOff>76200</xdr:rowOff>
              </to>
            </anchor>
          </controlPr>
        </control>
      </mc:Choice>
      <mc:Fallback>
        <control shapeId="1034" r:id="rId16" name="TIButton8"/>
      </mc:Fallback>
    </mc:AlternateContent>
    <mc:AlternateContent xmlns:mc="http://schemas.openxmlformats.org/markup-compatibility/2006">
      <mc:Choice Requires="x14">
        <control shapeId="1033" r:id="rId18" name="TIButton7">
          <controlPr defaultSize="0" print="0" autoLine="0" r:id="rId19">
            <anchor moveWithCells="1" sizeWithCells="1">
              <from>
                <xdr:col>15</xdr:col>
                <xdr:colOff>371475</xdr:colOff>
                <xdr:row>61</xdr:row>
                <xdr:rowOff>38100</xdr:rowOff>
              </from>
              <to>
                <xdr:col>19</xdr:col>
                <xdr:colOff>1104900</xdr:colOff>
                <xdr:row>63</xdr:row>
                <xdr:rowOff>76200</xdr:rowOff>
              </to>
            </anchor>
          </controlPr>
        </control>
      </mc:Choice>
      <mc:Fallback>
        <control shapeId="1033" r:id="rId18" name="TIButton7"/>
      </mc:Fallback>
    </mc:AlternateContent>
    <mc:AlternateContent xmlns:mc="http://schemas.openxmlformats.org/markup-compatibility/2006">
      <mc:Choice Requires="x14">
        <control shapeId="1032" r:id="rId20" name="TIButton6">
          <controlPr defaultSize="0" print="0" autoLine="0" r:id="rId21">
            <anchor moveWithCells="1" sizeWithCells="1">
              <from>
                <xdr:col>13</xdr:col>
                <xdr:colOff>57150</xdr:colOff>
                <xdr:row>61</xdr:row>
                <xdr:rowOff>47625</xdr:rowOff>
              </from>
              <to>
                <xdr:col>15</xdr:col>
                <xdr:colOff>352425</xdr:colOff>
                <xdr:row>63</xdr:row>
                <xdr:rowOff>85725</xdr:rowOff>
              </to>
            </anchor>
          </controlPr>
        </control>
      </mc:Choice>
      <mc:Fallback>
        <control shapeId="1032" r:id="rId20" name="TIButton6"/>
      </mc:Fallback>
    </mc:AlternateContent>
    <mc:AlternateContent xmlns:mc="http://schemas.openxmlformats.org/markup-compatibility/2006">
      <mc:Choice Requires="x14">
        <control shapeId="1031" r:id="rId22" name="TIButton5">
          <controlPr defaultSize="0" print="0" autoLine="0" r:id="rId23">
            <anchor moveWithCells="1" sizeWithCells="1">
              <from>
                <xdr:col>10</xdr:col>
                <xdr:colOff>123825</xdr:colOff>
                <xdr:row>61</xdr:row>
                <xdr:rowOff>47625</xdr:rowOff>
              </from>
              <to>
                <xdr:col>13</xdr:col>
                <xdr:colOff>38100</xdr:colOff>
                <xdr:row>63</xdr:row>
                <xdr:rowOff>85725</xdr:rowOff>
              </to>
            </anchor>
          </controlPr>
        </control>
      </mc:Choice>
      <mc:Fallback>
        <control shapeId="1031" r:id="rId22" name="TIButton5"/>
      </mc:Fallback>
    </mc:AlternateContent>
    <mc:AlternateContent xmlns:mc="http://schemas.openxmlformats.org/markup-compatibility/2006">
      <mc:Choice Requires="x14">
        <control shapeId="1027" r:id="rId24" name="TIButton3">
          <controlPr defaultSize="0" print="0" autoLine="0" r:id="rId25">
            <anchor moveWithCells="1" sizeWithCells="1">
              <from>
                <xdr:col>11</xdr:col>
                <xdr:colOff>0</xdr:colOff>
                <xdr:row>70</xdr:row>
                <xdr:rowOff>104775</xdr:rowOff>
              </from>
              <to>
                <xdr:col>14</xdr:col>
                <xdr:colOff>752475</xdr:colOff>
                <xdr:row>72</xdr:row>
                <xdr:rowOff>114300</xdr:rowOff>
              </to>
            </anchor>
          </controlPr>
        </control>
      </mc:Choice>
      <mc:Fallback>
        <control shapeId="1027" r:id="rId24" name="TIButton3"/>
      </mc:Fallback>
    </mc:AlternateContent>
    <mc:AlternateContent xmlns:mc="http://schemas.openxmlformats.org/markup-compatibility/2006">
      <mc:Choice Requires="x14">
        <control shapeId="1026" r:id="rId26" name="TIButton2">
          <controlPr defaultSize="0" print="0" autoLine="0" r:id="rId27">
            <anchor moveWithCells="1" sizeWithCells="1">
              <from>
                <xdr:col>11</xdr:col>
                <xdr:colOff>0</xdr:colOff>
                <xdr:row>68</xdr:row>
                <xdr:rowOff>47625</xdr:rowOff>
              </from>
              <to>
                <xdr:col>14</xdr:col>
                <xdr:colOff>752475</xdr:colOff>
                <xdr:row>70</xdr:row>
                <xdr:rowOff>57150</xdr:rowOff>
              </to>
            </anchor>
          </controlPr>
        </control>
      </mc:Choice>
      <mc:Fallback>
        <control shapeId="1026" r:id="rId26" name="TIButton2"/>
      </mc:Fallback>
    </mc:AlternateContent>
    <mc:AlternateContent xmlns:mc="http://schemas.openxmlformats.org/markup-compatibility/2006">
      <mc:Choice Requires="x14">
        <control shapeId="1025" r:id="rId28" name="TIButton1">
          <controlPr defaultSize="0" print="0" autoLine="0" r:id="rId29">
            <anchor moveWithCells="1" sizeWithCells="1">
              <from>
                <xdr:col>11</xdr:col>
                <xdr:colOff>0</xdr:colOff>
                <xdr:row>65</xdr:row>
                <xdr:rowOff>47625</xdr:rowOff>
              </from>
              <to>
                <xdr:col>14</xdr:col>
                <xdr:colOff>752475</xdr:colOff>
                <xdr:row>68</xdr:row>
                <xdr:rowOff>0</xdr:rowOff>
              </to>
            </anchor>
          </controlPr>
        </control>
      </mc:Choice>
      <mc:Fallback>
        <control shapeId="1025" r:id="rId28" name="TIButton1"/>
      </mc:Fallback>
    </mc:AlternateContent>
    <mc:AlternateContent xmlns:mc="http://schemas.openxmlformats.org/markup-compatibility/2006">
      <mc:Choice Requires="x14">
        <control shapeId="1041" r:id="rId30" name="TIButton4">
          <controlPr defaultSize="0" print="0" autoLine="0" r:id="rId31">
            <anchor moveWithCells="1" sizeWithCells="1">
              <from>
                <xdr:col>18</xdr:col>
                <xdr:colOff>285750</xdr:colOff>
                <xdr:row>80</xdr:row>
                <xdr:rowOff>66675</xdr:rowOff>
              </from>
              <to>
                <xdr:col>21</xdr:col>
                <xdr:colOff>1038225</xdr:colOff>
                <xdr:row>82</xdr:row>
                <xdr:rowOff>133350</xdr:rowOff>
              </to>
            </anchor>
          </controlPr>
        </control>
      </mc:Choice>
      <mc:Fallback>
        <control shapeId="1041" r:id="rId30" name="TIButton4"/>
      </mc:Fallback>
    </mc:AlternateContent>
    <mc:AlternateContent xmlns:mc="http://schemas.openxmlformats.org/markup-compatibility/2006">
      <mc:Choice Requires="x14">
        <control shapeId="1042" r:id="rId32" name="TIButton15">
          <controlPr defaultSize="0" print="0" autoLine="0" autoPict="0" r:id="rId33">
            <anchor moveWithCells="1" sizeWithCells="1">
              <from>
                <xdr:col>10</xdr:col>
                <xdr:colOff>381000</xdr:colOff>
                <xdr:row>72</xdr:row>
                <xdr:rowOff>161925</xdr:rowOff>
              </from>
              <to>
                <xdr:col>14</xdr:col>
                <xdr:colOff>752475</xdr:colOff>
                <xdr:row>74</xdr:row>
                <xdr:rowOff>38100</xdr:rowOff>
              </to>
            </anchor>
          </controlPr>
        </control>
      </mc:Choice>
      <mc:Fallback>
        <control shapeId="1042" r:id="rId32" name="TIButton15"/>
      </mc:Fallback>
    </mc:AlternateContent>
    <mc:AlternateContent xmlns:mc="http://schemas.openxmlformats.org/markup-compatibility/2006">
      <mc:Choice Requires="x14">
        <control shapeId="1043" r:id="rId34" name="TIButton16">
          <controlPr defaultSize="0" print="0" autoLine="0" r:id="rId35">
            <anchor moveWithCells="1" sizeWithCells="1">
              <from>
                <xdr:col>18</xdr:col>
                <xdr:colOff>285750</xdr:colOff>
                <xdr:row>83</xdr:row>
                <xdr:rowOff>0</xdr:rowOff>
              </from>
              <to>
                <xdr:col>21</xdr:col>
                <xdr:colOff>1038225</xdr:colOff>
                <xdr:row>86</xdr:row>
                <xdr:rowOff>9525</xdr:rowOff>
              </to>
            </anchor>
          </controlPr>
        </control>
      </mc:Choice>
      <mc:Fallback>
        <control shapeId="1043" r:id="rId34" name="TIButton16"/>
      </mc:Fallback>
    </mc:AlternateContent>
    <mc:AlternateContent xmlns:mc="http://schemas.openxmlformats.org/markup-compatibility/2006">
      <mc:Choice Requires="x14">
        <control shapeId="1050" r:id="rId36" name="TIButton17">
          <controlPr defaultSize="0" print="0" autoLine="0" r:id="rId37">
            <anchor moveWithCells="1" sizeWithCells="1">
              <from>
                <xdr:col>18</xdr:col>
                <xdr:colOff>276225</xdr:colOff>
                <xdr:row>86</xdr:row>
                <xdr:rowOff>38100</xdr:rowOff>
              </from>
              <to>
                <xdr:col>21</xdr:col>
                <xdr:colOff>1028700</xdr:colOff>
                <xdr:row>88</xdr:row>
                <xdr:rowOff>104775</xdr:rowOff>
              </to>
            </anchor>
          </controlPr>
        </control>
      </mc:Choice>
      <mc:Fallback>
        <control shapeId="1050" r:id="rId36" name="TIButton17"/>
      </mc:Fallback>
    </mc:AlternateContent>
    <mc:AlternateContent xmlns:mc="http://schemas.openxmlformats.org/markup-compatibility/2006">
      <mc:Choice Requires="x14">
        <control shapeId="1051" r:id="rId38" name="TIButton18">
          <controlPr defaultSize="0" print="0" autoLine="0" r:id="rId39">
            <anchor moveWithCells="1" sizeWithCells="1">
              <from>
                <xdr:col>18</xdr:col>
                <xdr:colOff>276225</xdr:colOff>
                <xdr:row>88</xdr:row>
                <xdr:rowOff>152400</xdr:rowOff>
              </from>
              <to>
                <xdr:col>21</xdr:col>
                <xdr:colOff>1028700</xdr:colOff>
                <xdr:row>91</xdr:row>
                <xdr:rowOff>28575</xdr:rowOff>
              </to>
            </anchor>
          </controlPr>
        </control>
      </mc:Choice>
      <mc:Fallback>
        <control shapeId="1051" r:id="rId38" name="TIButton18"/>
      </mc:Fallback>
    </mc:AlternateContent>
    <mc:AlternateContent xmlns:mc="http://schemas.openxmlformats.org/markup-compatibility/2006">
      <mc:Choice Requires="x14">
        <control shapeId="1052" r:id="rId40" name="TIButton19">
          <controlPr defaultSize="0" print="0" autoLine="0" r:id="rId41">
            <anchor moveWithCells="1" sizeWithCells="1">
              <from>
                <xdr:col>18</xdr:col>
                <xdr:colOff>276225</xdr:colOff>
                <xdr:row>92</xdr:row>
                <xdr:rowOff>19050</xdr:rowOff>
              </from>
              <to>
                <xdr:col>21</xdr:col>
                <xdr:colOff>1028700</xdr:colOff>
                <xdr:row>94</xdr:row>
                <xdr:rowOff>85725</xdr:rowOff>
              </to>
            </anchor>
          </controlPr>
        </control>
      </mc:Choice>
      <mc:Fallback>
        <control shapeId="1052" r:id="rId40" name="TIButton19"/>
      </mc:Fallback>
    </mc:AlternateContent>
    <mc:AlternateContent xmlns:mc="http://schemas.openxmlformats.org/markup-compatibility/2006">
      <mc:Choice Requires="x14">
        <control shapeId="1053" r:id="rId42" name="TIButton20">
          <controlPr defaultSize="0" print="0" autoLine="0" r:id="rId43">
            <anchor moveWithCells="1" sizeWithCells="1">
              <from>
                <xdr:col>18</xdr:col>
                <xdr:colOff>276225</xdr:colOff>
                <xdr:row>94</xdr:row>
                <xdr:rowOff>133350</xdr:rowOff>
              </from>
              <to>
                <xdr:col>21</xdr:col>
                <xdr:colOff>1028700</xdr:colOff>
                <xdr:row>97</xdr:row>
                <xdr:rowOff>9525</xdr:rowOff>
              </to>
            </anchor>
          </controlPr>
        </control>
      </mc:Choice>
      <mc:Fallback>
        <control shapeId="1053" r:id="rId42" name="TIButton20"/>
      </mc:Fallback>
    </mc:AlternateContent>
    <mc:AlternateContent xmlns:mc="http://schemas.openxmlformats.org/markup-compatibility/2006">
      <mc:Choice Requires="x14">
        <control shapeId="1054" r:id="rId44" name="TIButton21">
          <controlPr defaultSize="0" print="0" autoLine="0" r:id="rId45">
            <anchor moveWithCells="1" sizeWithCells="1">
              <from>
                <xdr:col>18</xdr:col>
                <xdr:colOff>276225</xdr:colOff>
                <xdr:row>97</xdr:row>
                <xdr:rowOff>57150</xdr:rowOff>
              </from>
              <to>
                <xdr:col>21</xdr:col>
                <xdr:colOff>1028700</xdr:colOff>
                <xdr:row>98</xdr:row>
                <xdr:rowOff>180975</xdr:rowOff>
              </to>
            </anchor>
          </controlPr>
        </control>
      </mc:Choice>
      <mc:Fallback>
        <control shapeId="1054" r:id="rId44" name="TIButton2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3"/>
  <sheetViews>
    <sheetView workbookViewId="0"/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2</v>
      </c>
    </row>
    <row r="3" spans="1:1" x14ac:dyDescent="0.25">
      <c r="A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Menu</vt:lpstr>
      <vt:lpstr>{PL}PickLst</vt:lpstr>
      <vt:lpstr>db_name</vt:lpstr>
      <vt:lpstr>home</vt:lpstr>
      <vt:lpstr>Menu</vt:lpstr>
      <vt:lpstr>psUser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TM1HomeRepAdditionalCAP</vt:lpstr>
      <vt:lpstr>TM1HomeRepAdditionalWB</vt:lpstr>
      <vt:lpstr>TM1HomeRepAdditionalWS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TM1HomeRepPFSCAP</vt:lpstr>
      <vt:lpstr>TM1HomeRepPFSWB</vt:lpstr>
      <vt:lpstr>TM1HomeRepPFSWS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TM1OthRprDetMvtCAP</vt:lpstr>
      <vt:lpstr>TM1OthRprDetMvtWB</vt:lpstr>
      <vt:lpstr>TM1OthRprDetMvtWS</vt:lpstr>
      <vt:lpstr>TM1OthRprFinDETCAP</vt:lpstr>
      <vt:lpstr>TM1OthRprFinDETWB</vt:lpstr>
      <vt:lpstr>TM1OthRprFinDETWS</vt:lpstr>
      <vt:lpstr>TM1OthRprFinSPPCAP</vt:lpstr>
      <vt:lpstr>TM1OthRprFinSPPWB</vt:lpstr>
      <vt:lpstr>TM1OthRprFuncCAP</vt:lpstr>
      <vt:lpstr>TM1OthRprFuncWB</vt:lpstr>
      <vt:lpstr>TM1OthRprFuncWS</vt:lpstr>
      <vt:lpstr>TM1OthRprMeasFinCAP</vt:lpstr>
      <vt:lpstr>TM1OthRprMeasFinWB</vt:lpstr>
      <vt:lpstr>TM1OthRprMeasFinWS</vt:lpstr>
      <vt:lpstr>TM1OthRprMeasRecoCAP</vt:lpstr>
      <vt:lpstr>TM1OthRprMeasRecoWB</vt:lpstr>
      <vt:lpstr>TM1OthRprMeasRecoWS</vt:lpstr>
      <vt:lpstr>TM1OthRprSPPCAP</vt:lpstr>
      <vt:lpstr>TM1OthRprSPPWB</vt:lpstr>
      <vt:lpstr>TM1OthRprSPPWS</vt:lpstr>
      <vt:lpstr>TM1OthRprSumMACAP</vt:lpstr>
      <vt:lpstr>TM1OthRprSumMAWB</vt:lpstr>
      <vt:lpstr>TM1OthRprTBalAccCAP</vt:lpstr>
      <vt:lpstr>TM1OthRprTBalAccWB</vt:lpstr>
      <vt:lpstr>TM1OthRprTBalAccWS</vt:lpstr>
      <vt:lpstr>TM1OthRprTBalCAP</vt:lpstr>
      <vt:lpstr>TM1OthRprTBalDetailCAP</vt:lpstr>
      <vt:lpstr>TM1OthRprTBalDetailWB</vt:lpstr>
      <vt:lpstr>TM1OthRprTBalDetailWS</vt:lpstr>
      <vt:lpstr>TM1OthRprTBalDrillCAP</vt:lpstr>
      <vt:lpstr>TM1OthRprTBalDrillWB</vt:lpstr>
      <vt:lpstr>TM1OthRprTBalDrillWS</vt:lpstr>
      <vt:lpstr>TM1OthRprTBalWB</vt:lpstr>
      <vt:lpstr>TM1OthRprTBalWS</vt:lpstr>
      <vt:lpstr>TM1OthRprTFinSPPWS</vt:lpstr>
      <vt:lpstr>TM1OthRprTxnByReasonCAP</vt:lpstr>
      <vt:lpstr>TM1OthRprTxnByReasonDetCAP</vt:lpstr>
      <vt:lpstr>TM1OthRprTxnByReasonDetWB</vt:lpstr>
      <vt:lpstr>TM1OthRprTxnByReasonDetWS</vt:lpstr>
      <vt:lpstr>TM1OthRprTxnByReasonWB</vt:lpstr>
      <vt:lpstr>TM1OthRprTxnByReasonWS</vt:lpstr>
      <vt:lpstr>TM1RptPFSCAP</vt:lpstr>
      <vt:lpstr>TM1RptPFSWB</vt:lpstr>
      <vt:lpstr>TM1RptPFSWS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2018-10-30T00:46:04Z</dcterms:created>
  <dcterms:modified xsi:type="dcterms:W3CDTF">2025-08-05T04:55:58Z</dcterms:modified>
</cp:coreProperties>
</file>