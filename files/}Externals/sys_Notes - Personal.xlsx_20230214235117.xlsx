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155D9F6A-8F8C-4AF9-8A9E-47F5A74DA0B8}" xr6:coauthVersionLast="47" xr6:coauthVersionMax="47" xr10:uidLastSave="{00000000-0000-0000-0000-000000000000}"/>
  <bookViews>
    <workbookView xWindow="29580" yWindow="780" windowWidth="21600" windowHeight="11385" xr2:uid="{C1BFD609-2373-4592-BBD4-0F1550315456}"/>
  </bookViews>
  <sheets>
    <sheet name="notes" sheetId="1" r:id="rId1"/>
  </sheets>
  <definedNames>
    <definedName name="db_name">notes!$C$12</definedName>
    <definedName name="psApp">notes!$C$21</definedName>
    <definedName name="psUser">notes!$C$14</definedName>
    <definedName name="TM1HomeAdminCAP">notes!$D$24</definedName>
    <definedName name="TM1HomeAdminWB">notes!$F$24</definedName>
    <definedName name="TM1HomeAdminWS">notes!$H$24</definedName>
    <definedName name="TM1HomeCAP">notes!$D$23</definedName>
    <definedName name="TM1HomeWB">notes!$F$23</definedName>
    <definedName name="TM1HomeWS">notes!$H$23</definedName>
    <definedName name="TM1NotesAllCAP">notes!$D$26</definedName>
    <definedName name="TM1NotesAllWB">notes!$F$26</definedName>
    <definedName name="TM1NotesAllWS">notes!$H$26</definedName>
    <definedName name="TM1NotesClientCAP">notes!$D$25</definedName>
    <definedName name="TM1NotesClientWB">notes!$F$25</definedName>
    <definedName name="TM1NotesClientWS">notes!$H$25</definedName>
    <definedName name="TM1REBUILDOPTION">1</definedName>
    <definedName name="TM1RPTDATARNG1" localSheetId="0">notes!$47:$47</definedName>
    <definedName name="TM1RPTFMTIDCOL" localSheetId="0">notes!$A$1:$A$8</definedName>
    <definedName name="TM1RPTFMTRNG" localSheetId="0">notes!$J$1:$L$8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30" i="1"/>
  <c r="C31" i="1"/>
  <c r="C32" i="1"/>
  <c r="C29" i="1"/>
  <c r="C33" i="1"/>
  <c r="J47" i="1"/>
  <c r="C20" i="1"/>
  <c r="G47" i="1"/>
  <c r="L47" i="1"/>
  <c r="K47" i="1"/>
  <c r="C24" i="1"/>
  <c r="C23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H23" i="1"/>
  <c r="G23" i="1"/>
  <c r="F23" i="1"/>
  <c r="E23" i="1"/>
  <c r="D23" i="1"/>
  <c r="C13" i="1"/>
  <c r="C15" i="1"/>
  <c r="C17" i="1"/>
  <c r="C16" i="1"/>
  <c r="A47" i="1"/>
  <c r="A5" i="1"/>
  <c r="A4" i="1"/>
  <c r="A3" i="1"/>
  <c r="A2" i="1"/>
</calcChain>
</file>

<file path=xl/sharedStrings.xml><?xml version="1.0" encoding="utf-8"?>
<sst xmlns="http://schemas.openxmlformats.org/spreadsheetml/2006/main" count="37" uniqueCount="34">
  <si>
    <t>}Clients</t>
  </si>
  <si>
    <t>sys_client preference measure</t>
  </si>
  <si>
    <t>D</t>
  </si>
  <si>
    <t>N</t>
  </si>
  <si>
    <t>[Begin Format Range]</t>
  </si>
  <si>
    <t>[End Format Range]</t>
  </si>
  <si>
    <t>Note #</t>
  </si>
  <si>
    <t>Date Created/Required?</t>
  </si>
  <si>
    <t>Description</t>
  </si>
  <si>
    <t>Client Preference MDX</t>
  </si>
  <si>
    <t>Database Variables</t>
  </si>
  <si>
    <t>Database Name</t>
  </si>
  <si>
    <t>TM1 User</t>
  </si>
  <si>
    <t>}TM1_DefaultDisplayValue</t>
  </si>
  <si>
    <t>GEUS User Name</t>
  </si>
  <si>
    <t>Current User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</si>
  <si>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</si>
  <si>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</si>
  <si>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</si>
  <si>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</si>
  <si>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</si>
  <si>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</si>
  <si>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</si>
  <si>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</si>
  <si>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</si>
  <si>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</si>
  <si>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Administration</t>
  </si>
  <si>
    <t>Notes - Client Specific</t>
  </si>
  <si>
    <t>Notes - All</t>
  </si>
  <si>
    <t>sys_client preference</t>
  </si>
  <si>
    <t>Active Form VIEW</t>
  </si>
  <si>
    <t xml:space="preserve">Notes - Personal </t>
  </si>
  <si>
    <t xml:space="preserve">Note : This screen is used to manage your own personal notes to assist during the processes in GEUS and CBMS. These are all FREE TEXT fields. 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</si>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</sst>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26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4" borderId="0" xfId="0" applyFont="1" applyFill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top"/>
    </xf>
    <xf numFmtId="0" fontId="0" fillId="0" borderId="4" xfId="0" applyBorder="1" applyAlignment="1">
      <alignment vertical="top"/>
    </xf>
    <xf numFmtId="0" fontId="4" fillId="3" borderId="4" xfId="0" applyFont="1" applyFill="1" applyBorder="1" applyAlignment="1">
      <alignment vertical="top"/>
    </xf>
    <xf numFmtId="49" fontId="4" fillId="3" borderId="4" xfId="0" applyNumberFormat="1" applyFont="1" applyFill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5" fillId="4" borderId="0" xfId="0" applyFont="1" applyFill="1" applyAlignment="1">
      <alignment horizontal="right" vertical="center"/>
    </xf>
    <xf numFmtId="0" fontId="6" fillId="0" borderId="0" xfId="0" applyFont="1"/>
    <xf numFmtId="0" fontId="0" fillId="3" borderId="4" xfId="0" applyFill="1" applyBorder="1" applyAlignment="1">
      <alignment vertical="top"/>
    </xf>
    <xf numFmtId="0" fontId="0" fillId="3" borderId="4" xfId="0" applyFill="1" applyBorder="1" applyAlignment="1">
      <alignment horizontal="center" vertical="top"/>
    </xf>
    <xf numFmtId="0" fontId="3" fillId="0" borderId="4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19050</xdr:colOff>
          <xdr:row>40</xdr:row>
          <xdr:rowOff>19050</xdr:rowOff>
        </xdr:from>
        <xdr:to>
          <xdr:col>9</xdr:col>
          <xdr:colOff>457200</xdr:colOff>
          <xdr:row>40</xdr:row>
          <xdr:rowOff>276225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438150</xdr:colOff>
          <xdr:row>40</xdr:row>
          <xdr:rowOff>19050</xdr:rowOff>
        </xdr:from>
        <xdr:to>
          <xdr:col>10</xdr:col>
          <xdr:colOff>971550</xdr:colOff>
          <xdr:row>40</xdr:row>
          <xdr:rowOff>276225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1066800</xdr:colOff>
          <xdr:row>39</xdr:row>
          <xdr:rowOff>28575</xdr:rowOff>
        </xdr:from>
        <xdr:to>
          <xdr:col>11</xdr:col>
          <xdr:colOff>1276350</xdr:colOff>
          <xdr:row>40</xdr:row>
          <xdr:rowOff>180975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19050</xdr:colOff>
      <xdr:row>38</xdr:row>
      <xdr:rowOff>19050</xdr:rowOff>
    </xdr:from>
    <xdr:to>
      <xdr:col>10</xdr:col>
      <xdr:colOff>723900</xdr:colOff>
      <xdr:row>38</xdr:row>
      <xdr:rowOff>476250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495300</xdr:colOff>
          <xdr:row>40</xdr:row>
          <xdr:rowOff>19050</xdr:rowOff>
        </xdr:from>
        <xdr:to>
          <xdr:col>10</xdr:col>
          <xdr:colOff>400050</xdr:colOff>
          <xdr:row>40</xdr:row>
          <xdr:rowOff>285750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E855-067D-49BF-BB96-43DFDDC287FB}">
  <sheetPr codeName="Sheet1">
    <outlinePr showOutlineSymbols="0"/>
    <pageSetUpPr fitToPage="1"/>
  </sheetPr>
  <dimension ref="A1:L47"/>
  <sheetViews>
    <sheetView showGridLines="0" showRowColHeaders="0" tabSelected="1" showOutlineSymbols="0" topLeftCell="I39" workbookViewId="0"/>
  </sheetViews>
  <sheetFormatPr defaultRowHeight="15" outlineLevelRow="1" outlineLevelCol="1" x14ac:dyDescent="0.25"/>
  <cols>
    <col min="1" max="8" width="20.28515625" hidden="1" customWidth="1" outlineLevel="1"/>
    <col min="9" max="9" width="0.85546875" customWidth="1" collapsed="1"/>
    <col min="10" max="10" width="15.7109375" customWidth="1"/>
    <col min="11" max="11" width="100.7109375" customWidth="1"/>
    <col min="12" max="12" width="20.7109375" customWidth="1"/>
  </cols>
  <sheetData>
    <row r="1" spans="1:12" hidden="1" outlineLevel="1" x14ac:dyDescent="0.25">
      <c r="A1" t="s">
        <v>4</v>
      </c>
    </row>
    <row r="2" spans="1:12" hidden="1" outlineLevel="1" x14ac:dyDescent="0.25">
      <c r="A2">
        <f>0</f>
        <v>0</v>
      </c>
      <c r="J2" s="9"/>
      <c r="K2" s="14"/>
      <c r="L2" s="15"/>
    </row>
    <row r="3" spans="1:12" hidden="1" outlineLevel="1" x14ac:dyDescent="0.25">
      <c r="A3">
        <f>1</f>
        <v>1</v>
      </c>
      <c r="J3" s="9"/>
      <c r="K3" s="8"/>
      <c r="L3" s="11"/>
    </row>
    <row r="4" spans="1:12" hidden="1" outlineLevel="1" x14ac:dyDescent="0.25">
      <c r="A4">
        <f>2</f>
        <v>2</v>
      </c>
      <c r="J4" s="9"/>
      <c r="K4" s="8"/>
      <c r="L4" s="11"/>
    </row>
    <row r="5" spans="1:12" hidden="1" outlineLevel="1" x14ac:dyDescent="0.25">
      <c r="A5">
        <f>3</f>
        <v>3</v>
      </c>
      <c r="J5" s="9"/>
      <c r="K5" s="8"/>
      <c r="L5" s="11"/>
    </row>
    <row r="6" spans="1:12" hidden="1" outlineLevel="1" x14ac:dyDescent="0.25">
      <c r="A6" t="s">
        <v>2</v>
      </c>
      <c r="J6" s="9"/>
      <c r="K6" s="8"/>
      <c r="L6" s="11"/>
    </row>
    <row r="7" spans="1:12" hidden="1" outlineLevel="1" x14ac:dyDescent="0.25">
      <c r="A7" t="s">
        <v>3</v>
      </c>
      <c r="J7" s="7"/>
      <c r="K7" s="16"/>
      <c r="L7" s="17"/>
    </row>
    <row r="8" spans="1:12" hidden="1" outlineLevel="1" x14ac:dyDescent="0.25">
      <c r="A8" t="s">
        <v>5</v>
      </c>
    </row>
    <row r="9" spans="1:12" hidden="1" outlineLevel="1" x14ac:dyDescent="0.25"/>
    <row r="10" spans="1:12" hidden="1" outlineLevel="1" x14ac:dyDescent="0.25"/>
    <row r="11" spans="1:12" hidden="1" outlineLevel="1" x14ac:dyDescent="0.25">
      <c r="B11" s="18" t="s">
        <v>10</v>
      </c>
      <c r="C11" s="19"/>
      <c r="D11" s="20"/>
    </row>
    <row r="12" spans="1:12" hidden="1" outlineLevel="1" x14ac:dyDescent="0.25">
      <c r="B12" s="1" t="s">
        <v>11</v>
      </c>
      <c r="C12" s="2" t="s">
        <v>33</v>
      </c>
      <c r="D12" s="3"/>
    </row>
    <row r="13" spans="1:12" hidden="1" outlineLevel="1" x14ac:dyDescent="0.25">
      <c r="B13" s="1" t="s">
        <v>0</v>
      </c>
      <c r="C13" s="4" t="str">
        <f ca="1">_xll.VIEW(db_name&amp;":}ElementAttributes_}Clients","!","!")</f>
        <v>dcceew_geus:}ElementAttributes_}Clients</v>
      </c>
      <c r="D13" s="3"/>
    </row>
    <row r="14" spans="1:12" hidden="1" outlineLevel="1" x14ac:dyDescent="0.25">
      <c r="B14" s="1" t="s">
        <v>12</v>
      </c>
      <c r="C14" s="2" t="str">
        <f ca="1">_xll.TM1USER(db_name)</f>
        <v/>
      </c>
      <c r="D14" s="3"/>
    </row>
    <row r="15" spans="1:12" hidden="1" outlineLevel="1" x14ac:dyDescent="0.25">
      <c r="B15" s="1" t="s">
        <v>13</v>
      </c>
      <c r="C15" s="2" t="str">
        <f ca="1">_xll.DBR($C$13,$C$14,$B15)</f>
        <v>*KEY_ERR</v>
      </c>
      <c r="D15" s="3"/>
    </row>
    <row r="16" spans="1:12" hidden="1" outlineLevel="1" x14ac:dyDescent="0.25">
      <c r="B16" s="1" t="s">
        <v>14</v>
      </c>
      <c r="C16" s="2" t="str">
        <f ca="1">_xll.DBR($C$13,$C$14,$B16)</f>
        <v>*KEY_ERR</v>
      </c>
      <c r="D16" s="3"/>
    </row>
    <row r="17" spans="2:8" hidden="1" outlineLevel="1" x14ac:dyDescent="0.25">
      <c r="B17" s="1" t="s">
        <v>15</v>
      </c>
      <c r="C17" s="2" t="str">
        <f ca="1">IF(LEFT($C$15,6)="CAM_AD",$C$16,$C$15)</f>
        <v>*KEY_ERR</v>
      </c>
      <c r="D17" s="5"/>
    </row>
    <row r="18" spans="2:8" hidden="1" outlineLevel="1" x14ac:dyDescent="0.25"/>
    <row r="19" spans="2:8" hidden="1" outlineLevel="1" x14ac:dyDescent="0.25">
      <c r="B19" s="18" t="s">
        <v>16</v>
      </c>
      <c r="C19" s="19"/>
      <c r="D19" s="20"/>
    </row>
    <row r="20" spans="2:8" hidden="1" outlineLevel="1" x14ac:dyDescent="0.25">
      <c r="B20" s="1" t="s">
        <v>17</v>
      </c>
      <c r="C20" s="5" t="str">
        <f ca="1">_xll.VIEW(db_name&amp;":sys_application","!","!")</f>
        <v>dcceew_geus:sys_application</v>
      </c>
      <c r="D20" s="5"/>
    </row>
    <row r="21" spans="2:8" hidden="1" outlineLevel="1" x14ac:dyDescent="0.25">
      <c r="B21" s="1" t="s">
        <v>18</v>
      </c>
      <c r="C21" s="5" t="s">
        <v>27</v>
      </c>
      <c r="D21" s="5"/>
    </row>
    <row r="22" spans="2:8" hidden="1" outlineLevel="1" x14ac:dyDescent="0.25">
      <c r="B22" s="5"/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</row>
    <row r="23" spans="2:8" hidden="1" outlineLevel="1" x14ac:dyDescent="0.25">
      <c r="B23" s="5" t="s">
        <v>25</v>
      </c>
      <c r="C23" s="5" t="str">
        <f ca="1">_xll.DBR($C$20,$B23,C$22)</f>
        <v>*KEY_ERR</v>
      </c>
      <c r="D23" s="5" t="str">
        <f ca="1">_xll.DBR($C$20,$B23,D$22)</f>
        <v>*KEY_ERR</v>
      </c>
      <c r="E23" s="5" t="str">
        <f ca="1">_xll.DBR($C$20,$B23,E$22)</f>
        <v>*KEY_ERR</v>
      </c>
      <c r="F23" s="5" t="str">
        <f ca="1">_xll.DBR($C$20,$B23,F$22)</f>
        <v>*KEY_ERR</v>
      </c>
      <c r="G23" s="5" t="str">
        <f ca="1">_xll.DBR($C$20,$B23,G$22)</f>
        <v>*KEY_ERR</v>
      </c>
      <c r="H23" s="5" t="str">
        <f ca="1">_xll.DBR($C$20,$B23,H$22)</f>
        <v>*KEY_ERR</v>
      </c>
    </row>
    <row r="24" spans="2:8" hidden="1" outlineLevel="1" x14ac:dyDescent="0.25">
      <c r="B24" s="5" t="s">
        <v>26</v>
      </c>
      <c r="C24" s="5" t="str">
        <f ca="1">_xll.DBR($C$20,$B24,C$22)</f>
        <v>*KEY_ERR</v>
      </c>
      <c r="D24" s="5" t="str">
        <f ca="1">_xll.DBR($C$20,$B24,D$22)</f>
        <v>*KEY_ERR</v>
      </c>
      <c r="E24" s="5" t="str">
        <f ca="1">_xll.DBR($C$20,$B24,E$22)</f>
        <v>*KEY_ERR</v>
      </c>
      <c r="F24" s="5" t="str">
        <f ca="1">_xll.DBR($C$20,$B24,F$22)</f>
        <v>*KEY_ERR</v>
      </c>
      <c r="G24" s="5" t="str">
        <f ca="1">_xll.DBR($C$20,$B24,G$22)</f>
        <v>*KEY_ERR</v>
      </c>
      <c r="H24" s="5" t="str">
        <f ca="1">_xll.DBR($C$20,$B24,H$22)</f>
        <v>*KEY_ERR</v>
      </c>
    </row>
    <row r="25" spans="2:8" hidden="1" outlineLevel="1" x14ac:dyDescent="0.25">
      <c r="B25" s="5" t="s">
        <v>27</v>
      </c>
      <c r="C25" s="5" t="str">
        <f ca="1">_xll.DBR($C$20,$B25,C$22)</f>
        <v>*KEY_ERR</v>
      </c>
      <c r="D25" s="5" t="str">
        <f ca="1">_xll.DBR($C$20,$B25,D$22)</f>
        <v>*KEY_ERR</v>
      </c>
      <c r="E25" s="5" t="str">
        <f ca="1">_xll.DBR($C$20,$B25,E$22)</f>
        <v>*KEY_ERR</v>
      </c>
      <c r="F25" s="5" t="str">
        <f ca="1">_xll.DBR($C$20,$B25,F$22)</f>
        <v>*KEY_ERR</v>
      </c>
      <c r="G25" s="5" t="str">
        <f ca="1">_xll.DBR($C$20,$B25,G$22)</f>
        <v>*KEY_ERR</v>
      </c>
      <c r="H25" s="5" t="str">
        <f ca="1">_xll.DBR($C$20,$B25,H$22)</f>
        <v>*KEY_ERR</v>
      </c>
    </row>
    <row r="26" spans="2:8" hidden="1" outlineLevel="1" x14ac:dyDescent="0.25">
      <c r="B26" s="5" t="s">
        <v>28</v>
      </c>
      <c r="C26" s="5" t="str">
        <f ca="1">_xll.DBR($C$20,$B26,C$22)</f>
        <v>*KEY_ERR</v>
      </c>
      <c r="D26" s="5" t="str">
        <f ca="1">_xll.DBR($C$20,$B26,D$22)</f>
        <v>*KEY_ERR</v>
      </c>
      <c r="E26" s="5" t="str">
        <f ca="1">_xll.DBR($C$20,$B26,E$22)</f>
        <v>*KEY_ERR</v>
      </c>
      <c r="F26" s="5" t="str">
        <f ca="1">_xll.DBR($C$20,$B26,F$22)</f>
        <v>*KEY_ERR</v>
      </c>
      <c r="G26" s="5" t="str">
        <f ca="1">_xll.DBR($C$20,$B26,G$22)</f>
        <v>*KEY_ERR</v>
      </c>
      <c r="H26" s="5" t="str">
        <f ca="1">_xll.DBR($C$20,$B26,H$22)</f>
        <v>*KEY_ERR</v>
      </c>
    </row>
    <row r="27" spans="2:8" hidden="1" outlineLevel="1" x14ac:dyDescent="0.25"/>
    <row r="28" spans="2:8" hidden="1" outlineLevel="1" x14ac:dyDescent="0.25">
      <c r="B28" s="18" t="s">
        <v>29</v>
      </c>
      <c r="C28" s="19"/>
      <c r="D28" s="20"/>
    </row>
    <row r="29" spans="2:8" hidden="1" outlineLevel="1" x14ac:dyDescent="0.25">
      <c r="B29" s="5" t="s">
        <v>30</v>
      </c>
      <c r="C29" s="5" t="str">
        <f ca="1">_xll.TM1RPTVIEW(db_name&amp;":sys_client preference:1", 0, _xll.TM1RPTTITLE(db_name&amp;":}Clients",$C$31), _xll.TM1RPTTITLE(db_name&amp;":sys_client preference measure",$C$32),TM1RPTFMTRNG,TM1RPTFMTIDCOL)</f>
        <v>dcceew_geus:sys_client preference:1</v>
      </c>
      <c r="D29" s="5"/>
    </row>
    <row r="30" spans="2:8" hidden="1" outlineLevel="1" x14ac:dyDescent="0.25">
      <c r="B30" s="5" t="s">
        <v>17</v>
      </c>
      <c r="C30" s="5" t="str">
        <f ca="1">_xll.VIEW(db_name&amp;":sys_client preference",psUser,"!","!")</f>
        <v>dcceew_geus:sys_client preference</v>
      </c>
      <c r="D30" s="5"/>
    </row>
    <row r="31" spans="2:8" hidden="1" outlineLevel="1" x14ac:dyDescent="0.25">
      <c r="B31" s="1" t="s">
        <v>0</v>
      </c>
      <c r="C31" s="5" t="str">
        <f ca="1">_xll.SUBNM(db_name&amp;":}Clients","",psUser)</f>
        <v/>
      </c>
      <c r="D31" s="5"/>
    </row>
    <row r="32" spans="2:8" hidden="1" outlineLevel="1" x14ac:dyDescent="0.25">
      <c r="B32" s="1" t="s">
        <v>1</v>
      </c>
      <c r="C32" s="5" t="str">
        <f ca="1">_xll.SUBNM(db_name&amp;":sys_client preference measure","","value")</f>
        <v/>
      </c>
      <c r="D32" s="5"/>
    </row>
    <row r="33" spans="1:12" hidden="1" outlineLevel="1" x14ac:dyDescent="0.25">
      <c r="B33" s="5" t="s">
        <v>9</v>
      </c>
      <c r="C33" s="5" t="str">
        <f>"{TM1FILTERBYLEVEL( {TM1DRILLDOWNMEMBER( {[sys_client preference].[All Notes]}, ALL, RECURSIVE )}, 0)}"</f>
        <v>{TM1FILTERBYLEVEL( {TM1DRILLDOWNMEMBER( {[sys_client preference].[All Notes]}, ALL, RECURSIVE )}, 0)}</v>
      </c>
      <c r="D33" s="5"/>
    </row>
    <row r="34" spans="1:12" hidden="1" outlineLevel="1" x14ac:dyDescent="0.25"/>
    <row r="35" spans="1:12" hidden="1" outlineLevel="1" x14ac:dyDescent="0.25"/>
    <row r="36" spans="1:12" hidden="1" outlineLevel="1" x14ac:dyDescent="0.25"/>
    <row r="37" spans="1:12" hidden="1" outlineLevel="1" x14ac:dyDescent="0.25"/>
    <row r="38" spans="1:12" hidden="1" outlineLevel="1" x14ac:dyDescent="0.25"/>
    <row r="39" spans="1:12" ht="39.950000000000003" customHeight="1" collapsed="1" x14ac:dyDescent="0.25">
      <c r="I39" s="12"/>
      <c r="J39" s="12"/>
      <c r="K39" s="12"/>
      <c r="L39" s="12" t="s">
        <v>31</v>
      </c>
    </row>
    <row r="40" spans="1:12" ht="4.5" customHeight="1" x14ac:dyDescent="0.25"/>
    <row r="41" spans="1:12" ht="24" customHeight="1" x14ac:dyDescent="0.25"/>
    <row r="42" spans="1:12" ht="1.5" customHeight="1" x14ac:dyDescent="0.25">
      <c r="I42" s="12"/>
      <c r="J42" s="12"/>
      <c r="K42" s="12"/>
      <c r="L42" s="12"/>
    </row>
    <row r="43" spans="1:12" ht="4.5" customHeight="1" x14ac:dyDescent="0.25"/>
    <row r="44" spans="1:12" x14ac:dyDescent="0.25">
      <c r="J44" s="13" t="s">
        <v>32</v>
      </c>
    </row>
    <row r="45" spans="1:12" ht="4.5" customHeight="1" x14ac:dyDescent="0.25"/>
    <row r="46" spans="1:12" ht="30" x14ac:dyDescent="0.25">
      <c r="J46" s="6" t="s">
        <v>6</v>
      </c>
      <c r="K46" s="6" t="s">
        <v>8</v>
      </c>
      <c r="L46" s="6" t="s">
        <v>7</v>
      </c>
    </row>
    <row r="47" spans="1:12" ht="30" customHeight="1" x14ac:dyDescent="0.25">
      <c r="A47" t="str">
        <f ca="1">IF(_xll.TM1RPTELISCONSOLIDATED($J$47,$J47),IF(_xll.TM1RPTELLEV($J$47,$J47)&lt;=3,_xll.TM1RPTELLEV($J$47,$J47),"D"),"N")</f>
        <v>N</v>
      </c>
      <c r="G47" t="str">
        <f ca="1">$J47&amp;" Date"</f>
        <v xml:space="preserve"> Date</v>
      </c>
      <c r="J47" s="10" t="str">
        <f ca="1">_xll.TM1RPTROW($C$29,db_name&amp;":sys_client preference","","","",0,$C$33)</f>
        <v/>
      </c>
      <c r="K47" s="16" t="str">
        <f ca="1">_xll.DBRW($C$29,$C$31,$J47,$C$32)</f>
        <v/>
      </c>
      <c r="L47" s="17" t="str">
        <f ca="1">_xll.DBRW($C$30,$C$31,$G47,$C$32)</f>
        <v/>
      </c>
    </row>
  </sheetData>
  <sheetProtection sheet="1" objects="1" scenarios="1"/>
  <mergeCells count="3">
    <mergeCell ref="B11:D11"/>
    <mergeCell ref="B19:D19"/>
    <mergeCell ref="B28:D28"/>
  </mergeCells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TIButton4">
          <controlPr defaultSize="0" print="0" autoLine="0" r:id="rId5">
            <anchor moveWithCells="1" sizeWithCells="1">
              <from>
                <xdr:col>9</xdr:col>
                <xdr:colOff>495300</xdr:colOff>
                <xdr:row>40</xdr:row>
                <xdr:rowOff>19050</xdr:rowOff>
              </from>
              <to>
                <xdr:col>10</xdr:col>
                <xdr:colOff>400050</xdr:colOff>
                <xdr:row>40</xdr:row>
                <xdr:rowOff>285750</xdr:rowOff>
              </to>
            </anchor>
          </controlPr>
        </control>
      </mc:Choice>
      <mc:Fallback>
        <control shapeId="1028" r:id="rId4" name="TIButton4"/>
      </mc:Fallback>
    </mc:AlternateContent>
    <mc:AlternateContent xmlns:mc="http://schemas.openxmlformats.org/markup-compatibility/2006">
      <mc:Choice Requires="x14">
        <control shapeId="1025" r:id="rId6" name="TIButton1">
          <controlPr defaultSize="0" print="0" autoLine="0" r:id="rId7">
            <anchor moveWithCells="1" sizeWithCells="1">
              <from>
                <xdr:col>9</xdr:col>
                <xdr:colOff>19050</xdr:colOff>
                <xdr:row>40</xdr:row>
                <xdr:rowOff>19050</xdr:rowOff>
              </from>
              <to>
                <xdr:col>9</xdr:col>
                <xdr:colOff>457200</xdr:colOff>
                <xdr:row>40</xdr:row>
                <xdr:rowOff>276225</xdr:rowOff>
              </to>
            </anchor>
          </controlPr>
        </control>
      </mc:Choice>
      <mc:Fallback>
        <control shapeId="1025" r:id="rId6" name="TIButton1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r:id="rId9">
            <anchor moveWithCells="1" sizeWithCells="1">
              <from>
                <xdr:col>10</xdr:col>
                <xdr:colOff>438150</xdr:colOff>
                <xdr:row>40</xdr:row>
                <xdr:rowOff>19050</xdr:rowOff>
              </from>
              <to>
                <xdr:col>10</xdr:col>
                <xdr:colOff>971550</xdr:colOff>
                <xdr:row>40</xdr:row>
                <xdr:rowOff>276225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7" r:id="rId10" name="TIButton3">
          <controlPr defaultSize="0" print="0" autoLine="0" r:id="rId11">
            <anchor moveWithCells="1" sizeWithCells="1">
              <from>
                <xdr:col>11</xdr:col>
                <xdr:colOff>1066800</xdr:colOff>
                <xdr:row>39</xdr:row>
                <xdr:rowOff>28575</xdr:rowOff>
              </from>
              <to>
                <xdr:col>11</xdr:col>
                <xdr:colOff>1276350</xdr:colOff>
                <xdr:row>40</xdr:row>
                <xdr:rowOff>180975</xdr:rowOff>
              </to>
            </anchor>
          </controlPr>
        </control>
      </mc:Choice>
      <mc:Fallback>
        <control shapeId="1027" r:id="rId10" name="TIButton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19" baseType="lpstr">
      <vt:lpstr>notes</vt:lpstr>
      <vt:lpstr>db_name</vt:lpstr>
      <vt:lpstr>psApp</vt:lpstr>
      <vt:lpstr>psUser</vt:lpstr>
      <vt:lpstr>TM1HomeAdminCAP</vt:lpstr>
      <vt:lpstr>TM1HomeAdminWB</vt:lpstr>
      <vt:lpstr>TM1HomeAdminWS</vt:lpstr>
      <vt:lpstr>TM1HomeCAP</vt:lpstr>
      <vt:lpstr>TM1HomeWB</vt:lpstr>
      <vt:lpstr>TM1HomeWS</vt:lpstr>
      <vt:lpstr>TM1NotesAllCAP</vt:lpstr>
      <vt:lpstr>TM1NotesAllWB</vt:lpstr>
      <vt:lpstr>TM1NotesAllWS</vt:lpstr>
      <vt:lpstr>TM1NotesClientCAP</vt:lpstr>
      <vt:lpstr>TM1NotesClientWB</vt:lpstr>
      <vt:lpstr>TM1NotesClientWS</vt:lpstr>
      <vt:lpstr>notes!TM1RPTDATARNG1</vt:lpstr>
      <vt:lpstr>notes!TM1RPTFMTIDCOL</vt:lpstr>
      <vt:lpstr>notes!TM1RPTFMTRNG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2019-10-06T08:13:46Z</dcterms:created>
  <dcterms:modified xsi:type="dcterms:W3CDTF">2025-08-05T04:56:52Z</dcterms:modified>
</cp:coreProperties>
</file>