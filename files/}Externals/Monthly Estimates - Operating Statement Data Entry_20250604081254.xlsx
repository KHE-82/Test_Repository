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2.bin" ContentType="application/vnd.ms-office.activeX"/>
  <Override PartName="/xl/activeX/activeX7.xml" ContentType="application/vnd.ms-office.activeX+xml"/>
  <Override PartName="/xl/activeX/activeX8.xml" ContentType="application/vnd.ms-office.activeX+xml"/>
  <Override PartName="/xl/activeX/activeX3.bin" ContentType="application/vnd.ms-office.activeX"/>
  <Override PartName="/xl/activeX/activeX9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xcelerated\DCCEEW\June 2025 Reports\ME Update\"/>
    </mc:Choice>
  </mc:AlternateContent>
  <xr:revisionPtr revIDLastSave="0" documentId="8_{09DCD70D-D3D1-4FC9-ADBA-646CC732B6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erating" sheetId="1" r:id="rId1"/>
    <sheet name="{PL}PickLst" sheetId="2" state="hidden" r:id="rId2"/>
  </sheets>
  <definedNames>
    <definedName name="db_name">operating!$C$12</definedName>
    <definedName name="Freeze_here">operating!$A$74</definedName>
    <definedName name="ID" localSheetId="1" hidden="1">"6827f077-261f-476e-8762-49a02ad80e38"</definedName>
    <definedName name="ID" localSheetId="0" hidden="1">"c4646b8b-7b8f-4fd9-b6fd-b37de40b0779"</definedName>
    <definedName name="_xlnm.Print_Titles" localSheetId="0">operating!$75:$75</definedName>
    <definedName name="psHLYear">operating!$S$67</definedName>
    <definedName name="psID">operating!$F$16</definedName>
    <definedName name="psProg">operating!$S$69</definedName>
    <definedName name="psScenario">operating!$S$68</definedName>
    <definedName name="psUser">operating!$C$13</definedName>
    <definedName name="RangeName_List">operating!#REF!</definedName>
    <definedName name="TM1MEBSDataEntryCAP">operating!$D$53</definedName>
    <definedName name="TM1MEBSDataEntryWB">operating!$F$53</definedName>
    <definedName name="TM1MEBSDataEntryWS">operating!$H$53</definedName>
    <definedName name="TM1MECCMapCAP">operating!$D$54</definedName>
    <definedName name="TM1MECCMapWB">operating!$F$54</definedName>
    <definedName name="TM1MECCMapWS">operating!$H$54</definedName>
    <definedName name="TM1MECFDataEntryCAP">operating!$D$57</definedName>
    <definedName name="TM1MECFDataEntryWB">operating!$F$57</definedName>
    <definedName name="TM1MECFDataEntryWS">operating!$H$57</definedName>
    <definedName name="TM1MEDataEntryCAP">operating!$D$51</definedName>
    <definedName name="TM1MEDataEntryWB">operating!$F$51</definedName>
    <definedName name="TM1MEDataEntryWS">operating!$H$51</definedName>
    <definedName name="TM1MEGLMapCAP">operating!$D$55</definedName>
    <definedName name="TM1MEGLMapWB">operating!$F$55</definedName>
    <definedName name="TM1MEGLMapWS">operating!$H$55</definedName>
    <definedName name="TM1MEHomeCAP">operating!$D$50</definedName>
    <definedName name="TM1MEHomeWB">operating!$F$50</definedName>
    <definedName name="TM1MEHomeWS">operating!$H$50</definedName>
    <definedName name="TM1MEOSDataEntryCAP">operating!$D$52</definedName>
    <definedName name="TM1MEOSDataEntryWB">operating!$F$52</definedName>
    <definedName name="TM1MEOSDataEntryWS">operating!$H$52</definedName>
    <definedName name="TM1MESummaryCAP">operating!$D$56</definedName>
    <definedName name="TM1MESummaryWB">operating!$F$56</definedName>
    <definedName name="TM1MESummaryWS">operating!$H$56</definedName>
    <definedName name="TM1MEValidateCAP">operating!$D$58</definedName>
    <definedName name="TM1MEValidateWB">operating!$F$58</definedName>
    <definedName name="TM1MEValidateWS">operating!$H$58</definedName>
    <definedName name="TM1REBUILDOPTION">0</definedName>
    <definedName name="TM1RPTDATARNG2" localSheetId="0">operating!$76:$76</definedName>
    <definedName name="TM1RPTDATARNGARPT1" localSheetId="0">operating!$82:$82</definedName>
    <definedName name="TM1RPTFMTIDCOL" localSheetId="0">operating!$A$1:$A$9</definedName>
    <definedName name="TM1RPTFMTRNG" localSheetId="0">operating!$R$1:$AO$9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 a="1"/>
  <c r="C21" i="1" s="1"/>
  <c r="F19" i="1" a="1"/>
  <c r="F19" i="1" s="1"/>
  <c r="C16" i="1" a="1"/>
  <c r="C16" i="1" s="1"/>
  <c r="F22" i="1"/>
  <c r="F23" i="1"/>
  <c r="C48" i="1" a="1"/>
  <c r="C48" i="1" s="1"/>
  <c r="AA49" i="1"/>
  <c r="AL49" i="1"/>
  <c r="AK49" i="1"/>
  <c r="AJ49" i="1"/>
  <c r="AI49" i="1"/>
  <c r="AH49" i="1"/>
  <c r="AG49" i="1"/>
  <c r="AF49" i="1"/>
  <c r="AE49" i="1"/>
  <c r="AD49" i="1"/>
  <c r="AC49" i="1"/>
  <c r="AB49" i="1"/>
  <c r="AM81" i="1"/>
  <c r="AM75" i="1"/>
  <c r="A5" i="1"/>
  <c r="A4" i="1"/>
  <c r="A3" i="1"/>
  <c r="A2" i="1"/>
  <c r="U69" i="1"/>
  <c r="C22" i="1" a="1"/>
  <c r="E58" i="1" a="1"/>
  <c r="G57" i="1" a="1"/>
  <c r="C57" i="1" a="1"/>
  <c r="C17" i="1" a="1"/>
  <c r="E56" i="1" a="1"/>
  <c r="G55" i="1" a="1"/>
  <c r="C55" i="1" a="1"/>
  <c r="E54" i="1" a="1"/>
  <c r="G53" i="1" a="1"/>
  <c r="C53" i="1" a="1"/>
  <c r="E52" i="1" a="1"/>
  <c r="G51" i="1" a="1"/>
  <c r="C51" i="1" a="1"/>
  <c r="AI50" i="1" a="1"/>
  <c r="AE50" i="1" a="1"/>
  <c r="H50" i="1" a="1"/>
  <c r="D50" i="1" a="1"/>
  <c r="C13" i="1" a="1"/>
  <c r="C25" i="1" a="1"/>
  <c r="S68" i="1"/>
  <c r="H58" i="1" a="1"/>
  <c r="D58" i="1" a="1"/>
  <c r="F57" i="1" a="1"/>
  <c r="S69" i="1" a="1"/>
  <c r="C18" i="1" a="1"/>
  <c r="G58" i="1" a="1"/>
  <c r="C58" i="1" a="1"/>
  <c r="E57" i="1" a="1"/>
  <c r="D57" i="1" a="1"/>
  <c r="AL50" i="1" a="1"/>
  <c r="AB50" i="1" a="1"/>
  <c r="AD50" i="1" a="1"/>
  <c r="C23" i="1" a="1"/>
  <c r="U67" i="1" a="1"/>
  <c r="H53" i="1" a="1"/>
  <c r="AA50" i="1"/>
  <c r="D56" i="1" a="1"/>
  <c r="E55" i="1" a="1"/>
  <c r="F54" i="1" a="1"/>
  <c r="F53" i="1" a="1"/>
  <c r="G52" i="1" a="1"/>
  <c r="H51" i="1" a="1"/>
  <c r="AG50" i="1" a="1"/>
  <c r="C50" i="1" a="1"/>
  <c r="E51" i="1" a="1"/>
  <c r="G54" i="1" a="1"/>
  <c r="AH50" i="1" a="1"/>
  <c r="F51" i="1" a="1"/>
  <c r="F55" i="1" a="1"/>
  <c r="H56" i="1" a="1"/>
  <c r="C56" i="1" a="1"/>
  <c r="D55" i="1" a="1"/>
  <c r="D54" i="1" a="1"/>
  <c r="E53" i="1" a="1"/>
  <c r="F52" i="1" a="1"/>
  <c r="AK50" i="1" a="1"/>
  <c r="AF50" i="1" a="1"/>
  <c r="G50" i="1" a="1"/>
  <c r="C24" i="1" a="1"/>
  <c r="AJ50" i="1" a="1"/>
  <c r="E50" i="1" a="1"/>
  <c r="F58" i="1" a="1"/>
  <c r="H55" i="1" a="1"/>
  <c r="D52" i="1" a="1"/>
  <c r="H57" i="1" a="1"/>
  <c r="H52" i="1" a="1"/>
  <c r="C52" i="1" a="1"/>
  <c r="AC50" i="1" a="1"/>
  <c r="G56" i="1" a="1"/>
  <c r="H54" i="1" a="1"/>
  <c r="C54" i="1" a="1"/>
  <c r="D53" i="1" a="1"/>
  <c r="F50" i="1" a="1"/>
  <c r="F56" i="1" a="1"/>
  <c r="D51" i="1" a="1"/>
  <c r="D51" i="1" l="1"/>
  <c r="F56" i="1"/>
  <c r="F50" i="1"/>
  <c r="D53" i="1"/>
  <c r="C54" i="1"/>
  <c r="H54" i="1"/>
  <c r="G56" i="1"/>
  <c r="AC50" i="1"/>
  <c r="C52" i="1"/>
  <c r="H52" i="1"/>
  <c r="H57" i="1"/>
  <c r="D52" i="1"/>
  <c r="H55" i="1"/>
  <c r="F58" i="1"/>
  <c r="E50" i="1"/>
  <c r="AJ50" i="1"/>
  <c r="C24" i="1"/>
  <c r="G50" i="1"/>
  <c r="AF50" i="1"/>
  <c r="AK50" i="1"/>
  <c r="F52" i="1"/>
  <c r="E53" i="1"/>
  <c r="D54" i="1"/>
  <c r="D55" i="1"/>
  <c r="C56" i="1"/>
  <c r="H56" i="1"/>
  <c r="F55" i="1"/>
  <c r="F51" i="1"/>
  <c r="AH50" i="1"/>
  <c r="G54" i="1"/>
  <c r="E51" i="1"/>
  <c r="C50" i="1"/>
  <c r="AG50" i="1"/>
  <c r="H51" i="1"/>
  <c r="G52" i="1"/>
  <c r="F53" i="1"/>
  <c r="F54" i="1"/>
  <c r="E55" i="1"/>
  <c r="D56" i="1"/>
  <c r="H53" i="1"/>
  <c r="U67" i="1"/>
  <c r="C23" i="1"/>
  <c r="AD50" i="1"/>
  <c r="AB50" i="1"/>
  <c r="AL50" i="1"/>
  <c r="D57" i="1"/>
  <c r="E57" i="1"/>
  <c r="C58" i="1"/>
  <c r="G58" i="1"/>
  <c r="C18" i="1"/>
  <c r="S69" i="1"/>
  <c r="F57" i="1"/>
  <c r="D58" i="1"/>
  <c r="H58" i="1"/>
  <c r="F14" i="1"/>
  <c r="C25" i="1"/>
  <c r="C13" i="1"/>
  <c r="F12" i="1" s="1"/>
  <c r="D50" i="1"/>
  <c r="H50" i="1"/>
  <c r="AE50" i="1"/>
  <c r="AI50" i="1"/>
  <c r="C51" i="1"/>
  <c r="G51" i="1"/>
  <c r="E52" i="1"/>
  <c r="C53" i="1"/>
  <c r="G53" i="1"/>
  <c r="E54" i="1"/>
  <c r="C55" i="1"/>
  <c r="G55" i="1"/>
  <c r="E56" i="1"/>
  <c r="C17" i="1"/>
  <c r="C45" i="1" s="1" a="1"/>
  <c r="C45" i="1" s="1"/>
  <c r="C57" i="1"/>
  <c r="G57" i="1"/>
  <c r="E58" i="1"/>
  <c r="C22" i="1"/>
  <c r="D40" i="1"/>
  <c r="C40" i="1" a="1"/>
  <c r="S67" i="1"/>
  <c r="C26" i="1"/>
  <c r="AM52" i="1" l="1"/>
  <c r="C31" i="1"/>
  <c r="F13" i="1"/>
  <c r="C40" i="1"/>
  <c r="B69" i="1"/>
  <c r="B78" i="1"/>
  <c r="B67" i="1"/>
  <c r="B84" i="1"/>
  <c r="B70" i="1"/>
  <c r="D32" i="1"/>
  <c r="E32" i="1"/>
  <c r="C32" i="1" s="1"/>
  <c r="X78" i="1"/>
  <c r="F15" i="1"/>
  <c r="B71" i="1"/>
  <c r="B68" i="1"/>
  <c r="X84" i="1"/>
  <c r="B66" i="1"/>
  <c r="AG46" i="1"/>
  <c r="AL46" i="1"/>
  <c r="AD46" i="1"/>
  <c r="AI46" i="1"/>
  <c r="AA46" i="1"/>
  <c r="AF46" i="1"/>
  <c r="AK46" i="1"/>
  <c r="AC46" i="1"/>
  <c r="AH46" i="1"/>
  <c r="AJ46" i="1"/>
  <c r="AE46" i="1"/>
  <c r="AB46" i="1"/>
  <c r="AC51" i="1"/>
  <c r="AL69" i="1" a="1"/>
  <c r="AH67" i="1" a="1"/>
  <c r="AK71" i="1" a="1"/>
  <c r="AL78" i="1" a="1"/>
  <c r="AI84" i="1" a="1"/>
  <c r="AA67" i="1" a="1"/>
  <c r="AH78" i="1" a="1"/>
  <c r="AB67" i="1" a="1"/>
  <c r="Y68" i="1" a="1"/>
  <c r="AG68" i="1" a="1"/>
  <c r="AJ68" i="1" a="1"/>
  <c r="AD69" i="1" a="1"/>
  <c r="AA70" i="1" a="1"/>
  <c r="Z72" i="1" a="1"/>
  <c r="AF68" i="1" a="1"/>
  <c r="AD67" i="1" a="1"/>
  <c r="AI67" i="1" a="1"/>
  <c r="AB68" i="1" a="1"/>
  <c r="Y71" i="1" a="1"/>
  <c r="Z78" i="1" a="1"/>
  <c r="AM84" i="1" a="1"/>
  <c r="Z69" i="1" a="1"/>
  <c r="AF70" i="1" a="1"/>
  <c r="AI70" i="1" a="1"/>
  <c r="AK68" i="1" a="1"/>
  <c r="AB70" i="1" a="1"/>
  <c r="AD72" i="1" a="1"/>
  <c r="AE84" i="1" a="1"/>
  <c r="AL72" i="1" a="1"/>
  <c r="Z67" i="1" a="1"/>
  <c r="AJ67" i="1" a="1"/>
  <c r="AH69" i="1" a="1"/>
  <c r="AC71" i="1" a="1"/>
  <c r="AD78" i="1" a="1"/>
  <c r="AA84" i="1" a="1"/>
  <c r="S72" i="1"/>
  <c r="AF67" i="1" a="1"/>
  <c r="AG71" i="1" a="1"/>
  <c r="AE67" i="1" a="1"/>
  <c r="AC68" i="1" a="1"/>
  <c r="AE70" i="1" a="1"/>
  <c r="AH72" i="1" a="1"/>
  <c r="AJ70" i="1" a="1"/>
  <c r="AA72" i="1" a="1"/>
  <c r="AE72" i="1" a="1"/>
  <c r="AI72" i="1" a="1"/>
  <c r="AD71" i="1" a="1"/>
  <c r="AH71" i="1" a="1"/>
  <c r="AL71" i="1" a="1"/>
  <c r="AA78" i="1" a="1"/>
  <c r="AE78" i="1" a="1"/>
  <c r="AI78" i="1" a="1"/>
  <c r="AM78" i="1" a="1"/>
  <c r="AB84" i="1" a="1"/>
  <c r="AF84" i="1" a="1"/>
  <c r="AJ84" i="1" a="1"/>
  <c r="AN84" i="1" a="1"/>
  <c r="AA69" i="1" a="1"/>
  <c r="AI69" i="1" a="1"/>
  <c r="Z68" i="1" a="1"/>
  <c r="AD68" i="1" a="1"/>
  <c r="AL68" i="1" a="1"/>
  <c r="AG70" i="1" a="1"/>
  <c r="AK70" i="1" a="1"/>
  <c r="AB72" i="1" a="1"/>
  <c r="AJ72" i="1" a="1"/>
  <c r="AE69" i="1" a="1"/>
  <c r="Z71" i="1" a="1"/>
  <c r="AH68" i="1" a="1"/>
  <c r="Y70" i="1" a="1"/>
  <c r="AC70" i="1" a="1"/>
  <c r="AF72" i="1" a="1"/>
  <c r="Y67" i="1" a="1"/>
  <c r="AC67" i="1" a="1"/>
  <c r="AG67" i="1" a="1"/>
  <c r="AK67" i="1" a="1"/>
  <c r="AB69" i="1" a="1"/>
  <c r="AF69" i="1" a="1"/>
  <c r="AJ69" i="1" a="1"/>
  <c r="AA71" i="1" a="1"/>
  <c r="AE71" i="1" a="1"/>
  <c r="AI71" i="1" a="1"/>
  <c r="AB78" i="1" a="1"/>
  <c r="AF78" i="1" a="1"/>
  <c r="AJ78" i="1" a="1"/>
  <c r="AN78" i="1" a="1"/>
  <c r="Y84" i="1" a="1"/>
  <c r="AC84" i="1" a="1"/>
  <c r="AG84" i="1" a="1"/>
  <c r="AK84" i="1" a="1"/>
  <c r="AA68" i="1" a="1"/>
  <c r="AE68" i="1" a="1"/>
  <c r="AI68" i="1" a="1"/>
  <c r="Z70" i="1" a="1"/>
  <c r="AD70" i="1" a="1"/>
  <c r="AH70" i="1" a="1"/>
  <c r="AL70" i="1" a="1"/>
  <c r="Y72" i="1" a="1"/>
  <c r="AC72" i="1" a="1"/>
  <c r="AG72" i="1" a="1"/>
  <c r="AK72" i="1" a="1"/>
  <c r="AL67" i="1" a="1"/>
  <c r="Y69" i="1" a="1"/>
  <c r="AC69" i="1" a="1"/>
  <c r="AG69" i="1" a="1"/>
  <c r="AK69" i="1" a="1"/>
  <c r="AB71" i="1" a="1"/>
  <c r="AF71" i="1" a="1"/>
  <c r="AJ71" i="1" a="1"/>
  <c r="Y78" i="1" a="1"/>
  <c r="AC78" i="1" a="1"/>
  <c r="AG78" i="1" a="1"/>
  <c r="AK78" i="1" a="1"/>
  <c r="Z84" i="1" a="1"/>
  <c r="AD84" i="1" a="1"/>
  <c r="AH84" i="1" a="1"/>
  <c r="AL84" i="1" a="1"/>
  <c r="S71" i="1"/>
  <c r="AG51" i="1"/>
  <c r="AL51" i="1"/>
  <c r="C30" i="1" a="1"/>
  <c r="C29" i="1" a="1"/>
  <c r="AD51" i="1"/>
  <c r="AI51" i="1"/>
  <c r="AA51" i="1"/>
  <c r="AF51" i="1"/>
  <c r="AJ51" i="1"/>
  <c r="AB51" i="1"/>
  <c r="AK51" i="1"/>
  <c r="AH51" i="1"/>
  <c r="AE51" i="1"/>
  <c r="AE52" i="1" l="1"/>
  <c r="AH52" i="1"/>
  <c r="AK52" i="1"/>
  <c r="AB52" i="1"/>
  <c r="AJ52" i="1"/>
  <c r="AF52" i="1"/>
  <c r="AA52" i="1"/>
  <c r="AI52" i="1"/>
  <c r="AD52" i="1"/>
  <c r="C29" i="1"/>
  <c r="C30" i="1"/>
  <c r="AL52" i="1"/>
  <c r="AG52" i="1"/>
  <c r="AL84" i="1"/>
  <c r="AH84" i="1"/>
  <c r="AD84" i="1"/>
  <c r="Z84" i="1"/>
  <c r="AK78" i="1"/>
  <c r="AG78" i="1"/>
  <c r="AC78" i="1"/>
  <c r="Y78" i="1"/>
  <c r="AJ71" i="1"/>
  <c r="AF71" i="1"/>
  <c r="AB71" i="1"/>
  <c r="AK69" i="1"/>
  <c r="AG69" i="1"/>
  <c r="AC69" i="1"/>
  <c r="Y69" i="1"/>
  <c r="AL67" i="1"/>
  <c r="AK72" i="1"/>
  <c r="AG72" i="1"/>
  <c r="AC72" i="1"/>
  <c r="Y72" i="1"/>
  <c r="AL70" i="1"/>
  <c r="AH70" i="1"/>
  <c r="AD70" i="1"/>
  <c r="Z70" i="1"/>
  <c r="AI68" i="1"/>
  <c r="AE68" i="1"/>
  <c r="AA68" i="1"/>
  <c r="AK84" i="1"/>
  <c r="AG84" i="1"/>
  <c r="AC84" i="1"/>
  <c r="Y84" i="1"/>
  <c r="AN78" i="1"/>
  <c r="AJ78" i="1"/>
  <c r="AF78" i="1"/>
  <c r="AB78" i="1"/>
  <c r="AI71" i="1"/>
  <c r="AE71" i="1"/>
  <c r="AA71" i="1"/>
  <c r="AJ69" i="1"/>
  <c r="AF69" i="1"/>
  <c r="AB69" i="1"/>
  <c r="AK67" i="1"/>
  <c r="AG67" i="1"/>
  <c r="AC67" i="1"/>
  <c r="Y67" i="1"/>
  <c r="AF72" i="1"/>
  <c r="AC70" i="1"/>
  <c r="Y70" i="1"/>
  <c r="AH68" i="1"/>
  <c r="Z71" i="1"/>
  <c r="AE69" i="1"/>
  <c r="AJ72" i="1"/>
  <c r="AB72" i="1"/>
  <c r="AK70" i="1"/>
  <c r="AG70" i="1"/>
  <c r="AL68" i="1"/>
  <c r="AD68" i="1"/>
  <c r="Z68" i="1"/>
  <c r="AI69" i="1"/>
  <c r="AA69" i="1"/>
  <c r="AN84" i="1"/>
  <c r="AJ84" i="1"/>
  <c r="AF84" i="1"/>
  <c r="AB84" i="1"/>
  <c r="AM78" i="1"/>
  <c r="AI78" i="1"/>
  <c r="AE78" i="1"/>
  <c r="AA78" i="1"/>
  <c r="AL71" i="1"/>
  <c r="AH71" i="1"/>
  <c r="AD71" i="1"/>
  <c r="AI72" i="1"/>
  <c r="AE72" i="1"/>
  <c r="AA72" i="1"/>
  <c r="AJ70" i="1"/>
  <c r="AH72" i="1"/>
  <c r="AE70" i="1"/>
  <c r="AC68" i="1"/>
  <c r="AE67" i="1"/>
  <c r="AG71" i="1"/>
  <c r="AF67" i="1"/>
  <c r="AA84" i="1"/>
  <c r="AD78" i="1"/>
  <c r="AC71" i="1"/>
  <c r="AH69" i="1"/>
  <c r="AJ67" i="1"/>
  <c r="Z67" i="1"/>
  <c r="AL72" i="1"/>
  <c r="AE84" i="1"/>
  <c r="AD72" i="1"/>
  <c r="AB70" i="1"/>
  <c r="AK68" i="1"/>
  <c r="AI70" i="1"/>
  <c r="AF70" i="1"/>
  <c r="Z69" i="1"/>
  <c r="AM84" i="1"/>
  <c r="Z78" i="1"/>
  <c r="Y71" i="1"/>
  <c r="AB68" i="1"/>
  <c r="AI67" i="1"/>
  <c r="AD67" i="1"/>
  <c r="AF68" i="1"/>
  <c r="Z72" i="1"/>
  <c r="AA70" i="1"/>
  <c r="AD69" i="1"/>
  <c r="AJ68" i="1"/>
  <c r="AG68" i="1"/>
  <c r="Y68" i="1"/>
  <c r="AB67" i="1"/>
  <c r="AH78" i="1"/>
  <c r="AA67" i="1"/>
  <c r="AI84" i="1"/>
  <c r="AL78" i="1"/>
  <c r="AK71" i="1"/>
  <c r="AH67" i="1"/>
  <c r="AL69" i="1"/>
  <c r="AC52" i="1"/>
  <c r="AE75" i="1"/>
  <c r="AE81" i="1"/>
  <c r="AE66" i="1"/>
  <c r="AH81" i="1"/>
  <c r="AH66" i="1"/>
  <c r="AH75" i="1"/>
  <c r="AK66" i="1"/>
  <c r="AK81" i="1"/>
  <c r="AK75" i="1"/>
  <c r="AB66" i="1"/>
  <c r="AB75" i="1"/>
  <c r="AB81" i="1"/>
  <c r="AJ75" i="1"/>
  <c r="AJ81" i="1"/>
  <c r="AJ66" i="1"/>
  <c r="AF66" i="1"/>
  <c r="AF75" i="1"/>
  <c r="AF81" i="1"/>
  <c r="AA66" i="1"/>
  <c r="AA75" i="1"/>
  <c r="AA81" i="1"/>
  <c r="AI66" i="1"/>
  <c r="AI75" i="1"/>
  <c r="AI81" i="1"/>
  <c r="AD81" i="1"/>
  <c r="AD66" i="1"/>
  <c r="AD75" i="1"/>
  <c r="AL81" i="1"/>
  <c r="AL66" i="1"/>
  <c r="AL75" i="1"/>
  <c r="AG75" i="1"/>
  <c r="AG81" i="1"/>
  <c r="AG66" i="1"/>
  <c r="AC66" i="1"/>
  <c r="AC75" i="1"/>
  <c r="AC81" i="1"/>
  <c r="C76" i="1"/>
  <c r="G76" i="1" a="1"/>
  <c r="D76" i="1" a="1"/>
  <c r="B76" i="1" a="1"/>
  <c r="E76" i="1" a="1"/>
  <c r="H76" i="1" a="1"/>
  <c r="F76" i="1" a="1"/>
  <c r="D82" i="1" a="1"/>
  <c r="E82" i="1" a="1"/>
  <c r="H82" i="1" a="1"/>
  <c r="F82" i="1" a="1"/>
  <c r="C82" i="1"/>
  <c r="G82" i="1" a="1"/>
  <c r="B82" i="1" a="1"/>
  <c r="B82" i="1" l="1"/>
  <c r="G82" i="1"/>
  <c r="U82" i="1" s="1"/>
  <c r="W82" i="1"/>
  <c r="F82" i="1"/>
  <c r="H82" i="1"/>
  <c r="V82" i="1" s="1"/>
  <c r="E82" i="1"/>
  <c r="D82" i="1"/>
  <c r="F76" i="1"/>
  <c r="H76" i="1"/>
  <c r="V76" i="1" s="1"/>
  <c r="E76" i="1"/>
  <c r="B76" i="1"/>
  <c r="D76" i="1"/>
  <c r="G76" i="1"/>
  <c r="U76" i="1" s="1"/>
  <c r="W76" i="1"/>
  <c r="I82" i="1" a="1"/>
  <c r="L82" i="1"/>
  <c r="M82" i="1"/>
  <c r="AB76" i="1" a="1"/>
  <c r="AI76" i="1" a="1"/>
  <c r="AJ76" i="1" a="1"/>
  <c r="Y76" i="1" a="1"/>
  <c r="AC76" i="1" a="1"/>
  <c r="AK76" i="1" a="1"/>
  <c r="AD76" i="1" a="1"/>
  <c r="AL76" i="1" a="1"/>
  <c r="AE76" i="1" a="1"/>
  <c r="Z76" i="1" a="1"/>
  <c r="AF76" i="1" a="1"/>
  <c r="AA76" i="1" a="1"/>
  <c r="AG76" i="1" a="1"/>
  <c r="AH76" i="1" a="1"/>
  <c r="AM76" i="1" a="1"/>
  <c r="X76" i="1" a="1"/>
  <c r="J76" i="1"/>
  <c r="I76" i="1" a="1"/>
  <c r="AJ82" i="1" a="1"/>
  <c r="AC82" i="1" a="1"/>
  <c r="AK82" i="1" a="1"/>
  <c r="AD82" i="1" a="1"/>
  <c r="AL82" i="1" a="1"/>
  <c r="AE82" i="1" a="1"/>
  <c r="AF82" i="1" a="1"/>
  <c r="AA82" i="1" a="1"/>
  <c r="AG82" i="1" a="1"/>
  <c r="Y82" i="1" a="1"/>
  <c r="Z82" i="1" a="1"/>
  <c r="AB82" i="1" a="1"/>
  <c r="AH82" i="1" a="1"/>
  <c r="AI82" i="1" a="1"/>
  <c r="J82" i="1"/>
  <c r="AM82" i="1" a="1"/>
  <c r="X82" i="1" a="1"/>
  <c r="L76" i="1"/>
  <c r="M76" i="1"/>
  <c r="O76" i="1" l="1"/>
  <c r="X82" i="1"/>
  <c r="AM82" i="1"/>
  <c r="AI82" i="1"/>
  <c r="AH82" i="1"/>
  <c r="AB82" i="1"/>
  <c r="Z82" i="1"/>
  <c r="Y82" i="1"/>
  <c r="AG82" i="1"/>
  <c r="AA82" i="1"/>
  <c r="AF82" i="1"/>
  <c r="AE82" i="1"/>
  <c r="AL82" i="1"/>
  <c r="AD82" i="1"/>
  <c r="AK82" i="1"/>
  <c r="AC82" i="1"/>
  <c r="AJ82" i="1"/>
  <c r="I76" i="1"/>
  <c r="X76" i="1"/>
  <c r="AM76" i="1"/>
  <c r="AH76" i="1"/>
  <c r="AG76" i="1"/>
  <c r="AA76" i="1"/>
  <c r="AF76" i="1"/>
  <c r="Z76" i="1"/>
  <c r="AE76" i="1"/>
  <c r="AL76" i="1"/>
  <c r="AD76" i="1"/>
  <c r="AK76" i="1"/>
  <c r="AC76" i="1"/>
  <c r="Y76" i="1"/>
  <c r="AJ76" i="1"/>
  <c r="AI76" i="1"/>
  <c r="AB76" i="1"/>
  <c r="O82" i="1"/>
  <c r="I82" i="1"/>
  <c r="S76" i="1"/>
  <c r="T82" i="1"/>
  <c r="R76" i="1"/>
  <c r="T76" i="1"/>
  <c r="S82" i="1"/>
  <c r="R82" i="1"/>
  <c r="A76" i="1" a="1"/>
  <c r="A82" i="1" a="1"/>
  <c r="A82" i="1" l="1"/>
  <c r="A76" i="1"/>
  <c r="K76" i="1"/>
  <c r="K82" i="1"/>
  <c r="N82" i="1"/>
  <c r="P82" i="1" s="1"/>
  <c r="AO82" i="1" s="1"/>
  <c r="AN82" i="1"/>
  <c r="N76" i="1"/>
  <c r="P76" i="1" s="1"/>
  <c r="AO76" i="1" s="1"/>
  <c r="AN7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<sst xmlns="http://schemas.openxmlformats.org/spreadsheetml/2006/main" count="224" uniqueCount="147">
  <si>
    <t>headline year</t>
  </si>
  <si>
    <t>ME reporting measure</t>
  </si>
  <si>
    <t>Jun YTD</t>
  </si>
  <si>
    <t>Total approp item</t>
  </si>
  <si>
    <t>Total movement</t>
  </si>
  <si>
    <t>Total related entity</t>
  </si>
  <si>
    <t>Total jurisdictions</t>
  </si>
  <si>
    <t>Total SPP</t>
  </si>
  <si>
    <t>D</t>
  </si>
  <si>
    <t>N</t>
  </si>
  <si>
    <t>[Begin Format Range]</t>
  </si>
  <si>
    <t>[End Format Range]</t>
  </si>
  <si>
    <t>Account</t>
  </si>
  <si>
    <t>Related Entity</t>
  </si>
  <si>
    <t>Jurisdiction</t>
  </si>
  <si>
    <t xml:space="preserve"> SPP</t>
  </si>
  <si>
    <t>System Variables</t>
  </si>
  <si>
    <t>Database Name</t>
  </si>
  <si>
    <t>Current User</t>
  </si>
  <si>
    <t>ME Reporting</t>
  </si>
  <si>
    <t>Slice View</t>
  </si>
  <si>
    <t>ME System Variable</t>
  </si>
  <si>
    <t>Cube View</t>
  </si>
  <si>
    <t>ME_headline year</t>
  </si>
  <si>
    <t>ME_period</t>
  </si>
  <si>
    <t>ME year</t>
  </si>
  <si>
    <t>Appropriation Item MDX</t>
  </si>
  <si>
    <t>Movement Account MDX</t>
  </si>
  <si>
    <t>Related Entity MDX</t>
  </si>
  <si>
    <t>Jurisdiction MDX</t>
  </si>
  <si>
    <t>SPP MDX</t>
  </si>
  <si>
    <t>{TM1SORT( {TM1FILTERBYLEVEL( {TM1SUBSETALL( [spp] )}, 0)}, ASC)}</t>
  </si>
  <si>
    <t>{TM1SORT( {TM1FILTERBYLEVEL( {TM1SUBSETALL( [jurisdiction] )}, 0)}, ASC)}</t>
  </si>
  <si>
    <t>{TM1SORT( {TM1FILTERBYLEVEL( {TM1SUBSETALL( [related entity] )}, 0)}, ASC)}</t>
  </si>
  <si>
    <t>{TM1SORT( {TM1FILTERBYLEVEL( {TM1SUBSETALL( [movement account] )}, 0)}, ASC)}</t>
  </si>
  <si>
    <t>Account REV MDX</t>
  </si>
  <si>
    <t>Account EXP MDX</t>
  </si>
  <si>
    <t>{TM1FILTERBYLEVEL( {TM1DRILLDOWNMEMBER( {[account].[2000000]}, ALL, RECURSIVE )}, 0)}</t>
  </si>
  <si>
    <t>{TM1SORT( {TM1FILTERBYLEVEL( {TM1SUBSETALL( [appropriation item] )}, 0)}, ASC)}</t>
  </si>
  <si>
    <t>2000000</t>
  </si>
  <si>
    <t>Active Form View (REV)</t>
  </si>
  <si>
    <t>Active Form View (EXP)</t>
  </si>
  <si>
    <t>}ElementAttributes_variables</t>
  </si>
  <si>
    <t>headline scenario</t>
  </si>
  <si>
    <t>Parent</t>
  </si>
  <si>
    <t>N0</t>
  </si>
  <si>
    <t>REVENUE</t>
  </si>
  <si>
    <t>EXPENSES</t>
  </si>
  <si>
    <t>ID</t>
  </si>
  <si>
    <t>Opening Balance</t>
  </si>
  <si>
    <t>Period</t>
  </si>
  <si>
    <t>0000A</t>
  </si>
  <si>
    <t>00001</t>
  </si>
  <si>
    <t>Data Entry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</si>
  <si>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</si>
  <si>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</si>
  <si>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</si>
  <si>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</si>
  <si>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</si>
  <si>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</si>
  <si>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</si>
  <si>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</si>
  <si>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</si>
  <si>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</si>
  <si>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</si>
  <si>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</si>
  <si>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P00</t>
  </si>
  <si>
    <t>Annual Estimates</t>
  </si>
  <si>
    <t>Month To Date</t>
  </si>
  <si>
    <t>Year To Date</t>
  </si>
  <si>
    <t>Annual Est</t>
  </si>
  <si>
    <t>Variance</t>
  </si>
  <si>
    <t>SPP</t>
  </si>
  <si>
    <t>1000001</t>
  </si>
  <si>
    <t>Monthly Estimates - Operating Statement</t>
  </si>
  <si>
    <t>Headline Year :</t>
  </si>
  <si>
    <t>Scenario :</t>
  </si>
  <si>
    <t>REPORT PARAMETERS</t>
  </si>
  <si>
    <t>DISPLAY PARAMETERS</t>
  </si>
  <si>
    <t>Display :</t>
  </si>
  <si>
    <t>3000000</t>
  </si>
  <si>
    <t>4000000</t>
  </si>
  <si>
    <t>5000000</t>
  </si>
  <si>
    <t xml:space="preserve">Revenue : </t>
  </si>
  <si>
    <t xml:space="preserve">Expenses : </t>
  </si>
  <si>
    <t xml:space="preserve">Liability : </t>
  </si>
  <si>
    <t xml:space="preserve">Equity : </t>
  </si>
  <si>
    <t xml:space="preserve">Asset : </t>
  </si>
  <si>
    <t>3800001</t>
  </si>
  <si>
    <t xml:space="preserve">Balance Sheet : </t>
  </si>
  <si>
    <t>sys_application</t>
  </si>
  <si>
    <t>Caption Name</t>
  </si>
  <si>
    <t>Caption</t>
  </si>
  <si>
    <t>Workbook Name</t>
  </si>
  <si>
    <t>Workbook</t>
  </si>
  <si>
    <t>Worksheet Name</t>
  </si>
  <si>
    <t>Worksheet</t>
  </si>
  <si>
    <t>ME - Homepage</t>
  </si>
  <si>
    <t>ME - Data Entry</t>
  </si>
  <si>
    <t>ME - OS Data Entry</t>
  </si>
  <si>
    <t>ME - BS Data Entry</t>
  </si>
  <si>
    <t>ME - CC Mapping</t>
  </si>
  <si>
    <t>ME - GL Mapping</t>
  </si>
  <si>
    <t>ME - Summary</t>
  </si>
  <si>
    <t>Action Button Parameters</t>
  </si>
  <si>
    <t>psUser</t>
  </si>
  <si>
    <t>psHLYear</t>
  </si>
  <si>
    <t>psScenario</t>
  </si>
  <si>
    <t>psProg</t>
  </si>
  <si>
    <t>psID</t>
  </si>
  <si>
    <t>Jur</t>
  </si>
  <si>
    <t>{TM1FILTERBYLEVEL( {TM1DRILLDOWNMEMBER( {[account].[1000001]}, ALL, RECURSIVE )}, 0)}</t>
  </si>
  <si>
    <t>ME Actuals</t>
  </si>
  <si>
    <t>}ElementAttributes_period</t>
  </si>
  <si>
    <t>program MDX</t>
  </si>
  <si>
    <t>program Details</t>
  </si>
  <si>
    <t>Phasing Method</t>
  </si>
  <si>
    <t>P0</t>
  </si>
  <si>
    <t>me phasing method</t>
  </si>
  <si>
    <t>Total ids</t>
  </si>
  <si>
    <t>Program</t>
  </si>
  <si>
    <t>Program :</t>
  </si>
  <si>
    <t>May YTD</t>
  </si>
  <si>
    <t>ME - CF Data Entry</t>
  </si>
  <si>
    <t>ME - Validate</t>
  </si>
  <si>
    <t>Reviewed By :</t>
  </si>
  <si>
    <t>Reviewed Date :</t>
  </si>
  <si>
    <t>DECIMALS</t>
  </si>
  <si>
    <t>}ElementAttributes_Cube</t>
  </si>
  <si>
    <t>account</t>
  </si>
  <si>
    <t>movement account</t>
  </si>
  <si>
    <t>appropriation type required</t>
  </si>
  <si>
    <t>WARNING - RE</t>
  </si>
  <si>
    <t>WARNING - NO BUDGET</t>
  </si>
  <si>
    <t>WARNING TO USE</t>
  </si>
  <si>
    <t>ME Actuals period</t>
  </si>
  <si>
    <t>Index</t>
  </si>
  <si>
    <t>Month Index</t>
  </si>
  <si>
    <t>Month Prior Period</t>
  </si>
  <si>
    <t>Appropriation</t>
  </si>
  <si>
    <t>Program Display :</t>
  </si>
  <si>
    <t>Collapse</t>
  </si>
  <si>
    <t>Expand</t>
  </si>
  <si>
    <t>dcceew_geus</t>
  </si>
  <si>
    <t>-1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</si>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</sst>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* \(#,##0\)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2C4E7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0" fillId="0" borderId="1" xfId="0" applyBorder="1"/>
    <xf numFmtId="0" fontId="2" fillId="6" borderId="0" xfId="0" applyFont="1" applyFill="1" applyAlignment="1">
      <alignment horizontal="center"/>
    </xf>
    <xf numFmtId="0" fontId="5" fillId="0" borderId="0" xfId="0" applyFont="1"/>
    <xf numFmtId="0" fontId="0" fillId="0" borderId="0" xfId="0" quotePrefix="1"/>
    <xf numFmtId="0" fontId="2" fillId="6" borderId="0" xfId="0" applyFont="1" applyFill="1" applyAlignment="1">
      <alignment horizontal="center" wrapText="1"/>
    </xf>
    <xf numFmtId="0" fontId="3" fillId="0" borderId="1" xfId="0" quotePrefix="1" applyFont="1" applyBorder="1"/>
    <xf numFmtId="0" fontId="0" fillId="0" borderId="1" xfId="0" quotePrefix="1" applyBorder="1"/>
    <xf numFmtId="0" fontId="2" fillId="6" borderId="1" xfId="0" applyFont="1" applyFill="1" applyBorder="1" applyAlignment="1">
      <alignment horizontal="center"/>
    </xf>
    <xf numFmtId="0" fontId="3" fillId="0" borderId="1" xfId="0" applyFont="1" applyBorder="1"/>
    <xf numFmtId="165" fontId="4" fillId="0" borderId="1" xfId="1" applyNumberFormat="1" applyFont="1" applyFill="1" applyBorder="1"/>
    <xf numFmtId="0" fontId="6" fillId="0" borderId="1" xfId="0" applyFont="1" applyBorder="1"/>
    <xf numFmtId="0" fontId="4" fillId="0" borderId="1" xfId="0" applyFont="1" applyBorder="1"/>
    <xf numFmtId="165" fontId="6" fillId="5" borderId="1" xfId="1" applyNumberFormat="1" applyFont="1" applyFill="1" applyBorder="1"/>
    <xf numFmtId="165" fontId="4" fillId="2" borderId="1" xfId="1" applyNumberFormat="1" applyFont="1" applyFill="1" applyBorder="1"/>
    <xf numFmtId="0" fontId="4" fillId="2" borderId="1" xfId="0" applyFont="1" applyFill="1" applyBorder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 indent="1"/>
    </xf>
    <xf numFmtId="0" fontId="7" fillId="6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0" fillId="0" borderId="2" xfId="0" applyBorder="1"/>
    <xf numFmtId="0" fontId="3" fillId="5" borderId="1" xfId="0" applyFont="1" applyFill="1" applyBorder="1"/>
    <xf numFmtId="165" fontId="4" fillId="2" borderId="1" xfId="1" applyNumberFormat="1" applyFont="1" applyFill="1" applyBorder="1" applyProtection="1">
      <protection locked="0"/>
    </xf>
    <xf numFmtId="165" fontId="4" fillId="0" borderId="1" xfId="1" applyNumberFormat="1" applyFont="1" applyFill="1" applyBorder="1" applyProtection="1"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0" fillId="0" borderId="3" xfId="0" applyBorder="1"/>
    <xf numFmtId="0" fontId="4" fillId="0" borderId="1" xfId="0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8" fillId="0" borderId="1" xfId="0" applyFont="1" applyBorder="1"/>
    <xf numFmtId="0" fontId="0" fillId="0" borderId="1" xfId="0" applyBorder="1" applyAlignment="1">
      <alignment horizontal="left" indent="1"/>
    </xf>
    <xf numFmtId="165" fontId="0" fillId="0" borderId="0" xfId="0" applyNumberFormat="1"/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0" borderId="0" xfId="0" applyNumberFormat="1" applyAlignment="1"/>
    <xf numFmtId="49" fontId="4" fillId="2" borderId="1" xfId="0" applyNumberFormat="1" applyFont="1" applyFill="1" applyBorder="1" applyAlignment="1"/>
  </cellXfs>
  <cellStyles count="2">
    <cellStyle name="Comma" xfId="1" builtinId="3"/>
    <cellStyle name="Normal" xfId="0" builtinId="0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424"/>
  <ax:ocxPr ax:name="_ExtentY" ax:value="1138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Program Summary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SummaryWB"/>
  <ax:ocxPr ax:name="TargetWorksheetName" ax:value="=TM1MESummar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SummaryCAP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434"/>
  <ax:ocxPr ax:name="_ExtentY" ax:value="66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551"/>
  <ax:ocxPr ax:name="_ExtentY" ax:value="1138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Balance Sheet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BSDataEntryWB"/>
  <ax:ocxPr ax:name="TargetWorksheetName" ax:value="=TM1MEBSDataEntryWS"/>
  <ax:ocxPr ax:name="AutoTitles" ax:value="0"/>
  <ax:ocxPr ax:name="ReplaceWindow" ax:value="0"/>
  <ax:ocxPr ax:name="IsMappingFormula" ax:value="0"/>
  <ax:ocxPr ax:name="TargetTypes" ax:value="0"/>
  <ax:ocxPr ax:name="TargetObjects" ax:value="program"/>
  <ax:ocxPr ax:name="TargetSubsets" ax:value="sys_ME programs"/>
  <ax:ocxPr ax:name="TargetAliases" ax:value="code and description"/>
  <ax:ocxPr ax:name="TargetValues" ax:value=""/>
  <ax:ocxPr ax:name="SourceTypes" ax:value="0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BSDataEntry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090"/>
  <ax:ocxPr ax:name="_ExtentY" ax:value="794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Hom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784"/>
  <ax:ocxPr ax:name="_ExtentY" ax:value="1138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ash Flow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CFDataEntryWB"/>
  <ax:ocxPr ax:name="TargetWorksheetName" ax:value="=TM1MECFDataEntryWS"/>
  <ax:ocxPr ax:name="AutoTitles" ax:value="0"/>
  <ax:ocxPr ax:name="ReplaceWindow" ax:value="0"/>
  <ax:ocxPr ax:name="IsMappingFormula" ax:value="0"/>
  <ax:ocxPr ax:name="TargetTypes" ax:value="0"/>
  <ax:ocxPr ax:name="TargetObjects" ax:value="program"/>
  <ax:ocxPr ax:name="TargetSubsets" ax:value="sys_ME programs"/>
  <ax:ocxPr ax:name="TargetAliases" ax:value="code and description"/>
  <ax:ocxPr ax:name="TargetValues" ax:value=""/>
  <ax:ocxPr ax:name="SourceTypes" ax:value="0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CFDataEntryCAP"/>
  <ax:ocxPr ax:name="ResizeButtonToCaption" ax:value="0"/>
</ax:ocx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6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19050</xdr:colOff>
          <xdr:row>62</xdr:row>
          <xdr:rowOff>0</xdr:rowOff>
        </xdr:from>
        <xdr:to>
          <xdr:col>17</xdr:col>
          <xdr:colOff>657225</xdr:colOff>
          <xdr:row>62</xdr:row>
          <xdr:rowOff>247650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1924050</xdr:colOff>
          <xdr:row>62</xdr:row>
          <xdr:rowOff>0</xdr:rowOff>
        </xdr:from>
        <xdr:to>
          <xdr:col>17</xdr:col>
          <xdr:colOff>2933700</xdr:colOff>
          <xdr:row>62</xdr:row>
          <xdr:rowOff>247650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1209675</xdr:colOff>
          <xdr:row>62</xdr:row>
          <xdr:rowOff>0</xdr:rowOff>
        </xdr:from>
        <xdr:to>
          <xdr:col>23</xdr:col>
          <xdr:colOff>95250</xdr:colOff>
          <xdr:row>62</xdr:row>
          <xdr:rowOff>247650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1219200</xdr:colOff>
          <xdr:row>62</xdr:row>
          <xdr:rowOff>0</xdr:rowOff>
        </xdr:from>
        <xdr:to>
          <xdr:col>22</xdr:col>
          <xdr:colOff>1162050</xdr:colOff>
          <xdr:row>62</xdr:row>
          <xdr:rowOff>247650</xdr:rowOff>
        </xdr:to>
        <xdr:sp macro="" textlink="">
          <xdr:nvSpPr>
            <xdr:cNvPr id="1030" name="TIButton4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17</xdr:col>
      <xdr:colOff>0</xdr:colOff>
      <xdr:row>0</xdr:row>
      <xdr:rowOff>0</xdr:rowOff>
    </xdr:from>
    <xdr:to>
      <xdr:col>17</xdr:col>
      <xdr:colOff>1809750</xdr:colOff>
      <xdr:row>61</xdr:row>
      <xdr:rowOff>19050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190500</xdr:colOff>
          <xdr:row>62</xdr:row>
          <xdr:rowOff>0</xdr:rowOff>
        </xdr:from>
        <xdr:to>
          <xdr:col>20</xdr:col>
          <xdr:colOff>1190625</xdr:colOff>
          <xdr:row>62</xdr:row>
          <xdr:rowOff>247650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685800</xdr:colOff>
          <xdr:row>62</xdr:row>
          <xdr:rowOff>0</xdr:rowOff>
        </xdr:from>
        <xdr:to>
          <xdr:col>17</xdr:col>
          <xdr:colOff>1895475</xdr:colOff>
          <xdr:row>62</xdr:row>
          <xdr:rowOff>247650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2952750</xdr:colOff>
          <xdr:row>62</xdr:row>
          <xdr:rowOff>0</xdr:rowOff>
        </xdr:from>
        <xdr:to>
          <xdr:col>18</xdr:col>
          <xdr:colOff>733425</xdr:colOff>
          <xdr:row>62</xdr:row>
          <xdr:rowOff>247650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752475</xdr:colOff>
          <xdr:row>62</xdr:row>
          <xdr:rowOff>0</xdr:rowOff>
        </xdr:from>
        <xdr:to>
          <xdr:col>18</xdr:col>
          <xdr:colOff>2038350</xdr:colOff>
          <xdr:row>62</xdr:row>
          <xdr:rowOff>247650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19050</xdr:colOff>
          <xdr:row>62</xdr:row>
          <xdr:rowOff>0</xdr:rowOff>
        </xdr:from>
        <xdr:to>
          <xdr:col>20</xdr:col>
          <xdr:colOff>161925</xdr:colOff>
          <xdr:row>62</xdr:row>
          <xdr:rowOff>247650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18" Type="http://schemas.openxmlformats.org/officeDocument/2006/relationships/image" Target="../media/image7.emf"/><Relationship Id="rId3" Type="http://schemas.openxmlformats.org/officeDocument/2006/relationships/drawing" Target="../drawings/drawing1.xml"/><Relationship Id="rId21" Type="http://schemas.openxmlformats.org/officeDocument/2006/relationships/control" Target="../activeX/activeX9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17" Type="http://schemas.openxmlformats.org/officeDocument/2006/relationships/control" Target="../activeX/activeX7.xml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20" Type="http://schemas.openxmlformats.org/officeDocument/2006/relationships/image" Target="../media/image8.emf"/><Relationship Id="rId1" Type="http://schemas.openxmlformats.org/officeDocument/2006/relationships/hyperlink" Target="mailto:=@TM1RPTROW($C$28,db_name&amp;%22:appropriation%20item%22,%22%22,%22%22,%22%22,0,$C$32)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10" Type="http://schemas.openxmlformats.org/officeDocument/2006/relationships/image" Target="../media/image3.emf"/><Relationship Id="rId19" Type="http://schemas.openxmlformats.org/officeDocument/2006/relationships/control" Target="../activeX/activeX8.xml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Relationship Id="rId22" Type="http://schemas.openxmlformats.org/officeDocument/2006/relationships/image" Target="../media/image9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Right="0" showOutlineSymbols="0"/>
    <pageSetUpPr fitToPage="1"/>
  </sheetPr>
  <dimension ref="A1:AO84"/>
  <sheetViews>
    <sheetView showGridLines="0" showRowColHeaders="0" tabSelected="1" showOutlineSymbols="0" topLeftCell="A61" zoomScaleNormal="100" workbookViewId="0">
      <pane xSplit="26" ySplit="15" topLeftCell="AA76" activePane="bottomRight" state="frozen"/>
      <selection activeCell="Q61" sqref="Q61"/>
      <selection pane="topRight" activeCell="AA61" sqref="AA61"/>
      <selection pane="bottomLeft" activeCell="Q76" sqref="Q76"/>
      <selection pane="bottomRight"/>
    </sheetView>
  </sheetViews>
  <sheetFormatPr defaultRowHeight="15" outlineLevelRow="1" outlineLevelCol="1" x14ac:dyDescent="0.25"/>
  <cols>
    <col min="1" max="1" width="2.7109375" hidden="1" customWidth="1" outlineLevel="1" collapsed="1"/>
    <col min="2" max="2" width="23.28515625" hidden="1" customWidth="1" outlineLevel="1"/>
    <col min="3" max="3" width="40.85546875" hidden="1" customWidth="1" outlineLevel="1"/>
    <col min="4" max="4" width="26.85546875" hidden="1" customWidth="1" outlineLevel="1"/>
    <col min="5" max="16" width="20.28515625" hidden="1" customWidth="1" outlineLevel="1"/>
    <col min="17" max="17" width="0.85546875" customWidth="1"/>
    <col min="18" max="18" width="45.7109375" customWidth="1"/>
    <col min="19" max="19" width="30.7109375" customWidth="1"/>
    <col min="20" max="20" width="19.140625" customWidth="1"/>
    <col min="21" max="21" width="21.5703125" customWidth="1"/>
    <col min="22" max="22" width="8.7109375" customWidth="1"/>
    <col min="23" max="23" width="30.7109375" customWidth="1"/>
    <col min="24" max="24" width="20.7109375" customWidth="1"/>
    <col min="25" max="25" width="11.7109375" customWidth="1" collapsed="1"/>
    <col min="26" max="26" width="10.5703125" hidden="1" customWidth="1" outlineLevel="1"/>
    <col min="27" max="40" width="10.7109375" customWidth="1"/>
    <col min="41" max="41" width="60.7109375" customWidth="1"/>
  </cols>
  <sheetData>
    <row r="1" spans="1:41" hidden="1" outlineLevel="1" x14ac:dyDescent="0.25">
      <c r="A1" t="s">
        <v>10</v>
      </c>
    </row>
    <row r="2" spans="1:41" hidden="1" outlineLevel="1" x14ac:dyDescent="0.25">
      <c r="A2">
        <f>0</f>
        <v>0</v>
      </c>
      <c r="C2" s="12"/>
      <c r="D2" s="13"/>
      <c r="E2" s="13"/>
      <c r="F2" s="13"/>
      <c r="G2" s="13"/>
      <c r="H2" s="17"/>
      <c r="I2" s="17"/>
      <c r="J2" s="34"/>
      <c r="R2" s="12"/>
      <c r="S2" s="13"/>
      <c r="T2" s="13"/>
      <c r="U2" s="17"/>
      <c r="V2" s="17"/>
      <c r="W2" s="13"/>
      <c r="X2" s="31"/>
      <c r="Y2" s="14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4"/>
      <c r="AN2" s="14"/>
      <c r="AO2" s="35"/>
    </row>
    <row r="3" spans="1:41" hidden="1" outlineLevel="1" x14ac:dyDescent="0.25">
      <c r="A3">
        <f>1</f>
        <v>1</v>
      </c>
      <c r="C3" s="13"/>
      <c r="D3" s="13"/>
      <c r="E3" s="13"/>
      <c r="F3" s="13"/>
      <c r="G3" s="13"/>
      <c r="H3" s="17"/>
      <c r="I3" s="17"/>
      <c r="J3" s="34"/>
      <c r="R3" s="13"/>
      <c r="S3" s="13"/>
      <c r="T3" s="13"/>
      <c r="U3" s="17"/>
      <c r="V3" s="17"/>
      <c r="W3" s="13"/>
      <c r="X3" s="31"/>
      <c r="Y3" s="14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4"/>
      <c r="AN3" s="14"/>
      <c r="AO3" s="35"/>
    </row>
    <row r="4" spans="1:41" hidden="1" outlineLevel="1" x14ac:dyDescent="0.25">
      <c r="A4">
        <f>2</f>
        <v>2</v>
      </c>
      <c r="C4" s="13"/>
      <c r="D4" s="13"/>
      <c r="E4" s="13"/>
      <c r="F4" s="13"/>
      <c r="G4" s="13"/>
      <c r="H4" s="17"/>
      <c r="I4" s="17"/>
      <c r="J4" s="34"/>
      <c r="R4" s="13"/>
      <c r="S4" s="13"/>
      <c r="T4" s="13"/>
      <c r="U4" s="17"/>
      <c r="V4" s="17"/>
      <c r="W4" s="13"/>
      <c r="X4" s="31"/>
      <c r="Y4" s="14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4"/>
      <c r="AN4" s="14"/>
      <c r="AO4" s="35"/>
    </row>
    <row r="5" spans="1:41" hidden="1" outlineLevel="1" x14ac:dyDescent="0.25">
      <c r="A5">
        <f>3</f>
        <v>3</v>
      </c>
      <c r="C5" s="13"/>
      <c r="D5" s="13"/>
      <c r="E5" s="13"/>
      <c r="F5" s="13"/>
      <c r="G5" s="13"/>
      <c r="H5" s="17"/>
      <c r="I5" s="17"/>
      <c r="J5" s="34"/>
      <c r="R5" s="13"/>
      <c r="S5" s="13"/>
      <c r="T5" s="13"/>
      <c r="U5" s="17"/>
      <c r="V5" s="17"/>
      <c r="W5" s="13"/>
      <c r="X5" s="31"/>
      <c r="Y5" s="14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4"/>
      <c r="AN5" s="14"/>
      <c r="AO5" s="35"/>
    </row>
    <row r="6" spans="1:41" hidden="1" outlineLevel="1" x14ac:dyDescent="0.25">
      <c r="A6" t="s">
        <v>8</v>
      </c>
      <c r="C6" s="13"/>
      <c r="D6" s="13"/>
      <c r="E6" s="13"/>
      <c r="F6" s="13"/>
      <c r="G6" s="13"/>
      <c r="H6" s="17"/>
      <c r="I6" s="17"/>
      <c r="J6" s="34"/>
      <c r="R6" s="13"/>
      <c r="S6" s="13"/>
      <c r="T6" s="13"/>
      <c r="U6" s="17"/>
      <c r="V6" s="17"/>
      <c r="W6" s="13"/>
      <c r="X6" s="31"/>
      <c r="Y6" s="14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4"/>
      <c r="AN6" s="14"/>
      <c r="AO6" s="35"/>
    </row>
    <row r="7" spans="1:41" hidden="1" outlineLevel="1" x14ac:dyDescent="0.25">
      <c r="A7" t="s">
        <v>9</v>
      </c>
      <c r="C7" s="16"/>
      <c r="D7" s="16"/>
      <c r="E7" s="16"/>
      <c r="F7" s="16"/>
      <c r="G7" s="16"/>
      <c r="H7" s="18"/>
      <c r="I7" s="18"/>
      <c r="J7" s="33"/>
      <c r="R7" s="16"/>
      <c r="S7" s="16"/>
      <c r="T7" s="16"/>
      <c r="U7" s="18"/>
      <c r="V7" s="18"/>
      <c r="W7" s="16"/>
      <c r="X7" s="32"/>
      <c r="Y7" s="14"/>
      <c r="Z7" s="1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14"/>
      <c r="AN7" s="14"/>
      <c r="AO7" s="35"/>
    </row>
    <row r="8" spans="1:41" hidden="1" outlineLevel="1" x14ac:dyDescent="0.25">
      <c r="A8" t="s">
        <v>45</v>
      </c>
      <c r="C8" s="13"/>
      <c r="D8" s="13"/>
      <c r="E8" s="13"/>
      <c r="F8" s="13"/>
      <c r="G8" s="13"/>
      <c r="H8" s="17"/>
      <c r="I8" s="17"/>
      <c r="J8" s="34"/>
      <c r="R8" s="13"/>
      <c r="S8" s="13"/>
      <c r="T8" s="13"/>
      <c r="U8" s="17"/>
      <c r="V8" s="17"/>
      <c r="W8" s="13"/>
      <c r="X8" s="31"/>
      <c r="Y8" s="14"/>
      <c r="Z8" s="11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14"/>
      <c r="AN8" s="14"/>
      <c r="AO8" s="35"/>
    </row>
    <row r="9" spans="1:41" hidden="1" outlineLevel="1" x14ac:dyDescent="0.25">
      <c r="A9" t="s">
        <v>11</v>
      </c>
    </row>
    <row r="10" spans="1:41" hidden="1" outlineLevel="1" x14ac:dyDescent="0.25"/>
    <row r="11" spans="1:41" hidden="1" outlineLevel="1" x14ac:dyDescent="0.25">
      <c r="B11" s="38" t="s">
        <v>16</v>
      </c>
      <c r="C11" s="38"/>
      <c r="E11" s="38" t="s">
        <v>104</v>
      </c>
      <c r="F11" s="38"/>
    </row>
    <row r="12" spans="1:41" hidden="1" outlineLevel="1" x14ac:dyDescent="0.25">
      <c r="B12" s="2" t="s">
        <v>17</v>
      </c>
      <c r="C12" s="2" t="s">
        <v>143</v>
      </c>
      <c r="E12" s="2" t="s">
        <v>105</v>
      </c>
      <c r="F12" s="2" t="str">
        <f>psUser</f>
        <v>CAMID("pans:u:kgimena@excelerated.com.au")</v>
      </c>
    </row>
    <row r="13" spans="1:41" hidden="1" outlineLevel="1" x14ac:dyDescent="0.25">
      <c r="B13" s="2" t="s">
        <v>18</v>
      </c>
      <c r="C13" s="2" t="str" cm="1">
        <f t="array" ref="C13">_xll.TM1USER(db_name)</f>
        <v>CAMID("pans:u:kgimena@excelerated.com.au")</v>
      </c>
      <c r="E13" s="2" t="s">
        <v>106</v>
      </c>
      <c r="F13" s="2" t="str">
        <f>psHLYear</f>
        <v>HL2025-2026</v>
      </c>
    </row>
    <row r="14" spans="1:41" hidden="1" outlineLevel="1" x14ac:dyDescent="0.25">
      <c r="E14" s="2" t="s">
        <v>107</v>
      </c>
      <c r="F14" s="2" t="str">
        <f>psScenario</f>
        <v>current</v>
      </c>
    </row>
    <row r="15" spans="1:41" hidden="1" outlineLevel="1" x14ac:dyDescent="0.25">
      <c r="B15" s="38" t="s">
        <v>42</v>
      </c>
      <c r="C15" s="38"/>
      <c r="E15" s="2" t="s">
        <v>108</v>
      </c>
      <c r="F15" s="2" t="str">
        <f>psProg</f>
        <v>Administered programmes</v>
      </c>
    </row>
    <row r="16" spans="1:41" hidden="1" outlineLevel="1" x14ac:dyDescent="0.25">
      <c r="B16" s="2" t="s">
        <v>22</v>
      </c>
      <c r="C16" s="2" t="str" cm="1">
        <f t="array" ref="C16">_xll.VIEW(db_name&amp;":}ElementAttributes_variables","!","!")</f>
        <v>dcceew_geus:}ElementAttributes_variables</v>
      </c>
      <c r="E16" s="2" t="s">
        <v>109</v>
      </c>
      <c r="F16" s="8" t="s">
        <v>52</v>
      </c>
    </row>
    <row r="17" spans="2:6" hidden="1" outlineLevel="1" x14ac:dyDescent="0.25">
      <c r="B17" s="2" t="s">
        <v>0</v>
      </c>
      <c r="C17" s="2" t="str" cm="1">
        <f t="array" ref="C17">_xll.DBR($C$16,$B17,"value")</f>
        <v>HL2025-2026</v>
      </c>
    </row>
    <row r="18" spans="2:6" hidden="1" outlineLevel="1" x14ac:dyDescent="0.25">
      <c r="B18" s="2" t="s">
        <v>43</v>
      </c>
      <c r="C18" s="2" t="str" cm="1">
        <f t="array" ref="C18">_xll.DBR($C$16,$B18,"value")</f>
        <v>current</v>
      </c>
      <c r="E18" s="38" t="s">
        <v>113</v>
      </c>
      <c r="F18" s="38"/>
    </row>
    <row r="19" spans="2:6" hidden="1" outlineLevel="1" x14ac:dyDescent="0.25">
      <c r="E19" s="2" t="s">
        <v>22</v>
      </c>
      <c r="F19" s="2" t="str" cm="1">
        <f t="array" ref="F19">_xll.VIEW(db_name&amp;":}ElementAttributes_period","!","!")</f>
        <v>dcceew_geus:}ElementAttributes_period</v>
      </c>
    </row>
    <row r="20" spans="2:6" hidden="1" outlineLevel="1" x14ac:dyDescent="0.25">
      <c r="B20" s="38" t="s">
        <v>21</v>
      </c>
      <c r="C20" s="38"/>
    </row>
    <row r="21" spans="2:6" hidden="1" outlineLevel="1" x14ac:dyDescent="0.25">
      <c r="B21" s="2" t="s">
        <v>22</v>
      </c>
      <c r="C21" s="2" t="str" cm="1">
        <f t="array" ref="C21">_xll.VIEW(db_name&amp;":sys_ME variable","!","!")</f>
        <v>dcceew_geus:sys_ME variable</v>
      </c>
      <c r="E21" s="38" t="s">
        <v>128</v>
      </c>
      <c r="F21" s="38"/>
    </row>
    <row r="22" spans="2:6" hidden="1" outlineLevel="1" x14ac:dyDescent="0.25">
      <c r="B22" s="2" t="s">
        <v>23</v>
      </c>
      <c r="C22" s="2" t="str" cm="1">
        <f t="array" ref="C22">_xll.DBR($C$21,$B22,"value")</f>
        <v>HL2025-2026</v>
      </c>
      <c r="E22" t="s">
        <v>129</v>
      </c>
      <c r="F22" s="2" t="str">
        <f>_xll.VIEW(db_name&amp;":}ElementAttributes_account","!","!")</f>
        <v>dcceew_geus:}ElementAttributes_account</v>
      </c>
    </row>
    <row r="23" spans="2:6" hidden="1" outlineLevel="1" x14ac:dyDescent="0.25">
      <c r="B23" s="2" t="s">
        <v>25</v>
      </c>
      <c r="C23" s="2" t="str" cm="1">
        <f t="array" ref="C23">_xll.DBR($C$21,$B23,"value")</f>
        <v>2024-2025</v>
      </c>
      <c r="E23" t="s">
        <v>130</v>
      </c>
      <c r="F23" s="2" t="str">
        <f>_xll.VIEW(db_name&amp;":}ElementAttributes_movement account","!","!")</f>
        <v>dcceew_geus:}ElementAttributes_movement account</v>
      </c>
    </row>
    <row r="24" spans="2:6" hidden="1" outlineLevel="1" x14ac:dyDescent="0.25">
      <c r="B24" s="2" t="s">
        <v>24</v>
      </c>
      <c r="C24" s="2" t="str" cm="1">
        <f t="array" ref="C24">_xll.DBR($C$21,$B24,"value")</f>
        <v>2024-2025</v>
      </c>
    </row>
    <row r="25" spans="2:6" hidden="1" outlineLevel="1" x14ac:dyDescent="0.25">
      <c r="B25" s="2" t="s">
        <v>135</v>
      </c>
      <c r="C25" s="2" t="str" cm="1">
        <f t="array" ref="C25">_xll.DBR($C$21,$B25,"value")</f>
        <v/>
      </c>
    </row>
    <row r="26" spans="2:6" hidden="1" outlineLevel="1" x14ac:dyDescent="0.25">
      <c r="B26" s="2" t="s">
        <v>136</v>
      </c>
      <c r="C26" s="2">
        <f>_xll.DIMIX(db_name&amp;":period",$C$25)</f>
        <v>0</v>
      </c>
    </row>
    <row r="27" spans="2:6" hidden="1" outlineLevel="1" x14ac:dyDescent="0.25"/>
    <row r="28" spans="2:6" hidden="1" outlineLevel="1" x14ac:dyDescent="0.25">
      <c r="B28" s="38" t="s">
        <v>19</v>
      </c>
      <c r="C28" s="38"/>
    </row>
    <row r="29" spans="2:6" ht="16.5" hidden="1" customHeight="1" outlineLevel="1" x14ac:dyDescent="0.25">
      <c r="B29" s="2" t="s">
        <v>40</v>
      </c>
      <c r="C29" s="2" t="str" cm="1">
        <f t="array" ref="C29">_xll.TM1RPTVIEW(db_name&amp;":ME reporting:2", 1, _xll.TM1RPTTITLE(db_name&amp;":headline year",$S$67), _xll.TM1RPTTITLE(db_name&amp;":scenario",$S$68),_xll.TM1RPTTITLE(db_name&amp;":ME reporting measure",$C$40),TM1RPTFMTRNG,TM1RPTFMTIDCOL)</f>
        <v>dcceew_geus:ME reporting:2</v>
      </c>
    </row>
    <row r="30" spans="2:6" ht="16.5" hidden="1" customHeight="1" outlineLevel="1" x14ac:dyDescent="0.25">
      <c r="B30" s="2" t="s">
        <v>41</v>
      </c>
      <c r="C30" t="str" cm="1">
        <f t="array" ref="C30">_xll.TM1RPTVIEW(db_name&amp;":ME reporting:ARPT1", 1, _xll.TM1RPTTITLE(db_name&amp;":headline year",$S$67), _xll.TM1RPTTITLE(db_name&amp;":scenario",$S$68),_xll.TM1RPTTITLE(db_name&amp;":ME reporting measure",$C$40),TM1RPTFMTRNG,TM1RPTFMTIDCOL)</f>
        <v>dcceew_geus:ME reporting:ARPT1</v>
      </c>
    </row>
    <row r="31" spans="2:6" hidden="1" outlineLevel="1" x14ac:dyDescent="0.25">
      <c r="B31" s="2" t="s">
        <v>20</v>
      </c>
      <c r="C31" s="2" t="str">
        <f>_xll.VIEW(db_name&amp;":ME reporting",$S$67,$S$68,"!","!","!","!","!","!","!","!","!","!")</f>
        <v>dcceew_geus:ME reporting</v>
      </c>
      <c r="D31" t="s">
        <v>141</v>
      </c>
      <c r="E31" t="s">
        <v>142</v>
      </c>
    </row>
    <row r="32" spans="2:6" hidden="1" outlineLevel="1" x14ac:dyDescent="0.25">
      <c r="B32" s="2" t="s">
        <v>114</v>
      </c>
      <c r="C32" s="2" t="str">
        <f>IF($U$69 = "Collapse",$D$32,$E$32)</f>
        <v>{TM1FILTERBYLEVEL( {TM1DRILLDOWNMEMBER( {[programme].[Administered programmes]}, ALL, RECURSIVE )}, 0)}</v>
      </c>
      <c r="D32" t="str">
        <f>"{[programme].[" &amp; psProg &amp; "]}"</f>
        <v>{[programme].[Administered programmes]}</v>
      </c>
      <c r="E32" t="str">
        <f>"{TM1FILTERBYLEVEL( {TM1DRILLDOWNMEMBER( {[programme].[" &amp; psProg &amp; "]}, ALL, RECURSIVE )}, 0)}"</f>
        <v>{TM1FILTERBYLEVEL( {TM1DRILLDOWNMEMBER( {[programme].[Administered programmes]}, ALL, RECURSIVE )}, 0)}</v>
      </c>
    </row>
    <row r="33" spans="2:39" hidden="1" outlineLevel="1" x14ac:dyDescent="0.25">
      <c r="B33" s="2" t="s">
        <v>26</v>
      </c>
      <c r="C33" s="2" t="s">
        <v>38</v>
      </c>
    </row>
    <row r="34" spans="2:39" hidden="1" outlineLevel="1" x14ac:dyDescent="0.25">
      <c r="B34" s="2" t="s">
        <v>35</v>
      </c>
      <c r="C34" s="2" t="s">
        <v>111</v>
      </c>
    </row>
    <row r="35" spans="2:39" hidden="1" outlineLevel="1" x14ac:dyDescent="0.25">
      <c r="B35" s="2" t="s">
        <v>36</v>
      </c>
      <c r="C35" s="2" t="s">
        <v>37</v>
      </c>
    </row>
    <row r="36" spans="2:39" hidden="1" outlineLevel="1" x14ac:dyDescent="0.25">
      <c r="B36" s="2" t="s">
        <v>27</v>
      </c>
      <c r="C36" s="2" t="s">
        <v>34</v>
      </c>
    </row>
    <row r="37" spans="2:39" hidden="1" outlineLevel="1" x14ac:dyDescent="0.25">
      <c r="B37" s="2" t="s">
        <v>28</v>
      </c>
      <c r="C37" s="2" t="s">
        <v>33</v>
      </c>
    </row>
    <row r="38" spans="2:39" hidden="1" outlineLevel="1" x14ac:dyDescent="0.25">
      <c r="B38" s="2" t="s">
        <v>29</v>
      </c>
      <c r="C38" s="2" t="s">
        <v>32</v>
      </c>
    </row>
    <row r="39" spans="2:39" hidden="1" outlineLevel="1" x14ac:dyDescent="0.25">
      <c r="B39" s="2" t="s">
        <v>30</v>
      </c>
      <c r="C39" s="2" t="s">
        <v>31</v>
      </c>
    </row>
    <row r="40" spans="2:39" hidden="1" outlineLevel="1" x14ac:dyDescent="0.25">
      <c r="B40" s="10" t="s">
        <v>1</v>
      </c>
      <c r="C40" s="2" t="str" cm="1">
        <f t="array" ref="C40">_xll.SUBNM(db_name&amp;":ME reporting measure","",$D$40)</f>
        <v>Value</v>
      </c>
      <c r="D40" s="2" t="str">
        <f>IF($U$69 = "Collapse","sys_value","Value")</f>
        <v>Value</v>
      </c>
      <c r="R40" s="1"/>
    </row>
    <row r="41" spans="2:39" hidden="1" outlineLevel="1" x14ac:dyDescent="0.25">
      <c r="B41" s="10" t="s">
        <v>1</v>
      </c>
      <c r="C41" s="2" t="s">
        <v>118</v>
      </c>
      <c r="R41" s="1"/>
    </row>
    <row r="42" spans="2:39" hidden="1" outlineLevel="1" x14ac:dyDescent="0.25">
      <c r="B42" s="30" t="s">
        <v>48</v>
      </c>
      <c r="C42" s="30" t="s">
        <v>119</v>
      </c>
      <c r="R42" s="1"/>
    </row>
    <row r="43" spans="2:39" hidden="1" outlineLevel="1" x14ac:dyDescent="0.25">
      <c r="C43" s="30"/>
      <c r="R43" s="1"/>
    </row>
    <row r="44" spans="2:39" hidden="1" outlineLevel="1" x14ac:dyDescent="0.25">
      <c r="B44" s="38" t="s">
        <v>115</v>
      </c>
      <c r="C44" s="38"/>
      <c r="R44" s="1"/>
      <c r="Y44" s="10" t="s">
        <v>70</v>
      </c>
      <c r="Z44" s="39" t="s">
        <v>53</v>
      </c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</row>
    <row r="45" spans="2:39" hidden="1" outlineLevel="1" x14ac:dyDescent="0.25">
      <c r="B45" s="2" t="s">
        <v>22</v>
      </c>
      <c r="C45" s="2" t="str">
        <f t="array" ref="C45">_xll.VIEW(db_name&amp;":programme details",$C$17,$C$18,"!","!")</f>
        <v>dcceew_geus:programme details</v>
      </c>
      <c r="R45" s="1"/>
      <c r="V45" s="10" t="s">
        <v>48</v>
      </c>
      <c r="W45" s="10"/>
      <c r="X45" s="10" t="s">
        <v>116</v>
      </c>
      <c r="Y45" s="7" t="s">
        <v>51</v>
      </c>
      <c r="Z45" s="8" t="s">
        <v>52</v>
      </c>
      <c r="AA45" s="8" t="s">
        <v>52</v>
      </c>
      <c r="AB45" s="8" t="s">
        <v>52</v>
      </c>
      <c r="AC45" s="8" t="s">
        <v>52</v>
      </c>
      <c r="AD45" s="8" t="s">
        <v>52</v>
      </c>
      <c r="AE45" s="8" t="s">
        <v>52</v>
      </c>
      <c r="AF45" s="8" t="s">
        <v>52</v>
      </c>
      <c r="AG45" s="8" t="s">
        <v>52</v>
      </c>
      <c r="AH45" s="8" t="s">
        <v>52</v>
      </c>
      <c r="AI45" s="8" t="s">
        <v>52</v>
      </c>
      <c r="AJ45" s="8" t="s">
        <v>52</v>
      </c>
      <c r="AK45" s="8" t="s">
        <v>52</v>
      </c>
      <c r="AL45" s="8" t="s">
        <v>52</v>
      </c>
      <c r="AM45" s="8" t="s">
        <v>52</v>
      </c>
    </row>
    <row r="46" spans="2:39" hidden="1" outlineLevel="1" x14ac:dyDescent="0.25">
      <c r="R46" s="1"/>
      <c r="V46" s="10" t="s">
        <v>50</v>
      </c>
      <c r="W46" s="1"/>
      <c r="X46" s="29" t="s">
        <v>117</v>
      </c>
      <c r="Y46" s="9" t="s">
        <v>2</v>
      </c>
      <c r="Z46" s="2" t="s">
        <v>66</v>
      </c>
      <c r="AA46" s="28" t="str">
        <f t="shared" ref="AA46:AL46" si="0">VLOOKUP($U$67,$V$48:$AL$49,AA$47,FALSE)</f>
        <v>Jul</v>
      </c>
      <c r="AB46" s="28" t="str">
        <f t="shared" si="0"/>
        <v>Aug</v>
      </c>
      <c r="AC46" s="28" t="str">
        <f t="shared" si="0"/>
        <v>Sep</v>
      </c>
      <c r="AD46" s="28" t="str">
        <f t="shared" si="0"/>
        <v>Oct</v>
      </c>
      <c r="AE46" s="28" t="str">
        <f t="shared" si="0"/>
        <v>Nov</v>
      </c>
      <c r="AF46" s="28" t="str">
        <f t="shared" si="0"/>
        <v>Dec</v>
      </c>
      <c r="AG46" s="28" t="str">
        <f t="shared" si="0"/>
        <v>Jan</v>
      </c>
      <c r="AH46" s="28" t="str">
        <f t="shared" si="0"/>
        <v>Feb</v>
      </c>
      <c r="AI46" s="28" t="str">
        <f t="shared" si="0"/>
        <v>Mar</v>
      </c>
      <c r="AJ46" s="28" t="str">
        <f t="shared" si="0"/>
        <v>Apr</v>
      </c>
      <c r="AK46" s="28" t="str">
        <f t="shared" si="0"/>
        <v>May</v>
      </c>
      <c r="AL46" s="28" t="str">
        <f t="shared" si="0"/>
        <v>Jun</v>
      </c>
      <c r="AM46" s="28" t="s">
        <v>2</v>
      </c>
    </row>
    <row r="47" spans="2:39" hidden="1" outlineLevel="1" x14ac:dyDescent="0.25">
      <c r="B47" s="38" t="s">
        <v>90</v>
      </c>
      <c r="C47" s="38"/>
      <c r="R47" s="1"/>
      <c r="V47" s="10"/>
      <c r="W47" s="10"/>
      <c r="X47" s="10"/>
      <c r="Y47" s="2"/>
      <c r="Z47" s="2"/>
      <c r="AA47" s="28">
        <v>6</v>
      </c>
      <c r="AB47" s="28">
        <v>7</v>
      </c>
      <c r="AC47" s="28">
        <v>8</v>
      </c>
      <c r="AD47" s="28">
        <v>9</v>
      </c>
      <c r="AE47" s="28">
        <v>10</v>
      </c>
      <c r="AF47" s="28">
        <v>11</v>
      </c>
      <c r="AG47" s="28">
        <v>12</v>
      </c>
      <c r="AH47" s="28">
        <v>13</v>
      </c>
      <c r="AI47" s="28">
        <v>14</v>
      </c>
      <c r="AJ47" s="28">
        <v>15</v>
      </c>
      <c r="AK47" s="28">
        <v>16</v>
      </c>
      <c r="AL47" s="28">
        <v>17</v>
      </c>
      <c r="AM47" s="28"/>
    </row>
    <row r="48" spans="2:39" hidden="1" outlineLevel="1" x14ac:dyDescent="0.25">
      <c r="B48" s="23" t="s">
        <v>22</v>
      </c>
      <c r="C48" s="23" t="str" cm="1">
        <f t="array" ref="C48">_xll.VIEW(db_name&amp;":sys_application","!","!")</f>
        <v>dcceew_geus:sys_application</v>
      </c>
      <c r="R48" s="1"/>
      <c r="V48" s="10" t="s">
        <v>68</v>
      </c>
      <c r="W48" s="10"/>
      <c r="X48" s="10"/>
      <c r="Y48" s="2"/>
      <c r="Z48" s="2"/>
      <c r="AA48" s="28" t="s">
        <v>54</v>
      </c>
      <c r="AB48" s="28" t="s">
        <v>55</v>
      </c>
      <c r="AC48" s="28" t="s">
        <v>56</v>
      </c>
      <c r="AD48" s="28" t="s">
        <v>57</v>
      </c>
      <c r="AE48" s="28" t="s">
        <v>58</v>
      </c>
      <c r="AF48" s="28" t="s">
        <v>59</v>
      </c>
      <c r="AG48" s="28" t="s">
        <v>60</v>
      </c>
      <c r="AH48" s="28" t="s">
        <v>61</v>
      </c>
      <c r="AI48" s="28" t="s">
        <v>62</v>
      </c>
      <c r="AJ48" s="28" t="s">
        <v>63</v>
      </c>
      <c r="AK48" s="28" t="s">
        <v>64</v>
      </c>
      <c r="AL48" s="28" t="s">
        <v>65</v>
      </c>
      <c r="AM48" s="28"/>
    </row>
    <row r="49" spans="2:41" hidden="1" outlineLevel="1" x14ac:dyDescent="0.25">
      <c r="B49" s="2"/>
      <c r="C49" s="24" t="s">
        <v>91</v>
      </c>
      <c r="D49" s="24" t="s">
        <v>92</v>
      </c>
      <c r="E49" s="24" t="s">
        <v>93</v>
      </c>
      <c r="F49" s="24" t="s">
        <v>94</v>
      </c>
      <c r="G49" s="24" t="s">
        <v>95</v>
      </c>
      <c r="H49" s="24" t="s">
        <v>96</v>
      </c>
      <c r="R49" s="1"/>
      <c r="V49" s="10" t="s">
        <v>69</v>
      </c>
      <c r="W49" s="10"/>
      <c r="X49" s="10"/>
      <c r="Y49" s="2"/>
      <c r="Z49" s="2"/>
      <c r="AA49" s="28" t="str">
        <f>AA48&amp; " YTD"</f>
        <v>Jul YTD</v>
      </c>
      <c r="AB49" s="28" t="str">
        <f>AB48&amp; " YTD"</f>
        <v>Aug YTD</v>
      </c>
      <c r="AC49" s="28" t="str">
        <f t="shared" ref="AC49:AL49" si="1">AC48&amp; " YTD"</f>
        <v>Sep YTD</v>
      </c>
      <c r="AD49" s="28" t="str">
        <f t="shared" si="1"/>
        <v>Oct YTD</v>
      </c>
      <c r="AE49" s="28" t="str">
        <f t="shared" si="1"/>
        <v>Nov YTD</v>
      </c>
      <c r="AF49" s="28" t="str">
        <f t="shared" si="1"/>
        <v>Dec YTD</v>
      </c>
      <c r="AG49" s="28" t="str">
        <f t="shared" si="1"/>
        <v>Jan YTD</v>
      </c>
      <c r="AH49" s="28" t="str">
        <f t="shared" si="1"/>
        <v>Feb YTD</v>
      </c>
      <c r="AI49" s="28" t="str">
        <f t="shared" si="1"/>
        <v>Mar YTD</v>
      </c>
      <c r="AJ49" s="28" t="str">
        <f t="shared" si="1"/>
        <v>Apr YTD</v>
      </c>
      <c r="AK49" s="28" t="str">
        <f t="shared" si="1"/>
        <v>May YTD</v>
      </c>
      <c r="AL49" s="28" t="str">
        <f t="shared" si="1"/>
        <v>Jun YTD</v>
      </c>
      <c r="AM49" s="28"/>
    </row>
    <row r="50" spans="2:41" hidden="1" outlineLevel="1" x14ac:dyDescent="0.25">
      <c r="B50" s="2" t="s">
        <v>97</v>
      </c>
      <c r="C50" s="2" t="str" cm="1">
        <f t="array" ref="C50">_xll.DBR($C$48,$B50,C$49)</f>
        <v>TM1MEHomeCAP</v>
      </c>
      <c r="D50" s="2" t="str" cm="1">
        <f t="array" ref="D50">_xll.DBR($C$48,$B50,D$49)</f>
        <v>Home</v>
      </c>
      <c r="E50" s="2" t="str" cm="1">
        <f t="array" ref="E50">_xll.DBR($C$48,$B50,E$49)</f>
        <v>TM1MEHomeWB</v>
      </c>
      <c r="F50" s="2" t="str" cm="1">
        <f t="array" ref="F50">_xll.DBR($C$48,$B50,F$49)</f>
        <v>PRIMUS\GEUS WEB\Monthly Estimates\Monthly Estimates - Homepage.xlsx</v>
      </c>
      <c r="G50" s="2" t="str" cm="1">
        <f t="array" ref="G50">_xll.DBR($C$48,$B50,G$49)</f>
        <v>TM1MEHomeWS</v>
      </c>
      <c r="H50" s="2" t="str" cm="1">
        <f t="array" ref="H50">_xll.DBR($C$48,$B50,H$49)</f>
        <v>Homepage</v>
      </c>
      <c r="R50" s="1"/>
      <c r="V50" s="10" t="s">
        <v>112</v>
      </c>
      <c r="W50" s="10"/>
      <c r="X50" s="10"/>
      <c r="Y50" s="2"/>
      <c r="Z50" s="2"/>
      <c r="AA50" s="28" t="str">
        <f>_xll.DBR($F$19,AA$48,$V50)</f>
        <v/>
      </c>
      <c r="AB50" s="28" t="str" cm="1">
        <f t="array" ref="AB50">_xll.DBR($F$19,AB$48,$V50)</f>
        <v/>
      </c>
      <c r="AC50" s="28" t="str" cm="1">
        <f t="array" ref="AC50">_xll.DBR($F$19,AC$48,$V50)</f>
        <v/>
      </c>
      <c r="AD50" s="28" t="str" cm="1">
        <f t="array" ref="AD50">_xll.DBR($F$19,AD$48,$V50)</f>
        <v/>
      </c>
      <c r="AE50" s="28" t="str" cm="1">
        <f t="array" ref="AE50">_xll.DBR($F$19,AE$48,$V50)</f>
        <v/>
      </c>
      <c r="AF50" s="28" t="str" cm="1">
        <f t="array" ref="AF50">_xll.DBR($F$19,AF$48,$V50)</f>
        <v/>
      </c>
      <c r="AG50" s="28" t="str" cm="1">
        <f t="array" ref="AG50">_xll.DBR($F$19,AG$48,$V50)</f>
        <v/>
      </c>
      <c r="AH50" s="28" t="str" cm="1">
        <f t="array" ref="AH50">_xll.DBR($F$19,AH$48,$V50)</f>
        <v/>
      </c>
      <c r="AI50" s="28" t="str" cm="1">
        <f t="array" ref="AI50">_xll.DBR($F$19,AI$48,$V50)</f>
        <v/>
      </c>
      <c r="AJ50" s="28" t="str" cm="1">
        <f t="array" ref="AJ50">_xll.DBR($F$19,AJ$48,$V50)</f>
        <v/>
      </c>
      <c r="AK50" s="28" t="str" cm="1">
        <f t="array" ref="AK50">_xll.DBR($F$19,AK$48,$V50)</f>
        <v/>
      </c>
      <c r="AL50" s="28" t="str" cm="1">
        <f t="array" ref="AL50">_xll.DBR($F$19,AL$48,$V50)</f>
        <v/>
      </c>
      <c r="AM50" s="28"/>
    </row>
    <row r="51" spans="2:41" hidden="1" outlineLevel="1" x14ac:dyDescent="0.25">
      <c r="B51" s="2" t="s">
        <v>98</v>
      </c>
      <c r="C51" s="2" t="str" cm="1">
        <f t="array" ref="C51">_xll.DBR($C$48,$B51,C$49)</f>
        <v>TM1MEDataEntryCAP</v>
      </c>
      <c r="D51" s="2" t="str" cm="1">
        <f t="array" ref="D51">_xll.DBR($C$48,$B51,D$49)</f>
        <v/>
      </c>
      <c r="E51" s="2" t="str" cm="1">
        <f t="array" ref="E51">_xll.DBR($C$48,$B51,E$49)</f>
        <v>TM1MEDataEntryWB</v>
      </c>
      <c r="F51" s="2" t="str" cm="1">
        <f t="array" ref="F51">_xll.DBR($C$48,$B51,F$49)</f>
        <v>PRIMUS\GEUS WEB\Monthly Estimates\</v>
      </c>
      <c r="G51" s="2" t="str" cm="1">
        <f t="array" ref="G51">_xll.DBR($C$48,$B51,G$49)</f>
        <v>TM1MEDataEntryWS</v>
      </c>
      <c r="H51" s="2" t="str" cm="1">
        <f t="array" ref="H51">_xll.DBR($C$48,$B51,H$49)</f>
        <v/>
      </c>
      <c r="R51" s="1"/>
      <c r="V51" s="10" t="s">
        <v>137</v>
      </c>
      <c r="W51" s="10"/>
      <c r="X51" s="10"/>
      <c r="Y51" s="2"/>
      <c r="Z51" s="2"/>
      <c r="AA51" s="28">
        <f>_xll.DIMIX(db_name&amp;":period",AA$46)</f>
        <v>45</v>
      </c>
      <c r="AB51" s="28">
        <f>_xll.DIMIX(db_name&amp;":period",AB$46)</f>
        <v>46</v>
      </c>
      <c r="AC51" s="28">
        <f>_xll.DIMIX(db_name&amp;":period",AC$46)</f>
        <v>47</v>
      </c>
      <c r="AD51" s="28">
        <f>_xll.DIMIX(db_name&amp;":period",AD$46)</f>
        <v>48</v>
      </c>
      <c r="AE51" s="28">
        <f>_xll.DIMIX(db_name&amp;":period",AE$46)</f>
        <v>49</v>
      </c>
      <c r="AF51" s="28">
        <f>_xll.DIMIX(db_name&amp;":period",AF$46)</f>
        <v>50</v>
      </c>
      <c r="AG51" s="28">
        <f>_xll.DIMIX(db_name&amp;":period",AG$46)</f>
        <v>51</v>
      </c>
      <c r="AH51" s="28">
        <f>_xll.DIMIX(db_name&amp;":period",AH$46)</f>
        <v>52</v>
      </c>
      <c r="AI51" s="28">
        <f>_xll.DIMIX(db_name&amp;":period",AI$46)</f>
        <v>53</v>
      </c>
      <c r="AJ51" s="28">
        <f>_xll.DIMIX(db_name&amp;":period",AJ$46)</f>
        <v>54</v>
      </c>
      <c r="AK51" s="28">
        <f>_xll.DIMIX(db_name&amp;":period",AK$46)</f>
        <v>55</v>
      </c>
      <c r="AL51" s="28">
        <f>_xll.DIMIX(db_name&amp;":period",AL$46)</f>
        <v>56</v>
      </c>
      <c r="AM51" s="28"/>
    </row>
    <row r="52" spans="2:41" hidden="1" outlineLevel="1" x14ac:dyDescent="0.25">
      <c r="B52" s="2" t="s">
        <v>99</v>
      </c>
      <c r="C52" s="2" t="str" cm="1">
        <f t="array" ref="C52">_xll.DBR($C$48,$B52,C$49)</f>
        <v>TM1MEOSDataEntryCAP</v>
      </c>
      <c r="D52" s="2" t="str" cm="1">
        <f t="array" ref="D52">_xll.DBR($C$48,$B52,D$49)</f>
        <v>Operating Statement</v>
      </c>
      <c r="E52" s="2" t="str" cm="1">
        <f t="array" ref="E52">_xll.DBR($C$48,$B52,E$49)</f>
        <v>TM1MEOSDataEntryWB</v>
      </c>
      <c r="F52" s="2" t="str" cm="1">
        <f t="array" ref="F52">_xll.DBR($C$48,$B52,F$49)</f>
        <v>PRIMUS\GEUS WEB\Monthly Estimates\Monthly Estimates - Operating Statement Data Entry.xlsx</v>
      </c>
      <c r="G52" s="2" t="str" cm="1">
        <f t="array" ref="G52">_xll.DBR($C$48,$B52,G$49)</f>
        <v>TM1MEOSDataEntryWS</v>
      </c>
      <c r="H52" s="2" t="str" cm="1">
        <f t="array" ref="H52">_xll.DBR($C$48,$B52,H$49)</f>
        <v>operating</v>
      </c>
      <c r="R52" s="1"/>
      <c r="V52" s="10" t="s">
        <v>138</v>
      </c>
      <c r="W52" s="10"/>
      <c r="X52" s="10"/>
      <c r="Y52" s="2"/>
      <c r="Z52" s="2"/>
      <c r="AA52" s="28" t="str">
        <f>IF(AA$51&lt;=$C$26,"Y","")</f>
        <v/>
      </c>
      <c r="AB52" s="28" t="str">
        <f t="shared" ref="AB52:AM52" si="2">IF(AB$51&lt;=$C$26,"Y","")</f>
        <v/>
      </c>
      <c r="AC52" s="28" t="str">
        <f t="shared" si="2"/>
        <v/>
      </c>
      <c r="AD52" s="28" t="str">
        <f t="shared" si="2"/>
        <v/>
      </c>
      <c r="AE52" s="28" t="str">
        <f t="shared" si="2"/>
        <v/>
      </c>
      <c r="AF52" s="28" t="str">
        <f t="shared" si="2"/>
        <v/>
      </c>
      <c r="AG52" s="28" t="str">
        <f t="shared" si="2"/>
        <v/>
      </c>
      <c r="AH52" s="28" t="str">
        <f t="shared" si="2"/>
        <v/>
      </c>
      <c r="AI52" s="28" t="str">
        <f t="shared" si="2"/>
        <v/>
      </c>
      <c r="AJ52" s="28" t="str">
        <f t="shared" si="2"/>
        <v/>
      </c>
      <c r="AK52" s="28" t="str">
        <f t="shared" si="2"/>
        <v/>
      </c>
      <c r="AL52" s="28" t="str">
        <f t="shared" si="2"/>
        <v/>
      </c>
      <c r="AM52" s="28" t="str">
        <f t="shared" si="2"/>
        <v>Y</v>
      </c>
    </row>
    <row r="53" spans="2:41" hidden="1" outlineLevel="1" x14ac:dyDescent="0.25">
      <c r="B53" s="2" t="s">
        <v>100</v>
      </c>
      <c r="C53" s="2" t="str" cm="1">
        <f t="array" ref="C53">_xll.DBR($C$48,$B53,C$49)</f>
        <v>TM1MEBSDataEntryCAP</v>
      </c>
      <c r="D53" s="2" t="str" cm="1">
        <f t="array" ref="D53">_xll.DBR($C$48,$B53,D$49)</f>
        <v>Balance Sheet</v>
      </c>
      <c r="E53" s="2" t="str" cm="1">
        <f t="array" ref="E53">_xll.DBR($C$48,$B53,E$49)</f>
        <v>TM1MEBSDataEntryWB</v>
      </c>
      <c r="F53" s="2" t="str" cm="1">
        <f t="array" ref="F53">_xll.DBR($C$48,$B53,F$49)</f>
        <v>PRIMUS\GEUS WEB\Monthly Estimates\Monthly Estimates - Balance Sheet Data Entry.xlsx</v>
      </c>
      <c r="G53" s="2" t="str" cm="1">
        <f t="array" ref="G53">_xll.DBR($C$48,$B53,G$49)</f>
        <v>TM1MEBSDataEntryWS</v>
      </c>
      <c r="H53" s="2" t="str" cm="1">
        <f t="array" ref="H53">_xll.DBR($C$48,$B53,H$49)</f>
        <v>balance sheet</v>
      </c>
      <c r="R53" s="1"/>
    </row>
    <row r="54" spans="2:41" hidden="1" outlineLevel="1" x14ac:dyDescent="0.25">
      <c r="B54" s="2" t="s">
        <v>101</v>
      </c>
      <c r="C54" s="2" t="str" cm="1">
        <f t="array" ref="C54">_xll.DBR($C$48,$B54,C$49)</f>
        <v>TM1MECCMapCAP</v>
      </c>
      <c r="D54" s="2" t="str" cm="1">
        <f t="array" ref="D54">_xll.DBR($C$48,$B54,D$49)</f>
        <v>Cost Centre Mapping</v>
      </c>
      <c r="E54" s="2" t="str" cm="1">
        <f t="array" ref="E54">_xll.DBR($C$48,$B54,E$49)</f>
        <v>TM1MECCMapWB</v>
      </c>
      <c r="F54" s="2" t="str" cm="1">
        <f t="array" ref="F54">_xll.DBR($C$48,$B54,F$49)</f>
        <v>PRIMUS\GEUS WEB\Monthly Estimates\Monthly Estimates - Cost Centre Mapping.xlsx</v>
      </c>
      <c r="G54" s="2" t="str" cm="1">
        <f t="array" ref="G54">_xll.DBR($C$48,$B54,G$49)</f>
        <v>TM1MECCMapWS</v>
      </c>
      <c r="H54" s="2" t="str" cm="1">
        <f t="array" ref="H54">_xll.DBR($C$48,$B54,H$49)</f>
        <v>mapping</v>
      </c>
      <c r="R54" s="1"/>
    </row>
    <row r="55" spans="2:41" hidden="1" outlineLevel="1" x14ac:dyDescent="0.25">
      <c r="B55" s="2" t="s">
        <v>102</v>
      </c>
      <c r="C55" s="2" t="str" cm="1">
        <f t="array" ref="C55">_xll.DBR($C$48,$B55,C$49)</f>
        <v>TM1MEGLMapCAP</v>
      </c>
      <c r="D55" s="2" t="str" cm="1">
        <f t="array" ref="D55">_xll.DBR($C$48,$B55,D$49)</f>
        <v>GL Code Mapping</v>
      </c>
      <c r="E55" s="2" t="str" cm="1">
        <f t="array" ref="E55">_xll.DBR($C$48,$B55,E$49)</f>
        <v>TM1MEGLMapWB</v>
      </c>
      <c r="F55" s="2" t="str" cm="1">
        <f t="array" ref="F55">_xll.DBR($C$48,$B55,F$49)</f>
        <v>PRIMUS\GEUS WEB\Monthly Estimates\Monthly Estimates - GL Mapping.xlsx</v>
      </c>
      <c r="G55" s="2" t="str" cm="1">
        <f t="array" ref="G55">_xll.DBR($C$48,$B55,G$49)</f>
        <v>TM1MEGLMapWS</v>
      </c>
      <c r="H55" s="2" t="str" cm="1">
        <f t="array" ref="H55">_xll.DBR($C$48,$B55,H$49)</f>
        <v>mapping</v>
      </c>
      <c r="R55" s="1"/>
    </row>
    <row r="56" spans="2:41" hidden="1" outlineLevel="1" x14ac:dyDescent="0.25">
      <c r="B56" s="2" t="s">
        <v>103</v>
      </c>
      <c r="C56" s="2" t="str" cm="1">
        <f t="array" ref="C56">_xll.DBR($C$48,$B56,C$49)</f>
        <v>TM1MESummaryCAP</v>
      </c>
      <c r="D56" s="2" t="str" cm="1">
        <f t="array" ref="D56">_xll.DBR($C$48,$B56,D$49)</f>
        <v>Program Summary</v>
      </c>
      <c r="E56" s="2" t="str" cm="1">
        <f t="array" ref="E56">_xll.DBR($C$48,$B56,E$49)</f>
        <v>TM1MESummaryWB</v>
      </c>
      <c r="F56" s="2" t="str" cm="1">
        <f t="array" ref="F56">_xll.DBR($C$48,$B56,F$49)</f>
        <v>PRIMUS\GEUS WEB\Monthly Estimates\Monthly Estimates - Program Summary.xlsx</v>
      </c>
      <c r="G56" s="2" t="str" cm="1">
        <f t="array" ref="G56">_xll.DBR($C$48,$B56,G$49)</f>
        <v>TM1MESummaryWS</v>
      </c>
      <c r="H56" s="2" t="str" cm="1">
        <f t="array" ref="H56">_xll.DBR($C$48,$B56,H$49)</f>
        <v>summary</v>
      </c>
      <c r="R56" s="1"/>
    </row>
    <row r="57" spans="2:41" hidden="1" outlineLevel="1" x14ac:dyDescent="0.25">
      <c r="B57" s="2" t="s">
        <v>123</v>
      </c>
      <c r="C57" s="2" t="str" cm="1">
        <f t="array" ref="C57">_xll.DBR($C$48,$B57,C$49)</f>
        <v>TM1MECFDataEntryCAP</v>
      </c>
      <c r="D57" s="2" t="str" cm="1">
        <f t="array" ref="D57">_xll.DBR($C$48,$B57,D$49)</f>
        <v>Cash Flow</v>
      </c>
      <c r="E57" s="2" t="str" cm="1">
        <f t="array" ref="E57">_xll.DBR($C$48,$B57,E$49)</f>
        <v>TM1MECFDataEntryWB</v>
      </c>
      <c r="F57" s="2" t="str" cm="1">
        <f t="array" ref="F57">_xll.DBR($C$48,$B57,F$49)</f>
        <v>PRIMUS\GEUS WEB\Monthly Estimates\Monthly Estimates - Cash Flow Data Entry.xlsx</v>
      </c>
      <c r="G57" s="2" t="str" cm="1">
        <f t="array" ref="G57">_xll.DBR($C$48,$B57,G$49)</f>
        <v>TM1MECFDataEntryWS</v>
      </c>
      <c r="H57" s="2" t="str" cm="1">
        <f t="array" ref="H57">_xll.DBR($C$48,$B57,H$49)</f>
        <v>cash flow</v>
      </c>
      <c r="R57" s="1"/>
    </row>
    <row r="58" spans="2:41" hidden="1" outlineLevel="1" x14ac:dyDescent="0.25">
      <c r="B58" s="2" t="s">
        <v>124</v>
      </c>
      <c r="C58" s="2" t="str" cm="1">
        <f t="array" ref="C58">_xll.DBR($C$48,$B58,C$49)</f>
        <v>TM1MEValidateCAP</v>
      </c>
      <c r="D58" s="2" t="str" cm="1">
        <f t="array" ref="D58">_xll.DBR($C$48,$B58,D$49)</f>
        <v>Validate ME Profiles</v>
      </c>
      <c r="E58" s="2" t="str" cm="1">
        <f t="array" ref="E58">_xll.DBR($C$48,$B58,E$49)</f>
        <v>TM1MEValidateWB</v>
      </c>
      <c r="F58" s="2" t="str" cm="1">
        <f t="array" ref="F58">_xll.DBR($C$48,$B58,F$49)</f>
        <v>PRIMUS\GEUS WEB\Monthly Estimates\Monthly Estimates - Validate.xlsx</v>
      </c>
      <c r="G58" s="2" t="str" cm="1">
        <f t="array" ref="G58">_xll.DBR($C$48,$B58,G$49)</f>
        <v>TM1MEValidateWS</v>
      </c>
      <c r="H58" s="2" t="str" cm="1">
        <f t="array" ref="H58">_xll.DBR($C$48,$B58,H$49)</f>
        <v>validate</v>
      </c>
      <c r="R58" s="1"/>
    </row>
    <row r="59" spans="2:41" hidden="1" outlineLevel="1" x14ac:dyDescent="0.25">
      <c r="R59" s="1"/>
    </row>
    <row r="60" spans="2:41" hidden="1" outlineLevel="1" x14ac:dyDescent="0.25">
      <c r="R60" s="1"/>
    </row>
    <row r="61" spans="2:41" ht="34.5" customHeight="1" collapsed="1" x14ac:dyDescent="0.25">
      <c r="Q61" s="3"/>
      <c r="R61" s="3"/>
      <c r="S61" s="3"/>
      <c r="T61" s="3"/>
      <c r="U61" s="3"/>
      <c r="V61" s="3"/>
      <c r="W61" s="3"/>
      <c r="X61" s="3"/>
      <c r="Y61" s="21" t="s">
        <v>74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2:41" ht="5.0999999999999996" customHeight="1" x14ac:dyDescent="0.25">
      <c r="R62" s="1"/>
    </row>
    <row r="63" spans="2:41" ht="24.95" customHeight="1" x14ac:dyDescent="0.25"/>
    <row r="64" spans="2:41" ht="1.5" customHeight="1" x14ac:dyDescent="0.25"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x14ac:dyDescent="0.25">
      <c r="R65" s="1"/>
    </row>
    <row r="66" spans="1:41" ht="30" x14ac:dyDescent="0.25">
      <c r="B66" t="str">
        <f t="shared" ref="B66:B71" si="3">$S$69</f>
        <v>Administered programmes</v>
      </c>
      <c r="C66" t="s">
        <v>3</v>
      </c>
      <c r="D66" s="5" t="s">
        <v>73</v>
      </c>
      <c r="E66" t="s">
        <v>4</v>
      </c>
      <c r="F66" t="s">
        <v>5</v>
      </c>
      <c r="G66" t="s">
        <v>6</v>
      </c>
      <c r="H66" t="s">
        <v>7</v>
      </c>
      <c r="R66" s="1"/>
      <c r="S66" s="22" t="s">
        <v>77</v>
      </c>
      <c r="U66" s="22" t="s">
        <v>78</v>
      </c>
      <c r="Y66" s="6" t="s">
        <v>67</v>
      </c>
      <c r="Z66" s="6" t="s">
        <v>49</v>
      </c>
      <c r="AA66" s="6" t="str">
        <f>AA$46</f>
        <v>Jul</v>
      </c>
      <c r="AB66" s="6" t="str">
        <f t="shared" ref="AB66:AL66" si="4">AB$46</f>
        <v>Aug</v>
      </c>
      <c r="AC66" s="6" t="str">
        <f t="shared" si="4"/>
        <v>Sep</v>
      </c>
      <c r="AD66" s="6" t="str">
        <f t="shared" si="4"/>
        <v>Oct</v>
      </c>
      <c r="AE66" s="6" t="str">
        <f t="shared" si="4"/>
        <v>Nov</v>
      </c>
      <c r="AF66" s="6" t="str">
        <f t="shared" si="4"/>
        <v>Dec</v>
      </c>
      <c r="AG66" s="6" t="str">
        <f t="shared" si="4"/>
        <v>Jan</v>
      </c>
      <c r="AH66" s="6" t="str">
        <f t="shared" si="4"/>
        <v>Feb</v>
      </c>
      <c r="AI66" s="6" t="str">
        <f t="shared" si="4"/>
        <v>Mar</v>
      </c>
      <c r="AJ66" s="6" t="str">
        <f t="shared" si="4"/>
        <v>Apr</v>
      </c>
      <c r="AK66" s="6" t="str">
        <f t="shared" si="4"/>
        <v>May</v>
      </c>
      <c r="AL66" s="6" t="str">
        <f t="shared" si="4"/>
        <v>Jun</v>
      </c>
    </row>
    <row r="67" spans="1:41" x14ac:dyDescent="0.25">
      <c r="B67" t="str">
        <f t="shared" si="3"/>
        <v>Administered programmes</v>
      </c>
      <c r="C67" t="s">
        <v>3</v>
      </c>
      <c r="D67" s="5" t="s">
        <v>39</v>
      </c>
      <c r="E67" t="s">
        <v>4</v>
      </c>
      <c r="F67" t="s">
        <v>5</v>
      </c>
      <c r="G67" t="s">
        <v>6</v>
      </c>
      <c r="H67" t="s">
        <v>7</v>
      </c>
      <c r="R67" s="20" t="s">
        <v>75</v>
      </c>
      <c r="S67" s="27" t="str">
        <f>_xll.SUBNM(db_name&amp;":headline year","sys_all-n",$C$22)</f>
        <v>HL2025-2026</v>
      </c>
      <c r="T67" s="20" t="s">
        <v>79</v>
      </c>
      <c r="U67" s="27" t="str" cm="1">
        <f t="array" ref="U67">_xll.SUBNM(db_name&amp;":sys_ME display","","Month To Date")</f>
        <v>Month To Date</v>
      </c>
      <c r="X67" s="20" t="s">
        <v>83</v>
      </c>
      <c r="Y67" s="14" cm="1">
        <f t="array" ref="Y67">_xll.DBRW($C$31,$S$67,$S$68,$F66,$H66,$E66,$B66,$C66,$D66,Y$45,$G66,Y$46,$C$40)</f>
        <v>461233</v>
      </c>
      <c r="Z67" s="14" cm="1">
        <f t="array" ref="Z67">_xll.DBRW($C$31,$S$67,$S$68,$F66,$H66,$E66,$B66,$C66,$D66,Z$45,$G66,Z$46,$C$40)</f>
        <v>0</v>
      </c>
      <c r="AA67" s="14" cm="1">
        <f t="array" ref="AA67">_xll.DBRW($C$31,$S$67,$S$68,$F66,$H66,$E66,$B66,$C66,$D66,AA$45,$G66,AA$46,$C$40)</f>
        <v>0</v>
      </c>
      <c r="AB67" s="14" cm="1">
        <f t="array" ref="AB67">_xll.DBRW($C$31,$S$67,$S$68,$F66,$H66,$E66,$B66,$C66,$D66,AB$45,$G66,AB$46,$C$40)</f>
        <v>0</v>
      </c>
      <c r="AC67" s="14" cm="1">
        <f t="array" ref="AC67">_xll.DBRW($C$31,$S$67,$S$68,$F66,$H66,$E66,$B66,$C66,$D66,AC$45,$G66,AC$46,$C$40)</f>
        <v>0</v>
      </c>
      <c r="AD67" s="14" cm="1">
        <f t="array" ref="AD67">_xll.DBRW($C$31,$S$67,$S$68,$F66,$H66,$E66,$B66,$C66,$D66,AD$45,$G66,AD$46,$C$40)</f>
        <v>0</v>
      </c>
      <c r="AE67" s="14" cm="1">
        <f t="array" ref="AE67">_xll.DBRW($C$31,$S$67,$S$68,$F66,$H66,$E66,$B66,$C66,$D66,AE$45,$G66,AE$46,$C$40)</f>
        <v>0</v>
      </c>
      <c r="AF67" s="14" cm="1">
        <f t="array" ref="AF67">_xll.DBRW($C$31,$S$67,$S$68,$F66,$H66,$E66,$B66,$C66,$D66,AF$45,$G66,AF$46,$C$40)</f>
        <v>0</v>
      </c>
      <c r="AG67" s="14" cm="1">
        <f t="array" ref="AG67">_xll.DBRW($C$31,$S$67,$S$68,$F66,$H66,$E66,$B66,$C66,$D66,AG$45,$G66,AG$46,$C$40)</f>
        <v>0</v>
      </c>
      <c r="AH67" s="14" cm="1">
        <f t="array" ref="AH67">_xll.DBRW($C$31,$S$67,$S$68,$F66,$H66,$E66,$B66,$C66,$D66,AH$45,$G66,AH$46,$C$40)</f>
        <v>0</v>
      </c>
      <c r="AI67" s="14" cm="1">
        <f t="array" ref="AI67">_xll.DBRW($C$31,$S$67,$S$68,$F66,$H66,$E66,$B66,$C66,$D66,AI$45,$G66,AI$46,$C$40)</f>
        <v>0</v>
      </c>
      <c r="AJ67" s="14" cm="1">
        <f t="array" ref="AJ67">_xll.DBRW($C$31,$S$67,$S$68,$F66,$H66,$E66,$B66,$C66,$D66,AJ$45,$G66,AJ$46,$C$40)</f>
        <v>0</v>
      </c>
      <c r="AK67" s="14" cm="1">
        <f t="array" ref="AK67">_xll.DBRW($C$31,$S$67,$S$68,$F66,$H66,$E66,$B66,$C66,$D66,AK$45,$G66,AK$46,$C$40)</f>
        <v>0</v>
      </c>
      <c r="AL67" s="14" cm="1">
        <f t="array" ref="AL67">_xll.DBRW($C$31,$S$67,$S$68,$F66,$H66,$E66,$B66,$C66,$D66,AL$45,$G66,AL$46,$C$40)</f>
        <v>461233</v>
      </c>
    </row>
    <row r="68" spans="1:41" x14ac:dyDescent="0.25">
      <c r="B68" t="str">
        <f t="shared" si="3"/>
        <v>Administered programmes</v>
      </c>
      <c r="C68" t="s">
        <v>3</v>
      </c>
      <c r="D68" s="5" t="s">
        <v>82</v>
      </c>
      <c r="E68" t="s">
        <v>4</v>
      </c>
      <c r="F68" t="s">
        <v>5</v>
      </c>
      <c r="G68" t="s">
        <v>6</v>
      </c>
      <c r="H68" t="s">
        <v>7</v>
      </c>
      <c r="R68" s="20" t="s">
        <v>76</v>
      </c>
      <c r="S68" s="27" t="str">
        <f>_xll.SUBNM(db_name&amp;":scenario","sys_Budget Round","current")</f>
        <v>current</v>
      </c>
      <c r="X68" s="20" t="s">
        <v>84</v>
      </c>
      <c r="Y68" s="14" cm="1">
        <f t="array" ref="Y68">_xll.DBRW($C$31,$S$67,$S$68,$F67,$H67,$E67,$B67,$C67,$D67,Y$45,$G67,Y$46,$C$40)</f>
        <v>2738663</v>
      </c>
      <c r="Z68" s="14" cm="1">
        <f t="array" ref="Z68">_xll.DBRW($C$31,$S$67,$S$68,$F67,$H67,$E67,$B67,$C67,$D67,Z$45,$G67,Z$46,$C$40)</f>
        <v>0</v>
      </c>
      <c r="AA68" s="14" cm="1">
        <f t="array" ref="AA68">_xll.DBRW($C$31,$S$67,$S$68,$F67,$H67,$E67,$B67,$C67,$D67,AA$45,$G67,AA$46,$C$40)</f>
        <v>0</v>
      </c>
      <c r="AB68" s="14" cm="1">
        <f t="array" ref="AB68">_xll.DBRW($C$31,$S$67,$S$68,$F67,$H67,$E67,$B67,$C67,$D67,AB$45,$G67,AB$46,$C$40)</f>
        <v>0</v>
      </c>
      <c r="AC68" s="14" cm="1">
        <f t="array" ref="AC68">_xll.DBRW($C$31,$S$67,$S$68,$F67,$H67,$E67,$B67,$C67,$D67,AC$45,$G67,AC$46,$C$40)</f>
        <v>0</v>
      </c>
      <c r="AD68" s="14" cm="1">
        <f t="array" ref="AD68">_xll.DBRW($C$31,$S$67,$S$68,$F67,$H67,$E67,$B67,$C67,$D67,AD$45,$G67,AD$46,$C$40)</f>
        <v>0</v>
      </c>
      <c r="AE68" s="14" cm="1">
        <f t="array" ref="AE68">_xll.DBRW($C$31,$S$67,$S$68,$F67,$H67,$E67,$B67,$C67,$D67,AE$45,$G67,AE$46,$C$40)</f>
        <v>0</v>
      </c>
      <c r="AF68" s="14" cm="1">
        <f t="array" ref="AF68">_xll.DBRW($C$31,$S$67,$S$68,$F67,$H67,$E67,$B67,$C67,$D67,AF$45,$G67,AF$46,$C$40)</f>
        <v>0</v>
      </c>
      <c r="AG68" s="14" cm="1">
        <f t="array" ref="AG68">_xll.DBRW($C$31,$S$67,$S$68,$F67,$H67,$E67,$B67,$C67,$D67,AG$45,$G67,AG$46,$C$40)</f>
        <v>0</v>
      </c>
      <c r="AH68" s="14" cm="1">
        <f t="array" ref="AH68">_xll.DBRW($C$31,$S$67,$S$68,$F67,$H67,$E67,$B67,$C67,$D67,AH$45,$G67,AH$46,$C$40)</f>
        <v>0</v>
      </c>
      <c r="AI68" s="14" cm="1">
        <f t="array" ref="AI68">_xll.DBRW($C$31,$S$67,$S$68,$F67,$H67,$E67,$B67,$C67,$D67,AI$45,$G67,AI$46,$C$40)</f>
        <v>0</v>
      </c>
      <c r="AJ68" s="14" cm="1">
        <f t="array" ref="AJ68">_xll.DBRW($C$31,$S$67,$S$68,$F67,$H67,$E67,$B67,$C67,$D67,AJ$45,$G67,AJ$46,$C$40)</f>
        <v>0</v>
      </c>
      <c r="AK68" s="14" cm="1">
        <f t="array" ref="AK68">_xll.DBRW($C$31,$S$67,$S$68,$F67,$H67,$E67,$B67,$C67,$D67,AK$45,$G67,AK$46,$C$40)</f>
        <v>0</v>
      </c>
      <c r="AL68" s="14" cm="1">
        <f t="array" ref="AL68">_xll.DBRW($C$31,$S$67,$S$68,$F67,$H67,$E67,$B67,$C67,$D67,AL$45,$G67,AL$46,$C$40)</f>
        <v>2738663</v>
      </c>
    </row>
    <row r="69" spans="1:41" x14ac:dyDescent="0.25">
      <c r="B69" t="str">
        <f t="shared" si="3"/>
        <v>Administered programmes</v>
      </c>
      <c r="C69" t="s">
        <v>3</v>
      </c>
      <c r="D69" s="5" t="s">
        <v>80</v>
      </c>
      <c r="E69" t="s">
        <v>4</v>
      </c>
      <c r="F69" t="s">
        <v>5</v>
      </c>
      <c r="G69" t="s">
        <v>6</v>
      </c>
      <c r="H69" t="s">
        <v>7</v>
      </c>
      <c r="R69" s="20" t="s">
        <v>121</v>
      </c>
      <c r="S69" s="27" t="str">
        <f t="array" ref="S69">_xll.SUBNM(db_name&amp;":programme","sys_ME programs","Administered programmes","code and description")</f>
        <v>Administered programmes</v>
      </c>
      <c r="T69" s="20" t="s">
        <v>140</v>
      </c>
      <c r="U69" s="27" t="str">
        <f>_xll.SUBNM(db_name&amp;":sys_report display","","Expand")</f>
        <v>Expand</v>
      </c>
      <c r="X69" s="20" t="s">
        <v>87</v>
      </c>
      <c r="Y69" s="14" cm="1">
        <f t="array" ref="Y69">_xll.DBRW($C$31,$S$67,$S$68,$F68,$H68,$E68,$B68,$C68,$D68,Y$45,$G68,Y$46,$C$40)</f>
        <v>56461765</v>
      </c>
      <c r="Z69" s="14" cm="1">
        <f t="array" ref="Z69">_xll.DBRW($C$31,$S$67,$S$68,$F68,$H68,$E68,$B68,$C68,$D68,Z$45,$G68,Z$46,$C$40)</f>
        <v>50237118</v>
      </c>
      <c r="AA69" s="14" cm="1">
        <f t="array" ref="AA69">_xll.DBRW($C$31,$S$67,$S$68,$F68,$H68,$E68,$B68,$C68,$D68,AA$45,$G68,AA$46,$C$40)</f>
        <v>0</v>
      </c>
      <c r="AB69" s="14" cm="1">
        <f t="array" ref="AB69">_xll.DBRW($C$31,$S$67,$S$68,$F68,$H68,$E68,$B68,$C68,$D68,AB$45,$G68,AB$46,$C$40)</f>
        <v>0</v>
      </c>
      <c r="AC69" s="14" cm="1">
        <f t="array" ref="AC69">_xll.DBRW($C$31,$S$67,$S$68,$F68,$H68,$E68,$B68,$C68,$D68,AC$45,$G68,AC$46,$C$40)</f>
        <v>0</v>
      </c>
      <c r="AD69" s="14" cm="1">
        <f t="array" ref="AD69">_xll.DBRW($C$31,$S$67,$S$68,$F68,$H68,$E68,$B68,$C68,$D68,AD$45,$G68,AD$46,$C$40)</f>
        <v>0</v>
      </c>
      <c r="AE69" s="14" cm="1">
        <f t="array" ref="AE69">_xll.DBRW($C$31,$S$67,$S$68,$F68,$H68,$E68,$B68,$C68,$D68,AE$45,$G68,AE$46,$C$40)</f>
        <v>0</v>
      </c>
      <c r="AF69" s="14" cm="1">
        <f t="array" ref="AF69">_xll.DBRW($C$31,$S$67,$S$68,$F68,$H68,$E68,$B68,$C68,$D68,AF$45,$G68,AF$46,$C$40)</f>
        <v>0</v>
      </c>
      <c r="AG69" s="14" cm="1">
        <f t="array" ref="AG69">_xll.DBRW($C$31,$S$67,$S$68,$F68,$H68,$E68,$B68,$C68,$D68,AG$45,$G68,AG$46,$C$40)</f>
        <v>0</v>
      </c>
      <c r="AH69" s="14" cm="1">
        <f t="array" ref="AH69">_xll.DBRW($C$31,$S$67,$S$68,$F68,$H68,$E68,$B68,$C68,$D68,AH$45,$G68,AH$46,$C$40)</f>
        <v>0</v>
      </c>
      <c r="AI69" s="14" cm="1">
        <f t="array" ref="AI69">_xll.DBRW($C$31,$S$67,$S$68,$F68,$H68,$E68,$B68,$C68,$D68,AI$45,$G68,AI$46,$C$40)</f>
        <v>0</v>
      </c>
      <c r="AJ69" s="14" cm="1">
        <f t="array" ref="AJ69">_xll.DBRW($C$31,$S$67,$S$68,$F68,$H68,$E68,$B68,$C68,$D68,AJ$45,$G68,AJ$46,$C$40)</f>
        <v>0</v>
      </c>
      <c r="AK69" s="14" cm="1">
        <f t="array" ref="AK69">_xll.DBRW($C$31,$S$67,$S$68,$F68,$H68,$E68,$B68,$C68,$D68,AK$45,$G68,AK$46,$C$40)</f>
        <v>0</v>
      </c>
      <c r="AL69" s="14" cm="1">
        <f t="array" ref="AL69">_xll.DBRW($C$31,$S$67,$S$68,$F68,$H68,$E68,$B68,$C68,$D68,AL$45,$G68,AL$46,$C$40)</f>
        <v>6224647</v>
      </c>
    </row>
    <row r="70" spans="1:41" x14ac:dyDescent="0.25">
      <c r="B70" t="str">
        <f t="shared" si="3"/>
        <v>Administered programmes</v>
      </c>
      <c r="C70" t="s">
        <v>3</v>
      </c>
      <c r="D70" s="5" t="s">
        <v>81</v>
      </c>
      <c r="E70" t="s">
        <v>4</v>
      </c>
      <c r="F70" t="s">
        <v>5</v>
      </c>
      <c r="G70" t="s">
        <v>6</v>
      </c>
      <c r="H70" t="s">
        <v>7</v>
      </c>
      <c r="X70" s="20" t="s">
        <v>85</v>
      </c>
      <c r="Y70" s="14" cm="1">
        <f t="array" ref="Y70">_xll.DBRW($C$31,$S$67,$S$68,$F69,$H69,$E69,$B69,$C69,$D69,Y$45,$G69,Y$46,$C$40)</f>
        <v>212475</v>
      </c>
      <c r="Z70" s="14" cm="1">
        <f t="array" ref="Z70">_xll.DBRW($C$31,$S$67,$S$68,$F69,$H69,$E69,$B69,$C69,$D69,Z$45,$G69,Z$46,$C$40)</f>
        <v>288741</v>
      </c>
      <c r="AA70" s="14" cm="1">
        <f t="array" ref="AA70">_xll.DBRW($C$31,$S$67,$S$68,$F69,$H69,$E69,$B69,$C69,$D69,AA$45,$G69,AA$46,$C$40)</f>
        <v>0</v>
      </c>
      <c r="AB70" s="14" cm="1">
        <f t="array" ref="AB70">_xll.DBRW($C$31,$S$67,$S$68,$F69,$H69,$E69,$B69,$C69,$D69,AB$45,$G69,AB$46,$C$40)</f>
        <v>0</v>
      </c>
      <c r="AC70" s="14" cm="1">
        <f t="array" ref="AC70">_xll.DBRW($C$31,$S$67,$S$68,$F69,$H69,$E69,$B69,$C69,$D69,AC$45,$G69,AC$46,$C$40)</f>
        <v>0</v>
      </c>
      <c r="AD70" s="14" cm="1">
        <f t="array" ref="AD70">_xll.DBRW($C$31,$S$67,$S$68,$F69,$H69,$E69,$B69,$C69,$D69,AD$45,$G69,AD$46,$C$40)</f>
        <v>0</v>
      </c>
      <c r="AE70" s="14" cm="1">
        <f t="array" ref="AE70">_xll.DBRW($C$31,$S$67,$S$68,$F69,$H69,$E69,$B69,$C69,$D69,AE$45,$G69,AE$46,$C$40)</f>
        <v>0</v>
      </c>
      <c r="AF70" s="14" cm="1">
        <f t="array" ref="AF70">_xll.DBRW($C$31,$S$67,$S$68,$F69,$H69,$E69,$B69,$C69,$D69,AF$45,$G69,AF$46,$C$40)</f>
        <v>0</v>
      </c>
      <c r="AG70" s="14" cm="1">
        <f t="array" ref="AG70">_xll.DBRW($C$31,$S$67,$S$68,$F69,$H69,$E69,$B69,$C69,$D69,AG$45,$G69,AG$46,$C$40)</f>
        <v>0</v>
      </c>
      <c r="AH70" s="14" cm="1">
        <f t="array" ref="AH70">_xll.DBRW($C$31,$S$67,$S$68,$F69,$H69,$E69,$B69,$C69,$D69,AH$45,$G69,AH$46,$C$40)</f>
        <v>0</v>
      </c>
      <c r="AI70" s="14" cm="1">
        <f t="array" ref="AI70">_xll.DBRW($C$31,$S$67,$S$68,$F69,$H69,$E69,$B69,$C69,$D69,AI$45,$G69,AI$46,$C$40)</f>
        <v>0</v>
      </c>
      <c r="AJ70" s="14" cm="1">
        <f t="array" ref="AJ70">_xll.DBRW($C$31,$S$67,$S$68,$F69,$H69,$E69,$B69,$C69,$D69,AJ$45,$G69,AJ$46,$C$40)</f>
        <v>0</v>
      </c>
      <c r="AK70" s="14" cm="1">
        <f t="array" ref="AK70">_xll.DBRW($C$31,$S$67,$S$68,$F69,$H69,$E69,$B69,$C69,$D69,AK$45,$G69,AK$46,$C$40)</f>
        <v>0</v>
      </c>
      <c r="AL70" s="14" cm="1">
        <f t="array" ref="AL70">_xll.DBRW($C$31,$S$67,$S$68,$F69,$H69,$E69,$B69,$C69,$D69,AL$45,$G69,AL$46,$C$40)</f>
        <v>-76266</v>
      </c>
    </row>
    <row r="71" spans="1:41" x14ac:dyDescent="0.25">
      <c r="B71" t="str">
        <f t="shared" si="3"/>
        <v>Administered programmes</v>
      </c>
      <c r="C71" t="s">
        <v>3</v>
      </c>
      <c r="D71" s="5" t="s">
        <v>88</v>
      </c>
      <c r="E71" t="s">
        <v>4</v>
      </c>
      <c r="F71" t="s">
        <v>5</v>
      </c>
      <c r="G71" t="s">
        <v>6</v>
      </c>
      <c r="H71" t="s">
        <v>7</v>
      </c>
      <c r="R71" s="20" t="s">
        <v>125</v>
      </c>
      <c r="S71" s="36" t="str">
        <f>_xll.DBRW($C$31,$S$67,$S$68,"-","-","-",$S$69,"-","account template","00001","-","P0","reviewed by")</f>
        <v/>
      </c>
      <c r="X71" s="20" t="s">
        <v>86</v>
      </c>
      <c r="Y71" s="14" cm="1">
        <f t="array" ref="Y71">_xll.DBRW($C$31,$S$67,$S$68,$F70,$H70,$E70,$B70,$C70,$D70,Y$45,$G70,Y$46,$C$40)</f>
        <v>56249290</v>
      </c>
      <c r="Z71" s="14" cm="1">
        <f t="array" ref="Z71">_xll.DBRW($C$31,$S$67,$S$68,$F70,$H70,$E70,$B70,$C70,$D70,Z$45,$G70,Z$46,$C$40)</f>
        <v>49948377</v>
      </c>
      <c r="AA71" s="14" cm="1">
        <f t="array" ref="AA71">_xll.DBRW($C$31,$S$67,$S$68,$F70,$H70,$E70,$B70,$C70,$D70,AA$45,$G70,AA$46,$C$40)</f>
        <v>0</v>
      </c>
      <c r="AB71" s="14" cm="1">
        <f t="array" ref="AB71">_xll.DBRW($C$31,$S$67,$S$68,$F70,$H70,$E70,$B70,$C70,$D70,AB$45,$G70,AB$46,$C$40)</f>
        <v>0</v>
      </c>
      <c r="AC71" s="14" cm="1">
        <f t="array" ref="AC71">_xll.DBRW($C$31,$S$67,$S$68,$F70,$H70,$E70,$B70,$C70,$D70,AC$45,$G70,AC$46,$C$40)</f>
        <v>0</v>
      </c>
      <c r="AD71" s="14" cm="1">
        <f t="array" ref="AD71">_xll.DBRW($C$31,$S$67,$S$68,$F70,$H70,$E70,$B70,$C70,$D70,AD$45,$G70,AD$46,$C$40)</f>
        <v>0</v>
      </c>
      <c r="AE71" s="14" cm="1">
        <f t="array" ref="AE71">_xll.DBRW($C$31,$S$67,$S$68,$F70,$H70,$E70,$B70,$C70,$D70,AE$45,$G70,AE$46,$C$40)</f>
        <v>0</v>
      </c>
      <c r="AF71" s="14" cm="1">
        <f t="array" ref="AF71">_xll.DBRW($C$31,$S$67,$S$68,$F70,$H70,$E70,$B70,$C70,$D70,AF$45,$G70,AF$46,$C$40)</f>
        <v>0</v>
      </c>
      <c r="AG71" s="14" cm="1">
        <f t="array" ref="AG71">_xll.DBRW($C$31,$S$67,$S$68,$F70,$H70,$E70,$B70,$C70,$D70,AG$45,$G70,AG$46,$C$40)</f>
        <v>0</v>
      </c>
      <c r="AH71" s="14" cm="1">
        <f t="array" ref="AH71">_xll.DBRW($C$31,$S$67,$S$68,$F70,$H70,$E70,$B70,$C70,$D70,AH$45,$G70,AH$46,$C$40)</f>
        <v>0</v>
      </c>
      <c r="AI71" s="14" cm="1">
        <f t="array" ref="AI71">_xll.DBRW($C$31,$S$67,$S$68,$F70,$H70,$E70,$B70,$C70,$D70,AI$45,$G70,AI$46,$C$40)</f>
        <v>0</v>
      </c>
      <c r="AJ71" s="14" cm="1">
        <f t="array" ref="AJ71">_xll.DBRW($C$31,$S$67,$S$68,$F70,$H70,$E70,$B70,$C70,$D70,AJ$45,$G70,AJ$46,$C$40)</f>
        <v>0</v>
      </c>
      <c r="AK71" s="14" cm="1">
        <f t="array" ref="AK71">_xll.DBRW($C$31,$S$67,$S$68,$F70,$H70,$E70,$B70,$C70,$D70,AK$45,$G70,AK$46,$C$40)</f>
        <v>0</v>
      </c>
      <c r="AL71" s="14" cm="1">
        <f t="array" ref="AL71">_xll.DBRW($C$31,$S$67,$S$68,$F70,$H70,$E70,$B70,$C70,$D70,AL$45,$G70,AL$46,$C$40)</f>
        <v>6300913</v>
      </c>
    </row>
    <row r="72" spans="1:41" x14ac:dyDescent="0.25">
      <c r="R72" s="20" t="s">
        <v>126</v>
      </c>
      <c r="S72" s="36" t="str">
        <f>_xll.DBRW($C$31,$S$67,$S$68,"-","-","-",$S$69,"-","account template","00001","-","P0","reviewed date")</f>
        <v/>
      </c>
      <c r="X72" s="20" t="s">
        <v>89</v>
      </c>
      <c r="Y72" s="14" cm="1">
        <f t="array" ref="Y72">_xll.DBRW($C$31,$S$67,$S$68,$F71,$H71,$E71,$B71,$C71,$D71,Y$45,$G71,Y$46,$C$40)</f>
        <v>0</v>
      </c>
      <c r="Z72" s="14" cm="1">
        <f t="array" ref="Z72">_xll.DBRW($C$31,$S$67,$S$68,$F71,$H71,$E71,$B71,$C71,$D71,Z$45,$G71,Z$46,$C$40)</f>
        <v>0</v>
      </c>
      <c r="AA72" s="14" cm="1">
        <f t="array" ref="AA72">_xll.DBRW($C$31,$S$67,$S$68,$F71,$H71,$E71,$B71,$C71,$D71,AA$45,$G71,AA$46,$C$40)</f>
        <v>0</v>
      </c>
      <c r="AB72" s="14" cm="1">
        <f t="array" ref="AB72">_xll.DBRW($C$31,$S$67,$S$68,$F71,$H71,$E71,$B71,$C71,$D71,AB$45,$G71,AB$46,$C$40)</f>
        <v>0</v>
      </c>
      <c r="AC72" s="14" cm="1">
        <f t="array" ref="AC72">_xll.DBRW($C$31,$S$67,$S$68,$F71,$H71,$E71,$B71,$C71,$D71,AC$45,$G71,AC$46,$C$40)</f>
        <v>0</v>
      </c>
      <c r="AD72" s="14" cm="1">
        <f t="array" ref="AD72">_xll.DBRW($C$31,$S$67,$S$68,$F71,$H71,$E71,$B71,$C71,$D71,AD$45,$G71,AD$46,$C$40)</f>
        <v>0</v>
      </c>
      <c r="AE72" s="14" cm="1">
        <f t="array" ref="AE72">_xll.DBRW($C$31,$S$67,$S$68,$F71,$H71,$E71,$B71,$C71,$D71,AE$45,$G71,AE$46,$C$40)</f>
        <v>0</v>
      </c>
      <c r="AF72" s="14" cm="1">
        <f t="array" ref="AF72">_xll.DBRW($C$31,$S$67,$S$68,$F71,$H71,$E71,$B71,$C71,$D71,AF$45,$G71,AF$46,$C$40)</f>
        <v>0</v>
      </c>
      <c r="AG72" s="14" cm="1">
        <f t="array" ref="AG72">_xll.DBRW($C$31,$S$67,$S$68,$F71,$H71,$E71,$B71,$C71,$D71,AG$45,$G71,AG$46,$C$40)</f>
        <v>0</v>
      </c>
      <c r="AH72" s="14" cm="1">
        <f t="array" ref="AH72">_xll.DBRW($C$31,$S$67,$S$68,$F71,$H71,$E71,$B71,$C71,$D71,AH$45,$G71,AH$46,$C$40)</f>
        <v>0</v>
      </c>
      <c r="AI72" s="14" cm="1">
        <f t="array" ref="AI72">_xll.DBRW($C$31,$S$67,$S$68,$F71,$H71,$E71,$B71,$C71,$D71,AI$45,$G71,AI$46,$C$40)</f>
        <v>0</v>
      </c>
      <c r="AJ72" s="14" cm="1">
        <f t="array" ref="AJ72">_xll.DBRW($C$31,$S$67,$S$68,$F71,$H71,$E71,$B71,$C71,$D71,AJ$45,$G71,AJ$46,$C$40)</f>
        <v>0</v>
      </c>
      <c r="AK72" s="14" cm="1">
        <f t="array" ref="AK72">_xll.DBRW($C$31,$S$67,$S$68,$F71,$H71,$E71,$B71,$C71,$D71,AK$45,$G71,AK$46,$C$40)</f>
        <v>0</v>
      </c>
      <c r="AL72" s="14" cm="1">
        <f t="array" ref="AL72">_xll.DBRW($C$31,$S$67,$S$68,$F71,$H71,$E71,$B71,$C71,$D71,AL$45,$G71,AL$46,$C$40)</f>
        <v>0</v>
      </c>
    </row>
    <row r="73" spans="1:41" ht="5.0999999999999996" customHeight="1" x14ac:dyDescent="0.25"/>
    <row r="74" spans="1:41" ht="15.75" x14ac:dyDescent="0.25">
      <c r="R74" s="4" t="s">
        <v>46</v>
      </c>
    </row>
    <row r="75" spans="1:41" ht="30" x14ac:dyDescent="0.25">
      <c r="I75" t="s">
        <v>44</v>
      </c>
      <c r="J75" t="s">
        <v>122</v>
      </c>
      <c r="K75" t="s">
        <v>127</v>
      </c>
      <c r="L75" t="s">
        <v>13</v>
      </c>
      <c r="M75" t="s">
        <v>131</v>
      </c>
      <c r="N75" t="s">
        <v>133</v>
      </c>
      <c r="O75" t="s">
        <v>132</v>
      </c>
      <c r="P75" t="s">
        <v>134</v>
      </c>
      <c r="R75" s="3" t="s">
        <v>120</v>
      </c>
      <c r="S75" s="3" t="s">
        <v>12</v>
      </c>
      <c r="T75" s="6" t="s">
        <v>13</v>
      </c>
      <c r="U75" s="3" t="s">
        <v>110</v>
      </c>
      <c r="V75" s="3" t="s">
        <v>72</v>
      </c>
      <c r="W75" s="3" t="s">
        <v>139</v>
      </c>
      <c r="X75" s="6" t="s">
        <v>116</v>
      </c>
      <c r="Y75" s="6" t="s">
        <v>67</v>
      </c>
      <c r="Z75" s="6" t="s">
        <v>49</v>
      </c>
      <c r="AA75" s="6" t="str">
        <f>AA$46</f>
        <v>Jul</v>
      </c>
      <c r="AB75" s="6" t="str">
        <f t="shared" ref="AB75:AM75" si="5">AB$46</f>
        <v>Aug</v>
      </c>
      <c r="AC75" s="6" t="str">
        <f t="shared" si="5"/>
        <v>Sep</v>
      </c>
      <c r="AD75" s="6" t="str">
        <f t="shared" si="5"/>
        <v>Oct</v>
      </c>
      <c r="AE75" s="6" t="str">
        <f t="shared" si="5"/>
        <v>Nov</v>
      </c>
      <c r="AF75" s="6" t="str">
        <f t="shared" si="5"/>
        <v>Dec</v>
      </c>
      <c r="AG75" s="6" t="str">
        <f t="shared" si="5"/>
        <v>Jan</v>
      </c>
      <c r="AH75" s="6" t="str">
        <f t="shared" si="5"/>
        <v>Feb</v>
      </c>
      <c r="AI75" s="6" t="str">
        <f t="shared" si="5"/>
        <v>Mar</v>
      </c>
      <c r="AJ75" s="6" t="str">
        <f t="shared" si="5"/>
        <v>Apr</v>
      </c>
      <c r="AK75" s="6" t="str">
        <f t="shared" si="5"/>
        <v>May</v>
      </c>
      <c r="AL75" s="6" t="str">
        <f t="shared" si="5"/>
        <v>Jun</v>
      </c>
      <c r="AM75" s="6" t="str">
        <f t="shared" si="5"/>
        <v>Jun YTD</v>
      </c>
      <c r="AN75" s="6" t="s">
        <v>71</v>
      </c>
    </row>
    <row r="76" spans="1:41" x14ac:dyDescent="0.25">
      <c r="A76" t="str" cm="1">
        <f t="array" ref="A76">IF(_xll.TM1RPTELISCONSOLIDATED($H$76,$H76),IF(_xll.TM1RPTELLEV($H$76,$H76)&lt;=3,_xll.TM1RPTELLEV($H$76,$H76),"D"),IF($I76=$I75,"N0","N"))</f>
        <v>N</v>
      </c>
      <c r="B76" s="40" t="str">
        <f t="array" ref="B76">_xll.TM1RPTROW($C$29,db_name&amp;":programme","","","code and description",0,$C$32)</f>
        <v>1069.01.01 - Energy Efficiency Programs</v>
      </c>
      <c r="C76" s="41" t="str">
        <f>_xll.TM1RPTROW($C$29,db_name&amp;":appropriation item","","","code and description",0,$C$33)</f>
        <v>-</v>
      </c>
      <c r="D76" s="41" t="str" cm="1">
        <f t="array" ref="D76">_xll.TM1RPTROW($C$29,db_name&amp;":account","","","code and description",0,$C$34)</f>
        <v>1220012 - Other fees from regulatory services</v>
      </c>
      <c r="E76" s="41" t="str" cm="1">
        <f t="array" ref="E76">_xll.TM1RPTROW($C$29,db_name&amp;":movement account","","","code and description",0,$C$36)</f>
        <v>No_Mvt</v>
      </c>
      <c r="F76" s="41" t="str" cm="1">
        <f t="array" ref="F76">_xll.TM1RPTROW($C$29,db_name&amp;":related entity","","","code and description",0,$C$37)</f>
        <v>No_interagency</v>
      </c>
      <c r="G76" s="41" t="str" cm="1">
        <f t="array" ref="G76">_xll.TM1RPTROW($C$29,db_name&amp;":jurisdiction","","","",0,$C$38)</f>
        <v>-</v>
      </c>
      <c r="H76" s="19" t="str" cm="1">
        <f t="array" ref="H76">_xll.TM1RPTROW($C$29,db_name&amp;":spp","","","",0,$C$39)</f>
        <v>-</v>
      </c>
      <c r="I76" s="18" t="str">
        <f t="array" ref="I76">_xll.ELPAR(db_name&amp;":programme",$B76,1)</f>
        <v>1069.01</v>
      </c>
      <c r="J76" s="14">
        <f>_xll.DBRW($C$31,$S$67,$S$68,$F76,$H76,$E76,$B76,$C76,$D76,AM$45,$G76,J$75,$C$40)</f>
        <v>0</v>
      </c>
      <c r="K76" s="37">
        <f>MOD(SUM(AA76:AL76),1)</f>
        <v>0</v>
      </c>
      <c r="L76" s="37" t="str">
        <f>_xll.DBR($F$22,$D76,"assumed related entity")</f>
        <v/>
      </c>
      <c r="M76" s="37" t="str">
        <f>_xll.DBR($F$22,$D76,"appropriation type required")</f>
        <v/>
      </c>
      <c r="N76" t="str">
        <f>IF(AND($Y76=0,$J76&lt;&gt;0),"WARNING - Profiles entered with NO Annual Budget","")</f>
        <v/>
      </c>
      <c r="O76" t="str">
        <f t="shared" ref="O76" si="6">IF($L76&lt;&gt;"",IF(LEFT($F76,5)=$L76,"","WARNING - Assumed Related Entity Does Not Match"),"")</f>
        <v/>
      </c>
      <c r="P76" t="str">
        <f t="shared" ref="P76" si="7">IF(AND($N76&lt;&gt;"",$O76=""),$N76,IF(AND($N76="",$O76&lt;&gt;""),$O76,IF(AND($N76&lt;&gt;"",$O76&lt;&gt;""),"WARNING - Profiles entered with NO Annual Budget and Assumed Related Entity is incorrect","")))</f>
        <v/>
      </c>
      <c r="R76" s="16" t="str">
        <f>$B76</f>
        <v>1069.01.01 - Energy Efficiency Programs</v>
      </c>
      <c r="S76" s="16" t="str">
        <f>$D76</f>
        <v>1220012 - Other fees from regulatory services</v>
      </c>
      <c r="T76" s="16" t="str">
        <f>$F76</f>
        <v>No_interagency</v>
      </c>
      <c r="U76" s="18" t="str">
        <f>$G76</f>
        <v>-</v>
      </c>
      <c r="V76" s="18" t="str">
        <f>$H76</f>
        <v>-</v>
      </c>
      <c r="W76" s="19" t="str">
        <f>$C76</f>
        <v>-</v>
      </c>
      <c r="X76" s="18" t="str" cm="1">
        <f t="array" ref="X76">_xll.DBRW($C$31,$S$67,$S$68,$F76,$H76,$E76,$B76,$C76,$D76,AM$45,$G76,X$46,$X$45)</f>
        <v/>
      </c>
      <c r="Y76" s="14" cm="1">
        <f t="array" ref="Y76">_xll.DBRW($C$29,$S$67,$S$68,$F76,$H76,$E76,$B76,$C76,$D76,Y$45,$G76,Y$46,$C$40)</f>
        <v>70</v>
      </c>
      <c r="Z76" s="15" cm="1">
        <f t="array" ref="Z76">_xll.DBRW($C$29,$S$67,$S$68,$F76,$H76,$E76,$B76,$C76,$D76,Z$45,$G76,Z$46,$C$40)</f>
        <v>0</v>
      </c>
      <c r="AA76" s="25" cm="1">
        <f t="array" ref="AA76">_xll.DBRW($C$29,$S$67,$S$68,$F76,$H76,$E76,$B76,$C76,$D76,AA$45,$G76,AA$46,$C$40)</f>
        <v>0</v>
      </c>
      <c r="AB76" s="25" cm="1">
        <f t="array" ref="AB76">_xll.DBRW($C$29,$S$67,$S$68,$F76,$H76,$E76,$B76,$C76,$D76,AB$45,$G76,AB$46,$C$40)</f>
        <v>0</v>
      </c>
      <c r="AC76" s="25" cm="1">
        <f t="array" ref="AC76">_xll.DBRW($C$29,$S$67,$S$68,$F76,$H76,$E76,$B76,$C76,$D76,AC$45,$G76,AC$46,$C$40)</f>
        <v>0</v>
      </c>
      <c r="AD76" s="25" cm="1">
        <f t="array" ref="AD76">_xll.DBRW($C$29,$S$67,$S$68,$F76,$H76,$E76,$B76,$C76,$D76,AD$45,$G76,AD$46,$C$40)</f>
        <v>0</v>
      </c>
      <c r="AE76" s="25" cm="1">
        <f t="array" ref="AE76">_xll.DBRW($C$29,$S$67,$S$68,$F76,$H76,$E76,$B76,$C76,$D76,AE$45,$G76,AE$46,$C$40)</f>
        <v>0</v>
      </c>
      <c r="AF76" s="25" cm="1">
        <f t="array" ref="AF76">_xll.DBRW($C$29,$S$67,$S$68,$F76,$H76,$E76,$B76,$C76,$D76,AF$45,$G76,AF$46,$C$40)</f>
        <v>0</v>
      </c>
      <c r="AG76" s="25" cm="1">
        <f t="array" ref="AG76">_xll.DBRW($C$29,$S$67,$S$68,$F76,$H76,$E76,$B76,$C76,$D76,AG$45,$G76,AG$46,$C$40)</f>
        <v>0</v>
      </c>
      <c r="AH76" s="25" cm="1">
        <f t="array" ref="AH76">_xll.DBRW($C$29,$S$67,$S$68,$F76,$H76,$E76,$B76,$C76,$D76,AH$45,$G76,AH$46,$C$40)</f>
        <v>0</v>
      </c>
      <c r="AI76" s="25" cm="1">
        <f t="array" ref="AI76">_xll.DBRW($C$29,$S$67,$S$68,$F76,$H76,$E76,$B76,$C76,$D76,AI$45,$G76,AI$46,$C$40)</f>
        <v>0</v>
      </c>
      <c r="AJ76" s="25" cm="1">
        <f t="array" ref="AJ76">_xll.DBRW($C$29,$S$67,$S$68,$F76,$H76,$E76,$B76,$C76,$D76,AJ$45,$G76,AJ$46,$C$40)</f>
        <v>0</v>
      </c>
      <c r="AK76" s="25" cm="1">
        <f t="array" ref="AK76">_xll.DBRW($C$29,$S$67,$S$68,$F76,$H76,$E76,$B76,$C76,$D76,AK$45,$G76,AK$46,$C$40)</f>
        <v>0</v>
      </c>
      <c r="AL76" s="25" cm="1">
        <f t="array" ref="AL76">_xll.DBRW($C$29,$S$67,$S$68,$F76,$H76,$E76,$B76,$C76,$D76,AL$45,$G76,AL$46,$C$40)</f>
        <v>70</v>
      </c>
      <c r="AM76" s="14" cm="1">
        <f t="array" ref="AM76">_xll.DBRW($C$31,$S$67,$S$68,$F76,$H76,$E76,$B76,$C76,$D76,AM$45,$G76,AM$46,$C$40)</f>
        <v>70</v>
      </c>
      <c r="AN76" s="14">
        <f>Y76-AM76</f>
        <v>0</v>
      </c>
      <c r="AO76" t="str">
        <f>$P76</f>
        <v/>
      </c>
    </row>
    <row r="77" spans="1:41" ht="5.0999999999999996" customHeight="1" x14ac:dyDescent="0.25"/>
    <row r="78" spans="1:41" x14ac:dyDescent="0.25">
      <c r="B78" t="str">
        <f>$S$69</f>
        <v>Administered programmes</v>
      </c>
      <c r="C78" t="s">
        <v>3</v>
      </c>
      <c r="D78" s="5" t="s">
        <v>73</v>
      </c>
      <c r="E78" t="s">
        <v>4</v>
      </c>
      <c r="F78" t="s">
        <v>5</v>
      </c>
      <c r="G78" t="s">
        <v>6</v>
      </c>
      <c r="H78" t="s">
        <v>7</v>
      </c>
      <c r="X78" s="20" t="str">
        <f>"Total " &amp; $S$69 &amp; " Revenue :"</f>
        <v>Total Administered programmes Revenue :</v>
      </c>
      <c r="Y78" s="14" cm="1">
        <f t="array" ref="Y78">_xll.DBRW($C$31,$S$67,$S$68,$F78,$H78,$E78,$B78,$C78,$D78,Y$45,$G78,Y$46,$C$40)</f>
        <v>461233</v>
      </c>
      <c r="Z78" s="14" cm="1">
        <f t="array" ref="Z78">_xll.DBRW($C$31,$S$67,$S$68,$F78,$H78,$E78,$B78,$C78,$D78,Z$45,$G78,Z$46,$C$40)</f>
        <v>0</v>
      </c>
      <c r="AA78" s="14" cm="1">
        <f t="array" ref="AA78">_xll.DBRW($C$31,$S$67,$S$68,$F78,$H78,$E78,$B78,$C78,$D78,AA$45,$G78,AA$46,$C$40)</f>
        <v>0</v>
      </c>
      <c r="AB78" s="14" cm="1">
        <f t="array" ref="AB78">_xll.DBRW($C$31,$S$67,$S$68,$F78,$H78,$E78,$B78,$C78,$D78,AB$45,$G78,AB$46,$C$40)</f>
        <v>0</v>
      </c>
      <c r="AC78" s="14" cm="1">
        <f t="array" ref="AC78">_xll.DBRW($C$31,$S$67,$S$68,$F78,$H78,$E78,$B78,$C78,$D78,AC$45,$G78,AC$46,$C$40)</f>
        <v>0</v>
      </c>
      <c r="AD78" s="14" cm="1">
        <f t="array" ref="AD78">_xll.DBRW($C$31,$S$67,$S$68,$F78,$H78,$E78,$B78,$C78,$D78,AD$45,$G78,AD$46,$C$40)</f>
        <v>0</v>
      </c>
      <c r="AE78" s="14" cm="1">
        <f t="array" ref="AE78">_xll.DBRW($C$31,$S$67,$S$68,$F78,$H78,$E78,$B78,$C78,$D78,AE$45,$G78,AE$46,$C$40)</f>
        <v>0</v>
      </c>
      <c r="AF78" s="14" cm="1">
        <f t="array" ref="AF78">_xll.DBRW($C$31,$S$67,$S$68,$F78,$H78,$E78,$B78,$C78,$D78,AF$45,$G78,AF$46,$C$40)</f>
        <v>0</v>
      </c>
      <c r="AG78" s="14" cm="1">
        <f t="array" ref="AG78">_xll.DBRW($C$31,$S$67,$S$68,$F78,$H78,$E78,$B78,$C78,$D78,AG$45,$G78,AG$46,$C$40)</f>
        <v>0</v>
      </c>
      <c r="AH78" s="14" cm="1">
        <f t="array" ref="AH78">_xll.DBRW($C$31,$S$67,$S$68,$F78,$H78,$E78,$B78,$C78,$D78,AH$45,$G78,AH$46,$C$40)</f>
        <v>0</v>
      </c>
      <c r="AI78" s="14" cm="1">
        <f t="array" ref="AI78">_xll.DBRW($C$31,$S$67,$S$68,$F78,$H78,$E78,$B78,$C78,$D78,AI$45,$G78,AI$46,$C$40)</f>
        <v>0</v>
      </c>
      <c r="AJ78" s="14" cm="1">
        <f t="array" ref="AJ78">_xll.DBRW($C$31,$S$67,$S$68,$F78,$H78,$E78,$B78,$C78,$D78,AJ$45,$G78,AJ$46,$C$40)</f>
        <v>0</v>
      </c>
      <c r="AK78" s="14" cm="1">
        <f t="array" ref="AK78">_xll.DBRW($C$31,$S$67,$S$68,$F78,$H78,$E78,$B78,$C78,$D78,AK$45,$G78,AK$46,$C$40)</f>
        <v>0</v>
      </c>
      <c r="AL78" s="14" cm="1">
        <f t="array" ref="AL78">_xll.DBRW($C$31,$S$67,$S$68,$F78,$H78,$E78,$B78,$C78,$D78,AL$45,$G78,AL$46,$C$40)</f>
        <v>461233</v>
      </c>
      <c r="AM78" s="14" cm="1">
        <f t="array" ref="AM78">_xll.DBRW($C$31,$S$67,$S$68,$F78,$H78,$E78,$B78,$C78,$D78,AM$45,$G78,AM$46,$C$40)</f>
        <v>461233</v>
      </c>
      <c r="AN78" s="14" t="e" cm="1">
        <f t="array" ref="AN78">_xll.DBRW($C$31,$S$67,$S$68,$F78,$H78,$E78,$B78,$C78,$D78,AN$45,$G78,AN$46,$C$40)</f>
        <v>#VALUE!</v>
      </c>
    </row>
    <row r="79" spans="1:41" ht="5.0999999999999996" customHeight="1" x14ac:dyDescent="0.25"/>
    <row r="80" spans="1:41" ht="15.75" x14ac:dyDescent="0.25">
      <c r="R80" s="4" t="s">
        <v>47</v>
      </c>
    </row>
    <row r="81" spans="1:41" ht="30" x14ac:dyDescent="0.25">
      <c r="I81" t="s">
        <v>44</v>
      </c>
      <c r="K81" t="s">
        <v>127</v>
      </c>
      <c r="L81" t="s">
        <v>13</v>
      </c>
      <c r="M81" t="s">
        <v>131</v>
      </c>
      <c r="N81" t="s">
        <v>133</v>
      </c>
      <c r="O81" t="s">
        <v>132</v>
      </c>
      <c r="P81" t="s">
        <v>134</v>
      </c>
      <c r="R81" s="3" t="s">
        <v>120</v>
      </c>
      <c r="S81" s="3" t="s">
        <v>12</v>
      </c>
      <c r="T81" s="3" t="s">
        <v>13</v>
      </c>
      <c r="U81" s="3" t="s">
        <v>14</v>
      </c>
      <c r="V81" s="3" t="s">
        <v>15</v>
      </c>
      <c r="W81" s="3" t="s">
        <v>139</v>
      </c>
      <c r="X81" s="6" t="s">
        <v>116</v>
      </c>
      <c r="Y81" s="6" t="s">
        <v>67</v>
      </c>
      <c r="Z81" s="6" t="s">
        <v>49</v>
      </c>
      <c r="AA81" s="6" t="str">
        <f>AA$46</f>
        <v>Jul</v>
      </c>
      <c r="AB81" s="6" t="str">
        <f t="shared" ref="AB81:AM81" si="8">AB$46</f>
        <v>Aug</v>
      </c>
      <c r="AC81" s="6" t="str">
        <f t="shared" si="8"/>
        <v>Sep</v>
      </c>
      <c r="AD81" s="6" t="str">
        <f t="shared" si="8"/>
        <v>Oct</v>
      </c>
      <c r="AE81" s="6" t="str">
        <f t="shared" si="8"/>
        <v>Nov</v>
      </c>
      <c r="AF81" s="6" t="str">
        <f t="shared" si="8"/>
        <v>Dec</v>
      </c>
      <c r="AG81" s="6" t="str">
        <f t="shared" si="8"/>
        <v>Jan</v>
      </c>
      <c r="AH81" s="6" t="str">
        <f t="shared" si="8"/>
        <v>Feb</v>
      </c>
      <c r="AI81" s="6" t="str">
        <f t="shared" si="8"/>
        <v>Mar</v>
      </c>
      <c r="AJ81" s="6" t="str">
        <f t="shared" si="8"/>
        <v>Apr</v>
      </c>
      <c r="AK81" s="6" t="str">
        <f t="shared" si="8"/>
        <v>May</v>
      </c>
      <c r="AL81" s="6" t="str">
        <f t="shared" si="8"/>
        <v>Jun</v>
      </c>
      <c r="AM81" s="6" t="str">
        <f t="shared" si="8"/>
        <v>Jun YTD</v>
      </c>
      <c r="AN81" s="6" t="s">
        <v>71</v>
      </c>
    </row>
    <row r="82" spans="1:41" x14ac:dyDescent="0.25">
      <c r="A82" t="str" cm="1">
        <f t="array" ref="A82">IF(_xll.TM1RPTELISCONSOLIDATED($H$82,$H82),IF(_xll.TM1RPTELLEV($H$82,$H82)&lt;=3,_xll.TM1RPTELLEV($H$82,$H82),"D"),IF($I82=$I81,"N0","N"))</f>
        <v>N</v>
      </c>
      <c r="B82" s="40" t="str">
        <f t="array" ref="B82">_xll.TM1RPTROW($C$30,db_name&amp;":programme","","","code and description",0,$C$32)</f>
        <v>1067.01.05 - Biofuels - Monitoring, Compliance and Enforcement for Fuel Quality</v>
      </c>
      <c r="C82" s="41" t="str">
        <f>_xll.TM1RPTROW($C$30,db_name&amp;":appropriation item","","","code and description",0,$C$33)</f>
        <v>-</v>
      </c>
      <c r="D82" s="41" t="str" cm="1">
        <f t="array" ref="D82">_xll.TM1RPTROW($C$30,db_name&amp;":account","","","code and description",0,$C$35)</f>
        <v>2230002 - Supply of goods and services expense</v>
      </c>
      <c r="E82" s="41" t="str" cm="1">
        <f t="array" ref="E82">_xll.TM1RPTROW($C$30,db_name&amp;":movement account","","","code and description",0,$C$36)</f>
        <v>No_Mvt</v>
      </c>
      <c r="F82" s="41" t="str" cm="1">
        <f t="array" ref="F82">_xll.TM1RPTROW($C$30,db_name&amp;":related entity","","","code and description",0,$C$37)</f>
        <v>No_interagency</v>
      </c>
      <c r="G82" s="41" t="str" cm="1">
        <f t="array" ref="G82">_xll.TM1RPTROW($C$30,db_name&amp;":jurisdiction","","","",0,$C$38)</f>
        <v>-</v>
      </c>
      <c r="H82" s="19" t="str" cm="1">
        <f t="array" ref="H82">_xll.TM1RPTROW($C$30,db_name&amp;":spp","","","",0,$C$39)</f>
        <v>-</v>
      </c>
      <c r="I82" s="18" t="str">
        <f t="array" ref="I82">_xll.ELPAR(db_name&amp;":programme",$B82,1)</f>
        <v>1067.01</v>
      </c>
      <c r="J82" s="14">
        <f>_xll.DBRW($C$31,$S$67,$S$68,$F82,$H82,$E82,$B82,$C82,$D82,AM$45,$G82,J$75,$C$40)</f>
        <v>0</v>
      </c>
      <c r="K82" s="37">
        <f>MOD(SUM(AA82:AL82),1)</f>
        <v>0</v>
      </c>
      <c r="L82" s="37" t="str">
        <f>_xll.DBR($F$22,$D82,"assumed related entity")</f>
        <v/>
      </c>
      <c r="M82" s="37" t="str">
        <f>_xll.DBR($F$22,$D82,"appropriation type required")</f>
        <v/>
      </c>
      <c r="N82" t="str">
        <f>IF(AND($Y82=0,$J82&lt;&gt;0),"WARNING - Profiles entered with NO Annual Budget","")</f>
        <v/>
      </c>
      <c r="O82" t="str">
        <f t="shared" ref="O82" si="9">IF($L82&lt;&gt;"",IF(LEFT($F82,5)=$L82,"","WARNING - Assumed Related Entity Does Not Match"),"")</f>
        <v/>
      </c>
      <c r="P82" t="str">
        <f t="shared" ref="P82" si="10">IF(AND($N82&lt;&gt;"",$O82=""),$N82,IF(AND($N82="",$O82&lt;&gt;""),$O82,IF(AND($N82&lt;&gt;"",$O82&lt;&gt;""),"WARNING - Profiles entered with NO Annual Budget and Assumed Related Entity is incorrect","")))</f>
        <v/>
      </c>
      <c r="R82" s="16" t="str">
        <f>$B82</f>
        <v>1067.01.05 - Biofuels - Monitoring, Compliance and Enforcement for Fuel Quality</v>
      </c>
      <c r="S82" s="16" t="str">
        <f>$D82</f>
        <v>2230002 - Supply of goods and services expense</v>
      </c>
      <c r="T82" s="16" t="str">
        <f>$F82</f>
        <v>No_interagency</v>
      </c>
      <c r="U82" s="18" t="str">
        <f>$G82</f>
        <v>-</v>
      </c>
      <c r="V82" s="18" t="str">
        <f>$H82</f>
        <v>-</v>
      </c>
      <c r="W82" s="19" t="str">
        <f>$C82</f>
        <v>-</v>
      </c>
      <c r="X82" s="18" t="str" cm="1">
        <f t="array" ref="X82">_xll.DBRW($C$31,$S$67,$S$68,$F82,$H82,$E82,$B82,$C82,$D82,AM$45,$G82,X$46,$X$45)</f>
        <v/>
      </c>
      <c r="Y82" s="14" cm="1">
        <f t="array" ref="Y82">_xll.DBRW($C$30,$S$67,$S$68,$F82,$H82,$E82,$B82,$C82,$D82,Y$45,$G82,Y$46,$C$40)</f>
        <v>100</v>
      </c>
      <c r="Z82" s="15" cm="1">
        <f t="array" ref="Z82">_xll.DBRW($C$30,$S$67,$S$68,$F82,$H82,$E82,$B82,$C82,$D82,Z$45,$G82,Z$46,$C$40)</f>
        <v>0</v>
      </c>
      <c r="AA82" s="25" cm="1">
        <f t="array" ref="AA82">_xll.DBRW($C$30,$S$67,$S$68,$F82,$H82,$E82,$B82,$C82,$D82,AA$45,$G82,AA$46,$C$40)</f>
        <v>0</v>
      </c>
      <c r="AB82" s="25" cm="1">
        <f t="array" ref="AB82">_xll.DBRW($C$30,$S$67,$S$68,$F82,$H82,$E82,$B82,$C82,$D82,AB$45,$G82,AB$46,$C$40)</f>
        <v>0</v>
      </c>
      <c r="AC82" s="25" cm="1">
        <f t="array" ref="AC82">_xll.DBRW($C$30,$S$67,$S$68,$F82,$H82,$E82,$B82,$C82,$D82,AC$45,$G82,AC$46,$C$40)</f>
        <v>0</v>
      </c>
      <c r="AD82" s="25" cm="1">
        <f t="array" ref="AD82">_xll.DBRW($C$30,$S$67,$S$68,$F82,$H82,$E82,$B82,$C82,$D82,AD$45,$G82,AD$46,$C$40)</f>
        <v>0</v>
      </c>
      <c r="AE82" s="25" cm="1">
        <f t="array" ref="AE82">_xll.DBRW($C$30,$S$67,$S$68,$F82,$H82,$E82,$B82,$C82,$D82,AE$45,$G82,AE$46,$C$40)</f>
        <v>0</v>
      </c>
      <c r="AF82" s="25" cm="1">
        <f t="array" ref="AF82">_xll.DBRW($C$30,$S$67,$S$68,$F82,$H82,$E82,$B82,$C82,$D82,AF$45,$G82,AF$46,$C$40)</f>
        <v>0</v>
      </c>
      <c r="AG82" s="25" cm="1">
        <f t="array" ref="AG82">_xll.DBRW($C$30,$S$67,$S$68,$F82,$H82,$E82,$B82,$C82,$D82,AG$45,$G82,AG$46,$C$40)</f>
        <v>0</v>
      </c>
      <c r="AH82" s="25" cm="1">
        <f t="array" ref="AH82">_xll.DBRW($C$30,$S$67,$S$68,$F82,$H82,$E82,$B82,$C82,$D82,AH$45,$G82,AH$46,$C$40)</f>
        <v>0</v>
      </c>
      <c r="AI82" s="25" cm="1">
        <f t="array" ref="AI82">_xll.DBRW($C$30,$S$67,$S$68,$F82,$H82,$E82,$B82,$C82,$D82,AI$45,$G82,AI$46,$C$40)</f>
        <v>0</v>
      </c>
      <c r="AJ82" s="25" cm="1">
        <f t="array" ref="AJ82">_xll.DBRW($C$30,$S$67,$S$68,$F82,$H82,$E82,$B82,$C82,$D82,AJ$45,$G82,AJ$46,$C$40)</f>
        <v>0</v>
      </c>
      <c r="AK82" s="25" cm="1">
        <f t="array" ref="AK82">_xll.DBRW($C$30,$S$67,$S$68,$F82,$H82,$E82,$B82,$C82,$D82,AK$45,$G82,AK$46,$C$40)</f>
        <v>0</v>
      </c>
      <c r="AL82" s="25" cm="1">
        <f t="array" ref="AL82">_xll.DBRW($C$30,$S$67,$S$68,$F82,$H82,$E82,$B82,$C82,$D82,AL$45,$G82,AL$46,$C$40)</f>
        <v>100</v>
      </c>
      <c r="AM82" s="14" cm="1">
        <f t="array" ref="AM82">_xll.DBRW($C$31,$S$67,$S$68,$F82,$H82,$E82,$B82,$C82,$D82,AM$45,$G82,AM$46,$C$40)</f>
        <v>100</v>
      </c>
      <c r="AN82" s="14">
        <f>Y82-AM82</f>
        <v>0</v>
      </c>
      <c r="AO82" t="str">
        <f>$P82</f>
        <v/>
      </c>
    </row>
    <row r="83" spans="1:41" ht="5.0999999999999996" customHeight="1" x14ac:dyDescent="0.25"/>
    <row r="84" spans="1:41" x14ac:dyDescent="0.25">
      <c r="B84" t="str">
        <f>$S$69</f>
        <v>Administered programmes</v>
      </c>
      <c r="C84" t="s">
        <v>3</v>
      </c>
      <c r="D84" s="5" t="s">
        <v>39</v>
      </c>
      <c r="E84" t="s">
        <v>4</v>
      </c>
      <c r="F84" t="s">
        <v>5</v>
      </c>
      <c r="G84" t="s">
        <v>6</v>
      </c>
      <c r="H84" t="s">
        <v>7</v>
      </c>
      <c r="X84" s="20" t="str">
        <f>"Total " &amp; $S$69 &amp; " Expenses :"</f>
        <v>Total Administered programmes Expenses :</v>
      </c>
      <c r="Y84" s="14" cm="1">
        <f t="array" ref="Y84">_xll.DBRW($C$31,$S$67,$S$68,$F84,$H84,$E84,$B84,$C84,$D84,Y$45,$G84,Y$46,$C$40)</f>
        <v>2738663</v>
      </c>
      <c r="Z84" s="14" cm="1">
        <f t="array" ref="Z84">_xll.DBRW($C$31,$S$67,$S$68,$F84,$H84,$E84,$B84,$C84,$D84,Z$45,$G84,Z$46,$C$40)</f>
        <v>0</v>
      </c>
      <c r="AA84" s="14" cm="1">
        <f t="array" ref="AA84">_xll.DBRW($C$31,$S$67,$S$68,$F84,$H84,$E84,$B84,$C84,$D84,AA$45,$G84,AA$46,$C$40)</f>
        <v>0</v>
      </c>
      <c r="AB84" s="14" cm="1">
        <f t="array" ref="AB84">_xll.DBRW($C$31,$S$67,$S$68,$F84,$H84,$E84,$B84,$C84,$D84,AB$45,$G84,AB$46,$C$40)</f>
        <v>0</v>
      </c>
      <c r="AC84" s="14" cm="1">
        <f t="array" ref="AC84">_xll.DBRW($C$31,$S$67,$S$68,$F84,$H84,$E84,$B84,$C84,$D84,AC$45,$G84,AC$46,$C$40)</f>
        <v>0</v>
      </c>
      <c r="AD84" s="14" cm="1">
        <f t="array" ref="AD84">_xll.DBRW($C$31,$S$67,$S$68,$F84,$H84,$E84,$B84,$C84,$D84,AD$45,$G84,AD$46,$C$40)</f>
        <v>0</v>
      </c>
      <c r="AE84" s="14" cm="1">
        <f t="array" ref="AE84">_xll.DBRW($C$31,$S$67,$S$68,$F84,$H84,$E84,$B84,$C84,$D84,AE$45,$G84,AE$46,$C$40)</f>
        <v>0</v>
      </c>
      <c r="AF84" s="14" cm="1">
        <f t="array" ref="AF84">_xll.DBRW($C$31,$S$67,$S$68,$F84,$H84,$E84,$B84,$C84,$D84,AF$45,$G84,AF$46,$C$40)</f>
        <v>0</v>
      </c>
      <c r="AG84" s="14" cm="1">
        <f t="array" ref="AG84">_xll.DBRW($C$31,$S$67,$S$68,$F84,$H84,$E84,$B84,$C84,$D84,AG$45,$G84,AG$46,$C$40)</f>
        <v>0</v>
      </c>
      <c r="AH84" s="14" cm="1">
        <f t="array" ref="AH84">_xll.DBRW($C$31,$S$67,$S$68,$F84,$H84,$E84,$B84,$C84,$D84,AH$45,$G84,AH$46,$C$40)</f>
        <v>0</v>
      </c>
      <c r="AI84" s="14" cm="1">
        <f t="array" ref="AI84">_xll.DBRW($C$31,$S$67,$S$68,$F84,$H84,$E84,$B84,$C84,$D84,AI$45,$G84,AI$46,$C$40)</f>
        <v>0</v>
      </c>
      <c r="AJ84" s="14" cm="1">
        <f t="array" ref="AJ84">_xll.DBRW($C$31,$S$67,$S$68,$F84,$H84,$E84,$B84,$C84,$D84,AJ$45,$G84,AJ$46,$C$40)</f>
        <v>0</v>
      </c>
      <c r="AK84" s="14" cm="1">
        <f t="array" ref="AK84">_xll.DBRW($C$31,$S$67,$S$68,$F84,$H84,$E84,$B84,$C84,$D84,AK$45,$G84,AK$46,$C$40)</f>
        <v>0</v>
      </c>
      <c r="AL84" s="14" cm="1">
        <f t="array" ref="AL84">_xll.DBRW($C$31,$S$67,$S$68,$F84,$H84,$E84,$B84,$C84,$D84,AL$45,$G84,AL$46,$C$40)</f>
        <v>2738663</v>
      </c>
      <c r="AM84" s="14" cm="1">
        <f t="array" ref="AM84">_xll.DBRW($C$31,$S$67,$S$68,$F84,$H84,$E84,$B84,$C84,$D84,AM$45,$G84,AM$46,$C$40)</f>
        <v>2738663</v>
      </c>
      <c r="AN84" s="14" t="e" cm="1">
        <f t="array" ref="AN84">_xll.DBRW($C$31,$S$67,$S$68,$F84,$H84,$E84,$B84,$C84,$D84,AN$45,$G84,AN$46,$C$40)</f>
        <v>#VALUE!</v>
      </c>
    </row>
  </sheetData>
  <sheetProtection sheet="1" objects="1" scenarios="1"/>
  <mergeCells count="10">
    <mergeCell ref="B47:C47"/>
    <mergeCell ref="E11:F11"/>
    <mergeCell ref="Z44:AM44"/>
    <mergeCell ref="B11:C11"/>
    <mergeCell ref="B28:C28"/>
    <mergeCell ref="B20:C20"/>
    <mergeCell ref="B44:C44"/>
    <mergeCell ref="B15:C15"/>
    <mergeCell ref="E18:F18"/>
    <mergeCell ref="E21:F21"/>
  </mergeCells>
  <conditionalFormatting sqref="AA2:AB8">
    <cfRule type="expression" dxfId="3" priority="271">
      <formula>AA$52="Y"</formula>
    </cfRule>
  </conditionalFormatting>
  <conditionalFormatting sqref="AA76:AL76">
    <cfRule type="expression" dxfId="2" priority="63">
      <formula>AA$50="Y"</formula>
    </cfRule>
  </conditionalFormatting>
  <conditionalFormatting sqref="AA82:AL82">
    <cfRule type="expression" dxfId="1" priority="68">
      <formula>AA$50="Y"</formula>
    </cfRule>
  </conditionalFormatting>
  <conditionalFormatting sqref="AC7:AL8">
    <cfRule type="expression" dxfId="0" priority="1">
      <formula>AC$52="Y"</formula>
    </cfRule>
  </conditionalFormatting>
  <hyperlinks>
    <hyperlink ref="C76" r:id="rId1" display="=@TM1RPTROW($C$28,db_name&amp;&quot;:appropriation item&quot;,&quot;&quot;,&quot;&quot;,&quot;&quot;,0,$C$32)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45" fitToHeight="0" orientation="landscape" r:id="rId2"/>
  <drawing r:id="rId3"/>
  <legacyDrawing r:id="rId4"/>
  <controls>
    <mc:AlternateContent xmlns:mc="http://schemas.openxmlformats.org/markup-compatibility/2006">
      <mc:Choice Requires="x14">
        <control shapeId="1032" r:id="rId5" name="TIButton6">
          <controlPr defaultSize="0" print="0" autoLine="0" autoPict="0" r:id="rId6">
            <anchor moveWithCells="1" sizeWithCells="1">
              <from>
                <xdr:col>17</xdr:col>
                <xdr:colOff>685800</xdr:colOff>
                <xdr:row>62</xdr:row>
                <xdr:rowOff>0</xdr:rowOff>
              </from>
              <to>
                <xdr:col>17</xdr:col>
                <xdr:colOff>1895475</xdr:colOff>
                <xdr:row>62</xdr:row>
                <xdr:rowOff>247650</xdr:rowOff>
              </to>
            </anchor>
          </controlPr>
        </control>
      </mc:Choice>
      <mc:Fallback>
        <control shapeId="1032" r:id="rId5" name="TIButton6"/>
      </mc:Fallback>
    </mc:AlternateContent>
    <mc:AlternateContent xmlns:mc="http://schemas.openxmlformats.org/markup-compatibility/2006">
      <mc:Choice Requires="x14">
        <control shapeId="1031" r:id="rId7" name="TIButton5">
          <controlPr defaultSize="0" print="0" autoLine="0" autoPict="0" r:id="rId8">
            <anchor moveWithCells="1" sizeWithCells="1">
              <from>
                <xdr:col>20</xdr:col>
                <xdr:colOff>190500</xdr:colOff>
                <xdr:row>62</xdr:row>
                <xdr:rowOff>0</xdr:rowOff>
              </from>
              <to>
                <xdr:col>20</xdr:col>
                <xdr:colOff>1190625</xdr:colOff>
                <xdr:row>62</xdr:row>
                <xdr:rowOff>247650</xdr:rowOff>
              </to>
            </anchor>
          </controlPr>
        </control>
      </mc:Choice>
      <mc:Fallback>
        <control shapeId="1031" r:id="rId7" name="TIButton5"/>
      </mc:Fallback>
    </mc:AlternateContent>
    <mc:AlternateContent xmlns:mc="http://schemas.openxmlformats.org/markup-compatibility/2006">
      <mc:Choice Requires="x14">
        <control shapeId="1028" r:id="rId9" name="TIButton3">
          <controlPr defaultSize="0" print="0" autoLine="0" autoPict="0" r:id="rId10">
            <anchor moveWithCells="1" sizeWithCells="1">
              <from>
                <xdr:col>22</xdr:col>
                <xdr:colOff>1209675</xdr:colOff>
                <xdr:row>62</xdr:row>
                <xdr:rowOff>0</xdr:rowOff>
              </from>
              <to>
                <xdr:col>23</xdr:col>
                <xdr:colOff>95250</xdr:colOff>
                <xdr:row>62</xdr:row>
                <xdr:rowOff>247650</xdr:rowOff>
              </to>
            </anchor>
          </controlPr>
        </control>
      </mc:Choice>
      <mc:Fallback>
        <control shapeId="1028" r:id="rId9" name="TIButton3"/>
      </mc:Fallback>
    </mc:AlternateContent>
    <mc:AlternateContent xmlns:mc="http://schemas.openxmlformats.org/markup-compatibility/2006">
      <mc:Choice Requires="x14">
        <control shapeId="1027" r:id="rId11" name="TIButton2">
          <controlPr defaultSize="0" print="0" autoLine="0" autoPict="0" r:id="rId12">
            <anchor moveWithCells="1" sizeWithCells="1">
              <from>
                <xdr:col>17</xdr:col>
                <xdr:colOff>1924050</xdr:colOff>
                <xdr:row>62</xdr:row>
                <xdr:rowOff>0</xdr:rowOff>
              </from>
              <to>
                <xdr:col>17</xdr:col>
                <xdr:colOff>2933700</xdr:colOff>
                <xdr:row>62</xdr:row>
                <xdr:rowOff>247650</xdr:rowOff>
              </to>
            </anchor>
          </controlPr>
        </control>
      </mc:Choice>
      <mc:Fallback>
        <control shapeId="1027" r:id="rId11" name="TIButton2"/>
      </mc:Fallback>
    </mc:AlternateContent>
    <mc:AlternateContent xmlns:mc="http://schemas.openxmlformats.org/markup-compatibility/2006">
      <mc:Choice Requires="x14">
        <control shapeId="1026" r:id="rId13" name="TIButton1">
          <controlPr defaultSize="0" print="0" autoLine="0" autoPict="0" r:id="rId14">
            <anchor moveWithCells="1" sizeWithCells="1">
              <from>
                <xdr:col>17</xdr:col>
                <xdr:colOff>19050</xdr:colOff>
                <xdr:row>62</xdr:row>
                <xdr:rowOff>0</xdr:rowOff>
              </from>
              <to>
                <xdr:col>17</xdr:col>
                <xdr:colOff>657225</xdr:colOff>
                <xdr:row>62</xdr:row>
                <xdr:rowOff>247650</xdr:rowOff>
              </to>
            </anchor>
          </controlPr>
        </control>
      </mc:Choice>
      <mc:Fallback>
        <control shapeId="1026" r:id="rId13" name="TIButton1"/>
      </mc:Fallback>
    </mc:AlternateContent>
    <mc:AlternateContent xmlns:mc="http://schemas.openxmlformats.org/markup-compatibility/2006">
      <mc:Choice Requires="x14">
        <control shapeId="1030" r:id="rId15" name="TIButton4">
          <controlPr defaultSize="0" print="0" autoLine="0" autoPict="0" r:id="rId16">
            <anchor moveWithCells="1" sizeWithCells="1">
              <from>
                <xdr:col>20</xdr:col>
                <xdr:colOff>1219200</xdr:colOff>
                <xdr:row>62</xdr:row>
                <xdr:rowOff>0</xdr:rowOff>
              </from>
              <to>
                <xdr:col>22</xdr:col>
                <xdr:colOff>1162050</xdr:colOff>
                <xdr:row>62</xdr:row>
                <xdr:rowOff>247650</xdr:rowOff>
              </to>
            </anchor>
          </controlPr>
        </control>
      </mc:Choice>
      <mc:Fallback>
        <control shapeId="1030" r:id="rId15" name="TIButton4"/>
      </mc:Fallback>
    </mc:AlternateContent>
    <mc:AlternateContent xmlns:mc="http://schemas.openxmlformats.org/markup-compatibility/2006">
      <mc:Choice Requires="x14">
        <control shapeId="1033" r:id="rId17" name="TIButton7">
          <controlPr defaultSize="0" print="0" autoLine="0" autoPict="0" r:id="rId18">
            <anchor moveWithCells="1" sizeWithCells="1">
              <from>
                <xdr:col>17</xdr:col>
                <xdr:colOff>2952750</xdr:colOff>
                <xdr:row>62</xdr:row>
                <xdr:rowOff>0</xdr:rowOff>
              </from>
              <to>
                <xdr:col>18</xdr:col>
                <xdr:colOff>733425</xdr:colOff>
                <xdr:row>62</xdr:row>
                <xdr:rowOff>247650</xdr:rowOff>
              </to>
            </anchor>
          </controlPr>
        </control>
      </mc:Choice>
      <mc:Fallback>
        <control shapeId="1033" r:id="rId17" name="TIButton7"/>
      </mc:Fallback>
    </mc:AlternateContent>
    <mc:AlternateContent xmlns:mc="http://schemas.openxmlformats.org/markup-compatibility/2006">
      <mc:Choice Requires="x14">
        <control shapeId="1034" r:id="rId19" name="TIButton8">
          <controlPr defaultSize="0" print="0" autoLine="0" autoPict="0" r:id="rId20">
            <anchor moveWithCells="1" sizeWithCells="1">
              <from>
                <xdr:col>18</xdr:col>
                <xdr:colOff>752475</xdr:colOff>
                <xdr:row>62</xdr:row>
                <xdr:rowOff>0</xdr:rowOff>
              </from>
              <to>
                <xdr:col>18</xdr:col>
                <xdr:colOff>2038350</xdr:colOff>
                <xdr:row>62</xdr:row>
                <xdr:rowOff>247650</xdr:rowOff>
              </to>
            </anchor>
          </controlPr>
        </control>
      </mc:Choice>
      <mc:Fallback>
        <control shapeId="1034" r:id="rId19" name="TIButton8"/>
      </mc:Fallback>
    </mc:AlternateContent>
    <mc:AlternateContent xmlns:mc="http://schemas.openxmlformats.org/markup-compatibility/2006">
      <mc:Choice Requires="x14">
        <control shapeId="1035" r:id="rId21" name="TIButton9">
          <controlPr defaultSize="0" print="0" autoLine="0" autoPict="0" r:id="rId22">
            <anchor moveWithCells="1" sizeWithCells="1">
              <from>
                <xdr:col>19</xdr:col>
                <xdr:colOff>19050</xdr:colOff>
                <xdr:row>62</xdr:row>
                <xdr:rowOff>0</xdr:rowOff>
              </from>
              <to>
                <xdr:col>20</xdr:col>
                <xdr:colOff>161925</xdr:colOff>
                <xdr:row>62</xdr:row>
                <xdr:rowOff>247650</xdr:rowOff>
              </to>
            </anchor>
          </controlPr>
        </control>
      </mc:Choice>
      <mc:Fallback>
        <control shapeId="1035" r:id="rId21" name="TIButton9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144</v>
      </c>
    </row>
    <row r="2" spans="1:1" x14ac:dyDescent="0.25">
      <c r="A2" t="s">
        <v>145</v>
      </c>
    </row>
    <row r="3" spans="1:1" x14ac:dyDescent="0.25">
      <c r="A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39</vt:i4>
      </vt:variant>
    </vt:vector>
  </HeadingPairs>
  <TitlesOfParts>
    <vt:vector size="41" baseType="lpstr">
      <vt:lpstr>operating</vt:lpstr>
      <vt:lpstr>{PL}PickLst</vt:lpstr>
      <vt:lpstr>db_name</vt:lpstr>
      <vt:lpstr>Freeze_here</vt:lpstr>
      <vt:lpstr>operating!Print_Titles</vt:lpstr>
      <vt:lpstr>psHLYear</vt:lpstr>
      <vt:lpstr>psID</vt:lpstr>
      <vt:lpstr>psProg</vt:lpstr>
      <vt:lpstr>psScenario</vt:lpstr>
      <vt:lpstr>psUser</vt:lpstr>
      <vt:lpstr>TM1MEBSDataEntryCAP</vt:lpstr>
      <vt:lpstr>TM1MEBSDataEntryWB</vt:lpstr>
      <vt:lpstr>TM1MEBSDataEntryWS</vt:lpstr>
      <vt:lpstr>TM1MECCMapCAP</vt:lpstr>
      <vt:lpstr>TM1MECCMapWB</vt:lpstr>
      <vt:lpstr>TM1MECCMapWS</vt:lpstr>
      <vt:lpstr>TM1MECFDataEntryCAP</vt:lpstr>
      <vt:lpstr>TM1MECFDataEntryWB</vt:lpstr>
      <vt:lpstr>TM1MECFDataEntryWS</vt:lpstr>
      <vt:lpstr>TM1MEDataEntryCAP</vt:lpstr>
      <vt:lpstr>TM1MEDataEntryWB</vt:lpstr>
      <vt:lpstr>TM1MEDataEntryWS</vt:lpstr>
      <vt:lpstr>TM1MEGLMapCAP</vt:lpstr>
      <vt:lpstr>TM1MEGLMapWB</vt:lpstr>
      <vt:lpstr>TM1MEGLMapWS</vt:lpstr>
      <vt:lpstr>TM1MEHomeCAP</vt:lpstr>
      <vt:lpstr>TM1MEHomeWB</vt:lpstr>
      <vt:lpstr>TM1MEHomeWS</vt:lpstr>
      <vt:lpstr>TM1MEOSDataEntryCAP</vt:lpstr>
      <vt:lpstr>TM1MEOSDataEntryWB</vt:lpstr>
      <vt:lpstr>TM1MEOSDataEntryWS</vt:lpstr>
      <vt:lpstr>TM1MESummaryCAP</vt:lpstr>
      <vt:lpstr>TM1MESummaryWB</vt:lpstr>
      <vt:lpstr>TM1MESummaryWS</vt:lpstr>
      <vt:lpstr>TM1MEValidateCAP</vt:lpstr>
      <vt:lpstr>TM1MEValidateWB</vt:lpstr>
      <vt:lpstr>TM1MEValidateWS</vt:lpstr>
      <vt:lpstr>operating!TM1RPTDATARNG2</vt:lpstr>
      <vt:lpstr>operating!TM1RPTDATARNGARPT1</vt:lpstr>
      <vt:lpstr>operating!TM1RPTFMTIDCOL</vt:lpstr>
      <vt:lpstr>operating!TM1RPTFMTRNG</vt:lpstr>
    </vt:vector>
  </TitlesOfParts>
  <Company>Australian Attorney General's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malizj</dc:creator>
  <cp:lastModifiedBy>Khristian Gimena</cp:lastModifiedBy>
  <dcterms:created xsi:type="dcterms:W3CDTF">2019-04-16T01:02:10Z</dcterms:created>
  <dcterms:modified xsi:type="dcterms:W3CDTF">2025-06-04T08:12:46Z</dcterms:modified>
</cp:coreProperties>
</file>