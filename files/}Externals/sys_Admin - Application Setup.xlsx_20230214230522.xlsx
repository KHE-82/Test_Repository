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Excelerated\DCCEEW\1 DCCEEW TECHNICAL\GEUS 2023 TEMPLATES\All 2023 Generic_geus templates\"/>
    </mc:Choice>
  </mc:AlternateContent>
  <xr:revisionPtr revIDLastSave="0" documentId="13_ncr:1_{195CF6A1-51F4-4988-A15E-28CE11489D43}" xr6:coauthVersionLast="47" xr6:coauthVersionMax="47" xr10:uidLastSave="{00000000-0000-0000-0000-000000000000}"/>
  <bookViews>
    <workbookView xWindow="57480" yWindow="-1965" windowWidth="29040" windowHeight="15840" xr2:uid="{C60AB1A6-ACA0-4D59-9AB6-E58F64306026}"/>
  </bookViews>
  <sheets>
    <sheet name="application" sheetId="1" r:id="rId1"/>
  </sheets>
  <definedNames>
    <definedName name="db_name">application!$C$11</definedName>
    <definedName name="psApp">application!$C$35</definedName>
    <definedName name="psUser">application!$C$13</definedName>
    <definedName name="TM1HomeAdminCAP">application!$D$39</definedName>
    <definedName name="TM1HomeAdminGEUSCAP">application!$D$41</definedName>
    <definedName name="TM1HomeAdminGEUSWB">application!$F$41</definedName>
    <definedName name="TM1HomeAdminGEUSWS">application!$H$41</definedName>
    <definedName name="TM1HomeAdminRDSCAP">application!$D$42</definedName>
    <definedName name="TM1HomeAdminRDSWB">application!$F$42</definedName>
    <definedName name="TM1HomeAdminRDSWS">application!$H$42</definedName>
    <definedName name="TM1HomeAdminWB">application!$F$39</definedName>
    <definedName name="TM1HomeAdminWS">application!$H$39</definedName>
    <definedName name="TM1HomeAECAP">application!$D$38</definedName>
    <definedName name="TM1HomeAEWB">application!$F$38</definedName>
    <definedName name="TM1HomeAEWS">application!$H$38</definedName>
    <definedName name="TM1HomeCAP">application!$D$37</definedName>
    <definedName name="TM1HomeUnderCAP">application!$D$40</definedName>
    <definedName name="TM1HomeUnderWB">application!$F$40</definedName>
    <definedName name="TM1HomeUnderWS">application!$H$40</definedName>
    <definedName name="TM1HomeWB">application!$F$37</definedName>
    <definedName name="TM1HomeWS">application!$H$37</definedName>
    <definedName name="TM1REBUILDOPTION">1</definedName>
    <definedName name="TM1RPTDATARNG1" localSheetId="0">application!$63:$63</definedName>
    <definedName name="TM1RPTFMTIDCOL" localSheetId="0">application!$A$1:$A$8</definedName>
    <definedName name="TM1RPTFMTRNG" localSheetId="0">application!$J$1:$R$8</definedName>
  </definedName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5" i="1" l="1" a="1"/>
  <c r="C45" i="1"/>
  <c r="A63" i="1" a="1"/>
  <c r="A63" i="1"/>
  <c r="C47" i="1" a="1"/>
  <c r="C47" i="1"/>
  <c r="C46" i="1"/>
  <c r="J63" i="1" a="1"/>
  <c r="J63" i="1"/>
  <c r="R63" i="1" a="1"/>
  <c r="R63" i="1"/>
  <c r="Q63" i="1" a="1"/>
  <c r="Q63" i="1"/>
  <c r="P63" i="1" a="1"/>
  <c r="P63" i="1"/>
  <c r="O63" i="1" a="1"/>
  <c r="O63" i="1"/>
  <c r="N63" i="1" a="1"/>
  <c r="N63" i="1"/>
  <c r="M63" i="1" a="1"/>
  <c r="M63" i="1"/>
  <c r="L63" i="1" a="1"/>
  <c r="L63" i="1"/>
  <c r="K63" i="1" a="1"/>
  <c r="K63" i="1"/>
  <c r="C34" i="1" a="1"/>
  <c r="C34" i="1"/>
  <c r="H42" i="1" a="1"/>
  <c r="H42" i="1"/>
  <c r="G42" i="1" a="1"/>
  <c r="G42" i="1"/>
  <c r="F42" i="1" a="1"/>
  <c r="F42" i="1"/>
  <c r="E42" i="1" a="1"/>
  <c r="E42" i="1"/>
  <c r="D42" i="1" a="1"/>
  <c r="D42" i="1"/>
  <c r="C42" i="1" a="1"/>
  <c r="C42" i="1"/>
  <c r="H41" i="1" a="1"/>
  <c r="H41" i="1"/>
  <c r="G41" i="1" a="1"/>
  <c r="G41" i="1"/>
  <c r="F41" i="1" a="1"/>
  <c r="F41" i="1"/>
  <c r="E41" i="1" a="1"/>
  <c r="E41" i="1"/>
  <c r="D41" i="1" a="1"/>
  <c r="D41" i="1"/>
  <c r="C41" i="1" a="1"/>
  <c r="C41" i="1"/>
  <c r="H40" i="1" a="1"/>
  <c r="H40" i="1"/>
  <c r="G40" i="1" a="1"/>
  <c r="G40" i="1"/>
  <c r="F40" i="1" a="1"/>
  <c r="F40" i="1"/>
  <c r="E40" i="1" a="1"/>
  <c r="E40" i="1"/>
  <c r="D40" i="1" a="1"/>
  <c r="D40" i="1"/>
  <c r="C40" i="1" a="1"/>
  <c r="C40" i="1"/>
  <c r="H39" i="1" a="1"/>
  <c r="H39" i="1"/>
  <c r="G39" i="1" a="1"/>
  <c r="G39" i="1"/>
  <c r="F39" i="1" a="1"/>
  <c r="F39" i="1"/>
  <c r="E39" i="1" a="1"/>
  <c r="E39" i="1"/>
  <c r="D39" i="1" a="1"/>
  <c r="D39" i="1"/>
  <c r="C39" i="1" a="1"/>
  <c r="C39" i="1"/>
  <c r="H38" i="1" a="1"/>
  <c r="H38" i="1"/>
  <c r="G38" i="1" a="1"/>
  <c r="G38" i="1"/>
  <c r="F38" i="1" a="1"/>
  <c r="F38" i="1"/>
  <c r="E38" i="1" a="1"/>
  <c r="E38" i="1"/>
  <c r="D38" i="1" a="1"/>
  <c r="D38" i="1"/>
  <c r="C38" i="1" a="1"/>
  <c r="C38" i="1"/>
  <c r="H37" i="1" a="1"/>
  <c r="H37" i="1"/>
  <c r="G37" i="1" a="1"/>
  <c r="G37" i="1"/>
  <c r="F37" i="1" a="1"/>
  <c r="F37" i="1"/>
  <c r="E37" i="1" a="1"/>
  <c r="E37" i="1"/>
  <c r="D37" i="1" a="1"/>
  <c r="D37" i="1"/>
  <c r="C37" i="1" a="1"/>
  <c r="C37" i="1"/>
  <c r="C27" i="1" a="1"/>
  <c r="C27" i="1"/>
  <c r="C13" i="1" a="1"/>
  <c r="C13" i="1"/>
  <c r="C31" i="1" a="1"/>
  <c r="C31" i="1"/>
  <c r="C30" i="1" a="1"/>
  <c r="C30" i="1"/>
  <c r="C29" i="1" a="1"/>
  <c r="C29" i="1"/>
  <c r="C28" i="1" a="1"/>
  <c r="C28" i="1"/>
  <c r="C19" i="1" a="1"/>
  <c r="C19" i="1"/>
  <c r="C24" i="1" a="1"/>
  <c r="C24" i="1"/>
  <c r="C23" i="1" a="1"/>
  <c r="C23" i="1"/>
  <c r="C22" i="1" a="1"/>
  <c r="C22" i="1"/>
  <c r="C21" i="1" a="1"/>
  <c r="C21" i="1"/>
  <c r="C12" i="1" a="1"/>
  <c r="C12" i="1"/>
  <c r="C15" i="1" a="1"/>
  <c r="C15" i="1"/>
  <c r="C14" i="1" a="1"/>
  <c r="C14" i="1"/>
  <c r="C16" i="1"/>
  <c r="A5" i="1"/>
  <c r="A4" i="1"/>
  <c r="A3" i="1"/>
  <c r="A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<sst xmlns="http://schemas.openxmlformats.org/spreadsheetml/2006/main" count="65" uniqueCount="56">
  <si>
    <t>Caption Name</t>
  </si>
  <si>
    <t>Caption</t>
  </si>
  <si>
    <t>Workbook Name</t>
  </si>
  <si>
    <t>Workbook</t>
  </si>
  <si>
    <t>Worksheet Name</t>
  </si>
  <si>
    <t>Worksheet</t>
  </si>
  <si>
    <t>Key Words</t>
  </si>
  <si>
    <t>Worksheet description</t>
  </si>
  <si>
    <t>Homepage - Home</t>
  </si>
  <si>
    <t>Homepage - Annual Estimates</t>
  </si>
  <si>
    <t>Homepage - Administration</t>
  </si>
  <si>
    <t>Homepage - Administration - GEUS Setup</t>
  </si>
  <si>
    <t>Homepage - Administration - RDS</t>
  </si>
  <si>
    <t>Homepage - Under Construction</t>
  </si>
  <si>
    <t>Admin - Application Set Up</t>
  </si>
  <si>
    <t>D</t>
  </si>
  <si>
    <t>N</t>
  </si>
  <si>
    <t>[Begin Format Range]</t>
  </si>
  <si>
    <t>[End Format Range]</t>
  </si>
  <si>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</si>
  <si>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</si>
  <si>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</si>
  <si>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</si>
  <si>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</si>
  <si>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</si>
  <si>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</si>
  <si>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</si>
  <si>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</si>
  <si>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value</t>
  </si>
  <si>
    <t>validate</t>
  </si>
  <si>
    <t>headline year</t>
  </si>
  <si>
    <t>headline scenario</t>
  </si>
  <si>
    <t>archive year</t>
  </si>
  <si>
    <t>archive scenario</t>
  </si>
  <si>
    <t>Client Preference</t>
  </si>
  <si>
    <t>geus hl year</t>
  </si>
  <si>
    <t>geus scenario</t>
  </si>
  <si>
    <t>geus adj</t>
  </si>
  <si>
    <t>geus programme</t>
  </si>
  <si>
    <t>sys_application</t>
  </si>
  <si>
    <t>Slice View</t>
  </si>
  <si>
    <t>Current Workbook</t>
  </si>
  <si>
    <t>sys_application Active Form</t>
  </si>
  <si>
    <t>Active Form</t>
  </si>
  <si>
    <t>sys_application MDX</t>
  </si>
  <si>
    <t>TM1 Caption Name</t>
  </si>
  <si>
    <t>Display Caption</t>
  </si>
  <si>
    <t>TM1 Workbook Name</t>
  </si>
  <si>
    <t>Workbook Location In Application Folder</t>
  </si>
  <si>
    <t>TM1 Worksheet Name</t>
  </si>
  <si>
    <t>Key Words For Searching</t>
  </si>
  <si>
    <t>Application Description</t>
  </si>
  <si>
    <t>Application</t>
  </si>
  <si>
    <t xml:space="preserve">Note : This screen is used to manage the Applications for Navigational purposes within GEUS. </t>
  </si>
  <si>
    <t>GEUS Application Set Up</t>
  </si>
  <si>
    <t>dcceew_geus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</si>
</sst>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- &quot;@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28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2" borderId="0" xfId="0" applyFont="1" applyFill="1" applyAlignment="1">
      <alignment horizontal="center"/>
    </xf>
    <xf numFmtId="0" fontId="2" fillId="0" borderId="4" xfId="0" applyFont="1" applyBorder="1"/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/>
    <xf numFmtId="0" fontId="2" fillId="0" borderId="0" xfId="0" applyFont="1"/>
    <xf numFmtId="0" fontId="0" fillId="0" borderId="5" xfId="0" applyBorder="1"/>
    <xf numFmtId="0" fontId="2" fillId="4" borderId="5" xfId="0" applyFont="1" applyFill="1" applyBorder="1" applyAlignment="1">
      <alignment horizontal="center"/>
    </xf>
    <xf numFmtId="49" fontId="0" fillId="0" borderId="4" xfId="0" applyNumberFormat="1" applyBorder="1"/>
    <xf numFmtId="0" fontId="1" fillId="5" borderId="0" xfId="0" applyFont="1" applyFill="1" applyAlignment="1">
      <alignment horizontal="center" vertical="center"/>
    </xf>
    <xf numFmtId="0" fontId="6" fillId="0" borderId="0" xfId="0" applyFont="1"/>
    <xf numFmtId="0" fontId="7" fillId="5" borderId="0" xfId="0" applyFont="1" applyFill="1" applyAlignment="1">
      <alignment horizontal="right" vertical="center"/>
    </xf>
    <xf numFmtId="0" fontId="5" fillId="6" borderId="4" xfId="0" applyFont="1" applyFill="1" applyBorder="1" applyAlignment="1" applyProtection="1">
      <alignment vertical="top"/>
      <protection locked="0"/>
    </xf>
    <xf numFmtId="0" fontId="5" fillId="6" borderId="4" xfId="0" applyFont="1" applyFill="1" applyBorder="1" applyAlignment="1" applyProtection="1">
      <alignment vertical="top" wrapText="1"/>
      <protection locked="0"/>
    </xf>
    <xf numFmtId="0" fontId="4" fillId="7" borderId="4" xfId="0" applyFont="1" applyFill="1" applyBorder="1" applyAlignment="1" applyProtection="1">
      <alignment vertical="top"/>
      <protection locked="0"/>
    </xf>
    <xf numFmtId="0" fontId="4" fillId="7" borderId="4" xfId="0" applyFont="1" applyFill="1" applyBorder="1" applyAlignment="1" applyProtection="1">
      <alignment vertical="top" wrapText="1"/>
      <protection locked="0"/>
    </xf>
    <xf numFmtId="0" fontId="4" fillId="0" borderId="4" xfId="0" applyFont="1" applyBorder="1" applyAlignment="1" applyProtection="1">
      <alignment vertical="top"/>
      <protection locked="0"/>
    </xf>
    <xf numFmtId="0" fontId="4" fillId="0" borderId="4" xfId="0" applyFont="1" applyBorder="1" applyAlignment="1" applyProtection="1">
      <alignment vertical="top" wrapText="1"/>
      <protection locked="0"/>
    </xf>
    <xf numFmtId="0" fontId="5" fillId="6" borderId="4" xfId="0" applyFont="1" applyFill="1" applyBorder="1" applyAlignment="1">
      <alignment vertical="top"/>
    </xf>
    <xf numFmtId="0" fontId="5" fillId="7" borderId="4" xfId="0" applyFont="1" applyFill="1" applyBorder="1" applyAlignment="1">
      <alignment vertical="top"/>
    </xf>
    <xf numFmtId="0" fontId="4" fillId="0" borderId="4" xfId="0" applyFont="1" applyBorder="1" applyAlignment="1">
      <alignment vertical="top"/>
    </xf>
    <xf numFmtId="164" fontId="5" fillId="6" borderId="4" xfId="0" applyNumberFormat="1" applyFont="1" applyFill="1" applyBorder="1" applyAlignment="1">
      <alignment vertical="top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1592580</xdr:colOff>
          <xdr:row>55</xdr:row>
          <xdr:rowOff>38100</xdr:rowOff>
        </xdr:from>
        <xdr:to>
          <xdr:col>12</xdr:col>
          <xdr:colOff>1905000</xdr:colOff>
          <xdr:row>56</xdr:row>
          <xdr:rowOff>297180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56</xdr:row>
          <xdr:rowOff>22860</xdr:rowOff>
        </xdr:from>
        <xdr:to>
          <xdr:col>9</xdr:col>
          <xdr:colOff>640080</xdr:colOff>
          <xdr:row>56</xdr:row>
          <xdr:rowOff>266700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1813560</xdr:colOff>
          <xdr:row>56</xdr:row>
          <xdr:rowOff>22860</xdr:rowOff>
        </xdr:from>
        <xdr:to>
          <xdr:col>9</xdr:col>
          <xdr:colOff>3314700</xdr:colOff>
          <xdr:row>56</xdr:row>
          <xdr:rowOff>266700</xdr:rowOff>
        </xdr:to>
        <xdr:sp macro="" textlink="">
          <xdr:nvSpPr>
            <xdr:cNvPr id="1027" name="TIButton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655320</xdr:colOff>
          <xdr:row>56</xdr:row>
          <xdr:rowOff>22860</xdr:rowOff>
        </xdr:from>
        <xdr:to>
          <xdr:col>9</xdr:col>
          <xdr:colOff>1783080</xdr:colOff>
          <xdr:row>56</xdr:row>
          <xdr:rowOff>266700</xdr:rowOff>
        </xdr:to>
        <xdr:sp macro="" textlink="">
          <xdr:nvSpPr>
            <xdr:cNvPr id="1028" name="TIButton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8</xdr:col>
      <xdr:colOff>19050</xdr:colOff>
      <xdr:row>54</xdr:row>
      <xdr:rowOff>28575</xdr:rowOff>
    </xdr:from>
    <xdr:to>
      <xdr:col>9</xdr:col>
      <xdr:colOff>1771650</xdr:colOff>
      <xdr:row>54</xdr:row>
      <xdr:rowOff>474345</xdr:rowOff>
    </xdr:to>
    <xdr:pic>
      <xdr:nvPicPr>
        <xdr:cNvPr id="6" name="Pictur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28575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3352800</xdr:colOff>
          <xdr:row>56</xdr:row>
          <xdr:rowOff>22860</xdr:rowOff>
        </xdr:from>
        <xdr:to>
          <xdr:col>10</xdr:col>
          <xdr:colOff>419100</xdr:colOff>
          <xdr:row>56</xdr:row>
          <xdr:rowOff>266700</xdr:rowOff>
        </xdr:to>
        <xdr:sp macro="" textlink="">
          <xdr:nvSpPr>
            <xdr:cNvPr id="1029" name="TIButton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5F691-75A0-48E1-82A8-626E4896871D}">
  <sheetPr codeName="Sheet1">
    <outlinePr showOutlineSymbols="0"/>
    <pageSetUpPr fitToPage="1"/>
  </sheetPr>
  <dimension ref="A1:R63"/>
  <sheetViews>
    <sheetView showGridLines="0" showRowColHeaders="0" tabSelected="1" showOutlineSymbols="0" topLeftCell="A55" workbookViewId="0">
      <pane ySplit="8" topLeftCell="A63" activePane="bottomLeft" state="frozen"/>
      <selection activeCell="I55" sqref="I55"/>
      <selection pane="bottomLeft"/>
    </sheetView>
  </sheetViews>
  <sheetFormatPr defaultRowHeight="14.4" outlineLevelRow="1" outlineLevelCol="1" x14ac:dyDescent="0.3"/>
  <cols>
    <col min="1" max="1" width="2.6640625" hidden="1" customWidth="1" outlineLevel="1"/>
    <col min="2" max="2" width="43.33203125" hidden="1" customWidth="1" outlineLevel="1"/>
    <col min="3" max="8" width="20.6640625" hidden="1" customWidth="1" outlineLevel="1"/>
    <col min="9" max="9" width="0.88671875" customWidth="1" collapsed="1"/>
    <col min="10" max="10" width="55.6640625" customWidth="1"/>
    <col min="11" max="11" width="28.6640625" customWidth="1"/>
    <col min="12" max="12" width="30.6640625" customWidth="1"/>
    <col min="13" max="13" width="28.6640625" customWidth="1"/>
    <col min="14" max="14" width="90.6640625" customWidth="1"/>
    <col min="15" max="15" width="28.6640625" customWidth="1"/>
    <col min="16" max="16" width="20.6640625" customWidth="1"/>
    <col min="17" max="18" width="55.6640625" customWidth="1"/>
  </cols>
  <sheetData>
    <row r="1" spans="1:18" hidden="1" outlineLevel="1" x14ac:dyDescent="0.3">
      <c r="A1" t="s">
        <v>17</v>
      </c>
    </row>
    <row r="2" spans="1:18" hidden="1" outlineLevel="1" x14ac:dyDescent="0.3">
      <c r="A2">
        <f>0</f>
        <v>0</v>
      </c>
      <c r="J2" s="20"/>
      <c r="K2" s="14"/>
      <c r="L2" s="14"/>
      <c r="M2" s="14"/>
      <c r="N2" s="15"/>
      <c r="O2" s="14"/>
      <c r="P2" s="14"/>
      <c r="Q2" s="14"/>
      <c r="R2" s="14"/>
    </row>
    <row r="3" spans="1:18" hidden="1" outlineLevel="1" x14ac:dyDescent="0.3">
      <c r="A3">
        <f>1</f>
        <v>1</v>
      </c>
      <c r="J3" s="21"/>
      <c r="K3" s="16"/>
      <c r="L3" s="16"/>
      <c r="M3" s="16"/>
      <c r="N3" s="17"/>
      <c r="O3" s="16"/>
      <c r="P3" s="16"/>
      <c r="Q3" s="16"/>
      <c r="R3" s="16"/>
    </row>
    <row r="4" spans="1:18" hidden="1" outlineLevel="1" x14ac:dyDescent="0.3">
      <c r="A4">
        <f>2</f>
        <v>2</v>
      </c>
      <c r="J4" s="22"/>
      <c r="K4" s="18"/>
      <c r="L4" s="18"/>
      <c r="M4" s="18"/>
      <c r="N4" s="19"/>
      <c r="O4" s="18"/>
      <c r="P4" s="18"/>
      <c r="Q4" s="18"/>
      <c r="R4" s="18"/>
    </row>
    <row r="5" spans="1:18" hidden="1" outlineLevel="1" x14ac:dyDescent="0.3">
      <c r="A5">
        <f>3</f>
        <v>3</v>
      </c>
      <c r="J5" s="22"/>
      <c r="K5" s="18"/>
      <c r="L5" s="18"/>
      <c r="M5" s="18"/>
      <c r="N5" s="19"/>
      <c r="O5" s="18"/>
      <c r="P5" s="18"/>
      <c r="Q5" s="18"/>
      <c r="R5" s="18"/>
    </row>
    <row r="6" spans="1:18" hidden="1" outlineLevel="1" x14ac:dyDescent="0.3">
      <c r="A6" t="s">
        <v>15</v>
      </c>
      <c r="J6" s="22"/>
      <c r="K6" s="18"/>
      <c r="L6" s="18"/>
      <c r="M6" s="18"/>
      <c r="N6" s="19"/>
      <c r="O6" s="18"/>
      <c r="P6" s="18"/>
      <c r="Q6" s="18"/>
      <c r="R6" s="18"/>
    </row>
    <row r="7" spans="1:18" hidden="1" outlineLevel="1" x14ac:dyDescent="0.3">
      <c r="A7" t="s">
        <v>16</v>
      </c>
      <c r="J7" s="22"/>
      <c r="K7" s="18"/>
      <c r="L7" s="18"/>
      <c r="M7" s="18"/>
      <c r="N7" s="19"/>
      <c r="O7" s="18"/>
      <c r="P7" s="18"/>
      <c r="Q7" s="18"/>
      <c r="R7" s="18"/>
    </row>
    <row r="8" spans="1:18" hidden="1" outlineLevel="1" x14ac:dyDescent="0.3">
      <c r="A8" t="s">
        <v>18</v>
      </c>
    </row>
    <row r="9" spans="1:18" hidden="1" outlineLevel="1" x14ac:dyDescent="0.3"/>
    <row r="10" spans="1:18" hidden="1" outlineLevel="1" x14ac:dyDescent="0.3">
      <c r="B10" s="24" t="s">
        <v>19</v>
      </c>
      <c r="C10" s="25"/>
      <c r="D10" s="26"/>
    </row>
    <row r="11" spans="1:18" hidden="1" outlineLevel="1" x14ac:dyDescent="0.3">
      <c r="B11" s="2" t="s">
        <v>20</v>
      </c>
      <c r="C11" s="3" t="s">
        <v>55</v>
      </c>
      <c r="D11" s="4"/>
    </row>
    <row r="12" spans="1:18" hidden="1" outlineLevel="1" x14ac:dyDescent="0.3">
      <c r="B12" s="2" t="s">
        <v>21</v>
      </c>
      <c r="C12" s="5" t="str" cm="1">
        <f t="array" aca="1" ref="C12" ca="1">_xll.VIEW(db_name&amp;":}ElementAttributes_}Clients","!","!")</f>
        <v>dcceew_geus:}ElementAttributes_}Clients</v>
      </c>
      <c r="D12" s="4"/>
    </row>
    <row r="13" spans="1:18" hidden="1" outlineLevel="1" x14ac:dyDescent="0.3">
      <c r="B13" s="2" t="s">
        <v>22</v>
      </c>
      <c r="C13" s="3" t="str" cm="1">
        <f t="array" aca="1" ref="C13" ca="1">_xll.TM1USER(db_name)</f>
        <v/>
      </c>
      <c r="D13" s="4"/>
    </row>
    <row r="14" spans="1:18" hidden="1" outlineLevel="1" x14ac:dyDescent="0.3">
      <c r="B14" s="2" t="s">
        <v>23</v>
      </c>
      <c r="C14" s="3" t="str" cm="1">
        <f t="array" aca="1" ref="C14" ca="1">_xll.DBR($C$12,$C$13,$B14)</f>
        <v>*KEY_ERR</v>
      </c>
      <c r="D14" s="4"/>
    </row>
    <row r="15" spans="1:18" hidden="1" outlineLevel="1" x14ac:dyDescent="0.3">
      <c r="B15" s="2" t="s">
        <v>24</v>
      </c>
      <c r="C15" s="3" t="str" cm="1">
        <f t="array" aca="1" ref="C15" ca="1">_xll.DBR($C$12,$C$13,$B15)</f>
        <v>*KEY_ERR</v>
      </c>
      <c r="D15" s="4"/>
    </row>
    <row r="16" spans="1:18" hidden="1" outlineLevel="1" x14ac:dyDescent="0.3">
      <c r="B16" s="2" t="s">
        <v>25</v>
      </c>
      <c r="C16" s="3" t="str">
        <f ca="1">IF(LEFT($C$13,6)="CAM_AD",$C$14,$C$13)</f>
        <v/>
      </c>
      <c r="D16" s="6"/>
    </row>
    <row r="17" spans="2:4" hidden="1" outlineLevel="1" x14ac:dyDescent="0.3"/>
    <row r="18" spans="2:4" hidden="1" outlineLevel="1" x14ac:dyDescent="0.3">
      <c r="B18" s="24" t="s">
        <v>26</v>
      </c>
      <c r="C18" s="25"/>
      <c r="D18" s="26"/>
    </row>
    <row r="19" spans="2:4" hidden="1" outlineLevel="1" x14ac:dyDescent="0.3">
      <c r="B19" s="2" t="s">
        <v>27</v>
      </c>
      <c r="C19" s="6" t="str" cm="1">
        <f t="array" aca="1" ref="C19" ca="1">_xll.VIEW(db_name&amp;":}ElementAttributes_variables","!","!")</f>
        <v>dcceew_geus:}ElementAttributes_variables</v>
      </c>
      <c r="D19" s="6"/>
    </row>
    <row r="20" spans="2:4" hidden="1" outlineLevel="1" x14ac:dyDescent="0.3">
      <c r="B20" s="2"/>
      <c r="C20" s="6" t="s">
        <v>28</v>
      </c>
      <c r="D20" s="6" t="s">
        <v>29</v>
      </c>
    </row>
    <row r="21" spans="2:4" hidden="1" outlineLevel="1" x14ac:dyDescent="0.3">
      <c r="B21" s="2" t="s">
        <v>30</v>
      </c>
      <c r="C21" s="6" t="str" cm="1">
        <f t="array" aca="1" ref="C21" ca="1">_xll.DBR($C$19,$B21,C$20)</f>
        <v>*KEY_ERR</v>
      </c>
      <c r="D21" s="6"/>
    </row>
    <row r="22" spans="2:4" hidden="1" outlineLevel="1" x14ac:dyDescent="0.3">
      <c r="B22" s="2" t="s">
        <v>31</v>
      </c>
      <c r="C22" s="6" t="str" cm="1">
        <f t="array" aca="1" ref="C22" ca="1">_xll.DBR($C$19,$B22,C$20)</f>
        <v>*KEY_ERR</v>
      </c>
      <c r="D22" s="6"/>
    </row>
    <row r="23" spans="2:4" hidden="1" outlineLevel="1" x14ac:dyDescent="0.3">
      <c r="B23" s="2" t="s">
        <v>32</v>
      </c>
      <c r="C23" s="6" t="str" cm="1">
        <f t="array" aca="1" ref="C23" ca="1">_xll.DBR($C$19,$B23,C$20)</f>
        <v>*KEY_ERR</v>
      </c>
      <c r="D23" s="6"/>
    </row>
    <row r="24" spans="2:4" hidden="1" outlineLevel="1" x14ac:dyDescent="0.3">
      <c r="B24" s="2" t="s">
        <v>33</v>
      </c>
      <c r="C24" s="6" t="str" cm="1">
        <f t="array" aca="1" ref="C24" ca="1">_xll.DBR($C$19,$B24,C$20)</f>
        <v>*KEY_ERR</v>
      </c>
      <c r="D24" s="6"/>
    </row>
    <row r="25" spans="2:4" hidden="1" outlineLevel="1" x14ac:dyDescent="0.3">
      <c r="B25" s="7"/>
    </row>
    <row r="26" spans="2:4" hidden="1" outlineLevel="1" x14ac:dyDescent="0.3">
      <c r="B26" s="24" t="s">
        <v>34</v>
      </c>
      <c r="C26" s="25"/>
      <c r="D26" s="26"/>
    </row>
    <row r="27" spans="2:4" hidden="1" outlineLevel="1" x14ac:dyDescent="0.3">
      <c r="B27" s="2" t="s">
        <v>27</v>
      </c>
      <c r="C27" s="6" t="str" cm="1">
        <f t="array" aca="1" ref="C27" ca="1">_xll.VIEW(db_name&amp;":sys_client preference","!","!","!")</f>
        <v>dcceew_geus:sys_client preference</v>
      </c>
      <c r="D27" s="6"/>
    </row>
    <row r="28" spans="2:4" hidden="1" outlineLevel="1" x14ac:dyDescent="0.3">
      <c r="B28" s="2" t="s">
        <v>35</v>
      </c>
      <c r="C28" s="6" t="str" cm="1">
        <f t="array" aca="1" ref="C28" ca="1">_xll.DBR($C$27,psUser,$B28,"value")</f>
        <v>*KEY_ERR</v>
      </c>
      <c r="D28" s="6"/>
    </row>
    <row r="29" spans="2:4" hidden="1" outlineLevel="1" x14ac:dyDescent="0.3">
      <c r="B29" s="2" t="s">
        <v>36</v>
      </c>
      <c r="C29" s="6" t="str" cm="1">
        <f t="array" aca="1" ref="C29" ca="1">_xll.DBR($C$27,psUser,$B29,"value")</f>
        <v>*KEY_ERR</v>
      </c>
      <c r="D29" s="6"/>
    </row>
    <row r="30" spans="2:4" hidden="1" outlineLevel="1" x14ac:dyDescent="0.3">
      <c r="B30" s="2" t="s">
        <v>37</v>
      </c>
      <c r="C30" s="6" t="str" cm="1">
        <f t="array" aca="1" ref="C30" ca="1">_xll.DBR($C$27,psUser,$B30,"value")</f>
        <v>*KEY_ERR</v>
      </c>
      <c r="D30" s="6"/>
    </row>
    <row r="31" spans="2:4" hidden="1" outlineLevel="1" x14ac:dyDescent="0.3">
      <c r="B31" s="2" t="s">
        <v>38</v>
      </c>
      <c r="C31" s="6" t="str" cm="1">
        <f t="array" aca="1" ref="C31" ca="1">_xll.DBR($C$27,psUser,$B31,"value")</f>
        <v>*KEY_ERR</v>
      </c>
      <c r="D31" s="6"/>
    </row>
    <row r="32" spans="2:4" hidden="1" outlineLevel="1" x14ac:dyDescent="0.3">
      <c r="B32" s="7"/>
    </row>
    <row r="33" spans="2:18" hidden="1" outlineLevel="1" x14ac:dyDescent="0.3">
      <c r="B33" s="24" t="s">
        <v>39</v>
      </c>
      <c r="C33" s="25"/>
      <c r="D33" s="26"/>
    </row>
    <row r="34" spans="2:18" hidden="1" outlineLevel="1" x14ac:dyDescent="0.3">
      <c r="B34" s="6" t="s">
        <v>40</v>
      </c>
      <c r="C34" s="6" t="str" cm="1">
        <f t="array" aca="1" ref="C34" ca="1">_xll.VIEW(db_name&amp;":sys_application","!","!")</f>
        <v>dcceew_geus:sys_application</v>
      </c>
      <c r="D34" s="8"/>
    </row>
    <row r="35" spans="2:18" hidden="1" outlineLevel="1" x14ac:dyDescent="0.3">
      <c r="B35" s="2" t="s">
        <v>41</v>
      </c>
      <c r="C35" s="10" t="s">
        <v>14</v>
      </c>
      <c r="D35" s="8"/>
    </row>
    <row r="36" spans="2:18" hidden="1" outlineLevel="1" x14ac:dyDescent="0.3">
      <c r="C36" s="9" t="s">
        <v>0</v>
      </c>
      <c r="D36" s="9" t="s">
        <v>1</v>
      </c>
      <c r="E36" s="9" t="s">
        <v>2</v>
      </c>
      <c r="F36" s="9" t="s">
        <v>3</v>
      </c>
      <c r="G36" s="9" t="s">
        <v>4</v>
      </c>
      <c r="H36" s="9" t="s">
        <v>5</v>
      </c>
    </row>
    <row r="37" spans="2:18" hidden="1" outlineLevel="1" x14ac:dyDescent="0.3">
      <c r="B37" s="6" t="s">
        <v>8</v>
      </c>
      <c r="C37" s="6" t="str" cm="1">
        <f t="array" aca="1" ref="C37" ca="1">_xll.DBR($C$34,$B37,C$36)</f>
        <v>*KEY_ERR</v>
      </c>
      <c r="D37" s="6" t="str" cm="1">
        <f t="array" aca="1" ref="D37" ca="1">_xll.DBR($C$34,$B37,D$36)</f>
        <v>*KEY_ERR</v>
      </c>
      <c r="E37" s="6" t="str" cm="1">
        <f t="array" aca="1" ref="E37" ca="1">_xll.DBR($C$34,$B37,E$36)</f>
        <v>*KEY_ERR</v>
      </c>
      <c r="F37" s="6" t="str" cm="1">
        <f t="array" aca="1" ref="F37" ca="1">_xll.DBR($C$34,$B37,F$36)</f>
        <v>*KEY_ERR</v>
      </c>
      <c r="G37" s="6" t="str" cm="1">
        <f t="array" aca="1" ref="G37" ca="1">_xll.DBR($C$34,$B37,G$36)</f>
        <v>*KEY_ERR</v>
      </c>
      <c r="H37" s="6" t="str" cm="1">
        <f t="array" aca="1" ref="H37" ca="1">_xll.DBR($C$34,$B37,H$36)</f>
        <v>*KEY_ERR</v>
      </c>
    </row>
    <row r="38" spans="2:18" hidden="1" outlineLevel="1" x14ac:dyDescent="0.3">
      <c r="B38" s="6" t="s">
        <v>9</v>
      </c>
      <c r="C38" s="6" t="str" cm="1">
        <f t="array" aca="1" ref="C38" ca="1">_xll.DBR($C$34,$B38,C$36)</f>
        <v>*KEY_ERR</v>
      </c>
      <c r="D38" s="6" t="str" cm="1">
        <f t="array" aca="1" ref="D38" ca="1">_xll.DBR($C$34,$B38,D$36)</f>
        <v>*KEY_ERR</v>
      </c>
      <c r="E38" s="6" t="str" cm="1">
        <f t="array" aca="1" ref="E38" ca="1">_xll.DBR($C$34,$B38,E$36)</f>
        <v>*KEY_ERR</v>
      </c>
      <c r="F38" s="6" t="str" cm="1">
        <f t="array" aca="1" ref="F38" ca="1">_xll.DBR($C$34,$B38,F$36)</f>
        <v>*KEY_ERR</v>
      </c>
      <c r="G38" s="6" t="str" cm="1">
        <f t="array" aca="1" ref="G38" ca="1">_xll.DBR($C$34,$B38,G$36)</f>
        <v>*KEY_ERR</v>
      </c>
      <c r="H38" s="6" t="str" cm="1">
        <f t="array" aca="1" ref="H38" ca="1">_xll.DBR($C$34,$B38,H$36)</f>
        <v>*KEY_ERR</v>
      </c>
    </row>
    <row r="39" spans="2:18" hidden="1" outlineLevel="1" x14ac:dyDescent="0.3">
      <c r="B39" s="6" t="s">
        <v>10</v>
      </c>
      <c r="C39" s="6" t="str" cm="1">
        <f t="array" aca="1" ref="C39" ca="1">_xll.DBR($C$34,$B39,C$36)</f>
        <v>*KEY_ERR</v>
      </c>
      <c r="D39" s="6" t="str" cm="1">
        <f t="array" aca="1" ref="D39" ca="1">_xll.DBR($C$34,$B39,D$36)</f>
        <v>*KEY_ERR</v>
      </c>
      <c r="E39" s="6" t="str" cm="1">
        <f t="array" aca="1" ref="E39" ca="1">_xll.DBR($C$34,$B39,E$36)</f>
        <v>*KEY_ERR</v>
      </c>
      <c r="F39" s="6" t="str" cm="1">
        <f t="array" aca="1" ref="F39" ca="1">_xll.DBR($C$34,$B39,F$36)</f>
        <v>*KEY_ERR</v>
      </c>
      <c r="G39" s="6" t="str" cm="1">
        <f t="array" aca="1" ref="G39" ca="1">_xll.DBR($C$34,$B39,G$36)</f>
        <v>*KEY_ERR</v>
      </c>
      <c r="H39" s="6" t="str" cm="1">
        <f t="array" aca="1" ref="H39" ca="1">_xll.DBR($C$34,$B39,H$36)</f>
        <v>*KEY_ERR</v>
      </c>
    </row>
    <row r="40" spans="2:18" hidden="1" outlineLevel="1" x14ac:dyDescent="0.3">
      <c r="B40" s="6" t="s">
        <v>13</v>
      </c>
      <c r="C40" s="6" t="str" cm="1">
        <f t="array" aca="1" ref="C40" ca="1">_xll.DBR($C$34,$B40,C$36)</f>
        <v>*KEY_ERR</v>
      </c>
      <c r="D40" s="6" t="str" cm="1">
        <f t="array" aca="1" ref="D40" ca="1">_xll.DBR($C$34,$B40,D$36)</f>
        <v>*KEY_ERR</v>
      </c>
      <c r="E40" s="6" t="str" cm="1">
        <f t="array" aca="1" ref="E40" ca="1">_xll.DBR($C$34,$B40,E$36)</f>
        <v>*KEY_ERR</v>
      </c>
      <c r="F40" s="6" t="str" cm="1">
        <f t="array" aca="1" ref="F40" ca="1">_xll.DBR($C$34,$B40,F$36)</f>
        <v>*KEY_ERR</v>
      </c>
      <c r="G40" s="6" t="str" cm="1">
        <f t="array" aca="1" ref="G40" ca="1">_xll.DBR($C$34,$B40,G$36)</f>
        <v>*KEY_ERR</v>
      </c>
      <c r="H40" s="6" t="str" cm="1">
        <f t="array" aca="1" ref="H40" ca="1">_xll.DBR($C$34,$B40,H$36)</f>
        <v>*KEY_ERR</v>
      </c>
    </row>
    <row r="41" spans="2:18" hidden="1" outlineLevel="1" x14ac:dyDescent="0.3">
      <c r="B41" s="6" t="s">
        <v>11</v>
      </c>
      <c r="C41" s="6" t="str" cm="1">
        <f t="array" aca="1" ref="C41" ca="1">_xll.DBR($C$34,$B41,C$36)</f>
        <v>*KEY_ERR</v>
      </c>
      <c r="D41" s="6" t="str" cm="1">
        <f t="array" aca="1" ref="D41" ca="1">_xll.DBR($C$34,$B41,D$36)</f>
        <v>*KEY_ERR</v>
      </c>
      <c r="E41" s="6" t="str" cm="1">
        <f t="array" aca="1" ref="E41" ca="1">_xll.DBR($C$34,$B41,E$36)</f>
        <v>*KEY_ERR</v>
      </c>
      <c r="F41" s="6" t="str" cm="1">
        <f t="array" aca="1" ref="F41" ca="1">_xll.DBR($C$34,$B41,F$36)</f>
        <v>*KEY_ERR</v>
      </c>
      <c r="G41" s="6" t="str" cm="1">
        <f t="array" aca="1" ref="G41" ca="1">_xll.DBR($C$34,$B41,G$36)</f>
        <v>*KEY_ERR</v>
      </c>
      <c r="H41" s="6" t="str" cm="1">
        <f t="array" aca="1" ref="H41" ca="1">_xll.DBR($C$34,$B41,H$36)</f>
        <v>*KEY_ERR</v>
      </c>
    </row>
    <row r="42" spans="2:18" hidden="1" outlineLevel="1" x14ac:dyDescent="0.3">
      <c r="B42" s="6" t="s">
        <v>12</v>
      </c>
      <c r="C42" s="6" t="str" cm="1">
        <f t="array" aca="1" ref="C42" ca="1">_xll.DBR($C$34,$B42,C$36)</f>
        <v>*KEY_ERR</v>
      </c>
      <c r="D42" s="6" t="str" cm="1">
        <f t="array" aca="1" ref="D42" ca="1">_xll.DBR($C$34,$B42,D$36)</f>
        <v>*KEY_ERR</v>
      </c>
      <c r="E42" s="6" t="str" cm="1">
        <f t="array" aca="1" ref="E42" ca="1">_xll.DBR($C$34,$B42,E$36)</f>
        <v>*KEY_ERR</v>
      </c>
      <c r="F42" s="6" t="str" cm="1">
        <f t="array" aca="1" ref="F42" ca="1">_xll.DBR($C$34,$B42,F$36)</f>
        <v>*KEY_ERR</v>
      </c>
      <c r="G42" s="6" t="str" cm="1">
        <f t="array" aca="1" ref="G42" ca="1">_xll.DBR($C$34,$B42,G$36)</f>
        <v>*KEY_ERR</v>
      </c>
      <c r="H42" s="6" t="str" cm="1">
        <f t="array" aca="1" ref="H42" ca="1">_xll.DBR($C$34,$B42,H$36)</f>
        <v>*KEY_ERR</v>
      </c>
    </row>
    <row r="43" spans="2:18" hidden="1" outlineLevel="1" x14ac:dyDescent="0.3"/>
    <row r="44" spans="2:18" hidden="1" outlineLevel="1" x14ac:dyDescent="0.3">
      <c r="B44" s="24" t="s">
        <v>42</v>
      </c>
      <c r="C44" s="25"/>
      <c r="D44" s="26"/>
    </row>
    <row r="45" spans="2:18" hidden="1" outlineLevel="1" x14ac:dyDescent="0.3">
      <c r="B45" s="6" t="s">
        <v>43</v>
      </c>
      <c r="C45" s="6" t="str" cm="1">
        <f t="array" aca="1" ref="C45" ca="1">_xll.TM1RPTVIEW(db_name&amp;":sys_application:1", 0,TM1RPTFMTRNG,TM1RPTFMTIDCOL)</f>
        <v>dcceew_geus:sys_application:1</v>
      </c>
      <c r="D45" s="6"/>
    </row>
    <row r="46" spans="2:18" hidden="1" outlineLevel="1" x14ac:dyDescent="0.3">
      <c r="B46" s="6" t="s">
        <v>44</v>
      </c>
      <c r="C46" s="6" t="str">
        <f ca="1">"{TM1DRILLDOWNMEMBER( {[sys_application].[" &amp; $C$47 &amp; "]}, ALL, RECURSIVE )}"</f>
        <v>{TM1DRILLDOWNMEMBER( {[sys_application].[]}, ALL, RECURSIVE )}</v>
      </c>
      <c r="D46" s="6"/>
    </row>
    <row r="47" spans="2:18" hidden="1" outlineLevel="1" x14ac:dyDescent="0.3">
      <c r="B47" s="6" t="s">
        <v>39</v>
      </c>
      <c r="C47" s="6" t="str" cm="1">
        <f t="array" aca="1" ref="C47" ca="1">_xll.SUBNM(db_name&amp;":sys_application","","GEUS Annual Estimates")</f>
        <v/>
      </c>
      <c r="D47" s="6"/>
      <c r="K47" s="1" t="s">
        <v>0</v>
      </c>
      <c r="L47" s="1" t="s">
        <v>1</v>
      </c>
      <c r="M47" s="1" t="s">
        <v>2</v>
      </c>
      <c r="N47" s="1" t="s">
        <v>3</v>
      </c>
      <c r="O47" s="1" t="s">
        <v>4</v>
      </c>
      <c r="P47" s="1" t="s">
        <v>5</v>
      </c>
      <c r="Q47" s="1" t="s">
        <v>6</v>
      </c>
      <c r="R47" s="1" t="s">
        <v>7</v>
      </c>
    </row>
    <row r="48" spans="2:18" hidden="1" outlineLevel="1" x14ac:dyDescent="0.3"/>
    <row r="49" spans="1:18" hidden="1" outlineLevel="1" x14ac:dyDescent="0.3"/>
    <row r="50" spans="1:18" hidden="1" outlineLevel="1" x14ac:dyDescent="0.3"/>
    <row r="51" spans="1:18" hidden="1" outlineLevel="1" x14ac:dyDescent="0.3"/>
    <row r="52" spans="1:18" hidden="1" outlineLevel="1" x14ac:dyDescent="0.3"/>
    <row r="53" spans="1:18" hidden="1" outlineLevel="1" x14ac:dyDescent="0.3"/>
    <row r="54" spans="1:18" hidden="1" outlineLevel="1" x14ac:dyDescent="0.3"/>
    <row r="55" spans="1:18" ht="39.9" customHeight="1" collapsed="1" x14ac:dyDescent="0.3">
      <c r="I55" s="13"/>
      <c r="J55" s="13"/>
      <c r="K55" s="13"/>
      <c r="L55" s="13"/>
      <c r="M55" s="13" t="s">
        <v>54</v>
      </c>
      <c r="N55" s="13"/>
      <c r="O55" s="13"/>
      <c r="P55" s="13"/>
      <c r="Q55" s="13"/>
      <c r="R55" s="13"/>
    </row>
    <row r="56" spans="1:18" ht="4.5" customHeight="1" x14ac:dyDescent="0.3"/>
    <row r="57" spans="1:18" ht="24" customHeight="1" x14ac:dyDescent="0.3"/>
    <row r="58" spans="1:18" ht="1.5" customHeight="1" x14ac:dyDescent="0.3">
      <c r="I58" s="13"/>
      <c r="J58" s="13"/>
      <c r="K58" s="13"/>
      <c r="L58" s="13"/>
      <c r="M58" s="13"/>
      <c r="N58" s="13"/>
      <c r="O58" s="13"/>
      <c r="P58" s="13"/>
      <c r="Q58" s="13"/>
      <c r="R58" s="13"/>
    </row>
    <row r="59" spans="1:18" ht="4.5" customHeight="1" x14ac:dyDescent="0.3"/>
    <row r="60" spans="1:18" x14ac:dyDescent="0.3">
      <c r="J60" s="12" t="s">
        <v>53</v>
      </c>
    </row>
    <row r="61" spans="1:18" ht="4.5" customHeight="1" x14ac:dyDescent="0.3"/>
    <row r="62" spans="1:18" x14ac:dyDescent="0.3">
      <c r="J62" s="11" t="s">
        <v>52</v>
      </c>
      <c r="K62" s="11" t="s">
        <v>45</v>
      </c>
      <c r="L62" s="11" t="s">
        <v>46</v>
      </c>
      <c r="M62" s="11" t="s">
        <v>47</v>
      </c>
      <c r="N62" s="11" t="s">
        <v>48</v>
      </c>
      <c r="O62" s="11" t="s">
        <v>49</v>
      </c>
      <c r="P62" s="11" t="s">
        <v>5</v>
      </c>
      <c r="Q62" s="11" t="s">
        <v>50</v>
      </c>
      <c r="R62" s="11" t="s">
        <v>51</v>
      </c>
    </row>
    <row r="63" spans="1:18" x14ac:dyDescent="0.3">
      <c r="A63" t="str" cm="1">
        <f t="array" aca="1" ref="A63" ca="1">IF(_xll.TM1RPTELISCONSOLIDATED($J$63,$J63),IF(_xll.TM1RPTELLEV($J$63,$J63)&lt;=3,_xll.TM1RPTELLEV($J$63,$J63),"D"),"N")</f>
        <v>N</v>
      </c>
      <c r="J63" s="23" t="str" cm="1">
        <f t="array" aca="1" ref="J63" ca="1">_xll.TM1RPTROW($C$45,db_name&amp;":sys_application","","","",0,$C$46)</f>
        <v/>
      </c>
      <c r="K63" s="14" t="str" cm="1">
        <f t="array" aca="1" ref="K63" ca="1">_xll.DBRW($C$45,$J63,K$47)</f>
        <v/>
      </c>
      <c r="L63" s="14" t="str" cm="1">
        <f t="array" aca="1" ref="L63" ca="1">_xll.DBRW($C$45,$J63,L$47)</f>
        <v/>
      </c>
      <c r="M63" s="14" t="str" cm="1">
        <f t="array" aca="1" ref="M63" ca="1">_xll.DBRW($C$45,$J63,M$47)</f>
        <v/>
      </c>
      <c r="N63" s="15" t="str" cm="1">
        <f t="array" aca="1" ref="N63" ca="1">_xll.DBRW($C$45,$J63,N$47)</f>
        <v/>
      </c>
      <c r="O63" s="14" t="str" cm="1">
        <f t="array" aca="1" ref="O63" ca="1">_xll.DBRW($C$45,$J63,O$47)</f>
        <v/>
      </c>
      <c r="P63" s="14" t="str" cm="1">
        <f t="array" aca="1" ref="P63" ca="1">_xll.DBRW($C$45,$J63,P$47)</f>
        <v/>
      </c>
      <c r="Q63" s="14" t="str" cm="1">
        <f t="array" aca="1" ref="Q63" ca="1">_xll.DBRW($C$45,$J63,Q$47)</f>
        <v/>
      </c>
      <c r="R63" s="14" t="str" cm="1">
        <f t="array" aca="1" ref="R63" ca="1">_xll.DBRW($C$45,$J63,R$47)</f>
        <v/>
      </c>
    </row>
  </sheetData>
  <sheetProtection sheet="1" objects="1" scenarios="1"/>
  <mergeCells count="5">
    <mergeCell ref="B10:D10"/>
    <mergeCell ref="B18:D18"/>
    <mergeCell ref="B26:D26"/>
    <mergeCell ref="B33:D33"/>
    <mergeCell ref="B44:D44"/>
  </mergeCells>
  <pageMargins left="0.70866141732283472" right="0.70866141732283472" top="0.74803149606299213" bottom="0.74803149606299213" header="0.31496062992125984" footer="0.31496062992125984"/>
  <pageSetup paperSize="9" scale="33" fitToHeight="0" orientation="landscape" horizontalDpi="0" verticalDpi="0" r:id="rId1"/>
  <drawing r:id="rId2"/>
  <legacyDrawing r:id="rId3"/>
  <controls>
    <mc:AlternateContent xmlns:mc="http://schemas.openxmlformats.org/markup-compatibility/2006">
      <mc:Choice Requires="x14">
        <control shapeId="1025" r:id="rId4" name="TIButton1">
          <controlPr defaultSize="0" print="0" autoLine="0" r:id="rId5">
            <anchor moveWithCells="1" sizeWithCells="1">
              <from>
                <xdr:col>12</xdr:col>
                <xdr:colOff>1592580</xdr:colOff>
                <xdr:row>55</xdr:row>
                <xdr:rowOff>38100</xdr:rowOff>
              </from>
              <to>
                <xdr:col>12</xdr:col>
                <xdr:colOff>1905000</xdr:colOff>
                <xdr:row>56</xdr:row>
                <xdr:rowOff>297180</xdr:rowOff>
              </to>
            </anchor>
          </controlPr>
        </control>
      </mc:Choice>
      <mc:Fallback>
        <control shapeId="1025" r:id="rId4" name="TIButton1"/>
      </mc:Fallback>
    </mc:AlternateContent>
    <mc:AlternateContent xmlns:mc="http://schemas.openxmlformats.org/markup-compatibility/2006">
      <mc:Choice Requires="x14">
        <control shapeId="1026" r:id="rId6" name="TIButton2">
          <controlPr defaultSize="0" print="0" autoLine="0" r:id="rId7">
            <anchor moveWithCells="1" sizeWithCells="1">
              <from>
                <xdr:col>9</xdr:col>
                <xdr:colOff>0</xdr:colOff>
                <xdr:row>56</xdr:row>
                <xdr:rowOff>22860</xdr:rowOff>
              </from>
              <to>
                <xdr:col>9</xdr:col>
                <xdr:colOff>640080</xdr:colOff>
                <xdr:row>56</xdr:row>
                <xdr:rowOff>266700</xdr:rowOff>
              </to>
            </anchor>
          </controlPr>
        </control>
      </mc:Choice>
      <mc:Fallback>
        <control shapeId="1026" r:id="rId6" name="TIButton2"/>
      </mc:Fallback>
    </mc:AlternateContent>
    <mc:AlternateContent xmlns:mc="http://schemas.openxmlformats.org/markup-compatibility/2006">
      <mc:Choice Requires="x14">
        <control shapeId="1027" r:id="rId8" name="TIButton3">
          <controlPr defaultSize="0" print="0" autoLine="0" r:id="rId9">
            <anchor moveWithCells="1" sizeWithCells="1">
              <from>
                <xdr:col>9</xdr:col>
                <xdr:colOff>1813560</xdr:colOff>
                <xdr:row>56</xdr:row>
                <xdr:rowOff>22860</xdr:rowOff>
              </from>
              <to>
                <xdr:col>9</xdr:col>
                <xdr:colOff>3314700</xdr:colOff>
                <xdr:row>56</xdr:row>
                <xdr:rowOff>266700</xdr:rowOff>
              </to>
            </anchor>
          </controlPr>
        </control>
      </mc:Choice>
      <mc:Fallback>
        <control shapeId="1027" r:id="rId8" name="TIButton3"/>
      </mc:Fallback>
    </mc:AlternateContent>
    <mc:AlternateContent xmlns:mc="http://schemas.openxmlformats.org/markup-compatibility/2006">
      <mc:Choice Requires="x14">
        <control shapeId="1028" r:id="rId10" name="TIButton4">
          <controlPr defaultSize="0" print="0" autoLine="0" r:id="rId11">
            <anchor moveWithCells="1" sizeWithCells="1">
              <from>
                <xdr:col>9</xdr:col>
                <xdr:colOff>655320</xdr:colOff>
                <xdr:row>56</xdr:row>
                <xdr:rowOff>22860</xdr:rowOff>
              </from>
              <to>
                <xdr:col>9</xdr:col>
                <xdr:colOff>1783080</xdr:colOff>
                <xdr:row>56</xdr:row>
                <xdr:rowOff>266700</xdr:rowOff>
              </to>
            </anchor>
          </controlPr>
        </control>
      </mc:Choice>
      <mc:Fallback>
        <control shapeId="1028" r:id="rId10" name="TIButton4"/>
      </mc:Fallback>
    </mc:AlternateContent>
    <mc:AlternateContent xmlns:mc="http://schemas.openxmlformats.org/markup-compatibility/2006">
      <mc:Choice Requires="x14">
        <control shapeId="1029" r:id="rId12" name="TIButton5">
          <controlPr defaultSize="0" print="0" autoLine="0" r:id="rId13">
            <anchor moveWithCells="1" sizeWithCells="1">
              <from>
                <xdr:col>9</xdr:col>
                <xdr:colOff>3352800</xdr:colOff>
                <xdr:row>56</xdr:row>
                <xdr:rowOff>22860</xdr:rowOff>
              </from>
              <to>
                <xdr:col>10</xdr:col>
                <xdr:colOff>419100</xdr:colOff>
                <xdr:row>56</xdr:row>
                <xdr:rowOff>266700</xdr:rowOff>
              </to>
            </anchor>
          </controlPr>
        </control>
      </mc:Choice>
      <mc:Fallback>
        <control shapeId="1029" r:id="rId12" name="TIButton5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24</vt:i4>
      </vt:variant>
    </vt:vector>
  </HeadingPairs>
  <TitlesOfParts>
    <vt:vector size="25" baseType="lpstr">
      <vt:lpstr>application</vt:lpstr>
      <vt:lpstr>db_name</vt:lpstr>
      <vt:lpstr>psApp</vt:lpstr>
      <vt:lpstr>psUser</vt:lpstr>
      <vt:lpstr>TM1HomeAdminCAP</vt:lpstr>
      <vt:lpstr>TM1HomeAdminGEUSCAP</vt:lpstr>
      <vt:lpstr>TM1HomeAdminGEUSWB</vt:lpstr>
      <vt:lpstr>TM1HomeAdminGEUSWS</vt:lpstr>
      <vt:lpstr>TM1HomeAdminRDSCAP</vt:lpstr>
      <vt:lpstr>TM1HomeAdminRDSWB</vt:lpstr>
      <vt:lpstr>TM1HomeAdminRDSWS</vt:lpstr>
      <vt:lpstr>TM1HomeAdminWB</vt:lpstr>
      <vt:lpstr>TM1HomeAdminWS</vt:lpstr>
      <vt:lpstr>TM1HomeAECAP</vt:lpstr>
      <vt:lpstr>TM1HomeAEWB</vt:lpstr>
      <vt:lpstr>TM1HomeAEWS</vt:lpstr>
      <vt:lpstr>TM1HomeCAP</vt:lpstr>
      <vt:lpstr>TM1HomeUnderCAP</vt:lpstr>
      <vt:lpstr>TM1HomeUnderWB</vt:lpstr>
      <vt:lpstr>TM1HomeUnderWS</vt:lpstr>
      <vt:lpstr>TM1HomeWB</vt:lpstr>
      <vt:lpstr>TM1HomeWS</vt:lpstr>
      <vt:lpstr>application!TM1RPTDATARNG1</vt:lpstr>
      <vt:lpstr>application!TM1RPTFMTIDCOL</vt:lpstr>
      <vt:lpstr>application!TM1RPTFMTRNG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blooyen</cp:lastModifiedBy>
  <cp:lastPrinted>2019-08-30T06:13:16Z</cp:lastPrinted>
  <dcterms:created xsi:type="dcterms:W3CDTF">2019-08-30T05:59:04Z</dcterms:created>
  <dcterms:modified xsi:type="dcterms:W3CDTF">2023-02-14T22:33:30Z</dcterms:modified>
</cp:coreProperties>
</file>