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C29FC3E6-C5DC-4FC0-8C1B-82BFBE85818E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sheet 1" sheetId="1" r:id="rId1"/>
  </sheets>
  <externalReferences>
    <externalReference r:id="rId2"/>
  </externalReferences>
  <definedNames>
    <definedName name="acctemp_Factor">'[1]Account Template'!$S$72</definedName>
    <definedName name="aProgramme">'[1]Profile template'!$AC$20</definedName>
    <definedName name="db_name">'sheet 1'!$C$12</definedName>
    <definedName name="ff_extract_prog">'[1]flatfile extract'!#REF!</definedName>
    <definedName name="psFF_Prog">'[1]flatfile extract'!$J$42</definedName>
    <definedName name="TM1MEHomeCAP">'sheet 1'!$D$46</definedName>
    <definedName name="TM1MEHomeWB">'sheet 1'!$F$46</definedName>
    <definedName name="TM1MEHomeWS">'sheet 1'!$H$46</definedName>
    <definedName name="TM1MERepBSCAP">'sheet 1'!$D$48</definedName>
    <definedName name="TM1MERepBSWB">'sheet 1'!$F$48</definedName>
    <definedName name="TM1MERepBSWS">'sheet 1'!$H$48</definedName>
    <definedName name="TM1MERepCFCAP">'sheet 1'!$D$49</definedName>
    <definedName name="TM1MERepCFWB">'sheet 1'!$F$49</definedName>
    <definedName name="TM1MERepCFWS">'sheet 1'!$H$49</definedName>
    <definedName name="TM1MERepOSCAP">'sheet 1'!$D$47</definedName>
    <definedName name="TM1MERepOSWB">'sheet 1'!$F$47</definedName>
    <definedName name="TM1MERepOSWS">'sheet 1'!$H$47</definedName>
    <definedName name="TM1MESummaryCAP">'sheet 1'!$D$50</definedName>
    <definedName name="TM1MESummaryWB">'sheet 1'!$F$50</definedName>
    <definedName name="TM1MESummaryWS">'sheet 1'!$H$50</definedName>
    <definedName name="TM1REBUILDOPTION" localSheetId="0">0</definedName>
    <definedName name="TM1REBUILDOPTION">0</definedName>
    <definedName name="TM1RPTDATARNG2" localSheetId="0">'sheet 1'!$81:$81</definedName>
    <definedName name="TM1RPTDATARNGARPT1" localSheetId="0">'sheet 1'!$86:$86</definedName>
    <definedName name="TM1RPTDATARNGARPT2" localSheetId="0">'sheet 1'!#REF!</definedName>
    <definedName name="TM1RPTDATARNGARPT3" localSheetId="0">'sheet 1'!#REF!</definedName>
    <definedName name="TM1RPTDATARNGARPT4" localSheetId="0">'sheet 1'!#REF!</definedName>
    <definedName name="TM1RPTDATARNGARPT5" localSheetId="0">'sheet 1'!#REF!</definedName>
    <definedName name="TM1RPTFMTIDCOL" localSheetId="0">'sheet 1'!$A$1:$A$8</definedName>
    <definedName name="TM1RPTFMTRNG" localSheetId="0">'sheet 1'!$B$1:$AC$8</definedName>
    <definedName name="trf_target_prog">'[1]Transfer Targets'!$F$35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4" i="1" l="1"/>
  <c r="D29" i="1"/>
  <c r="C31" i="1"/>
  <c r="C86" i="1"/>
  <c r="C29" i="1"/>
  <c r="B86" i="1"/>
  <c r="E86" i="1"/>
  <c r="F86" i="1"/>
  <c r="D86" i="1"/>
  <c r="D28" i="1"/>
  <c r="C81" i="1"/>
  <c r="C28" i="1"/>
  <c r="B81" i="1"/>
  <c r="E81" i="1"/>
  <c r="F81" i="1"/>
  <c r="D81" i="1"/>
  <c r="L73" i="1"/>
  <c r="L72" i="1"/>
  <c r="C21" i="1" a="1"/>
  <c r="C21" i="1"/>
  <c r="C22" i="1" a="1"/>
  <c r="C22" i="1"/>
  <c r="L71" i="1"/>
  <c r="C40" i="1"/>
  <c r="C39" i="1"/>
  <c r="C38" i="1"/>
  <c r="C37" i="1"/>
  <c r="C36" i="1"/>
  <c r="C35" i="1"/>
  <c r="D31" i="1"/>
  <c r="C41" i="1" a="1"/>
  <c r="C41" i="1"/>
  <c r="C44" i="1" a="1"/>
  <c r="C44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D27" i="1"/>
  <c r="AC32" i="1"/>
  <c r="AC31" i="1"/>
  <c r="AC88" i="1"/>
  <c r="AB32" i="1"/>
  <c r="AB31" i="1"/>
  <c r="AB88" i="1"/>
  <c r="AA32" i="1"/>
  <c r="AA31" i="1"/>
  <c r="AA88" i="1"/>
  <c r="Z32" i="1"/>
  <c r="Z31" i="1"/>
  <c r="Z88" i="1"/>
  <c r="Y32" i="1"/>
  <c r="Y31" i="1"/>
  <c r="Y88" i="1"/>
  <c r="X32" i="1"/>
  <c r="X31" i="1"/>
  <c r="X88" i="1"/>
  <c r="W32" i="1"/>
  <c r="W31" i="1"/>
  <c r="W88" i="1"/>
  <c r="V32" i="1"/>
  <c r="V31" i="1"/>
  <c r="V88" i="1"/>
  <c r="U32" i="1"/>
  <c r="U31" i="1"/>
  <c r="U88" i="1"/>
  <c r="T32" i="1"/>
  <c r="T31" i="1"/>
  <c r="T88" i="1"/>
  <c r="S32" i="1"/>
  <c r="S31" i="1"/>
  <c r="S88" i="1"/>
  <c r="R32" i="1"/>
  <c r="R31" i="1"/>
  <c r="R88" i="1"/>
  <c r="O88" i="1"/>
  <c r="N88" i="1"/>
  <c r="N83" i="1"/>
  <c r="AC86" i="1"/>
  <c r="AB86" i="1"/>
  <c r="AA86" i="1"/>
  <c r="Z86" i="1"/>
  <c r="Y86" i="1"/>
  <c r="X86" i="1"/>
  <c r="W86" i="1"/>
  <c r="V86" i="1"/>
  <c r="U86" i="1"/>
  <c r="T86" i="1"/>
  <c r="S86" i="1"/>
  <c r="R86" i="1"/>
  <c r="O86" i="1"/>
  <c r="N86" i="1"/>
  <c r="AC83" i="1"/>
  <c r="AB83" i="1"/>
  <c r="AA83" i="1"/>
  <c r="Z83" i="1"/>
  <c r="Y83" i="1"/>
  <c r="X83" i="1"/>
  <c r="W83" i="1"/>
  <c r="V83" i="1"/>
  <c r="U83" i="1"/>
  <c r="T83" i="1"/>
  <c r="S83" i="1"/>
  <c r="R83" i="1"/>
  <c r="O83" i="1"/>
  <c r="AC78" i="1"/>
  <c r="AB78" i="1"/>
  <c r="AA78" i="1"/>
  <c r="Z78" i="1"/>
  <c r="Y78" i="1"/>
  <c r="X78" i="1"/>
  <c r="W78" i="1"/>
  <c r="V78" i="1"/>
  <c r="U78" i="1"/>
  <c r="T78" i="1"/>
  <c r="S78" i="1"/>
  <c r="R78" i="1"/>
  <c r="O78" i="1"/>
  <c r="N78" i="1"/>
  <c r="AC81" i="1"/>
  <c r="AB81" i="1"/>
  <c r="AA81" i="1"/>
  <c r="Z81" i="1"/>
  <c r="Y81" i="1"/>
  <c r="X81" i="1"/>
  <c r="W81" i="1"/>
  <c r="V81" i="1"/>
  <c r="U81" i="1"/>
  <c r="T81" i="1"/>
  <c r="S81" i="1"/>
  <c r="R81" i="1"/>
  <c r="O81" i="1"/>
  <c r="N81" i="1"/>
  <c r="C24" i="1" a="1"/>
  <c r="C24" i="1"/>
  <c r="C23" i="1" a="1"/>
  <c r="C23" i="1"/>
  <c r="C16" i="1" a="1"/>
  <c r="C16" i="1"/>
  <c r="C18" i="1" a="1"/>
  <c r="C18" i="1"/>
  <c r="C17" i="1" a="1"/>
  <c r="C17" i="1"/>
  <c r="C13" i="1" a="1"/>
  <c r="C13" i="1"/>
  <c r="P88" i="1"/>
  <c r="P86" i="1"/>
  <c r="L86" i="1"/>
  <c r="K86" i="1"/>
  <c r="J86" i="1"/>
  <c r="A86" i="1"/>
  <c r="AC85" i="1"/>
  <c r="AB85" i="1"/>
  <c r="AA85" i="1"/>
  <c r="Z85" i="1"/>
  <c r="Y85" i="1"/>
  <c r="X85" i="1"/>
  <c r="W85" i="1"/>
  <c r="V85" i="1"/>
  <c r="U85" i="1"/>
  <c r="T85" i="1"/>
  <c r="S85" i="1"/>
  <c r="R85" i="1"/>
  <c r="P83" i="1"/>
  <c r="P81" i="1"/>
  <c r="L81" i="1"/>
  <c r="K81" i="1"/>
  <c r="J81" i="1"/>
  <c r="A81" i="1"/>
  <c r="AC80" i="1"/>
  <c r="AB80" i="1"/>
  <c r="AA80" i="1"/>
  <c r="Z80" i="1"/>
  <c r="Y80" i="1"/>
  <c r="X80" i="1"/>
  <c r="W80" i="1"/>
  <c r="V80" i="1"/>
  <c r="U80" i="1"/>
  <c r="T80" i="1"/>
  <c r="S80" i="1"/>
  <c r="R80" i="1"/>
  <c r="P78" i="1"/>
  <c r="A5" i="1"/>
  <c r="A4" i="1"/>
  <c r="A3" i="1"/>
  <c r="A2" i="1"/>
</calcChain>
</file>

<file path=xl/sharedStrings.xml><?xml version="1.0" encoding="utf-8"?>
<sst xmlns="http://schemas.openxmlformats.org/spreadsheetml/2006/main" count="135" uniqueCount="105">
  <si>
    <t>[Begin Format Range]</t>
  </si>
  <si>
    <t>D</t>
  </si>
  <si>
    <t>N</t>
  </si>
  <si>
    <t>[End Format Range]</t>
  </si>
  <si>
    <t>Dimensions</t>
  </si>
  <si>
    <t>MDX Statement</t>
  </si>
  <si>
    <t>Active Form</t>
  </si>
  <si>
    <t>Slice View</t>
  </si>
  <si>
    <t>Account Income</t>
  </si>
  <si>
    <t>{TM1FILTERBYLEVEL( {TM1DRILLDOWNMEMBER( {[account].[1000001]}, ALL, RECURSIVE )}, 0)}</t>
  </si>
  <si>
    <t>Account Expenses</t>
  </si>
  <si>
    <t>{TM1FILTERBYLEVEL( {TM1DRILLDOWNMEMBER( {[account].[2000000]}, ALL, RECURSIVE )}, 0)}</t>
  </si>
  <si>
    <t>Related Entity</t>
  </si>
  <si>
    <t>Function</t>
  </si>
  <si>
    <t>{[function].[Total functions]}</t>
  </si>
  <si>
    <t>{{TM1FILTERBYLEVEL( {TM1SUBSETALL( [function] )}, 0)},{[function].[Total functions]}}</t>
  </si>
  <si>
    <t>Total functions</t>
  </si>
  <si>
    <t>0000A</t>
  </si>
  <si>
    <t>00001</t>
  </si>
  <si>
    <t>Program</t>
  </si>
  <si>
    <t>Movement Account</t>
  </si>
  <si>
    <t>Jun YTD</t>
  </si>
  <si>
    <t>Movement</t>
  </si>
  <si>
    <t>{[movement account].[Total movement]}</t>
  </si>
  <si>
    <t>{FILTER( {TM1FILTERBYLEVEL( {TM1SUBSETALL( [movement account] )}, 0)}, [movement account].[editable] = "")}</t>
  </si>
  <si>
    <t>Total movement</t>
  </si>
  <si>
    <t>Jurisdiction</t>
  </si>
  <si>
    <t>{[related entity].[Total related entity]}</t>
  </si>
  <si>
    <t>{TM1FILTERBYLEVEL( {TM1SUBSETALL( [related entity] )}, 0)}</t>
  </si>
  <si>
    <t>Total related entity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</si>
  <si>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</si>
  <si>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</si>
  <si>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</si>
  <si>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</si>
  <si>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</si>
  <si>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</si>
  <si>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</si>
  <si>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</si>
  <si>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</si>
  <si>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</si>
  <si>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</si>
  <si>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</si>
  <si>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{[jurisdiction].[Total jurisdictions]}</t>
  </si>
  <si>
    <t>{TM1FILTERBYLEVEL( {TM1SUBSETALL( [jurisdiction] )}, 0)}</t>
  </si>
  <si>
    <t>Total jurisdictions</t>
  </si>
  <si>
    <t>T1 PBS Activity Code</t>
  </si>
  <si>
    <t>Headline Year</t>
  </si>
  <si>
    <t>Scenario</t>
  </si>
  <si>
    <t>Status</t>
  </si>
  <si>
    <t>Template Month Status</t>
  </si>
  <si>
    <t>Year to Date</t>
  </si>
  <si>
    <t>Balance Sheet</t>
  </si>
  <si>
    <t>Revenue</t>
  </si>
  <si>
    <t>REVENUE</t>
  </si>
  <si>
    <t>Account</t>
  </si>
  <si>
    <t>Activitiy Code</t>
  </si>
  <si>
    <t>Account Parent</t>
  </si>
  <si>
    <t>Program Display</t>
  </si>
  <si>
    <t>Activity Code</t>
  </si>
  <si>
    <t>Annual Estimates</t>
  </si>
  <si>
    <t>Monthly Estimates</t>
  </si>
  <si>
    <t>Variance</t>
  </si>
  <si>
    <t>Total Revenue</t>
  </si>
  <si>
    <t>Expenses</t>
  </si>
  <si>
    <t>EXPENSES</t>
  </si>
  <si>
    <t>Total Expenses</t>
  </si>
  <si>
    <t>System Variables</t>
  </si>
  <si>
    <t>Database Name</t>
  </si>
  <si>
    <t>Current User</t>
  </si>
  <si>
    <t>}ElementAttributes_variables</t>
  </si>
  <si>
    <t>Cube View</t>
  </si>
  <si>
    <t>headline year</t>
  </si>
  <si>
    <t>headline scenario</t>
  </si>
  <si>
    <t>ME System Variable</t>
  </si>
  <si>
    <t>ME_headline year</t>
  </si>
  <si>
    <t>ME year</t>
  </si>
  <si>
    <t>ME_period</t>
  </si>
  <si>
    <t>ME reporting measure</t>
  </si>
  <si>
    <t>SPP</t>
  </si>
  <si>
    <t>Appropriation Item</t>
  </si>
  <si>
    <t>REPORT PARAMETERS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</si>
  <si>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</si>
  <si>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</si>
  <si>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</si>
  <si>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</si>
  <si>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</si>
  <si>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</si>
  <si>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</si>
  <si>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</si>
  <si>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REP - OS Schedule</t>
  </si>
  <si>
    <t>ME REP - BS Schedule</t>
  </si>
  <si>
    <t>ME REP - CF Schedule</t>
  </si>
  <si>
    <t>ME - Summary</t>
  </si>
  <si>
    <t>Operating Statement - Account By Program Profiles Report</t>
  </si>
  <si>
    <t>DISPLAY</t>
  </si>
  <si>
    <t>Display</t>
  </si>
  <si>
    <t>{DESCENDANTS ([account].[1000001],3,BEFORE)}</t>
  </si>
  <si>
    <t xml:space="preserve"> {TM1DRILLDOWNMEMBER( {[account].[1000001]}, ALL, RECURSIVE )}</t>
  </si>
  <si>
    <t xml:space="preserve"> {TM1DRILLDOWNMEMBER( {[account].[2000000]}, ALL, RECURSIVE )}</t>
  </si>
  <si>
    <t>N Level</t>
  </si>
  <si>
    <t>Show N Level</t>
  </si>
  <si>
    <t>Show Totals</t>
  </si>
  <si>
    <t>Show All</t>
  </si>
  <si>
    <t>{DESCENDANTS ([account].[2000000],3,BEFORE)}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</si>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</sst>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[Red]* \(#,##0\)_-;_-* &quot;-&quot;??_-;_-@_-"/>
    <numFmt numFmtId="165" formatCode="_(* #,##0.00_);_(* \(#,##0.00\);_(* &quot;-&quot;??_);_(@_)"/>
    <numFmt numFmtId="166" formatCode="_-* #,##0_-;\-* #,##0_-;_-* &quot;-&quot;??_-;_-@_-"/>
  </numFmts>
  <fonts count="17" x14ac:knownFonts="1">
    <font>
      <sz val="8"/>
      <color indexed="62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62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protection locked="0"/>
    </xf>
    <xf numFmtId="0" fontId="2" fillId="0" borderId="0"/>
    <xf numFmtId="165" fontId="2" fillId="0" borderId="0" applyFont="0" applyFill="0" applyBorder="0" applyAlignment="0" applyProtection="0"/>
    <xf numFmtId="0" fontId="1" fillId="0" borderId="0"/>
  </cellStyleXfs>
  <cellXfs count="52">
    <xf numFmtId="0" fontId="0" fillId="0" borderId="0" xfId="0">
      <protection locked="0"/>
    </xf>
    <xf numFmtId="0" fontId="2" fillId="0" borderId="0" xfId="1"/>
    <xf numFmtId="0" fontId="2" fillId="0" borderId="0" xfId="1" applyAlignment="1">
      <alignment horizontal="center"/>
    </xf>
    <xf numFmtId="0" fontId="4" fillId="0" borderId="1" xfId="1" applyFont="1" applyBorder="1"/>
    <xf numFmtId="0" fontId="2" fillId="0" borderId="1" xfId="1" applyBorder="1" applyAlignment="1">
      <alignment horizontal="left"/>
    </xf>
    <xf numFmtId="0" fontId="2" fillId="0" borderId="1" xfId="1" applyBorder="1" applyAlignment="1">
      <alignment horizontal="center"/>
    </xf>
    <xf numFmtId="0" fontId="2" fillId="0" borderId="1" xfId="1" applyBorder="1"/>
    <xf numFmtId="0" fontId="5" fillId="0" borderId="1" xfId="1" applyFont="1" applyBorder="1"/>
    <xf numFmtId="164" fontId="6" fillId="0" borderId="1" xfId="2" applyNumberFormat="1" applyFont="1" applyFill="1" applyBorder="1"/>
    <xf numFmtId="166" fontId="7" fillId="0" borderId="0" xfId="2" applyNumberFormat="1" applyFont="1" applyFill="1"/>
    <xf numFmtId="164" fontId="8" fillId="0" borderId="1" xfId="2" applyNumberFormat="1" applyFont="1" applyFill="1" applyBorder="1"/>
    <xf numFmtId="0" fontId="2" fillId="0" borderId="2" xfId="1" applyBorder="1"/>
    <xf numFmtId="0" fontId="2" fillId="0" borderId="0" xfId="1" applyAlignment="1">
      <alignment horizontal="left"/>
    </xf>
    <xf numFmtId="166" fontId="7" fillId="0" borderId="1" xfId="2" applyNumberFormat="1" applyFont="1" applyFill="1" applyBorder="1"/>
    <xf numFmtId="166" fontId="9" fillId="0" borderId="1" xfId="2" applyNumberFormat="1" applyFont="1" applyFill="1" applyBorder="1"/>
    <xf numFmtId="0" fontId="10" fillId="0" borderId="0" xfId="1" applyFont="1"/>
    <xf numFmtId="0" fontId="10" fillId="0" borderId="0" xfId="1" applyFont="1" applyAlignment="1">
      <alignment horizontal="center"/>
    </xf>
    <xf numFmtId="164" fontId="11" fillId="0" borderId="1" xfId="2" applyNumberFormat="1" applyFont="1" applyFill="1" applyBorder="1"/>
    <xf numFmtId="164" fontId="12" fillId="0" borderId="2" xfId="2" applyNumberFormat="1" applyFont="1" applyFill="1" applyBorder="1"/>
    <xf numFmtId="164" fontId="10" fillId="0" borderId="1" xfId="2" applyNumberFormat="1" applyFont="1" applyFill="1" applyBorder="1"/>
    <xf numFmtId="0" fontId="4" fillId="2" borderId="1" xfId="1" applyFont="1" applyFill="1" applyBorder="1"/>
    <xf numFmtId="0" fontId="2" fillId="0" borderId="1" xfId="1" applyBorder="1" applyProtection="1">
      <protection locked="0"/>
    </xf>
    <xf numFmtId="0" fontId="13" fillId="3" borderId="0" xfId="1" applyFont="1" applyFill="1" applyAlignment="1">
      <alignment horizontal="center"/>
    </xf>
    <xf numFmtId="0" fontId="13" fillId="3" borderId="0" xfId="1" quotePrefix="1" applyFont="1" applyFill="1" applyAlignment="1">
      <alignment horizontal="center"/>
    </xf>
    <xf numFmtId="0" fontId="13" fillId="0" borderId="0" xfId="1" applyFont="1" applyAlignment="1">
      <alignment horizontal="center"/>
    </xf>
    <xf numFmtId="0" fontId="2" fillId="0" borderId="0" xfId="1" quotePrefix="1"/>
    <xf numFmtId="0" fontId="4" fillId="0" borderId="0" xfId="1" applyFont="1" applyAlignment="1">
      <alignment horizontal="right" indent="1"/>
    </xf>
    <xf numFmtId="0" fontId="4" fillId="0" borderId="0" xfId="3" applyFont="1" applyAlignment="1">
      <alignment horizontal="right" indent="1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right"/>
    </xf>
    <xf numFmtId="164" fontId="12" fillId="0" borderId="1" xfId="2" applyNumberFormat="1" applyFont="1" applyFill="1" applyBorder="1"/>
    <xf numFmtId="0" fontId="15" fillId="0" borderId="0" xfId="1" applyFont="1"/>
    <xf numFmtId="0" fontId="10" fillId="0" borderId="0" xfId="1" applyFont="1" applyAlignment="1">
      <alignment wrapText="1"/>
    </xf>
    <xf numFmtId="0" fontId="13" fillId="4" borderId="0" xfId="3" applyFont="1" applyFill="1" applyAlignment="1">
      <alignment horizontal="center" wrapText="1"/>
    </xf>
    <xf numFmtId="0" fontId="13" fillId="0" borderId="0" xfId="3" applyFont="1" applyAlignment="1">
      <alignment horizontal="center" wrapText="1"/>
    </xf>
    <xf numFmtId="49" fontId="4" fillId="0" borderId="1" xfId="1" applyNumberFormat="1" applyFont="1" applyBorder="1"/>
    <xf numFmtId="164" fontId="11" fillId="5" borderId="1" xfId="2" applyNumberFormat="1" applyFont="1" applyFill="1" applyBorder="1"/>
    <xf numFmtId="49" fontId="2" fillId="0" borderId="1" xfId="1" applyNumberFormat="1" applyBorder="1" applyAlignment="1">
      <alignment horizontal="left"/>
    </xf>
    <xf numFmtId="0" fontId="0" fillId="0" borderId="1" xfId="0" applyBorder="1" applyProtection="1"/>
    <xf numFmtId="0" fontId="0" fillId="0" borderId="0" xfId="0" applyProtection="1"/>
    <xf numFmtId="0" fontId="4" fillId="0" borderId="1" xfId="0" applyFont="1" applyBorder="1" applyProtection="1"/>
    <xf numFmtId="0" fontId="2" fillId="0" borderId="0" xfId="1" applyProtection="1">
      <protection locked="0"/>
    </xf>
    <xf numFmtId="0" fontId="3" fillId="7" borderId="0" xfId="0" applyFont="1" applyFill="1" applyAlignment="1" applyProtection="1">
      <alignment horizontal="center"/>
    </xf>
    <xf numFmtId="0" fontId="14" fillId="0" borderId="0" xfId="1" applyFont="1"/>
    <xf numFmtId="0" fontId="14" fillId="0" borderId="0" xfId="1" applyFont="1" applyAlignment="1">
      <alignment horizontal="center"/>
    </xf>
    <xf numFmtId="0" fontId="16" fillId="7" borderId="0" xfId="0" applyFont="1" applyFill="1" applyAlignment="1" applyProtection="1">
      <alignment horizontal="right" vertical="center"/>
    </xf>
    <xf numFmtId="0" fontId="3" fillId="8" borderId="0" xfId="0" applyFont="1" applyFill="1" applyAlignment="1" applyProtection="1">
      <alignment horizontal="center"/>
    </xf>
    <xf numFmtId="0" fontId="0" fillId="0" borderId="3" xfId="0" applyBorder="1" applyProtection="1"/>
    <xf numFmtId="0" fontId="4" fillId="5" borderId="1" xfId="0" applyFont="1" applyFill="1" applyBorder="1" applyProtection="1"/>
    <xf numFmtId="0" fontId="2" fillId="0" borderId="1" xfId="1" applyBorder="1" applyAlignment="1" applyProtection="1">
      <alignment horizontal="center"/>
      <protection locked="0"/>
    </xf>
    <xf numFmtId="0" fontId="4" fillId="6" borderId="1" xfId="0" applyFont="1" applyFill="1" applyBorder="1" applyAlignment="1" applyProtection="1">
      <alignment horizontal="center"/>
    </xf>
  </cellXfs>
  <cellStyles count="4">
    <cellStyle name="Comma 4" xfId="2" xr:uid="{00000000-0005-0000-0000-000000000000}"/>
    <cellStyle name="Normal" xfId="0" builtinId="0"/>
    <cellStyle name="Normal 11" xfId="1" xr:uid="{00000000-0005-0000-0000-000002000000}"/>
    <cellStyle name="Normal 5 2" xfId="3" xr:uid="{00000000-0005-0000-0000-000003000000}"/>
  </cellStyles>
  <dxfs count="9">
    <dxf>
      <fill>
        <patternFill>
          <bgColor theme="0" tint="-0.14996795556505021"/>
        </patternFill>
      </fill>
    </dxf>
    <dxf>
      <fill>
        <patternFill>
          <fgColor theme="9"/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  <numFmt numFmtId="164" formatCode="_-* #,##0_-;[Red]* \(#,##0\)_-;_-* &quot;-&quot;??_-;_-@_-"/>
      <fill>
        <patternFill>
          <bgColor theme="0" tint="-4.9989318521683403E-2"/>
        </patternFill>
      </fill>
    </dxf>
    <dxf>
      <font>
        <b/>
        <i val="0"/>
        <color auto="1"/>
      </font>
      <numFmt numFmtId="164" formatCode="_-* #,##0_-;[Red]* \(#,##0\)_-;_-* &quot;-&quot;??_-;_-@_-"/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05"/>
  <ax:ocxPr ax:name="_ExtentY" ax:value="74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40"/>
  <ax:ocxPr ax:name="_ExtentY" ax:value="74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503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lance Sheet Repor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BSWB"/>
  <ax:ocxPr ax:name="TargetWorksheetName" ax:value="=TM1MERepBS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927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sh Flow Repor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RepCFWB"/>
  <ax:ocxPr ax:name="TargetWorksheetName" ax:value="=TM1MERepCF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65</xdr:row>
          <xdr:rowOff>57150</xdr:rowOff>
        </xdr:from>
        <xdr:to>
          <xdr:col>9</xdr:col>
          <xdr:colOff>657225</xdr:colOff>
          <xdr:row>66</xdr:row>
          <xdr:rowOff>238125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76200</xdr:colOff>
          <xdr:row>65</xdr:row>
          <xdr:rowOff>57150</xdr:rowOff>
        </xdr:from>
        <xdr:to>
          <xdr:col>11</xdr:col>
          <xdr:colOff>923925</xdr:colOff>
          <xdr:row>66</xdr:row>
          <xdr:rowOff>238125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685800</xdr:colOff>
          <xdr:row>65</xdr:row>
          <xdr:rowOff>57150</xdr:rowOff>
        </xdr:from>
        <xdr:to>
          <xdr:col>9</xdr:col>
          <xdr:colOff>2143125</xdr:colOff>
          <xdr:row>66</xdr:row>
          <xdr:rowOff>238125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2171700</xdr:colOff>
          <xdr:row>65</xdr:row>
          <xdr:rowOff>57150</xdr:rowOff>
        </xdr:from>
        <xdr:to>
          <xdr:col>11</xdr:col>
          <xdr:colOff>38100</xdr:colOff>
          <xdr:row>66</xdr:row>
          <xdr:rowOff>238125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47625</xdr:colOff>
      <xdr:row>64</xdr:row>
      <xdr:rowOff>19050</xdr:rowOff>
    </xdr:from>
    <xdr:to>
      <xdr:col>9</xdr:col>
      <xdr:colOff>1805940</xdr:colOff>
      <xdr:row>65</xdr:row>
      <xdr:rowOff>19050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g6547/AppData/Local/Temp/8/TM1CD6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menu"/>
      <sheetName val="MapMenu"/>
      <sheetName val="flatfile extract"/>
      <sheetName val="Acc Temp List"/>
      <sheetName val="CC Mapping"/>
      <sheetName val="Unmapped CC"/>
      <sheetName val="Account Template"/>
      <sheetName val="ProgTemplate"/>
      <sheetName val="DataMenu"/>
      <sheetName val="Adjmenu"/>
      <sheetName val="RptMenu"/>
      <sheetName val="AdminMenu"/>
      <sheetName val="Programme Status"/>
      <sheetName val="AccByProg"/>
      <sheetName val="Transfer Targets"/>
      <sheetName val="Target Reconciliation"/>
      <sheetName val="Gross Cash Actuals"/>
      <sheetName val="Profile template"/>
      <sheetName val="blank"/>
      <sheetName val="slice"/>
      <sheetName val="Validations"/>
      <sheetName val="{PL}PickLst"/>
      <sheetName val="rep_AccByProgProfiles (ALL)"/>
      <sheetName val="rep_AccByProgProfiles (PL)"/>
      <sheetName val="rep_AccByProgProfiles (CF)"/>
      <sheetName val="rep_Summary"/>
      <sheetName val="rep_Function"/>
      <sheetName val="rep_Prog"/>
      <sheetName val="CBMS Reco Instru"/>
      <sheetName val="report"/>
      <sheetName val="Dept Template"/>
      <sheetName val="Dept"/>
      <sheetName val="AnnualItmsUpload"/>
      <sheetName val="Sheet4"/>
      <sheetName val="Sheet1"/>
      <sheetName val="rep_AccByProgProfiles (BS)"/>
    </sheetNames>
    <sheetDataSet>
      <sheetData sheetId="0"/>
      <sheetData sheetId="1"/>
      <sheetData sheetId="2"/>
      <sheetData sheetId="3">
        <row r="42">
          <cell r="J42" t="str">
            <v>Administered programs</v>
          </cell>
        </row>
      </sheetData>
      <sheetData sheetId="4"/>
      <sheetData sheetId="5"/>
      <sheetData sheetId="6"/>
      <sheetData sheetId="7">
        <row r="72">
          <cell r="S72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>
        <row r="35">
          <cell r="F35" t="str">
            <v>1:03-01-01-01 - Australian Business Number and Business Names Registration System - expansion</v>
          </cell>
        </row>
      </sheetData>
      <sheetData sheetId="16"/>
      <sheetData sheetId="17"/>
      <sheetData sheetId="18">
        <row r="20">
          <cell r="AC20" t="str">
            <v>1:02-01-01-02 - Australian Astronomical Observatory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>
    <outlinePr showOutlineSymbols="0"/>
    <pageSetUpPr fitToPage="1"/>
  </sheetPr>
  <dimension ref="A1:AC88"/>
  <sheetViews>
    <sheetView showGridLines="0" showRowColHeaders="0" tabSelected="1" showOutlineSymbols="0" topLeftCell="A65" zoomScaleNormal="100" workbookViewId="0">
      <pane xSplit="17" ySplit="16" topLeftCell="R81" activePane="bottomRight" state="frozen"/>
      <selection activeCell="I65" sqref="I65"/>
      <selection pane="topRight" activeCell="R65" sqref="R65"/>
      <selection pane="bottomLeft" activeCell="I81" sqref="I81"/>
      <selection pane="bottomRight"/>
    </sheetView>
  </sheetViews>
  <sheetFormatPr defaultColWidth="9.140625" defaultRowHeight="15" outlineLevelRow="1" outlineLevelCol="1" x14ac:dyDescent="0.25"/>
  <cols>
    <col min="1" max="1" width="20.28515625" style="1" hidden="1" customWidth="1" outlineLevel="1"/>
    <col min="2" max="2" width="44.42578125" style="1" hidden="1" customWidth="1" outlineLevel="1"/>
    <col min="3" max="3" width="30.7109375" style="1" hidden="1" customWidth="1" outlineLevel="1"/>
    <col min="4" max="4" width="12.7109375" style="2" hidden="1" customWidth="1" outlineLevel="1"/>
    <col min="5" max="5" width="26" style="2" hidden="1" customWidth="1" outlineLevel="1"/>
    <col min="6" max="6" width="40.28515625" style="1" hidden="1" customWidth="1" outlineLevel="1"/>
    <col min="7" max="7" width="45.7109375" style="1" hidden="1" customWidth="1" outlineLevel="1"/>
    <col min="8" max="8" width="45.42578125" style="1" hidden="1" customWidth="1" outlineLevel="1"/>
    <col min="9" max="9" width="0.85546875" style="1" customWidth="1" collapsed="1"/>
    <col min="10" max="10" width="44.28515625" style="1" bestFit="1" customWidth="1"/>
    <col min="11" max="11" width="11.140625" style="2" customWidth="1"/>
    <col min="12" max="12" width="70.7109375" style="1" customWidth="1"/>
    <col min="13" max="13" width="0.85546875" style="1" customWidth="1"/>
    <col min="14" max="16" width="12.7109375" style="1" customWidth="1"/>
    <col min="17" max="17" width="1.7109375" style="1" customWidth="1"/>
    <col min="18" max="29" width="12.7109375" style="1" customWidth="1"/>
    <col min="30" max="31" width="9.140625" style="1"/>
    <col min="32" max="32" width="17.42578125" style="1" bestFit="1" customWidth="1"/>
    <col min="33" max="33" width="84.42578125" style="1" bestFit="1" customWidth="1"/>
    <col min="34" max="16384" width="9.140625" style="1"/>
  </cols>
  <sheetData>
    <row r="1" spans="1:29" hidden="1" outlineLevel="1" x14ac:dyDescent="0.25">
      <c r="A1" s="1" t="s">
        <v>0</v>
      </c>
    </row>
    <row r="2" spans="1:29" hidden="1" outlineLevel="1" x14ac:dyDescent="0.25">
      <c r="A2" s="1">
        <f>0</f>
        <v>0</v>
      </c>
      <c r="B2" s="3"/>
      <c r="C2" s="4"/>
      <c r="D2" s="5"/>
      <c r="E2" s="5"/>
      <c r="F2" s="6"/>
      <c r="J2" s="7"/>
      <c r="K2" s="5"/>
      <c r="L2" s="6"/>
      <c r="N2" s="8"/>
      <c r="O2" s="8"/>
      <c r="P2" s="8"/>
      <c r="Q2" s="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idden="1" outlineLevel="1" x14ac:dyDescent="0.25">
      <c r="A3" s="1">
        <f>1</f>
        <v>1</v>
      </c>
      <c r="B3" s="11"/>
      <c r="C3" s="12"/>
      <c r="J3" s="7"/>
      <c r="K3" s="5"/>
      <c r="L3" s="6"/>
      <c r="N3" s="13"/>
      <c r="O3" s="13"/>
      <c r="P3" s="13"/>
      <c r="Q3" s="9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idden="1" outlineLevel="1" x14ac:dyDescent="0.25">
      <c r="A4" s="1">
        <f>2</f>
        <v>2</v>
      </c>
      <c r="B4" s="11"/>
      <c r="C4" s="12"/>
      <c r="J4" s="7"/>
      <c r="K4" s="5"/>
      <c r="L4" s="6"/>
      <c r="N4" s="13"/>
      <c r="O4" s="13"/>
      <c r="P4" s="13"/>
      <c r="Q4" s="9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hidden="1" outlineLevel="1" x14ac:dyDescent="0.25">
      <c r="A5" s="1">
        <f>3</f>
        <v>3</v>
      </c>
      <c r="B5" s="11"/>
      <c r="C5" s="12"/>
      <c r="J5" s="7"/>
      <c r="K5" s="5"/>
      <c r="L5" s="6"/>
      <c r="N5" s="13"/>
      <c r="O5" s="13"/>
      <c r="P5" s="13"/>
      <c r="Q5" s="9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hidden="1" outlineLevel="1" x14ac:dyDescent="0.25">
      <c r="A6" s="1" t="s">
        <v>1</v>
      </c>
      <c r="B6" s="11"/>
      <c r="C6" s="12"/>
      <c r="J6" s="7"/>
      <c r="K6" s="5"/>
      <c r="L6" s="6"/>
      <c r="N6" s="13"/>
      <c r="O6" s="13"/>
      <c r="P6" s="13"/>
      <c r="Q6" s="9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s="15" customFormat="1" hidden="1" outlineLevel="1" x14ac:dyDescent="0.25">
      <c r="A7" s="15" t="s">
        <v>2</v>
      </c>
      <c r="B7" s="3"/>
      <c r="C7" s="4"/>
      <c r="D7" s="5"/>
      <c r="E7" s="5"/>
      <c r="F7" s="6"/>
      <c r="G7" s="1"/>
      <c r="H7" s="1"/>
      <c r="I7" s="16"/>
      <c r="J7" s="7"/>
      <c r="K7" s="5"/>
      <c r="L7" s="6"/>
      <c r="N7" s="17"/>
      <c r="O7" s="17"/>
      <c r="P7" s="17"/>
      <c r="Q7" s="18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idden="1" outlineLevel="1" x14ac:dyDescent="0.25">
      <c r="A8" s="1" t="s">
        <v>3</v>
      </c>
    </row>
    <row r="9" spans="1:29" hidden="1" outlineLevel="1" x14ac:dyDescent="0.25"/>
    <row r="10" spans="1:29" hidden="1" outlineLevel="1" x14ac:dyDescent="0.25"/>
    <row r="11" spans="1:29" hidden="1" outlineLevel="1" x14ac:dyDescent="0.25">
      <c r="B11" s="51" t="s">
        <v>66</v>
      </c>
      <c r="C11" s="51"/>
    </row>
    <row r="12" spans="1:29" hidden="1" outlineLevel="1" x14ac:dyDescent="0.25">
      <c r="B12" s="39" t="s">
        <v>67</v>
      </c>
      <c r="C12" s="39" t="s">
        <v>104</v>
      </c>
    </row>
    <row r="13" spans="1:29" hidden="1" outlineLevel="1" x14ac:dyDescent="0.25">
      <c r="B13" s="39" t="s">
        <v>68</v>
      </c>
      <c r="C13" s="39" t="str">
        <f t="array" aca="1" ref="C13" ca="1">_xll.TM1USER(db_name)</f>
        <v/>
      </c>
    </row>
    <row r="14" spans="1:29" hidden="1" outlineLevel="1" x14ac:dyDescent="0.25">
      <c r="B14" s="40"/>
      <c r="C14" s="40"/>
    </row>
    <row r="15" spans="1:29" hidden="1" outlineLevel="1" x14ac:dyDescent="0.25">
      <c r="B15" s="51" t="s">
        <v>69</v>
      </c>
      <c r="C15" s="51"/>
    </row>
    <row r="16" spans="1:29" hidden="1" outlineLevel="1" x14ac:dyDescent="0.25">
      <c r="B16" s="39" t="s">
        <v>70</v>
      </c>
      <c r="C16" s="39" t="str">
        <f t="array" aca="1" ref="C16" ca="1">_xll.VIEW(db_name&amp;":}ElementAttributes_variables","!","!")</f>
        <v>dcceew_geus:}ElementAttributes_variables</v>
      </c>
    </row>
    <row r="17" spans="2:29" hidden="1" outlineLevel="1" x14ac:dyDescent="0.25">
      <c r="B17" s="39" t="s">
        <v>71</v>
      </c>
      <c r="C17" s="39" t="str">
        <f t="array" aca="1" ref="C17" ca="1">_xll.DBR($C$16,$B17,"value")</f>
        <v>*KEY_ERR</v>
      </c>
    </row>
    <row r="18" spans="2:29" hidden="1" outlineLevel="1" x14ac:dyDescent="0.25">
      <c r="B18" s="39" t="s">
        <v>72</v>
      </c>
      <c r="C18" s="39" t="str">
        <f t="array" aca="1" ref="C18" ca="1">_xll.DBR($C$16,$B18,"value")</f>
        <v>*KEY_ERR</v>
      </c>
    </row>
    <row r="19" spans="2:29" hidden="1" outlineLevel="1" x14ac:dyDescent="0.25">
      <c r="B19" s="40"/>
      <c r="C19" s="40"/>
    </row>
    <row r="20" spans="2:29" hidden="1" outlineLevel="1" x14ac:dyDescent="0.25">
      <c r="B20" s="51" t="s">
        <v>73</v>
      </c>
      <c r="C20" s="51"/>
    </row>
    <row r="21" spans="2:29" hidden="1" outlineLevel="1" x14ac:dyDescent="0.25">
      <c r="B21" s="39" t="s">
        <v>70</v>
      </c>
      <c r="C21" s="39" t="str">
        <f t="array" aca="1" ref="C21" ca="1">_xll.VIEW(db_name&amp;":sys_ME variable","!","!")</f>
        <v>dcceew_geus:sys_ME variable</v>
      </c>
    </row>
    <row r="22" spans="2:29" hidden="1" outlineLevel="1" x14ac:dyDescent="0.25">
      <c r="B22" s="39" t="s">
        <v>74</v>
      </c>
      <c r="C22" s="39" t="str">
        <f t="array" aca="1" ref="C22" ca="1">_xll.DBR($C$21,$B22,"value")</f>
        <v>*KEY_ERR</v>
      </c>
    </row>
    <row r="23" spans="2:29" hidden="1" outlineLevel="1" x14ac:dyDescent="0.25">
      <c r="B23" s="39" t="s">
        <v>75</v>
      </c>
      <c r="C23" s="39" t="str">
        <f t="array" aca="1" ref="C23" ca="1">_xll.DBR($C$21,$B23,"value")</f>
        <v>*KEY_ERR</v>
      </c>
    </row>
    <row r="24" spans="2:29" ht="15.75" hidden="1" customHeight="1" outlineLevel="1" x14ac:dyDescent="0.25">
      <c r="B24" s="39" t="s">
        <v>76</v>
      </c>
      <c r="C24" s="39" t="str">
        <f t="array" aca="1" ref="C24" ca="1">_xll.DBR($C$21,$B24,"value")</f>
        <v>*KEY_ERR</v>
      </c>
    </row>
    <row r="25" spans="2:29" hidden="1" outlineLevel="1" x14ac:dyDescent="0.25"/>
    <row r="26" spans="2:29" hidden="1" outlineLevel="1" x14ac:dyDescent="0.25">
      <c r="B26" s="20" t="s">
        <v>4</v>
      </c>
      <c r="C26" s="20" t="s">
        <v>5</v>
      </c>
      <c r="D26" s="20" t="s">
        <v>6</v>
      </c>
      <c r="F26" s="6" t="s">
        <v>100</v>
      </c>
      <c r="G26" s="6" t="s">
        <v>101</v>
      </c>
      <c r="H26" s="6" t="s">
        <v>102</v>
      </c>
    </row>
    <row r="27" spans="2:29" hidden="1" outlineLevel="1" x14ac:dyDescent="0.25">
      <c r="B27" s="6" t="s">
        <v>7</v>
      </c>
      <c r="C27" s="3"/>
      <c r="D27" s="6" t="str">
        <f ca="1">_xll.VIEW(db_name&amp;":ME reporting",$L$71,$L$72,"!","!","!","!","!","!","!","!","!","!")</f>
        <v>dcceew_geus:ME reporting</v>
      </c>
    </row>
    <row r="28" spans="2:29" hidden="1" outlineLevel="1" x14ac:dyDescent="0.25">
      <c r="B28" s="6" t="s">
        <v>8</v>
      </c>
      <c r="C28" s="6" t="str">
        <f ca="1">IF($P$71="N Level",$F28,IF($P$71="Show Totals",$G28,$H28))</f>
        <v>{TM1FILTERBYLEVEL( {TM1DRILLDOWNMEMBER( {[account].[1000001]}, ALL, RECURSIVE )}, 0)}</v>
      </c>
      <c r="D28" s="6" t="str">
        <f ca="1">_xll.TM1RPTVIEW(db_name&amp;":ME reporting:2", 1, _xll.TM1RPTTITLE(db_name&amp;":headline year",$L$71), _xll.TM1RPTTITLE(db_name&amp;":scenario",$L$72),_xll.TM1RPTTITLE(db_name&amp;":ME reporting measure",$C$41),TM1RPTFMTRNG,TM1RPTFMTIDCOL)</f>
        <v>dcceew_geus:ME reporting:2</v>
      </c>
      <c r="F28" s="6" t="s">
        <v>9</v>
      </c>
      <c r="G28" s="6" t="s">
        <v>96</v>
      </c>
      <c r="H28" s="6" t="s">
        <v>97</v>
      </c>
    </row>
    <row r="29" spans="2:29" hidden="1" outlineLevel="1" x14ac:dyDescent="0.25">
      <c r="B29" s="6" t="s">
        <v>10</v>
      </c>
      <c r="C29" s="6" t="str">
        <f ca="1">IF($P$71="N Level",$F29,IF($P$71="Show Totals",$G29,$H29))</f>
        <v>{TM1FILTERBYLEVEL( {TM1DRILLDOWNMEMBER( {[account].[2000000]}, ALL, RECURSIVE )}, 0)}</v>
      </c>
      <c r="D29" s="6" t="str">
        <f ca="1">_xll.TM1RPTVIEW(db_name&amp;":ME reporting:ARPT1", 1, _xll.TM1RPTTITLE(db_name&amp;":headline year",$L$71), _xll.TM1RPTTITLE(db_name&amp;":scenario",$L$72),_xll.TM1RPTTITLE(db_name&amp;":ME reporting measure",$C$41),TM1RPTFMTRNG,TM1RPTFMTIDCOL)</f>
        <v>dcceew_geus:ME reporting:ARPT1</v>
      </c>
      <c r="F29" s="6" t="s">
        <v>11</v>
      </c>
      <c r="G29" s="6" t="s">
        <v>103</v>
      </c>
      <c r="H29" s="6" t="s">
        <v>98</v>
      </c>
    </row>
    <row r="30" spans="2:29" hidden="1" outlineLevel="1" x14ac:dyDescent="0.25">
      <c r="B30" s="6" t="s">
        <v>13</v>
      </c>
      <c r="C30" s="6" t="s">
        <v>14</v>
      </c>
      <c r="D30" s="6" t="s">
        <v>15</v>
      </c>
      <c r="E30" s="1" t="s">
        <v>16</v>
      </c>
      <c r="N30" s="22" t="s">
        <v>17</v>
      </c>
      <c r="O30" s="23" t="s">
        <v>18</v>
      </c>
      <c r="P30" s="22"/>
      <c r="Q30" s="24"/>
      <c r="R30" s="22" t="s">
        <v>18</v>
      </c>
      <c r="S30" s="22" t="s">
        <v>18</v>
      </c>
      <c r="T30" s="22" t="s">
        <v>18</v>
      </c>
      <c r="U30" s="22" t="s">
        <v>18</v>
      </c>
      <c r="V30" s="22" t="s">
        <v>18</v>
      </c>
      <c r="W30" s="22" t="s">
        <v>18</v>
      </c>
      <c r="X30" s="22" t="s">
        <v>18</v>
      </c>
      <c r="Y30" s="22" t="s">
        <v>18</v>
      </c>
      <c r="Z30" s="22" t="s">
        <v>18</v>
      </c>
      <c r="AA30" s="22" t="s">
        <v>18</v>
      </c>
      <c r="AB30" s="22" t="s">
        <v>18</v>
      </c>
      <c r="AC30" s="22" t="s">
        <v>18</v>
      </c>
    </row>
    <row r="31" spans="2:29" hidden="1" outlineLevel="1" x14ac:dyDescent="0.25">
      <c r="B31" s="6" t="s">
        <v>19</v>
      </c>
      <c r="C31" s="6" t="str">
        <f ca="1">"{{TM1FILTERBYLEVEL( {TM1DRILLDOWNMEMBER( {[programme].[" &amp;$L$74 &amp;"]}, ALL, RECURSIVE )}, 0)},{[programme].[" &amp;$L$74 &amp;"]}}"</f>
        <v>{{TM1FILTERBYLEVEL( {TM1DRILLDOWNMEMBER( {[programme].[]}, ALL, RECURSIVE )}, 0)},{[programme].[]}}</v>
      </c>
      <c r="D31" s="6" t="str">
        <f ca="1">"{TM1FILTERBYLEVEL( {TM1DRILLDOWNMEMBER( {[programme].[" &amp;$L$74 &amp;"]}, ALL, RECURSIVE )}, 0)}"</f>
        <v>{TM1FILTERBYLEVEL( {TM1DRILLDOWNMEMBER( {[programme].[]}, ALL, RECURSIVE )}, 0)}</v>
      </c>
      <c r="E31" s="1"/>
      <c r="N31" s="22" t="s">
        <v>21</v>
      </c>
      <c r="O31" s="22" t="s">
        <v>21</v>
      </c>
      <c r="P31" s="22"/>
      <c r="Q31" s="24"/>
      <c r="R31" s="22" t="str">
        <f ca="1">R32</f>
        <v>Jul YTD</v>
      </c>
      <c r="S31" s="22" t="str">
        <f t="shared" ref="S31:AC31" ca="1" si="0">S32</f>
        <v>Aug YTD</v>
      </c>
      <c r="T31" s="22" t="str">
        <f t="shared" ca="1" si="0"/>
        <v>Sep YTD</v>
      </c>
      <c r="U31" s="22" t="str">
        <f t="shared" ca="1" si="0"/>
        <v>Oct YTD</v>
      </c>
      <c r="V31" s="22" t="str">
        <f t="shared" ca="1" si="0"/>
        <v>Nov YTD</v>
      </c>
      <c r="W31" s="22" t="str">
        <f t="shared" ca="1" si="0"/>
        <v>Dec YTD</v>
      </c>
      <c r="X31" s="22" t="str">
        <f t="shared" ca="1" si="0"/>
        <v>Jan YTD</v>
      </c>
      <c r="Y31" s="22" t="str">
        <f t="shared" ca="1" si="0"/>
        <v>Feb YTD</v>
      </c>
      <c r="Z31" s="22" t="str">
        <f t="shared" ca="1" si="0"/>
        <v>Mar YTD</v>
      </c>
      <c r="AA31" s="22" t="str">
        <f t="shared" ca="1" si="0"/>
        <v>Apr YTD</v>
      </c>
      <c r="AB31" s="22" t="str">
        <f t="shared" ca="1" si="0"/>
        <v>May YTD</v>
      </c>
      <c r="AC31" s="22" t="str">
        <f t="shared" ca="1" si="0"/>
        <v>Jun YTD</v>
      </c>
    </row>
    <row r="32" spans="2:29" hidden="1" outlineLevel="1" x14ac:dyDescent="0.25">
      <c r="B32" s="6" t="s">
        <v>22</v>
      </c>
      <c r="C32" s="6" t="s">
        <v>23</v>
      </c>
      <c r="D32" s="6" t="s">
        <v>24</v>
      </c>
      <c r="E32" s="1" t="s">
        <v>25</v>
      </c>
      <c r="N32" s="22"/>
      <c r="O32" s="22"/>
      <c r="P32" s="22"/>
      <c r="Q32" s="24"/>
      <c r="R32" s="22" t="str">
        <f t="shared" ref="R32:AC32" ca="1" si="1">IF($L$76="Data Entry",R$33,R$33 &amp; " YTD")</f>
        <v>Jul YTD</v>
      </c>
      <c r="S32" s="22" t="str">
        <f t="shared" ca="1" si="1"/>
        <v>Aug YTD</v>
      </c>
      <c r="T32" s="22" t="str">
        <f t="shared" ca="1" si="1"/>
        <v>Sep YTD</v>
      </c>
      <c r="U32" s="22" t="str">
        <f t="shared" ca="1" si="1"/>
        <v>Oct YTD</v>
      </c>
      <c r="V32" s="22" t="str">
        <f t="shared" ca="1" si="1"/>
        <v>Nov YTD</v>
      </c>
      <c r="W32" s="22" t="str">
        <f t="shared" ca="1" si="1"/>
        <v>Dec YTD</v>
      </c>
      <c r="X32" s="22" t="str">
        <f t="shared" ca="1" si="1"/>
        <v>Jan YTD</v>
      </c>
      <c r="Y32" s="22" t="str">
        <f t="shared" ca="1" si="1"/>
        <v>Feb YTD</v>
      </c>
      <c r="Z32" s="22" t="str">
        <f t="shared" ca="1" si="1"/>
        <v>Mar YTD</v>
      </c>
      <c r="AA32" s="22" t="str">
        <f t="shared" ca="1" si="1"/>
        <v>Apr YTD</v>
      </c>
      <c r="AB32" s="22" t="str">
        <f t="shared" ca="1" si="1"/>
        <v>May YTD</v>
      </c>
      <c r="AC32" s="22" t="str">
        <f t="shared" ca="1" si="1"/>
        <v>Jun YTD</v>
      </c>
    </row>
    <row r="33" spans="2:29" hidden="1" outlineLevel="1" x14ac:dyDescent="0.25">
      <c r="B33" s="6" t="s">
        <v>12</v>
      </c>
      <c r="C33" s="6" t="s">
        <v>27</v>
      </c>
      <c r="D33" s="6" t="s">
        <v>28</v>
      </c>
      <c r="E33" s="1" t="s">
        <v>29</v>
      </c>
      <c r="N33" s="22"/>
      <c r="O33" s="22"/>
      <c r="P33" s="22"/>
      <c r="Q33" s="24"/>
      <c r="R33" s="22" t="s">
        <v>30</v>
      </c>
      <c r="S33" s="22" t="s">
        <v>31</v>
      </c>
      <c r="T33" s="22" t="s">
        <v>32</v>
      </c>
      <c r="U33" s="22" t="s">
        <v>33</v>
      </c>
      <c r="V33" s="22" t="s">
        <v>34</v>
      </c>
      <c r="W33" s="22" t="s">
        <v>35</v>
      </c>
      <c r="X33" s="22" t="s">
        <v>36</v>
      </c>
      <c r="Y33" s="22" t="s">
        <v>37</v>
      </c>
      <c r="Z33" s="22" t="s">
        <v>38</v>
      </c>
      <c r="AA33" s="22" t="s">
        <v>39</v>
      </c>
      <c r="AB33" s="22" t="s">
        <v>40</v>
      </c>
      <c r="AC33" s="22" t="s">
        <v>41</v>
      </c>
    </row>
    <row r="34" spans="2:29" hidden="1" outlineLevel="1" x14ac:dyDescent="0.25">
      <c r="B34" s="6" t="s">
        <v>26</v>
      </c>
      <c r="C34" s="6" t="s">
        <v>42</v>
      </c>
      <c r="D34" s="6" t="s">
        <v>43</v>
      </c>
      <c r="E34" s="1" t="s">
        <v>44</v>
      </c>
      <c r="K34" s="1"/>
    </row>
    <row r="35" spans="2:29" hidden="1" outlineLevel="1" x14ac:dyDescent="0.25">
      <c r="B35" s="4" t="s">
        <v>12</v>
      </c>
      <c r="C35" s="21" t="str">
        <f ca="1">_xll.SUBNM(db_name&amp;":related entity","","Total related entity")</f>
        <v/>
      </c>
      <c r="D35" s="1"/>
      <c r="E35" s="1"/>
      <c r="L35" s="42"/>
    </row>
    <row r="36" spans="2:29" hidden="1" outlineLevel="1" x14ac:dyDescent="0.25">
      <c r="B36" s="4" t="s">
        <v>13</v>
      </c>
      <c r="C36" s="21" t="str">
        <f ca="1">_xll.SUBNM(db_name&amp;":function","","Total functions")</f>
        <v/>
      </c>
      <c r="D36" s="1"/>
      <c r="E36" s="1"/>
      <c r="L36" s="42"/>
    </row>
    <row r="37" spans="2:29" hidden="1" outlineLevel="1" x14ac:dyDescent="0.25">
      <c r="B37" s="4" t="s">
        <v>20</v>
      </c>
      <c r="C37" s="21" t="str">
        <f ca="1">_xll.SUBNM(db_name&amp;":movement account","","Total movement")</f>
        <v/>
      </c>
      <c r="D37" s="1"/>
      <c r="E37" s="1"/>
      <c r="L37" s="42"/>
    </row>
    <row r="38" spans="2:29" hidden="1" outlineLevel="1" x14ac:dyDescent="0.25">
      <c r="B38" s="4" t="s">
        <v>26</v>
      </c>
      <c r="C38" s="21" t="str">
        <f ca="1">_xll.SUBNM(db_name&amp;":jurisdiction","","Total jurisdictions")</f>
        <v/>
      </c>
      <c r="D38" s="1"/>
      <c r="E38" s="1"/>
      <c r="L38" s="42"/>
    </row>
    <row r="39" spans="2:29" hidden="1" outlineLevel="1" x14ac:dyDescent="0.25">
      <c r="B39" s="4" t="s">
        <v>78</v>
      </c>
      <c r="C39" s="21" t="str">
        <f ca="1">_xll.SUBNM(db_name&amp;":spp","","Total SPP")</f>
        <v/>
      </c>
      <c r="D39" s="1"/>
      <c r="E39" s="1"/>
      <c r="L39" s="42"/>
    </row>
    <row r="40" spans="2:29" hidden="1" outlineLevel="1" x14ac:dyDescent="0.25">
      <c r="B40" s="4" t="s">
        <v>79</v>
      </c>
      <c r="C40" s="21" t="str">
        <f ca="1">_xll.SUBNM(db_name&amp;":appropriation item","","Total approp item")</f>
        <v/>
      </c>
      <c r="D40" s="1"/>
      <c r="E40" s="1"/>
      <c r="L40" s="42"/>
    </row>
    <row r="41" spans="2:29" hidden="1" outlineLevel="1" x14ac:dyDescent="0.25">
      <c r="B41" s="41" t="s">
        <v>77</v>
      </c>
      <c r="C41" s="39" t="str">
        <f t="array" aca="1" ref="C41" ca="1">_xll.SUBNM(db_name&amp;":ME reporting measure","","value")</f>
        <v/>
      </c>
      <c r="D41" s="1"/>
      <c r="E41" s="1"/>
    </row>
    <row r="42" spans="2:29" hidden="1" outlineLevel="1" x14ac:dyDescent="0.25">
      <c r="D42" s="1"/>
      <c r="E42" s="1"/>
    </row>
    <row r="43" spans="2:29" hidden="1" outlineLevel="1" x14ac:dyDescent="0.25">
      <c r="B43" s="51" t="s">
        <v>81</v>
      </c>
      <c r="C43" s="51"/>
      <c r="D43" s="40"/>
      <c r="E43" s="40"/>
      <c r="F43" s="40"/>
      <c r="G43" s="40"/>
      <c r="H43" s="40"/>
      <c r="I43" s="40"/>
      <c r="J43" s="40"/>
    </row>
    <row r="44" spans="2:29" hidden="1" outlineLevel="1" x14ac:dyDescent="0.25">
      <c r="B44" s="48" t="s">
        <v>70</v>
      </c>
      <c r="C44" s="48" t="str">
        <f t="array" aca="1" ref="C44" ca="1">_xll.VIEW(db_name&amp;":sys_application","!","!")</f>
        <v>dcceew_geus:sys_application</v>
      </c>
      <c r="D44" s="40"/>
      <c r="E44" s="40"/>
      <c r="F44" s="40"/>
      <c r="G44" s="40"/>
      <c r="H44" s="40"/>
      <c r="I44" s="40"/>
      <c r="J44" s="40"/>
    </row>
    <row r="45" spans="2:29" hidden="1" outlineLevel="1" x14ac:dyDescent="0.25">
      <c r="B45" s="39"/>
      <c r="C45" s="49" t="s">
        <v>82</v>
      </c>
      <c r="D45" s="49" t="s">
        <v>83</v>
      </c>
      <c r="E45" s="49" t="s">
        <v>84</v>
      </c>
      <c r="F45" s="49" t="s">
        <v>85</v>
      </c>
      <c r="G45" s="49" t="s">
        <v>86</v>
      </c>
      <c r="H45" s="49" t="s">
        <v>87</v>
      </c>
    </row>
    <row r="46" spans="2:29" hidden="1" outlineLevel="1" x14ac:dyDescent="0.25">
      <c r="B46" s="39" t="s">
        <v>88</v>
      </c>
      <c r="C46" s="39" t="str">
        <f ca="1">_xll.DBR($C$44,$B46,C$45)</f>
        <v>*KEY_ERR</v>
      </c>
      <c r="D46" s="39" t="str">
        <f ca="1">_xll.DBR($C$44,$B46,D$45)</f>
        <v>*KEY_ERR</v>
      </c>
      <c r="E46" s="39" t="str">
        <f ca="1">_xll.DBR($C$44,$B46,E$45)</f>
        <v>*KEY_ERR</v>
      </c>
      <c r="F46" s="39" t="str">
        <f ca="1">_xll.DBR($C$44,$B46,F$45)</f>
        <v>*KEY_ERR</v>
      </c>
      <c r="G46" s="39" t="str">
        <f ca="1">_xll.DBR($C$44,$B46,G$45)</f>
        <v>*KEY_ERR</v>
      </c>
      <c r="H46" s="39" t="str">
        <f ca="1">_xll.DBR($C$44,$B46,H$45)</f>
        <v>*KEY_ERR</v>
      </c>
    </row>
    <row r="47" spans="2:29" hidden="1" outlineLevel="1" x14ac:dyDescent="0.25">
      <c r="B47" s="39" t="s">
        <v>89</v>
      </c>
      <c r="C47" s="39" t="str">
        <f ca="1">_xll.DBR($C$44,$B47,C$45)</f>
        <v>*KEY_ERR</v>
      </c>
      <c r="D47" s="39" t="str">
        <f ca="1">_xll.DBR($C$44,$B47,D$45)</f>
        <v>*KEY_ERR</v>
      </c>
      <c r="E47" s="39" t="str">
        <f ca="1">_xll.DBR($C$44,$B47,E$45)</f>
        <v>*KEY_ERR</v>
      </c>
      <c r="F47" s="39" t="str">
        <f ca="1">_xll.DBR($C$44,$B47,F$45)</f>
        <v>*KEY_ERR</v>
      </c>
      <c r="G47" s="39" t="str">
        <f ca="1">_xll.DBR($C$44,$B47,G$45)</f>
        <v>*KEY_ERR</v>
      </c>
      <c r="H47" s="39" t="str">
        <f ca="1">_xll.DBR($C$44,$B47,H$45)</f>
        <v>*KEY_ERR</v>
      </c>
    </row>
    <row r="48" spans="2:29" hidden="1" outlineLevel="1" x14ac:dyDescent="0.25">
      <c r="B48" s="39" t="s">
        <v>90</v>
      </c>
      <c r="C48" s="39" t="str">
        <f ca="1">_xll.DBR($C$44,$B48,C$45)</f>
        <v>*KEY_ERR</v>
      </c>
      <c r="D48" s="39" t="str">
        <f ca="1">_xll.DBR($C$44,$B48,D$45)</f>
        <v>*KEY_ERR</v>
      </c>
      <c r="E48" s="39" t="str">
        <f ca="1">_xll.DBR($C$44,$B48,E$45)</f>
        <v>*KEY_ERR</v>
      </c>
      <c r="F48" s="39" t="str">
        <f ca="1">_xll.DBR($C$44,$B48,F$45)</f>
        <v>*KEY_ERR</v>
      </c>
      <c r="G48" s="39" t="str">
        <f ca="1">_xll.DBR($C$44,$B48,G$45)</f>
        <v>*KEY_ERR</v>
      </c>
      <c r="H48" s="39" t="str">
        <f ca="1">_xll.DBR($C$44,$B48,H$45)</f>
        <v>*KEY_ERR</v>
      </c>
    </row>
    <row r="49" spans="2:8" hidden="1" outlineLevel="1" x14ac:dyDescent="0.25">
      <c r="B49" s="39" t="s">
        <v>91</v>
      </c>
      <c r="C49" s="39" t="str">
        <f ca="1">_xll.DBR($C$44,$B49,C$45)</f>
        <v>*KEY_ERR</v>
      </c>
      <c r="D49" s="39" t="str">
        <f ca="1">_xll.DBR($C$44,$B49,D$45)</f>
        <v>*KEY_ERR</v>
      </c>
      <c r="E49" s="39" t="str">
        <f ca="1">_xll.DBR($C$44,$B49,E$45)</f>
        <v>*KEY_ERR</v>
      </c>
      <c r="F49" s="39" t="str">
        <f ca="1">_xll.DBR($C$44,$B49,F$45)</f>
        <v>*KEY_ERR</v>
      </c>
      <c r="G49" s="39" t="str">
        <f ca="1">_xll.DBR($C$44,$B49,G$45)</f>
        <v>*KEY_ERR</v>
      </c>
      <c r="H49" s="39" t="str">
        <f ca="1">_xll.DBR($C$44,$B49,H$45)</f>
        <v>*KEY_ERR</v>
      </c>
    </row>
    <row r="50" spans="2:8" hidden="1" outlineLevel="1" x14ac:dyDescent="0.25">
      <c r="B50" s="39" t="s">
        <v>92</v>
      </c>
      <c r="C50" s="39" t="str">
        <f ca="1">_xll.DBR($C$44,$B50,C$45)</f>
        <v>*KEY_ERR</v>
      </c>
      <c r="D50" s="39" t="str">
        <f ca="1">_xll.DBR($C$44,$B50,D$45)</f>
        <v>*KEY_ERR</v>
      </c>
      <c r="E50" s="39" t="str">
        <f ca="1">_xll.DBR($C$44,$B50,E$45)</f>
        <v>*KEY_ERR</v>
      </c>
      <c r="F50" s="39" t="str">
        <f ca="1">_xll.DBR($C$44,$B50,F$45)</f>
        <v>*KEY_ERR</v>
      </c>
      <c r="G50" s="39" t="str">
        <f ca="1">_xll.DBR($C$44,$B50,G$45)</f>
        <v>*KEY_ERR</v>
      </c>
      <c r="H50" s="39" t="str">
        <f ca="1">_xll.DBR($C$44,$B50,H$45)</f>
        <v>*KEY_ERR</v>
      </c>
    </row>
    <row r="51" spans="2:8" hidden="1" outlineLevel="1" x14ac:dyDescent="0.25">
      <c r="D51" s="1"/>
      <c r="E51" s="1"/>
    </row>
    <row r="52" spans="2:8" hidden="1" outlineLevel="1" x14ac:dyDescent="0.25">
      <c r="D52" s="1"/>
      <c r="E52" s="1"/>
    </row>
    <row r="53" spans="2:8" hidden="1" outlineLevel="1" x14ac:dyDescent="0.25">
      <c r="D53" s="1"/>
      <c r="E53" s="1"/>
    </row>
    <row r="54" spans="2:8" hidden="1" outlineLevel="1" x14ac:dyDescent="0.25">
      <c r="D54" s="1"/>
      <c r="E54" s="1"/>
    </row>
    <row r="55" spans="2:8" hidden="1" outlineLevel="1" x14ac:dyDescent="0.25">
      <c r="D55" s="1"/>
      <c r="E55" s="1"/>
    </row>
    <row r="56" spans="2:8" hidden="1" outlineLevel="1" x14ac:dyDescent="0.25">
      <c r="D56" s="1"/>
      <c r="E56" s="1"/>
    </row>
    <row r="57" spans="2:8" hidden="1" outlineLevel="1" x14ac:dyDescent="0.25">
      <c r="D57" s="1"/>
      <c r="E57" s="1"/>
    </row>
    <row r="58" spans="2:8" hidden="1" outlineLevel="1" x14ac:dyDescent="0.25">
      <c r="D58" s="1"/>
      <c r="E58" s="1"/>
    </row>
    <row r="59" spans="2:8" hidden="1" outlineLevel="1" x14ac:dyDescent="0.25">
      <c r="D59" s="1"/>
      <c r="E59" s="1"/>
    </row>
    <row r="60" spans="2:8" hidden="1" outlineLevel="1" x14ac:dyDescent="0.25">
      <c r="D60" s="1"/>
      <c r="E60" s="1"/>
    </row>
    <row r="61" spans="2:8" hidden="1" outlineLevel="1" x14ac:dyDescent="0.25">
      <c r="D61" s="1"/>
      <c r="E61" s="1"/>
    </row>
    <row r="62" spans="2:8" hidden="1" outlineLevel="1" x14ac:dyDescent="0.25">
      <c r="D62" s="1"/>
      <c r="E62" s="1"/>
    </row>
    <row r="63" spans="2:8" hidden="1" outlineLevel="1" x14ac:dyDescent="0.25">
      <c r="D63" s="1"/>
      <c r="E63" s="1"/>
    </row>
    <row r="64" spans="2:8" hidden="1" outlineLevel="1" x14ac:dyDescent="0.25">
      <c r="D64" s="2" t="s">
        <v>45</v>
      </c>
    </row>
    <row r="65" spans="2:29" ht="36" customHeight="1" collapsed="1" x14ac:dyDescent="0.25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6" t="s">
        <v>93</v>
      </c>
      <c r="Q65" s="43"/>
      <c r="R65" s="46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 spans="2:29" ht="5.25" customHeight="1" x14ac:dyDescent="0.25">
      <c r="B66" s="44"/>
      <c r="C66" s="44"/>
      <c r="D66" s="45"/>
      <c r="E66" s="45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5"/>
      <c r="R66" s="45"/>
      <c r="S66" s="44"/>
      <c r="T66" s="44"/>
      <c r="U66" s="44"/>
      <c r="V66" s="45"/>
      <c r="W66" s="44"/>
      <c r="X66" s="44"/>
      <c r="Y66" s="44"/>
      <c r="Z66" s="44"/>
      <c r="AA66" s="44"/>
      <c r="AB66" s="44"/>
      <c r="AC66" s="44"/>
    </row>
    <row r="67" spans="2:29" ht="24.75" customHeight="1" x14ac:dyDescent="0.25">
      <c r="B67" s="44"/>
      <c r="C67" s="44"/>
      <c r="D67" s="45"/>
      <c r="E67" s="45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5"/>
      <c r="R67" s="45"/>
      <c r="S67" s="44"/>
      <c r="T67" s="44"/>
      <c r="U67" s="44"/>
      <c r="V67" s="45"/>
      <c r="W67" s="44"/>
      <c r="X67" s="44"/>
      <c r="Y67" s="44"/>
      <c r="Z67" s="44"/>
      <c r="AA67" s="44"/>
      <c r="AB67" s="44"/>
      <c r="AC67" s="44"/>
    </row>
    <row r="68" spans="2:29" ht="1.5" customHeight="1" x14ac:dyDescent="0.25">
      <c r="B68" s="44"/>
      <c r="C68" s="44"/>
      <c r="D68" s="45"/>
      <c r="E68" s="45"/>
      <c r="F68" s="44"/>
      <c r="G68" s="44"/>
      <c r="H68" s="44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 spans="2:29" ht="4.5" customHeight="1" x14ac:dyDescent="0.25">
      <c r="B69" s="44"/>
      <c r="C69" s="44"/>
      <c r="D69" s="45"/>
      <c r="E69" s="45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5"/>
      <c r="R69" s="45"/>
      <c r="S69" s="44"/>
      <c r="T69" s="44"/>
      <c r="U69" s="44"/>
      <c r="V69" s="45"/>
      <c r="W69" s="44"/>
      <c r="X69" s="44"/>
      <c r="Y69" s="44"/>
      <c r="Z69" s="44"/>
      <c r="AA69" s="44"/>
      <c r="AB69" s="44"/>
      <c r="AC69" s="44"/>
    </row>
    <row r="70" spans="2:29" x14ac:dyDescent="0.25">
      <c r="L70" s="47" t="s">
        <v>80</v>
      </c>
      <c r="P70" s="47" t="s">
        <v>94</v>
      </c>
    </row>
    <row r="71" spans="2:29" x14ac:dyDescent="0.25">
      <c r="C71" s="25"/>
      <c r="K71" s="26" t="s">
        <v>46</v>
      </c>
      <c r="L71" s="21" t="str">
        <f ca="1">_xll.SUBNM(db_name&amp;":headline year","ME Default",$C$22)</f>
        <v/>
      </c>
      <c r="O71" s="26" t="s">
        <v>95</v>
      </c>
      <c r="P71" s="50" t="s">
        <v>99</v>
      </c>
    </row>
    <row r="72" spans="2:29" x14ac:dyDescent="0.25">
      <c r="K72" s="26" t="s">
        <v>47</v>
      </c>
      <c r="L72" s="21" t="str">
        <f ca="1">_xll.SUBNM(db_name&amp;":scenario","","current")</f>
        <v/>
      </c>
    </row>
    <row r="73" spans="2:29" hidden="1" x14ac:dyDescent="0.25">
      <c r="K73" s="26" t="s">
        <v>48</v>
      </c>
      <c r="L73" s="6" t="str">
        <f ca="1">_xll.SUBNM(db_name&amp;":status","","data")</f>
        <v/>
      </c>
    </row>
    <row r="74" spans="2:29" x14ac:dyDescent="0.25">
      <c r="K74" s="26" t="s">
        <v>19</v>
      </c>
      <c r="L74" s="21" t="str">
        <f ca="1">_xll.SUBNM(db_name&amp;":programme","sys_ME programmes","Administered programmes","code and description")</f>
        <v/>
      </c>
    </row>
    <row r="75" spans="2:29" ht="5.0999999999999996" customHeight="1" x14ac:dyDescent="0.25">
      <c r="K75" s="1"/>
    </row>
    <row r="76" spans="2:29" x14ac:dyDescent="0.25">
      <c r="K76" s="27" t="s">
        <v>49</v>
      </c>
      <c r="L76" s="21" t="s">
        <v>50</v>
      </c>
    </row>
    <row r="77" spans="2:29" ht="5.0999999999999996" customHeight="1" x14ac:dyDescent="0.25">
      <c r="B77" s="25"/>
      <c r="C77" s="27"/>
    </row>
    <row r="78" spans="2:29" x14ac:dyDescent="0.25">
      <c r="D78" s="28"/>
      <c r="E78" s="28"/>
      <c r="F78" s="29"/>
      <c r="G78" s="29"/>
      <c r="H78" s="29"/>
      <c r="I78" s="29"/>
      <c r="J78" s="29"/>
      <c r="K78" s="28"/>
      <c r="L78" s="30" t="s">
        <v>51</v>
      </c>
      <c r="N78" s="31" t="str">
        <f ca="1">_xll.DBRW($D$27,$L$71,$L$72,"Total related entity",$C$39,"Total movement",$L74,$C$40,"3800001",N$30,"Total jurisdictions",N$31,$C$41)</f>
        <v/>
      </c>
      <c r="O78" s="31" t="str">
        <f ca="1">_xll.DBRW($D$27,$L$71,$L$72,"Total related entity",$C$39,"Total movement",$L74,$C$40,"3800001",O$30,"Total jurisdictions",O$31,$C$41)</f>
        <v/>
      </c>
      <c r="P78" s="31" t="e">
        <f ca="1">N78-O78</f>
        <v>#VALUE!</v>
      </c>
      <c r="R78" s="31" t="str">
        <f ca="1">_xll.DBRW($D$27,$L$71,$L$72,"Total related entity",$C$39,"Total movement",$L74,$C$40,"3800001",R$30,"Total jurisdictions",R$31,$C$41)</f>
        <v/>
      </c>
      <c r="S78" s="31" t="str">
        <f ca="1">_xll.DBRW($D$27,$L$71,$L$72,"Total related entity",$C$39,"Total movement",$L74,$C$40,"3800001",S$30,"Total jurisdictions",S$31,$C$41)</f>
        <v/>
      </c>
      <c r="T78" s="31" t="str">
        <f ca="1">_xll.DBRW($D$27,$L$71,$L$72,"Total related entity",$C$39,"Total movement",$L74,$C$40,"3800001",T$30,"Total jurisdictions",T$31,$C$41)</f>
        <v/>
      </c>
      <c r="U78" s="31" t="str">
        <f ca="1">_xll.DBRW($D$27,$L$71,$L$72,"Total related entity",$C$39,"Total movement",$L74,$C$40,"3800001",U$30,"Total jurisdictions",U$31,$C$41)</f>
        <v/>
      </c>
      <c r="V78" s="31" t="str">
        <f ca="1">_xll.DBRW($D$27,$L$71,$L$72,"Total related entity",$C$39,"Total movement",$L74,$C$40,"3800001",V$30,"Total jurisdictions",V$31,$C$41)</f>
        <v/>
      </c>
      <c r="W78" s="31" t="str">
        <f ca="1">_xll.DBRW($D$27,$L$71,$L$72,"Total related entity",$C$39,"Total movement",$L74,$C$40,"3800001",W$30,"Total jurisdictions",W$31,$C$41)</f>
        <v/>
      </c>
      <c r="X78" s="31" t="str">
        <f ca="1">_xll.DBRW($D$27,$L$71,$L$72,"Total related entity",$C$39,"Total movement",$L74,$C$40,"3800001",X$30,"Total jurisdictions",X$31,$C$41)</f>
        <v/>
      </c>
      <c r="Y78" s="31" t="str">
        <f ca="1">_xll.DBRW($D$27,$L$71,$L$72,"Total related entity",$C$39,"Total movement",$L74,$C$40,"3800001",Y$30,"Total jurisdictions",Y$31,$C$41)</f>
        <v/>
      </c>
      <c r="Z78" s="31" t="str">
        <f ca="1">_xll.DBRW($D$27,$L$71,$L$72,"Total related entity",$C$39,"Total movement",$L74,$C$40,"3800001",Z$30,"Total jurisdictions",Z$31,$C$41)</f>
        <v/>
      </c>
      <c r="AA78" s="31" t="str">
        <f ca="1">_xll.DBRW($D$27,$L$71,$L$72,"Total related entity",$C$39,"Total movement",$L74,$C$40,"3800001",AA$30,"Total jurisdictions",AA$31,$C$41)</f>
        <v/>
      </c>
      <c r="AB78" s="31" t="str">
        <f ca="1">_xll.DBRW($D$27,$L$71,$L$72,"Total related entity",$C$39,"Total movement",$L74,$C$40,"3800001",AB$30,"Total jurisdictions",AB$31,$C$41)</f>
        <v/>
      </c>
      <c r="AC78" s="31" t="str">
        <f ca="1">_xll.DBRW($D$27,$L$71,$L$72,"Total related entity",$C$39,"Total movement",$L74,$C$40,"3800001",AC$30,"Total jurisdictions",AC$31,$C$41)</f>
        <v/>
      </c>
    </row>
    <row r="79" spans="2:29" x14ac:dyDescent="0.25">
      <c r="B79" s="29" t="s">
        <v>52</v>
      </c>
      <c r="J79" s="32" t="s">
        <v>53</v>
      </c>
    </row>
    <row r="80" spans="2:29" s="33" customFormat="1" ht="30" x14ac:dyDescent="0.25">
      <c r="B80" s="34" t="s">
        <v>54</v>
      </c>
      <c r="C80" s="34" t="s">
        <v>19</v>
      </c>
      <c r="D80" s="34" t="s">
        <v>55</v>
      </c>
      <c r="E80" s="34" t="s">
        <v>56</v>
      </c>
      <c r="F80" s="34" t="s">
        <v>57</v>
      </c>
      <c r="G80" s="34"/>
      <c r="H80" s="34"/>
      <c r="I80" s="35"/>
      <c r="J80" s="34" t="s">
        <v>54</v>
      </c>
      <c r="K80" s="34" t="s">
        <v>58</v>
      </c>
      <c r="L80" s="34" t="s">
        <v>19</v>
      </c>
      <c r="N80" s="34" t="s">
        <v>59</v>
      </c>
      <c r="O80" s="34" t="s">
        <v>60</v>
      </c>
      <c r="P80" s="34" t="s">
        <v>61</v>
      </c>
      <c r="Q80" s="35"/>
      <c r="R80" s="34" t="str">
        <f t="shared" ref="R80:AC80" ca="1" si="2">R$31</f>
        <v>Jul YTD</v>
      </c>
      <c r="S80" s="34" t="str">
        <f t="shared" ca="1" si="2"/>
        <v>Aug YTD</v>
      </c>
      <c r="T80" s="34" t="str">
        <f t="shared" ca="1" si="2"/>
        <v>Sep YTD</v>
      </c>
      <c r="U80" s="34" t="str">
        <f t="shared" ca="1" si="2"/>
        <v>Oct YTD</v>
      </c>
      <c r="V80" s="34" t="str">
        <f t="shared" ca="1" si="2"/>
        <v>Nov YTD</v>
      </c>
      <c r="W80" s="34" t="str">
        <f t="shared" ca="1" si="2"/>
        <v>Dec YTD</v>
      </c>
      <c r="X80" s="34" t="str">
        <f t="shared" ca="1" si="2"/>
        <v>Jan YTD</v>
      </c>
      <c r="Y80" s="34" t="str">
        <f t="shared" ca="1" si="2"/>
        <v>Feb YTD</v>
      </c>
      <c r="Z80" s="34" t="str">
        <f t="shared" ca="1" si="2"/>
        <v>Mar YTD</v>
      </c>
      <c r="AA80" s="34" t="str">
        <f t="shared" ca="1" si="2"/>
        <v>Apr YTD</v>
      </c>
      <c r="AB80" s="34" t="str">
        <f t="shared" ca="1" si="2"/>
        <v>May YTD</v>
      </c>
      <c r="AC80" s="34" t="str">
        <f t="shared" ca="1" si="2"/>
        <v>Jun YTD</v>
      </c>
    </row>
    <row r="81" spans="1:29" x14ac:dyDescent="0.25">
      <c r="A81" s="15" t="str">
        <f ca="1">IF(_xll.TM1RPTELISCONSOLIDATED(#REF!,#REF!),IF(_xll.TM1RPTELLEV(#REF!,#REF!)&lt;=3,_xll.TM1RPTELLEV(#REF!,#REF!),"D"),"N")</f>
        <v>N</v>
      </c>
      <c r="B81" s="36" t="str">
        <f ca="1">_xll.TM1RPTROW($D$28,db_name&amp;":account","","","code and description",0,$C$28)</f>
        <v/>
      </c>
      <c r="C81" s="4" t="str">
        <f ca="1">_xll.TM1RPTROW($D$28,db_name&amp;":programme","","","description",0,$C$31,,0)</f>
        <v/>
      </c>
      <c r="D81" s="5" t="str">
        <f ca="1">_xll.DBRA(db_name&amp;":programme",$C81,D$64)</f>
        <v/>
      </c>
      <c r="E81" s="5" t="str">
        <f ca="1">_xll.DBRA(db_name&amp;":account",$B81,"description")</f>
        <v/>
      </c>
      <c r="F81" s="6" t="str">
        <f ca="1">IF(_xll.DIMIX(db_name&amp;":programme",$L$74)=_xll.DIMIX(db_name&amp;":programme",$C81),"Total " &amp; $E81,$C81)</f>
        <v xml:space="preserve">Total </v>
      </c>
      <c r="I81" s="16"/>
      <c r="J81" s="7" t="str">
        <f ca="1">IF($B81=$B80,"",$B81)</f>
        <v/>
      </c>
      <c r="K81" s="5" t="str">
        <f ca="1">$D81</f>
        <v/>
      </c>
      <c r="L81" s="6" t="str">
        <f ca="1">$F81</f>
        <v xml:space="preserve">Total </v>
      </c>
      <c r="M81" s="15"/>
      <c r="N81" s="17" t="str">
        <f ca="1">_xll.DBRW($D$28,$L$71,$L$72,$C$35,$C$39,$C$37,$C81,$C$40,$B81,N$30,$C$38,N$31,$C$41)</f>
        <v/>
      </c>
      <c r="O81" s="17" t="str">
        <f ca="1">_xll.DBRW($D$28,$L$71,$L$72,$C$35,$C$39,$C$37,$C81,$C$40,$B81,O$30,$C$38,O$31,$C$41)</f>
        <v/>
      </c>
      <c r="P81" s="17" t="e">
        <f ca="1">N81-O81</f>
        <v>#VALUE!</v>
      </c>
      <c r="Q81" s="18"/>
      <c r="R81" s="19" t="str">
        <f ca="1">_xll.DBRW($D$28,$L$71,$L$72,$C$35,$C$39,$C$37,$C81,$C$40,$B81,R$30,$C$38,R$31,$C$41)</f>
        <v/>
      </c>
      <c r="S81" s="19" t="str">
        <f ca="1">_xll.DBRW($D$28,$L$71,$L$72,$C$35,$C$39,$C$37,$C81,$C$40,$B81,S$30,$C$38,S$31,$C$41)</f>
        <v/>
      </c>
      <c r="T81" s="19" t="str">
        <f ca="1">_xll.DBRW($D$28,$L$71,$L$72,$C$35,$C$39,$C$37,$C81,$C$40,$B81,T$30,$C$38,T$31,$C$41)</f>
        <v/>
      </c>
      <c r="U81" s="19" t="str">
        <f ca="1">_xll.DBRW($D$28,$L$71,$L$72,$C$35,$C$39,$C$37,$C81,$C$40,$B81,U$30,$C$38,U$31,$C$41)</f>
        <v/>
      </c>
      <c r="V81" s="19" t="str">
        <f ca="1">_xll.DBRW($D$28,$L$71,$L$72,$C$35,$C$39,$C$37,$C81,$C$40,$B81,V$30,$C$38,V$31,$C$41)</f>
        <v/>
      </c>
      <c r="W81" s="19" t="str">
        <f ca="1">_xll.DBRW($D$28,$L$71,$L$72,$C$35,$C$39,$C$37,$C81,$C$40,$B81,W$30,$C$38,W$31,$C$41)</f>
        <v/>
      </c>
      <c r="X81" s="19" t="str">
        <f ca="1">_xll.DBRW($D$28,$L$71,$L$72,$C$35,$C$39,$C$37,$C81,$C$40,$B81,X$30,$C$38,X$31,$C$41)</f>
        <v/>
      </c>
      <c r="Y81" s="19" t="str">
        <f ca="1">_xll.DBRW($D$28,$L$71,$L$72,$C$35,$C$39,$C$37,$C81,$C$40,$B81,Y$30,$C$38,Y$31,$C$41)</f>
        <v/>
      </c>
      <c r="Z81" s="19" t="str">
        <f ca="1">_xll.DBRW($D$28,$L$71,$L$72,$C$35,$C$39,$C$37,$C81,$C$40,$B81,Z$30,$C$38,Z$31,$C$41)</f>
        <v/>
      </c>
      <c r="AA81" s="19" t="str">
        <f ca="1">_xll.DBRW($D$28,$L$71,$L$72,$C$35,$C$39,$C$37,$C81,$C$40,$B81,AA$30,$C$38,AA$31,$C$41)</f>
        <v/>
      </c>
      <c r="AB81" s="19" t="str">
        <f ca="1">_xll.DBRW($D$28,$L$71,$L$72,$C$35,$C$39,$C$37,$C81,$C$40,$B81,AB$30,$C$38,AB$31,$C$41)</f>
        <v/>
      </c>
      <c r="AC81" s="19" t="str">
        <f ca="1">_xll.DBRW($D$28,$L$71,$L$72,$C$35,$C$39,$C$37,$C81,$C$40,$B81,AC$30,$C$38,AC$31,$C$41)</f>
        <v/>
      </c>
    </row>
    <row r="82" spans="1:29" ht="9.9499999999999993" customHeight="1" x14ac:dyDescent="0.25"/>
    <row r="83" spans="1:29" x14ac:dyDescent="0.25">
      <c r="L83" s="30" t="s">
        <v>62</v>
      </c>
      <c r="N83" s="37" t="str">
        <f ca="1">_xll.DBRW($D$27,$L$71,$L$72,"Total related entity",$C$39,"Total movement",$L$74,$C$40,"1000001",N$30,"Total jurisdictions",N$31,$C$41)</f>
        <v/>
      </c>
      <c r="O83" s="37" t="str">
        <f ca="1">_xll.DBRW($D$27,$L$71,$L$72,"Total related entity",$C$39,"Total movement",$L74,$C$40,"1000001",O$30,"Total jurisdictions",O$31,$C$41)</f>
        <v/>
      </c>
      <c r="P83" s="37" t="e">
        <f ca="1">N83-O83</f>
        <v>#VALUE!</v>
      </c>
      <c r="R83" s="37" t="str">
        <f ca="1">_xll.DBRW($D$27,$L$71,$L$72,"Total related entity",$C$39,"Total movement",$L74,$C$40,"1000001",R$30,"Total jurisdictions",R$31,$C$41)</f>
        <v/>
      </c>
      <c r="S83" s="37" t="str">
        <f ca="1">_xll.DBRW($D$27,$L$71,$L$72,"Total related entity",$C$39,"Total movement",$L74,$C$40,"1000001",S$30,"Total jurisdictions",S$31,$C$41)</f>
        <v/>
      </c>
      <c r="T83" s="37" t="str">
        <f ca="1">_xll.DBRW($D$27,$L$71,$L$72,"Total related entity",$C$39,"Total movement",$L74,$C$40,"1000001",T$30,"Total jurisdictions",T$31,$C$41)</f>
        <v/>
      </c>
      <c r="U83" s="37" t="str">
        <f ca="1">_xll.DBRW($D$27,$L$71,$L$72,"Total related entity",$C$39,"Total movement",$L74,$C$40,"1000001",U$30,"Total jurisdictions",U$31,$C$41)</f>
        <v/>
      </c>
      <c r="V83" s="37" t="str">
        <f ca="1">_xll.DBRW($D$27,$L$71,$L$72,"Total related entity",$C$39,"Total movement",$L74,$C$40,"1000001",V$30,"Total jurisdictions",V$31,$C$41)</f>
        <v/>
      </c>
      <c r="W83" s="37" t="str">
        <f ca="1">_xll.DBRW($D$27,$L$71,$L$72,"Total related entity",$C$39,"Total movement",$L74,$C$40,"1000001",W$30,"Total jurisdictions",W$31,$C$41)</f>
        <v/>
      </c>
      <c r="X83" s="37" t="str">
        <f ca="1">_xll.DBRW($D$27,$L$71,$L$72,"Total related entity",$C$39,"Total movement",$L74,$C$40,"1000001",X$30,"Total jurisdictions",X$31,$C$41)</f>
        <v/>
      </c>
      <c r="Y83" s="37" t="str">
        <f ca="1">_xll.DBRW($D$27,$L$71,$L$72,"Total related entity",$C$39,"Total movement",$L74,$C$40,"1000001",Y$30,"Total jurisdictions",Y$31,$C$41)</f>
        <v/>
      </c>
      <c r="Z83" s="37" t="str">
        <f ca="1">_xll.DBRW($D$27,$L$71,$L$72,"Total related entity",$C$39,"Total movement",$L74,$C$40,"1000001",Z$30,"Total jurisdictions",Z$31,$C$41)</f>
        <v/>
      </c>
      <c r="AA83" s="37" t="str">
        <f ca="1">_xll.DBRW($D$27,$L$71,$L$72,"Total related entity",$C$39,"Total movement",$L74,$C$40,"1000001",AA$30,"Total jurisdictions",AA$31,$C$41)</f>
        <v/>
      </c>
      <c r="AB83" s="37" t="str">
        <f ca="1">_xll.DBRW($D$27,$L$71,$L$72,"Total related entity",$C$39,"Total movement",$L74,$C$40,"1000001",AB$30,"Total jurisdictions",AB$31,$C$41)</f>
        <v/>
      </c>
      <c r="AC83" s="37" t="str">
        <f ca="1">_xll.DBRW($D$27,$L$71,$L$72,"Total related entity",$C$39,"Total movement",$L74,$C$40,"1000001",AC$30,"Total jurisdictions",AC$31,$C$41)</f>
        <v/>
      </c>
    </row>
    <row r="84" spans="1:29" x14ac:dyDescent="0.25">
      <c r="B84" s="29" t="s">
        <v>63</v>
      </c>
      <c r="J84" s="32" t="s">
        <v>64</v>
      </c>
    </row>
    <row r="85" spans="1:29" s="33" customFormat="1" ht="30" x14ac:dyDescent="0.25">
      <c r="B85" s="34" t="s">
        <v>54</v>
      </c>
      <c r="C85" s="34" t="s">
        <v>19</v>
      </c>
      <c r="D85" s="34"/>
      <c r="E85" s="34"/>
      <c r="F85" s="34"/>
      <c r="G85" s="34"/>
      <c r="H85" s="34"/>
      <c r="I85" s="35"/>
      <c r="J85" s="34" t="s">
        <v>54</v>
      </c>
      <c r="K85" s="34" t="s">
        <v>58</v>
      </c>
      <c r="L85" s="34" t="s">
        <v>19</v>
      </c>
      <c r="N85" s="34" t="s">
        <v>59</v>
      </c>
      <c r="O85" s="34" t="s">
        <v>60</v>
      </c>
      <c r="P85" s="34" t="s">
        <v>61</v>
      </c>
      <c r="Q85" s="35"/>
      <c r="R85" s="34" t="str">
        <f t="shared" ref="R85:AC85" ca="1" si="3">R$31</f>
        <v>Jul YTD</v>
      </c>
      <c r="S85" s="34" t="str">
        <f t="shared" ca="1" si="3"/>
        <v>Aug YTD</v>
      </c>
      <c r="T85" s="34" t="str">
        <f t="shared" ca="1" si="3"/>
        <v>Sep YTD</v>
      </c>
      <c r="U85" s="34" t="str">
        <f t="shared" ca="1" si="3"/>
        <v>Oct YTD</v>
      </c>
      <c r="V85" s="34" t="str">
        <f t="shared" ca="1" si="3"/>
        <v>Nov YTD</v>
      </c>
      <c r="W85" s="34" t="str">
        <f t="shared" ca="1" si="3"/>
        <v>Dec YTD</v>
      </c>
      <c r="X85" s="34" t="str">
        <f t="shared" ca="1" si="3"/>
        <v>Jan YTD</v>
      </c>
      <c r="Y85" s="34" t="str">
        <f t="shared" ca="1" si="3"/>
        <v>Feb YTD</v>
      </c>
      <c r="Z85" s="34" t="str">
        <f t="shared" ca="1" si="3"/>
        <v>Mar YTD</v>
      </c>
      <c r="AA85" s="34" t="str">
        <f t="shared" ca="1" si="3"/>
        <v>Apr YTD</v>
      </c>
      <c r="AB85" s="34" t="str">
        <f t="shared" ca="1" si="3"/>
        <v>May YTD</v>
      </c>
      <c r="AC85" s="34" t="str">
        <f t="shared" ca="1" si="3"/>
        <v>Jun YTD</v>
      </c>
    </row>
    <row r="86" spans="1:29" x14ac:dyDescent="0.25">
      <c r="A86" s="15" t="str">
        <f ca="1">IF(_xll.TM1RPTELISCONSOLIDATED(#REF!,#REF!),IF(_xll.TM1RPTELLEV(#REF!,#REF!)&lt;=3,_xll.TM1RPTELLEV(#REF!,#REF!),"D"),"N")</f>
        <v>N</v>
      </c>
      <c r="B86" s="36" t="str">
        <f ca="1">_xll.TM1RPTROW($D$29,db_name&amp;":account","","","code and description",0,$C$29)</f>
        <v/>
      </c>
      <c r="C86" s="38" t="str">
        <f ca="1">_xll.TM1RPTROW($D$29,db_name&amp;":programme","","","description",0,$C$31)</f>
        <v/>
      </c>
      <c r="D86" s="5" t="str">
        <f ca="1">_xll.DBRA(db_name&amp;":programme",$C86,D$64)</f>
        <v/>
      </c>
      <c r="E86" s="5" t="str">
        <f ca="1">_xll.DBRA(db_name&amp;":account",$B86,"description")</f>
        <v/>
      </c>
      <c r="F86" s="6" t="str">
        <f ca="1">IF(_xll.DIMIX(db_name&amp;":programme",$L$74)=_xll.DIMIX(db_name&amp;":programme",$C86),"Total " &amp; $E86,$C86)</f>
        <v xml:space="preserve">Total </v>
      </c>
      <c r="I86" s="16"/>
      <c r="J86" s="7" t="str">
        <f ca="1">IF($B86=$B85,"",$B86)</f>
        <v/>
      </c>
      <c r="K86" s="5" t="str">
        <f ca="1">$D86</f>
        <v/>
      </c>
      <c r="L86" s="6" t="str">
        <f ca="1">$F86</f>
        <v xml:space="preserve">Total </v>
      </c>
      <c r="M86" s="15"/>
      <c r="N86" s="17" t="str">
        <f ca="1">_xll.DBRW($D$29,$L$71,$L$72,$C$35,$C$39,$C$37,$C86,$C$40,$B86,N$30,$C$38,N$31,$C$41)</f>
        <v/>
      </c>
      <c r="O86" s="17" t="str">
        <f ca="1">_xll.DBRW($D$29,$L$71,$L$72,$C$35,$C$39,$C$37,$C86,$C$40,$B86,O$30,$C$38,O$31,$C$41)</f>
        <v/>
      </c>
      <c r="P86" s="17" t="e">
        <f ca="1">N86-O86</f>
        <v>#VALUE!</v>
      </c>
      <c r="Q86" s="18"/>
      <c r="R86" s="19" t="str">
        <f ca="1">_xll.DBRW($D$29,$L$71,$L$72,$C$35,$C$39,$C$37,$C86,$C$40,$B86,R$30,$C$38,R$31,$C$41)</f>
        <v/>
      </c>
      <c r="S86" s="19" t="str">
        <f ca="1">_xll.DBRW($D$29,$L$71,$L$72,$C$35,$C$39,$C$37,$C86,$C$40,$B86,S$30,$C$38,S$31,$C$41)</f>
        <v/>
      </c>
      <c r="T86" s="19" t="str">
        <f ca="1">_xll.DBRW($D$29,$L$71,$L$72,$C$35,$C$39,$C$37,$C86,$C$40,$B86,T$30,$C$38,T$31,$C$41)</f>
        <v/>
      </c>
      <c r="U86" s="19" t="str">
        <f ca="1">_xll.DBRW($D$29,$L$71,$L$72,$C$35,$C$39,$C$37,$C86,$C$40,$B86,U$30,$C$38,U$31,$C$41)</f>
        <v/>
      </c>
      <c r="V86" s="19" t="str">
        <f ca="1">_xll.DBRW($D$29,$L$71,$L$72,$C$35,$C$39,$C$37,$C86,$C$40,$B86,V$30,$C$38,V$31,$C$41)</f>
        <v/>
      </c>
      <c r="W86" s="19" t="str">
        <f ca="1">_xll.DBRW($D$29,$L$71,$L$72,$C$35,$C$39,$C$37,$C86,$C$40,$B86,W$30,$C$38,W$31,$C$41)</f>
        <v/>
      </c>
      <c r="X86" s="19" t="str">
        <f ca="1">_xll.DBRW($D$29,$L$71,$L$72,$C$35,$C$39,$C$37,$C86,$C$40,$B86,X$30,$C$38,X$31,$C$41)</f>
        <v/>
      </c>
      <c r="Y86" s="19" t="str">
        <f ca="1">_xll.DBRW($D$29,$L$71,$L$72,$C$35,$C$39,$C$37,$C86,$C$40,$B86,Y$30,$C$38,Y$31,$C$41)</f>
        <v/>
      </c>
      <c r="Z86" s="19" t="str">
        <f ca="1">_xll.DBRW($D$29,$L$71,$L$72,$C$35,$C$39,$C$37,$C86,$C$40,$B86,Z$30,$C$38,Z$31,$C$41)</f>
        <v/>
      </c>
      <c r="AA86" s="19" t="str">
        <f ca="1">_xll.DBRW($D$29,$L$71,$L$72,$C$35,$C$39,$C$37,$C86,$C$40,$B86,AA$30,$C$38,AA$31,$C$41)</f>
        <v/>
      </c>
      <c r="AB86" s="19" t="str">
        <f ca="1">_xll.DBRW($D$29,$L$71,$L$72,$C$35,$C$39,$C$37,$C86,$C$40,$B86,AB$30,$C$38,AB$31,$C$41)</f>
        <v/>
      </c>
      <c r="AC86" s="19" t="str">
        <f ca="1">_xll.DBRW($D$29,$L$71,$L$72,$C$35,$C$39,$C$37,$C86,$C$40,$B86,AC$30,$C$38,AC$31,$C$41)</f>
        <v/>
      </c>
    </row>
    <row r="87" spans="1:29" ht="9.9499999999999993" customHeight="1" x14ac:dyDescent="0.25"/>
    <row r="88" spans="1:29" x14ac:dyDescent="0.25">
      <c r="L88" s="30" t="s">
        <v>65</v>
      </c>
      <c r="N88" s="37" t="str">
        <f ca="1">_xll.DBRW($D$27,$L$71,$L$72,"Total related entity",$C$39,"Total movement",$L$74,$C$40,"2000000",N$30,"Total jurisdictions",N$31,$C$41)</f>
        <v/>
      </c>
      <c r="O88" s="37" t="str">
        <f ca="1">_xll.DBRW($D$27,$L$71,$L$72,"Total related entity",$C$39,"Total movement",$L$74,$C$40,"2000000",O$30,"Total jurisdictions",O$31,$C$41)</f>
        <v/>
      </c>
      <c r="P88" s="37" t="e">
        <f ca="1">N88-O88</f>
        <v>#VALUE!</v>
      </c>
      <c r="R88" s="37" t="str">
        <f ca="1">_xll.DBRW($D$27,$L$71,$L$72,"Total related entity",$C$39,"Total movement",$L$74,$C$40,"2000000",R$30,"Total jurisdictions",R$31,$C$41)</f>
        <v/>
      </c>
      <c r="S88" s="37" t="str">
        <f ca="1">_xll.DBRW($D$27,$L$71,$L$72,"Total related entity",$C$39,"Total movement",$L$74,$C$40,"2000000",S$30,"Total jurisdictions",S$31,$C$41)</f>
        <v/>
      </c>
      <c r="T88" s="37" t="str">
        <f ca="1">_xll.DBRW($D$27,$L$71,$L$72,"Total related entity",$C$39,"Total movement",$L$74,$C$40,"2000000",T$30,"Total jurisdictions",T$31,$C$41)</f>
        <v/>
      </c>
      <c r="U88" s="37" t="str">
        <f ca="1">_xll.DBRW($D$27,$L$71,$L$72,"Total related entity",$C$39,"Total movement",$L$74,$C$40,"2000000",U$30,"Total jurisdictions",U$31,$C$41)</f>
        <v/>
      </c>
      <c r="V88" s="37" t="str">
        <f ca="1">_xll.DBRW($D$27,$L$71,$L$72,"Total related entity",$C$39,"Total movement",$L$74,$C$40,"2000000",V$30,"Total jurisdictions",V$31,$C$41)</f>
        <v/>
      </c>
      <c r="W88" s="37" t="str">
        <f ca="1">_xll.DBRW($D$27,$L$71,$L$72,"Total related entity",$C$39,"Total movement",$L$74,$C$40,"2000000",W$30,"Total jurisdictions",W$31,$C$41)</f>
        <v/>
      </c>
      <c r="X88" s="37" t="str">
        <f ca="1">_xll.DBRW($D$27,$L$71,$L$72,"Total related entity",$C$39,"Total movement",$L$74,$C$40,"2000000",X$30,"Total jurisdictions",X$31,$C$41)</f>
        <v/>
      </c>
      <c r="Y88" s="37" t="str">
        <f ca="1">_xll.DBRW($D$27,$L$71,$L$72,"Total related entity",$C$39,"Total movement",$L$74,$C$40,"2000000",Y$30,"Total jurisdictions",Y$31,$C$41)</f>
        <v/>
      </c>
      <c r="Z88" s="37" t="str">
        <f ca="1">_xll.DBRW($D$27,$L$71,$L$72,"Total related entity",$C$39,"Total movement",$L$74,$C$40,"2000000",Z$30,"Total jurisdictions",Z$31,$C$41)</f>
        <v/>
      </c>
      <c r="AA88" s="37" t="str">
        <f ca="1">_xll.DBRW($D$27,$L$71,$L$72,"Total related entity",$C$39,"Total movement",$L$74,$C$40,"2000000",AA$30,"Total jurisdictions",AA$31,$C$41)</f>
        <v/>
      </c>
      <c r="AB88" s="37" t="str">
        <f ca="1">_xll.DBRW($D$27,$L$71,$L$72,"Total related entity",$C$39,"Total movement",$L$74,$C$40,"2000000",AB$30,"Total jurisdictions",AB$31,$C$41)</f>
        <v/>
      </c>
      <c r="AC88" s="37" t="str">
        <f ca="1">_xll.DBRW($D$27,$L$71,$L$72,"Total related entity",$C$39,"Total movement",$L$74,$C$40,"2000000",AC$30,"Total jurisdictions",AC$31,$C$41)</f>
        <v/>
      </c>
    </row>
  </sheetData>
  <sheetProtection sheet="1" objects="1" scenarios="1"/>
  <mergeCells count="4">
    <mergeCell ref="B11:C11"/>
    <mergeCell ref="B15:C15"/>
    <mergeCell ref="B20:C20"/>
    <mergeCell ref="B43:C43"/>
  </mergeCells>
  <conditionalFormatting sqref="J7:L7">
    <cfRule type="expression" dxfId="8" priority="97">
      <formula>LEFT($L7,5)="Total"</formula>
    </cfRule>
  </conditionalFormatting>
  <conditionalFormatting sqref="J2:AC2 J81:L81 J86:L86">
    <cfRule type="expression" dxfId="7" priority="99">
      <formula>LEFT($L2,5)="Total"</formula>
    </cfRule>
  </conditionalFormatting>
  <conditionalFormatting sqref="L2:L7">
    <cfRule type="beginsWith" dxfId="6" priority="98" operator="beginsWith" text="Total">
      <formula>LEFT(L2,LEN("Total"))="Total"</formula>
    </cfRule>
  </conditionalFormatting>
  <conditionalFormatting sqref="L81">
    <cfRule type="beginsWith" dxfId="5" priority="2" operator="beginsWith" text="Total">
      <formula>LEFT(L81,LEN("Total"))="Total"</formula>
    </cfRule>
  </conditionalFormatting>
  <conditionalFormatting sqref="L86">
    <cfRule type="beginsWith" dxfId="4" priority="10" operator="beginsWith" text="Total">
      <formula>LEFT(L86,LEN("Total"))="Total"</formula>
    </cfRule>
  </conditionalFormatting>
  <conditionalFormatting sqref="R7:AC7">
    <cfRule type="expression" dxfId="3" priority="102">
      <formula>$L$76="Year To Date"</formula>
    </cfRule>
  </conditionalFormatting>
  <conditionalFormatting sqref="R81:AC81">
    <cfRule type="expression" dxfId="2" priority="4">
      <formula>$L$76="Year To Date"</formula>
    </cfRule>
  </conditionalFormatting>
  <conditionalFormatting sqref="R86:AC86 R81:AC81 N7:P7 R7:AC7 N81:P81 N86:P86">
    <cfRule type="expression" dxfId="1" priority="101">
      <formula>$P7&lt;&gt;0</formula>
    </cfRule>
  </conditionalFormatting>
  <conditionalFormatting sqref="R86:AC86">
    <cfRule type="expression" dxfId="0" priority="12">
      <formula>$L$76="Year To Date"</formula>
    </cfRule>
  </conditionalFormatting>
  <dataValidations count="2">
    <dataValidation type="list" allowBlank="1" showInputMessage="1" showErrorMessage="1" sqref="L76" xr:uid="{00000000-0002-0000-0000-000000000000}">
      <formula1>"Data Entry, Year to Date,"</formula1>
    </dataValidation>
    <dataValidation type="list" allowBlank="1" showInputMessage="1" showErrorMessage="1" sqref="P71" xr:uid="{00000000-0002-0000-0000-000001000000}">
      <formula1>"N Level,Show Totals,Show All"</formula1>
    </dataValidation>
  </dataValidations>
  <pageMargins left="0.70866141732283472" right="0.70866141732283472" top="0.74803149606299213" bottom="0.74803149606299213" header="0.31496062992125984" footer="0.31496062992125984"/>
  <pageSetup paperSize="9" scale="45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 sizeWithCells="1">
              <from>
                <xdr:col>9</xdr:col>
                <xdr:colOff>19050</xdr:colOff>
                <xdr:row>65</xdr:row>
                <xdr:rowOff>57150</xdr:rowOff>
              </from>
              <to>
                <xdr:col>9</xdr:col>
                <xdr:colOff>657225</xdr:colOff>
                <xdr:row>66</xdr:row>
                <xdr:rowOff>238125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autoPict="0" r:id="rId7">
            <anchor moveWithCells="1" sizeWithCells="1">
              <from>
                <xdr:col>11</xdr:col>
                <xdr:colOff>76200</xdr:colOff>
                <xdr:row>65</xdr:row>
                <xdr:rowOff>57150</xdr:rowOff>
              </from>
              <to>
                <xdr:col>11</xdr:col>
                <xdr:colOff>923925</xdr:colOff>
                <xdr:row>66</xdr:row>
                <xdr:rowOff>238125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autoPict="0" r:id="rId9">
            <anchor moveWithCells="1" sizeWithCells="1">
              <from>
                <xdr:col>9</xdr:col>
                <xdr:colOff>685800</xdr:colOff>
                <xdr:row>65</xdr:row>
                <xdr:rowOff>57150</xdr:rowOff>
              </from>
              <to>
                <xdr:col>9</xdr:col>
                <xdr:colOff>2143125</xdr:colOff>
                <xdr:row>66</xdr:row>
                <xdr:rowOff>238125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autoPict="0" r:id="rId11">
            <anchor moveWithCells="1" sizeWithCells="1">
              <from>
                <xdr:col>9</xdr:col>
                <xdr:colOff>2171700</xdr:colOff>
                <xdr:row>65</xdr:row>
                <xdr:rowOff>57150</xdr:rowOff>
              </from>
              <to>
                <xdr:col>11</xdr:col>
                <xdr:colOff>38100</xdr:colOff>
                <xdr:row>66</xdr:row>
                <xdr:rowOff>238125</xdr:rowOff>
              </to>
            </anchor>
          </controlPr>
        </control>
      </mc:Choice>
      <mc:Fallback>
        <control shapeId="1029" r:id="rId10" name="TIButton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sheet 1</vt:lpstr>
      <vt:lpstr>db_name</vt:lpstr>
      <vt:lpstr>TM1MEHomeCAP</vt:lpstr>
      <vt:lpstr>TM1MEHomeWB</vt:lpstr>
      <vt:lpstr>TM1MEHomeWS</vt:lpstr>
      <vt:lpstr>TM1MERepBSCAP</vt:lpstr>
      <vt:lpstr>TM1MERepBSWB</vt:lpstr>
      <vt:lpstr>TM1MERepBSWS</vt:lpstr>
      <vt:lpstr>TM1MERepCFCAP</vt:lpstr>
      <vt:lpstr>TM1MERepCFWB</vt:lpstr>
      <vt:lpstr>TM1MERepCFWS</vt:lpstr>
      <vt:lpstr>TM1MERepOSCAP</vt:lpstr>
      <vt:lpstr>TM1MERepOSWB</vt:lpstr>
      <vt:lpstr>TM1MERepOSWS</vt:lpstr>
      <vt:lpstr>TM1MESummaryCAP</vt:lpstr>
      <vt:lpstr>TM1MESummaryWB</vt:lpstr>
      <vt:lpstr>TM1MESummaryWS</vt:lpstr>
      <vt:lpstr>'sheet 1'!TM1RPTDATARNG2</vt:lpstr>
      <vt:lpstr>'sheet 1'!TM1RPTDATARNGARPT1</vt:lpstr>
      <vt:lpstr>'sheet 1'!TM1RPTFMTIDCOL</vt:lpstr>
      <vt:lpstr>'sheet 1'!TM1RPTFMTRNG</vt:lpstr>
    </vt:vector>
  </TitlesOfParts>
  <Company>Department of Industry, Innovation and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Gimena, Khristian</dc:creator>
  <cp:lastModifiedBy>Xin HE</cp:lastModifiedBy>
  <dcterms:created xsi:type="dcterms:W3CDTF">2022-06-06T00:37:12Z</dcterms:created>
  <dcterms:modified xsi:type="dcterms:W3CDTF">2025-08-05T04:36:38Z</dcterms:modified>
</cp:coreProperties>
</file>