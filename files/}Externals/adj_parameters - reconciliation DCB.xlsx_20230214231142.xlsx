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B63FD8B2-61E4-442C-BDF7-025A21E451A2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reco" sheetId="10" r:id="rId1"/>
    <sheet name="{PL}PickLst" sheetId="11" state="hidden" r:id="rId2"/>
  </sheets>
  <definedNames>
    <definedName name="db_name">reco!$C$3</definedName>
    <definedName name="_xlnm.Print_Area" localSheetId="0">reco!$J$80:$O$185</definedName>
    <definedName name="psAdjType">reco!$C$59:$C$60</definedName>
    <definedName name="psApp">reco!$C$20</definedName>
    <definedName name="psHLYear">reco!$C$12</definedName>
    <definedName name="psProg">reco!$K$81</definedName>
    <definedName name="psScenario">reco!$C$13</definedName>
    <definedName name="psUser">reco!$C$5</definedName>
    <definedName name="TM1AdjIDListCAP">reco!$D$25</definedName>
    <definedName name="TM1AdjIDListWB">reco!$F$25</definedName>
    <definedName name="TM1AdminIndexSetupCAP">reco!$D$28</definedName>
    <definedName name="TM1AdminIndexSetupWB">reco!$F$28</definedName>
    <definedName name="TM1AdminIndexSetupWS">reco!$H$28</definedName>
    <definedName name="TM1EDCAP">reco!$D$30</definedName>
    <definedName name="TM1EDWB">reco!$F$30</definedName>
    <definedName name="TM1EDWS">reco!$H$30</definedName>
    <definedName name="TM1FE3CAP">reco!$D$29</definedName>
    <definedName name="TM1FE3WB">reco!$F$29</definedName>
    <definedName name="TM1FE3WS">reco!$H$29</definedName>
    <definedName name="TM1GenerateRecoCAP">reco!$D$36</definedName>
    <definedName name="TM1GenerateRecoWB">reco!$F$36</definedName>
    <definedName name="TM1GenerateRecoWS">reco!$H$36</definedName>
    <definedName name="TM1HomeAECAP">reco!$D$23</definedName>
    <definedName name="TM1HomeAEDataEntryCAP">reco!$D$24</definedName>
    <definedName name="TM1HomeAEDataEntryWB">reco!$F$24</definedName>
    <definedName name="TM1HomeAEDataEntryWS">reco!$H$24</definedName>
    <definedName name="TM1HomeAEWB">reco!$F$23</definedName>
    <definedName name="TM1HomeAEWS">reco!$H$23</definedName>
    <definedName name="TM1HomeCAP">reco!$D$22</definedName>
    <definedName name="TM1HomeWB">reco!$F$22</definedName>
    <definedName name="TM1HomeWS">reco!$H$22</definedName>
    <definedName name="TM1IDListWS">reco!$H$25</definedName>
    <definedName name="TM1IndexCAP">reco!$D$31</definedName>
    <definedName name="TM1IndexFE3MapCAP">reco!$D$34</definedName>
    <definedName name="TM1IndexFE3MapWB">reco!$F$34</definedName>
    <definedName name="TM1IndexFE3MapWS">reco!$H$34</definedName>
    <definedName name="TM1IndexFinCAP">reco!$D$32</definedName>
    <definedName name="TM1IndexFinDCBCAP">reco!$D$33</definedName>
    <definedName name="TM1IndexFinDCBWB">reco!$F$33</definedName>
    <definedName name="TM1IndexFinDCBWS">reco!$H$33</definedName>
    <definedName name="TM1IndexFinSubsetCAP">reco!$D$35</definedName>
    <definedName name="TM1IndexFinSubsetWB">reco!$F$35</definedName>
    <definedName name="TM1IndexFinSubsetWS">reco!$H$35</definedName>
    <definedName name="TM1IndexFinWB">reco!$F$32</definedName>
    <definedName name="TM1IndexFinWS">reco!$H$32</definedName>
    <definedName name="TM1IndexRatesCAP">reco!$D$27</definedName>
    <definedName name="TM1IndexRatesWB">reco!$F$27</definedName>
    <definedName name="TM1IndexRatesWS">reco!$H$27</definedName>
    <definedName name="TM1IndexRecoCAP">reco!$D$26</definedName>
    <definedName name="TM1IndexRecoWB">reco!$F$26</definedName>
    <definedName name="TM1IndexRecoWS">reco!$H$26</definedName>
    <definedName name="TM1IndexWB">reco!$F$31</definedName>
    <definedName name="TM1IndexWS">reco!$H$31</definedName>
  </definedName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7" i="10" l="1" a="1"/>
  <c r="K87" i="10"/>
  <c r="K81" i="10" a="1"/>
  <c r="K81" i="10"/>
  <c r="C45" i="10" a="1"/>
  <c r="C45" i="10"/>
  <c r="C42" i="10" a="1"/>
  <c r="C50" i="10" a="1"/>
  <c r="C48" i="10" a="1"/>
  <c r="C46" i="10" a="1"/>
  <c r="C42" i="10"/>
  <c r="C50" i="10"/>
  <c r="C48" i="10"/>
  <c r="C46" i="10"/>
  <c r="C58" i="10" a="1"/>
  <c r="C58" i="10"/>
  <c r="K84" i="10" a="1"/>
  <c r="K85" i="10" a="1"/>
  <c r="C49" i="10" a="1"/>
  <c r="C11" i="10" a="1"/>
  <c r="C11" i="10"/>
  <c r="C12" i="10" a="1"/>
  <c r="C12" i="10"/>
  <c r="J11" i="10"/>
  <c r="N11" i="10" a="1"/>
  <c r="N11" i="10"/>
  <c r="G97" i="10"/>
  <c r="K84" i="10"/>
  <c r="K85" i="10"/>
  <c r="C49" i="10"/>
  <c r="G101" i="10" a="1"/>
  <c r="G101" i="10"/>
  <c r="N101" i="10"/>
  <c r="N106" i="10"/>
  <c r="C13" i="10" a="1"/>
  <c r="C13" i="10"/>
  <c r="C63" i="10" a="1"/>
  <c r="C63" i="10"/>
  <c r="D54" i="10" a="1"/>
  <c r="D54" i="10"/>
  <c r="N108" i="10"/>
  <c r="N109" i="10"/>
  <c r="N110" i="10"/>
  <c r="N111" i="10"/>
  <c r="N112" i="10"/>
  <c r="M108" i="10"/>
  <c r="M109" i="10"/>
  <c r="M110" i="10"/>
  <c r="M111" i="10"/>
  <c r="M112" i="10"/>
  <c r="L108" i="10"/>
  <c r="L109" i="10"/>
  <c r="L110" i="10"/>
  <c r="L111" i="10"/>
  <c r="L112" i="10"/>
  <c r="K108" i="10"/>
  <c r="K109" i="10"/>
  <c r="K110" i="10"/>
  <c r="K111" i="10"/>
  <c r="K112" i="10"/>
  <c r="K113" i="10"/>
  <c r="L113" i="10"/>
  <c r="M113" i="10"/>
  <c r="N113" i="10"/>
  <c r="N114" i="10"/>
  <c r="N115" i="10"/>
  <c r="N125" i="10"/>
  <c r="C55" i="10" a="1"/>
  <c r="C55" i="10"/>
  <c r="C53" i="10" a="1"/>
  <c r="C53" i="10"/>
  <c r="K11" i="10" a="1"/>
  <c r="K11" i="10"/>
  <c r="D97" i="10"/>
  <c r="D127" i="10" a="1"/>
  <c r="D127" i="10"/>
  <c r="K127" i="10"/>
  <c r="K128" i="10"/>
  <c r="D129" i="10" a="1"/>
  <c r="D129" i="10"/>
  <c r="K129" i="10"/>
  <c r="K130" i="10"/>
  <c r="K131" i="10"/>
  <c r="K132" i="10"/>
  <c r="L11" i="10" a="1"/>
  <c r="L11" i="10"/>
  <c r="E97" i="10"/>
  <c r="E127" i="10" a="1"/>
  <c r="E127" i="10"/>
  <c r="L127" i="10"/>
  <c r="L128" i="10"/>
  <c r="E129" i="10" a="1"/>
  <c r="E129" i="10"/>
  <c r="L129" i="10"/>
  <c r="L130" i="10"/>
  <c r="L131" i="10"/>
  <c r="L132" i="10"/>
  <c r="M11" i="10" a="1"/>
  <c r="M11" i="10"/>
  <c r="F97" i="10"/>
  <c r="F127" i="10" a="1"/>
  <c r="F127" i="10"/>
  <c r="M127" i="10"/>
  <c r="M128" i="10"/>
  <c r="F129" i="10" a="1"/>
  <c r="F129" i="10"/>
  <c r="M129" i="10"/>
  <c r="M130" i="10"/>
  <c r="M131" i="10"/>
  <c r="M132" i="10"/>
  <c r="G127" i="10" a="1"/>
  <c r="G127" i="10"/>
  <c r="N127" i="10"/>
  <c r="N128" i="10"/>
  <c r="G129" i="10" a="1"/>
  <c r="G129" i="10"/>
  <c r="N129" i="10"/>
  <c r="N130" i="10"/>
  <c r="N131" i="10"/>
  <c r="N132" i="10"/>
  <c r="N134" i="10"/>
  <c r="N135" i="10"/>
  <c r="N137" i="10"/>
  <c r="N138" i="10"/>
  <c r="N139" i="10"/>
  <c r="N140" i="10"/>
  <c r="N141" i="10"/>
  <c r="N142" i="10"/>
  <c r="N143" i="10"/>
  <c r="N144" i="10"/>
  <c r="O11" i="10" a="1"/>
  <c r="O11" i="10"/>
  <c r="H97" i="10"/>
  <c r="H101" i="10" a="1"/>
  <c r="H101" i="10"/>
  <c r="O101" i="10"/>
  <c r="O106" i="10"/>
  <c r="O149" i="10"/>
  <c r="O108" i="10"/>
  <c r="O109" i="10"/>
  <c r="O110" i="10"/>
  <c r="O111" i="10"/>
  <c r="O112" i="10"/>
  <c r="O113" i="10"/>
  <c r="O114" i="10"/>
  <c r="O150" i="10"/>
  <c r="O115" i="10"/>
  <c r="O125" i="10"/>
  <c r="H127" i="10" a="1"/>
  <c r="H127" i="10"/>
  <c r="O127" i="10"/>
  <c r="O128" i="10"/>
  <c r="H129" i="10" a="1"/>
  <c r="H129" i="10"/>
  <c r="O129" i="10"/>
  <c r="O130" i="10"/>
  <c r="O131" i="10"/>
  <c r="O132" i="10"/>
  <c r="O134" i="10"/>
  <c r="O151" i="10"/>
  <c r="O153" i="10"/>
  <c r="C41" i="10" a="1"/>
  <c r="C41" i="10"/>
  <c r="C43" i="10" a="1"/>
  <c r="C43" i="10"/>
  <c r="C47" i="10" a="1"/>
  <c r="C47" i="10"/>
  <c r="C39" i="10" a="1"/>
  <c r="C39" i="10"/>
  <c r="C40" i="10" a="1"/>
  <c r="C40" i="10"/>
  <c r="F44" i="10" a="1"/>
  <c r="F49" i="10" a="1"/>
  <c r="F44" i="10"/>
  <c r="F49" i="10"/>
  <c r="N149" i="10" a="1"/>
  <c r="N149" i="10"/>
  <c r="N150" i="10"/>
  <c r="N151" i="10"/>
  <c r="N153" i="10"/>
  <c r="M149" i="10" a="1"/>
  <c r="M149" i="10"/>
  <c r="F101" i="10" a="1"/>
  <c r="F101" i="10"/>
  <c r="M101" i="10"/>
  <c r="M106" i="10"/>
  <c r="M114" i="10"/>
  <c r="M150" i="10"/>
  <c r="M115" i="10"/>
  <c r="M125" i="10"/>
  <c r="M134" i="10"/>
  <c r="M151" i="10"/>
  <c r="M153" i="10"/>
  <c r="L149" i="10" a="1"/>
  <c r="L149" i="10"/>
  <c r="E101" i="10" a="1"/>
  <c r="E101" i="10"/>
  <c r="L101" i="10"/>
  <c r="L106" i="10"/>
  <c r="L114" i="10"/>
  <c r="L150" i="10"/>
  <c r="L115" i="10"/>
  <c r="L125" i="10"/>
  <c r="L134" i="10"/>
  <c r="L151" i="10"/>
  <c r="L153" i="10"/>
  <c r="C54" i="10" a="1"/>
  <c r="C54" i="10"/>
  <c r="E49" i="10" a="1"/>
  <c r="E49" i="10"/>
  <c r="D49" i="10" a="1"/>
  <c r="D49" i="10"/>
  <c r="E44" i="10" a="1"/>
  <c r="E44" i="10"/>
  <c r="D44" i="10" a="1"/>
  <c r="D44" i="10"/>
  <c r="C44" i="10" a="1"/>
  <c r="C44" i="10"/>
  <c r="F40" i="10" a="1"/>
  <c r="F40" i="10"/>
  <c r="E40" i="10" a="1"/>
  <c r="E40" i="10"/>
  <c r="D40" i="10" a="1"/>
  <c r="D40" i="10"/>
  <c r="C19" i="10" a="1"/>
  <c r="C19" i="10"/>
  <c r="O173" i="10" a="1"/>
  <c r="O173" i="10"/>
  <c r="N173" i="10" a="1"/>
  <c r="N173" i="10"/>
  <c r="M173" i="10" a="1"/>
  <c r="M173" i="10"/>
  <c r="L173" i="10" a="1"/>
  <c r="L173" i="10"/>
  <c r="O172" i="10" a="1"/>
  <c r="O172" i="10"/>
  <c r="N172" i="10" a="1"/>
  <c r="N172" i="10"/>
  <c r="M172" i="10" a="1"/>
  <c r="M172" i="10"/>
  <c r="L172" i="10" a="1"/>
  <c r="L172" i="10"/>
  <c r="O171" i="10" a="1"/>
  <c r="O171" i="10"/>
  <c r="N171" i="10" a="1"/>
  <c r="N171" i="10"/>
  <c r="M171" i="10" a="1"/>
  <c r="M171" i="10"/>
  <c r="L171" i="10" a="1"/>
  <c r="L171" i="10"/>
  <c r="K171" i="10" a="1"/>
  <c r="K171" i="10"/>
  <c r="K149" i="10" a="1"/>
  <c r="K149" i="10"/>
  <c r="H132" i="10" a="1"/>
  <c r="H132" i="10"/>
  <c r="G132" i="10" a="1"/>
  <c r="G132" i="10"/>
  <c r="F132" i="10" a="1"/>
  <c r="F132" i="10"/>
  <c r="E132" i="10" a="1"/>
  <c r="E132" i="10"/>
  <c r="D132" i="10" a="1"/>
  <c r="D132" i="10"/>
  <c r="H113" i="10" a="1"/>
  <c r="H113" i="10"/>
  <c r="G113" i="10" a="1"/>
  <c r="G113" i="10"/>
  <c r="F113" i="10" a="1"/>
  <c r="F113" i="10"/>
  <c r="E113" i="10" a="1"/>
  <c r="E113" i="10"/>
  <c r="D113" i="10" a="1"/>
  <c r="D113" i="10"/>
  <c r="H110" i="10" a="1"/>
  <c r="H110" i="10"/>
  <c r="G110" i="10" a="1"/>
  <c r="G110" i="10"/>
  <c r="F110" i="10" a="1"/>
  <c r="F110" i="10"/>
  <c r="E110" i="10" a="1"/>
  <c r="E110" i="10"/>
  <c r="D110" i="10" a="1"/>
  <c r="D110" i="10"/>
  <c r="H108" i="10" a="1"/>
  <c r="H108" i="10"/>
  <c r="G108" i="10" a="1"/>
  <c r="G108" i="10"/>
  <c r="F108" i="10" a="1"/>
  <c r="F108" i="10"/>
  <c r="E108" i="10" a="1"/>
  <c r="E108" i="10"/>
  <c r="D108" i="10" a="1"/>
  <c r="D108" i="10"/>
  <c r="D101" i="10" a="1"/>
  <c r="D101" i="10"/>
  <c r="C67" i="10" a="1"/>
  <c r="C67" i="10"/>
  <c r="C65" i="10" a="1"/>
  <c r="C65" i="10"/>
  <c r="C66" i="10" a="1"/>
  <c r="C66" i="10"/>
  <c r="C62" i="10" a="1"/>
  <c r="C62" i="10"/>
  <c r="H36" i="10" a="1"/>
  <c r="H36" i="10"/>
  <c r="G36" i="10" a="1"/>
  <c r="G36" i="10"/>
  <c r="F36" i="10" a="1"/>
  <c r="F36" i="10"/>
  <c r="E36" i="10" a="1"/>
  <c r="E36" i="10"/>
  <c r="D36" i="10" a="1"/>
  <c r="D36" i="10"/>
  <c r="C36" i="10" a="1"/>
  <c r="C36" i="10"/>
  <c r="H35" i="10" a="1"/>
  <c r="H35" i="10"/>
  <c r="G35" i="10" a="1"/>
  <c r="G35" i="10"/>
  <c r="F35" i="10" a="1"/>
  <c r="F35" i="10"/>
  <c r="E35" i="10" a="1"/>
  <c r="E35" i="10"/>
  <c r="D35" i="10" a="1"/>
  <c r="D35" i="10"/>
  <c r="C35" i="10" a="1"/>
  <c r="C35" i="10"/>
  <c r="H34" i="10" a="1"/>
  <c r="H34" i="10"/>
  <c r="G34" i="10" a="1"/>
  <c r="G34" i="10"/>
  <c r="F34" i="10" a="1"/>
  <c r="F34" i="10"/>
  <c r="E34" i="10" a="1"/>
  <c r="E34" i="10"/>
  <c r="D34" i="10" a="1"/>
  <c r="D34" i="10"/>
  <c r="C34" i="10" a="1"/>
  <c r="C34" i="10"/>
  <c r="H33" i="10" a="1"/>
  <c r="H33" i="10"/>
  <c r="G33" i="10" a="1"/>
  <c r="G33" i="10"/>
  <c r="F33" i="10" a="1"/>
  <c r="F33" i="10"/>
  <c r="E33" i="10" a="1"/>
  <c r="E33" i="10"/>
  <c r="D33" i="10" a="1"/>
  <c r="D33" i="10"/>
  <c r="C33" i="10" a="1"/>
  <c r="C33" i="10"/>
  <c r="H32" i="10" a="1"/>
  <c r="H32" i="10"/>
  <c r="G32" i="10" a="1"/>
  <c r="G32" i="10"/>
  <c r="F32" i="10" a="1"/>
  <c r="F32" i="10"/>
  <c r="E32" i="10" a="1"/>
  <c r="E32" i="10"/>
  <c r="D32" i="10" a="1"/>
  <c r="D32" i="10"/>
  <c r="C32" i="10" a="1"/>
  <c r="C32" i="10"/>
  <c r="H31" i="10" a="1"/>
  <c r="H31" i="10"/>
  <c r="G31" i="10" a="1"/>
  <c r="G31" i="10"/>
  <c r="F31" i="10" a="1"/>
  <c r="F31" i="10"/>
  <c r="E31" i="10" a="1"/>
  <c r="E31" i="10"/>
  <c r="D31" i="10" a="1"/>
  <c r="D31" i="10"/>
  <c r="C31" i="10" a="1"/>
  <c r="C31" i="10"/>
  <c r="H30" i="10" a="1"/>
  <c r="H30" i="10"/>
  <c r="G30" i="10" a="1"/>
  <c r="G30" i="10"/>
  <c r="F30" i="10" a="1"/>
  <c r="F30" i="10"/>
  <c r="E30" i="10" a="1"/>
  <c r="E30" i="10"/>
  <c r="D30" i="10" a="1"/>
  <c r="D30" i="10"/>
  <c r="C30" i="10" a="1"/>
  <c r="C30" i="10"/>
  <c r="H29" i="10" a="1"/>
  <c r="H29" i="10"/>
  <c r="G29" i="10" a="1"/>
  <c r="G29" i="10"/>
  <c r="F29" i="10" a="1"/>
  <c r="F29" i="10"/>
  <c r="E29" i="10" a="1"/>
  <c r="E29" i="10"/>
  <c r="D29" i="10" a="1"/>
  <c r="D29" i="10"/>
  <c r="C29" i="10" a="1"/>
  <c r="C29" i="10"/>
  <c r="H28" i="10" a="1"/>
  <c r="H28" i="10"/>
  <c r="G28" i="10" a="1"/>
  <c r="G28" i="10"/>
  <c r="F28" i="10" a="1"/>
  <c r="F28" i="10"/>
  <c r="E28" i="10" a="1"/>
  <c r="E28" i="10"/>
  <c r="D28" i="10" a="1"/>
  <c r="D28" i="10"/>
  <c r="C28" i="10" a="1"/>
  <c r="C28" i="10"/>
  <c r="H27" i="10" a="1"/>
  <c r="H27" i="10"/>
  <c r="G27" i="10" a="1"/>
  <c r="G27" i="10"/>
  <c r="F27" i="10" a="1"/>
  <c r="F27" i="10"/>
  <c r="E27" i="10" a="1"/>
  <c r="E27" i="10"/>
  <c r="D27" i="10" a="1"/>
  <c r="D27" i="10"/>
  <c r="C27" i="10" a="1"/>
  <c r="C27" i="10"/>
  <c r="H26" i="10" a="1"/>
  <c r="H26" i="10"/>
  <c r="G26" i="10" a="1"/>
  <c r="G26" i="10"/>
  <c r="F26" i="10" a="1"/>
  <c r="F26" i="10"/>
  <c r="E26" i="10" a="1"/>
  <c r="E26" i="10"/>
  <c r="D26" i="10" a="1"/>
  <c r="D26" i="10"/>
  <c r="C26" i="10" a="1"/>
  <c r="C26" i="10"/>
  <c r="H25" i="10" a="1"/>
  <c r="H25" i="10"/>
  <c r="G25" i="10" a="1"/>
  <c r="G25" i="10"/>
  <c r="F25" i="10" a="1"/>
  <c r="F25" i="10"/>
  <c r="E25" i="10" a="1"/>
  <c r="E25" i="10"/>
  <c r="D25" i="10" a="1"/>
  <c r="D25" i="10"/>
  <c r="C25" i="10" a="1"/>
  <c r="C25" i="10"/>
  <c r="H24" i="10" a="1"/>
  <c r="H24" i="10"/>
  <c r="G24" i="10" a="1"/>
  <c r="G24" i="10"/>
  <c r="F24" i="10" a="1"/>
  <c r="F24" i="10"/>
  <c r="E24" i="10" a="1"/>
  <c r="E24" i="10"/>
  <c r="D24" i="10" a="1"/>
  <c r="D24" i="10"/>
  <c r="C24" i="10" a="1"/>
  <c r="C24" i="10"/>
  <c r="H23" i="10" a="1"/>
  <c r="H23" i="10"/>
  <c r="G23" i="10" a="1"/>
  <c r="G23" i="10"/>
  <c r="F23" i="10" a="1"/>
  <c r="F23" i="10"/>
  <c r="E23" i="10" a="1"/>
  <c r="E23" i="10"/>
  <c r="D23" i="10" a="1"/>
  <c r="D23" i="10"/>
  <c r="C23" i="10" a="1"/>
  <c r="C23" i="10"/>
  <c r="H22" i="10" a="1"/>
  <c r="H22" i="10"/>
  <c r="G22" i="10" a="1"/>
  <c r="G22" i="10"/>
  <c r="F22" i="10" a="1"/>
  <c r="F22" i="10"/>
  <c r="E22" i="10" a="1"/>
  <c r="E22" i="10"/>
  <c r="D22" i="10" a="1"/>
  <c r="D22" i="10"/>
  <c r="C22" i="10" a="1"/>
  <c r="C22" i="10"/>
  <c r="C15" i="10" a="1"/>
  <c r="C15" i="10"/>
  <c r="C14" i="10" a="1"/>
  <c r="C14" i="10"/>
  <c r="C4" i="10" a="1"/>
  <c r="C4" i="10"/>
  <c r="C5" i="10" a="1"/>
  <c r="C5" i="10"/>
  <c r="C7" i="10" a="1"/>
  <c r="C7" i="10"/>
  <c r="C6" i="10" a="1"/>
  <c r="C6" i="10"/>
  <c r="O86" i="10"/>
  <c r="K86" i="10"/>
  <c r="K83" i="10"/>
  <c r="K82" i="10"/>
  <c r="O183" i="10"/>
  <c r="N183" i="10"/>
  <c r="M183" i="10"/>
  <c r="L183" i="10"/>
  <c r="O182" i="10"/>
  <c r="N182" i="10"/>
  <c r="M182" i="10"/>
  <c r="L182" i="10"/>
  <c r="O181" i="10"/>
  <c r="N181" i="10"/>
  <c r="M181" i="10"/>
  <c r="L181" i="10"/>
  <c r="O185" i="10"/>
  <c r="N185" i="10"/>
  <c r="M185" i="10"/>
  <c r="L185" i="10"/>
  <c r="O177" i="10"/>
  <c r="N177" i="10"/>
  <c r="M177" i="10"/>
  <c r="L177" i="10"/>
  <c r="K177" i="10"/>
  <c r="O167" i="10"/>
  <c r="N167" i="10"/>
  <c r="M167" i="10"/>
  <c r="L167" i="10"/>
  <c r="K167" i="10"/>
  <c r="O175" i="10"/>
  <c r="N175" i="10"/>
  <c r="M175" i="10"/>
  <c r="K175" i="10"/>
  <c r="L175" i="10"/>
  <c r="K101" i="10"/>
  <c r="O97" i="10"/>
  <c r="N97" i="10"/>
  <c r="M97" i="10"/>
  <c r="L97" i="10"/>
  <c r="K97" i="10"/>
  <c r="C8" i="10"/>
  <c r="K106" i="10"/>
  <c r="O143" i="10"/>
  <c r="M143" i="10"/>
  <c r="L143" i="10"/>
  <c r="K143" i="10"/>
  <c r="O142" i="10"/>
  <c r="M142" i="10"/>
  <c r="L142" i="10"/>
  <c r="K142" i="10"/>
  <c r="O141" i="10"/>
  <c r="M141" i="10"/>
  <c r="L141" i="10"/>
  <c r="K141" i="10"/>
  <c r="O140" i="10"/>
  <c r="M140" i="10"/>
  <c r="L140" i="10"/>
  <c r="K140" i="10"/>
  <c r="O139" i="10"/>
  <c r="M139" i="10"/>
  <c r="L139" i="10"/>
  <c r="K139" i="10"/>
  <c r="O138" i="10"/>
  <c r="M138" i="10"/>
  <c r="L138" i="10"/>
  <c r="K138" i="10"/>
  <c r="O137" i="10"/>
  <c r="M137" i="10"/>
  <c r="L137" i="10"/>
  <c r="K137" i="10"/>
  <c r="K115" i="10"/>
  <c r="K125" i="10"/>
  <c r="K135" i="10"/>
  <c r="K144" i="10"/>
  <c r="K165" i="10"/>
  <c r="L135" i="10"/>
  <c r="L144" i="10"/>
  <c r="M135" i="10"/>
  <c r="M144" i="10"/>
  <c r="M165" i="10"/>
  <c r="L165" i="10"/>
  <c r="N165" i="10"/>
  <c r="O135" i="10"/>
  <c r="O144" i="10"/>
  <c r="O16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<sst xmlns="http://schemas.openxmlformats.org/spreadsheetml/2006/main" count="230" uniqueCount="174">
  <si>
    <t>Net Adjustments</t>
  </si>
  <si>
    <t>Adjustments</t>
  </si>
  <si>
    <t xml:space="preserve">Adjusted appropriation base </t>
  </si>
  <si>
    <t>New year on year efficiency dividend</t>
  </si>
  <si>
    <t>Previous efficiency dividend</t>
  </si>
  <si>
    <t>Previous year on year efficiency dividend</t>
  </si>
  <si>
    <t>Year on year efficiency dividend conversion factor</t>
  </si>
  <si>
    <t>Cumulative conversion factor</t>
  </si>
  <si>
    <t>New Appropriation base after ED adjustment</t>
  </si>
  <si>
    <t>Adjusted appropriation base to be indexed</t>
  </si>
  <si>
    <t>New year on year index</t>
  </si>
  <si>
    <t>Previous year on year index</t>
  </si>
  <si>
    <t>Year on year parameter conversion factor</t>
  </si>
  <si>
    <t>New appropriation base after indexation adjustment</t>
  </si>
  <si>
    <t>New BEAM Baseline</t>
  </si>
  <si>
    <t>check</t>
  </si>
  <si>
    <r>
      <t>Less</t>
    </r>
    <r>
      <rPr>
        <sz val="11"/>
        <rFont val="Times New Roman"/>
        <family val="1"/>
      </rPr>
      <t xml:space="preserve"> write-down of assets</t>
    </r>
  </si>
  <si>
    <r>
      <t xml:space="preserve">Less </t>
    </r>
    <r>
      <rPr>
        <sz val="11"/>
        <rFont val="Times New Roman"/>
        <family val="1"/>
      </rPr>
      <t>net loss on sale of assets</t>
    </r>
  </si>
  <si>
    <r>
      <t>Less</t>
    </r>
    <r>
      <rPr>
        <sz val="11"/>
        <rFont val="Times New Roman"/>
        <family val="1"/>
      </rPr>
      <t xml:space="preserve"> net foreign exchange losses</t>
    </r>
  </si>
  <si>
    <r>
      <t>Less</t>
    </r>
    <r>
      <rPr>
        <sz val="11"/>
        <rFont val="Times New Roman"/>
        <family val="1"/>
      </rPr>
      <t xml:space="preserve"> budgeted long service leave expense</t>
    </r>
  </si>
  <si>
    <r>
      <t xml:space="preserve">Less </t>
    </r>
    <r>
      <rPr>
        <sz val="11"/>
        <rFont val="Times New Roman"/>
        <family val="1"/>
      </rPr>
      <t>balance sheet items elsewhere indexed</t>
    </r>
  </si>
  <si>
    <r>
      <t xml:space="preserve">Less </t>
    </r>
    <r>
      <rPr>
        <sz val="11"/>
        <rFont val="Times New Roman"/>
        <family val="1"/>
      </rPr>
      <t>fixed funding measures</t>
    </r>
  </si>
  <si>
    <r>
      <t xml:space="preserve">Previous </t>
    </r>
    <r>
      <rPr>
        <b/>
        <sz val="11"/>
        <rFont val="Times New Roman"/>
        <family val="1"/>
      </rPr>
      <t>WCI</t>
    </r>
    <r>
      <rPr>
        <sz val="11"/>
        <rFont val="Times New Roman"/>
        <family val="1"/>
      </rPr>
      <t xml:space="preserve"> parameter (from last update) (%)</t>
    </r>
  </si>
  <si>
    <r>
      <t>Plus</t>
    </r>
    <r>
      <rPr>
        <sz val="11"/>
        <rFont val="Times New Roman"/>
        <family val="1"/>
      </rPr>
      <t xml:space="preserve"> write-down of assets</t>
    </r>
  </si>
  <si>
    <r>
      <t xml:space="preserve">Plus </t>
    </r>
    <r>
      <rPr>
        <sz val="11"/>
        <rFont val="Times New Roman"/>
        <family val="1"/>
      </rPr>
      <t>net loss on sale of assets</t>
    </r>
  </si>
  <si>
    <r>
      <t>Plus</t>
    </r>
    <r>
      <rPr>
        <sz val="11"/>
        <rFont val="Times New Roman"/>
        <family val="1"/>
      </rPr>
      <t xml:space="preserve"> net foreign exchange losses</t>
    </r>
  </si>
  <si>
    <r>
      <t>Plus</t>
    </r>
    <r>
      <rPr>
        <sz val="11"/>
        <rFont val="Times New Roman"/>
        <family val="1"/>
      </rPr>
      <t xml:space="preserve"> budgeted long service leave expense</t>
    </r>
  </si>
  <si>
    <r>
      <t xml:space="preserve">Plus </t>
    </r>
    <r>
      <rPr>
        <sz val="11"/>
        <rFont val="Times New Roman"/>
        <family val="1"/>
      </rPr>
      <t>balance sheet items elsewhere indexed</t>
    </r>
  </si>
  <si>
    <r>
      <t xml:space="preserve">Plus </t>
    </r>
    <r>
      <rPr>
        <sz val="11"/>
        <rFont val="Times New Roman"/>
        <family val="1"/>
      </rPr>
      <t>fixed funding measures</t>
    </r>
  </si>
  <si>
    <t>NOTE:</t>
  </si>
  <si>
    <t>Changes in Prices and Wages Indices</t>
  </si>
  <si>
    <t>Notes:</t>
  </si>
  <si>
    <t>($'000)</t>
  </si>
  <si>
    <t>(2) Please enter figures in yellow-shaded cells.</t>
  </si>
  <si>
    <t>Approved By:</t>
  </si>
  <si>
    <t>CFO</t>
  </si>
  <si>
    <t>Prepared by:</t>
  </si>
  <si>
    <t>(Date)</t>
  </si>
  <si>
    <t>(Position Title)</t>
  </si>
  <si>
    <t xml:space="preserve">New efficiency dividend </t>
  </si>
  <si>
    <r>
      <t xml:space="preserve">New index </t>
    </r>
    <r>
      <rPr>
        <b/>
        <sz val="11"/>
        <rFont val="Times New Roman"/>
        <family val="1"/>
      </rPr>
      <t xml:space="preserve">WCI  </t>
    </r>
    <r>
      <rPr>
        <sz val="11"/>
        <rFont val="Times New Roman"/>
        <family val="1"/>
      </rPr>
      <t>parameter (%)</t>
    </r>
  </si>
  <si>
    <t xml:space="preserve">Efficiency Dividend (ED) Calculations </t>
  </si>
  <si>
    <t xml:space="preserve">Indexation Calculations </t>
  </si>
  <si>
    <t xml:space="preserve">Less appropriations for items not of a running cost nature </t>
  </si>
  <si>
    <t>Departmental Capital Budget/Administered Capital Budget</t>
  </si>
  <si>
    <t xml:space="preserve">Previous appropriation base (from CBMS) </t>
  </si>
  <si>
    <t>Adjustments Summary in CBMS - Reason Codes</t>
  </si>
  <si>
    <t>Indexation, Efficiency Dividend (ED) &amp; Capital Workbook</t>
  </si>
  <si>
    <t>(1) To be used for updates to Indexation and ED.</t>
  </si>
  <si>
    <t>na</t>
  </si>
  <si>
    <t>FE1</t>
  </si>
  <si>
    <t>FE2</t>
  </si>
  <si>
    <t>FE3</t>
  </si>
  <si>
    <r>
      <rPr>
        <b/>
        <sz val="10"/>
        <rFont val="Times New Roman"/>
        <family val="1"/>
      </rPr>
      <t>Current Year</t>
    </r>
    <r>
      <rPr>
        <b/>
        <sz val="11"/>
        <rFont val="Times New Roman"/>
        <family val="1"/>
      </rPr>
      <t xml:space="preserve">
Revised
Budget
(RB)</t>
    </r>
  </si>
  <si>
    <t>Next
Budget
(NB)</t>
  </si>
  <si>
    <t>Forward
Estimate
(FE1)</t>
  </si>
  <si>
    <t>Forward
Estimate
(FE2)</t>
  </si>
  <si>
    <t>Forward
Estimate
(FE3)</t>
  </si>
  <si>
    <t>RB</t>
  </si>
  <si>
    <t>NB</t>
  </si>
  <si>
    <t>Application of the Efficiency Dividend</t>
  </si>
  <si>
    <r>
      <t xml:space="preserve">Accumulative efficiency dividend applied </t>
    </r>
    <r>
      <rPr>
        <i/>
        <sz val="11"/>
        <rFont val="Times New Roman"/>
        <family val="1"/>
      </rPr>
      <t>(Note 1)</t>
    </r>
  </si>
  <si>
    <r>
      <t>Less</t>
    </r>
    <r>
      <rPr>
        <sz val="11"/>
        <rFont val="Times New Roman"/>
        <family val="1"/>
      </rPr>
      <t xml:space="preserve"> depreciation expense</t>
    </r>
    <r>
      <rPr>
        <i/>
        <sz val="11"/>
        <rFont val="Times New Roman"/>
        <family val="1"/>
      </rPr>
      <t xml:space="preserve"> (Note 2)</t>
    </r>
  </si>
  <si>
    <r>
      <t xml:space="preserve">Accumulative indexation adjustment </t>
    </r>
    <r>
      <rPr>
        <i/>
        <sz val="11"/>
        <rFont val="Times New Roman"/>
        <family val="1"/>
      </rPr>
      <t>(Note 1)</t>
    </r>
  </si>
  <si>
    <r>
      <t>Plus</t>
    </r>
    <r>
      <rPr>
        <sz val="11"/>
        <rFont val="Times New Roman"/>
        <family val="1"/>
      </rPr>
      <t xml:space="preserve"> depreciation expense </t>
    </r>
    <r>
      <rPr>
        <i/>
        <sz val="11"/>
        <rFont val="Times New Roman"/>
        <family val="1"/>
      </rPr>
      <t>(Note 2)</t>
    </r>
  </si>
  <si>
    <t>Programme</t>
  </si>
  <si>
    <t>ENTITY Name</t>
  </si>
  <si>
    <r>
      <t xml:space="preserve">Note 2: Depreciation would only be deducted and added back where depreciation funding was actually received. </t>
    </r>
    <r>
      <rPr>
        <u/>
        <sz val="10"/>
        <rFont val="Times New Roman"/>
        <family val="1"/>
      </rPr>
      <t>If the entity was funded by a DCB
or CDAB, please refer to the other sheets in this workbook</t>
    </r>
    <r>
      <rPr>
        <sz val="10"/>
        <rFont val="Times New Roman"/>
        <family val="1"/>
      </rPr>
      <t>. The following depreciation expenses should not be reflected in these rows: Assets funded from DCB, Adminsitered Capital Budgets, Collection Development Acquisition Budgets and Assets funded from s31 receipts.</t>
    </r>
  </si>
  <si>
    <t xml:space="preserve">Note 1: Rows 28 and 48 shows the impact of the change in the ED and indexation respectively. 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</si>
  <si>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</si>
  <si>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</si>
  <si>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</si>
  <si>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</si>
  <si>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</si>
  <si>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</si>
  <si>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</si>
  <si>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</si>
  <si>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</si>
  <si>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</si>
  <si>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</si>
  <si>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parameter reason code</t>
  </si>
  <si>
    <t>efficiency dividend reason code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</si>
  <si>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</si>
  <si>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</si>
  <si>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</si>
  <si>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</si>
  <si>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</si>
  <si>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</si>
  <si>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</si>
  <si>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</si>
  <si>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</si>
  <si>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</si>
  <si>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</si>
  <si>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</si>
  <si>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</si>
  <si>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</si>
  <si>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Adjustment - Indexation Reconciliation</t>
  </si>
  <si>
    <t>Adjustment - Indexation Rates</t>
  </si>
  <si>
    <t>Admin - Indexation Setup</t>
  </si>
  <si>
    <t>Adjustment - Generate FE3</t>
  </si>
  <si>
    <t>Adjustment - Generate ED</t>
  </si>
  <si>
    <t>Adjustment - Generate Indexation</t>
  </si>
  <si>
    <t>Adjustment - Indexation Finance Workbook</t>
  </si>
  <si>
    <t>Adjustment - Indexation Finance DCB Workbook</t>
  </si>
  <si>
    <t>Cube Views</t>
  </si>
  <si>
    <t>}Element Attributes Measure Code View</t>
  </si>
  <si>
    <t>Programme Details View</t>
  </si>
  <si>
    <t>Index</t>
  </si>
  <si>
    <t>AE Adjustments</t>
  </si>
  <si>
    <t>REPORT PARAMETERS</t>
  </si>
  <si>
    <t xml:space="preserve">Program : </t>
  </si>
  <si>
    <t xml:space="preserve">Account : </t>
  </si>
  <si>
    <t xml:space="preserve">Movement Account : </t>
  </si>
  <si>
    <t>status</t>
  </si>
  <si>
    <t>outcome</t>
  </si>
  <si>
    <t>related entity</t>
  </si>
  <si>
    <t>function</t>
  </si>
  <si>
    <t>reason</t>
  </si>
  <si>
    <t>spp</t>
  </si>
  <si>
    <t>measure</t>
  </si>
  <si>
    <t>appropration type</t>
  </si>
  <si>
    <t>appropriation item</t>
  </si>
  <si>
    <t>id</t>
  </si>
  <si>
    <t>jurisdiction</t>
  </si>
  <si>
    <t>Period</t>
  </si>
  <si>
    <t>previous index</t>
  </si>
  <si>
    <t>index</t>
  </si>
  <si>
    <t>adjustment factor</t>
  </si>
  <si>
    <t>programme index</t>
  </si>
  <si>
    <t>GEUS ADJ</t>
  </si>
  <si>
    <t>Creation of FE3</t>
  </si>
  <si>
    <t>WCI Adj</t>
  </si>
  <si>
    <t>ED Adj</t>
  </si>
  <si>
    <t>FE3 Adj</t>
  </si>
  <si>
    <t xml:space="preserve">Update Calculation for Generation of FE3 : </t>
  </si>
  <si>
    <t>AE parameters and FE3 calculation</t>
  </si>
  <si>
    <t>AE parameters and FE3 calculation View</t>
  </si>
  <si>
    <t>original value</t>
  </si>
  <si>
    <t>DBR($C$45,psHLYear,psScenario,$C$46,$C$47,$C$48,$C$49,$C$50,$C$51,$C$52,$C$53,$K$85,$C$54,psProg,$K$84,$C$55,$C$56,K$20)</t>
  </si>
  <si>
    <t xml:space="preserve">VARIANCE </t>
  </si>
  <si>
    <t xml:space="preserve">Note : This screen is used as a reference only to be used to assist with questions to the AAU. No Data Entry Is Required. </t>
  </si>
  <si>
    <t>Adjustment Type</t>
  </si>
  <si>
    <t>parameter</t>
  </si>
  <si>
    <t>Parameters and FE3 Calculation Reconciliation (DCB)</t>
  </si>
  <si>
    <t>Adjustment - Indexation and FE3 Navigational Map</t>
  </si>
  <si>
    <t>Adjustment - Indexation Generate Subset</t>
  </si>
  <si>
    <t xml:space="preserve">Note : Refer to 'Guidelines' to view all relevant ED, Parameters and FE3 requirements. </t>
  </si>
  <si>
    <t>Note : Toggle if you want the Calculation of this worksheet for FE3 or not. Click REFRESH</t>
  </si>
  <si>
    <t>Note : Click EXPORT =&gt; Snapshot To Excel =&gt; Click the 'Program' check box to extract.</t>
  </si>
  <si>
    <t>Adjustment - Generate Reconciliation Workbook</t>
  </si>
  <si>
    <t>OBSI</t>
  </si>
  <si>
    <t>WCI1</t>
  </si>
  <si>
    <t>WCI2</t>
  </si>
  <si>
    <t>WCI3</t>
  </si>
  <si>
    <t>WCI4</t>
  </si>
  <si>
    <t>WCI5</t>
  </si>
  <si>
    <t>WCI6</t>
  </si>
  <si>
    <t>WCI7</t>
  </si>
  <si>
    <t>WCI8</t>
  </si>
  <si>
    <t>WCI9</t>
  </si>
  <si>
    <t>efficiency dividend</t>
  </si>
  <si>
    <t>manual</t>
  </si>
  <si>
    <t>N</t>
  </si>
  <si>
    <t>Y</t>
  </si>
  <si>
    <t>CBMS Program Code</t>
  </si>
  <si>
    <t>GEUS Program Code</t>
  </si>
  <si>
    <t>programme details measure</t>
  </si>
  <si>
    <t xml:space="preserve">GEUS Program Code  : </t>
  </si>
  <si>
    <t xml:space="preserve">CBMS Program Code : </t>
  </si>
  <si>
    <t xml:space="preserve">Parameter Type : </t>
  </si>
  <si>
    <t xml:space="preserve">Apply ED? : </t>
  </si>
  <si>
    <t>&lt;= Data Entry Allowed</t>
  </si>
  <si>
    <t>Note : Click the 'Generate Bulk Report' to export a number of selected programs.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</si>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</sst>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0"/>
    <numFmt numFmtId="166" formatCode="#,##0.000000"/>
    <numFmt numFmtId="167" formatCode="_-* #,##0_-;\-* #,##0_-;_-* &quot;-&quot;??_-;_-@_-"/>
    <numFmt numFmtId="168" formatCode="#,##0;\(#,##0\)"/>
    <numFmt numFmtId="169" formatCode="0.000"/>
    <numFmt numFmtId="170" formatCode="0.00000"/>
    <numFmt numFmtId="171" formatCode="#,##0;\(#,##0\);0"/>
  </numFmts>
  <fonts count="27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2"/>
      <color indexed="12"/>
      <name val="Times New Roman"/>
      <family val="1"/>
    </font>
    <font>
      <sz val="9"/>
      <color indexed="10"/>
      <name val="Times New Roman"/>
      <family val="1"/>
    </font>
    <font>
      <i/>
      <sz val="11"/>
      <name val="Times New Roman"/>
      <family val="1"/>
    </font>
    <font>
      <sz val="11"/>
      <color indexed="12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sz val="11"/>
      <color indexed="10"/>
      <name val="Times New Roman"/>
      <family val="1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/>
      <sz val="28"/>
      <color theme="0"/>
      <name val="Calibri"/>
      <family val="2"/>
      <scheme val="minor"/>
    </font>
    <font>
      <i/>
      <sz val="11"/>
      <color rgb="FFFF0000"/>
      <name val="Times New Roman"/>
      <family val="1"/>
    </font>
    <font>
      <i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47">
    <xf numFmtId="0" fontId="0" fillId="0" borderId="0" xfId="0"/>
    <xf numFmtId="0" fontId="7" fillId="0" borderId="0" xfId="3" applyFont="1"/>
    <xf numFmtId="0" fontId="3" fillId="0" borderId="0" xfId="3" applyFont="1" applyAlignment="1">
      <alignment horizontal="right"/>
    </xf>
    <xf numFmtId="0" fontId="1" fillId="0" borderId="0" xfId="3"/>
    <xf numFmtId="0" fontId="4" fillId="0" borderId="0" xfId="3" applyFont="1"/>
    <xf numFmtId="0" fontId="3" fillId="0" borderId="0" xfId="3" applyFont="1"/>
    <xf numFmtId="0" fontId="15" fillId="3" borderId="13" xfId="3" applyFont="1" applyFill="1" applyBorder="1" applyAlignment="1">
      <alignment horizontal="left"/>
    </xf>
    <xf numFmtId="0" fontId="1" fillId="0" borderId="14" xfId="3" applyBorder="1"/>
    <xf numFmtId="0" fontId="1" fillId="0" borderId="5" xfId="3" applyBorder="1"/>
    <xf numFmtId="0" fontId="7" fillId="3" borderId="0" xfId="3" applyFont="1" applyFill="1"/>
    <xf numFmtId="0" fontId="8" fillId="3" borderId="5" xfId="3" applyFont="1" applyFill="1" applyBorder="1" applyAlignment="1">
      <alignment horizontal="left"/>
    </xf>
    <xf numFmtId="0" fontId="1" fillId="0" borderId="7" xfId="3" applyBorder="1"/>
    <xf numFmtId="0" fontId="9" fillId="2" borderId="6" xfId="3" applyFont="1" applyFill="1" applyBorder="1"/>
    <xf numFmtId="0" fontId="1" fillId="0" borderId="8" xfId="3" applyBorder="1"/>
    <xf numFmtId="0" fontId="9" fillId="0" borderId="3" xfId="3" applyFont="1" applyBorder="1" applyAlignment="1">
      <alignment horizontal="right" vertical="center" wrapText="1"/>
    </xf>
    <xf numFmtId="0" fontId="6" fillId="3" borderId="3" xfId="3" applyFont="1" applyFill="1" applyBorder="1" applyAlignment="1">
      <alignment horizontal="right" vertical="center" wrapText="1"/>
    </xf>
    <xf numFmtId="0" fontId="5" fillId="3" borderId="12" xfId="3" applyFont="1" applyFill="1" applyBorder="1" applyAlignment="1">
      <alignment vertical="top"/>
    </xf>
    <xf numFmtId="0" fontId="7" fillId="3" borderId="13" xfId="3" applyFont="1" applyFill="1" applyBorder="1" applyAlignment="1">
      <alignment vertical="top"/>
    </xf>
    <xf numFmtId="167" fontId="5" fillId="0" borderId="1" xfId="1" applyNumberFormat="1" applyFont="1" applyFill="1" applyBorder="1" applyAlignment="1" applyProtection="1">
      <alignment horizontal="right"/>
    </xf>
    <xf numFmtId="0" fontId="1" fillId="0" borderId="0" xfId="3" applyAlignment="1">
      <alignment vertical="top"/>
    </xf>
    <xf numFmtId="0" fontId="7" fillId="3" borderId="0" xfId="3" applyFont="1" applyFill="1" applyAlignment="1">
      <alignment vertical="top"/>
    </xf>
    <xf numFmtId="0" fontId="9" fillId="0" borderId="5" xfId="3" applyFont="1" applyBorder="1" applyAlignment="1">
      <alignment vertical="top" wrapText="1"/>
    </xf>
    <xf numFmtId="0" fontId="7" fillId="0" borderId="5" xfId="3" applyFont="1" applyBorder="1"/>
    <xf numFmtId="167" fontId="5" fillId="0" borderId="7" xfId="1" applyNumberFormat="1" applyFont="1" applyFill="1" applyBorder="1" applyAlignment="1" applyProtection="1">
      <alignment horizontal="right"/>
    </xf>
    <xf numFmtId="0" fontId="10" fillId="0" borderId="5" xfId="3" applyFont="1" applyBorder="1"/>
    <xf numFmtId="0" fontId="5" fillId="0" borderId="5" xfId="3" applyFont="1" applyBorder="1"/>
    <xf numFmtId="167" fontId="11" fillId="0" borderId="1" xfId="1" applyNumberFormat="1" applyFont="1" applyFill="1" applyBorder="1" applyAlignment="1" applyProtection="1"/>
    <xf numFmtId="0" fontId="5" fillId="0" borderId="2" xfId="3" applyFont="1" applyBorder="1" applyAlignment="1">
      <alignment horizontal="left" wrapText="1" indent="1"/>
    </xf>
    <xf numFmtId="167" fontId="5" fillId="0" borderId="2" xfId="1" applyNumberFormat="1" applyFont="1" applyFill="1" applyBorder="1" applyAlignment="1" applyProtection="1">
      <alignment horizontal="right"/>
    </xf>
    <xf numFmtId="0" fontId="5" fillId="0" borderId="5" xfId="3" applyFont="1" applyBorder="1" applyAlignment="1">
      <alignment horizontal="left"/>
    </xf>
    <xf numFmtId="0" fontId="17" fillId="0" borderId="0" xfId="3" applyFont="1"/>
    <xf numFmtId="165" fontId="5" fillId="0" borderId="1" xfId="2" applyNumberFormat="1" applyFont="1" applyFill="1" applyBorder="1" applyAlignment="1" applyProtection="1">
      <alignment horizontal="right"/>
    </xf>
    <xf numFmtId="170" fontId="5" fillId="0" borderId="1" xfId="2" applyNumberFormat="1" applyFont="1" applyFill="1" applyBorder="1" applyAlignment="1" applyProtection="1">
      <alignment horizontal="right"/>
    </xf>
    <xf numFmtId="170" fontId="5" fillId="0" borderId="0" xfId="2" applyNumberFormat="1" applyFont="1" applyFill="1" applyBorder="1" applyAlignment="1" applyProtection="1">
      <alignment horizontal="right"/>
    </xf>
    <xf numFmtId="0" fontId="5" fillId="4" borderId="5" xfId="3" applyFont="1" applyFill="1" applyBorder="1"/>
    <xf numFmtId="171" fontId="5" fillId="4" borderId="1" xfId="1" applyNumberFormat="1" applyFont="1" applyFill="1" applyBorder="1" applyAlignment="1" applyProtection="1">
      <alignment horizontal="right"/>
    </xf>
    <xf numFmtId="168" fontId="5" fillId="4" borderId="1" xfId="1" applyNumberFormat="1" applyFont="1" applyFill="1" applyBorder="1" applyAlignment="1" applyProtection="1">
      <alignment horizontal="right"/>
    </xf>
    <xf numFmtId="0" fontId="7" fillId="2" borderId="0" xfId="3" applyFont="1" applyFill="1"/>
    <xf numFmtId="0" fontId="9" fillId="0" borderId="9" xfId="3" applyFont="1" applyBorder="1"/>
    <xf numFmtId="167" fontId="9" fillId="0" borderId="3" xfId="1" applyNumberFormat="1" applyFont="1" applyFill="1" applyBorder="1" applyAlignment="1" applyProtection="1">
      <alignment horizontal="right"/>
    </xf>
    <xf numFmtId="167" fontId="16" fillId="0" borderId="1" xfId="1" applyNumberFormat="1" applyFont="1" applyFill="1" applyBorder="1" applyAlignment="1" applyProtection="1"/>
    <xf numFmtId="0" fontId="12" fillId="0" borderId="5" xfId="3" applyFont="1" applyBorder="1" applyAlignment="1">
      <alignment horizontal="left" indent="1"/>
    </xf>
    <xf numFmtId="0" fontId="12" fillId="0" borderId="6" xfId="3" applyFont="1" applyBorder="1" applyAlignment="1">
      <alignment horizontal="left" indent="1"/>
    </xf>
    <xf numFmtId="0" fontId="9" fillId="0" borderId="5" xfId="3" applyFont="1" applyBorder="1"/>
    <xf numFmtId="167" fontId="9" fillId="0" borderId="1" xfId="1" applyNumberFormat="1" applyFont="1" applyFill="1" applyBorder="1" applyAlignment="1" applyProtection="1">
      <alignment horizontal="right"/>
    </xf>
    <xf numFmtId="167" fontId="9" fillId="0" borderId="7" xfId="1" applyNumberFormat="1" applyFont="1" applyFill="1" applyBorder="1" applyAlignment="1" applyProtection="1">
      <alignment horizontal="right"/>
    </xf>
    <xf numFmtId="167" fontId="13" fillId="0" borderId="1" xfId="1" applyNumberFormat="1" applyFont="1" applyFill="1" applyBorder="1" applyAlignment="1" applyProtection="1">
      <alignment horizontal="right"/>
    </xf>
    <xf numFmtId="169" fontId="5" fillId="0" borderId="1" xfId="3" applyNumberFormat="1" applyFont="1" applyBorder="1" applyAlignment="1">
      <alignment horizontal="right"/>
    </xf>
    <xf numFmtId="169" fontId="5" fillId="0" borderId="1" xfId="0" applyNumberFormat="1" applyFont="1" applyBorder="1" applyAlignment="1">
      <alignment horizontal="right"/>
    </xf>
    <xf numFmtId="166" fontId="5" fillId="0" borderId="1" xfId="3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6" fontId="5" fillId="0" borderId="7" xfId="3" applyNumberFormat="1" applyFont="1" applyBorder="1" applyAlignment="1">
      <alignment horizontal="right"/>
    </xf>
    <xf numFmtId="171" fontId="5" fillId="4" borderId="1" xfId="3" applyNumberFormat="1" applyFont="1" applyFill="1" applyBorder="1" applyAlignment="1">
      <alignment horizontal="right"/>
    </xf>
    <xf numFmtId="3" fontId="9" fillId="0" borderId="3" xfId="3" applyNumberFormat="1" applyFont="1" applyBorder="1" applyAlignment="1">
      <alignment horizontal="right"/>
    </xf>
    <xf numFmtId="166" fontId="13" fillId="0" borderId="1" xfId="3" applyNumberFormat="1" applyFont="1" applyBorder="1" applyAlignment="1">
      <alignment horizontal="right"/>
    </xf>
    <xf numFmtId="171" fontId="5" fillId="0" borderId="1" xfId="3" applyNumberFormat="1" applyFont="1" applyBorder="1" applyAlignment="1">
      <alignment horizontal="right"/>
    </xf>
    <xf numFmtId="0" fontId="9" fillId="0" borderId="10" xfId="3" applyFont="1" applyBorder="1"/>
    <xf numFmtId="171" fontId="9" fillId="0" borderId="4" xfId="3" applyNumberFormat="1" applyFont="1" applyBorder="1" applyAlignment="1">
      <alignment horizontal="right" vertical="center"/>
    </xf>
    <xf numFmtId="171" fontId="9" fillId="0" borderId="11" xfId="3" applyNumberFormat="1" applyFont="1" applyBorder="1" applyAlignment="1">
      <alignment horizontal="right" vertical="center"/>
    </xf>
    <xf numFmtId="0" fontId="6" fillId="3" borderId="0" xfId="3" applyFont="1" applyFill="1"/>
    <xf numFmtId="0" fontId="6" fillId="0" borderId="5" xfId="3" applyFont="1" applyBorder="1"/>
    <xf numFmtId="167" fontId="6" fillId="0" borderId="0" xfId="3" applyNumberFormat="1" applyFont="1" applyAlignment="1">
      <alignment horizontal="right" vertical="center"/>
    </xf>
    <xf numFmtId="167" fontId="6" fillId="0" borderId="7" xfId="3" applyNumberFormat="1" applyFont="1" applyBorder="1" applyAlignment="1">
      <alignment horizontal="right" vertical="center"/>
    </xf>
    <xf numFmtId="0" fontId="8" fillId="4" borderId="5" xfId="3" applyFont="1" applyFill="1" applyBorder="1"/>
    <xf numFmtId="0" fontId="9" fillId="4" borderId="5" xfId="3" applyFont="1" applyFill="1" applyBorder="1" applyAlignment="1">
      <alignment horizontal="center"/>
    </xf>
    <xf numFmtId="0" fontId="9" fillId="4" borderId="1" xfId="3" applyFont="1" applyFill="1" applyBorder="1" applyAlignment="1">
      <alignment horizontal="center"/>
    </xf>
    <xf numFmtId="0" fontId="9" fillId="4" borderId="7" xfId="3" applyFont="1" applyFill="1" applyBorder="1" applyAlignment="1">
      <alignment horizontal="center"/>
    </xf>
    <xf numFmtId="171" fontId="5" fillId="4" borderId="1" xfId="3" applyNumberFormat="1" applyFont="1" applyFill="1" applyBorder="1"/>
    <xf numFmtId="0" fontId="5" fillId="4" borderId="2" xfId="3" applyFont="1" applyFill="1" applyBorder="1"/>
    <xf numFmtId="171" fontId="5" fillId="4" borderId="6" xfId="3" applyNumberFormat="1" applyFont="1" applyFill="1" applyBorder="1"/>
    <xf numFmtId="171" fontId="5" fillId="4" borderId="2" xfId="3" applyNumberFormat="1" applyFont="1" applyFill="1" applyBorder="1"/>
    <xf numFmtId="171" fontId="5" fillId="4" borderId="8" xfId="3" applyNumberFormat="1" applyFont="1" applyFill="1" applyBorder="1"/>
    <xf numFmtId="0" fontId="9" fillId="4" borderId="10" xfId="3" applyFont="1" applyFill="1" applyBorder="1"/>
    <xf numFmtId="171" fontId="9" fillId="4" borderId="10" xfId="3" applyNumberFormat="1" applyFont="1" applyFill="1" applyBorder="1"/>
    <xf numFmtId="171" fontId="9" fillId="4" borderId="4" xfId="3" applyNumberFormat="1" applyFont="1" applyFill="1" applyBorder="1"/>
    <xf numFmtId="171" fontId="9" fillId="4" borderId="11" xfId="3" applyNumberFormat="1" applyFont="1" applyFill="1" applyBorder="1"/>
    <xf numFmtId="0" fontId="7" fillId="0" borderId="0" xfId="3" applyFont="1" applyAlignment="1">
      <alignment horizontal="left"/>
    </xf>
    <xf numFmtId="3" fontId="7" fillId="0" borderId="0" xfId="3" applyNumberFormat="1" applyFont="1"/>
    <xf numFmtId="0" fontId="6" fillId="0" borderId="0" xfId="3" applyFont="1" applyAlignment="1">
      <alignment horizontal="left"/>
    </xf>
    <xf numFmtId="0" fontId="14" fillId="0" borderId="0" xfId="3" applyFont="1"/>
    <xf numFmtId="0" fontId="7" fillId="0" borderId="0" xfId="3" applyFont="1" applyAlignment="1">
      <alignment wrapText="1"/>
    </xf>
    <xf numFmtId="0" fontId="1" fillId="0" borderId="0" xfId="3" applyAlignment="1">
      <alignment wrapText="1"/>
    </xf>
    <xf numFmtId="0" fontId="7" fillId="0" borderId="0" xfId="3" applyFont="1" applyAlignment="1">
      <alignment horizontal="right"/>
    </xf>
    <xf numFmtId="167" fontId="7" fillId="0" borderId="0" xfId="3" applyNumberFormat="1" applyFont="1"/>
    <xf numFmtId="0" fontId="3" fillId="2" borderId="0" xfId="3" applyFont="1" applyFill="1" applyProtection="1">
      <protection locked="0"/>
    </xf>
    <xf numFmtId="0" fontId="4" fillId="5" borderId="0" xfId="3" applyFont="1" applyFill="1" applyProtection="1">
      <protection locked="0"/>
    </xf>
    <xf numFmtId="0" fontId="9" fillId="2" borderId="12" xfId="3" applyFont="1" applyFill="1" applyBorder="1" applyAlignment="1" applyProtection="1">
      <alignment vertical="top" wrapText="1"/>
      <protection locked="0"/>
    </xf>
    <xf numFmtId="0" fontId="7" fillId="2" borderId="2" xfId="3" applyFont="1" applyFill="1" applyBorder="1" applyProtection="1">
      <protection locked="0"/>
    </xf>
    <xf numFmtId="167" fontId="5" fillId="2" borderId="1" xfId="1" applyNumberFormat="1" applyFont="1" applyFill="1" applyBorder="1" applyAlignment="1" applyProtection="1">
      <alignment horizontal="right" vertical="top"/>
      <protection locked="0"/>
    </xf>
    <xf numFmtId="10" fontId="5" fillId="2" borderId="1" xfId="2" applyNumberFormat="1" applyFont="1" applyFill="1" applyBorder="1" applyAlignment="1" applyProtection="1">
      <alignment horizontal="right"/>
      <protection locked="0"/>
    </xf>
    <xf numFmtId="167" fontId="5" fillId="2" borderId="1" xfId="1" applyNumberFormat="1" applyFont="1" applyFill="1" applyBorder="1" applyAlignment="1" applyProtection="1">
      <protection locked="0"/>
    </xf>
    <xf numFmtId="167" fontId="5" fillId="2" borderId="2" xfId="1" applyNumberFormat="1" applyFont="1" applyFill="1" applyBorder="1" applyAlignment="1" applyProtection="1">
      <alignment horizontal="right"/>
      <protection locked="0"/>
    </xf>
    <xf numFmtId="10" fontId="5" fillId="2" borderId="15" xfId="2" applyNumberFormat="1" applyFont="1" applyFill="1" applyBorder="1" applyAlignment="1" applyProtection="1">
      <alignment horizontal="right"/>
      <protection locked="0"/>
    </xf>
    <xf numFmtId="0" fontId="7" fillId="0" borderId="0" xfId="3" applyFont="1" applyProtection="1">
      <protection locked="0"/>
    </xf>
    <xf numFmtId="3" fontId="7" fillId="0" borderId="15" xfId="3" applyNumberFormat="1" applyFont="1" applyBorder="1" applyProtection="1">
      <protection locked="0"/>
    </xf>
    <xf numFmtId="10" fontId="7" fillId="2" borderId="0" xfId="2" applyNumberFormat="1" applyFont="1" applyFill="1" applyBorder="1" applyAlignment="1" applyProtection="1">
      <protection locked="0"/>
    </xf>
    <xf numFmtId="3" fontId="7" fillId="0" borderId="0" xfId="3" applyNumberFormat="1" applyFont="1" applyProtection="1">
      <protection locked="0"/>
    </xf>
    <xf numFmtId="10" fontId="7" fillId="2" borderId="0" xfId="2" applyNumberFormat="1" applyFont="1" applyFill="1" applyBorder="1" applyAlignment="1" applyProtection="1">
      <alignment horizontal="left"/>
      <protection locked="0"/>
    </xf>
    <xf numFmtId="0" fontId="6" fillId="6" borderId="2" xfId="3" applyFont="1" applyFill="1" applyBorder="1" applyAlignment="1">
      <alignment horizontal="right" vertical="center" wrapText="1"/>
    </xf>
    <xf numFmtId="0" fontId="9" fillId="4" borderId="13" xfId="3" applyFont="1" applyFill="1" applyBorder="1" applyAlignment="1">
      <alignment horizontal="right"/>
    </xf>
    <xf numFmtId="0" fontId="9" fillId="4" borderId="12" xfId="3" applyFont="1" applyFill="1" applyBorder="1" applyAlignment="1">
      <alignment horizontal="right"/>
    </xf>
    <xf numFmtId="0" fontId="9" fillId="4" borderId="14" xfId="3" applyFont="1" applyFill="1" applyBorder="1" applyAlignment="1">
      <alignment horizontal="right"/>
    </xf>
    <xf numFmtId="0" fontId="19" fillId="0" borderId="3" xfId="0" applyFont="1" applyBorder="1"/>
    <xf numFmtId="0" fontId="0" fillId="0" borderId="3" xfId="0" applyBorder="1" applyAlignment="1">
      <alignment horizontal="center"/>
    </xf>
    <xf numFmtId="0" fontId="0" fillId="0" borderId="17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19" fillId="7" borderId="1" xfId="0" applyFont="1" applyFill="1" applyBorder="1"/>
    <xf numFmtId="0" fontId="19" fillId="7" borderId="12" xfId="0" applyFont="1" applyFill="1" applyBorder="1"/>
    <xf numFmtId="0" fontId="19" fillId="0" borderId="0" xfId="0" applyFont="1" applyAlignment="1">
      <alignment horizontal="right"/>
    </xf>
    <xf numFmtId="0" fontId="19" fillId="0" borderId="0" xfId="0" applyFont="1"/>
    <xf numFmtId="0" fontId="20" fillId="9" borderId="0" xfId="0" applyFont="1" applyFill="1" applyAlignment="1">
      <alignment horizontal="center"/>
    </xf>
    <xf numFmtId="0" fontId="0" fillId="7" borderId="3" xfId="0" applyFill="1" applyBorder="1"/>
    <xf numFmtId="0" fontId="21" fillId="7" borderId="3" xfId="3" applyFont="1" applyFill="1" applyBorder="1" applyAlignment="1">
      <alignment horizontal="center"/>
    </xf>
    <xf numFmtId="0" fontId="7" fillId="7" borderId="3" xfId="3" applyFont="1" applyFill="1" applyBorder="1"/>
    <xf numFmtId="2" fontId="7" fillId="7" borderId="3" xfId="3" applyNumberFormat="1" applyFont="1" applyFill="1" applyBorder="1"/>
    <xf numFmtId="0" fontId="22" fillId="4" borderId="5" xfId="3" applyFont="1" applyFill="1" applyBorder="1"/>
    <xf numFmtId="0" fontId="7" fillId="0" borderId="3" xfId="3" applyFont="1" applyBorder="1"/>
    <xf numFmtId="164" fontId="7" fillId="3" borderId="0" xfId="1" applyFont="1" applyFill="1" applyAlignment="1" applyProtection="1">
      <alignment vertical="top"/>
    </xf>
    <xf numFmtId="0" fontId="23" fillId="0" borderId="0" xfId="3" quotePrefix="1" applyFont="1"/>
    <xf numFmtId="0" fontId="18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right" vertical="center"/>
    </xf>
    <xf numFmtId="0" fontId="25" fillId="0" borderId="0" xfId="3" applyFont="1"/>
    <xf numFmtId="0" fontId="0" fillId="0" borderId="9" xfId="0" applyBorder="1"/>
    <xf numFmtId="0" fontId="0" fillId="7" borderId="3" xfId="0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left" indent="1"/>
      <protection locked="0"/>
    </xf>
    <xf numFmtId="0" fontId="0" fillId="0" borderId="16" xfId="0" applyBorder="1" applyAlignment="1" applyProtection="1">
      <alignment horizontal="left" indent="1"/>
      <protection locked="0"/>
    </xf>
    <xf numFmtId="0" fontId="26" fillId="0" borderId="0" xfId="3" applyFont="1"/>
    <xf numFmtId="0" fontId="0" fillId="7" borderId="3" xfId="0" applyFill="1" applyBorder="1" applyAlignment="1" applyProtection="1">
      <alignment horizontal="left" indent="1"/>
      <protection locked="0"/>
    </xf>
    <xf numFmtId="0" fontId="25" fillId="0" borderId="0" xfId="3" applyFont="1" applyAlignment="1">
      <alignment horizontal="left"/>
    </xf>
    <xf numFmtId="0" fontId="18" fillId="8" borderId="6" xfId="0" applyFont="1" applyFill="1" applyBorder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0" fillId="0" borderId="9" xfId="0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/>
      <protection locked="0"/>
    </xf>
    <xf numFmtId="0" fontId="2" fillId="0" borderId="0" xfId="3" applyFont="1" applyAlignment="1">
      <alignment horizontal="left"/>
    </xf>
    <xf numFmtId="0" fontId="8" fillId="4" borderId="12" xfId="3" applyFont="1" applyFill="1" applyBorder="1" applyAlignment="1">
      <alignment horizontal="left" vertical="center"/>
    </xf>
    <xf numFmtId="0" fontId="8" fillId="4" borderId="2" xfId="3" applyFont="1" applyFill="1" applyBorder="1" applyAlignment="1">
      <alignment horizontal="left" vertical="center"/>
    </xf>
    <xf numFmtId="0" fontId="7" fillId="0" borderId="0" xfId="3" applyFont="1" applyAlignment="1">
      <alignment wrapText="1"/>
    </xf>
    <xf numFmtId="0" fontId="1" fillId="0" borderId="0" xfId="3" applyAlignment="1">
      <alignment wrapText="1"/>
    </xf>
    <xf numFmtId="0" fontId="7" fillId="0" borderId="0" xfId="3" applyFont="1" applyAlignment="1">
      <alignment vertical="top" wrapText="1"/>
    </xf>
    <xf numFmtId="0" fontId="1" fillId="0" borderId="0" xfId="3" applyAlignment="1">
      <alignment vertical="top" wrapText="1"/>
    </xf>
    <xf numFmtId="0" fontId="19" fillId="7" borderId="9" xfId="0" applyFont="1" applyFill="1" applyBorder="1" applyAlignment="1">
      <alignment horizontal="center"/>
    </xf>
    <xf numFmtId="0" fontId="19" fillId="7" borderId="16" xfId="0" applyFont="1" applyFill="1" applyBorder="1" applyAlignment="1">
      <alignment horizontal="center"/>
    </xf>
    <xf numFmtId="0" fontId="19" fillId="7" borderId="17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9" defaultPivotStyle="PivotStyleLight16"/>
  <colors>
    <mruColors>
      <color rgb="FFCCFFCC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image" Target="../media/image7.emf"/><Relationship Id="rId7" Type="http://schemas.openxmlformats.org/officeDocument/2006/relationships/image" Target="../media/image10.emf"/><Relationship Id="rId2" Type="http://schemas.openxmlformats.org/officeDocument/2006/relationships/image" Target="../media/image8.emf"/><Relationship Id="rId1" Type="http://schemas.openxmlformats.org/officeDocument/2006/relationships/image" Target="../media/image9.emf"/><Relationship Id="rId6" Type="http://schemas.openxmlformats.org/officeDocument/2006/relationships/image" Target="../media/image4.emf"/><Relationship Id="rId5" Type="http://schemas.openxmlformats.org/officeDocument/2006/relationships/image" Target="../media/image5.emf"/><Relationship Id="rId10" Type="http://schemas.openxmlformats.org/officeDocument/2006/relationships/image" Target="../media/image1.emf"/><Relationship Id="rId4" Type="http://schemas.openxmlformats.org/officeDocument/2006/relationships/image" Target="../media/image6.emf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68</xdr:row>
      <xdr:rowOff>28575</xdr:rowOff>
    </xdr:from>
    <xdr:to>
      <xdr:col>9</xdr:col>
      <xdr:colOff>1790700</xdr:colOff>
      <xdr:row>68</xdr:row>
      <xdr:rowOff>478155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70</xdr:row>
          <xdr:rowOff>7620</xdr:rowOff>
        </xdr:from>
        <xdr:to>
          <xdr:col>9</xdr:col>
          <xdr:colOff>647700</xdr:colOff>
          <xdr:row>70</xdr:row>
          <xdr:rowOff>259080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533400</xdr:colOff>
          <xdr:row>70</xdr:row>
          <xdr:rowOff>7620</xdr:rowOff>
        </xdr:from>
        <xdr:to>
          <xdr:col>14</xdr:col>
          <xdr:colOff>266700</xdr:colOff>
          <xdr:row>70</xdr:row>
          <xdr:rowOff>259080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4076700</xdr:colOff>
          <xdr:row>70</xdr:row>
          <xdr:rowOff>7620</xdr:rowOff>
        </xdr:from>
        <xdr:to>
          <xdr:col>10</xdr:col>
          <xdr:colOff>449580</xdr:colOff>
          <xdr:row>70</xdr:row>
          <xdr:rowOff>259080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487680</xdr:colOff>
          <xdr:row>70</xdr:row>
          <xdr:rowOff>7620</xdr:rowOff>
        </xdr:from>
        <xdr:to>
          <xdr:col>11</xdr:col>
          <xdr:colOff>807720</xdr:colOff>
          <xdr:row>70</xdr:row>
          <xdr:rowOff>259080</xdr:rowOff>
        </xdr:to>
        <xdr:sp macro="" textlink="">
          <xdr:nvSpPr>
            <xdr:cNvPr id="1030" name="TIButton4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723900</xdr:colOff>
          <xdr:row>69</xdr:row>
          <xdr:rowOff>30480</xdr:rowOff>
        </xdr:from>
        <xdr:to>
          <xdr:col>14</xdr:col>
          <xdr:colOff>1036320</xdr:colOff>
          <xdr:row>70</xdr:row>
          <xdr:rowOff>289560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845820</xdr:colOff>
          <xdr:row>70</xdr:row>
          <xdr:rowOff>7620</xdr:rowOff>
        </xdr:from>
        <xdr:to>
          <xdr:col>12</xdr:col>
          <xdr:colOff>647700</xdr:colOff>
          <xdr:row>70</xdr:row>
          <xdr:rowOff>259080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685800</xdr:colOff>
          <xdr:row>70</xdr:row>
          <xdr:rowOff>7620</xdr:rowOff>
        </xdr:from>
        <xdr:to>
          <xdr:col>13</xdr:col>
          <xdr:colOff>487680</xdr:colOff>
          <xdr:row>70</xdr:row>
          <xdr:rowOff>259080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678180</xdr:colOff>
          <xdr:row>70</xdr:row>
          <xdr:rowOff>7620</xdr:rowOff>
        </xdr:from>
        <xdr:to>
          <xdr:col>9</xdr:col>
          <xdr:colOff>1699260</xdr:colOff>
          <xdr:row>70</xdr:row>
          <xdr:rowOff>259080</xdr:rowOff>
        </xdr:to>
        <xdr:sp macro="" textlink="">
          <xdr:nvSpPr>
            <xdr:cNvPr id="1037" name="TIButton8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1714500</xdr:colOff>
          <xdr:row>70</xdr:row>
          <xdr:rowOff>7620</xdr:rowOff>
        </xdr:from>
        <xdr:to>
          <xdr:col>9</xdr:col>
          <xdr:colOff>2697480</xdr:colOff>
          <xdr:row>70</xdr:row>
          <xdr:rowOff>259080</xdr:rowOff>
        </xdr:to>
        <xdr:sp macro="" textlink="">
          <xdr:nvSpPr>
            <xdr:cNvPr id="1038" name="TIButton3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2727960</xdr:colOff>
          <xdr:row>70</xdr:row>
          <xdr:rowOff>7620</xdr:rowOff>
        </xdr:from>
        <xdr:to>
          <xdr:col>9</xdr:col>
          <xdr:colOff>4046220</xdr:colOff>
          <xdr:row>70</xdr:row>
          <xdr:rowOff>259080</xdr:rowOff>
        </xdr:to>
        <xdr:sp macro="" textlink="">
          <xdr:nvSpPr>
            <xdr:cNvPr id="1039" name="TIButton9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13</xdr:col>
      <xdr:colOff>495300</xdr:colOff>
      <xdr:row>73</xdr:row>
      <xdr:rowOff>85725</xdr:rowOff>
    </xdr:from>
    <xdr:to>
      <xdr:col>14</xdr:col>
      <xdr:colOff>855170</xdr:colOff>
      <xdr:row>78</xdr:row>
      <xdr:rowOff>3703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0575" y="1028700"/>
          <a:ext cx="1400000" cy="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Q186"/>
  <sheetViews>
    <sheetView showGridLines="0" showRowColHeaders="0" tabSelected="1" showOutlineSymbols="0" topLeftCell="I69" zoomScaleNormal="100" zoomScaleSheetLayoutView="100" workbookViewId="0"/>
  </sheetViews>
  <sheetFormatPr defaultColWidth="9.109375" defaultRowHeight="13.2" outlineLevelRow="1" outlineLevelCol="1" x14ac:dyDescent="0.25"/>
  <cols>
    <col min="1" max="1" width="9.109375" style="1" hidden="1" customWidth="1" outlineLevel="1"/>
    <col min="2" max="2" width="25.109375" style="1" hidden="1" customWidth="1" outlineLevel="1"/>
    <col min="3" max="6" width="16.109375" style="1" hidden="1" customWidth="1" outlineLevel="1"/>
    <col min="7" max="7" width="22.33203125" style="1" hidden="1" customWidth="1" outlineLevel="1"/>
    <col min="8" max="8" width="13.88671875" style="1" hidden="1" customWidth="1" outlineLevel="1"/>
    <col min="9" max="9" width="0.88671875" style="1" customWidth="1" collapsed="1"/>
    <col min="10" max="10" width="70.6640625" style="1" customWidth="1"/>
    <col min="11" max="15" width="15.6640625" style="1" customWidth="1"/>
    <col min="16" max="16" width="6" style="3" customWidth="1"/>
    <col min="17" max="17" width="11.5546875" style="3" bestFit="1" customWidth="1"/>
    <col min="18" max="16384" width="9.109375" style="1"/>
  </cols>
  <sheetData>
    <row r="1" spans="2:15" ht="15.6" hidden="1" outlineLevel="1" x14ac:dyDescent="0.3">
      <c r="O1" s="2"/>
    </row>
    <row r="2" spans="2:15" ht="15.6" hidden="1" outlineLevel="1" x14ac:dyDescent="0.3">
      <c r="B2" s="143" t="s">
        <v>69</v>
      </c>
      <c r="C2" s="144"/>
      <c r="D2" s="145"/>
      <c r="O2" s="2"/>
    </row>
    <row r="3" spans="2:15" ht="15.6" hidden="1" outlineLevel="1" x14ac:dyDescent="0.3">
      <c r="B3" s="102" t="s">
        <v>70</v>
      </c>
      <c r="C3" s="103" t="s">
        <v>173</v>
      </c>
      <c r="D3" s="104"/>
      <c r="O3" s="2"/>
    </row>
    <row r="4" spans="2:15" ht="15.6" hidden="1" outlineLevel="1" x14ac:dyDescent="0.3">
      <c r="B4" s="102" t="s">
        <v>71</v>
      </c>
      <c r="C4" s="105" t="str" cm="1">
        <f t="array" aca="1" ref="C4" ca="1">_xll.VIEW(db_name&amp;":}ElementAttributes_}Clients","!","!")</f>
        <v>dcceew_geus:}ElementAttributes_}Clients</v>
      </c>
      <c r="D4" s="104"/>
      <c r="O4" s="2"/>
    </row>
    <row r="5" spans="2:15" ht="15.6" hidden="1" outlineLevel="1" x14ac:dyDescent="0.3">
      <c r="B5" s="102" t="s">
        <v>72</v>
      </c>
      <c r="C5" s="103" t="str" cm="1">
        <f t="array" aca="1" ref="C5" ca="1">_xll.TM1USER(db_name)</f>
        <v/>
      </c>
      <c r="D5" s="104"/>
      <c r="O5" s="2"/>
    </row>
    <row r="6" spans="2:15" ht="15.6" hidden="1" outlineLevel="1" x14ac:dyDescent="0.3">
      <c r="B6" s="102" t="s">
        <v>73</v>
      </c>
      <c r="C6" s="103" t="str" cm="1">
        <f t="array" aca="1" ref="C6" ca="1">_xll.DBR($C$4,$C$5,$B6)</f>
        <v>*KEY_ERR</v>
      </c>
      <c r="D6" s="104"/>
      <c r="O6" s="2"/>
    </row>
    <row r="7" spans="2:15" ht="15.6" hidden="1" outlineLevel="1" x14ac:dyDescent="0.3">
      <c r="B7" s="102" t="s">
        <v>74</v>
      </c>
      <c r="C7" s="103" t="str" cm="1">
        <f t="array" aca="1" ref="C7" ca="1">_xll.DBR($C$4,$C$5,$B7)</f>
        <v>*KEY_ERR</v>
      </c>
      <c r="D7" s="104"/>
      <c r="O7" s="2"/>
    </row>
    <row r="8" spans="2:15" ht="15.6" hidden="1" outlineLevel="1" x14ac:dyDescent="0.3">
      <c r="B8" s="102" t="s">
        <v>75</v>
      </c>
      <c r="C8" s="103" t="str">
        <f ca="1">IF(LEFT($C$6,6)="CAM_AD",$C$7,$C$6)</f>
        <v>*KEY_ERR</v>
      </c>
      <c r="D8" s="106"/>
      <c r="O8" s="2"/>
    </row>
    <row r="9" spans="2:15" ht="15.6" hidden="1" outlineLevel="1" x14ac:dyDescent="0.3">
      <c r="O9" s="2"/>
    </row>
    <row r="10" spans="2:15" ht="15.6" hidden="1" outlineLevel="1" x14ac:dyDescent="0.3">
      <c r="B10" s="143" t="s">
        <v>76</v>
      </c>
      <c r="C10" s="144"/>
      <c r="D10" s="145"/>
      <c r="J10" s="111" t="s">
        <v>124</v>
      </c>
      <c r="O10" s="2"/>
    </row>
    <row r="11" spans="2:15" ht="14.4" hidden="1" outlineLevel="1" x14ac:dyDescent="0.3">
      <c r="B11" s="102" t="s">
        <v>77</v>
      </c>
      <c r="C11" s="106" t="str" cm="1">
        <f t="array" aca="1" ref="C11" ca="1">_xll.VIEW(db_name&amp;":}ElementAttributes_variables","!","!")</f>
        <v>dcceew_geus:}ElementAttributes_variables</v>
      </c>
      <c r="D11" s="106"/>
      <c r="J11" s="112" t="str">
        <f ca="1">RIGHT(psHLYear,9)</f>
        <v>*KEY_ERR</v>
      </c>
      <c r="K11" s="106" t="str" cm="1">
        <f t="array" aca="1" ref="K11" ca="1">_xll.DIMNM(db_name&amp;":period",_xll.DIMIX(db_name&amp;":period",$J$11)+K$12)</f>
        <v/>
      </c>
      <c r="L11" s="106" t="str" cm="1">
        <f t="array" aca="1" ref="L11" ca="1">_xll.DIMNM(db_name&amp;":period",_xll.DIMIX(db_name&amp;":period",$J$11)+L$12)</f>
        <v/>
      </c>
      <c r="M11" s="106" t="str" cm="1">
        <f t="array" aca="1" ref="M11" ca="1">_xll.DIMNM(db_name&amp;":period",_xll.DIMIX(db_name&amp;":period",$J$11)+M$12)</f>
        <v/>
      </c>
      <c r="N11" s="106" t="str" cm="1">
        <f t="array" aca="1" ref="N11" ca="1">_xll.DIMNM(db_name&amp;":period",_xll.DIMIX(db_name&amp;":period",$J$11)+N$12)</f>
        <v/>
      </c>
      <c r="O11" s="106" t="str" cm="1">
        <f t="array" aca="1" ref="O11" ca="1">_xll.DIMNM(db_name&amp;":period",_xll.DIMIX(db_name&amp;":period",$J$11)+O$12)</f>
        <v/>
      </c>
    </row>
    <row r="12" spans="2:15" ht="14.4" hidden="1" outlineLevel="1" x14ac:dyDescent="0.3">
      <c r="B12" s="102" t="s">
        <v>78</v>
      </c>
      <c r="C12" s="106" t="str" cm="1">
        <f t="array" aca="1" ref="C12" ca="1">_xll.DBR($C$11,$B12,"value")</f>
        <v>*KEY_ERR</v>
      </c>
      <c r="D12" s="106"/>
      <c r="J12" s="112" t="s">
        <v>107</v>
      </c>
      <c r="K12" s="106">
        <v>-1</v>
      </c>
      <c r="L12" s="106">
        <v>0</v>
      </c>
      <c r="M12" s="106">
        <v>1</v>
      </c>
      <c r="N12" s="106">
        <v>2</v>
      </c>
      <c r="O12" s="106">
        <v>3</v>
      </c>
    </row>
    <row r="13" spans="2:15" ht="15.6" hidden="1" outlineLevel="1" x14ac:dyDescent="0.3">
      <c r="B13" s="102" t="s">
        <v>79</v>
      </c>
      <c r="C13" s="106" t="str" cm="1">
        <f t="array" aca="1" ref="C13" ca="1">_xll.DBR($C$11,$B13,"value")</f>
        <v>*KEY_ERR</v>
      </c>
      <c r="D13" s="106"/>
      <c r="O13" s="2"/>
    </row>
    <row r="14" spans="2:15" ht="15.6" hidden="1" outlineLevel="1" x14ac:dyDescent="0.3">
      <c r="B14" s="102" t="s">
        <v>80</v>
      </c>
      <c r="C14" s="106" t="str" cm="1">
        <f t="array" aca="1" ref="C14" ca="1">_xll.DBR($C$11,$B14,"value")</f>
        <v>*KEY_ERR</v>
      </c>
      <c r="D14"/>
      <c r="O14" s="2"/>
    </row>
    <row r="15" spans="2:15" ht="15.6" hidden="1" outlineLevel="1" x14ac:dyDescent="0.3">
      <c r="B15" s="102" t="s">
        <v>81</v>
      </c>
      <c r="C15" s="106" t="str" cm="1">
        <f t="array" aca="1" ref="C15" ca="1">_xll.DBR($C$11,$B15,"value")</f>
        <v>*KEY_ERR</v>
      </c>
      <c r="D15"/>
      <c r="O15" s="2"/>
    </row>
    <row r="16" spans="2:15" ht="15.6" hidden="1" outlineLevel="1" x14ac:dyDescent="0.3">
      <c r="O16" s="2"/>
    </row>
    <row r="17" spans="2:15" ht="15.6" hidden="1" outlineLevel="1" x14ac:dyDescent="0.3">
      <c r="O17" s="2"/>
    </row>
    <row r="18" spans="2:15" ht="15.6" hidden="1" outlineLevel="1" x14ac:dyDescent="0.3">
      <c r="B18" s="143" t="s">
        <v>82</v>
      </c>
      <c r="C18" s="144"/>
      <c r="D18" s="145"/>
      <c r="E18"/>
      <c r="F18"/>
      <c r="G18"/>
      <c r="H18"/>
      <c r="O18" s="2"/>
    </row>
    <row r="19" spans="2:15" ht="15.6" hidden="1" outlineLevel="1" x14ac:dyDescent="0.3">
      <c r="B19" s="106" t="s">
        <v>83</v>
      </c>
      <c r="C19" s="106" t="str">
        <f t="array" aca="1" ref="C19" ca="1">_xll.VIEW(db_name&amp;":sys_application","!","!")</f>
        <v>dcceew_geus:sys_application</v>
      </c>
      <c r="D19"/>
      <c r="E19"/>
      <c r="F19"/>
      <c r="G19"/>
      <c r="H19"/>
      <c r="O19" s="2"/>
    </row>
    <row r="20" spans="2:15" ht="15.6" hidden="1" outlineLevel="1" x14ac:dyDescent="0.3">
      <c r="B20" s="106" t="s">
        <v>84</v>
      </c>
      <c r="C20" s="106" t="s">
        <v>102</v>
      </c>
      <c r="D20"/>
      <c r="E20"/>
      <c r="F20"/>
      <c r="G20"/>
      <c r="H20"/>
      <c r="O20" s="2"/>
    </row>
    <row r="21" spans="2:15" ht="15.6" hidden="1" outlineLevel="1" x14ac:dyDescent="0.3">
      <c r="B21" s="107" t="s">
        <v>85</v>
      </c>
      <c r="C21" s="108" t="s">
        <v>86</v>
      </c>
      <c r="D21" s="108" t="s">
        <v>87</v>
      </c>
      <c r="E21" s="108" t="s">
        <v>88</v>
      </c>
      <c r="F21" s="108" t="s">
        <v>89</v>
      </c>
      <c r="G21" s="108" t="s">
        <v>90</v>
      </c>
      <c r="H21" s="108" t="s">
        <v>91</v>
      </c>
      <c r="O21" s="2"/>
    </row>
    <row r="22" spans="2:15" ht="15.6" hidden="1" outlineLevel="1" x14ac:dyDescent="0.3">
      <c r="B22" s="106" t="s">
        <v>92</v>
      </c>
      <c r="C22" s="106" t="str" cm="1">
        <f t="array" aca="1" ref="C22" ca="1">_xll.DBR($C$19,$B22,C$21)</f>
        <v>*KEY_ERR</v>
      </c>
      <c r="D22" s="106" t="str" cm="1">
        <f t="array" aca="1" ref="D22" ca="1">_xll.DBR($C$19,$B22,D$21)</f>
        <v>*KEY_ERR</v>
      </c>
      <c r="E22" s="106" t="str" cm="1">
        <f t="array" aca="1" ref="E22" ca="1">_xll.DBR($C$19,$B22,E$21)</f>
        <v>*KEY_ERR</v>
      </c>
      <c r="F22" s="106" t="str" cm="1">
        <f t="array" aca="1" ref="F22" ca="1">_xll.DBR($C$19,$B22,F$21)</f>
        <v>*KEY_ERR</v>
      </c>
      <c r="G22" s="106" t="str" cm="1">
        <f t="array" aca="1" ref="G22" ca="1">_xll.DBR($C$19,$B22,G$21)</f>
        <v>*KEY_ERR</v>
      </c>
      <c r="H22" s="106" t="str" cm="1">
        <f t="array" aca="1" ref="H22" ca="1">_xll.DBR($C$19,$B22,H$21)</f>
        <v>*KEY_ERR</v>
      </c>
      <c r="O22" s="2"/>
    </row>
    <row r="23" spans="2:15" ht="15.6" hidden="1" outlineLevel="1" x14ac:dyDescent="0.3">
      <c r="B23" s="106" t="s">
        <v>93</v>
      </c>
      <c r="C23" s="106" t="str" cm="1">
        <f t="array" aca="1" ref="C23" ca="1">_xll.DBR($C$19,$B23,C$21)</f>
        <v>*KEY_ERR</v>
      </c>
      <c r="D23" s="106" t="str" cm="1">
        <f t="array" aca="1" ref="D23" ca="1">_xll.DBR($C$19,$B23,D$21)</f>
        <v>*KEY_ERR</v>
      </c>
      <c r="E23" s="106" t="str" cm="1">
        <f t="array" aca="1" ref="E23" ca="1">_xll.DBR($C$19,$B23,E$21)</f>
        <v>*KEY_ERR</v>
      </c>
      <c r="F23" s="106" t="str" cm="1">
        <f t="array" aca="1" ref="F23" ca="1">_xll.DBR($C$19,$B23,F$21)</f>
        <v>*KEY_ERR</v>
      </c>
      <c r="G23" s="106" t="str" cm="1">
        <f t="array" aca="1" ref="G23" ca="1">_xll.DBR($C$19,$B23,G$21)</f>
        <v>*KEY_ERR</v>
      </c>
      <c r="H23" s="106" t="str" cm="1">
        <f t="array" aca="1" ref="H23" ca="1">_xll.DBR($C$19,$B23,H$21)</f>
        <v>*KEY_ERR</v>
      </c>
      <c r="O23" s="2"/>
    </row>
    <row r="24" spans="2:15" ht="15.6" hidden="1" outlineLevel="1" x14ac:dyDescent="0.3">
      <c r="B24" s="106" t="s">
        <v>94</v>
      </c>
      <c r="C24" s="106" t="str" cm="1">
        <f t="array" aca="1" ref="C24" ca="1">_xll.DBR($C$19,$B24,C$21)</f>
        <v>*KEY_ERR</v>
      </c>
      <c r="D24" s="106" t="str" cm="1">
        <f t="array" aca="1" ref="D24" ca="1">_xll.DBR($C$19,$B24,D$21)</f>
        <v>*KEY_ERR</v>
      </c>
      <c r="E24" s="106" t="str" cm="1">
        <f t="array" aca="1" ref="E24" ca="1">_xll.DBR($C$19,$B24,E$21)</f>
        <v>*KEY_ERR</v>
      </c>
      <c r="F24" s="106" t="str" cm="1">
        <f t="array" aca="1" ref="F24" ca="1">_xll.DBR($C$19,$B24,F$21)</f>
        <v>*KEY_ERR</v>
      </c>
      <c r="G24" s="106" t="str" cm="1">
        <f t="array" aca="1" ref="G24" ca="1">_xll.DBR($C$19,$B24,G$21)</f>
        <v>*KEY_ERR</v>
      </c>
      <c r="H24" s="106" t="str" cm="1">
        <f t="array" aca="1" ref="H24" ca="1">_xll.DBR($C$19,$B24,H$21)</f>
        <v>*KEY_ERR</v>
      </c>
      <c r="O24" s="2"/>
    </row>
    <row r="25" spans="2:15" ht="15.6" hidden="1" outlineLevel="1" x14ac:dyDescent="0.3">
      <c r="B25" s="106" t="s">
        <v>95</v>
      </c>
      <c r="C25" s="106" t="str" cm="1">
        <f t="array" aca="1" ref="C25" ca="1">_xll.DBR($C$19,$B25,C$21)</f>
        <v>*KEY_ERR</v>
      </c>
      <c r="D25" s="106" t="str" cm="1">
        <f t="array" aca="1" ref="D25" ca="1">_xll.DBR($C$19,$B25,D$21)</f>
        <v>*KEY_ERR</v>
      </c>
      <c r="E25" s="106" t="str" cm="1">
        <f t="array" aca="1" ref="E25" ca="1">_xll.DBR($C$19,$B25,E$21)</f>
        <v>*KEY_ERR</v>
      </c>
      <c r="F25" s="106" t="str" cm="1">
        <f t="array" aca="1" ref="F25" ca="1">_xll.DBR($C$19,$B25,F$21)</f>
        <v>*KEY_ERR</v>
      </c>
      <c r="G25" s="106" t="str" cm="1">
        <f t="array" aca="1" ref="G25" ca="1">_xll.DBR($C$19,$B25,G$21)</f>
        <v>*KEY_ERR</v>
      </c>
      <c r="H25" s="106" t="str" cm="1">
        <f t="array" aca="1" ref="H25" ca="1">_xll.DBR($C$19,$B25,H$21)</f>
        <v>*KEY_ERR</v>
      </c>
      <c r="O25" s="2"/>
    </row>
    <row r="26" spans="2:15" ht="15.6" hidden="1" outlineLevel="1" x14ac:dyDescent="0.3">
      <c r="B26" s="106" t="s">
        <v>96</v>
      </c>
      <c r="C26" s="106" t="str" cm="1">
        <f t="array" aca="1" ref="C26" ca="1">_xll.DBR($C$19,$B26,C$21)</f>
        <v>*KEY_ERR</v>
      </c>
      <c r="D26" s="106" t="str" cm="1">
        <f t="array" aca="1" ref="D26" ca="1">_xll.DBR($C$19,$B26,D$21)</f>
        <v>*KEY_ERR</v>
      </c>
      <c r="E26" s="106" t="str" cm="1">
        <f t="array" aca="1" ref="E26" ca="1">_xll.DBR($C$19,$B26,E$21)</f>
        <v>*KEY_ERR</v>
      </c>
      <c r="F26" s="106" t="str" cm="1">
        <f t="array" aca="1" ref="F26" ca="1">_xll.DBR($C$19,$B26,F$21)</f>
        <v>*KEY_ERR</v>
      </c>
      <c r="G26" s="106" t="str" cm="1">
        <f t="array" aca="1" ref="G26" ca="1">_xll.DBR($C$19,$B26,G$21)</f>
        <v>*KEY_ERR</v>
      </c>
      <c r="H26" s="106" t="str" cm="1">
        <f t="array" aca="1" ref="H26" ca="1">_xll.DBR($C$19,$B26,H$21)</f>
        <v>*KEY_ERR</v>
      </c>
      <c r="O26" s="2"/>
    </row>
    <row r="27" spans="2:15" ht="15.6" hidden="1" outlineLevel="1" x14ac:dyDescent="0.3">
      <c r="B27" s="106" t="s">
        <v>97</v>
      </c>
      <c r="C27" s="106" t="str" cm="1">
        <f t="array" aca="1" ref="C27" ca="1">_xll.DBR($C$19,$B27,C$21)</f>
        <v>*KEY_ERR</v>
      </c>
      <c r="D27" s="106" t="str" cm="1">
        <f t="array" aca="1" ref="D27" ca="1">_xll.DBR($C$19,$B27,D$21)</f>
        <v>*KEY_ERR</v>
      </c>
      <c r="E27" s="106" t="str" cm="1">
        <f t="array" aca="1" ref="E27" ca="1">_xll.DBR($C$19,$B27,E$21)</f>
        <v>*KEY_ERR</v>
      </c>
      <c r="F27" s="106" t="str" cm="1">
        <f t="array" aca="1" ref="F27" ca="1">_xll.DBR($C$19,$B27,F$21)</f>
        <v>*KEY_ERR</v>
      </c>
      <c r="G27" s="106" t="str" cm="1">
        <f t="array" aca="1" ref="G27" ca="1">_xll.DBR($C$19,$B27,G$21)</f>
        <v>*KEY_ERR</v>
      </c>
      <c r="H27" s="106" t="str" cm="1">
        <f t="array" aca="1" ref="H27" ca="1">_xll.DBR($C$19,$B27,H$21)</f>
        <v>*KEY_ERR</v>
      </c>
      <c r="I27"/>
      <c r="O27" s="2"/>
    </row>
    <row r="28" spans="2:15" ht="15.6" hidden="1" outlineLevel="1" x14ac:dyDescent="0.3">
      <c r="B28" s="106" t="s">
        <v>98</v>
      </c>
      <c r="C28" s="106" t="str" cm="1">
        <f t="array" aca="1" ref="C28" ca="1">_xll.DBR($C$19,$B28,C$21)</f>
        <v>*KEY_ERR</v>
      </c>
      <c r="D28" s="106" t="str" cm="1">
        <f t="array" aca="1" ref="D28" ca="1">_xll.DBR($C$19,$B28,D$21)</f>
        <v>*KEY_ERR</v>
      </c>
      <c r="E28" s="106" t="str" cm="1">
        <f t="array" aca="1" ref="E28" ca="1">_xll.DBR($C$19,$B28,E$21)</f>
        <v>*KEY_ERR</v>
      </c>
      <c r="F28" s="106" t="str" cm="1">
        <f t="array" aca="1" ref="F28" ca="1">_xll.DBR($C$19,$B28,F$21)</f>
        <v>*KEY_ERR</v>
      </c>
      <c r="G28" s="106" t="str" cm="1">
        <f t="array" aca="1" ref="G28" ca="1">_xll.DBR($C$19,$B28,G$21)</f>
        <v>*KEY_ERR</v>
      </c>
      <c r="H28" s="106" t="str" cm="1">
        <f t="array" aca="1" ref="H28" ca="1">_xll.DBR($C$19,$B28,H$21)</f>
        <v>*KEY_ERR</v>
      </c>
      <c r="I28"/>
      <c r="O28" s="2"/>
    </row>
    <row r="29" spans="2:15" ht="15.6" hidden="1" outlineLevel="1" x14ac:dyDescent="0.3">
      <c r="B29" s="106" t="s">
        <v>99</v>
      </c>
      <c r="C29" s="106" t="str" cm="1">
        <f t="array" aca="1" ref="C29" ca="1">_xll.DBR($C$19,$B29,C$21)</f>
        <v>*KEY_ERR</v>
      </c>
      <c r="D29" s="106" t="str" cm="1">
        <f t="array" aca="1" ref="D29" ca="1">_xll.DBR($C$19,$B29,D$21)</f>
        <v>*KEY_ERR</v>
      </c>
      <c r="E29" s="106" t="str" cm="1">
        <f t="array" aca="1" ref="E29" ca="1">_xll.DBR($C$19,$B29,E$21)</f>
        <v>*KEY_ERR</v>
      </c>
      <c r="F29" s="106" t="str" cm="1">
        <f t="array" aca="1" ref="F29" ca="1">_xll.DBR($C$19,$B29,F$21)</f>
        <v>*KEY_ERR</v>
      </c>
      <c r="G29" s="106" t="str" cm="1">
        <f t="array" aca="1" ref="G29" ca="1">_xll.DBR($C$19,$B29,G$21)</f>
        <v>*KEY_ERR</v>
      </c>
      <c r="H29" s="106" t="str" cm="1">
        <f t="array" aca="1" ref="H29" ca="1">_xll.DBR($C$19,$B29,H$21)</f>
        <v>*KEY_ERR</v>
      </c>
      <c r="I29"/>
      <c r="O29" s="2"/>
    </row>
    <row r="30" spans="2:15" ht="15.6" hidden="1" outlineLevel="1" x14ac:dyDescent="0.3">
      <c r="B30" s="106" t="s">
        <v>100</v>
      </c>
      <c r="C30" s="106" t="str" cm="1">
        <f t="array" aca="1" ref="C30" ca="1">_xll.DBR($C$19,$B30,C$21)</f>
        <v>*KEY_ERR</v>
      </c>
      <c r="D30" s="106" t="str" cm="1">
        <f t="array" aca="1" ref="D30" ca="1">_xll.DBR($C$19,$B30,D$21)</f>
        <v>*KEY_ERR</v>
      </c>
      <c r="E30" s="106" t="str" cm="1">
        <f t="array" aca="1" ref="E30" ca="1">_xll.DBR($C$19,$B30,E$21)</f>
        <v>*KEY_ERR</v>
      </c>
      <c r="F30" s="106" t="str" cm="1">
        <f t="array" aca="1" ref="F30" ca="1">_xll.DBR($C$19,$B30,F$21)</f>
        <v>*KEY_ERR</v>
      </c>
      <c r="G30" s="106" t="str" cm="1">
        <f t="array" aca="1" ref="G30" ca="1">_xll.DBR($C$19,$B30,G$21)</f>
        <v>*KEY_ERR</v>
      </c>
      <c r="H30" s="106" t="str" cm="1">
        <f t="array" aca="1" ref="H30" ca="1">_xll.DBR($C$19,$B30,H$21)</f>
        <v>*KEY_ERR</v>
      </c>
      <c r="I30"/>
      <c r="O30" s="2"/>
    </row>
    <row r="31" spans="2:15" ht="15.6" hidden="1" outlineLevel="1" x14ac:dyDescent="0.3">
      <c r="B31" s="106" t="s">
        <v>101</v>
      </c>
      <c r="C31" s="106" t="str" cm="1">
        <f t="array" aca="1" ref="C31" ca="1">_xll.DBR($C$19,$B31,C$21)</f>
        <v>*KEY_ERR</v>
      </c>
      <c r="D31" s="106" t="str" cm="1">
        <f t="array" aca="1" ref="D31" ca="1">_xll.DBR($C$19,$B31,D$21)</f>
        <v>*KEY_ERR</v>
      </c>
      <c r="E31" s="106" t="str" cm="1">
        <f t="array" aca="1" ref="E31" ca="1">_xll.DBR($C$19,$B31,E$21)</f>
        <v>*KEY_ERR</v>
      </c>
      <c r="F31" s="106" t="str" cm="1">
        <f t="array" aca="1" ref="F31" ca="1">_xll.DBR($C$19,$B31,F$21)</f>
        <v>*KEY_ERR</v>
      </c>
      <c r="G31" s="106" t="str" cm="1">
        <f t="array" aca="1" ref="G31" ca="1">_xll.DBR($C$19,$B31,G$21)</f>
        <v>*KEY_ERR</v>
      </c>
      <c r="H31" s="106" t="str" cm="1">
        <f t="array" aca="1" ref="H31" ca="1">_xll.DBR($C$19,$B31,H$21)</f>
        <v>*KEY_ERR</v>
      </c>
      <c r="I31"/>
      <c r="O31" s="2"/>
    </row>
    <row r="32" spans="2:15" ht="15.6" hidden="1" outlineLevel="1" x14ac:dyDescent="0.3">
      <c r="B32" s="106" t="s">
        <v>102</v>
      </c>
      <c r="C32" s="106" t="str" cm="1">
        <f t="array" aca="1" ref="C32" ca="1">_xll.DBR($C$19,$B32,C$21)</f>
        <v>*KEY_ERR</v>
      </c>
      <c r="D32" s="106" t="str" cm="1">
        <f t="array" aca="1" ref="D32" ca="1">_xll.DBR($C$19,$B32,D$21)</f>
        <v>*KEY_ERR</v>
      </c>
      <c r="E32" s="106" t="str" cm="1">
        <f t="array" aca="1" ref="E32" ca="1">_xll.DBR($C$19,$B32,E$21)</f>
        <v>*KEY_ERR</v>
      </c>
      <c r="F32" s="106" t="str" cm="1">
        <f t="array" aca="1" ref="F32" ca="1">_xll.DBR($C$19,$B32,F$21)</f>
        <v>*KEY_ERR</v>
      </c>
      <c r="G32" s="106" t="str" cm="1">
        <f t="array" aca="1" ref="G32" ca="1">_xll.DBR($C$19,$B32,G$21)</f>
        <v>*KEY_ERR</v>
      </c>
      <c r="H32" s="106" t="str" cm="1">
        <f t="array" aca="1" ref="H32" ca="1">_xll.DBR($C$19,$B32,H$21)</f>
        <v>*KEY_ERR</v>
      </c>
      <c r="I32"/>
      <c r="O32" s="2"/>
    </row>
    <row r="33" spans="2:15" ht="15.6" hidden="1" outlineLevel="1" x14ac:dyDescent="0.3">
      <c r="B33" s="106" t="s">
        <v>103</v>
      </c>
      <c r="C33" s="106" t="str" cm="1">
        <f t="array" aca="1" ref="C33" ca="1">_xll.DBR($C$19,$B33,C$21)</f>
        <v>*KEY_ERR</v>
      </c>
      <c r="D33" s="106" t="str" cm="1">
        <f t="array" aca="1" ref="D33" ca="1">_xll.DBR($C$19,$B33,D$21)</f>
        <v>*KEY_ERR</v>
      </c>
      <c r="E33" s="106" t="str" cm="1">
        <f t="array" aca="1" ref="E33" ca="1">_xll.DBR($C$19,$B33,E$21)</f>
        <v>*KEY_ERR</v>
      </c>
      <c r="F33" s="106" t="str" cm="1">
        <f t="array" aca="1" ref="F33" ca="1">_xll.DBR($C$19,$B33,F$21)</f>
        <v>*KEY_ERR</v>
      </c>
      <c r="G33" s="106" t="str" cm="1">
        <f t="array" aca="1" ref="G33" ca="1">_xll.DBR($C$19,$B33,G$21)</f>
        <v>*KEY_ERR</v>
      </c>
      <c r="H33" s="106" t="str" cm="1">
        <f t="array" aca="1" ref="H33" ca="1">_xll.DBR($C$19,$B33,H$21)</f>
        <v>*KEY_ERR</v>
      </c>
      <c r="I33"/>
      <c r="O33" s="2"/>
    </row>
    <row r="34" spans="2:15" ht="15.6" hidden="1" outlineLevel="1" x14ac:dyDescent="0.3">
      <c r="B34" s="106" t="s">
        <v>144</v>
      </c>
      <c r="C34" s="106" t="str" cm="1">
        <f t="array" aca="1" ref="C34" ca="1">_xll.DBR($C$19,$B34,C$21)</f>
        <v>*KEY_ERR</v>
      </c>
      <c r="D34" s="106" t="str" cm="1">
        <f t="array" aca="1" ref="D34" ca="1">_xll.DBR($C$19,$B34,D$21)</f>
        <v>*KEY_ERR</v>
      </c>
      <c r="E34" s="106" t="str" cm="1">
        <f t="array" aca="1" ref="E34" ca="1">_xll.DBR($C$19,$B34,E$21)</f>
        <v>*KEY_ERR</v>
      </c>
      <c r="F34" s="106" t="str" cm="1">
        <f t="array" aca="1" ref="F34" ca="1">_xll.DBR($C$19,$B34,F$21)</f>
        <v>*KEY_ERR</v>
      </c>
      <c r="G34" s="106" t="str" cm="1">
        <f t="array" aca="1" ref="G34" ca="1">_xll.DBR($C$19,$B34,G$21)</f>
        <v>*KEY_ERR</v>
      </c>
      <c r="H34" s="106" t="str" cm="1">
        <f t="array" aca="1" ref="H34" ca="1">_xll.DBR($C$19,$B34,H$21)</f>
        <v>*KEY_ERR</v>
      </c>
      <c r="I34"/>
      <c r="O34" s="2"/>
    </row>
    <row r="35" spans="2:15" ht="15.6" hidden="1" outlineLevel="1" x14ac:dyDescent="0.3">
      <c r="B35" s="106" t="s">
        <v>145</v>
      </c>
      <c r="C35" s="106" t="str" cm="1">
        <f t="array" aca="1" ref="C35" ca="1">_xll.DBR($C$19,$B35,C$21)</f>
        <v>*KEY_ERR</v>
      </c>
      <c r="D35" s="106" t="str" cm="1">
        <f t="array" aca="1" ref="D35" ca="1">_xll.DBR($C$19,$B35,D$21)</f>
        <v>*KEY_ERR</v>
      </c>
      <c r="E35" s="106" t="str" cm="1">
        <f t="array" aca="1" ref="E35" ca="1">_xll.DBR($C$19,$B35,E$21)</f>
        <v>*KEY_ERR</v>
      </c>
      <c r="F35" s="106" t="str" cm="1">
        <f t="array" aca="1" ref="F35" ca="1">_xll.DBR($C$19,$B35,F$21)</f>
        <v>*KEY_ERR</v>
      </c>
      <c r="G35" s="106" t="str" cm="1">
        <f t="array" aca="1" ref="G35" ca="1">_xll.DBR($C$19,$B35,G$21)</f>
        <v>*KEY_ERR</v>
      </c>
      <c r="H35" s="106" t="str" cm="1">
        <f t="array" aca="1" ref="H35" ca="1">_xll.DBR($C$19,$B35,H$21)</f>
        <v>*KEY_ERR</v>
      </c>
      <c r="I35"/>
      <c r="O35" s="2"/>
    </row>
    <row r="36" spans="2:15" ht="15.6" hidden="1" outlineLevel="1" x14ac:dyDescent="0.3">
      <c r="B36" s="124" t="s">
        <v>149</v>
      </c>
      <c r="C36" s="106" t="str" cm="1">
        <f t="array" aca="1" ref="C36" ca="1">_xll.DBR($C$19,$B36,C$21)</f>
        <v>*KEY_ERR</v>
      </c>
      <c r="D36" s="106" t="str" cm="1">
        <f t="array" aca="1" ref="D36" ca="1">_xll.DBR($C$19,$B36,D$21)</f>
        <v>*KEY_ERR</v>
      </c>
      <c r="E36" s="106" t="str" cm="1">
        <f t="array" aca="1" ref="E36" ca="1">_xll.DBR($C$19,$B36,E$21)</f>
        <v>*KEY_ERR</v>
      </c>
      <c r="F36" s="106" t="str" cm="1">
        <f t="array" aca="1" ref="F36" ca="1">_xll.DBR($C$19,$B36,F$21)</f>
        <v>*KEY_ERR</v>
      </c>
      <c r="G36" s="106" t="str" cm="1">
        <f t="array" aca="1" ref="G36" ca="1">_xll.DBR($C$19,$B36,G$21)</f>
        <v>*KEY_ERR</v>
      </c>
      <c r="H36" s="106" t="str" cm="1">
        <f t="array" aca="1" ref="H36" ca="1">_xll.DBR($C$19,$B36,H$21)</f>
        <v>*KEY_ERR</v>
      </c>
      <c r="O36" s="2"/>
    </row>
    <row r="37" spans="2:15" ht="15.6" hidden="1" outlineLevel="1" x14ac:dyDescent="0.3">
      <c r="B37" s="124"/>
      <c r="O37" s="2"/>
    </row>
    <row r="38" spans="2:15" ht="15.6" hidden="1" outlineLevel="1" x14ac:dyDescent="0.3">
      <c r="B38" s="143" t="s">
        <v>108</v>
      </c>
      <c r="C38" s="144"/>
      <c r="D38" s="146"/>
      <c r="O38" s="2"/>
    </row>
    <row r="39" spans="2:15" ht="15.6" hidden="1" outlineLevel="1" x14ac:dyDescent="0.3">
      <c r="B39" s="102" t="s">
        <v>108</v>
      </c>
      <c r="C39" s="106" t="str" cm="1">
        <f t="array" aca="1" ref="C39" ca="1">_xll.VIEW(db_name&amp;":AE adjustments",psHLYear, psScenario,"!",$C$41,$C$42,$C$43,"!",$C$45,$C$46,$C$47,"!",$C$48,"!","!","!",$C$50,"!")</f>
        <v>dcceew_geus:AE adjustments</v>
      </c>
      <c r="D39" s="117" t="s">
        <v>131</v>
      </c>
      <c r="E39" s="117" t="s">
        <v>132</v>
      </c>
      <c r="F39" s="117" t="s">
        <v>133</v>
      </c>
      <c r="O39" s="2"/>
    </row>
    <row r="40" spans="2:15" ht="15.6" hidden="1" outlineLevel="1" x14ac:dyDescent="0.3">
      <c r="B40" s="102" t="s">
        <v>113</v>
      </c>
      <c r="C40" s="106" t="str">
        <f t="array" aca="1" ref="C40" ca="1">_xll.SUBNM(db_name&amp;":status","","Total approved")</f>
        <v/>
      </c>
      <c r="D40" s="106" t="str">
        <f t="array" aca="1" ref="D40" ca="1">_xll.SUBNM(db_name&amp;":status","","data")</f>
        <v/>
      </c>
      <c r="E40" s="106" t="str">
        <f t="array" aca="1" ref="E40" ca="1">_xll.SUBNM(db_name&amp;":status","","data")</f>
        <v/>
      </c>
      <c r="F40" s="106" t="str">
        <f t="array" aca="1" ref="F40" ca="1">_xll.SUBNM(db_name&amp;":status","","data")</f>
        <v/>
      </c>
      <c r="O40" s="2"/>
    </row>
    <row r="41" spans="2:15" ht="15.6" hidden="1" outlineLevel="1" x14ac:dyDescent="0.3">
      <c r="B41" s="102" t="s">
        <v>114</v>
      </c>
      <c r="C41" s="106" t="str">
        <f t="array" aca="1" ref="C41" ca="1">_xll.SUBNM(db_name&amp;":outcome","","Total outcomes")</f>
        <v/>
      </c>
      <c r="O41" s="2"/>
    </row>
    <row r="42" spans="2:15" ht="15.6" hidden="1" outlineLevel="1" x14ac:dyDescent="0.3">
      <c r="B42" s="102" t="s">
        <v>115</v>
      </c>
      <c r="C42" s="106" t="str">
        <f t="array" aca="1" ref="C42" ca="1">_xll.SUBNM(db_name&amp;":related entity","","Total related entity")</f>
        <v/>
      </c>
      <c r="O42" s="2"/>
    </row>
    <row r="43" spans="2:15" ht="15.6" hidden="1" outlineLevel="1" x14ac:dyDescent="0.3">
      <c r="B43" s="102" t="s">
        <v>116</v>
      </c>
      <c r="C43" s="106" t="str">
        <f t="array" aca="1" ref="C43" ca="1">_xll.SUBNM(db_name&amp;":function","","Total functions")</f>
        <v/>
      </c>
      <c r="O43" s="2"/>
    </row>
    <row r="44" spans="2:15" ht="15.6" hidden="1" outlineLevel="1" x14ac:dyDescent="0.3">
      <c r="B44" s="102" t="s">
        <v>117</v>
      </c>
      <c r="C44" s="106" t="str">
        <f t="array" aca="1" ref="C44" ca="1">_xll.SUBNM(db_name&amp;":reason","","Total reason","CBMS code and description")</f>
        <v/>
      </c>
      <c r="D44" s="106" t="str">
        <f t="array" aca="1" ref="D44" ca="1">_xll.SUBNM(db_name&amp;":reason","","1004","CBMS code and description")</f>
        <v/>
      </c>
      <c r="E44" s="106" t="str">
        <f t="array" aca="1" ref="E44" ca="1">_xll.SUBNM(db_name&amp;":reason","","1015","CBMS code and description")</f>
        <v/>
      </c>
      <c r="F44" s="106" t="str">
        <f t="array" aca="1" ref="F44" ca="1">_xll.SUBNM(db_name&amp;":reason","","1033","CBMS code and description")</f>
        <v/>
      </c>
      <c r="O44" s="2"/>
    </row>
    <row r="45" spans="2:15" ht="15.6" hidden="1" outlineLevel="1" x14ac:dyDescent="0.3">
      <c r="B45" s="102" t="s">
        <v>118</v>
      </c>
      <c r="C45" s="106" t="str">
        <f t="array" aca="1" ref="C45" ca="1">_xll.SUBNM(db_name&amp;":spp","","Total SPP")</f>
        <v/>
      </c>
      <c r="O45" s="2"/>
    </row>
    <row r="46" spans="2:15" ht="15.6" hidden="1" outlineLevel="1" x14ac:dyDescent="0.3">
      <c r="B46" s="110" t="s">
        <v>119</v>
      </c>
      <c r="C46" s="106" t="str">
        <f t="array" aca="1" ref="C46" ca="1">_xll.SUBNM(db_name&amp;":measure code","","Total Measures")</f>
        <v/>
      </c>
      <c r="O46" s="2"/>
    </row>
    <row r="47" spans="2:15" ht="15.6" hidden="1" outlineLevel="1" x14ac:dyDescent="0.3">
      <c r="B47" s="102" t="s">
        <v>120</v>
      </c>
      <c r="C47" s="106" t="str">
        <f t="array" aca="1" ref="C47" ca="1">_xll.SUBNM(db_name&amp;":appropriation type","","Total approp types")</f>
        <v/>
      </c>
      <c r="O47" s="2"/>
    </row>
    <row r="48" spans="2:15" ht="15.6" hidden="1" outlineLevel="1" x14ac:dyDescent="0.3">
      <c r="B48" s="102" t="s">
        <v>121</v>
      </c>
      <c r="C48" s="106" t="str">
        <f t="array" aca="1" ref="C48" ca="1">_xll.SUBNM(db_name&amp;":appropriation item","","Total approp item")</f>
        <v/>
      </c>
      <c r="D48" s="106"/>
      <c r="E48" s="106"/>
      <c r="F48" s="106"/>
      <c r="O48" s="2"/>
    </row>
    <row r="49" spans="2:15" ht="15.6" hidden="1" outlineLevel="1" x14ac:dyDescent="0.3">
      <c r="B49" s="102" t="s">
        <v>122</v>
      </c>
      <c r="C49" s="106" t="str">
        <f t="array" aca="1" ref="C49" ca="1">_xll.SUBNM(db_name&amp;":id","","Total IDs")</f>
        <v/>
      </c>
      <c r="D49" s="106" t="str">
        <f t="array" aca="1" ref="D49" ca="1">_xll.SUBNM(db_name&amp;":id","","New Adjustments")</f>
        <v/>
      </c>
      <c r="E49" s="106" t="str">
        <f t="array" aca="1" ref="E49" ca="1">_xll.SUBNM(db_name&amp;":id","","New Adjustments")</f>
        <v/>
      </c>
      <c r="F49" s="106" t="str">
        <f t="array" aca="1" ref="F49" ca="1">_xll.SUBNM(db_name&amp;":id","","New Adjustments")</f>
        <v/>
      </c>
      <c r="O49" s="2"/>
    </row>
    <row r="50" spans="2:15" ht="15.6" hidden="1" outlineLevel="1" x14ac:dyDescent="0.3">
      <c r="B50" s="102" t="s">
        <v>123</v>
      </c>
      <c r="C50" s="106" t="str">
        <f t="array" aca="1" ref="C50" ca="1">_xll.SUBNM(db_name&amp;":jurisdiction","","Total jurisdictions")</f>
        <v/>
      </c>
      <c r="O50" s="2"/>
    </row>
    <row r="51" spans="2:15" ht="15.6" hidden="1" outlineLevel="1" x14ac:dyDescent="0.3">
      <c r="O51" s="2"/>
    </row>
    <row r="52" spans="2:15" ht="15.6" hidden="1" outlineLevel="1" x14ac:dyDescent="0.3">
      <c r="B52" s="143" t="s">
        <v>107</v>
      </c>
      <c r="C52" s="144"/>
      <c r="D52" s="145"/>
      <c r="O52" s="2"/>
    </row>
    <row r="53" spans="2:15" ht="15.6" hidden="1" outlineLevel="1" x14ac:dyDescent="0.3">
      <c r="B53" s="102" t="s">
        <v>107</v>
      </c>
      <c r="C53" s="106" t="str" cm="1">
        <f t="array" aca="1" ref="C53" ca="1">_xll.VIEW(db_name&amp;":index",psHLYear, psScenario,"!","!","!")</f>
        <v>dcceew_geus:index</v>
      </c>
      <c r="O53" s="2"/>
    </row>
    <row r="54" spans="2:15" ht="15.6" hidden="1" outlineLevel="1" x14ac:dyDescent="0.3">
      <c r="B54" s="102" t="s">
        <v>107</v>
      </c>
      <c r="C54" s="106" t="str">
        <f t="array" aca="1" ref="C54" ca="1">_xll.SUBNM(db_name&amp;":index","","efficiency dividend")</f>
        <v/>
      </c>
      <c r="D54" s="106" t="str" cm="1">
        <f t="array" aca="1" ref="D54" ca="1">_xll.DBR($C$63,psHLYear,psScenario,psProg,"efficiency dividend")</f>
        <v>*KEY_ERR</v>
      </c>
      <c r="O54" s="2"/>
    </row>
    <row r="55" spans="2:15" ht="15.6" hidden="1" outlineLevel="1" x14ac:dyDescent="0.3">
      <c r="B55" s="102" t="s">
        <v>128</v>
      </c>
      <c r="C55" s="106" t="str" cm="1">
        <f t="array" aca="1" ref="C55" ca="1">_xll.DBR($C$63,psHLYear,psScenario,psProg,"parameter")</f>
        <v>*KEY_ERR</v>
      </c>
      <c r="O55" s="2"/>
    </row>
    <row r="56" spans="2:15" ht="15.6" hidden="1" outlineLevel="1" x14ac:dyDescent="0.3">
      <c r="O56" s="2"/>
    </row>
    <row r="57" spans="2:15" ht="15.6" hidden="1" outlineLevel="1" x14ac:dyDescent="0.3">
      <c r="B57" s="143" t="s">
        <v>135</v>
      </c>
      <c r="C57" s="144"/>
      <c r="D57" s="145"/>
      <c r="O57" s="2"/>
    </row>
    <row r="58" spans="2:15" ht="15.6" hidden="1" outlineLevel="1" x14ac:dyDescent="0.3">
      <c r="B58" s="102" t="s">
        <v>136</v>
      </c>
      <c r="C58" s="106" t="str" cm="1">
        <f t="array" aca="1" ref="C58" ca="1">_xll.VIEW(db_name&amp;":AE parameters and FE3 calculation",psProg,$C$45,"!","!",$C$42,$C$50,$C$48,$C$46,"!","!")</f>
        <v>dcceew_geus:AE parameters and FE3 calculation</v>
      </c>
      <c r="D58" s="106"/>
      <c r="O58" s="2"/>
    </row>
    <row r="59" spans="2:15" ht="15.6" hidden="1" outlineLevel="1" x14ac:dyDescent="0.3">
      <c r="B59" s="117" t="s">
        <v>141</v>
      </c>
      <c r="C59" s="117" t="s">
        <v>142</v>
      </c>
      <c r="O59" s="2"/>
    </row>
    <row r="60" spans="2:15" ht="15.6" hidden="1" outlineLevel="1" x14ac:dyDescent="0.3">
      <c r="O60" s="2"/>
    </row>
    <row r="61" spans="2:15" ht="15.6" hidden="1" outlineLevel="1" x14ac:dyDescent="0.3">
      <c r="B61" s="143" t="s">
        <v>104</v>
      </c>
      <c r="C61" s="144"/>
      <c r="D61" s="145"/>
      <c r="O61" s="2"/>
    </row>
    <row r="62" spans="2:15" ht="15.6" hidden="1" outlineLevel="1" x14ac:dyDescent="0.3">
      <c r="B62" s="102" t="s">
        <v>105</v>
      </c>
      <c r="C62" s="106" t="str" cm="1">
        <f t="array" aca="1" ref="C62" ca="1">_xll.VIEW(db_name&amp;":}ElementAttributes_measure code","!","!")</f>
        <v>dcceew_geus:}ElementAttributes_measure code</v>
      </c>
      <c r="D62" s="106"/>
      <c r="O62" s="2"/>
    </row>
    <row r="63" spans="2:15" ht="15.6" hidden="1" outlineLevel="1" x14ac:dyDescent="0.3">
      <c r="B63" s="102" t="s">
        <v>106</v>
      </c>
      <c r="C63" s="106" t="str">
        <f t="array" aca="1" ref="C63" ca="1">_xll.VIEW(db_name&amp;":programme details",psHLYear, psScenario,"!","!")</f>
        <v>dcceew_geus:programme details</v>
      </c>
      <c r="D63"/>
      <c r="O63" s="2"/>
    </row>
    <row r="64" spans="2:15" ht="15.6" hidden="1" outlineLevel="1" x14ac:dyDescent="0.3">
      <c r="B64" s="1" t="s">
        <v>138</v>
      </c>
      <c r="D64"/>
      <c r="O64" s="2"/>
    </row>
    <row r="65" spans="2:15" ht="15.6" hidden="1" outlineLevel="1" x14ac:dyDescent="0.3">
      <c r="B65" s="117" t="s">
        <v>166</v>
      </c>
      <c r="C65" s="117" t="str" cm="1">
        <f t="array" aca="1" ref="C65" ca="1">_xll.SUBNM(db_name&amp;":programme measure","","programme")</f>
        <v/>
      </c>
      <c r="D65"/>
      <c r="O65" s="2"/>
    </row>
    <row r="66" spans="2:15" ht="15.6" hidden="1" outlineLevel="1" x14ac:dyDescent="0.3">
      <c r="B66" s="117" t="s">
        <v>164</v>
      </c>
      <c r="C66" s="117" t="str" cm="1">
        <f t="array" aca="1" ref="C66" ca="1">_xll.DBR($C$63,psHLYear,psScenario,psProg,$C$65)</f>
        <v>*KEY_ERR</v>
      </c>
      <c r="D66"/>
      <c r="O66" s="2"/>
    </row>
    <row r="67" spans="2:15" ht="15.6" hidden="1" outlineLevel="1" x14ac:dyDescent="0.3">
      <c r="B67" s="117" t="s">
        <v>165</v>
      </c>
      <c r="C67" s="117" t="str" cm="1">
        <f t="array" aca="1" ref="C67" ca="1">_xll.DIMNM(db_name&amp;":programme",_xll.DIMIX(db_name&amp;":programme",psProg))</f>
        <v/>
      </c>
      <c r="D67"/>
      <c r="O67" s="2"/>
    </row>
    <row r="68" spans="2:15" ht="15.6" hidden="1" outlineLevel="1" x14ac:dyDescent="0.3">
      <c r="O68" s="2"/>
    </row>
    <row r="69" spans="2:15" ht="39.9" customHeight="1" collapsed="1" x14ac:dyDescent="0.25">
      <c r="I69" s="121"/>
      <c r="J69" s="121"/>
      <c r="K69" s="121"/>
      <c r="L69" s="121"/>
      <c r="M69" s="121"/>
      <c r="N69" s="121"/>
      <c r="O69" s="122" t="s">
        <v>143</v>
      </c>
    </row>
    <row r="70" spans="2:15" ht="4.5" customHeight="1" x14ac:dyDescent="0.3">
      <c r="O70" s="2"/>
    </row>
    <row r="71" spans="2:15" ht="24" customHeight="1" x14ac:dyDescent="0.3">
      <c r="J71"/>
      <c r="M71"/>
      <c r="O71" s="2"/>
    </row>
    <row r="72" spans="2:15" ht="1.5" customHeight="1" x14ac:dyDescent="0.25">
      <c r="I72" s="122"/>
      <c r="J72" s="122"/>
      <c r="K72" s="122"/>
      <c r="L72" s="122"/>
      <c r="M72" s="122"/>
      <c r="N72" s="122"/>
      <c r="O72" s="122"/>
    </row>
    <row r="73" spans="2:15" ht="4.5" customHeight="1" x14ac:dyDescent="0.3">
      <c r="O73" s="2"/>
    </row>
    <row r="74" spans="2:15" ht="13.8" x14ac:dyDescent="0.25">
      <c r="J74" s="130" t="s">
        <v>140</v>
      </c>
      <c r="K74" s="130"/>
      <c r="L74" s="130"/>
      <c r="M74" s="130"/>
      <c r="N74" s="130"/>
      <c r="O74" s="130"/>
    </row>
    <row r="75" spans="2:15" ht="15.75" customHeight="1" x14ac:dyDescent="0.25">
      <c r="J75" s="130" t="s">
        <v>172</v>
      </c>
      <c r="K75" s="130"/>
      <c r="L75" s="130"/>
      <c r="M75" s="130"/>
      <c r="N75" s="130"/>
      <c r="O75" s="130"/>
    </row>
    <row r="76" spans="2:15" ht="13.8" x14ac:dyDescent="0.25">
      <c r="J76" s="130" t="s">
        <v>147</v>
      </c>
      <c r="K76" s="130"/>
      <c r="L76" s="130"/>
      <c r="M76" s="130"/>
      <c r="N76" s="130"/>
      <c r="O76" s="130"/>
    </row>
    <row r="77" spans="2:15" ht="13.8" x14ac:dyDescent="0.25">
      <c r="J77" s="130" t="s">
        <v>148</v>
      </c>
      <c r="K77" s="130"/>
      <c r="L77" s="130"/>
      <c r="M77" s="130"/>
      <c r="N77" s="130"/>
      <c r="O77" s="130"/>
    </row>
    <row r="78" spans="2:15" ht="13.8" x14ac:dyDescent="0.25">
      <c r="J78" s="130" t="s">
        <v>146</v>
      </c>
      <c r="K78" s="130"/>
      <c r="L78" s="130"/>
      <c r="M78" s="130"/>
      <c r="N78" s="130"/>
      <c r="O78" s="130"/>
    </row>
    <row r="79" spans="2:15" ht="4.5" customHeight="1" x14ac:dyDescent="0.3">
      <c r="J79" s="123"/>
      <c r="O79" s="2"/>
    </row>
    <row r="80" spans="2:15" ht="15.75" customHeight="1" x14ac:dyDescent="0.3">
      <c r="J80"/>
      <c r="K80" s="131" t="s">
        <v>109</v>
      </c>
      <c r="L80" s="132"/>
      <c r="M80" s="132"/>
      <c r="N80" s="132"/>
      <c r="O80" s="132"/>
    </row>
    <row r="81" spans="4:17" ht="15.75" customHeight="1" x14ac:dyDescent="0.3">
      <c r="J81" s="109" t="s">
        <v>110</v>
      </c>
      <c r="K81" s="133" t="str">
        <f t="array" aca="1" ref="K81" ca="1">_xll.SUBNM(db_name&amp;":programme","sysRep_RecoWBAdj",1,"code and description")</f>
        <v/>
      </c>
      <c r="L81" s="134"/>
      <c r="M81" s="134"/>
      <c r="N81" s="134"/>
      <c r="O81" s="135"/>
    </row>
    <row r="82" spans="4:17" ht="15.75" customHeight="1" x14ac:dyDescent="0.3">
      <c r="J82" s="109" t="s">
        <v>167</v>
      </c>
      <c r="K82" s="129" t="str">
        <f ca="1">$C$67</f>
        <v/>
      </c>
      <c r="L82" s="129"/>
      <c r="M82" s="129"/>
      <c r="N82" s="129"/>
      <c r="O82" s="129"/>
    </row>
    <row r="83" spans="4:17" ht="15.75" customHeight="1" x14ac:dyDescent="0.3">
      <c r="J83" s="109" t="s">
        <v>168</v>
      </c>
      <c r="K83" s="129" t="str">
        <f ca="1">$C$66</f>
        <v>*KEY_ERR</v>
      </c>
      <c r="L83" s="129"/>
      <c r="M83" s="129"/>
      <c r="N83" s="129"/>
      <c r="O83" s="129"/>
    </row>
    <row r="84" spans="4:17" ht="15.75" customHeight="1" x14ac:dyDescent="0.3">
      <c r="J84" s="109" t="s">
        <v>111</v>
      </c>
      <c r="K84" s="133" t="str">
        <f t="array" aca="1" ref="K84" ca="1">_xll.SUBNM(db_name&amp;":account","sys_FE3IndexationAcc","9170000 - Departmental or administered capital budget - Bill 1","code and description")</f>
        <v/>
      </c>
      <c r="L84" s="134"/>
      <c r="M84" s="134"/>
      <c r="N84" s="134"/>
      <c r="O84" s="135"/>
    </row>
    <row r="85" spans="4:17" ht="15.75" customHeight="1" x14ac:dyDescent="0.3">
      <c r="J85" s="109" t="s">
        <v>112</v>
      </c>
      <c r="K85" s="133" t="str">
        <f t="array" aca="1" ref="K85" ca="1">_xll.SUBNM(db_name&amp;":movement account","","Total movement","code and description")</f>
        <v/>
      </c>
      <c r="L85" s="134"/>
      <c r="M85" s="134"/>
      <c r="N85" s="134"/>
      <c r="O85" s="135"/>
    </row>
    <row r="86" spans="4:17" ht="15.75" customHeight="1" x14ac:dyDescent="0.3">
      <c r="J86" s="109" t="s">
        <v>169</v>
      </c>
      <c r="K86" s="125" t="str">
        <f ca="1">$C$55</f>
        <v>*KEY_ERR</v>
      </c>
      <c r="L86" s="126"/>
      <c r="M86" s="127"/>
      <c r="N86" s="109" t="s">
        <v>170</v>
      </c>
      <c r="O86" s="125" t="str">
        <f ca="1">$D$54</f>
        <v>*KEY_ERR</v>
      </c>
    </row>
    <row r="87" spans="4:17" ht="14.4" x14ac:dyDescent="0.3">
      <c r="J87" s="109" t="s">
        <v>134</v>
      </c>
      <c r="K87" s="133" t="str">
        <f t="array" aca="1" ref="K87" ca="1">_xll.SUBNM(db_name&amp;":sys_YesNo","","Yes")</f>
        <v/>
      </c>
      <c r="L87" s="134"/>
      <c r="M87" s="134"/>
      <c r="N87" s="134"/>
      <c r="O87" s="135"/>
    </row>
    <row r="89" spans="4:17" s="3" customFormat="1" ht="17.399999999999999" x14ac:dyDescent="0.3">
      <c r="J89" s="136" t="s">
        <v>47</v>
      </c>
      <c r="K89" s="136"/>
    </row>
    <row r="90" spans="4:17" s="4" customFormat="1" ht="15.6" x14ac:dyDescent="0.3">
      <c r="J90" s="84" t="s">
        <v>44</v>
      </c>
      <c r="K90" s="85"/>
      <c r="P90" s="3"/>
      <c r="Q90" s="3"/>
    </row>
    <row r="91" spans="4:17" s="4" customFormat="1" ht="15.6" x14ac:dyDescent="0.3">
      <c r="J91" s="84" t="s">
        <v>66</v>
      </c>
      <c r="K91" s="85"/>
      <c r="P91" s="3"/>
      <c r="Q91" s="3"/>
    </row>
    <row r="92" spans="4:17" s="4" customFormat="1" ht="15.6" x14ac:dyDescent="0.3">
      <c r="D92" s="119"/>
      <c r="J92" s="5"/>
      <c r="P92" s="3"/>
      <c r="Q92" s="3"/>
    </row>
    <row r="93" spans="4:17" s="9" customFormat="1" ht="15.6" x14ac:dyDescent="0.3">
      <c r="J93" s="6" t="s">
        <v>29</v>
      </c>
      <c r="K93" s="7"/>
      <c r="L93" s="8"/>
      <c r="M93" s="3"/>
      <c r="N93" s="3"/>
      <c r="O93" s="3"/>
      <c r="P93" s="3"/>
      <c r="Q93" s="3"/>
    </row>
    <row r="94" spans="4:17" s="9" customFormat="1" ht="15.6" x14ac:dyDescent="0.3">
      <c r="J94" s="10" t="s">
        <v>48</v>
      </c>
      <c r="K94" s="11"/>
      <c r="L94" s="8"/>
      <c r="M94" s="3"/>
      <c r="N94" s="3"/>
      <c r="O94" s="3"/>
      <c r="P94" s="3"/>
      <c r="Q94" s="3"/>
    </row>
    <row r="95" spans="4:17" s="9" customFormat="1" ht="13.8" x14ac:dyDescent="0.25">
      <c r="D95" s="9" t="s">
        <v>137</v>
      </c>
      <c r="E95" s="9" t="s">
        <v>137</v>
      </c>
      <c r="F95" s="9" t="s">
        <v>137</v>
      </c>
      <c r="G95" s="9" t="s">
        <v>137</v>
      </c>
      <c r="H95" s="9" t="s">
        <v>137</v>
      </c>
      <c r="J95" s="12" t="s">
        <v>33</v>
      </c>
      <c r="K95" s="13"/>
      <c r="L95" s="8"/>
      <c r="M95" s="3"/>
      <c r="N95" s="3"/>
      <c r="O95" s="3"/>
      <c r="P95" s="3"/>
      <c r="Q95" s="3"/>
    </row>
    <row r="96" spans="4:17" s="9" customFormat="1" x14ac:dyDescent="0.25">
      <c r="J96" s="3"/>
      <c r="K96" s="3"/>
      <c r="L96" s="3"/>
      <c r="M96" s="3"/>
      <c r="N96" s="3"/>
      <c r="O96" s="3"/>
      <c r="P96" s="3"/>
      <c r="Q96" s="3"/>
    </row>
    <row r="97" spans="3:17" s="9" customFormat="1" x14ac:dyDescent="0.25">
      <c r="D97" s="113" t="str">
        <f ca="1">K$11</f>
        <v/>
      </c>
      <c r="E97" s="113" t="str">
        <f t="shared" ref="E97:H97" ca="1" si="0">L$11</f>
        <v/>
      </c>
      <c r="F97" s="113" t="str">
        <f t="shared" ca="1" si="0"/>
        <v/>
      </c>
      <c r="G97" s="113" t="str">
        <f t="shared" ca="1" si="0"/>
        <v/>
      </c>
      <c r="H97" s="113" t="str">
        <f t="shared" ca="1" si="0"/>
        <v/>
      </c>
      <c r="J97" s="3"/>
      <c r="K97" s="113" t="str">
        <f ca="1">K$11</f>
        <v/>
      </c>
      <c r="L97" s="113" t="str">
        <f t="shared" ref="L97:O97" ca="1" si="1">L$11</f>
        <v/>
      </c>
      <c r="M97" s="113" t="str">
        <f t="shared" ca="1" si="1"/>
        <v/>
      </c>
      <c r="N97" s="113" t="str">
        <f t="shared" ca="1" si="1"/>
        <v/>
      </c>
      <c r="O97" s="113" t="str">
        <f t="shared" ca="1" si="1"/>
        <v/>
      </c>
      <c r="P97" s="3"/>
      <c r="Q97" s="3"/>
    </row>
    <row r="98" spans="3:17" s="9" customFormat="1" ht="55.2" x14ac:dyDescent="0.25">
      <c r="J98" s="86" t="s">
        <v>65</v>
      </c>
      <c r="K98" s="14" t="s">
        <v>53</v>
      </c>
      <c r="L98" s="14" t="s">
        <v>54</v>
      </c>
      <c r="M98" s="14" t="s">
        <v>55</v>
      </c>
      <c r="N98" s="14" t="s">
        <v>56</v>
      </c>
      <c r="O98" s="14" t="s">
        <v>57</v>
      </c>
      <c r="P98" s="3"/>
      <c r="Q98" s="3"/>
    </row>
    <row r="99" spans="3:17" s="9" customFormat="1" x14ac:dyDescent="0.25">
      <c r="J99" s="87"/>
      <c r="K99" s="15" t="s">
        <v>32</v>
      </c>
      <c r="L99" s="15" t="s">
        <v>32</v>
      </c>
      <c r="M99" s="15" t="s">
        <v>32</v>
      </c>
      <c r="N99" s="15" t="s">
        <v>32</v>
      </c>
      <c r="O99" s="15" t="s">
        <v>32</v>
      </c>
      <c r="P99" s="3"/>
      <c r="Q99" s="3"/>
    </row>
    <row r="100" spans="3:17" s="20" customFormat="1" ht="13.8" x14ac:dyDescent="0.25">
      <c r="J100" s="16"/>
      <c r="K100" s="17"/>
      <c r="L100" s="17"/>
      <c r="M100" s="17"/>
      <c r="N100" s="17"/>
      <c r="O100" s="18"/>
      <c r="P100" s="19"/>
      <c r="Q100" s="19"/>
    </row>
    <row r="101" spans="3:17" s="20" customFormat="1" ht="18" customHeight="1" x14ac:dyDescent="0.25">
      <c r="D101" s="118" t="str" cm="1">
        <f t="array" aca="1" ref="D101" ca="1">_xll.DBR($C$58,psProg,$C$45,$K$84,$K$85,$C$42,$C$50,$C$48,$C$46,$C$49,D$97,D$95)</f>
        <v>*KEY_ERR</v>
      </c>
      <c r="E101" s="118" t="str" cm="1">
        <f t="array" aca="1" ref="E101" ca="1">_xll.DBR($C$58,psProg,$C$45,$K$84,$K$85,$C$42,$C$50,$C$48,$C$46,$C$49,E$97,E$95)</f>
        <v>*KEY_ERR</v>
      </c>
      <c r="F101" s="118" t="str" cm="1">
        <f t="array" aca="1" ref="F101" ca="1">_xll.DBR($C$58,psProg,$C$45,$K$84,$K$85,$C$42,$C$50,$C$48,$C$46,$C$49,F$97,F$95)</f>
        <v>*KEY_ERR</v>
      </c>
      <c r="G101" s="118" t="str" cm="1">
        <f t="array" aca="1" ref="G101" ca="1">_xll.DBR($C$58,psProg,$C$45,$K$84,$K$85,$C$42,$C$50,$C$48,$C$46,$C$49,G$97,G$95)</f>
        <v>*KEY_ERR</v>
      </c>
      <c r="H101" s="118" t="str" cm="1">
        <f t="array" aca="1" ref="H101" ca="1">_xll.DBR($C$58,psProg,$C$45,$K$84,$K$85,$C$42,$C$50,$C$48,$C$46,$C$49,H$97,H$95)</f>
        <v>*KEY_ERR</v>
      </c>
      <c r="J101" s="21" t="s">
        <v>45</v>
      </c>
      <c r="K101" s="88" t="str">
        <f ca="1">D101</f>
        <v>*KEY_ERR</v>
      </c>
      <c r="L101" s="88" t="str">
        <f t="shared" ref="L101:N101" ca="1" si="2">E101</f>
        <v>*KEY_ERR</v>
      </c>
      <c r="M101" s="88" t="str">
        <f t="shared" ca="1" si="2"/>
        <v>*KEY_ERR</v>
      </c>
      <c r="N101" s="88" t="str">
        <f t="shared" ca="1" si="2"/>
        <v>*KEY_ERR</v>
      </c>
      <c r="O101" s="88" t="str">
        <f ca="1">IF($K$87="Yes",$N$144,$H101)</f>
        <v>*KEY_ERR</v>
      </c>
      <c r="P101" s="19"/>
      <c r="Q101" s="19"/>
    </row>
    <row r="102" spans="3:17" s="9" customFormat="1" ht="15" customHeight="1" x14ac:dyDescent="0.25">
      <c r="J102" s="22"/>
      <c r="K102" s="18"/>
      <c r="L102" s="18"/>
      <c r="M102" s="18"/>
      <c r="N102" s="18"/>
      <c r="O102" s="23"/>
      <c r="P102" s="3"/>
      <c r="Q102" s="3"/>
    </row>
    <row r="103" spans="3:17" s="9" customFormat="1" ht="15" customHeight="1" x14ac:dyDescent="0.3">
      <c r="J103" s="24" t="s">
        <v>41</v>
      </c>
      <c r="K103" s="18"/>
      <c r="L103" s="18"/>
      <c r="M103" s="18"/>
      <c r="N103" s="18"/>
      <c r="O103" s="23"/>
      <c r="P103" s="3"/>
      <c r="Q103" s="3"/>
    </row>
    <row r="104" spans="3:17" s="9" customFormat="1" ht="15" customHeight="1" x14ac:dyDescent="0.25">
      <c r="J104" s="25" t="s">
        <v>1</v>
      </c>
      <c r="K104" s="26"/>
      <c r="L104" s="18"/>
      <c r="M104" s="18"/>
      <c r="N104" s="18"/>
      <c r="O104" s="23"/>
      <c r="P104" s="3"/>
      <c r="Q104" s="3"/>
    </row>
    <row r="105" spans="3:17" s="9" customFormat="1" ht="15" customHeight="1" x14ac:dyDescent="0.25">
      <c r="J105" s="27" t="s">
        <v>43</v>
      </c>
      <c r="K105" s="28"/>
      <c r="L105" s="28"/>
      <c r="M105" s="28"/>
      <c r="N105" s="28"/>
      <c r="O105" s="88"/>
      <c r="P105" s="128" t="s">
        <v>171</v>
      </c>
      <c r="Q105" s="3"/>
    </row>
    <row r="106" spans="3:17" s="9" customFormat="1" ht="15" customHeight="1" x14ac:dyDescent="0.25">
      <c r="J106" s="29" t="s">
        <v>2</v>
      </c>
      <c r="K106" s="18" t="e">
        <f ca="1">K101-K105</f>
        <v>#VALUE!</v>
      </c>
      <c r="L106" s="18" t="e">
        <f t="shared" ref="L106:N106" ca="1" si="3">L101-L105</f>
        <v>#VALUE!</v>
      </c>
      <c r="M106" s="18" t="e">
        <f t="shared" ca="1" si="3"/>
        <v>#VALUE!</v>
      </c>
      <c r="N106" s="18" t="e">
        <f t="shared" ca="1" si="3"/>
        <v>#VALUE!</v>
      </c>
      <c r="O106" s="18" t="e">
        <f ca="1">O101-O105+O102</f>
        <v>#VALUE!</v>
      </c>
      <c r="P106" s="3"/>
      <c r="Q106" s="3"/>
    </row>
    <row r="107" spans="3:17" s="9" customFormat="1" ht="15" customHeight="1" x14ac:dyDescent="0.25">
      <c r="J107" s="25"/>
      <c r="K107" s="18"/>
      <c r="L107" s="18"/>
      <c r="M107" s="18"/>
      <c r="N107" s="18"/>
      <c r="O107" s="23"/>
      <c r="P107" s="3"/>
      <c r="Q107" s="3"/>
    </row>
    <row r="108" spans="3:17" s="9" customFormat="1" ht="15" customHeight="1" x14ac:dyDescent="0.25">
      <c r="C108" s="114" t="s">
        <v>126</v>
      </c>
      <c r="D108" s="115" t="str" cm="1">
        <f t="array" aca="1" ref="D108" ca="1">_xll.DBR($C$53,psHLYear,psScenario,$C$54,$C108,D$97)</f>
        <v>*KEY_ERR</v>
      </c>
      <c r="E108" s="115" t="str" cm="1">
        <f t="array" aca="1" ref="E108" ca="1">_xll.DBR($C$53,psHLYear,psScenario,$C$54,$C108,E$97)</f>
        <v>*KEY_ERR</v>
      </c>
      <c r="F108" s="115" t="str" cm="1">
        <f t="array" aca="1" ref="F108" ca="1">_xll.DBR($C$53,psHLYear,psScenario,$C$54,$C108,F$97)</f>
        <v>*KEY_ERR</v>
      </c>
      <c r="G108" s="115" t="str" cm="1">
        <f t="array" aca="1" ref="G108" ca="1">_xll.DBR($C$53,psHLYear,psScenario,$C$54,$C108,G$97)</f>
        <v>*KEY_ERR</v>
      </c>
      <c r="H108" s="115" t="str" cm="1">
        <f t="array" aca="1" ref="H108" ca="1">_xll.DBR($C$53,psHLYear,psScenario,$C$54,$C108,H$97)</f>
        <v>*KEY_ERR</v>
      </c>
      <c r="J108" s="25" t="s">
        <v>39</v>
      </c>
      <c r="K108" s="89">
        <f ca="1">IF($D$54="Y",D108/100,0)</f>
        <v>0</v>
      </c>
      <c r="L108" s="89">
        <f t="shared" ref="L108:O108" ca="1" si="4">IF($D$54="Y",E108/100,0)</f>
        <v>0</v>
      </c>
      <c r="M108" s="89">
        <f t="shared" ca="1" si="4"/>
        <v>0</v>
      </c>
      <c r="N108" s="89">
        <f t="shared" ca="1" si="4"/>
        <v>0</v>
      </c>
      <c r="O108" s="89">
        <f t="shared" ca="1" si="4"/>
        <v>0</v>
      </c>
      <c r="P108" s="3"/>
      <c r="Q108" s="30"/>
    </row>
    <row r="109" spans="3:17" s="9" customFormat="1" ht="15" customHeight="1" x14ac:dyDescent="0.25">
      <c r="J109" s="25" t="s">
        <v>3</v>
      </c>
      <c r="K109" s="31">
        <f ca="1">1-K108</f>
        <v>1</v>
      </c>
      <c r="L109" s="31">
        <f ca="1">1-L108</f>
        <v>1</v>
      </c>
      <c r="M109" s="31">
        <f ca="1">1-M108</f>
        <v>1</v>
      </c>
      <c r="N109" s="31">
        <f ca="1">1-N108</f>
        <v>1</v>
      </c>
      <c r="O109" s="31">
        <f ca="1">1-O108</f>
        <v>1</v>
      </c>
      <c r="P109" s="3"/>
      <c r="Q109" s="3"/>
    </row>
    <row r="110" spans="3:17" s="9" customFormat="1" ht="15" customHeight="1" x14ac:dyDescent="0.25">
      <c r="C110" s="114" t="s">
        <v>125</v>
      </c>
      <c r="D110" s="115" t="str" cm="1">
        <f t="array" aca="1" ref="D110" ca="1">_xll.DBR($C$53,psHLYear,psScenario,$C$54,$C110,D$97)</f>
        <v>*KEY_ERR</v>
      </c>
      <c r="E110" s="115" t="str" cm="1">
        <f t="array" aca="1" ref="E110" ca="1">_xll.DBR($C$53,psHLYear,psScenario,$C$54,$C110,E$97)</f>
        <v>*KEY_ERR</v>
      </c>
      <c r="F110" s="115" t="str" cm="1">
        <f t="array" aca="1" ref="F110" ca="1">_xll.DBR($C$53,psHLYear,psScenario,$C$54,$C110,F$97)</f>
        <v>*KEY_ERR</v>
      </c>
      <c r="G110" s="115" t="str" cm="1">
        <f t="array" aca="1" ref="G110" ca="1">_xll.DBR($C$53,psHLYear,psScenario,$C$54,$C110,G$97)</f>
        <v>*KEY_ERR</v>
      </c>
      <c r="H110" s="115" t="str" cm="1">
        <f t="array" aca="1" ref="H110" ca="1">_xll.DBR($C$53,psHLYear,psScenario,$C$54,$C110,H$97)</f>
        <v>*KEY_ERR</v>
      </c>
      <c r="J110" s="25" t="s">
        <v>4</v>
      </c>
      <c r="K110" s="89">
        <f ca="1">IF($D$54="Y",D110/100,0)</f>
        <v>0</v>
      </c>
      <c r="L110" s="89">
        <f t="shared" ref="L110:O110" ca="1" si="5">IF($D$54="Y",E110/100,0)</f>
        <v>0</v>
      </c>
      <c r="M110" s="89">
        <f t="shared" ca="1" si="5"/>
        <v>0</v>
      </c>
      <c r="N110" s="89">
        <f t="shared" ca="1" si="5"/>
        <v>0</v>
      </c>
      <c r="O110" s="89">
        <f t="shared" ca="1" si="5"/>
        <v>0</v>
      </c>
      <c r="P110" s="3"/>
      <c r="Q110" s="3"/>
    </row>
    <row r="111" spans="3:17" s="9" customFormat="1" ht="15" customHeight="1" x14ac:dyDescent="0.25">
      <c r="J111" s="25" t="s">
        <v>5</v>
      </c>
      <c r="K111" s="32">
        <f ca="1">1-K110</f>
        <v>1</v>
      </c>
      <c r="L111" s="32">
        <f ca="1">1-L110</f>
        <v>1</v>
      </c>
      <c r="M111" s="32">
        <f ca="1">1-M110</f>
        <v>1</v>
      </c>
      <c r="N111" s="32">
        <f ca="1">1-N110</f>
        <v>1</v>
      </c>
      <c r="O111" s="32">
        <f ca="1">1-O110</f>
        <v>1</v>
      </c>
      <c r="P111" s="3"/>
      <c r="Q111" s="3"/>
    </row>
    <row r="112" spans="3:17" s="9" customFormat="1" ht="15" customHeight="1" x14ac:dyDescent="0.25">
      <c r="J112" s="25" t="s">
        <v>6</v>
      </c>
      <c r="K112" s="32">
        <f ca="1">K109/K111</f>
        <v>1</v>
      </c>
      <c r="L112" s="32">
        <f ca="1">L109/L111</f>
        <v>1</v>
      </c>
      <c r="M112" s="32">
        <f ca="1">M109/M111</f>
        <v>1</v>
      </c>
      <c r="N112" s="32">
        <f ca="1">N109/N111</f>
        <v>1</v>
      </c>
      <c r="O112" s="32">
        <f ca="1">O109/O111</f>
        <v>1</v>
      </c>
      <c r="P112" s="3"/>
      <c r="Q112" s="3"/>
    </row>
    <row r="113" spans="3:17" s="9" customFormat="1" ht="15" customHeight="1" x14ac:dyDescent="0.25">
      <c r="C113" s="114" t="s">
        <v>127</v>
      </c>
      <c r="D113" s="114" t="str" cm="1">
        <f t="array" aca="1" ref="D113" ca="1">_xll.DBR($C$53,psHLYear,psScenario,$C$54,$C113,D$97)</f>
        <v>*KEY_ERR</v>
      </c>
      <c r="E113" s="114" t="str" cm="1">
        <f t="array" aca="1" ref="E113" ca="1">_xll.DBR($C$53,psHLYear,psScenario,$C$54,$C113,E$97)</f>
        <v>*KEY_ERR</v>
      </c>
      <c r="F113" s="114" t="str" cm="1">
        <f t="array" aca="1" ref="F113" ca="1">_xll.DBR($C$53,psHLYear,psScenario,$C$54,$C113,F$97)</f>
        <v>*KEY_ERR</v>
      </c>
      <c r="G113" s="114" t="str" cm="1">
        <f t="array" aca="1" ref="G113" ca="1">_xll.DBR($C$53,psHLYear,psScenario,$C$54,$C113,G$97)</f>
        <v>*KEY_ERR</v>
      </c>
      <c r="H113" s="114" t="str" cm="1">
        <f t="array" aca="1" ref="H113" ca="1">_xll.DBR($C$53,psHLYear,psScenario,$C$54,$C113,H$97)</f>
        <v>*KEY_ERR</v>
      </c>
      <c r="J113" s="25" t="s">
        <v>7</v>
      </c>
      <c r="K113" s="32">
        <f ca="1">K112</f>
        <v>1</v>
      </c>
      <c r="L113" s="32">
        <f ca="1">L112*K113</f>
        <v>1</v>
      </c>
      <c r="M113" s="32">
        <f ca="1">M112*L113</f>
        <v>1</v>
      </c>
      <c r="N113" s="32">
        <f ca="1">N112*M113</f>
        <v>1</v>
      </c>
      <c r="O113" s="32">
        <f ca="1">O112*N113</f>
        <v>1</v>
      </c>
      <c r="P113" s="3"/>
      <c r="Q113" s="33"/>
    </row>
    <row r="114" spans="3:17" s="37" customFormat="1" ht="15" customHeight="1" x14ac:dyDescent="0.25">
      <c r="J114" s="34" t="s">
        <v>61</v>
      </c>
      <c r="K114" s="35"/>
      <c r="L114" s="35" t="e">
        <f ca="1">L106*(L113-1)</f>
        <v>#VALUE!</v>
      </c>
      <c r="M114" s="35" t="e">
        <f ca="1">M106*(M113-1)</f>
        <v>#VALUE!</v>
      </c>
      <c r="N114" s="35" t="e">
        <f ca="1">N106*(N113-1)</f>
        <v>#VALUE!</v>
      </c>
      <c r="O114" s="36" t="e">
        <f ca="1">O106*(O113-1)</f>
        <v>#VALUE!</v>
      </c>
      <c r="P114" s="3"/>
      <c r="Q114" s="3"/>
    </row>
    <row r="115" spans="3:17" s="37" customFormat="1" ht="15" customHeight="1" x14ac:dyDescent="0.25">
      <c r="J115" s="38" t="s">
        <v>8</v>
      </c>
      <c r="K115" s="39" t="e">
        <f ca="1">K106+K114</f>
        <v>#VALUE!</v>
      </c>
      <c r="L115" s="39" t="e">
        <f ca="1">L106+L114</f>
        <v>#VALUE!</v>
      </c>
      <c r="M115" s="39" t="e">
        <f ca="1">M106+M114</f>
        <v>#VALUE!</v>
      </c>
      <c r="N115" s="39" t="e">
        <f ca="1">N106+N114</f>
        <v>#VALUE!</v>
      </c>
      <c r="O115" s="39" t="e">
        <f ca="1">O106+O114</f>
        <v>#VALUE!</v>
      </c>
      <c r="P115" s="3"/>
      <c r="Q115" s="3"/>
    </row>
    <row r="116" spans="3:17" ht="15" customHeight="1" x14ac:dyDescent="0.25">
      <c r="J116" s="22"/>
      <c r="K116" s="18"/>
      <c r="L116" s="18"/>
      <c r="M116" s="18"/>
      <c r="N116" s="18"/>
      <c r="O116" s="23"/>
    </row>
    <row r="117" spans="3:17" ht="15" customHeight="1" x14ac:dyDescent="0.3">
      <c r="J117" s="24" t="s">
        <v>42</v>
      </c>
      <c r="K117" s="40"/>
      <c r="L117" s="18"/>
      <c r="M117" s="18"/>
      <c r="N117" s="18"/>
      <c r="O117" s="23"/>
    </row>
    <row r="118" spans="3:17" s="9" customFormat="1" ht="15" customHeight="1" x14ac:dyDescent="0.25">
      <c r="J118" s="41" t="s">
        <v>62</v>
      </c>
      <c r="K118" s="90"/>
      <c r="L118" s="90"/>
      <c r="M118" s="90"/>
      <c r="N118" s="90"/>
      <c r="O118" s="90"/>
      <c r="P118" s="3"/>
      <c r="Q118" s="3"/>
    </row>
    <row r="119" spans="3:17" s="9" customFormat="1" ht="15" customHeight="1" x14ac:dyDescent="0.25">
      <c r="J119" s="41" t="s">
        <v>16</v>
      </c>
      <c r="K119" s="90"/>
      <c r="L119" s="90"/>
      <c r="M119" s="90"/>
      <c r="N119" s="90"/>
      <c r="O119" s="90"/>
      <c r="P119" s="3"/>
      <c r="Q119" s="3"/>
    </row>
    <row r="120" spans="3:17" s="9" customFormat="1" ht="15" customHeight="1" x14ac:dyDescent="0.25">
      <c r="J120" s="41" t="s">
        <v>17</v>
      </c>
      <c r="K120" s="90"/>
      <c r="L120" s="90"/>
      <c r="M120" s="90"/>
      <c r="N120" s="90"/>
      <c r="O120" s="90"/>
      <c r="P120" s="3"/>
      <c r="Q120" s="3"/>
    </row>
    <row r="121" spans="3:17" s="9" customFormat="1" ht="15" customHeight="1" x14ac:dyDescent="0.25">
      <c r="J121" s="41" t="s">
        <v>18</v>
      </c>
      <c r="K121" s="90"/>
      <c r="L121" s="90"/>
      <c r="M121" s="90"/>
      <c r="N121" s="90"/>
      <c r="O121" s="90"/>
      <c r="P121" s="3"/>
      <c r="Q121" s="3"/>
    </row>
    <row r="122" spans="3:17" s="9" customFormat="1" ht="15" customHeight="1" x14ac:dyDescent="0.25">
      <c r="J122" s="41" t="s">
        <v>19</v>
      </c>
      <c r="K122" s="90"/>
      <c r="L122" s="90"/>
      <c r="M122" s="90"/>
      <c r="N122" s="90"/>
      <c r="O122" s="90"/>
      <c r="P122" s="3"/>
      <c r="Q122" s="3"/>
    </row>
    <row r="123" spans="3:17" s="9" customFormat="1" ht="15" customHeight="1" x14ac:dyDescent="0.25">
      <c r="J123" s="41" t="s">
        <v>20</v>
      </c>
      <c r="K123" s="90"/>
      <c r="L123" s="90"/>
      <c r="M123" s="90"/>
      <c r="N123" s="90"/>
      <c r="O123" s="90"/>
      <c r="P123" s="3"/>
      <c r="Q123" s="3"/>
    </row>
    <row r="124" spans="3:17" s="9" customFormat="1" ht="15" customHeight="1" x14ac:dyDescent="0.25">
      <c r="J124" s="42" t="s">
        <v>21</v>
      </c>
      <c r="K124" s="91"/>
      <c r="L124" s="91"/>
      <c r="M124" s="91"/>
      <c r="N124" s="91"/>
      <c r="O124" s="91"/>
      <c r="P124" s="3"/>
      <c r="Q124" s="3"/>
    </row>
    <row r="125" spans="3:17" s="9" customFormat="1" ht="15" customHeight="1" x14ac:dyDescent="0.25">
      <c r="J125" s="43" t="s">
        <v>9</v>
      </c>
      <c r="K125" s="44" t="e">
        <f ca="1">K115-SUM(K118:K124)</f>
        <v>#VALUE!</v>
      </c>
      <c r="L125" s="44" t="e">
        <f ca="1">L115-SUM(L118:L124)</f>
        <v>#VALUE!</v>
      </c>
      <c r="M125" s="44" t="e">
        <f ca="1">M115-SUM(M118:M124)</f>
        <v>#VALUE!</v>
      </c>
      <c r="N125" s="44" t="e">
        <f ca="1">N115-SUM(N118:N124)</f>
        <v>#VALUE!</v>
      </c>
      <c r="O125" s="45" t="e">
        <f ca="1">O115-SUM(O118:O124)</f>
        <v>#VALUE!</v>
      </c>
      <c r="P125" s="3"/>
      <c r="Q125" s="3"/>
    </row>
    <row r="126" spans="3:17" s="9" customFormat="1" ht="15" customHeight="1" x14ac:dyDescent="0.25">
      <c r="J126" s="25"/>
      <c r="K126" s="46"/>
      <c r="L126" s="18"/>
      <c r="M126" s="18"/>
      <c r="N126" s="18"/>
      <c r="O126" s="23"/>
      <c r="P126" s="3"/>
      <c r="Q126" s="3"/>
    </row>
    <row r="127" spans="3:17" s="9" customFormat="1" ht="15" customHeight="1" x14ac:dyDescent="0.25">
      <c r="C127" s="9" t="s">
        <v>126</v>
      </c>
      <c r="D127" s="115" t="str" cm="1">
        <f t="array" aca="1" ref="D127" ca="1">_xll.DBR($C$53,psHLYear,psScenario,$C$55,$C127,D$97)</f>
        <v>*KEY_ERR</v>
      </c>
      <c r="E127" s="115" t="str" cm="1">
        <f t="array" aca="1" ref="E127" ca="1">_xll.DBR($C$53,psHLYear,psScenario,$C$55,$C127,E$97)</f>
        <v>*KEY_ERR</v>
      </c>
      <c r="F127" s="115" t="str" cm="1">
        <f t="array" aca="1" ref="F127" ca="1">_xll.DBR($C$53,psHLYear,psScenario,$C$55,$C127,F$97)</f>
        <v>*KEY_ERR</v>
      </c>
      <c r="G127" s="115" t="str" cm="1">
        <f t="array" aca="1" ref="G127" ca="1">_xll.DBR($C$53,psHLYear,psScenario,$C$55,$C127,G$97)</f>
        <v>*KEY_ERR</v>
      </c>
      <c r="H127" s="115" t="str" cm="1">
        <f t="array" aca="1" ref="H127" ca="1">_xll.DBR($C$53,psHLYear,psScenario,$C$55,$C127,H$97)</f>
        <v>*KEY_ERR</v>
      </c>
      <c r="J127" s="25" t="s">
        <v>40</v>
      </c>
      <c r="K127" s="89" t="e">
        <f ca="1">IF($C$55="",0,D127/100)</f>
        <v>#VALUE!</v>
      </c>
      <c r="L127" s="89" t="e">
        <f t="shared" ref="L127:O127" ca="1" si="6">IF($C$55="",0,E127/100)</f>
        <v>#VALUE!</v>
      </c>
      <c r="M127" s="89" t="e">
        <f t="shared" ca="1" si="6"/>
        <v>#VALUE!</v>
      </c>
      <c r="N127" s="89" t="e">
        <f t="shared" ca="1" si="6"/>
        <v>#VALUE!</v>
      </c>
      <c r="O127" s="89" t="e">
        <f t="shared" ca="1" si="6"/>
        <v>#VALUE!</v>
      </c>
      <c r="P127" s="3"/>
      <c r="Q127" s="3"/>
    </row>
    <row r="128" spans="3:17" s="9" customFormat="1" ht="15" customHeight="1" x14ac:dyDescent="0.25">
      <c r="J128" s="25" t="s">
        <v>10</v>
      </c>
      <c r="K128" s="47" t="e">
        <f ca="1">1+K127</f>
        <v>#VALUE!</v>
      </c>
      <c r="L128" s="47" t="e">
        <f ca="1">1+L127</f>
        <v>#VALUE!</v>
      </c>
      <c r="M128" s="47" t="e">
        <f ca="1">1+M127</f>
        <v>#VALUE!</v>
      </c>
      <c r="N128" s="47" t="e">
        <f ca="1">1+N127</f>
        <v>#VALUE!</v>
      </c>
      <c r="O128" s="48" t="e">
        <f ca="1">1+O127</f>
        <v>#VALUE!</v>
      </c>
      <c r="P128" s="3"/>
      <c r="Q128" s="3"/>
    </row>
    <row r="129" spans="3:17" s="9" customFormat="1" ht="15" customHeight="1" x14ac:dyDescent="0.25">
      <c r="C129" s="9" t="s">
        <v>125</v>
      </c>
      <c r="D129" s="115" t="str" cm="1">
        <f t="array" aca="1" ref="D129" ca="1">_xll.DBR($C$53,psHLYear,psScenario,$C$55,$C129,D$97)</f>
        <v>*KEY_ERR</v>
      </c>
      <c r="E129" s="115" t="str" cm="1">
        <f t="array" aca="1" ref="E129" ca="1">_xll.DBR($C$53,psHLYear,psScenario,$C$55,$C129,E$97)</f>
        <v>*KEY_ERR</v>
      </c>
      <c r="F129" s="115" t="str" cm="1">
        <f t="array" aca="1" ref="F129" ca="1">_xll.DBR($C$53,psHLYear,psScenario,$C$55,$C129,F$97)</f>
        <v>*KEY_ERR</v>
      </c>
      <c r="G129" s="115" t="str" cm="1">
        <f t="array" aca="1" ref="G129" ca="1">_xll.DBR($C$53,psHLYear,psScenario,$C$55,$C129,G$97)</f>
        <v>*KEY_ERR</v>
      </c>
      <c r="H129" s="115" t="str" cm="1">
        <f t="array" aca="1" ref="H129" ca="1">_xll.DBR($C$53,psHLYear,psScenario,$C$55,$C129,H$97)</f>
        <v>*KEY_ERR</v>
      </c>
      <c r="J129" s="25" t="s">
        <v>22</v>
      </c>
      <c r="K129" s="89" t="e">
        <f ca="1">IF($C$55="",0,D129/100)</f>
        <v>#VALUE!</v>
      </c>
      <c r="L129" s="89" t="e">
        <f t="shared" ref="L129:O129" ca="1" si="7">IF($C$55="",0,E129/100)</f>
        <v>#VALUE!</v>
      </c>
      <c r="M129" s="89" t="e">
        <f t="shared" ca="1" si="7"/>
        <v>#VALUE!</v>
      </c>
      <c r="N129" s="89" t="e">
        <f t="shared" ca="1" si="7"/>
        <v>#VALUE!</v>
      </c>
      <c r="O129" s="89" t="e">
        <f t="shared" ca="1" si="7"/>
        <v>#VALUE!</v>
      </c>
      <c r="P129" s="3"/>
      <c r="Q129" s="3"/>
    </row>
    <row r="130" spans="3:17" s="9" customFormat="1" ht="15" customHeight="1" x14ac:dyDescent="0.25">
      <c r="J130" s="25" t="s">
        <v>11</v>
      </c>
      <c r="K130" s="47" t="e">
        <f ca="1">1+K129</f>
        <v>#VALUE!</v>
      </c>
      <c r="L130" s="47" t="e">
        <f ca="1">1+L129</f>
        <v>#VALUE!</v>
      </c>
      <c r="M130" s="47" t="e">
        <f ca="1">1+M129</f>
        <v>#VALUE!</v>
      </c>
      <c r="N130" s="47" t="e">
        <f ca="1">1+N129</f>
        <v>#VALUE!</v>
      </c>
      <c r="O130" s="48" t="e">
        <f ca="1">1+O129</f>
        <v>#VALUE!</v>
      </c>
      <c r="P130" s="3"/>
      <c r="Q130" s="3"/>
    </row>
    <row r="131" spans="3:17" s="9" customFormat="1" ht="15" customHeight="1" x14ac:dyDescent="0.25">
      <c r="J131" s="25" t="s">
        <v>12</v>
      </c>
      <c r="K131" s="49" t="e">
        <f ca="1">K128/K130</f>
        <v>#VALUE!</v>
      </c>
      <c r="L131" s="49" t="e">
        <f ca="1">L128/L130</f>
        <v>#VALUE!</v>
      </c>
      <c r="M131" s="49" t="e">
        <f ca="1">M128/M130</f>
        <v>#VALUE!</v>
      </c>
      <c r="N131" s="49" t="e">
        <f ca="1">N128/N130</f>
        <v>#VALUE!</v>
      </c>
      <c r="O131" s="50" t="e">
        <f ca="1">O128/O130</f>
        <v>#VALUE!</v>
      </c>
      <c r="P131" s="3"/>
      <c r="Q131" s="3"/>
    </row>
    <row r="132" spans="3:17" s="9" customFormat="1" ht="15" customHeight="1" x14ac:dyDescent="0.25">
      <c r="C132" s="9" t="s">
        <v>127</v>
      </c>
      <c r="D132" s="115" t="str" cm="1">
        <f t="array" aca="1" ref="D132" ca="1">_xll.DBR($C$53,psHLYear,psScenario,$C$55,$C132,D$97)</f>
        <v>*KEY_ERR</v>
      </c>
      <c r="E132" s="115" t="str" cm="1">
        <f t="array" aca="1" ref="E132" ca="1">_xll.DBR($C$53,psHLYear,psScenario,$C$55,$C132,E$97)</f>
        <v>*KEY_ERR</v>
      </c>
      <c r="F132" s="115" t="str" cm="1">
        <f t="array" aca="1" ref="F132" ca="1">_xll.DBR($C$53,psHLYear,psScenario,$C$55,$C132,F$97)</f>
        <v>*KEY_ERR</v>
      </c>
      <c r="G132" s="115" t="str" cm="1">
        <f t="array" aca="1" ref="G132" ca="1">_xll.DBR($C$53,psHLYear,psScenario,$C$55,$C132,G$97)</f>
        <v>*KEY_ERR</v>
      </c>
      <c r="H132" s="115" t="str" cm="1">
        <f t="array" aca="1" ref="H132" ca="1">_xll.DBR($C$53,psHLYear,psScenario,$C$55,$C132,H$97)</f>
        <v>*KEY_ERR</v>
      </c>
      <c r="J132" s="25" t="s">
        <v>7</v>
      </c>
      <c r="K132" s="49" t="e">
        <f ca="1">K131</f>
        <v>#VALUE!</v>
      </c>
      <c r="L132" s="49" t="e">
        <f ca="1">K132*L131</f>
        <v>#VALUE!</v>
      </c>
      <c r="M132" s="49" t="e">
        <f ca="1">L132*M131</f>
        <v>#VALUE!</v>
      </c>
      <c r="N132" s="49" t="e">
        <f ca="1">M132*N131</f>
        <v>#VALUE!</v>
      </c>
      <c r="O132" s="50" t="e">
        <f ca="1">N132*O131</f>
        <v>#VALUE!</v>
      </c>
      <c r="P132" s="3"/>
      <c r="Q132" s="3"/>
    </row>
    <row r="133" spans="3:17" s="9" customFormat="1" ht="5.0999999999999996" customHeight="1" x14ac:dyDescent="0.25">
      <c r="J133" s="25"/>
      <c r="K133" s="49"/>
      <c r="L133" s="49"/>
      <c r="M133" s="49"/>
      <c r="N133" s="49"/>
      <c r="O133" s="51"/>
      <c r="P133" s="3"/>
      <c r="Q133" s="3"/>
    </row>
    <row r="134" spans="3:17" s="9" customFormat="1" ht="15" customHeight="1" x14ac:dyDescent="0.25">
      <c r="J134" s="34" t="s">
        <v>63</v>
      </c>
      <c r="K134" s="52"/>
      <c r="L134" s="52" t="e">
        <f ca="1">L125*(L132-1)</f>
        <v>#VALUE!</v>
      </c>
      <c r="M134" s="52" t="e">
        <f t="shared" ref="M134:N134" ca="1" si="8">M125*(M132-1)</f>
        <v>#VALUE!</v>
      </c>
      <c r="N134" s="52" t="e">
        <f t="shared" ca="1" si="8"/>
        <v>#VALUE!</v>
      </c>
      <c r="O134" s="52" t="e">
        <f ca="1">IF($K$87="Yes",O125*O127,O125*(O132-1))</f>
        <v>#VALUE!</v>
      </c>
      <c r="P134" s="3"/>
      <c r="Q134" s="3"/>
    </row>
    <row r="135" spans="3:17" s="9" customFormat="1" ht="15" customHeight="1" x14ac:dyDescent="0.25">
      <c r="J135" s="38" t="s">
        <v>13</v>
      </c>
      <c r="K135" s="53" t="e">
        <f ca="1">K125+K134</f>
        <v>#VALUE!</v>
      </c>
      <c r="L135" s="53" t="e">
        <f ca="1">L125+L134</f>
        <v>#VALUE!</v>
      </c>
      <c r="M135" s="53" t="e">
        <f ca="1">M125+M134</f>
        <v>#VALUE!</v>
      </c>
      <c r="N135" s="53" t="e">
        <f ca="1">N125+N134</f>
        <v>#VALUE!</v>
      </c>
      <c r="O135" s="53" t="e">
        <f ca="1">O125+O134</f>
        <v>#VALUE!</v>
      </c>
      <c r="P135" s="3"/>
      <c r="Q135" s="3"/>
    </row>
    <row r="136" spans="3:17" s="9" customFormat="1" ht="15" customHeight="1" x14ac:dyDescent="0.25">
      <c r="J136" s="25"/>
      <c r="K136" s="54"/>
      <c r="L136" s="49"/>
      <c r="M136" s="49"/>
      <c r="N136" s="49"/>
      <c r="O136" s="51"/>
      <c r="P136" s="3"/>
      <c r="Q136" s="3"/>
    </row>
    <row r="137" spans="3:17" s="9" customFormat="1" ht="15" customHeight="1" x14ac:dyDescent="0.25">
      <c r="J137" s="41" t="s">
        <v>64</v>
      </c>
      <c r="K137" s="55">
        <f t="shared" ref="K137:O143" ca="1" si="9">K118</f>
        <v>0</v>
      </c>
      <c r="L137" s="55">
        <f t="shared" ca="1" si="9"/>
        <v>0</v>
      </c>
      <c r="M137" s="55">
        <f t="shared" ca="1" si="9"/>
        <v>0</v>
      </c>
      <c r="N137" s="55">
        <f t="shared" ca="1" si="9"/>
        <v>0</v>
      </c>
      <c r="O137" s="55">
        <f t="shared" ca="1" si="9"/>
        <v>0</v>
      </c>
      <c r="P137" s="3"/>
      <c r="Q137" s="3"/>
    </row>
    <row r="138" spans="3:17" s="9" customFormat="1" ht="15" customHeight="1" x14ac:dyDescent="0.25">
      <c r="J138" s="41" t="s">
        <v>23</v>
      </c>
      <c r="K138" s="55">
        <f t="shared" ca="1" si="9"/>
        <v>0</v>
      </c>
      <c r="L138" s="55">
        <f t="shared" ca="1" si="9"/>
        <v>0</v>
      </c>
      <c r="M138" s="55">
        <f t="shared" ca="1" si="9"/>
        <v>0</v>
      </c>
      <c r="N138" s="55">
        <f t="shared" ca="1" si="9"/>
        <v>0</v>
      </c>
      <c r="O138" s="55">
        <f t="shared" ca="1" si="9"/>
        <v>0</v>
      </c>
      <c r="P138" s="3"/>
      <c r="Q138" s="3"/>
    </row>
    <row r="139" spans="3:17" s="9" customFormat="1" ht="15" customHeight="1" x14ac:dyDescent="0.25">
      <c r="J139" s="41" t="s">
        <v>24</v>
      </c>
      <c r="K139" s="55">
        <f t="shared" ca="1" si="9"/>
        <v>0</v>
      </c>
      <c r="L139" s="55">
        <f t="shared" ca="1" si="9"/>
        <v>0</v>
      </c>
      <c r="M139" s="55">
        <f t="shared" ca="1" si="9"/>
        <v>0</v>
      </c>
      <c r="N139" s="55">
        <f t="shared" ca="1" si="9"/>
        <v>0</v>
      </c>
      <c r="O139" s="55">
        <f t="shared" ca="1" si="9"/>
        <v>0</v>
      </c>
      <c r="P139" s="3"/>
      <c r="Q139" s="3"/>
    </row>
    <row r="140" spans="3:17" s="9" customFormat="1" ht="15" customHeight="1" x14ac:dyDescent="0.25">
      <c r="J140" s="41" t="s">
        <v>25</v>
      </c>
      <c r="K140" s="55">
        <f t="shared" ca="1" si="9"/>
        <v>0</v>
      </c>
      <c r="L140" s="55">
        <f t="shared" ca="1" si="9"/>
        <v>0</v>
      </c>
      <c r="M140" s="55">
        <f t="shared" ca="1" si="9"/>
        <v>0</v>
      </c>
      <c r="N140" s="55">
        <f t="shared" ca="1" si="9"/>
        <v>0</v>
      </c>
      <c r="O140" s="55">
        <f t="shared" ca="1" si="9"/>
        <v>0</v>
      </c>
      <c r="P140" s="3"/>
      <c r="Q140" s="3"/>
    </row>
    <row r="141" spans="3:17" s="9" customFormat="1" ht="15" customHeight="1" x14ac:dyDescent="0.25">
      <c r="J141" s="41" t="s">
        <v>26</v>
      </c>
      <c r="K141" s="55">
        <f t="shared" ca="1" si="9"/>
        <v>0</v>
      </c>
      <c r="L141" s="55">
        <f t="shared" ca="1" si="9"/>
        <v>0</v>
      </c>
      <c r="M141" s="55">
        <f t="shared" ca="1" si="9"/>
        <v>0</v>
      </c>
      <c r="N141" s="55">
        <f t="shared" ca="1" si="9"/>
        <v>0</v>
      </c>
      <c r="O141" s="55">
        <f t="shared" ca="1" si="9"/>
        <v>0</v>
      </c>
      <c r="P141" s="3"/>
      <c r="Q141" s="3"/>
    </row>
    <row r="142" spans="3:17" s="9" customFormat="1" ht="15" customHeight="1" x14ac:dyDescent="0.25">
      <c r="J142" s="41" t="s">
        <v>27</v>
      </c>
      <c r="K142" s="55">
        <f t="shared" ca="1" si="9"/>
        <v>0</v>
      </c>
      <c r="L142" s="55">
        <f t="shared" ca="1" si="9"/>
        <v>0</v>
      </c>
      <c r="M142" s="55">
        <f t="shared" ca="1" si="9"/>
        <v>0</v>
      </c>
      <c r="N142" s="55">
        <f t="shared" ca="1" si="9"/>
        <v>0</v>
      </c>
      <c r="O142" s="55">
        <f t="shared" ca="1" si="9"/>
        <v>0</v>
      </c>
      <c r="P142" s="3"/>
      <c r="Q142" s="3"/>
    </row>
    <row r="143" spans="3:17" s="9" customFormat="1" ht="15" customHeight="1" x14ac:dyDescent="0.25">
      <c r="J143" s="41" t="s">
        <v>28</v>
      </c>
      <c r="K143" s="55">
        <f t="shared" ca="1" si="9"/>
        <v>0</v>
      </c>
      <c r="L143" s="55">
        <f t="shared" ca="1" si="9"/>
        <v>0</v>
      </c>
      <c r="M143" s="55">
        <f t="shared" ca="1" si="9"/>
        <v>0</v>
      </c>
      <c r="N143" s="55">
        <f t="shared" ca="1" si="9"/>
        <v>0</v>
      </c>
      <c r="O143" s="55">
        <f t="shared" ca="1" si="9"/>
        <v>0</v>
      </c>
      <c r="P143" s="3"/>
      <c r="Q143" s="3"/>
    </row>
    <row r="144" spans="3:17" s="59" customFormat="1" ht="15" customHeight="1" thickBot="1" x14ac:dyDescent="0.3">
      <c r="J144" s="56" t="s">
        <v>14</v>
      </c>
      <c r="K144" s="57" t="e">
        <f ca="1">SUM(K135:K143)</f>
        <v>#VALUE!</v>
      </c>
      <c r="L144" s="57" t="e">
        <f ca="1">SUM(L135:L143)</f>
        <v>#VALUE!</v>
      </c>
      <c r="M144" s="57" t="e">
        <f ca="1">SUM(M135:M143)</f>
        <v>#VALUE!</v>
      </c>
      <c r="N144" s="57" t="e">
        <f ca="1">SUM(N135:N143)</f>
        <v>#VALUE!</v>
      </c>
      <c r="O144" s="58" t="e">
        <f ca="1">SUM(O135:O143)</f>
        <v>#VALUE!</v>
      </c>
      <c r="P144" s="3"/>
      <c r="Q144" s="3"/>
    </row>
    <row r="145" spans="10:17" s="59" customFormat="1" ht="13.5" customHeight="1" thickTop="1" x14ac:dyDescent="0.25">
      <c r="J145" s="60"/>
      <c r="K145" s="61"/>
      <c r="L145" s="61"/>
      <c r="M145" s="61"/>
      <c r="N145" s="61"/>
      <c r="O145" s="62"/>
      <c r="P145" s="3"/>
      <c r="Q145" s="3"/>
    </row>
    <row r="146" spans="10:17" s="59" customFormat="1" ht="15" customHeight="1" x14ac:dyDescent="0.25">
      <c r="J146" s="137" t="s">
        <v>46</v>
      </c>
      <c r="K146" s="99" t="s">
        <v>58</v>
      </c>
      <c r="L146" s="100" t="s">
        <v>59</v>
      </c>
      <c r="M146" s="100" t="s">
        <v>50</v>
      </c>
      <c r="N146" s="100" t="s">
        <v>51</v>
      </c>
      <c r="O146" s="101" t="s">
        <v>52</v>
      </c>
      <c r="P146" s="3"/>
      <c r="Q146" s="3"/>
    </row>
    <row r="147" spans="10:17" s="9" customFormat="1" x14ac:dyDescent="0.25">
      <c r="J147" s="138"/>
      <c r="K147" s="98" t="s">
        <v>32</v>
      </c>
      <c r="L147" s="98" t="s">
        <v>32</v>
      </c>
      <c r="M147" s="98" t="s">
        <v>32</v>
      </c>
      <c r="N147" s="98" t="s">
        <v>32</v>
      </c>
      <c r="O147" s="98" t="s">
        <v>32</v>
      </c>
      <c r="P147" s="3"/>
      <c r="Q147" s="3"/>
    </row>
    <row r="148" spans="10:17" s="59" customFormat="1" ht="5.0999999999999996" customHeight="1" x14ac:dyDescent="0.3">
      <c r="J148" s="63"/>
      <c r="K148" s="64"/>
      <c r="L148" s="65"/>
      <c r="M148" s="65"/>
      <c r="N148" s="65"/>
      <c r="O148" s="66"/>
      <c r="P148" s="3"/>
      <c r="Q148" s="3"/>
    </row>
    <row r="149" spans="10:17" s="59" customFormat="1" ht="15.6" x14ac:dyDescent="0.3">
      <c r="J149" s="116" t="s">
        <v>130</v>
      </c>
      <c r="K149" s="52" t="str" cm="1">
        <f t="array" aca="1" ref="K149" ca="1">_xll.DBR($C$39,psHLYear,psScenario,$C$40,$C$41,$C$42,$C$43,$F$44,$C$45,$C$46,$C$47,$K$85,$C$48,psProg,$K$84,$F$49,$C$50,K$11)</f>
        <v>*KEY_ERR</v>
      </c>
      <c r="L149" s="67" t="str" cm="1">
        <f t="array" aca="1" ref="L149" ca="1">_xll.DBR($C$39,psHLYear,psScenario,$C$40,$C$41,$C$42,$C$43,$F$44,$C$45,$C$46,$C$47,$K$85,$C$48,psProg,$K$84,$F$49,$C$50,L$11)</f>
        <v>*KEY_ERR</v>
      </c>
      <c r="M149" s="67" t="str" cm="1">
        <f t="array" aca="1" ref="M149" ca="1">_xll.DBR($C$39,psHLYear,psScenario,$C$40,$C$41,$C$42,$C$43,$F$44,$C$45,$C$46,$C$47,$K$85,$C$48,psProg,$K$84,$F$49,$C$50,M$11)</f>
        <v>*KEY_ERR</v>
      </c>
      <c r="N149" s="67" t="str" cm="1">
        <f t="array" aca="1" ref="N149" ca="1">_xll.DBR($C$39,psHLYear,psScenario,$C$40,$C$41,$C$42,$C$43,$F$44,$C$45,$C$46,$C$47,$K$85,$C$48,psProg,$K$84,$F$49,$C$50,N$11)</f>
        <v>*KEY_ERR</v>
      </c>
      <c r="O149" s="35">
        <f ca="1">IF($K$87="Yes",$O$106,0)</f>
        <v>0</v>
      </c>
      <c r="P149" s="3"/>
      <c r="Q149" s="3"/>
    </row>
    <row r="150" spans="10:17" s="59" customFormat="1" ht="15" customHeight="1" x14ac:dyDescent="0.25">
      <c r="J150" s="34" t="s">
        <v>60</v>
      </c>
      <c r="K150" s="52" t="s">
        <v>49</v>
      </c>
      <c r="L150" s="67" t="e">
        <f ca="1">L114</f>
        <v>#VALUE!</v>
      </c>
      <c r="M150" s="67" t="e">
        <f ca="1">M114</f>
        <v>#VALUE!</v>
      </c>
      <c r="N150" s="67" t="e">
        <f ca="1">N114</f>
        <v>#VALUE!</v>
      </c>
      <c r="O150" s="35" t="e">
        <f ca="1">O114</f>
        <v>#VALUE!</v>
      </c>
      <c r="P150" s="3"/>
      <c r="Q150" s="3"/>
    </row>
    <row r="151" spans="10:17" s="59" customFormat="1" ht="15" customHeight="1" x14ac:dyDescent="0.25">
      <c r="J151" s="34" t="s">
        <v>30</v>
      </c>
      <c r="K151" s="52" t="s">
        <v>49</v>
      </c>
      <c r="L151" s="67" t="e">
        <f ca="1">L134</f>
        <v>#VALUE!</v>
      </c>
      <c r="M151" s="67" t="e">
        <f ca="1">M134</f>
        <v>#VALUE!</v>
      </c>
      <c r="N151" s="67" t="e">
        <f ca="1">N134</f>
        <v>#VALUE!</v>
      </c>
      <c r="O151" s="67" t="e">
        <f ca="1">O134</f>
        <v>#VALUE!</v>
      </c>
      <c r="P151" s="3"/>
      <c r="Q151" s="3"/>
    </row>
    <row r="152" spans="10:17" s="59" customFormat="1" ht="5.0999999999999996" customHeight="1" x14ac:dyDescent="0.25">
      <c r="J152" s="68"/>
      <c r="K152" s="69"/>
      <c r="L152" s="70"/>
      <c r="M152" s="70"/>
      <c r="N152" s="70"/>
      <c r="O152" s="71"/>
      <c r="P152" s="3"/>
      <c r="Q152" s="3"/>
    </row>
    <row r="153" spans="10:17" s="59" customFormat="1" ht="15" customHeight="1" thickBot="1" x14ac:dyDescent="0.3">
      <c r="J153" s="72" t="s">
        <v>0</v>
      </c>
      <c r="K153" s="73"/>
      <c r="L153" s="74" t="e">
        <f ca="1">SUM(L149:L152)</f>
        <v>#VALUE!</v>
      </c>
      <c r="M153" s="74" t="e">
        <f t="shared" ref="M153:O153" ca="1" si="10">SUM(M149:M152)</f>
        <v>#VALUE!</v>
      </c>
      <c r="N153" s="74" t="e">
        <f t="shared" ca="1" si="10"/>
        <v>#VALUE!</v>
      </c>
      <c r="O153" s="75" t="e">
        <f t="shared" ca="1" si="10"/>
        <v>#VALUE!</v>
      </c>
      <c r="P153" s="3"/>
      <c r="Q153" s="3"/>
    </row>
    <row r="154" spans="10:17" ht="13.8" thickTop="1" x14ac:dyDescent="0.25">
      <c r="J154" s="76"/>
      <c r="L154" s="77"/>
      <c r="M154" s="77"/>
      <c r="N154" s="77"/>
      <c r="O154" s="77"/>
    </row>
    <row r="155" spans="10:17" x14ac:dyDescent="0.25">
      <c r="J155" s="76" t="s">
        <v>34</v>
      </c>
      <c r="L155" s="77" t="s">
        <v>36</v>
      </c>
      <c r="M155" s="77"/>
      <c r="N155" s="77"/>
      <c r="O155" s="77"/>
    </row>
    <row r="156" spans="10:17" x14ac:dyDescent="0.25">
      <c r="J156" s="76"/>
      <c r="L156" s="77"/>
      <c r="M156" s="77"/>
      <c r="N156" s="77"/>
      <c r="O156" s="77"/>
    </row>
    <row r="157" spans="10:17" ht="14.4" thickBot="1" x14ac:dyDescent="0.3">
      <c r="J157" s="92"/>
      <c r="K157" s="93"/>
      <c r="L157" s="92"/>
      <c r="M157" s="94"/>
      <c r="N157" s="94"/>
      <c r="O157" s="94"/>
    </row>
    <row r="158" spans="10:17" x14ac:dyDescent="0.25">
      <c r="J158" s="78" t="s">
        <v>35</v>
      </c>
      <c r="K158" s="93"/>
      <c r="L158" s="95" t="s">
        <v>38</v>
      </c>
      <c r="M158" s="96"/>
      <c r="N158" s="96"/>
      <c r="O158" s="96"/>
    </row>
    <row r="159" spans="10:17" x14ac:dyDescent="0.25">
      <c r="J159" s="97" t="s">
        <v>37</v>
      </c>
      <c r="K159" s="93"/>
      <c r="L159" s="97" t="s">
        <v>37</v>
      </c>
      <c r="M159" s="96"/>
      <c r="N159" s="96"/>
      <c r="O159" s="96"/>
    </row>
    <row r="160" spans="10:17" x14ac:dyDescent="0.25">
      <c r="J160" s="76"/>
      <c r="L160" s="77"/>
      <c r="M160" s="77"/>
      <c r="N160" s="77"/>
      <c r="O160" s="77"/>
    </row>
    <row r="161" spans="10:15" x14ac:dyDescent="0.25">
      <c r="J161" s="79" t="s">
        <v>31</v>
      </c>
    </row>
    <row r="162" spans="10:15" x14ac:dyDescent="0.25">
      <c r="J162" s="141" t="s">
        <v>68</v>
      </c>
      <c r="K162" s="142"/>
      <c r="L162" s="142"/>
      <c r="M162" s="142"/>
      <c r="N162" s="142"/>
    </row>
    <row r="163" spans="10:15" ht="39" customHeight="1" x14ac:dyDescent="0.25">
      <c r="J163" s="139" t="s">
        <v>67</v>
      </c>
      <c r="K163" s="140"/>
      <c r="L163" s="140"/>
      <c r="M163" s="140"/>
      <c r="N163" s="140"/>
      <c r="O163" s="140"/>
    </row>
    <row r="164" spans="10:15" x14ac:dyDescent="0.25">
      <c r="J164" s="80"/>
      <c r="K164" s="81"/>
      <c r="L164" s="81"/>
      <c r="M164" s="81"/>
      <c r="N164" s="81"/>
      <c r="O164" s="81"/>
    </row>
    <row r="165" spans="10:15" x14ac:dyDescent="0.25">
      <c r="J165" s="82" t="s">
        <v>15</v>
      </c>
      <c r="K165" s="83" t="e">
        <f ca="1">ROUND((K144-K101),0)=ROUND(K153,0)</f>
        <v>#VALUE!</v>
      </c>
      <c r="L165" s="83" t="e">
        <f ca="1">ROUND((L144-L101),0)=ROUND(L153,0)</f>
        <v>#VALUE!</v>
      </c>
      <c r="M165" s="83" t="e">
        <f ca="1">ROUND((M144-M101),0)=ROUND(M153,0)</f>
        <v>#VALUE!</v>
      </c>
      <c r="N165" s="83" t="e">
        <f ca="1">ROUND((N144-N101),0)=ROUND(N153,0)</f>
        <v>#VALUE!</v>
      </c>
      <c r="O165" s="83" t="e">
        <f ca="1">ROUND((O144-O101),0)=ROUND(O153,0)</f>
        <v>#VALUE!</v>
      </c>
    </row>
    <row r="167" spans="10:15" ht="14.4" x14ac:dyDescent="0.25">
      <c r="J167" s="120" t="s">
        <v>129</v>
      </c>
      <c r="K167" s="120" t="str">
        <f ca="1">K$11</f>
        <v/>
      </c>
      <c r="L167" s="120" t="str">
        <f t="shared" ref="L167:O167" ca="1" si="11">L$11</f>
        <v/>
      </c>
      <c r="M167" s="120" t="str">
        <f t="shared" ca="1" si="11"/>
        <v/>
      </c>
      <c r="N167" s="120" t="str">
        <f t="shared" ca="1" si="11"/>
        <v/>
      </c>
      <c r="O167" s="120" t="str">
        <f t="shared" ca="1" si="11"/>
        <v/>
      </c>
    </row>
    <row r="168" spans="10:15" ht="13.8" x14ac:dyDescent="0.25">
      <c r="J168" s="137" t="s">
        <v>46</v>
      </c>
      <c r="K168" s="99" t="s">
        <v>58</v>
      </c>
      <c r="L168" s="100" t="s">
        <v>59</v>
      </c>
      <c r="M168" s="100" t="s">
        <v>50</v>
      </c>
      <c r="N168" s="100" t="s">
        <v>51</v>
      </c>
      <c r="O168" s="101" t="s">
        <v>52</v>
      </c>
    </row>
    <row r="169" spans="10:15" x14ac:dyDescent="0.25">
      <c r="J169" s="138"/>
      <c r="K169" s="98" t="s">
        <v>32</v>
      </c>
      <c r="L169" s="98" t="s">
        <v>32</v>
      </c>
      <c r="M169" s="98" t="s">
        <v>32</v>
      </c>
      <c r="N169" s="98" t="s">
        <v>32</v>
      </c>
      <c r="O169" s="98" t="s">
        <v>32</v>
      </c>
    </row>
    <row r="170" spans="10:15" ht="3.9" customHeight="1" x14ac:dyDescent="0.3">
      <c r="J170" s="63"/>
      <c r="K170" s="64"/>
      <c r="L170" s="65"/>
      <c r="M170" s="65"/>
      <c r="N170" s="65"/>
      <c r="O170" s="66"/>
    </row>
    <row r="171" spans="10:15" ht="15.6" x14ac:dyDescent="0.3">
      <c r="J171" s="116" t="s">
        <v>130</v>
      </c>
      <c r="K171" s="52" t="str" cm="1">
        <f t="array" aca="1" ref="K171" ca="1">_xll.DBR($C$39,psHLYear,psScenario,$C$40,$C$41,$C$42,$C$43,$F$44,$C$45,$C$46,$C$47,$K$85,$C$48,psProg,$K$84,$F$49,$C$50,K$11)</f>
        <v>*KEY_ERR</v>
      </c>
      <c r="L171" s="67" t="str" cm="1">
        <f t="array" aca="1" ref="L171" ca="1">_xll.DBR($C$39,psHLYear,psScenario,$C$40,$C$41,$C$42,$C$43,$F$44,$C$45,$C$46,$C$47,$K$85,$C$48,psProg,$K$84,$F$49,$C$50,L$11)</f>
        <v>*KEY_ERR</v>
      </c>
      <c r="M171" s="67" t="str" cm="1">
        <f t="array" aca="1" ref="M171" ca="1">_xll.DBR($C$39,psHLYear,psScenario,$C$40,$C$41,$C$42,$C$43,$F$44,$C$45,$C$46,$C$47,$K$85,$C$48,psProg,$K$84,$F$49,$C$50,M$11)</f>
        <v>*KEY_ERR</v>
      </c>
      <c r="N171" s="67" t="str" cm="1">
        <f t="array" aca="1" ref="N171" ca="1">_xll.DBR($C$39,psHLYear,psScenario,$C$40,$C$41,$C$42,$C$43,$F$44,$C$45,$C$46,$C$47,$K$85,$C$48,psProg,$K$84,$F$49,$C$50,N$11)</f>
        <v>*KEY_ERR</v>
      </c>
      <c r="O171" s="35" t="str" cm="1">
        <f t="array" aca="1" ref="O171" ca="1">_xll.DBR($C$39,psHLYear,psScenario,$F$40,$C$41,$C$42,$C$43,$F$44,$C$45,$C$46,$C$47,$K$85,$C$48,psProg,$K$84,$F$49,$C$50,O$11)</f>
        <v>*KEY_ERR</v>
      </c>
    </row>
    <row r="172" spans="10:15" ht="13.8" x14ac:dyDescent="0.25">
      <c r="J172" s="34" t="s">
        <v>60</v>
      </c>
      <c r="K172" s="52" t="s">
        <v>49</v>
      </c>
      <c r="L172" s="67" t="str" cm="1">
        <f t="array" aca="1" ref="L172" ca="1">_xll.DBR($C$39,psHLYear,psScenario,$E$40,$C$41,$C$42,$C$43,$E$44,$C$45,$C$46,$C$47,$K$85,$C$48,psProg,$K$84,$E$49,$C$50,L$11)</f>
        <v>*KEY_ERR</v>
      </c>
      <c r="M172" s="67" t="str" cm="1">
        <f t="array" aca="1" ref="M172" ca="1">_xll.DBR($C$39,psHLYear,psScenario,$E$40,$C$41,$C$42,$C$43,$E$44,$C$45,$C$46,$C$47,$K$85,$C$48,psProg,$K$84,$E$49,$C$50,M$11)</f>
        <v>*KEY_ERR</v>
      </c>
      <c r="N172" s="67" t="str" cm="1">
        <f t="array" aca="1" ref="N172" ca="1">_xll.DBR($C$39,psHLYear,psScenario,$E$40,$C$41,$C$42,$C$43,$E$44,$C$45,$C$46,$C$47,$K$85,$C$48,psProg,$K$84,$E$49,$C$50,N$11)</f>
        <v>*KEY_ERR</v>
      </c>
      <c r="O172" s="35" t="str" cm="1">
        <f t="array" aca="1" ref="O172" ca="1">_xll.DBR($C$39,psHLYear,psScenario,$E$40,$C$41,$C$42,$C$43,$E$44,$C$45,$C$46,$C$47,$K$85,$C$48,psProg,$K$84,$E$49,$C$50,O$11)</f>
        <v>*KEY_ERR</v>
      </c>
    </row>
    <row r="173" spans="10:15" ht="13.8" x14ac:dyDescent="0.25">
      <c r="J173" s="34" t="s">
        <v>30</v>
      </c>
      <c r="K173" s="52" t="s">
        <v>49</v>
      </c>
      <c r="L173" s="67" t="str" cm="1">
        <f t="array" aca="1" ref="L173" ca="1">_xll.DBR($C$39,psHLYear,psScenario,$D$40,$C$41,$C$42,$C$43,$D$44,$C$45,$C$46,$C$47,$K$85,$C$48,psProg,$K$84,$E$49,$C$50,L$11)</f>
        <v>*KEY_ERR</v>
      </c>
      <c r="M173" s="67" t="str" cm="1">
        <f t="array" aca="1" ref="M173" ca="1">_xll.DBR($C$39,psHLYear,psScenario,$D$40,$C$41,$C$42,$C$43,$D$44,$C$45,$C$46,$C$47,$K$85,$C$48,psProg,$K$84,$E$49,$C$50,M$11)</f>
        <v>*KEY_ERR</v>
      </c>
      <c r="N173" s="67" t="str" cm="1">
        <f t="array" aca="1" ref="N173" ca="1">_xll.DBR($C$39,psHLYear,psScenario,$D$40,$C$41,$C$42,$C$43,$D$44,$C$45,$C$46,$C$47,$K$85,$C$48,psProg,$K$84,$E$49,$C$50,N$11)</f>
        <v>*KEY_ERR</v>
      </c>
      <c r="O173" s="35" t="str" cm="1">
        <f t="array" aca="1" ref="O173" ca="1">_xll.DBR($C$39,psHLYear,psScenario,$D$40,$C$41,$C$42,$C$43,$D$44,$C$45,$C$46,$C$47,$K$85,$C$48,psProg,$K$84,$E$49,$C$50,O$11)</f>
        <v>*KEY_ERR</v>
      </c>
    </row>
    <row r="174" spans="10:15" ht="3.9" customHeight="1" x14ac:dyDescent="0.25">
      <c r="J174" s="68"/>
      <c r="K174" s="69"/>
      <c r="L174" s="70"/>
      <c r="M174" s="70"/>
      <c r="N174" s="70"/>
      <c r="O174" s="71"/>
    </row>
    <row r="175" spans="10:15" ht="14.4" thickBot="1" x14ac:dyDescent="0.3">
      <c r="J175" s="72" t="s">
        <v>0</v>
      </c>
      <c r="K175" s="74">
        <f t="shared" ref="K175" ca="1" si="12">SUM(K171:K174)</f>
        <v>0</v>
      </c>
      <c r="L175" s="74">
        <f ca="1">SUM(L171:L174)</f>
        <v>0</v>
      </c>
      <c r="M175" s="74">
        <f t="shared" ref="M175:O175" ca="1" si="13">SUM(M171:M174)</f>
        <v>0</v>
      </c>
      <c r="N175" s="74">
        <f t="shared" ca="1" si="13"/>
        <v>0</v>
      </c>
      <c r="O175" s="74">
        <f t="shared" ca="1" si="13"/>
        <v>0</v>
      </c>
    </row>
    <row r="176" spans="10:15" ht="13.8" thickTop="1" x14ac:dyDescent="0.25"/>
    <row r="177" spans="10:15" ht="14.4" x14ac:dyDescent="0.25">
      <c r="J177" s="120" t="s">
        <v>139</v>
      </c>
      <c r="K177" s="120" t="str">
        <f ca="1">K$11</f>
        <v/>
      </c>
      <c r="L177" s="120" t="str">
        <f t="shared" ref="L177:O177" ca="1" si="14">L$11</f>
        <v/>
      </c>
      <c r="M177" s="120" t="str">
        <f t="shared" ca="1" si="14"/>
        <v/>
      </c>
      <c r="N177" s="120" t="str">
        <f t="shared" ca="1" si="14"/>
        <v/>
      </c>
      <c r="O177" s="120" t="str">
        <f t="shared" ca="1" si="14"/>
        <v/>
      </c>
    </row>
    <row r="178" spans="10:15" ht="13.8" x14ac:dyDescent="0.25">
      <c r="J178" s="137" t="s">
        <v>46</v>
      </c>
      <c r="K178" s="99" t="s">
        <v>58</v>
      </c>
      <c r="L178" s="100" t="s">
        <v>59</v>
      </c>
      <c r="M178" s="100" t="s">
        <v>50</v>
      </c>
      <c r="N178" s="100" t="s">
        <v>51</v>
      </c>
      <c r="O178" s="101" t="s">
        <v>52</v>
      </c>
    </row>
    <row r="179" spans="10:15" x14ac:dyDescent="0.25">
      <c r="J179" s="138"/>
      <c r="K179" s="98" t="s">
        <v>32</v>
      </c>
      <c r="L179" s="98" t="s">
        <v>32</v>
      </c>
      <c r="M179" s="98" t="s">
        <v>32</v>
      </c>
      <c r="N179" s="98" t="s">
        <v>32</v>
      </c>
      <c r="O179" s="98" t="s">
        <v>32</v>
      </c>
    </row>
    <row r="180" spans="10:15" ht="4.5" customHeight="1" x14ac:dyDescent="0.3">
      <c r="J180" s="63"/>
      <c r="K180" s="64"/>
      <c r="L180" s="65"/>
      <c r="M180" s="65"/>
      <c r="N180" s="65"/>
      <c r="O180" s="66"/>
    </row>
    <row r="181" spans="10:15" ht="15.6" x14ac:dyDescent="0.3">
      <c r="J181" s="116" t="s">
        <v>130</v>
      </c>
      <c r="K181" s="52"/>
      <c r="L181" s="52" t="e">
        <f t="shared" ref="L181:O183" ca="1" si="15">L149-L171</f>
        <v>#VALUE!</v>
      </c>
      <c r="M181" s="52" t="e">
        <f t="shared" ca="1" si="15"/>
        <v>#VALUE!</v>
      </c>
      <c r="N181" s="52" t="e">
        <f t="shared" ca="1" si="15"/>
        <v>#VALUE!</v>
      </c>
      <c r="O181" s="52" t="e">
        <f t="shared" ca="1" si="15"/>
        <v>#VALUE!</v>
      </c>
    </row>
    <row r="182" spans="10:15" ht="13.8" x14ac:dyDescent="0.25">
      <c r="J182" s="34" t="s">
        <v>60</v>
      </c>
      <c r="K182" s="52"/>
      <c r="L182" s="52" t="e">
        <f t="shared" ca="1" si="15"/>
        <v>#VALUE!</v>
      </c>
      <c r="M182" s="52" t="e">
        <f t="shared" ca="1" si="15"/>
        <v>#VALUE!</v>
      </c>
      <c r="N182" s="52" t="e">
        <f t="shared" ca="1" si="15"/>
        <v>#VALUE!</v>
      </c>
      <c r="O182" s="52" t="e">
        <f t="shared" ca="1" si="15"/>
        <v>#VALUE!</v>
      </c>
    </row>
    <row r="183" spans="10:15" ht="13.8" x14ac:dyDescent="0.25">
      <c r="J183" s="34" t="s">
        <v>30</v>
      </c>
      <c r="K183" s="52"/>
      <c r="L183" s="52" t="e">
        <f t="shared" ca="1" si="15"/>
        <v>#VALUE!</v>
      </c>
      <c r="M183" s="52" t="e">
        <f t="shared" ca="1" si="15"/>
        <v>#VALUE!</v>
      </c>
      <c r="N183" s="52" t="e">
        <f t="shared" ca="1" si="15"/>
        <v>#VALUE!</v>
      </c>
      <c r="O183" s="52" t="e">
        <f t="shared" ca="1" si="15"/>
        <v>#VALUE!</v>
      </c>
    </row>
    <row r="184" spans="10:15" ht="4.5" customHeight="1" x14ac:dyDescent="0.25">
      <c r="J184" s="68"/>
      <c r="K184" s="69"/>
      <c r="L184" s="70"/>
      <c r="M184" s="70"/>
      <c r="N184" s="70"/>
      <c r="O184" s="71"/>
    </row>
    <row r="185" spans="10:15" ht="14.4" thickBot="1" x14ac:dyDescent="0.3">
      <c r="J185" s="72" t="s">
        <v>0</v>
      </c>
      <c r="K185" s="74"/>
      <c r="L185" s="74" t="e">
        <f ca="1">SUM(L181:L184)</f>
        <v>#VALUE!</v>
      </c>
      <c r="M185" s="74" t="e">
        <f t="shared" ref="M185" ca="1" si="16">SUM(M181:M184)</f>
        <v>#VALUE!</v>
      </c>
      <c r="N185" s="74" t="e">
        <f t="shared" ref="N185" ca="1" si="17">SUM(N181:N184)</f>
        <v>#VALUE!</v>
      </c>
      <c r="O185" s="74" t="e">
        <f t="shared" ref="O185" ca="1" si="18">SUM(O181:O184)</f>
        <v>#VALUE!</v>
      </c>
    </row>
    <row r="186" spans="10:15" ht="13.8" thickTop="1" x14ac:dyDescent="0.25"/>
  </sheetData>
  <sheetProtection sheet="1" objects="1" scenarios="1"/>
  <protectedRanges>
    <protectedRange sqref="J90:J91 J95 J98:J99 O100 O105 J157 L157:L159 J159 K118:O124 J147 K127:O127 K129:O129 K108:O108 K110:O110 J169 K101:O101 J179" name="Range1"/>
  </protectedRanges>
  <mergeCells count="25">
    <mergeCell ref="J74:O74"/>
    <mergeCell ref="J76:O76"/>
    <mergeCell ref="J77:O77"/>
    <mergeCell ref="B2:D2"/>
    <mergeCell ref="B10:D10"/>
    <mergeCell ref="B18:D18"/>
    <mergeCell ref="B61:D61"/>
    <mergeCell ref="B38:D38"/>
    <mergeCell ref="B57:D57"/>
    <mergeCell ref="B52:D52"/>
    <mergeCell ref="J75:O75"/>
    <mergeCell ref="J89:K89"/>
    <mergeCell ref="K84:O84"/>
    <mergeCell ref="K85:O85"/>
    <mergeCell ref="K87:O87"/>
    <mergeCell ref="J178:J179"/>
    <mergeCell ref="J168:J169"/>
    <mergeCell ref="J146:J147"/>
    <mergeCell ref="J163:O163"/>
    <mergeCell ref="J162:N162"/>
    <mergeCell ref="K83:O83"/>
    <mergeCell ref="J78:O78"/>
    <mergeCell ref="K82:O82"/>
    <mergeCell ref="K80:O80"/>
    <mergeCell ref="K81:O81"/>
  </mergeCells>
  <printOptions horizontalCentered="1"/>
  <pageMargins left="0.35433070866141736" right="0.35433070866141736" top="0.19685039370078741" bottom="0.19685039370078741" header="0.51181102362204722" footer="0.51181102362204722"/>
  <pageSetup paperSize="9" scale="55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9" r:id="rId4" name="TIButton9">
          <controlPr defaultSize="0" print="0" autoLine="0" autoPict="0" r:id="rId5">
            <anchor moveWithCells="1" sizeWithCells="1">
              <from>
                <xdr:col>9</xdr:col>
                <xdr:colOff>2727960</xdr:colOff>
                <xdr:row>70</xdr:row>
                <xdr:rowOff>7620</xdr:rowOff>
              </from>
              <to>
                <xdr:col>9</xdr:col>
                <xdr:colOff>4046220</xdr:colOff>
                <xdr:row>70</xdr:row>
                <xdr:rowOff>259080</xdr:rowOff>
              </to>
            </anchor>
          </controlPr>
        </control>
      </mc:Choice>
      <mc:Fallback>
        <control shapeId="1039" r:id="rId4" name="TIButton9"/>
      </mc:Fallback>
    </mc:AlternateContent>
    <mc:AlternateContent xmlns:mc="http://schemas.openxmlformats.org/markup-compatibility/2006">
      <mc:Choice Requires="x14">
        <control shapeId="1038" r:id="rId6" name="TIButton3">
          <controlPr defaultSize="0" print="0" autoLine="0" autoPict="0" r:id="rId7">
            <anchor moveWithCells="1" sizeWithCells="1">
              <from>
                <xdr:col>9</xdr:col>
                <xdr:colOff>1714500</xdr:colOff>
                <xdr:row>70</xdr:row>
                <xdr:rowOff>7620</xdr:rowOff>
              </from>
              <to>
                <xdr:col>9</xdr:col>
                <xdr:colOff>2697480</xdr:colOff>
                <xdr:row>70</xdr:row>
                <xdr:rowOff>259080</xdr:rowOff>
              </to>
            </anchor>
          </controlPr>
        </control>
      </mc:Choice>
      <mc:Fallback>
        <control shapeId="1038" r:id="rId6" name="TIButton3"/>
      </mc:Fallback>
    </mc:AlternateContent>
    <mc:AlternateContent xmlns:mc="http://schemas.openxmlformats.org/markup-compatibility/2006">
      <mc:Choice Requires="x14">
        <control shapeId="1037" r:id="rId8" name="TIButton8">
          <controlPr defaultSize="0" print="0" autoLine="0" r:id="rId9">
            <anchor moveWithCells="1" sizeWithCells="1">
              <from>
                <xdr:col>9</xdr:col>
                <xdr:colOff>678180</xdr:colOff>
                <xdr:row>70</xdr:row>
                <xdr:rowOff>7620</xdr:rowOff>
              </from>
              <to>
                <xdr:col>9</xdr:col>
                <xdr:colOff>1699260</xdr:colOff>
                <xdr:row>70</xdr:row>
                <xdr:rowOff>259080</xdr:rowOff>
              </to>
            </anchor>
          </controlPr>
        </control>
      </mc:Choice>
      <mc:Fallback>
        <control shapeId="1037" r:id="rId8" name="TIButton8"/>
      </mc:Fallback>
    </mc:AlternateContent>
    <mc:AlternateContent xmlns:mc="http://schemas.openxmlformats.org/markup-compatibility/2006">
      <mc:Choice Requires="x14">
        <control shapeId="1032" r:id="rId10" name="TIButton7">
          <controlPr defaultSize="0" print="0" autoLine="0" r:id="rId11">
            <anchor moveWithCells="1" sizeWithCells="1">
              <from>
                <xdr:col>11</xdr:col>
                <xdr:colOff>845820</xdr:colOff>
                <xdr:row>70</xdr:row>
                <xdr:rowOff>7620</xdr:rowOff>
              </from>
              <to>
                <xdr:col>12</xdr:col>
                <xdr:colOff>647700</xdr:colOff>
                <xdr:row>70</xdr:row>
                <xdr:rowOff>259080</xdr:rowOff>
              </to>
            </anchor>
          </controlPr>
        </control>
      </mc:Choice>
      <mc:Fallback>
        <control shapeId="1032" r:id="rId10" name="TIButton7"/>
      </mc:Fallback>
    </mc:AlternateContent>
    <mc:AlternateContent xmlns:mc="http://schemas.openxmlformats.org/markup-compatibility/2006">
      <mc:Choice Requires="x14">
        <control shapeId="1031" r:id="rId12" name="TIButton6">
          <controlPr defaultSize="0" print="0" autoLine="0" r:id="rId13">
            <anchor moveWithCells="1" sizeWithCells="1">
              <from>
                <xdr:col>14</xdr:col>
                <xdr:colOff>723900</xdr:colOff>
                <xdr:row>69</xdr:row>
                <xdr:rowOff>30480</xdr:rowOff>
              </from>
              <to>
                <xdr:col>14</xdr:col>
                <xdr:colOff>1036320</xdr:colOff>
                <xdr:row>70</xdr:row>
                <xdr:rowOff>289560</xdr:rowOff>
              </to>
            </anchor>
          </controlPr>
        </control>
      </mc:Choice>
      <mc:Fallback>
        <control shapeId="1031" r:id="rId12" name="TIButton6"/>
      </mc:Fallback>
    </mc:AlternateContent>
    <mc:AlternateContent xmlns:mc="http://schemas.openxmlformats.org/markup-compatibility/2006">
      <mc:Choice Requires="x14">
        <control shapeId="1030" r:id="rId14" name="TIButton4">
          <controlPr defaultSize="0" print="0" autoLine="0" r:id="rId15">
            <anchor moveWithCells="1" sizeWithCells="1">
              <from>
                <xdr:col>10</xdr:col>
                <xdr:colOff>487680</xdr:colOff>
                <xdr:row>70</xdr:row>
                <xdr:rowOff>7620</xdr:rowOff>
              </from>
              <to>
                <xdr:col>11</xdr:col>
                <xdr:colOff>807720</xdr:colOff>
                <xdr:row>70</xdr:row>
                <xdr:rowOff>259080</xdr:rowOff>
              </to>
            </anchor>
          </controlPr>
        </control>
      </mc:Choice>
      <mc:Fallback>
        <control shapeId="1030" r:id="rId14" name="TIButton4"/>
      </mc:Fallback>
    </mc:AlternateContent>
    <mc:AlternateContent xmlns:mc="http://schemas.openxmlformats.org/markup-compatibility/2006">
      <mc:Choice Requires="x14">
        <control shapeId="1029" r:id="rId16" name="TIButton5">
          <controlPr defaultSize="0" print="0" autoLine="0" r:id="rId17">
            <anchor moveWithCells="1" sizeWithCells="1">
              <from>
                <xdr:col>9</xdr:col>
                <xdr:colOff>4076700</xdr:colOff>
                <xdr:row>70</xdr:row>
                <xdr:rowOff>7620</xdr:rowOff>
              </from>
              <to>
                <xdr:col>10</xdr:col>
                <xdr:colOff>449580</xdr:colOff>
                <xdr:row>70</xdr:row>
                <xdr:rowOff>259080</xdr:rowOff>
              </to>
            </anchor>
          </controlPr>
        </control>
      </mc:Choice>
      <mc:Fallback>
        <control shapeId="1029" r:id="rId16" name="TIButton5"/>
      </mc:Fallback>
    </mc:AlternateContent>
    <mc:AlternateContent xmlns:mc="http://schemas.openxmlformats.org/markup-compatibility/2006">
      <mc:Choice Requires="x14">
        <control shapeId="1026" r:id="rId18" name="TIButton2">
          <controlPr defaultSize="0" print="0" autoLine="0" r:id="rId19">
            <anchor moveWithCells="1" sizeWithCells="1">
              <from>
                <xdr:col>13</xdr:col>
                <xdr:colOff>533400</xdr:colOff>
                <xdr:row>70</xdr:row>
                <xdr:rowOff>7620</xdr:rowOff>
              </from>
              <to>
                <xdr:col>14</xdr:col>
                <xdr:colOff>266700</xdr:colOff>
                <xdr:row>70</xdr:row>
                <xdr:rowOff>259080</xdr:rowOff>
              </to>
            </anchor>
          </controlPr>
        </control>
      </mc:Choice>
      <mc:Fallback>
        <control shapeId="1026" r:id="rId18" name="TIButton2"/>
      </mc:Fallback>
    </mc:AlternateContent>
    <mc:AlternateContent xmlns:mc="http://schemas.openxmlformats.org/markup-compatibility/2006">
      <mc:Choice Requires="x14">
        <control shapeId="1025" r:id="rId20" name="TIButton1">
          <controlPr defaultSize="0" print="0" autoLine="0" r:id="rId21">
            <anchor moveWithCells="1" sizeWithCells="1">
              <from>
                <xdr:col>9</xdr:col>
                <xdr:colOff>7620</xdr:colOff>
                <xdr:row>70</xdr:row>
                <xdr:rowOff>7620</xdr:rowOff>
              </from>
              <to>
                <xdr:col>9</xdr:col>
                <xdr:colOff>647700</xdr:colOff>
                <xdr:row>70</xdr:row>
                <xdr:rowOff>259080</xdr:rowOff>
              </to>
            </anchor>
          </controlPr>
        </control>
      </mc:Choice>
      <mc:Fallback>
        <control shapeId="1025" r:id="rId20" name="TIButton1"/>
      </mc:Fallback>
    </mc:AlternateContent>
    <mc:AlternateContent xmlns:mc="http://schemas.openxmlformats.org/markup-compatibility/2006">
      <mc:Choice Requires="x14">
        <control shapeId="1036" r:id="rId22" name="TIButton10">
          <controlPr defaultSize="0" print="0" autoLine="0" r:id="rId23">
            <anchor moveWithCells="1" sizeWithCells="1">
              <from>
                <xdr:col>12</xdr:col>
                <xdr:colOff>685800</xdr:colOff>
                <xdr:row>70</xdr:row>
                <xdr:rowOff>7620</xdr:rowOff>
              </from>
              <to>
                <xdr:col>13</xdr:col>
                <xdr:colOff>487680</xdr:colOff>
                <xdr:row>70</xdr:row>
                <xdr:rowOff>259080</xdr:rowOff>
              </to>
            </anchor>
          </controlPr>
        </control>
      </mc:Choice>
      <mc:Fallback>
        <control shapeId="1036" r:id="rId22" name="TIButton10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13AF-A6C6-4507-AE5A-B1433B89252D}">
  <sheetPr codeName="Sheet2"/>
  <dimension ref="A1:A14"/>
  <sheetViews>
    <sheetView workbookViewId="0"/>
  </sheetViews>
  <sheetFormatPr defaultRowHeight="13.2" x14ac:dyDescent="0.25"/>
  <sheetData>
    <row r="1" spans="1:1" x14ac:dyDescent="0.25">
      <c r="A1" t="s">
        <v>162</v>
      </c>
    </row>
    <row r="2" spans="1:1" x14ac:dyDescent="0.25">
      <c r="A2" t="s">
        <v>163</v>
      </c>
    </row>
    <row r="3" spans="1:1" x14ac:dyDescent="0.25">
      <c r="A3" t="s">
        <v>150</v>
      </c>
    </row>
    <row r="4" spans="1:1" x14ac:dyDescent="0.25">
      <c r="A4" t="s">
        <v>151</v>
      </c>
    </row>
    <row r="5" spans="1:1" x14ac:dyDescent="0.25">
      <c r="A5" t="s">
        <v>152</v>
      </c>
    </row>
    <row r="6" spans="1:1" x14ac:dyDescent="0.25">
      <c r="A6" t="s">
        <v>153</v>
      </c>
    </row>
    <row r="7" spans="1:1" x14ac:dyDescent="0.25">
      <c r="A7" t="s">
        <v>154</v>
      </c>
    </row>
    <row r="8" spans="1:1" x14ac:dyDescent="0.25">
      <c r="A8" t="s">
        <v>155</v>
      </c>
    </row>
    <row r="9" spans="1:1" x14ac:dyDescent="0.25">
      <c r="A9" t="s">
        <v>156</v>
      </c>
    </row>
    <row r="10" spans="1:1" x14ac:dyDescent="0.25">
      <c r="A10" t="s">
        <v>157</v>
      </c>
    </row>
    <row r="11" spans="1:1" x14ac:dyDescent="0.25">
      <c r="A11" t="s">
        <v>158</v>
      </c>
    </row>
    <row r="12" spans="1:1" x14ac:dyDescent="0.25">
      <c r="A12" t="s">
        <v>159</v>
      </c>
    </row>
    <row r="13" spans="1:1" x14ac:dyDescent="0.25">
      <c r="A13" t="s">
        <v>160</v>
      </c>
    </row>
    <row r="14" spans="1:1" x14ac:dyDescent="0.25">
      <c r="A1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53</vt:i4>
      </vt:variant>
    </vt:vector>
  </HeadingPairs>
  <TitlesOfParts>
    <vt:vector size="55" baseType="lpstr">
      <vt:lpstr>reco</vt:lpstr>
      <vt:lpstr>{PL}PickLst</vt:lpstr>
      <vt:lpstr>db_name</vt:lpstr>
      <vt:lpstr>reco!Print_Area</vt:lpstr>
      <vt:lpstr>psAdjType</vt:lpstr>
      <vt:lpstr>psApp</vt:lpstr>
      <vt:lpstr>psHLYear</vt:lpstr>
      <vt:lpstr>psProg</vt:lpstr>
      <vt:lpstr>psScenario</vt:lpstr>
      <vt:lpstr>psUser</vt:lpstr>
      <vt:lpstr>TM1AdjIDListCAP</vt:lpstr>
      <vt:lpstr>TM1AdjIDListWB</vt:lpstr>
      <vt:lpstr>TM1AdminIndexSetupCAP</vt:lpstr>
      <vt:lpstr>TM1AdminIndexSetupWB</vt:lpstr>
      <vt:lpstr>TM1AdminIndexSetupWS</vt:lpstr>
      <vt:lpstr>TM1EDCAP</vt:lpstr>
      <vt:lpstr>TM1EDWB</vt:lpstr>
      <vt:lpstr>TM1EDWS</vt:lpstr>
      <vt:lpstr>TM1FE3CAP</vt:lpstr>
      <vt:lpstr>TM1FE3WB</vt:lpstr>
      <vt:lpstr>TM1FE3WS</vt:lpstr>
      <vt:lpstr>TM1GenerateRecoCAP</vt:lpstr>
      <vt:lpstr>TM1GenerateRecoWB</vt:lpstr>
      <vt:lpstr>TM1GenerateRecoWS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TM1IndexCAP</vt:lpstr>
      <vt:lpstr>TM1IndexFE3MapCAP</vt:lpstr>
      <vt:lpstr>TM1IndexFE3MapWB</vt:lpstr>
      <vt:lpstr>TM1IndexFE3MapWS</vt:lpstr>
      <vt:lpstr>TM1IndexFinCAP</vt:lpstr>
      <vt:lpstr>TM1IndexFinDCBCAP</vt:lpstr>
      <vt:lpstr>TM1IndexFinDCBWB</vt:lpstr>
      <vt:lpstr>TM1IndexFinDCBWS</vt:lpstr>
      <vt:lpstr>TM1IndexFinSubsetCAP</vt:lpstr>
      <vt:lpstr>TM1IndexFinSubsetWB</vt:lpstr>
      <vt:lpstr>TM1IndexFinSubsetWS</vt:lpstr>
      <vt:lpstr>TM1IndexFinWB</vt:lpstr>
      <vt:lpstr>TM1IndexFinWS</vt:lpstr>
      <vt:lpstr>TM1IndexRatesCAP</vt:lpstr>
      <vt:lpstr>TM1IndexRatesWB</vt:lpstr>
      <vt:lpstr>TM1IndexRatesWS</vt:lpstr>
      <vt:lpstr>TM1IndexRecoCAP</vt:lpstr>
      <vt:lpstr>TM1IndexRecoWB</vt:lpstr>
      <vt:lpstr>TM1IndexRecoWS</vt:lpstr>
      <vt:lpstr>TM1IndexWB</vt:lpstr>
      <vt:lpstr>TM1IndexWS</vt:lpstr>
    </vt:vector>
  </TitlesOfParts>
  <Company>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 Gupta, Sanandan</dc:creator>
  <cp:lastModifiedBy>blooyen</cp:lastModifiedBy>
  <cp:lastPrinted>2019-08-29T04:50:16Z</cp:lastPrinted>
  <dcterms:created xsi:type="dcterms:W3CDTF">2008-10-01T00:22:03Z</dcterms:created>
  <dcterms:modified xsi:type="dcterms:W3CDTF">2023-02-14T22:32:02Z</dcterms:modified>
</cp:coreProperties>
</file>