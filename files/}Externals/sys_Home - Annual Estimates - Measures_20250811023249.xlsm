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5AD4BEF-DB85-489C-9119-764E0250111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#REF!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MeasBulkCAP">Menu!$D$40</definedName>
    <definedName name="TM1MeasBulkWB">Menu!$F$40</definedName>
    <definedName name="TM1MeasBulkWS">Menu!$H$40</definedName>
    <definedName name="TM1MeasListCAP">Menu!$D$39</definedName>
    <definedName name="TM1MeasListWB">Menu!$F$39</definedName>
    <definedName name="TM1MeasListWS">Menu!$H$39</definedName>
    <definedName name="TM1MeasUploadCAP">Menu!$D$41</definedName>
    <definedName name="TM1MeasUploadCostingsCAP">Menu!$D$42</definedName>
    <definedName name="TM1MeasUploadCostingsWB">Menu!$F$42</definedName>
    <definedName name="TM1MeasUploadCostingsWS">Menu!$H$42</definedName>
    <definedName name="TM1MeasUploadWB">Menu!$F$41</definedName>
    <definedName name="TM1MeasUploadWS">Menu!$H$41</definedName>
    <definedName name="TM1NewMeas01HeaderCAP">Menu!$D$38</definedName>
    <definedName name="TM1NewMeas01HeaderWB">Menu!$F$38</definedName>
    <definedName name="TM1NewMeas01HeaderWS">Menu!$H$38</definedName>
    <definedName name="TM1OffsetWB">#REF!</definedName>
    <definedName name="TM1OffsetWS">#REF!</definedName>
    <definedName name="TM1REBUILDOPTION">1</definedName>
    <definedName name="TM1RPTDATARNG1" localSheetId="0">#REF!</definedName>
    <definedName name="TM1RPTFMTIDCOL" localSheetId="0">#REF!</definedName>
    <definedName name="TM1RPTFMTRNG" localSheetId="0">#REF!</definedName>
    <definedName name="TM1WB">#REF!</definedName>
    <definedName name="TM1WS">#REF!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85" i="1"/>
  <c r="C10" i="1"/>
  <c r="C12" i="1"/>
  <c r="C11" i="1"/>
  <c r="C13" i="1"/>
  <c r="C14" i="1"/>
  <c r="C15" i="1"/>
  <c r="K51" i="1"/>
  <c r="C4" i="1"/>
  <c r="C7" i="1"/>
  <c r="W49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<sst xmlns="http://schemas.openxmlformats.org/spreadsheetml/2006/main" count="57" uniqueCount="51">
  <si>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</si>
  <si>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</si>
  <si>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</si>
  <si>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</si>
  <si>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</si>
  <si>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</si>
  <si>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</si>
  <si>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</si>
  <si>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</si>
  <si>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</si>
  <si>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</si>
  <si>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</si>
  <si>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</si>
  <si>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</si>
  <si>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</si>
  <si>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</si>
  <si>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</si>
  <si>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</si>
  <si>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</si>
  <si>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</si>
  <si>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</si>
  <si>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</si>
  <si>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</si>
  <si>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</si>
  <si>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</si>
  <si>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</si>
  <si>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</si>
  <si>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</si>
  <si>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</si>
  <si>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</si>
  <si>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</si>
  <si>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</si>
  <si>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</si>
  <si>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</si>
  <si>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</si>
  <si>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</si>
  <si>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</si>
  <si>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</si>
  <si>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</si>
  <si>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Measures - New Measure 01 - Header Details</t>
  </si>
  <si>
    <t>Measures - Measure List</t>
  </si>
  <si>
    <t>Measures - Bulk Process</t>
  </si>
  <si>
    <t>Measures - Upload Measures</t>
  </si>
  <si>
    <t>Measures - Upload Costings</t>
  </si>
  <si>
    <t>ANNUAL ESTIMATES</t>
  </si>
  <si>
    <t>MEASURES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</si>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</sst>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50</xdr:row>
      <xdr:rowOff>55686</xdr:rowOff>
    </xdr:from>
    <xdr:to>
      <xdr:col>22</xdr:col>
      <xdr:colOff>206290</xdr:colOff>
      <xdr:row>50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55</xdr:row>
      <xdr:rowOff>57150</xdr:rowOff>
    </xdr:from>
    <xdr:to>
      <xdr:col>15</xdr:col>
      <xdr:colOff>307716</xdr:colOff>
      <xdr:row>55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55</xdr:row>
      <xdr:rowOff>66675</xdr:rowOff>
    </xdr:from>
    <xdr:to>
      <xdr:col>22</xdr:col>
      <xdr:colOff>289046</xdr:colOff>
      <xdr:row>55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28575</xdr:rowOff>
    </xdr:from>
    <xdr:to>
      <xdr:col>12</xdr:col>
      <xdr:colOff>53340</xdr:colOff>
      <xdr:row>48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55</xdr:row>
      <xdr:rowOff>66675</xdr:rowOff>
    </xdr:from>
    <xdr:to>
      <xdr:col>22</xdr:col>
      <xdr:colOff>289046</xdr:colOff>
      <xdr:row>55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56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47625</xdr:rowOff>
    </xdr:from>
    <xdr:to>
      <xdr:col>14</xdr:col>
      <xdr:colOff>752475</xdr:colOff>
      <xdr:row>59</xdr:row>
      <xdr:rowOff>0</xdr:rowOff>
    </xdr:to>
    <xdr:sp macro="Sheet1.ExecuteAction_b10f447b_cd27_46bf_9585_8c007fa1573a" textlink="TM1HomeAEDataEntryCAP">
      <xdr:nvSpPr>
        <xdr:cNvPr id="2" name="TM1Button_b10f447b_cd27_46bf_9585_8c007fa1573a">
          <a:extLst>
            <a:ext uri="{FF2B5EF4-FFF2-40B4-BE49-F238E27FC236}">
              <a16:creationId xmlns:a16="http://schemas.microsoft.com/office/drawing/2014/main" id="{111D2133-4E07-BCFA-7F1B-6321F2DB47B6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B69E432-A459-4218-9A3B-19B93261F3A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61</xdr:row>
      <xdr:rowOff>57150</xdr:rowOff>
    </xdr:to>
    <xdr:sp macro="Sheet1.ExecuteAction_45333d11_3431_4ca6_8955_b8c984ff0938" textlink="">
      <xdr:nvSpPr>
        <xdr:cNvPr id="3" name="TM1Button_45333d11_3431_4ca6_8955_b8c984ff0938">
          <a:extLst>
            <a:ext uri="{FF2B5EF4-FFF2-40B4-BE49-F238E27FC236}">
              <a16:creationId xmlns:a16="http://schemas.microsoft.com/office/drawing/2014/main" id="{1439B9BB-6BBE-5E02-1C1A-AF55AB18D49D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 List</a:t>
          </a:r>
        </a:p>
      </xdr:txBody>
    </xdr:sp>
    <xdr:clientData/>
  </xdr:twoCellAnchor>
  <xdr:twoCellAnchor editAs="oneCell">
    <xdr:from>
      <xdr:col>18</xdr:col>
      <xdr:colOff>285750</xdr:colOff>
      <xdr:row>61</xdr:row>
      <xdr:rowOff>104775</xdr:rowOff>
    </xdr:from>
    <xdr:to>
      <xdr:col>21</xdr:col>
      <xdr:colOff>1038225</xdr:colOff>
      <xdr:row>63</xdr:row>
      <xdr:rowOff>114300</xdr:rowOff>
    </xdr:to>
    <xdr:sp macro="Sheet1.ExecuteAction_00d0823f_b23b_4ac5_953d_7c2652c77cb3" textlink="">
      <xdr:nvSpPr>
        <xdr:cNvPr id="4" name="TM1Button_00d0823f_b23b_4ac5_953d_7c2652c77cb3">
          <a:extLst>
            <a:ext uri="{FF2B5EF4-FFF2-40B4-BE49-F238E27FC236}">
              <a16:creationId xmlns:a16="http://schemas.microsoft.com/office/drawing/2014/main" id="{BEF0E571-64B8-E06B-5608-86AA48516952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  <xdr:twoCellAnchor editAs="oneCell">
    <xdr:from>
      <xdr:col>18</xdr:col>
      <xdr:colOff>285750</xdr:colOff>
      <xdr:row>63</xdr:row>
      <xdr:rowOff>161925</xdr:rowOff>
    </xdr:from>
    <xdr:to>
      <xdr:col>21</xdr:col>
      <xdr:colOff>1038225</xdr:colOff>
      <xdr:row>65</xdr:row>
      <xdr:rowOff>38100</xdr:rowOff>
    </xdr:to>
    <xdr:sp macro="Sheet1.ExecuteAction_b5839af2_b61d_46cc_9860_245bf7231f5f" textlink="">
      <xdr:nvSpPr>
        <xdr:cNvPr id="5" name="TM1Button_b5839af2_b61d_46cc_9860_245bf7231f5f">
          <a:extLst>
            <a:ext uri="{FF2B5EF4-FFF2-40B4-BE49-F238E27FC236}">
              <a16:creationId xmlns:a16="http://schemas.microsoft.com/office/drawing/2014/main" id="{AAFA912A-683C-ACC6-993E-E5E31FBA618A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Load Costings File</a:t>
          </a:r>
        </a:p>
      </xdr:txBody>
    </xdr:sp>
    <xdr:clientData/>
  </xdr:twoCellAnchor>
  <xdr:twoCellAnchor editAs="oneCell">
    <xdr:from>
      <xdr:col>18</xdr:col>
      <xdr:colOff>285750</xdr:colOff>
      <xdr:row>65</xdr:row>
      <xdr:rowOff>85725</xdr:rowOff>
    </xdr:from>
    <xdr:to>
      <xdr:col>21</xdr:col>
      <xdr:colOff>1038225</xdr:colOff>
      <xdr:row>67</xdr:row>
      <xdr:rowOff>152400</xdr:rowOff>
    </xdr:to>
    <xdr:sp macro="Sheet1.ExecuteAction_aa633c79_bee2_478d_bc1d_c4d6eb33f3e0" textlink="">
      <xdr:nvSpPr>
        <xdr:cNvPr id="6" name="TM1Button_aa633c79_bee2_478d_bc1d_c4d6eb33f3e0">
          <a:extLst>
            <a:ext uri="{FF2B5EF4-FFF2-40B4-BE49-F238E27FC236}">
              <a16:creationId xmlns:a16="http://schemas.microsoft.com/office/drawing/2014/main" id="{5CA21A2A-1091-48A8-ADC7-1E53F8C8F6DB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Measures For Creation</a:t>
          </a:r>
        </a:p>
      </xdr:txBody>
    </xdr:sp>
    <xdr:clientData/>
  </xdr:twoCellAnchor>
  <xdr:twoCellAnchor editAs="oneCell">
    <xdr:from>
      <xdr:col>11</xdr:col>
      <xdr:colOff>0</xdr:colOff>
      <xdr:row>65</xdr:row>
      <xdr:rowOff>114300</xdr:rowOff>
    </xdr:from>
    <xdr:to>
      <xdr:col>14</xdr:col>
      <xdr:colOff>752475</xdr:colOff>
      <xdr:row>68</xdr:row>
      <xdr:rowOff>9525</xdr:rowOff>
    </xdr:to>
    <xdr:sp macro="Sheet1.ExecuteAction_47a75084_1742_41a7_80d0_6c3aa0fa10d7" textlink="TM1HomeAECDMCAP">
      <xdr:nvSpPr>
        <xdr:cNvPr id="7" name="TM1Button_47a75084_1742_41a7_80d0_6c3aa0fa10d7">
          <a:extLst>
            <a:ext uri="{FF2B5EF4-FFF2-40B4-BE49-F238E27FC236}">
              <a16:creationId xmlns:a16="http://schemas.microsoft.com/office/drawing/2014/main" id="{8EAC20BF-E76F-F969-5379-875DE7FD42A6}"/>
            </a:ext>
          </a:extLst>
        </xdr:cNvPr>
        <xdr:cNvSpPr txBox="1"/>
      </xdr:nvSpPr>
      <xdr:spPr>
        <a:xfrm>
          <a:off x="438150" y="33718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335DD8-73FC-437E-B0F4-E37670CA3BD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61</xdr:row>
      <xdr:rowOff>57150</xdr:rowOff>
    </xdr:to>
    <xdr:sp macro="Sheet1.ExecuteAction_16335f18_8a8b_4587_91c8_a71677cd5d94" textlink="TM1HomeAEMeasuresCAP">
      <xdr:nvSpPr>
        <xdr:cNvPr id="8" name="TM1Button_16335f18_8a8b_4587_91c8_a71677cd5d94">
          <a:extLst>
            <a:ext uri="{FF2B5EF4-FFF2-40B4-BE49-F238E27FC236}">
              <a16:creationId xmlns:a16="http://schemas.microsoft.com/office/drawing/2014/main" id="{65C503F0-1516-078B-2EE2-C014BD67F263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3F1BE8-A7CC-46C4-A983-6EA9F84A651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61</xdr:row>
      <xdr:rowOff>104775</xdr:rowOff>
    </xdr:from>
    <xdr:to>
      <xdr:col>14</xdr:col>
      <xdr:colOff>752475</xdr:colOff>
      <xdr:row>63</xdr:row>
      <xdr:rowOff>114300</xdr:rowOff>
    </xdr:to>
    <xdr:sp macro="Sheet1.ExecuteAction_29fb9392_7b96_4d6c_9cf9_319197990292" textlink="TM1HomeAEFFCAP">
      <xdr:nvSpPr>
        <xdr:cNvPr id="10" name="TM1Button_29fb9392_7b96_4d6c_9cf9_319197990292">
          <a:extLst>
            <a:ext uri="{FF2B5EF4-FFF2-40B4-BE49-F238E27FC236}">
              <a16:creationId xmlns:a16="http://schemas.microsoft.com/office/drawing/2014/main" id="{A5FE6BEF-6EDD-F4D3-4C23-D74BB7B96A53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79296D7-73CF-49C9-9EE4-1403F00AD36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63</xdr:row>
      <xdr:rowOff>161925</xdr:rowOff>
    </xdr:from>
    <xdr:to>
      <xdr:col>14</xdr:col>
      <xdr:colOff>752475</xdr:colOff>
      <xdr:row>65</xdr:row>
      <xdr:rowOff>38100</xdr:rowOff>
    </xdr:to>
    <xdr:sp macro="Sheet1.ExecuteAction_b1f6856d_22ee_408b_8d98_9b38985ce51a" textlink="TM1HomeAEAccVarCAP">
      <xdr:nvSpPr>
        <xdr:cNvPr id="13" name="TM1Button_b1f6856d_22ee_408b_8d98_9b38985ce51a">
          <a:extLst>
            <a:ext uri="{FF2B5EF4-FFF2-40B4-BE49-F238E27FC236}">
              <a16:creationId xmlns:a16="http://schemas.microsoft.com/office/drawing/2014/main" id="{FA3C73BC-6786-7E33-C8E6-73A3581F9A81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ED84BD-836A-44F5-9638-66EA4C6B77A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52</xdr:row>
      <xdr:rowOff>47625</xdr:rowOff>
    </xdr:from>
    <xdr:to>
      <xdr:col>13</xdr:col>
      <xdr:colOff>38100</xdr:colOff>
      <xdr:row>54</xdr:row>
      <xdr:rowOff>85725</xdr:rowOff>
    </xdr:to>
    <xdr:sp macro="Sheet1.ExecuteAction_0cce679c_0060_4e77_a908_ba279784af53" textlink="TM1HomeCAP">
      <xdr:nvSpPr>
        <xdr:cNvPr id="14" name="TM1Button_0cce679c_0060_4e77_a908_ba279784af53">
          <a:extLst>
            <a:ext uri="{FF2B5EF4-FFF2-40B4-BE49-F238E27FC236}">
              <a16:creationId xmlns:a16="http://schemas.microsoft.com/office/drawing/2014/main" id="{12F0B5C6-0AD8-41FA-45CE-6D58B5CFA90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A184C83-2DDF-4498-A6A7-25F05AB8CC6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52</xdr:row>
      <xdr:rowOff>47625</xdr:rowOff>
    </xdr:from>
    <xdr:to>
      <xdr:col>15</xdr:col>
      <xdr:colOff>352425</xdr:colOff>
      <xdr:row>54</xdr:row>
      <xdr:rowOff>85725</xdr:rowOff>
    </xdr:to>
    <xdr:sp macro="Sheet1.ExecuteAction_af2f10d6_ec06_42fa_b3c7_a9b376460d0d" textlink="TM1HomeAECAP">
      <xdr:nvSpPr>
        <xdr:cNvPr id="15" name="TM1Button_af2f10d6_ec06_42fa_b3c7_a9b376460d0d">
          <a:extLst>
            <a:ext uri="{FF2B5EF4-FFF2-40B4-BE49-F238E27FC236}">
              <a16:creationId xmlns:a16="http://schemas.microsoft.com/office/drawing/2014/main" id="{BA913B7F-A55B-3292-DAE1-1A7A98B38798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0E5346-91CE-44E6-AB40-9CD5746C984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52</xdr:row>
      <xdr:rowOff>38100</xdr:rowOff>
    </xdr:from>
    <xdr:to>
      <xdr:col>19</xdr:col>
      <xdr:colOff>1104900</xdr:colOff>
      <xdr:row>54</xdr:row>
      <xdr:rowOff>76200</xdr:rowOff>
    </xdr:to>
    <xdr:sp macro="Sheet1.ExecuteAction_82a3ac02_94d3_4675_ba61_6a7a7803607b" textlink="TM1HomeRepCAP">
      <xdr:nvSpPr>
        <xdr:cNvPr id="16" name="TM1Button_82a3ac02_94d3_4675_ba61_6a7a7803607b">
          <a:extLst>
            <a:ext uri="{FF2B5EF4-FFF2-40B4-BE49-F238E27FC236}">
              <a16:creationId xmlns:a16="http://schemas.microsoft.com/office/drawing/2014/main" id="{CA3E4519-8B55-9795-AB01-E3A4A36ED6FC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40F06A-6B54-4512-BC18-786BB82A651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52</xdr:row>
      <xdr:rowOff>38100</xdr:rowOff>
    </xdr:from>
    <xdr:to>
      <xdr:col>22</xdr:col>
      <xdr:colOff>114300</xdr:colOff>
      <xdr:row>54</xdr:row>
      <xdr:rowOff>76200</xdr:rowOff>
    </xdr:to>
    <xdr:sp macro="Sheet1.ExecuteAction_52451717_c6fe_40a2_b9ca_2f5f7c18cb94" textlink="TM1HomeAdminCAP">
      <xdr:nvSpPr>
        <xdr:cNvPr id="17" name="TM1Button_52451717_c6fe_40a2_b9ca_2f5f7c18cb94">
          <a:extLst>
            <a:ext uri="{FF2B5EF4-FFF2-40B4-BE49-F238E27FC236}">
              <a16:creationId xmlns:a16="http://schemas.microsoft.com/office/drawing/2014/main" id="{8B9A253A-D0C8-0EF2-AF0D-DD704FB86389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E68E49-1792-4882-BAD1-415A165112B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56</xdr:row>
      <xdr:rowOff>47625</xdr:rowOff>
    </xdr:from>
    <xdr:to>
      <xdr:col>21</xdr:col>
      <xdr:colOff>1038225</xdr:colOff>
      <xdr:row>59</xdr:row>
      <xdr:rowOff>0</xdr:rowOff>
    </xdr:to>
    <xdr:sp macro="Sheet1.ExecuteAction_71885dbf_28e5_47f9_81bd_a5db08bea78f" textlink="">
      <xdr:nvSpPr>
        <xdr:cNvPr id="18" name="TM1Button_71885dbf_28e5_47f9_81bd_a5db08bea78f">
          <a:extLst>
            <a:ext uri="{FF2B5EF4-FFF2-40B4-BE49-F238E27FC236}">
              <a16:creationId xmlns:a16="http://schemas.microsoft.com/office/drawing/2014/main" id="{573D7FC3-166C-715D-7A30-5EA1939F67FE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85"/>
  <sheetViews>
    <sheetView showGridLines="0" tabSelected="1" topLeftCell="J49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50</v>
      </c>
      <c r="D2" s="4"/>
    </row>
    <row r="3" spans="2:4" ht="14.45" hidden="1" customHeight="1" outlineLevel="1" x14ac:dyDescent="0.25">
      <c r="B3" s="2" t="s">
        <v>2</v>
      </c>
      <c r="C3" s="10" t="e">
        <f ca="1">_xll.VIEW((db_name&amp;":}ElementAttributes_}Clients"),"!","!")</f>
        <v>#NAME?</v>
      </c>
      <c r="D3" s="4"/>
    </row>
    <row r="4" spans="2:4" ht="14.45" hidden="1" customHeight="1" outlineLevel="1" x14ac:dyDescent="0.25">
      <c r="B4" s="2" t="s">
        <v>3</v>
      </c>
      <c r="C4" s="3" t="e">
        <f ca="1">_xll.TM1USER(db_name)</f>
        <v>#NAME?</v>
      </c>
      <c r="D4" s="4"/>
    </row>
    <row r="5" spans="2:4" ht="14.45" hidden="1" customHeight="1" outlineLevel="1" x14ac:dyDescent="0.25">
      <c r="B5" s="2" t="s">
        <v>4</v>
      </c>
      <c r="C5" s="3" t="e">
        <f ca="1">_xll.DBR($C$3,$C$4,$B5)</f>
        <v>#NAME?</v>
      </c>
      <c r="D5" s="4"/>
    </row>
    <row r="6" spans="2:4" ht="14.45" hidden="1" customHeight="1" outlineLevel="1" x14ac:dyDescent="0.25">
      <c r="B6" s="2" t="s">
        <v>5</v>
      </c>
      <c r="C6" s="3" t="e">
        <f ca="1">_xll.DBR($C$3,$C$4,$B6)</f>
        <v>#NAME?</v>
      </c>
      <c r="D6" s="4"/>
    </row>
    <row r="7" spans="2:4" ht="14.45" hidden="1" customHeight="1" outlineLevel="1" x14ac:dyDescent="0.25">
      <c r="B7" s="2" t="s">
        <v>6</v>
      </c>
      <c r="C7" s="3" t="e">
        <f ca="1">IF((LEFT($C$4,6)="CAM_AD"),$C$5,$C$4)</f>
        <v>#NAME?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e">
        <f ca="1">_xll.VIEW((db_name&amp;":}ElementAttributes_variables"),"!","!")</f>
        <v>#NAME?</v>
      </c>
      <c r="D10" s="1"/>
    </row>
    <row r="11" spans="2:4" ht="14.45" hidden="1" customHeight="1" outlineLevel="1" x14ac:dyDescent="0.25">
      <c r="B11" s="2" t="s">
        <v>9</v>
      </c>
      <c r="C11" s="1" t="e">
        <f ca="1">_xll.DBR($C$10,$B11,"value")</f>
        <v>#NAME?</v>
      </c>
      <c r="D11" s="1"/>
    </row>
    <row r="12" spans="2:4" ht="14.45" hidden="1" customHeight="1" outlineLevel="1" x14ac:dyDescent="0.25">
      <c r="B12" s="2" t="s">
        <v>10</v>
      </c>
      <c r="C12" s="1" t="e">
        <f ca="1">_xll.DBR($C$10,$B12,"value")</f>
        <v>#NAME?</v>
      </c>
      <c r="D12" s="1"/>
    </row>
    <row r="13" spans="2:4" ht="14.45" hidden="1" customHeight="1" outlineLevel="1" x14ac:dyDescent="0.25">
      <c r="B13" s="2" t="s">
        <v>11</v>
      </c>
      <c r="C13" s="1" t="e">
        <f ca="1">_xll.DBR($C$10,$B13,"value")</f>
        <v>#NAME?</v>
      </c>
      <c r="D13" s="1"/>
    </row>
    <row r="14" spans="2:4" ht="14.45" hidden="1" customHeight="1" outlineLevel="1" x14ac:dyDescent="0.25">
      <c r="B14" s="2" t="s">
        <v>12</v>
      </c>
      <c r="C14" s="1" t="e">
        <f ca="1">_xll.DBR($C$10,$B14,"value")</f>
        <v>#NAME?</v>
      </c>
      <c r="D14" s="1"/>
    </row>
    <row r="15" spans="2:4" ht="14.45" hidden="1" customHeight="1" outlineLevel="1" x14ac:dyDescent="0.25">
      <c r="B15" s="2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e">
        <f ca="1">_xll.VIEW((db_name&amp;":sys_client preference"),"!","!","!")</f>
        <v>#NAME?</v>
      </c>
      <c r="D18" s="1"/>
    </row>
    <row r="19" spans="2:13" ht="14.45" hidden="1" customHeight="1" outlineLevel="1" x14ac:dyDescent="0.25">
      <c r="B19" s="2" t="s">
        <v>15</v>
      </c>
      <c r="C19" s="1" t="e">
        <f ca="1">_xll.DBR($C$18,psUser,$B19,"value")</f>
        <v>#NAME?</v>
      </c>
      <c r="D19" s="1"/>
    </row>
    <row r="20" spans="2:13" ht="14.45" hidden="1" customHeight="1" outlineLevel="1" x14ac:dyDescent="0.25">
      <c r="B20" s="2" t="s">
        <v>16</v>
      </c>
      <c r="C20" s="1" t="e">
        <f ca="1">_xll.DBR($C$18,psUser,$B20,"value")</f>
        <v>#NAME?</v>
      </c>
      <c r="D20" s="1"/>
    </row>
    <row r="21" spans="2:13" ht="14.45" hidden="1" customHeight="1" outlineLevel="1" x14ac:dyDescent="0.25">
      <c r="B21" s="2" t="s">
        <v>17</v>
      </c>
      <c r="C21" s="1" t="e">
        <f ca="1">_xll.DBR($C$18,psUser,$B21,"value")</f>
        <v>#NAME?</v>
      </c>
      <c r="D21" s="1"/>
    </row>
    <row r="22" spans="2:13" ht="14.45" hidden="1" customHeight="1" outlineLevel="1" x14ac:dyDescent="0.25">
      <c r="B22" s="2" t="s">
        <v>18</v>
      </c>
      <c r="C22" s="1" t="e">
        <f ca="1">_xll.DBR($C$18,psUser,$B22,"value")</f>
        <v>#NAME?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e">
        <f ca="1">_xll.VIEW((db_name&amp;":sys_application"),"!","!")</f>
        <v>#NAME?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  <c r="M28" t="s">
        <v>24</v>
      </c>
    </row>
    <row r="29" spans="2:13" ht="14.45" hidden="1" customHeight="1" outlineLevel="1" x14ac:dyDescent="0.25">
      <c r="B29" s="1" t="s">
        <v>30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  <c r="M29" t="s">
        <v>25</v>
      </c>
    </row>
    <row r="30" spans="2:13" ht="14.45" hidden="1" customHeight="1" outlineLevel="1" x14ac:dyDescent="0.25">
      <c r="B30" s="1" t="s">
        <v>31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  <c r="M30" t="s">
        <v>26</v>
      </c>
    </row>
    <row r="31" spans="2:13" ht="14.45" hidden="1" customHeight="1" outlineLevel="1" x14ac:dyDescent="0.25">
      <c r="B31" s="1" t="s">
        <v>32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  <c r="M31" t="s">
        <v>27</v>
      </c>
    </row>
    <row r="32" spans="2:13" ht="14.45" hidden="1" customHeight="1" outlineLevel="1" x14ac:dyDescent="0.25">
      <c r="B32" s="1" t="s">
        <v>33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  <c r="M32" t="s">
        <v>28</v>
      </c>
    </row>
    <row r="33" spans="2:13" ht="14.45" hidden="1" customHeight="1" outlineLevel="1" x14ac:dyDescent="0.25">
      <c r="B33" s="1" t="s">
        <v>34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  <c r="M33" t="s">
        <v>35</v>
      </c>
    </row>
    <row r="34" spans="2:13" ht="14.45" hidden="1" customHeight="1" outlineLevel="1" x14ac:dyDescent="0.25">
      <c r="B34" s="1" t="s">
        <v>36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13" ht="14.45" hidden="1" customHeight="1" outlineLevel="1" x14ac:dyDescent="0.25">
      <c r="B35" s="1" t="s">
        <v>37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13" ht="14.45" hidden="1" customHeight="1" outlineLevel="1" x14ac:dyDescent="0.25">
      <c r="B36" s="1" t="s">
        <v>38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13" ht="14.45" hidden="1" customHeight="1" outlineLevel="1" x14ac:dyDescent="0.25">
      <c r="B37" s="1" t="s">
        <v>49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13" ht="14.45" hidden="1" customHeight="1" outlineLevel="1" x14ac:dyDescent="0.25">
      <c r="B38" s="1" t="s">
        <v>39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13" ht="14.45" hidden="1" customHeight="1" outlineLevel="1" x14ac:dyDescent="0.25">
      <c r="B39" s="1" t="s">
        <v>40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13" ht="14.45" hidden="1" customHeight="1" outlineLevel="1" x14ac:dyDescent="0.25">
      <c r="B40" s="1" t="s">
        <v>41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13" ht="14.45" hidden="1" customHeight="1" outlineLevel="1" x14ac:dyDescent="0.25">
      <c r="B41" s="1" t="s">
        <v>42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13" ht="14.45" hidden="1" customHeight="1" outlineLevel="1" x14ac:dyDescent="0.25">
      <c r="B42" s="1" t="s">
        <v>43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13" ht="14.45" hidden="1" customHeight="1" outlineLevel="1" x14ac:dyDescent="0.25"/>
    <row r="44" spans="2:13" ht="14.45" hidden="1" customHeight="1" outlineLevel="1" x14ac:dyDescent="0.25"/>
    <row r="45" spans="2:13" ht="14.45" hidden="1" customHeight="1" outlineLevel="1" x14ac:dyDescent="0.25"/>
    <row r="46" spans="2:13" ht="14.45" hidden="1" customHeight="1" outlineLevel="1" x14ac:dyDescent="0.25"/>
    <row r="47" spans="2:13" ht="14.45" hidden="1" customHeight="1" outlineLevel="1" x14ac:dyDescent="0.25"/>
    <row r="48" spans="2:13" ht="14.45" hidden="1" customHeight="1" outlineLevel="1" x14ac:dyDescent="0.25"/>
    <row r="49" spans="10:23" ht="39.75" customHeight="1" collapsed="1" x14ac:dyDescent="0.25"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11" t="e">
        <f ca="1">("Welcome "&amp;psUser)</f>
        <v>#NAME?</v>
      </c>
    </row>
    <row r="50" spans="10:23" ht="4.5" customHeight="1" x14ac:dyDescent="0.25"/>
    <row r="51" spans="10:23" ht="30" customHeight="1" x14ac:dyDescent="0.25">
      <c r="J51" s="6"/>
      <c r="K51" s="19" t="e">
        <f ca="1">$C$15</f>
        <v>#NAME?</v>
      </c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6"/>
      <c r="W51" s="6"/>
    </row>
    <row r="52" spans="10:23" ht="4.5" customHeight="1" x14ac:dyDescent="0.25"/>
    <row r="56" spans="10:23" ht="24.75" customHeight="1" x14ac:dyDescent="0.25">
      <c r="J56" s="7"/>
      <c r="K56" s="7"/>
      <c r="L56" s="14" t="s">
        <v>44</v>
      </c>
      <c r="M56" s="14"/>
      <c r="N56" s="14"/>
      <c r="O56" s="14"/>
      <c r="P56" s="5"/>
      <c r="R56" s="8"/>
      <c r="S56" s="15" t="s">
        <v>45</v>
      </c>
      <c r="T56" s="15"/>
      <c r="U56" s="15"/>
      <c r="V56" s="15"/>
      <c r="W56" s="8"/>
    </row>
    <row r="57" spans="10:23" ht="4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19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4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9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4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19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4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19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4.4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14.4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14.4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4.4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4.4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4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14.4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14.4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14.4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14.4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14.4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4.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14.4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K85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6:O56"/>
    <mergeCell ref="S56:V56"/>
    <mergeCell ref="B1:D1"/>
    <mergeCell ref="B9:D9"/>
    <mergeCell ref="B17:D17"/>
    <mergeCell ref="B25:D25"/>
    <mergeCell ref="K51:U51"/>
  </mergeCells>
  <conditionalFormatting sqref="R56:W56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46</v>
      </c>
    </row>
    <row r="2" spans="1:1" ht="14.45" customHeight="1" x14ac:dyDescent="0.25">
      <c r="A2" t="s">
        <v>47</v>
      </c>
    </row>
    <row r="3" spans="1:1" ht="14.45" customHeight="1" x14ac:dyDescent="0.25">
      <c r="A3" t="s">
        <v>48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Menu</vt:lpstr>
      <vt:lpstr>{PL}PickLst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TM1MeasUploadCostingsCAP</vt:lpstr>
      <vt:lpstr>TM1MeasUploadCostingsWB</vt:lpstr>
      <vt:lpstr>TM1MeasUploadCostingsWS</vt:lpstr>
      <vt:lpstr>TM1MeasUploadWB</vt:lpstr>
      <vt:lpstr>TM1MeasUploadWS</vt:lpstr>
      <vt:lpstr>TM1NewMeas01HeaderCAP</vt:lpstr>
      <vt:lpstr>TM1NewMeas01HeaderWB</vt:lpstr>
      <vt:lpstr>TM1NewMeas01HeaderWS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2023-04-03T06:11:38Z</dcterms:created>
  <dcterms:modified xsi:type="dcterms:W3CDTF">2025-08-11T06:20:27Z</dcterms:modified>
  <cp:category/>
  <cp:contentStatus/>
</cp:coreProperties>
</file>