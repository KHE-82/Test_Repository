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5385998-AF23-4B59-B2C4-D37447494465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ort" sheetId="1" r:id="rId1"/>
  </sheets>
  <definedNames>
    <definedName name="db_name">report!$C$12</definedName>
    <definedName name="psApp">report!$C$36</definedName>
    <definedName name="psHLYear">report!$M$87</definedName>
    <definedName name="psUser">report!$C$14</definedName>
    <definedName name="TM1AdjIDListCAP">report!$D$47</definedName>
    <definedName name="TM1AdjIDListWB">report!$F$47</definedName>
    <definedName name="TM1AnalRptScenCompCAP">report!$D$49</definedName>
    <definedName name="TM1AnalRptScenCompWB">report!$F$49</definedName>
    <definedName name="TM1AnalRptScenCompWS">report!$H$49</definedName>
    <definedName name="TM1HomeAdminBaseCAP">report!$D$45</definedName>
    <definedName name="TM1HomeAdminBaseWB">report!$F$45</definedName>
    <definedName name="TM1HomeAdminBaseWS">report!$H$45</definedName>
    <definedName name="TM1HomeAdminCAP">report!$D$43</definedName>
    <definedName name="TM1HomeAdminRDSCAP">report!$D$44</definedName>
    <definedName name="TM1HomeAdminRDSWB">report!$F$44</definedName>
    <definedName name="TM1HomeAdminRDSWS">report!$H$44</definedName>
    <definedName name="TM1HomeAdminWB">report!$F$43</definedName>
    <definedName name="TM1HomeAdminWS">report!$H$43</definedName>
    <definedName name="TM1HomeAECAP">report!$D$39</definedName>
    <definedName name="TM1HomeAEWB">report!$F$39</definedName>
    <definedName name="TM1HomeAEWS">report!$H$39</definedName>
    <definedName name="TM1HomeCAP">report!$D$38</definedName>
    <definedName name="TM1HomeRepAnalyticalCAP">report!$D$42</definedName>
    <definedName name="TM1HomeRepAnalyticalWB">report!$F$42</definedName>
    <definedName name="TM1HomeRepAnalyticalWS">report!$H$42</definedName>
    <definedName name="TM1HomeRepCAP">report!$D$40</definedName>
    <definedName name="TM1HomeRepOtherCAP">report!$D$41</definedName>
    <definedName name="TM1HomeRepOtherWB">report!$F$41</definedName>
    <definedName name="TM1HomeRepOtherWS">report!$H$41</definedName>
    <definedName name="TM1HomeRepWB">report!$F$40</definedName>
    <definedName name="TM1HomeRepWS">report!$H$40</definedName>
    <definedName name="TM1HomeUnderCAP">report!$D$46</definedName>
    <definedName name="TM1HomeUnderWB">report!$F$46</definedName>
    <definedName name="TM1HomeUnderWS">report!$H$46</definedName>
    <definedName name="TM1HomeWB">report!$F$38</definedName>
    <definedName name="TM1HomeWS">report!$H$38</definedName>
    <definedName name="TM1IDListWS">report!$H$47</definedName>
    <definedName name="TM1REBUILDOPTION">1</definedName>
    <definedName name="TM1RPTDATARNG1" localSheetId="0">report!$95:$95</definedName>
    <definedName name="TM1RPTFMTIDCOL" localSheetId="0">report!$A$1:$A$8</definedName>
    <definedName name="TM1RPTFMTRNG" localSheetId="0">report!$J$1:$AC$8</definedName>
    <definedName name="TM1ViewAdj01HeaderCAP">report!$D$48</definedName>
    <definedName name="TM1ViewAdj01HeaderWB">report!$F$48</definedName>
    <definedName name="TM1ViewAdj01HeaderWS">report!$H$48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C20" i="1" a="1"/>
  <c r="C20" i="1"/>
  <c r="C22" i="1" a="1"/>
  <c r="C22" i="1"/>
  <c r="M87" i="1"/>
  <c r="M83" i="1"/>
  <c r="C67" i="1"/>
  <c r="C58" i="1"/>
  <c r="C59" i="1"/>
  <c r="C65" i="1"/>
  <c r="C64" i="1"/>
  <c r="C60" i="1"/>
  <c r="C61" i="1"/>
  <c r="C68" i="1"/>
  <c r="C66" i="1"/>
  <c r="M82" i="1"/>
  <c r="M84" i="1"/>
  <c r="K90" i="1"/>
  <c r="C62" i="1"/>
  <c r="C63" i="1"/>
  <c r="J19" i="1"/>
  <c r="Q21" i="1" a="1"/>
  <c r="Q21" i="1"/>
  <c r="Q94" i="1"/>
  <c r="Q90" i="1" a="1"/>
  <c r="Q90" i="1"/>
  <c r="W21" i="1" a="1"/>
  <c r="W21" i="1"/>
  <c r="W94" i="1"/>
  <c r="W90" i="1" a="1"/>
  <c r="W90" i="1"/>
  <c r="AC90" i="1"/>
  <c r="P21" i="1" a="1"/>
  <c r="P21" i="1"/>
  <c r="P94" i="1"/>
  <c r="P90" i="1" a="1"/>
  <c r="P90" i="1"/>
  <c r="V21" i="1" a="1"/>
  <c r="V21" i="1"/>
  <c r="V94" i="1"/>
  <c r="V90" i="1" a="1"/>
  <c r="V90" i="1"/>
  <c r="AB90" i="1"/>
  <c r="O21" i="1" a="1"/>
  <c r="O21" i="1"/>
  <c r="O94" i="1"/>
  <c r="O90" i="1" a="1"/>
  <c r="O90" i="1"/>
  <c r="U21" i="1" a="1"/>
  <c r="U21" i="1"/>
  <c r="U94" i="1"/>
  <c r="U90" i="1" a="1"/>
  <c r="U90" i="1"/>
  <c r="AA90" i="1"/>
  <c r="N21" i="1" a="1"/>
  <c r="N21" i="1"/>
  <c r="N94" i="1"/>
  <c r="N90" i="1" a="1"/>
  <c r="N90" i="1"/>
  <c r="T21" i="1" a="1"/>
  <c r="T21" i="1"/>
  <c r="T94" i="1"/>
  <c r="T90" i="1" a="1"/>
  <c r="T90" i="1"/>
  <c r="Z90" i="1"/>
  <c r="C52" i="1"/>
  <c r="T82" i="1" a="1"/>
  <c r="T82" i="1"/>
  <c r="C56" i="1"/>
  <c r="L95" i="1" a="1"/>
  <c r="L95" i="1"/>
  <c r="K95" i="1" a="1"/>
  <c r="K95" i="1"/>
  <c r="C54" i="1"/>
  <c r="J95" i="1" a="1"/>
  <c r="J95" i="1"/>
  <c r="C23" i="1" a="1"/>
  <c r="C23" i="1"/>
  <c r="M88" i="1" a="1"/>
  <c r="M88" i="1"/>
  <c r="C24" i="1" a="1"/>
  <c r="C24" i="1"/>
  <c r="S87" i="1"/>
  <c r="C25" i="1" a="1"/>
  <c r="C25" i="1"/>
  <c r="S88" i="1" a="1"/>
  <c r="S88" i="1"/>
  <c r="M21" i="1" a="1"/>
  <c r="M21" i="1"/>
  <c r="M94" i="1"/>
  <c r="S21" i="1" a="1"/>
  <c r="S21" i="1"/>
  <c r="S94" i="1"/>
  <c r="C35" i="1"/>
  <c r="B1" i="1"/>
  <c r="X95" i="1" a="1"/>
  <c r="X95" i="1"/>
  <c r="W95" i="1" a="1"/>
  <c r="W95" i="1"/>
  <c r="V95" i="1" a="1"/>
  <c r="V95" i="1"/>
  <c r="U95" i="1" a="1"/>
  <c r="U95" i="1"/>
  <c r="T95" i="1" a="1"/>
  <c r="T95" i="1"/>
  <c r="S95" i="1" a="1"/>
  <c r="S95" i="1"/>
  <c r="R95" i="1" a="1"/>
  <c r="R95" i="1"/>
  <c r="Q95" i="1" a="1"/>
  <c r="Q95" i="1"/>
  <c r="P95" i="1" a="1"/>
  <c r="P95" i="1"/>
  <c r="O95" i="1" a="1"/>
  <c r="O95" i="1"/>
  <c r="N95" i="1" a="1"/>
  <c r="N95" i="1"/>
  <c r="M95" i="1" a="1"/>
  <c r="M95" i="1"/>
  <c r="A95" i="1" a="1"/>
  <c r="A95" i="1"/>
  <c r="AC21" i="1" a="1"/>
  <c r="AC21" i="1"/>
  <c r="AC94" i="1"/>
  <c r="AB21" i="1" a="1"/>
  <c r="AB21" i="1"/>
  <c r="AB94" i="1"/>
  <c r="AA21" i="1" a="1"/>
  <c r="AA21" i="1"/>
  <c r="AA94" i="1"/>
  <c r="Z21" i="1" a="1"/>
  <c r="Z21" i="1"/>
  <c r="Z94" i="1"/>
  <c r="S90" i="1" a="1"/>
  <c r="S90" i="1"/>
  <c r="M90" i="1" a="1"/>
  <c r="M9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C28" i="1" a="1"/>
  <c r="C28" i="1"/>
  <c r="C14" i="1" a="1"/>
  <c r="C14" i="1"/>
  <c r="C32" i="1" a="1"/>
  <c r="C32" i="1"/>
  <c r="C31" i="1" a="1"/>
  <c r="C31" i="1"/>
  <c r="C30" i="1" a="1"/>
  <c r="C30" i="1"/>
  <c r="C29" i="1" a="1"/>
  <c r="C29" i="1"/>
  <c r="Y21" i="1" a="1"/>
  <c r="Y21" i="1"/>
  <c r="C13" i="1" a="1"/>
  <c r="C13" i="1"/>
  <c r="C16" i="1" a="1"/>
  <c r="C16" i="1"/>
  <c r="C15" i="1" a="1"/>
  <c r="C15" i="1"/>
  <c r="S93" i="1"/>
  <c r="M93" i="1"/>
  <c r="Y90" i="1"/>
  <c r="AC95" i="1"/>
  <c r="AB95" i="1"/>
  <c r="AA95" i="1"/>
  <c r="Z95" i="1"/>
  <c r="Y95" i="1"/>
  <c r="Y94" i="1"/>
  <c r="AC89" i="1"/>
  <c r="AB89" i="1"/>
  <c r="AA89" i="1"/>
  <c r="Z89" i="1"/>
  <c r="Y89" i="1"/>
  <c r="W89" i="1"/>
  <c r="V89" i="1"/>
  <c r="U89" i="1"/>
  <c r="T89" i="1"/>
  <c r="S89" i="1"/>
  <c r="Q89" i="1"/>
  <c r="P89" i="1"/>
  <c r="O89" i="1"/>
  <c r="N89" i="1"/>
  <c r="M89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<sst xmlns="http://schemas.openxmlformats.org/spreadsheetml/2006/main" count="111" uniqueCount="93">
  <si>
    <t>headline year</t>
  </si>
  <si>
    <t>current</t>
  </si>
  <si>
    <t>CBMS RECO</t>
  </si>
  <si>
    <t>D</t>
  </si>
  <si>
    <t>N</t>
  </si>
  <si>
    <t>[Begin Format Range]</t>
  </si>
  <si>
    <t>[End Format Range]</t>
  </si>
  <si>
    <t>CBMS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</si>
  <si>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</si>
  <si>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</si>
  <si>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</si>
  <si>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</si>
  <si>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</si>
  <si>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</si>
  <si>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</si>
  <si>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</si>
  <si>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</si>
  <si>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Variable measure</t>
  </si>
  <si>
    <t>value</t>
  </si>
  <si>
    <t>importance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</si>
  <si>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</si>
  <si>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</si>
  <si>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</si>
  <si>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</si>
  <si>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</si>
  <si>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</si>
  <si>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</si>
  <si>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</si>
  <si>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sys_clilent favourite application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</si>
  <si>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</si>
  <si>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</si>
  <si>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</si>
  <si>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</si>
  <si>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</si>
  <si>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</si>
  <si>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</si>
  <si>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</si>
  <si>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</si>
  <si>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</si>
  <si>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</si>
  <si>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</si>
  <si>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</si>
  <si>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</si>
  <si>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Under Construction</t>
  </si>
  <si>
    <t>Adjustment - ID List</t>
  </si>
  <si>
    <t>Homepage - Administration - Baseline</t>
  </si>
  <si>
    <t>Active Form</t>
  </si>
  <si>
    <t>Slice View</t>
  </si>
  <si>
    <t>Account MDX</t>
  </si>
  <si>
    <t>Account</t>
  </si>
  <si>
    <t>Status :</t>
  </si>
  <si>
    <t>Outcome :</t>
  </si>
  <si>
    <t>Related Entity :</t>
  </si>
  <si>
    <t>Function :</t>
  </si>
  <si>
    <t xml:space="preserve">Reason : </t>
  </si>
  <si>
    <t xml:space="preserve">SPP : </t>
  </si>
  <si>
    <t xml:space="preserve">Measure Code  : </t>
  </si>
  <si>
    <t>Appropriation Type :</t>
  </si>
  <si>
    <t>Appropriation Item :</t>
  </si>
  <si>
    <t xml:space="preserve">ID : </t>
  </si>
  <si>
    <t>Jurisdiction :</t>
  </si>
  <si>
    <t>Account :</t>
  </si>
  <si>
    <t>Movement Account :</t>
  </si>
  <si>
    <t>Index Change</t>
  </si>
  <si>
    <t>Period</t>
  </si>
  <si>
    <t>REPORT PARAMETERS</t>
  </si>
  <si>
    <t>MA MDX</t>
  </si>
  <si>
    <t>Movement Account</t>
  </si>
  <si>
    <t>ID</t>
  </si>
  <si>
    <t>{TM1FILTERBYLEVEL( {TM1SUBSETALL( [movement account] )}, 0)}</t>
  </si>
  <si>
    <t>ID MDX</t>
  </si>
  <si>
    <t>{TM1FILTERBYLEVEL( {TM1SUBSETALL( [id] )}, 0)}</t>
  </si>
  <si>
    <t>{[movement account].[Total movement]}</t>
  </si>
  <si>
    <t>Data Entry - View Adj 01 - Header Details</t>
  </si>
  <si>
    <t>Note : Highlight any Financial Values to View Adjustment</t>
  </si>
  <si>
    <t>Analytical Reports - Scenario Comparison</t>
  </si>
  <si>
    <t xml:space="preserve">Scenario 1 </t>
  </si>
  <si>
    <t xml:space="preserve">Scenario 2 </t>
  </si>
  <si>
    <t>Variance (Scenario 1 - Scenario 2)</t>
  </si>
  <si>
    <t xml:space="preserve">Select Scenario : </t>
  </si>
  <si>
    <t>Note : Report can be filtered to drill down to see specific account code using the Report Parameters. Select Scenario 1 and 2 for comparison</t>
  </si>
  <si>
    <t xml:space="preserve">Select Headline Year : </t>
  </si>
  <si>
    <t>Homepage - Reports - Analytical</t>
  </si>
  <si>
    <t>{[id].[Total IDs]}</t>
  </si>
  <si>
    <t>DISPLAY SETTINGS</t>
  </si>
  <si>
    <t>Report Display</t>
  </si>
  <si>
    <t xml:space="preserve">Total IDs and 0000A are not viewable adjustment IDs. </t>
  </si>
  <si>
    <t>Note : Scenario 1 is the driver for financial periods.</t>
  </si>
  <si>
    <t>Note : Scenario 2 is default to LAST KNOWN Archive.</t>
  </si>
  <si>
    <t>Analytical Report - Compare Scenario</t>
  </si>
  <si>
    <t>Homepage - Reports - Other</t>
  </si>
  <si>
    <t>Program :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</si>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</sst>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E7E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 applyAlignment="1">
      <alignment horizontal="right" vertical="top" indent="1"/>
    </xf>
    <xf numFmtId="164" fontId="4" fillId="0" borderId="4" xfId="0" applyNumberFormat="1" applyFont="1" applyBorder="1"/>
    <xf numFmtId="0" fontId="4" fillId="0" borderId="4" xfId="0" applyFont="1" applyBorder="1"/>
    <xf numFmtId="0" fontId="4" fillId="5" borderId="4" xfId="0" applyFont="1" applyFill="1" applyBorder="1"/>
    <xf numFmtId="164" fontId="4" fillId="5" borderId="4" xfId="0" applyNumberFormat="1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164" fontId="4" fillId="6" borderId="4" xfId="0" applyNumberFormat="1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5" fillId="6" borderId="5" xfId="0" applyNumberFormat="1" applyFont="1" applyFill="1" applyBorder="1"/>
    <xf numFmtId="164" fontId="4" fillId="5" borderId="5" xfId="0" applyNumberFormat="1" applyFont="1" applyFill="1" applyBorder="1"/>
    <xf numFmtId="164" fontId="4" fillId="0" borderId="5" xfId="0" applyNumberFormat="1" applyFont="1" applyBorder="1"/>
    <xf numFmtId="0" fontId="1" fillId="4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top" indent="1"/>
    </xf>
    <xf numFmtId="0" fontId="6" fillId="4" borderId="0" xfId="0" applyFont="1" applyFill="1" applyAlignment="1">
      <alignment horizontal="right" vertical="center"/>
    </xf>
    <xf numFmtId="0" fontId="1" fillId="4" borderId="1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0" borderId="13" xfId="0" applyBorder="1"/>
    <xf numFmtId="0" fontId="2" fillId="0" borderId="0" xfId="0" applyFont="1" applyAlignment="1">
      <alignment horizontal="right" indent="1"/>
    </xf>
    <xf numFmtId="0" fontId="0" fillId="0" borderId="4" xfId="0" applyBorder="1" applyAlignment="1" applyProtection="1">
      <alignment horizontal="center"/>
      <protection locked="0"/>
    </xf>
    <xf numFmtId="165" fontId="4" fillId="0" borderId="4" xfId="0" applyNumberFormat="1" applyFont="1" applyBorder="1" applyAlignment="1">
      <alignment horizontal="center"/>
    </xf>
    <xf numFmtId="49" fontId="4" fillId="0" borderId="4" xfId="0" applyNumberFormat="1" applyFont="1" applyBorder="1"/>
    <xf numFmtId="165" fontId="4" fillId="0" borderId="4" xfId="0" applyNumberFormat="1" applyFont="1" applyBorder="1"/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7" fillId="0" borderId="0" xfId="0" applyFont="1" applyAlignment="1">
      <alignment horizontal="left" inden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left" indent="1"/>
      <protection locked="0"/>
    </xf>
    <xf numFmtId="0" fontId="8" fillId="0" borderId="0" xfId="0" applyFont="1" applyAlignment="1">
      <alignment horizontal="right" indent="1"/>
    </xf>
    <xf numFmtId="0" fontId="8" fillId="0" borderId="13" xfId="0" applyFont="1" applyBorder="1" applyAlignment="1">
      <alignment horizontal="right" indent="1"/>
    </xf>
    <xf numFmtId="0" fontId="2" fillId="0" borderId="0" xfId="0" applyFont="1" applyAlignment="1">
      <alignment horizontal="right" vertical="top" indent="1"/>
    </xf>
    <xf numFmtId="0" fontId="2" fillId="0" borderId="13" xfId="0" applyFont="1" applyBorder="1" applyAlignment="1">
      <alignment horizontal="right" vertical="top" indent="1"/>
    </xf>
    <xf numFmtId="0" fontId="1" fillId="7" borderId="20" xfId="0" applyFont="1" applyFill="1" applyBorder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7" fillId="0" borderId="0" xfId="0" applyFont="1" applyAlignment="1">
      <alignment horizontal="right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8" borderId="17" xfId="0" applyFont="1" applyFill="1" applyBorder="1" applyAlignment="1" applyProtection="1">
      <alignment horizontal="center" vertical="center"/>
      <protection locked="0"/>
    </xf>
    <xf numFmtId="0" fontId="9" fillId="8" borderId="18" xfId="0" applyFont="1" applyFill="1" applyBorder="1" applyAlignment="1" applyProtection="1">
      <alignment horizontal="center" vertical="center"/>
      <protection locked="0"/>
    </xf>
    <xf numFmtId="0" fontId="9" fillId="8" borderId="19" xfId="0" applyFont="1" applyFill="1" applyBorder="1" applyAlignment="1" applyProtection="1">
      <alignment horizontal="center" vertical="center"/>
      <protection locked="0"/>
    </xf>
    <xf numFmtId="0" fontId="7" fillId="0" borderId="14" xfId="0" applyFont="1" applyBorder="1" applyAlignment="1">
      <alignment horizontal="center"/>
    </xf>
    <xf numFmtId="0" fontId="9" fillId="8" borderId="1" xfId="0" applyFont="1" applyFill="1" applyBorder="1" applyAlignment="1" applyProtection="1">
      <alignment horizontal="center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BE7E6"/>
      <color rgb="FFBBE7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20"/>
  <ax:ocxPr ax:name="_ExtentY" ax:value="318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nalytical Reports Menu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RepAnalyticalWB"/>
  <ax:ocxPr ax:name="TargetWorksheetName" ax:value="=TM1HomeRepAnalytical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RepAnalytical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7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71</xdr:row>
      <xdr:rowOff>19050</xdr:rowOff>
    </xdr:from>
    <xdr:to>
      <xdr:col>9</xdr:col>
      <xdr:colOff>1790700</xdr:colOff>
      <xdr:row>71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76200</xdr:colOff>
          <xdr:row>73</xdr:row>
          <xdr:rowOff>0</xdr:rowOff>
        </xdr:from>
        <xdr:to>
          <xdr:col>12</xdr:col>
          <xdr:colOff>857250</xdr:colOff>
          <xdr:row>73</xdr:row>
          <xdr:rowOff>247650</xdr:rowOff>
        </xdr:to>
        <xdr:sp macro="" textlink="">
          <xdr:nvSpPr>
            <xdr:cNvPr id="1239" name="TIButton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73</xdr:row>
          <xdr:rowOff>0</xdr:rowOff>
        </xdr:from>
        <xdr:to>
          <xdr:col>9</xdr:col>
          <xdr:colOff>676275</xdr:colOff>
          <xdr:row>73</xdr:row>
          <xdr:rowOff>247650</xdr:rowOff>
        </xdr:to>
        <xdr:sp macro="" textlink="">
          <xdr:nvSpPr>
            <xdr:cNvPr id="1240" name="TIButton3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257175</xdr:colOff>
          <xdr:row>73</xdr:row>
          <xdr:rowOff>0</xdr:rowOff>
        </xdr:from>
        <xdr:to>
          <xdr:col>10</xdr:col>
          <xdr:colOff>1762125</xdr:colOff>
          <xdr:row>73</xdr:row>
          <xdr:rowOff>247650</xdr:rowOff>
        </xdr:to>
        <xdr:sp macro="" textlink="">
          <xdr:nvSpPr>
            <xdr:cNvPr id="1241" name="TIButton2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657225</xdr:colOff>
          <xdr:row>72</xdr:row>
          <xdr:rowOff>28575</xdr:rowOff>
        </xdr:from>
        <xdr:to>
          <xdr:col>24</xdr:col>
          <xdr:colOff>0</xdr:colOff>
          <xdr:row>73</xdr:row>
          <xdr:rowOff>285750</xdr:rowOff>
        </xdr:to>
        <xdr:sp macro="" textlink="">
          <xdr:nvSpPr>
            <xdr:cNvPr id="1296" name="TIButton6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1809750</xdr:colOff>
          <xdr:row>73</xdr:row>
          <xdr:rowOff>0</xdr:rowOff>
        </xdr:from>
        <xdr:to>
          <xdr:col>11</xdr:col>
          <xdr:colOff>495300</xdr:colOff>
          <xdr:row>73</xdr:row>
          <xdr:rowOff>247650</xdr:rowOff>
        </xdr:to>
        <xdr:sp macro="" textlink="">
          <xdr:nvSpPr>
            <xdr:cNvPr id="1298" name="TIButton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1571625</xdr:colOff>
          <xdr:row>73</xdr:row>
          <xdr:rowOff>0</xdr:rowOff>
        </xdr:from>
        <xdr:to>
          <xdr:col>10</xdr:col>
          <xdr:colOff>219075</xdr:colOff>
          <xdr:row>73</xdr:row>
          <xdr:rowOff>247650</xdr:rowOff>
        </xdr:to>
        <xdr:sp macro="" textlink="">
          <xdr:nvSpPr>
            <xdr:cNvPr id="1299" name="TIButton4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73</xdr:row>
          <xdr:rowOff>0</xdr:rowOff>
        </xdr:from>
        <xdr:to>
          <xdr:col>9</xdr:col>
          <xdr:colOff>1524000</xdr:colOff>
          <xdr:row>73</xdr:row>
          <xdr:rowOff>247650</xdr:rowOff>
        </xdr:to>
        <xdr:sp macro="" textlink="">
          <xdr:nvSpPr>
            <xdr:cNvPr id="1300" name="TIButton5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C95"/>
  <sheetViews>
    <sheetView showGridLines="0" showRowColHeaders="0" tabSelected="1" showOutlineSymbols="0" topLeftCell="A72" workbookViewId="0">
      <pane xSplit="12" ySplit="23" topLeftCell="M95" activePane="bottomRight" state="frozen"/>
      <selection activeCell="I72" sqref="I72"/>
      <selection pane="topRight" activeCell="M72" sqref="M72"/>
      <selection pane="bottomLeft" activeCell="I95" sqref="I95"/>
      <selection pane="bottomRight" activeCell="M82" sqref="M82:O82"/>
    </sheetView>
  </sheetViews>
  <sheetFormatPr defaultRowHeight="15" outlineLevelRow="1" outlineLevelCol="1" x14ac:dyDescent="0.25"/>
  <cols>
    <col min="1" max="1" width="2.7109375" hidden="1" customWidth="1" outlineLevel="1"/>
    <col min="2" max="2" width="50.5703125" hidden="1" customWidth="1" outlineLevel="1"/>
    <col min="3" max="8" width="20.28515625" hidden="1" customWidth="1" outlineLevel="1"/>
    <col min="9" max="9" width="0.85546875" customWidth="1" collapsed="1"/>
    <col min="10" max="10" width="40.7109375" customWidth="1"/>
    <col min="11" max="11" width="30.7109375" customWidth="1"/>
    <col min="12" max="12" width="10.7109375" customWidth="1"/>
    <col min="13" max="17" width="13.7109375" customWidth="1"/>
    <col min="18" max="18" width="0.85546875" customWidth="1"/>
    <col min="19" max="23" width="13.7109375" customWidth="1"/>
    <col min="24" max="24" width="0.85546875" customWidth="1"/>
    <col min="25" max="29" width="13.7109375" customWidth="1"/>
  </cols>
  <sheetData>
    <row r="1" spans="1:29" hidden="1" outlineLevel="1" x14ac:dyDescent="0.25">
      <c r="A1" t="s">
        <v>5</v>
      </c>
      <c r="B1" t="e">
        <f ca="1">_xll.VIEW(db_name&amp;":AE adjustments",$M$87,"!",$M$83,$C$67,$C$58,$C$59,$C$65,$C$64,$C$60,$C$61,$C$68,$C$66,$M$82,"!",$C$62,$C$63,"!")</f>
        <v>#NAME?</v>
      </c>
    </row>
    <row r="2" spans="1:29" hidden="1" outlineLevel="1" x14ac:dyDescent="0.25">
      <c r="A2">
        <f>0</f>
        <v>0</v>
      </c>
      <c r="J2" s="14"/>
      <c r="K2" s="14"/>
      <c r="L2" s="26"/>
      <c r="M2" s="15"/>
      <c r="N2" s="15"/>
      <c r="O2" s="15"/>
      <c r="P2" s="15"/>
      <c r="Q2" s="15"/>
      <c r="R2" s="19"/>
      <c r="S2" s="15"/>
      <c r="T2" s="15"/>
      <c r="U2" s="15"/>
      <c r="V2" s="15"/>
      <c r="W2" s="15"/>
      <c r="X2" s="19"/>
      <c r="Y2" s="15"/>
      <c r="Z2" s="15"/>
      <c r="AA2" s="15"/>
      <c r="AB2" s="15"/>
      <c r="AC2" s="15"/>
    </row>
    <row r="3" spans="1:29" hidden="1" outlineLevel="1" x14ac:dyDescent="0.25">
      <c r="A3">
        <f>1</f>
        <v>1</v>
      </c>
      <c r="J3" s="14"/>
      <c r="K3" s="14"/>
      <c r="L3" s="26"/>
      <c r="M3" s="15"/>
      <c r="N3" s="15"/>
      <c r="O3" s="15"/>
      <c r="P3" s="15"/>
      <c r="Q3" s="15"/>
      <c r="R3" s="19"/>
      <c r="S3" s="15"/>
      <c r="T3" s="15"/>
      <c r="U3" s="15"/>
      <c r="V3" s="15"/>
      <c r="W3" s="15"/>
      <c r="X3" s="19"/>
      <c r="Y3" s="15"/>
      <c r="Z3" s="15"/>
      <c r="AA3" s="15"/>
      <c r="AB3" s="15"/>
      <c r="AC3" s="15"/>
    </row>
    <row r="4" spans="1:29" hidden="1" outlineLevel="1" x14ac:dyDescent="0.25">
      <c r="A4">
        <f>2</f>
        <v>2</v>
      </c>
      <c r="J4" s="14"/>
      <c r="K4" s="14"/>
      <c r="L4" s="26"/>
      <c r="M4" s="15"/>
      <c r="N4" s="15"/>
      <c r="O4" s="15"/>
      <c r="P4" s="15"/>
      <c r="Q4" s="15"/>
      <c r="R4" s="19"/>
      <c r="S4" s="15"/>
      <c r="T4" s="15"/>
      <c r="U4" s="15"/>
      <c r="V4" s="15"/>
      <c r="W4" s="15"/>
      <c r="X4" s="19"/>
      <c r="Y4" s="15"/>
      <c r="Z4" s="15"/>
      <c r="AA4" s="15"/>
      <c r="AB4" s="15"/>
      <c r="AC4" s="15"/>
    </row>
    <row r="5" spans="1:29" hidden="1" outlineLevel="1" x14ac:dyDescent="0.25">
      <c r="A5">
        <f>3</f>
        <v>3</v>
      </c>
      <c r="J5" s="14"/>
      <c r="K5" s="14"/>
      <c r="L5" s="26"/>
      <c r="M5" s="15"/>
      <c r="N5" s="15"/>
      <c r="O5" s="15"/>
      <c r="P5" s="15"/>
      <c r="Q5" s="15"/>
      <c r="R5" s="19"/>
      <c r="S5" s="15"/>
      <c r="T5" s="15"/>
      <c r="U5" s="15"/>
      <c r="V5" s="15"/>
      <c r="W5" s="15"/>
      <c r="X5" s="19"/>
      <c r="Y5" s="15"/>
      <c r="Z5" s="15"/>
      <c r="AA5" s="15"/>
      <c r="AB5" s="15"/>
      <c r="AC5" s="15"/>
    </row>
    <row r="6" spans="1:29" hidden="1" outlineLevel="1" x14ac:dyDescent="0.25">
      <c r="A6" t="s">
        <v>3</v>
      </c>
      <c r="J6" s="12"/>
      <c r="K6" s="12"/>
      <c r="L6" s="27"/>
      <c r="M6" s="13"/>
      <c r="N6" s="13"/>
      <c r="O6" s="13"/>
      <c r="P6" s="13"/>
      <c r="Q6" s="13"/>
      <c r="R6" s="20"/>
      <c r="S6" s="13"/>
      <c r="T6" s="13"/>
      <c r="U6" s="13"/>
      <c r="V6" s="13"/>
      <c r="W6" s="13"/>
      <c r="X6" s="20"/>
      <c r="Y6" s="13"/>
      <c r="Z6" s="13"/>
      <c r="AA6" s="13"/>
      <c r="AB6" s="13"/>
      <c r="AC6" s="13"/>
    </row>
    <row r="7" spans="1:29" hidden="1" outlineLevel="1" x14ac:dyDescent="0.25">
      <c r="A7" t="s">
        <v>4</v>
      </c>
      <c r="J7" s="11"/>
      <c r="K7" s="11"/>
      <c r="L7" s="28"/>
      <c r="M7" s="10"/>
      <c r="N7" s="10"/>
      <c r="O7" s="10"/>
      <c r="P7" s="10"/>
      <c r="Q7" s="10"/>
      <c r="R7" s="21"/>
      <c r="S7" s="10"/>
      <c r="T7" s="10"/>
      <c r="U7" s="10"/>
      <c r="V7" s="10"/>
      <c r="W7" s="10"/>
      <c r="X7" s="21"/>
      <c r="Y7" s="10"/>
      <c r="Z7" s="10"/>
      <c r="AA7" s="10"/>
      <c r="AB7" s="10"/>
      <c r="AC7" s="10"/>
    </row>
    <row r="8" spans="1:29" hidden="1" outlineLevel="1" x14ac:dyDescent="0.25">
      <c r="A8" t="s">
        <v>6</v>
      </c>
    </row>
    <row r="9" spans="1:29" hidden="1" outlineLevel="1" x14ac:dyDescent="0.25"/>
    <row r="10" spans="1:29" hidden="1" outlineLevel="1" x14ac:dyDescent="0.25"/>
    <row r="11" spans="1:29" hidden="1" outlineLevel="1" x14ac:dyDescent="0.25">
      <c r="B11" s="60" t="s">
        <v>8</v>
      </c>
      <c r="C11" s="61"/>
      <c r="D11" s="62"/>
    </row>
    <row r="12" spans="1:29" hidden="1" outlineLevel="1" x14ac:dyDescent="0.25">
      <c r="B12" s="2" t="s">
        <v>9</v>
      </c>
      <c r="C12" s="3" t="s">
        <v>92</v>
      </c>
      <c r="D12" s="4"/>
    </row>
    <row r="13" spans="1:29" hidden="1" outlineLevel="1" x14ac:dyDescent="0.25">
      <c r="B13" s="2" t="s">
        <v>10</v>
      </c>
      <c r="C13" s="5" t="e" cm="1">
        <f t="array" aca="1" ref="C13" ca="1">_xll.VIEW(db_name&amp;":}ElementAttributes_}Clients","!","!")</f>
        <v>#NAME?</v>
      </c>
      <c r="D13" s="4"/>
    </row>
    <row r="14" spans="1:29" hidden="1" outlineLevel="1" x14ac:dyDescent="0.25">
      <c r="B14" s="2" t="s">
        <v>11</v>
      </c>
      <c r="C14" s="3" t="e" cm="1">
        <f t="array" aca="1" ref="C14" ca="1">_xll.TM1USER(db_name)</f>
        <v>#NAME?</v>
      </c>
      <c r="D14" s="4"/>
    </row>
    <row r="15" spans="1:29" hidden="1" outlineLevel="1" x14ac:dyDescent="0.25">
      <c r="B15" s="2" t="s">
        <v>12</v>
      </c>
      <c r="C15" s="3" t="e" cm="1">
        <f t="array" aca="1" ref="C15" ca="1">_xll.DBR($C$13,$C$14,$B15)</f>
        <v>#NAME?</v>
      </c>
      <c r="D15" s="4"/>
    </row>
    <row r="16" spans="1:29" hidden="1" outlineLevel="1" x14ac:dyDescent="0.25">
      <c r="B16" s="2" t="s">
        <v>13</v>
      </c>
      <c r="C16" s="3" t="e" cm="1">
        <f t="array" aca="1" ref="C16" ca="1">_xll.DBR($C$13,$C$14,$B16)</f>
        <v>#NAME?</v>
      </c>
      <c r="D16" s="4"/>
    </row>
    <row r="17" spans="2:29" hidden="1" outlineLevel="1" x14ac:dyDescent="0.25">
      <c r="B17" s="2" t="s">
        <v>14</v>
      </c>
      <c r="C17" s="3" t="e">
        <f ca="1">IF(LEFT($C$14,6)="CAM_AD",$C$15,$C$14)</f>
        <v>#NAME?</v>
      </c>
      <c r="D17" s="6"/>
    </row>
    <row r="18" spans="2:29" hidden="1" outlineLevel="1" x14ac:dyDescent="0.25"/>
    <row r="19" spans="2:29" hidden="1" outlineLevel="1" x14ac:dyDescent="0.25">
      <c r="B19" s="60" t="s">
        <v>15</v>
      </c>
      <c r="C19" s="61"/>
      <c r="D19" s="62"/>
      <c r="J19" s="6" t="e">
        <f ca="1">RIGHT(psHLYear,9)</f>
        <v>#NAME?</v>
      </c>
    </row>
    <row r="20" spans="2:29" hidden="1" outlineLevel="1" x14ac:dyDescent="0.25">
      <c r="B20" s="2" t="s">
        <v>16</v>
      </c>
      <c r="C20" s="6" t="e" cm="1">
        <f t="array" aca="1" ref="C20" ca="1">_xll.VIEW(db_name&amp;":}ElementAttributes_variables","!","!")</f>
        <v>#NAME?</v>
      </c>
      <c r="D20" s="6"/>
      <c r="J20" s="6" t="s">
        <v>63</v>
      </c>
      <c r="K20" s="6"/>
      <c r="L20" s="6"/>
      <c r="M20" s="6">
        <v>-1</v>
      </c>
      <c r="N20" s="6">
        <v>0</v>
      </c>
      <c r="O20" s="6">
        <v>1</v>
      </c>
      <c r="P20" s="6">
        <v>2</v>
      </c>
      <c r="Q20" s="6">
        <v>3</v>
      </c>
      <c r="R20" s="6"/>
      <c r="S20" s="6">
        <v>-1</v>
      </c>
      <c r="T20" s="6">
        <v>0</v>
      </c>
      <c r="U20" s="6">
        <v>1</v>
      </c>
      <c r="V20" s="6">
        <v>2</v>
      </c>
      <c r="W20" s="6">
        <v>3</v>
      </c>
      <c r="X20" s="6"/>
      <c r="Y20" s="6">
        <v>-1</v>
      </c>
      <c r="Z20" s="6">
        <v>0</v>
      </c>
      <c r="AA20" s="6">
        <v>1</v>
      </c>
      <c r="AB20" s="6">
        <v>2</v>
      </c>
      <c r="AC20" s="6">
        <v>3</v>
      </c>
    </row>
    <row r="21" spans="2:29" hidden="1" outlineLevel="1" x14ac:dyDescent="0.25">
      <c r="B21" s="2" t="s">
        <v>17</v>
      </c>
      <c r="C21" s="6" t="s">
        <v>18</v>
      </c>
      <c r="D21" s="6" t="s">
        <v>19</v>
      </c>
      <c r="J21" t="s">
        <v>64</v>
      </c>
      <c r="M21" s="6" t="e" cm="1">
        <f t="array" aca="1" ref="M21" ca="1">_xll.DIMNM(db_name&amp;":period",_xll.DIMIX(db_name&amp;":period",$J$19)+M20)</f>
        <v>#NAME?</v>
      </c>
      <c r="N21" s="6" t="e" cm="1">
        <f t="array" aca="1" ref="N21" ca="1">_xll.DIMNM(db_name&amp;":period",_xll.DIMIX(db_name&amp;":period",$J$19)+N20)</f>
        <v>#NAME?</v>
      </c>
      <c r="O21" s="6" t="e" cm="1">
        <f t="array" aca="1" ref="O21" ca="1">_xll.DIMNM(db_name&amp;":period",_xll.DIMIX(db_name&amp;":period",$J$19)+O20)</f>
        <v>#NAME?</v>
      </c>
      <c r="P21" s="6" t="e" cm="1">
        <f t="array" aca="1" ref="P21" ca="1">_xll.DIMNM(db_name&amp;":period",_xll.DIMIX(db_name&amp;":period",$J$19)+P20)</f>
        <v>#NAME?</v>
      </c>
      <c r="Q21" s="6" t="e" cm="1">
        <f t="array" aca="1" ref="Q21" ca="1">_xll.DIMNM(db_name&amp;":period",_xll.DIMIX(db_name&amp;":period",$J$19)+Q20)</f>
        <v>#NAME?</v>
      </c>
      <c r="R21" s="6"/>
      <c r="S21" s="6" t="e" cm="1">
        <f t="array" aca="1" ref="S21" ca="1">_xll.DIMNM(db_name&amp;":period",_xll.DIMIX(db_name&amp;":period",$J$19)+S20)</f>
        <v>#NAME?</v>
      </c>
      <c r="T21" s="6" t="e" cm="1">
        <f t="array" aca="1" ref="T21" ca="1">_xll.DIMNM(db_name&amp;":period",_xll.DIMIX(db_name&amp;":period",$J$19)+T20)</f>
        <v>#NAME?</v>
      </c>
      <c r="U21" s="6" t="e" cm="1">
        <f t="array" aca="1" ref="U21" ca="1">_xll.DIMNM(db_name&amp;":period",_xll.DIMIX(db_name&amp;":period",$J$19)+U20)</f>
        <v>#NAME?</v>
      </c>
      <c r="V21" s="6" t="e" cm="1">
        <f t="array" aca="1" ref="V21" ca="1">_xll.DIMNM(db_name&amp;":period",_xll.DIMIX(db_name&amp;":period",$J$19)+V20)</f>
        <v>#NAME?</v>
      </c>
      <c r="W21" s="6" t="e" cm="1">
        <f t="array" aca="1" ref="W21" ca="1">_xll.DIMNM(db_name&amp;":period",_xll.DIMIX(db_name&amp;":period",$J$19)+W20)</f>
        <v>#NAME?</v>
      </c>
      <c r="X21" s="6"/>
      <c r="Y21" s="6" t="e" cm="1">
        <f t="array" aca="1" ref="Y21" ca="1">_xll.DIMNM(db_name&amp;":period",_xll.DIMIX(db_name&amp;":period",$J$19)+Y20)</f>
        <v>#NAME?</v>
      </c>
      <c r="Z21" s="6" t="e" cm="1">
        <f t="array" aca="1" ref="Z21" ca="1">_xll.DIMNM(db_name&amp;":period",_xll.DIMIX(db_name&amp;":period",$J$19)+Z20)</f>
        <v>#NAME?</v>
      </c>
      <c r="AA21" s="6" t="e" cm="1">
        <f t="array" aca="1" ref="AA21" ca="1">_xll.DIMNM(db_name&amp;":period",_xll.DIMIX(db_name&amp;":period",$J$19)+AA20)</f>
        <v>#NAME?</v>
      </c>
      <c r="AB21" s="6" t="e" cm="1">
        <f t="array" aca="1" ref="AB21" ca="1">_xll.DIMNM(db_name&amp;":period",_xll.DIMIX(db_name&amp;":period",$J$19)+AB20)</f>
        <v>#NAME?</v>
      </c>
      <c r="AC21" s="6" t="e" cm="1">
        <f t="array" aca="1" ref="AC21" ca="1">_xll.DIMNM(db_name&amp;":period",_xll.DIMIX(db_name&amp;":period",$J$19)+AC20)</f>
        <v>#NAME?</v>
      </c>
    </row>
    <row r="22" spans="2:29" hidden="1" outlineLevel="1" x14ac:dyDescent="0.25">
      <c r="B22" s="2" t="s">
        <v>0</v>
      </c>
      <c r="C22" s="6" t="e" cm="1">
        <f t="array" aca="1" ref="C22" ca="1">_xll.DBR($C$20,$B22,"value")</f>
        <v>#NAME?</v>
      </c>
      <c r="D22" s="6"/>
    </row>
    <row r="23" spans="2:29" hidden="1" outlineLevel="1" x14ac:dyDescent="0.25">
      <c r="B23" s="2" t="s">
        <v>20</v>
      </c>
      <c r="C23" s="6" t="e" cm="1">
        <f t="array" aca="1" ref="C23" ca="1">_xll.DBR($C$20,$B23,"value")</f>
        <v>#NAME?</v>
      </c>
      <c r="D23" s="6"/>
    </row>
    <row r="24" spans="2:29" hidden="1" outlineLevel="1" x14ac:dyDescent="0.25">
      <c r="B24" s="2" t="s">
        <v>21</v>
      </c>
      <c r="C24" s="6" t="e" cm="1">
        <f t="array" aca="1" ref="C24" ca="1">_xll.DBR($C$20,$B24,"value")</f>
        <v>#NAME?</v>
      </c>
      <c r="D24" s="6"/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/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/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</row>
    <row r="25" spans="2:29" hidden="1" outlineLevel="1" x14ac:dyDescent="0.25">
      <c r="B25" s="2" t="s">
        <v>22</v>
      </c>
      <c r="C25" s="6" t="e" cm="1">
        <f t="array" aca="1" ref="C25" ca="1">_xll.DBR($C$20,$B25,"value")</f>
        <v>#NAME?</v>
      </c>
      <c r="D25" s="6"/>
    </row>
    <row r="26" spans="2:29" hidden="1" outlineLevel="1" x14ac:dyDescent="0.25"/>
    <row r="27" spans="2:29" hidden="1" outlineLevel="1" x14ac:dyDescent="0.25">
      <c r="B27" s="60" t="s">
        <v>23</v>
      </c>
      <c r="C27" s="61"/>
      <c r="D27" s="62"/>
    </row>
    <row r="28" spans="2:29" hidden="1" outlineLevel="1" x14ac:dyDescent="0.25">
      <c r="B28" s="2" t="s">
        <v>16</v>
      </c>
      <c r="C28" s="6" t="e" cm="1">
        <f t="array" aca="1" ref="C28" ca="1">_xll.VIEW(db_name&amp;":sys_client preference","!","!","!")</f>
        <v>#NAME?</v>
      </c>
      <c r="D28" s="6"/>
    </row>
    <row r="29" spans="2:29" hidden="1" outlineLevel="1" x14ac:dyDescent="0.25">
      <c r="B29" s="2" t="s">
        <v>24</v>
      </c>
      <c r="C29" s="6" t="e" cm="1">
        <f t="array" aca="1" ref="C29" ca="1">_xll.DBR(C$28,psUser,$B29,"value")</f>
        <v>#NAME?</v>
      </c>
      <c r="D29" s="6"/>
    </row>
    <row r="30" spans="2:29" hidden="1" outlineLevel="1" x14ac:dyDescent="0.25">
      <c r="B30" s="2" t="s">
        <v>25</v>
      </c>
      <c r="C30" s="6" t="e" cm="1">
        <f t="array" aca="1" ref="C30" ca="1">_xll.DBR(C$28,psUser,$B30,"value")</f>
        <v>#NAME?</v>
      </c>
      <c r="D30" s="6"/>
    </row>
    <row r="31" spans="2:29" hidden="1" outlineLevel="1" x14ac:dyDescent="0.25">
      <c r="B31" s="2" t="s">
        <v>26</v>
      </c>
      <c r="C31" s="6" t="e" cm="1">
        <f t="array" aca="1" ref="C31" ca="1">_xll.DBR(C$28,psUser,$B31,"value")</f>
        <v>#NAME?</v>
      </c>
      <c r="D31" s="6"/>
    </row>
    <row r="32" spans="2:29" hidden="1" outlineLevel="1" x14ac:dyDescent="0.25">
      <c r="B32" s="2" t="s">
        <v>27</v>
      </c>
      <c r="C32" s="6" t="e" cm="1">
        <f t="array" aca="1" ref="C32" ca="1">_xll.DBR(C$28,psUser,$B32,"value")</f>
        <v>#NAME?</v>
      </c>
      <c r="D32" s="6"/>
    </row>
    <row r="33" spans="2:8" hidden="1" outlineLevel="1" x14ac:dyDescent="0.25"/>
    <row r="34" spans="2:8" hidden="1" outlineLevel="1" x14ac:dyDescent="0.25">
      <c r="B34" s="60" t="s">
        <v>28</v>
      </c>
      <c r="C34" s="61"/>
      <c r="D34" s="62"/>
    </row>
    <row r="35" spans="2:8" hidden="1" outlineLevel="1" x14ac:dyDescent="0.25">
      <c r="B35" s="6" t="s">
        <v>29</v>
      </c>
      <c r="C35" s="6" t="e">
        <f ca="1">_xll.VIEW(db_name&amp;":sys_application","!","!")</f>
        <v>#NAME?</v>
      </c>
      <c r="D35" s="6"/>
    </row>
    <row r="36" spans="2:8" hidden="1" outlineLevel="1" x14ac:dyDescent="0.25">
      <c r="B36" s="2" t="s">
        <v>30</v>
      </c>
      <c r="C36" t="s">
        <v>75</v>
      </c>
    </row>
    <row r="37" spans="2:8" hidden="1" outlineLevel="1" x14ac:dyDescent="0.25">
      <c r="B37" s="7" t="s">
        <v>31</v>
      </c>
      <c r="C37" s="8" t="s">
        <v>32</v>
      </c>
      <c r="D37" s="8" t="s">
        <v>33</v>
      </c>
      <c r="E37" s="8" t="s">
        <v>34</v>
      </c>
      <c r="F37" s="8" t="s">
        <v>35</v>
      </c>
      <c r="G37" s="8" t="s">
        <v>36</v>
      </c>
      <c r="H37" s="8" t="s">
        <v>37</v>
      </c>
    </row>
    <row r="38" spans="2:8" hidden="1" outlineLevel="1" x14ac:dyDescent="0.25">
      <c r="B38" s="6" t="s">
        <v>38</v>
      </c>
      <c r="C38" s="6" t="e" cm="1">
        <f t="array" aca="1" ref="C38" ca="1">_xll.DBR($C$35,$B38,C$37)</f>
        <v>#NAME?</v>
      </c>
      <c r="D38" s="6" t="e" cm="1">
        <f t="array" aca="1" ref="D38" ca="1">_xll.DBR($C$35,$B38,D$37)</f>
        <v>#NAME?</v>
      </c>
      <c r="E38" s="6" t="e" cm="1">
        <f t="array" aca="1" ref="E38" ca="1">_xll.DBR($C$35,$B38,E$37)</f>
        <v>#NAME?</v>
      </c>
      <c r="F38" s="6" t="e" cm="1">
        <f t="array" aca="1" ref="F38" ca="1">_xll.DBR($C$35,$B38,F$37)</f>
        <v>#NAME?</v>
      </c>
      <c r="G38" s="6" t="e" cm="1">
        <f t="array" aca="1" ref="G38" ca="1">_xll.DBR($C$35,$B38,G$37)</f>
        <v>#NAME?</v>
      </c>
      <c r="H38" s="6" t="e" cm="1">
        <f t="array" aca="1" ref="H38" ca="1">_xll.DBR($C$35,$B38,H$37)</f>
        <v>#NAME?</v>
      </c>
    </row>
    <row r="39" spans="2:8" hidden="1" outlineLevel="1" x14ac:dyDescent="0.25">
      <c r="B39" s="6" t="s">
        <v>39</v>
      </c>
      <c r="C39" s="6" t="e" cm="1">
        <f t="array" aca="1" ref="C39" ca="1">_xll.DBR($C$35,$B39,C$37)</f>
        <v>#NAME?</v>
      </c>
      <c r="D39" s="6" t="e" cm="1">
        <f t="array" aca="1" ref="D39" ca="1">_xll.DBR($C$35,$B39,D$37)</f>
        <v>#NAME?</v>
      </c>
      <c r="E39" s="6" t="e" cm="1">
        <f t="array" aca="1" ref="E39" ca="1">_xll.DBR($C$35,$B39,E$37)</f>
        <v>#NAME?</v>
      </c>
      <c r="F39" s="6" t="e" cm="1">
        <f t="array" aca="1" ref="F39" ca="1">_xll.DBR($C$35,$B39,F$37)</f>
        <v>#NAME?</v>
      </c>
      <c r="G39" s="6" t="e" cm="1">
        <f t="array" aca="1" ref="G39" ca="1">_xll.DBR($C$35,$B39,G$37)</f>
        <v>#NAME?</v>
      </c>
      <c r="H39" s="6" t="e" cm="1">
        <f t="array" aca="1" ref="H39" ca="1">_xll.DBR($C$35,$B39,H$37)</f>
        <v>#NAME?</v>
      </c>
    </row>
    <row r="40" spans="2:8" hidden="1" outlineLevel="1" x14ac:dyDescent="0.25">
      <c r="B40" s="6" t="s">
        <v>40</v>
      </c>
      <c r="C40" s="6" t="e" cm="1">
        <f t="array" aca="1" ref="C40" ca="1">_xll.DBR($C$35,$B40,C$37)</f>
        <v>#NAME?</v>
      </c>
      <c r="D40" s="6" t="e" cm="1">
        <f t="array" aca="1" ref="D40" ca="1">_xll.DBR($C$35,$B40,D$37)</f>
        <v>#NAME?</v>
      </c>
      <c r="E40" s="6" t="e" cm="1">
        <f t="array" aca="1" ref="E40" ca="1">_xll.DBR($C$35,$B40,E$37)</f>
        <v>#NAME?</v>
      </c>
      <c r="F40" s="6" t="e" cm="1">
        <f t="array" aca="1" ref="F40" ca="1">_xll.DBR($C$35,$B40,F$37)</f>
        <v>#NAME?</v>
      </c>
      <c r="G40" s="6" t="e" cm="1">
        <f t="array" aca="1" ref="G40" ca="1">_xll.DBR($C$35,$B40,G$37)</f>
        <v>#NAME?</v>
      </c>
      <c r="H40" s="6" t="e" cm="1">
        <f t="array" aca="1" ref="H40" ca="1">_xll.DBR($C$35,$B40,H$37)</f>
        <v>#NAME?</v>
      </c>
    </row>
    <row r="41" spans="2:8" hidden="1" outlineLevel="1" x14ac:dyDescent="0.25">
      <c r="B41" s="6" t="s">
        <v>90</v>
      </c>
      <c r="C41" s="6" t="e" cm="1">
        <f t="array" aca="1" ref="C41" ca="1">_xll.DBR($C$35,$B41,C$37)</f>
        <v>#NAME?</v>
      </c>
      <c r="D41" s="6" t="e" cm="1">
        <f t="array" aca="1" ref="D41" ca="1">_xll.DBR($C$35,$B41,D$37)</f>
        <v>#NAME?</v>
      </c>
      <c r="E41" s="6" t="e" cm="1">
        <f t="array" aca="1" ref="E41" ca="1">_xll.DBR($C$35,$B41,E$37)</f>
        <v>#NAME?</v>
      </c>
      <c r="F41" s="6" t="e" cm="1">
        <f t="array" aca="1" ref="F41" ca="1">_xll.DBR($C$35,$B41,F$37)</f>
        <v>#NAME?</v>
      </c>
      <c r="G41" s="6" t="e" cm="1">
        <f t="array" aca="1" ref="G41" ca="1">_xll.DBR($C$35,$B41,G$37)</f>
        <v>#NAME?</v>
      </c>
      <c r="H41" s="6" t="e" cm="1">
        <f t="array" aca="1" ref="H41" ca="1">_xll.DBR($C$35,$B41,H$37)</f>
        <v>#NAME?</v>
      </c>
    </row>
    <row r="42" spans="2:8" hidden="1" outlineLevel="1" x14ac:dyDescent="0.25">
      <c r="B42" t="s">
        <v>82</v>
      </c>
      <c r="C42" s="6" t="e" cm="1">
        <f t="array" aca="1" ref="C42" ca="1">_xll.DBR($C$35,$B42,C$37)</f>
        <v>#NAME?</v>
      </c>
      <c r="D42" s="6" t="e" cm="1">
        <f t="array" aca="1" ref="D42" ca="1">_xll.DBR($C$35,$B42,D$37)</f>
        <v>#NAME?</v>
      </c>
      <c r="E42" s="6" t="e" cm="1">
        <f t="array" aca="1" ref="E42" ca="1">_xll.DBR($C$35,$B42,E$37)</f>
        <v>#NAME?</v>
      </c>
      <c r="F42" s="6" t="e" cm="1">
        <f t="array" aca="1" ref="F42" ca="1">_xll.DBR($C$35,$B42,F$37)</f>
        <v>#NAME?</v>
      </c>
      <c r="G42" s="6" t="e" cm="1">
        <f t="array" aca="1" ref="G42" ca="1">_xll.DBR($C$35,$B42,G$37)</f>
        <v>#NAME?</v>
      </c>
      <c r="H42" s="6" t="e" cm="1">
        <f t="array" aca="1" ref="H42" ca="1">_xll.DBR($C$35,$B42,H$37)</f>
        <v>#NAME?</v>
      </c>
    </row>
    <row r="43" spans="2:8" hidden="1" outlineLevel="1" x14ac:dyDescent="0.25">
      <c r="B43" s="6" t="s">
        <v>41</v>
      </c>
      <c r="C43" s="6" t="e" cm="1">
        <f t="array" aca="1" ref="C43" ca="1">_xll.DBR($C$35,$B43,C$37)</f>
        <v>#NAME?</v>
      </c>
      <c r="D43" s="6" t="e" cm="1">
        <f t="array" aca="1" ref="D43" ca="1">_xll.DBR($C$35,$B43,D$37)</f>
        <v>#NAME?</v>
      </c>
      <c r="E43" s="6" t="e" cm="1">
        <f t="array" aca="1" ref="E43" ca="1">_xll.DBR($C$35,$B43,E$37)</f>
        <v>#NAME?</v>
      </c>
      <c r="F43" s="6" t="e" cm="1">
        <f t="array" aca="1" ref="F43" ca="1">_xll.DBR($C$35,$B43,F$37)</f>
        <v>#NAME?</v>
      </c>
      <c r="G43" s="6" t="e" cm="1">
        <f t="array" aca="1" ref="G43" ca="1">_xll.DBR($C$35,$B43,G$37)</f>
        <v>#NAME?</v>
      </c>
      <c r="H43" s="6" t="e" cm="1">
        <f t="array" aca="1" ref="H43" ca="1">_xll.DBR($C$35,$B43,H$37)</f>
        <v>#NAME?</v>
      </c>
    </row>
    <row r="44" spans="2:8" hidden="1" outlineLevel="1" x14ac:dyDescent="0.25">
      <c r="B44" s="6" t="s">
        <v>42</v>
      </c>
      <c r="C44" s="6" t="e" cm="1">
        <f t="array" aca="1" ref="C44" ca="1">_xll.DBR($C$35,$B44,C$37)</f>
        <v>#NAME?</v>
      </c>
      <c r="D44" s="6" t="e" cm="1">
        <f t="array" aca="1" ref="D44" ca="1">_xll.DBR($C$35,$B44,D$37)</f>
        <v>#NAME?</v>
      </c>
      <c r="E44" s="6" t="e" cm="1">
        <f t="array" aca="1" ref="E44" ca="1">_xll.DBR($C$35,$B44,E$37)</f>
        <v>#NAME?</v>
      </c>
      <c r="F44" s="6" t="e" cm="1">
        <f t="array" aca="1" ref="F44" ca="1">_xll.DBR($C$35,$B44,F$37)</f>
        <v>#NAME?</v>
      </c>
      <c r="G44" s="6" t="e" cm="1">
        <f t="array" aca="1" ref="G44" ca="1">_xll.DBR($C$35,$B44,G$37)</f>
        <v>#NAME?</v>
      </c>
      <c r="H44" s="6" t="e" cm="1">
        <f t="array" aca="1" ref="H44" ca="1">_xll.DBR($C$35,$B44,H$37)</f>
        <v>#NAME?</v>
      </c>
    </row>
    <row r="45" spans="2:8" hidden="1" outlineLevel="1" x14ac:dyDescent="0.25">
      <c r="B45" s="6" t="s">
        <v>45</v>
      </c>
      <c r="C45" s="6" t="e" cm="1">
        <f t="array" aca="1" ref="C45" ca="1">_xll.DBR($C$35,$B45,C$37)</f>
        <v>#NAME?</v>
      </c>
      <c r="D45" s="6" t="e" cm="1">
        <f t="array" aca="1" ref="D45" ca="1">_xll.DBR($C$35,$B45,D$37)</f>
        <v>#NAME?</v>
      </c>
      <c r="E45" s="6" t="e" cm="1">
        <f t="array" aca="1" ref="E45" ca="1">_xll.DBR($C$35,$B45,E$37)</f>
        <v>#NAME?</v>
      </c>
      <c r="F45" s="6" t="e" cm="1">
        <f t="array" aca="1" ref="F45" ca="1">_xll.DBR($C$35,$B45,F$37)</f>
        <v>#NAME?</v>
      </c>
      <c r="G45" s="6" t="e" cm="1">
        <f t="array" aca="1" ref="G45" ca="1">_xll.DBR($C$35,$B45,G$37)</f>
        <v>#NAME?</v>
      </c>
      <c r="H45" s="6" t="e" cm="1">
        <f t="array" aca="1" ref="H45" ca="1">_xll.DBR($C$35,$B45,H$37)</f>
        <v>#NAME?</v>
      </c>
    </row>
    <row r="46" spans="2:8" hidden="1" outlineLevel="1" x14ac:dyDescent="0.25">
      <c r="B46" s="6" t="s">
        <v>43</v>
      </c>
      <c r="C46" s="6" t="e" cm="1">
        <f t="array" aca="1" ref="C46" ca="1">_xll.DBR($C$35,$B46,C$37)</f>
        <v>#NAME?</v>
      </c>
      <c r="D46" s="6" t="e" cm="1">
        <f t="array" aca="1" ref="D46" ca="1">_xll.DBR($C$35,$B46,D$37)</f>
        <v>#NAME?</v>
      </c>
      <c r="E46" s="6" t="e" cm="1">
        <f t="array" aca="1" ref="E46" ca="1">_xll.DBR($C$35,$B46,E$37)</f>
        <v>#NAME?</v>
      </c>
      <c r="F46" s="6" t="e" cm="1">
        <f t="array" aca="1" ref="F46" ca="1">_xll.DBR($C$35,$B46,F$37)</f>
        <v>#NAME?</v>
      </c>
      <c r="G46" s="6" t="e" cm="1">
        <f t="array" aca="1" ref="G46" ca="1">_xll.DBR($C$35,$B46,G$37)</f>
        <v>#NAME?</v>
      </c>
      <c r="H46" s="6" t="e" cm="1">
        <f t="array" aca="1" ref="H46" ca="1">_xll.DBR($C$35,$B46,H$37)</f>
        <v>#NAME?</v>
      </c>
    </row>
    <row r="47" spans="2:8" hidden="1" outlineLevel="1" x14ac:dyDescent="0.25">
      <c r="B47" s="6" t="s">
        <v>44</v>
      </c>
      <c r="C47" s="6" t="e" cm="1">
        <f t="array" aca="1" ref="C47" ca="1">_xll.DBR($C$35,$B47,C$37)</f>
        <v>#NAME?</v>
      </c>
      <c r="D47" s="6" t="e" cm="1">
        <f t="array" aca="1" ref="D47" ca="1">_xll.DBR($C$35,$B47,D$37)</f>
        <v>#NAME?</v>
      </c>
      <c r="E47" s="6" t="e" cm="1">
        <f t="array" aca="1" ref="E47" ca="1">_xll.DBR($C$35,$B47,E$37)</f>
        <v>#NAME?</v>
      </c>
      <c r="F47" s="6" t="e" cm="1">
        <f t="array" aca="1" ref="F47" ca="1">_xll.DBR($C$35,$B47,F$37)</f>
        <v>#NAME?</v>
      </c>
      <c r="G47" s="6" t="e" cm="1">
        <f t="array" aca="1" ref="G47" ca="1">_xll.DBR($C$35,$B47,G$37)</f>
        <v>#NAME?</v>
      </c>
      <c r="H47" s="6" t="e" cm="1">
        <f t="array" aca="1" ref="H47" ca="1">_xll.DBR($C$35,$B47,H$37)</f>
        <v>#NAME?</v>
      </c>
    </row>
    <row r="48" spans="2:8" hidden="1" outlineLevel="1" x14ac:dyDescent="0.25">
      <c r="B48" s="6" t="s">
        <v>73</v>
      </c>
      <c r="C48" s="6" t="e" cm="1">
        <f t="array" aca="1" ref="C48" ca="1">_xll.DBR($C$35,$B48,C$37)</f>
        <v>#NAME?</v>
      </c>
      <c r="D48" s="6" t="e" cm="1">
        <f t="array" aca="1" ref="D48" ca="1">_xll.DBR($C$35,$B48,D$37)</f>
        <v>#NAME?</v>
      </c>
      <c r="E48" s="6" t="e" cm="1">
        <f t="array" aca="1" ref="E48" ca="1">_xll.DBR($C$35,$B48,E$37)</f>
        <v>#NAME?</v>
      </c>
      <c r="F48" s="6" t="e" cm="1">
        <f t="array" aca="1" ref="F48" ca="1">_xll.DBR($C$35,$B48,F$37)</f>
        <v>#NAME?</v>
      </c>
      <c r="G48" s="6" t="e" cm="1">
        <f t="array" aca="1" ref="G48" ca="1">_xll.DBR($C$35,$B48,G$37)</f>
        <v>#NAME?</v>
      </c>
      <c r="H48" s="6" t="e" cm="1">
        <f t="array" aca="1" ref="H48" ca="1">_xll.DBR($C$35,$B48,H$37)</f>
        <v>#NAME?</v>
      </c>
    </row>
    <row r="49" spans="2:8" hidden="1" outlineLevel="1" x14ac:dyDescent="0.25">
      <c r="B49" s="6" t="s">
        <v>75</v>
      </c>
      <c r="C49" s="6" t="e" cm="1">
        <f t="array" aca="1" ref="C49" ca="1">_xll.DBR($C$35,$B49,C$37)</f>
        <v>#NAME?</v>
      </c>
      <c r="D49" s="6" t="e" cm="1">
        <f t="array" aca="1" ref="D49" ca="1">_xll.DBR($C$35,$B49,D$37)</f>
        <v>#NAME?</v>
      </c>
      <c r="E49" s="6" t="e" cm="1">
        <f t="array" aca="1" ref="E49" ca="1">_xll.DBR($C$35,$B49,E$37)</f>
        <v>#NAME?</v>
      </c>
      <c r="F49" s="6" t="e" cm="1">
        <f t="array" aca="1" ref="F49" ca="1">_xll.DBR($C$35,$B49,F$37)</f>
        <v>#NAME?</v>
      </c>
      <c r="G49" s="6" t="e" cm="1">
        <f t="array" aca="1" ref="G49" ca="1">_xll.DBR($C$35,$B49,G$37)</f>
        <v>#NAME?</v>
      </c>
      <c r="H49" s="6" t="e" cm="1">
        <f t="array" aca="1" ref="H49" ca="1">_xll.DBR($C$35,$B49,H$37)</f>
        <v>#NAME?</v>
      </c>
    </row>
    <row r="50" spans="2:8" hidden="1" outlineLevel="1" x14ac:dyDescent="0.25"/>
    <row r="51" spans="2:8" hidden="1" outlineLevel="1" x14ac:dyDescent="0.25">
      <c r="B51" s="60" t="s">
        <v>28</v>
      </c>
      <c r="C51" s="61"/>
      <c r="D51" s="62"/>
    </row>
    <row r="52" spans="2:8" hidden="1" outlineLevel="1" x14ac:dyDescent="0.25">
      <c r="B52" s="6" t="s">
        <v>46</v>
      </c>
      <c r="C52" s="6" t="e">
        <f ca="1">_xll.TM1RPTVIEW(db_name&amp;":AE adjustments:1", 1, _xll.TM1RPTTITLE(db_name&amp;":status",$M$83), _xll.TM1RPTTITLE(db_name&amp;":outcome",$C$67), _xll.TM1RPTTITLE(db_name&amp;":related entity",$C$58), _xll.TM1RPTTITLE(db_name&amp;":function",$C$59), _xll.TM1RPTTITLE(db_name&amp;":reason",$C$65), _xll.TM1RPTTITLE(db_name&amp;":spp",$C$64), _xll.TM1RPTTITLE(db_name&amp;":measure code",$C$60), _xll.TM1RPTTITLE(db_name&amp;":appropriation type",$C$61), _xll.TM1RPTTITLE(db_name&amp;":appropriation item",$C$66), _xll.TM1RPTTITLE(db_name&amp;":programme",$M$82), _xll.TM1RPTTITLE(db_name&amp;":jurisdiction",$C$63),TM1RPTFMTRNG,TM1RPTFMTIDCOL)</f>
        <v>#NAME?</v>
      </c>
      <c r="D52" s="6"/>
    </row>
    <row r="53" spans="2:8" hidden="1" outlineLevel="1" x14ac:dyDescent="0.25">
      <c r="B53" s="6" t="s">
        <v>47</v>
      </c>
      <c r="C53" s="6" t="e">
        <f ca="1">_xll.VIEW(db_name&amp;":AE adjustments","!","!",$M$83,$C$67,$C$58,$C$59,$C$65,$C$64,$C$60,$C$61,"!",$C$66,$M$82,"!","!",$C$63,"!")</f>
        <v>#NAME?</v>
      </c>
      <c r="D53" s="6"/>
    </row>
    <row r="54" spans="2:8" hidden="1" outlineLevel="1" x14ac:dyDescent="0.25">
      <c r="B54" s="6" t="s">
        <v>48</v>
      </c>
      <c r="C54" s="6" t="e">
        <f ca="1">"{TM1FILTERBYLEVEL( {TM1DRILLDOWNMEMBER( {[account].[" &amp;$M$84 &amp;"]}, ALL, RECURSIVE )}, 0)}"</f>
        <v>#NAME?</v>
      </c>
      <c r="D54" s="6"/>
    </row>
    <row r="55" spans="2:8" hidden="1" outlineLevel="1" x14ac:dyDescent="0.25">
      <c r="B55" s="6" t="s">
        <v>66</v>
      </c>
      <c r="C55" s="6" t="s">
        <v>72</v>
      </c>
      <c r="D55" s="6" t="s">
        <v>69</v>
      </c>
    </row>
    <row r="56" spans="2:8" hidden="1" outlineLevel="1" x14ac:dyDescent="0.25">
      <c r="B56" s="6" t="s">
        <v>70</v>
      </c>
      <c r="C56" s="6" t="e">
        <f ca="1">IF($T$82="Collapse",$E$56,$D$56)</f>
        <v>#NAME?</v>
      </c>
      <c r="D56" s="6" t="s">
        <v>71</v>
      </c>
      <c r="E56" s="31" t="s">
        <v>83</v>
      </c>
    </row>
    <row r="57" spans="2:8" hidden="1" outlineLevel="1" x14ac:dyDescent="0.25">
      <c r="B57" s="6"/>
      <c r="C57" s="6"/>
      <c r="D57" s="6"/>
    </row>
    <row r="58" spans="2:8" hidden="1" outlineLevel="1" x14ac:dyDescent="0.25">
      <c r="B58" s="23" t="s">
        <v>52</v>
      </c>
      <c r="C58" s="6" t="e">
        <f ca="1">_xll.SUBNM(db_name&amp;":related entity","","Total related entity")</f>
        <v>#NAME?</v>
      </c>
      <c r="D58" s="6"/>
    </row>
    <row r="59" spans="2:8" hidden="1" outlineLevel="1" x14ac:dyDescent="0.25">
      <c r="B59" s="23" t="s">
        <v>53</v>
      </c>
      <c r="C59" s="6" t="e">
        <f ca="1">_xll.SUBNM(db_name&amp;":function","","Total functions")</f>
        <v>#NAME?</v>
      </c>
      <c r="D59" s="6"/>
    </row>
    <row r="60" spans="2:8" hidden="1" outlineLevel="1" x14ac:dyDescent="0.25">
      <c r="B60" s="23" t="s">
        <v>56</v>
      </c>
      <c r="C60" s="6" t="e">
        <f ca="1">_xll.SUBNM(db_name&amp;":measure code","","Total Measures","CBMS")</f>
        <v>#NAME?</v>
      </c>
      <c r="D60" s="6"/>
    </row>
    <row r="61" spans="2:8" hidden="1" outlineLevel="1" x14ac:dyDescent="0.25">
      <c r="B61" s="23" t="s">
        <v>57</v>
      </c>
      <c r="C61" s="6" t="e">
        <f ca="1">_xll.SUBNM(db_name&amp;":appropriation type","","Total approp types")</f>
        <v>#NAME?</v>
      </c>
      <c r="D61" s="6"/>
    </row>
    <row r="62" spans="2:8" hidden="1" outlineLevel="1" x14ac:dyDescent="0.25">
      <c r="B62" s="23" t="s">
        <v>59</v>
      </c>
      <c r="C62" s="6" t="e">
        <f ca="1">_xll.SUBNM(db_name&amp;":id","","Total IDs")</f>
        <v>#NAME?</v>
      </c>
      <c r="D62" s="6"/>
    </row>
    <row r="63" spans="2:8" hidden="1" outlineLevel="1" x14ac:dyDescent="0.25">
      <c r="B63" s="23" t="s">
        <v>60</v>
      </c>
      <c r="C63" s="6" t="e">
        <f ca="1">_xll.SUBNM(db_name&amp;":jurisdiction","","Total jurisdictions")</f>
        <v>#NAME?</v>
      </c>
      <c r="D63" s="6"/>
    </row>
    <row r="64" spans="2:8" hidden="1" outlineLevel="1" x14ac:dyDescent="0.25">
      <c r="B64" s="23" t="s">
        <v>55</v>
      </c>
      <c r="C64" s="6" t="e">
        <f ca="1">_xll.SUBNM(db_name&amp;":spp","","Total SPP")</f>
        <v>#NAME?</v>
      </c>
      <c r="D64" s="6"/>
    </row>
    <row r="65" spans="2:29" hidden="1" outlineLevel="1" x14ac:dyDescent="0.25">
      <c r="B65" s="23" t="s">
        <v>54</v>
      </c>
      <c r="C65" s="6" t="e">
        <f ca="1">_xll.SUBNM(db_name&amp;":reason","","Total reason")</f>
        <v>#NAME?</v>
      </c>
      <c r="D65" s="6"/>
    </row>
    <row r="66" spans="2:29" hidden="1" outlineLevel="1" x14ac:dyDescent="0.25">
      <c r="B66" s="23" t="s">
        <v>58</v>
      </c>
      <c r="C66" s="6" t="e">
        <f ca="1">_xll.SUBNM(db_name&amp;":appropriation item","","Total approp item")</f>
        <v>#NAME?</v>
      </c>
      <c r="D66" s="6"/>
    </row>
    <row r="67" spans="2:29" hidden="1" outlineLevel="1" x14ac:dyDescent="0.25">
      <c r="B67" s="9" t="s">
        <v>51</v>
      </c>
      <c r="C67" s="6" t="e">
        <f ca="1">_xll.SUBNM(db_name&amp;":outcome","","Total outcomes")</f>
        <v>#NAME?</v>
      </c>
      <c r="D67" s="6"/>
      <c r="E67" s="6"/>
    </row>
    <row r="68" spans="2:29" hidden="1" outlineLevel="1" x14ac:dyDescent="0.25">
      <c r="B68" s="9" t="s">
        <v>62</v>
      </c>
      <c r="C68" s="6" t="e">
        <f ca="1">_xll.SUBNM(db_name&amp;":movement account","","Total movement","code and description")</f>
        <v>#NAME?</v>
      </c>
      <c r="D68" s="6"/>
      <c r="E68" s="6"/>
    </row>
    <row r="69" spans="2:29" hidden="1" outlineLevel="1" x14ac:dyDescent="0.25"/>
    <row r="70" spans="2:29" hidden="1" outlineLevel="1" x14ac:dyDescent="0.25"/>
    <row r="71" spans="2:29" hidden="1" outlineLevel="1" x14ac:dyDescent="0.25"/>
    <row r="72" spans="2:29" ht="39.950000000000003" customHeight="1" collapsed="1" x14ac:dyDescent="0.25"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 t="s">
        <v>89</v>
      </c>
      <c r="X72" s="24"/>
      <c r="Y72" s="24"/>
      <c r="Z72" s="24"/>
      <c r="AA72" s="24"/>
      <c r="AB72" s="24"/>
      <c r="AC72" s="24"/>
    </row>
    <row r="73" spans="2:29" ht="4.5" customHeight="1" x14ac:dyDescent="0.25"/>
    <row r="74" spans="2:29" ht="24" customHeight="1" x14ac:dyDescent="0.25"/>
    <row r="75" spans="2:29" ht="1.5" customHeight="1" x14ac:dyDescent="0.25"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2:29" ht="4.5" customHeight="1" x14ac:dyDescent="0.25"/>
    <row r="77" spans="2:29" x14ac:dyDescent="0.25">
      <c r="J77" s="39" t="s">
        <v>80</v>
      </c>
      <c r="K77" s="39"/>
      <c r="L77" s="39"/>
      <c r="M77" s="39"/>
      <c r="N77" s="39"/>
      <c r="O77" s="39"/>
      <c r="P77" s="39"/>
      <c r="Q77" s="39"/>
    </row>
    <row r="78" spans="2:29" x14ac:dyDescent="0.25">
      <c r="J78" s="39" t="s">
        <v>87</v>
      </c>
      <c r="K78" s="39"/>
      <c r="L78" s="39"/>
      <c r="M78" s="39"/>
      <c r="N78" s="39"/>
      <c r="O78" s="39"/>
      <c r="P78" s="39"/>
      <c r="Q78" s="39"/>
    </row>
    <row r="79" spans="2:29" x14ac:dyDescent="0.25">
      <c r="J79" s="39" t="s">
        <v>88</v>
      </c>
      <c r="K79" s="39"/>
      <c r="L79" s="39"/>
      <c r="M79" s="39"/>
      <c r="N79" s="39"/>
      <c r="O79" s="39"/>
      <c r="P79" s="39"/>
      <c r="Q79" s="39"/>
    </row>
    <row r="80" spans="2:29" ht="4.5" customHeight="1" x14ac:dyDescent="0.25"/>
    <row r="81" spans="1:29" x14ac:dyDescent="0.25">
      <c r="M81" s="37" t="s">
        <v>65</v>
      </c>
      <c r="N81" s="38"/>
      <c r="O81" s="38"/>
      <c r="S81" s="47" t="s">
        <v>84</v>
      </c>
      <c r="T81" s="48"/>
    </row>
    <row r="82" spans="1:29" x14ac:dyDescent="0.25">
      <c r="K82" s="45" t="s">
        <v>91</v>
      </c>
      <c r="L82" s="46"/>
      <c r="M82" s="42" t="e">
        <f ca="1">_xll.SUBNM(db_name&amp;":programme","","Administered Programmes","code and description")</f>
        <v>#NAME?</v>
      </c>
      <c r="N82" s="42"/>
      <c r="O82" s="42"/>
      <c r="S82" s="32" t="s">
        <v>85</v>
      </c>
      <c r="T82" s="33" t="e" cm="1">
        <f t="array" aca="1" ref="T82" ca="1">_xll.SUBNM(db_name&amp;":sys_ReportDisplay","","Collapse")</f>
        <v>#NAME?</v>
      </c>
    </row>
    <row r="83" spans="1:29" x14ac:dyDescent="0.25">
      <c r="K83" s="45" t="s">
        <v>50</v>
      </c>
      <c r="L83" s="46"/>
      <c r="M83" s="42" t="e">
        <f ca="1">_xll.SUBNM(db_name&amp;":status","","Total approved")</f>
        <v>#NAME?</v>
      </c>
      <c r="N83" s="42"/>
      <c r="O83" s="42"/>
    </row>
    <row r="84" spans="1:29" x14ac:dyDescent="0.25">
      <c r="K84" s="45" t="s">
        <v>61</v>
      </c>
      <c r="L84" s="46"/>
      <c r="M84" s="42" t="e">
        <f ca="1">_xll.SUBNM(db_name&amp;":Account","","2000000","code and description")</f>
        <v>#NAME?</v>
      </c>
      <c r="N84" s="42"/>
      <c r="O84" s="42"/>
    </row>
    <row r="85" spans="1:29" ht="4.5" customHeight="1" x14ac:dyDescent="0.25"/>
    <row r="86" spans="1:29" x14ac:dyDescent="0.25">
      <c r="M86" s="37" t="s">
        <v>76</v>
      </c>
      <c r="N86" s="38"/>
      <c r="O86" s="38"/>
      <c r="P86" s="38"/>
      <c r="Q86" s="38"/>
      <c r="S86" s="37" t="s">
        <v>77</v>
      </c>
      <c r="T86" s="38"/>
      <c r="U86" s="38"/>
      <c r="V86" s="38"/>
      <c r="W86" s="38"/>
    </row>
    <row r="87" spans="1:29" x14ac:dyDescent="0.25">
      <c r="K87" s="45" t="s">
        <v>81</v>
      </c>
      <c r="L87" s="45"/>
      <c r="M87" s="57" t="e">
        <f ca="1">_xll.SUBNM(db_name&amp;":headline year","",$C$22)</f>
        <v>#NAME?</v>
      </c>
      <c r="N87" s="58"/>
      <c r="O87" s="58"/>
      <c r="P87" s="58"/>
      <c r="Q87" s="59"/>
      <c r="S87" s="57" t="e">
        <f ca="1">_xll.SUBNM(db_name&amp;":headline year","",$C$24)</f>
        <v>#NAME?</v>
      </c>
      <c r="T87" s="58"/>
      <c r="U87" s="58"/>
      <c r="V87" s="58"/>
      <c r="W87" s="59"/>
    </row>
    <row r="88" spans="1:29" x14ac:dyDescent="0.25">
      <c r="K88" s="45" t="s">
        <v>79</v>
      </c>
      <c r="L88" s="45"/>
      <c r="M88" s="53" t="e" cm="1">
        <f t="array" aca="1" ref="M88" ca="1">_xll.SUBNM(db_name&amp;":scenario","",$C$23)</f>
        <v>#NAME?</v>
      </c>
      <c r="N88" s="54"/>
      <c r="O88" s="54"/>
      <c r="P88" s="54"/>
      <c r="Q88" s="55"/>
      <c r="S88" s="53" t="e" cm="1">
        <f t="array" aca="1" ref="S88" ca="1">_xll.SUBNM(db_name&amp;":scenario","",$C$25)</f>
        <v>#NAME?</v>
      </c>
      <c r="T88" s="54"/>
      <c r="U88" s="54"/>
      <c r="V88" s="54"/>
      <c r="W88" s="55"/>
      <c r="Y88" s="50" t="s">
        <v>78</v>
      </c>
      <c r="Z88" s="51"/>
      <c r="AA88" s="51"/>
      <c r="AB88" s="51"/>
      <c r="AC88" s="52"/>
    </row>
    <row r="89" spans="1:29" x14ac:dyDescent="0.25">
      <c r="M89" s="29" t="e">
        <f ca="1">M$21</f>
        <v>#NAME?</v>
      </c>
      <c r="N89" s="29" t="e">
        <f t="shared" ref="N89:AC89" ca="1" si="0">N$21</f>
        <v>#NAME?</v>
      </c>
      <c r="O89" s="29" t="e">
        <f t="shared" ca="1" si="0"/>
        <v>#NAME?</v>
      </c>
      <c r="P89" s="29" t="e">
        <f t="shared" ca="1" si="0"/>
        <v>#NAME?</v>
      </c>
      <c r="Q89" s="30" t="e">
        <f t="shared" ca="1" si="0"/>
        <v>#NAME?</v>
      </c>
      <c r="S89" s="29" t="e">
        <f t="shared" ca="1" si="0"/>
        <v>#NAME?</v>
      </c>
      <c r="T89" s="29" t="e">
        <f t="shared" ca="1" si="0"/>
        <v>#NAME?</v>
      </c>
      <c r="U89" s="29" t="e">
        <f t="shared" ca="1" si="0"/>
        <v>#NAME?</v>
      </c>
      <c r="V89" s="29" t="e">
        <f t="shared" ca="1" si="0"/>
        <v>#NAME?</v>
      </c>
      <c r="W89" s="30" t="e">
        <f t="shared" ca="1" si="0"/>
        <v>#NAME?</v>
      </c>
      <c r="Y89" s="29" t="e">
        <f t="shared" ca="1" si="0"/>
        <v>#NAME?</v>
      </c>
      <c r="Z89" s="29" t="e">
        <f t="shared" ca="1" si="0"/>
        <v>#NAME?</v>
      </c>
      <c r="AA89" s="29" t="e">
        <f t="shared" ca="1" si="0"/>
        <v>#NAME?</v>
      </c>
      <c r="AB89" s="29" t="e">
        <f t="shared" ca="1" si="0"/>
        <v>#NAME?</v>
      </c>
      <c r="AC89" s="30" t="e">
        <f t="shared" ca="1" si="0"/>
        <v>#NAME?</v>
      </c>
    </row>
    <row r="90" spans="1:29" x14ac:dyDescent="0.25">
      <c r="K90" s="43" t="e">
        <f ca="1">$M$84</f>
        <v>#NAME?</v>
      </c>
      <c r="L90" s="44"/>
      <c r="M90" s="16" t="e" cm="1">
        <f t="array" aca="1" ref="M90" ca="1">_xll.DBRW($C$53,$M$87,M$24,$M$83,$C$67,$C$58,$C$59,$C$65,$C$64,$C$60,$C$61,$C$68,$C$66,$M$82,$K90,$C$62,$C$63,M$94)</f>
        <v>#NAME?</v>
      </c>
      <c r="N90" s="16" t="e" cm="1">
        <f t="array" aca="1" ref="N90" ca="1">_xll.DBRW($C$53,$M$87,N$24,$M$83,$C$67,$C$58,$C$59,$C$65,$C$64,$C$60,$C$61,$C$68,$C$66,$M$82,$K90,$C$62,$C$63,N$94)</f>
        <v>#NAME?</v>
      </c>
      <c r="O90" s="16" t="e" cm="1">
        <f t="array" aca="1" ref="O90" ca="1">_xll.DBRW($C$53,$M$87,O$24,$M$83,$C$67,$C$58,$C$59,$C$65,$C$64,$C$60,$C$61,$C$68,$C$66,$M$82,$K90,$C$62,$C$63,O$94)</f>
        <v>#NAME?</v>
      </c>
      <c r="P90" s="16" t="e" cm="1">
        <f t="array" aca="1" ref="P90" ca="1">_xll.DBRW($C$53,$M$87,P$24,$M$83,$C$67,$C$58,$C$59,$C$65,$C$64,$C$60,$C$61,$C$68,$C$66,$M$82,$K90,$C$62,$C$63,P$94)</f>
        <v>#NAME?</v>
      </c>
      <c r="Q90" s="16" t="e" cm="1">
        <f t="array" aca="1" ref="Q90" ca="1">_xll.DBRW($C$53,$M$87,Q$24,$M$83,$C$67,$C$58,$C$59,$C$65,$C$64,$C$60,$C$61,$C$68,$C$66,$M$82,$K90,$C$62,$C$63,Q$94)</f>
        <v>#NAME?</v>
      </c>
      <c r="S90" s="16" t="e" cm="1">
        <f t="array" aca="1" ref="S90" ca="1">_xll.DBRW($C$53,$M$87,S$24,$M$83,$C$67,$C$58,$C$59,$C$65,$C$64,$C$60,$C$61,$C$68,$C$66,$M$82,$K90,$C$62,$C$63,S$94)</f>
        <v>#NAME?</v>
      </c>
      <c r="T90" s="16" t="e" cm="1">
        <f t="array" aca="1" ref="T90" ca="1">_xll.DBRW($C$53,$M$87,T$24,$M$83,$C$67,$C$58,$C$59,$C$65,$C$64,$C$60,$C$61,$C$68,$C$66,$M$82,$K90,$C$62,$C$63,T$94)</f>
        <v>#NAME?</v>
      </c>
      <c r="U90" s="16" t="e" cm="1">
        <f t="array" aca="1" ref="U90" ca="1">_xll.DBRW($C$53,$M$87,U$24,$M$83,$C$67,$C$58,$C$59,$C$65,$C$64,$C$60,$C$61,$C$68,$C$66,$M$82,$K90,$C$62,$C$63,U$94)</f>
        <v>#NAME?</v>
      </c>
      <c r="V90" s="16" t="e" cm="1">
        <f t="array" aca="1" ref="V90" ca="1">_xll.DBRW($C$53,$M$87,V$24,$M$83,$C$67,$C$58,$C$59,$C$65,$C$64,$C$60,$C$61,$C$68,$C$66,$M$82,$K90,$C$62,$C$63,V$94)</f>
        <v>#NAME?</v>
      </c>
      <c r="W90" s="16" t="e" cm="1">
        <f t="array" aca="1" ref="W90" ca="1">_xll.DBRW($C$53,$M$87,W$24,$M$83,$C$67,$C$58,$C$59,$C$65,$C$64,$C$60,$C$61,$C$68,$C$66,$M$82,$K90,$C$62,$C$63,W$94)</f>
        <v>#NAME?</v>
      </c>
      <c r="Y90" s="16" t="e">
        <f ca="1">M90-S90</f>
        <v>#NAME?</v>
      </c>
      <c r="Z90" s="16" t="e">
        <f t="shared" ref="Z90:AC90" ca="1" si="1">N90-T90</f>
        <v>#NAME?</v>
      </c>
      <c r="AA90" s="16" t="e">
        <f t="shared" ca="1" si="1"/>
        <v>#NAME?</v>
      </c>
      <c r="AB90" s="16" t="e">
        <f t="shared" ca="1" si="1"/>
        <v>#NAME?</v>
      </c>
      <c r="AC90" s="16" t="e">
        <f t="shared" ca="1" si="1"/>
        <v>#NAME?</v>
      </c>
    </row>
    <row r="91" spans="1:29" ht="4.5" customHeight="1" x14ac:dyDescent="0.25"/>
    <row r="92" spans="1:29" x14ac:dyDescent="0.25">
      <c r="K92" s="49" t="s">
        <v>86</v>
      </c>
      <c r="L92" s="49"/>
      <c r="M92" s="56" t="s">
        <v>74</v>
      </c>
      <c r="N92" s="56"/>
      <c r="O92" s="56"/>
      <c r="P92" s="56"/>
      <c r="Q92" s="56"/>
      <c r="S92" s="56" t="s">
        <v>74</v>
      </c>
      <c r="T92" s="56"/>
      <c r="U92" s="56"/>
      <c r="V92" s="56"/>
      <c r="W92" s="56"/>
      <c r="Y92" s="56" t="s">
        <v>74</v>
      </c>
      <c r="Z92" s="56"/>
      <c r="AA92" s="56"/>
      <c r="AB92" s="56"/>
      <c r="AC92" s="56"/>
    </row>
    <row r="93" spans="1:29" x14ac:dyDescent="0.25">
      <c r="J93" s="22"/>
      <c r="K93" s="22"/>
      <c r="L93" s="22"/>
      <c r="M93" s="40" t="e">
        <f ca="1">M$88</f>
        <v>#NAME?</v>
      </c>
      <c r="N93" s="40"/>
      <c r="O93" s="40"/>
      <c r="P93" s="40"/>
      <c r="Q93" s="41"/>
      <c r="S93" s="40" t="e">
        <f ca="1">S$88</f>
        <v>#NAME?</v>
      </c>
      <c r="T93" s="40"/>
      <c r="U93" s="40"/>
      <c r="V93" s="40"/>
      <c r="W93" s="41"/>
      <c r="Y93" s="50" t="s">
        <v>78</v>
      </c>
      <c r="Z93" s="51"/>
      <c r="AA93" s="51"/>
      <c r="AB93" s="51"/>
      <c r="AC93" s="52"/>
    </row>
    <row r="94" spans="1:29" x14ac:dyDescent="0.25">
      <c r="J94" s="22" t="s">
        <v>49</v>
      </c>
      <c r="K94" s="25" t="s">
        <v>67</v>
      </c>
      <c r="L94" s="25" t="s">
        <v>68</v>
      </c>
      <c r="M94" s="17" t="e">
        <f ca="1">M$21</f>
        <v>#NAME?</v>
      </c>
      <c r="N94" s="17" t="e">
        <f t="shared" ref="N94:AC94" ca="1" si="2">N$21</f>
        <v>#NAME?</v>
      </c>
      <c r="O94" s="17" t="e">
        <f t="shared" ca="1" si="2"/>
        <v>#NAME?</v>
      </c>
      <c r="P94" s="17" t="e">
        <f t="shared" ca="1" si="2"/>
        <v>#NAME?</v>
      </c>
      <c r="Q94" s="18" t="e">
        <f t="shared" ca="1" si="2"/>
        <v>#NAME?</v>
      </c>
      <c r="S94" s="17" t="e">
        <f t="shared" ca="1" si="2"/>
        <v>#NAME?</v>
      </c>
      <c r="T94" s="17" t="e">
        <f t="shared" ca="1" si="2"/>
        <v>#NAME?</v>
      </c>
      <c r="U94" s="17" t="e">
        <f t="shared" ca="1" si="2"/>
        <v>#NAME?</v>
      </c>
      <c r="V94" s="17" t="e">
        <f t="shared" ca="1" si="2"/>
        <v>#NAME?</v>
      </c>
      <c r="W94" s="18" t="e">
        <f t="shared" ca="1" si="2"/>
        <v>#NAME?</v>
      </c>
      <c r="Y94" s="17" t="e">
        <f t="shared" ca="1" si="2"/>
        <v>#NAME?</v>
      </c>
      <c r="Z94" s="17" t="e">
        <f t="shared" ca="1" si="2"/>
        <v>#NAME?</v>
      </c>
      <c r="AA94" s="17" t="e">
        <f t="shared" ca="1" si="2"/>
        <v>#NAME?</v>
      </c>
      <c r="AB94" s="17" t="e">
        <f t="shared" ca="1" si="2"/>
        <v>#NAME?</v>
      </c>
      <c r="AC94" s="18" t="e">
        <f t="shared" ca="1" si="2"/>
        <v>#NAME?</v>
      </c>
    </row>
    <row r="95" spans="1:29" x14ac:dyDescent="0.25">
      <c r="A95" t="e" cm="1">
        <f t="array" aca="1" ref="A95" ca="1">IF(_xll.TM1RPTELISCONSOLIDATED($J$95,$J95),IF(_xll.TM1RPTELLEV($J$95,$J95)&lt;=3,_xll.TM1RPTELLEV($J$95,$J95),"D"),"N")</f>
        <v>#NAME?</v>
      </c>
      <c r="J95" s="35" t="e">
        <f t="array" aca="1" ref="J95" ca="1">_xll.TM1RPTROW($C$52,db_name&amp;":account","","","code and description",0,$C$54)</f>
        <v>#NAME?</v>
      </c>
      <c r="K95" s="36" t="e">
        <f t="array" aca="1" ref="K95" ca="1">_xll.TM1RPTROW($C$52,db_name&amp;":movement account","","","code and description",0,$C$55)</f>
        <v>#NAME?</v>
      </c>
      <c r="L95" s="34" t="e">
        <f t="array" aca="1" ref="L95" ca="1">_xll.TM1RPTROW($C$52,db_name&amp;":id","","","code and description",0,$C$56)</f>
        <v>#NAME?</v>
      </c>
      <c r="M95" s="10" t="e" cm="1">
        <f t="array" aca="1" ref="M95" ca="1">_xll.DBRW($C$52,$M$87,$M$88,$M$83,$C$67,$C$58,$C$59,$C$65,$C$64,$C$60,$C$61,$K95,$C$66,$M$82,$J95,$L95,$C$63,M$94)</f>
        <v>#NAME?</v>
      </c>
      <c r="N95" s="10" t="e" cm="1">
        <f t="array" aca="1" ref="N95" ca="1">_xll.DBRW($C$52,$M$87,$M$88,$M$83,$C$67,$C$58,$C$59,$C$65,$C$64,$C$60,$C$61,$K95,$C$66,$M$82,$J95,$L95,$C$63,N$94)</f>
        <v>#NAME?</v>
      </c>
      <c r="O95" s="10" t="e" cm="1">
        <f t="array" aca="1" ref="O95" ca="1">_xll.DBRW($C$52,$M$87,$M$88,$M$83,$C$67,$C$58,$C$59,$C$65,$C$64,$C$60,$C$61,$K95,$C$66,$M$82,$J95,$L95,$C$63,O$94)</f>
        <v>#NAME?</v>
      </c>
      <c r="P95" s="10" t="e" cm="1">
        <f t="array" aca="1" ref="P95" ca="1">_xll.DBRW($C$52,$M$87,$M$88,$M$83,$C$67,$C$58,$C$59,$C$65,$C$64,$C$60,$C$61,$K95,$C$66,$M$82,$J95,$L95,$C$63,P$94)</f>
        <v>#NAME?</v>
      </c>
      <c r="Q95" s="10" t="e" cm="1">
        <f t="array" aca="1" ref="Q95" ca="1">_xll.DBRW($C$52,$M$87,$M$88,$M$83,$C$67,$C$58,$C$59,$C$65,$C$64,$C$60,$C$61,$K95,$C$66,$M$82,$J95,$L95,$C$63,Q$94)</f>
        <v>#NAME?</v>
      </c>
      <c r="R95" s="21" t="e" cm="1">
        <f t="array" aca="1" ref="R95" ca="1">_xll.DBRW($C$52,$M$87,R$24,$M$83,$C$67,$C$58,$C$59,$C$65,$C$64,$C$60,$C$61,$K95,$C$66,$M$82,$J95,$L95,$C$63,R$94)</f>
        <v>#NAME?</v>
      </c>
      <c r="S95" s="10" t="e" cm="1">
        <f t="array" aca="1" ref="S95" ca="1">_xll.DBRW($C$52,$S$87,$S$88,$M$83,$C$67,$C$58,$C$59,$C$65,$C$64,$C$60,$C$61,$K95,$C$66,$M$82,$J95,$L95,$C$63,S$94)</f>
        <v>#NAME?</v>
      </c>
      <c r="T95" s="10" t="e" cm="1">
        <f t="array" aca="1" ref="T95" ca="1">_xll.DBRW($C$52,$S$87,$S$88,$M$83,$C$67,$C$58,$C$59,$C$65,$C$64,$C$60,$C$61,$K95,$C$66,$M$82,$J95,$L95,$C$63,T$94)</f>
        <v>#NAME?</v>
      </c>
      <c r="U95" s="10" t="e" cm="1">
        <f t="array" aca="1" ref="U95" ca="1">_xll.DBRW($C$52,$S$87,$S$88,$M$83,$C$67,$C$58,$C$59,$C$65,$C$64,$C$60,$C$61,$K95,$C$66,$M$82,$J95,$L95,$C$63,U$94)</f>
        <v>#NAME?</v>
      </c>
      <c r="V95" s="10" t="e" cm="1">
        <f t="array" aca="1" ref="V95" ca="1">_xll.DBRW($C$52,$S$87,$S$88,$M$83,$C$67,$C$58,$C$59,$C$65,$C$64,$C$60,$C$61,$K95,$C$66,$M$82,$J95,$L95,$C$63,V$94)</f>
        <v>#NAME?</v>
      </c>
      <c r="W95" s="10" t="e" cm="1">
        <f t="array" aca="1" ref="W95" ca="1">_xll.DBRW($C$52,$S$87,$S$88,$M$83,$C$67,$C$58,$C$59,$C$65,$C$64,$C$60,$C$61,$K95,$C$66,$M$82,$J95,$L95,$C$63,W$94)</f>
        <v>#NAME?</v>
      </c>
      <c r="X95" s="21" t="e" cm="1">
        <f t="array" aca="1" ref="X95" ca="1">_xll.DBRW($C$52,$M$87,X$24,$M$83,$C$67,$C$58,$C$59,$C$65,$C$64,$C$60,$C$61,$K95,$C$66,$M$82,$J95,$L95,$C$63,X$94)</f>
        <v>#NAME?</v>
      </c>
      <c r="Y95" s="10" t="e">
        <f ca="1">M95-S95</f>
        <v>#NAME?</v>
      </c>
      <c r="Z95" s="10" t="e">
        <f t="shared" ref="Z95:AC95" ca="1" si="3">N95-T95</f>
        <v>#NAME?</v>
      </c>
      <c r="AA95" s="10" t="e">
        <f t="shared" ca="1" si="3"/>
        <v>#NAME?</v>
      </c>
      <c r="AB95" s="10" t="e">
        <f t="shared" ca="1" si="3"/>
        <v>#NAME?</v>
      </c>
      <c r="AC95" s="10" t="e">
        <f t="shared" ca="1" si="3"/>
        <v>#NAME?</v>
      </c>
    </row>
  </sheetData>
  <sheetProtection sheet="1" objects="1" scenarios="1"/>
  <mergeCells count="33">
    <mergeCell ref="B11:D11"/>
    <mergeCell ref="B19:D19"/>
    <mergeCell ref="B27:D27"/>
    <mergeCell ref="B34:D34"/>
    <mergeCell ref="B51:D51"/>
    <mergeCell ref="M84:O84"/>
    <mergeCell ref="M93:Q93"/>
    <mergeCell ref="M92:Q92"/>
    <mergeCell ref="S92:W92"/>
    <mergeCell ref="Y92:AC92"/>
    <mergeCell ref="M87:Q87"/>
    <mergeCell ref="S87:W87"/>
    <mergeCell ref="K92:L92"/>
    <mergeCell ref="Y93:AC93"/>
    <mergeCell ref="M88:Q88"/>
    <mergeCell ref="S88:W88"/>
    <mergeCell ref="Y88:AC88"/>
    <mergeCell ref="M81:O81"/>
    <mergeCell ref="J77:Q77"/>
    <mergeCell ref="S93:W93"/>
    <mergeCell ref="M82:O82"/>
    <mergeCell ref="M83:O83"/>
    <mergeCell ref="K90:L90"/>
    <mergeCell ref="K82:L82"/>
    <mergeCell ref="K83:L83"/>
    <mergeCell ref="K84:L84"/>
    <mergeCell ref="K88:L88"/>
    <mergeCell ref="M86:Q86"/>
    <mergeCell ref="S86:W86"/>
    <mergeCell ref="K87:L87"/>
    <mergeCell ref="S81:T81"/>
    <mergeCell ref="J78:Q78"/>
    <mergeCell ref="J79:Q79"/>
  </mergeCells>
  <conditionalFormatting sqref="J2:K7">
    <cfRule type="cellIs" dxfId="1" priority="25" operator="notEqual">
      <formula>"dsadsa"</formula>
    </cfRule>
  </conditionalFormatting>
  <conditionalFormatting sqref="J95:K95">
    <cfRule type="cellIs" dxfId="0" priority="1" operator="notEqual">
      <formula>"dsadsa"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300" r:id="rId4" name="TIButton5">
          <controlPr defaultSize="0" print="0" autoLine="0" r:id="rId5">
            <anchor moveWithCells="1" sizeWithCells="1">
              <from>
                <xdr:col>9</xdr:col>
                <xdr:colOff>704850</xdr:colOff>
                <xdr:row>73</xdr:row>
                <xdr:rowOff>0</xdr:rowOff>
              </from>
              <to>
                <xdr:col>9</xdr:col>
                <xdr:colOff>1524000</xdr:colOff>
                <xdr:row>73</xdr:row>
                <xdr:rowOff>247650</xdr:rowOff>
              </to>
            </anchor>
          </controlPr>
        </control>
      </mc:Choice>
      <mc:Fallback>
        <control shapeId="1300" r:id="rId4" name="TIButton5"/>
      </mc:Fallback>
    </mc:AlternateContent>
    <mc:AlternateContent xmlns:mc="http://schemas.openxmlformats.org/markup-compatibility/2006">
      <mc:Choice Requires="x14">
        <control shapeId="1298" r:id="rId6" name="TIButton7">
          <controlPr defaultSize="0" print="0" autoLine="0" r:id="rId7">
            <anchor moveWithCells="1" sizeWithCells="1">
              <from>
                <xdr:col>10</xdr:col>
                <xdr:colOff>1809750</xdr:colOff>
                <xdr:row>73</xdr:row>
                <xdr:rowOff>0</xdr:rowOff>
              </from>
              <to>
                <xdr:col>11</xdr:col>
                <xdr:colOff>495300</xdr:colOff>
                <xdr:row>73</xdr:row>
                <xdr:rowOff>247650</xdr:rowOff>
              </to>
            </anchor>
          </controlPr>
        </control>
      </mc:Choice>
      <mc:Fallback>
        <control shapeId="1298" r:id="rId6" name="TIButton7"/>
      </mc:Fallback>
    </mc:AlternateContent>
    <mc:AlternateContent xmlns:mc="http://schemas.openxmlformats.org/markup-compatibility/2006">
      <mc:Choice Requires="x14">
        <control shapeId="1296" r:id="rId8" name="TIButton6">
          <controlPr defaultSize="0" print="0" autoLine="0" r:id="rId9">
            <anchor moveWithCells="1" sizeWithCells="1">
              <from>
                <xdr:col>22</xdr:col>
                <xdr:colOff>657225</xdr:colOff>
                <xdr:row>72</xdr:row>
                <xdr:rowOff>28575</xdr:rowOff>
              </from>
              <to>
                <xdr:col>24</xdr:col>
                <xdr:colOff>0</xdr:colOff>
                <xdr:row>73</xdr:row>
                <xdr:rowOff>285750</xdr:rowOff>
              </to>
            </anchor>
          </controlPr>
        </control>
      </mc:Choice>
      <mc:Fallback>
        <control shapeId="1296" r:id="rId8" name="TIButton6"/>
      </mc:Fallback>
    </mc:AlternateContent>
    <mc:AlternateContent xmlns:mc="http://schemas.openxmlformats.org/markup-compatibility/2006">
      <mc:Choice Requires="x14">
        <control shapeId="1239" r:id="rId10" name="TIButton1">
          <controlPr defaultSize="0" print="0" autoLine="0" r:id="rId11">
            <anchor moveWithCells="1" sizeWithCells="1">
              <from>
                <xdr:col>12</xdr:col>
                <xdr:colOff>76200</xdr:colOff>
                <xdr:row>73</xdr:row>
                <xdr:rowOff>0</xdr:rowOff>
              </from>
              <to>
                <xdr:col>12</xdr:col>
                <xdr:colOff>857250</xdr:colOff>
                <xdr:row>73</xdr:row>
                <xdr:rowOff>247650</xdr:rowOff>
              </to>
            </anchor>
          </controlPr>
        </control>
      </mc:Choice>
      <mc:Fallback>
        <control shapeId="1239" r:id="rId10" name="TIButton1"/>
      </mc:Fallback>
    </mc:AlternateContent>
    <mc:AlternateContent xmlns:mc="http://schemas.openxmlformats.org/markup-compatibility/2006">
      <mc:Choice Requires="x14">
        <control shapeId="1240" r:id="rId12" name="TIButton3">
          <controlPr defaultSize="0" print="0" autoLine="0" r:id="rId13">
            <anchor moveWithCells="1" sizeWithCells="1">
              <from>
                <xdr:col>9</xdr:col>
                <xdr:colOff>38100</xdr:colOff>
                <xdr:row>73</xdr:row>
                <xdr:rowOff>0</xdr:rowOff>
              </from>
              <to>
                <xdr:col>9</xdr:col>
                <xdr:colOff>676275</xdr:colOff>
                <xdr:row>73</xdr:row>
                <xdr:rowOff>247650</xdr:rowOff>
              </to>
            </anchor>
          </controlPr>
        </control>
      </mc:Choice>
      <mc:Fallback>
        <control shapeId="1240" r:id="rId12" name="TIButton3"/>
      </mc:Fallback>
    </mc:AlternateContent>
    <mc:AlternateContent xmlns:mc="http://schemas.openxmlformats.org/markup-compatibility/2006">
      <mc:Choice Requires="x14">
        <control shapeId="1241" r:id="rId14" name="TIButton2">
          <controlPr defaultSize="0" print="0" autoLine="0" r:id="rId15">
            <anchor moveWithCells="1" sizeWithCells="1">
              <from>
                <xdr:col>10</xdr:col>
                <xdr:colOff>257175</xdr:colOff>
                <xdr:row>73</xdr:row>
                <xdr:rowOff>0</xdr:rowOff>
              </from>
              <to>
                <xdr:col>10</xdr:col>
                <xdr:colOff>1762125</xdr:colOff>
                <xdr:row>73</xdr:row>
                <xdr:rowOff>247650</xdr:rowOff>
              </to>
            </anchor>
          </controlPr>
        </control>
      </mc:Choice>
      <mc:Fallback>
        <control shapeId="1241" r:id="rId14" name="TIButton2"/>
      </mc:Fallback>
    </mc:AlternateContent>
    <mc:AlternateContent xmlns:mc="http://schemas.openxmlformats.org/markup-compatibility/2006">
      <mc:Choice Requires="x14">
        <control shapeId="1299" r:id="rId16" name="TIButton4">
          <controlPr defaultSize="0" print="0" autoLine="0" r:id="rId17">
            <anchor moveWithCells="1" sizeWithCells="1">
              <from>
                <xdr:col>9</xdr:col>
                <xdr:colOff>1571625</xdr:colOff>
                <xdr:row>73</xdr:row>
                <xdr:rowOff>0</xdr:rowOff>
              </from>
              <to>
                <xdr:col>10</xdr:col>
                <xdr:colOff>219075</xdr:colOff>
                <xdr:row>73</xdr:row>
                <xdr:rowOff>247650</xdr:rowOff>
              </to>
            </anchor>
          </controlPr>
        </control>
      </mc:Choice>
      <mc:Fallback>
        <control shapeId="1299" r:id="rId16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43</vt:i4>
      </vt:variant>
    </vt:vector>
  </HeadingPairs>
  <TitlesOfParts>
    <vt:vector size="44" baseType="lpstr">
      <vt:lpstr>report</vt:lpstr>
      <vt:lpstr>db_name</vt:lpstr>
      <vt:lpstr>psApp</vt:lpstr>
      <vt:lpstr>psHLYear</vt:lpstr>
      <vt:lpstr>psUser</vt:lpstr>
      <vt:lpstr>TM1AdjIDListCAP</vt:lpstr>
      <vt:lpstr>TM1AdjIDListWB</vt:lpstr>
      <vt:lpstr>TM1AnalRptScenCompCAP</vt:lpstr>
      <vt:lpstr>TM1AnalRptScenCompWB</vt:lpstr>
      <vt:lpstr>TM1AnalRptScenCompWS</vt:lpstr>
      <vt:lpstr>TM1HomeAdminBaseCAP</vt:lpstr>
      <vt:lpstr>TM1HomeAdminBaseWB</vt:lpstr>
      <vt:lpstr>TM1HomeAdminBaseWS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report!TM1RPTDATARNG1</vt:lpstr>
      <vt:lpstr>report!TM1RPTFMTIDCOL</vt:lpstr>
      <vt:lpstr>report!TM1RPTFMTRNG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2019-08-30T05:04:19Z</cp:lastPrinted>
  <dcterms:created xsi:type="dcterms:W3CDTF">2019-08-30T03:30:26Z</dcterms:created>
  <dcterms:modified xsi:type="dcterms:W3CDTF">2025-08-05T04:31:30Z</dcterms:modified>
</cp:coreProperties>
</file>