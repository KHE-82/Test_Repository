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F445F629-CAF4-4C60-9877-F5BB31950EB0}" xr6:coauthVersionLast="47" xr6:coauthVersionMax="47" xr10:uidLastSave="{00000000-0000-0000-0000-000000000000}"/>
  <bookViews>
    <workbookView xWindow="57480" yWindow="-1965" windowWidth="29040" windowHeight="15840" xr2:uid="{BC266C2D-0680-4645-9C80-2C341E2575D0}"/>
  </bookViews>
  <sheets>
    <sheet name="Menu" sheetId="1" r:id="rId1"/>
  </sheets>
  <definedNames>
    <definedName name="db_name">Menu!$C$2</definedName>
    <definedName name="home">Menu!$G$28</definedName>
    <definedName name="Menu">Menu!$G$29</definedName>
    <definedName name="psUser">Menu!$C$7</definedName>
    <definedName name="TM1AddRptAllAdjCAP">Menu!$D$39</definedName>
    <definedName name="TM1AddRptAllAdjWB">Menu!$F$39</definedName>
    <definedName name="TM1AddRptAllAdjWS">Menu!$H$39</definedName>
    <definedName name="TM1AddRptCustDetCAP">Menu!$D$37</definedName>
    <definedName name="TM1AddRptCustDetWB">Menu!$F$37</definedName>
    <definedName name="TM1AddRptCustDetWS">Menu!$H$37</definedName>
    <definedName name="TM1AddRptCustNoCAP">Menu!$D$38</definedName>
    <definedName name="TM1AddRptCustNoWB">Menu!$F$38</definedName>
    <definedName name="TM1AddRptCustNoWS">Menu!$H$38</definedName>
    <definedName name="TM1AnalRptARTRecoCAP">Menu!#REF!</definedName>
    <definedName name="TM1AnalRptARTRecoWB">Menu!#REF!</definedName>
    <definedName name="TM1AnalRptARTRecoWS">Menu!#REF!</definedName>
    <definedName name="TM1AnalRptDashboardCAP">Menu!#REF!</definedName>
    <definedName name="TM1AnalRptDashboardWB">Menu!#REF!</definedName>
    <definedName name="TM1AnalRptDashboardWS">Menu!#REF!</definedName>
    <definedName name="TM1AnalRptExportToCSVCAP">Menu!#REF!</definedName>
    <definedName name="TM1AnalRptExportToCSVWB">Menu!#REF!</definedName>
    <definedName name="TM1AnalRptExportToCSVWS">Menu!#REF!</definedName>
    <definedName name="TM1AnalRptRecoCAP">Menu!#REF!</definedName>
    <definedName name="TM1AnalRptRecoWB">Menu!#REF!</definedName>
    <definedName name="TM1AnalRptRecoWS">Menu!#REF!</definedName>
    <definedName name="TM1AnalRptRepAdjRecoCAP">Menu!#REF!</definedName>
    <definedName name="TM1AnalRptRepAdjRecoWB">Menu!#REF!</definedName>
    <definedName name="TM1AnalRptRepAdjRecoWS">Menu!#REF!</definedName>
    <definedName name="TM1AnalRptRepStageMaintCAP">Menu!#REF!</definedName>
    <definedName name="TM1AnalRptRepStageMaintWB">Menu!#REF!</definedName>
    <definedName name="TM1AnalRptRepStageMaintWS">Menu!#REF!</definedName>
    <definedName name="TM1AnalRptScenCompCAP">Menu!#REF!</definedName>
    <definedName name="TM1AnalRptScenCompWB">Menu!#REF!</definedName>
    <definedName name="TM1AnalRptScenCompWS">Menu!#REF!</definedName>
    <definedName name="TM1AnalRptTransCAP">Menu!#REF!</definedName>
    <definedName name="TM1AnalRptTransWB">Menu!#REF!</definedName>
    <definedName name="TM1AnalRptTransWS">Menu!#REF!</definedName>
    <definedName name="TM1HomeAdminCAP">Menu!$D$35</definedName>
    <definedName name="TM1HomeAdminWB">Menu!$F$35</definedName>
    <definedName name="TM1HomeAdminWS">Menu!$H$35</definedName>
    <definedName name="TM1HomeAECAP">Menu!$D$29</definedName>
    <definedName name="TM1HomeAEWB">Menu!$F$29</definedName>
    <definedName name="TM1HomeAEWS">Menu!$H$29</definedName>
    <definedName name="TM1HomeCAP">Menu!$D$28</definedName>
    <definedName name="TM1HomeRepAdditionalCAP">Menu!$D$34</definedName>
    <definedName name="TM1HomeRepAdditionalWB">Menu!$F$34</definedName>
    <definedName name="TM1HomeRepAdditionalWS">Menu!$H$34</definedName>
    <definedName name="TM1HomeRepAnalyticalCAP">Menu!$D$33</definedName>
    <definedName name="TM1HomeRepAnalyticalWB">Menu!$F$33</definedName>
    <definedName name="TM1HomeRepAnalyticalWS">Menu!$H$33</definedName>
    <definedName name="TM1HomeRepCAP">Menu!$D$30</definedName>
    <definedName name="TM1HomeRepOtherCAP">Menu!$D$32</definedName>
    <definedName name="TM1HomeRepOtherWB">Menu!$F$32</definedName>
    <definedName name="TM1HomeRepOtherWS">Menu!$H$32</definedName>
    <definedName name="TM1HomeRepPFSCAP">Menu!$D$31</definedName>
    <definedName name="TM1HomeRepPFSWB">Menu!$F$31</definedName>
    <definedName name="TM1HomeRepPFSWS">Menu!$H$31</definedName>
    <definedName name="TM1HomeRepWB">Menu!$F$30</definedName>
    <definedName name="TM1HomeRepWS">Menu!$H$30</definedName>
    <definedName name="TM1HomeUnderCAP">Menu!$D$36</definedName>
    <definedName name="TM1HomeUnderWB">Menu!$F$36</definedName>
    <definedName name="TM1HomeUnderWS">Menu!$H$36</definedName>
    <definedName name="TM1HomeWB">Menu!$F$28</definedName>
    <definedName name="TM1HomeWS">Menu!$H$28</definedName>
    <definedName name="TM1REBUILDOPTION">1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6" i="1" l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C18" i="1" a="1"/>
  <c r="C18" i="1"/>
  <c r="C4" i="1" a="1"/>
  <c r="C4" i="1"/>
  <c r="C7" i="1"/>
  <c r="C22" i="1" a="1"/>
  <c r="C22" i="1"/>
  <c r="C21" i="1" a="1"/>
  <c r="C21" i="1"/>
  <c r="C20" i="1" a="1"/>
  <c r="C20" i="1"/>
  <c r="C19" i="1" a="1"/>
  <c r="C19" i="1"/>
  <c r="C10" i="1" a="1"/>
  <c r="C10" i="1"/>
  <c r="C14" i="1" a="1"/>
  <c r="C14" i="1"/>
  <c r="C13" i="1" a="1"/>
  <c r="C13" i="1"/>
  <c r="C12" i="1" a="1"/>
  <c r="C12" i="1"/>
  <c r="C11" i="1" a="1"/>
  <c r="C11" i="1"/>
  <c r="C3" i="1" a="1"/>
  <c r="C3" i="1"/>
  <c r="C6" i="1" a="1"/>
  <c r="C6" i="1"/>
  <c r="C5" i="1" a="1"/>
  <c r="C5" i="1"/>
  <c r="K85" i="1"/>
  <c r="C15" i="1"/>
  <c r="K49" i="1"/>
  <c r="W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<sst xmlns="http://schemas.openxmlformats.org/spreadsheetml/2006/main" count="47" uniqueCount="44">
  <si>
    <t>Workbook</t>
  </si>
  <si>
    <t>Worksheet</t>
  </si>
  <si>
    <t>Slice View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</si>
  <si>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</si>
  <si>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</si>
  <si>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</si>
  <si>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</si>
  <si>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</si>
  <si>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</si>
  <si>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</si>
  <si>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</si>
  <si>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</si>
  <si>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</si>
  <si>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</si>
  <si>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</si>
  <si>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</si>
  <si>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</si>
  <si>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</si>
  <si>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</t>
  </si>
  <si>
    <t>favapp_application</t>
  </si>
  <si>
    <t>Client Preference Measure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</si>
  <si>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</si>
  <si>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</si>
  <si>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</si>
  <si>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</si>
  <si>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</si>
  <si>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</si>
  <si>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</si>
  <si>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</si>
  <si>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</si>
  <si>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</t>
  </si>
  <si>
    <t>Workbook Name</t>
  </si>
  <si>
    <t>Worksheet Name</t>
  </si>
  <si>
    <t>Caption Name</t>
  </si>
  <si>
    <t>REPORTS</t>
  </si>
  <si>
    <t>Homepage - Reports - PFS</t>
  </si>
  <si>
    <t>Homepage - Reports - Other</t>
  </si>
  <si>
    <t>Homepage - Reports - Analytical</t>
  </si>
  <si>
    <t>Homepage - Reports - Additional</t>
  </si>
  <si>
    <t>ADDITIONAL REPORTS MENU (CUSTOM)</t>
  </si>
  <si>
    <t>Additional Reports - Customer Details Report</t>
  </si>
  <si>
    <t>Additional Reports - Customer Number Report</t>
  </si>
  <si>
    <t>Additional Reports - All Adjustments By Headline Year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</si>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</sst>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2" fillId="3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3" fillId="3" borderId="0" xfId="0" applyFont="1" applyFill="1" applyAlignment="1">
      <alignment horizontal="right" vertical="center" indent="1"/>
    </xf>
    <xf numFmtId="0" fontId="0" fillId="0" borderId="5" xfId="0" applyBorder="1"/>
    <xf numFmtId="0" fontId="8" fillId="0" borderId="0" xfId="0" applyFont="1"/>
    <xf numFmtId="0" fontId="6" fillId="3" borderId="0" xfId="0" applyFont="1" applyFill="1" applyAlignment="1">
      <alignment horizontal="left" vertical="center"/>
    </xf>
    <xf numFmtId="0" fontId="6" fillId="5" borderId="0" xfId="1" applyFont="1" applyFill="1" applyAlignment="1" applyProtection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indent="1"/>
    </xf>
  </cellXfs>
  <cellStyles count="2">
    <cellStyle name="Normal" xfId="0" builtinId="0"/>
    <cellStyle name="Normal 2" xfId="1" xr:uid="{A2B67CD9-5582-4426-A06D-CD56C372B898}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333F48"/>
      <color rgb="FF006C5B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jpg"/><Relationship Id="rId4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../media/image1.emf"/><Relationship Id="rId5" Type="http://schemas.openxmlformats.org/officeDocument/2006/relationships/image" Target="../media/image6.emf"/><Relationship Id="rId10" Type="http://schemas.openxmlformats.org/officeDocument/2006/relationships/image" Target="../media/image11.emf"/><Relationship Id="rId4" Type="http://schemas.openxmlformats.org/officeDocument/2006/relationships/image" Target="../media/image5.emf"/><Relationship Id="rId9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48</xdr:row>
      <xdr:rowOff>55686</xdr:rowOff>
    </xdr:from>
    <xdr:to>
      <xdr:col>22</xdr:col>
      <xdr:colOff>206290</xdr:colOff>
      <xdr:row>48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577" y="9952161"/>
          <a:ext cx="284688" cy="28468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53</xdr:row>
      <xdr:rowOff>57150</xdr:rowOff>
    </xdr:from>
    <xdr:to>
      <xdr:col>15</xdr:col>
      <xdr:colOff>307716</xdr:colOff>
      <xdr:row>53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53</xdr:row>
      <xdr:rowOff>66675</xdr:rowOff>
    </xdr:from>
    <xdr:to>
      <xdr:col>22</xdr:col>
      <xdr:colOff>289046</xdr:colOff>
      <xdr:row>53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28575</xdr:rowOff>
    </xdr:from>
    <xdr:to>
      <xdr:col>12</xdr:col>
      <xdr:colOff>57150</xdr:colOff>
      <xdr:row>46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47625</xdr:colOff>
      <xdr:row>53</xdr:row>
      <xdr:rowOff>66675</xdr:rowOff>
    </xdr:from>
    <xdr:to>
      <xdr:col>22</xdr:col>
      <xdr:colOff>289046</xdr:colOff>
      <xdr:row>53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7675" y="1066800"/>
          <a:ext cx="241421" cy="190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54</xdr:row>
          <xdr:rowOff>45720</xdr:rowOff>
        </xdr:from>
        <xdr:to>
          <xdr:col>14</xdr:col>
          <xdr:colOff>754380</xdr:colOff>
          <xdr:row>57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57</xdr:row>
          <xdr:rowOff>45720</xdr:rowOff>
        </xdr:from>
        <xdr:to>
          <xdr:col>14</xdr:col>
          <xdr:colOff>754380</xdr:colOff>
          <xdr:row>59</xdr:row>
          <xdr:rowOff>60960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59</xdr:row>
          <xdr:rowOff>106680</xdr:rowOff>
        </xdr:from>
        <xdr:to>
          <xdr:col>14</xdr:col>
          <xdr:colOff>754380</xdr:colOff>
          <xdr:row>61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121920</xdr:colOff>
          <xdr:row>50</xdr:row>
          <xdr:rowOff>45720</xdr:rowOff>
        </xdr:from>
        <xdr:to>
          <xdr:col>13</xdr:col>
          <xdr:colOff>38100</xdr:colOff>
          <xdr:row>52</xdr:row>
          <xdr:rowOff>83820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60960</xdr:colOff>
          <xdr:row>50</xdr:row>
          <xdr:rowOff>45720</xdr:rowOff>
        </xdr:from>
        <xdr:to>
          <xdr:col>15</xdr:col>
          <xdr:colOff>350520</xdr:colOff>
          <xdr:row>52</xdr:row>
          <xdr:rowOff>83820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373380</xdr:colOff>
          <xdr:row>50</xdr:row>
          <xdr:rowOff>38100</xdr:rowOff>
        </xdr:from>
        <xdr:to>
          <xdr:col>19</xdr:col>
          <xdr:colOff>1104900</xdr:colOff>
          <xdr:row>52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1135380</xdr:colOff>
          <xdr:row>50</xdr:row>
          <xdr:rowOff>38100</xdr:rowOff>
        </xdr:from>
        <xdr:to>
          <xdr:col>22</xdr:col>
          <xdr:colOff>114300</xdr:colOff>
          <xdr:row>52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289560</xdr:colOff>
          <xdr:row>54</xdr:row>
          <xdr:rowOff>45720</xdr:rowOff>
        </xdr:from>
        <xdr:to>
          <xdr:col>21</xdr:col>
          <xdr:colOff>1036320</xdr:colOff>
          <xdr:row>57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289560</xdr:colOff>
          <xdr:row>57</xdr:row>
          <xdr:rowOff>45720</xdr:rowOff>
        </xdr:from>
        <xdr:to>
          <xdr:col>21</xdr:col>
          <xdr:colOff>1036320</xdr:colOff>
          <xdr:row>59</xdr:row>
          <xdr:rowOff>60960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289560</xdr:colOff>
          <xdr:row>59</xdr:row>
          <xdr:rowOff>106680</xdr:rowOff>
        </xdr:from>
        <xdr:to>
          <xdr:col>21</xdr:col>
          <xdr:colOff>1036320</xdr:colOff>
          <xdr:row>61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0</xdr:colOff>
      <xdr:row>0</xdr:row>
      <xdr:rowOff>0</xdr:rowOff>
    </xdr:from>
    <xdr:to>
      <xdr:col>26</xdr:col>
      <xdr:colOff>38100</xdr:colOff>
      <xdr:row>53</xdr:row>
      <xdr:rowOff>283846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0"/>
          <a:ext cx="1866900" cy="1866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61</xdr:row>
          <xdr:rowOff>160020</xdr:rowOff>
        </xdr:from>
        <xdr:to>
          <xdr:col>14</xdr:col>
          <xdr:colOff>754380</xdr:colOff>
          <xdr:row>63</xdr:row>
          <xdr:rowOff>38100</xdr:rowOff>
        </xdr:to>
        <xdr:sp macro="" textlink="">
          <xdr:nvSpPr>
            <xdr:cNvPr id="1041" name="TIButton4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CA4-A2A2-4967-A916-C33A6C7354C5}">
  <sheetPr codeName="Sheet1">
    <outlinePr showOutlineSymbols="0"/>
  </sheetPr>
  <dimension ref="A1:W85"/>
  <sheetViews>
    <sheetView showGridLines="0" showRowColHeaders="0" tabSelected="1" showOutlineSymbols="0" topLeftCell="J47" workbookViewId="0"/>
  </sheetViews>
  <sheetFormatPr defaultRowHeight="14.4" outlineLevelRow="1" outlineLevelCol="1" x14ac:dyDescent="0.3"/>
  <cols>
    <col min="1" max="1" width="5.6640625" hidden="1" customWidth="1" outlineLevel="1"/>
    <col min="2" max="2" width="27.88671875" hidden="1" customWidth="1" outlineLevel="1"/>
    <col min="3" max="4" width="20.33203125" hidden="1" customWidth="1" outlineLevel="1"/>
    <col min="5" max="5" width="24.44140625" hidden="1" customWidth="1" outlineLevel="1"/>
    <col min="6" max="6" width="21.6640625" hidden="1" customWidth="1" outlineLevel="1"/>
    <col min="7" max="7" width="20.109375" hidden="1" customWidth="1" outlineLevel="1"/>
    <col min="8" max="8" width="13.44140625" hidden="1" customWidth="1" outlineLevel="1"/>
    <col min="9" max="9" width="12.44140625" hidden="1" customWidth="1" outlineLevel="1"/>
    <col min="10" max="10" width="0.88671875" customWidth="1" collapsed="1"/>
    <col min="11" max="11" width="5.6640625" customWidth="1"/>
    <col min="12" max="15" width="19.6640625" customWidth="1"/>
    <col min="16" max="16" width="5.6640625" customWidth="1"/>
    <col min="17" max="17" width="1.6640625" customWidth="1"/>
    <col min="18" max="18" width="5.6640625" customWidth="1"/>
    <col min="19" max="22" width="19.6640625" customWidth="1"/>
    <col min="23" max="23" width="5.6640625" customWidth="1"/>
  </cols>
  <sheetData>
    <row r="1" spans="2:4" hidden="1" outlineLevel="1" x14ac:dyDescent="0.3">
      <c r="B1" s="16" t="s">
        <v>3</v>
      </c>
      <c r="C1" s="17"/>
      <c r="D1" s="18"/>
    </row>
    <row r="2" spans="2:4" hidden="1" outlineLevel="1" x14ac:dyDescent="0.3">
      <c r="B2" s="2" t="s">
        <v>4</v>
      </c>
      <c r="C2" s="3" t="s">
        <v>43</v>
      </c>
      <c r="D2" s="4"/>
    </row>
    <row r="3" spans="2:4" hidden="1" outlineLevel="1" x14ac:dyDescent="0.3">
      <c r="B3" s="2" t="s">
        <v>22</v>
      </c>
      <c r="C3" s="10" t="str" cm="1">
        <f t="array" aca="1" ref="C3" ca="1">_xll.VIEW(db_name&amp;":}ElementAttributes_}Clients","!","!")</f>
        <v>dcceew_geus:}ElementAttributes_}Clients</v>
      </c>
      <c r="D3" s="4"/>
    </row>
    <row r="4" spans="2:4" hidden="1" outlineLevel="1" x14ac:dyDescent="0.3">
      <c r="B4" s="2" t="s">
        <v>21</v>
      </c>
      <c r="C4" s="3" t="str" cm="1">
        <f t="array" aca="1" ref="C4" ca="1">_xll.TM1USER(db_name)</f>
        <v/>
      </c>
      <c r="D4" s="4"/>
    </row>
    <row r="5" spans="2:4" hidden="1" outlineLevel="1" x14ac:dyDescent="0.3">
      <c r="B5" s="2" t="s">
        <v>23</v>
      </c>
      <c r="C5" s="3" t="str" cm="1">
        <f t="array" aca="1" ref="C5" ca="1">_xll.DBR($C$3,$C$4,$B5)</f>
        <v>*KEY_ERR</v>
      </c>
      <c r="D5" s="4"/>
    </row>
    <row r="6" spans="2:4" hidden="1" outlineLevel="1" x14ac:dyDescent="0.3">
      <c r="B6" s="2" t="s">
        <v>24</v>
      </c>
      <c r="C6" s="3" t="str" cm="1">
        <f t="array" aca="1" ref="C6" ca="1">_xll.DBR($C$3,$C$4,$B6)</f>
        <v>*KEY_ERR</v>
      </c>
      <c r="D6" s="4"/>
    </row>
    <row r="7" spans="2:4" hidden="1" outlineLevel="1" x14ac:dyDescent="0.3">
      <c r="B7" s="2" t="s">
        <v>5</v>
      </c>
      <c r="C7" s="3" t="str">
        <f ca="1">IF(LEFT($C$4,6)="CAM_AD",$C$5,$C$4)</f>
        <v/>
      </c>
      <c r="D7" s="1"/>
    </row>
    <row r="8" spans="2:4" hidden="1" outlineLevel="1" x14ac:dyDescent="0.3"/>
    <row r="9" spans="2:4" hidden="1" outlineLevel="1" x14ac:dyDescent="0.3">
      <c r="B9" s="16" t="s">
        <v>6</v>
      </c>
      <c r="C9" s="17"/>
      <c r="D9" s="18"/>
    </row>
    <row r="10" spans="2:4" hidden="1" outlineLevel="1" x14ac:dyDescent="0.3">
      <c r="B10" s="2" t="s">
        <v>7</v>
      </c>
      <c r="C10" s="1" t="str" cm="1">
        <f t="array" aca="1" ref="C10" ca="1">_xll.VIEW(db_name&amp;":}ElementAttributes_variables","!","!")</f>
        <v>dcceew_geus:}ElementAttributes_variables</v>
      </c>
      <c r="D10" s="1"/>
    </row>
    <row r="11" spans="2:4" hidden="1" outlineLevel="1" x14ac:dyDescent="0.3">
      <c r="B11" s="2" t="s">
        <v>8</v>
      </c>
      <c r="C11" s="1" t="str" cm="1">
        <f t="array" aca="1" ref="C11" ca="1">_xll.DBR($C$10,$B11,"value")</f>
        <v>*KEY_ERR</v>
      </c>
      <c r="D11" s="1"/>
    </row>
    <row r="12" spans="2:4" hidden="1" outlineLevel="1" x14ac:dyDescent="0.3">
      <c r="B12" s="2" t="s">
        <v>9</v>
      </c>
      <c r="C12" s="1" t="str" cm="1">
        <f t="array" aca="1" ref="C12" ca="1">_xll.DBR($C$10,$B12,"value")</f>
        <v>*KEY_ERR</v>
      </c>
      <c r="D12" s="1"/>
    </row>
    <row r="13" spans="2:4" hidden="1" outlineLevel="1" x14ac:dyDescent="0.3">
      <c r="B13" s="2" t="s">
        <v>10</v>
      </c>
      <c r="C13" s="1" t="str" cm="1">
        <f t="array" aca="1" ref="C13" ca="1">_xll.DBR($C$10,$B13,"value")</f>
        <v>*KEY_ERR</v>
      </c>
      <c r="D13" s="1"/>
    </row>
    <row r="14" spans="2:4" hidden="1" outlineLevel="1" x14ac:dyDescent="0.3">
      <c r="B14" s="2" t="s">
        <v>11</v>
      </c>
      <c r="C14" s="1" t="str" cm="1">
        <f t="array" aca="1" ref="C14" ca="1">_xll.DBR($C$10,$B14,"value")</f>
        <v>*KEY_ERR</v>
      </c>
      <c r="D14" s="1"/>
    </row>
    <row r="15" spans="2:4" hidden="1" outlineLevel="1" x14ac:dyDescent="0.3">
      <c r="B15" s="2" t="s">
        <v>12</v>
      </c>
      <c r="C15" s="1" t="str">
        <f ca="1">"The current scenario is """ &amp; $C$12 &amp; """ for the """ &amp; $C$11 &amp; """ Headline Year. Archive was done for """ &amp; $C$13 &amp; """ on scenario """ &amp; $C$14 &amp; """."</f>
        <v>The current scenario is "*KEY_ERR" for the "*KEY_ERR" Headline Year. Archive was done for "*KEY_ERR" on scenario "*KEY_ERR".</v>
      </c>
      <c r="D15" s="1"/>
    </row>
    <row r="16" spans="2:4" hidden="1" outlineLevel="1" x14ac:dyDescent="0.3"/>
    <row r="17" spans="2:13" hidden="1" outlineLevel="1" x14ac:dyDescent="0.3">
      <c r="B17" s="16" t="s">
        <v>13</v>
      </c>
      <c r="C17" s="17"/>
      <c r="D17" s="18"/>
    </row>
    <row r="18" spans="2:13" hidden="1" outlineLevel="1" x14ac:dyDescent="0.3">
      <c r="B18" s="2" t="s">
        <v>7</v>
      </c>
      <c r="C18" s="1" t="str" cm="1">
        <f t="array" aca="1" ref="C18" ca="1">_xll.VIEW(db_name&amp;":sys_client preference","!","!","!")</f>
        <v>dcceew_geus:sys_client preference</v>
      </c>
      <c r="D18" s="1"/>
    </row>
    <row r="19" spans="2:13" hidden="1" outlineLevel="1" x14ac:dyDescent="0.3">
      <c r="B19" s="2" t="s">
        <v>14</v>
      </c>
      <c r="C19" s="1" t="str" cm="1">
        <f t="array" aca="1" ref="C19" ca="1">_xll.DBR($C$18,psUser,$B19,"value")</f>
        <v>*KEY_ERR</v>
      </c>
      <c r="D19" s="1"/>
    </row>
    <row r="20" spans="2:13" hidden="1" outlineLevel="1" x14ac:dyDescent="0.3">
      <c r="B20" s="2" t="s">
        <v>15</v>
      </c>
      <c r="C20" s="1" t="str" cm="1">
        <f t="array" aca="1" ref="C20" ca="1">_xll.DBR($C$18,psUser,$B20,"value")</f>
        <v>*KEY_ERR</v>
      </c>
      <c r="D20" s="1"/>
    </row>
    <row r="21" spans="2:13" hidden="1" outlineLevel="1" x14ac:dyDescent="0.3">
      <c r="B21" s="2" t="s">
        <v>16</v>
      </c>
      <c r="C21" s="1" t="str" cm="1">
        <f t="array" aca="1" ref="C21" ca="1">_xll.DBR($C$18,psUser,$B21,"value")</f>
        <v>*KEY_ERR</v>
      </c>
      <c r="D21" s="1"/>
    </row>
    <row r="22" spans="2:13" hidden="1" outlineLevel="1" x14ac:dyDescent="0.3">
      <c r="B22" s="2" t="s">
        <v>17</v>
      </c>
      <c r="C22" s="1" t="str" cm="1">
        <f t="array" aca="1" ref="C22" ca="1">_xll.DBR($C$18,psUser,$B22,"value")</f>
        <v>*KEY_ERR</v>
      </c>
      <c r="D22" s="1"/>
    </row>
    <row r="23" spans="2:13" hidden="1" outlineLevel="1" x14ac:dyDescent="0.3">
      <c r="B23" s="2" t="s">
        <v>20</v>
      </c>
      <c r="C23" s="1" t="s">
        <v>19</v>
      </c>
      <c r="D23" s="1"/>
    </row>
    <row r="24" spans="2:13" hidden="1" outlineLevel="1" x14ac:dyDescent="0.3"/>
    <row r="25" spans="2:13" hidden="1" outlineLevel="1" x14ac:dyDescent="0.3">
      <c r="B25" s="16" t="s">
        <v>18</v>
      </c>
      <c r="C25" s="17"/>
      <c r="D25" s="18"/>
    </row>
    <row r="26" spans="2:13" hidden="1" outlineLevel="1" x14ac:dyDescent="0.3">
      <c r="B26" s="1" t="s">
        <v>2</v>
      </c>
      <c r="C26" s="12" t="str">
        <f ca="1">_xll.VIEW(db_name&amp;":sys_application","!","!")</f>
        <v>dcceew_geus:sys_application</v>
      </c>
      <c r="D26" s="12"/>
    </row>
    <row r="27" spans="2:13" hidden="1" outlineLevel="1" x14ac:dyDescent="0.3">
      <c r="C27" s="12" t="s">
        <v>33</v>
      </c>
      <c r="D27" s="12" t="s">
        <v>30</v>
      </c>
      <c r="E27" s="12" t="s">
        <v>31</v>
      </c>
      <c r="F27" s="12" t="s">
        <v>0</v>
      </c>
      <c r="G27" s="12" t="s">
        <v>32</v>
      </c>
      <c r="H27" s="12" t="s">
        <v>1</v>
      </c>
    </row>
    <row r="28" spans="2:13" hidden="1" outlineLevel="1" x14ac:dyDescent="0.3">
      <c r="B28" s="1" t="s">
        <v>25</v>
      </c>
      <c r="C28" s="1" t="str" cm="1">
        <f t="array" aca="1" ref="C28" ca="1">_xll.DBR($C$26,$B28,C$27)</f>
        <v>*KEY_ERR</v>
      </c>
      <c r="D28" s="1" t="str" cm="1">
        <f t="array" aca="1" ref="D28" ca="1">_xll.DBR($C$26,$B28,D$27)</f>
        <v>*KEY_ERR</v>
      </c>
      <c r="E28" s="1" t="str" cm="1">
        <f t="array" aca="1" ref="E28" ca="1">_xll.DBR($C$26,$B28,E$27)</f>
        <v>*KEY_ERR</v>
      </c>
      <c r="F28" s="1" t="str" cm="1">
        <f t="array" aca="1" ref="F28" ca="1">_xll.DBR($C$26,$B28,F$27)</f>
        <v>*KEY_ERR</v>
      </c>
      <c r="G28" s="1" t="str" cm="1">
        <f t="array" aca="1" ref="G28" ca="1">_xll.DBR($C$26,$B28,G$27)</f>
        <v>*KEY_ERR</v>
      </c>
      <c r="H28" s="1" t="str" cm="1">
        <f t="array" aca="1" ref="H28" ca="1">_xll.DBR($C$26,$B28,H$27)</f>
        <v>*KEY_ERR</v>
      </c>
      <c r="M28" t="s">
        <v>30</v>
      </c>
    </row>
    <row r="29" spans="2:13" hidden="1" outlineLevel="1" x14ac:dyDescent="0.3">
      <c r="B29" s="1" t="s">
        <v>26</v>
      </c>
      <c r="C29" s="1" t="str" cm="1">
        <f t="array" aca="1" ref="C29" ca="1">_xll.DBR($C$26,$B29,C$27)</f>
        <v>*KEY_ERR</v>
      </c>
      <c r="D29" s="1" t="str" cm="1">
        <f t="array" aca="1" ref="D29" ca="1">_xll.DBR($C$26,$B29,D$27)</f>
        <v>*KEY_ERR</v>
      </c>
      <c r="E29" s="1" t="str" cm="1">
        <f t="array" aca="1" ref="E29" ca="1">_xll.DBR($C$26,$B29,E$27)</f>
        <v>*KEY_ERR</v>
      </c>
      <c r="F29" s="1" t="str" cm="1">
        <f t="array" aca="1" ref="F29" ca="1">_xll.DBR($C$26,$B29,F$27)</f>
        <v>*KEY_ERR</v>
      </c>
      <c r="G29" s="1" t="str" cm="1">
        <f t="array" aca="1" ref="G29" ca="1">_xll.DBR($C$26,$B29,G$27)</f>
        <v>*KEY_ERR</v>
      </c>
      <c r="H29" s="1" t="str" cm="1">
        <f t="array" aca="1" ref="H29" ca="1">_xll.DBR($C$26,$B29,H$27)</f>
        <v>*KEY_ERR</v>
      </c>
      <c r="M29" t="s">
        <v>31</v>
      </c>
    </row>
    <row r="30" spans="2:13" hidden="1" outlineLevel="1" x14ac:dyDescent="0.3">
      <c r="B30" s="1" t="s">
        <v>27</v>
      </c>
      <c r="C30" s="1" t="str" cm="1">
        <f t="array" aca="1" ref="C30" ca="1">_xll.DBR($C$26,$B30,C$27)</f>
        <v>*KEY_ERR</v>
      </c>
      <c r="D30" s="1" t="str" cm="1">
        <f t="array" aca="1" ref="D30" ca="1">_xll.DBR($C$26,$B30,D$27)</f>
        <v>*KEY_ERR</v>
      </c>
      <c r="E30" s="1" t="str" cm="1">
        <f t="array" aca="1" ref="E30" ca="1">_xll.DBR($C$26,$B30,E$27)</f>
        <v>*KEY_ERR</v>
      </c>
      <c r="F30" s="1" t="str" cm="1">
        <f t="array" aca="1" ref="F30" ca="1">_xll.DBR($C$26,$B30,F$27)</f>
        <v>*KEY_ERR</v>
      </c>
      <c r="G30" s="1" t="str" cm="1">
        <f t="array" aca="1" ref="G30" ca="1">_xll.DBR($C$26,$B30,G$27)</f>
        <v>*KEY_ERR</v>
      </c>
      <c r="H30" s="1" t="str" cm="1">
        <f t="array" aca="1" ref="H30" ca="1">_xll.DBR($C$26,$B30,H$27)</f>
        <v>*KEY_ERR</v>
      </c>
    </row>
    <row r="31" spans="2:13" hidden="1" outlineLevel="1" x14ac:dyDescent="0.3">
      <c r="B31" s="1" t="s">
        <v>35</v>
      </c>
      <c r="C31" s="1" t="str" cm="1">
        <f t="array" aca="1" ref="C31" ca="1">_xll.DBR($C$26,$B31,C$27)</f>
        <v>*KEY_ERR</v>
      </c>
      <c r="D31" s="1" t="str" cm="1">
        <f t="array" aca="1" ref="D31" ca="1">_xll.DBR($C$26,$B31,D$27)</f>
        <v>*KEY_ERR</v>
      </c>
      <c r="E31" s="1" t="str" cm="1">
        <f t="array" aca="1" ref="E31" ca="1">_xll.DBR($C$26,$B31,E$27)</f>
        <v>*KEY_ERR</v>
      </c>
      <c r="F31" s="1" t="str" cm="1">
        <f t="array" aca="1" ref="F31" ca="1">_xll.DBR($C$26,$B31,F$27)</f>
        <v>*KEY_ERR</v>
      </c>
      <c r="G31" s="1" t="str" cm="1">
        <f t="array" aca="1" ref="G31" ca="1">_xll.DBR($C$26,$B31,G$27)</f>
        <v>*KEY_ERR</v>
      </c>
      <c r="H31" s="1" t="str" cm="1">
        <f t="array" aca="1" ref="H31" ca="1">_xll.DBR($C$26,$B31,H$27)</f>
        <v>*KEY_ERR</v>
      </c>
    </row>
    <row r="32" spans="2:13" hidden="1" outlineLevel="1" x14ac:dyDescent="0.3">
      <c r="B32" s="1" t="s">
        <v>36</v>
      </c>
      <c r="C32" s="1" t="str" cm="1">
        <f t="array" aca="1" ref="C32" ca="1">_xll.DBR($C$26,$B32,C$27)</f>
        <v>*KEY_ERR</v>
      </c>
      <c r="D32" s="1" t="str" cm="1">
        <f t="array" aca="1" ref="D32" ca="1">_xll.DBR($C$26,$B32,D$27)</f>
        <v>*KEY_ERR</v>
      </c>
      <c r="E32" s="1" t="str" cm="1">
        <f t="array" aca="1" ref="E32" ca="1">_xll.DBR($C$26,$B32,E$27)</f>
        <v>*KEY_ERR</v>
      </c>
      <c r="F32" s="1" t="str" cm="1">
        <f t="array" aca="1" ref="F32" ca="1">_xll.DBR($C$26,$B32,F$27)</f>
        <v>*KEY_ERR</v>
      </c>
      <c r="G32" s="1" t="str" cm="1">
        <f t="array" aca="1" ref="G32" ca="1">_xll.DBR($C$26,$B32,G$27)</f>
        <v>*KEY_ERR</v>
      </c>
      <c r="H32" s="1" t="str" cm="1">
        <f t="array" aca="1" ref="H32" ca="1">_xll.DBR($C$26,$B32,H$27)</f>
        <v>*KEY_ERR</v>
      </c>
    </row>
    <row r="33" spans="2:23" hidden="1" outlineLevel="1" x14ac:dyDescent="0.3">
      <c r="B33" s="1" t="s">
        <v>37</v>
      </c>
      <c r="C33" s="1" t="str" cm="1">
        <f t="array" aca="1" ref="C33" ca="1">_xll.DBR($C$26,$B33,C$27)</f>
        <v>*KEY_ERR</v>
      </c>
      <c r="D33" s="1" t="str" cm="1">
        <f t="array" aca="1" ref="D33" ca="1">_xll.DBR($C$26,$B33,D$27)</f>
        <v>*KEY_ERR</v>
      </c>
      <c r="E33" s="1" t="str" cm="1">
        <f t="array" aca="1" ref="E33" ca="1">_xll.DBR($C$26,$B33,E$27)</f>
        <v>*KEY_ERR</v>
      </c>
      <c r="F33" s="1" t="str" cm="1">
        <f t="array" aca="1" ref="F33" ca="1">_xll.DBR($C$26,$B33,F$27)</f>
        <v>*KEY_ERR</v>
      </c>
      <c r="G33" s="1" t="str" cm="1">
        <f t="array" aca="1" ref="G33" ca="1">_xll.DBR($C$26,$B33,G$27)</f>
        <v>*KEY_ERR</v>
      </c>
      <c r="H33" s="1" t="str" cm="1">
        <f t="array" aca="1" ref="H33" ca="1">_xll.DBR($C$26,$B33,H$27)</f>
        <v>*KEY_ERR</v>
      </c>
    </row>
    <row r="34" spans="2:23" hidden="1" outlineLevel="1" x14ac:dyDescent="0.3">
      <c r="B34" s="1" t="s">
        <v>38</v>
      </c>
      <c r="C34" s="1" t="str" cm="1">
        <f t="array" aca="1" ref="C34" ca="1">_xll.DBR($C$26,$B34,C$27)</f>
        <v>*KEY_ERR</v>
      </c>
      <c r="D34" s="1" t="str" cm="1">
        <f t="array" aca="1" ref="D34" ca="1">_xll.DBR($C$26,$B34,D$27)</f>
        <v>*KEY_ERR</v>
      </c>
      <c r="E34" s="1" t="str" cm="1">
        <f t="array" aca="1" ref="E34" ca="1">_xll.DBR($C$26,$B34,E$27)</f>
        <v>*KEY_ERR</v>
      </c>
      <c r="F34" s="1" t="str" cm="1">
        <f t="array" aca="1" ref="F34" ca="1">_xll.DBR($C$26,$B34,F$27)</f>
        <v>*KEY_ERR</v>
      </c>
      <c r="G34" s="1" t="str" cm="1">
        <f t="array" aca="1" ref="G34" ca="1">_xll.DBR($C$26,$B34,G$27)</f>
        <v>*KEY_ERR</v>
      </c>
      <c r="H34" s="1" t="str" cm="1">
        <f t="array" aca="1" ref="H34" ca="1">_xll.DBR($C$26,$B34,H$27)</f>
        <v>*KEY_ERR</v>
      </c>
    </row>
    <row r="35" spans="2:23" hidden="1" outlineLevel="1" x14ac:dyDescent="0.3">
      <c r="B35" s="1" t="s">
        <v>28</v>
      </c>
      <c r="C35" s="1" t="str" cm="1">
        <f t="array" aca="1" ref="C35" ca="1">_xll.DBR($C$26,$B35,C$27)</f>
        <v>*KEY_ERR</v>
      </c>
      <c r="D35" s="1" t="str" cm="1">
        <f t="array" aca="1" ref="D35" ca="1">_xll.DBR($C$26,$B35,D$27)</f>
        <v>*KEY_ERR</v>
      </c>
      <c r="E35" s="1" t="str" cm="1">
        <f t="array" aca="1" ref="E35" ca="1">_xll.DBR($C$26,$B35,E$27)</f>
        <v>*KEY_ERR</v>
      </c>
      <c r="F35" s="1" t="str" cm="1">
        <f t="array" aca="1" ref="F35" ca="1">_xll.DBR($C$26,$B35,F$27)</f>
        <v>*KEY_ERR</v>
      </c>
      <c r="G35" s="1" t="str" cm="1">
        <f t="array" aca="1" ref="G35" ca="1">_xll.DBR($C$26,$B35,G$27)</f>
        <v>*KEY_ERR</v>
      </c>
      <c r="H35" s="1" t="str" cm="1">
        <f t="array" aca="1" ref="H35" ca="1">_xll.DBR($C$26,$B35,H$27)</f>
        <v>*KEY_ERR</v>
      </c>
    </row>
    <row r="36" spans="2:23" hidden="1" outlineLevel="1" x14ac:dyDescent="0.3">
      <c r="B36" s="1" t="s">
        <v>29</v>
      </c>
      <c r="C36" s="1" t="str" cm="1">
        <f t="array" aca="1" ref="C36" ca="1">_xll.DBR($C$26,$B36,C$27)</f>
        <v>*KEY_ERR</v>
      </c>
      <c r="D36" s="1" t="str" cm="1">
        <f t="array" aca="1" ref="D36" ca="1">_xll.DBR($C$26,$B36,D$27)</f>
        <v>*KEY_ERR</v>
      </c>
      <c r="E36" s="1" t="str" cm="1">
        <f t="array" aca="1" ref="E36" ca="1">_xll.DBR($C$26,$B36,E$27)</f>
        <v>*KEY_ERR</v>
      </c>
      <c r="F36" s="1" t="str" cm="1">
        <f t="array" aca="1" ref="F36" ca="1">_xll.DBR($C$26,$B36,F$27)</f>
        <v>*KEY_ERR</v>
      </c>
      <c r="G36" s="1" t="str" cm="1">
        <f t="array" aca="1" ref="G36" ca="1">_xll.DBR($C$26,$B36,G$27)</f>
        <v>*KEY_ERR</v>
      </c>
      <c r="H36" s="1" t="str" cm="1">
        <f t="array" aca="1" ref="H36" ca="1">_xll.DBR($C$26,$B36,H$27)</f>
        <v>*KEY_ERR</v>
      </c>
    </row>
    <row r="37" spans="2:23" hidden="1" outlineLevel="1" x14ac:dyDescent="0.3">
      <c r="B37" s="1" t="s">
        <v>40</v>
      </c>
      <c r="C37" s="1" t="str" cm="1">
        <f t="array" aca="1" ref="C37" ca="1">_xll.DBR($C$26,$B37,C$27)</f>
        <v>*KEY_ERR</v>
      </c>
      <c r="D37" s="1" t="str" cm="1">
        <f t="array" aca="1" ref="D37" ca="1">_xll.DBR($C$26,$B37,D$27)</f>
        <v>*KEY_ERR</v>
      </c>
      <c r="E37" s="1" t="str" cm="1">
        <f t="array" aca="1" ref="E37" ca="1">_xll.DBR($C$26,$B37,E$27)</f>
        <v>*KEY_ERR</v>
      </c>
      <c r="F37" s="1" t="str" cm="1">
        <f t="array" aca="1" ref="F37" ca="1">_xll.DBR($C$26,$B37,F$27)</f>
        <v>*KEY_ERR</v>
      </c>
      <c r="G37" s="1" t="str" cm="1">
        <f t="array" aca="1" ref="G37" ca="1">_xll.DBR($C$26,$B37,G$27)</f>
        <v>*KEY_ERR</v>
      </c>
      <c r="H37" s="1" t="str" cm="1">
        <f t="array" aca="1" ref="H37" ca="1">_xll.DBR($C$26,$B37,H$27)</f>
        <v>*KEY_ERR</v>
      </c>
    </row>
    <row r="38" spans="2:23" hidden="1" outlineLevel="1" x14ac:dyDescent="0.3">
      <c r="B38" s="1" t="s">
        <v>41</v>
      </c>
      <c r="C38" s="1" t="str" cm="1">
        <f t="array" aca="1" ref="C38" ca="1">_xll.DBR($C$26,$B38,C$27)</f>
        <v>*KEY_ERR</v>
      </c>
      <c r="D38" s="1" t="str" cm="1">
        <f t="array" aca="1" ref="D38" ca="1">_xll.DBR($C$26,$B38,D$27)</f>
        <v>*KEY_ERR</v>
      </c>
      <c r="E38" s="1" t="str" cm="1">
        <f t="array" aca="1" ref="E38" ca="1">_xll.DBR($C$26,$B38,E$27)</f>
        <v>*KEY_ERR</v>
      </c>
      <c r="F38" s="1" t="str" cm="1">
        <f t="array" aca="1" ref="F38" ca="1">_xll.DBR($C$26,$B38,F$27)</f>
        <v>*KEY_ERR</v>
      </c>
      <c r="G38" s="1" t="str" cm="1">
        <f t="array" aca="1" ref="G38" ca="1">_xll.DBR($C$26,$B38,G$27)</f>
        <v>*KEY_ERR</v>
      </c>
      <c r="H38" s="1" t="str" cm="1">
        <f t="array" aca="1" ref="H38" ca="1">_xll.DBR($C$26,$B38,H$27)</f>
        <v>*KEY_ERR</v>
      </c>
    </row>
    <row r="39" spans="2:23" hidden="1" outlineLevel="1" x14ac:dyDescent="0.3">
      <c r="B39" s="1" t="s">
        <v>42</v>
      </c>
      <c r="C39" s="1" t="str" cm="1">
        <f t="array" aca="1" ref="C39" ca="1">_xll.DBR($C$26,$B39,C$27)</f>
        <v>*KEY_ERR</v>
      </c>
      <c r="D39" s="1" t="str" cm="1">
        <f t="array" aca="1" ref="D39" ca="1">_xll.DBR($C$26,$B39,D$27)</f>
        <v>*KEY_ERR</v>
      </c>
      <c r="E39" s="1" t="str" cm="1">
        <f t="array" aca="1" ref="E39" ca="1">_xll.DBR($C$26,$B39,E$27)</f>
        <v>*KEY_ERR</v>
      </c>
      <c r="F39" s="1" t="str" cm="1">
        <f t="array" aca="1" ref="F39" ca="1">_xll.DBR($C$26,$B39,F$27)</f>
        <v>*KEY_ERR</v>
      </c>
      <c r="G39" s="1" t="str" cm="1">
        <f t="array" aca="1" ref="G39" ca="1">_xll.DBR($C$26,$B39,G$27)</f>
        <v>*KEY_ERR</v>
      </c>
      <c r="H39" s="1" t="str" cm="1">
        <f t="array" aca="1" ref="H39" ca="1">_xll.DBR($C$26,$B39,H$27)</f>
        <v>*KEY_ERR</v>
      </c>
    </row>
    <row r="40" spans="2:23" hidden="1" outlineLevel="1" x14ac:dyDescent="0.3"/>
    <row r="41" spans="2:23" hidden="1" outlineLevel="1" x14ac:dyDescent="0.3"/>
    <row r="42" spans="2:23" hidden="1" outlineLevel="1" x14ac:dyDescent="0.3"/>
    <row r="43" spans="2:23" hidden="1" outlineLevel="1" x14ac:dyDescent="0.3"/>
    <row r="44" spans="2:23" hidden="1" outlineLevel="1" x14ac:dyDescent="0.3"/>
    <row r="45" spans="2:23" hidden="1" outlineLevel="1" x14ac:dyDescent="0.3"/>
    <row r="46" spans="2:23" hidden="1" outlineLevel="1" x14ac:dyDescent="0.3"/>
    <row r="47" spans="2:23" ht="39.75" customHeight="1" collapsed="1" x14ac:dyDescent="0.3"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11" t="str">
        <f ca="1">"Welcome "&amp; psUser</f>
        <v xml:space="preserve">Welcome </v>
      </c>
    </row>
    <row r="48" spans="2:23" ht="4.5" customHeight="1" x14ac:dyDescent="0.3"/>
    <row r="49" spans="10:23" ht="30" customHeight="1" x14ac:dyDescent="0.3">
      <c r="J49" s="6"/>
      <c r="K49" s="19" t="str">
        <f ca="1">$C$15</f>
        <v>The current scenario is "*KEY_ERR" for the "*KEY_ERR" Headline Year. Archive was done for "*KEY_ERR" on scenario "*KEY_ERR".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6"/>
      <c r="W49" s="6"/>
    </row>
    <row r="50" spans="10:23" ht="4.5" customHeight="1" x14ac:dyDescent="0.3"/>
    <row r="54" spans="10:23" ht="24.75" customHeight="1" x14ac:dyDescent="0.3">
      <c r="J54" s="7"/>
      <c r="K54" s="7"/>
      <c r="L54" s="14" t="s">
        <v>34</v>
      </c>
      <c r="M54" s="14"/>
      <c r="N54" s="14"/>
      <c r="O54" s="14"/>
      <c r="P54" s="5"/>
      <c r="R54" s="8"/>
      <c r="S54" s="15" t="s">
        <v>39</v>
      </c>
      <c r="T54" s="15"/>
      <c r="U54" s="15"/>
      <c r="V54" s="15"/>
      <c r="W54" s="8"/>
    </row>
    <row r="55" spans="10:23" ht="4.5" customHeight="1" x14ac:dyDescent="0.3">
      <c r="J55" s="9"/>
      <c r="K55" s="9"/>
      <c r="L55" s="9"/>
      <c r="M55" s="9"/>
      <c r="N55" s="9"/>
      <c r="O55" s="9"/>
      <c r="P55" s="9"/>
      <c r="R55" s="9"/>
      <c r="S55" s="9"/>
      <c r="T55" s="9"/>
      <c r="U55" s="9"/>
      <c r="V55" s="9"/>
      <c r="W55" s="9"/>
    </row>
    <row r="56" spans="10:23" ht="19.5" customHeight="1" x14ac:dyDescent="0.3">
      <c r="J56" s="9"/>
      <c r="K56" s="9"/>
      <c r="L56" s="9"/>
      <c r="M56" s="9"/>
      <c r="N56" s="9"/>
      <c r="O56" s="9"/>
      <c r="P56" s="9"/>
      <c r="R56" s="9"/>
      <c r="S56" s="9"/>
      <c r="T56" s="9"/>
      <c r="U56" s="9"/>
      <c r="V56" s="9"/>
      <c r="W56" s="9"/>
    </row>
    <row r="57" spans="10:23" ht="4.5" customHeight="1" x14ac:dyDescent="0.3">
      <c r="J57" s="9"/>
      <c r="K57" s="9"/>
      <c r="L57" s="9"/>
      <c r="M57" s="9"/>
      <c r="N57" s="9"/>
      <c r="O57" s="9"/>
      <c r="P57" s="9"/>
      <c r="R57" s="9"/>
      <c r="S57" s="9"/>
      <c r="T57" s="9"/>
      <c r="U57" s="9"/>
      <c r="V57" s="9"/>
      <c r="W57" s="9"/>
    </row>
    <row r="58" spans="10:23" ht="19.5" customHeight="1" x14ac:dyDescent="0.3">
      <c r="J58" s="9"/>
      <c r="K58" s="9"/>
      <c r="L58" s="9"/>
      <c r="M58" s="9"/>
      <c r="N58" s="9"/>
      <c r="O58" s="9"/>
      <c r="P58" s="9"/>
      <c r="R58" s="9"/>
      <c r="S58" s="9"/>
      <c r="T58" s="9"/>
      <c r="U58" s="9"/>
      <c r="V58" s="9"/>
      <c r="W58" s="9"/>
    </row>
    <row r="59" spans="10:23" ht="4.5" customHeight="1" x14ac:dyDescent="0.3">
      <c r="J59" s="9"/>
      <c r="K59" s="9"/>
      <c r="L59" s="9"/>
      <c r="M59" s="9"/>
      <c r="N59" s="9"/>
      <c r="O59" s="9"/>
      <c r="P59" s="9"/>
      <c r="R59" s="9"/>
      <c r="S59" s="9"/>
      <c r="T59" s="9"/>
      <c r="U59" s="9"/>
      <c r="V59" s="9"/>
      <c r="W59" s="9"/>
    </row>
    <row r="60" spans="10:23" ht="19.5" customHeight="1" x14ac:dyDescent="0.3">
      <c r="J60" s="9"/>
      <c r="K60" s="9"/>
      <c r="L60" s="9"/>
      <c r="M60" s="9"/>
      <c r="N60" s="9"/>
      <c r="O60" s="9"/>
      <c r="P60" s="9"/>
      <c r="R60" s="9"/>
      <c r="S60" s="9"/>
      <c r="T60" s="9"/>
      <c r="U60" s="9"/>
      <c r="V60" s="9"/>
      <c r="W60" s="9"/>
    </row>
    <row r="61" spans="10:23" ht="4.5" customHeight="1" x14ac:dyDescent="0.3">
      <c r="J61" s="9"/>
      <c r="K61" s="9"/>
      <c r="L61" s="9"/>
      <c r="M61" s="9"/>
      <c r="N61" s="9"/>
      <c r="O61" s="9"/>
      <c r="P61" s="9"/>
      <c r="R61" s="9"/>
      <c r="S61" s="9"/>
      <c r="T61" s="9"/>
      <c r="U61" s="9"/>
      <c r="V61" s="9"/>
      <c r="W61" s="9"/>
    </row>
    <row r="62" spans="10:23" ht="19.5" customHeight="1" x14ac:dyDescent="0.3"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</row>
    <row r="63" spans="10:23" x14ac:dyDescent="0.3"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</row>
    <row r="64" spans="10:23" x14ac:dyDescent="0.3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ht="4.5" customHeight="1" x14ac:dyDescent="0.3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x14ac:dyDescent="0.3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4.5" customHeight="1" x14ac:dyDescent="0.3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x14ac:dyDescent="0.3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ht="4.5" customHeight="1" x14ac:dyDescent="0.3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x14ac:dyDescent="0.3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ht="4.5" customHeight="1" x14ac:dyDescent="0.3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x14ac:dyDescent="0.3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ht="4.5" customHeight="1" x14ac:dyDescent="0.3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x14ac:dyDescent="0.3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ht="4.5" customHeight="1" x14ac:dyDescent="0.3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x14ac:dyDescent="0.3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ht="4.5" customHeight="1" x14ac:dyDescent="0.3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x14ac:dyDescent="0.3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ht="4.5" customHeight="1" x14ac:dyDescent="0.3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x14ac:dyDescent="0.3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ht="4.5" customHeight="1" x14ac:dyDescent="0.3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x14ac:dyDescent="0.3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x14ac:dyDescent="0.3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x14ac:dyDescent="0.3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x14ac:dyDescent="0.3">
      <c r="K85" s="13" t="str">
        <f ca="1">"© Excelerated Consulting Pty Ltd 2001-" &amp; YEAR(NOW())</f>
        <v>© Excelerated Consulting Pty Ltd 2001-2023</v>
      </c>
    </row>
  </sheetData>
  <sheetProtection sheet="1" objects="1" scenarios="1"/>
  <mergeCells count="7">
    <mergeCell ref="L54:O54"/>
    <mergeCell ref="S54:V54"/>
    <mergeCell ref="B1:D1"/>
    <mergeCell ref="B9:D9"/>
    <mergeCell ref="B17:D17"/>
    <mergeCell ref="B25:D25"/>
    <mergeCell ref="K49:U49"/>
  </mergeCells>
  <conditionalFormatting sqref="R54:W54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1" r:id="rId4" name="TIButton4">
          <controlPr defaultSize="0" print="0" autoLine="0" r:id="rId5">
            <anchor moveWithCells="1" sizeWithCells="1">
              <from>
                <xdr:col>11</xdr:col>
                <xdr:colOff>0</xdr:colOff>
                <xdr:row>61</xdr:row>
                <xdr:rowOff>160020</xdr:rowOff>
              </from>
              <to>
                <xdr:col>14</xdr:col>
                <xdr:colOff>754380</xdr:colOff>
                <xdr:row>63</xdr:row>
                <xdr:rowOff>38100</xdr:rowOff>
              </to>
            </anchor>
          </controlPr>
        </control>
      </mc:Choice>
      <mc:Fallback>
        <control shapeId="1041" r:id="rId4" name="TIButton4"/>
      </mc:Fallback>
    </mc:AlternateContent>
    <mc:AlternateContent xmlns:mc="http://schemas.openxmlformats.org/markup-compatibility/2006">
      <mc:Choice Requires="x14">
        <control shapeId="1025" r:id="rId6" name="TIButton1">
          <controlPr defaultSize="0" print="0" autoLine="0" r:id="rId7">
            <anchor moveWithCells="1" sizeWithCells="1">
              <from>
                <xdr:col>11</xdr:col>
                <xdr:colOff>0</xdr:colOff>
                <xdr:row>54</xdr:row>
                <xdr:rowOff>45720</xdr:rowOff>
              </from>
              <to>
                <xdr:col>14</xdr:col>
                <xdr:colOff>754380</xdr:colOff>
                <xdr:row>57</xdr:row>
                <xdr:rowOff>0</xdr:rowOff>
              </to>
            </anchor>
          </controlPr>
        </control>
      </mc:Choice>
      <mc:Fallback>
        <control shapeId="1025" r:id="rId6" name="TIButton1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r:id="rId9">
            <anchor moveWithCells="1" sizeWithCells="1">
              <from>
                <xdr:col>11</xdr:col>
                <xdr:colOff>0</xdr:colOff>
                <xdr:row>57</xdr:row>
                <xdr:rowOff>45720</xdr:rowOff>
              </from>
              <to>
                <xdr:col>14</xdr:col>
                <xdr:colOff>754380</xdr:colOff>
                <xdr:row>59</xdr:row>
                <xdr:rowOff>60960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7" r:id="rId10" name="TIButton3">
          <controlPr defaultSize="0" print="0" autoLine="0" r:id="rId11">
            <anchor moveWithCells="1" sizeWithCells="1">
              <from>
                <xdr:col>11</xdr:col>
                <xdr:colOff>0</xdr:colOff>
                <xdr:row>59</xdr:row>
                <xdr:rowOff>106680</xdr:rowOff>
              </from>
              <to>
                <xdr:col>14</xdr:col>
                <xdr:colOff>754380</xdr:colOff>
                <xdr:row>61</xdr:row>
                <xdr:rowOff>114300</xdr:rowOff>
              </to>
            </anchor>
          </controlPr>
        </control>
      </mc:Choice>
      <mc:Fallback>
        <control shapeId="1027" r:id="rId10" name="TIButton3"/>
      </mc:Fallback>
    </mc:AlternateContent>
    <mc:AlternateContent xmlns:mc="http://schemas.openxmlformats.org/markup-compatibility/2006">
      <mc:Choice Requires="x14">
        <control shapeId="1031" r:id="rId12" name="TIButton5">
          <controlPr defaultSize="0" print="0" autoLine="0" r:id="rId13">
            <anchor moveWithCells="1" sizeWithCells="1">
              <from>
                <xdr:col>10</xdr:col>
                <xdr:colOff>121920</xdr:colOff>
                <xdr:row>50</xdr:row>
                <xdr:rowOff>45720</xdr:rowOff>
              </from>
              <to>
                <xdr:col>13</xdr:col>
                <xdr:colOff>38100</xdr:colOff>
                <xdr:row>52</xdr:row>
                <xdr:rowOff>83820</xdr:rowOff>
              </to>
            </anchor>
          </controlPr>
        </control>
      </mc:Choice>
      <mc:Fallback>
        <control shapeId="1031" r:id="rId12" name="TIButton5"/>
      </mc:Fallback>
    </mc:AlternateContent>
    <mc:AlternateContent xmlns:mc="http://schemas.openxmlformats.org/markup-compatibility/2006">
      <mc:Choice Requires="x14">
        <control shapeId="1032" r:id="rId14" name="TIButton6">
          <controlPr defaultSize="0" print="0" autoLine="0" r:id="rId15">
            <anchor moveWithCells="1" sizeWithCells="1">
              <from>
                <xdr:col>13</xdr:col>
                <xdr:colOff>60960</xdr:colOff>
                <xdr:row>50</xdr:row>
                <xdr:rowOff>45720</xdr:rowOff>
              </from>
              <to>
                <xdr:col>15</xdr:col>
                <xdr:colOff>350520</xdr:colOff>
                <xdr:row>52</xdr:row>
                <xdr:rowOff>83820</xdr:rowOff>
              </to>
            </anchor>
          </controlPr>
        </control>
      </mc:Choice>
      <mc:Fallback>
        <control shapeId="1032" r:id="rId14" name="TIButton6"/>
      </mc:Fallback>
    </mc:AlternateContent>
    <mc:AlternateContent xmlns:mc="http://schemas.openxmlformats.org/markup-compatibility/2006">
      <mc:Choice Requires="x14">
        <control shapeId="1033" r:id="rId16" name="TIButton7">
          <controlPr defaultSize="0" print="0" autoLine="0" r:id="rId17">
            <anchor moveWithCells="1" sizeWithCells="1">
              <from>
                <xdr:col>15</xdr:col>
                <xdr:colOff>373380</xdr:colOff>
                <xdr:row>50</xdr:row>
                <xdr:rowOff>38100</xdr:rowOff>
              </from>
              <to>
                <xdr:col>19</xdr:col>
                <xdr:colOff>1104900</xdr:colOff>
                <xdr:row>52</xdr:row>
                <xdr:rowOff>76200</xdr:rowOff>
              </to>
            </anchor>
          </controlPr>
        </control>
      </mc:Choice>
      <mc:Fallback>
        <control shapeId="1033" r:id="rId16" name="TIButton7"/>
      </mc:Fallback>
    </mc:AlternateContent>
    <mc:AlternateContent xmlns:mc="http://schemas.openxmlformats.org/markup-compatibility/2006">
      <mc:Choice Requires="x14">
        <control shapeId="1034" r:id="rId18" name="TIButton8">
          <controlPr defaultSize="0" print="0" autoLine="0" r:id="rId19">
            <anchor moveWithCells="1" sizeWithCells="1">
              <from>
                <xdr:col>19</xdr:col>
                <xdr:colOff>1135380</xdr:colOff>
                <xdr:row>50</xdr:row>
                <xdr:rowOff>38100</xdr:rowOff>
              </from>
              <to>
                <xdr:col>22</xdr:col>
                <xdr:colOff>114300</xdr:colOff>
                <xdr:row>52</xdr:row>
                <xdr:rowOff>76200</xdr:rowOff>
              </to>
            </anchor>
          </controlPr>
        </control>
      </mc:Choice>
      <mc:Fallback>
        <control shapeId="1034" r:id="rId18" name="TIButton8"/>
      </mc:Fallback>
    </mc:AlternateContent>
    <mc:AlternateContent xmlns:mc="http://schemas.openxmlformats.org/markup-compatibility/2006">
      <mc:Choice Requires="x14">
        <control shapeId="1035" r:id="rId20" name="TIButton9">
          <controlPr defaultSize="0" print="0" autoLine="0" r:id="rId21">
            <anchor moveWithCells="1" sizeWithCells="1">
              <from>
                <xdr:col>18</xdr:col>
                <xdr:colOff>289560</xdr:colOff>
                <xdr:row>54</xdr:row>
                <xdr:rowOff>45720</xdr:rowOff>
              </from>
              <to>
                <xdr:col>21</xdr:col>
                <xdr:colOff>1036320</xdr:colOff>
                <xdr:row>57</xdr:row>
                <xdr:rowOff>0</xdr:rowOff>
              </to>
            </anchor>
          </controlPr>
        </control>
      </mc:Choice>
      <mc:Fallback>
        <control shapeId="1035" r:id="rId20" name="TIButton9"/>
      </mc:Fallback>
    </mc:AlternateContent>
    <mc:AlternateContent xmlns:mc="http://schemas.openxmlformats.org/markup-compatibility/2006">
      <mc:Choice Requires="x14">
        <control shapeId="1036" r:id="rId22" name="TIButton10">
          <controlPr defaultSize="0" print="0" autoLine="0" r:id="rId23">
            <anchor moveWithCells="1" sizeWithCells="1">
              <from>
                <xdr:col>18</xdr:col>
                <xdr:colOff>289560</xdr:colOff>
                <xdr:row>57</xdr:row>
                <xdr:rowOff>45720</xdr:rowOff>
              </from>
              <to>
                <xdr:col>21</xdr:col>
                <xdr:colOff>1036320</xdr:colOff>
                <xdr:row>59</xdr:row>
                <xdr:rowOff>60960</xdr:rowOff>
              </to>
            </anchor>
          </controlPr>
        </control>
      </mc:Choice>
      <mc:Fallback>
        <control shapeId="1036" r:id="rId22" name="TIButton10"/>
      </mc:Fallback>
    </mc:AlternateContent>
    <mc:AlternateContent xmlns:mc="http://schemas.openxmlformats.org/markup-compatibility/2006">
      <mc:Choice Requires="x14">
        <control shapeId="1037" r:id="rId24" name="TIButton11">
          <controlPr defaultSize="0" print="0" autoLine="0" r:id="rId25">
            <anchor moveWithCells="1" sizeWithCells="1">
              <from>
                <xdr:col>18</xdr:col>
                <xdr:colOff>289560</xdr:colOff>
                <xdr:row>59</xdr:row>
                <xdr:rowOff>106680</xdr:rowOff>
              </from>
              <to>
                <xdr:col>21</xdr:col>
                <xdr:colOff>1036320</xdr:colOff>
                <xdr:row>61</xdr:row>
                <xdr:rowOff>114300</xdr:rowOff>
              </to>
            </anchor>
          </controlPr>
        </control>
      </mc:Choice>
      <mc:Fallback>
        <control shapeId="1037" r:id="rId24" name="TIButton1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Menu</vt:lpstr>
      <vt:lpstr>db_name</vt:lpstr>
      <vt:lpstr>home</vt:lpstr>
      <vt:lpstr>Menu</vt:lpstr>
      <vt:lpstr>psUser</vt:lpstr>
      <vt:lpstr>TM1AddRptAllAdjCAP</vt:lpstr>
      <vt:lpstr>TM1AddRptAllAdjWB</vt:lpstr>
      <vt:lpstr>TM1AddRptAllAdjWS</vt:lpstr>
      <vt:lpstr>TM1AddRptCustDetCAP</vt:lpstr>
      <vt:lpstr>TM1AddRptCustDetWB</vt:lpstr>
      <vt:lpstr>TM1AddRptCustDetWS</vt:lpstr>
      <vt:lpstr>TM1AddRptCustNoCAP</vt:lpstr>
      <vt:lpstr>TM1AddRptCustNoWB</vt:lpstr>
      <vt:lpstr>TM1AddRptCustNoWS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TM1HomeRepAdditionalCAP</vt:lpstr>
      <vt:lpstr>TM1HomeRepAdditionalWB</vt:lpstr>
      <vt:lpstr>TM1HomeRepAdditionalWS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TM1HomeRepPFSCAP</vt:lpstr>
      <vt:lpstr>TM1HomeRepPFSWB</vt:lpstr>
      <vt:lpstr>TM1HomeRepPFSWS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2018-10-30T00:46:04Z</dcterms:created>
  <dcterms:modified xsi:type="dcterms:W3CDTF">2023-02-14T22:34:12Z</dcterms:modified>
</cp:coreProperties>
</file>