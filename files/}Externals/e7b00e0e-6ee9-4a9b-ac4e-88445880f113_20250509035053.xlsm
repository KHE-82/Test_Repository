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9005fa425a82701/Documents/"/>
    </mc:Choice>
  </mc:AlternateContent>
  <xr:revisionPtr revIDLastSave="0" documentId="8_{8127C5E4-A922-4D42-8310-2FE1DED0E1DD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Sheet1" sheetId="1" r:id="rId1"/>
    <sheet name="{PL}PickLst" sheetId="2" state="hidden" r:id="rId2"/>
  </sheets>
  <definedNames>
    <definedName name="ID" localSheetId="1" hidden="1">"26c0e858-3f8f-4e16-b2df-ca97be2f9e6b"</definedName>
    <definedName name="ID" localSheetId="0" hidden="1">"bd0ae18a-973b-43ea-92f1-6fbf31a518bf"</definedName>
    <definedName name="tm1_CurrWB">Sheet1!$C$39</definedName>
    <definedName name="tm1_PrevWB">Sheet1!$C$40</definedName>
    <definedName name="tm1AdminMenuBOOK">Sheet1!$G$55</definedName>
    <definedName name="tm1AdminMenuCAPTION">Sheet1!$E$55</definedName>
    <definedName name="tm1AdminMenuSHEET">Sheet1!$I$55</definedName>
    <definedName name="tm1BudgetRound">Sheet1!$R$112</definedName>
    <definedName name="tm1CopyDataBOOK">Sheet1!$G$59</definedName>
    <definedName name="tm1CopyDataCAPTION">Sheet1!$E$59</definedName>
    <definedName name="tm1CopyDataSHEET">Sheet1!$I$59</definedName>
    <definedName name="tm1CostingDataBOOK">Sheet1!$G$61</definedName>
    <definedName name="tm1CostingDataCAPTION">Sheet1!$E$61</definedName>
    <definedName name="tm1CostingDataSHEET">Sheet1!$I$61</definedName>
    <definedName name="tm1CostingDetailsBOOK">Sheet1!$G$58</definedName>
    <definedName name="tm1CostingDetailsCAPTION">Sheet1!$E$58</definedName>
    <definedName name="tm1CostingDetailsSHEET">Sheet1!$I$58</definedName>
    <definedName name="tm1CostingID">Sheet1!$R$114</definedName>
    <definedName name="tm1CostingOption">Sheet1!$C$98</definedName>
    <definedName name="tm1CostingStatus">Sheet1!$R$116</definedName>
    <definedName name="TM1db">Sheet1!$B$12</definedName>
    <definedName name="tm1DocHubLink">Sheet1!$K$53</definedName>
    <definedName name="tm1DocHubLinkCAP">Sheet1!$J$53</definedName>
    <definedName name="tm1Entity">Sheet1!$U$114</definedName>
    <definedName name="tm1Function">Sheet1!$U$116</definedName>
    <definedName name="tm1MainMenuBOOK">Sheet1!$G$53</definedName>
    <definedName name="tm1MainMenuCAPTION">Sheet1!$E$53</definedName>
    <definedName name="tm1MainMenuSHEET">Sheet1!$I$53</definedName>
    <definedName name="tm1NewCostingBOOK">Sheet1!$G$57</definedName>
    <definedName name="tm1NewCostingCAPTION">Sheet1!$E$57</definedName>
    <definedName name="tm1NewCostingSHEET">Sheet1!$I$57</definedName>
    <definedName name="tm1NPPMenuBOOK">Sheet1!$G$56</definedName>
    <definedName name="tm1NPPMenuCAPTION">Sheet1!$E$56</definedName>
    <definedName name="tm1NPPMenuSHEET">Sheet1!$I$56</definedName>
    <definedName name="tm1OptionDetailsBOOK">Sheet1!$G$60</definedName>
    <definedName name="tm1OptionDetailsCAPTION">Sheet1!$E$60</definedName>
    <definedName name="tm1OptionDetailsSHEET">Sheet1!$I$60</definedName>
    <definedName name="tm1OptionStatus">Sheet1!$C$99</definedName>
    <definedName name="tm1PrimaryContact">Sheet1!$U$112</definedName>
    <definedName name="tm1PrimaryEntity">Sheet1!$U$114</definedName>
    <definedName name="TM1REBUILDOPTION">0</definedName>
    <definedName name="tm1ReportingMenuBOOK">Sheet1!$G$54</definedName>
    <definedName name="tm1ReportingMenuCAPTION">Sheet1!$E$54</definedName>
    <definedName name="tm1ReportingMenuSHEET">Sheet1!$I$54</definedName>
    <definedName name="TM1RPTDATARNG1" localSheetId="0">Sheet1!$124:$124</definedName>
    <definedName name="TM1RPTFMTIDCOL" localSheetId="0">Sheet1!$A$1:$A$9</definedName>
    <definedName name="TM1RPTFMTRNG" localSheetId="0">Sheet1!$J$2:$AI$8</definedName>
    <definedName name="tm1SearchString">Sheet1!$Z$114</definedName>
    <definedName name="tm1SelectedCostingID">Sheet1!$C$71</definedName>
    <definedName name="tm1SelectedNPP">Sheet1!$C$72</definedName>
    <definedName name="tm1SelectedSubmission">Sheet1!$C$73</definedName>
    <definedName name="tm1Status">Sheet1!$R$116</definedName>
    <definedName name="tm1SubListBOOK">Sheet1!$G$62</definedName>
    <definedName name="tm1SubmissionSubset">Sheet1!$C$75</definedName>
    <definedName name="TM1UserApps">Sheet1!$B$24</definedName>
    <definedName name="TM1UserName">Sheet1!$C$37</definedName>
    <definedName name="tm1Version">Sheet1!$C$97</definedName>
    <definedName name="Username">Sheet1!$C$37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" l="1"/>
  <c r="C76" i="1"/>
  <c r="R112" i="1"/>
  <c r="R114" i="1"/>
  <c r="B23" i="1"/>
  <c r="F57" i="1"/>
  <c r="C71" i="1"/>
  <c r="D57" i="1"/>
  <c r="C72" i="1"/>
  <c r="B17" i="1"/>
  <c r="B18" i="1"/>
  <c r="B20" i="1"/>
  <c r="B26" i="1"/>
  <c r="B19" i="1"/>
  <c r="B25" i="1"/>
  <c r="B16" i="1"/>
  <c r="R116" i="1"/>
  <c r="U112" i="1"/>
  <c r="U114" i="1"/>
  <c r="U116" i="1"/>
  <c r="C75" i="1"/>
  <c r="C46" i="1"/>
  <c r="D46" i="1"/>
  <c r="D48" i="1"/>
  <c r="F124" i="1"/>
  <c r="D124" i="1"/>
  <c r="B124" i="1"/>
  <c r="C124" i="1"/>
  <c r="C73" i="1"/>
  <c r="K53" i="1"/>
  <c r="J53" i="1"/>
  <c r="AE107" i="1"/>
  <c r="L124" i="1"/>
  <c r="N124" i="1"/>
  <c r="W124" i="1"/>
  <c r="G124" i="1"/>
  <c r="U124" i="1"/>
  <c r="E55" i="1"/>
  <c r="C56" i="1"/>
  <c r="D56" i="1"/>
  <c r="E56" i="1"/>
  <c r="F56" i="1"/>
  <c r="G56" i="1"/>
  <c r="H56" i="1"/>
  <c r="I56" i="1"/>
  <c r="M124" i="1"/>
  <c r="A124" i="1"/>
  <c r="P124" i="1"/>
  <c r="V124" i="1"/>
  <c r="R124" i="1"/>
  <c r="E124" i="1"/>
  <c r="T124" i="1"/>
  <c r="K124" i="1"/>
  <c r="S124" i="1"/>
  <c r="AH124" i="1"/>
  <c r="AI124" i="1"/>
  <c r="I124" i="1"/>
  <c r="AG124" i="1"/>
  <c r="H124" i="1"/>
  <c r="AE124" i="1"/>
  <c r="J124" i="1"/>
  <c r="AA124" i="1"/>
  <c r="Z124" i="1"/>
  <c r="X124" i="1"/>
  <c r="Y124" i="1"/>
  <c r="AF124" i="1"/>
  <c r="Z112" i="1"/>
  <c r="C41" i="1"/>
  <c r="H53" i="1"/>
  <c r="C37" i="1"/>
  <c r="B22" i="1"/>
  <c r="B24" i="1"/>
  <c r="B27" i="1"/>
  <c r="E81" i="1"/>
  <c r="E83" i="1"/>
  <c r="E84" i="1"/>
  <c r="E82" i="1"/>
  <c r="E85" i="1"/>
  <c r="E80" i="1"/>
  <c r="AB124" i="1"/>
  <c r="AD124" i="1"/>
  <c r="I60" i="1"/>
  <c r="D59" i="1"/>
  <c r="D58" i="1"/>
  <c r="G53" i="1"/>
  <c r="C39" i="1"/>
  <c r="D53" i="1"/>
  <c r="C54" i="1"/>
  <c r="H60" i="1"/>
  <c r="C59" i="1"/>
  <c r="C58" i="1"/>
  <c r="C53" i="1"/>
  <c r="G54" i="1"/>
  <c r="G60" i="1"/>
  <c r="I57" i="1"/>
  <c r="I55" i="1"/>
  <c r="D61" i="1"/>
  <c r="F58" i="1"/>
  <c r="F53" i="1"/>
  <c r="E59" i="1"/>
  <c r="I54" i="1"/>
  <c r="F60" i="1"/>
  <c r="H55" i="1"/>
  <c r="H57" i="1"/>
  <c r="G55" i="1"/>
  <c r="G57" i="1"/>
  <c r="C60" i="1"/>
  <c r="F59" i="1"/>
  <c r="C61" i="1"/>
  <c r="E58" i="1"/>
  <c r="E53" i="1"/>
  <c r="H54" i="1"/>
  <c r="E60" i="1"/>
  <c r="F55" i="1"/>
  <c r="D54" i="1"/>
  <c r="H61" i="1"/>
  <c r="E57" i="1"/>
  <c r="D55" i="1"/>
  <c r="E61" i="1"/>
  <c r="G59" i="1"/>
  <c r="G58" i="1"/>
  <c r="F54" i="1"/>
  <c r="I61" i="1"/>
  <c r="D60" i="1"/>
  <c r="E54" i="1"/>
  <c r="G61" i="1"/>
  <c r="I59" i="1"/>
  <c r="I58" i="1"/>
  <c r="C55" i="1"/>
  <c r="F61" i="1"/>
  <c r="H59" i="1"/>
  <c r="H58" i="1"/>
  <c r="C57" i="1"/>
  <c r="I53" i="1"/>
  <c r="C42" i="1"/>
  <c r="D47" i="1"/>
  <c r="H63" i="1"/>
  <c r="H62" i="1"/>
  <c r="F63" i="1"/>
  <c r="F62" i="1"/>
  <c r="C62" i="1"/>
  <c r="C63" i="1"/>
  <c r="E62" i="1"/>
  <c r="E63" i="1"/>
  <c r="I63" i="1"/>
  <c r="I62" i="1"/>
  <c r="D62" i="1"/>
  <c r="D63" i="1"/>
  <c r="G63" i="1"/>
  <c r="G62" i="1"/>
</calcChain>
</file>

<file path=xl/sharedStrings.xml><?xml version="1.0" encoding="utf-8"?>
<sst xmlns="http://schemas.openxmlformats.org/spreadsheetml/2006/main" count="286" uniqueCount="260">
  <si>
    <t>Version</t>
  </si>
  <si>
    <t>VIEWS</t>
  </si>
  <si>
    <t>MDX</t>
  </si>
  <si>
    <t>TEMPLATE NAVIGATION</t>
  </si>
  <si>
    <t>Measure</t>
  </si>
  <si>
    <t>Count</t>
  </si>
  <si>
    <t>Template</t>
  </si>
  <si>
    <t>Caption Name</t>
  </si>
  <si>
    <t>Caption</t>
  </si>
  <si>
    <t>Workbook Name</t>
  </si>
  <si>
    <t>Workbook</t>
  </si>
  <si>
    <t>Worksheet Name</t>
  </si>
  <si>
    <t>Worksheet</t>
  </si>
  <si>
    <t>Current</t>
  </si>
  <si>
    <t>Costing Filter</t>
  </si>
  <si>
    <t>Costing Status</t>
  </si>
  <si>
    <t>Budget Round</t>
  </si>
  <si>
    <t>Primary Contact</t>
  </si>
  <si>
    <t>Ministerial Function</t>
  </si>
  <si>
    <t>Costing ID</t>
  </si>
  <si>
    <t>Costing Title</t>
  </si>
  <si>
    <t>NPP</t>
  </si>
  <si>
    <t>Submission</t>
  </si>
  <si>
    <t>Coord Date</t>
  </si>
  <si>
    <t>ERC/NSC Date</t>
  </si>
  <si>
    <t>Package Title</t>
  </si>
  <si>
    <t>Minister Preferred Option</t>
  </si>
  <si>
    <t>Government Agreed Option</t>
  </si>
  <si>
    <t>Costing Package</t>
  </si>
  <si>
    <t>Number of Options</t>
  </si>
  <si>
    <t>Server</t>
  </si>
  <si>
    <t>Active Form</t>
  </si>
  <si>
    <t>Client Preferences</t>
  </si>
  <si>
    <t>Variable Cube</t>
  </si>
  <si>
    <t>Usage Cube</t>
  </si>
  <si>
    <t>Navigation</t>
  </si>
  <si>
    <t>Dimension References</t>
  </si>
  <si>
    <t>Settings</t>
  </si>
  <si>
    <t>User</t>
  </si>
  <si>
    <t>Application Blob</t>
  </si>
  <si>
    <t>Current workbook</t>
  </si>
  <si>
    <t>Previous Workbook</t>
  </si>
  <si>
    <t>Timestamp</t>
  </si>
  <si>
    <t>Last Access TimeStamp</t>
  </si>
  <si>
    <t>Security</t>
  </si>
  <si>
    <t>CM - Main Menu</t>
  </si>
  <si>
    <t>File Name</t>
  </si>
  <si>
    <t>CM - Administration Menu</t>
  </si>
  <si>
    <t>Misc Report Items</t>
  </si>
  <si>
    <t>DBSS Data Entry</t>
  </si>
  <si>
    <t>GET</t>
  </si>
  <si>
    <t>CONVERT</t>
  </si>
  <si>
    <t>SEND</t>
  </si>
  <si>
    <t>DBSS Reporting</t>
  </si>
  <si>
    <t>Stargate</t>
  </si>
  <si>
    <t>CM - Create New Costing</t>
  </si>
  <si>
    <t>CM - Costing Details</t>
  </si>
  <si>
    <t>Selected Costing ID</t>
  </si>
  <si>
    <t>Attribute</t>
  </si>
  <si>
    <t>CM - Copy Data</t>
  </si>
  <si>
    <t>CM - Costing Option Details</t>
  </si>
  <si>
    <t>CM - Costing Data Entry</t>
  </si>
  <si>
    <t>Validation</t>
  </si>
  <si>
    <t>Master Validation</t>
  </si>
  <si>
    <t>Coordination Date</t>
  </si>
  <si>
    <t>Current Budget Round</t>
  </si>
  <si>
    <t>sys_Variable</t>
  </si>
  <si>
    <t>CM - Reporting Menu</t>
  </si>
  <si>
    <t>Costing Details</t>
  </si>
  <si>
    <t>Costing Option Details</t>
  </si>
  <si>
    <t>All Option Numbers</t>
  </si>
  <si>
    <t>Costing Option</t>
  </si>
  <si>
    <t>Used</t>
  </si>
  <si>
    <t>"</t>
  </si>
  <si>
    <t>0</t>
  </si>
  <si>
    <t>[Begin Format Range]</t>
  </si>
  <si>
    <t>[End Format Range]</t>
  </si>
  <si>
    <t>DocHubLink</t>
  </si>
  <si>
    <t>DocHubLinkCaption</t>
  </si>
  <si>
    <t>Entity</t>
  </si>
  <si>
    <t>Filter By</t>
  </si>
  <si>
    <t>Filter Value</t>
  </si>
  <si>
    <t>Additional Filter</t>
  </si>
  <si>
    <t>Preferred Costing Option Status</t>
  </si>
  <si>
    <t>Costing Option Status</t>
  </si>
  <si>
    <t>Nature of Proposal</t>
  </si>
  <si>
    <t>Termination Date</t>
  </si>
  <si>
    <t>43400 - 43400</t>
  </si>
  <si>
    <t>99999 - 99999</t>
  </si>
  <si>
    <t>AACQA - 30200</t>
  </si>
  <si>
    <t>AAT - 10600</t>
  </si>
  <si>
    <t>ABC - 40500</t>
  </si>
  <si>
    <t>ABS - 15600</t>
  </si>
  <si>
    <t>ACIAR - 13600</t>
  </si>
  <si>
    <t>ACIC - 11400</t>
  </si>
  <si>
    <t>ACMA - 22700</t>
  </si>
  <si>
    <t>ACQSC - 56200</t>
  </si>
  <si>
    <t>ACSAA - 43200</t>
  </si>
  <si>
    <t>ACSQHC - 45400</t>
  </si>
  <si>
    <t>ADHA - 54500</t>
  </si>
  <si>
    <t>AEC - 12700</t>
  </si>
  <si>
    <t>AFMA - 45200</t>
  </si>
  <si>
    <t>AFP - 10800</t>
  </si>
  <si>
    <t>AGD - 10500</t>
  </si>
  <si>
    <t>AGRI - 14300</t>
  </si>
  <si>
    <t>AGS - 72200</t>
  </si>
  <si>
    <t>AHL - 20400</t>
  </si>
  <si>
    <t>AHRC - 11300</t>
  </si>
  <si>
    <t>AHSA - 72000</t>
  </si>
  <si>
    <t>AIATSIS - 47500</t>
  </si>
  <si>
    <t>AIC - 40000</t>
  </si>
  <si>
    <t>AIFS - 43600</t>
  </si>
  <si>
    <t>AIHW - 43500</t>
  </si>
  <si>
    <t>AIMS - 44300</t>
  </si>
  <si>
    <t>AIR - 16500</t>
  </si>
  <si>
    <t>ALTC - 49100</t>
  </si>
  <si>
    <t>AMSA - 47900</t>
  </si>
  <si>
    <t>ANAO - 12800</t>
  </si>
  <si>
    <t>ANPHA - 25200</t>
  </si>
  <si>
    <t>ANSTO - 44500</t>
  </si>
  <si>
    <t>APSC - 15000</t>
  </si>
  <si>
    <t>APVMA - 46800</t>
  </si>
  <si>
    <t>ARC - 18300</t>
  </si>
  <si>
    <t>ARENA - 26000</t>
  </si>
  <si>
    <t>ARPANSA - 43700</t>
  </si>
  <si>
    <t>ASADA - 23200</t>
  </si>
  <si>
    <t>ASC - 44600</t>
  </si>
  <si>
    <t>ASF - 53200</t>
  </si>
  <si>
    <t>ASIC - 48100</t>
  </si>
  <si>
    <t>ATG - 44800</t>
  </si>
  <si>
    <t>ATO - 15700</t>
  </si>
  <si>
    <t>ATSILF - 14500</t>
  </si>
  <si>
    <t>AusAID - 13300</t>
  </si>
  <si>
    <t>AusPost - 70100</t>
  </si>
  <si>
    <t>AUSTRADE - 43100</t>
  </si>
  <si>
    <t>BOM - 21100</t>
  </si>
  <si>
    <t>CA - 23400</t>
  </si>
  <si>
    <t>CASA - 48000</t>
  </si>
  <si>
    <t>CCA - 25400</t>
  </si>
  <si>
    <t>CEFC- 53900</t>
  </si>
  <si>
    <t>CENTRELINK - 15200</t>
  </si>
  <si>
    <t>CER - 25300</t>
  </si>
  <si>
    <t>CGC - 17200</t>
  </si>
  <si>
    <t>COMCARE - 49200</t>
  </si>
  <si>
    <t>COMMS - 24100</t>
  </si>
  <si>
    <t>Comsuper - 12900</t>
  </si>
  <si>
    <t>CRIMTRAC - 17800</t>
  </si>
  <si>
    <t>Cross Portfolio</t>
  </si>
  <si>
    <t>CROWN - 49800</t>
  </si>
  <si>
    <t>CSC - 20900</t>
  </si>
  <si>
    <t>CSIRO - 45000</t>
  </si>
  <si>
    <t>CSS - 20800</t>
  </si>
  <si>
    <t>DCCEEW - 18500</t>
  </si>
  <si>
    <t>DCEEE - 23800</t>
  </si>
  <si>
    <t>DCITA - 12000</t>
  </si>
  <si>
    <t>DEEWR - 23900</t>
  </si>
  <si>
    <t>DEFENCE - 12200</t>
  </si>
  <si>
    <t>DEST - 12400</t>
  </si>
  <si>
    <t>DEWR - 16300</t>
  </si>
  <si>
    <t>DFAT - 13200</t>
  </si>
  <si>
    <t>DHA - 42000</t>
  </si>
  <si>
    <t>DHS - 22000</t>
  </si>
  <si>
    <t>DIBP - 13900</t>
  </si>
  <si>
    <t>DIRD - 15300</t>
  </si>
  <si>
    <t>DISR - 24200</t>
  </si>
  <si>
    <t>DITR - 14000</t>
  </si>
  <si>
    <t>DMO - 22400</t>
  </si>
  <si>
    <t>DNP - 42900</t>
  </si>
  <si>
    <t>DOS - 10000</t>
  </si>
  <si>
    <t>DPS - 17900</t>
  </si>
  <si>
    <t>DRALGAS - 25000</t>
  </si>
  <si>
    <t>DSS - 15100</t>
  </si>
  <si>
    <t>DTO - 30300</t>
  </si>
  <si>
    <t>DVA - 12300</t>
  </si>
  <si>
    <t>EDUCATION - 30000</t>
  </si>
  <si>
    <t>EMPLOYMENT - 30100</t>
  </si>
  <si>
    <t>ENVIRO - 12500</t>
  </si>
  <si>
    <t>FAMC - 11100</t>
  </si>
  <si>
    <t>FINANCE - 12600</t>
  </si>
  <si>
    <t>FMS - 17600</t>
  </si>
  <si>
    <t>FSANZ - 43300</t>
  </si>
  <si>
    <t>GA - 20600</t>
  </si>
  <si>
    <t>GPET - 51200</t>
  </si>
  <si>
    <t>HEALTH - 13700</t>
  </si>
  <si>
    <t>HIC - 43800</t>
  </si>
  <si>
    <t>HSA - 48800</t>
  </si>
  <si>
    <t>HWA - 53400</t>
  </si>
  <si>
    <t>IBA - 47300</t>
  </si>
  <si>
    <t>IHACPA - 25700</t>
  </si>
  <si>
    <t>IIFB - 50800</t>
  </si>
  <si>
    <t>IIFCM - 50700</t>
  </si>
  <si>
    <t>IIFF - 50900</t>
  </si>
  <si>
    <t>IIFI - 50600</t>
  </si>
  <si>
    <t>IIFN - 51400</t>
  </si>
  <si>
    <t>ILC - 47600</t>
  </si>
  <si>
    <t>IPA - 14100</t>
  </si>
  <si>
    <t>LCA - 53700</t>
  </si>
  <si>
    <t>LIBRARY - 41500</t>
  </si>
  <si>
    <t>MA - 23100</t>
  </si>
  <si>
    <t>MDBA - 52300</t>
  </si>
  <si>
    <t>MP - 80900</t>
  </si>
  <si>
    <t>MUSEUM - 41600</t>
  </si>
  <si>
    <t>NAA - 12100</t>
  </si>
  <si>
    <t>NAIF - 54600</t>
  </si>
  <si>
    <t>NBA - 21300</t>
  </si>
  <si>
    <t>NBOCC - 52700</t>
  </si>
  <si>
    <t>NCAPA - 15400</t>
  </si>
  <si>
    <t>NDIS - 54200</t>
  </si>
  <si>
    <t>NHFB - 26300</t>
  </si>
  <si>
    <t>NHMRC - 51600</t>
  </si>
  <si>
    <t>NHPA - 25600</t>
  </si>
  <si>
    <t>NICS - 51300</t>
  </si>
  <si>
    <t>NMHC - 25800</t>
  </si>
  <si>
    <t>NOPSEMA - 21900</t>
  </si>
  <si>
    <t>NVETR - 45500</t>
  </si>
  <si>
    <t>OAIC - 25100</t>
  </si>
  <si>
    <t>OBS - 53600</t>
  </si>
  <si>
    <t>OCO - 14700</t>
  </si>
  <si>
    <t>OIGAC - 57800</t>
  </si>
  <si>
    <t>OOSG - 14600</t>
  </si>
  <si>
    <t>OPC - 11600</t>
  </si>
  <si>
    <t>OTA - 24500</t>
  </si>
  <si>
    <t>PHIAC - 43900</t>
  </si>
  <si>
    <t>PHIO - 44000</t>
  </si>
  <si>
    <t>PMC - 14400</t>
  </si>
  <si>
    <t>PSR - 13800</t>
  </si>
  <si>
    <t>RBA - 80500</t>
  </si>
  <si>
    <t>RET - 24400</t>
  </si>
  <si>
    <t>RIRDC - 47000</t>
  </si>
  <si>
    <t>SBS - 41700</t>
  </si>
  <si>
    <t>SHFT - 51000</t>
  </si>
  <si>
    <t>SIA - 56700</t>
  </si>
  <si>
    <t>SMALL - 19800</t>
  </si>
  <si>
    <t>Snowy Hydro - 55600</t>
  </si>
  <si>
    <t>SWA - 24900</t>
  </si>
  <si>
    <t>TCL - 70300</t>
  </si>
  <si>
    <t>TEQSA - 53800</t>
  </si>
  <si>
    <t>Tourism Aus - 51500</t>
  </si>
  <si>
    <t>TREASURY - 15500</t>
  </si>
  <si>
    <t>TSRA - 47700</t>
  </si>
  <si>
    <t>Unallocated - 99100</t>
  </si>
  <si>
    <t>WGEA - 16400</t>
  </si>
  <si>
    <t>LastRow0</t>
  </si>
  <si>
    <t>LastRow1</t>
  </si>
  <si>
    <t>Nature of Proposal (Preferred Option)</t>
  </si>
  <si>
    <t>Terminating Date (Preferred Option)</t>
  </si>
  <si>
    <t>CM - NPP Menu</t>
  </si>
  <si>
    <t>Submission Details</t>
  </si>
  <si>
    <t>Costing Package Details</t>
  </si>
  <si>
    <t>All Costing Option Status</t>
  </si>
  <si>
    <t>Submission Subset</t>
  </si>
  <si>
    <t>BMS1</t>
  </si>
  <si>
    <t>BMS2</t>
  </si>
  <si>
    <t>BMS3</t>
  </si>
  <si>
    <t>Selected NPP</t>
  </si>
  <si>
    <t>Selected Submission</t>
  </si>
  <si>
    <t>Submission Title</t>
  </si>
  <si>
    <t>Costing Status (Decision)</t>
  </si>
  <si>
    <t>DCCEEW_Costings</t>
  </si>
  <si>
    <t>Primary EBT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</si>
</sst>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"/>
    <numFmt numFmtId="165" formatCode="dd\ mmm\ yyyy"/>
  </numFmts>
  <fonts count="3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Segoe UI"/>
      <family val="2"/>
    </font>
    <font>
      <b/>
      <sz val="11"/>
      <color rgb="FF005677"/>
      <name val="Calibri"/>
      <family val="2"/>
      <scheme val="minor"/>
    </font>
    <font>
      <b/>
      <sz val="24"/>
      <color theme="0"/>
      <name val="Segoe UI"/>
      <family val="2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</font>
    <font>
      <b/>
      <sz val="10"/>
      <color rgb="FF005677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Segoe UI"/>
      <family val="2"/>
    </font>
    <font>
      <sz val="10"/>
      <color rgb="FFFF0000"/>
      <name val="Calibri"/>
      <family val="2"/>
      <scheme val="minor"/>
    </font>
    <font>
      <sz val="9"/>
      <color rgb="FF2E8B57"/>
      <name val="Courier New"/>
      <family val="3"/>
    </font>
    <font>
      <sz val="10"/>
      <color theme="1"/>
      <name val="Segoe UI"/>
      <family val="2"/>
    </font>
    <font>
      <sz val="10"/>
      <color theme="0"/>
      <name val="Segoe UI"/>
      <family val="2"/>
    </font>
    <font>
      <sz val="10"/>
      <name val="Segoe UI"/>
      <family val="2"/>
    </font>
    <font>
      <sz val="10"/>
      <color rgb="FF005677"/>
      <name val="Segoe U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0"/>
      <color rgb="FF184058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7F2F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4058"/>
        <bgColor indexed="64"/>
      </patternFill>
    </fill>
    <fill>
      <patternFill patternType="solid">
        <fgColor rgb="FF226086"/>
        <bgColor indexed="64"/>
      </patternFill>
    </fill>
  </fills>
  <borders count="77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n">
        <color rgb="FF969696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969696"/>
      </bottom>
      <diagonal/>
    </border>
    <border>
      <left style="thick">
        <color rgb="FF000000"/>
      </left>
      <right style="thick">
        <color rgb="FF000000"/>
      </right>
      <top style="thin">
        <color rgb="FF969696"/>
      </top>
      <bottom style="thin">
        <color rgb="FF969696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medium">
        <color indexed="64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969696"/>
      </right>
      <top/>
      <bottom style="thin">
        <color rgb="FF969696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ck">
        <color rgb="FF000000"/>
      </top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 style="thick">
        <color rgb="FF000000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/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ck">
        <color rgb="FF000000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 style="thick">
        <color rgb="FF000000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969696"/>
      </left>
      <right/>
      <top style="thin">
        <color rgb="FF969696"/>
      </top>
      <bottom style="thick">
        <color rgb="FF000000"/>
      </bottom>
      <diagonal/>
    </border>
    <border>
      <left/>
      <right/>
      <top style="thin">
        <color rgb="FF969696"/>
      </top>
      <bottom style="thick">
        <color rgb="FF000000"/>
      </bottom>
      <diagonal/>
    </border>
    <border>
      <left/>
      <right style="thick">
        <color auto="1"/>
      </right>
      <top style="thin">
        <color rgb="FF969696"/>
      </top>
      <bottom style="thick">
        <color rgb="FF000000"/>
      </bottom>
      <diagonal/>
    </border>
    <border>
      <left style="thick">
        <color rgb="FF000000"/>
      </left>
      <right style="thin">
        <color rgb="FF969696"/>
      </right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/>
      <top style="thin">
        <color rgb="FF969696"/>
      </top>
      <bottom style="thin">
        <color rgb="FF969696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 style="thick">
        <color auto="1"/>
      </right>
      <top style="thin">
        <color rgb="FF969696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ck">
        <color rgb="FF000000"/>
      </top>
      <bottom style="thin">
        <color rgb="FF969696"/>
      </bottom>
      <diagonal/>
    </border>
    <border>
      <left style="thin">
        <color rgb="FF969696"/>
      </left>
      <right/>
      <top style="thick">
        <color rgb="FF000000"/>
      </top>
      <bottom style="thin">
        <color rgb="FF969696"/>
      </bottom>
      <diagonal/>
    </border>
    <border>
      <left/>
      <right/>
      <top style="thick">
        <color rgb="FF000000"/>
      </top>
      <bottom style="thin">
        <color rgb="FF969696"/>
      </bottom>
      <diagonal/>
    </border>
    <border>
      <left/>
      <right style="thick">
        <color auto="1"/>
      </right>
      <top style="thick">
        <color rgb="FF000000"/>
      </top>
      <bottom style="thin">
        <color rgb="FF969696"/>
      </bottom>
      <diagonal/>
    </border>
    <border>
      <left style="thick">
        <color auto="1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ck">
        <color rgb="FF000000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thick">
        <color auto="1"/>
      </left>
      <right style="thin">
        <color rgb="FF969696"/>
      </right>
      <top style="thin">
        <color rgb="FF969696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indexed="64"/>
      </right>
      <top style="thin">
        <color rgb="FF969696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969696"/>
      </right>
      <top style="medium">
        <color indexed="64"/>
      </top>
      <bottom style="thin">
        <color rgb="FF969696"/>
      </bottom>
      <diagonal/>
    </border>
    <border>
      <left style="thin">
        <color rgb="FF969696"/>
      </left>
      <right style="medium">
        <color indexed="64"/>
      </right>
      <top style="medium">
        <color indexed="6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theme="0" tint="-0.499984740745262"/>
      </bottom>
      <diagonal/>
    </border>
    <border>
      <left style="medium">
        <color indexed="64"/>
      </left>
      <right style="thin">
        <color rgb="FF969696"/>
      </right>
      <top style="thin">
        <color rgb="FF969696"/>
      </top>
      <bottom style="thin">
        <color theme="0" tint="-0.499984740745262"/>
      </bottom>
      <diagonal/>
    </border>
    <border>
      <left style="thin">
        <color rgb="FF969696"/>
      </left>
      <right style="medium">
        <color indexed="64"/>
      </right>
      <top style="thin">
        <color rgb="FF969696"/>
      </top>
      <bottom style="thin">
        <color theme="0" tint="-0.499984740745262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 style="medium">
        <color indexed="64"/>
      </right>
      <top/>
      <bottom style="thin">
        <color rgb="FF969696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thin">
        <color rgb="FF969696"/>
      </bottom>
      <diagonal/>
    </border>
    <border>
      <left style="thin">
        <color rgb="FF969696"/>
      </left>
      <right style="medium">
        <color indexed="64"/>
      </right>
      <top style="medium">
        <color indexed="64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medium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14996795556505021"/>
      </bottom>
      <diagonal/>
    </border>
    <border>
      <left/>
      <right style="thin">
        <color theme="0" tint="-0.34998626667073579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 style="medium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/>
      </left>
      <right style="medium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/>
      <diagonal/>
    </border>
    <border>
      <left style="medium">
        <color rgb="FFFFFFFF"/>
      </left>
      <right style="medium">
        <color rgb="FFFFFFFF"/>
      </right>
      <top style="thin">
        <color rgb="FFA6A6A6"/>
      </top>
      <bottom style="thin">
        <color rgb="FFA6A6A6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0" tint="-0.24994659260841701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5" fillId="0" borderId="0" xfId="0" applyFont="1" applyAlignment="1">
      <alignment horizontal="left" indent="1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/>
    <xf numFmtId="0" fontId="1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2" borderId="5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11" fillId="0" borderId="8" xfId="0" applyFont="1" applyBorder="1"/>
    <xf numFmtId="0" fontId="11" fillId="0" borderId="9" xfId="0" applyFont="1" applyBorder="1"/>
    <xf numFmtId="0" fontId="11" fillId="2" borderId="10" xfId="0" applyFont="1" applyFill="1" applyBorder="1" applyAlignment="1">
      <alignment vertical="center"/>
    </xf>
    <xf numFmtId="0" fontId="11" fillId="0" borderId="11" xfId="0" applyFont="1" applyBorder="1"/>
    <xf numFmtId="0" fontId="1" fillId="0" borderId="12" xfId="0" applyFont="1" applyBorder="1"/>
    <xf numFmtId="0" fontId="11" fillId="0" borderId="13" xfId="0" applyFont="1" applyBorder="1"/>
    <xf numFmtId="0" fontId="1" fillId="0" borderId="14" xfId="0" applyFont="1" applyBorder="1"/>
    <xf numFmtId="0" fontId="11" fillId="2" borderId="13" xfId="0" applyFont="1" applyFill="1" applyBorder="1" applyAlignment="1">
      <alignment vertical="center"/>
    </xf>
    <xf numFmtId="0" fontId="11" fillId="2" borderId="15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0" borderId="17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1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26" xfId="0" applyFont="1" applyBorder="1"/>
    <xf numFmtId="0" fontId="1" fillId="0" borderId="27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13" xfId="0" applyFont="1" applyBorder="1"/>
    <xf numFmtId="0" fontId="11" fillId="2" borderId="32" xfId="0" applyFont="1" applyFill="1" applyBorder="1" applyAlignment="1">
      <alignment vertical="center"/>
    </xf>
    <xf numFmtId="0" fontId="11" fillId="2" borderId="24" xfId="0" applyFont="1" applyFill="1" applyBorder="1" applyAlignment="1">
      <alignment vertical="center"/>
    </xf>
    <xf numFmtId="0" fontId="11" fillId="0" borderId="16" xfId="0" applyFont="1" applyBorder="1"/>
    <xf numFmtId="0" fontId="12" fillId="2" borderId="33" xfId="0" applyFont="1" applyFill="1" applyBorder="1" applyAlignment="1">
      <alignment vertical="center"/>
    </xf>
    <xf numFmtId="0" fontId="1" fillId="2" borderId="34" xfId="0" applyFont="1" applyFill="1" applyBorder="1" applyAlignment="1">
      <alignment vertical="center"/>
    </xf>
    <xf numFmtId="0" fontId="1" fillId="0" borderId="16" xfId="0" applyFont="1" applyBorder="1"/>
    <xf numFmtId="0" fontId="1" fillId="0" borderId="35" xfId="0" applyFont="1" applyBorder="1"/>
    <xf numFmtId="0" fontId="1" fillId="0" borderId="18" xfId="0" applyFont="1" applyBorder="1"/>
    <xf numFmtId="0" fontId="1" fillId="0" borderId="34" xfId="0" applyFont="1" applyBorder="1"/>
    <xf numFmtId="0" fontId="11" fillId="0" borderId="36" xfId="0" applyFont="1" applyBorder="1"/>
    <xf numFmtId="0" fontId="11" fillId="0" borderId="4" xfId="0" applyFont="1" applyBorder="1"/>
    <xf numFmtId="0" fontId="1" fillId="0" borderId="37" xfId="0" applyFont="1" applyBorder="1"/>
    <xf numFmtId="0" fontId="1" fillId="0" borderId="38" xfId="0" applyFont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1" fillId="0" borderId="42" xfId="0" applyFont="1" applyBorder="1"/>
    <xf numFmtId="0" fontId="1" fillId="0" borderId="43" xfId="0" applyFont="1" applyBorder="1"/>
    <xf numFmtId="0" fontId="1" fillId="0" borderId="44" xfId="0" applyFont="1" applyBorder="1"/>
    <xf numFmtId="0" fontId="1" fillId="0" borderId="45" xfId="0" applyFont="1" applyBorder="1"/>
    <xf numFmtId="0" fontId="1" fillId="0" borderId="46" xfId="0" applyFont="1" applyBorder="1"/>
    <xf numFmtId="0" fontId="1" fillId="0" borderId="47" xfId="0" applyFont="1" applyBorder="1"/>
    <xf numFmtId="0" fontId="1" fillId="0" borderId="48" xfId="0" applyFont="1" applyBorder="1"/>
    <xf numFmtId="0" fontId="1" fillId="0" borderId="49" xfId="0" applyFont="1" applyBorder="1"/>
    <xf numFmtId="0" fontId="1" fillId="0" borderId="9" xfId="0" applyFont="1" applyBorder="1"/>
    <xf numFmtId="0" fontId="1" fillId="0" borderId="50" xfId="0" applyFont="1" applyBorder="1"/>
    <xf numFmtId="0" fontId="1" fillId="0" borderId="51" xfId="0" applyFont="1" applyBorder="1"/>
    <xf numFmtId="0" fontId="11" fillId="0" borderId="52" xfId="0" applyFont="1" applyBorder="1"/>
    <xf numFmtId="0" fontId="11" fillId="0" borderId="53" xfId="0" applyFont="1" applyBorder="1"/>
    <xf numFmtId="0" fontId="11" fillId="0" borderId="54" xfId="0" applyFont="1" applyBorder="1"/>
    <xf numFmtId="0" fontId="1" fillId="0" borderId="55" xfId="0" applyFont="1" applyBorder="1"/>
    <xf numFmtId="0" fontId="1" fillId="0" borderId="56" xfId="0" applyFont="1" applyBorder="1"/>
    <xf numFmtId="0" fontId="1" fillId="0" borderId="10" xfId="0" applyFont="1" applyBorder="1"/>
    <xf numFmtId="0" fontId="1" fillId="0" borderId="7" xfId="0" applyFont="1" applyBorder="1"/>
    <xf numFmtId="0" fontId="1" fillId="0" borderId="57" xfId="0" applyFont="1" applyBorder="1"/>
    <xf numFmtId="0" fontId="1" fillId="0" borderId="6" xfId="0" applyFont="1" applyBorder="1"/>
    <xf numFmtId="0" fontId="14" fillId="0" borderId="0" xfId="0" applyFont="1"/>
    <xf numFmtId="0" fontId="10" fillId="0" borderId="0" xfId="0" applyFont="1"/>
    <xf numFmtId="0" fontId="1" fillId="0" borderId="58" xfId="0" applyFont="1" applyBorder="1" applyAlignment="1">
      <alignment horizontal="left" indent="4"/>
    </xf>
    <xf numFmtId="0" fontId="1" fillId="0" borderId="58" xfId="0" applyFont="1" applyBorder="1" applyAlignment="1">
      <alignment vertical="center"/>
    </xf>
    <xf numFmtId="0" fontId="0" fillId="0" borderId="58" xfId="0" applyBorder="1"/>
    <xf numFmtId="0" fontId="17" fillId="0" borderId="0" xfId="0" applyFont="1"/>
    <xf numFmtId="0" fontId="0" fillId="0" borderId="60" xfId="0" applyBorder="1"/>
    <xf numFmtId="0" fontId="4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indent="1"/>
    </xf>
    <xf numFmtId="0" fontId="21" fillId="0" borderId="0" xfId="0" applyFont="1" applyAlignment="1">
      <alignment horizontal="right" indent="1"/>
    </xf>
    <xf numFmtId="0" fontId="0" fillId="0" borderId="0" xfId="0" applyAlignment="1">
      <alignment vertical="center"/>
    </xf>
    <xf numFmtId="0" fontId="18" fillId="0" borderId="0" xfId="0" applyFont="1" applyAlignment="1">
      <alignment vertical="center"/>
    </xf>
    <xf numFmtId="0" fontId="18" fillId="3" borderId="0" xfId="0" applyFont="1" applyFill="1" applyAlignment="1" applyProtection="1">
      <alignment vertical="center"/>
      <protection locked="0"/>
    </xf>
    <xf numFmtId="0" fontId="18" fillId="0" borderId="0" xfId="0" applyFont="1"/>
    <xf numFmtId="0" fontId="13" fillId="0" borderId="0" xfId="0" applyFont="1" applyAlignment="1">
      <alignment horizontal="right" indent="1"/>
    </xf>
    <xf numFmtId="0" fontId="8" fillId="0" borderId="61" xfId="0" applyFont="1" applyBorder="1" applyAlignment="1">
      <alignment horizontal="right" indent="1"/>
    </xf>
    <xf numFmtId="0" fontId="8" fillId="0" borderId="62" xfId="0" applyFont="1" applyBorder="1" applyAlignment="1">
      <alignment horizontal="right" indent="1"/>
    </xf>
    <xf numFmtId="0" fontId="2" fillId="0" borderId="62" xfId="0" applyFont="1" applyBorder="1"/>
    <xf numFmtId="0" fontId="0" fillId="0" borderId="61" xfId="0" applyBorder="1"/>
    <xf numFmtId="0" fontId="0" fillId="0" borderId="62" xfId="0" applyBorder="1"/>
    <xf numFmtId="0" fontId="1" fillId="0" borderId="63" xfId="0" applyFont="1" applyBorder="1" applyAlignment="1">
      <alignment horizontal="left" indent="4"/>
    </xf>
    <xf numFmtId="0" fontId="0" fillId="0" borderId="64" xfId="0" applyBorder="1"/>
    <xf numFmtId="0" fontId="4" fillId="0" borderId="68" xfId="0" applyFont="1" applyBorder="1" applyAlignment="1">
      <alignment horizontal="left" vertical="center"/>
    </xf>
    <xf numFmtId="0" fontId="19" fillId="5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20" fillId="6" borderId="0" xfId="0" applyFont="1" applyFill="1" applyAlignment="1">
      <alignment horizontal="right" vertical="center"/>
    </xf>
    <xf numFmtId="0" fontId="19" fillId="6" borderId="66" xfId="0" applyFont="1" applyFill="1" applyBorder="1" applyAlignment="1">
      <alignment vertical="center" wrapText="1"/>
    </xf>
    <xf numFmtId="0" fontId="19" fillId="6" borderId="66" xfId="0" applyFont="1" applyFill="1" applyBorder="1" applyAlignment="1">
      <alignment vertical="center"/>
    </xf>
    <xf numFmtId="0" fontId="19" fillId="6" borderId="67" xfId="0" applyFont="1" applyFill="1" applyBorder="1" applyAlignment="1">
      <alignment vertical="center"/>
    </xf>
    <xf numFmtId="0" fontId="19" fillId="6" borderId="66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3" fillId="0" borderId="0" xfId="0" applyFont="1"/>
    <xf numFmtId="0" fontId="4" fillId="2" borderId="0" xfId="0" applyFont="1" applyFill="1" applyAlignment="1">
      <alignment vertical="center"/>
    </xf>
    <xf numFmtId="0" fontId="4" fillId="0" borderId="30" xfId="0" applyFont="1" applyBorder="1"/>
    <xf numFmtId="0" fontId="4" fillId="0" borderId="26" xfId="0" applyFont="1" applyBorder="1"/>
    <xf numFmtId="0" fontId="4" fillId="0" borderId="21" xfId="0" applyFont="1" applyBorder="1"/>
    <xf numFmtId="0" fontId="4" fillId="0" borderId="28" xfId="0" applyFont="1" applyBorder="1"/>
    <xf numFmtId="0" fontId="24" fillId="2" borderId="24" xfId="0" applyFont="1" applyFill="1" applyBorder="1" applyAlignment="1">
      <alignment vertical="center"/>
    </xf>
    <xf numFmtId="0" fontId="4" fillId="2" borderId="34" xfId="0" applyFont="1" applyFill="1" applyBorder="1" applyAlignment="1">
      <alignment vertical="center"/>
    </xf>
    <xf numFmtId="0" fontId="4" fillId="0" borderId="19" xfId="0" applyFont="1" applyBorder="1"/>
    <xf numFmtId="0" fontId="24" fillId="0" borderId="0" xfId="0" applyFont="1" applyAlignment="1">
      <alignment horizontal="left" indent="1"/>
    </xf>
    <xf numFmtId="0" fontId="23" fillId="0" borderId="0" xfId="0" applyFont="1" applyAlignment="1">
      <alignment vertical="center"/>
    </xf>
    <xf numFmtId="0" fontId="25" fillId="0" borderId="0" xfId="0" applyFont="1"/>
    <xf numFmtId="0" fontId="19" fillId="6" borderId="70" xfId="0" applyFont="1" applyFill="1" applyBorder="1" applyAlignment="1">
      <alignment vertical="center" wrapText="1"/>
    </xf>
    <xf numFmtId="0" fontId="26" fillId="0" borderId="0" xfId="0" applyFont="1"/>
    <xf numFmtId="0" fontId="27" fillId="0" borderId="0" xfId="0" quotePrefix="1" applyFont="1"/>
    <xf numFmtId="0" fontId="27" fillId="0" borderId="0" xfId="0" quotePrefix="1" applyFont="1" applyAlignment="1">
      <alignment horizontal="left"/>
    </xf>
    <xf numFmtId="0" fontId="4" fillId="0" borderId="71" xfId="0" applyFont="1" applyBorder="1" applyAlignment="1">
      <alignment horizontal="left" vertical="center"/>
    </xf>
    <xf numFmtId="0" fontId="14" fillId="4" borderId="72" xfId="0" applyFont="1" applyFill="1" applyBorder="1" applyAlignment="1">
      <alignment vertical="center"/>
    </xf>
    <xf numFmtId="0" fontId="14" fillId="4" borderId="72" xfId="0" applyFont="1" applyFill="1" applyBorder="1" applyAlignment="1">
      <alignment horizontal="left" vertical="center"/>
    </xf>
    <xf numFmtId="165" fontId="14" fillId="4" borderId="72" xfId="0" applyNumberFormat="1" applyFont="1" applyFill="1" applyBorder="1" applyAlignment="1">
      <alignment horizontal="left" vertical="center"/>
    </xf>
    <xf numFmtId="164" fontId="14" fillId="4" borderId="72" xfId="0" applyNumberFormat="1" applyFont="1" applyFill="1" applyBorder="1" applyAlignment="1">
      <alignment vertical="center"/>
    </xf>
    <xf numFmtId="0" fontId="16" fillId="4" borderId="72" xfId="0" applyFont="1" applyFill="1" applyBorder="1" applyAlignment="1">
      <alignment horizontal="left" vertical="center"/>
    </xf>
    <xf numFmtId="0" fontId="14" fillId="0" borderId="72" xfId="0" applyFont="1" applyBorder="1" applyAlignment="1">
      <alignment vertical="center"/>
    </xf>
    <xf numFmtId="0" fontId="14" fillId="0" borderId="72" xfId="0" applyFont="1" applyBorder="1" applyAlignment="1">
      <alignment horizontal="left" vertical="center"/>
    </xf>
    <xf numFmtId="165" fontId="14" fillId="0" borderId="72" xfId="0" applyNumberFormat="1" applyFont="1" applyBorder="1" applyAlignment="1">
      <alignment horizontal="left" vertical="center"/>
    </xf>
    <xf numFmtId="164" fontId="14" fillId="0" borderId="72" xfId="0" applyNumberFormat="1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65" fontId="14" fillId="0" borderId="0" xfId="0" applyNumberFormat="1" applyFont="1" applyAlignment="1">
      <alignment horizontal="left" vertical="center"/>
    </xf>
    <xf numFmtId="164" fontId="14" fillId="0" borderId="0" xfId="0" applyNumberFormat="1" applyFont="1" applyAlignment="1">
      <alignment vertical="center"/>
    </xf>
    <xf numFmtId="0" fontId="16" fillId="0" borderId="0" xfId="0" applyFont="1" applyAlignment="1">
      <alignment horizontal="left" vertical="center"/>
    </xf>
    <xf numFmtId="49" fontId="14" fillId="0" borderId="0" xfId="0" applyNumberFormat="1" applyFont="1"/>
    <xf numFmtId="0" fontId="0" fillId="0" borderId="73" xfId="0" applyBorder="1"/>
    <xf numFmtId="0" fontId="0" fillId="0" borderId="73" xfId="0" applyBorder="1" applyAlignment="1">
      <alignment horizontal="left"/>
    </xf>
    <xf numFmtId="0" fontId="4" fillId="0" borderId="74" xfId="0" applyFont="1" applyBorder="1" applyAlignment="1">
      <alignment horizontal="left" vertical="center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horizontal="left" vertical="center"/>
    </xf>
    <xf numFmtId="165" fontId="14" fillId="4" borderId="0" xfId="0" applyNumberFormat="1" applyFont="1" applyFill="1" applyAlignment="1">
      <alignment horizontal="left" vertical="center"/>
    </xf>
    <xf numFmtId="16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horizontal="left" vertical="center"/>
    </xf>
    <xf numFmtId="0" fontId="14" fillId="0" borderId="75" xfId="0" applyFont="1" applyBorder="1" applyAlignment="1">
      <alignment vertical="center"/>
    </xf>
    <xf numFmtId="0" fontId="14" fillId="0" borderId="76" xfId="0" applyFont="1" applyBorder="1" applyAlignment="1">
      <alignment vertical="center"/>
    </xf>
    <xf numFmtId="0" fontId="14" fillId="4" borderId="75" xfId="0" applyFont="1" applyFill="1" applyBorder="1" applyAlignment="1">
      <alignment vertical="center"/>
    </xf>
    <xf numFmtId="0" fontId="14" fillId="4" borderId="76" xfId="0" applyFont="1" applyFill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28" fillId="0" borderId="71" xfId="0" applyFont="1" applyBorder="1" applyAlignment="1">
      <alignment horizontal="left" vertical="center"/>
    </xf>
    <xf numFmtId="0" fontId="16" fillId="0" borderId="72" xfId="0" applyFont="1" applyBorder="1" applyAlignment="1">
      <alignment horizontal="left" vertical="center"/>
    </xf>
    <xf numFmtId="0" fontId="0" fillId="0" borderId="73" xfId="0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14" fillId="0" borderId="72" xfId="0" applyFont="1" applyBorder="1" applyAlignment="1">
      <alignment horizontal="center" vertical="center"/>
    </xf>
    <xf numFmtId="0" fontId="14" fillId="4" borderId="72" xfId="0" applyFont="1" applyFill="1" applyBorder="1" applyAlignment="1">
      <alignment horizontal="center" vertical="center"/>
    </xf>
    <xf numFmtId="0" fontId="19" fillId="6" borderId="59" xfId="0" applyFont="1" applyFill="1" applyBorder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6" borderId="0" xfId="0" applyFont="1" applyFill="1" applyAlignment="1">
      <alignment horizontal="right" vertical="center"/>
    </xf>
    <xf numFmtId="0" fontId="29" fillId="0" borderId="0" xfId="1" applyFont="1" applyAlignment="1">
      <alignment horizontal="right" vertical="center"/>
    </xf>
    <xf numFmtId="164" fontId="14" fillId="0" borderId="72" xfId="0" applyNumberFormat="1" applyFont="1" applyBorder="1" applyAlignment="1">
      <alignment horizontal="left" vertical="center"/>
    </xf>
    <xf numFmtId="164" fontId="14" fillId="4" borderId="72" xfId="0" applyNumberFormat="1" applyFont="1" applyFill="1" applyBorder="1" applyAlignment="1">
      <alignment horizontal="left" vertical="center"/>
    </xf>
    <xf numFmtId="0" fontId="19" fillId="6" borderId="66" xfId="0" applyFont="1" applyFill="1" applyBorder="1" applyAlignment="1">
      <alignment horizontal="left" vertical="center"/>
    </xf>
    <xf numFmtId="0" fontId="18" fillId="3" borderId="69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Alignment="1" applyProtection="1">
      <alignment horizontal="left" vertical="center"/>
      <protection locked="0"/>
    </xf>
    <xf numFmtId="164" fontId="14" fillId="0" borderId="0" xfId="0" applyNumberFormat="1" applyFont="1" applyAlignment="1">
      <alignment horizontal="left" vertical="center"/>
    </xf>
    <xf numFmtId="164" fontId="14" fillId="4" borderId="0" xfId="0" applyNumberFormat="1" applyFont="1" applyFill="1" applyAlignment="1">
      <alignment horizontal="left" vertical="center"/>
    </xf>
    <xf numFmtId="0" fontId="19" fillId="6" borderId="65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5">
    <dxf>
      <font>
        <color rgb="FFE5F4FA"/>
      </font>
    </dxf>
    <dxf>
      <font>
        <color rgb="FFE5F4FA"/>
      </font>
    </dxf>
    <dxf>
      <font>
        <color rgb="FFE5F4FA"/>
      </font>
    </dxf>
    <dxf>
      <font>
        <color rgb="FFE5F4FA"/>
      </font>
    </dxf>
    <dxf>
      <font>
        <color theme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84058"/>
      <color rgb="FF226086"/>
      <color rgb="FF205A7E"/>
      <color rgb="FFE7F2F9"/>
      <color rgb="FFE5F4FA"/>
      <color rgb="FF1A4560"/>
      <color rgb="FF00283E"/>
      <color rgb="FFD6DCE4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156881</xdr:colOff>
      <xdr:row>103</xdr:row>
      <xdr:rowOff>26023</xdr:rowOff>
    </xdr:from>
    <xdr:to>
      <xdr:col>35</xdr:col>
      <xdr:colOff>956</xdr:colOff>
      <xdr:row>106</xdr:row>
      <xdr:rowOff>154498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/>
        <a:srcRect b="19577"/>
        <a:stretch/>
      </xdr:blipFill>
      <xdr:spPr>
        <a:xfrm>
          <a:off x="156881" y="273673"/>
          <a:ext cx="22104000" cy="900000"/>
        </a:xfrm>
        <a:prstGeom prst="rect">
          <a:avLst/>
        </a:prstGeom>
      </xdr:spPr>
    </xdr:pic>
    <xdr:clientData/>
  </xdr:twoCellAnchor>
  <xdr:twoCellAnchor>
    <xdr:from>
      <xdr:col>14</xdr:col>
      <xdr:colOff>156881</xdr:colOff>
      <xdr:row>103</xdr:row>
      <xdr:rowOff>27549</xdr:rowOff>
    </xdr:from>
    <xdr:to>
      <xdr:col>35</xdr:col>
      <xdr:colOff>956</xdr:colOff>
      <xdr:row>106</xdr:row>
      <xdr:rowOff>164843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6881" y="141849"/>
          <a:ext cx="22104000" cy="908819"/>
        </a:xfrm>
        <a:prstGeom prst="rect">
          <a:avLst/>
        </a:prstGeom>
        <a:gradFill flip="none" rotWithShape="1">
          <a:gsLst>
            <a:gs pos="29000">
              <a:srgbClr val="00426A"/>
            </a:gs>
            <a:gs pos="0">
              <a:srgbClr val="00426A">
                <a:alpha val="95000"/>
              </a:srgbClr>
            </a:gs>
            <a:gs pos="100000">
              <a:srgbClr val="00426A">
                <a:alpha val="6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251405</xdr:colOff>
      <xdr:row>103</xdr:row>
      <xdr:rowOff>104775</xdr:rowOff>
    </xdr:from>
    <xdr:to>
      <xdr:col>19</xdr:col>
      <xdr:colOff>228600</xdr:colOff>
      <xdr:row>106</xdr:row>
      <xdr:rowOff>67779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1405" y="219075"/>
          <a:ext cx="5063545" cy="7345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AU" sz="220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Costings Module</a:t>
          </a:r>
          <a:r>
            <a:rPr lang="en-AU" sz="22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 |  Main Menu</a:t>
          </a:r>
        </a:p>
      </xdr:txBody>
    </xdr:sp>
    <xdr:clientData/>
  </xdr:twoCellAnchor>
  <xdr:twoCellAnchor>
    <xdr:from>
      <xdr:col>20</xdr:col>
      <xdr:colOff>147320</xdr:colOff>
      <xdr:row>103</xdr:row>
      <xdr:rowOff>134549</xdr:rowOff>
    </xdr:from>
    <xdr:to>
      <xdr:col>21</xdr:col>
      <xdr:colOff>487048</xdr:colOff>
      <xdr:row>104</xdr:row>
      <xdr:rowOff>220424</xdr:rowOff>
    </xdr:to>
    <xdr:sp macro="" textlink="tm1NewCostingCAPTION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621270" y="248849"/>
          <a:ext cx="1679578" cy="320825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DA73C1C-214F-4111-B708-DFBC2C9E8ABA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20</xdr:col>
      <xdr:colOff>147320</xdr:colOff>
      <xdr:row>104</xdr:row>
      <xdr:rowOff>287228</xdr:rowOff>
    </xdr:from>
    <xdr:to>
      <xdr:col>21</xdr:col>
      <xdr:colOff>487048</xdr:colOff>
      <xdr:row>106</xdr:row>
      <xdr:rowOff>77828</xdr:rowOff>
    </xdr:to>
    <xdr:sp macro="" textlink="tm1CostingDetailsCAPTION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21270" y="636478"/>
          <a:ext cx="1679578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C35C030-E269-4208-9E68-9B4F456AE2B8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21</xdr:col>
      <xdr:colOff>591354</xdr:colOff>
      <xdr:row>103</xdr:row>
      <xdr:rowOff>141175</xdr:rowOff>
    </xdr:from>
    <xdr:to>
      <xdr:col>23</xdr:col>
      <xdr:colOff>697439</xdr:colOff>
      <xdr:row>104</xdr:row>
      <xdr:rowOff>227050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405154" y="255475"/>
          <a:ext cx="1661835" cy="320825"/>
        </a:xfrm>
        <a:prstGeom prst="roundRect">
          <a:avLst/>
        </a:prstGeom>
        <a:solidFill>
          <a:schemeClr val="tx1">
            <a:alpha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="0">
              <a:latin typeface="Segoe UI" panose="020B0502040204020203" pitchFamily="34" charset="0"/>
              <a:cs typeface="Segoe UI" panose="020B0502040204020203" pitchFamily="34" charset="0"/>
            </a:rPr>
            <a:t>Main Menu</a:t>
          </a:r>
        </a:p>
      </xdr:txBody>
    </xdr:sp>
    <xdr:clientData/>
  </xdr:twoCellAnchor>
  <xdr:twoCellAnchor>
    <xdr:from>
      <xdr:col>23</xdr:col>
      <xdr:colOff>774476</xdr:colOff>
      <xdr:row>103</xdr:row>
      <xdr:rowOff>140899</xdr:rowOff>
    </xdr:from>
    <xdr:to>
      <xdr:col>25</xdr:col>
      <xdr:colOff>310929</xdr:colOff>
      <xdr:row>104</xdr:row>
      <xdr:rowOff>226774</xdr:rowOff>
    </xdr:to>
    <xdr:sp macro="" textlink="tm1OptionDetailsCAPTION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144026" y="255199"/>
          <a:ext cx="1701803" cy="320825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36ABF07-FBDF-4B5B-BBAF-B580F3C0D821}" type="TxLink">
            <a:rPr lang="en-US" sz="1200" b="0" i="0" u="none" strike="noStrike">
              <a:solidFill>
                <a:schemeClr val="bg1"/>
              </a:solidFill>
              <a:effectLst/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23</xdr:col>
      <xdr:colOff>774476</xdr:colOff>
      <xdr:row>104</xdr:row>
      <xdr:rowOff>293578</xdr:rowOff>
    </xdr:from>
    <xdr:to>
      <xdr:col>25</xdr:col>
      <xdr:colOff>310929</xdr:colOff>
      <xdr:row>106</xdr:row>
      <xdr:rowOff>84178</xdr:rowOff>
    </xdr:to>
    <xdr:sp macro="" textlink="tm1AdminMenuCAPTION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144026" y="642828"/>
          <a:ext cx="1701803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888374-AB93-4B07-98DC-951367DDE28F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15</xdr:col>
      <xdr:colOff>1830</xdr:colOff>
      <xdr:row>106</xdr:row>
      <xdr:rowOff>573166</xdr:rowOff>
    </xdr:from>
    <xdr:to>
      <xdr:col>31</xdr:col>
      <xdr:colOff>397230</xdr:colOff>
      <xdr:row>106</xdr:row>
      <xdr:rowOff>594329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16155" y="1592341"/>
          <a:ext cx="17388000" cy="21163"/>
        </a:xfrm>
        <a:prstGeom prst="rect">
          <a:avLst/>
        </a:prstGeom>
        <a:gradFill>
          <a:gsLst>
            <a:gs pos="0">
              <a:srgbClr val="173D55"/>
            </a:gs>
            <a:gs pos="100000">
              <a:srgbClr val="1F5577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297097</xdr:colOff>
      <xdr:row>106</xdr:row>
      <xdr:rowOff>214471</xdr:rowOff>
    </xdr:from>
    <xdr:to>
      <xdr:col>16</xdr:col>
      <xdr:colOff>150157</xdr:colOff>
      <xdr:row>106</xdr:row>
      <xdr:rowOff>538471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97097" y="1097121"/>
          <a:ext cx="1472310" cy="324000"/>
        </a:xfrm>
        <a:prstGeom prst="roundRect">
          <a:avLst/>
        </a:prstGeom>
        <a:solidFill>
          <a:srgbClr val="457882">
            <a:alpha val="8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latin typeface="Segoe UI Light" panose="020B0502040204020203" pitchFamily="34" charset="0"/>
              <a:cs typeface="Segoe UI Light" panose="020B0502040204020203" pitchFamily="34" charset="0"/>
            </a:rPr>
            <a:t>Refresh</a:t>
          </a:r>
        </a:p>
      </xdr:txBody>
    </xdr:sp>
    <xdr:clientData/>
  </xdr:twoCellAnchor>
  <xdr:twoCellAnchor>
    <xdr:from>
      <xdr:col>16</xdr:col>
      <xdr:colOff>213202</xdr:colOff>
      <xdr:row>106</xdr:row>
      <xdr:rowOff>214471</xdr:rowOff>
    </xdr:from>
    <xdr:to>
      <xdr:col>17</xdr:col>
      <xdr:colOff>871266</xdr:colOff>
      <xdr:row>106</xdr:row>
      <xdr:rowOff>538471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32452" y="1097121"/>
          <a:ext cx="1477214" cy="324000"/>
        </a:xfrm>
        <a:prstGeom prst="roundRect">
          <a:avLst/>
        </a:prstGeom>
        <a:solidFill>
          <a:srgbClr val="457882">
            <a:alpha val="80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AU" sz="12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Update</a:t>
          </a:r>
        </a:p>
      </xdr:txBody>
    </xdr:sp>
    <xdr:clientData/>
  </xdr:twoCellAnchor>
  <xdr:twoCellAnchor>
    <xdr:from>
      <xdr:col>21</xdr:col>
      <xdr:colOff>585936</xdr:colOff>
      <xdr:row>104</xdr:row>
      <xdr:rowOff>287228</xdr:rowOff>
    </xdr:from>
    <xdr:to>
      <xdr:col>23</xdr:col>
      <xdr:colOff>701546</xdr:colOff>
      <xdr:row>106</xdr:row>
      <xdr:rowOff>77828</xdr:rowOff>
    </xdr:to>
    <xdr:sp macro="" textlink="tm1CopyDataCAPTION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399736" y="636478"/>
          <a:ext cx="1671360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E9CAEA6-33F4-4940-B7BC-15F8393FAF3D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25</xdr:col>
      <xdr:colOff>387776</xdr:colOff>
      <xdr:row>103</xdr:row>
      <xdr:rowOff>140899</xdr:rowOff>
    </xdr:from>
    <xdr:to>
      <xdr:col>26</xdr:col>
      <xdr:colOff>773326</xdr:colOff>
      <xdr:row>104</xdr:row>
      <xdr:rowOff>226774</xdr:rowOff>
    </xdr:to>
    <xdr:sp macro="" textlink="tm1CostingDataCAPTION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922676" y="255199"/>
          <a:ext cx="1700000" cy="320825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E110A0-0BC2-4A2A-9347-E2BA6BBA3D7A}" type="TxLink">
            <a:rPr lang="en-US" sz="1200" b="0" i="0" u="none" strike="noStrike">
              <a:solidFill>
                <a:schemeClr val="bg1"/>
              </a:solidFill>
              <a:effectLst/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25</xdr:col>
      <xdr:colOff>387776</xdr:colOff>
      <xdr:row>104</xdr:row>
      <xdr:rowOff>293578</xdr:rowOff>
    </xdr:from>
    <xdr:to>
      <xdr:col>26</xdr:col>
      <xdr:colOff>773326</xdr:colOff>
      <xdr:row>106</xdr:row>
      <xdr:rowOff>84178</xdr:rowOff>
    </xdr:to>
    <xdr:sp macro="" textlink="tm1ReportingMenuCAPTION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922676" y="642828"/>
          <a:ext cx="1700000" cy="324000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B38C1-7D34-4B7C-8833-3C20BB65D500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15</xdr:col>
      <xdr:colOff>116912</xdr:colOff>
      <xdr:row>106</xdr:row>
      <xdr:rowOff>309010</xdr:rowOff>
    </xdr:from>
    <xdr:to>
      <xdr:col>15</xdr:col>
      <xdr:colOff>290382</xdr:colOff>
      <xdr:row>106</xdr:row>
      <xdr:rowOff>454943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112" y="1191660"/>
          <a:ext cx="173470" cy="145933"/>
        </a:xfrm>
        <a:prstGeom prst="rect">
          <a:avLst/>
        </a:prstGeom>
      </xdr:spPr>
    </xdr:pic>
    <xdr:clientData/>
  </xdr:twoCellAnchor>
  <xdr:twoCellAnchor editAs="oneCell">
    <xdr:from>
      <xdr:col>16</xdr:col>
      <xdr:colOff>340324</xdr:colOff>
      <xdr:row>106</xdr:row>
      <xdr:rowOff>308998</xdr:rowOff>
    </xdr:from>
    <xdr:to>
      <xdr:col>16</xdr:col>
      <xdr:colOff>538758</xdr:colOff>
      <xdr:row>106</xdr:row>
      <xdr:rowOff>466149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574" y="1191648"/>
          <a:ext cx="198434" cy="157151"/>
        </a:xfrm>
        <a:prstGeom prst="rect">
          <a:avLst/>
        </a:prstGeom>
      </xdr:spPr>
    </xdr:pic>
    <xdr:clientData/>
  </xdr:twoCellAnchor>
  <xdr:twoCellAnchor>
    <xdr:from>
      <xdr:col>26</xdr:col>
      <xdr:colOff>842681</xdr:colOff>
      <xdr:row>103</xdr:row>
      <xdr:rowOff>122799</xdr:rowOff>
    </xdr:from>
    <xdr:to>
      <xdr:col>28</xdr:col>
      <xdr:colOff>156455</xdr:colOff>
      <xdr:row>106</xdr:row>
      <xdr:rowOff>76871</xdr:rowOff>
    </xdr:to>
    <xdr:sp macro="" textlink="tm1NPPMenuCAPTION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4692031" y="237099"/>
          <a:ext cx="1136224" cy="722422"/>
        </a:xfrm>
        <a:prstGeom prst="roundRect">
          <a:avLst/>
        </a:prstGeom>
        <a:solidFill>
          <a:schemeClr val="bg1">
            <a:alpha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74096E0-E366-40D3-B429-7AB67C663B44}" type="TxLink">
            <a:rPr lang="en-US" sz="1200" b="0" i="0" u="none" strike="noStrike">
              <a:solidFill>
                <a:schemeClr val="bg1"/>
              </a:solidFill>
              <a:latin typeface="Segoe UI Light" panose="020B0502040204020203" pitchFamily="34" charset="0"/>
              <a:ea typeface="Calibri"/>
              <a:cs typeface="Segoe UI Light" panose="020B0502040204020203" pitchFamily="34" charset="0"/>
            </a:rPr>
            <a:pPr algn="ctr"/>
            <a:t>*KEY_ERR</a:t>
          </a:fld>
          <a:endParaRPr lang="en-AU" sz="12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31</xdr:col>
      <xdr:colOff>112101</xdr:colOff>
      <xdr:row>106</xdr:row>
      <xdr:rowOff>209549</xdr:rowOff>
    </xdr:from>
    <xdr:to>
      <xdr:col>31</xdr:col>
      <xdr:colOff>400101</xdr:colOff>
      <xdr:row>106</xdr:row>
      <xdr:rowOff>496816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7419026" y="1228724"/>
          <a:ext cx="288000" cy="287267"/>
        </a:xfrm>
        <a:prstGeom prst="rect">
          <a:avLst/>
        </a:prstGeom>
      </xdr:spPr>
    </xdr:pic>
    <xdr:clientData/>
  </xdr:twoCellAnchor>
  <xdr:twoCellAnchor editAs="oneCell">
    <xdr:from>
      <xdr:col>25</xdr:col>
      <xdr:colOff>419100</xdr:colOff>
      <xdr:row>104</xdr:row>
      <xdr:rowOff>304800</xdr:rowOff>
    </xdr:from>
    <xdr:to>
      <xdr:col>26</xdr:col>
      <xdr:colOff>647700</xdr:colOff>
      <xdr:row>106</xdr:row>
      <xdr:rowOff>95250</xdr:rowOff>
    </xdr:to>
    <xdr:sp macro="Sheet1.ExecuteAction_a945ed5f_8a30_42f4_a065_e62acf581771" textlink="">
      <xdr:nvSpPr>
        <xdr:cNvPr id="5" name="TM1Button_a945ed5f_8a30_42f4_a065_e62acf581771">
          <a:extLst>
            <a:ext uri="{FF2B5EF4-FFF2-40B4-BE49-F238E27FC236}">
              <a16:creationId xmlns:a16="http://schemas.microsoft.com/office/drawing/2014/main" id="{E013B739-9851-7438-CE38-3353044EEF11}"/>
            </a:ext>
          </a:extLst>
        </xdr:cNvPr>
        <xdr:cNvSpPr txBox="1"/>
      </xdr:nvSpPr>
      <xdr:spPr>
        <a:xfrm>
          <a:off x="12372975" y="657225"/>
          <a:ext cx="1485900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16</xdr:col>
      <xdr:colOff>295275</xdr:colOff>
      <xdr:row>106</xdr:row>
      <xdr:rowOff>228600</xdr:rowOff>
    </xdr:from>
    <xdr:to>
      <xdr:col>17</xdr:col>
      <xdr:colOff>809625</xdr:colOff>
      <xdr:row>106</xdr:row>
      <xdr:rowOff>504825</xdr:rowOff>
    </xdr:to>
    <xdr:sp macro="Sheet1.ExecuteAction_efcb02de_17f5_4c72_ba9b_b05f8388d577" textlink="">
      <xdr:nvSpPr>
        <xdr:cNvPr id="6" name="TM1Button_efcb02de_17f5_4c72_ba9b_b05f8388d577">
          <a:extLst>
            <a:ext uri="{FF2B5EF4-FFF2-40B4-BE49-F238E27FC236}">
              <a16:creationId xmlns:a16="http://schemas.microsoft.com/office/drawing/2014/main" id="{B4117FFB-F1E5-C3A4-3CB2-87D53B30E7D8}"/>
            </a:ext>
          </a:extLst>
        </xdr:cNvPr>
        <xdr:cNvSpPr txBox="1"/>
      </xdr:nvSpPr>
      <xdr:spPr>
        <a:xfrm>
          <a:off x="1838325" y="1114425"/>
          <a:ext cx="1295400" cy="2762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 </a:t>
          </a:r>
        </a:p>
      </xdr:txBody>
    </xdr:sp>
    <xdr:clientData/>
  </xdr:twoCellAnchor>
  <xdr:twoCellAnchor editAs="oneCell">
    <xdr:from>
      <xdr:col>21</xdr:col>
      <xdr:colOff>733425</xdr:colOff>
      <xdr:row>103</xdr:row>
      <xdr:rowOff>152400</xdr:rowOff>
    </xdr:from>
    <xdr:to>
      <xdr:col>23</xdr:col>
      <xdr:colOff>647700</xdr:colOff>
      <xdr:row>104</xdr:row>
      <xdr:rowOff>228600</xdr:rowOff>
    </xdr:to>
    <xdr:sp macro="Sheet1.ExecuteAction_31423865_b8bd_43ba_82cb_53af11125f7d" textlink="">
      <xdr:nvSpPr>
        <xdr:cNvPr id="7" name="TM1Button_31423865_b8bd_43ba_82cb_53af11125f7d">
          <a:extLst>
            <a:ext uri="{FF2B5EF4-FFF2-40B4-BE49-F238E27FC236}">
              <a16:creationId xmlns:a16="http://schemas.microsoft.com/office/drawing/2014/main" id="{B19916C9-01C6-C2EC-84BF-A966C3E7B626}"/>
            </a:ext>
          </a:extLst>
        </xdr:cNvPr>
        <xdr:cNvSpPr txBox="1"/>
      </xdr:nvSpPr>
      <xdr:spPr>
        <a:xfrm>
          <a:off x="9134475" y="266700"/>
          <a:ext cx="1400175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 </a:t>
          </a:r>
        </a:p>
      </xdr:txBody>
    </xdr:sp>
    <xdr:clientData/>
  </xdr:twoCellAnchor>
  <xdr:twoCellAnchor editAs="oneCell">
    <xdr:from>
      <xdr:col>26</xdr:col>
      <xdr:colOff>981075</xdr:colOff>
      <xdr:row>103</xdr:row>
      <xdr:rowOff>152400</xdr:rowOff>
    </xdr:from>
    <xdr:to>
      <xdr:col>28</xdr:col>
      <xdr:colOff>0</xdr:colOff>
      <xdr:row>106</xdr:row>
      <xdr:rowOff>38100</xdr:rowOff>
    </xdr:to>
    <xdr:sp macro="Sheet1.ExecuteAction_529d591b_8108_4ceb_803a_b6e9bc74a6f1" textlink="">
      <xdr:nvSpPr>
        <xdr:cNvPr id="8" name="TM1Button_529d591b_8108_4ceb_803a_b6e9bc74a6f1">
          <a:extLst>
            <a:ext uri="{FF2B5EF4-FFF2-40B4-BE49-F238E27FC236}">
              <a16:creationId xmlns:a16="http://schemas.microsoft.com/office/drawing/2014/main" id="{7DC72135-2EE1-654C-8AD9-11A4898AB502}"/>
            </a:ext>
          </a:extLst>
        </xdr:cNvPr>
        <xdr:cNvSpPr txBox="1"/>
      </xdr:nvSpPr>
      <xdr:spPr>
        <a:xfrm>
          <a:off x="14192250" y="266700"/>
          <a:ext cx="752475" cy="6572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23</xdr:col>
      <xdr:colOff>847725</xdr:colOff>
      <xdr:row>104</xdr:row>
      <xdr:rowOff>323850</xdr:rowOff>
    </xdr:from>
    <xdr:to>
      <xdr:col>25</xdr:col>
      <xdr:colOff>219075</xdr:colOff>
      <xdr:row>106</xdr:row>
      <xdr:rowOff>114300</xdr:rowOff>
    </xdr:to>
    <xdr:sp macro="Sheet1.ExecuteAction_55f8dcda_4e82_46cb_972f_dbfaddf7fabc" textlink="">
      <xdr:nvSpPr>
        <xdr:cNvPr id="11" name="TM1Button_55f8dcda_4e82_46cb_972f_dbfaddf7fabc">
          <a:extLst>
            <a:ext uri="{FF2B5EF4-FFF2-40B4-BE49-F238E27FC236}">
              <a16:creationId xmlns:a16="http://schemas.microsoft.com/office/drawing/2014/main" id="{CEE6A79C-9DDC-EA82-E961-32DCDB9F0D26}"/>
            </a:ext>
          </a:extLst>
        </xdr:cNvPr>
        <xdr:cNvSpPr txBox="1"/>
      </xdr:nvSpPr>
      <xdr:spPr>
        <a:xfrm>
          <a:off x="10734675" y="676275"/>
          <a:ext cx="1438275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20</xdr:col>
      <xdr:colOff>219075</xdr:colOff>
      <xdr:row>103</xdr:row>
      <xdr:rowOff>114300</xdr:rowOff>
    </xdr:from>
    <xdr:to>
      <xdr:col>21</xdr:col>
      <xdr:colOff>466725</xdr:colOff>
      <xdr:row>104</xdr:row>
      <xdr:rowOff>209550</xdr:rowOff>
    </xdr:to>
    <xdr:sp macro="Sheet1.ExecuteAction_4af91a00_5c07_46ff_9c6c_768248694d12" textlink="">
      <xdr:nvSpPr>
        <xdr:cNvPr id="17" name="TM1Button_4af91a00_5c07_46ff_9c6c_768248694d12">
          <a:extLst>
            <a:ext uri="{FF2B5EF4-FFF2-40B4-BE49-F238E27FC236}">
              <a16:creationId xmlns:a16="http://schemas.microsoft.com/office/drawing/2014/main" id="{99A4DD29-0F33-000D-2E56-F5F5FB6DAA8F}"/>
            </a:ext>
          </a:extLst>
        </xdr:cNvPr>
        <xdr:cNvSpPr txBox="1"/>
      </xdr:nvSpPr>
      <xdr:spPr>
        <a:xfrm>
          <a:off x="7343775" y="228600"/>
          <a:ext cx="1524000" cy="3333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20</xdr:col>
      <xdr:colOff>209550</xdr:colOff>
      <xdr:row>104</xdr:row>
      <xdr:rowOff>247650</xdr:rowOff>
    </xdr:from>
    <xdr:to>
      <xdr:col>21</xdr:col>
      <xdr:colOff>428625</xdr:colOff>
      <xdr:row>106</xdr:row>
      <xdr:rowOff>38100</xdr:rowOff>
    </xdr:to>
    <xdr:sp macro="Sheet1.ExecuteAction_39317854_382e_496e_a987_35131affa676" textlink="">
      <xdr:nvSpPr>
        <xdr:cNvPr id="25" name="TM1Button_39317854_382e_496e_a987_35131affa676">
          <a:extLst>
            <a:ext uri="{FF2B5EF4-FFF2-40B4-BE49-F238E27FC236}">
              <a16:creationId xmlns:a16="http://schemas.microsoft.com/office/drawing/2014/main" id="{ECBFF183-8A41-07C4-1E25-66411A443B19}"/>
            </a:ext>
          </a:extLst>
        </xdr:cNvPr>
        <xdr:cNvSpPr txBox="1"/>
      </xdr:nvSpPr>
      <xdr:spPr>
        <a:xfrm>
          <a:off x="7334250" y="600075"/>
          <a:ext cx="1495425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21</xdr:col>
      <xdr:colOff>685800</xdr:colOff>
      <xdr:row>104</xdr:row>
      <xdr:rowOff>295275</xdr:rowOff>
    </xdr:from>
    <xdr:to>
      <xdr:col>23</xdr:col>
      <xdr:colOff>638175</xdr:colOff>
      <xdr:row>106</xdr:row>
      <xdr:rowOff>85725</xdr:rowOff>
    </xdr:to>
    <xdr:sp macro="Sheet1.ExecuteAction_7b21172c_9396_4761_a8b8_da2c1da5a32c" textlink="">
      <xdr:nvSpPr>
        <xdr:cNvPr id="26" name="TM1Button_7b21172c_9396_4761_a8b8_da2c1da5a32c">
          <a:extLst>
            <a:ext uri="{FF2B5EF4-FFF2-40B4-BE49-F238E27FC236}">
              <a16:creationId xmlns:a16="http://schemas.microsoft.com/office/drawing/2014/main" id="{21492287-E45A-0081-2998-457035242C98}"/>
            </a:ext>
          </a:extLst>
        </xdr:cNvPr>
        <xdr:cNvSpPr txBox="1"/>
      </xdr:nvSpPr>
      <xdr:spPr>
        <a:xfrm>
          <a:off x="9086850" y="647700"/>
          <a:ext cx="1438275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23</xdr:col>
      <xdr:colOff>914400</xdr:colOff>
      <xdr:row>103</xdr:row>
      <xdr:rowOff>171450</xdr:rowOff>
    </xdr:from>
    <xdr:to>
      <xdr:col>25</xdr:col>
      <xdr:colOff>276225</xdr:colOff>
      <xdr:row>104</xdr:row>
      <xdr:rowOff>257175</xdr:rowOff>
    </xdr:to>
    <xdr:sp macro="Sheet1.ExecuteAction_9d176daa_d92b_43c2_90d0_52110d8f22a5" textlink="">
      <xdr:nvSpPr>
        <xdr:cNvPr id="27" name="TM1Button_9d176daa_d92b_43c2_90d0_52110d8f22a5">
          <a:extLst>
            <a:ext uri="{FF2B5EF4-FFF2-40B4-BE49-F238E27FC236}">
              <a16:creationId xmlns:a16="http://schemas.microsoft.com/office/drawing/2014/main" id="{6BA86C22-C713-7CFF-36AD-51D29260842F}"/>
            </a:ext>
          </a:extLst>
        </xdr:cNvPr>
        <xdr:cNvSpPr txBox="1"/>
      </xdr:nvSpPr>
      <xdr:spPr>
        <a:xfrm>
          <a:off x="10801350" y="285750"/>
          <a:ext cx="1428750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25</xdr:col>
      <xdr:colOff>466725</xdr:colOff>
      <xdr:row>103</xdr:row>
      <xdr:rowOff>171450</xdr:rowOff>
    </xdr:from>
    <xdr:to>
      <xdr:col>26</xdr:col>
      <xdr:colOff>695325</xdr:colOff>
      <xdr:row>104</xdr:row>
      <xdr:rowOff>257175</xdr:rowOff>
    </xdr:to>
    <xdr:sp macro="Sheet1.ExecuteAction_7dd9fd0a_dbab_4f59_abd8_8b3a6549df9d" textlink="">
      <xdr:nvSpPr>
        <xdr:cNvPr id="28" name="TM1Button_7dd9fd0a_dbab_4f59_abd8_8b3a6549df9d">
          <a:extLst>
            <a:ext uri="{FF2B5EF4-FFF2-40B4-BE49-F238E27FC236}">
              <a16:creationId xmlns:a16="http://schemas.microsoft.com/office/drawing/2014/main" id="{62B5B658-7D65-BA5E-20E0-6F63449665DA}"/>
            </a:ext>
          </a:extLst>
        </xdr:cNvPr>
        <xdr:cNvSpPr txBox="1"/>
      </xdr:nvSpPr>
      <xdr:spPr>
        <a:xfrm>
          <a:off x="12420600" y="285750"/>
          <a:ext cx="1485900" cy="3238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words" strike="noStrike">
              <a:solidFill>
                <a:srgbClr val="0000FF"/>
              </a:solidFill>
              <a:latin typeface="Segoe UI" panose="020B0502040204020203" pitchFamily="34" charset="0"/>
            </a:rPr>
            <a:t> </a:t>
          </a:r>
        </a:p>
      </xdr:txBody>
    </xdr:sp>
    <xdr:clientData/>
  </xdr:twoCellAnchor>
  <xdr:twoCellAnchor editAs="oneCell">
    <xdr:from>
      <xdr:col>15</xdr:col>
      <xdr:colOff>66675</xdr:colOff>
      <xdr:row>106</xdr:row>
      <xdr:rowOff>257175</xdr:rowOff>
    </xdr:from>
    <xdr:to>
      <xdr:col>16</xdr:col>
      <xdr:colOff>104775</xdr:colOff>
      <xdr:row>106</xdr:row>
      <xdr:rowOff>514350</xdr:rowOff>
    </xdr:to>
    <xdr:sp macro="Sheet1.ExecuteAction_f96324d0_b265_49c8_878c_5da250d1b8e9" textlink="">
      <xdr:nvSpPr>
        <xdr:cNvPr id="29" name="TM1Button_f96324d0_b265_49c8_878c_5da250d1b8e9">
          <a:extLst>
            <a:ext uri="{FF2B5EF4-FFF2-40B4-BE49-F238E27FC236}">
              <a16:creationId xmlns:a16="http://schemas.microsoft.com/office/drawing/2014/main" id="{7B3CA2D0-1F3F-B87D-D473-1A94BCEAF03C}"/>
            </a:ext>
          </a:extLst>
        </xdr:cNvPr>
        <xdr:cNvSpPr txBox="1"/>
      </xdr:nvSpPr>
      <xdr:spPr>
        <a:xfrm>
          <a:off x="381000" y="1143000"/>
          <a:ext cx="1266825" cy="2571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0F0F0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00" b="0" i="0" u="words" strike="noStrike">
              <a:solidFill>
                <a:srgbClr val="0000FF"/>
              </a:solidFill>
              <a:latin typeface="Arial" panose="020B0604020202020204" pitchFamily="34" charset="0"/>
            </a:rPr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AI126"/>
  <sheetViews>
    <sheetView showGridLines="0" showZeros="0" tabSelected="1" topLeftCell="O103" zoomScaleNormal="100" workbookViewId="0">
      <pane ySplit="21" topLeftCell="A124" activePane="bottomLeft" state="frozen"/>
      <selection activeCell="O103" sqref="O103"/>
      <selection pane="bottomLeft" activeCell="T131" sqref="T131"/>
    </sheetView>
  </sheetViews>
  <sheetFormatPr defaultRowHeight="15" outlineLevelRow="1" outlineLevelCol="1" x14ac:dyDescent="0.25"/>
  <cols>
    <col min="1" max="1" width="13.85546875" hidden="1" customWidth="1" outlineLevel="1"/>
    <col min="2" max="3" width="31" hidden="1" customWidth="1" outlineLevel="1"/>
    <col min="4" max="4" width="15.28515625" hidden="1" customWidth="1" outlineLevel="1"/>
    <col min="5" max="5" width="16.42578125" hidden="1" customWidth="1" outlineLevel="1"/>
    <col min="6" max="7" width="15.28515625" hidden="1" customWidth="1" outlineLevel="1"/>
    <col min="8" max="8" width="15.28515625" style="117" hidden="1" customWidth="1" outlineLevel="1"/>
    <col min="9" max="9" width="21.85546875" hidden="1" customWidth="1" outlineLevel="1"/>
    <col min="10" max="10" width="15.5703125" hidden="1" customWidth="1" outlineLevel="1"/>
    <col min="11" max="13" width="22.5703125" hidden="1" customWidth="1" outlineLevel="1"/>
    <col min="14" max="14" width="4.42578125" hidden="1" customWidth="1" outlineLevel="1"/>
    <col min="15" max="15" width="4.7109375" customWidth="1" collapsed="1"/>
    <col min="16" max="16" width="18.42578125" customWidth="1"/>
    <col min="17" max="17" width="11.7109375" customWidth="1"/>
    <col min="18" max="18" width="30" customWidth="1"/>
    <col min="19" max="19" width="11.42578125" customWidth="1"/>
    <col min="20" max="20" width="30.5703125" customWidth="1"/>
    <col min="21" max="21" width="19.140625" customWidth="1"/>
    <col min="22" max="22" width="12.42578125" customWidth="1"/>
    <col min="23" max="23" width="9.85546875" customWidth="1"/>
    <col min="24" max="24" width="15.140625" customWidth="1"/>
    <col min="25" max="25" width="15.85546875" customWidth="1"/>
    <col min="26" max="26" width="18.85546875" customWidth="1"/>
    <col min="27" max="27" width="18.5703125" customWidth="1"/>
    <col min="28" max="28" width="7.42578125" customWidth="1"/>
    <col min="29" max="29" width="5.42578125" customWidth="1"/>
    <col min="30" max="30" width="11.140625" customWidth="1"/>
    <col min="31" max="31" width="18.85546875" customWidth="1"/>
    <col min="32" max="32" width="14.140625" customWidth="1"/>
    <col min="33" max="33" width="16" customWidth="1"/>
    <col min="34" max="34" width="12.5703125" customWidth="1"/>
    <col min="35" max="35" width="31.5703125" customWidth="1"/>
  </cols>
  <sheetData>
    <row r="1" spans="1:35" ht="20.100000000000001" hidden="1" customHeight="1" outlineLevel="1" x14ac:dyDescent="0.25">
      <c r="A1" s="89" t="s">
        <v>75</v>
      </c>
      <c r="P1" s="149"/>
      <c r="Q1" s="149"/>
      <c r="R1" s="149"/>
      <c r="S1" s="149"/>
      <c r="T1" s="149"/>
      <c r="U1" s="149"/>
      <c r="V1" s="149"/>
      <c r="W1" s="164"/>
      <c r="X1" s="149"/>
      <c r="Y1" s="149"/>
      <c r="Z1" s="149"/>
      <c r="AA1" s="149"/>
      <c r="AB1" s="149"/>
      <c r="AC1" s="149"/>
      <c r="AD1" s="149"/>
      <c r="AE1" s="149"/>
      <c r="AF1" s="149"/>
      <c r="AG1" s="150"/>
      <c r="AH1" s="150"/>
      <c r="AI1" s="149"/>
    </row>
    <row r="2" spans="1:35" s="83" customFormat="1" ht="20.100000000000001" hidden="1" customHeight="1" outlineLevel="1" x14ac:dyDescent="0.3">
      <c r="A2" s="131" t="s">
        <v>74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P2" s="143"/>
      <c r="Q2" s="143"/>
      <c r="R2" s="143"/>
      <c r="S2" s="143"/>
      <c r="T2" s="143"/>
      <c r="U2" s="143"/>
      <c r="V2" s="143"/>
      <c r="W2" s="165"/>
      <c r="X2" s="143"/>
      <c r="Y2" s="144"/>
      <c r="Z2" s="144"/>
      <c r="AA2" s="145"/>
      <c r="AB2" s="180"/>
      <c r="AC2" s="180"/>
      <c r="AD2" s="146"/>
      <c r="AE2" s="144"/>
      <c r="AF2" s="144"/>
      <c r="AG2" s="144"/>
      <c r="AH2" s="144"/>
      <c r="AI2" s="147"/>
    </row>
    <row r="3" spans="1:35" s="1" customFormat="1" ht="20.100000000000001" hidden="1" customHeight="1" outlineLevel="1" x14ac:dyDescent="0.2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P3" s="8"/>
      <c r="Q3" s="8"/>
      <c r="R3" s="8"/>
      <c r="S3" s="8"/>
      <c r="T3" s="8"/>
      <c r="U3" s="8"/>
      <c r="V3" s="8"/>
      <c r="W3" s="166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161"/>
    </row>
    <row r="4" spans="1:35" s="83" customFormat="1" ht="20.100000000000001" hidden="1" customHeight="1" outlineLevel="1" x14ac:dyDescent="0.3">
      <c r="A4" s="132">
        <v>1</v>
      </c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P4" s="152"/>
      <c r="Q4" s="152"/>
      <c r="R4" s="152"/>
      <c r="S4" s="152"/>
      <c r="T4" s="152"/>
      <c r="U4" s="152"/>
      <c r="V4" s="152"/>
      <c r="W4" s="167"/>
      <c r="X4" s="152"/>
      <c r="Y4" s="153"/>
      <c r="Z4" s="153"/>
      <c r="AA4" s="154"/>
      <c r="AB4" s="181"/>
      <c r="AC4" s="181"/>
      <c r="AD4" s="155"/>
      <c r="AE4" s="153"/>
      <c r="AF4" s="153"/>
      <c r="AG4" s="153"/>
      <c r="AH4" s="153"/>
      <c r="AI4" s="156"/>
    </row>
    <row r="5" spans="1:35" s="1" customFormat="1" ht="20.100000000000001" hidden="1" customHeight="1" outlineLevel="1" x14ac:dyDescent="0.2">
      <c r="A5" s="89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P5" s="151"/>
      <c r="Q5" s="151"/>
      <c r="R5" s="151"/>
      <c r="S5" s="151"/>
      <c r="T5" s="151"/>
      <c r="U5" s="151"/>
      <c r="V5" s="151"/>
      <c r="W5" s="168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62"/>
    </row>
    <row r="6" spans="1:35" s="83" customFormat="1" ht="20.100000000000001" hidden="1" customHeight="1" outlineLevel="1" x14ac:dyDescent="0.3">
      <c r="A6" s="131" t="s">
        <v>242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P6" s="157"/>
      <c r="Q6" s="158"/>
      <c r="R6" s="139"/>
      <c r="S6" s="139"/>
      <c r="T6" s="139"/>
      <c r="U6" s="139"/>
      <c r="V6" s="139"/>
      <c r="W6" s="169"/>
      <c r="X6" s="139"/>
      <c r="Y6" s="140"/>
      <c r="Z6" s="140"/>
      <c r="AA6" s="141"/>
      <c r="AB6" s="175"/>
      <c r="AC6" s="175"/>
      <c r="AD6" s="142"/>
      <c r="AE6" s="140"/>
      <c r="AF6" s="140"/>
      <c r="AG6" s="140"/>
      <c r="AH6" s="140"/>
      <c r="AI6" s="163"/>
    </row>
    <row r="7" spans="1:35" s="1" customFormat="1" ht="20.100000000000001" hidden="1" customHeight="1" outlineLevel="1" x14ac:dyDescent="0.2">
      <c r="A7" s="89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P7" s="151"/>
      <c r="Q7" s="133"/>
      <c r="R7" s="133"/>
      <c r="S7" s="133"/>
      <c r="T7" s="133"/>
      <c r="U7" s="133"/>
      <c r="V7" s="133"/>
      <c r="W7" s="168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62"/>
    </row>
    <row r="8" spans="1:35" s="83" customFormat="1" ht="20.100000000000001" hidden="1" customHeight="1" outlineLevel="1" x14ac:dyDescent="0.3">
      <c r="A8" s="132" t="s">
        <v>243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P8" s="159"/>
      <c r="Q8" s="160"/>
      <c r="R8" s="134"/>
      <c r="S8" s="134"/>
      <c r="T8" s="134"/>
      <c r="U8" s="134"/>
      <c r="V8" s="134"/>
      <c r="W8" s="170"/>
      <c r="X8" s="134"/>
      <c r="Y8" s="135"/>
      <c r="Z8" s="135"/>
      <c r="AA8" s="136"/>
      <c r="AB8" s="176"/>
      <c r="AC8" s="176"/>
      <c r="AD8" s="137"/>
      <c r="AE8" s="135"/>
      <c r="AF8" s="135"/>
      <c r="AG8" s="135"/>
      <c r="AH8" s="135"/>
      <c r="AI8" s="138"/>
    </row>
    <row r="9" spans="1:35" s="1" customFormat="1" ht="20.100000000000001" hidden="1" customHeight="1" outlineLevel="1" x14ac:dyDescent="0.2">
      <c r="A9" s="89" t="s">
        <v>76</v>
      </c>
      <c r="B9" s="4"/>
      <c r="C9" s="4"/>
      <c r="D9" s="4"/>
      <c r="E9" s="4"/>
      <c r="F9" s="4"/>
      <c r="G9" s="4"/>
      <c r="H9" s="89"/>
      <c r="I9" s="4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</row>
    <row r="10" spans="1:35" s="1" customFormat="1" ht="20.100000000000001" hidden="1" customHeight="1" outlineLevel="1" thickBot="1" x14ac:dyDescent="0.25">
      <c r="A10" s="89"/>
      <c r="B10" s="4"/>
      <c r="C10" s="4"/>
      <c r="D10" s="4"/>
      <c r="E10" s="4"/>
      <c r="F10" s="4"/>
      <c r="G10" s="4"/>
      <c r="H10" s="89"/>
      <c r="I10" s="4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</row>
    <row r="11" spans="1:35" s="1" customFormat="1" ht="20.100000000000001" hidden="1" customHeight="1" outlineLevel="1" thickTop="1" x14ac:dyDescent="0.2">
      <c r="A11" s="4"/>
      <c r="B11" s="10" t="s">
        <v>30</v>
      </c>
      <c r="C11" s="4"/>
      <c r="D11" s="4"/>
      <c r="E11" s="4"/>
      <c r="F11" s="4"/>
      <c r="G11" s="89"/>
      <c r="H11" s="4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</row>
    <row r="12" spans="1:35" s="1" customFormat="1" ht="20.100000000000001" hidden="1" customHeight="1" outlineLevel="1" x14ac:dyDescent="0.2">
      <c r="A12" s="4"/>
      <c r="B12" s="11" t="s">
        <v>258</v>
      </c>
      <c r="C12" s="4"/>
      <c r="D12" s="4"/>
      <c r="E12" s="4"/>
      <c r="F12" s="4"/>
      <c r="G12" s="89"/>
      <c r="H12" s="4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35" ht="20.100000000000001" hidden="1" customHeight="1" outlineLevel="1" thickBot="1" x14ac:dyDescent="0.3">
      <c r="B13" s="9"/>
      <c r="G13" s="117"/>
      <c r="H13"/>
    </row>
    <row r="14" spans="1:35" s="1" customFormat="1" ht="20.100000000000001" hidden="1" customHeight="1" outlineLevel="1" thickTop="1" thickBot="1" x14ac:dyDescent="0.25">
      <c r="A14" s="89"/>
      <c r="B14" s="4"/>
      <c r="C14" s="4"/>
      <c r="D14" s="4"/>
      <c r="E14" s="4"/>
      <c r="F14" s="4"/>
      <c r="G14" s="89"/>
      <c r="H14" s="4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</row>
    <row r="15" spans="1:35" s="1" customFormat="1" ht="20.100000000000001" hidden="1" customHeight="1" outlineLevel="1" x14ac:dyDescent="0.2">
      <c r="A15" s="4"/>
      <c r="B15" s="19" t="s">
        <v>1</v>
      </c>
      <c r="C15" s="12"/>
      <c r="D15" s="4"/>
      <c r="E15" s="4"/>
      <c r="F15" s="4"/>
      <c r="G15" s="89"/>
      <c r="H15" s="4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</row>
    <row r="16" spans="1:35" s="1" customFormat="1" ht="18" hidden="1" customHeight="1" outlineLevel="1" x14ac:dyDescent="0.2">
      <c r="A16" s="4"/>
      <c r="B16" s="20" t="str">
        <f ca="1">_xll.TM1RPTVIEW(TM1db&amp;":sys_Costing Menu:1", 1, _xll.TM1RPTTITLE(TM1db&amp;":Budget Round",tm1BudgetRound),_xll.TM1RPTTITLE(TM1db&amp;":Costing Option Status",tm1OptionStatus),_xll.TM1RPTTITLE(TM1db&amp;":Costing Status",$R$116),_xll.TM1RPTTITLE(TM1db&amp;":Primary Contact",$U$112),_xll.TM1RPTTITLE(TM1db&amp;":Entity",$U$114),_xll.TM1RPTTITLE(TM1db&amp;":Ministerial Function",$U$116),_xll.TM1RPTTITLE(TM1db&amp;":Costing Option",tm1CostingOption),_xll.TM1RPTTITLE(TM1db&amp;":sys_Costing Menu Measure",$C$96),TM1RPTFMTRNG,TM1RPTFMTIDCOL)</f>
        <v>DCCEEW_Costings:sys_Costing Menu:1</v>
      </c>
      <c r="C16" s="13" t="s">
        <v>31</v>
      </c>
      <c r="D16" s="4"/>
      <c r="E16" s="4"/>
      <c r="F16" s="4"/>
      <c r="G16" s="89"/>
      <c r="H16" s="4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</row>
    <row r="17" spans="1:34" s="1" customFormat="1" ht="15" hidden="1" customHeight="1" outlineLevel="1" x14ac:dyDescent="0.2">
      <c r="A17" s="4"/>
      <c r="B17" s="20" t="str">
        <f ca="1">_xll.VIEW(TM1db&amp;":Costing Details",tm1Version,"!","!")</f>
        <v>DCCEEW_Costings:Costing Details</v>
      </c>
      <c r="C17" s="13" t="s">
        <v>68</v>
      </c>
      <c r="D17" s="4"/>
      <c r="E17" s="4"/>
      <c r="F17" s="4"/>
      <c r="G17" s="89"/>
      <c r="H17" s="4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</row>
    <row r="18" spans="1:34" s="1" customFormat="1" ht="15" hidden="1" customHeight="1" outlineLevel="1" x14ac:dyDescent="0.2">
      <c r="A18" s="4"/>
      <c r="B18" s="20" t="str">
        <f ca="1">_xll.VIEW(TM1db&amp;":Submission Details","!","!")</f>
        <v>DCCEEW_Costings:Submission Details</v>
      </c>
      <c r="C18" s="13" t="s">
        <v>247</v>
      </c>
      <c r="D18" s="4"/>
      <c r="E18" s="4"/>
      <c r="F18" s="4"/>
      <c r="G18" s="89"/>
      <c r="H18" s="4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</row>
    <row r="19" spans="1:34" s="1" customFormat="1" ht="15" hidden="1" customHeight="1" outlineLevel="1" x14ac:dyDescent="0.2">
      <c r="A19" s="4"/>
      <c r="B19" s="20" t="str">
        <f ca="1">_xll.VIEW(TM1db&amp;":Costing Package Details","!","!")</f>
        <v>DCCEEW_Costings:Costing Package Details</v>
      </c>
      <c r="C19" s="13" t="s">
        <v>248</v>
      </c>
      <c r="D19" s="4"/>
      <c r="E19" s="4"/>
      <c r="F19" s="4"/>
      <c r="G19" s="89"/>
      <c r="H19" s="4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</row>
    <row r="20" spans="1:34" s="1" customFormat="1" ht="15" hidden="1" customHeight="1" outlineLevel="1" x14ac:dyDescent="0.2">
      <c r="A20" s="4"/>
      <c r="B20" s="20" t="str">
        <f ca="1">_xll.VIEW(TM1db&amp;":Costing Option Details",tm1Version,"!","!","!")</f>
        <v>DCCEEW_Costings:Costing Option Details</v>
      </c>
      <c r="C20" s="13" t="s">
        <v>69</v>
      </c>
      <c r="D20" s="4"/>
      <c r="E20" s="4"/>
      <c r="F20" s="4"/>
      <c r="G20" s="89"/>
      <c r="H20" s="4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</row>
    <row r="21" spans="1:34" s="1" customFormat="1" ht="15" hidden="1" customHeight="1" outlineLevel="1" x14ac:dyDescent="0.2">
      <c r="A21" s="4"/>
      <c r="B21" s="20" t="str">
        <f>TM1db&amp;":sys_Variable"</f>
        <v>DCCEEW_Costings:sys_Variable</v>
      </c>
      <c r="C21" s="13" t="s">
        <v>33</v>
      </c>
      <c r="D21" s="4"/>
      <c r="E21" s="4"/>
      <c r="F21" s="4"/>
      <c r="G21" s="89"/>
      <c r="H21" s="4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</row>
    <row r="22" spans="1:34" s="1" customFormat="1" ht="15" hidden="1" customHeight="1" outlineLevel="1" x14ac:dyDescent="0.2">
      <c r="A22" s="4"/>
      <c r="B22" s="20" t="str">
        <f ca="1">_xll.VIEW(TM1db&amp;":sys_Client Preferences",$C$37,"!","!")</f>
        <v>DCCEEW_Costings:sys_Client Preferences</v>
      </c>
      <c r="C22" s="13" t="s">
        <v>32</v>
      </c>
      <c r="D22" s="4"/>
      <c r="E22" s="4"/>
      <c r="F22" s="4"/>
      <c r="G22" s="89"/>
      <c r="H22" s="4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</row>
    <row r="23" spans="1:34" s="1" customFormat="1" ht="15" hidden="1" customHeight="1" outlineLevel="1" x14ac:dyDescent="0.2">
      <c r="A23" s="4"/>
      <c r="B23" s="20" t="str">
        <f ca="1">_xll.VIEW(TM1db&amp;":sys_Application","!","!")</f>
        <v>DCCEEW_Costings:sys_Application</v>
      </c>
      <c r="C23" s="13" t="s">
        <v>35</v>
      </c>
      <c r="D23" s="4"/>
      <c r="E23" s="4"/>
      <c r="F23" s="4"/>
      <c r="G23" s="89"/>
      <c r="H23" s="4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</row>
    <row r="24" spans="1:34" s="1" customFormat="1" ht="15" hidden="1" customHeight="1" outlineLevel="1" x14ac:dyDescent="0.2">
      <c r="A24" s="4"/>
      <c r="B24" s="20" t="str">
        <f ca="1">_xll.VIEW(TM1db&amp;":sys_User Application",$C$37,$C$38,"!")</f>
        <v>DCCEEW_Costings:sys_User Application</v>
      </c>
      <c r="C24" s="13" t="s">
        <v>34</v>
      </c>
      <c r="D24" s="4"/>
      <c r="E24" s="4"/>
      <c r="F24" s="4"/>
      <c r="G24" s="89"/>
      <c r="H24" s="4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</row>
    <row r="25" spans="1:34" s="1" customFormat="1" ht="15" hidden="1" customHeight="1" outlineLevel="1" x14ac:dyDescent="0.2">
      <c r="A25" s="4"/>
      <c r="B25" s="20" t="str">
        <f ca="1">_xll.VIEW(TM1db&amp;":}ElementAttributes_Costing ID","!","!")</f>
        <v>DCCEEW_Costings:}ElementAttributes_Costing ID</v>
      </c>
      <c r="C25" s="13" t="s">
        <v>58</v>
      </c>
      <c r="D25" s="4"/>
      <c r="E25" s="4"/>
      <c r="F25" s="4"/>
      <c r="G25" s="89"/>
      <c r="H25" s="4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</row>
    <row r="26" spans="1:34" s="1" customFormat="1" ht="15" hidden="1" customHeight="1" outlineLevel="1" x14ac:dyDescent="0.2">
      <c r="A26" s="4"/>
      <c r="B26" s="20" t="str">
        <f ca="1">_xll.VIEW(TM1db&amp;":}ElementAttributes_Entity","!","!")</f>
        <v>DCCEEW_Costings:}ElementAttributes_Entity</v>
      </c>
      <c r="C26" s="13"/>
      <c r="D26" s="4"/>
      <c r="E26" s="4"/>
      <c r="F26" s="4"/>
      <c r="G26" s="89"/>
      <c r="H26" s="4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</row>
    <row r="27" spans="1:34" s="1" customFormat="1" ht="15" hidden="1" customHeight="1" outlineLevel="1" x14ac:dyDescent="0.2">
      <c r="A27" s="4"/>
      <c r="B27" s="21" t="str">
        <f ca="1">_xll.VIEW(TM1db&amp;":}ClientGroups",$C$37,"!")</f>
        <v>DCCEEW_Costings:}ClientGroups</v>
      </c>
      <c r="C27" s="14" t="s">
        <v>44</v>
      </c>
      <c r="D27" s="4"/>
      <c r="E27" s="4"/>
      <c r="F27" s="4"/>
      <c r="G27" s="89"/>
      <c r="H27" s="4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</row>
    <row r="28" spans="1:34" s="2" customFormat="1" ht="5.0999999999999996" hidden="1" customHeight="1" outlineLevel="1" thickBot="1" x14ac:dyDescent="0.3">
      <c r="A28" s="16"/>
      <c r="B28" s="17"/>
      <c r="C28" s="15"/>
      <c r="D28" s="18"/>
      <c r="E28" s="18"/>
      <c r="F28" s="18"/>
      <c r="G28" s="118"/>
      <c r="H28" s="18"/>
      <c r="I28" s="18"/>
      <c r="J28" s="18"/>
      <c r="K28" s="18"/>
      <c r="L28" s="18"/>
      <c r="M28" s="18"/>
      <c r="N28" s="18"/>
      <c r="O28" s="18"/>
      <c r="P28" s="18"/>
      <c r="Q28" s="18"/>
    </row>
    <row r="29" spans="1:34" s="1" customFormat="1" ht="15" hidden="1" customHeight="1" outlineLevel="1" thickBot="1" x14ac:dyDescent="0.25">
      <c r="A29" s="4"/>
      <c r="B29" s="4"/>
      <c r="C29" s="4"/>
      <c r="D29" s="4"/>
      <c r="E29" s="4"/>
      <c r="F29" s="4"/>
      <c r="G29" s="89"/>
      <c r="H29" s="4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</row>
    <row r="30" spans="1:34" s="1" customFormat="1" ht="15" hidden="1" customHeight="1" outlineLevel="1" thickTop="1" x14ac:dyDescent="0.2">
      <c r="A30" s="4"/>
      <c r="B30" s="10" t="s">
        <v>36</v>
      </c>
      <c r="C30" s="4"/>
      <c r="D30" s="4"/>
      <c r="E30" s="4"/>
      <c r="F30" s="4"/>
      <c r="G30" s="89"/>
      <c r="H30" s="4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</row>
    <row r="31" spans="1:34" s="1" customFormat="1" ht="15" hidden="1" customHeight="1" outlineLevel="1" x14ac:dyDescent="0.2">
      <c r="A31" s="4"/>
      <c r="B31" s="11"/>
      <c r="C31" s="4"/>
      <c r="D31" s="4"/>
      <c r="E31" s="4"/>
      <c r="F31" s="4"/>
      <c r="G31" s="89"/>
      <c r="H31" s="4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</row>
    <row r="32" spans="1:34" s="1" customFormat="1" ht="15" hidden="1" customHeight="1" outlineLevel="1" x14ac:dyDescent="0.2">
      <c r="A32" s="4"/>
      <c r="B32" s="11"/>
      <c r="C32" s="4"/>
      <c r="D32" s="4"/>
      <c r="E32" s="4"/>
      <c r="F32" s="4"/>
      <c r="G32" s="89"/>
      <c r="H32" s="4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</row>
    <row r="33" spans="1:34" s="1" customFormat="1" ht="15" hidden="1" customHeight="1" outlineLevel="1" x14ac:dyDescent="0.2">
      <c r="A33" s="4"/>
      <c r="B33" s="11"/>
      <c r="C33" s="4"/>
      <c r="D33" s="4"/>
      <c r="E33" s="4"/>
      <c r="F33" s="4"/>
      <c r="G33" s="89"/>
      <c r="H33" s="4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s="1" customFormat="1" ht="15" hidden="1" customHeight="1" outlineLevel="1" thickBot="1" x14ac:dyDescent="0.25">
      <c r="A34" s="4"/>
      <c r="B34" s="9"/>
      <c r="C34" s="4"/>
      <c r="D34" s="4"/>
      <c r="E34" s="4"/>
      <c r="F34" s="4"/>
      <c r="G34" s="89"/>
      <c r="H34" s="4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</row>
    <row r="35" spans="1:34" s="1" customFormat="1" ht="15" hidden="1" customHeight="1" outlineLevel="1" thickTop="1" thickBot="1" x14ac:dyDescent="0.25">
      <c r="A35" s="4"/>
      <c r="B35" s="4"/>
      <c r="C35" s="4"/>
      <c r="D35" s="4"/>
      <c r="E35" s="4"/>
      <c r="F35" s="4"/>
      <c r="G35" s="89"/>
      <c r="H35" s="4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</row>
    <row r="36" spans="1:34" s="1" customFormat="1" ht="15" hidden="1" customHeight="1" outlineLevel="1" thickTop="1" x14ac:dyDescent="0.2">
      <c r="A36" s="4"/>
      <c r="B36" s="22" t="s">
        <v>37</v>
      </c>
      <c r="C36" s="23"/>
      <c r="D36" s="4"/>
      <c r="E36" s="4"/>
      <c r="F36" s="4"/>
      <c r="G36" s="89"/>
      <c r="H36" s="4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</row>
    <row r="37" spans="1:34" s="1" customFormat="1" ht="15" hidden="1" customHeight="1" outlineLevel="1" x14ac:dyDescent="0.2">
      <c r="A37" s="4"/>
      <c r="B37" s="24" t="s">
        <v>38</v>
      </c>
      <c r="C37" s="25" t="str">
        <f ca="1">_xll.TM1USER(TM1db)</f>
        <v/>
      </c>
      <c r="D37" s="4"/>
      <c r="E37" s="4"/>
      <c r="F37" s="4"/>
      <c r="G37" s="89"/>
      <c r="H37" s="4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</row>
    <row r="38" spans="1:34" s="1" customFormat="1" ht="15" hidden="1" customHeight="1" outlineLevel="1" x14ac:dyDescent="0.2">
      <c r="A38" s="4"/>
      <c r="B38" s="26" t="s">
        <v>39</v>
      </c>
      <c r="C38" s="25" t="s">
        <v>45</v>
      </c>
      <c r="D38" s="4"/>
      <c r="E38" s="4"/>
      <c r="F38" s="4"/>
      <c r="G38" s="89"/>
      <c r="H38" s="4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  <row r="39" spans="1:34" s="1" customFormat="1" ht="15" hidden="1" customHeight="1" outlineLevel="1" x14ac:dyDescent="0.2">
      <c r="A39" s="4"/>
      <c r="B39" s="26" t="s">
        <v>40</v>
      </c>
      <c r="C39" s="25" t="str">
        <f ca="1">tm1MainMenuBOOK</f>
        <v>*KEY_ERR</v>
      </c>
      <c r="D39" s="4"/>
      <c r="E39" s="4"/>
      <c r="F39" s="4"/>
      <c r="G39" s="89"/>
      <c r="H39" s="4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</row>
    <row r="40" spans="1:34" s="1" customFormat="1" ht="15" hidden="1" customHeight="1" outlineLevel="1" x14ac:dyDescent="0.2">
      <c r="A40" s="4"/>
      <c r="B40" s="26" t="s">
        <v>41</v>
      </c>
      <c r="C40" s="25"/>
      <c r="D40" s="4"/>
      <c r="F40" s="4"/>
      <c r="G40" s="89"/>
      <c r="H40" s="4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</row>
    <row r="41" spans="1:34" s="1" customFormat="1" ht="15" hidden="1" customHeight="1" outlineLevel="1" x14ac:dyDescent="0.2">
      <c r="A41" s="4"/>
      <c r="B41" s="24" t="s">
        <v>42</v>
      </c>
      <c r="C41" s="25" t="str">
        <f ca="1">TEXT(NOW(),"yyyy-mm-dd HH:MM:ss")</f>
        <v>2025-05-09 13:50:48</v>
      </c>
      <c r="D41" s="4"/>
      <c r="E41" s="4"/>
      <c r="F41" s="87"/>
      <c r="G41" s="89"/>
      <c r="H41" s="4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</row>
    <row r="42" spans="1:34" s="1" customFormat="1" ht="15" hidden="1" customHeight="1" outlineLevel="1" x14ac:dyDescent="0.2">
      <c r="A42" s="4"/>
      <c r="B42" s="27" t="s">
        <v>43</v>
      </c>
      <c r="C42" s="28" t="str">
        <f ca="1">_xll.DBSS($C$41,TM1UserApps,TM1UserName,$C$38,B42)</f>
        <v>*KEY_ERR</v>
      </c>
      <c r="D42" s="4"/>
      <c r="E42" s="4"/>
      <c r="F42" s="4"/>
      <c r="G42" s="89"/>
      <c r="H42" s="4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</row>
    <row r="43" spans="1:34" s="1" customFormat="1" ht="15" hidden="1" customHeight="1" outlineLevel="1" thickBot="1" x14ac:dyDescent="0.25">
      <c r="A43" s="4"/>
      <c r="B43" s="29"/>
      <c r="C43" s="30"/>
      <c r="D43" s="89"/>
      <c r="E43" s="4"/>
      <c r="F43" s="4"/>
      <c r="G43" s="89"/>
      <c r="H43" s="4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</row>
    <row r="44" spans="1:34" s="1" customFormat="1" ht="15" hidden="1" customHeight="1" outlineLevel="1" thickTop="1" thickBot="1" x14ac:dyDescent="0.25">
      <c r="A44" s="4"/>
      <c r="B44" s="4"/>
      <c r="C44" s="4"/>
      <c r="D44" s="4"/>
      <c r="E44" s="4"/>
      <c r="F44" s="4"/>
      <c r="G44" s="89"/>
      <c r="H44" s="4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</row>
    <row r="45" spans="1:34" ht="15.75" hidden="1" outlineLevel="1" thickTop="1" x14ac:dyDescent="0.25">
      <c r="B45" s="22" t="s">
        <v>2</v>
      </c>
      <c r="C45" s="41"/>
      <c r="D45" s="42"/>
      <c r="E45" s="43"/>
      <c r="F45" s="43"/>
      <c r="G45" s="119"/>
      <c r="H45" s="43"/>
      <c r="I45" s="44"/>
      <c r="AC45" s="8"/>
      <c r="AD45" s="8"/>
      <c r="AE45" s="8"/>
      <c r="AF45" s="8"/>
      <c r="AG45" s="8"/>
      <c r="AH45" s="1"/>
    </row>
    <row r="46" spans="1:34" ht="15" hidden="1" customHeight="1" outlineLevel="1" x14ac:dyDescent="0.25">
      <c r="B46" s="45" t="s">
        <v>19</v>
      </c>
      <c r="C46" s="37" t="str">
        <f ca="1">IF(tm1CostingID=tm1BudgetRound&amp;" - Submissions",tm1SubmissionSubset,tm1CostingID)</f>
        <v/>
      </c>
      <c r="D46" s="38" t="str">
        <f ca="1">"{TM1FILTERBYLEVEL({TM1DRILLDOWNMEMBER({["&amp;$B46&amp;"].["&amp;$C46&amp;"]},ALL,RECURSIVE)},0)}"</f>
        <v>{TM1FILTERBYLEVEL({TM1DRILLDOWNMEMBER({[Costing ID].[]},ALL,RECURSIVE)},0)}</v>
      </c>
      <c r="E46" s="39"/>
      <c r="F46" s="39"/>
      <c r="G46" s="120"/>
      <c r="H46" s="39"/>
      <c r="I46" s="40"/>
      <c r="AC46" s="8"/>
      <c r="AD46" s="8"/>
      <c r="AE46" s="8"/>
      <c r="AF46" s="8"/>
      <c r="AG46" s="8"/>
      <c r="AH46" s="1"/>
    </row>
    <row r="47" spans="1:34" ht="15" hidden="1" customHeight="1" outlineLevel="1" x14ac:dyDescent="0.25">
      <c r="B47" s="24"/>
      <c r="C47" s="37"/>
      <c r="D47" s="38" t="str">
        <f ca="1">"{TM1SORT({FILTER( {TM1FILTERBYLEVEL({TM1DRILLDOWNMEMBER({["&amp;$B46&amp;"].["&amp;$C46&amp;"]},ALL,RECURSIVE)},0)}, INSTR(1, [Costing Details].([Version].[Current], [Costing Details Measure].["&amp;$Z$112&amp;"]),"&amp;$J$47&amp;tm1SearchString &amp; $J$47 &amp;  ",1 ) &lt;&gt; 0) }, ASC)}"</f>
        <v>{TM1SORT({FILTER( {TM1FILTERBYLEVEL({TM1DRILLDOWNMEMBER({[Costing ID].[]},ALL,RECURSIVE)},0)}, INSTR(1, [Costing Details].([Version].[Current], [Costing Details Measure].[]),"",1 ) &lt;&gt; 0) }, ASC)}</v>
      </c>
      <c r="E47" s="39"/>
      <c r="F47" s="39"/>
      <c r="G47" s="120"/>
      <c r="H47" s="39"/>
      <c r="I47" s="40"/>
      <c r="J47" s="88" t="s">
        <v>73</v>
      </c>
      <c r="AC47" s="8"/>
      <c r="AD47" s="8"/>
      <c r="AE47" s="8"/>
      <c r="AF47" s="8"/>
      <c r="AG47" s="8"/>
      <c r="AH47" s="1"/>
    </row>
    <row r="48" spans="1:34" s="3" customFormat="1" ht="15" hidden="1" customHeight="1" outlineLevel="1" x14ac:dyDescent="0.2">
      <c r="B48" s="36"/>
      <c r="C48" s="37"/>
      <c r="D48" s="38" t="str">
        <f ca="1">IF(tm1SearchString="",D46,D47)</f>
        <v>{TM1FILTERBYLEVEL({TM1DRILLDOWNMEMBER({[Costing ID].[]},ALL,RECURSIVE)},0)}</v>
      </c>
      <c r="E48" s="39"/>
      <c r="F48" s="39"/>
      <c r="G48" s="120"/>
      <c r="H48" s="39"/>
      <c r="I48" s="40"/>
      <c r="AC48" s="8"/>
      <c r="AD48" s="8"/>
      <c r="AE48" s="8"/>
      <c r="AF48" s="8"/>
      <c r="AG48" s="8"/>
      <c r="AH48" s="1"/>
    </row>
    <row r="49" spans="1:34" ht="4.5" hidden="1" customHeight="1" outlineLevel="1" thickBot="1" x14ac:dyDescent="0.3">
      <c r="B49" s="31"/>
      <c r="C49" s="32"/>
      <c r="D49" s="33"/>
      <c r="E49" s="34"/>
      <c r="F49" s="34"/>
      <c r="G49" s="121"/>
      <c r="H49" s="34"/>
      <c r="I49" s="35"/>
      <c r="AC49" s="8"/>
      <c r="AD49" s="8"/>
      <c r="AE49" s="8"/>
      <c r="AF49" s="8"/>
      <c r="AG49" s="8"/>
      <c r="AH49" s="1"/>
    </row>
    <row r="50" spans="1:34" s="1" customFormat="1" ht="15" hidden="1" customHeight="1" outlineLevel="1" thickTop="1" thickBot="1" x14ac:dyDescent="0.25">
      <c r="A50" s="4"/>
      <c r="B50" s="4"/>
      <c r="C50" s="4"/>
      <c r="D50" s="4"/>
      <c r="E50" s="4"/>
      <c r="F50" s="4"/>
      <c r="G50" s="89"/>
      <c r="H50" s="4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1:34" ht="15.75" hidden="1" outlineLevel="1" thickTop="1" x14ac:dyDescent="0.25">
      <c r="B51" s="22" t="s">
        <v>3</v>
      </c>
      <c r="C51" s="41"/>
      <c r="D51" s="41"/>
      <c r="E51" s="41"/>
      <c r="F51" s="41"/>
      <c r="G51" s="122"/>
      <c r="H51" s="41"/>
      <c r="I51" s="41"/>
      <c r="J51" s="41"/>
      <c r="K51" s="23"/>
      <c r="Z51" s="8"/>
      <c r="AA51" s="8"/>
      <c r="AB51" s="8"/>
      <c r="AC51" s="8"/>
      <c r="AD51" s="8"/>
      <c r="AE51" s="1"/>
    </row>
    <row r="52" spans="1:34" hidden="1" outlineLevel="1" x14ac:dyDescent="0.25">
      <c r="B52" s="46" t="s">
        <v>6</v>
      </c>
      <c r="C52" s="47" t="s">
        <v>46</v>
      </c>
      <c r="D52" s="47" t="s">
        <v>7</v>
      </c>
      <c r="E52" s="47" t="s">
        <v>8</v>
      </c>
      <c r="F52" s="47" t="s">
        <v>9</v>
      </c>
      <c r="G52" s="123" t="s">
        <v>10</v>
      </c>
      <c r="H52" s="47" t="s">
        <v>11</v>
      </c>
      <c r="I52" s="47" t="s">
        <v>12</v>
      </c>
      <c r="J52" s="47" t="s">
        <v>78</v>
      </c>
      <c r="K52" s="48" t="s">
        <v>77</v>
      </c>
      <c r="Z52" s="8"/>
      <c r="AA52" s="8"/>
      <c r="AB52" s="8"/>
      <c r="AC52" s="8"/>
      <c r="AD52" s="8"/>
      <c r="AE52" s="1"/>
    </row>
    <row r="53" spans="1:34" hidden="1" outlineLevel="1" x14ac:dyDescent="0.25">
      <c r="B53" s="49" t="s">
        <v>45</v>
      </c>
      <c r="C53" s="50" t="str">
        <f ca="1">_xll.DBRW($B$23,$B53,C$52)</f>
        <v>*KEY_ERR</v>
      </c>
      <c r="D53" s="50" t="str">
        <f ca="1">_xll.DBRW($B$23,$B53,D$52)</f>
        <v>*KEY_ERR</v>
      </c>
      <c r="E53" s="50" t="str">
        <f ca="1">_xll.DBRW($B$23,$B53,E$52)</f>
        <v>*KEY_ERR</v>
      </c>
      <c r="F53" s="50" t="str">
        <f ca="1">_xll.DBRW($B$23,$B53,F$52)</f>
        <v>*KEY_ERR</v>
      </c>
      <c r="G53" s="124" t="str">
        <f ca="1">_xll.DBRW($B$23,$B53,G$52)</f>
        <v>*KEY_ERR</v>
      </c>
      <c r="H53" s="50" t="str">
        <f ca="1">_xll.DBRW($B$23,$B53,H$52)</f>
        <v>*KEY_ERR</v>
      </c>
      <c r="I53" s="50" t="str">
        <f ca="1">_xll.DBRW($B$23,$B53,I$52)</f>
        <v>*KEY_ERR</v>
      </c>
      <c r="J53" s="50" t="str">
        <f ca="1">_xll.DBR($B$23,$B53,J$52)</f>
        <v>*KEY_ERR</v>
      </c>
      <c r="K53" s="50" t="str">
        <f ca="1">_xll.DBR($B$23,$B53,K$52)</f>
        <v>*KEY_ERR</v>
      </c>
      <c r="Z53" s="8"/>
      <c r="AA53" s="8"/>
      <c r="AB53" s="8"/>
      <c r="AC53" s="8"/>
      <c r="AD53" s="8"/>
      <c r="AE53" s="1"/>
    </row>
    <row r="54" spans="1:34" hidden="1" outlineLevel="1" x14ac:dyDescent="0.25">
      <c r="B54" s="49" t="s">
        <v>67</v>
      </c>
      <c r="C54" s="50" t="str">
        <f ca="1">_xll.DBRW($B$23,$B54,C$52)</f>
        <v>*KEY_ERR</v>
      </c>
      <c r="D54" s="50" t="str">
        <f ca="1">_xll.DBRW($B$23,$B54,D$52)</f>
        <v>*KEY_ERR</v>
      </c>
      <c r="E54" s="50" t="str">
        <f ca="1">_xll.DBRW($B$23,$B54,E$52)</f>
        <v>*KEY_ERR</v>
      </c>
      <c r="F54" s="50" t="str">
        <f ca="1">_xll.DBRW($B$23,$B54,F$52)</f>
        <v>*KEY_ERR</v>
      </c>
      <c r="G54" s="124" t="str">
        <f ca="1">_xll.DBRW($B$23,$B54,G$52)</f>
        <v>*KEY_ERR</v>
      </c>
      <c r="H54" s="50" t="str">
        <f ca="1">_xll.DBRW($B$23,$B54,H$52)</f>
        <v>*KEY_ERR</v>
      </c>
      <c r="I54" s="50" t="str">
        <f ca="1">_xll.DBRW($B$23,$B54,I$52)</f>
        <v>*KEY_ERR</v>
      </c>
      <c r="J54" s="50"/>
      <c r="K54" s="51"/>
      <c r="Z54" s="8"/>
      <c r="AA54" s="8"/>
      <c r="AB54" s="8"/>
      <c r="AC54" s="8"/>
      <c r="AD54" s="8"/>
      <c r="AE54" s="1"/>
    </row>
    <row r="55" spans="1:34" hidden="1" outlineLevel="1" x14ac:dyDescent="0.25">
      <c r="B55" s="49" t="s">
        <v>47</v>
      </c>
      <c r="C55" s="50" t="str">
        <f ca="1">_xll.DBRW($B$23,$B55,C$52)</f>
        <v>*KEY_ERR</v>
      </c>
      <c r="D55" s="50" t="str">
        <f ca="1">_xll.DBRW($B$23,$B55,D$52)</f>
        <v>*KEY_ERR</v>
      </c>
      <c r="E55" s="50" t="str">
        <f ca="1">_xll.DBRW($B$23,$B55,E$52)</f>
        <v>*KEY_ERR</v>
      </c>
      <c r="F55" s="50" t="str">
        <f ca="1">_xll.DBRW($B$23,$B55,F$52)</f>
        <v>*KEY_ERR</v>
      </c>
      <c r="G55" s="124" t="str">
        <f ca="1">_xll.DBRW($B$23,$B55,G$52)</f>
        <v>*KEY_ERR</v>
      </c>
      <c r="H55" s="50" t="str">
        <f ca="1">_xll.DBRW($B$23,$B55,H$52)</f>
        <v>*KEY_ERR</v>
      </c>
      <c r="I55" s="50" t="str">
        <f ca="1">_xll.DBRW($B$23,$B55,I$52)</f>
        <v>*KEY_ERR</v>
      </c>
      <c r="J55" s="50"/>
      <c r="K55" s="51"/>
      <c r="Z55" s="8"/>
      <c r="AA55" s="8"/>
      <c r="AB55" s="8"/>
      <c r="AC55" s="8"/>
      <c r="AD55" s="8"/>
    </row>
    <row r="56" spans="1:34" hidden="1" outlineLevel="1" x14ac:dyDescent="0.25">
      <c r="B56" s="49" t="s">
        <v>246</v>
      </c>
      <c r="C56" s="50" t="str">
        <f ca="1">_xll.DBRW($B$23,$B56,C$52)</f>
        <v>*KEY_ERR</v>
      </c>
      <c r="D56" s="50" t="str">
        <f ca="1">_xll.DBRW($B$23,$B56,D$52)</f>
        <v>*KEY_ERR</v>
      </c>
      <c r="E56" s="50" t="str">
        <f ca="1">_xll.DBRW($B$23,$B56,E$52)</f>
        <v>*KEY_ERR</v>
      </c>
      <c r="F56" s="50" t="str">
        <f ca="1">_xll.DBRW($B$23,$B56,F$52)</f>
        <v>*KEY_ERR</v>
      </c>
      <c r="G56" s="124" t="str">
        <f ca="1">_xll.DBRW($B$23,$B56,G$52)</f>
        <v>*KEY_ERR</v>
      </c>
      <c r="H56" s="50" t="str">
        <f ca="1">_xll.DBRW($B$23,$B56,H$52)</f>
        <v>*KEY_ERR</v>
      </c>
      <c r="I56" s="50" t="str">
        <f ca="1">_xll.DBRW($B$23,$B56,I$52)</f>
        <v>*KEY_ERR</v>
      </c>
      <c r="J56" s="50"/>
      <c r="K56" s="51"/>
      <c r="Z56" s="8"/>
      <c r="AA56" s="8"/>
      <c r="AB56" s="8"/>
      <c r="AC56" s="8"/>
      <c r="AD56" s="8"/>
    </row>
    <row r="57" spans="1:34" hidden="1" outlineLevel="1" x14ac:dyDescent="0.25">
      <c r="B57" s="49" t="s">
        <v>55</v>
      </c>
      <c r="C57" s="50" t="str">
        <f ca="1">_xll.DBRW($B$23,$B57,C$52)</f>
        <v>*KEY_ERR</v>
      </c>
      <c r="D57" s="50" t="str">
        <f ca="1">_xll.DBRW($B$23,$B57,D$52)</f>
        <v>*KEY_ERR</v>
      </c>
      <c r="E57" s="50" t="str">
        <f ca="1">_xll.DBRW($B$23,$B57,E$52)</f>
        <v>*KEY_ERR</v>
      </c>
      <c r="F57" s="50" t="str">
        <f ca="1">_xll.DBRW($B$23,$B57,F$52)</f>
        <v>*KEY_ERR</v>
      </c>
      <c r="G57" s="124" t="str">
        <f ca="1">_xll.DBRW($B$23,$B57,G$52)</f>
        <v>*KEY_ERR</v>
      </c>
      <c r="H57" s="50" t="str">
        <f ca="1">_xll.DBRW($B$23,$B57,H$52)</f>
        <v>*KEY_ERR</v>
      </c>
      <c r="I57" s="50" t="str">
        <f ca="1">_xll.DBRW($B$23,$B57,I$52)</f>
        <v>*KEY_ERR</v>
      </c>
      <c r="J57" s="50"/>
      <c r="K57" s="51"/>
      <c r="Z57" s="8"/>
      <c r="AA57" s="8"/>
      <c r="AB57" s="8"/>
      <c r="AC57" s="8"/>
      <c r="AD57" s="8"/>
    </row>
    <row r="58" spans="1:34" hidden="1" outlineLevel="1" x14ac:dyDescent="0.25">
      <c r="B58" s="49" t="s">
        <v>56</v>
      </c>
      <c r="C58" s="50" t="str">
        <f ca="1">_xll.DBRW($B$23,$B58,C$52)</f>
        <v>*KEY_ERR</v>
      </c>
      <c r="D58" s="50" t="str">
        <f ca="1">_xll.DBRW($B$23,$B58,D$52)</f>
        <v>*KEY_ERR</v>
      </c>
      <c r="E58" s="50" t="str">
        <f ca="1">_xll.DBRW($B$23,$B58,E$52)</f>
        <v>*KEY_ERR</v>
      </c>
      <c r="F58" s="50" t="str">
        <f ca="1">_xll.DBRW($B$23,$B58,F$52)</f>
        <v>*KEY_ERR</v>
      </c>
      <c r="G58" s="124" t="str">
        <f ca="1">_xll.DBRW($B$23,$B58,G$52)</f>
        <v>*KEY_ERR</v>
      </c>
      <c r="H58" s="50" t="str">
        <f ca="1">_xll.DBRW($B$23,$B58,H$52)</f>
        <v>*KEY_ERR</v>
      </c>
      <c r="I58" s="50" t="str">
        <f ca="1">_xll.DBRW($B$23,$B58,I$52)</f>
        <v>*KEY_ERR</v>
      </c>
      <c r="J58" s="50"/>
      <c r="K58" s="51"/>
      <c r="Z58" s="8"/>
      <c r="AA58" s="8"/>
      <c r="AB58" s="8"/>
      <c r="AC58" s="8"/>
      <c r="AD58" s="8"/>
    </row>
    <row r="59" spans="1:34" hidden="1" outlineLevel="1" x14ac:dyDescent="0.25">
      <c r="B59" s="49" t="s">
        <v>59</v>
      </c>
      <c r="C59" s="50" t="str">
        <f ca="1">_xll.DBRW($B$23,$B59,C$52)</f>
        <v>*KEY_ERR</v>
      </c>
      <c r="D59" s="50" t="str">
        <f ca="1">_xll.DBRW($B$23,$B59,D$52)</f>
        <v>*KEY_ERR</v>
      </c>
      <c r="E59" s="50" t="str">
        <f ca="1">_xll.DBRW($B$23,$B59,E$52)</f>
        <v>*KEY_ERR</v>
      </c>
      <c r="F59" s="50" t="str">
        <f ca="1">_xll.DBRW($B$23,$B59,F$52)</f>
        <v>*KEY_ERR</v>
      </c>
      <c r="G59" s="124" t="str">
        <f ca="1">_xll.DBRW($B$23,$B59,G$52)</f>
        <v>*KEY_ERR</v>
      </c>
      <c r="H59" s="50" t="str">
        <f ca="1">_xll.DBRW($B$23,$B59,H$52)</f>
        <v>*KEY_ERR</v>
      </c>
      <c r="I59" s="50" t="str">
        <f ca="1">_xll.DBRW($B$23,$B59,I$52)</f>
        <v>*KEY_ERR</v>
      </c>
      <c r="J59" s="50"/>
      <c r="K59" s="51"/>
      <c r="Z59" s="8"/>
      <c r="AA59" s="8"/>
      <c r="AB59" s="8"/>
      <c r="AC59" s="8"/>
      <c r="AD59" s="8"/>
    </row>
    <row r="60" spans="1:34" hidden="1" outlineLevel="1" x14ac:dyDescent="0.25">
      <c r="B60" s="49" t="s">
        <v>60</v>
      </c>
      <c r="C60" s="50" t="str">
        <f ca="1">_xll.DBRW($B$23,$B60,C$52)</f>
        <v>*KEY_ERR</v>
      </c>
      <c r="D60" s="50" t="str">
        <f ca="1">_xll.DBRW($B$23,$B60,D$52)</f>
        <v>*KEY_ERR</v>
      </c>
      <c r="E60" s="50" t="str">
        <f ca="1">_xll.DBRW($B$23,$B60,E$52)</f>
        <v>*KEY_ERR</v>
      </c>
      <c r="F60" s="50" t="str">
        <f ca="1">_xll.DBRW($B$23,$B60,F$52)</f>
        <v>*KEY_ERR</v>
      </c>
      <c r="G60" s="124" t="str">
        <f ca="1">_xll.DBRW($B$23,$B60,G$52)</f>
        <v>*KEY_ERR</v>
      </c>
      <c r="H60" s="50" t="str">
        <f ca="1">_xll.DBRW($B$23,$B60,H$52)</f>
        <v>*KEY_ERR</v>
      </c>
      <c r="I60" s="50" t="str">
        <f ca="1">_xll.DBRW($B$23,$B60,I$52)</f>
        <v>*KEY_ERR</v>
      </c>
      <c r="J60" s="50"/>
      <c r="K60" s="51"/>
      <c r="Z60" s="8"/>
      <c r="AA60" s="8"/>
      <c r="AB60" s="8"/>
      <c r="AC60" s="8"/>
      <c r="AD60" s="8"/>
    </row>
    <row r="61" spans="1:34" hidden="1" outlineLevel="1" x14ac:dyDescent="0.25">
      <c r="B61" s="49" t="s">
        <v>61</v>
      </c>
      <c r="C61" s="50" t="str">
        <f ca="1">_xll.DBRW($B$23,$B61,C$52)</f>
        <v>*KEY_ERR</v>
      </c>
      <c r="D61" s="50" t="str">
        <f ca="1">_xll.DBRW($B$23,$B61,D$52)</f>
        <v>*KEY_ERR</v>
      </c>
      <c r="E61" s="50" t="str">
        <f ca="1">_xll.DBRW($B$23,$B61,E$52)</f>
        <v>*KEY_ERR</v>
      </c>
      <c r="F61" s="50" t="str">
        <f ca="1">_xll.DBRW($B$23,$B61,F$52)</f>
        <v>*KEY_ERR</v>
      </c>
      <c r="G61" s="124" t="str">
        <f ca="1">_xll.DBRW($B$23,$B61,G$52)</f>
        <v>*KEY_ERR</v>
      </c>
      <c r="H61" s="50" t="str">
        <f ca="1">_xll.DBRW($B$23,$B61,H$52)</f>
        <v>*KEY_ERR</v>
      </c>
      <c r="I61" s="50" t="str">
        <f ca="1">_xll.DBRW($B$23,$B61,I$52)</f>
        <v>*KEY_ERR</v>
      </c>
      <c r="J61" s="50"/>
      <c r="K61" s="51"/>
      <c r="Z61" s="8"/>
      <c r="AA61" s="8"/>
      <c r="AB61" s="8"/>
      <c r="AC61" s="8"/>
      <c r="AD61" s="8"/>
    </row>
    <row r="62" spans="1:34" hidden="1" outlineLevel="1" x14ac:dyDescent="0.25">
      <c r="B62" s="49"/>
      <c r="C62" s="50" t="str">
        <f ca="1">_xll.DBRW($B$29,$B62,C$55)</f>
        <v/>
      </c>
      <c r="D62" s="50" t="str">
        <f ca="1">_xll.DBRW($B$29,$B62,D$55)</f>
        <v/>
      </c>
      <c r="E62" s="50" t="str">
        <f ca="1">_xll.DBRW($B$29,$B62,E$55)</f>
        <v/>
      </c>
      <c r="F62" s="50" t="str">
        <f ca="1">_xll.DBRW($B$29,$B62,F$55)</f>
        <v/>
      </c>
      <c r="G62" s="124" t="str">
        <f ca="1">_xll.DBRW($B$29,$B62,G$55)</f>
        <v/>
      </c>
      <c r="H62" s="50" t="str">
        <f ca="1">_xll.DBRW($B$29,$B62,H$55)</f>
        <v/>
      </c>
      <c r="I62" s="50" t="str">
        <f ca="1">_xll.DBRW($B$29,$B62,I$55)</f>
        <v/>
      </c>
      <c r="J62" s="50"/>
      <c r="K62" s="51"/>
      <c r="Z62" s="8"/>
      <c r="AA62" s="8"/>
      <c r="AB62" s="8"/>
      <c r="AC62" s="8"/>
      <c r="AD62" s="8"/>
    </row>
    <row r="63" spans="1:34" hidden="1" outlineLevel="1" x14ac:dyDescent="0.25">
      <c r="B63" s="49"/>
      <c r="C63" s="50" t="str">
        <f ca="1">_xll.DBRW($B$29,$B63,C$55)</f>
        <v/>
      </c>
      <c r="D63" s="50" t="str">
        <f ca="1">_xll.DBRW($B$29,$B63,D$55)</f>
        <v/>
      </c>
      <c r="E63" s="50" t="str">
        <f ca="1">_xll.DBRW($B$29,$B63,E$55)</f>
        <v/>
      </c>
      <c r="F63" s="50" t="str">
        <f ca="1">_xll.DBRW($B$29,$B63,F$55)</f>
        <v/>
      </c>
      <c r="G63" s="124" t="str">
        <f ca="1">_xll.DBRW($B$29,$B63,G$55)</f>
        <v/>
      </c>
      <c r="H63" s="50" t="str">
        <f ca="1">_xll.DBRW($B$29,$B63,H$55)</f>
        <v/>
      </c>
      <c r="I63" s="50" t="str">
        <f ca="1">_xll.DBRW($B$29,$B63,I$55)</f>
        <v/>
      </c>
      <c r="J63" s="50"/>
      <c r="K63" s="51"/>
      <c r="Z63" s="8"/>
      <c r="AA63" s="8"/>
      <c r="AB63" s="8"/>
      <c r="AC63" s="8"/>
      <c r="AD63" s="8"/>
    </row>
    <row r="64" spans="1:34" hidden="1" outlineLevel="1" x14ac:dyDescent="0.25">
      <c r="B64" s="49"/>
      <c r="C64" s="50"/>
      <c r="D64" s="50"/>
      <c r="E64" s="50"/>
      <c r="F64" s="50"/>
      <c r="G64" s="124"/>
      <c r="H64" s="50"/>
      <c r="I64" s="50"/>
      <c r="J64" s="50"/>
      <c r="K64" s="51"/>
      <c r="Z64" s="8"/>
      <c r="AA64" s="8"/>
      <c r="AB64" s="8"/>
      <c r="AC64" s="8"/>
      <c r="AD64" s="8"/>
    </row>
    <row r="65" spans="1:34" hidden="1" outlineLevel="1" x14ac:dyDescent="0.25">
      <c r="B65" s="49"/>
      <c r="C65" s="50"/>
      <c r="D65" s="50"/>
      <c r="E65" s="50"/>
      <c r="F65" s="50"/>
      <c r="G65" s="124"/>
      <c r="H65" s="50"/>
      <c r="I65" s="50"/>
      <c r="J65" s="50"/>
      <c r="K65" s="51"/>
      <c r="Z65" s="8"/>
      <c r="AA65" s="8"/>
      <c r="AB65" s="8"/>
      <c r="AC65" s="8"/>
      <c r="AD65" s="8"/>
    </row>
    <row r="66" spans="1:34" hidden="1" outlineLevel="1" x14ac:dyDescent="0.25">
      <c r="B66" s="49"/>
      <c r="C66" s="50"/>
      <c r="D66" s="50"/>
      <c r="E66" s="50"/>
      <c r="F66" s="50"/>
      <c r="G66" s="124"/>
      <c r="H66" s="50"/>
      <c r="I66" s="50"/>
      <c r="J66" s="50"/>
      <c r="K66" s="51"/>
      <c r="Z66" s="8"/>
      <c r="AA66" s="8"/>
      <c r="AB66" s="8"/>
      <c r="AC66" s="8"/>
      <c r="AD66" s="8"/>
    </row>
    <row r="67" spans="1:34" hidden="1" outlineLevel="1" x14ac:dyDescent="0.25">
      <c r="B67" s="49"/>
      <c r="C67" s="50"/>
      <c r="D67" s="50"/>
      <c r="E67" s="50"/>
      <c r="F67" s="50"/>
      <c r="G67" s="124"/>
      <c r="H67" s="50"/>
      <c r="I67" s="50"/>
      <c r="J67" s="50"/>
      <c r="K67" s="51"/>
      <c r="Z67" s="8"/>
      <c r="AA67" s="8"/>
      <c r="AB67" s="8"/>
      <c r="AC67" s="8"/>
      <c r="AD67" s="8"/>
    </row>
    <row r="68" spans="1:34" ht="4.5" hidden="1" customHeight="1" outlineLevel="1" thickBot="1" x14ac:dyDescent="0.3">
      <c r="B68" s="52"/>
      <c r="C68" s="32"/>
      <c r="D68" s="32"/>
      <c r="E68" s="32"/>
      <c r="F68" s="32"/>
      <c r="G68" s="125"/>
      <c r="H68" s="32"/>
      <c r="I68" s="32"/>
      <c r="J68" s="32"/>
      <c r="K68" s="53"/>
      <c r="Z68" s="8"/>
      <c r="AA68" s="8"/>
      <c r="AB68" s="8"/>
      <c r="AC68" s="8"/>
      <c r="AD68" s="8"/>
    </row>
    <row r="69" spans="1:34" s="1" customFormat="1" ht="15" hidden="1" customHeight="1" outlineLevel="1" thickTop="1" thickBot="1" x14ac:dyDescent="0.25">
      <c r="A69" s="4"/>
      <c r="B69" s="4"/>
      <c r="C69" s="4"/>
      <c r="D69" s="4"/>
      <c r="E69" s="4"/>
      <c r="F69" s="4"/>
      <c r="G69" s="89"/>
      <c r="H69" s="4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</row>
    <row r="70" spans="1:34" hidden="1" outlineLevel="1" x14ac:dyDescent="0.25">
      <c r="B70" s="62" t="s">
        <v>48</v>
      </c>
      <c r="C70" s="76"/>
      <c r="D70" s="77"/>
      <c r="E70" s="1"/>
      <c r="G70" s="117"/>
      <c r="H70"/>
      <c r="AC70" s="8"/>
      <c r="AD70" s="8"/>
      <c r="AE70" s="8"/>
      <c r="AF70" s="8"/>
      <c r="AG70" s="8"/>
    </row>
    <row r="71" spans="1:34" hidden="1" outlineLevel="1" x14ac:dyDescent="0.25">
      <c r="B71" s="78" t="s">
        <v>57</v>
      </c>
      <c r="C71" s="54">
        <f ca="1">INDIRECT("$F$"&amp;MID(CELL("address"),4,100))</f>
        <v>0</v>
      </c>
      <c r="D71" s="58"/>
      <c r="E71" s="1"/>
      <c r="G71" s="117"/>
      <c r="H71"/>
      <c r="AD71" s="8"/>
      <c r="AE71" s="8"/>
      <c r="AF71" s="8"/>
      <c r="AG71" s="8"/>
      <c r="AH71" s="8"/>
    </row>
    <row r="72" spans="1:34" hidden="1" outlineLevel="1" x14ac:dyDescent="0.25">
      <c r="B72" s="78" t="s">
        <v>254</v>
      </c>
      <c r="C72" s="54">
        <f ca="1">INDIRECT("$D$"&amp;MID(CELL("address"),4,100))</f>
        <v>0</v>
      </c>
      <c r="D72" s="58"/>
      <c r="E72" s="1"/>
      <c r="G72" s="117"/>
      <c r="H72"/>
      <c r="AD72" s="8"/>
      <c r="AE72" s="8"/>
      <c r="AF72" s="8"/>
      <c r="AG72" s="8"/>
      <c r="AH72" s="8"/>
    </row>
    <row r="73" spans="1:34" hidden="1" outlineLevel="1" x14ac:dyDescent="0.25">
      <c r="B73" s="78" t="s">
        <v>255</v>
      </c>
      <c r="C73" s="54">
        <f ca="1">INDIRECT("$B$"&amp;MID(CELL("address"),4,100))</f>
        <v>0</v>
      </c>
      <c r="D73" s="58"/>
      <c r="E73" s="1"/>
      <c r="G73" s="117"/>
      <c r="H73"/>
      <c r="AD73" s="8"/>
      <c r="AE73" s="8"/>
      <c r="AF73" s="8"/>
      <c r="AG73" s="8"/>
      <c r="AH73" s="8"/>
    </row>
    <row r="74" spans="1:34" hidden="1" outlineLevel="1" x14ac:dyDescent="0.25">
      <c r="B74" s="78" t="s">
        <v>66</v>
      </c>
      <c r="C74" s="54" t="s">
        <v>65</v>
      </c>
      <c r="D74" s="58"/>
      <c r="E74" s="1"/>
      <c r="G74" s="117"/>
      <c r="H74"/>
      <c r="AD74" s="8"/>
      <c r="AE74" s="8"/>
      <c r="AF74" s="8"/>
      <c r="AG74" s="8"/>
      <c r="AH74" s="8"/>
    </row>
    <row r="75" spans="1:34" hidden="1" outlineLevel="1" x14ac:dyDescent="0.25">
      <c r="B75" s="57" t="s">
        <v>250</v>
      </c>
      <c r="C75" s="54" t="str">
        <f ca="1">tm1BudgetRound&amp;" Sorted Submissions"</f>
        <v xml:space="preserve"> Sorted Submissions</v>
      </c>
      <c r="D75" s="58"/>
      <c r="E75" s="1"/>
      <c r="G75" s="117"/>
      <c r="H75"/>
      <c r="AD75" s="8"/>
      <c r="AE75" s="8"/>
      <c r="AF75" s="8"/>
      <c r="AG75" s="8"/>
      <c r="AH75" s="8"/>
    </row>
    <row r="76" spans="1:34" hidden="1" outlineLevel="1" x14ac:dyDescent="0.25">
      <c r="B76" s="57" t="s">
        <v>65</v>
      </c>
      <c r="C76" s="54" t="str">
        <f ca="1">_xll.DBR($B$21,$B$76,"sValue")</f>
        <v>*KEY_ERR</v>
      </c>
      <c r="D76" s="58"/>
      <c r="E76" s="1"/>
      <c r="G76" s="117"/>
      <c r="H76"/>
      <c r="AD76" s="8"/>
      <c r="AE76" s="8"/>
      <c r="AF76" s="8"/>
      <c r="AG76" s="8"/>
      <c r="AH76" s="8"/>
    </row>
    <row r="77" spans="1:34" ht="4.5" hidden="1" customHeight="1" outlineLevel="1" thickBot="1" x14ac:dyDescent="0.3">
      <c r="B77" s="79"/>
      <c r="C77" s="80"/>
      <c r="D77" s="81"/>
      <c r="E77" s="1"/>
      <c r="G77" s="117"/>
      <c r="H77"/>
    </row>
    <row r="78" spans="1:34" ht="15.75" hidden="1" outlineLevel="1" thickBot="1" x14ac:dyDescent="0.3">
      <c r="B78" s="1"/>
      <c r="C78" s="1"/>
      <c r="D78" s="1"/>
      <c r="E78" s="1"/>
      <c r="G78" s="117"/>
      <c r="H78"/>
    </row>
    <row r="79" spans="1:34" hidden="1" outlineLevel="1" x14ac:dyDescent="0.25">
      <c r="B79" s="19" t="s">
        <v>49</v>
      </c>
      <c r="C79" s="55" t="s">
        <v>50</v>
      </c>
      <c r="D79" s="55" t="s">
        <v>51</v>
      </c>
      <c r="E79" s="56" t="s">
        <v>52</v>
      </c>
      <c r="G79" s="117"/>
      <c r="H79"/>
    </row>
    <row r="80" spans="1:34" hidden="1" outlineLevel="1" x14ac:dyDescent="0.25">
      <c r="B80" s="57"/>
      <c r="C80" s="54"/>
      <c r="D80" s="54"/>
      <c r="E80" s="58" t="str">
        <f ca="1">_xll.DBRW($B$22,TM1UserName,B80,$C$74)</f>
        <v/>
      </c>
      <c r="G80" s="117"/>
      <c r="H80"/>
    </row>
    <row r="81" spans="2:8" hidden="1" outlineLevel="1" x14ac:dyDescent="0.25">
      <c r="B81" s="57"/>
      <c r="C81" s="54"/>
      <c r="D81" s="54"/>
      <c r="E81" s="58" t="str">
        <f ca="1">_xll.DBRW($B$22,TM1UserName,B81,$C$74)</f>
        <v/>
      </c>
      <c r="G81" s="117"/>
      <c r="H81"/>
    </row>
    <row r="82" spans="2:8" hidden="1" outlineLevel="1" x14ac:dyDescent="0.25">
      <c r="B82" s="57"/>
      <c r="C82" s="54"/>
      <c r="D82" s="54"/>
      <c r="E82" s="58" t="str">
        <f ca="1">_xll.DBRW($B$22,TM1UserName,B82,$C$74)</f>
        <v/>
      </c>
      <c r="G82" s="117"/>
      <c r="H82"/>
    </row>
    <row r="83" spans="2:8" hidden="1" outlineLevel="1" x14ac:dyDescent="0.25">
      <c r="B83" s="57"/>
      <c r="C83" s="54"/>
      <c r="D83" s="54"/>
      <c r="E83" s="58" t="str">
        <f ca="1">_xll.DBRW($B$22,TM1UserName,B83,$C$74)</f>
        <v/>
      </c>
      <c r="G83" s="117"/>
      <c r="H83"/>
    </row>
    <row r="84" spans="2:8" hidden="1" outlineLevel="1" x14ac:dyDescent="0.25">
      <c r="B84" s="57"/>
      <c r="C84" s="54"/>
      <c r="D84" s="54"/>
      <c r="E84" s="58" t="str">
        <f ca="1">_xll.DBRW($B$22,TM1UserName,B84,$C$74)</f>
        <v/>
      </c>
      <c r="G84" s="117"/>
      <c r="H84"/>
    </row>
    <row r="85" spans="2:8" hidden="1" outlineLevel="1" x14ac:dyDescent="0.25">
      <c r="B85" s="57"/>
      <c r="C85" s="54"/>
      <c r="D85" s="54"/>
      <c r="E85" s="58" t="str">
        <f ca="1">_xll.DBRW($B$22,TM1UserName,B85,$C$74)</f>
        <v/>
      </c>
      <c r="G85" s="117"/>
      <c r="H85"/>
    </row>
    <row r="86" spans="2:8" hidden="1" outlineLevel="1" x14ac:dyDescent="0.25">
      <c r="B86" s="65"/>
      <c r="C86" s="64"/>
      <c r="D86" s="64"/>
      <c r="E86" s="66"/>
      <c r="G86" s="117"/>
      <c r="H86"/>
    </row>
    <row r="87" spans="2:8" ht="4.5" hidden="1" customHeight="1" outlineLevel="1" thickBot="1" x14ac:dyDescent="0.3">
      <c r="B87" s="67"/>
      <c r="C87" s="68"/>
      <c r="D87" s="68"/>
      <c r="E87" s="69"/>
      <c r="G87" s="117"/>
      <c r="H87"/>
    </row>
    <row r="88" spans="2:8" ht="15.75" hidden="1" outlineLevel="1" thickBot="1" x14ac:dyDescent="0.3">
      <c r="B88" s="1"/>
      <c r="C88" s="1"/>
      <c r="D88" s="1"/>
      <c r="E88" s="1"/>
      <c r="G88" s="117"/>
      <c r="H88"/>
    </row>
    <row r="89" spans="2:8" hidden="1" outlineLevel="1" x14ac:dyDescent="0.25">
      <c r="B89" s="73" t="s">
        <v>53</v>
      </c>
      <c r="C89" s="74" t="s">
        <v>50</v>
      </c>
      <c r="D89" s="74" t="s">
        <v>51</v>
      </c>
      <c r="E89" s="75" t="s">
        <v>52</v>
      </c>
      <c r="G89" s="117"/>
      <c r="H89"/>
    </row>
    <row r="90" spans="2:8" hidden="1" outlineLevel="1" x14ac:dyDescent="0.25">
      <c r="B90" s="70"/>
      <c r="C90" s="71"/>
      <c r="D90" s="71"/>
      <c r="E90" s="72"/>
      <c r="G90" s="117"/>
      <c r="H90"/>
    </row>
    <row r="91" spans="2:8" hidden="1" outlineLevel="1" x14ac:dyDescent="0.25">
      <c r="B91" s="57"/>
      <c r="C91" s="54"/>
      <c r="D91" s="54"/>
      <c r="E91" s="58"/>
      <c r="G91" s="117"/>
      <c r="H91"/>
    </row>
    <row r="92" spans="2:8" hidden="1" outlineLevel="1" x14ac:dyDescent="0.25">
      <c r="B92" s="57"/>
      <c r="C92" s="54"/>
      <c r="D92" s="54"/>
      <c r="E92" s="58"/>
      <c r="G92" s="117"/>
      <c r="H92"/>
    </row>
    <row r="93" spans="2:8" ht="4.5" hidden="1" customHeight="1" outlineLevel="1" thickBot="1" x14ac:dyDescent="0.3">
      <c r="B93" s="59"/>
      <c r="C93" s="60"/>
      <c r="D93" s="60"/>
      <c r="E93" s="61"/>
      <c r="G93" s="117"/>
      <c r="H93"/>
    </row>
    <row r="94" spans="2:8" ht="15.75" hidden="1" outlineLevel="1" thickBot="1" x14ac:dyDescent="0.3">
      <c r="B94" s="1"/>
      <c r="C94" s="1"/>
      <c r="D94" s="1"/>
      <c r="E94" s="1"/>
      <c r="G94" s="117"/>
      <c r="H94"/>
    </row>
    <row r="95" spans="2:8" hidden="1" outlineLevel="1" x14ac:dyDescent="0.25">
      <c r="B95" s="62" t="s">
        <v>54</v>
      </c>
      <c r="C95" s="63"/>
      <c r="D95" s="1"/>
      <c r="E95" s="1"/>
      <c r="G95" s="117"/>
      <c r="H95"/>
    </row>
    <row r="96" spans="2:8" hidden="1" outlineLevel="1" x14ac:dyDescent="0.25">
      <c r="B96" s="57" t="s">
        <v>4</v>
      </c>
      <c r="C96" s="58" t="s">
        <v>5</v>
      </c>
      <c r="D96" s="1"/>
      <c r="E96" s="1"/>
      <c r="G96" s="117"/>
      <c r="H96"/>
    </row>
    <row r="97" spans="1:35" hidden="1" outlineLevel="1" x14ac:dyDescent="0.25">
      <c r="B97" s="57" t="s">
        <v>0</v>
      </c>
      <c r="C97" s="58" t="s">
        <v>13</v>
      </c>
      <c r="D97" s="1"/>
      <c r="E97" s="1"/>
      <c r="G97" s="117"/>
      <c r="H97"/>
    </row>
    <row r="98" spans="1:35" hidden="1" outlineLevel="1" x14ac:dyDescent="0.25">
      <c r="B98" s="57" t="s">
        <v>71</v>
      </c>
      <c r="C98" s="58" t="s">
        <v>70</v>
      </c>
      <c r="D98" s="1"/>
      <c r="E98" s="1"/>
      <c r="G98" s="117"/>
      <c r="H98"/>
    </row>
    <row r="99" spans="1:35" hidden="1" outlineLevel="1" x14ac:dyDescent="0.25">
      <c r="B99" s="65" t="s">
        <v>84</v>
      </c>
      <c r="C99" s="66" t="s">
        <v>249</v>
      </c>
      <c r="D99" s="1"/>
      <c r="E99" s="1"/>
      <c r="G99" s="117"/>
      <c r="H99"/>
    </row>
    <row r="100" spans="1:35" ht="4.5" hidden="1" customHeight="1" outlineLevel="1" thickBot="1" x14ac:dyDescent="0.3">
      <c r="B100" s="67"/>
      <c r="C100" s="69"/>
      <c r="D100" s="1"/>
      <c r="E100" s="1"/>
      <c r="G100" s="117"/>
      <c r="H100"/>
    </row>
    <row r="101" spans="1:35" s="1" customFormat="1" ht="15" hidden="1" customHeight="1" outlineLevel="1" x14ac:dyDescent="0.25">
      <c r="A101" s="4"/>
      <c r="B101" s="4"/>
      <c r="C101" s="4"/>
      <c r="D101" s="4"/>
      <c r="E101" s="4"/>
      <c r="F101" s="4"/>
      <c r="G101" s="89"/>
      <c r="H101" s="4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/>
      <c r="AE101"/>
      <c r="AF101"/>
      <c r="AG101"/>
      <c r="AH101"/>
    </row>
    <row r="102" spans="1:35" hidden="1" outlineLevel="1" x14ac:dyDescent="0.25">
      <c r="G102" s="117"/>
      <c r="H102"/>
    </row>
    <row r="103" spans="1:35" ht="9" customHeight="1" collapsed="1" x14ac:dyDescent="0.25">
      <c r="A103" s="1"/>
      <c r="B103" s="1"/>
      <c r="C103" s="1"/>
      <c r="D103" s="1"/>
      <c r="E103" s="1"/>
      <c r="F103" s="1"/>
      <c r="G103" s="89"/>
      <c r="H103" s="1"/>
      <c r="I103" s="1"/>
      <c r="J103" s="1"/>
      <c r="K103" s="1"/>
      <c r="L103" s="1"/>
      <c r="N103" s="90"/>
      <c r="O103" s="91"/>
      <c r="P103" s="91"/>
      <c r="Q103" s="91"/>
      <c r="R103" s="92"/>
      <c r="S103" s="92"/>
      <c r="T103" s="92"/>
      <c r="U103" s="91"/>
      <c r="V103" s="116"/>
      <c r="W103" s="116"/>
      <c r="X103" s="116"/>
      <c r="Y103" s="116"/>
      <c r="Z103" s="116"/>
      <c r="AA103" s="91"/>
      <c r="AB103" s="91"/>
      <c r="AC103" s="91"/>
      <c r="AF103" s="91"/>
      <c r="AG103" s="91"/>
      <c r="AH103" s="91"/>
    </row>
    <row r="104" spans="1:35" ht="18.75" customHeight="1" x14ac:dyDescent="0.25">
      <c r="A104" s="1"/>
      <c r="B104" s="1"/>
      <c r="C104" s="1"/>
      <c r="D104" s="1"/>
      <c r="E104" s="1"/>
      <c r="F104" s="1"/>
      <c r="G104" s="1"/>
      <c r="H104" s="89"/>
      <c r="I104" s="1"/>
      <c r="J104" s="1"/>
      <c r="K104" s="1"/>
      <c r="L104" s="1"/>
      <c r="M104" s="1"/>
      <c r="O104" s="90"/>
      <c r="P104" s="91"/>
      <c r="Q104" s="91"/>
      <c r="R104" s="91"/>
      <c r="S104" s="92"/>
      <c r="T104" s="92"/>
      <c r="U104" s="92"/>
      <c r="V104" s="115"/>
      <c r="W104" s="116"/>
      <c r="X104" s="116"/>
      <c r="Y104" s="116"/>
      <c r="Z104" s="116"/>
      <c r="AA104" s="116"/>
      <c r="AB104" s="91"/>
      <c r="AC104" s="91"/>
      <c r="AD104" s="91"/>
      <c r="AE104" s="91"/>
      <c r="AF104" s="91"/>
      <c r="AG104" s="91"/>
      <c r="AH104" s="91"/>
      <c r="AI104" s="91"/>
    </row>
    <row r="105" spans="1:35" ht="33" customHeight="1" x14ac:dyDescent="0.25">
      <c r="A105" s="1"/>
      <c r="B105" s="1"/>
      <c r="C105" s="1"/>
      <c r="D105" s="1"/>
      <c r="E105" s="1"/>
      <c r="F105" s="1"/>
      <c r="G105" s="1"/>
      <c r="H105" s="89"/>
      <c r="I105" s="1"/>
      <c r="J105" s="1"/>
      <c r="K105" s="1"/>
      <c r="L105" s="1"/>
      <c r="M105" s="1"/>
      <c r="O105" s="90"/>
      <c r="P105" s="91"/>
      <c r="Q105" s="91"/>
      <c r="R105" s="91"/>
      <c r="S105" s="92"/>
      <c r="T105" s="92"/>
      <c r="U105" s="92"/>
      <c r="V105" s="115"/>
      <c r="W105" s="116"/>
      <c r="X105" s="116"/>
      <c r="Y105" s="116"/>
      <c r="Z105" s="116"/>
      <c r="AA105" s="116"/>
      <c r="AB105" s="91"/>
      <c r="AC105" s="91"/>
      <c r="AD105" s="91"/>
      <c r="AE105" s="91"/>
      <c r="AF105" s="91"/>
      <c r="AG105" s="91"/>
      <c r="AH105" s="91"/>
      <c r="AI105" s="91"/>
    </row>
    <row r="106" spans="1:35" ht="9" customHeight="1" x14ac:dyDescent="0.25">
      <c r="A106" s="1"/>
      <c r="B106" s="1"/>
      <c r="C106" s="1"/>
      <c r="D106" s="1"/>
      <c r="E106" s="1"/>
      <c r="F106" s="1"/>
      <c r="G106" s="1"/>
      <c r="H106" s="89"/>
      <c r="I106" s="1"/>
      <c r="J106" s="1"/>
      <c r="K106" s="1"/>
      <c r="L106" s="1"/>
      <c r="M106" s="1"/>
      <c r="O106" s="90"/>
      <c r="P106" s="91"/>
      <c r="Q106" s="91"/>
      <c r="R106" s="91"/>
      <c r="S106" s="92"/>
      <c r="T106" s="92"/>
      <c r="U106" s="92"/>
      <c r="V106" s="92"/>
      <c r="W106" s="116"/>
      <c r="X106" s="116"/>
      <c r="Y106" s="116"/>
      <c r="Z106" s="116"/>
      <c r="AA106" s="116"/>
      <c r="AB106" s="91"/>
      <c r="AC106" s="91"/>
      <c r="AD106" s="91"/>
      <c r="AE106" s="91"/>
      <c r="AF106" s="91"/>
      <c r="AG106" s="91"/>
      <c r="AH106" s="91"/>
      <c r="AI106" s="91"/>
    </row>
    <row r="107" spans="1:35" s="1" customFormat="1" ht="57" customHeight="1" x14ac:dyDescent="0.2">
      <c r="H107" s="89"/>
      <c r="AE107" s="174" t="str">
        <f ca="1">HYPERLINK(tm1DocHubLink,tm1DocHubLinkCAP)</f>
        <v>*KEY_ERR</v>
      </c>
      <c r="AF107" s="2"/>
    </row>
    <row r="108" spans="1:35" ht="4.5" customHeight="1" x14ac:dyDescent="0.25">
      <c r="A108" s="1"/>
      <c r="B108" s="1"/>
      <c r="C108" s="1"/>
      <c r="D108" s="1"/>
      <c r="E108" s="1"/>
      <c r="F108" s="1"/>
      <c r="G108" s="1"/>
      <c r="H108" s="89"/>
      <c r="I108" s="1"/>
      <c r="J108" s="1"/>
      <c r="K108" s="1"/>
      <c r="L108" s="1"/>
      <c r="M108" s="1"/>
      <c r="P108" s="93"/>
      <c r="Q108" s="93"/>
      <c r="R108" s="93"/>
      <c r="S108" s="93"/>
      <c r="T108" s="93"/>
      <c r="U108" s="93"/>
      <c r="V108" s="1"/>
      <c r="X108" s="93"/>
      <c r="Y108" s="93"/>
      <c r="Z108" s="93"/>
      <c r="AA108" s="93"/>
      <c r="AB108" s="93"/>
    </row>
    <row r="109" spans="1:35" s="2" customFormat="1" ht="24.95" customHeight="1" x14ac:dyDescent="0.2">
      <c r="I109" s="3"/>
      <c r="J109" s="7"/>
      <c r="K109" s="128"/>
      <c r="L109" s="95"/>
      <c r="M109" s="95"/>
      <c r="N109" s="95"/>
      <c r="O109" s="95"/>
      <c r="P109" s="108" t="s">
        <v>14</v>
      </c>
      <c r="Q109" s="109"/>
      <c r="R109" s="108"/>
      <c r="S109" s="108"/>
      <c r="T109" s="108"/>
      <c r="U109" s="108"/>
      <c r="V109" s="108"/>
      <c r="W109" s="96"/>
      <c r="X109" s="108" t="s">
        <v>82</v>
      </c>
      <c r="Y109" s="108"/>
      <c r="Z109" s="108"/>
      <c r="AA109" s="108"/>
      <c r="AB109" s="95"/>
    </row>
    <row r="110" spans="1:35" ht="3" customHeight="1" x14ac:dyDescent="0.25">
      <c r="A110" s="1"/>
      <c r="B110" s="1"/>
      <c r="C110" s="1"/>
      <c r="K110" s="117"/>
      <c r="L110" s="1"/>
      <c r="M110" s="1"/>
      <c r="P110" s="94"/>
      <c r="Q110" s="94"/>
      <c r="R110" s="94"/>
      <c r="S110" s="98"/>
      <c r="T110" s="98"/>
      <c r="U110" s="98"/>
      <c r="V110" s="98"/>
      <c r="W110" s="98"/>
      <c r="X110" s="93"/>
      <c r="Z110" s="93"/>
      <c r="AB110" s="95"/>
    </row>
    <row r="111" spans="1:35" ht="7.5" hidden="1" customHeight="1" x14ac:dyDescent="0.25">
      <c r="A111" s="1"/>
      <c r="B111" s="1"/>
      <c r="C111" s="1"/>
      <c r="I111" s="1"/>
      <c r="J111" s="1"/>
      <c r="K111" s="89"/>
      <c r="L111" s="1"/>
      <c r="M111" s="1"/>
      <c r="N111" s="1"/>
      <c r="O111" s="1"/>
      <c r="P111" s="98"/>
      <c r="Q111" s="98"/>
      <c r="R111" s="98"/>
      <c r="S111" s="98"/>
      <c r="T111" s="98"/>
      <c r="U111" s="98"/>
      <c r="V111" s="98"/>
      <c r="W111" s="98"/>
      <c r="AB111" s="95"/>
    </row>
    <row r="112" spans="1:35" s="2" customFormat="1" ht="24.95" customHeight="1" x14ac:dyDescent="0.2">
      <c r="I112" s="82"/>
      <c r="J112" s="82"/>
      <c r="K112" s="82"/>
      <c r="N112" s="95"/>
      <c r="O112" s="95"/>
      <c r="P112" s="110"/>
      <c r="Q112" s="171" t="s">
        <v>16</v>
      </c>
      <c r="R112" s="97" t="str">
        <f ca="1">_xll.SUBNM(TM1db&amp;":Budget Round","Pick_N Levels",$C$76)</f>
        <v/>
      </c>
      <c r="S112" s="96"/>
      <c r="T112" s="171" t="s">
        <v>259</v>
      </c>
      <c r="U112" s="178" t="str">
        <f ca="1">_xll.SUBNM(TM1db&amp;":Primary Contact","Default",1)</f>
        <v/>
      </c>
      <c r="V112" s="179"/>
      <c r="W112" s="96"/>
      <c r="X112" s="173"/>
      <c r="Y112" s="171" t="s">
        <v>80</v>
      </c>
      <c r="Z112" s="178" t="str">
        <f ca="1">_xll.SUBNM(TM1db&amp;":Costing Details Measure","Pick_Search String","Search Field")</f>
        <v/>
      </c>
      <c r="AA112" s="179"/>
      <c r="AB112" s="95"/>
      <c r="AC112" s="95"/>
      <c r="AD112" s="95"/>
    </row>
    <row r="113" spans="1:35" s="1" customFormat="1" ht="3" customHeight="1" x14ac:dyDescent="0.25">
      <c r="A113" s="5"/>
      <c r="B113" s="5"/>
      <c r="C113" s="5"/>
      <c r="D113" s="5"/>
      <c r="F113" s="5"/>
      <c r="G113" s="5"/>
      <c r="H113" s="126"/>
      <c r="I113" s="5"/>
      <c r="P113" s="98"/>
      <c r="Q113" s="172"/>
      <c r="R113" s="98"/>
      <c r="S113" s="98"/>
      <c r="T113" s="172"/>
      <c r="U113" s="98"/>
      <c r="V113" s="98"/>
      <c r="W113" s="98"/>
      <c r="X113"/>
      <c r="Y113"/>
      <c r="Z113"/>
      <c r="AA113"/>
      <c r="AB113" s="95"/>
      <c r="AC113"/>
      <c r="AD113"/>
      <c r="AE113"/>
    </row>
    <row r="114" spans="1:35" s="95" customFormat="1" ht="24.95" customHeight="1" x14ac:dyDescent="0.25">
      <c r="H114" s="127"/>
      <c r="J114" s="2"/>
      <c r="K114" s="2"/>
      <c r="L114" s="2"/>
      <c r="M114" s="2"/>
      <c r="P114" s="110"/>
      <c r="Q114" s="171" t="s">
        <v>19</v>
      </c>
      <c r="R114" s="97" t="str">
        <f ca="1">_xll.SUBNM(TM1db&amp;":Costing ID","}Pick_"&amp;tm1BudgetRound,1,"Code and Description")</f>
        <v/>
      </c>
      <c r="S114" s="96"/>
      <c r="T114" s="171" t="s">
        <v>79</v>
      </c>
      <c r="U114" s="178" t="str">
        <f ca="1">_xll.SUBNM(TM1db&amp;":Entity","Default","All Entities","Description")</f>
        <v/>
      </c>
      <c r="V114" s="179"/>
      <c r="W114" s="96"/>
      <c r="X114" s="173"/>
      <c r="Y114" s="171" t="s">
        <v>81</v>
      </c>
      <c r="Z114" s="178"/>
      <c r="AA114" s="179"/>
    </row>
    <row r="115" spans="1:35" s="1" customFormat="1" ht="3" customHeight="1" x14ac:dyDescent="0.25">
      <c r="A115" s="5"/>
      <c r="B115" s="5"/>
      <c r="C115" s="5"/>
      <c r="D115" s="5"/>
      <c r="E115" s="5"/>
      <c r="F115" s="5"/>
      <c r="G115" s="5"/>
      <c r="H115" s="126"/>
      <c r="I115" s="5"/>
      <c r="P115" s="98"/>
      <c r="Q115" s="172"/>
      <c r="R115" s="98"/>
      <c r="S115" s="98"/>
      <c r="T115" s="172"/>
      <c r="U115" s="98"/>
      <c r="V115" s="98"/>
      <c r="W115" s="98"/>
      <c r="X115"/>
    </row>
    <row r="116" spans="1:35" s="95" customFormat="1" ht="24.95" customHeight="1" x14ac:dyDescent="0.2">
      <c r="L116" s="128"/>
      <c r="M116" s="128"/>
      <c r="P116" s="110"/>
      <c r="Q116" s="171" t="s">
        <v>15</v>
      </c>
      <c r="R116" s="97" t="str">
        <f ca="1">_xll.SUBNM(TM1db&amp;":Costing Status","Default","All Costing Status")</f>
        <v/>
      </c>
      <c r="S116" s="96"/>
      <c r="T116" s="171" t="s">
        <v>18</v>
      </c>
      <c r="U116" s="178" t="str">
        <f ca="1">_xll.SUBNM(TM1db&amp;":Ministerial Function","","All Ministerial Functions")</f>
        <v/>
      </c>
      <c r="V116" s="179"/>
      <c r="W116" s="96"/>
    </row>
    <row r="117" spans="1:35" x14ac:dyDescent="0.25">
      <c r="L117" s="117"/>
      <c r="M117" s="117"/>
      <c r="N117" s="1"/>
      <c r="O117" s="1"/>
      <c r="AA117" s="1"/>
      <c r="AB117" s="1"/>
    </row>
    <row r="118" spans="1:35" ht="4.5" customHeight="1" x14ac:dyDescent="0.25">
      <c r="L118" s="89"/>
      <c r="M118" s="8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99"/>
      <c r="AI118" s="99"/>
    </row>
    <row r="119" spans="1:35" s="6" customFormat="1" ht="33" customHeight="1" x14ac:dyDescent="0.2">
      <c r="L119" s="82"/>
      <c r="M119" s="82"/>
      <c r="P119" s="182" t="s">
        <v>22</v>
      </c>
      <c r="Q119" s="177"/>
      <c r="R119" s="114" t="s">
        <v>21</v>
      </c>
      <c r="S119" s="112" t="s">
        <v>19</v>
      </c>
      <c r="T119" s="112" t="s">
        <v>20</v>
      </c>
      <c r="U119" s="112" t="s">
        <v>25</v>
      </c>
      <c r="V119" s="111" t="s">
        <v>79</v>
      </c>
      <c r="W119" s="111" t="s">
        <v>29</v>
      </c>
      <c r="X119" s="111" t="s">
        <v>26</v>
      </c>
      <c r="Y119" s="111" t="s">
        <v>83</v>
      </c>
      <c r="Z119" s="129" t="s">
        <v>244</v>
      </c>
      <c r="AA119" s="129" t="s">
        <v>245</v>
      </c>
      <c r="AB119" s="177" t="s">
        <v>23</v>
      </c>
      <c r="AC119" s="177"/>
      <c r="AD119" s="111" t="s">
        <v>24</v>
      </c>
      <c r="AE119" s="111" t="s">
        <v>257</v>
      </c>
      <c r="AF119" s="111" t="s">
        <v>27</v>
      </c>
      <c r="AG119" s="111" t="s">
        <v>259</v>
      </c>
      <c r="AH119" s="111" t="s">
        <v>18</v>
      </c>
      <c r="AI119" s="113" t="s">
        <v>62</v>
      </c>
    </row>
    <row r="120" spans="1:35" ht="4.5" hidden="1" customHeight="1" outlineLevel="1" x14ac:dyDescent="0.25">
      <c r="A120" s="1"/>
      <c r="B120" s="1"/>
      <c r="C120" s="1"/>
      <c r="D120" s="1"/>
      <c r="E120" s="1"/>
      <c r="F120" s="1"/>
      <c r="G120" s="1"/>
      <c r="H120" s="89"/>
      <c r="I120" s="1"/>
      <c r="J120" s="1"/>
      <c r="K120" s="1"/>
      <c r="L120" s="1"/>
      <c r="M120" s="1"/>
      <c r="P120" s="100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101"/>
    </row>
    <row r="121" spans="1:35" s="3" customFormat="1" ht="15" hidden="1" customHeight="1" outlineLevel="1" x14ac:dyDescent="0.25">
      <c r="B121" s="130" t="s">
        <v>22</v>
      </c>
      <c r="C121" s="130" t="s">
        <v>256</v>
      </c>
      <c r="D121" s="130" t="s">
        <v>21</v>
      </c>
      <c r="E121" s="130" t="s">
        <v>28</v>
      </c>
      <c r="F121" s="130" t="s">
        <v>19</v>
      </c>
      <c r="G121" s="130" t="s">
        <v>79</v>
      </c>
      <c r="H121" s="130" t="s">
        <v>15</v>
      </c>
      <c r="I121" s="130" t="s">
        <v>17</v>
      </c>
      <c r="J121" s="130" t="s">
        <v>26</v>
      </c>
      <c r="K121" s="130" t="s">
        <v>27</v>
      </c>
      <c r="L121" s="130" t="s">
        <v>84</v>
      </c>
      <c r="M121" s="130" t="s">
        <v>20</v>
      </c>
      <c r="P121" s="3" t="s">
        <v>22</v>
      </c>
      <c r="R121" s="3" t="s">
        <v>21</v>
      </c>
      <c r="U121" s="3" t="s">
        <v>28</v>
      </c>
      <c r="V121" s="3" t="s">
        <v>79</v>
      </c>
      <c r="W121" s="3" t="s">
        <v>72</v>
      </c>
      <c r="Z121" s="128" t="s">
        <v>85</v>
      </c>
      <c r="AA121" s="3" t="s">
        <v>86</v>
      </c>
      <c r="AB121" s="3" t="s">
        <v>64</v>
      </c>
      <c r="AD121" s="3" t="s">
        <v>24</v>
      </c>
      <c r="AF121" s="3" t="s">
        <v>27</v>
      </c>
      <c r="AH121" s="3" t="s">
        <v>18</v>
      </c>
      <c r="AI121" s="102" t="s">
        <v>63</v>
      </c>
    </row>
    <row r="122" spans="1:35" ht="8.4499999999999993" hidden="1" customHeight="1" outlineLevel="1" x14ac:dyDescent="0.25">
      <c r="B122" s="82"/>
      <c r="C122" s="82"/>
      <c r="H122"/>
      <c r="L122" s="117"/>
      <c r="P122" s="103"/>
      <c r="AI122" s="104"/>
    </row>
    <row r="123" spans="1:35" ht="6.75" hidden="1" customHeight="1" outlineLevel="1" x14ac:dyDescent="0.25">
      <c r="A123" s="1"/>
      <c r="C123" s="82"/>
      <c r="G123" s="1"/>
      <c r="H123" s="1"/>
      <c r="I123" s="1"/>
      <c r="J123" s="1"/>
      <c r="K123" s="1"/>
      <c r="L123" s="89"/>
      <c r="N123" s="1"/>
      <c r="O123" s="1"/>
      <c r="P123" s="105"/>
      <c r="Q123" s="84"/>
      <c r="R123" s="85"/>
      <c r="S123" s="85"/>
      <c r="T123" s="85"/>
      <c r="U123" s="85"/>
      <c r="V123" s="85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106"/>
    </row>
    <row r="124" spans="1:35" ht="20.100000000000001" customHeight="1" collapsed="1" x14ac:dyDescent="0.3">
      <c r="A124" s="131" t="str">
        <f ca="1">IF(OFFSET(C124,1,0)&lt;&gt;C124,"LastRow","")&amp;MOD(ROW(),2)</f>
        <v>LastRow0</v>
      </c>
      <c r="B124" s="82" t="str">
        <f ca="1">_xll.DBR($B$17,tm1Version,$F124,B$121)</f>
        <v>*KEY_ERR</v>
      </c>
      <c r="C124" s="82" t="str">
        <f ca="1">_xll.DBRW($B$18,B124,"Submission Title")</f>
        <v>*KEY_ERR</v>
      </c>
      <c r="D124" s="82" t="str">
        <f ca="1">_xll.DBR($B$17,tm1Version,$F124,D$121)</f>
        <v>*KEY_ERR</v>
      </c>
      <c r="E124" s="82" t="str">
        <f ca="1">_xll.DBR($B$17,tm1Version,$F124,E$121)</f>
        <v>*KEY_ERR</v>
      </c>
      <c r="F124" s="148" t="str">
        <f ca="1">_xll.TM1RPTROW($B$16,TM1db&amp;":Costing ID","","","ID",0,$D$48)</f>
        <v/>
      </c>
      <c r="G124" s="82" t="str">
        <f ca="1">_xll.DBRW($B$26,_xll.DBR($B$17,tm1Version,$F124,G$121),"Description")</f>
        <v>*KEY_ERR</v>
      </c>
      <c r="H124" s="82" t="str">
        <f ca="1">_xll.DBRW($B$17,tm1Version,$F124,H$121)</f>
        <v/>
      </c>
      <c r="I124" s="82" t="str">
        <f ca="1">_xll.DBRW($B$17,tm1Version,$F124,I$121)</f>
        <v/>
      </c>
      <c r="J124" s="82" t="str">
        <f ca="1">_xll.DBR($B$17,tm1Version,$F124,J$121)</f>
        <v>*KEY_ERR</v>
      </c>
      <c r="K124" s="82" t="str">
        <f ca="1">_xll.DBR($B$17,tm1Version,$F124,K$121)</f>
        <v>*KEY_ERR</v>
      </c>
      <c r="L124" s="82" t="str">
        <f ca="1">_xll.DBRW($B$20,tm1Version,$F124,"Reporting Option",L$121)</f>
        <v/>
      </c>
      <c r="M124" s="82" t="str">
        <f ca="1">_xll.DBRW($B$25,F124,"Description")</f>
        <v/>
      </c>
      <c r="N124" s="82" t="str">
        <f ca="1">_xll.DBRW($B$16,tm1BudgetRound,tm1CostingStatus,tm1OptionStatus,tm1PrimaryContact,tm1Entity,tm1Function,$F124,tm1CostingOption,$C$96)</f>
        <v/>
      </c>
      <c r="O124" s="83"/>
      <c r="P124" s="157" t="str">
        <f ca="1">IF(C124=C123,"",C124)</f>
        <v>*KEY_ERR</v>
      </c>
      <c r="Q124" s="158"/>
      <c r="R124" s="139" t="str">
        <f ca="1">IF(D124=D123,"",D124)</f>
        <v>*KEY_ERR</v>
      </c>
      <c r="S124" s="139" t="str">
        <f ca="1">F124</f>
        <v/>
      </c>
      <c r="T124" s="139" t="str">
        <f ca="1">M124</f>
        <v/>
      </c>
      <c r="U124" s="139" t="str">
        <f ca="1">_xll.DBRW($B$19,_xll.DBR($B$17,tm1Version,$F124,U$121),"Costing Package Title")</f>
        <v>*KEY_ERR</v>
      </c>
      <c r="V124" s="139" t="str">
        <f ca="1">G124</f>
        <v>*KEY_ERR</v>
      </c>
      <c r="W124" s="169" t="str">
        <f ca="1">_xll.DBRW($B$20,tm1Version,$F124,tm1CostingOption,$W$121)</f>
        <v/>
      </c>
      <c r="X124" s="139" t="str">
        <f ca="1">J124</f>
        <v>*KEY_ERR</v>
      </c>
      <c r="Y124" s="140" t="str">
        <f ca="1">L124</f>
        <v/>
      </c>
      <c r="Z124" s="140" t="str">
        <f ca="1">_xll.DBRW($B$20,tm1Version,$F124,"Reporting Option",Z$121)</f>
        <v/>
      </c>
      <c r="AA124" s="141" t="str">
        <f ca="1">_xll.DBRW($B$20,tm1Version,$F124,"Reporting Option",AA$121)</f>
        <v/>
      </c>
      <c r="AB124" s="175" t="str">
        <f ca="1">PROPER(_xll.DBRW($B$17,tm1Version,$F124,AB$121))</f>
        <v/>
      </c>
      <c r="AC124" s="175"/>
      <c r="AD124" s="142" t="str">
        <f ca="1">PROPER(_xll.DBRW($B$17,tm1Version,$F124,AD$121))</f>
        <v/>
      </c>
      <c r="AE124" s="140" t="str">
        <f ca="1">H124</f>
        <v/>
      </c>
      <c r="AF124" s="140" t="str">
        <f ca="1">K124</f>
        <v>*KEY_ERR</v>
      </c>
      <c r="AG124" s="140" t="str">
        <f ca="1">I124</f>
        <v/>
      </c>
      <c r="AH124" s="140" t="str">
        <f ca="1">_xll.DBRW($B$17,tm1Version,$F124,AH$121)</f>
        <v/>
      </c>
      <c r="AI124" s="163" t="str">
        <f ca="1">_xll.DBRW($B$17,tm1Version,$F124,AI$121)</f>
        <v/>
      </c>
    </row>
    <row r="125" spans="1:35" x14ac:dyDescent="0.25">
      <c r="I125" s="117"/>
    </row>
    <row r="126" spans="1:35" x14ac:dyDescent="0.25">
      <c r="I126" s="117"/>
    </row>
  </sheetData>
  <mergeCells count="12">
    <mergeCell ref="AB2:AC2"/>
    <mergeCell ref="AB6:AC6"/>
    <mergeCell ref="AB4:AC4"/>
    <mergeCell ref="P119:Q119"/>
    <mergeCell ref="U112:V112"/>
    <mergeCell ref="U114:V114"/>
    <mergeCell ref="U116:V116"/>
    <mergeCell ref="AB124:AC124"/>
    <mergeCell ref="AB8:AC8"/>
    <mergeCell ref="AB119:AC119"/>
    <mergeCell ref="Z112:AA112"/>
    <mergeCell ref="Z114:AA114"/>
  </mergeCells>
  <conditionalFormatting sqref="AI2">
    <cfRule type="expression" dxfId="4" priority="149">
      <formula>$AI2="Pass"</formula>
    </cfRule>
  </conditionalFormatting>
  <conditionalFormatting sqref="AI4">
    <cfRule type="expression" dxfId="3" priority="53">
      <formula>$AI4="Pass"</formula>
    </cfRule>
  </conditionalFormatting>
  <conditionalFormatting sqref="AI6">
    <cfRule type="expression" dxfId="2" priority="28">
      <formula>$AI6="Pass"</formula>
    </cfRule>
  </conditionalFormatting>
  <conditionalFormatting sqref="AI8">
    <cfRule type="expression" dxfId="1" priority="29">
      <formula>$AI8="Pass"</formula>
    </cfRule>
  </conditionalFormatting>
  <conditionalFormatting sqref="AI124">
    <cfRule type="expression" dxfId="0" priority="2">
      <formula>$AI124="Pass"</formula>
    </cfRule>
  </conditionalFormatting>
  <dataValidations disablePrompts="1" count="1">
    <dataValidation type="list" allowBlank="1" showInputMessage="1" showErrorMessage="1" error="The value you entered is not valid._x000a_A user has restricted values that can be entered into this cell." sqref="E84" xr:uid="{00000000-0002-0000-0000-000000000000}">
      <formula1>TM1PICKLIST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&amp;C&amp;"Calibri"&amp;12&amp;KFF0000 UNOFFICIAL&amp;1#_x000D_</oddHeader>
    <oddFooter>&amp;C_x000D_&amp;1#&amp;"Calibri"&amp;12&amp;KFF0000 UNOFFICIAL</oddFooter>
  </headerFooter>
  <customProperties>
    <customPr name="TM1Actions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58"/>
  <sheetViews>
    <sheetView workbookViewId="0"/>
  </sheetViews>
  <sheetFormatPr defaultRowHeight="15" x14ac:dyDescent="0.25"/>
  <sheetData>
    <row r="1" spans="1:1" x14ac:dyDescent="0.25">
      <c r="A1" t="s">
        <v>251</v>
      </c>
    </row>
    <row r="2" spans="1:1" x14ac:dyDescent="0.25">
      <c r="A2" t="s">
        <v>252</v>
      </c>
    </row>
    <row r="3" spans="1:1" x14ac:dyDescent="0.25">
      <c r="A3" t="s">
        <v>253</v>
      </c>
    </row>
    <row r="4" spans="1:1" x14ac:dyDescent="0.25">
      <c r="A4" t="s">
        <v>87</v>
      </c>
    </row>
    <row r="5" spans="1:1" x14ac:dyDescent="0.25">
      <c r="A5" t="s">
        <v>88</v>
      </c>
    </row>
    <row r="6" spans="1:1" x14ac:dyDescent="0.25">
      <c r="A6" t="s">
        <v>89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92</v>
      </c>
    </row>
    <row r="10" spans="1:1" x14ac:dyDescent="0.25">
      <c r="A10" t="s">
        <v>93</v>
      </c>
    </row>
    <row r="11" spans="1:1" x14ac:dyDescent="0.25">
      <c r="A11" t="s">
        <v>94</v>
      </c>
    </row>
    <row r="12" spans="1:1" x14ac:dyDescent="0.25">
      <c r="A12" t="s">
        <v>95</v>
      </c>
    </row>
    <row r="13" spans="1:1" x14ac:dyDescent="0.25">
      <c r="A13" t="s">
        <v>96</v>
      </c>
    </row>
    <row r="14" spans="1:1" x14ac:dyDescent="0.25">
      <c r="A14" t="s">
        <v>97</v>
      </c>
    </row>
    <row r="15" spans="1:1" x14ac:dyDescent="0.25">
      <c r="A15" t="s">
        <v>98</v>
      </c>
    </row>
    <row r="16" spans="1:1" x14ac:dyDescent="0.25">
      <c r="A16" t="s">
        <v>99</v>
      </c>
    </row>
    <row r="17" spans="1:1" x14ac:dyDescent="0.25">
      <c r="A17" t="s">
        <v>100</v>
      </c>
    </row>
    <row r="18" spans="1:1" x14ac:dyDescent="0.25">
      <c r="A18" t="s">
        <v>101</v>
      </c>
    </row>
    <row r="19" spans="1:1" x14ac:dyDescent="0.25">
      <c r="A19" t="s">
        <v>102</v>
      </c>
    </row>
    <row r="20" spans="1:1" x14ac:dyDescent="0.25">
      <c r="A20" t="s">
        <v>103</v>
      </c>
    </row>
    <row r="21" spans="1:1" x14ac:dyDescent="0.25">
      <c r="A21" t="s">
        <v>104</v>
      </c>
    </row>
    <row r="22" spans="1:1" x14ac:dyDescent="0.25">
      <c r="A22" t="s">
        <v>105</v>
      </c>
    </row>
    <row r="23" spans="1:1" x14ac:dyDescent="0.25">
      <c r="A23" t="s">
        <v>106</v>
      </c>
    </row>
    <row r="24" spans="1:1" x14ac:dyDescent="0.25">
      <c r="A24" t="s">
        <v>107</v>
      </c>
    </row>
    <row r="25" spans="1:1" x14ac:dyDescent="0.25">
      <c r="A25" t="s">
        <v>108</v>
      </c>
    </row>
    <row r="26" spans="1:1" x14ac:dyDescent="0.25">
      <c r="A26" t="s">
        <v>109</v>
      </c>
    </row>
    <row r="27" spans="1:1" x14ac:dyDescent="0.25">
      <c r="A27" t="s">
        <v>110</v>
      </c>
    </row>
    <row r="28" spans="1:1" x14ac:dyDescent="0.25">
      <c r="A28" t="s">
        <v>111</v>
      </c>
    </row>
    <row r="29" spans="1:1" x14ac:dyDescent="0.25">
      <c r="A29" t="s">
        <v>112</v>
      </c>
    </row>
    <row r="30" spans="1:1" x14ac:dyDescent="0.25">
      <c r="A30" t="s">
        <v>113</v>
      </c>
    </row>
    <row r="31" spans="1:1" x14ac:dyDescent="0.25">
      <c r="A31" t="s">
        <v>114</v>
      </c>
    </row>
    <row r="32" spans="1:1" x14ac:dyDescent="0.25">
      <c r="A32" t="s">
        <v>115</v>
      </c>
    </row>
    <row r="33" spans="1:1" x14ac:dyDescent="0.25">
      <c r="A33" t="s">
        <v>116</v>
      </c>
    </row>
    <row r="34" spans="1:1" x14ac:dyDescent="0.25">
      <c r="A34" t="s">
        <v>117</v>
      </c>
    </row>
    <row r="35" spans="1:1" x14ac:dyDescent="0.25">
      <c r="A35" t="s">
        <v>118</v>
      </c>
    </row>
    <row r="36" spans="1:1" x14ac:dyDescent="0.25">
      <c r="A36" t="s">
        <v>119</v>
      </c>
    </row>
    <row r="37" spans="1:1" x14ac:dyDescent="0.25">
      <c r="A37" t="s">
        <v>120</v>
      </c>
    </row>
    <row r="38" spans="1:1" x14ac:dyDescent="0.25">
      <c r="A38" t="s">
        <v>121</v>
      </c>
    </row>
    <row r="39" spans="1:1" x14ac:dyDescent="0.25">
      <c r="A39" t="s">
        <v>122</v>
      </c>
    </row>
    <row r="40" spans="1:1" x14ac:dyDescent="0.25">
      <c r="A40" t="s">
        <v>123</v>
      </c>
    </row>
    <row r="41" spans="1:1" x14ac:dyDescent="0.25">
      <c r="A41" t="s">
        <v>124</v>
      </c>
    </row>
    <row r="42" spans="1:1" x14ac:dyDescent="0.25">
      <c r="A42" t="s">
        <v>125</v>
      </c>
    </row>
    <row r="43" spans="1:1" x14ac:dyDescent="0.25">
      <c r="A43" t="s">
        <v>126</v>
      </c>
    </row>
    <row r="44" spans="1:1" x14ac:dyDescent="0.25">
      <c r="A44" t="s">
        <v>127</v>
      </c>
    </row>
    <row r="45" spans="1:1" x14ac:dyDescent="0.25">
      <c r="A45" t="s">
        <v>128</v>
      </c>
    </row>
    <row r="46" spans="1:1" x14ac:dyDescent="0.25">
      <c r="A46" t="s">
        <v>129</v>
      </c>
    </row>
    <row r="47" spans="1:1" x14ac:dyDescent="0.25">
      <c r="A47" t="s">
        <v>130</v>
      </c>
    </row>
    <row r="48" spans="1:1" x14ac:dyDescent="0.25">
      <c r="A48" t="s">
        <v>131</v>
      </c>
    </row>
    <row r="49" spans="1:1" x14ac:dyDescent="0.25">
      <c r="A49" t="s">
        <v>132</v>
      </c>
    </row>
    <row r="50" spans="1:1" x14ac:dyDescent="0.25">
      <c r="A50" t="s">
        <v>133</v>
      </c>
    </row>
    <row r="51" spans="1:1" x14ac:dyDescent="0.25">
      <c r="A51" t="s">
        <v>134</v>
      </c>
    </row>
    <row r="52" spans="1:1" x14ac:dyDescent="0.25">
      <c r="A52" t="s">
        <v>135</v>
      </c>
    </row>
    <row r="53" spans="1:1" x14ac:dyDescent="0.25">
      <c r="A53" t="s">
        <v>136</v>
      </c>
    </row>
    <row r="54" spans="1:1" x14ac:dyDescent="0.25">
      <c r="A54" t="s">
        <v>137</v>
      </c>
    </row>
    <row r="55" spans="1:1" x14ac:dyDescent="0.25">
      <c r="A55" t="s">
        <v>138</v>
      </c>
    </row>
    <row r="56" spans="1:1" x14ac:dyDescent="0.25">
      <c r="A56" t="s">
        <v>139</v>
      </c>
    </row>
    <row r="57" spans="1:1" x14ac:dyDescent="0.25">
      <c r="A57" t="s">
        <v>140</v>
      </c>
    </row>
    <row r="58" spans="1:1" x14ac:dyDescent="0.25">
      <c r="A58" t="s">
        <v>141</v>
      </c>
    </row>
    <row r="59" spans="1:1" x14ac:dyDescent="0.25">
      <c r="A59" t="s">
        <v>142</v>
      </c>
    </row>
    <row r="60" spans="1:1" x14ac:dyDescent="0.25">
      <c r="A60" t="s">
        <v>143</v>
      </c>
    </row>
    <row r="61" spans="1:1" x14ac:dyDescent="0.25">
      <c r="A61" t="s">
        <v>144</v>
      </c>
    </row>
    <row r="62" spans="1:1" x14ac:dyDescent="0.25">
      <c r="A62" t="s">
        <v>145</v>
      </c>
    </row>
    <row r="63" spans="1:1" x14ac:dyDescent="0.25">
      <c r="A63" t="s">
        <v>146</v>
      </c>
    </row>
    <row r="64" spans="1:1" x14ac:dyDescent="0.25">
      <c r="A64" t="s">
        <v>147</v>
      </c>
    </row>
    <row r="65" spans="1:1" x14ac:dyDescent="0.25">
      <c r="A65" t="s">
        <v>148</v>
      </c>
    </row>
    <row r="66" spans="1:1" x14ac:dyDescent="0.25">
      <c r="A66" t="s">
        <v>149</v>
      </c>
    </row>
    <row r="67" spans="1:1" x14ac:dyDescent="0.25">
      <c r="A67" t="s">
        <v>150</v>
      </c>
    </row>
    <row r="68" spans="1:1" x14ac:dyDescent="0.25">
      <c r="A68" t="s">
        <v>151</v>
      </c>
    </row>
    <row r="69" spans="1:1" x14ac:dyDescent="0.25">
      <c r="A69" t="s">
        <v>152</v>
      </c>
    </row>
    <row r="70" spans="1:1" x14ac:dyDescent="0.25">
      <c r="A70" t="s">
        <v>153</v>
      </c>
    </row>
    <row r="71" spans="1:1" x14ac:dyDescent="0.25">
      <c r="A71" t="s">
        <v>154</v>
      </c>
    </row>
    <row r="72" spans="1:1" x14ac:dyDescent="0.25">
      <c r="A72" t="s">
        <v>155</v>
      </c>
    </row>
    <row r="73" spans="1:1" x14ac:dyDescent="0.25">
      <c r="A73" t="s">
        <v>156</v>
      </c>
    </row>
    <row r="74" spans="1:1" x14ac:dyDescent="0.25">
      <c r="A74" t="s">
        <v>157</v>
      </c>
    </row>
    <row r="75" spans="1:1" x14ac:dyDescent="0.25">
      <c r="A75" t="s">
        <v>158</v>
      </c>
    </row>
    <row r="76" spans="1:1" x14ac:dyDescent="0.25">
      <c r="A76" t="s">
        <v>159</v>
      </c>
    </row>
    <row r="77" spans="1:1" x14ac:dyDescent="0.25">
      <c r="A77" t="s">
        <v>160</v>
      </c>
    </row>
    <row r="78" spans="1:1" x14ac:dyDescent="0.25">
      <c r="A78" t="s">
        <v>161</v>
      </c>
    </row>
    <row r="79" spans="1:1" x14ac:dyDescent="0.25">
      <c r="A79" t="s">
        <v>162</v>
      </c>
    </row>
    <row r="80" spans="1:1" x14ac:dyDescent="0.25">
      <c r="A80" t="s">
        <v>163</v>
      </c>
    </row>
    <row r="81" spans="1:1" x14ac:dyDescent="0.25">
      <c r="A81" t="s">
        <v>164</v>
      </c>
    </row>
    <row r="82" spans="1:1" x14ac:dyDescent="0.25">
      <c r="A82" t="s">
        <v>165</v>
      </c>
    </row>
    <row r="83" spans="1:1" x14ac:dyDescent="0.25">
      <c r="A83" t="s">
        <v>166</v>
      </c>
    </row>
    <row r="84" spans="1:1" x14ac:dyDescent="0.25">
      <c r="A84" t="s">
        <v>167</v>
      </c>
    </row>
    <row r="85" spans="1:1" x14ac:dyDescent="0.25">
      <c r="A85" t="s">
        <v>168</v>
      </c>
    </row>
    <row r="86" spans="1:1" x14ac:dyDescent="0.25">
      <c r="A86" t="s">
        <v>169</v>
      </c>
    </row>
    <row r="87" spans="1:1" x14ac:dyDescent="0.25">
      <c r="A87" t="s">
        <v>170</v>
      </c>
    </row>
    <row r="88" spans="1:1" x14ac:dyDescent="0.25">
      <c r="A88" t="s">
        <v>171</v>
      </c>
    </row>
    <row r="89" spans="1:1" x14ac:dyDescent="0.25">
      <c r="A89" t="s">
        <v>172</v>
      </c>
    </row>
    <row r="90" spans="1:1" x14ac:dyDescent="0.25">
      <c r="A90" t="s">
        <v>173</v>
      </c>
    </row>
    <row r="91" spans="1:1" x14ac:dyDescent="0.25">
      <c r="A91" t="s">
        <v>174</v>
      </c>
    </row>
    <row r="92" spans="1:1" x14ac:dyDescent="0.25">
      <c r="A92" t="s">
        <v>175</v>
      </c>
    </row>
    <row r="93" spans="1:1" x14ac:dyDescent="0.25">
      <c r="A93" t="s">
        <v>176</v>
      </c>
    </row>
    <row r="94" spans="1:1" x14ac:dyDescent="0.25">
      <c r="A94" t="s">
        <v>177</v>
      </c>
    </row>
    <row r="95" spans="1:1" x14ac:dyDescent="0.25">
      <c r="A95" t="s">
        <v>178</v>
      </c>
    </row>
    <row r="96" spans="1:1" x14ac:dyDescent="0.25">
      <c r="A96" t="s">
        <v>179</v>
      </c>
    </row>
    <row r="97" spans="1:1" x14ac:dyDescent="0.25">
      <c r="A97" t="s">
        <v>180</v>
      </c>
    </row>
    <row r="98" spans="1:1" x14ac:dyDescent="0.25">
      <c r="A98" t="s">
        <v>181</v>
      </c>
    </row>
    <row r="99" spans="1:1" x14ac:dyDescent="0.25">
      <c r="A99" t="s">
        <v>182</v>
      </c>
    </row>
    <row r="100" spans="1:1" x14ac:dyDescent="0.25">
      <c r="A100" t="s">
        <v>183</v>
      </c>
    </row>
    <row r="101" spans="1:1" x14ac:dyDescent="0.25">
      <c r="A101" t="s">
        <v>184</v>
      </c>
    </row>
    <row r="102" spans="1:1" x14ac:dyDescent="0.25">
      <c r="A102" t="s">
        <v>185</v>
      </c>
    </row>
    <row r="103" spans="1:1" x14ac:dyDescent="0.25">
      <c r="A103" t="s">
        <v>186</v>
      </c>
    </row>
    <row r="104" spans="1:1" x14ac:dyDescent="0.25">
      <c r="A104" t="s">
        <v>187</v>
      </c>
    </row>
    <row r="105" spans="1:1" x14ac:dyDescent="0.25">
      <c r="A105" t="s">
        <v>188</v>
      </c>
    </row>
    <row r="106" spans="1:1" x14ac:dyDescent="0.25">
      <c r="A106" t="s">
        <v>189</v>
      </c>
    </row>
    <row r="107" spans="1:1" x14ac:dyDescent="0.25">
      <c r="A107" t="s">
        <v>190</v>
      </c>
    </row>
    <row r="108" spans="1:1" x14ac:dyDescent="0.25">
      <c r="A108" t="s">
        <v>191</v>
      </c>
    </row>
    <row r="109" spans="1:1" x14ac:dyDescent="0.25">
      <c r="A109" t="s">
        <v>192</v>
      </c>
    </row>
    <row r="110" spans="1:1" x14ac:dyDescent="0.25">
      <c r="A110" t="s">
        <v>193</v>
      </c>
    </row>
    <row r="111" spans="1:1" x14ac:dyDescent="0.25">
      <c r="A111" t="s">
        <v>194</v>
      </c>
    </row>
    <row r="112" spans="1:1" x14ac:dyDescent="0.25">
      <c r="A112" t="s">
        <v>195</v>
      </c>
    </row>
    <row r="113" spans="1:1" x14ac:dyDescent="0.25">
      <c r="A113" t="s">
        <v>196</v>
      </c>
    </row>
    <row r="114" spans="1:1" x14ac:dyDescent="0.25">
      <c r="A114" t="s">
        <v>197</v>
      </c>
    </row>
    <row r="115" spans="1:1" x14ac:dyDescent="0.25">
      <c r="A115" t="s">
        <v>198</v>
      </c>
    </row>
    <row r="116" spans="1:1" x14ac:dyDescent="0.25">
      <c r="A116" t="s">
        <v>199</v>
      </c>
    </row>
    <row r="117" spans="1:1" x14ac:dyDescent="0.25">
      <c r="A117" t="s">
        <v>200</v>
      </c>
    </row>
    <row r="118" spans="1:1" x14ac:dyDescent="0.25">
      <c r="A118" t="s">
        <v>201</v>
      </c>
    </row>
    <row r="119" spans="1:1" x14ac:dyDescent="0.25">
      <c r="A119" t="s">
        <v>202</v>
      </c>
    </row>
    <row r="120" spans="1:1" x14ac:dyDescent="0.25">
      <c r="A120" t="s">
        <v>203</v>
      </c>
    </row>
    <row r="121" spans="1:1" x14ac:dyDescent="0.25">
      <c r="A121" t="s">
        <v>204</v>
      </c>
    </row>
    <row r="122" spans="1:1" x14ac:dyDescent="0.25">
      <c r="A122" t="s">
        <v>205</v>
      </c>
    </row>
    <row r="123" spans="1:1" x14ac:dyDescent="0.25">
      <c r="A123" t="s">
        <v>206</v>
      </c>
    </row>
    <row r="124" spans="1:1" x14ac:dyDescent="0.25">
      <c r="A124" t="s">
        <v>207</v>
      </c>
    </row>
    <row r="125" spans="1:1" x14ac:dyDescent="0.25">
      <c r="A125" t="s">
        <v>208</v>
      </c>
    </row>
    <row r="126" spans="1:1" x14ac:dyDescent="0.25">
      <c r="A126" t="s">
        <v>209</v>
      </c>
    </row>
    <row r="127" spans="1:1" x14ac:dyDescent="0.25">
      <c r="A127" t="s">
        <v>210</v>
      </c>
    </row>
    <row r="128" spans="1:1" x14ac:dyDescent="0.25">
      <c r="A128" t="s">
        <v>211</v>
      </c>
    </row>
    <row r="129" spans="1:1" x14ac:dyDescent="0.25">
      <c r="A129" t="s">
        <v>212</v>
      </c>
    </row>
    <row r="130" spans="1:1" x14ac:dyDescent="0.25">
      <c r="A130" t="s">
        <v>213</v>
      </c>
    </row>
    <row r="131" spans="1:1" x14ac:dyDescent="0.25">
      <c r="A131" t="s">
        <v>214</v>
      </c>
    </row>
    <row r="132" spans="1:1" x14ac:dyDescent="0.25">
      <c r="A132" t="s">
        <v>215</v>
      </c>
    </row>
    <row r="133" spans="1:1" x14ac:dyDescent="0.25">
      <c r="A133" t="s">
        <v>216</v>
      </c>
    </row>
    <row r="134" spans="1:1" x14ac:dyDescent="0.25">
      <c r="A134" t="s">
        <v>217</v>
      </c>
    </row>
    <row r="135" spans="1:1" x14ac:dyDescent="0.25">
      <c r="A135" t="s">
        <v>218</v>
      </c>
    </row>
    <row r="136" spans="1:1" x14ac:dyDescent="0.25">
      <c r="A136" t="s">
        <v>219</v>
      </c>
    </row>
    <row r="137" spans="1:1" x14ac:dyDescent="0.25">
      <c r="A137" t="s">
        <v>220</v>
      </c>
    </row>
    <row r="138" spans="1:1" x14ac:dyDescent="0.25">
      <c r="A138" t="s">
        <v>221</v>
      </c>
    </row>
    <row r="139" spans="1:1" x14ac:dyDescent="0.25">
      <c r="A139" t="s">
        <v>222</v>
      </c>
    </row>
    <row r="140" spans="1:1" x14ac:dyDescent="0.25">
      <c r="A140" t="s">
        <v>223</v>
      </c>
    </row>
    <row r="141" spans="1:1" x14ac:dyDescent="0.25">
      <c r="A141" t="s">
        <v>224</v>
      </c>
    </row>
    <row r="142" spans="1:1" x14ac:dyDescent="0.25">
      <c r="A142" t="s">
        <v>225</v>
      </c>
    </row>
    <row r="143" spans="1:1" x14ac:dyDescent="0.25">
      <c r="A143" t="s">
        <v>226</v>
      </c>
    </row>
    <row r="144" spans="1:1" x14ac:dyDescent="0.25">
      <c r="A144" t="s">
        <v>227</v>
      </c>
    </row>
    <row r="145" spans="1:1" x14ac:dyDescent="0.25">
      <c r="A145" t="s">
        <v>228</v>
      </c>
    </row>
    <row r="146" spans="1:1" x14ac:dyDescent="0.25">
      <c r="A146" t="s">
        <v>229</v>
      </c>
    </row>
    <row r="147" spans="1:1" x14ac:dyDescent="0.25">
      <c r="A147" t="s">
        <v>230</v>
      </c>
    </row>
    <row r="148" spans="1:1" x14ac:dyDescent="0.25">
      <c r="A148" t="s">
        <v>231</v>
      </c>
    </row>
    <row r="149" spans="1:1" x14ac:dyDescent="0.25">
      <c r="A149" t="s">
        <v>232</v>
      </c>
    </row>
    <row r="150" spans="1:1" x14ac:dyDescent="0.25">
      <c r="A150" t="s">
        <v>233</v>
      </c>
    </row>
    <row r="151" spans="1:1" x14ac:dyDescent="0.25">
      <c r="A151" t="s">
        <v>234</v>
      </c>
    </row>
    <row r="152" spans="1:1" x14ac:dyDescent="0.25">
      <c r="A152" t="s">
        <v>235</v>
      </c>
    </row>
    <row r="153" spans="1:1" x14ac:dyDescent="0.25">
      <c r="A153" t="s">
        <v>236</v>
      </c>
    </row>
    <row r="154" spans="1:1" x14ac:dyDescent="0.25">
      <c r="A154" t="s">
        <v>237</v>
      </c>
    </row>
    <row r="155" spans="1:1" x14ac:dyDescent="0.25">
      <c r="A155" t="s">
        <v>238</v>
      </c>
    </row>
    <row r="156" spans="1:1" x14ac:dyDescent="0.25">
      <c r="A156" t="s">
        <v>239</v>
      </c>
    </row>
    <row r="157" spans="1:1" x14ac:dyDescent="0.25">
      <c r="A157" t="s">
        <v>240</v>
      </c>
    </row>
    <row r="158" spans="1:1" x14ac:dyDescent="0.25">
      <c r="A158" t="s">
        <v>241</v>
      </c>
    </row>
  </sheetData>
  <pageMargins left="0.7" right="0.7" top="0.75" bottom="0.75" header="0.3" footer="0.3"/>
  <headerFooter>
    <oddHeader>&amp;C&amp;"Calibri"&amp;12&amp;KFF0000 UNOFFICIAL&amp;1#_x000D_</oddHeader>
    <oddFooter>&amp;C_x000D_&amp;1#&amp;"Calibri"&amp;12&amp;KFF0000 UNOFFICIAL</oddFooter>
  </headerFooter>
</worksheet>
</file>

<file path=docMetadata/LabelInfo.xml><?xml version="1.0" encoding="utf-8"?>
<clbl:labelList xmlns:clbl="http://schemas.microsoft.com/office/2020/mipLabelMetadata">
  <clbl:label id="{09295f49-79e7-4a0e-a7b7-626851e8ff01}" enabled="1" method="Privileged" siteId="{311f614e-2687-4905-bb5c-f592370e0d41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55</vt:i4>
      </vt:variant>
    </vt:vector>
  </HeadingPairs>
  <TitlesOfParts>
    <vt:vector size="57" baseType="lpstr">
      <vt:lpstr>Sheet1</vt:lpstr>
      <vt:lpstr>{PL}PickLst</vt:lpstr>
      <vt:lpstr>tm1_CurrWB</vt:lpstr>
      <vt:lpstr>tm1_PrevWB</vt:lpstr>
      <vt:lpstr>tm1AdminMenuBOOK</vt:lpstr>
      <vt:lpstr>tm1AdminMenuCAPTION</vt:lpstr>
      <vt:lpstr>tm1AdminMenuSHEET</vt:lpstr>
      <vt:lpstr>tm1BudgetRound</vt:lpstr>
      <vt:lpstr>tm1CopyDataBOOK</vt:lpstr>
      <vt:lpstr>tm1CopyDataCAPTION</vt:lpstr>
      <vt:lpstr>tm1CopyDataSHEET</vt:lpstr>
      <vt:lpstr>tm1CostingDataBOOK</vt:lpstr>
      <vt:lpstr>tm1CostingDataCAPTION</vt:lpstr>
      <vt:lpstr>tm1CostingDataSHEET</vt:lpstr>
      <vt:lpstr>tm1CostingDetailsBOOK</vt:lpstr>
      <vt:lpstr>tm1CostingDetailsCAPTION</vt:lpstr>
      <vt:lpstr>tm1CostingDetailsSHEET</vt:lpstr>
      <vt:lpstr>tm1CostingID</vt:lpstr>
      <vt:lpstr>tm1CostingOption</vt:lpstr>
      <vt:lpstr>tm1CostingStatus</vt:lpstr>
      <vt:lpstr>TM1db</vt:lpstr>
      <vt:lpstr>tm1DocHubLink</vt:lpstr>
      <vt:lpstr>tm1DocHubLinkCAP</vt:lpstr>
      <vt:lpstr>tm1Entity</vt:lpstr>
      <vt:lpstr>tm1Function</vt:lpstr>
      <vt:lpstr>tm1MainMenuBOOK</vt:lpstr>
      <vt:lpstr>tm1MainMenuCAPTION</vt:lpstr>
      <vt:lpstr>tm1MainMenuSHEET</vt:lpstr>
      <vt:lpstr>tm1NewCostingBOOK</vt:lpstr>
      <vt:lpstr>tm1NewCostingCAPTION</vt:lpstr>
      <vt:lpstr>tm1NewCostingSHEET</vt:lpstr>
      <vt:lpstr>tm1NPPMenuBOOK</vt:lpstr>
      <vt:lpstr>tm1NPPMenuCAPTION</vt:lpstr>
      <vt:lpstr>tm1NPPMenuSHEET</vt:lpstr>
      <vt:lpstr>tm1OptionDetailsBOOK</vt:lpstr>
      <vt:lpstr>tm1OptionDetailsCAPTION</vt:lpstr>
      <vt:lpstr>tm1OptionDetailsSHEET</vt:lpstr>
      <vt:lpstr>tm1OptionStatus</vt:lpstr>
      <vt:lpstr>tm1PrimaryContact</vt:lpstr>
      <vt:lpstr>tm1PrimaryEntity</vt:lpstr>
      <vt:lpstr>tm1ReportingMenuBOOK</vt:lpstr>
      <vt:lpstr>tm1ReportingMenuCAPTION</vt:lpstr>
      <vt:lpstr>tm1ReportingMenuSHEET</vt:lpstr>
      <vt:lpstr>Sheet1!TM1RPTDATARNG1</vt:lpstr>
      <vt:lpstr>Sheet1!TM1RPTFMTIDCOL</vt:lpstr>
      <vt:lpstr>Sheet1!TM1RPTFMTRNG</vt:lpstr>
      <vt:lpstr>tm1SearchString</vt:lpstr>
      <vt:lpstr>tm1SelectedCostingID</vt:lpstr>
      <vt:lpstr>tm1SelectedNPP</vt:lpstr>
      <vt:lpstr>tm1SelectedSubmission</vt:lpstr>
      <vt:lpstr>tm1Status</vt:lpstr>
      <vt:lpstr>tm1SubListBOOK</vt:lpstr>
      <vt:lpstr>tm1SubmissionSubset</vt:lpstr>
      <vt:lpstr>TM1UserApps</vt:lpstr>
      <vt:lpstr>TM1UserName</vt:lpstr>
      <vt:lpstr>tm1Version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</dc:creator>
  <cp:lastModifiedBy>Philip Anderson</cp:lastModifiedBy>
  <cp:lastPrinted>2018-12-14T01:12:49Z</cp:lastPrinted>
  <dcterms:created xsi:type="dcterms:W3CDTF">2015-01-06T01:02:44Z</dcterms:created>
  <dcterms:modified xsi:type="dcterms:W3CDTF">2025-05-09T03:50:51Z</dcterms:modified>
  <cp:category>Applications\Costing Module\01 cm_Menus\01 cm_Main Menu</cp:category>
</cp:coreProperties>
</file>