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ED1C5ADF-08E6-43F9-BDDA-B68FE84ED70B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favourite list" sheetId="1" r:id="rId1"/>
  </sheets>
  <definedNames>
    <definedName name="db_name">'favourite list'!$C$11</definedName>
    <definedName name="psApp">'favourite list'!$C$29</definedName>
    <definedName name="psUser">'favourite list'!$C$13</definedName>
    <definedName name="TM1AdminFavAccCAP">'favourite list'!$D$35</definedName>
    <definedName name="TM1AdminFavAccWB">'favourite list'!$F$35</definedName>
    <definedName name="TM1AdminFavAccWS">'favourite list'!$H$35</definedName>
    <definedName name="TM1AdminFavListCAP">'favourite list'!$D$36</definedName>
    <definedName name="TM1AdminFavListWB">'favourite list'!$F$36</definedName>
    <definedName name="TM1AdminFavListWS">'favourite list'!$H$36</definedName>
    <definedName name="TM1AdminFavProgCAP">'favourite list'!$D$37</definedName>
    <definedName name="TM1AdminFavProgWB">'favourite list'!$F$37</definedName>
    <definedName name="TM1AdminFavProgWS">'favourite list'!$H$37</definedName>
    <definedName name="TM1HomeAdminFavCAP">'favourite list'!$D$34</definedName>
    <definedName name="TM1HomeAdminFavWB">'favourite list'!$F$34</definedName>
    <definedName name="TM1HomeAdminFavWS">'favourite list'!$H$34</definedName>
    <definedName name="TM1HomeAECAP">'favourite list'!$D$32</definedName>
    <definedName name="TM1HomeAEDataEntryCAP">'favourite list'!$D$33</definedName>
    <definedName name="TM1HomeAEDataEntryWB">'favourite list'!$F$33</definedName>
    <definedName name="TM1HomeAEDataEntryWS">'favourite list'!$H$33</definedName>
    <definedName name="TM1HomeAEWB">'favourite list'!$F$32</definedName>
    <definedName name="TM1HomeAEWS">'favourite list'!$H$32</definedName>
    <definedName name="TM1HomeCAP">'favourite list'!$D$31</definedName>
    <definedName name="TM1HomeWB">'favourite list'!$F$31</definedName>
    <definedName name="TM1HomeWS">'favourite list'!$H$31</definedName>
    <definedName name="TM1REBUILDOPTION">1</definedName>
    <definedName name="TM1RPTDATARNG2" localSheetId="0">'favourite list'!$56:$56</definedName>
    <definedName name="TM1RPTFMTIDCOL" localSheetId="0">'favourite list'!$A$1:$A$8</definedName>
    <definedName name="TM1RPTFMTRNG" localSheetId="0">'favourite list'!$J$1:$M$8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 a="1"/>
  <c r="C40" i="1"/>
  <c r="C42" i="1"/>
  <c r="J56" i="1" a="1"/>
  <c r="J56" i="1"/>
  <c r="L56" i="1" a="1"/>
  <c r="L56" i="1"/>
  <c r="C28" i="1" a="1"/>
  <c r="C28" i="1"/>
  <c r="A56" i="1" a="1"/>
  <c r="A56" i="1"/>
  <c r="M56" i="1" a="1"/>
  <c r="M56" i="1"/>
  <c r="K56" i="1" a="1"/>
  <c r="K56" i="1"/>
  <c r="C41" i="1" a="1"/>
  <c r="C41" i="1"/>
  <c r="H37" i="1" a="1"/>
  <c r="H37" i="1"/>
  <c r="G37" i="1" a="1"/>
  <c r="G37" i="1"/>
  <c r="F37" i="1" a="1"/>
  <c r="F37" i="1"/>
  <c r="E37" i="1" a="1"/>
  <c r="E37" i="1"/>
  <c r="D37" i="1" a="1"/>
  <c r="D37" i="1"/>
  <c r="C37" i="1" a="1"/>
  <c r="C37" i="1"/>
  <c r="H36" i="1" a="1"/>
  <c r="H36" i="1"/>
  <c r="G36" i="1" a="1"/>
  <c r="G36" i="1"/>
  <c r="F36" i="1" a="1"/>
  <c r="F36" i="1"/>
  <c r="E36" i="1" a="1"/>
  <c r="E36" i="1"/>
  <c r="D36" i="1" a="1"/>
  <c r="D36" i="1"/>
  <c r="C36" i="1" a="1"/>
  <c r="C36" i="1"/>
  <c r="H35" i="1" a="1"/>
  <c r="H35" i="1"/>
  <c r="G35" i="1" a="1"/>
  <c r="G35" i="1"/>
  <c r="F35" i="1" a="1"/>
  <c r="F35" i="1"/>
  <c r="E35" i="1" a="1"/>
  <c r="E35" i="1"/>
  <c r="D35" i="1" a="1"/>
  <c r="D35" i="1"/>
  <c r="C35" i="1" a="1"/>
  <c r="C35" i="1"/>
  <c r="H34" i="1" a="1"/>
  <c r="H34" i="1"/>
  <c r="G34" i="1" a="1"/>
  <c r="G34" i="1"/>
  <c r="F34" i="1" a="1"/>
  <c r="F34" i="1"/>
  <c r="E34" i="1" a="1"/>
  <c r="E34" i="1"/>
  <c r="D34" i="1" a="1"/>
  <c r="D34" i="1"/>
  <c r="C34" i="1" a="1"/>
  <c r="C34" i="1"/>
  <c r="H33" i="1" a="1"/>
  <c r="H33" i="1"/>
  <c r="G33" i="1" a="1"/>
  <c r="G33" i="1"/>
  <c r="F33" i="1" a="1"/>
  <c r="F33" i="1"/>
  <c r="E33" i="1" a="1"/>
  <c r="E33" i="1"/>
  <c r="D33" i="1" a="1"/>
  <c r="D33" i="1"/>
  <c r="C33" i="1" a="1"/>
  <c r="C33" i="1"/>
  <c r="H32" i="1" a="1"/>
  <c r="H32" i="1"/>
  <c r="G32" i="1" a="1"/>
  <c r="G32" i="1"/>
  <c r="F32" i="1" a="1"/>
  <c r="F32" i="1"/>
  <c r="E32" i="1" a="1"/>
  <c r="E32" i="1"/>
  <c r="D32" i="1" a="1"/>
  <c r="D32" i="1"/>
  <c r="C32" i="1" a="1"/>
  <c r="C32" i="1"/>
  <c r="H31" i="1" a="1"/>
  <c r="H31" i="1"/>
  <c r="G31" i="1" a="1"/>
  <c r="G31" i="1"/>
  <c r="F31" i="1" a="1"/>
  <c r="F31" i="1"/>
  <c r="E31" i="1" a="1"/>
  <c r="E31" i="1"/>
  <c r="D31" i="1" a="1"/>
  <c r="D31" i="1"/>
  <c r="C31" i="1" a="1"/>
  <c r="C31" i="1"/>
  <c r="C19" i="1" a="1"/>
  <c r="C19" i="1"/>
  <c r="C25" i="1" a="1"/>
  <c r="C25" i="1"/>
  <c r="C24" i="1" a="1"/>
  <c r="C24" i="1"/>
  <c r="C23" i="1" a="1"/>
  <c r="C23" i="1"/>
  <c r="C22" i="1" a="1"/>
  <c r="C22" i="1"/>
  <c r="C21" i="1" a="1"/>
  <c r="C21" i="1"/>
  <c r="C20" i="1" a="1"/>
  <c r="C20" i="1"/>
  <c r="C12" i="1" a="1"/>
  <c r="C12" i="1"/>
  <c r="C13" i="1" a="1"/>
  <c r="C13" i="1"/>
  <c r="C15" i="1" a="1"/>
  <c r="C15" i="1"/>
  <c r="C14" i="1" a="1"/>
  <c r="C14" i="1"/>
  <c r="C16" i="1"/>
  <c r="A5" i="1"/>
  <c r="A4" i="1"/>
  <c r="A3" i="1"/>
  <c r="A2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<sst xmlns="http://schemas.openxmlformats.org/spreadsheetml/2006/main" count="53" uniqueCount="52">
  <si>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</si>
  <si>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</si>
  <si>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</si>
  <si>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</si>
  <si>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</si>
  <si>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</si>
  <si>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</si>
  <si>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</si>
  <si>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</si>
  <si>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</si>
  <si>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</si>
  <si>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</si>
  <si>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</si>
  <si>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</si>
  <si>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</si>
  <si>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</si>
  <si>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No MA</t>
  </si>
  <si>
    <t>No RE</t>
  </si>
  <si>
    <t>No Jur</t>
  </si>
  <si>
    <t>No SPP</t>
  </si>
  <si>
    <t>sys_application MDX</t>
  </si>
  <si>
    <t>Slice View (sys_application)</t>
  </si>
  <si>
    <t>Current Workbook</t>
  </si>
  <si>
    <t>Admin Favourite - Set Account Favourites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</si>
  <si>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</si>
  <si>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</si>
  <si>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</si>
  <si>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</si>
  <si>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</si>
  <si>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</si>
  <si>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</si>
  <si>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</si>
  <si>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</si>
  <si>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</si>
  <si>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Homepage - Administration - Favourites</t>
  </si>
  <si>
    <t>Admin Favourite - Favourite List</t>
  </si>
  <si>
    <t>}ElementAttributes_favourites_id</t>
  </si>
  <si>
    <t>Active Form View</t>
  </si>
  <si>
    <t>Slice View</t>
  </si>
  <si>
    <t>Favourites ID MDX</t>
  </si>
  <si>
    <t>Code and Description</t>
  </si>
  <si>
    <t>Favourite ID</t>
  </si>
  <si>
    <t>Note : This screen list all the available Favourites in GEUS. This is a copy of the }ElementAttributes_favourites_id cube.</t>
  </si>
  <si>
    <t>Title</t>
  </si>
  <si>
    <t>title</t>
  </si>
  <si>
    <t>Favourite List</t>
  </si>
  <si>
    <t>Admin Favourite - Set Default Favourite For Program</t>
  </si>
  <si>
    <t>use program details</t>
  </si>
  <si>
    <t>USE ID Details Approp</t>
  </si>
  <si>
    <t xml:space="preserve">Note : The Use ID Details Flag will only look at the ACCOUNTS. And use the Appropriation Item from the ID Details. </t>
  </si>
  <si>
    <t>Note : Title and USE ID Details Approp is only EDITABLE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</si>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</sst>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3" borderId="5" xfId="0" applyFont="1" applyFill="1" applyBorder="1"/>
    <xf numFmtId="0" fontId="2" fillId="3" borderId="6" xfId="0" applyFont="1" applyFill="1" applyBorder="1"/>
    <xf numFmtId="0" fontId="4" fillId="0" borderId="4" xfId="0" applyFont="1" applyBorder="1" applyAlignment="1">
      <alignment vertical="top" wrapText="1"/>
    </xf>
    <xf numFmtId="0" fontId="5" fillId="3" borderId="4" xfId="0" applyFont="1" applyFill="1" applyBorder="1" applyAlignment="1">
      <alignment horizontal="center" vertical="top"/>
    </xf>
    <xf numFmtId="49" fontId="5" fillId="3" borderId="4" xfId="0" applyNumberFormat="1" applyFont="1" applyFill="1" applyBorder="1" applyAlignment="1">
      <alignment horizontal="center" vertical="top"/>
    </xf>
    <xf numFmtId="0" fontId="6" fillId="4" borderId="0" xfId="0" applyFont="1" applyFill="1" applyAlignment="1">
      <alignment horizontal="right" vertical="center"/>
    </xf>
    <xf numFmtId="0" fontId="7" fillId="0" borderId="0" xfId="0" applyFont="1"/>
    <xf numFmtId="0" fontId="4" fillId="3" borderId="4" xfId="0" applyFont="1" applyFill="1" applyBorder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45</xdr:row>
      <xdr:rowOff>28575</xdr:rowOff>
    </xdr:from>
    <xdr:to>
      <xdr:col>10</xdr:col>
      <xdr:colOff>931545</xdr:colOff>
      <xdr:row>45</xdr:row>
      <xdr:rowOff>474345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57150</xdr:colOff>
          <xdr:row>47</xdr:row>
          <xdr:rowOff>9525</xdr:rowOff>
        </xdr:from>
        <xdr:to>
          <xdr:col>9</xdr:col>
          <xdr:colOff>695325</xdr:colOff>
          <xdr:row>47</xdr:row>
          <xdr:rowOff>257175</xdr:rowOff>
        </xdr:to>
        <xdr:sp macro="" textlink="">
          <xdr:nvSpPr>
            <xdr:cNvPr id="1081" name="TIButton1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1019175</xdr:colOff>
          <xdr:row>47</xdr:row>
          <xdr:rowOff>9525</xdr:rowOff>
        </xdr:from>
        <xdr:to>
          <xdr:col>10</xdr:col>
          <xdr:colOff>2085975</xdr:colOff>
          <xdr:row>47</xdr:row>
          <xdr:rowOff>257175</xdr:rowOff>
        </xdr:to>
        <xdr:sp macro="" textlink="">
          <xdr:nvSpPr>
            <xdr:cNvPr id="1082" name="TIButton2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714375</xdr:colOff>
          <xdr:row>47</xdr:row>
          <xdr:rowOff>9525</xdr:rowOff>
        </xdr:from>
        <xdr:to>
          <xdr:col>11</xdr:col>
          <xdr:colOff>1495425</xdr:colOff>
          <xdr:row>47</xdr:row>
          <xdr:rowOff>257175</xdr:rowOff>
        </xdr:to>
        <xdr:sp macro="" textlink="">
          <xdr:nvSpPr>
            <xdr:cNvPr id="1083" name="TIButton3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714375</xdr:colOff>
          <xdr:row>47</xdr:row>
          <xdr:rowOff>9525</xdr:rowOff>
        </xdr:from>
        <xdr:to>
          <xdr:col>10</xdr:col>
          <xdr:colOff>990600</xdr:colOff>
          <xdr:row>47</xdr:row>
          <xdr:rowOff>257175</xdr:rowOff>
        </xdr:to>
        <xdr:sp macro="" textlink="">
          <xdr:nvSpPr>
            <xdr:cNvPr id="1084" name="TIButton4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4381500</xdr:colOff>
          <xdr:row>46</xdr:row>
          <xdr:rowOff>28575</xdr:rowOff>
        </xdr:from>
        <xdr:to>
          <xdr:col>12</xdr:col>
          <xdr:colOff>4695825</xdr:colOff>
          <xdr:row>47</xdr:row>
          <xdr:rowOff>285750</xdr:rowOff>
        </xdr:to>
        <xdr:sp macro="" textlink="">
          <xdr:nvSpPr>
            <xdr:cNvPr id="1085" name="TIButton5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2114550</xdr:colOff>
          <xdr:row>47</xdr:row>
          <xdr:rowOff>9525</xdr:rowOff>
        </xdr:from>
        <xdr:to>
          <xdr:col>11</xdr:col>
          <xdr:colOff>657225</xdr:colOff>
          <xdr:row>47</xdr:row>
          <xdr:rowOff>257175</xdr:rowOff>
        </xdr:to>
        <xdr:sp macro="" textlink="">
          <xdr:nvSpPr>
            <xdr:cNvPr id="1115" name="TIButton6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</sheetPr>
  <dimension ref="A1:M56"/>
  <sheetViews>
    <sheetView showGridLines="0" showRowColHeaders="0" tabSelected="1" showOutlineSymbols="0" topLeftCell="A46" workbookViewId="0">
      <pane ySplit="10" topLeftCell="A56" activePane="bottomLeft" state="frozen"/>
      <selection activeCell="I46" sqref="I46"/>
      <selection pane="bottomLeft"/>
    </sheetView>
  </sheetViews>
  <sheetFormatPr defaultRowHeight="15" outlineLevelRow="1" outlineLevelCol="1" x14ac:dyDescent="0.25"/>
  <cols>
    <col min="1" max="1" width="2.7109375" hidden="1" customWidth="1" outlineLevel="1"/>
    <col min="2" max="8" width="15.7109375" hidden="1" customWidth="1" outlineLevel="1"/>
    <col min="9" max="9" width="0.85546875" customWidth="1" collapsed="1"/>
    <col min="10" max="10" width="12.7109375" customWidth="1"/>
    <col min="11" max="11" width="50.7109375" customWidth="1"/>
    <col min="12" max="12" width="23" customWidth="1"/>
    <col min="13" max="13" width="70.7109375" customWidth="1"/>
  </cols>
  <sheetData>
    <row r="1" spans="1:13" hidden="1" outlineLevel="1" x14ac:dyDescent="0.25">
      <c r="A1" t="s">
        <v>3</v>
      </c>
    </row>
    <row r="2" spans="1:13" hidden="1" outlineLevel="1" x14ac:dyDescent="0.25">
      <c r="A2">
        <f>0</f>
        <v>0</v>
      </c>
      <c r="J2" s="10"/>
      <c r="K2" s="19"/>
      <c r="L2" s="18"/>
      <c r="M2" s="14"/>
    </row>
    <row r="3" spans="1:13" hidden="1" outlineLevel="1" x14ac:dyDescent="0.25">
      <c r="A3">
        <f>1</f>
        <v>1</v>
      </c>
      <c r="J3" s="10"/>
      <c r="K3" s="19"/>
      <c r="L3" s="18"/>
      <c r="M3" s="14"/>
    </row>
    <row r="4" spans="1:13" hidden="1" outlineLevel="1" x14ac:dyDescent="0.25">
      <c r="A4">
        <f>2</f>
        <v>2</v>
      </c>
      <c r="J4" s="10"/>
      <c r="K4" s="19"/>
      <c r="L4" s="18"/>
      <c r="M4" s="14"/>
    </row>
    <row r="5" spans="1:13" hidden="1" outlineLevel="1" x14ac:dyDescent="0.25">
      <c r="A5">
        <f>3</f>
        <v>3</v>
      </c>
      <c r="J5" s="10"/>
      <c r="K5" s="19"/>
      <c r="L5" s="18"/>
      <c r="M5" s="14"/>
    </row>
    <row r="6" spans="1:13" hidden="1" outlineLevel="1" x14ac:dyDescent="0.25">
      <c r="A6" t="s">
        <v>1</v>
      </c>
      <c r="J6" s="10"/>
      <c r="K6" s="19"/>
      <c r="L6" s="18"/>
      <c r="M6" s="14"/>
    </row>
    <row r="7" spans="1:13" hidden="1" outlineLevel="1" x14ac:dyDescent="0.25">
      <c r="A7" t="s">
        <v>2</v>
      </c>
      <c r="J7" s="10"/>
      <c r="K7" s="19"/>
      <c r="L7" s="18"/>
      <c r="M7" s="14"/>
    </row>
    <row r="8" spans="1:13" hidden="1" outlineLevel="1" x14ac:dyDescent="0.25">
      <c r="A8" t="s">
        <v>4</v>
      </c>
    </row>
    <row r="9" spans="1:13" hidden="1" outlineLevel="1" x14ac:dyDescent="0.25"/>
    <row r="10" spans="1:13" hidden="1" outlineLevel="1" x14ac:dyDescent="0.25">
      <c r="B10" s="20" t="s">
        <v>5</v>
      </c>
      <c r="C10" s="21"/>
      <c r="D10" s="22"/>
    </row>
    <row r="11" spans="1:13" hidden="1" outlineLevel="1" x14ac:dyDescent="0.25">
      <c r="B11" s="2" t="s">
        <v>6</v>
      </c>
      <c r="C11" s="3" t="s">
        <v>51</v>
      </c>
      <c r="D11" s="4"/>
    </row>
    <row r="12" spans="1:13" hidden="1" outlineLevel="1" x14ac:dyDescent="0.25">
      <c r="B12" s="2" t="s">
        <v>7</v>
      </c>
      <c r="C12" s="5" t="str" cm="1">
        <f t="array" aca="1" ref="C12" ca="1">_xll.VIEW(db_name&amp;":}ElementAttributes_}Clients","!","!")</f>
        <v>dcceew_geus:}ElementAttributes_}Clients</v>
      </c>
      <c r="D12" s="4"/>
    </row>
    <row r="13" spans="1:13" hidden="1" outlineLevel="1" x14ac:dyDescent="0.25">
      <c r="B13" s="2" t="s">
        <v>8</v>
      </c>
      <c r="C13" s="3" t="str" cm="1">
        <f t="array" aca="1" ref="C13" ca="1">_xll.TM1USER(db_name)</f>
        <v/>
      </c>
      <c r="D13" s="4"/>
    </row>
    <row r="14" spans="1:13" hidden="1" outlineLevel="1" x14ac:dyDescent="0.25">
      <c r="B14" s="2" t="s">
        <v>9</v>
      </c>
      <c r="C14" s="3" t="str" cm="1">
        <f t="array" aca="1" ref="C14" ca="1">_xll.DBR($C$12,psUser,$B14)</f>
        <v>*KEY_ERR</v>
      </c>
      <c r="D14" s="4"/>
    </row>
    <row r="15" spans="1:13" hidden="1" outlineLevel="1" x14ac:dyDescent="0.25">
      <c r="B15" s="2" t="s">
        <v>10</v>
      </c>
      <c r="C15" s="3" t="str" cm="1">
        <f t="array" aca="1" ref="C15" ca="1">_xll.DBR($C$12,$C$13,$B15)</f>
        <v>*KEY_ERR</v>
      </c>
      <c r="D15" s="4"/>
    </row>
    <row r="16" spans="1:13" hidden="1" outlineLevel="1" x14ac:dyDescent="0.25">
      <c r="B16" s="2" t="s">
        <v>11</v>
      </c>
      <c r="C16" s="3" t="str">
        <f ca="1">IF(LEFT($C$13,6)="CAM_AD",$C$14,$C$13)</f>
        <v/>
      </c>
      <c r="D16" s="6"/>
    </row>
    <row r="17" spans="2:8" hidden="1" outlineLevel="1" x14ac:dyDescent="0.25"/>
    <row r="18" spans="2:8" hidden="1" outlineLevel="1" x14ac:dyDescent="0.25">
      <c r="B18" s="20" t="s">
        <v>12</v>
      </c>
      <c r="C18" s="21"/>
      <c r="D18" s="22"/>
    </row>
    <row r="19" spans="2:8" hidden="1" outlineLevel="1" x14ac:dyDescent="0.25">
      <c r="B19" s="2" t="s">
        <v>13</v>
      </c>
      <c r="C19" s="6" t="str" cm="1">
        <f t="array" aca="1" ref="C19" ca="1">_xll.VIEW(db_name&amp;":}ElementAttributes_variables","!","!")</f>
        <v>dcceew_geus:}ElementAttributes_variables</v>
      </c>
      <c r="D19" s="6"/>
    </row>
    <row r="20" spans="2:8" hidden="1" outlineLevel="1" x14ac:dyDescent="0.25">
      <c r="B20" s="2" t="s">
        <v>14</v>
      </c>
      <c r="C20" s="6" t="str" cm="1">
        <f t="array" aca="1" ref="C20" ca="1">_xll.DBR($C$19,$B20,"value")</f>
        <v>*KEY_ERR</v>
      </c>
      <c r="D20" s="6"/>
    </row>
    <row r="21" spans="2:8" hidden="1" outlineLevel="1" x14ac:dyDescent="0.25">
      <c r="B21" s="2" t="s">
        <v>15</v>
      </c>
      <c r="C21" s="6" t="str" cm="1">
        <f t="array" aca="1" ref="C21" ca="1">_xll.DBR($C$19,$B21,"value")</f>
        <v>*KEY_ERR</v>
      </c>
      <c r="D21" s="6"/>
    </row>
    <row r="22" spans="2:8" hidden="1" outlineLevel="1" x14ac:dyDescent="0.25">
      <c r="B22" s="2" t="s">
        <v>16</v>
      </c>
      <c r="C22" s="6" t="str" cm="1">
        <f t="array" aca="1" ref="C22" ca="1">_xll.DBR($C$19,$B22,"value")</f>
        <v>*KEY_ERR</v>
      </c>
      <c r="D22" s="6"/>
    </row>
    <row r="23" spans="2:8" hidden="1" outlineLevel="1" x14ac:dyDescent="0.25">
      <c r="B23" s="2" t="s">
        <v>17</v>
      </c>
      <c r="C23" s="6" t="str" cm="1">
        <f t="array" aca="1" ref="C23" ca="1">_xll.DBR($C$19,$B23,"value")</f>
        <v>*KEY_ERR</v>
      </c>
      <c r="D23" s="6"/>
    </row>
    <row r="24" spans="2:8" hidden="1" outlineLevel="1" x14ac:dyDescent="0.25">
      <c r="B24" s="2" t="s">
        <v>18</v>
      </c>
      <c r="C24" s="6" t="str" cm="1">
        <f t="array" aca="1" ref="C24" ca="1">_xll.DBR($C$19,$B24,"value")</f>
        <v>*KEY_ERR</v>
      </c>
      <c r="D24" s="6"/>
    </row>
    <row r="25" spans="2:8" hidden="1" outlineLevel="1" x14ac:dyDescent="0.25">
      <c r="B25" s="2" t="s">
        <v>19</v>
      </c>
      <c r="C25" s="6" t="str" cm="1">
        <f t="array" aca="1" ref="C25" ca="1">_xll.DBR($C$19,$B25,"value")</f>
        <v>*KEY_ERR</v>
      </c>
      <c r="D25" s="6"/>
    </row>
    <row r="26" spans="2:8" hidden="1" outlineLevel="1" x14ac:dyDescent="0.25"/>
    <row r="27" spans="2:8" hidden="1" outlineLevel="1" x14ac:dyDescent="0.25">
      <c r="B27" s="20" t="s">
        <v>20</v>
      </c>
      <c r="C27" s="21"/>
      <c r="D27" s="22"/>
    </row>
    <row r="28" spans="2:8" hidden="1" outlineLevel="1" x14ac:dyDescent="0.25">
      <c r="B28" s="6" t="s">
        <v>21</v>
      </c>
      <c r="C28" s="6" t="str">
        <f t="array" aca="1" ref="C28" ca="1">_xll.VIEW(db_name&amp;":sys_application","!","!")</f>
        <v>dcceew_geus:sys_application</v>
      </c>
    </row>
    <row r="29" spans="2:8" hidden="1" outlineLevel="1" x14ac:dyDescent="0.25">
      <c r="B29" s="6" t="s">
        <v>22</v>
      </c>
      <c r="C29" s="6" t="s">
        <v>35</v>
      </c>
    </row>
    <row r="30" spans="2:8" hidden="1" outlineLevel="1" x14ac:dyDescent="0.25">
      <c r="B30" s="7" t="s">
        <v>24</v>
      </c>
      <c r="C30" s="8" t="s">
        <v>25</v>
      </c>
      <c r="D30" s="8" t="s">
        <v>26</v>
      </c>
      <c r="E30" s="8" t="s">
        <v>27</v>
      </c>
      <c r="F30" s="8" t="s">
        <v>28</v>
      </c>
      <c r="G30" s="8" t="s">
        <v>29</v>
      </c>
      <c r="H30" s="8" t="s">
        <v>30</v>
      </c>
    </row>
    <row r="31" spans="2:8" hidden="1" outlineLevel="1" x14ac:dyDescent="0.25">
      <c r="B31" s="6" t="s">
        <v>31</v>
      </c>
      <c r="C31" s="6" t="str" cm="1">
        <f t="array" aca="1" ref="C31" ca="1">_xll.DBR($C$28,$B31,C$30)</f>
        <v>*KEY_ERR</v>
      </c>
      <c r="D31" s="6" t="str" cm="1">
        <f t="array" aca="1" ref="D31" ca="1">_xll.DBR($C$28,$B31,D$30)</f>
        <v>*KEY_ERR</v>
      </c>
      <c r="E31" s="6" t="str" cm="1">
        <f t="array" aca="1" ref="E31" ca="1">_xll.DBR($C$28,$B31,E$30)</f>
        <v>*KEY_ERR</v>
      </c>
      <c r="F31" s="6" t="str" cm="1">
        <f t="array" aca="1" ref="F31" ca="1">_xll.DBR($C$28,$B31,F$30)</f>
        <v>*KEY_ERR</v>
      </c>
      <c r="G31" s="6" t="str" cm="1">
        <f t="array" aca="1" ref="G31" ca="1">_xll.DBR($C$28,$B31,G$30)</f>
        <v>*KEY_ERR</v>
      </c>
      <c r="H31" s="6" t="str" cm="1">
        <f t="array" aca="1" ref="H31" ca="1">_xll.DBR($C$28,$B31,H$30)</f>
        <v>*KEY_ERR</v>
      </c>
    </row>
    <row r="32" spans="2:8" hidden="1" outlineLevel="1" x14ac:dyDescent="0.25">
      <c r="B32" s="6" t="s">
        <v>32</v>
      </c>
      <c r="C32" s="6" t="str" cm="1">
        <f t="array" aca="1" ref="C32" ca="1">_xll.DBR($C$28,$B32,C$30)</f>
        <v>*KEY_ERR</v>
      </c>
      <c r="D32" s="6" t="str" cm="1">
        <f t="array" aca="1" ref="D32" ca="1">_xll.DBR($C$28,$B32,D$30)</f>
        <v>*KEY_ERR</v>
      </c>
      <c r="E32" s="6" t="str" cm="1">
        <f t="array" aca="1" ref="E32" ca="1">_xll.DBR($C$28,$B32,E$30)</f>
        <v>*KEY_ERR</v>
      </c>
      <c r="F32" s="6" t="str" cm="1">
        <f t="array" aca="1" ref="F32" ca="1">_xll.DBR($C$28,$B32,F$30)</f>
        <v>*KEY_ERR</v>
      </c>
      <c r="G32" s="6" t="str" cm="1">
        <f t="array" aca="1" ref="G32" ca="1">_xll.DBR($C$28,$B32,G$30)</f>
        <v>*KEY_ERR</v>
      </c>
      <c r="H32" s="6" t="str" cm="1">
        <f t="array" aca="1" ref="H32" ca="1">_xll.DBR($C$28,$B32,H$30)</f>
        <v>*KEY_ERR</v>
      </c>
    </row>
    <row r="33" spans="2:13" hidden="1" outlineLevel="1" x14ac:dyDescent="0.25">
      <c r="B33" s="6" t="s">
        <v>33</v>
      </c>
      <c r="C33" s="6" t="str" cm="1">
        <f t="array" aca="1" ref="C33" ca="1">_xll.DBR($C$28,$B33,C$30)</f>
        <v>*KEY_ERR</v>
      </c>
      <c r="D33" s="6" t="str" cm="1">
        <f t="array" aca="1" ref="D33" ca="1">_xll.DBR($C$28,$B33,D$30)</f>
        <v>*KEY_ERR</v>
      </c>
      <c r="E33" s="6" t="str" cm="1">
        <f t="array" aca="1" ref="E33" ca="1">_xll.DBR($C$28,$B33,E$30)</f>
        <v>*KEY_ERR</v>
      </c>
      <c r="F33" s="6" t="str" cm="1">
        <f t="array" aca="1" ref="F33" ca="1">_xll.DBR($C$28,$B33,F$30)</f>
        <v>*KEY_ERR</v>
      </c>
      <c r="G33" s="6" t="str" cm="1">
        <f t="array" aca="1" ref="G33" ca="1">_xll.DBR($C$28,$B33,G$30)</f>
        <v>*KEY_ERR</v>
      </c>
      <c r="H33" s="6" t="str" cm="1">
        <f t="array" aca="1" ref="H33" ca="1">_xll.DBR($C$28,$B33,H$30)</f>
        <v>*KEY_ERR</v>
      </c>
    </row>
    <row r="34" spans="2:13" hidden="1" outlineLevel="1" x14ac:dyDescent="0.25">
      <c r="B34" s="6" t="s">
        <v>34</v>
      </c>
      <c r="C34" s="6" t="str" cm="1">
        <f t="array" aca="1" ref="C34" ca="1">_xll.DBR($C$28,$B34,C$30)</f>
        <v>*KEY_ERR</v>
      </c>
      <c r="D34" s="6" t="str" cm="1">
        <f t="array" aca="1" ref="D34" ca="1">_xll.DBR($C$28,$B34,D$30)</f>
        <v>*KEY_ERR</v>
      </c>
      <c r="E34" s="6" t="str" cm="1">
        <f t="array" aca="1" ref="E34" ca="1">_xll.DBR($C$28,$B34,E$30)</f>
        <v>*KEY_ERR</v>
      </c>
      <c r="F34" s="6" t="str" cm="1">
        <f t="array" aca="1" ref="F34" ca="1">_xll.DBR($C$28,$B34,F$30)</f>
        <v>*KEY_ERR</v>
      </c>
      <c r="G34" s="6" t="str" cm="1">
        <f t="array" aca="1" ref="G34" ca="1">_xll.DBR($C$28,$B34,G$30)</f>
        <v>*KEY_ERR</v>
      </c>
      <c r="H34" s="6" t="str" cm="1">
        <f t="array" aca="1" ref="H34" ca="1">_xll.DBR($C$28,$B34,H$30)</f>
        <v>*KEY_ERR</v>
      </c>
    </row>
    <row r="35" spans="2:13" hidden="1" outlineLevel="1" x14ac:dyDescent="0.25">
      <c r="B35" s="6" t="s">
        <v>23</v>
      </c>
      <c r="C35" s="6" t="str" cm="1">
        <f t="array" aca="1" ref="C35" ca="1">_xll.DBR($C$28,$B35,C$30)</f>
        <v>*KEY_ERR</v>
      </c>
      <c r="D35" s="6" t="str" cm="1">
        <f t="array" aca="1" ref="D35" ca="1">_xll.DBR($C$28,$B35,D$30)</f>
        <v>*KEY_ERR</v>
      </c>
      <c r="E35" s="6" t="str" cm="1">
        <f t="array" aca="1" ref="E35" ca="1">_xll.DBR($C$28,$B35,E$30)</f>
        <v>*KEY_ERR</v>
      </c>
      <c r="F35" s="6" t="str" cm="1">
        <f t="array" aca="1" ref="F35" ca="1">_xll.DBR($C$28,$B35,F$30)</f>
        <v>*KEY_ERR</v>
      </c>
      <c r="G35" s="6" t="str" cm="1">
        <f t="array" aca="1" ref="G35" ca="1">_xll.DBR($C$28,$B35,G$30)</f>
        <v>*KEY_ERR</v>
      </c>
      <c r="H35" s="6" t="str" cm="1">
        <f t="array" aca="1" ref="H35" ca="1">_xll.DBR($C$28,$B35,H$30)</f>
        <v>*KEY_ERR</v>
      </c>
    </row>
    <row r="36" spans="2:13" hidden="1" outlineLevel="1" x14ac:dyDescent="0.25">
      <c r="B36" s="6" t="s">
        <v>35</v>
      </c>
      <c r="C36" s="6" t="str" cm="1">
        <f t="array" aca="1" ref="C36" ca="1">_xll.DBR($C$28,$B36,C$30)</f>
        <v>*KEY_ERR</v>
      </c>
      <c r="D36" s="6" t="str" cm="1">
        <f t="array" aca="1" ref="D36" ca="1">_xll.DBR($C$28,$B36,D$30)</f>
        <v>*KEY_ERR</v>
      </c>
      <c r="E36" s="6" t="str" cm="1">
        <f t="array" aca="1" ref="E36" ca="1">_xll.DBR($C$28,$B36,E$30)</f>
        <v>*KEY_ERR</v>
      </c>
      <c r="F36" s="6" t="str" cm="1">
        <f t="array" aca="1" ref="F36" ca="1">_xll.DBR($C$28,$B36,F$30)</f>
        <v>*KEY_ERR</v>
      </c>
      <c r="G36" s="6" t="str" cm="1">
        <f t="array" aca="1" ref="G36" ca="1">_xll.DBR($C$28,$B36,G$30)</f>
        <v>*KEY_ERR</v>
      </c>
      <c r="H36" s="6" t="str" cm="1">
        <f t="array" aca="1" ref="H36" ca="1">_xll.DBR($C$28,$B36,H$30)</f>
        <v>*KEY_ERR</v>
      </c>
    </row>
    <row r="37" spans="2:13" hidden="1" outlineLevel="1" x14ac:dyDescent="0.25">
      <c r="B37" s="6" t="s">
        <v>46</v>
      </c>
      <c r="C37" s="6" t="str" cm="1">
        <f t="array" aca="1" ref="C37" ca="1">_xll.DBR($C$28,$B37,C$30)</f>
        <v>*KEY_ERR</v>
      </c>
      <c r="D37" s="6" t="str" cm="1">
        <f t="array" aca="1" ref="D37" ca="1">_xll.DBR($C$28,$B37,D$30)</f>
        <v>*KEY_ERR</v>
      </c>
      <c r="E37" s="6" t="str" cm="1">
        <f t="array" aca="1" ref="E37" ca="1">_xll.DBR($C$28,$B37,E$30)</f>
        <v>*KEY_ERR</v>
      </c>
      <c r="F37" s="6" t="str" cm="1">
        <f t="array" aca="1" ref="F37" ca="1">_xll.DBR($C$28,$B37,F$30)</f>
        <v>*KEY_ERR</v>
      </c>
      <c r="G37" s="6" t="str" cm="1">
        <f t="array" aca="1" ref="G37" ca="1">_xll.DBR($C$28,$B37,G$30)</f>
        <v>*KEY_ERR</v>
      </c>
      <c r="H37" s="6" t="str" cm="1">
        <f t="array" aca="1" ref="H37" ca="1">_xll.DBR($C$28,$B37,H$30)</f>
        <v>*KEY_ERR</v>
      </c>
    </row>
    <row r="38" spans="2:13" hidden="1" outlineLevel="1" x14ac:dyDescent="0.25"/>
    <row r="39" spans="2:13" hidden="1" outlineLevel="1" x14ac:dyDescent="0.25">
      <c r="B39" s="20" t="s">
        <v>36</v>
      </c>
      <c r="C39" s="21"/>
      <c r="D39" s="22"/>
    </row>
    <row r="40" spans="2:13" hidden="1" outlineLevel="1" x14ac:dyDescent="0.25">
      <c r="B40" s="6" t="s">
        <v>37</v>
      </c>
      <c r="C40" s="6" t="str">
        <f t="array" aca="1" ref="C40" ca="1">_xll.TM1RPTVIEW(db_name&amp;":}ElementAttributes_favourites_id:2", 0,TM1RPTFMTRNG,TM1RPTFMTIDCOL)</f>
        <v>dcceew_geus:}ElementAttributes_favourites_id:2</v>
      </c>
      <c r="D40" s="6"/>
    </row>
    <row r="41" spans="2:13" hidden="1" outlineLevel="1" x14ac:dyDescent="0.25">
      <c r="B41" s="6" t="s">
        <v>38</v>
      </c>
      <c r="C41" s="6" t="str" cm="1">
        <f t="array" aca="1" ref="C41" ca="1">_xll.VIEW(db_name&amp;":}ElementAttributes_favourites_id","!","!")</f>
        <v>dcceew_geus:}ElementAttributes_favourites_id</v>
      </c>
      <c r="D41" s="6"/>
    </row>
    <row r="42" spans="2:13" hidden="1" outlineLevel="1" x14ac:dyDescent="0.25">
      <c r="B42" s="6" t="s">
        <v>39</v>
      </c>
      <c r="C42" s="6" t="str">
        <f>"{TM1FILTERBYLEVEL( {TM1DRILLDOWNMEMBER( {[favourites_id].[Total IDs]}, ALL, RECURSIVE )}, 0)}"</f>
        <v>{TM1FILTERBYLEVEL( {TM1DRILLDOWNMEMBER( {[favourites_id].[Total IDs]}, ALL, RECURSIVE )}, 0)}</v>
      </c>
      <c r="D42" s="6"/>
      <c r="K42" s="1" t="s">
        <v>44</v>
      </c>
      <c r="L42" s="1" t="s">
        <v>47</v>
      </c>
      <c r="M42" s="1" t="s">
        <v>0</v>
      </c>
    </row>
    <row r="43" spans="2:13" hidden="1" outlineLevel="1" x14ac:dyDescent="0.25"/>
    <row r="44" spans="2:13" hidden="1" outlineLevel="1" x14ac:dyDescent="0.25"/>
    <row r="45" spans="2:13" hidden="1" outlineLevel="1" x14ac:dyDescent="0.25"/>
    <row r="46" spans="2:13" ht="39.950000000000003" customHeight="1" collapsed="1" x14ac:dyDescent="0.25">
      <c r="I46" s="12"/>
      <c r="J46" s="12"/>
      <c r="K46" s="12"/>
      <c r="L46" s="12"/>
      <c r="M46" s="12" t="s">
        <v>45</v>
      </c>
    </row>
    <row r="47" spans="2:13" ht="4.5" customHeight="1" x14ac:dyDescent="0.25"/>
    <row r="48" spans="2:13" ht="24" customHeight="1" x14ac:dyDescent="0.25"/>
    <row r="49" spans="1:13" ht="1.5" customHeight="1" x14ac:dyDescent="0.25">
      <c r="I49" s="12"/>
      <c r="J49" s="12"/>
      <c r="K49" s="12"/>
      <c r="L49" s="12"/>
      <c r="M49" s="12"/>
    </row>
    <row r="50" spans="1:13" ht="4.5" customHeight="1" x14ac:dyDescent="0.25"/>
    <row r="51" spans="1:13" x14ac:dyDescent="0.25">
      <c r="J51" s="13" t="s">
        <v>42</v>
      </c>
    </row>
    <row r="52" spans="1:13" x14ac:dyDescent="0.25">
      <c r="J52" s="13" t="s">
        <v>50</v>
      </c>
    </row>
    <row r="53" spans="1:13" x14ac:dyDescent="0.25">
      <c r="J53" s="13" t="s">
        <v>49</v>
      </c>
    </row>
    <row r="54" spans="1:13" ht="4.5" customHeight="1" x14ac:dyDescent="0.25"/>
    <row r="55" spans="1:13" x14ac:dyDescent="0.25">
      <c r="J55" s="15" t="s">
        <v>41</v>
      </c>
      <c r="K55" s="15" t="s">
        <v>43</v>
      </c>
      <c r="L55" s="17" t="s">
        <v>48</v>
      </c>
      <c r="M55" s="15" t="s">
        <v>40</v>
      </c>
    </row>
    <row r="56" spans="1:13" x14ac:dyDescent="0.25">
      <c r="A56" t="str" cm="1">
        <f t="array" aca="1" ref="A56" ca="1">IF(_xll.TM1RPTELISCONSOLIDATED($J$56,$J56),IF(_xll.TM1RPTELLEV($J$56,$J56)&lt;=3,_xll.TM1RPTELLEV($J$56,$J56),"D"),"N")</f>
        <v>N</v>
      </c>
      <c r="J56" s="11" t="str">
        <f t="array" aca="1" ref="J56" ca="1">_xll.TM1RPTROW($C$40,db_name&amp;":favourites_id","","","",0,$C$42)</f>
        <v/>
      </c>
      <c r="K56" s="9" t="str" cm="1">
        <f t="array" aca="1" ref="K56" ca="1">_xll.DBRW($C$40,$J56,K$42)</f>
        <v/>
      </c>
      <c r="L56" s="16" t="str" cm="1">
        <f t="array" aca="1" ref="L56" ca="1">_xll.DBRW($C$40,$J56,L$42)</f>
        <v/>
      </c>
      <c r="M56" s="14" t="str" cm="1">
        <f t="array" aca="1" ref="M56" ca="1">_xll.DBRW($C$40,$J56,M$42)</f>
        <v/>
      </c>
    </row>
  </sheetData>
  <sheetProtection sheet="1" objects="1" scenarios="1"/>
  <mergeCells count="4">
    <mergeCell ref="B10:D10"/>
    <mergeCell ref="B18:D18"/>
    <mergeCell ref="B27:D27"/>
    <mergeCell ref="B39:D39"/>
  </mergeCells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85" r:id="rId4" name="TIButton5">
          <controlPr defaultSize="0" print="0" autoLine="0" r:id="rId5">
            <anchor moveWithCells="1" sizeWithCells="1">
              <from>
                <xdr:col>12</xdr:col>
                <xdr:colOff>4381500</xdr:colOff>
                <xdr:row>46</xdr:row>
                <xdr:rowOff>28575</xdr:rowOff>
              </from>
              <to>
                <xdr:col>12</xdr:col>
                <xdr:colOff>4695825</xdr:colOff>
                <xdr:row>47</xdr:row>
                <xdr:rowOff>285750</xdr:rowOff>
              </to>
            </anchor>
          </controlPr>
        </control>
      </mc:Choice>
      <mc:Fallback>
        <control shapeId="1085" r:id="rId4" name="TIButton5"/>
      </mc:Fallback>
    </mc:AlternateContent>
    <mc:AlternateContent xmlns:mc="http://schemas.openxmlformats.org/markup-compatibility/2006">
      <mc:Choice Requires="x14">
        <control shapeId="1084" r:id="rId6" name="TIButton4">
          <controlPr defaultSize="0" print="0" autoLine="0" r:id="rId7">
            <anchor moveWithCells="1" sizeWithCells="1">
              <from>
                <xdr:col>9</xdr:col>
                <xdr:colOff>714375</xdr:colOff>
                <xdr:row>47</xdr:row>
                <xdr:rowOff>9525</xdr:rowOff>
              </from>
              <to>
                <xdr:col>10</xdr:col>
                <xdr:colOff>990600</xdr:colOff>
                <xdr:row>47</xdr:row>
                <xdr:rowOff>257175</xdr:rowOff>
              </to>
            </anchor>
          </controlPr>
        </control>
      </mc:Choice>
      <mc:Fallback>
        <control shapeId="1084" r:id="rId6" name="TIButton4"/>
      </mc:Fallback>
    </mc:AlternateContent>
    <mc:AlternateContent xmlns:mc="http://schemas.openxmlformats.org/markup-compatibility/2006">
      <mc:Choice Requires="x14">
        <control shapeId="1083" r:id="rId8" name="TIButton3">
          <controlPr defaultSize="0" print="0" autoLine="0" r:id="rId9">
            <anchor moveWithCells="1" sizeWithCells="1">
              <from>
                <xdr:col>11</xdr:col>
                <xdr:colOff>714375</xdr:colOff>
                <xdr:row>47</xdr:row>
                <xdr:rowOff>9525</xdr:rowOff>
              </from>
              <to>
                <xdr:col>11</xdr:col>
                <xdr:colOff>1495425</xdr:colOff>
                <xdr:row>47</xdr:row>
                <xdr:rowOff>257175</xdr:rowOff>
              </to>
            </anchor>
          </controlPr>
        </control>
      </mc:Choice>
      <mc:Fallback>
        <control shapeId="1083" r:id="rId8" name="TIButton3"/>
      </mc:Fallback>
    </mc:AlternateContent>
    <mc:AlternateContent xmlns:mc="http://schemas.openxmlformats.org/markup-compatibility/2006">
      <mc:Choice Requires="x14">
        <control shapeId="1082" r:id="rId10" name="TIButton2">
          <controlPr defaultSize="0" print="0" autoLine="0" r:id="rId11">
            <anchor moveWithCells="1" sizeWithCells="1">
              <from>
                <xdr:col>10</xdr:col>
                <xdr:colOff>1019175</xdr:colOff>
                <xdr:row>47</xdr:row>
                <xdr:rowOff>9525</xdr:rowOff>
              </from>
              <to>
                <xdr:col>10</xdr:col>
                <xdr:colOff>2085975</xdr:colOff>
                <xdr:row>47</xdr:row>
                <xdr:rowOff>257175</xdr:rowOff>
              </to>
            </anchor>
          </controlPr>
        </control>
      </mc:Choice>
      <mc:Fallback>
        <control shapeId="1082" r:id="rId10" name="TIButton2"/>
      </mc:Fallback>
    </mc:AlternateContent>
    <mc:AlternateContent xmlns:mc="http://schemas.openxmlformats.org/markup-compatibility/2006">
      <mc:Choice Requires="x14">
        <control shapeId="1081" r:id="rId12" name="TIButton1">
          <controlPr defaultSize="0" print="0" autoLine="0" r:id="rId13">
            <anchor moveWithCells="1" sizeWithCells="1">
              <from>
                <xdr:col>9</xdr:col>
                <xdr:colOff>57150</xdr:colOff>
                <xdr:row>47</xdr:row>
                <xdr:rowOff>9525</xdr:rowOff>
              </from>
              <to>
                <xdr:col>9</xdr:col>
                <xdr:colOff>695325</xdr:colOff>
                <xdr:row>47</xdr:row>
                <xdr:rowOff>257175</xdr:rowOff>
              </to>
            </anchor>
          </controlPr>
        </control>
      </mc:Choice>
      <mc:Fallback>
        <control shapeId="1081" r:id="rId12" name="TIButton1"/>
      </mc:Fallback>
    </mc:AlternateContent>
    <mc:AlternateContent xmlns:mc="http://schemas.openxmlformats.org/markup-compatibility/2006">
      <mc:Choice Requires="x14">
        <control shapeId="1115" r:id="rId14" name="TIButton6">
          <controlPr defaultSize="0" print="0" autoLine="0" autoPict="0" r:id="rId15">
            <anchor moveWithCells="1" sizeWithCells="1">
              <from>
                <xdr:col>10</xdr:col>
                <xdr:colOff>2114550</xdr:colOff>
                <xdr:row>47</xdr:row>
                <xdr:rowOff>9525</xdr:rowOff>
              </from>
              <to>
                <xdr:col>11</xdr:col>
                <xdr:colOff>657225</xdr:colOff>
                <xdr:row>47</xdr:row>
                <xdr:rowOff>257175</xdr:rowOff>
              </to>
            </anchor>
          </controlPr>
        </control>
      </mc:Choice>
      <mc:Fallback>
        <control shapeId="1115" r:id="rId14" name="TIButton6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27</vt:i4>
      </vt:variant>
    </vt:vector>
  </HeadingPairs>
  <TitlesOfParts>
    <vt:vector size="28" baseType="lpstr">
      <vt:lpstr>favourite list</vt:lpstr>
      <vt:lpstr>db_name</vt:lpstr>
      <vt:lpstr>psApp</vt:lpstr>
      <vt:lpstr>psUser</vt:lpstr>
      <vt:lpstr>TM1AdminFavAccCAP</vt:lpstr>
      <vt:lpstr>TM1AdminFavAccWB</vt:lpstr>
      <vt:lpstr>TM1AdminFavAccWS</vt:lpstr>
      <vt:lpstr>TM1AdminFavListCAP</vt:lpstr>
      <vt:lpstr>TM1AdminFavListWB</vt:lpstr>
      <vt:lpstr>TM1AdminFavListWS</vt:lpstr>
      <vt:lpstr>TM1AdminFavProgCAP</vt:lpstr>
      <vt:lpstr>TM1AdminFavProgWB</vt:lpstr>
      <vt:lpstr>TM1AdminFavProgWS</vt:lpstr>
      <vt:lpstr>TM1HomeAdminFavCAP</vt:lpstr>
      <vt:lpstr>TM1HomeAdminFavWB</vt:lpstr>
      <vt:lpstr>TM1HomeAdminFavWS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'favourite list'!TM1RPTDATARNG2</vt:lpstr>
      <vt:lpstr>'favourite list'!TM1RPTFMTIDCOL</vt:lpstr>
      <vt:lpstr>'favourite list'!TM1RPTFMTRNG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2019-08-30T11:21:42Z</dcterms:created>
  <dcterms:modified xsi:type="dcterms:W3CDTF">2025-08-05T04:48:46Z</dcterms:modified>
</cp:coreProperties>
</file>