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37148D9C-DF8B-4BCB-B993-E8DE367D1E39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port" sheetId="1" r:id="rId1"/>
  </sheets>
  <definedNames>
    <definedName name="Account_list">report!$C$62:$C$69</definedName>
    <definedName name="db_name">report!$C$12</definedName>
    <definedName name="freeze_here">report!$N$107</definedName>
    <definedName name="ID" localSheetId="0" hidden="1">"8e0db5d5-4917-484a-a261-ea43c451d6eb"</definedName>
    <definedName name="Programme_Ctrl_List">report!$C$71:$C$73</definedName>
    <definedName name="psApp">report!$C$29</definedName>
    <definedName name="psUser">report!$C$14</definedName>
    <definedName name="RangeName_List">report!#REF!</definedName>
    <definedName name="TargetCells">report!$B$107:$B$107</definedName>
    <definedName name="TM1HomeAECAP">report!$D$32</definedName>
    <definedName name="TM1HomeAEWB">report!$F$32</definedName>
    <definedName name="TM1HomeAEWS">report!$H$32</definedName>
    <definedName name="TM1HomeCAP">report!$D$31</definedName>
    <definedName name="TM1HomeRepAnalyticalCAP">report!$D$35</definedName>
    <definedName name="TM1HomeRepAnalyticalWB">report!$F$35</definedName>
    <definedName name="TM1HomeRepAnalyticalWS">report!$H$35</definedName>
    <definedName name="TM1HomeRepCAP">report!$D$33</definedName>
    <definedName name="TM1HomeRepOtherCAP">report!$D$34</definedName>
    <definedName name="TM1HomeRepOtherWB">report!$F$34</definedName>
    <definedName name="TM1HomeRepOtherWS">report!$H$34</definedName>
    <definedName name="TM1HomeRepWB">report!$F$33</definedName>
    <definedName name="TM1HomeRepWS">report!$H$33</definedName>
    <definedName name="TM1HomeWB">report!$F$31</definedName>
    <definedName name="TM1HomeWS">report!$H$31</definedName>
    <definedName name="TM1REBUILDOPTION">0</definedName>
    <definedName name="TM1RptAEAppropQACAP">report!$D$36</definedName>
    <definedName name="TM1RptAEAppropQAWB">report!$F$36</definedName>
    <definedName name="TM1RptAEAppropQAWS">report!$H$36</definedName>
    <definedName name="TM1RptAppropOCProgCAP">report!$D$37</definedName>
    <definedName name="TM1RptAppropOCProgWB">report!$F$37</definedName>
    <definedName name="TM1RptAppropOCProgWS">report!$H$37</definedName>
    <definedName name="TM1RPTDATARNG1" localSheetId="0">report!$107:$107</definedName>
    <definedName name="TM1RPTFMTIDCOL" localSheetId="0">report!$A$1:$A$8</definedName>
    <definedName name="TM1RPTFMTRNG" localSheetId="0">report!$B$1:$AB$8</definedName>
    <definedName name="TM1RptProgMoveCAP">report!$D$38</definedName>
    <definedName name="TM1RptProgMoveWB">report!$F$38</definedName>
    <definedName name="TM1RptProgMoveWS">report!$H$38</definedName>
    <definedName name="TM1RptReasonMoveCAP">report!$D$39</definedName>
    <definedName name="TM1RptReasonMoveWB">report!$F$39</definedName>
    <definedName name="TM1RptReasonMoveWS">report!$H$39</definedName>
    <definedName name="TM1ViewAdj01HeaderCAP">report!$D$40</definedName>
    <definedName name="TM1ViewAdj01HeaderWB">report!$F$40</definedName>
    <definedName name="TM1ViewAdj01HeaderWS">report!$H$40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 a="1"/>
  <c r="C20" i="1" s="1"/>
  <c r="F83" i="1"/>
  <c r="F82" i="1"/>
  <c r="F81" i="1"/>
  <c r="C28" i="1" a="1"/>
  <c r="C28" i="1" s="1"/>
  <c r="C13" i="1" a="1"/>
  <c r="C13" i="1" s="1"/>
  <c r="V109" i="1"/>
  <c r="V99" i="1"/>
  <c r="A5" i="1"/>
  <c r="A4" i="1"/>
  <c r="A3" i="1"/>
  <c r="A2" i="1"/>
  <c r="C53" i="1" a="1"/>
  <c r="R100" i="1" a="1"/>
  <c r="C21" i="1" a="1"/>
  <c r="R95" i="1" a="1"/>
  <c r="C57" i="1" a="1"/>
  <c r="C55" i="1" a="1"/>
  <c r="G40" i="1" a="1"/>
  <c r="C40" i="1" a="1"/>
  <c r="E39" i="1" a="1"/>
  <c r="G38" i="1" a="1"/>
  <c r="C38" i="1" a="1"/>
  <c r="E37" i="1" a="1"/>
  <c r="G36" i="1" a="1"/>
  <c r="C36" i="1" a="1"/>
  <c r="E35" i="1" a="1"/>
  <c r="G34" i="1" a="1"/>
  <c r="C34" i="1" a="1"/>
  <c r="E33" i="1" a="1"/>
  <c r="G32" i="1" a="1"/>
  <c r="C32" i="1" a="1"/>
  <c r="E31" i="1" a="1"/>
  <c r="C24" i="1" a="1"/>
  <c r="R96" i="1" a="1"/>
  <c r="R99" i="1" a="1"/>
  <c r="C50" i="1" a="1"/>
  <c r="C56" i="1" a="1"/>
  <c r="A107" i="1" a="1"/>
  <c r="F40" i="1" a="1"/>
  <c r="H39" i="1" a="1"/>
  <c r="D39" i="1" a="1"/>
  <c r="F38" i="1" a="1"/>
  <c r="H37" i="1" a="1"/>
  <c r="D37" i="1" a="1"/>
  <c r="F36" i="1" a="1"/>
  <c r="H35" i="1" a="1"/>
  <c r="D35" i="1" a="1"/>
  <c r="F34" i="1" a="1"/>
  <c r="H33" i="1" a="1"/>
  <c r="D33" i="1" a="1"/>
  <c r="F32" i="1" a="1"/>
  <c r="H31" i="1" a="1"/>
  <c r="D31" i="1" a="1"/>
  <c r="C23" i="1" a="1"/>
  <c r="C51" i="1" a="1"/>
  <c r="F39" i="1" a="1"/>
  <c r="E38" i="1" a="1"/>
  <c r="D34" i="1" a="1"/>
  <c r="C33" i="1" a="1"/>
  <c r="C46" i="1" a="1"/>
  <c r="E40" i="1" a="1"/>
  <c r="D36" i="1" a="1"/>
  <c r="C35" i="1" a="1"/>
  <c r="C25" i="1" a="1"/>
  <c r="H38" i="1" a="1"/>
  <c r="E32" i="1" a="1"/>
  <c r="V93" i="1"/>
  <c r="G39" i="1" a="1"/>
  <c r="F35" i="1" a="1"/>
  <c r="C22" i="1" a="1"/>
  <c r="C31" i="1" a="1"/>
  <c r="V94" i="1"/>
  <c r="D38" i="1" a="1"/>
  <c r="C37" i="1" a="1"/>
  <c r="H32" i="1" a="1"/>
  <c r="G31" i="1" a="1"/>
  <c r="C58" i="1" a="1"/>
  <c r="G37" i="1" a="1"/>
  <c r="F33" i="1" a="1"/>
  <c r="H40" i="1" a="1"/>
  <c r="E34" i="1" a="1"/>
  <c r="C14" i="1" a="1"/>
  <c r="C47" i="1" a="1"/>
  <c r="F37" i="1" a="1"/>
  <c r="E36" i="1" a="1"/>
  <c r="D32" i="1" a="1"/>
  <c r="C52" i="1" a="1"/>
  <c r="R97" i="1"/>
  <c r="D40" i="1" a="1"/>
  <c r="C39" i="1" a="1"/>
  <c r="H34" i="1" a="1"/>
  <c r="G33" i="1" a="1"/>
  <c r="H36" i="1" a="1"/>
  <c r="G35" i="1" a="1"/>
  <c r="F31" i="1" a="1"/>
  <c r="R98" i="1" a="1"/>
  <c r="R98" i="1" l="1"/>
  <c r="F31" i="1"/>
  <c r="G35" i="1"/>
  <c r="H36" i="1"/>
  <c r="G33" i="1"/>
  <c r="H34" i="1"/>
  <c r="C39" i="1"/>
  <c r="D40" i="1"/>
  <c r="R104" i="1"/>
  <c r="B102" i="1"/>
  <c r="R103" i="1"/>
  <c r="C70" i="1"/>
  <c r="B103" i="1"/>
  <c r="C52" i="1"/>
  <c r="D32" i="1"/>
  <c r="E36" i="1"/>
  <c r="F37" i="1"/>
  <c r="C47" i="1"/>
  <c r="C14" i="1"/>
  <c r="E34" i="1"/>
  <c r="H40" i="1"/>
  <c r="F33" i="1"/>
  <c r="G37" i="1"/>
  <c r="C58" i="1"/>
  <c r="G31" i="1"/>
  <c r="H32" i="1"/>
  <c r="C37" i="1"/>
  <c r="D38" i="1"/>
  <c r="C78" i="1"/>
  <c r="C31" i="1"/>
  <c r="C22" i="1"/>
  <c r="F35" i="1"/>
  <c r="G39" i="1"/>
  <c r="E32" i="1"/>
  <c r="H38" i="1"/>
  <c r="C25" i="1"/>
  <c r="C35" i="1"/>
  <c r="D36" i="1"/>
  <c r="E40" i="1"/>
  <c r="C46" i="1"/>
  <c r="C33" i="1"/>
  <c r="D34" i="1"/>
  <c r="E38" i="1"/>
  <c r="F39" i="1"/>
  <c r="C51" i="1"/>
  <c r="C23" i="1"/>
  <c r="D31" i="1"/>
  <c r="H31" i="1"/>
  <c r="F32" i="1"/>
  <c r="D33" i="1"/>
  <c r="H33" i="1"/>
  <c r="F34" i="1"/>
  <c r="D35" i="1"/>
  <c r="H35" i="1"/>
  <c r="F36" i="1"/>
  <c r="D37" i="1"/>
  <c r="H37" i="1"/>
  <c r="F38" i="1"/>
  <c r="D39" i="1"/>
  <c r="H39" i="1"/>
  <c r="F40" i="1"/>
  <c r="A107" i="1"/>
  <c r="C56" i="1"/>
  <c r="C50" i="1"/>
  <c r="R99" i="1"/>
  <c r="C60" i="1" s="1"/>
  <c r="R96" i="1"/>
  <c r="C24" i="1"/>
  <c r="E31" i="1"/>
  <c r="C32" i="1"/>
  <c r="G32" i="1"/>
  <c r="E33" i="1"/>
  <c r="C34" i="1"/>
  <c r="G34" i="1"/>
  <c r="E35" i="1"/>
  <c r="C36" i="1"/>
  <c r="G36" i="1"/>
  <c r="E37" i="1"/>
  <c r="C38" i="1"/>
  <c r="G38" i="1"/>
  <c r="E39" i="1"/>
  <c r="C40" i="1"/>
  <c r="G40" i="1"/>
  <c r="C55" i="1"/>
  <c r="C57" i="1"/>
  <c r="R95" i="1"/>
  <c r="C21" i="1"/>
  <c r="R100" i="1"/>
  <c r="C53" i="1"/>
  <c r="C15" i="1" a="1"/>
  <c r="C16" i="1" a="1"/>
  <c r="R94" i="1" a="1"/>
  <c r="R93" i="1" a="1"/>
  <c r="R93" i="1" l="1"/>
  <c r="R94" i="1"/>
  <c r="R83" i="1" s="1"/>
  <c r="C16" i="1"/>
  <c r="C15" i="1"/>
  <c r="C17" i="1" s="1"/>
  <c r="E77" i="1"/>
  <c r="C77" i="1" s="1"/>
  <c r="D77" i="1"/>
  <c r="C44" i="1"/>
  <c r="D107" i="1" a="1"/>
  <c r="C107" i="1"/>
  <c r="B107" i="1" a="1"/>
  <c r="B107" i="1" l="1"/>
  <c r="Y107" i="1"/>
  <c r="D107" i="1"/>
  <c r="R82" i="1"/>
  <c r="C45" i="1"/>
  <c r="C81" i="1" a="1"/>
  <c r="C81" i="1" s="1"/>
  <c r="K107" i="1"/>
  <c r="L107" i="1" s="1"/>
  <c r="H107" i="1"/>
  <c r="G107" i="1" a="1"/>
  <c r="T82" i="1" a="1"/>
  <c r="U82" i="1" a="1"/>
  <c r="W82" i="1" a="1"/>
  <c r="V82" i="1" a="1"/>
  <c r="S82" i="1" a="1"/>
  <c r="J107" i="1"/>
  <c r="I107" i="1"/>
  <c r="S82" i="1" l="1"/>
  <c r="V82" i="1"/>
  <c r="W82" i="1"/>
  <c r="U82" i="1"/>
  <c r="T82" i="1"/>
  <c r="G107" i="1"/>
  <c r="R107" i="1" s="1"/>
  <c r="AA107" i="1"/>
  <c r="Z107" i="1"/>
  <c r="AB107" i="1"/>
  <c r="Q107" i="1"/>
  <c r="N107" i="1"/>
  <c r="S104" i="1" a="1"/>
  <c r="S103" i="1" a="1"/>
  <c r="S107" i="1"/>
  <c r="V104" i="1" a="1"/>
  <c r="V103" i="1" a="1"/>
  <c r="V107" i="1"/>
  <c r="W104" i="1" a="1"/>
  <c r="W103" i="1" a="1"/>
  <c r="W107" i="1"/>
  <c r="U104" i="1" a="1"/>
  <c r="U103" i="1" a="1"/>
  <c r="U107" i="1"/>
  <c r="T104" i="1" a="1"/>
  <c r="T103" i="1" a="1"/>
  <c r="T107" i="1"/>
  <c r="T103" i="1" l="1"/>
  <c r="T104" i="1"/>
  <c r="U103" i="1"/>
  <c r="U104" i="1"/>
  <c r="W103" i="1"/>
  <c r="W104" i="1"/>
  <c r="V103" i="1"/>
  <c r="V104" i="1"/>
  <c r="S103" i="1"/>
  <c r="S104" i="1"/>
  <c r="T102" i="1"/>
  <c r="T106" i="1"/>
  <c r="U106" i="1"/>
  <c r="U102" i="1"/>
  <c r="W106" i="1"/>
  <c r="W102" i="1"/>
  <c r="V106" i="1"/>
  <c r="V102" i="1"/>
  <c r="S102" i="1"/>
  <c r="S10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<sst xmlns="http://schemas.openxmlformats.org/spreadsheetml/2006/main" count="122" uniqueCount="113">
  <si>
    <t>headline year</t>
  </si>
  <si>
    <t>scenario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</si>
  <si>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</si>
  <si>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</si>
  <si>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</si>
  <si>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</si>
  <si>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</si>
  <si>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</si>
  <si>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</si>
  <si>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account</t>
  </si>
  <si>
    <t>appropriation item</t>
  </si>
  <si>
    <t>jurisdiction</t>
  </si>
  <si>
    <t>movement account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</si>
  <si>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</si>
  <si>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</si>
  <si>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</si>
  <si>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</si>
  <si>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</si>
  <si>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</si>
  <si>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</si>
  <si>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</si>
  <si>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</si>
  <si>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</si>
  <si>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</si>
  <si>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</si>
  <si>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</si>
  <si>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</si>
  <si>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</si>
  <si>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</si>
  <si>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</si>
  <si>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</si>
  <si>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</si>
  <si>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</si>
  <si>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</si>
  <si>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</si>
  <si>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</si>
  <si>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</si>
  <si>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</si>
  <si>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</si>
  <si>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</si>
  <si>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</si>
  <si>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</si>
  <si>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Application Formula (DO NOT DELETE)</t>
  </si>
  <si>
    <t>=DBR($C$28,$B35,C$30)</t>
  </si>
  <si>
    <t>AF Report View</t>
  </si>
  <si>
    <t>Account Type Selected</t>
  </si>
  <si>
    <t>Account_List_Map:</t>
  </si>
  <si>
    <t>1000000 - Total Revenue</t>
  </si>
  <si>
    <t>2241000 - Depreciation</t>
  </si>
  <si>
    <t>200000 - Total Expenses</t>
  </si>
  <si>
    <t>9000515 - Gross Cash Receipts</t>
  </si>
  <si>
    <t>9000510 - Gross Cash payments</t>
  </si>
  <si>
    <t>9000700 - High-level budget impacts</t>
  </si>
  <si>
    <t>9000701 - Underlying cash balance HLI</t>
  </si>
  <si>
    <t>9000702 - Fiscal balance HLI</t>
  </si>
  <si>
    <t>Report MDX</t>
  </si>
  <si>
    <t>ID MDX</t>
  </si>
  <si>
    <t>Period Variables</t>
  </si>
  <si>
    <t>REPORT PARAMETERS</t>
  </si>
  <si>
    <t>Op/Cl Bal &amp; Adjustments</t>
  </si>
  <si>
    <t>Programme MDX</t>
  </si>
  <si>
    <t>Departmental Programmes</t>
  </si>
  <si>
    <t>Total Programmes</t>
  </si>
  <si>
    <t>Administered Programmes</t>
  </si>
  <si>
    <t>Programme Selected</t>
  </si>
  <si>
    <t>Programmme_Ctrl_List</t>
  </si>
  <si>
    <t>Homepage - Reports - Other</t>
  </si>
  <si>
    <t>Homepage - Reports - Analytical</t>
  </si>
  <si>
    <t>Reports - Annual Estimates Appropriation QA Report</t>
  </si>
  <si>
    <t>Reports - Appropriation By Outcome Program Report</t>
  </si>
  <si>
    <t>Reports - Summary Movement By Program</t>
  </si>
  <si>
    <t>Reports - Summary Movement By Reason Code</t>
  </si>
  <si>
    <t>Report View</t>
  </si>
  <si>
    <t>Headline Year :</t>
  </si>
  <si>
    <t>Scenario :</t>
  </si>
  <si>
    <t>Status  :</t>
  </si>
  <si>
    <t>Program :</t>
  </si>
  <si>
    <t>Account :</t>
  </si>
  <si>
    <t>AE ID Details</t>
  </si>
  <si>
    <t>View Statement</t>
  </si>
  <si>
    <t>sys_title</t>
  </si>
  <si>
    <t>Adjustment Title</t>
  </si>
  <si>
    <t>Program</t>
  </si>
  <si>
    <t>Summary of movement by Program</t>
  </si>
  <si>
    <t>Note : View Adjustment is only available on Individual ID. (Opening Balance and Closing Balance is not a valid ID)</t>
  </si>
  <si>
    <t>Data Entry - View Adj 01 - Header Details</t>
  </si>
  <si>
    <t>{{[id].[0BASE]},{TM1FILTERBYLEVEL( {TM1DRILLDOWNMEMBER( {[id].[New adjustments]}, ALL, RECURSIVE )}, 0)},{[id].[Total IDs]}}</t>
  </si>
  <si>
    <t>As at</t>
  </si>
  <si>
    <t xml:space="preserve">Note : Click along these columns to view an adjustment. </t>
  </si>
  <si>
    <t>ID</t>
  </si>
  <si>
    <t>Movement Account :</t>
  </si>
  <si>
    <t>Outcome :</t>
  </si>
  <si>
    <t>Measure Code :</t>
  </si>
  <si>
    <t>0BASE</t>
  </si>
  <si>
    <t>Total IDs</t>
  </si>
  <si>
    <t>DISPLAY OPTIONS</t>
  </si>
  <si>
    <t xml:space="preserve">Program CBMS Level : </t>
  </si>
  <si>
    <t>CBMS Measure Code</t>
  </si>
  <si>
    <t>CBMS Measure Name</t>
  </si>
  <si>
    <t>Published Measure Name</t>
  </si>
  <si>
    <t>Appropriation Type</t>
  </si>
  <si>
    <t>TITLE</t>
  </si>
  <si>
    <t>CBMS measure code</t>
  </si>
  <si>
    <t>Government Measures</t>
  </si>
  <si>
    <t>VIEW</t>
  </si>
  <si>
    <t>title</t>
  </si>
  <si>
    <t>measure published title</t>
  </si>
  <si>
    <t>code and description</t>
  </si>
  <si>
    <t>Appropriation Type MDX</t>
  </si>
  <si>
    <t>{[appropriation type].[Total approp types]}</t>
  </si>
  <si>
    <t xml:space="preserve">Expand Approp Type : </t>
  </si>
  <si>
    <t>{TM1FILTERBYLEVEL({TM1DRILLDOWNMEMBER( {[appropriation type].[Total approp types]}, ALL, RECURSIVE )}, 0)}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</si>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</sst>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 &quot;@"/>
    <numFmt numFmtId="165" formatCode="_(* #,##0_);[Red]_(* \(#,##0\);_(* &quot;-&quot;??_);_(@_)"/>
    <numFmt numFmtId="166" formatCode="dd\ mmmm\ yyyy\ h:mm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3" borderId="3" xfId="0" applyFill="1" applyBorder="1" applyAlignment="1">
      <alignment vertical="top" wrapText="1"/>
    </xf>
    <xf numFmtId="0" fontId="0" fillId="3" borderId="3" xfId="0" quotePrefix="1" applyFill="1" applyBorder="1" applyAlignment="1">
      <alignment vertical="top"/>
    </xf>
    <xf numFmtId="0" fontId="0" fillId="3" borderId="0" xfId="0" quotePrefix="1" applyFill="1" applyAlignment="1">
      <alignment vertical="top"/>
    </xf>
    <xf numFmtId="0" fontId="2" fillId="0" borderId="0" xfId="0" applyFont="1" applyAlignment="1">
      <alignment vertical="top" wrapText="1"/>
    </xf>
    <xf numFmtId="0" fontId="0" fillId="0" borderId="4" xfId="0" applyBorder="1" applyAlignment="1">
      <alignment vertical="top"/>
    </xf>
    <xf numFmtId="0" fontId="2" fillId="2" borderId="1" xfId="0" applyFont="1" applyFill="1" applyBorder="1"/>
    <xf numFmtId="0" fontId="0" fillId="2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right" vertical="top"/>
    </xf>
    <xf numFmtId="0" fontId="2" fillId="2" borderId="0" xfId="0" applyFont="1" applyFill="1" applyAlignment="1">
      <alignment horizontal="center" vertical="top"/>
    </xf>
    <xf numFmtId="0" fontId="0" fillId="0" borderId="0" xfId="0" applyAlignment="1" applyProtection="1">
      <alignment horizontal="left" vertical="top"/>
      <protection locked="0"/>
    </xf>
    <xf numFmtId="0" fontId="2" fillId="0" borderId="3" xfId="0" applyFont="1" applyBorder="1"/>
    <xf numFmtId="0" fontId="0" fillId="0" borderId="0" xfId="0" applyAlignment="1">
      <alignment horizontal="left"/>
    </xf>
    <xf numFmtId="0" fontId="2" fillId="4" borderId="3" xfId="0" applyFont="1" applyFill="1" applyBorder="1"/>
    <xf numFmtId="0" fontId="0" fillId="4" borderId="3" xfId="0" applyFill="1" applyBorder="1"/>
    <xf numFmtId="0" fontId="2" fillId="0" borderId="0" xfId="0" applyFont="1" applyAlignment="1">
      <alignment horizontal="right" indent="1"/>
    </xf>
    <xf numFmtId="165" fontId="3" fillId="0" borderId="3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1" fillId="5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right"/>
    </xf>
    <xf numFmtId="0" fontId="5" fillId="7" borderId="3" xfId="0" applyFont="1" applyFill="1" applyBorder="1"/>
    <xf numFmtId="165" fontId="6" fillId="7" borderId="3" xfId="0" applyNumberFormat="1" applyFont="1" applyFill="1" applyBorder="1"/>
    <xf numFmtId="0" fontId="7" fillId="0" borderId="0" xfId="0" applyFont="1" applyAlignment="1">
      <alignment vertical="top"/>
    </xf>
    <xf numFmtId="0" fontId="0" fillId="0" borderId="3" xfId="0" applyBorder="1" applyAlignment="1" applyProtection="1">
      <alignment horizontal="left" vertical="top" indent="1"/>
      <protection locked="0"/>
    </xf>
    <xf numFmtId="0" fontId="2" fillId="0" borderId="0" xfId="0" applyFont="1" applyAlignment="1">
      <alignment horizontal="right"/>
    </xf>
    <xf numFmtId="0" fontId="2" fillId="4" borderId="3" xfId="0" applyFont="1" applyFill="1" applyBorder="1" applyAlignment="1">
      <alignment vertical="top" wrapText="1"/>
    </xf>
    <xf numFmtId="0" fontId="0" fillId="0" borderId="3" xfId="0" applyBorder="1" applyAlignment="1" applyProtection="1">
      <alignment horizontal="left" indent="1"/>
      <protection locked="0"/>
    </xf>
    <xf numFmtId="166" fontId="2" fillId="0" borderId="0" xfId="0" applyNumberFormat="1" applyFont="1" applyAlignment="1">
      <alignment horizontal="left" indent="1"/>
    </xf>
    <xf numFmtId="0" fontId="8" fillId="0" borderId="3" xfId="0" applyFont="1" applyBorder="1" applyAlignment="1">
      <alignment horizontal="right" indent="1"/>
    </xf>
    <xf numFmtId="165" fontId="8" fillId="7" borderId="3" xfId="0" applyNumberFormat="1" applyFont="1" applyFill="1" applyBorder="1"/>
    <xf numFmtId="164" fontId="0" fillId="0" borderId="3" xfId="0" applyNumberFormat="1" applyBorder="1"/>
    <xf numFmtId="0" fontId="0" fillId="0" borderId="3" xfId="0" applyBorder="1" applyAlignment="1" applyProtection="1">
      <alignment horizontal="center" vertical="top"/>
      <protection locked="0"/>
    </xf>
    <xf numFmtId="164" fontId="2" fillId="0" borderId="3" xfId="0" applyNumberFormat="1" applyFont="1" applyBorder="1"/>
    <xf numFmtId="0" fontId="1" fillId="5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top" wrapText="1"/>
    </xf>
    <xf numFmtId="0" fontId="6" fillId="7" borderId="3" xfId="0" applyFont="1" applyFill="1" applyBorder="1"/>
    <xf numFmtId="0" fontId="6" fillId="7" borderId="3" xfId="0" applyFont="1" applyFill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166" fontId="2" fillId="0" borderId="0" xfId="0" applyNumberFormat="1" applyFont="1" applyAlignment="1">
      <alignment horizontal="left" indent="1"/>
    </xf>
    <xf numFmtId="0" fontId="7" fillId="0" borderId="9" xfId="0" applyFont="1" applyBorder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center" vertical="top"/>
      <protection locked="0"/>
    </xf>
    <xf numFmtId="0" fontId="1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0</xdr:row>
      <xdr:rowOff>0</xdr:rowOff>
    </xdr:from>
    <xdr:to>
      <xdr:col>14</xdr:col>
      <xdr:colOff>251374</xdr:colOff>
      <xdr:row>84</xdr:row>
      <xdr:rowOff>480722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822999" cy="479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</xdr:colOff>
          <xdr:row>86</xdr:row>
          <xdr:rowOff>9525</xdr:rowOff>
        </xdr:from>
        <xdr:to>
          <xdr:col>13</xdr:col>
          <xdr:colOff>628650</xdr:colOff>
          <xdr:row>86</xdr:row>
          <xdr:rowOff>257175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666750</xdr:colOff>
          <xdr:row>86</xdr:row>
          <xdr:rowOff>9525</xdr:rowOff>
        </xdr:from>
        <xdr:to>
          <xdr:col>13</xdr:col>
          <xdr:colOff>1485900</xdr:colOff>
          <xdr:row>86</xdr:row>
          <xdr:rowOff>257175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1514475</xdr:colOff>
          <xdr:row>86</xdr:row>
          <xdr:rowOff>9525</xdr:rowOff>
        </xdr:from>
        <xdr:to>
          <xdr:col>14</xdr:col>
          <xdr:colOff>1323975</xdr:colOff>
          <xdr:row>86</xdr:row>
          <xdr:rowOff>257175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1114425</xdr:colOff>
          <xdr:row>86</xdr:row>
          <xdr:rowOff>9525</xdr:rowOff>
        </xdr:from>
        <xdr:to>
          <xdr:col>17</xdr:col>
          <xdr:colOff>742950</xdr:colOff>
          <xdr:row>86</xdr:row>
          <xdr:rowOff>257175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533400</xdr:colOff>
          <xdr:row>85</xdr:row>
          <xdr:rowOff>19050</xdr:rowOff>
        </xdr:from>
        <xdr:to>
          <xdr:col>23</xdr:col>
          <xdr:colOff>0</xdr:colOff>
          <xdr:row>86</xdr:row>
          <xdr:rowOff>276225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1343025</xdr:colOff>
          <xdr:row>86</xdr:row>
          <xdr:rowOff>9525</xdr:rowOff>
        </xdr:from>
        <xdr:to>
          <xdr:col>16</xdr:col>
          <xdr:colOff>133350</xdr:colOff>
          <xdr:row>86</xdr:row>
          <xdr:rowOff>257175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86</xdr:row>
          <xdr:rowOff>9525</xdr:rowOff>
        </xdr:from>
        <xdr:to>
          <xdr:col>16</xdr:col>
          <xdr:colOff>1066800</xdr:colOff>
          <xdr:row>86</xdr:row>
          <xdr:rowOff>257175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V109"/>
  <sheetViews>
    <sheetView showGridLines="0" tabSelected="1" showOutlineSymbols="0" topLeftCell="M85" zoomScale="110" zoomScaleNormal="110" workbookViewId="0">
      <pane ySplit="22" topLeftCell="A107" activePane="bottomLeft" state="frozen"/>
      <selection activeCell="M85" sqref="M85"/>
      <selection pane="bottomLeft"/>
    </sheetView>
  </sheetViews>
  <sheetFormatPr defaultRowHeight="15" outlineLevelRow="1" outlineLevelCol="1" x14ac:dyDescent="0.25"/>
  <cols>
    <col min="1" max="1" width="18.7109375" hidden="1" customWidth="1" outlineLevel="1"/>
    <col min="2" max="2" width="26.7109375" hidden="1" customWidth="1" outlineLevel="1"/>
    <col min="3" max="12" width="33.140625" hidden="1" customWidth="1" outlineLevel="1"/>
    <col min="13" max="13" width="0.85546875" customWidth="1" collapsed="1"/>
    <col min="14" max="14" width="23.140625" customWidth="1"/>
    <col min="15" max="15" width="25" customWidth="1"/>
    <col min="16" max="16" width="16.42578125" customWidth="1"/>
    <col min="17" max="17" width="17.28515625" customWidth="1"/>
    <col min="18" max="18" width="60.7109375" customWidth="1"/>
    <col min="19" max="23" width="12.7109375" customWidth="1"/>
    <col min="24" max="24" width="0.85546875" customWidth="1"/>
    <col min="25" max="25" width="36.5703125" customWidth="1"/>
    <col min="26" max="26" width="19" customWidth="1"/>
    <col min="27" max="27" width="19.85546875" customWidth="1"/>
    <col min="28" max="28" width="37.5703125" customWidth="1"/>
  </cols>
  <sheetData>
    <row r="1" spans="1:48" hidden="1" outlineLevel="1" x14ac:dyDescent="0.25">
      <c r="A1" t="s">
        <v>15</v>
      </c>
      <c r="N1" s="27"/>
      <c r="O1" s="27"/>
      <c r="P1" s="27"/>
    </row>
    <row r="2" spans="1:48" hidden="1" outlineLevel="1" x14ac:dyDescent="0.25">
      <c r="A2">
        <f>0</f>
        <v>0</v>
      </c>
      <c r="B2" s="26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55"/>
      <c r="O2" s="55"/>
      <c r="P2" s="55"/>
      <c r="Q2" s="35"/>
      <c r="R2" s="36"/>
      <c r="S2" s="37"/>
      <c r="T2" s="37"/>
      <c r="U2" s="37"/>
      <c r="V2" s="37"/>
      <c r="W2" s="37"/>
      <c r="Y2" s="51"/>
      <c r="Z2" s="52"/>
      <c r="AA2" s="51"/>
      <c r="AB2" s="51"/>
    </row>
    <row r="3" spans="1:48" hidden="1" outlineLevel="1" x14ac:dyDescent="0.25">
      <c r="A3">
        <f>1</f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5"/>
      <c r="O3" s="55"/>
      <c r="P3" s="55"/>
      <c r="Q3" s="33"/>
      <c r="R3" s="32"/>
      <c r="S3" s="31"/>
      <c r="T3" s="31"/>
      <c r="U3" s="31"/>
      <c r="V3" s="31"/>
      <c r="W3" s="31"/>
      <c r="Y3" s="53"/>
      <c r="Z3" s="54"/>
      <c r="AA3" s="53"/>
      <c r="AB3" s="53"/>
    </row>
    <row r="4" spans="1:48" hidden="1" outlineLevel="1" x14ac:dyDescent="0.25">
      <c r="A4">
        <f>2</f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5"/>
      <c r="O4" s="55"/>
      <c r="P4" s="55"/>
      <c r="Q4" s="33"/>
      <c r="R4" s="32"/>
      <c r="S4" s="31"/>
      <c r="T4" s="31"/>
      <c r="U4" s="31"/>
      <c r="V4" s="31"/>
      <c r="W4" s="31"/>
      <c r="Y4" s="53"/>
      <c r="Z4" s="54"/>
      <c r="AA4" s="53"/>
      <c r="AB4" s="53"/>
    </row>
    <row r="5" spans="1:48" hidden="1" outlineLevel="1" x14ac:dyDescent="0.25">
      <c r="A5">
        <f>3</f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5"/>
      <c r="O5" s="55"/>
      <c r="P5" s="55"/>
      <c r="Q5" s="33"/>
      <c r="R5" s="32"/>
      <c r="S5" s="31"/>
      <c r="T5" s="31"/>
      <c r="U5" s="31"/>
      <c r="V5" s="31"/>
      <c r="W5" s="31"/>
      <c r="Y5" s="53"/>
      <c r="Z5" s="54"/>
      <c r="AA5" s="53"/>
      <c r="AB5" s="53"/>
    </row>
    <row r="6" spans="1:48" hidden="1" outlineLevel="1" x14ac:dyDescent="0.25">
      <c r="A6" t="s">
        <v>13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5"/>
      <c r="O6" s="55"/>
      <c r="P6" s="55"/>
      <c r="Q6" s="33"/>
      <c r="R6" s="32"/>
      <c r="S6" s="31"/>
      <c r="T6" s="31"/>
      <c r="U6" s="31"/>
      <c r="V6" s="31"/>
      <c r="W6" s="31"/>
      <c r="Y6" s="53"/>
      <c r="Z6" s="54"/>
      <c r="AA6" s="53"/>
      <c r="AB6" s="53"/>
    </row>
    <row r="7" spans="1:48" hidden="1" outlineLevel="1" x14ac:dyDescent="0.25">
      <c r="A7" t="s">
        <v>14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55"/>
      <c r="O7" s="55"/>
      <c r="P7" s="55"/>
      <c r="Q7" s="33"/>
      <c r="R7" s="32"/>
      <c r="S7" s="31"/>
      <c r="T7" s="31"/>
      <c r="U7" s="31"/>
      <c r="V7" s="31"/>
      <c r="W7" s="31"/>
      <c r="Y7" s="53"/>
      <c r="Z7" s="54"/>
      <c r="AA7" s="53"/>
      <c r="AB7" s="53"/>
    </row>
    <row r="8" spans="1:48" hidden="1" outlineLevel="1" x14ac:dyDescent="0.25">
      <c r="A8" t="s">
        <v>16</v>
      </c>
    </row>
    <row r="9" spans="1:48" s="1" customFormat="1" hidden="1" outlineLevel="1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Z9" s="3"/>
      <c r="AE9" s="3"/>
      <c r="AG9" s="3"/>
    </row>
    <row r="10" spans="1:48" s="1" customFormat="1" hidden="1" outlineLevel="1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Z10" s="3"/>
      <c r="AE10" s="3"/>
      <c r="AG10" s="3"/>
      <c r="AJ10" s="4"/>
      <c r="AK10" s="4"/>
      <c r="AL10" s="4"/>
      <c r="AM10" s="4"/>
      <c r="AN10" s="4"/>
      <c r="AO10" s="4"/>
      <c r="AP10" s="4"/>
      <c r="AQ10" s="4"/>
      <c r="AR10" s="3"/>
      <c r="AT10" s="3"/>
      <c r="AV10" s="3"/>
    </row>
    <row r="11" spans="1:48" s="1" customFormat="1" hidden="1" outlineLevel="1" x14ac:dyDescent="0.25">
      <c r="B11" s="56" t="s">
        <v>17</v>
      </c>
      <c r="C11" s="5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Y11" s="3"/>
      <c r="AE11" s="3"/>
      <c r="AG11" s="3"/>
      <c r="AJ11" s="4"/>
      <c r="AK11" s="4"/>
      <c r="AL11" s="4"/>
      <c r="AM11" s="4"/>
      <c r="AN11" s="4"/>
      <c r="AO11" s="4"/>
      <c r="AP11" s="4"/>
      <c r="AQ11" s="4"/>
      <c r="AR11" s="3"/>
      <c r="AT11" s="3"/>
      <c r="AV11" s="3"/>
    </row>
    <row r="12" spans="1:48" s="1" customFormat="1" hidden="1" outlineLevel="1" x14ac:dyDescent="0.25">
      <c r="B12" s="5" t="s">
        <v>18</v>
      </c>
      <c r="C12" s="6" t="s">
        <v>112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Y12" s="3"/>
      <c r="AE12" s="3"/>
      <c r="AG12" s="3"/>
      <c r="AJ12" s="4"/>
      <c r="AK12" s="4"/>
      <c r="AL12" s="4"/>
      <c r="AM12" s="4"/>
      <c r="AN12" s="4"/>
      <c r="AO12" s="4"/>
      <c r="AP12" s="4"/>
      <c r="AQ12" s="4"/>
      <c r="AR12" s="3"/>
      <c r="AT12" s="3"/>
      <c r="AV12" s="3"/>
    </row>
    <row r="13" spans="1:48" s="1" customFormat="1" hidden="1" outlineLevel="1" x14ac:dyDescent="0.25">
      <c r="B13" s="5" t="s">
        <v>19</v>
      </c>
      <c r="C13" s="7" t="e" cm="1">
        <f t="array" aca="1" ref="C13" ca="1">_xll.VIEW(db_name&amp;":}ElementAttributes_}Clients","!","!")</f>
        <v>#NAME?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Y13" s="3"/>
      <c r="AE13" s="3"/>
      <c r="AG13" s="3"/>
      <c r="AJ13" s="4"/>
      <c r="AK13" s="4"/>
      <c r="AL13" s="4"/>
      <c r="AM13" s="4"/>
      <c r="AN13" s="4"/>
      <c r="AO13" s="4"/>
      <c r="AP13" s="4"/>
      <c r="AQ13" s="4"/>
      <c r="AR13" s="3"/>
      <c r="AT13" s="3"/>
      <c r="AV13" s="3"/>
    </row>
    <row r="14" spans="1:48" s="1" customFormat="1" hidden="1" outlineLevel="1" x14ac:dyDescent="0.25">
      <c r="B14" s="5" t="s">
        <v>20</v>
      </c>
      <c r="C14" s="6" t="e" cm="1">
        <f t="array" aca="1" ref="C14" ca="1">_xll.TM1USER(db_name)</f>
        <v>#NAME?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Y14" s="3"/>
      <c r="AE14" s="3"/>
      <c r="AG14" s="3"/>
      <c r="AJ14" s="4"/>
      <c r="AK14" s="4"/>
      <c r="AL14" s="4"/>
      <c r="AM14" s="4"/>
      <c r="AN14" s="4"/>
      <c r="AO14" s="4"/>
      <c r="AP14" s="4"/>
      <c r="AQ14" s="4"/>
      <c r="AR14" s="3"/>
      <c r="AT14" s="3"/>
      <c r="AV14" s="3"/>
    </row>
    <row r="15" spans="1:48" s="1" customFormat="1" hidden="1" outlineLevel="1" x14ac:dyDescent="0.25">
      <c r="B15" s="5" t="s">
        <v>21</v>
      </c>
      <c r="C15" s="6" t="e" cm="1">
        <f t="array" aca="1" ref="C15" ca="1">_xll.DBR($C$13,$C$14,$B15)</f>
        <v>#NAME?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Y15" s="3"/>
      <c r="AE15" s="3"/>
      <c r="AG15" s="3"/>
      <c r="AJ15" s="4"/>
      <c r="AK15" s="4"/>
      <c r="AL15" s="4"/>
      <c r="AM15" s="4"/>
      <c r="AN15" s="4"/>
      <c r="AO15" s="4"/>
      <c r="AP15" s="4"/>
      <c r="AQ15" s="4"/>
      <c r="AR15" s="3"/>
      <c r="AT15" s="3"/>
      <c r="AV15" s="3"/>
    </row>
    <row r="16" spans="1:48" s="1" customFormat="1" hidden="1" outlineLevel="1" x14ac:dyDescent="0.25">
      <c r="B16" s="5" t="s">
        <v>22</v>
      </c>
      <c r="C16" s="6" t="e" cm="1">
        <f t="array" aca="1" ref="C16" ca="1">_xll.DBR($C$13,$C$14,$B16)</f>
        <v>#NAME?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Y16" s="3"/>
      <c r="AE16" s="3"/>
      <c r="AG16" s="3"/>
      <c r="AJ16" s="4"/>
      <c r="AK16" s="4"/>
      <c r="AL16" s="4"/>
      <c r="AM16" s="4"/>
      <c r="AN16" s="4"/>
      <c r="AO16" s="4"/>
      <c r="AP16" s="4"/>
      <c r="AQ16" s="4"/>
      <c r="AR16" s="3"/>
      <c r="AT16" s="3"/>
      <c r="AV16" s="3"/>
    </row>
    <row r="17" spans="2:48" s="1" customFormat="1" hidden="1" outlineLevel="1" x14ac:dyDescent="0.25">
      <c r="B17" s="5" t="s">
        <v>23</v>
      </c>
      <c r="C17" s="6" t="e">
        <f ca="1">IF(LEFT($C$15,6)="CAM_AD",$C$16,$C$15)</f>
        <v>#NAME?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Y17" s="3"/>
      <c r="AE17" s="3"/>
      <c r="AG17" s="3"/>
      <c r="AJ17" s="4"/>
      <c r="AK17" s="4"/>
      <c r="AL17" s="4"/>
      <c r="AM17" s="4"/>
      <c r="AN17" s="4"/>
      <c r="AO17" s="4"/>
      <c r="AP17" s="4"/>
      <c r="AQ17" s="4"/>
      <c r="AR17" s="3"/>
      <c r="AT17" s="3"/>
      <c r="AV17" s="3"/>
    </row>
    <row r="18" spans="2:48" s="1" customFormat="1" hidden="1" outlineLevel="1" x14ac:dyDescent="0.25">
      <c r="B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Y18" s="3"/>
      <c r="AE18" s="3"/>
      <c r="AG18" s="3"/>
      <c r="AJ18" s="4"/>
      <c r="AK18" s="4"/>
      <c r="AL18" s="4"/>
      <c r="AM18" s="4"/>
      <c r="AN18" s="4"/>
      <c r="AO18" s="4"/>
      <c r="AP18" s="4"/>
      <c r="AQ18" s="4"/>
      <c r="AR18" s="3"/>
      <c r="AT18" s="3"/>
      <c r="AV18" s="3"/>
    </row>
    <row r="19" spans="2:48" s="1" customFormat="1" hidden="1" outlineLevel="1" x14ac:dyDescent="0.25">
      <c r="B19" s="56" t="s">
        <v>24</v>
      </c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Y19" s="3"/>
      <c r="AE19" s="3"/>
      <c r="AG19" s="3"/>
      <c r="AJ19" s="4"/>
      <c r="AK19" s="4"/>
      <c r="AL19" s="4"/>
      <c r="AM19" s="4"/>
      <c r="AN19" s="4"/>
      <c r="AO19" s="4"/>
      <c r="AP19" s="4"/>
      <c r="AQ19" s="4"/>
      <c r="AR19" s="3"/>
      <c r="AT19" s="3"/>
      <c r="AV19" s="3"/>
    </row>
    <row r="20" spans="2:48" s="1" customFormat="1" hidden="1" outlineLevel="1" x14ac:dyDescent="0.25">
      <c r="B20" s="5" t="s">
        <v>25</v>
      </c>
      <c r="C20" s="8" t="e" cm="1">
        <f t="array" aca="1" ref="C20" ca="1">_xll.VIEW(db_name&amp;":}ElementAttributes_variables","!","!")</f>
        <v>#NAME?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Y20" s="3"/>
      <c r="AE20" s="3"/>
      <c r="AG20" s="3"/>
      <c r="AJ20" s="4"/>
      <c r="AK20" s="4"/>
      <c r="AL20" s="4"/>
      <c r="AM20" s="4"/>
      <c r="AN20" s="4"/>
      <c r="AO20" s="4"/>
      <c r="AP20" s="4"/>
      <c r="AQ20" s="4"/>
      <c r="AR20" s="3"/>
      <c r="AT20" s="3"/>
      <c r="AV20" s="3"/>
    </row>
    <row r="21" spans="2:48" s="1" customFormat="1" hidden="1" outlineLevel="1" x14ac:dyDescent="0.25">
      <c r="B21" s="5" t="s">
        <v>0</v>
      </c>
      <c r="C21" s="8" t="e" cm="1">
        <f t="array" aca="1" ref="C21" ca="1">_xll.DBR($C$20,$B21,"value")</f>
        <v>#NAME?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Y21" s="3"/>
      <c r="AE21" s="3"/>
      <c r="AG21" s="3"/>
      <c r="AJ21" s="4"/>
      <c r="AK21" s="4"/>
      <c r="AL21" s="4"/>
      <c r="AM21" s="4"/>
      <c r="AN21" s="4"/>
      <c r="AO21" s="4"/>
      <c r="AP21" s="4"/>
      <c r="AQ21" s="4"/>
      <c r="AR21" s="3"/>
      <c r="AT21" s="3"/>
      <c r="AV21" s="3"/>
    </row>
    <row r="22" spans="2:48" s="1" customFormat="1" hidden="1" outlineLevel="1" x14ac:dyDescent="0.25">
      <c r="B22" s="5" t="s">
        <v>26</v>
      </c>
      <c r="C22" s="8" t="e" cm="1">
        <f t="array" aca="1" ref="C22" ca="1">_xll.DBR($C$20,$B22,"value")</f>
        <v>#NAME?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Y22" s="3"/>
      <c r="AE22" s="3"/>
      <c r="AG22" s="3"/>
      <c r="AJ22" s="4"/>
      <c r="AK22" s="4"/>
      <c r="AL22" s="4"/>
      <c r="AM22" s="4"/>
      <c r="AN22" s="4"/>
      <c r="AO22" s="4"/>
      <c r="AP22" s="4"/>
      <c r="AQ22" s="4"/>
      <c r="AR22" s="3"/>
      <c r="AT22" s="3"/>
      <c r="AV22" s="3"/>
    </row>
    <row r="23" spans="2:48" s="1" customFormat="1" hidden="1" outlineLevel="1" x14ac:dyDescent="0.25">
      <c r="B23" s="5" t="s">
        <v>27</v>
      </c>
      <c r="C23" s="8" t="e" cm="1">
        <f t="array" aca="1" ref="C23" ca="1">_xll.DBR($C$20,$B23,"value")</f>
        <v>#NAME?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Y23" s="3"/>
      <c r="AE23" s="3"/>
      <c r="AG23" s="3"/>
      <c r="AJ23" s="4"/>
      <c r="AK23" s="4"/>
      <c r="AL23" s="4"/>
      <c r="AM23" s="4"/>
      <c r="AN23" s="4"/>
      <c r="AO23" s="4"/>
      <c r="AP23" s="4"/>
      <c r="AQ23" s="4"/>
      <c r="AR23" s="3"/>
      <c r="AT23" s="3"/>
      <c r="AV23" s="3"/>
    </row>
    <row r="24" spans="2:48" s="1" customFormat="1" hidden="1" outlineLevel="1" x14ac:dyDescent="0.25">
      <c r="B24" s="5" t="s">
        <v>28</v>
      </c>
      <c r="C24" s="8" t="e" cm="1">
        <f t="array" aca="1" ref="C24" ca="1">_xll.DBR($C$20,$B24,"value")</f>
        <v>#NAME?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Y24" s="3"/>
      <c r="AE24" s="3"/>
      <c r="AG24" s="3"/>
      <c r="AJ24" s="4"/>
      <c r="AK24" s="4"/>
      <c r="AL24" s="4"/>
      <c r="AM24" s="4"/>
      <c r="AN24" s="4"/>
      <c r="AO24" s="4"/>
      <c r="AP24" s="4"/>
      <c r="AQ24" s="4"/>
      <c r="AR24" s="3"/>
      <c r="AT24" s="3"/>
      <c r="AV24" s="3"/>
    </row>
    <row r="25" spans="2:48" s="1" customFormat="1" hidden="1" outlineLevel="1" x14ac:dyDescent="0.25">
      <c r="B25" s="5" t="s">
        <v>29</v>
      </c>
      <c r="C25" s="8" t="e" cm="1">
        <f t="array" aca="1" ref="C25" ca="1">_xll.DBR($C$20,$B25,"value")</f>
        <v>#NAME?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Y25" s="3"/>
      <c r="AE25" s="3"/>
      <c r="AG25" s="3"/>
      <c r="AJ25" s="4"/>
      <c r="AK25" s="4"/>
      <c r="AL25" s="4"/>
      <c r="AM25" s="4"/>
      <c r="AN25" s="4"/>
      <c r="AO25" s="4"/>
      <c r="AP25" s="4"/>
      <c r="AQ25" s="4"/>
      <c r="AR25" s="3"/>
      <c r="AT25" s="3"/>
      <c r="AV25" s="3"/>
    </row>
    <row r="26" spans="2:48" s="1" customFormat="1" hidden="1" outlineLevel="1" x14ac:dyDescent="0.25">
      <c r="B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Y26" s="3"/>
      <c r="AE26" s="3"/>
      <c r="AG26" s="3"/>
      <c r="AJ26" s="4"/>
      <c r="AK26" s="4"/>
      <c r="AL26" s="4"/>
      <c r="AM26" s="4"/>
      <c r="AN26" s="4"/>
      <c r="AO26" s="4"/>
      <c r="AP26" s="4"/>
      <c r="AQ26" s="4"/>
      <c r="AR26" s="3"/>
      <c r="AT26" s="3"/>
      <c r="AV26" s="3"/>
    </row>
    <row r="27" spans="2:48" s="1" customFormat="1" hidden="1" outlineLevel="1" x14ac:dyDescent="0.25">
      <c r="B27" s="56" t="s">
        <v>30</v>
      </c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Y27" s="3"/>
      <c r="AE27" s="3"/>
      <c r="AG27" s="3"/>
      <c r="AJ27" s="4"/>
      <c r="AK27" s="4"/>
      <c r="AL27" s="4"/>
      <c r="AM27" s="4"/>
      <c r="AN27" s="4"/>
      <c r="AO27" s="4"/>
      <c r="AP27" s="4"/>
      <c r="AQ27" s="4"/>
      <c r="AR27" s="3"/>
      <c r="AT27" s="3"/>
      <c r="AV27" s="3"/>
    </row>
    <row r="28" spans="2:48" s="1" customFormat="1" hidden="1" outlineLevel="1" x14ac:dyDescent="0.25">
      <c r="B28" s="5" t="s">
        <v>31</v>
      </c>
      <c r="C28" s="8" t="e" cm="1">
        <f t="array" aca="1" ref="C28" ca="1">_xll.VIEW(db_name&amp;":sys_application","!","!")</f>
        <v>#NAME?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Y28" s="3"/>
      <c r="AE28" s="3"/>
      <c r="AG28" s="3"/>
      <c r="AJ28" s="4"/>
      <c r="AK28" s="4"/>
      <c r="AL28" s="4"/>
      <c r="AM28" s="4"/>
      <c r="AN28" s="4"/>
      <c r="AO28" s="4"/>
      <c r="AP28" s="4"/>
      <c r="AQ28" s="4"/>
      <c r="AR28" s="3"/>
      <c r="AT28" s="3"/>
      <c r="AV28" s="3"/>
    </row>
    <row r="29" spans="2:48" s="1" customFormat="1" hidden="1" outlineLevel="1" x14ac:dyDescent="0.25">
      <c r="B29" s="5" t="s">
        <v>32</v>
      </c>
      <c r="C29" s="8" t="s">
        <v>70</v>
      </c>
      <c r="Y29" s="3"/>
      <c r="AE29" s="3"/>
      <c r="AG29" s="3"/>
      <c r="AJ29" s="4"/>
      <c r="AK29" s="4"/>
      <c r="AL29" s="4"/>
      <c r="AM29" s="4"/>
      <c r="AN29" s="4"/>
      <c r="AO29" s="4"/>
      <c r="AP29" s="4"/>
      <c r="AQ29" s="4"/>
      <c r="AR29" s="3"/>
      <c r="AT29" s="3"/>
      <c r="AV29" s="3"/>
    </row>
    <row r="30" spans="2:48" s="1" customFormat="1" hidden="1" outlineLevel="1" x14ac:dyDescent="0.25">
      <c r="B30" s="9"/>
      <c r="C30" s="10" t="s">
        <v>33</v>
      </c>
      <c r="D30" s="10" t="s">
        <v>34</v>
      </c>
      <c r="E30" s="10" t="s">
        <v>35</v>
      </c>
      <c r="F30" s="11" t="s">
        <v>36</v>
      </c>
      <c r="G30" s="10" t="s">
        <v>37</v>
      </c>
      <c r="H30" s="10" t="s">
        <v>38</v>
      </c>
      <c r="I30" s="12"/>
      <c r="J30" s="12"/>
      <c r="K30" s="12"/>
      <c r="L30" s="12"/>
      <c r="Y30" s="12"/>
      <c r="Z30" s="3"/>
      <c r="AB30" s="3"/>
      <c r="AE30" s="4"/>
      <c r="AF30" s="4"/>
      <c r="AG30" s="4"/>
      <c r="AH30" s="4"/>
      <c r="AI30" s="4"/>
      <c r="AJ30" s="4"/>
      <c r="AK30" s="4"/>
      <c r="AL30" s="4"/>
      <c r="AM30" s="3"/>
      <c r="AO30" s="3"/>
      <c r="AQ30" s="3"/>
    </row>
    <row r="31" spans="2:48" s="1" customFormat="1" hidden="1" outlineLevel="1" x14ac:dyDescent="0.25">
      <c r="B31" s="20" t="s">
        <v>39</v>
      </c>
      <c r="C31" s="20" t="e" cm="1">
        <f t="array" aca="1" ref="C31" ca="1">_xll.DBR($C$28,$B31,C$30)</f>
        <v>#NAME?</v>
      </c>
      <c r="D31" s="20" t="e" cm="1">
        <f t="array" aca="1" ref="D31" ca="1">_xll.DBR($C$28,$B31,D$30)</f>
        <v>#NAME?</v>
      </c>
      <c r="E31" s="20" t="e" cm="1">
        <f t="array" aca="1" ref="E31" ca="1">_xll.DBR($C$28,$B31,E$30)</f>
        <v>#NAME?</v>
      </c>
      <c r="F31" s="20" t="e" cm="1">
        <f t="array" aca="1" ref="F31" ca="1">_xll.DBR($C$28,$B31,F$30)</f>
        <v>#NAME?</v>
      </c>
      <c r="G31" s="20" t="e" cm="1">
        <f t="array" aca="1" ref="G31" ca="1">_xll.DBR($C$28,$B31,G$30)</f>
        <v>#NAME?</v>
      </c>
      <c r="H31" s="20" t="e" cm="1">
        <f t="array" aca="1" ref="H31" ca="1">_xll.DBR($C$28,$B31,H$30)</f>
        <v>#NAME?</v>
      </c>
      <c r="I31"/>
      <c r="J31"/>
      <c r="K31"/>
      <c r="L31"/>
      <c r="Z31" s="3"/>
      <c r="AB31" s="3"/>
      <c r="AE31" s="4"/>
      <c r="AF31" s="4"/>
      <c r="AG31" s="4"/>
      <c r="AH31" s="4"/>
      <c r="AI31" s="4"/>
      <c r="AJ31" s="4"/>
      <c r="AK31" s="4"/>
      <c r="AL31" s="4"/>
      <c r="AM31" s="3"/>
      <c r="AO31" s="3"/>
      <c r="AQ31" s="3"/>
    </row>
    <row r="32" spans="2:48" s="1" customFormat="1" hidden="1" outlineLevel="1" x14ac:dyDescent="0.25">
      <c r="B32" s="20" t="s">
        <v>40</v>
      </c>
      <c r="C32" s="20" t="e" cm="1">
        <f t="array" aca="1" ref="C32" ca="1">_xll.DBR($C$28,$B32,C$30)</f>
        <v>#NAME?</v>
      </c>
      <c r="D32" s="20" t="e" cm="1">
        <f t="array" aca="1" ref="D32" ca="1">_xll.DBR($C$28,$B32,D$30)</f>
        <v>#NAME?</v>
      </c>
      <c r="E32" s="20" t="e" cm="1">
        <f t="array" aca="1" ref="E32" ca="1">_xll.DBR($C$28,$B32,E$30)</f>
        <v>#NAME?</v>
      </c>
      <c r="F32" s="20" t="e" cm="1">
        <f t="array" aca="1" ref="F32" ca="1">_xll.DBR($C$28,$B32,F$30)</f>
        <v>#NAME?</v>
      </c>
      <c r="G32" s="20" t="e" cm="1">
        <f t="array" aca="1" ref="G32" ca="1">_xll.DBR($C$28,$B32,G$30)</f>
        <v>#NAME?</v>
      </c>
      <c r="H32" s="20" t="e" cm="1">
        <f t="array" aca="1" ref="H32" ca="1">_xll.DBR($C$28,$B32,H$30)</f>
        <v>#NAME?</v>
      </c>
      <c r="I32"/>
      <c r="J32"/>
      <c r="K32"/>
      <c r="L32"/>
      <c r="Z32" s="3"/>
      <c r="AB32" s="3"/>
      <c r="AE32" s="4"/>
      <c r="AF32" s="4"/>
      <c r="AG32" s="4"/>
      <c r="AH32" s="4"/>
      <c r="AI32" s="4"/>
      <c r="AJ32" s="4"/>
      <c r="AK32" s="4"/>
      <c r="AL32" s="4"/>
      <c r="AM32" s="3"/>
      <c r="AO32" s="3"/>
      <c r="AQ32" s="3"/>
    </row>
    <row r="33" spans="2:45" s="1" customFormat="1" hidden="1" outlineLevel="1" x14ac:dyDescent="0.25">
      <c r="B33" s="20" t="s">
        <v>41</v>
      </c>
      <c r="C33" s="20" t="e" cm="1">
        <f t="array" aca="1" ref="C33" ca="1">_xll.DBR($C$28,$B33,C$30)</f>
        <v>#NAME?</v>
      </c>
      <c r="D33" s="20" t="e" cm="1">
        <f t="array" aca="1" ref="D33" ca="1">_xll.DBR($C$28,$B33,D$30)</f>
        <v>#NAME?</v>
      </c>
      <c r="E33" s="20" t="e" cm="1">
        <f t="array" aca="1" ref="E33" ca="1">_xll.DBR($C$28,$B33,E$30)</f>
        <v>#NAME?</v>
      </c>
      <c r="F33" s="20" t="e" cm="1">
        <f t="array" aca="1" ref="F33" ca="1">_xll.DBR($C$28,$B33,F$30)</f>
        <v>#NAME?</v>
      </c>
      <c r="G33" s="20" t="e" cm="1">
        <f t="array" aca="1" ref="G33" ca="1">_xll.DBR($C$28,$B33,G$30)</f>
        <v>#NAME?</v>
      </c>
      <c r="H33" s="20" t="e" cm="1">
        <f t="array" aca="1" ref="H33" ca="1">_xll.DBR($C$28,$B33,H$30)</f>
        <v>#NAME?</v>
      </c>
      <c r="I33"/>
      <c r="J33"/>
      <c r="K33"/>
      <c r="L33"/>
      <c r="Z33" s="3"/>
      <c r="AB33" s="3"/>
      <c r="AE33" s="4"/>
      <c r="AF33" s="4"/>
      <c r="AG33" s="4"/>
      <c r="AH33" s="4"/>
      <c r="AI33" s="4"/>
      <c r="AJ33" s="4"/>
      <c r="AK33" s="4"/>
      <c r="AL33" s="4"/>
      <c r="AM33" s="3"/>
      <c r="AO33" s="3"/>
      <c r="AQ33" s="3"/>
    </row>
    <row r="34" spans="2:45" s="1" customFormat="1" hidden="1" outlineLevel="1" x14ac:dyDescent="0.25">
      <c r="B34" s="20" t="s">
        <v>66</v>
      </c>
      <c r="C34" s="20" t="e" cm="1">
        <f t="array" aca="1" ref="C34" ca="1">_xll.DBR($C$28,$B34,C$30)</f>
        <v>#NAME?</v>
      </c>
      <c r="D34" s="20" t="e" cm="1">
        <f t="array" aca="1" ref="D34" ca="1">_xll.DBR($C$28,$B34,D$30)</f>
        <v>#NAME?</v>
      </c>
      <c r="E34" s="20" t="e" cm="1">
        <f t="array" aca="1" ref="E34" ca="1">_xll.DBR($C$28,$B34,E$30)</f>
        <v>#NAME?</v>
      </c>
      <c r="F34" s="20" t="e" cm="1">
        <f t="array" aca="1" ref="F34" ca="1">_xll.DBR($C$28,$B34,F$30)</f>
        <v>#NAME?</v>
      </c>
      <c r="G34" s="20" t="e" cm="1">
        <f t="array" aca="1" ref="G34" ca="1">_xll.DBR($C$28,$B34,G$30)</f>
        <v>#NAME?</v>
      </c>
      <c r="H34" s="20" t="e" cm="1">
        <f t="array" aca="1" ref="H34" ca="1">_xll.DBR($C$28,$B34,H$30)</f>
        <v>#NAME?</v>
      </c>
      <c r="I34"/>
      <c r="J34"/>
      <c r="K34"/>
      <c r="L34"/>
      <c r="Z34" s="3"/>
      <c r="AB34" s="3"/>
      <c r="AE34" s="4"/>
      <c r="AF34" s="4"/>
      <c r="AG34" s="4"/>
      <c r="AH34" s="4"/>
      <c r="AI34" s="4"/>
      <c r="AJ34" s="4"/>
      <c r="AK34" s="4"/>
      <c r="AL34" s="4"/>
      <c r="AM34" s="3"/>
      <c r="AO34" s="3"/>
      <c r="AQ34" s="3"/>
    </row>
    <row r="35" spans="2:45" s="1" customFormat="1" hidden="1" outlineLevel="1" x14ac:dyDescent="0.25">
      <c r="B35" s="20" t="s">
        <v>67</v>
      </c>
      <c r="C35" s="20" t="e" cm="1">
        <f t="array" aca="1" ref="C35" ca="1">_xll.DBR($C$28,$B35,C$30)</f>
        <v>#NAME?</v>
      </c>
      <c r="D35" s="20" t="e" cm="1">
        <f t="array" aca="1" ref="D35" ca="1">_xll.DBR($C$28,$B35,D$30)</f>
        <v>#NAME?</v>
      </c>
      <c r="E35" s="20" t="e" cm="1">
        <f t="array" aca="1" ref="E35" ca="1">_xll.DBR($C$28,$B35,E$30)</f>
        <v>#NAME?</v>
      </c>
      <c r="F35" s="20" t="e" cm="1">
        <f t="array" aca="1" ref="F35" ca="1">_xll.DBR($C$28,$B35,F$30)</f>
        <v>#NAME?</v>
      </c>
      <c r="G35" s="20" t="e" cm="1">
        <f t="array" aca="1" ref="G35" ca="1">_xll.DBR($C$28,$B35,G$30)</f>
        <v>#NAME?</v>
      </c>
      <c r="H35" s="20" t="e" cm="1">
        <f t="array" aca="1" ref="H35" ca="1">_xll.DBR($C$28,$B35,H$30)</f>
        <v>#NAME?</v>
      </c>
      <c r="I35"/>
      <c r="J35"/>
      <c r="K35"/>
      <c r="L35"/>
      <c r="Z35" s="3"/>
      <c r="AB35" s="3"/>
      <c r="AE35" s="4"/>
      <c r="AF35" s="4"/>
      <c r="AG35" s="4"/>
      <c r="AH35" s="4"/>
      <c r="AI35" s="4"/>
      <c r="AJ35" s="4"/>
      <c r="AK35" s="4"/>
      <c r="AL35" s="4"/>
      <c r="AM35" s="3"/>
      <c r="AO35" s="3"/>
      <c r="AQ35" s="3"/>
    </row>
    <row r="36" spans="2:45" s="1" customFormat="1" hidden="1" outlineLevel="1" x14ac:dyDescent="0.25">
      <c r="B36" s="8" t="s">
        <v>68</v>
      </c>
      <c r="C36" s="20" t="e" cm="1">
        <f t="array" aca="1" ref="C36" ca="1">_xll.DBR($C$28,$B36,C$30)</f>
        <v>#NAME?</v>
      </c>
      <c r="D36" s="20" t="e" cm="1">
        <f t="array" aca="1" ref="D36" ca="1">_xll.DBR($C$28,$B36,D$30)</f>
        <v>#NAME?</v>
      </c>
      <c r="E36" s="20" t="e" cm="1">
        <f t="array" aca="1" ref="E36" ca="1">_xll.DBR($C$28,$B36,E$30)</f>
        <v>#NAME?</v>
      </c>
      <c r="F36" s="20" t="e" cm="1">
        <f t="array" aca="1" ref="F36" ca="1">_xll.DBR($C$28,$B36,F$30)</f>
        <v>#NAME?</v>
      </c>
      <c r="G36" s="20" t="e" cm="1">
        <f t="array" aca="1" ref="G36" ca="1">_xll.DBR($C$28,$B36,G$30)</f>
        <v>#NAME?</v>
      </c>
      <c r="H36" s="20" t="e" cm="1">
        <f t="array" aca="1" ref="H36" ca="1">_xll.DBR($C$28,$B36,H$30)</f>
        <v>#NAME?</v>
      </c>
      <c r="I36"/>
      <c r="J36"/>
      <c r="K36"/>
      <c r="L36"/>
      <c r="Z36" s="3"/>
      <c r="AB36" s="3"/>
      <c r="AE36" s="4"/>
      <c r="AF36" s="4"/>
      <c r="AG36" s="4"/>
      <c r="AH36" s="4"/>
      <c r="AI36" s="4"/>
      <c r="AJ36" s="4"/>
      <c r="AK36" s="4"/>
      <c r="AL36" s="4"/>
      <c r="AM36" s="3"/>
      <c r="AO36" s="3"/>
      <c r="AQ36" s="3"/>
    </row>
    <row r="37" spans="2:45" s="1" customFormat="1" hidden="1" outlineLevel="1" x14ac:dyDescent="0.25">
      <c r="B37" s="8" t="s">
        <v>69</v>
      </c>
      <c r="C37" s="20" t="e" cm="1">
        <f t="array" aca="1" ref="C37" ca="1">_xll.DBR($C$28,$B37,C$30)</f>
        <v>#NAME?</v>
      </c>
      <c r="D37" s="20" t="e" cm="1">
        <f t="array" aca="1" ref="D37" ca="1">_xll.DBR($C$28,$B37,D$30)</f>
        <v>#NAME?</v>
      </c>
      <c r="E37" s="20" t="e" cm="1">
        <f t="array" aca="1" ref="E37" ca="1">_xll.DBR($C$28,$B37,E$30)</f>
        <v>#NAME?</v>
      </c>
      <c r="F37" s="20" t="e" cm="1">
        <f t="array" aca="1" ref="F37" ca="1">_xll.DBR($C$28,$B37,F$30)</f>
        <v>#NAME?</v>
      </c>
      <c r="G37" s="20" t="e" cm="1">
        <f t="array" aca="1" ref="G37" ca="1">_xll.DBR($C$28,$B37,G$30)</f>
        <v>#NAME?</v>
      </c>
      <c r="H37" s="20" t="e" cm="1">
        <f t="array" aca="1" ref="H37" ca="1">_xll.DBR($C$28,$B37,H$30)</f>
        <v>#NAME?</v>
      </c>
      <c r="I37"/>
      <c r="J37"/>
      <c r="K37"/>
      <c r="L37"/>
      <c r="Z37" s="3"/>
      <c r="AB37" s="3"/>
      <c r="AE37" s="4"/>
      <c r="AF37" s="4"/>
      <c r="AG37" s="4"/>
      <c r="AH37" s="4"/>
      <c r="AI37" s="4"/>
      <c r="AJ37" s="4"/>
      <c r="AK37" s="4"/>
      <c r="AL37" s="4"/>
      <c r="AM37" s="3"/>
      <c r="AO37" s="3"/>
      <c r="AQ37" s="3"/>
    </row>
    <row r="38" spans="2:45" s="1" customFormat="1" hidden="1" outlineLevel="1" x14ac:dyDescent="0.25">
      <c r="B38" s="8" t="s">
        <v>70</v>
      </c>
      <c r="C38" s="20" t="e" cm="1">
        <f t="array" aca="1" ref="C38" ca="1">_xll.DBR($C$28,$B38,C$30)</f>
        <v>#NAME?</v>
      </c>
      <c r="D38" s="20" t="e" cm="1">
        <f t="array" aca="1" ref="D38" ca="1">_xll.DBR($C$28,$B38,D$30)</f>
        <v>#NAME?</v>
      </c>
      <c r="E38" s="20" t="e" cm="1">
        <f t="array" aca="1" ref="E38" ca="1">_xll.DBR($C$28,$B38,E$30)</f>
        <v>#NAME?</v>
      </c>
      <c r="F38" s="20" t="e" cm="1">
        <f t="array" aca="1" ref="F38" ca="1">_xll.DBR($C$28,$B38,F$30)</f>
        <v>#NAME?</v>
      </c>
      <c r="G38" s="20" t="e" cm="1">
        <f t="array" aca="1" ref="G38" ca="1">_xll.DBR($C$28,$B38,G$30)</f>
        <v>#NAME?</v>
      </c>
      <c r="H38" s="20" t="e" cm="1">
        <f t="array" aca="1" ref="H38" ca="1">_xll.DBR($C$28,$B38,H$30)</f>
        <v>#NAME?</v>
      </c>
      <c r="I38"/>
      <c r="J38"/>
      <c r="K38"/>
      <c r="L38"/>
      <c r="Z38" s="3"/>
      <c r="AB38" s="3"/>
      <c r="AE38" s="4"/>
      <c r="AF38" s="4"/>
      <c r="AG38" s="4"/>
      <c r="AH38" s="4"/>
      <c r="AI38" s="4"/>
      <c r="AJ38" s="4"/>
      <c r="AK38" s="4"/>
      <c r="AL38" s="4"/>
      <c r="AM38" s="3"/>
      <c r="AO38" s="3"/>
      <c r="AQ38" s="3"/>
    </row>
    <row r="39" spans="2:45" s="1" customFormat="1" hidden="1" outlineLevel="1" x14ac:dyDescent="0.25">
      <c r="B39" s="8" t="s">
        <v>71</v>
      </c>
      <c r="C39" s="20" t="e" cm="1">
        <f t="array" aca="1" ref="C39" ca="1">_xll.DBR($C$28,$B39,C$30)</f>
        <v>#NAME?</v>
      </c>
      <c r="D39" s="20" t="e" cm="1">
        <f t="array" aca="1" ref="D39" ca="1">_xll.DBR($C$28,$B39,D$30)</f>
        <v>#NAME?</v>
      </c>
      <c r="E39" s="20" t="e" cm="1">
        <f t="array" aca="1" ref="E39" ca="1">_xll.DBR($C$28,$B39,E$30)</f>
        <v>#NAME?</v>
      </c>
      <c r="F39" s="20" t="e" cm="1">
        <f t="array" aca="1" ref="F39" ca="1">_xll.DBR($C$28,$B39,F$30)</f>
        <v>#NAME?</v>
      </c>
      <c r="G39" s="20" t="e" cm="1">
        <f t="array" aca="1" ref="G39" ca="1">_xll.DBR($C$28,$B39,G$30)</f>
        <v>#NAME?</v>
      </c>
      <c r="H39" s="20" t="e" cm="1">
        <f t="array" aca="1" ref="H39" ca="1">_xll.DBR($C$28,$B39,H$30)</f>
        <v>#NAME?</v>
      </c>
      <c r="I39"/>
      <c r="J39"/>
      <c r="K39"/>
      <c r="L39"/>
      <c r="Z39" s="3"/>
      <c r="AB39" s="3"/>
      <c r="AE39" s="4"/>
      <c r="AF39" s="4"/>
      <c r="AG39" s="4"/>
      <c r="AH39" s="4"/>
      <c r="AI39" s="4"/>
      <c r="AJ39" s="4"/>
      <c r="AK39" s="4"/>
      <c r="AL39" s="4"/>
      <c r="AM39" s="3"/>
      <c r="AO39" s="3"/>
      <c r="AQ39" s="3"/>
    </row>
    <row r="40" spans="2:45" s="1" customFormat="1" hidden="1" outlineLevel="1" x14ac:dyDescent="0.25">
      <c r="B40" s="20" t="s">
        <v>85</v>
      </c>
      <c r="C40" s="20" t="e" cm="1">
        <f t="array" aca="1" ref="C40" ca="1">_xll.DBR($C$28,$B40,C$30)</f>
        <v>#NAME?</v>
      </c>
      <c r="D40" s="20" t="e" cm="1">
        <f t="array" aca="1" ref="D40" ca="1">_xll.DBR($C$28,$B40,D$30)</f>
        <v>#NAME?</v>
      </c>
      <c r="E40" s="20" t="e" cm="1">
        <f t="array" aca="1" ref="E40" ca="1">_xll.DBR($C$28,$B40,E$30)</f>
        <v>#NAME?</v>
      </c>
      <c r="F40" s="20" t="e" cm="1">
        <f t="array" aca="1" ref="F40" ca="1">_xll.DBR($C$28,$B40,F$30)</f>
        <v>#NAME?</v>
      </c>
      <c r="G40" s="20" t="e" cm="1">
        <f t="array" aca="1" ref="G40" ca="1">_xll.DBR($C$28,$B40,G$30)</f>
        <v>#NAME?</v>
      </c>
      <c r="H40" s="20" t="e" cm="1">
        <f t="array" aca="1" ref="H40" ca="1">_xll.DBR($C$28,$B40,H$30)</f>
        <v>#NAME?</v>
      </c>
      <c r="I40"/>
      <c r="J40"/>
      <c r="K40"/>
      <c r="L40"/>
      <c r="Z40" s="3"/>
      <c r="AB40" s="3"/>
      <c r="AE40" s="4"/>
      <c r="AF40" s="4"/>
      <c r="AG40" s="4"/>
      <c r="AH40" s="4"/>
      <c r="AI40" s="4"/>
      <c r="AJ40" s="4"/>
      <c r="AK40" s="4"/>
      <c r="AL40" s="4"/>
      <c r="AM40" s="3"/>
      <c r="AO40" s="3"/>
      <c r="AQ40" s="3"/>
    </row>
    <row r="41" spans="2:45" s="1" customFormat="1" ht="30" hidden="1" outlineLevel="1" x14ac:dyDescent="0.25">
      <c r="B41" s="13" t="s">
        <v>42</v>
      </c>
      <c r="C41" s="14" t="s">
        <v>43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V41" s="3"/>
      <c r="W41" s="3"/>
      <c r="AB41" s="3"/>
      <c r="AD41" s="3"/>
      <c r="AG41" s="4"/>
      <c r="AH41" s="4"/>
      <c r="AI41" s="4"/>
      <c r="AJ41" s="4"/>
      <c r="AK41" s="4"/>
      <c r="AL41" s="4"/>
      <c r="AM41" s="4"/>
      <c r="AN41" s="4"/>
      <c r="AO41" s="3"/>
      <c r="AQ41" s="3"/>
      <c r="AS41" s="3"/>
    </row>
    <row r="42" spans="2:45" s="1" customFormat="1" ht="15.75" hidden="1" outlineLevel="1" thickBot="1" x14ac:dyDescent="0.3"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45" hidden="1" outlineLevel="1" x14ac:dyDescent="0.25">
      <c r="B43" s="59" t="s">
        <v>72</v>
      </c>
      <c r="C43" s="60"/>
      <c r="N43" s="1"/>
      <c r="O43" s="1"/>
      <c r="P43" s="1"/>
    </row>
    <row r="44" spans="2:45" hidden="1" outlineLevel="1" x14ac:dyDescent="0.25">
      <c r="B44" s="9" t="s">
        <v>44</v>
      </c>
      <c r="C44" s="20" t="e">
        <f ca="1">_xll.TM1RPTVIEW(db_name&amp;":AE adjustments:1", 1, _xll.TM1RPTTITLE(db_name&amp;":headline year",$R$93), _xll.TM1RPTTITLE(db_name&amp;":scenario",$R$94), _xll.TM1RPTTITLE(db_name&amp;":status",$R$95), _xll.TM1RPTTITLE(db_name&amp;":outcome",$R$96), _xll.TM1RPTTITLE(db_name&amp;":related entity",$C$50), _xll.TM1RPTTITLE(db_name&amp;":function",$C$51), _xll.TM1RPTTITLE(db_name&amp;":reason",$C$52), _xll.TM1RPTTITLE(db_name&amp;":spp",$C$53), _xll.TM1RPTTITLE(db_name&amp;":measure code",$R$98), _xll.TM1RPTTITLE(db_name&amp;":movement account",$R$100), _xll.TM1RPTTITLE(db_name&amp;":appropriation item",$C$57), _xll.TM1RPTTITLE(db_name&amp;":account",$C$60), _xll.TM1RPTTITLE(db_name&amp;":jurisdiction",$C$58),TM1RPTFMTRNG,TM1RPTFMTIDCOL)</f>
        <v>#NAME?</v>
      </c>
      <c r="N44" s="1"/>
      <c r="O44" s="1"/>
      <c r="P44" s="1"/>
    </row>
    <row r="45" spans="2:45" hidden="1" outlineLevel="1" x14ac:dyDescent="0.25">
      <c r="B45" s="9" t="s">
        <v>31</v>
      </c>
      <c r="C45" s="20" t="e">
        <f ca="1">_xll.VIEW(db_name&amp;":AE adjustments",$R$93,$R$94,$R$95,$R$96,$C$50,$C$51,$C$52,$C$53,$R$98,"!","!",$C$57,"!","!","!",$C$58,"!")</f>
        <v>#NAME?</v>
      </c>
      <c r="N45" s="1"/>
      <c r="O45" s="1"/>
      <c r="P45" s="1"/>
    </row>
    <row r="46" spans="2:45" hidden="1" outlineLevel="1" x14ac:dyDescent="0.25">
      <c r="B46" s="26" t="s">
        <v>0</v>
      </c>
      <c r="C46" s="20" t="e" cm="1">
        <f t="array" aca="1" ref="C46" ca="1">_xll.SUBNM(db_name&amp;":headline year","","HL2018-2019")</f>
        <v>#NAME?</v>
      </c>
    </row>
    <row r="47" spans="2:45" hidden="1" outlineLevel="1" x14ac:dyDescent="0.25">
      <c r="B47" s="26" t="s">
        <v>1</v>
      </c>
      <c r="C47" s="20" t="e" cm="1">
        <f t="array" aca="1" ref="C47" ca="1">_xll.SUBNM(db_name&amp;":scenario","","current")</f>
        <v>#NAME?</v>
      </c>
    </row>
    <row r="48" spans="2:45" hidden="1" outlineLevel="1" x14ac:dyDescent="0.25"/>
    <row r="49" spans="2:18" hidden="1" outlineLevel="1" x14ac:dyDescent="0.25">
      <c r="B49" s="26" t="s">
        <v>2</v>
      </c>
    </row>
    <row r="50" spans="2:18" hidden="1" outlineLevel="1" x14ac:dyDescent="0.25">
      <c r="B50" s="26" t="s">
        <v>3</v>
      </c>
      <c r="C50" s="20" t="e" cm="1">
        <f t="array" aca="1" ref="C50" ca="1">_xll.SUBNM(db_name&amp;":related entity","","Total related entity")</f>
        <v>#NAME?</v>
      </c>
    </row>
    <row r="51" spans="2:18" hidden="1" outlineLevel="1" x14ac:dyDescent="0.25">
      <c r="B51" s="26" t="s">
        <v>4</v>
      </c>
      <c r="C51" s="20" t="e" cm="1">
        <f t="array" aca="1" ref="C51" ca="1">_xll.SUBNM(db_name&amp;":function","","Total functions")</f>
        <v>#NAME?</v>
      </c>
    </row>
    <row r="52" spans="2:18" hidden="1" outlineLevel="1" x14ac:dyDescent="0.25">
      <c r="B52" s="26" t="s">
        <v>5</v>
      </c>
      <c r="C52" s="20" t="e" cm="1">
        <f t="array" aca="1" ref="C52" ca="1">_xll.SUBNM(db_name&amp;":reason","","Total reason","CBMS code and description")</f>
        <v>#NAME?</v>
      </c>
    </row>
    <row r="53" spans="2:18" hidden="1" outlineLevel="1" x14ac:dyDescent="0.25">
      <c r="B53" s="26" t="s">
        <v>6</v>
      </c>
      <c r="C53" s="20" t="e" cm="1">
        <f t="array" aca="1" ref="C53" ca="1">_xll.SUBNM(db_name&amp;":spp","","Total SPP")</f>
        <v>#NAME?</v>
      </c>
    </row>
    <row r="54" spans="2:18" hidden="1" outlineLevel="1" x14ac:dyDescent="0.25">
      <c r="B54" s="26" t="s">
        <v>7</v>
      </c>
    </row>
    <row r="55" spans="2:18" hidden="1" outlineLevel="1" x14ac:dyDescent="0.25">
      <c r="B55" s="26" t="s">
        <v>8</v>
      </c>
      <c r="C55" s="20" t="e" cm="1">
        <f t="array" aca="1" ref="C55" ca="1">_xll.SUBNM(db_name&amp;":appropriation type","","Total approp types")</f>
        <v>#NAME?</v>
      </c>
    </row>
    <row r="56" spans="2:18" ht="36.4" hidden="1" customHeight="1" outlineLevel="1" x14ac:dyDescent="0.25">
      <c r="B56" s="28" t="s">
        <v>9</v>
      </c>
      <c r="C56" s="29" t="e" cm="1">
        <f t="array" aca="1" ref="C56" ca="1">_xll.SUBNM(db_name&amp;":account","","2220001","code and description")</f>
        <v>#NAME?</v>
      </c>
    </row>
    <row r="57" spans="2:18" hidden="1" outlineLevel="1" x14ac:dyDescent="0.25">
      <c r="B57" s="26" t="s">
        <v>10</v>
      </c>
      <c r="C57" s="20" t="e" cm="1">
        <f t="array" aca="1" ref="C57" ca="1">_xll.SUBNM(db_name&amp;":appropriation item","","Total approp item")</f>
        <v>#NAME?</v>
      </c>
    </row>
    <row r="58" spans="2:18" hidden="1" outlineLevel="1" x14ac:dyDescent="0.25">
      <c r="B58" s="26" t="s">
        <v>11</v>
      </c>
      <c r="C58" s="20" t="e" cm="1">
        <f t="array" aca="1" ref="C58" ca="1">_xll.SUBNM(db_name&amp;":jurisdiction","","Total jurisdictions")</f>
        <v>#NAME?</v>
      </c>
    </row>
    <row r="59" spans="2:18" hidden="1" outlineLevel="1" x14ac:dyDescent="0.25">
      <c r="B59" s="26" t="s">
        <v>12</v>
      </c>
    </row>
    <row r="60" spans="2:18" hidden="1" outlineLevel="1" x14ac:dyDescent="0.25">
      <c r="B60" s="5" t="s">
        <v>45</v>
      </c>
      <c r="C60" s="10" t="e">
        <f ca="1">+$R$99</f>
        <v>#NAME?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2:18" hidden="1" outlineLevel="1" x14ac:dyDescent="0.25">
      <c r="B61" s="9"/>
      <c r="C61" s="5" t="s">
        <v>46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2:18" hidden="1" outlineLevel="1" x14ac:dyDescent="0.25">
      <c r="B62" s="9"/>
      <c r="C62" s="8" t="s">
        <v>47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2"/>
      <c r="O62" s="12"/>
      <c r="P62" s="12"/>
      <c r="Q62" s="12"/>
      <c r="R62" s="12"/>
    </row>
    <row r="63" spans="2:18" hidden="1" outlineLevel="1" x14ac:dyDescent="0.25">
      <c r="B63" s="9"/>
      <c r="C63" s="8" t="s">
        <v>48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2"/>
      <c r="O63" s="12"/>
      <c r="P63" s="12"/>
      <c r="Q63" s="12"/>
      <c r="R63" s="12"/>
    </row>
    <row r="64" spans="2:18" hidden="1" outlineLevel="1" x14ac:dyDescent="0.25">
      <c r="B64" s="9"/>
      <c r="C64" s="9" t="s">
        <v>49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16"/>
      <c r="O64" s="16"/>
      <c r="P64" s="16"/>
      <c r="Q64" s="16"/>
      <c r="R64" s="16"/>
    </row>
    <row r="65" spans="2:27" hidden="1" outlineLevel="1" x14ac:dyDescent="0.25">
      <c r="B65" s="9"/>
      <c r="C65" s="9" t="s">
        <v>50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16"/>
      <c r="O65" s="16"/>
      <c r="P65" s="16"/>
      <c r="Q65" s="16"/>
      <c r="R65" s="16"/>
    </row>
    <row r="66" spans="2:27" hidden="1" outlineLevel="1" x14ac:dyDescent="0.25">
      <c r="B66" s="9"/>
      <c r="C66" s="9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16"/>
      <c r="O66" s="16"/>
      <c r="P66" s="16"/>
      <c r="Q66" s="16"/>
      <c r="R66" s="16"/>
    </row>
    <row r="67" spans="2:27" hidden="1" outlineLevel="1" x14ac:dyDescent="0.25">
      <c r="B67" s="9"/>
      <c r="C67" s="8" t="s">
        <v>52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2"/>
      <c r="O67" s="12"/>
      <c r="P67" s="12"/>
      <c r="Q67" s="12"/>
      <c r="R67" s="12"/>
    </row>
    <row r="68" spans="2:27" hidden="1" outlineLevel="1" x14ac:dyDescent="0.25">
      <c r="B68" s="9"/>
      <c r="C68" s="8" t="s">
        <v>53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2"/>
      <c r="O68" s="12"/>
      <c r="P68" s="12"/>
      <c r="Q68" s="12"/>
      <c r="R68" s="12"/>
    </row>
    <row r="69" spans="2:27" hidden="1" outlineLevel="1" x14ac:dyDescent="0.25">
      <c r="B69" s="9"/>
      <c r="C69" s="8" t="s">
        <v>54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2"/>
      <c r="O69" s="12"/>
      <c r="P69" s="12"/>
      <c r="Q69" s="12"/>
      <c r="R69" s="12"/>
    </row>
    <row r="70" spans="2:27" hidden="1" outlineLevel="1" x14ac:dyDescent="0.25">
      <c r="B70" s="5" t="s">
        <v>64</v>
      </c>
      <c r="C70" s="10" t="e">
        <f ca="1">+$R$97</f>
        <v>#NAME?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2:27" hidden="1" outlineLevel="1" x14ac:dyDescent="0.25">
      <c r="B71" s="26" t="s">
        <v>65</v>
      </c>
      <c r="C71" s="8" t="s">
        <v>62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2"/>
      <c r="O71" s="12"/>
      <c r="P71" s="12"/>
      <c r="Q71" s="12"/>
      <c r="R71" s="12"/>
    </row>
    <row r="72" spans="2:27" hidden="1" outlineLevel="1" x14ac:dyDescent="0.25">
      <c r="B72" s="9"/>
      <c r="C72" s="8" t="s">
        <v>63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2"/>
      <c r="O72" s="12"/>
      <c r="P72" s="12"/>
      <c r="Q72" s="12"/>
      <c r="R72" s="12"/>
    </row>
    <row r="73" spans="2:27" hidden="1" outlineLevel="1" x14ac:dyDescent="0.25">
      <c r="B73" s="9"/>
      <c r="C73" s="8" t="s">
        <v>61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2"/>
      <c r="O73" s="12"/>
      <c r="P73" s="12"/>
      <c r="Q73" s="12"/>
      <c r="R73" s="12"/>
    </row>
    <row r="74" spans="2:27" hidden="1" outlineLevel="1" x14ac:dyDescent="0.25">
      <c r="B74" s="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2:27" hidden="1" outlineLevel="1" x14ac:dyDescent="0.25">
      <c r="B75" s="58" t="s">
        <v>55</v>
      </c>
      <c r="C75" s="58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2:27" hidden="1" outlineLevel="1" x14ac:dyDescent="0.25">
      <c r="B76" s="10" t="s">
        <v>56</v>
      </c>
      <c r="C76" s="8" t="s">
        <v>86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AA76" s="17"/>
    </row>
    <row r="77" spans="2:27" hidden="1" outlineLevel="1" x14ac:dyDescent="0.25">
      <c r="B77" s="5" t="s">
        <v>60</v>
      </c>
      <c r="C77" s="8" t="e">
        <f ca="1">IF($V$93="No",$D77,$E77)</f>
        <v>#NAME?</v>
      </c>
      <c r="D77" s="8" t="e">
        <f ca="1">"{TM1FILTERBYLEVEL( {TM1DRILLDOWNMEMBER( {[programme].[" &amp; $C$70 &amp; "]}, ALL, RECURSIVE )}, 0)}"</f>
        <v>#NAME?</v>
      </c>
      <c r="E77" s="8" t="e">
        <f ca="1">"{FILTER( {TM1DRILLDOWNMEMBER( {[programme].[" &amp; $C$70 &amp; "]}, ALL, RECURSIVE )}, [programme].[CBMS Level Program] = "&amp; """Y""" &amp; ")}"</f>
        <v>#NAME?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27" hidden="1" outlineLevel="1" x14ac:dyDescent="0.25">
      <c r="B78" s="5" t="s">
        <v>108</v>
      </c>
      <c r="C78" s="8" t="e">
        <f ca="1">IF($V$94="Yes",$E78,$D78)</f>
        <v>#NAME?</v>
      </c>
      <c r="D78" s="8" t="s">
        <v>109</v>
      </c>
      <c r="E78" s="8" t="s">
        <v>111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27" hidden="1" outlineLevel="1" x14ac:dyDescent="0.25">
      <c r="B79" s="1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27" hidden="1" outlineLevel="1" x14ac:dyDescent="0.25">
      <c r="B80" s="58" t="s">
        <v>78</v>
      </c>
      <c r="C80" s="58"/>
      <c r="E80" s="58" t="s">
        <v>103</v>
      </c>
      <c r="F80" s="58"/>
      <c r="X80" s="16"/>
      <c r="Y80" s="1"/>
    </row>
    <row r="81" spans="1:23" hidden="1" outlineLevel="1" x14ac:dyDescent="0.25">
      <c r="B81" s="20" t="s">
        <v>79</v>
      </c>
      <c r="C81" s="20" t="e" cm="1">
        <f t="array" aca="1" ref="C81" ca="1">_xll.VIEW(db_name&amp;":AE id details",$R$93,$R$94,"!","!")</f>
        <v>#NAME?</v>
      </c>
      <c r="E81" s="20" t="s">
        <v>104</v>
      </c>
      <c r="F81" s="20" t="e">
        <f ca="1">_xll.VIEW(db_name&amp;":}ElementAttributes_measure code","!","!")</f>
        <v>#NAME?</v>
      </c>
      <c r="R81" s="18" t="s">
        <v>57</v>
      </c>
      <c r="S81" s="19"/>
      <c r="T81" s="19"/>
      <c r="U81" s="19"/>
      <c r="V81" s="19"/>
      <c r="W81" s="19"/>
    </row>
    <row r="82" spans="1:23" hidden="1" outlineLevel="1" x14ac:dyDescent="0.25">
      <c r="B82" s="20"/>
      <c r="C82" s="20" t="s">
        <v>80</v>
      </c>
      <c r="E82" s="20" t="s">
        <v>104</v>
      </c>
      <c r="F82" s="20" t="e">
        <f ca="1">_xll.VIEW(db_name&amp;":government measures details","!","!","!","!")</f>
        <v>#NAME?</v>
      </c>
      <c r="R82" s="20" t="e">
        <f ca="1">RIGHT($R$93,9)</f>
        <v>#NAME?</v>
      </c>
      <c r="S82" s="21" t="e" cm="1">
        <f t="array" aca="1" ref="S82" ca="1">_xll.DIMNM(db_name&amp;":period",_xll.DIMIX(db_name&amp;":period",$R$82)+S$83)</f>
        <v>#NAME?</v>
      </c>
      <c r="T82" s="21" t="e" cm="1">
        <f t="array" aca="1" ref="T82" ca="1">_xll.DIMNM(db_name&amp;":period",_xll.DIMIX(db_name&amp;":period",$R$82)+T$83)</f>
        <v>#NAME?</v>
      </c>
      <c r="U82" s="21" t="e" cm="1">
        <f t="array" aca="1" ref="U82" ca="1">_xll.DIMNM(db_name&amp;":period",_xll.DIMIX(db_name&amp;":period",$R$82)+U$83)</f>
        <v>#NAME?</v>
      </c>
      <c r="V82" s="21" t="e" cm="1">
        <f t="array" aca="1" ref="V82" ca="1">_xll.DIMNM(db_name&amp;":period",_xll.DIMIX(db_name&amp;":period",$R$82)+V$83)</f>
        <v>#NAME?</v>
      </c>
      <c r="W82" s="21" t="e" cm="1">
        <f t="array" aca="1" ref="W82" ca="1">_xll.DIMNM(db_name&amp;":period",_xll.DIMIX(db_name&amp;":period",$R$82)+W$83)</f>
        <v>#NAME?</v>
      </c>
    </row>
    <row r="83" spans="1:23" hidden="1" outlineLevel="1" x14ac:dyDescent="0.25">
      <c r="E83" s="20" t="s">
        <v>104</v>
      </c>
      <c r="F83" s="20" t="e">
        <f ca="1">_xll.VIEW(db_name&amp;":}ElementAttributes_appropriation type","!","!")</f>
        <v>#NAME?</v>
      </c>
      <c r="R83" s="20" t="e">
        <f ca="1">+$R$94</f>
        <v>#NAME?</v>
      </c>
      <c r="S83" s="21">
        <v>-1</v>
      </c>
      <c r="T83" s="21">
        <v>0</v>
      </c>
      <c r="U83" s="21">
        <v>1</v>
      </c>
      <c r="V83" s="21">
        <v>2</v>
      </c>
      <c r="W83" s="21">
        <v>3</v>
      </c>
    </row>
    <row r="84" spans="1:23" hidden="1" outlineLevel="1" x14ac:dyDescent="0.25">
      <c r="S84" s="22"/>
      <c r="T84" s="22"/>
      <c r="U84" s="22"/>
      <c r="V84" s="22"/>
      <c r="W84" s="22"/>
    </row>
    <row r="85" spans="1:23" ht="39.950000000000003" customHeight="1" collapsed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 t="s">
        <v>83</v>
      </c>
    </row>
    <row r="86" spans="1:23" ht="4.5" customHeight="1" x14ac:dyDescent="0.25">
      <c r="A86" s="1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23" ht="24" customHeight="1" x14ac:dyDescent="0.25">
      <c r="A87" s="16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23" ht="1.5" customHeight="1" x14ac:dyDescent="0.25">
      <c r="A88" s="1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 spans="1:23" ht="4.5" customHeight="1" x14ac:dyDescent="0.25">
      <c r="A89" s="16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3" x14ac:dyDescent="0.25">
      <c r="A90" s="16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8" t="s">
        <v>84</v>
      </c>
      <c r="O90" s="1"/>
      <c r="P90" s="1"/>
      <c r="Q90" s="1"/>
      <c r="R90" s="1"/>
    </row>
    <row r="91" spans="1:23" ht="4.5" customHeight="1" x14ac:dyDescent="0.25">
      <c r="A91" s="1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8"/>
      <c r="O91" s="1"/>
      <c r="P91" s="1"/>
      <c r="Q91" s="1"/>
      <c r="R91" s="1"/>
    </row>
    <row r="92" spans="1:23" x14ac:dyDescent="0.25">
      <c r="P92" s="1"/>
      <c r="Q92" s="64" t="s">
        <v>58</v>
      </c>
      <c r="R92" s="65"/>
      <c r="U92" s="64" t="s">
        <v>95</v>
      </c>
      <c r="V92" s="65"/>
    </row>
    <row r="93" spans="1:23" x14ac:dyDescent="0.25">
      <c r="P93" s="1"/>
      <c r="Q93" s="30" t="s">
        <v>73</v>
      </c>
      <c r="R93" s="39" t="e" cm="1">
        <f t="array" aca="1" ref="R93" ca="1">_xll.SUBNM(db_name&amp;":headline year","",$C$21)</f>
        <v>#NAME?</v>
      </c>
      <c r="U93" s="40" t="s">
        <v>96</v>
      </c>
      <c r="V93" s="47" t="e">
        <f ca="1">_xll.SUBNM(db_name&amp;":sys_YesNo","","Yes")</f>
        <v>#NAME?</v>
      </c>
    </row>
    <row r="94" spans="1:23" x14ac:dyDescent="0.25">
      <c r="P94" s="1"/>
      <c r="Q94" s="30" t="s">
        <v>74</v>
      </c>
      <c r="R94" s="39" t="e" cm="1">
        <f t="array" aca="1" ref="R94" ca="1">_xll.SUBNM(db_name&amp;":scenario","sys_BudgetRound",$C$22)</f>
        <v>#NAME?</v>
      </c>
      <c r="U94" s="40" t="s">
        <v>110</v>
      </c>
      <c r="V94" s="47" t="e">
        <f ca="1">_xll.SUBNM(db_name&amp;":sys_YesNo","","No")</f>
        <v>#NAME?</v>
      </c>
    </row>
    <row r="95" spans="1:23" x14ac:dyDescent="0.25">
      <c r="Q95" s="30" t="s">
        <v>75</v>
      </c>
      <c r="R95" s="42" t="e" cm="1">
        <f t="array" aca="1" ref="R95" ca="1">_xll.SUBNM(db_name&amp;":status","","Total approved")</f>
        <v>#NAME?</v>
      </c>
      <c r="S95" s="25"/>
      <c r="T95" s="25"/>
      <c r="U95" s="25"/>
      <c r="V95" s="25"/>
      <c r="W95" s="25"/>
    </row>
    <row r="96" spans="1:23" x14ac:dyDescent="0.25">
      <c r="Q96" s="30" t="s">
        <v>91</v>
      </c>
      <c r="R96" s="39" t="e" cm="1">
        <f t="array" aca="1" ref="R96" ca="1">_xll.SUBNM(db_name&amp;":outcome","","Total outcomes")</f>
        <v>#NAME?</v>
      </c>
      <c r="S96" s="25"/>
      <c r="T96" s="25"/>
      <c r="U96" s="25"/>
      <c r="V96" s="25"/>
      <c r="W96" s="25"/>
    </row>
    <row r="97" spans="1:28" x14ac:dyDescent="0.25">
      <c r="Q97" s="30" t="s">
        <v>76</v>
      </c>
      <c r="R97" s="39" t="e">
        <f ca="1">_xll.SUBNM(db_name&amp;":programme","","Administered Programmes","code and description")</f>
        <v>#NAME?</v>
      </c>
    </row>
    <row r="98" spans="1:28" x14ac:dyDescent="0.25">
      <c r="Q98" s="30" t="s">
        <v>92</v>
      </c>
      <c r="R98" s="39" t="e" cm="1">
        <f t="array" aca="1" ref="R98" ca="1">_xll.SUBNM(db_name&amp;":measure code","","Total Measures","CBMS code and description")</f>
        <v>#NAME?</v>
      </c>
      <c r="U98" s="40"/>
      <c r="V98" s="43"/>
      <c r="W98" s="43"/>
    </row>
    <row r="99" spans="1:28" x14ac:dyDescent="0.25">
      <c r="Q99" s="30" t="s">
        <v>77</v>
      </c>
      <c r="R99" s="39" t="e" cm="1">
        <f t="array" aca="1" ref="R99" ca="1">_xll.SUBNM(db_name&amp;":account","","2000000","code and description")</f>
        <v>#NAME?</v>
      </c>
      <c r="U99" s="40" t="s">
        <v>87</v>
      </c>
      <c r="V99" s="61">
        <f ca="1">NOW()</f>
        <v>45874.615325462961</v>
      </c>
      <c r="W99" s="61"/>
    </row>
    <row r="100" spans="1:28" x14ac:dyDescent="0.25">
      <c r="Q100" s="30" t="s">
        <v>90</v>
      </c>
      <c r="R100" s="42" t="e" cm="1">
        <f t="array" aca="1" ref="R100" ca="1">_xll.SUBNM(db_name&amp;":movement account","","Total movement","code and description")</f>
        <v>#NAME?</v>
      </c>
      <c r="S100" s="62" t="s">
        <v>88</v>
      </c>
      <c r="T100" s="63"/>
      <c r="U100" s="63"/>
      <c r="V100" s="63"/>
      <c r="W100" s="63"/>
    </row>
    <row r="101" spans="1:28" ht="4.5" customHeight="1" x14ac:dyDescent="0.25"/>
    <row r="102" spans="1:28" x14ac:dyDescent="0.25">
      <c r="B102" t="e">
        <f ca="1">$R$97</f>
        <v>#NAME?</v>
      </c>
      <c r="C102" t="s">
        <v>93</v>
      </c>
      <c r="S102" s="34" t="e">
        <f ca="1">S$82</f>
        <v>#NAME?</v>
      </c>
      <c r="T102" s="34" t="e">
        <f t="shared" ref="T102:W102" ca="1" si="0">T$82</f>
        <v>#NAME?</v>
      </c>
      <c r="U102" s="34" t="e">
        <f t="shared" ca="1" si="0"/>
        <v>#NAME?</v>
      </c>
      <c r="V102" s="34" t="e">
        <f t="shared" ca="1" si="0"/>
        <v>#NAME?</v>
      </c>
      <c r="W102" s="34" t="e">
        <f t="shared" ca="1" si="0"/>
        <v>#NAME?</v>
      </c>
    </row>
    <row r="103" spans="1:28" x14ac:dyDescent="0.25">
      <c r="B103" t="e">
        <f ca="1">$R$97</f>
        <v>#NAME?</v>
      </c>
      <c r="C103" t="s">
        <v>94</v>
      </c>
      <c r="R103" s="44" t="e">
        <f ca="1">$R$97 &amp;" - Opening Balance"</f>
        <v>#NAME?</v>
      </c>
      <c r="S103" s="45" t="e" cm="1">
        <f t="array" aca="1" ref="S103" ca="1">_xll.DBRW($C$45,$R$93,$R$94,$R$95,$R$96,$C$50,$C$51,$C$52,$C$53,$R$98,$C$55,$R$100,$C$57,$B102,$C$60,$C102,$C$58,S$82)</f>
        <v>#NAME?</v>
      </c>
      <c r="T103" s="45" t="e" cm="1">
        <f t="array" aca="1" ref="T103" ca="1">_xll.DBRW($C$45,$R$93,$R$94,$R$95,$R$96,$C$50,$C$51,$C$52,$C$53,$R$98,$C$55,$R$100,$C$57,$B102,$C$60,$C102,$C$58,T$82)</f>
        <v>#NAME?</v>
      </c>
      <c r="U103" s="45" t="e" cm="1">
        <f t="array" aca="1" ref="U103" ca="1">_xll.DBRW($C$45,$R$93,$R$94,$R$95,$R$96,$C$50,$C$51,$C$52,$C$53,$R$98,$C$55,$R$100,$C$57,$B102,$C$60,$C102,$C$58,U$82)</f>
        <v>#NAME?</v>
      </c>
      <c r="V103" s="45" t="e" cm="1">
        <f t="array" aca="1" ref="V103" ca="1">_xll.DBRW($C$45,$R$93,$R$94,$R$95,$R$96,$C$50,$C$51,$C$52,$C$53,$R$98,$C$55,$R$100,$C$57,$B102,$C$60,$C102,$C$58,V$82)</f>
        <v>#NAME?</v>
      </c>
      <c r="W103" s="45" t="e" cm="1">
        <f t="array" aca="1" ref="W103" ca="1">_xll.DBRW($C$45,$R$93,$R$94,$R$95,$R$96,$C$50,$C$51,$C$52,$C$53,$R$98,$C$55,$R$100,$C$57,$B102,$C$60,$C102,$C$58,W$82)</f>
        <v>#NAME?</v>
      </c>
    </row>
    <row r="104" spans="1:28" x14ac:dyDescent="0.25">
      <c r="R104" s="44" t="e">
        <f ca="1">$R$97 &amp;" - Closing Balance"</f>
        <v>#NAME?</v>
      </c>
      <c r="S104" s="45" t="e" cm="1">
        <f t="array" aca="1" ref="S104" ca="1">_xll.DBRW($C$45,$R$93,$R$94,$R$95,$R$96,$C$50,$C$51,$C$52,$C$53,$R$98,$C$55,$R$100,$C$57,$B103,$C$60,$C103,$C$58,S$82)</f>
        <v>#NAME?</v>
      </c>
      <c r="T104" s="45" t="e" cm="1">
        <f t="array" aca="1" ref="T104" ca="1">_xll.DBRW($C$45,$R$93,$R$94,$R$95,$R$96,$C$50,$C$51,$C$52,$C$53,$R$98,$C$55,$R$100,$C$57,$B103,$C$60,$C103,$C$58,T$82)</f>
        <v>#NAME?</v>
      </c>
      <c r="U104" s="45" t="e" cm="1">
        <f t="array" aca="1" ref="U104" ca="1">_xll.DBRW($C$45,$R$93,$R$94,$R$95,$R$96,$C$50,$C$51,$C$52,$C$53,$R$98,$C$55,$R$100,$C$57,$B103,$C$60,$C103,$C$58,U$82)</f>
        <v>#NAME?</v>
      </c>
      <c r="V104" s="45" t="e" cm="1">
        <f t="array" aca="1" ref="V104" ca="1">_xll.DBRW($C$45,$R$93,$R$94,$R$95,$R$96,$C$50,$C$51,$C$52,$C$53,$R$98,$C$55,$R$100,$C$57,$B103,$C$60,$C103,$C$58,V$82)</f>
        <v>#NAME?</v>
      </c>
      <c r="W104" s="45" t="e" cm="1">
        <f t="array" aca="1" ref="W104" ca="1">_xll.DBRW($C$45,$R$93,$R$94,$R$95,$R$96,$C$50,$C$51,$C$52,$C$53,$R$98,$C$55,$R$100,$C$57,$B103,$C$60,$C103,$C$58,W$82)</f>
        <v>#NAME?</v>
      </c>
    </row>
    <row r="105" spans="1:28" ht="4.5" customHeight="1" x14ac:dyDescent="0.25"/>
    <row r="106" spans="1:28" s="2" customFormat="1" ht="30" x14ac:dyDescent="0.25">
      <c r="B106" s="41" t="s">
        <v>82</v>
      </c>
      <c r="C106" s="41" t="s">
        <v>100</v>
      </c>
      <c r="D106" s="41" t="s">
        <v>89</v>
      </c>
      <c r="G106" s="2" t="s">
        <v>101</v>
      </c>
      <c r="H106" s="2" t="s">
        <v>102</v>
      </c>
      <c r="I106" s="2" t="s">
        <v>105</v>
      </c>
      <c r="J106" s="2" t="s">
        <v>106</v>
      </c>
      <c r="K106" s="2" t="s">
        <v>8</v>
      </c>
      <c r="L106" s="2" t="s">
        <v>107</v>
      </c>
      <c r="N106" s="66" t="s">
        <v>82</v>
      </c>
      <c r="O106" s="66"/>
      <c r="P106" s="66"/>
      <c r="Q106" s="50" t="s">
        <v>59</v>
      </c>
      <c r="R106" s="49" t="s">
        <v>81</v>
      </c>
      <c r="S106" s="49" t="e">
        <f ca="1">S$82</f>
        <v>#NAME?</v>
      </c>
      <c r="T106" s="49" t="e">
        <f t="shared" ref="T106:W106" ca="1" si="1">T$82</f>
        <v>#NAME?</v>
      </c>
      <c r="U106" s="49" t="e">
        <f t="shared" ca="1" si="1"/>
        <v>#NAME?</v>
      </c>
      <c r="V106" s="49" t="e">
        <f t="shared" ca="1" si="1"/>
        <v>#NAME?</v>
      </c>
      <c r="W106" s="49" t="e">
        <f t="shared" ca="1" si="1"/>
        <v>#NAME?</v>
      </c>
      <c r="Y106" s="49" t="s">
        <v>100</v>
      </c>
      <c r="Z106" s="49" t="s">
        <v>97</v>
      </c>
      <c r="AA106" s="49" t="s">
        <v>98</v>
      </c>
      <c r="AB106" s="49" t="s">
        <v>99</v>
      </c>
    </row>
    <row r="107" spans="1:28" x14ac:dyDescent="0.25">
      <c r="A107" t="e" cm="1">
        <f t="array" aca="1" ref="A107" ca="1">IF(_xll.TM1RPTELISCONSOLIDATED($D$107,$D107),IF(_xll.TM1RPTELLEV($D$107,$D107)&lt;=3,_xll.TM1RPTELLEV($D$107,$D107),"D"),"N")</f>
        <v>#NAME?</v>
      </c>
      <c r="B107" s="48" t="e" cm="1">
        <f t="array" aca="1" ref="B107" ca="1">_xll.TM1RPTROW($C$44,db_name&amp;":programme","","","code and description",0,C77)</f>
        <v>#NAME?</v>
      </c>
      <c r="C107" s="46" t="e">
        <f ca="1">_xll.TM1RPTROW($C$44,db_name&amp;":appropriation type","","","code and description",0,C78)</f>
        <v>#NAME?</v>
      </c>
      <c r="D107" s="46" t="e" cm="1">
        <f t="array" aca="1" ref="D107" ca="1">_xll.TM1RPTROW($C$44,db_name&amp;":id","",,,,+C76)</f>
        <v>#NAME?</v>
      </c>
      <c r="E107" s="20"/>
      <c r="F107" s="20"/>
      <c r="G107" s="20" t="e" cm="1">
        <f t="array" aca="1" ref="G107" ca="1">_xll.DBR($C$81,$R$93,$R$94,$D107,$C$82)</f>
        <v>#NAME?</v>
      </c>
      <c r="H107" s="20" t="e">
        <f ca="1">_xll.DBR($C$81,$R$93,$R$94,$D107,H$106)</f>
        <v>#NAME?</v>
      </c>
      <c r="I107" s="20" t="e">
        <f ca="1">_xll.DBR($F$81,$H107,I$106)</f>
        <v>#NAME?</v>
      </c>
      <c r="J107" s="20" t="e">
        <f ca="1">_xll.DBR($F$82,$R$93,$R$94,$H107,J$106)</f>
        <v>#NAME?</v>
      </c>
      <c r="K107" s="20" t="e">
        <f ca="1">_xll.DBR($C$81,$R$93,$R$94,$D107,K$106)</f>
        <v>#NAME?</v>
      </c>
      <c r="L107" s="20" t="e">
        <f ca="1">_xll.DBR($F$83,$K107,L$106)</f>
        <v>#NAME?</v>
      </c>
      <c r="M107" s="20"/>
      <c r="N107" s="55" t="e">
        <f ca="1">+B107</f>
        <v>#NAME?</v>
      </c>
      <c r="O107" s="55"/>
      <c r="P107" s="55"/>
      <c r="Q107" s="35" t="e">
        <f ca="1">IF(OR($D107="00000",$D107="0BASE"),"Opening Balance",IF($D107="Total IDs","Closing Balance",$D107))</f>
        <v>#NAME?</v>
      </c>
      <c r="R107" s="36" t="e">
        <f ca="1">$G107</f>
        <v>#NAME?</v>
      </c>
      <c r="S107" s="37" t="e">
        <f ca="1">_xll.DBRW($C$44,$R$93,$R$94,$R$95,$R$96,$C$50,$C$51,$C$52,$C$53,$R$98,$C107,$R$100,$C$57,$B107,$C$60,$D107,$C$58,S$82)</f>
        <v>#NAME?</v>
      </c>
      <c r="T107" s="37" t="e">
        <f ca="1">_xll.DBRW($C$44,$R$93,$R$94,$R$95,$R$96,$C$50,$C$51,$C$52,$C$53,$R$98,$C107,$R$100,$C$57,$B107,$C$60,$D107,$C$58,T$82)</f>
        <v>#NAME?</v>
      </c>
      <c r="U107" s="37" t="e">
        <f ca="1">_xll.DBRW($C$44,$R$93,$R$94,$R$95,$R$96,$C$50,$C$51,$C$52,$C$53,$R$98,$C107,$R$100,$C$57,$B107,$C$60,$D107,$C$58,U$82)</f>
        <v>#NAME?</v>
      </c>
      <c r="V107" s="37" t="e">
        <f ca="1">_xll.DBRW($C$44,$R$93,$R$94,$R$95,$R$96,$C$50,$C$51,$C$52,$C$53,$R$98,$C107,$R$100,$C$57,$B107,$C$60,$D107,$C$58,V$82)</f>
        <v>#NAME?</v>
      </c>
      <c r="W107" s="37" t="e">
        <f ca="1">_xll.DBRW($C$44,$R$93,$R$94,$R$95,$R$96,$C$50,$C$51,$C$52,$C$53,$R$98,$C107,$R$100,$C$57,$B107,$C$60,$D107,$C$58,W$82)</f>
        <v>#NAME?</v>
      </c>
      <c r="Y107" s="51" t="e">
        <f ca="1">$C107</f>
        <v>#NAME?</v>
      </c>
      <c r="Z107" s="52" t="e">
        <f ca="1">IF(OR($D107="00000",$D107="0BASE",$D107="Total IDs"),"",$H107)</f>
        <v>#NAME?</v>
      </c>
      <c r="AA107" s="51" t="e">
        <f ca="1">IF(OR($D107="00000",$D107="0BASE",$D107="Total IDs"),"",$I107)</f>
        <v>#NAME?</v>
      </c>
      <c r="AB107" s="51" t="e">
        <f ca="1">IF(OR($D107="00000",$D107="0BASE",$D107="Total IDs"),"",$J107)</f>
        <v>#NAME?</v>
      </c>
    </row>
    <row r="108" spans="1:28" ht="4.5" customHeight="1" x14ac:dyDescent="0.25"/>
    <row r="109" spans="1:28" x14ac:dyDescent="0.25">
      <c r="U109" s="40" t="s">
        <v>87</v>
      </c>
      <c r="V109" s="61">
        <f ca="1">NOW()</f>
        <v>45874.615325462961</v>
      </c>
      <c r="W109" s="61"/>
    </row>
  </sheetData>
  <sheetProtection sheet="1" objects="1" scenarios="1"/>
  <mergeCells count="20">
    <mergeCell ref="V99:W99"/>
    <mergeCell ref="S100:W100"/>
    <mergeCell ref="V109:W109"/>
    <mergeCell ref="Q92:R92"/>
    <mergeCell ref="B80:C80"/>
    <mergeCell ref="N106:P106"/>
    <mergeCell ref="N107:P107"/>
    <mergeCell ref="U92:V92"/>
    <mergeCell ref="E80:F80"/>
    <mergeCell ref="N2:P2"/>
    <mergeCell ref="N3:P3"/>
    <mergeCell ref="N4:P4"/>
    <mergeCell ref="N5:P5"/>
    <mergeCell ref="N6:P6"/>
    <mergeCell ref="N7:P7"/>
    <mergeCell ref="B11:C11"/>
    <mergeCell ref="B19:C19"/>
    <mergeCell ref="B27:C27"/>
    <mergeCell ref="B75:C75"/>
    <mergeCell ref="B43:C43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 sizeWithCells="1">
              <from>
                <xdr:col>12</xdr:col>
                <xdr:colOff>47625</xdr:colOff>
                <xdr:row>86</xdr:row>
                <xdr:rowOff>9525</xdr:rowOff>
              </from>
              <to>
                <xdr:col>13</xdr:col>
                <xdr:colOff>628650</xdr:colOff>
                <xdr:row>86</xdr:row>
                <xdr:rowOff>257175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autoPict="0" r:id="rId7">
            <anchor moveWithCells="1" sizeWithCells="1">
              <from>
                <xdr:col>13</xdr:col>
                <xdr:colOff>666750</xdr:colOff>
                <xdr:row>86</xdr:row>
                <xdr:rowOff>9525</xdr:rowOff>
              </from>
              <to>
                <xdr:col>13</xdr:col>
                <xdr:colOff>1485900</xdr:colOff>
                <xdr:row>86</xdr:row>
                <xdr:rowOff>257175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autoPict="0" r:id="rId9">
            <anchor moveWithCells="1" sizeWithCells="1">
              <from>
                <xdr:col>13</xdr:col>
                <xdr:colOff>1514475</xdr:colOff>
                <xdr:row>86</xdr:row>
                <xdr:rowOff>9525</xdr:rowOff>
              </from>
              <to>
                <xdr:col>14</xdr:col>
                <xdr:colOff>1323975</xdr:colOff>
                <xdr:row>86</xdr:row>
                <xdr:rowOff>257175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autoPict="0" r:id="rId11">
            <anchor moveWithCells="1" sizeWithCells="1">
              <from>
                <xdr:col>16</xdr:col>
                <xdr:colOff>1114425</xdr:colOff>
                <xdr:row>86</xdr:row>
                <xdr:rowOff>9525</xdr:rowOff>
              </from>
              <to>
                <xdr:col>17</xdr:col>
                <xdr:colOff>742950</xdr:colOff>
                <xdr:row>86</xdr:row>
                <xdr:rowOff>257175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0" r:id="rId12" name="TIButton6">
          <controlPr defaultSize="0" print="0" autoLine="0" autoPict="0" r:id="rId13">
            <anchor moveWithCells="1" sizeWithCells="1">
              <from>
                <xdr:col>22</xdr:col>
                <xdr:colOff>533400</xdr:colOff>
                <xdr:row>85</xdr:row>
                <xdr:rowOff>19050</xdr:rowOff>
              </from>
              <to>
                <xdr:col>23</xdr:col>
                <xdr:colOff>0</xdr:colOff>
                <xdr:row>86</xdr:row>
                <xdr:rowOff>276225</xdr:rowOff>
              </to>
            </anchor>
          </controlPr>
        </control>
      </mc:Choice>
      <mc:Fallback>
        <control shapeId="1030" r:id="rId12" name="TIButton6"/>
      </mc:Fallback>
    </mc:AlternateContent>
    <mc:AlternateContent xmlns:mc="http://schemas.openxmlformats.org/markup-compatibility/2006">
      <mc:Choice Requires="x14">
        <control shapeId="1031" r:id="rId14" name="TIButton5">
          <controlPr defaultSize="0" print="0" autoLine="0" autoPict="0" r:id="rId15">
            <anchor moveWithCells="1" sizeWithCells="1">
              <from>
                <xdr:col>14</xdr:col>
                <xdr:colOff>1343025</xdr:colOff>
                <xdr:row>86</xdr:row>
                <xdr:rowOff>9525</xdr:rowOff>
              </from>
              <to>
                <xdr:col>16</xdr:col>
                <xdr:colOff>133350</xdr:colOff>
                <xdr:row>86</xdr:row>
                <xdr:rowOff>257175</xdr:rowOff>
              </to>
            </anchor>
          </controlPr>
        </control>
      </mc:Choice>
      <mc:Fallback>
        <control shapeId="1031" r:id="rId14" name="TIButton5"/>
      </mc:Fallback>
    </mc:AlternateContent>
    <mc:AlternateContent xmlns:mc="http://schemas.openxmlformats.org/markup-compatibility/2006">
      <mc:Choice Requires="x14">
        <control shapeId="1032" r:id="rId16" name="TIButton7">
          <controlPr defaultSize="0" print="0" autoLine="0" autoPict="0" r:id="rId17">
            <anchor moveWithCells="1" sizeWithCells="1">
              <from>
                <xdr:col>16</xdr:col>
                <xdr:colOff>180975</xdr:colOff>
                <xdr:row>86</xdr:row>
                <xdr:rowOff>9525</xdr:rowOff>
              </from>
              <to>
                <xdr:col>16</xdr:col>
                <xdr:colOff>1066800</xdr:colOff>
                <xdr:row>86</xdr:row>
                <xdr:rowOff>257175</xdr:rowOff>
              </to>
            </anchor>
          </controlPr>
        </control>
      </mc:Choice>
      <mc:Fallback>
        <control shapeId="1032" r:id="rId16" name="TIButton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report</vt:lpstr>
      <vt:lpstr>Account_list</vt:lpstr>
      <vt:lpstr>db_name</vt:lpstr>
      <vt:lpstr>freeze_here</vt:lpstr>
      <vt:lpstr>Programme_Ctrl_List</vt:lpstr>
      <vt:lpstr>psApp</vt:lpstr>
      <vt:lpstr>psUser</vt:lpstr>
      <vt:lpstr>TargetCells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TM1RptAEAppropQACAP</vt:lpstr>
      <vt:lpstr>TM1RptAEAppropQAWB</vt:lpstr>
      <vt:lpstr>TM1RptAEAppropQAWS</vt:lpstr>
      <vt:lpstr>TM1RptAppropOCProgCAP</vt:lpstr>
      <vt:lpstr>TM1RptAppropOCProgWB</vt:lpstr>
      <vt:lpstr>TM1RptAppropOCProgWS</vt:lpstr>
      <vt:lpstr>report!TM1RPTDATARNG1</vt:lpstr>
      <vt:lpstr>report!TM1RPTFMTIDCOL</vt:lpstr>
      <vt:lpstr>report!TM1RPTFMTRNG</vt:lpstr>
      <vt:lpstr>TM1RptProgMoveCAP</vt:lpstr>
      <vt:lpstr>TM1RptProgMoveWB</vt:lpstr>
      <vt:lpstr>TM1RptProgMoveWS</vt:lpstr>
      <vt:lpstr>TM1RptReasonMoveCAP</vt:lpstr>
      <vt:lpstr>TM1RptReasonMoveWB</vt:lpstr>
      <vt:lpstr>TM1RptReasonMoveWS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2019-05-28T04:49:30Z</dcterms:created>
  <dcterms:modified xsi:type="dcterms:W3CDTF">2025-08-05T04:46:04Z</dcterms:modified>
  <cp:category>Applications\PRIMUS\GEUS WEB\Reports\Primary Financial Statements\Reports - Summary Movement by Program.xlsx</cp:category>
</cp:coreProperties>
</file>