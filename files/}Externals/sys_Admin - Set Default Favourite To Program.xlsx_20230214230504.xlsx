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DDCEF4EE-0125-473A-BD66-0DC14E4F6024}" xr6:coauthVersionLast="47" xr6:coauthVersionMax="47" xr10:uidLastSave="{00000000-0000-0000-0000-000000000000}"/>
  <bookViews>
    <workbookView xWindow="29580" yWindow="780" windowWidth="21600" windowHeight="11385" xr2:uid="{E8548463-1815-4AFC-8E89-C567D0568202}"/>
  </bookViews>
  <sheets>
    <sheet name="program favourite" sheetId="1" r:id="rId1"/>
    <sheet name="{PL}PickLst" sheetId="3" state="hidden" r:id="rId2"/>
  </sheets>
  <definedNames>
    <definedName name="db_name">'program favourite'!$C$12</definedName>
    <definedName name="Freeze_here">'program favourite'!$L$66</definedName>
    <definedName name="psApp">'program favourite'!$C$30</definedName>
    <definedName name="psHLYear">'program favourite'!$L$62</definedName>
    <definedName name="psProgDimName">'program favourite'!$C$26</definedName>
    <definedName name="psScenario">'program favourite'!$L$63</definedName>
    <definedName name="psUser">'program favourite'!$C$14</definedName>
    <definedName name="TM1AdminFavAccCAP">'program favourite'!$D$40</definedName>
    <definedName name="TM1AdminFavAccWB">'program favourite'!$F$40</definedName>
    <definedName name="TM1AdminFavAccWS">'program favourite'!$H$40</definedName>
    <definedName name="TM1AdminFavListCAP">'program favourite'!$D$41</definedName>
    <definedName name="TM1AdminFavListWB">'program favourite'!$F$41</definedName>
    <definedName name="TM1AdminFavListWS">'program favourite'!$H$41</definedName>
    <definedName name="TM1AdminFavProgCAP">'program favourite'!$D$42</definedName>
    <definedName name="TM1AdminFavProgWB">'program favourite'!$F$42</definedName>
    <definedName name="TM1AdminFavProgWS">'program favourite'!$H$42</definedName>
    <definedName name="TM1AdminProgDetCAP">'program favourite'!$D$38</definedName>
    <definedName name="TM1AdminProgDetWB">'program favourite'!$F$38</definedName>
    <definedName name="TM1AdminProgDetWS">'program favourite'!$H$38</definedName>
    <definedName name="TM1AdminRDSProgCAP">'program favourite'!$D$37</definedName>
    <definedName name="TM1AdminRDSProgWB">'program favourite'!$F$37</definedName>
    <definedName name="TM1AdminRDSProgWS">'program favourite'!$H$37</definedName>
    <definedName name="TM1HomeAdminCAP">'program favourite'!$D$35</definedName>
    <definedName name="TM1HomeAdminFavCAP">'program favourite'!$D$39</definedName>
    <definedName name="TM1HomeAdminFavWB">'program favourite'!$F$39</definedName>
    <definedName name="TM1HomeAdminFavWS">'program favourite'!$H$39</definedName>
    <definedName name="TM1HomeAdminRDSCAP">'program favourite'!$D$36</definedName>
    <definedName name="TM1HomeAdminRDSWB">'program favourite'!$F$36</definedName>
    <definedName name="TM1HomeAdminRDSWS">'program favourite'!$H$36</definedName>
    <definedName name="TM1HomeAdminWB">'program favourite'!$F$35</definedName>
    <definedName name="TM1HomeAdminWS">'program favourite'!$H$35</definedName>
    <definedName name="TM1HomeAECAP">'program favourite'!$D$33</definedName>
    <definedName name="TM1HomeAEWB">'program favourite'!$F$33</definedName>
    <definedName name="TM1HomeAEWS">'program favourite'!$H$33</definedName>
    <definedName name="TM1HomeCAP">'program favourite'!$D$32</definedName>
    <definedName name="TM1HomeRepCAP">'program favourite'!$D$34</definedName>
    <definedName name="TM1HomeRepWB">'program favourite'!$F$34</definedName>
    <definedName name="TM1HomeRepWS">'program favourite'!$H$34</definedName>
    <definedName name="TM1HomeWB">'program favourite'!$F$32</definedName>
    <definedName name="TM1HomeWS">'program favourite'!$H$32</definedName>
    <definedName name="TM1REBUILDOPTION">0</definedName>
    <definedName name="TM1RPTDATARNG2" localSheetId="0">'program favourite'!$67:$67</definedName>
    <definedName name="TM1RPTFMTIDCOL" localSheetId="0">'program favourite'!$A$1:$A$8</definedName>
    <definedName name="TM1RPTFMTRNG" localSheetId="0">'program favourite'!$B$1:$R$8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 l="1"/>
  <c r="C20" i="1" a="1"/>
  <c r="C20" i="1"/>
  <c r="C22" i="1" a="1"/>
  <c r="C22" i="1"/>
  <c r="L63" i="1"/>
  <c r="C21" i="1" a="1"/>
  <c r="C21" i="1"/>
  <c r="L62" i="1"/>
  <c r="C46" i="1"/>
  <c r="C29" i="1"/>
  <c r="A67" i="1" a="1"/>
  <c r="A67" i="1"/>
  <c r="C47" i="1" a="1"/>
  <c r="C47" i="1"/>
  <c r="C50" i="1"/>
  <c r="C48" i="1"/>
  <c r="J67" i="1" a="1"/>
  <c r="J67" i="1"/>
  <c r="R67" i="1" a="1"/>
  <c r="R67" i="1"/>
  <c r="H67" i="1" a="1"/>
  <c r="H67" i="1"/>
  <c r="G67" i="1" a="1"/>
  <c r="G67" i="1"/>
  <c r="F67" i="1" a="1"/>
  <c r="F67" i="1"/>
  <c r="E67" i="1" a="1"/>
  <c r="E67" i="1"/>
  <c r="D67" i="1" a="1"/>
  <c r="D67" i="1"/>
  <c r="C67" i="1" a="1"/>
  <c r="C67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6" i="1" a="1"/>
  <c r="C26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Q67" i="1"/>
  <c r="P67" i="1"/>
  <c r="O67" i="1"/>
  <c r="N67" i="1"/>
  <c r="M67" i="1"/>
  <c r="L67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<sst xmlns="http://schemas.openxmlformats.org/spreadsheetml/2006/main" count="422" uniqueCount="414">
  <si>
    <t>headline year</t>
  </si>
  <si>
    <t>programme</t>
  </si>
  <si>
    <t>appropriation type</t>
  </si>
  <si>
    <t>appropriation item</t>
  </si>
  <si>
    <t>SPP</t>
  </si>
  <si>
    <t>control type</t>
  </si>
  <si>
    <t>agency code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</si>
  <si>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</si>
  <si>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</si>
  <si>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</si>
  <si>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</si>
  <si>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</si>
  <si>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</si>
  <si>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</si>
  <si>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</si>
  <si>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</si>
  <si>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</si>
  <si>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</si>
  <si>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</si>
  <si>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</si>
  <si>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</si>
  <si>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</si>
  <si>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</si>
  <si>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</si>
  <si>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</si>
  <si>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</si>
  <si>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</si>
  <si>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</si>
  <si>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</si>
  <si>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</si>
  <si>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</si>
  <si>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</si>
  <si>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</si>
  <si>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</si>
  <si>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</si>
  <si>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</si>
  <si>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</si>
  <si>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</si>
  <si>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</si>
  <si>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</si>
  <si>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}ElementAttributes_account</t>
  </si>
  <si>
    <t>Active Form</t>
  </si>
  <si>
    <t>Slice</t>
  </si>
  <si>
    <t>Dimension MDX To Use</t>
  </si>
  <si>
    <t>All MDX</t>
  </si>
  <si>
    <t>{TM1SUBSETALL( [programme] )}</t>
  </si>
  <si>
    <t>Filter MDX</t>
  </si>
  <si>
    <t>Attribute Fields</t>
  </si>
  <si>
    <t>REPORT PARAMETERS</t>
  </si>
  <si>
    <t>Scenario  :</t>
  </si>
  <si>
    <t>Admin RDS - Programme</t>
  </si>
  <si>
    <t>Admin - Programme Details</t>
  </si>
  <si>
    <t>CBMS Program Code</t>
  </si>
  <si>
    <t>Appropriation Type</t>
  </si>
  <si>
    <t>Appropriation Item</t>
  </si>
  <si>
    <t>default favourite template</t>
  </si>
  <si>
    <t>Default Favourite Account</t>
  </si>
  <si>
    <t>Control Type</t>
  </si>
  <si>
    <t>Program</t>
  </si>
  <si>
    <t>Agency Code</t>
  </si>
  <si>
    <t>A002-00008-05007</t>
  </si>
  <si>
    <t>A002-00017-05002</t>
  </si>
  <si>
    <t>A002-00017-05003</t>
  </si>
  <si>
    <t>A002-00017-05004</t>
  </si>
  <si>
    <t>A002-00017-05005</t>
  </si>
  <si>
    <t>A002-00017-05007</t>
  </si>
  <si>
    <t>A006-00019-05000</t>
  </si>
  <si>
    <t>A006-00019-05001</t>
  </si>
  <si>
    <t>A007-00020-05002</t>
  </si>
  <si>
    <t>A007-00020-05004</t>
  </si>
  <si>
    <t>A009-00013-05006</t>
  </si>
  <si>
    <t>A010-00014-01436</t>
  </si>
  <si>
    <t>A100-10000-04200</t>
  </si>
  <si>
    <t>A100-10000-04201</t>
  </si>
  <si>
    <t>A100-10000-04271</t>
  </si>
  <si>
    <t>A100-10022-04062</t>
  </si>
  <si>
    <t>A100-10105-04073</t>
  </si>
  <si>
    <t>A100-10196-04061</t>
  </si>
  <si>
    <t>A100-10256-04107</t>
  </si>
  <si>
    <t>A100-10262-04247</t>
  </si>
  <si>
    <t>A200-20061-04076</t>
  </si>
  <si>
    <t>A200-20132-04183</t>
  </si>
  <si>
    <t>A200-20162-04066</t>
  </si>
  <si>
    <t>A300-30029-04202</t>
  </si>
  <si>
    <t>A300-30031-04035</t>
  </si>
  <si>
    <t>A300-30032-04031</t>
  </si>
  <si>
    <t>A300-30056-04047</t>
  </si>
  <si>
    <t>A300-30081-04106</t>
  </si>
  <si>
    <t>1038</t>
  </si>
  <si>
    <t>1039</t>
  </si>
  <si>
    <t>1070</t>
  </si>
  <si>
    <t>1078</t>
  </si>
  <si>
    <t>1085</t>
  </si>
  <si>
    <t>1097</t>
  </si>
  <si>
    <t>1128</t>
  </si>
  <si>
    <t>1139</t>
  </si>
  <si>
    <t>1171</t>
  </si>
  <si>
    <t>1173</t>
  </si>
  <si>
    <t>1208</t>
  </si>
  <si>
    <t>1296</t>
  </si>
  <si>
    <t>1313</t>
  </si>
  <si>
    <t>1314</t>
  </si>
  <si>
    <t>1319</t>
  </si>
  <si>
    <t>1322</t>
  </si>
  <si>
    <t>1331</t>
  </si>
  <si>
    <t>1350</t>
  </si>
  <si>
    <t>1351</t>
  </si>
  <si>
    <t>1352</t>
  </si>
  <si>
    <t>1355</t>
  </si>
  <si>
    <t>1365</t>
  </si>
  <si>
    <t>1373</t>
  </si>
  <si>
    <t>1376</t>
  </si>
  <si>
    <t>1379</t>
  </si>
  <si>
    <t>1380</t>
  </si>
  <si>
    <t>1381</t>
  </si>
  <si>
    <t>1382</t>
  </si>
  <si>
    <t>1383</t>
  </si>
  <si>
    <t>1385</t>
  </si>
  <si>
    <t>1386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</si>
  <si>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</si>
  <si>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</si>
  <si>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</si>
  <si>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</si>
  <si>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</si>
  <si>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</si>
  <si>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</si>
  <si>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</si>
  <si>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</si>
  <si>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</si>
  <si>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</si>
  <si>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</si>
  <si>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</si>
  <si>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</si>
  <si>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1431</t>
  </si>
  <si>
    <t>1436</t>
  </si>
  <si>
    <t>1438</t>
  </si>
  <si>
    <t>1439</t>
  </si>
  <si>
    <t>1468</t>
  </si>
  <si>
    <t>1470</t>
  </si>
  <si>
    <t>1629</t>
  </si>
  <si>
    <t>1633</t>
  </si>
  <si>
    <t>1725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</si>
  <si>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</si>
  <si>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</si>
  <si>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</si>
  <si>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</si>
  <si>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</si>
  <si>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</si>
  <si>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</si>
  <si>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</si>
  <si>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</si>
  <si>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</si>
  <si>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</si>
  <si>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</si>
  <si>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</si>
  <si>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</si>
  <si>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</si>
  <si>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</si>
  <si>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</si>
  <si>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</si>
  <si>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</si>
  <si>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</si>
  <si>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</si>
  <si>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</si>
  <si>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</si>
  <si>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</si>
  <si>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</si>
  <si>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</si>
  <si>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</si>
  <si>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</si>
  <si>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</si>
  <si>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</si>
  <si>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</si>
  <si>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</si>
  <si>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</si>
  <si>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</si>
  <si>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</si>
  <si>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</si>
  <si>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</si>
  <si>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</si>
  <si>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</si>
  <si>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</si>
  <si>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</si>
  <si>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</si>
  <si>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</si>
  <si>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</si>
  <si>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</si>
  <si>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</si>
  <si>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</si>
  <si>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</si>
  <si>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</si>
  <si>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</si>
  <si>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</si>
  <si>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</si>
  <si>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</si>
  <si>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</si>
  <si>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</si>
  <si>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</si>
  <si>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</si>
  <si>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</si>
  <si>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</si>
  <si>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</si>
  <si>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</si>
  <si>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</si>
  <si>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</si>
  <si>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</si>
  <si>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</si>
  <si>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</si>
  <si>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</si>
  <si>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</si>
  <si>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</si>
  <si>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</si>
  <si>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</si>
  <si>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</si>
  <si>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</si>
  <si>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</si>
  <si>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</si>
  <si>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</si>
  <si>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</si>
  <si>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</si>
  <si>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</si>
  <si>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</si>
  <si>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</si>
  <si>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</si>
  <si>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</si>
  <si>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</si>
  <si>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</si>
  <si>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</si>
  <si>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</si>
  <si>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</si>
  <si>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</si>
  <si>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</si>
  <si>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</si>
  <si>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</si>
  <si>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</si>
  <si>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</si>
  <si>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</si>
  <si>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</si>
  <si>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</si>
  <si>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</si>
  <si>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</si>
  <si>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</si>
  <si>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</si>
  <si>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</si>
  <si>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</si>
  <si>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</si>
  <si>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</si>
  <si>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</si>
  <si>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</si>
  <si>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</si>
  <si>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</si>
  <si>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</si>
  <si>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</si>
  <si>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</si>
  <si>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</si>
  <si>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</si>
  <si>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</si>
  <si>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</si>
  <si>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</si>
  <si>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</si>
  <si>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</si>
  <si>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</si>
  <si>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</si>
  <si>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</si>
  <si>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</si>
  <si>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</si>
  <si>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</si>
  <si>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</si>
  <si>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</si>
  <si>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</si>
  <si>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</si>
  <si>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</si>
  <si>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</si>
  <si>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</si>
  <si>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</si>
  <si>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</si>
  <si>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</si>
  <si>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</si>
  <si>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</si>
  <si>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</si>
  <si>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</si>
  <si>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</si>
  <si>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</si>
  <si>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</si>
  <si>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</si>
  <si>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</si>
  <si>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</si>
  <si>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</si>
  <si>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2272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</si>
  <si>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</si>
  <si>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</si>
  <si>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</si>
  <si>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</si>
  <si>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</si>
  <si>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</si>
  <si>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</si>
  <si>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</si>
  <si>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</si>
  <si>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</si>
  <si>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</si>
  <si>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</si>
  <si>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</si>
  <si>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</si>
  <si>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</si>
  <si>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</si>
  <si>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</si>
  <si>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</si>
  <si>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</si>
  <si>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</si>
  <si>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</si>
  <si>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</si>
  <si>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</si>
  <si>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</si>
  <si>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</si>
  <si>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</si>
  <si>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</si>
  <si>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</si>
  <si>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</si>
  <si>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</si>
  <si>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</si>
  <si>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</si>
  <si>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</si>
  <si>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</si>
  <si>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</si>
  <si>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</si>
  <si>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</si>
  <si>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</si>
  <si>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3935</t>
  </si>
  <si>
    <t>3945</t>
  </si>
  <si>
    <t>3953</t>
  </si>
  <si>
    <t>3954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</si>
  <si>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</si>
  <si>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</si>
  <si>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</si>
  <si>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</si>
  <si>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</si>
  <si>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</si>
  <si>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</si>
  <si>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</si>
  <si>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</si>
  <si>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</si>
  <si>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</si>
  <si>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</si>
  <si>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</si>
  <si>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</si>
  <si>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</si>
  <si>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</si>
  <si>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</si>
  <si>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</si>
  <si>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</si>
  <si>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</si>
  <si>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</si>
  <si>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</si>
  <si>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</si>
  <si>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</si>
  <si>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</si>
  <si>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</si>
  <si>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</si>
  <si>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</si>
  <si>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</si>
  <si>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</si>
  <si>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</si>
  <si>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</si>
  <si>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</si>
  <si>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</si>
  <si>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</si>
  <si>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</si>
  <si>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</si>
  <si>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</si>
  <si>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</si>
  <si>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</si>
  <si>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</si>
  <si>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</si>
  <si>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</si>
  <si>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Program :</t>
  </si>
  <si>
    <t>Homepage - Administration - Favourites</t>
  </si>
  <si>
    <t>Admin Favourite - Set Account Favourites</t>
  </si>
  <si>
    <t>Admin Favourite - Favourite List</t>
  </si>
  <si>
    <t>Admin Favourite - Set Default Favourite For Program</t>
  </si>
  <si>
    <t>Set Default Account Favourite To Program</t>
  </si>
  <si>
    <t>Headline Year  :</t>
  </si>
  <si>
    <t>00001 - Standard Administered Accounts</t>
  </si>
  <si>
    <t>00005 - UNUSED</t>
  </si>
  <si>
    <t>00006 - UNUSED</t>
  </si>
  <si>
    <t>00007 - UNUSED</t>
  </si>
  <si>
    <t>00008 - UNUSED</t>
  </si>
  <si>
    <t>00009 - UNUSED</t>
  </si>
  <si>
    <t>00010 - UNUSED</t>
  </si>
  <si>
    <t>00011 - UNUSED</t>
  </si>
  <si>
    <t>00012 - UNUSED</t>
  </si>
  <si>
    <t>00013 - UNUSED</t>
  </si>
  <si>
    <t>00014 - UNUSED</t>
  </si>
  <si>
    <t>00015 - UNUSED</t>
  </si>
  <si>
    <t>00016 - UNUSED</t>
  </si>
  <si>
    <t>00017 - UNUSED</t>
  </si>
  <si>
    <t>00018 - UNUSED</t>
  </si>
  <si>
    <t>00019 - UNUSED</t>
  </si>
  <si>
    <t>00020 - UNUSED</t>
  </si>
  <si>
    <t>00021 - UNUSED</t>
  </si>
  <si>
    <t>00022 - UNUSED</t>
  </si>
  <si>
    <t>00023 - UNUSED</t>
  </si>
  <si>
    <t>00024 - UNUSED</t>
  </si>
  <si>
    <t>00025 - UNUSED</t>
  </si>
  <si>
    <t>00026 - UNUSED</t>
  </si>
  <si>
    <t>00027 - UNUSED</t>
  </si>
  <si>
    <t>00028 - UNUSED</t>
  </si>
  <si>
    <t>00029 - UNUSED</t>
  </si>
  <si>
    <t>00030 - UNUSED</t>
  </si>
  <si>
    <t>program dimension name</t>
  </si>
  <si>
    <t>00002 - Favourites 2</t>
  </si>
  <si>
    <t>00003 - Appropriation Bill 3 Adjustments</t>
  </si>
  <si>
    <t>00004 - ADMIN Approp Bill 3 Accounts</t>
  </si>
  <si>
    <r>
      <rPr>
        <b/>
        <i/>
        <sz val="11"/>
        <color rgb="FFFF0000"/>
        <rFont val="Calibri"/>
        <family val="2"/>
      </rPr>
      <t xml:space="preserve">Note : </t>
    </r>
    <r>
      <rPr>
        <i/>
        <sz val="11"/>
        <color rgb="FFFF0000"/>
        <rFont val="Calibri"/>
        <family val="2"/>
        <scheme val="minor"/>
      </rPr>
      <t xml:space="preserve">This screen is used to manage the program details required during the data entry process for GEUS. Pleaase ensure a 'Default Favourite Account' is populated within the BLUE border. </t>
    </r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</si>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</sst>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426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1" xfId="0" quotePrefix="1" applyFill="1" applyBorder="1"/>
    <xf numFmtId="0" fontId="5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6" borderId="1" xfId="0" applyFont="1" applyFill="1" applyBorder="1"/>
    <xf numFmtId="164" fontId="4" fillId="6" borderId="1" xfId="0" applyNumberFormat="1" applyFont="1" applyFill="1" applyBorder="1"/>
    <xf numFmtId="0" fontId="4" fillId="6" borderId="1" xfId="0" applyFont="1" applyFill="1" applyBorder="1" applyAlignment="1">
      <alignment horizontal="left" indent="1"/>
    </xf>
    <xf numFmtId="0" fontId="4" fillId="6" borderId="7" xfId="0" applyFont="1" applyFill="1" applyBorder="1" applyAlignment="1">
      <alignment horizontal="left" indent="1"/>
    </xf>
    <xf numFmtId="0" fontId="4" fillId="2" borderId="6" xfId="0" applyFont="1" applyFill="1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1" fillId="5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54</xdr:row>
      <xdr:rowOff>19050</xdr:rowOff>
    </xdr:from>
    <xdr:ext cx="1853565" cy="457200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56</xdr:row>
          <xdr:rowOff>0</xdr:rowOff>
        </xdr:from>
        <xdr:to>
          <xdr:col>9</xdr:col>
          <xdr:colOff>638175</xdr:colOff>
          <xdr:row>56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2905125</xdr:colOff>
          <xdr:row>56</xdr:row>
          <xdr:rowOff>0</xdr:rowOff>
        </xdr:from>
        <xdr:to>
          <xdr:col>9</xdr:col>
          <xdr:colOff>3686175</xdr:colOff>
          <xdr:row>56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3048000</xdr:colOff>
          <xdr:row>55</xdr:row>
          <xdr:rowOff>38100</xdr:rowOff>
        </xdr:from>
        <xdr:to>
          <xdr:col>17</xdr:col>
          <xdr:colOff>3362325</xdr:colOff>
          <xdr:row>56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1800225</xdr:colOff>
          <xdr:row>56</xdr:row>
          <xdr:rowOff>0</xdr:rowOff>
        </xdr:from>
        <xdr:to>
          <xdr:col>9</xdr:col>
          <xdr:colOff>2867025</xdr:colOff>
          <xdr:row>56</xdr:row>
          <xdr:rowOff>247650</xdr:rowOff>
        </xdr:to>
        <xdr:sp macro="" textlink="">
          <xdr:nvSpPr>
            <xdr:cNvPr id="1033" name="TIButton2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647700</xdr:colOff>
          <xdr:row>56</xdr:row>
          <xdr:rowOff>0</xdr:rowOff>
        </xdr:from>
        <xdr:to>
          <xdr:col>9</xdr:col>
          <xdr:colOff>1771650</xdr:colOff>
          <xdr:row>56</xdr:row>
          <xdr:rowOff>247650</xdr:rowOff>
        </xdr:to>
        <xdr:sp macro="" textlink="">
          <xdr:nvSpPr>
            <xdr:cNvPr id="1034" name="TIButton3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DFC4-5743-4419-8C9C-FA49B1380B78}">
  <sheetPr codeName="Sheet1">
    <outlinePr showOutlineSymbols="0"/>
    <pageSetUpPr fitToPage="1"/>
  </sheetPr>
  <dimension ref="A1:R67"/>
  <sheetViews>
    <sheetView showGridLines="0" showRowColHeaders="0" tabSelected="1" showOutlineSymbols="0" topLeftCell="A55" workbookViewId="0">
      <pane ySplit="12" topLeftCell="A67" activePane="bottomLeft" state="frozen"/>
      <selection activeCell="I55" sqref="I55"/>
      <selection pane="bottomLeft" activeCell="L66" sqref="L66"/>
    </sheetView>
  </sheetViews>
  <sheetFormatPr defaultRowHeight="15" outlineLevelRow="1" outlineLevelCol="1" x14ac:dyDescent="0.25"/>
  <cols>
    <col min="1" max="1" width="2.7109375" hidden="1" customWidth="1" outlineLevel="1"/>
    <col min="2" max="2" width="74.5703125" hidden="1" customWidth="1" outlineLevel="1"/>
    <col min="3" max="3" width="11.7109375" hidden="1" customWidth="1" outlineLevel="1"/>
    <col min="4" max="4" width="8.140625" hidden="1" customWidth="1" outlineLevel="1"/>
    <col min="5" max="5" width="8.5703125" hidden="1" customWidth="1" outlineLevel="1"/>
    <col min="6" max="7" width="16.85546875" hidden="1" customWidth="1" outlineLevel="1"/>
    <col min="8" max="8" width="9.7109375" hidden="1" customWidth="1" outlineLevel="1"/>
    <col min="9" max="9" width="0.85546875" customWidth="1" collapsed="1"/>
    <col min="10" max="10" width="68.7109375" customWidth="1"/>
    <col min="11" max="11" width="0.85546875" customWidth="1"/>
    <col min="12" max="12" width="16.28515625" style="13" bestFit="1" customWidth="1"/>
    <col min="13" max="13" width="20.7109375" style="13" customWidth="1"/>
    <col min="14" max="14" width="20.7109375" customWidth="1"/>
    <col min="15" max="15" width="11.28515625" bestFit="1" customWidth="1"/>
    <col min="16" max="16" width="15.140625" bestFit="1" customWidth="1"/>
    <col min="17" max="17" width="12" customWidth="1"/>
    <col min="18" max="18" width="50.7109375" customWidth="1"/>
  </cols>
  <sheetData>
    <row r="1" spans="1:18" hidden="1" outlineLevel="1" collapsed="1" x14ac:dyDescent="0.25">
      <c r="A1" t="s">
        <v>9</v>
      </c>
    </row>
    <row r="2" spans="1:18" hidden="1" outlineLevel="1" x14ac:dyDescent="0.25">
      <c r="A2">
        <f>0</f>
        <v>0</v>
      </c>
      <c r="J2" s="23"/>
      <c r="L2" s="19"/>
      <c r="M2" s="19"/>
      <c r="N2" s="19"/>
      <c r="O2" s="19"/>
      <c r="P2" s="19"/>
      <c r="Q2" s="21"/>
      <c r="R2" s="25"/>
    </row>
    <row r="3" spans="1:18" hidden="1" outlineLevel="1" x14ac:dyDescent="0.25">
      <c r="A3">
        <f>1</f>
        <v>1</v>
      </c>
      <c r="J3" s="23"/>
      <c r="L3" s="19"/>
      <c r="M3" s="19"/>
      <c r="N3" s="19"/>
      <c r="O3" s="19"/>
      <c r="P3" s="19"/>
      <c r="Q3" s="21"/>
      <c r="R3" s="25"/>
    </row>
    <row r="4" spans="1:18" hidden="1" outlineLevel="1" x14ac:dyDescent="0.25">
      <c r="A4">
        <f>2</f>
        <v>2</v>
      </c>
      <c r="J4" s="23"/>
      <c r="L4" s="19"/>
      <c r="M4" s="19"/>
      <c r="N4" s="19"/>
      <c r="O4" s="19"/>
      <c r="P4" s="19"/>
      <c r="Q4" s="21"/>
      <c r="R4" s="25"/>
    </row>
    <row r="5" spans="1:18" hidden="1" outlineLevel="1" x14ac:dyDescent="0.25">
      <c r="A5">
        <f>3</f>
        <v>3</v>
      </c>
      <c r="J5" s="23"/>
      <c r="L5" s="19"/>
      <c r="M5" s="19"/>
      <c r="N5" s="19"/>
      <c r="O5" s="19"/>
      <c r="P5" s="19"/>
      <c r="Q5" s="21"/>
      <c r="R5" s="25"/>
    </row>
    <row r="6" spans="1:18" ht="15.75" hidden="1" outlineLevel="1" thickBot="1" x14ac:dyDescent="0.3">
      <c r="A6" t="s">
        <v>7</v>
      </c>
      <c r="J6" s="23"/>
      <c r="L6" s="19"/>
      <c r="M6" s="19"/>
      <c r="N6" s="19"/>
      <c r="O6" s="19"/>
      <c r="P6" s="19"/>
      <c r="Q6" s="21"/>
      <c r="R6" s="26"/>
    </row>
    <row r="7" spans="1:18" ht="15.75" hidden="1" outlineLevel="1" thickBot="1" x14ac:dyDescent="0.3">
      <c r="A7" t="s">
        <v>8</v>
      </c>
      <c r="J7" s="15"/>
      <c r="L7" s="20"/>
      <c r="M7" s="20"/>
      <c r="N7" s="20"/>
      <c r="O7" s="20"/>
      <c r="P7" s="20"/>
      <c r="Q7" s="22"/>
      <c r="R7" s="27"/>
    </row>
    <row r="8" spans="1:18" hidden="1" outlineLevel="1" x14ac:dyDescent="0.25">
      <c r="A8" t="s">
        <v>10</v>
      </c>
    </row>
    <row r="9" spans="1:18" hidden="1" outlineLevel="1" x14ac:dyDescent="0.25"/>
    <row r="10" spans="1:18" hidden="1" outlineLevel="1" x14ac:dyDescent="0.25"/>
    <row r="11" spans="1:18" hidden="1" outlineLevel="1" x14ac:dyDescent="0.25">
      <c r="B11" s="33" t="s">
        <v>11</v>
      </c>
      <c r="C11" s="34"/>
      <c r="D11" s="35"/>
    </row>
    <row r="12" spans="1:18" hidden="1" outlineLevel="1" x14ac:dyDescent="0.25">
      <c r="B12" s="2" t="s">
        <v>12</v>
      </c>
      <c r="C12" s="3" t="s">
        <v>413</v>
      </c>
      <c r="D12" s="4"/>
    </row>
    <row r="13" spans="1:18" hidden="1" outlineLevel="1" x14ac:dyDescent="0.25">
      <c r="B13" s="2" t="s">
        <v>13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18" hidden="1" outlineLevel="1" x14ac:dyDescent="0.25">
      <c r="B14" s="2" t="s">
        <v>14</v>
      </c>
      <c r="C14" s="3" t="str" cm="1">
        <f t="array" aca="1" ref="C14" ca="1">_xll.TM1USER(db_name)</f>
        <v/>
      </c>
      <c r="D14" s="4"/>
    </row>
    <row r="15" spans="1:18" hidden="1" outlineLevel="1" x14ac:dyDescent="0.25">
      <c r="B15" s="2" t="s">
        <v>15</v>
      </c>
      <c r="C15" s="3" t="str" cm="1">
        <f t="array" aca="1" ref="C15" ca="1">_xll.DBR($C$13,$C$14,$B15)</f>
        <v>*KEY_ERR</v>
      </c>
      <c r="D15" s="4"/>
    </row>
    <row r="16" spans="1:18" hidden="1" outlineLevel="1" x14ac:dyDescent="0.25">
      <c r="B16" s="2" t="s">
        <v>16</v>
      </c>
      <c r="C16" s="3" t="str" cm="1">
        <f t="array" aca="1" ref="C16" ca="1">_xll.DBR($C$13,$C$14,$B16)</f>
        <v>*KEY_ERR</v>
      </c>
      <c r="D16" s="4"/>
    </row>
    <row r="17" spans="2:8" hidden="1" outlineLevel="1" x14ac:dyDescent="0.25">
      <c r="B17" s="2" t="s">
        <v>17</v>
      </c>
      <c r="C17" s="3" t="str">
        <f ca="1">IF(LEFT($C$15,6)="CAM_AD",$C$16,$C$15)</f>
        <v>*KEY_ERR</v>
      </c>
      <c r="D17" s="6"/>
    </row>
    <row r="18" spans="2:8" hidden="1" outlineLevel="1" x14ac:dyDescent="0.25"/>
    <row r="19" spans="2:8" hidden="1" outlineLevel="1" x14ac:dyDescent="0.25">
      <c r="B19" s="33" t="s">
        <v>18</v>
      </c>
      <c r="C19" s="34"/>
      <c r="D19" s="35"/>
    </row>
    <row r="20" spans="2:8" hidden="1" outlineLevel="1" x14ac:dyDescent="0.25">
      <c r="B20" s="2" t="s">
        <v>19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8" hidden="1" outlineLevel="1" x14ac:dyDescent="0.25">
      <c r="B21" s="2" t="s">
        <v>0</v>
      </c>
      <c r="C21" s="6" t="str" cm="1">
        <f t="array" aca="1" ref="C21" ca="1">_xll.DBR($C$20,$B21,"value")</f>
        <v>*KEY_ERR</v>
      </c>
      <c r="D21" s="6"/>
    </row>
    <row r="22" spans="2:8" hidden="1" outlineLevel="1" x14ac:dyDescent="0.25">
      <c r="B22" s="2" t="s">
        <v>20</v>
      </c>
      <c r="C22" s="6" t="str" cm="1">
        <f t="array" aca="1" ref="C22" ca="1">_xll.DBR($C$20,$B22,"value")</f>
        <v>*KEY_ERR</v>
      </c>
      <c r="D22" s="6"/>
    </row>
    <row r="23" spans="2:8" hidden="1" outlineLevel="1" x14ac:dyDescent="0.25">
      <c r="B23" s="2" t="s">
        <v>21</v>
      </c>
      <c r="C23" s="6" t="str" cm="1">
        <f t="array" aca="1" ref="C23" ca="1">_xll.DBR($C$20,$B23,"value")</f>
        <v>*KEY_ERR</v>
      </c>
      <c r="D23" s="6"/>
    </row>
    <row r="24" spans="2:8" hidden="1" outlineLevel="1" x14ac:dyDescent="0.25">
      <c r="B24" s="2" t="s">
        <v>22</v>
      </c>
      <c r="C24" s="6" t="str" cm="1">
        <f t="array" aca="1" ref="C24" ca="1">_xll.DBR($C$20,$B24,"value")</f>
        <v>*KEY_ERR</v>
      </c>
      <c r="D24" s="6"/>
    </row>
    <row r="25" spans="2:8" hidden="1" outlineLevel="1" x14ac:dyDescent="0.25">
      <c r="B25" s="2" t="s">
        <v>23</v>
      </c>
      <c r="C25" s="6" t="str" cm="1">
        <f t="array" aca="1" ref="C25" ca="1">_xll.DBR($C$20,$B25,"value")</f>
        <v>*KEY_ERR</v>
      </c>
      <c r="D25" s="6"/>
    </row>
    <row r="26" spans="2:8" hidden="1" outlineLevel="1" x14ac:dyDescent="0.25">
      <c r="B26" s="2" t="s">
        <v>408</v>
      </c>
      <c r="C26" s="6" t="str" cm="1">
        <f t="array" aca="1" ref="C26" ca="1">_xll.DBR($C$20,$B26,"value")</f>
        <v>*KEY_ERR</v>
      </c>
    </row>
    <row r="27" spans="2:8" hidden="1" outlineLevel="1" x14ac:dyDescent="0.25"/>
    <row r="28" spans="2:8" hidden="1" outlineLevel="1" x14ac:dyDescent="0.25">
      <c r="B28" s="33" t="s">
        <v>24</v>
      </c>
      <c r="C28" s="34"/>
      <c r="D28" s="35"/>
    </row>
    <row r="29" spans="2:8" hidden="1" outlineLevel="1" x14ac:dyDescent="0.25">
      <c r="B29" s="2" t="s">
        <v>25</v>
      </c>
      <c r="C29" s="6" t="str">
        <f ca="1">_xll.VIEW(db_name&amp;":sys_application","!","!")</f>
        <v>dcceew_geus:sys_application</v>
      </c>
      <c r="D29" s="6"/>
    </row>
    <row r="30" spans="2:8" hidden="1" outlineLevel="1" x14ac:dyDescent="0.25">
      <c r="B30" s="2" t="s">
        <v>26</v>
      </c>
      <c r="C30" s="6" t="s">
        <v>378</v>
      </c>
      <c r="D30" s="6"/>
    </row>
    <row r="31" spans="2:8" hidden="1" outlineLevel="1" x14ac:dyDescent="0.25">
      <c r="B31" s="6"/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</row>
    <row r="32" spans="2:8" hidden="1" outlineLevel="1" x14ac:dyDescent="0.25">
      <c r="B32" s="6" t="s">
        <v>33</v>
      </c>
      <c r="C32" s="6" t="str" cm="1">
        <f t="array" aca="1" ref="C32" ca="1">_xll.DBR($C$29,$B32,C$31)</f>
        <v>*KEY_ERR</v>
      </c>
      <c r="D32" s="6" t="str" cm="1">
        <f t="array" aca="1" ref="D32" ca="1">_xll.DBR($C$29,$B32,D$31)</f>
        <v>*KEY_ERR</v>
      </c>
      <c r="E32" s="6" t="str" cm="1">
        <f t="array" aca="1" ref="E32" ca="1">_xll.DBR($C$29,$B32,E$31)</f>
        <v>*KEY_ERR</v>
      </c>
      <c r="F32" s="6" t="str" cm="1">
        <f t="array" aca="1" ref="F32" ca="1">_xll.DBR($C$29,$B32,F$31)</f>
        <v>*KEY_ERR</v>
      </c>
      <c r="G32" s="6" t="str" cm="1">
        <f t="array" aca="1" ref="G32" ca="1">_xll.DBR($C$29,$B32,G$31)</f>
        <v>*KEY_ERR</v>
      </c>
      <c r="H32" s="6" t="str" cm="1">
        <f t="array" aca="1" ref="H32" ca="1">_xll.DBR($C$29,$B32,H$31)</f>
        <v>*KEY_ERR</v>
      </c>
    </row>
    <row r="33" spans="2:8" hidden="1" outlineLevel="1" x14ac:dyDescent="0.25">
      <c r="B33" s="6" t="s">
        <v>34</v>
      </c>
      <c r="C33" s="6" t="str" cm="1">
        <f t="array" aca="1" ref="C33" ca="1">_xll.DBR($C$29,$B33,C$31)</f>
        <v>*KEY_ERR</v>
      </c>
      <c r="D33" s="6" t="str" cm="1">
        <f t="array" aca="1" ref="D33" ca="1">_xll.DBR($C$29,$B33,D$31)</f>
        <v>*KEY_ERR</v>
      </c>
      <c r="E33" s="6" t="str" cm="1">
        <f t="array" aca="1" ref="E33" ca="1">_xll.DBR($C$29,$B33,E$31)</f>
        <v>*KEY_ERR</v>
      </c>
      <c r="F33" s="6" t="str" cm="1">
        <f t="array" aca="1" ref="F33" ca="1">_xll.DBR($C$29,$B33,F$31)</f>
        <v>*KEY_ERR</v>
      </c>
      <c r="G33" s="6" t="str" cm="1">
        <f t="array" aca="1" ref="G33" ca="1">_xll.DBR($C$29,$B33,G$31)</f>
        <v>*KEY_ERR</v>
      </c>
      <c r="H33" s="6" t="str" cm="1">
        <f t="array" aca="1" ref="H33" ca="1">_xll.DBR($C$29,$B33,H$31)</f>
        <v>*KEY_ERR</v>
      </c>
    </row>
    <row r="34" spans="2:8" hidden="1" outlineLevel="1" x14ac:dyDescent="0.25">
      <c r="B34" s="6" t="s">
        <v>35</v>
      </c>
      <c r="C34" s="6" t="str" cm="1">
        <f t="array" aca="1" ref="C34" ca="1">_xll.DBR($C$29,$B34,C$31)</f>
        <v>*KEY_ERR</v>
      </c>
      <c r="D34" s="6" t="str" cm="1">
        <f t="array" aca="1" ref="D34" ca="1">_xll.DBR($C$29,$B34,D$31)</f>
        <v>*KEY_ERR</v>
      </c>
      <c r="E34" s="6" t="str" cm="1">
        <f t="array" aca="1" ref="E34" ca="1">_xll.DBR($C$29,$B34,E$31)</f>
        <v>*KEY_ERR</v>
      </c>
      <c r="F34" s="6" t="str" cm="1">
        <f t="array" aca="1" ref="F34" ca="1">_xll.DBR($C$29,$B34,F$31)</f>
        <v>*KEY_ERR</v>
      </c>
      <c r="G34" s="6" t="str" cm="1">
        <f t="array" aca="1" ref="G34" ca="1">_xll.DBR($C$29,$B34,G$31)</f>
        <v>*KEY_ERR</v>
      </c>
      <c r="H34" s="6" t="str" cm="1">
        <f t="array" aca="1" ref="H34" ca="1">_xll.DBR($C$29,$B34,H$31)</f>
        <v>*KEY_ERR</v>
      </c>
    </row>
    <row r="35" spans="2:8" hidden="1" outlineLevel="1" x14ac:dyDescent="0.25">
      <c r="B35" s="6" t="s">
        <v>36</v>
      </c>
      <c r="C35" s="6" t="str" cm="1">
        <f t="array" aca="1" ref="C35" ca="1">_xll.DBR($C$29,$B35,C$31)</f>
        <v>*KEY_ERR</v>
      </c>
      <c r="D35" s="6" t="str" cm="1">
        <f t="array" aca="1" ref="D35" ca="1">_xll.DBR($C$29,$B35,D$31)</f>
        <v>*KEY_ERR</v>
      </c>
      <c r="E35" s="6" t="str" cm="1">
        <f t="array" aca="1" ref="E35" ca="1">_xll.DBR($C$29,$B35,E$31)</f>
        <v>*KEY_ERR</v>
      </c>
      <c r="F35" s="6" t="str" cm="1">
        <f t="array" aca="1" ref="F35" ca="1">_xll.DBR($C$29,$B35,F$31)</f>
        <v>*KEY_ERR</v>
      </c>
      <c r="G35" s="6" t="str" cm="1">
        <f t="array" aca="1" ref="G35" ca="1">_xll.DBR($C$29,$B35,G$31)</f>
        <v>*KEY_ERR</v>
      </c>
      <c r="H35" s="6" t="str" cm="1">
        <f t="array" aca="1" ref="H35" ca="1">_xll.DBR($C$29,$B35,H$31)</f>
        <v>*KEY_ERR</v>
      </c>
    </row>
    <row r="36" spans="2:8" hidden="1" outlineLevel="1" x14ac:dyDescent="0.25">
      <c r="B36" s="6" t="s">
        <v>37</v>
      </c>
      <c r="C36" s="6" t="str" cm="1">
        <f t="array" aca="1" ref="C36" ca="1">_xll.DBR($C$29,$B36,C$31)</f>
        <v>*KEY_ERR</v>
      </c>
      <c r="D36" s="6" t="str" cm="1">
        <f t="array" aca="1" ref="D36" ca="1">_xll.DBR($C$29,$B36,D$31)</f>
        <v>*KEY_ERR</v>
      </c>
      <c r="E36" s="6" t="str" cm="1">
        <f t="array" aca="1" ref="E36" ca="1">_xll.DBR($C$29,$B36,E$31)</f>
        <v>*KEY_ERR</v>
      </c>
      <c r="F36" s="6" t="str" cm="1">
        <f t="array" aca="1" ref="F36" ca="1">_xll.DBR($C$29,$B36,F$31)</f>
        <v>*KEY_ERR</v>
      </c>
      <c r="G36" s="6" t="str" cm="1">
        <f t="array" aca="1" ref="G36" ca="1">_xll.DBR($C$29,$B36,G$31)</f>
        <v>*KEY_ERR</v>
      </c>
      <c r="H36" s="6" t="str" cm="1">
        <f t="array" aca="1" ref="H36" ca="1">_xll.DBR($C$29,$B36,H$31)</f>
        <v>*KEY_ERR</v>
      </c>
    </row>
    <row r="37" spans="2:8" hidden="1" outlineLevel="1" x14ac:dyDescent="0.25">
      <c r="B37" s="6" t="s">
        <v>50</v>
      </c>
      <c r="C37" s="6" t="str" cm="1">
        <f t="array" aca="1" ref="C37" ca="1">_xll.DBR($C$29,$B37,C$31)</f>
        <v>*KEY_ERR</v>
      </c>
      <c r="D37" s="6" t="str" cm="1">
        <f t="array" aca="1" ref="D37" ca="1">_xll.DBR($C$29,$B37,D$31)</f>
        <v>*KEY_ERR</v>
      </c>
      <c r="E37" s="6" t="str" cm="1">
        <f t="array" aca="1" ref="E37" ca="1">_xll.DBR($C$29,$B37,E$31)</f>
        <v>*KEY_ERR</v>
      </c>
      <c r="F37" s="6" t="str" cm="1">
        <f t="array" aca="1" ref="F37" ca="1">_xll.DBR($C$29,$B37,F$31)</f>
        <v>*KEY_ERR</v>
      </c>
      <c r="G37" s="6" t="str" cm="1">
        <f t="array" aca="1" ref="G37" ca="1">_xll.DBR($C$29,$B37,G$31)</f>
        <v>*KEY_ERR</v>
      </c>
      <c r="H37" s="6" t="str" cm="1">
        <f t="array" aca="1" ref="H37" ca="1">_xll.DBR($C$29,$B37,H$31)</f>
        <v>*KEY_ERR</v>
      </c>
    </row>
    <row r="38" spans="2:8" hidden="1" outlineLevel="1" x14ac:dyDescent="0.25">
      <c r="B38" s="6" t="s">
        <v>51</v>
      </c>
      <c r="C38" s="6" t="str" cm="1">
        <f t="array" aca="1" ref="C38" ca="1">_xll.DBR($C$29,$B38,C$31)</f>
        <v>*KEY_ERR</v>
      </c>
      <c r="D38" s="6" t="str" cm="1">
        <f t="array" aca="1" ref="D38" ca="1">_xll.DBR($C$29,$B38,D$31)</f>
        <v>*KEY_ERR</v>
      </c>
      <c r="E38" s="6" t="str" cm="1">
        <f t="array" aca="1" ref="E38" ca="1">_xll.DBR($C$29,$B38,E$31)</f>
        <v>*KEY_ERR</v>
      </c>
      <c r="F38" s="6" t="str" cm="1">
        <f t="array" aca="1" ref="F38" ca="1">_xll.DBR($C$29,$B38,F$31)</f>
        <v>*KEY_ERR</v>
      </c>
      <c r="G38" s="6" t="str" cm="1">
        <f t="array" aca="1" ref="G38" ca="1">_xll.DBR($C$29,$B38,G$31)</f>
        <v>*KEY_ERR</v>
      </c>
      <c r="H38" s="6" t="str" cm="1">
        <f t="array" aca="1" ref="H38" ca="1">_xll.DBR($C$29,$B38,H$31)</f>
        <v>*KEY_ERR</v>
      </c>
    </row>
    <row r="39" spans="2:8" hidden="1" outlineLevel="1" x14ac:dyDescent="0.25">
      <c r="B39" s="6" t="s">
        <v>375</v>
      </c>
      <c r="C39" s="6" t="str" cm="1">
        <f t="array" aca="1" ref="C39" ca="1">_xll.DBR($C$29,$B39,C$31)</f>
        <v>*KEY_ERR</v>
      </c>
      <c r="D39" s="6" t="str" cm="1">
        <f t="array" aca="1" ref="D39" ca="1">_xll.DBR($C$29,$B39,D$31)</f>
        <v>*KEY_ERR</v>
      </c>
      <c r="E39" s="6" t="str" cm="1">
        <f t="array" aca="1" ref="E39" ca="1">_xll.DBR($C$29,$B39,E$31)</f>
        <v>*KEY_ERR</v>
      </c>
      <c r="F39" s="6" t="str" cm="1">
        <f t="array" aca="1" ref="F39" ca="1">_xll.DBR($C$29,$B39,F$31)</f>
        <v>*KEY_ERR</v>
      </c>
      <c r="G39" s="6" t="str" cm="1">
        <f t="array" aca="1" ref="G39" ca="1">_xll.DBR($C$29,$B39,G$31)</f>
        <v>*KEY_ERR</v>
      </c>
      <c r="H39" s="6" t="str" cm="1">
        <f t="array" aca="1" ref="H39" ca="1">_xll.DBR($C$29,$B39,H$31)</f>
        <v>*KEY_ERR</v>
      </c>
    </row>
    <row r="40" spans="2:8" hidden="1" outlineLevel="1" x14ac:dyDescent="0.25">
      <c r="B40" s="6" t="s">
        <v>376</v>
      </c>
      <c r="C40" s="6" t="str" cm="1">
        <f t="array" aca="1" ref="C40" ca="1">_xll.DBR($C$29,$B40,C$31)</f>
        <v>*KEY_ERR</v>
      </c>
      <c r="D40" s="6" t="str" cm="1">
        <f t="array" aca="1" ref="D40" ca="1">_xll.DBR($C$29,$B40,D$31)</f>
        <v>*KEY_ERR</v>
      </c>
      <c r="E40" s="6" t="str" cm="1">
        <f t="array" aca="1" ref="E40" ca="1">_xll.DBR($C$29,$B40,E$31)</f>
        <v>*KEY_ERR</v>
      </c>
      <c r="F40" s="6" t="str" cm="1">
        <f t="array" aca="1" ref="F40" ca="1">_xll.DBR($C$29,$B40,F$31)</f>
        <v>*KEY_ERR</v>
      </c>
      <c r="G40" s="6" t="str" cm="1">
        <f t="array" aca="1" ref="G40" ca="1">_xll.DBR($C$29,$B40,G$31)</f>
        <v>*KEY_ERR</v>
      </c>
      <c r="H40" s="6" t="str" cm="1">
        <f t="array" aca="1" ref="H40" ca="1">_xll.DBR($C$29,$B40,H$31)</f>
        <v>*KEY_ERR</v>
      </c>
    </row>
    <row r="41" spans="2:8" hidden="1" outlineLevel="1" x14ac:dyDescent="0.25">
      <c r="B41" s="6" t="s">
        <v>377</v>
      </c>
      <c r="C41" s="6" t="str" cm="1">
        <f t="array" aca="1" ref="C41" ca="1">_xll.DBR($C$29,$B41,C$31)</f>
        <v>*KEY_ERR</v>
      </c>
      <c r="D41" s="6" t="str" cm="1">
        <f t="array" aca="1" ref="D41" ca="1">_xll.DBR($C$29,$B41,D$31)</f>
        <v>*KEY_ERR</v>
      </c>
      <c r="E41" s="6" t="str" cm="1">
        <f t="array" aca="1" ref="E41" ca="1">_xll.DBR($C$29,$B41,E$31)</f>
        <v>*KEY_ERR</v>
      </c>
      <c r="F41" s="6" t="str" cm="1">
        <f t="array" aca="1" ref="F41" ca="1">_xll.DBR($C$29,$B41,F$31)</f>
        <v>*KEY_ERR</v>
      </c>
      <c r="G41" s="6" t="str" cm="1">
        <f t="array" aca="1" ref="G41" ca="1">_xll.DBR($C$29,$B41,G$31)</f>
        <v>*KEY_ERR</v>
      </c>
      <c r="H41" s="6" t="str" cm="1">
        <f t="array" aca="1" ref="H41" ca="1">_xll.DBR($C$29,$B41,H$31)</f>
        <v>*KEY_ERR</v>
      </c>
    </row>
    <row r="42" spans="2:8" hidden="1" outlineLevel="1" x14ac:dyDescent="0.25">
      <c r="B42" s="6" t="s">
        <v>378</v>
      </c>
      <c r="C42" s="6" t="str" cm="1">
        <f t="array" aca="1" ref="C42" ca="1">_xll.DBR($C$29,$B42,C$31)</f>
        <v>*KEY_ERR</v>
      </c>
      <c r="D42" s="6" t="str" cm="1">
        <f t="array" aca="1" ref="D42" ca="1">_xll.DBR($C$29,$B42,D$31)</f>
        <v>*KEY_ERR</v>
      </c>
      <c r="E42" s="6" t="str" cm="1">
        <f t="array" aca="1" ref="E42" ca="1">_xll.DBR($C$29,$B42,E$31)</f>
        <v>*KEY_ERR</v>
      </c>
      <c r="F42" s="6" t="str" cm="1">
        <f t="array" aca="1" ref="F42" ca="1">_xll.DBR($C$29,$B42,F$31)</f>
        <v>*KEY_ERR</v>
      </c>
      <c r="G42" s="6" t="str" cm="1">
        <f t="array" aca="1" ref="G42" ca="1">_xll.DBR($C$29,$B42,G$31)</f>
        <v>*KEY_ERR</v>
      </c>
      <c r="H42" s="6" t="str" cm="1">
        <f t="array" aca="1" ref="H42" ca="1">_xll.DBR($C$29,$B42,H$31)</f>
        <v>*KEY_ERR</v>
      </c>
    </row>
    <row r="43" spans="2:8" hidden="1" outlineLevel="1" x14ac:dyDescent="0.25">
      <c r="B43" s="7" t="s">
        <v>38</v>
      </c>
      <c r="C43" s="8" t="s">
        <v>39</v>
      </c>
    </row>
    <row r="44" spans="2:8" ht="17.25" hidden="1" customHeight="1" outlineLevel="1" x14ac:dyDescent="0.25"/>
    <row r="45" spans="2:8" hidden="1" outlineLevel="1" x14ac:dyDescent="0.25">
      <c r="B45" s="33" t="s">
        <v>40</v>
      </c>
      <c r="C45" s="34"/>
      <c r="D45" s="35"/>
    </row>
    <row r="46" spans="2:8" hidden="1" outlineLevel="1" x14ac:dyDescent="0.25">
      <c r="B46" s="2" t="s">
        <v>41</v>
      </c>
      <c r="C46" s="6" t="str">
        <f ca="1">_xll.TM1RPTVIEW(db_name&amp;":programme details:2", 0, _xll.TM1RPTTITLE(db_name&amp;":headline year",$L$62), _xll.TM1RPTTITLE(db_name&amp;":scenario",$L$63),TM1RPTFMTRNG,TM1RPTFMTIDCOL)</f>
        <v>dcceew_geus:programme details:2</v>
      </c>
    </row>
    <row r="47" spans="2:8" hidden="1" outlineLevel="1" x14ac:dyDescent="0.25">
      <c r="B47" s="2" t="s">
        <v>42</v>
      </c>
      <c r="C47" s="6" t="str" cm="1">
        <f t="array" aca="1" ref="C47" ca="1">_xll.VIEW(db_name&amp;":programme details",psHLYear,psScenario,"!","!")</f>
        <v>dcceew_geus:programme details</v>
      </c>
    </row>
    <row r="48" spans="2:8" hidden="1" outlineLevel="1" x14ac:dyDescent="0.25">
      <c r="B48" s="2" t="s">
        <v>43</v>
      </c>
      <c r="C48" s="6" t="str">
        <f ca="1">$C$50</f>
        <v>{TM1DRILLDOWNMEMBER( {[programme].[]}, ALL, RECURSIVE )}</v>
      </c>
      <c r="D48" s="4"/>
    </row>
    <row r="49" spans="2:18" hidden="1" outlineLevel="1" x14ac:dyDescent="0.25">
      <c r="B49" s="2" t="s">
        <v>44</v>
      </c>
      <c r="C49" s="6" t="s">
        <v>45</v>
      </c>
    </row>
    <row r="50" spans="2:18" hidden="1" outlineLevel="1" x14ac:dyDescent="0.25">
      <c r="B50" s="2" t="s">
        <v>46</v>
      </c>
      <c r="C50" s="6" t="str">
        <f ca="1">"{TM1DRILLDOWNMEMBER( {[programme].[" &amp; $L$64 &amp; "]}, ALL, RECURSIVE )}"</f>
        <v>{TM1DRILLDOWNMEMBER( {[programme].[]}, ALL, RECURSIVE )}</v>
      </c>
    </row>
    <row r="51" spans="2:18" hidden="1" outlineLevel="1" x14ac:dyDescent="0.25"/>
    <row r="52" spans="2:18" s="11" customFormat="1" ht="45" hidden="1" outlineLevel="1" x14ac:dyDescent="0.25">
      <c r="C52" s="16" t="s">
        <v>1</v>
      </c>
      <c r="D52" s="16" t="s">
        <v>2</v>
      </c>
      <c r="E52" s="16" t="s">
        <v>3</v>
      </c>
      <c r="F52" s="16" t="s">
        <v>4</v>
      </c>
      <c r="G52" s="16" t="s">
        <v>5</v>
      </c>
      <c r="H52" s="16" t="s">
        <v>6</v>
      </c>
      <c r="J52" s="12" t="s">
        <v>47</v>
      </c>
      <c r="L52" s="16" t="s">
        <v>1</v>
      </c>
      <c r="M52" s="16" t="s">
        <v>2</v>
      </c>
      <c r="N52" s="16" t="s">
        <v>3</v>
      </c>
      <c r="O52" s="16" t="s">
        <v>4</v>
      </c>
      <c r="P52" s="16" t="s">
        <v>5</v>
      </c>
      <c r="Q52" s="16" t="s">
        <v>6</v>
      </c>
      <c r="R52" s="16" t="s">
        <v>55</v>
      </c>
    </row>
    <row r="53" spans="2:18" hidden="1" outlineLevel="1" x14ac:dyDescent="0.25"/>
    <row r="54" spans="2:18" hidden="1" outlineLevel="1" x14ac:dyDescent="0.25"/>
    <row r="55" spans="2:18" ht="39.75" customHeight="1" collapsed="1" x14ac:dyDescent="0.25">
      <c r="I55" s="9"/>
      <c r="J55" s="9"/>
      <c r="K55" s="9"/>
      <c r="L55" s="14"/>
      <c r="M55" s="14"/>
      <c r="N55" s="9"/>
      <c r="O55" s="9"/>
      <c r="P55" s="9"/>
      <c r="Q55" s="9"/>
      <c r="R55" s="9" t="s">
        <v>379</v>
      </c>
    </row>
    <row r="56" spans="2:18" ht="4.5" customHeight="1" x14ac:dyDescent="0.25"/>
    <row r="57" spans="2:18" ht="24" customHeight="1" x14ac:dyDescent="0.25">
      <c r="J57" s="1"/>
    </row>
    <row r="58" spans="2:18" ht="1.5" customHeight="1" x14ac:dyDescent="0.25">
      <c r="I58" s="9"/>
      <c r="J58" s="9"/>
      <c r="K58" s="9"/>
      <c r="L58" s="14"/>
      <c r="M58" s="14"/>
      <c r="N58" s="9"/>
      <c r="O58" s="9"/>
      <c r="P58" s="9"/>
      <c r="Q58" s="9"/>
      <c r="R58" s="9"/>
    </row>
    <row r="59" spans="2:18" collapsed="1" x14ac:dyDescent="0.25">
      <c r="J59" s="36" t="s">
        <v>412</v>
      </c>
      <c r="K59" s="36"/>
      <c r="L59" s="36"/>
      <c r="M59" s="36"/>
      <c r="N59" s="36"/>
      <c r="O59" s="36"/>
      <c r="P59" s="36"/>
      <c r="Q59" s="36"/>
      <c r="R59" s="36"/>
    </row>
    <row r="60" spans="2:18" ht="4.5" customHeight="1" x14ac:dyDescent="0.25">
      <c r="L60"/>
      <c r="M60"/>
    </row>
    <row r="61" spans="2:18" x14ac:dyDescent="0.25">
      <c r="L61" s="32" t="s">
        <v>48</v>
      </c>
      <c r="M61" s="32"/>
      <c r="N61" s="32"/>
    </row>
    <row r="62" spans="2:18" x14ac:dyDescent="0.25">
      <c r="J62" s="10" t="s">
        <v>380</v>
      </c>
      <c r="L62" s="28" t="str">
        <f ca="1">_xll.SUBNM(db_name&amp;":headline year","",$C$21)</f>
        <v/>
      </c>
      <c r="M62" s="29"/>
      <c r="N62" s="30"/>
    </row>
    <row r="63" spans="2:18" x14ac:dyDescent="0.25">
      <c r="J63" s="10" t="s">
        <v>49</v>
      </c>
      <c r="L63" s="28" t="str">
        <f ca="1">_xll.SUBNM(db_name&amp;":scenario","",$C$22)</f>
        <v/>
      </c>
      <c r="M63" s="29"/>
      <c r="N63" s="30"/>
    </row>
    <row r="64" spans="2:18" x14ac:dyDescent="0.25">
      <c r="J64" s="10" t="s">
        <v>374</v>
      </c>
      <c r="L64" s="31" t="str">
        <f ca="1">_xll.SUBNM(db_name&amp;":programme","","Departmental Programmes","code and description")</f>
        <v/>
      </c>
      <c r="M64" s="31"/>
      <c r="N64" s="31"/>
    </row>
    <row r="65" spans="1:18" ht="4.5" customHeight="1" x14ac:dyDescent="0.25"/>
    <row r="66" spans="1:18" ht="30" x14ac:dyDescent="0.25">
      <c r="J66" s="17" t="s">
        <v>58</v>
      </c>
      <c r="L66" s="18" t="s">
        <v>52</v>
      </c>
      <c r="M66" s="18" t="s">
        <v>53</v>
      </c>
      <c r="N66" s="18" t="s">
        <v>54</v>
      </c>
      <c r="O66" s="18" t="s">
        <v>4</v>
      </c>
      <c r="P66" s="18" t="s">
        <v>57</v>
      </c>
      <c r="Q66" s="18" t="s">
        <v>59</v>
      </c>
      <c r="R66" s="18" t="s">
        <v>56</v>
      </c>
    </row>
    <row r="67" spans="1:18" x14ac:dyDescent="0.25">
      <c r="A67" t="str" cm="1">
        <f t="array" aca="1" ref="A67" ca="1">IF(_xll.TM1RPTELISCONSOLIDATED($J$67,$J67),IF(_xll.TM1RPTELLEV($J$67,$J67)&lt;=3,_xll.TM1RPTELLEV($J$67,$J67),"D"),"N")</f>
        <v>N</v>
      </c>
      <c r="C67" t="str" cm="1">
        <f t="array" aca="1" ref="C67" ca="1">_xll.DBRW($C$46,$L$62,$L$63,$J67,C$52)</f>
        <v/>
      </c>
      <c r="D67" t="str" cm="1">
        <f t="array" aca="1" ref="D67" ca="1">_xll.DBRW($C$46,$L$62,$L$63,$J67,D$52)</f>
        <v/>
      </c>
      <c r="E67" t="str" cm="1">
        <f t="array" aca="1" ref="E67" ca="1">_xll.DBRW($C$46,$L$62,$L$63,$J67,E$52)</f>
        <v/>
      </c>
      <c r="F67" t="str" cm="1">
        <f t="array" aca="1" ref="F67" ca="1">_xll.DBRW($C$46,$L$62,$L$63,$J67,F$52)</f>
        <v/>
      </c>
      <c r="G67" t="str" cm="1">
        <f t="array" aca="1" ref="G67" ca="1">_xll.DBRW($C$46,$L$62,$L$63,$J67,G$52)</f>
        <v/>
      </c>
      <c r="H67" t="str" cm="1">
        <f t="array" aca="1" ref="H67" ca="1">_xll.DBRW($C$46,$L$62,$L$63,$J67,H$52)</f>
        <v/>
      </c>
      <c r="J67" s="24" t="str" cm="1">
        <f t="array" aca="1" ref="J67" ca="1">_xll.TM1RPTROW($C$46,db_name&amp;":programme","",,"code and description",0,$C$48)</f>
        <v/>
      </c>
      <c r="L67" s="19" t="str">
        <f ca="1">C67</f>
        <v/>
      </c>
      <c r="M67" s="19" t="str">
        <f t="shared" ref="M67:Q67" ca="1" si="0">D67</f>
        <v/>
      </c>
      <c r="N67" s="19" t="str">
        <f t="shared" ca="1" si="0"/>
        <v/>
      </c>
      <c r="O67" s="19" t="str">
        <f t="shared" ca="1" si="0"/>
        <v/>
      </c>
      <c r="P67" s="19" t="str">
        <f t="shared" ca="1" si="0"/>
        <v/>
      </c>
      <c r="Q67" s="21" t="str">
        <f t="shared" ca="1" si="0"/>
        <v/>
      </c>
      <c r="R67" s="25" t="str" cm="1">
        <f t="array" aca="1" ref="R67" ca="1">_xll.DBR($C$47,$L$62,$L$63,$J67,R$52)</f>
        <v>*KEY_ERR</v>
      </c>
    </row>
  </sheetData>
  <sheetProtection sheet="1" objects="1" scenarios="1"/>
  <mergeCells count="9">
    <mergeCell ref="L63:N63"/>
    <mergeCell ref="L64:N64"/>
    <mergeCell ref="L61:N61"/>
    <mergeCell ref="L62:N62"/>
    <mergeCell ref="B11:D11"/>
    <mergeCell ref="B19:D19"/>
    <mergeCell ref="B28:D28"/>
    <mergeCell ref="B45:D45"/>
    <mergeCell ref="J59:R59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4" r:id="rId4" name="TIButton3">
          <controlPr defaultSize="0" print="0" autoLine="0" r:id="rId5">
            <anchor moveWithCells="1" sizeWithCells="1">
              <from>
                <xdr:col>9</xdr:col>
                <xdr:colOff>647700</xdr:colOff>
                <xdr:row>56</xdr:row>
                <xdr:rowOff>0</xdr:rowOff>
              </from>
              <to>
                <xdr:col>9</xdr:col>
                <xdr:colOff>1771650</xdr:colOff>
                <xdr:row>56</xdr:row>
                <xdr:rowOff>247650</xdr:rowOff>
              </to>
            </anchor>
          </controlPr>
        </control>
      </mc:Choice>
      <mc:Fallback>
        <control shapeId="1034" r:id="rId4" name="TIButton3"/>
      </mc:Fallback>
    </mc:AlternateContent>
    <mc:AlternateContent xmlns:mc="http://schemas.openxmlformats.org/markup-compatibility/2006">
      <mc:Choice Requires="x14">
        <control shapeId="1033" r:id="rId6" name="TIButton2">
          <controlPr defaultSize="0" print="0" autoLine="0" r:id="rId7">
            <anchor moveWithCells="1" sizeWithCells="1">
              <from>
                <xdr:col>9</xdr:col>
                <xdr:colOff>1800225</xdr:colOff>
                <xdr:row>56</xdr:row>
                <xdr:rowOff>0</xdr:rowOff>
              </from>
              <to>
                <xdr:col>9</xdr:col>
                <xdr:colOff>2867025</xdr:colOff>
                <xdr:row>56</xdr:row>
                <xdr:rowOff>247650</xdr:rowOff>
              </to>
            </anchor>
          </controlPr>
        </control>
      </mc:Choice>
      <mc:Fallback>
        <control shapeId="1033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r:id="rId9">
            <anchor moveWithCells="1" sizeWithCells="1">
              <from>
                <xdr:col>9</xdr:col>
                <xdr:colOff>0</xdr:colOff>
                <xdr:row>56</xdr:row>
                <xdr:rowOff>0</xdr:rowOff>
              </from>
              <to>
                <xdr:col>9</xdr:col>
                <xdr:colOff>638175</xdr:colOff>
                <xdr:row>56</xdr:row>
                <xdr:rowOff>247650</xdr:rowOff>
              </to>
            </anchor>
          </controlPr>
        </control>
      </mc:Choice>
      <mc:Fallback>
        <control shapeId="1025" r:id="rId8" name="TIButton1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9</xdr:col>
                <xdr:colOff>2905125</xdr:colOff>
                <xdr:row>56</xdr:row>
                <xdr:rowOff>0</xdr:rowOff>
              </from>
              <to>
                <xdr:col>9</xdr:col>
                <xdr:colOff>3686175</xdr:colOff>
                <xdr:row>56</xdr:row>
                <xdr:rowOff>247650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17</xdr:col>
                <xdr:colOff>3048000</xdr:colOff>
                <xdr:row>55</xdr:row>
                <xdr:rowOff>38100</xdr:rowOff>
              </from>
              <to>
                <xdr:col>17</xdr:col>
                <xdr:colOff>3362325</xdr:colOff>
                <xdr:row>56</xdr:row>
                <xdr:rowOff>295275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82FE-EF89-4769-93D9-1DE8DBC6869F}">
  <sheetPr codeName="Sheet2"/>
  <dimension ref="A1:A344"/>
  <sheetViews>
    <sheetView workbookViewId="0"/>
  </sheetViews>
  <sheetFormatPr defaultRowHeight="15" x14ac:dyDescent="0.25"/>
  <sheetData>
    <row r="1" spans="1:1" x14ac:dyDescent="0.25">
      <c r="A1" t="s">
        <v>381</v>
      </c>
    </row>
    <row r="2" spans="1:1" x14ac:dyDescent="0.25">
      <c r="A2" t="s">
        <v>409</v>
      </c>
    </row>
    <row r="3" spans="1:1" x14ac:dyDescent="0.25">
      <c r="A3" t="s">
        <v>410</v>
      </c>
    </row>
    <row r="4" spans="1:1" x14ac:dyDescent="0.25">
      <c r="A4" t="s">
        <v>411</v>
      </c>
    </row>
    <row r="5" spans="1:1" x14ac:dyDescent="0.25">
      <c r="A5" t="s">
        <v>382</v>
      </c>
    </row>
    <row r="6" spans="1:1" x14ac:dyDescent="0.25">
      <c r="A6" t="s">
        <v>383</v>
      </c>
    </row>
    <row r="7" spans="1:1" x14ac:dyDescent="0.25">
      <c r="A7" t="s">
        <v>384</v>
      </c>
    </row>
    <row r="8" spans="1:1" x14ac:dyDescent="0.25">
      <c r="A8" t="s">
        <v>385</v>
      </c>
    </row>
    <row r="9" spans="1:1" x14ac:dyDescent="0.25">
      <c r="A9" t="s">
        <v>386</v>
      </c>
    </row>
    <row r="10" spans="1:1" x14ac:dyDescent="0.25">
      <c r="A10" t="s">
        <v>387</v>
      </c>
    </row>
    <row r="11" spans="1:1" x14ac:dyDescent="0.25">
      <c r="A11" t="s">
        <v>388</v>
      </c>
    </row>
    <row r="12" spans="1:1" x14ac:dyDescent="0.25">
      <c r="A12" t="s">
        <v>389</v>
      </c>
    </row>
    <row r="13" spans="1:1" x14ac:dyDescent="0.25">
      <c r="A13" t="s">
        <v>390</v>
      </c>
    </row>
    <row r="14" spans="1:1" x14ac:dyDescent="0.25">
      <c r="A14" t="s">
        <v>391</v>
      </c>
    </row>
    <row r="15" spans="1:1" x14ac:dyDescent="0.25">
      <c r="A15" t="s">
        <v>392</v>
      </c>
    </row>
    <row r="16" spans="1:1" x14ac:dyDescent="0.25">
      <c r="A16" t="s">
        <v>393</v>
      </c>
    </row>
    <row r="17" spans="1:1" x14ac:dyDescent="0.25">
      <c r="A17" t="s">
        <v>394</v>
      </c>
    </row>
    <row r="18" spans="1:1" x14ac:dyDescent="0.25">
      <c r="A18" t="s">
        <v>395</v>
      </c>
    </row>
    <row r="19" spans="1:1" x14ac:dyDescent="0.25">
      <c r="A19" t="s">
        <v>396</v>
      </c>
    </row>
    <row r="20" spans="1:1" x14ac:dyDescent="0.25">
      <c r="A20" t="s">
        <v>397</v>
      </c>
    </row>
    <row r="21" spans="1:1" x14ac:dyDescent="0.25">
      <c r="A21" t="s">
        <v>398</v>
      </c>
    </row>
    <row r="22" spans="1:1" x14ac:dyDescent="0.25">
      <c r="A22" t="s">
        <v>399</v>
      </c>
    </row>
    <row r="23" spans="1:1" x14ac:dyDescent="0.25">
      <c r="A23" t="s">
        <v>400</v>
      </c>
    </row>
    <row r="24" spans="1:1" x14ac:dyDescent="0.25">
      <c r="A24" t="s">
        <v>401</v>
      </c>
    </row>
    <row r="25" spans="1:1" x14ac:dyDescent="0.25">
      <c r="A25" t="s">
        <v>402</v>
      </c>
    </row>
    <row r="26" spans="1:1" x14ac:dyDescent="0.25">
      <c r="A26" t="s">
        <v>403</v>
      </c>
    </row>
    <row r="27" spans="1:1" x14ac:dyDescent="0.25">
      <c r="A27" t="s">
        <v>404</v>
      </c>
    </row>
    <row r="28" spans="1:1" x14ac:dyDescent="0.25">
      <c r="A28" t="s">
        <v>405</v>
      </c>
    </row>
    <row r="29" spans="1:1" x14ac:dyDescent="0.25">
      <c r="A29" t="s">
        <v>406</v>
      </c>
    </row>
    <row r="30" spans="1:1" x14ac:dyDescent="0.25">
      <c r="A30" t="s">
        <v>407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1" spans="1:1" x14ac:dyDescent="0.25">
      <c r="A51" t="s">
        <v>80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7" spans="1:1" x14ac:dyDescent="0.25">
      <c r="A57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2" spans="1:1" x14ac:dyDescent="0.25">
      <c r="A62" t="s">
        <v>91</v>
      </c>
    </row>
    <row r="63" spans="1:1" x14ac:dyDescent="0.25">
      <c r="A63" t="s">
        <v>92</v>
      </c>
    </row>
    <row r="64" spans="1:1" x14ac:dyDescent="0.25">
      <c r="A64" t="s">
        <v>93</v>
      </c>
    </row>
    <row r="65" spans="1:1" x14ac:dyDescent="0.25">
      <c r="A65" t="s">
        <v>94</v>
      </c>
    </row>
    <row r="66" spans="1:1" x14ac:dyDescent="0.25">
      <c r="A66" t="s">
        <v>95</v>
      </c>
    </row>
    <row r="67" spans="1:1" x14ac:dyDescent="0.25">
      <c r="A67" t="s">
        <v>96</v>
      </c>
    </row>
    <row r="68" spans="1:1" x14ac:dyDescent="0.25">
      <c r="A68" t="s">
        <v>97</v>
      </c>
    </row>
    <row r="69" spans="1:1" x14ac:dyDescent="0.25">
      <c r="A69" t="s">
        <v>98</v>
      </c>
    </row>
    <row r="70" spans="1:1" x14ac:dyDescent="0.25">
      <c r="A70" t="s">
        <v>99</v>
      </c>
    </row>
    <row r="71" spans="1:1" x14ac:dyDescent="0.25">
      <c r="A71" t="s">
        <v>100</v>
      </c>
    </row>
    <row r="72" spans="1:1" x14ac:dyDescent="0.25">
      <c r="A72" t="s">
        <v>101</v>
      </c>
    </row>
    <row r="73" spans="1:1" x14ac:dyDescent="0.25">
      <c r="A73" t="s">
        <v>102</v>
      </c>
    </row>
    <row r="74" spans="1:1" x14ac:dyDescent="0.25">
      <c r="A74" t="s">
        <v>103</v>
      </c>
    </row>
    <row r="75" spans="1:1" x14ac:dyDescent="0.25">
      <c r="A75" t="s">
        <v>104</v>
      </c>
    </row>
    <row r="76" spans="1:1" x14ac:dyDescent="0.25">
      <c r="A76" t="s">
        <v>105</v>
      </c>
    </row>
    <row r="77" spans="1:1" x14ac:dyDescent="0.25">
      <c r="A77" t="s">
        <v>106</v>
      </c>
    </row>
    <row r="78" spans="1:1" x14ac:dyDescent="0.25">
      <c r="A78" t="s">
        <v>107</v>
      </c>
    </row>
    <row r="79" spans="1:1" x14ac:dyDescent="0.25">
      <c r="A79" t="s">
        <v>108</v>
      </c>
    </row>
    <row r="80" spans="1:1" x14ac:dyDescent="0.25">
      <c r="A80" t="s">
        <v>109</v>
      </c>
    </row>
    <row r="81" spans="1:1" x14ac:dyDescent="0.25">
      <c r="A81" t="s">
        <v>110</v>
      </c>
    </row>
    <row r="82" spans="1:1" x14ac:dyDescent="0.25">
      <c r="A82" t="s">
        <v>111</v>
      </c>
    </row>
    <row r="83" spans="1:1" x14ac:dyDescent="0.25">
      <c r="A83" t="s">
        <v>112</v>
      </c>
    </row>
    <row r="84" spans="1:1" x14ac:dyDescent="0.25">
      <c r="A84" t="s">
        <v>113</v>
      </c>
    </row>
    <row r="85" spans="1:1" x14ac:dyDescent="0.25">
      <c r="A85" t="s">
        <v>114</v>
      </c>
    </row>
    <row r="86" spans="1:1" x14ac:dyDescent="0.25">
      <c r="A86" t="s">
        <v>115</v>
      </c>
    </row>
    <row r="87" spans="1:1" x14ac:dyDescent="0.25">
      <c r="A87" t="s">
        <v>116</v>
      </c>
    </row>
    <row r="88" spans="1:1" x14ac:dyDescent="0.25">
      <c r="A88" t="s">
        <v>117</v>
      </c>
    </row>
    <row r="89" spans="1:1" x14ac:dyDescent="0.25">
      <c r="A89" t="s">
        <v>118</v>
      </c>
    </row>
    <row r="90" spans="1:1" x14ac:dyDescent="0.25">
      <c r="A90" t="s">
        <v>119</v>
      </c>
    </row>
    <row r="91" spans="1:1" x14ac:dyDescent="0.25">
      <c r="A91" t="s">
        <v>120</v>
      </c>
    </row>
    <row r="92" spans="1:1" x14ac:dyDescent="0.25">
      <c r="A92" t="s">
        <v>121</v>
      </c>
    </row>
    <row r="93" spans="1:1" x14ac:dyDescent="0.25">
      <c r="A93" t="s">
        <v>122</v>
      </c>
    </row>
    <row r="94" spans="1:1" x14ac:dyDescent="0.25">
      <c r="A94" t="s">
        <v>123</v>
      </c>
    </row>
    <row r="95" spans="1:1" x14ac:dyDescent="0.25">
      <c r="A95" t="s">
        <v>124</v>
      </c>
    </row>
    <row r="96" spans="1:1" x14ac:dyDescent="0.25">
      <c r="A96" t="s">
        <v>125</v>
      </c>
    </row>
    <row r="97" spans="1:1" x14ac:dyDescent="0.25">
      <c r="A97" t="s">
        <v>126</v>
      </c>
    </row>
    <row r="98" spans="1:1" x14ac:dyDescent="0.25">
      <c r="A98" t="s">
        <v>127</v>
      </c>
    </row>
    <row r="99" spans="1:1" x14ac:dyDescent="0.25">
      <c r="A99" t="s">
        <v>128</v>
      </c>
    </row>
    <row r="100" spans="1:1" x14ac:dyDescent="0.25">
      <c r="A100" t="s">
        <v>129</v>
      </c>
    </row>
    <row r="101" spans="1:1" x14ac:dyDescent="0.25">
      <c r="A101" t="s">
        <v>130</v>
      </c>
    </row>
    <row r="102" spans="1:1" x14ac:dyDescent="0.25">
      <c r="A102" t="s">
        <v>131</v>
      </c>
    </row>
    <row r="103" spans="1:1" x14ac:dyDescent="0.25">
      <c r="A103" t="s">
        <v>132</v>
      </c>
    </row>
    <row r="104" spans="1:1" x14ac:dyDescent="0.25">
      <c r="A104" t="s">
        <v>133</v>
      </c>
    </row>
    <row r="105" spans="1:1" x14ac:dyDescent="0.25">
      <c r="A105" t="s">
        <v>134</v>
      </c>
    </row>
    <row r="106" spans="1:1" x14ac:dyDescent="0.25">
      <c r="A106" t="s">
        <v>135</v>
      </c>
    </row>
    <row r="107" spans="1:1" x14ac:dyDescent="0.25">
      <c r="A107" t="s">
        <v>136</v>
      </c>
    </row>
    <row r="108" spans="1:1" x14ac:dyDescent="0.25">
      <c r="A108" t="s">
        <v>137</v>
      </c>
    </row>
    <row r="109" spans="1:1" x14ac:dyDescent="0.25">
      <c r="A109" t="s">
        <v>138</v>
      </c>
    </row>
    <row r="110" spans="1:1" x14ac:dyDescent="0.25">
      <c r="A110" t="s">
        <v>139</v>
      </c>
    </row>
    <row r="111" spans="1:1" x14ac:dyDescent="0.25">
      <c r="A111" t="s">
        <v>140</v>
      </c>
    </row>
    <row r="112" spans="1:1" x14ac:dyDescent="0.25">
      <c r="A112" t="s">
        <v>141</v>
      </c>
    </row>
    <row r="113" spans="1:1" x14ac:dyDescent="0.25">
      <c r="A113" t="s">
        <v>142</v>
      </c>
    </row>
    <row r="114" spans="1:1" x14ac:dyDescent="0.25">
      <c r="A114" t="s">
        <v>143</v>
      </c>
    </row>
    <row r="115" spans="1:1" x14ac:dyDescent="0.25">
      <c r="A115" t="s">
        <v>144</v>
      </c>
    </row>
    <row r="116" spans="1:1" x14ac:dyDescent="0.25">
      <c r="A116" t="s">
        <v>145</v>
      </c>
    </row>
    <row r="117" spans="1:1" x14ac:dyDescent="0.25">
      <c r="A117" t="s">
        <v>146</v>
      </c>
    </row>
    <row r="118" spans="1:1" x14ac:dyDescent="0.25">
      <c r="A118" t="s">
        <v>147</v>
      </c>
    </row>
    <row r="119" spans="1:1" x14ac:dyDescent="0.25">
      <c r="A119" t="s">
        <v>148</v>
      </c>
    </row>
    <row r="120" spans="1:1" x14ac:dyDescent="0.25">
      <c r="A120" t="s">
        <v>149</v>
      </c>
    </row>
    <row r="121" spans="1:1" x14ac:dyDescent="0.25">
      <c r="A121" t="s">
        <v>150</v>
      </c>
    </row>
    <row r="122" spans="1:1" x14ac:dyDescent="0.25">
      <c r="A122" t="s">
        <v>151</v>
      </c>
    </row>
    <row r="123" spans="1:1" x14ac:dyDescent="0.25">
      <c r="A123" t="s">
        <v>152</v>
      </c>
    </row>
    <row r="124" spans="1:1" x14ac:dyDescent="0.25">
      <c r="A124" t="s">
        <v>153</v>
      </c>
    </row>
    <row r="125" spans="1:1" x14ac:dyDescent="0.25">
      <c r="A125" t="s">
        <v>154</v>
      </c>
    </row>
    <row r="126" spans="1:1" x14ac:dyDescent="0.25">
      <c r="A126" t="s">
        <v>155</v>
      </c>
    </row>
    <row r="127" spans="1:1" x14ac:dyDescent="0.25">
      <c r="A127" t="s">
        <v>156</v>
      </c>
    </row>
    <row r="128" spans="1:1" x14ac:dyDescent="0.25">
      <c r="A128" t="s">
        <v>157</v>
      </c>
    </row>
    <row r="129" spans="1:1" x14ac:dyDescent="0.25">
      <c r="A129" t="s">
        <v>158</v>
      </c>
    </row>
    <row r="130" spans="1:1" x14ac:dyDescent="0.25">
      <c r="A130" t="s">
        <v>159</v>
      </c>
    </row>
    <row r="131" spans="1:1" x14ac:dyDescent="0.25">
      <c r="A131" t="s">
        <v>160</v>
      </c>
    </row>
    <row r="132" spans="1:1" x14ac:dyDescent="0.25">
      <c r="A132" t="s">
        <v>161</v>
      </c>
    </row>
    <row r="133" spans="1:1" x14ac:dyDescent="0.25">
      <c r="A133" t="s">
        <v>162</v>
      </c>
    </row>
    <row r="134" spans="1:1" x14ac:dyDescent="0.25">
      <c r="A134" t="s">
        <v>163</v>
      </c>
    </row>
    <row r="135" spans="1:1" x14ac:dyDescent="0.25">
      <c r="A135" t="s">
        <v>164</v>
      </c>
    </row>
    <row r="136" spans="1:1" x14ac:dyDescent="0.25">
      <c r="A136" t="s">
        <v>165</v>
      </c>
    </row>
    <row r="137" spans="1:1" x14ac:dyDescent="0.25">
      <c r="A137" t="s">
        <v>166</v>
      </c>
    </row>
    <row r="138" spans="1:1" x14ac:dyDescent="0.25">
      <c r="A138" t="s">
        <v>167</v>
      </c>
    </row>
    <row r="139" spans="1:1" x14ac:dyDescent="0.25">
      <c r="A139" t="s">
        <v>168</v>
      </c>
    </row>
    <row r="140" spans="1:1" x14ac:dyDescent="0.25">
      <c r="A140" t="s">
        <v>169</v>
      </c>
    </row>
    <row r="141" spans="1:1" x14ac:dyDescent="0.25">
      <c r="A141" t="s">
        <v>170</v>
      </c>
    </row>
    <row r="142" spans="1:1" x14ac:dyDescent="0.25">
      <c r="A142" t="s">
        <v>171</v>
      </c>
    </row>
    <row r="143" spans="1:1" x14ac:dyDescent="0.25">
      <c r="A143" t="s">
        <v>172</v>
      </c>
    </row>
    <row r="144" spans="1:1" x14ac:dyDescent="0.25">
      <c r="A144" t="s">
        <v>173</v>
      </c>
    </row>
    <row r="145" spans="1:1" x14ac:dyDescent="0.25">
      <c r="A145" t="s">
        <v>174</v>
      </c>
    </row>
    <row r="146" spans="1:1" x14ac:dyDescent="0.25">
      <c r="A146" t="s">
        <v>175</v>
      </c>
    </row>
    <row r="147" spans="1:1" x14ac:dyDescent="0.25">
      <c r="A147" t="s">
        <v>176</v>
      </c>
    </row>
    <row r="148" spans="1:1" x14ac:dyDescent="0.25">
      <c r="A148" t="s">
        <v>177</v>
      </c>
    </row>
    <row r="149" spans="1:1" x14ac:dyDescent="0.25">
      <c r="A149" t="s">
        <v>178</v>
      </c>
    </row>
    <row r="150" spans="1:1" x14ac:dyDescent="0.25">
      <c r="A150" t="s">
        <v>179</v>
      </c>
    </row>
    <row r="151" spans="1:1" x14ac:dyDescent="0.25">
      <c r="A151" t="s">
        <v>180</v>
      </c>
    </row>
    <row r="152" spans="1:1" x14ac:dyDescent="0.25">
      <c r="A152" t="s">
        <v>181</v>
      </c>
    </row>
    <row r="153" spans="1:1" x14ac:dyDescent="0.25">
      <c r="A153" t="s">
        <v>182</v>
      </c>
    </row>
    <row r="154" spans="1:1" x14ac:dyDescent="0.25">
      <c r="A154" t="s">
        <v>183</v>
      </c>
    </row>
    <row r="155" spans="1:1" x14ac:dyDescent="0.25">
      <c r="A155" t="s">
        <v>184</v>
      </c>
    </row>
    <row r="156" spans="1:1" x14ac:dyDescent="0.25">
      <c r="A156" t="s">
        <v>185</v>
      </c>
    </row>
    <row r="157" spans="1:1" x14ac:dyDescent="0.25">
      <c r="A157" t="s">
        <v>186</v>
      </c>
    </row>
    <row r="158" spans="1:1" x14ac:dyDescent="0.25">
      <c r="A158" t="s">
        <v>187</v>
      </c>
    </row>
    <row r="159" spans="1:1" x14ac:dyDescent="0.25">
      <c r="A159" t="s">
        <v>188</v>
      </c>
    </row>
    <row r="160" spans="1:1" x14ac:dyDescent="0.25">
      <c r="A160" t="s">
        <v>189</v>
      </c>
    </row>
    <row r="161" spans="1:1" x14ac:dyDescent="0.25">
      <c r="A161" t="s">
        <v>190</v>
      </c>
    </row>
    <row r="162" spans="1:1" x14ac:dyDescent="0.25">
      <c r="A162" t="s">
        <v>191</v>
      </c>
    </row>
    <row r="163" spans="1:1" x14ac:dyDescent="0.25">
      <c r="A163" t="s">
        <v>192</v>
      </c>
    </row>
    <row r="164" spans="1:1" x14ac:dyDescent="0.25">
      <c r="A164" t="s">
        <v>193</v>
      </c>
    </row>
    <row r="165" spans="1:1" x14ac:dyDescent="0.25">
      <c r="A165" t="s">
        <v>194</v>
      </c>
    </row>
    <row r="166" spans="1:1" x14ac:dyDescent="0.25">
      <c r="A166" t="s">
        <v>195</v>
      </c>
    </row>
    <row r="167" spans="1:1" x14ac:dyDescent="0.25">
      <c r="A167" t="s">
        <v>196</v>
      </c>
    </row>
    <row r="168" spans="1:1" x14ac:dyDescent="0.25">
      <c r="A168" t="s">
        <v>197</v>
      </c>
    </row>
    <row r="169" spans="1:1" x14ac:dyDescent="0.25">
      <c r="A169" t="s">
        <v>198</v>
      </c>
    </row>
    <row r="170" spans="1:1" x14ac:dyDescent="0.25">
      <c r="A170" t="s">
        <v>199</v>
      </c>
    </row>
    <row r="171" spans="1:1" x14ac:dyDescent="0.25">
      <c r="A171" t="s">
        <v>200</v>
      </c>
    </row>
    <row r="172" spans="1:1" x14ac:dyDescent="0.25">
      <c r="A172" t="s">
        <v>201</v>
      </c>
    </row>
    <row r="173" spans="1:1" x14ac:dyDescent="0.25">
      <c r="A173" t="s">
        <v>202</v>
      </c>
    </row>
    <row r="174" spans="1:1" x14ac:dyDescent="0.25">
      <c r="A174" t="s">
        <v>203</v>
      </c>
    </row>
    <row r="175" spans="1:1" x14ac:dyDescent="0.25">
      <c r="A175" t="s">
        <v>204</v>
      </c>
    </row>
    <row r="176" spans="1:1" x14ac:dyDescent="0.25">
      <c r="A176" t="s">
        <v>205</v>
      </c>
    </row>
    <row r="177" spans="1:1" x14ac:dyDescent="0.25">
      <c r="A177" t="s">
        <v>206</v>
      </c>
    </row>
    <row r="178" spans="1:1" x14ac:dyDescent="0.25">
      <c r="A178" t="s">
        <v>207</v>
      </c>
    </row>
    <row r="179" spans="1:1" x14ac:dyDescent="0.25">
      <c r="A179" t="s">
        <v>208</v>
      </c>
    </row>
    <row r="180" spans="1:1" x14ac:dyDescent="0.25">
      <c r="A180" t="s">
        <v>209</v>
      </c>
    </row>
    <row r="181" spans="1:1" x14ac:dyDescent="0.25">
      <c r="A181" t="s">
        <v>210</v>
      </c>
    </row>
    <row r="182" spans="1:1" x14ac:dyDescent="0.25">
      <c r="A182" t="s">
        <v>211</v>
      </c>
    </row>
    <row r="183" spans="1:1" x14ac:dyDescent="0.25">
      <c r="A183" t="s">
        <v>212</v>
      </c>
    </row>
    <row r="184" spans="1:1" x14ac:dyDescent="0.25">
      <c r="A184" t="s">
        <v>213</v>
      </c>
    </row>
    <row r="185" spans="1:1" x14ac:dyDescent="0.25">
      <c r="A185" t="s">
        <v>214</v>
      </c>
    </row>
    <row r="186" spans="1:1" x14ac:dyDescent="0.25">
      <c r="A186" t="s">
        <v>215</v>
      </c>
    </row>
    <row r="187" spans="1:1" x14ac:dyDescent="0.25">
      <c r="A187" t="s">
        <v>216</v>
      </c>
    </row>
    <row r="188" spans="1:1" x14ac:dyDescent="0.25">
      <c r="A188" t="s">
        <v>217</v>
      </c>
    </row>
    <row r="189" spans="1:1" x14ac:dyDescent="0.25">
      <c r="A189" t="s">
        <v>218</v>
      </c>
    </row>
    <row r="190" spans="1:1" x14ac:dyDescent="0.25">
      <c r="A190" t="s">
        <v>219</v>
      </c>
    </row>
    <row r="191" spans="1:1" x14ac:dyDescent="0.25">
      <c r="A191" t="s">
        <v>220</v>
      </c>
    </row>
    <row r="192" spans="1:1" x14ac:dyDescent="0.25">
      <c r="A192" t="s">
        <v>221</v>
      </c>
    </row>
    <row r="193" spans="1:1" x14ac:dyDescent="0.25">
      <c r="A193" t="s">
        <v>222</v>
      </c>
    </row>
    <row r="194" spans="1:1" x14ac:dyDescent="0.25">
      <c r="A194" t="s">
        <v>223</v>
      </c>
    </row>
    <row r="195" spans="1:1" x14ac:dyDescent="0.25">
      <c r="A195" t="s">
        <v>224</v>
      </c>
    </row>
    <row r="196" spans="1:1" x14ac:dyDescent="0.25">
      <c r="A196" t="s">
        <v>225</v>
      </c>
    </row>
    <row r="197" spans="1:1" x14ac:dyDescent="0.25">
      <c r="A197" t="s">
        <v>226</v>
      </c>
    </row>
    <row r="198" spans="1:1" x14ac:dyDescent="0.25">
      <c r="A198" t="s">
        <v>227</v>
      </c>
    </row>
    <row r="199" spans="1:1" x14ac:dyDescent="0.25">
      <c r="A199" t="s">
        <v>228</v>
      </c>
    </row>
    <row r="200" spans="1:1" x14ac:dyDescent="0.25">
      <c r="A200" t="s">
        <v>229</v>
      </c>
    </row>
    <row r="201" spans="1:1" x14ac:dyDescent="0.25">
      <c r="A201" t="s">
        <v>230</v>
      </c>
    </row>
    <row r="202" spans="1:1" x14ac:dyDescent="0.25">
      <c r="A202" t="s">
        <v>231</v>
      </c>
    </row>
    <row r="203" spans="1:1" x14ac:dyDescent="0.25">
      <c r="A203" t="s">
        <v>232</v>
      </c>
    </row>
    <row r="204" spans="1:1" x14ac:dyDescent="0.25">
      <c r="A204" t="s">
        <v>233</v>
      </c>
    </row>
    <row r="205" spans="1:1" x14ac:dyDescent="0.25">
      <c r="A205" t="s">
        <v>234</v>
      </c>
    </row>
    <row r="206" spans="1:1" x14ac:dyDescent="0.25">
      <c r="A206" t="s">
        <v>235</v>
      </c>
    </row>
    <row r="207" spans="1:1" x14ac:dyDescent="0.25">
      <c r="A207" t="s">
        <v>236</v>
      </c>
    </row>
    <row r="208" spans="1:1" x14ac:dyDescent="0.25">
      <c r="A208" t="s">
        <v>237</v>
      </c>
    </row>
    <row r="209" spans="1:1" x14ac:dyDescent="0.25">
      <c r="A209" t="s">
        <v>238</v>
      </c>
    </row>
    <row r="210" spans="1:1" x14ac:dyDescent="0.25">
      <c r="A210" t="s">
        <v>239</v>
      </c>
    </row>
    <row r="211" spans="1:1" x14ac:dyDescent="0.25">
      <c r="A211" t="s">
        <v>240</v>
      </c>
    </row>
    <row r="212" spans="1:1" x14ac:dyDescent="0.25">
      <c r="A212" t="s">
        <v>241</v>
      </c>
    </row>
    <row r="213" spans="1:1" x14ac:dyDescent="0.25">
      <c r="A213" t="s">
        <v>242</v>
      </c>
    </row>
    <row r="214" spans="1:1" x14ac:dyDescent="0.25">
      <c r="A214" t="s">
        <v>243</v>
      </c>
    </row>
    <row r="215" spans="1:1" x14ac:dyDescent="0.25">
      <c r="A215" t="s">
        <v>244</v>
      </c>
    </row>
    <row r="216" spans="1:1" x14ac:dyDescent="0.25">
      <c r="A216" t="s">
        <v>245</v>
      </c>
    </row>
    <row r="217" spans="1:1" x14ac:dyDescent="0.25">
      <c r="A217" t="s">
        <v>246</v>
      </c>
    </row>
    <row r="218" spans="1:1" x14ac:dyDescent="0.25">
      <c r="A218" t="s">
        <v>247</v>
      </c>
    </row>
    <row r="219" spans="1:1" x14ac:dyDescent="0.25">
      <c r="A219" t="s">
        <v>248</v>
      </c>
    </row>
    <row r="220" spans="1:1" x14ac:dyDescent="0.25">
      <c r="A220" t="s">
        <v>249</v>
      </c>
    </row>
    <row r="221" spans="1:1" x14ac:dyDescent="0.25">
      <c r="A221" t="s">
        <v>250</v>
      </c>
    </row>
    <row r="222" spans="1:1" x14ac:dyDescent="0.25">
      <c r="A222" t="s">
        <v>251</v>
      </c>
    </row>
    <row r="223" spans="1:1" x14ac:dyDescent="0.25">
      <c r="A223" t="s">
        <v>252</v>
      </c>
    </row>
    <row r="224" spans="1:1" x14ac:dyDescent="0.25">
      <c r="A224" t="s">
        <v>253</v>
      </c>
    </row>
    <row r="225" spans="1:1" x14ac:dyDescent="0.25">
      <c r="A225" t="s">
        <v>254</v>
      </c>
    </row>
    <row r="226" spans="1:1" x14ac:dyDescent="0.25">
      <c r="A226" t="s">
        <v>255</v>
      </c>
    </row>
    <row r="227" spans="1:1" x14ac:dyDescent="0.25">
      <c r="A227" t="s">
        <v>256</v>
      </c>
    </row>
    <row r="228" spans="1:1" x14ac:dyDescent="0.25">
      <c r="A228" t="s">
        <v>257</v>
      </c>
    </row>
    <row r="229" spans="1:1" x14ac:dyDescent="0.25">
      <c r="A229" t="s">
        <v>258</v>
      </c>
    </row>
    <row r="230" spans="1:1" x14ac:dyDescent="0.25">
      <c r="A230" t="s">
        <v>259</v>
      </c>
    </row>
    <row r="231" spans="1:1" x14ac:dyDescent="0.25">
      <c r="A231" t="s">
        <v>260</v>
      </c>
    </row>
    <row r="232" spans="1:1" x14ac:dyDescent="0.25">
      <c r="A232" t="s">
        <v>261</v>
      </c>
    </row>
    <row r="233" spans="1:1" x14ac:dyDescent="0.25">
      <c r="A233" t="s">
        <v>262</v>
      </c>
    </row>
    <row r="234" spans="1:1" x14ac:dyDescent="0.25">
      <c r="A234" t="s">
        <v>263</v>
      </c>
    </row>
    <row r="235" spans="1:1" x14ac:dyDescent="0.25">
      <c r="A235" t="s">
        <v>264</v>
      </c>
    </row>
    <row r="236" spans="1:1" x14ac:dyDescent="0.25">
      <c r="A236" t="s">
        <v>265</v>
      </c>
    </row>
    <row r="237" spans="1:1" x14ac:dyDescent="0.25">
      <c r="A237" t="s">
        <v>266</v>
      </c>
    </row>
    <row r="238" spans="1:1" x14ac:dyDescent="0.25">
      <c r="A238" t="s">
        <v>267</v>
      </c>
    </row>
    <row r="239" spans="1:1" x14ac:dyDescent="0.25">
      <c r="A239" t="s">
        <v>268</v>
      </c>
    </row>
    <row r="240" spans="1:1" x14ac:dyDescent="0.25">
      <c r="A240" t="s">
        <v>269</v>
      </c>
    </row>
    <row r="241" spans="1:1" x14ac:dyDescent="0.25">
      <c r="A241" t="s">
        <v>270</v>
      </c>
    </row>
    <row r="242" spans="1:1" x14ac:dyDescent="0.25">
      <c r="A242" t="s">
        <v>271</v>
      </c>
    </row>
    <row r="243" spans="1:1" x14ac:dyDescent="0.25">
      <c r="A243" t="s">
        <v>272</v>
      </c>
    </row>
    <row r="244" spans="1:1" x14ac:dyDescent="0.25">
      <c r="A244" t="s">
        <v>273</v>
      </c>
    </row>
    <row r="245" spans="1:1" x14ac:dyDescent="0.25">
      <c r="A245" t="s">
        <v>274</v>
      </c>
    </row>
    <row r="246" spans="1:1" x14ac:dyDescent="0.25">
      <c r="A246" t="s">
        <v>275</v>
      </c>
    </row>
    <row r="247" spans="1:1" x14ac:dyDescent="0.25">
      <c r="A247" t="s">
        <v>276</v>
      </c>
    </row>
    <row r="248" spans="1:1" x14ac:dyDescent="0.25">
      <c r="A248" t="s">
        <v>277</v>
      </c>
    </row>
    <row r="249" spans="1:1" x14ac:dyDescent="0.25">
      <c r="A249" t="s">
        <v>278</v>
      </c>
    </row>
    <row r="250" spans="1:1" x14ac:dyDescent="0.25">
      <c r="A250" t="s">
        <v>279</v>
      </c>
    </row>
    <row r="251" spans="1:1" x14ac:dyDescent="0.25">
      <c r="A251" t="s">
        <v>280</v>
      </c>
    </row>
    <row r="252" spans="1:1" x14ac:dyDescent="0.25">
      <c r="A252" t="s">
        <v>281</v>
      </c>
    </row>
    <row r="253" spans="1:1" x14ac:dyDescent="0.25">
      <c r="A253" t="s">
        <v>282</v>
      </c>
    </row>
    <row r="254" spans="1:1" x14ac:dyDescent="0.25">
      <c r="A254" t="s">
        <v>283</v>
      </c>
    </row>
    <row r="255" spans="1:1" x14ac:dyDescent="0.25">
      <c r="A255" t="s">
        <v>284</v>
      </c>
    </row>
    <row r="256" spans="1:1" x14ac:dyDescent="0.25">
      <c r="A256" t="s">
        <v>285</v>
      </c>
    </row>
    <row r="257" spans="1:1" x14ac:dyDescent="0.25">
      <c r="A257" t="s">
        <v>286</v>
      </c>
    </row>
    <row r="258" spans="1:1" x14ac:dyDescent="0.25">
      <c r="A258" t="s">
        <v>287</v>
      </c>
    </row>
    <row r="259" spans="1:1" x14ac:dyDescent="0.25">
      <c r="A259" t="s">
        <v>288</v>
      </c>
    </row>
    <row r="260" spans="1:1" x14ac:dyDescent="0.25">
      <c r="A260" t="s">
        <v>289</v>
      </c>
    </row>
    <row r="261" spans="1:1" x14ac:dyDescent="0.25">
      <c r="A261" t="s">
        <v>290</v>
      </c>
    </row>
    <row r="262" spans="1:1" x14ac:dyDescent="0.25">
      <c r="A262" t="s">
        <v>291</v>
      </c>
    </row>
    <row r="263" spans="1:1" x14ac:dyDescent="0.25">
      <c r="A263" t="s">
        <v>292</v>
      </c>
    </row>
    <row r="264" spans="1:1" x14ac:dyDescent="0.25">
      <c r="A264" t="s">
        <v>293</v>
      </c>
    </row>
    <row r="265" spans="1:1" x14ac:dyDescent="0.25">
      <c r="A265" t="s">
        <v>294</v>
      </c>
    </row>
    <row r="266" spans="1:1" x14ac:dyDescent="0.25">
      <c r="A266" t="s">
        <v>295</v>
      </c>
    </row>
    <row r="267" spans="1:1" x14ac:dyDescent="0.25">
      <c r="A267" t="s">
        <v>296</v>
      </c>
    </row>
    <row r="268" spans="1:1" x14ac:dyDescent="0.25">
      <c r="A268" t="s">
        <v>297</v>
      </c>
    </row>
    <row r="269" spans="1:1" x14ac:dyDescent="0.25">
      <c r="A269" t="s">
        <v>298</v>
      </c>
    </row>
    <row r="270" spans="1:1" x14ac:dyDescent="0.25">
      <c r="A270" t="s">
        <v>299</v>
      </c>
    </row>
    <row r="271" spans="1:1" x14ac:dyDescent="0.25">
      <c r="A271" t="s">
        <v>300</v>
      </c>
    </row>
    <row r="272" spans="1:1" x14ac:dyDescent="0.25">
      <c r="A272" t="s">
        <v>301</v>
      </c>
    </row>
    <row r="273" spans="1:1" x14ac:dyDescent="0.25">
      <c r="A273" t="s">
        <v>302</v>
      </c>
    </row>
    <row r="274" spans="1:1" x14ac:dyDescent="0.25">
      <c r="A274" t="s">
        <v>303</v>
      </c>
    </row>
    <row r="275" spans="1:1" x14ac:dyDescent="0.25">
      <c r="A275" t="s">
        <v>304</v>
      </c>
    </row>
    <row r="276" spans="1:1" x14ac:dyDescent="0.25">
      <c r="A276" t="s">
        <v>305</v>
      </c>
    </row>
    <row r="277" spans="1:1" x14ac:dyDescent="0.25">
      <c r="A277" t="s">
        <v>306</v>
      </c>
    </row>
    <row r="278" spans="1:1" x14ac:dyDescent="0.25">
      <c r="A278" t="s">
        <v>307</v>
      </c>
    </row>
    <row r="279" spans="1:1" x14ac:dyDescent="0.25">
      <c r="A279" t="s">
        <v>308</v>
      </c>
    </row>
    <row r="280" spans="1:1" x14ac:dyDescent="0.25">
      <c r="A280" t="s">
        <v>309</v>
      </c>
    </row>
    <row r="281" spans="1:1" x14ac:dyDescent="0.25">
      <c r="A281" t="s">
        <v>310</v>
      </c>
    </row>
    <row r="282" spans="1:1" x14ac:dyDescent="0.25">
      <c r="A282" t="s">
        <v>311</v>
      </c>
    </row>
    <row r="283" spans="1:1" x14ac:dyDescent="0.25">
      <c r="A283" t="s">
        <v>312</v>
      </c>
    </row>
    <row r="284" spans="1:1" x14ac:dyDescent="0.25">
      <c r="A284" t="s">
        <v>313</v>
      </c>
    </row>
    <row r="285" spans="1:1" x14ac:dyDescent="0.25">
      <c r="A285" t="s">
        <v>314</v>
      </c>
    </row>
    <row r="286" spans="1:1" x14ac:dyDescent="0.25">
      <c r="A286" t="s">
        <v>315</v>
      </c>
    </row>
    <row r="287" spans="1:1" x14ac:dyDescent="0.25">
      <c r="A287" t="s">
        <v>316</v>
      </c>
    </row>
    <row r="288" spans="1:1" x14ac:dyDescent="0.25">
      <c r="A288" t="s">
        <v>317</v>
      </c>
    </row>
    <row r="289" spans="1:1" x14ac:dyDescent="0.25">
      <c r="A289" t="s">
        <v>318</v>
      </c>
    </row>
    <row r="290" spans="1:1" x14ac:dyDescent="0.25">
      <c r="A290" t="s">
        <v>319</v>
      </c>
    </row>
    <row r="291" spans="1:1" x14ac:dyDescent="0.25">
      <c r="A291" t="s">
        <v>320</v>
      </c>
    </row>
    <row r="292" spans="1:1" x14ac:dyDescent="0.25">
      <c r="A292" t="s">
        <v>321</v>
      </c>
    </row>
    <row r="293" spans="1:1" x14ac:dyDescent="0.25">
      <c r="A293" t="s">
        <v>322</v>
      </c>
    </row>
    <row r="294" spans="1:1" x14ac:dyDescent="0.25">
      <c r="A294" t="s">
        <v>323</v>
      </c>
    </row>
    <row r="295" spans="1:1" x14ac:dyDescent="0.25">
      <c r="A295" t="s">
        <v>324</v>
      </c>
    </row>
    <row r="296" spans="1:1" x14ac:dyDescent="0.25">
      <c r="A296" t="s">
        <v>325</v>
      </c>
    </row>
    <row r="297" spans="1:1" x14ac:dyDescent="0.25">
      <c r="A297" t="s">
        <v>326</v>
      </c>
    </row>
    <row r="298" spans="1:1" x14ac:dyDescent="0.25">
      <c r="A298" t="s">
        <v>327</v>
      </c>
    </row>
    <row r="299" spans="1:1" x14ac:dyDescent="0.25">
      <c r="A299" t="s">
        <v>328</v>
      </c>
    </row>
    <row r="300" spans="1:1" x14ac:dyDescent="0.25">
      <c r="A300" t="s">
        <v>329</v>
      </c>
    </row>
    <row r="301" spans="1:1" x14ac:dyDescent="0.25">
      <c r="A301" t="s">
        <v>330</v>
      </c>
    </row>
    <row r="302" spans="1:1" x14ac:dyDescent="0.25">
      <c r="A302" t="s">
        <v>331</v>
      </c>
    </row>
    <row r="303" spans="1:1" x14ac:dyDescent="0.25">
      <c r="A303" t="s">
        <v>332</v>
      </c>
    </row>
    <row r="304" spans="1:1" x14ac:dyDescent="0.25">
      <c r="A304" t="s">
        <v>333</v>
      </c>
    </row>
    <row r="305" spans="1:1" x14ac:dyDescent="0.25">
      <c r="A305" t="s">
        <v>334</v>
      </c>
    </row>
    <row r="306" spans="1:1" x14ac:dyDescent="0.25">
      <c r="A306" t="s">
        <v>335</v>
      </c>
    </row>
    <row r="307" spans="1:1" x14ac:dyDescent="0.25">
      <c r="A307" t="s">
        <v>336</v>
      </c>
    </row>
    <row r="308" spans="1:1" x14ac:dyDescent="0.25">
      <c r="A308" t="s">
        <v>337</v>
      </c>
    </row>
    <row r="309" spans="1:1" x14ac:dyDescent="0.25">
      <c r="A309" t="s">
        <v>338</v>
      </c>
    </row>
    <row r="310" spans="1:1" x14ac:dyDescent="0.25">
      <c r="A310" t="s">
        <v>339</v>
      </c>
    </row>
    <row r="311" spans="1:1" x14ac:dyDescent="0.25">
      <c r="A311" t="s">
        <v>340</v>
      </c>
    </row>
    <row r="312" spans="1:1" x14ac:dyDescent="0.25">
      <c r="A312" t="s">
        <v>341</v>
      </c>
    </row>
    <row r="313" spans="1:1" x14ac:dyDescent="0.25">
      <c r="A313" t="s">
        <v>342</v>
      </c>
    </row>
    <row r="314" spans="1:1" x14ac:dyDescent="0.25">
      <c r="A314" t="s">
        <v>343</v>
      </c>
    </row>
    <row r="315" spans="1:1" x14ac:dyDescent="0.25">
      <c r="A315" t="s">
        <v>344</v>
      </c>
    </row>
    <row r="316" spans="1:1" x14ac:dyDescent="0.25">
      <c r="A316" t="s">
        <v>345</v>
      </c>
    </row>
    <row r="317" spans="1:1" x14ac:dyDescent="0.25">
      <c r="A317" t="s">
        <v>346</v>
      </c>
    </row>
    <row r="318" spans="1:1" x14ac:dyDescent="0.25">
      <c r="A318" t="s">
        <v>347</v>
      </c>
    </row>
    <row r="319" spans="1:1" x14ac:dyDescent="0.25">
      <c r="A319" t="s">
        <v>348</v>
      </c>
    </row>
    <row r="320" spans="1:1" x14ac:dyDescent="0.25">
      <c r="A320" t="s">
        <v>349</v>
      </c>
    </row>
    <row r="321" spans="1:1" x14ac:dyDescent="0.25">
      <c r="A321" t="s">
        <v>350</v>
      </c>
    </row>
    <row r="322" spans="1:1" x14ac:dyDescent="0.25">
      <c r="A322" t="s">
        <v>351</v>
      </c>
    </row>
    <row r="323" spans="1:1" x14ac:dyDescent="0.25">
      <c r="A323" t="s">
        <v>352</v>
      </c>
    </row>
    <row r="324" spans="1:1" x14ac:dyDescent="0.25">
      <c r="A324" t="s">
        <v>353</v>
      </c>
    </row>
    <row r="325" spans="1:1" x14ac:dyDescent="0.25">
      <c r="A325" t="s">
        <v>354</v>
      </c>
    </row>
    <row r="326" spans="1:1" x14ac:dyDescent="0.25">
      <c r="A326" t="s">
        <v>355</v>
      </c>
    </row>
    <row r="327" spans="1:1" x14ac:dyDescent="0.25">
      <c r="A327" t="s">
        <v>356</v>
      </c>
    </row>
    <row r="328" spans="1:1" x14ac:dyDescent="0.25">
      <c r="A328" t="s">
        <v>357</v>
      </c>
    </row>
    <row r="329" spans="1:1" x14ac:dyDescent="0.25">
      <c r="A329" t="s">
        <v>358</v>
      </c>
    </row>
    <row r="330" spans="1:1" x14ac:dyDescent="0.25">
      <c r="A330" t="s">
        <v>359</v>
      </c>
    </row>
    <row r="331" spans="1:1" x14ac:dyDescent="0.25">
      <c r="A331" t="s">
        <v>360</v>
      </c>
    </row>
    <row r="332" spans="1:1" x14ac:dyDescent="0.25">
      <c r="A332" t="s">
        <v>361</v>
      </c>
    </row>
    <row r="333" spans="1:1" x14ac:dyDescent="0.25">
      <c r="A333" t="s">
        <v>362</v>
      </c>
    </row>
    <row r="334" spans="1:1" x14ac:dyDescent="0.25">
      <c r="A334" t="s">
        <v>363</v>
      </c>
    </row>
    <row r="335" spans="1:1" x14ac:dyDescent="0.25">
      <c r="A335" t="s">
        <v>364</v>
      </c>
    </row>
    <row r="336" spans="1:1" x14ac:dyDescent="0.25">
      <c r="A336" t="s">
        <v>365</v>
      </c>
    </row>
    <row r="337" spans="1:1" x14ac:dyDescent="0.25">
      <c r="A337" t="s">
        <v>366</v>
      </c>
    </row>
    <row r="338" spans="1:1" x14ac:dyDescent="0.25">
      <c r="A338" t="s">
        <v>367</v>
      </c>
    </row>
    <row r="339" spans="1:1" x14ac:dyDescent="0.25">
      <c r="A339" t="s">
        <v>368</v>
      </c>
    </row>
    <row r="340" spans="1:1" x14ac:dyDescent="0.25">
      <c r="A340" t="s">
        <v>369</v>
      </c>
    </row>
    <row r="341" spans="1:1" x14ac:dyDescent="0.25">
      <c r="A341" t="s">
        <v>370</v>
      </c>
    </row>
    <row r="342" spans="1:1" x14ac:dyDescent="0.25">
      <c r="A342" t="s">
        <v>371</v>
      </c>
    </row>
    <row r="343" spans="1:1" x14ac:dyDescent="0.25">
      <c r="A343" t="s">
        <v>372</v>
      </c>
    </row>
    <row r="344" spans="1:1" x14ac:dyDescent="0.25">
      <c r="A344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43</vt:i4>
      </vt:variant>
    </vt:vector>
  </HeadingPairs>
  <TitlesOfParts>
    <vt:vector size="45" baseType="lpstr">
      <vt:lpstr>program favourite</vt:lpstr>
      <vt:lpstr>{PL}PickLst</vt:lpstr>
      <vt:lpstr>db_name</vt:lpstr>
      <vt:lpstr>Freeze_here</vt:lpstr>
      <vt:lpstr>psApp</vt:lpstr>
      <vt:lpstr>psHLYear</vt:lpstr>
      <vt:lpstr>psProgDimName</vt:lpstr>
      <vt:lpstr>psScenario</vt:lpstr>
      <vt:lpstr>psUser</vt:lpstr>
      <vt:lpstr>TM1AdminFavAccCAP</vt:lpstr>
      <vt:lpstr>TM1AdminFavAccWB</vt:lpstr>
      <vt:lpstr>TM1AdminFavAccWS</vt:lpstr>
      <vt:lpstr>TM1AdminFavListCAP</vt:lpstr>
      <vt:lpstr>TM1AdminFavListWB</vt:lpstr>
      <vt:lpstr>TM1AdminFavListWS</vt:lpstr>
      <vt:lpstr>TM1AdminFavProgCAP</vt:lpstr>
      <vt:lpstr>TM1AdminFavProgWB</vt:lpstr>
      <vt:lpstr>TM1AdminFavProgWS</vt:lpstr>
      <vt:lpstr>TM1AdminProgDetCAP</vt:lpstr>
      <vt:lpstr>TM1AdminProgDetWB</vt:lpstr>
      <vt:lpstr>TM1AdminProgDetWS</vt:lpstr>
      <vt:lpstr>TM1AdminRDSProgCAP</vt:lpstr>
      <vt:lpstr>TM1AdminRDSProgWB</vt:lpstr>
      <vt:lpstr>TM1AdminRDSProgWS</vt:lpstr>
      <vt:lpstr>TM1HomeAdminCAP</vt:lpstr>
      <vt:lpstr>TM1HomeAdminFavCAP</vt:lpstr>
      <vt:lpstr>TM1HomeAdminFavWB</vt:lpstr>
      <vt:lpstr>TM1HomeAdminFavWS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'program favourite'!TM1RPTDATARNG2</vt:lpstr>
      <vt:lpstr>'program favourite'!TM1RPTFMTIDCOL</vt:lpstr>
      <vt:lpstr>'program favourite'!TM1RPTFMTRNG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cp:lastPrinted>2019-08-30T12:13:46Z</cp:lastPrinted>
  <dcterms:created xsi:type="dcterms:W3CDTF">2019-04-16T00:46:04Z</dcterms:created>
  <dcterms:modified xsi:type="dcterms:W3CDTF">2025-08-05T04:53:15Z</dcterms:modified>
</cp:coreProperties>
</file>