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1.bin" ContentType="application/vnd.ms-office.activeX"/>
  <Override PartName="/xl/activeX/activeX8.xml" ContentType="application/vnd.ms-office.activeX+xml"/>
  <Override PartName="/xl/activeX/activeX2.bin" ContentType="application/vnd.ms-office.activeX"/>
  <Override PartName="/xl/activeX/activeX9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5CB236A2-316D-47F7-838B-F251A4771E7D}" xr6:coauthVersionLast="47" xr6:coauthVersionMax="47" xr10:uidLastSave="{00000000-0000-0000-0000-000000000000}"/>
  <bookViews>
    <workbookView xWindow="29580" yWindow="780" windowWidth="21600" windowHeight="11385" xr2:uid="{03FAFBAA-4579-4C61-8954-40E46A06A5CE}"/>
  </bookViews>
  <sheets>
    <sheet name="reco" sheetId="1" r:id="rId1"/>
  </sheets>
  <definedNames>
    <definedName name="db_name">reco!$C$12</definedName>
    <definedName name="ID" localSheetId="0" hidden="1">"4a131db0-f66f-4ac7-84b7-2b0de5808af6"</definedName>
    <definedName name="psApp">reco!$C$36</definedName>
    <definedName name="psHLYear">reco!$M$82</definedName>
    <definedName name="psUser">reco!$C$14</definedName>
    <definedName name="TM1AdjIDListCAP">reco!$D$45</definedName>
    <definedName name="TM1AdjIDListWB">reco!$F$45</definedName>
    <definedName name="TM1AdminArcCBMSRecoAppropCAP">reco!$D$50</definedName>
    <definedName name="TM1AdminArcCBMSRecoAppropWB">reco!$F$50</definedName>
    <definedName name="TM1AdminArcCBMSRecoAppropWS">reco!$H$50</definedName>
    <definedName name="TM1AdminArcCBMSRecoCAP">reco!$D$46</definedName>
    <definedName name="TM1AdminArcCBMSRecoProgDetCAP">reco!$D$49</definedName>
    <definedName name="TM1AdminArcCBMSRecoProgDetWB">reco!$F$49</definedName>
    <definedName name="TM1AdminArcCBMSRecoProgDetWS">reco!$H$49</definedName>
    <definedName name="TM1AdminArcCBMSRecoRep">reco!$H$46</definedName>
    <definedName name="TM1AdminArcCBMSRecoRepCAP">reco!$D$47</definedName>
    <definedName name="TM1AdminArcCBMSRecoRepDetCAP">reco!$D$48</definedName>
    <definedName name="TM1AdminArcCBMSRecoRepDetWB">reco!$F$48</definedName>
    <definedName name="TM1AdminArcCBMSRecoRepDetWS">reco!$H$48</definedName>
    <definedName name="TM1AdminArcCBMSRecoRepWB">reco!$F$47</definedName>
    <definedName name="TM1AdminArcCBMSRecoRepWS">reco!$H$47</definedName>
    <definedName name="TM1AdminArcCBMSRecoWB">reco!$F$46</definedName>
    <definedName name="TM1HomeAdminBaseCAP">reco!$D$43</definedName>
    <definedName name="TM1HomeAdminBaseWB">reco!$F$43</definedName>
    <definedName name="TM1HomeAdminBaseWS">reco!$H$43</definedName>
    <definedName name="TM1HomeAdminCAP">reco!$D$41</definedName>
    <definedName name="TM1HomeAdminRDSCAP">reco!$D$42</definedName>
    <definedName name="TM1HomeAdminRDSWB">reco!$F$42</definedName>
    <definedName name="TM1HomeAdminRDSWS">reco!$H$42</definedName>
    <definedName name="TM1HomeAdminWB">reco!$F$41</definedName>
    <definedName name="TM1HomeAdminWS">reco!$H$41</definedName>
    <definedName name="TM1HomeAECAP">reco!$D$39</definedName>
    <definedName name="TM1HomeAEWB">reco!$F$39</definedName>
    <definedName name="TM1HomeAEWS">reco!$H$39</definedName>
    <definedName name="TM1HomeCAP">reco!$D$38</definedName>
    <definedName name="TM1HomeRepCAP">reco!$D$40</definedName>
    <definedName name="TM1HomeRepWB">reco!$F$40</definedName>
    <definedName name="TM1HomeRepWS">reco!$H$40</definedName>
    <definedName name="TM1HomeUnderCAP">reco!$D$44</definedName>
    <definedName name="TM1HomeUnderWB">reco!$F$44</definedName>
    <definedName name="TM1HomeUnderWS">reco!$H$44</definedName>
    <definedName name="TM1HomeWB">reco!$F$38</definedName>
    <definedName name="TM1HomeWS">reco!$H$38</definedName>
    <definedName name="TM1IDListWS">reco!$H$45</definedName>
    <definedName name="TM1REBUILDOPTION">0</definedName>
    <definedName name="TM1RPTDATARNG1" localSheetId="0">reco!$94:$94</definedName>
    <definedName name="TM1RPTFMTIDCOL" localSheetId="0">reco!$A$1:$A$8</definedName>
    <definedName name="TM1RPTFMTRNG" localSheetId="0">reco!$J$1:$AF$8</definedName>
    <definedName name="TM1ViewAdj01HeaderCAP">reco!$D$51</definedName>
    <definedName name="TM1ViewAdj01HeaderWB">reco!$F$51</definedName>
    <definedName name="TM1ViewAdj01HeaderWS">reco!$H$51</definedName>
  </definedName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20" i="1" a="1"/>
  <c r="C20" i="1" s="1"/>
  <c r="C28" i="1" a="1"/>
  <c r="C28" i="1" s="1"/>
  <c r="C13" i="1" a="1"/>
  <c r="C13" i="1" s="1"/>
  <c r="A5" i="1"/>
  <c r="A4" i="1"/>
  <c r="A3" i="1"/>
  <c r="A2" i="1"/>
  <c r="M85" i="1"/>
  <c r="E40" i="1" a="1"/>
  <c r="G51" i="1" a="1"/>
  <c r="E44" i="1" a="1"/>
  <c r="F44" i="1" a="1"/>
  <c r="C67" i="1"/>
  <c r="H44" i="1" a="1"/>
  <c r="H38" i="1" a="1"/>
  <c r="G48" i="1" a="1"/>
  <c r="G42" i="1" a="1"/>
  <c r="C63" i="1"/>
  <c r="C62" i="1"/>
  <c r="C49" i="1" a="1"/>
  <c r="H45" i="1" a="1"/>
  <c r="H48" i="1" a="1"/>
  <c r="E41" i="1" a="1"/>
  <c r="H51" i="1" a="1"/>
  <c r="F42" i="1" a="1"/>
  <c r="H50" i="1" a="1"/>
  <c r="D40" i="1" a="1"/>
  <c r="C46" i="1" a="1"/>
  <c r="C38" i="1" a="1"/>
  <c r="F38" i="1" a="1"/>
  <c r="E49" i="1" a="1"/>
  <c r="C39" i="1" a="1"/>
  <c r="C51" i="1" a="1"/>
  <c r="G43" i="1" a="1"/>
  <c r="C23" i="1" a="1"/>
  <c r="F51" i="1" a="1"/>
  <c r="D44" i="1" a="1"/>
  <c r="C25" i="1" a="1"/>
  <c r="E47" i="1" a="1"/>
  <c r="C42" i="1" a="1"/>
  <c r="C70" i="1"/>
  <c r="A94" i="1" a="1"/>
  <c r="M84" i="1"/>
  <c r="D45" i="1" a="1"/>
  <c r="C61" i="1"/>
  <c r="G46" i="1" a="1"/>
  <c r="H43" i="1" a="1"/>
  <c r="C48" i="1" a="1"/>
  <c r="G47" i="1" a="1"/>
  <c r="D43" i="1" a="1"/>
  <c r="D41" i="1" a="1"/>
  <c r="D51" i="1" a="1"/>
  <c r="M83" i="1"/>
  <c r="F45" i="1" a="1"/>
  <c r="E43" i="1" a="1"/>
  <c r="G49" i="1" a="1"/>
  <c r="E38" i="1" a="1"/>
  <c r="E48" i="1" a="1"/>
  <c r="C43" i="1" a="1"/>
  <c r="F43" i="1" a="1"/>
  <c r="C65" i="1"/>
  <c r="E42" i="1" a="1"/>
  <c r="D48" i="1" a="1"/>
  <c r="H42" i="1" a="1"/>
  <c r="G40" i="1" a="1"/>
  <c r="C45" i="1" a="1"/>
  <c r="E51" i="1" a="1"/>
  <c r="C24" i="1" a="1"/>
  <c r="F46" i="1" a="1"/>
  <c r="D50" i="1" a="1"/>
  <c r="C47" i="1" a="1"/>
  <c r="G41" i="1" a="1"/>
  <c r="D38" i="1" a="1"/>
  <c r="F47" i="1" a="1"/>
  <c r="D42" i="1" a="1"/>
  <c r="F40" i="1" a="1"/>
  <c r="E45" i="1" a="1"/>
  <c r="C40" i="1" a="1"/>
  <c r="D39" i="1" a="1"/>
  <c r="H41" i="1" a="1"/>
  <c r="F48" i="1" a="1"/>
  <c r="C69" i="1"/>
  <c r="F49" i="1" a="1"/>
  <c r="E46" i="1" a="1"/>
  <c r="C41" i="1" a="1"/>
  <c r="G50" i="1" a="1"/>
  <c r="H46" i="1" a="1"/>
  <c r="F41" i="1" a="1"/>
  <c r="C22" i="1" a="1"/>
  <c r="G44" i="1" a="1"/>
  <c r="E39" i="1" a="1"/>
  <c r="F50" i="1" a="1"/>
  <c r="H39" i="1" a="1"/>
  <c r="H47" i="1" a="1"/>
  <c r="C64" i="1"/>
  <c r="C14" i="1" a="1"/>
  <c r="F39" i="1" a="1"/>
  <c r="D49" i="1" a="1"/>
  <c r="C68" i="1"/>
  <c r="C60" i="1"/>
  <c r="G45" i="1" a="1"/>
  <c r="G39" i="1" a="1"/>
  <c r="C50" i="1" a="1"/>
  <c r="D46" i="1" a="1"/>
  <c r="H40" i="1" a="1"/>
  <c r="C66" i="1"/>
  <c r="C44" i="1" a="1"/>
  <c r="G38" i="1" a="1"/>
  <c r="H49" i="1" a="1"/>
  <c r="E50" i="1" a="1"/>
  <c r="D47" i="1" a="1"/>
  <c r="D47" i="1" l="1"/>
  <c r="E50" i="1"/>
  <c r="H49" i="1"/>
  <c r="G38" i="1"/>
  <c r="C44" i="1"/>
  <c r="H40" i="1"/>
  <c r="D46" i="1"/>
  <c r="C50" i="1"/>
  <c r="G39" i="1"/>
  <c r="G45" i="1"/>
  <c r="D49" i="1"/>
  <c r="F39" i="1"/>
  <c r="C14" i="1"/>
  <c r="H47" i="1"/>
  <c r="H39" i="1"/>
  <c r="F50" i="1"/>
  <c r="E39" i="1"/>
  <c r="G44" i="1"/>
  <c r="C22" i="1"/>
  <c r="F41" i="1"/>
  <c r="H46" i="1"/>
  <c r="G50" i="1"/>
  <c r="C41" i="1"/>
  <c r="E46" i="1"/>
  <c r="F49" i="1"/>
  <c r="F48" i="1"/>
  <c r="H41" i="1"/>
  <c r="D39" i="1"/>
  <c r="C40" i="1"/>
  <c r="E45" i="1"/>
  <c r="F40" i="1"/>
  <c r="D42" i="1"/>
  <c r="F47" i="1"/>
  <c r="D38" i="1"/>
  <c r="G41" i="1"/>
  <c r="C47" i="1"/>
  <c r="D50" i="1"/>
  <c r="F46" i="1"/>
  <c r="C24" i="1"/>
  <c r="E51" i="1"/>
  <c r="C45" i="1"/>
  <c r="G40" i="1"/>
  <c r="H42" i="1"/>
  <c r="D48" i="1"/>
  <c r="E42" i="1"/>
  <c r="F43" i="1"/>
  <c r="C43" i="1"/>
  <c r="E48" i="1"/>
  <c r="E38" i="1"/>
  <c r="G49" i="1"/>
  <c r="E43" i="1"/>
  <c r="F45" i="1"/>
  <c r="D51" i="1"/>
  <c r="D41" i="1"/>
  <c r="D43" i="1"/>
  <c r="G47" i="1"/>
  <c r="C48" i="1"/>
  <c r="H43" i="1"/>
  <c r="G46" i="1"/>
  <c r="D45" i="1"/>
  <c r="A94" i="1"/>
  <c r="C42" i="1"/>
  <c r="E47" i="1"/>
  <c r="C25" i="1"/>
  <c r="D44" i="1"/>
  <c r="F51" i="1"/>
  <c r="C23" i="1"/>
  <c r="G43" i="1"/>
  <c r="C51" i="1"/>
  <c r="C39" i="1"/>
  <c r="E49" i="1"/>
  <c r="F38" i="1"/>
  <c r="C38" i="1"/>
  <c r="C46" i="1"/>
  <c r="D40" i="1"/>
  <c r="H50" i="1"/>
  <c r="F42" i="1"/>
  <c r="H51" i="1"/>
  <c r="E41" i="1"/>
  <c r="H48" i="1"/>
  <c r="H45" i="1"/>
  <c r="C49" i="1"/>
  <c r="G42" i="1"/>
  <c r="G48" i="1"/>
  <c r="H38" i="1"/>
  <c r="H44" i="1"/>
  <c r="F44" i="1"/>
  <c r="E44" i="1"/>
  <c r="G51" i="1"/>
  <c r="E40" i="1"/>
  <c r="C56" i="1"/>
  <c r="K89" i="1"/>
  <c r="M82" i="1"/>
  <c r="C29" i="1" a="1"/>
  <c r="C30" i="1" a="1"/>
  <c r="C32" i="1" a="1"/>
  <c r="C16" i="1" a="1"/>
  <c r="C15" i="1" a="1"/>
  <c r="C31" i="1" a="1"/>
  <c r="C54" i="1"/>
  <c r="K94" i="1" a="1"/>
  <c r="J94" i="1" a="1"/>
  <c r="L94" i="1" a="1"/>
  <c r="L94" i="1" l="1"/>
  <c r="J94" i="1"/>
  <c r="K94" i="1"/>
  <c r="C31" i="1"/>
  <c r="C15" i="1"/>
  <c r="C16" i="1"/>
  <c r="C32" i="1"/>
  <c r="C30" i="1"/>
  <c r="C29" i="1"/>
  <c r="J19" i="1"/>
  <c r="B1" i="1"/>
  <c r="C55" i="1"/>
  <c r="C17" i="1"/>
  <c r="Y21" i="1" a="1"/>
  <c r="R21" i="1" a="1"/>
  <c r="V21" i="1" a="1"/>
  <c r="M21" i="1" a="1"/>
  <c r="Q21" i="1" a="1"/>
  <c r="AC21" i="1" a="1"/>
  <c r="AD21" i="1" a="1"/>
  <c r="T21" i="1" a="1"/>
  <c r="W21" i="1" a="1"/>
  <c r="X21" i="1" a="1"/>
  <c r="O21" i="1" a="1"/>
  <c r="U21" i="1" a="1"/>
  <c r="N21" i="1" a="1"/>
  <c r="AF21" i="1" a="1"/>
  <c r="AE21" i="1" a="1"/>
  <c r="AA21" i="1" a="1"/>
  <c r="P21" i="1" a="1"/>
  <c r="AB21" i="1" a="1"/>
  <c r="S94" i="1" a="1"/>
  <c r="Z94" i="1" a="1"/>
  <c r="Z94" i="1" l="1"/>
  <c r="S94" i="1"/>
  <c r="AB21" i="1"/>
  <c r="P21" i="1"/>
  <c r="AA21" i="1"/>
  <c r="AE21" i="1"/>
  <c r="AF21" i="1"/>
  <c r="N21" i="1"/>
  <c r="U21" i="1"/>
  <c r="O21" i="1"/>
  <c r="X21" i="1"/>
  <c r="W21" i="1"/>
  <c r="T21" i="1"/>
  <c r="AD21" i="1"/>
  <c r="AC21" i="1"/>
  <c r="Q21" i="1"/>
  <c r="M21" i="1"/>
  <c r="V21" i="1"/>
  <c r="R21" i="1"/>
  <c r="Y21" i="1"/>
  <c r="M93" i="1" l="1"/>
  <c r="M88" i="1"/>
  <c r="Q93" i="1"/>
  <c r="Q88" i="1"/>
  <c r="N88" i="1"/>
  <c r="N93" i="1"/>
  <c r="AC88" i="1"/>
  <c r="AC93" i="1"/>
  <c r="AF88" i="1"/>
  <c r="AF93" i="1"/>
  <c r="AD88" i="1"/>
  <c r="AD93" i="1"/>
  <c r="AE93" i="1"/>
  <c r="AE88" i="1"/>
  <c r="T88" i="1"/>
  <c r="T93" i="1"/>
  <c r="AA88" i="1"/>
  <c r="AA93" i="1"/>
  <c r="U88" i="1"/>
  <c r="U93" i="1"/>
  <c r="Y93" i="1"/>
  <c r="Y88" i="1"/>
  <c r="W88" i="1"/>
  <c r="W93" i="1"/>
  <c r="P93" i="1"/>
  <c r="P88" i="1"/>
  <c r="R88" i="1"/>
  <c r="R93" i="1"/>
  <c r="X88" i="1"/>
  <c r="X93" i="1"/>
  <c r="AB93" i="1"/>
  <c r="AB88" i="1"/>
  <c r="V88" i="1"/>
  <c r="V93" i="1"/>
  <c r="O88" i="1"/>
  <c r="O93" i="1"/>
  <c r="Q89" i="1" a="1"/>
  <c r="Q94" i="1" a="1"/>
  <c r="AD89" i="1" a="1"/>
  <c r="AD94" i="1" a="1"/>
  <c r="U89" i="1" a="1"/>
  <c r="U94" i="1" a="1"/>
  <c r="R89" i="1" a="1"/>
  <c r="R94" i="1" a="1"/>
  <c r="O89" i="1" a="1"/>
  <c r="O94" i="1" a="1"/>
  <c r="N89" i="1" a="1"/>
  <c r="N94" i="1" a="1"/>
  <c r="T89" i="1" a="1"/>
  <c r="T94" i="1" a="1"/>
  <c r="M89" i="1" a="1"/>
  <c r="M94" i="1" a="1"/>
  <c r="AA89" i="1" a="1"/>
  <c r="AA94" i="1" a="1"/>
  <c r="V89" i="1" a="1"/>
  <c r="V94" i="1" a="1"/>
  <c r="X89" i="1" a="1"/>
  <c r="X94" i="1" a="1"/>
  <c r="W89" i="1" a="1"/>
  <c r="W94" i="1" a="1"/>
  <c r="AE89" i="1" a="1"/>
  <c r="AE94" i="1" a="1"/>
  <c r="Y89" i="1" a="1"/>
  <c r="Y94" i="1" a="1"/>
  <c r="AB89" i="1" a="1"/>
  <c r="AB94" i="1" a="1"/>
  <c r="AC89" i="1" a="1"/>
  <c r="AC94" i="1" a="1"/>
  <c r="P89" i="1" a="1"/>
  <c r="P94" i="1" a="1"/>
  <c r="AF89" i="1" a="1"/>
  <c r="AF94" i="1" a="1"/>
  <c r="AF94" i="1" l="1"/>
  <c r="AF89" i="1"/>
  <c r="P94" i="1"/>
  <c r="P89" i="1"/>
  <c r="AC94" i="1"/>
  <c r="AC89" i="1"/>
  <c r="AB94" i="1"/>
  <c r="AB89" i="1"/>
  <c r="Y94" i="1"/>
  <c r="Y89" i="1"/>
  <c r="AE94" i="1"/>
  <c r="AE89" i="1"/>
  <c r="W94" i="1"/>
  <c r="W89" i="1"/>
  <c r="X94" i="1"/>
  <c r="X89" i="1"/>
  <c r="V94" i="1"/>
  <c r="V89" i="1"/>
  <c r="AA94" i="1"/>
  <c r="AA89" i="1"/>
  <c r="M94" i="1"/>
  <c r="M89" i="1"/>
  <c r="T94" i="1"/>
  <c r="T89" i="1"/>
  <c r="N94" i="1"/>
  <c r="N89" i="1"/>
  <c r="O94" i="1"/>
  <c r="O89" i="1"/>
  <c r="R94" i="1"/>
  <c r="R89" i="1"/>
  <c r="U94" i="1"/>
  <c r="U89" i="1"/>
  <c r="AD94" i="1"/>
  <c r="AD89" i="1"/>
  <c r="Q94" i="1"/>
  <c r="Q8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<sst xmlns="http://schemas.openxmlformats.org/spreadsheetml/2006/main" count="112" uniqueCount="89">
  <si>
    <t>headline year</t>
  </si>
  <si>
    <t>current</t>
  </si>
  <si>
    <t>CBMS RECO</t>
  </si>
  <si>
    <t>D</t>
  </si>
  <si>
    <t>N</t>
  </si>
  <si>
    <t>[Begin Format Range]</t>
  </si>
  <si>
    <t>[End Format Range]</t>
  </si>
  <si>
    <t>CBMS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</si>
  <si>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</si>
  <si>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</si>
  <si>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</si>
  <si>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</si>
  <si>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</si>
  <si>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</si>
  <si>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</si>
  <si>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</si>
  <si>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</si>
  <si>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Variable measure</t>
  </si>
  <si>
    <t>value</t>
  </si>
  <si>
    <t>importance</t>
  </si>
  <si>
    <t>headline scenario</t>
  </si>
  <si>
    <t>archive year</t>
  </si>
  <si>
    <t>archive scenario</t>
  </si>
  <si>
    <t>Client Preference</t>
  </si>
  <si>
    <t>geus hl year</t>
  </si>
  <si>
    <t>geus scenario</t>
  </si>
  <si>
    <t>geus adj</t>
  </si>
  <si>
    <t>geus programme</t>
  </si>
  <si>
    <t>sys_clilent favourite application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</si>
  <si>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</si>
  <si>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</si>
  <si>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</si>
  <si>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</si>
  <si>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</si>
  <si>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</si>
  <si>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</si>
  <si>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</si>
  <si>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</si>
  <si>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</si>
  <si>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</si>
  <si>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</si>
  <si>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</si>
  <si>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</si>
  <si>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Homepage - Under Construction</t>
  </si>
  <si>
    <t>Adjustment - ID List</t>
  </si>
  <si>
    <t>Admin Archive - CBMS GEUS Reconciliation Summary Report</t>
  </si>
  <si>
    <t>Admin Archive - CBMS GEUS Reconciliation</t>
  </si>
  <si>
    <t>Homepage - Administration - Baseline</t>
  </si>
  <si>
    <t>Active Form</t>
  </si>
  <si>
    <t>Slice View</t>
  </si>
  <si>
    <t>Account MDX</t>
  </si>
  <si>
    <t>Account</t>
  </si>
  <si>
    <t>Headline Year :</t>
  </si>
  <si>
    <t>Status :</t>
  </si>
  <si>
    <t>Outcome :</t>
  </si>
  <si>
    <t>Related Entity :</t>
  </si>
  <si>
    <t>Function :</t>
  </si>
  <si>
    <t xml:space="preserve">Reason : </t>
  </si>
  <si>
    <t xml:space="preserve">SPP : </t>
  </si>
  <si>
    <t xml:space="preserve">Measure Code  : </t>
  </si>
  <si>
    <t>Appropriation Type :</t>
  </si>
  <si>
    <t>Appropriation Item :</t>
  </si>
  <si>
    <t xml:space="preserve">ID : </t>
  </si>
  <si>
    <t>Jurisdiction :</t>
  </si>
  <si>
    <t>Account :</t>
  </si>
  <si>
    <t>Movement Account :</t>
  </si>
  <si>
    <t>Index Change</t>
  </si>
  <si>
    <t>Period</t>
  </si>
  <si>
    <t>GEUS Annual Estimates</t>
  </si>
  <si>
    <t>CBMS Data</t>
  </si>
  <si>
    <t>Variance (CBMS - GEUS)</t>
  </si>
  <si>
    <t>REPORT PARAMETERS</t>
  </si>
  <si>
    <t>MA MDX</t>
  </si>
  <si>
    <t>Admin Archive - CBMS GEUS Reconciliation Detail Report</t>
  </si>
  <si>
    <t xml:space="preserve">DETAILED REPORT </t>
  </si>
  <si>
    <t>Movement Account</t>
  </si>
  <si>
    <t>ID</t>
  </si>
  <si>
    <t>{TM1FILTERBYLEVEL( {TM1SUBSETALL( [movement account] )}, 0)}</t>
  </si>
  <si>
    <t>ID MDX</t>
  </si>
  <si>
    <t>{TM1FILTERBYLEVEL( {TM1SUBSETALL( [id] )}, 0)}</t>
  </si>
  <si>
    <t>{[movement account].[Total movement]}</t>
  </si>
  <si>
    <t>Data Entry - View Adj 01 - Header Details</t>
  </si>
  <si>
    <t>Note : Highlight any Financial Values to View Adjustment</t>
  </si>
  <si>
    <t>GEUS and CBMS Reconciliation Detail</t>
  </si>
  <si>
    <t>Note : Report can be filtered to drill down to see specific account code using the Report Parameters.</t>
  </si>
  <si>
    <t>Program :</t>
  </si>
  <si>
    <t>Admin Archive - CBMS GEUS Reconciliation Program Detail Report</t>
  </si>
  <si>
    <t>Admin Archive - CBMS GEUS Reconciliation Approp Report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</si>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</sst>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[Red]_(* \(#,##0\);_(* &quot;-&quot;??_);_(@_)"/>
    <numFmt numFmtId="165" formatCode="\+\ @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F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0" xfId="0" applyFont="1" applyAlignment="1">
      <alignment horizontal="right" vertical="top" indent="1"/>
    </xf>
    <xf numFmtId="164" fontId="4" fillId="0" borderId="4" xfId="0" applyNumberFormat="1" applyFont="1" applyBorder="1"/>
    <xf numFmtId="0" fontId="4" fillId="0" borderId="4" xfId="0" applyFont="1" applyBorder="1"/>
    <xf numFmtId="0" fontId="4" fillId="5" borderId="4" xfId="0" applyFont="1" applyFill="1" applyBorder="1"/>
    <xf numFmtId="164" fontId="4" fillId="5" borderId="4" xfId="0" applyNumberFormat="1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164" fontId="4" fillId="6" borderId="4" xfId="0" applyNumberFormat="1" applyFont="1" applyFill="1" applyBorder="1"/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164" fontId="5" fillId="6" borderId="5" xfId="0" applyNumberFormat="1" applyFont="1" applyFill="1" applyBorder="1"/>
    <xf numFmtId="164" fontId="4" fillId="5" borderId="5" xfId="0" applyNumberFormat="1" applyFont="1" applyFill="1" applyBorder="1"/>
    <xf numFmtId="164" fontId="4" fillId="0" borderId="5" xfId="0" applyNumberFormat="1" applyFont="1" applyBorder="1"/>
    <xf numFmtId="0" fontId="1" fillId="4" borderId="9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top" indent="1"/>
    </xf>
    <xf numFmtId="0" fontId="6" fillId="4" borderId="0" xfId="0" applyFont="1" applyFill="1" applyAlignment="1">
      <alignment horizontal="right" vertical="center"/>
    </xf>
    <xf numFmtId="0" fontId="1" fillId="4" borderId="1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4" xfId="0" applyNumberFormat="1" applyFont="1" applyBorder="1"/>
    <xf numFmtId="165" fontId="4" fillId="0" borderId="4" xfId="0" applyNumberFormat="1" applyFont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left" indent="1"/>
      <protection locked="0"/>
    </xf>
    <xf numFmtId="0" fontId="7" fillId="0" borderId="14" xfId="0" applyFont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7" fillId="0" borderId="0" xfId="0" applyFont="1" applyAlignment="1">
      <alignment horizontal="left" indent="1"/>
    </xf>
    <xf numFmtId="0" fontId="8" fillId="0" borderId="0" xfId="0" applyFont="1" applyAlignment="1">
      <alignment horizontal="right" indent="1"/>
    </xf>
    <xf numFmtId="0" fontId="8" fillId="0" borderId="13" xfId="0" applyFont="1" applyBorder="1" applyAlignment="1">
      <alignment horizontal="right" indent="1"/>
    </xf>
    <xf numFmtId="0" fontId="2" fillId="0" borderId="0" xfId="0" applyFont="1" applyAlignment="1">
      <alignment horizontal="right" vertical="top" indent="1"/>
    </xf>
    <xf numFmtId="0" fontId="2" fillId="0" borderId="13" xfId="0" applyFont="1" applyBorder="1" applyAlignment="1">
      <alignment horizontal="right" vertical="top" indent="1"/>
    </xf>
  </cellXfs>
  <cellStyles count="1">
    <cellStyle name="Normal" xfId="0" builtinId="0"/>
  </cellStyles>
  <dxfs count="2"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328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Approp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AppropWB"/>
  <ax:ocxPr ax:name="TargetWorksheetName" ax:value="=TM1AdminArcCBMSRecoApprop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40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Program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ProgDetWB"/>
  <ax:ocxPr ax:name="TargetWorksheetName" ax:value="=TM1AdminArcCBMSRecoProgDetWS"/>
  <ax:ocxPr ax:name="AutoTitles" ax:value="-1"/>
  <ax:ocxPr ax:name="ReplaceWindow" ax:value="-1"/>
  <ax:ocxPr ax:name="IsMappingFormula" ax:value="0"/>
  <ax:ocxPr ax:name="TargetTypes" ax:value="0"/>
  <ax:ocxPr ax:name="TargetObjects" ax:value="account"/>
  <ax:ocxPr ax:name="TargetSubsets" ax:value=""/>
  <ax:ocxPr ax:name="TargetAliases" ax:value="code and description"/>
  <ax:ocxPr ax:name="TargetValues" ax:value=""/>
  <ax:ocxPr ax:name="SourceTypes" ax:value="1"/>
  <ax:ocxPr ax:name="SourceObjects" ax:value="account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588"/>
  <ax:ocxPr ax:name="_ExtentY" ax:value="265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Reco Summa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RepWB"/>
  <ax:ocxPr ax:name="TargetWorksheetName" ax:value="=TM1AdminArcCBMSRecoRepWS"/>
  <ax:ocxPr ax:name="AutoTitles" ax:value="-1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265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BMS Upload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AdminArcCBMSRecoWB"/>
  <ax:ocxPr ax:name="TargetWorksheetName" ax:value="=TM1AdminArcCBMSReco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265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dminBaseWB"/>
  <ax:ocxPr ax:name="TargetWorksheetName" ax:value="=TM1HomeAdminBas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dminBas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688"/>
  <ax:ocxPr ax:name="_ExtentY" ax:value="265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376"/>
  <ax:ocxPr ax:name="_ExtentY" ax:value="476"/>
  <ax:ocxPr ax:name="_StockProps" ax:value="0"/>
  <ax:ocxPr ax:name="ServerName" ax:value="=db_name"/>
  <ax:ocxPr ax:name="ProcessName" ax:value="sys_Client - Clear Validation Data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View Adj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ViewAdj01HeaderWB"/>
  <ax:ocxPr ax:name="TargetWorksheetName" ax:value="=TM1ViewAdj01HeaderWS"/>
  <ax:ocxPr ax:name="AutoTitles" ax:value="-1"/>
  <ax:ocxPr ax:name="ReplaceWindow" ax:value="-1"/>
  <ax:ocxPr ax:name="IsMappingFormula" ax:value="0"/>
  <ax:ocxPr ax:name="TargetTypes" ax:value="0"/>
  <ax:ocxPr ax:name="TargetObjects" ax:value="id"/>
  <ax:ocxPr ax:name="TargetSubsets" ax:value=""/>
  <ax:ocxPr ax:name="TargetAliases" ax:value=""/>
  <ax:ocxPr ax:name="TargetValues" ax:value=""/>
  <ax:ocxPr ax:name="SourceTypes" ax:value="1"/>
  <ax:ocxPr ax:name="SourceObjects" ax:value="id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5.emf"/><Relationship Id="rId7" Type="http://schemas.openxmlformats.org/officeDocument/2006/relationships/image" Target="../media/image9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8.emf"/><Relationship Id="rId5" Type="http://schemas.openxmlformats.org/officeDocument/2006/relationships/image" Target="../media/image3.emf"/><Relationship Id="rId4" Type="http://schemas.openxmlformats.org/officeDocument/2006/relationships/image" Target="../media/image4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73</xdr:row>
      <xdr:rowOff>19050</xdr:rowOff>
    </xdr:from>
    <xdr:to>
      <xdr:col>9</xdr:col>
      <xdr:colOff>1790700</xdr:colOff>
      <xdr:row>73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161925</xdr:colOff>
          <xdr:row>75</xdr:row>
          <xdr:rowOff>0</xdr:rowOff>
        </xdr:from>
        <xdr:to>
          <xdr:col>14</xdr:col>
          <xdr:colOff>942975</xdr:colOff>
          <xdr:row>75</xdr:row>
          <xdr:rowOff>247650</xdr:rowOff>
        </xdr:to>
        <xdr:sp macro="" textlink="">
          <xdr:nvSpPr>
            <xdr:cNvPr id="1239" name="TIButton1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75</xdr:row>
          <xdr:rowOff>0</xdr:rowOff>
        </xdr:from>
        <xdr:to>
          <xdr:col>9</xdr:col>
          <xdr:colOff>676275</xdr:colOff>
          <xdr:row>75</xdr:row>
          <xdr:rowOff>247650</xdr:rowOff>
        </xdr:to>
        <xdr:sp macro="" textlink="">
          <xdr:nvSpPr>
            <xdr:cNvPr id="1240" name="TIButton3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75</xdr:row>
          <xdr:rowOff>0</xdr:rowOff>
        </xdr:from>
        <xdr:to>
          <xdr:col>9</xdr:col>
          <xdr:colOff>1838325</xdr:colOff>
          <xdr:row>75</xdr:row>
          <xdr:rowOff>247650</xdr:rowOff>
        </xdr:to>
        <xdr:sp macro="" textlink="">
          <xdr:nvSpPr>
            <xdr:cNvPr id="1241" name="TIButton2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1866900</xdr:colOff>
          <xdr:row>75</xdr:row>
          <xdr:rowOff>0</xdr:rowOff>
        </xdr:from>
        <xdr:to>
          <xdr:col>10</xdr:col>
          <xdr:colOff>314325</xdr:colOff>
          <xdr:row>75</xdr:row>
          <xdr:rowOff>247650</xdr:rowOff>
        </xdr:to>
        <xdr:sp macro="" textlink="">
          <xdr:nvSpPr>
            <xdr:cNvPr id="1242" name="TIButton4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352425</xdr:colOff>
          <xdr:row>75</xdr:row>
          <xdr:rowOff>0</xdr:rowOff>
        </xdr:from>
        <xdr:to>
          <xdr:col>10</xdr:col>
          <xdr:colOff>1819275</xdr:colOff>
          <xdr:row>75</xdr:row>
          <xdr:rowOff>247650</xdr:rowOff>
        </xdr:to>
        <xdr:sp macro="" textlink="">
          <xdr:nvSpPr>
            <xdr:cNvPr id="1286" name="TIButton5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657225</xdr:colOff>
          <xdr:row>74</xdr:row>
          <xdr:rowOff>28575</xdr:rowOff>
        </xdr:from>
        <xdr:to>
          <xdr:col>17</xdr:col>
          <xdr:colOff>971550</xdr:colOff>
          <xdr:row>75</xdr:row>
          <xdr:rowOff>285750</xdr:rowOff>
        </xdr:to>
        <xdr:sp macro="" textlink="">
          <xdr:nvSpPr>
            <xdr:cNvPr id="1296" name="TIButton6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0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371475</xdr:colOff>
          <xdr:row>75</xdr:row>
          <xdr:rowOff>0</xdr:rowOff>
        </xdr:from>
        <xdr:to>
          <xdr:col>14</xdr:col>
          <xdr:colOff>123825</xdr:colOff>
          <xdr:row>75</xdr:row>
          <xdr:rowOff>247650</xdr:rowOff>
        </xdr:to>
        <xdr:sp macro="" textlink="">
          <xdr:nvSpPr>
            <xdr:cNvPr id="1298" name="TIButton7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0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1847850</xdr:colOff>
          <xdr:row>75</xdr:row>
          <xdr:rowOff>0</xdr:rowOff>
        </xdr:from>
        <xdr:to>
          <xdr:col>11</xdr:col>
          <xdr:colOff>476250</xdr:colOff>
          <xdr:row>75</xdr:row>
          <xdr:rowOff>247650</xdr:rowOff>
        </xdr:to>
        <xdr:sp macro="" textlink="">
          <xdr:nvSpPr>
            <xdr:cNvPr id="1299" name="TIButton9" hidden="1">
              <a:extLst>
                <a:ext uri="{63B3BB69-23CF-44E3-9099-C40C66FF867C}">
                  <a14:compatExt spid="_x0000_s1299"/>
                </a:ext>
                <a:ext uri="{FF2B5EF4-FFF2-40B4-BE49-F238E27FC236}">
                  <a16:creationId xmlns:a16="http://schemas.microsoft.com/office/drawing/2014/main" id="{00000000-0008-0000-0000-00001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66675</xdr:colOff>
          <xdr:row>75</xdr:row>
          <xdr:rowOff>0</xdr:rowOff>
        </xdr:from>
        <xdr:to>
          <xdr:col>13</xdr:col>
          <xdr:colOff>323850</xdr:colOff>
          <xdr:row>75</xdr:row>
          <xdr:rowOff>247650</xdr:rowOff>
        </xdr:to>
        <xdr:sp macro="" textlink="">
          <xdr:nvSpPr>
            <xdr:cNvPr id="1300" name="TIButton8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8E77-6365-4B71-B422-C7DB7F9650B2}">
  <sheetPr codeName="Sheet1">
    <outlinePr showOutlineSymbols="0"/>
    <pageSetUpPr fitToPage="1"/>
  </sheetPr>
  <dimension ref="A1:AF94"/>
  <sheetViews>
    <sheetView showGridLines="0" tabSelected="1" showOutlineSymbols="0" topLeftCell="I74" workbookViewId="0">
      <pane xSplit="4" ySplit="20" topLeftCell="M94" activePane="bottomRight" state="frozen"/>
      <selection activeCell="I74" sqref="I74"/>
      <selection pane="topRight" activeCell="M74" sqref="M74"/>
      <selection pane="bottomLeft" activeCell="I94" sqref="I94"/>
      <selection pane="bottomRight"/>
    </sheetView>
  </sheetViews>
  <sheetFormatPr defaultRowHeight="15" outlineLevelRow="1" outlineLevelCol="1" x14ac:dyDescent="0.25"/>
  <cols>
    <col min="1" max="1" width="2.7109375" hidden="1" customWidth="1" outlineLevel="1"/>
    <col min="2" max="8" width="20.28515625" hidden="1" customWidth="1" outlineLevel="1"/>
    <col min="9" max="9" width="0.85546875" customWidth="1" collapsed="1"/>
    <col min="10" max="11" width="40.7109375" customWidth="1"/>
    <col min="12" max="12" width="10.7109375" customWidth="1"/>
    <col min="13" max="18" width="14.7109375" customWidth="1"/>
    <col min="19" max="19" width="0.85546875" customWidth="1"/>
    <col min="20" max="25" width="14.7109375" customWidth="1"/>
    <col min="26" max="26" width="0.85546875" customWidth="1"/>
    <col min="27" max="32" width="14.7109375" customWidth="1"/>
  </cols>
  <sheetData>
    <row r="1" spans="1:32" hidden="1" outlineLevel="1" x14ac:dyDescent="0.25">
      <c r="A1" t="s">
        <v>5</v>
      </c>
      <c r="B1" t="e">
        <f ca="1">_xll.VIEW(db_name&amp;":AE adjustments",$M$82,"!",$M$84,$C$69,$C$60,$C$61,$C$67,$C$66,$C$62,$C$63,$C$70,$C$68,$M$83,"!",$C$64,$C$65,"!")</f>
        <v>#NAME?</v>
      </c>
    </row>
    <row r="2" spans="1:32" hidden="1" outlineLevel="1" x14ac:dyDescent="0.25">
      <c r="A2">
        <f>0</f>
        <v>0</v>
      </c>
      <c r="J2" s="14"/>
      <c r="K2" s="14"/>
      <c r="L2" s="26"/>
      <c r="M2" s="15"/>
      <c r="N2" s="15"/>
      <c r="O2" s="15"/>
      <c r="P2" s="15"/>
      <c r="Q2" s="15"/>
      <c r="R2" s="15"/>
      <c r="S2" s="19"/>
      <c r="T2" s="15"/>
      <c r="U2" s="15"/>
      <c r="V2" s="15"/>
      <c r="W2" s="15"/>
      <c r="X2" s="15"/>
      <c r="Y2" s="15"/>
      <c r="Z2" s="19"/>
      <c r="AA2" s="15"/>
      <c r="AB2" s="15"/>
      <c r="AC2" s="15"/>
      <c r="AD2" s="15"/>
      <c r="AE2" s="15"/>
      <c r="AF2" s="15"/>
    </row>
    <row r="3" spans="1:32" hidden="1" outlineLevel="1" x14ac:dyDescent="0.25">
      <c r="A3">
        <f>1</f>
        <v>1</v>
      </c>
      <c r="J3" s="14"/>
      <c r="K3" s="14"/>
      <c r="L3" s="26"/>
      <c r="M3" s="15"/>
      <c r="N3" s="15"/>
      <c r="O3" s="15"/>
      <c r="P3" s="15"/>
      <c r="Q3" s="15"/>
      <c r="R3" s="15"/>
      <c r="S3" s="19"/>
      <c r="T3" s="15"/>
      <c r="U3" s="15"/>
      <c r="V3" s="15"/>
      <c r="W3" s="15"/>
      <c r="X3" s="15"/>
      <c r="Y3" s="15"/>
      <c r="Z3" s="19"/>
      <c r="AA3" s="15"/>
      <c r="AB3" s="15"/>
      <c r="AC3" s="15"/>
      <c r="AD3" s="15"/>
      <c r="AE3" s="15"/>
      <c r="AF3" s="15"/>
    </row>
    <row r="4" spans="1:32" hidden="1" outlineLevel="1" x14ac:dyDescent="0.25">
      <c r="A4">
        <f>2</f>
        <v>2</v>
      </c>
      <c r="J4" s="14"/>
      <c r="K4" s="14"/>
      <c r="L4" s="26"/>
      <c r="M4" s="15"/>
      <c r="N4" s="15"/>
      <c r="O4" s="15"/>
      <c r="P4" s="15"/>
      <c r="Q4" s="15"/>
      <c r="R4" s="15"/>
      <c r="S4" s="19"/>
      <c r="T4" s="15"/>
      <c r="U4" s="15"/>
      <c r="V4" s="15"/>
      <c r="W4" s="15"/>
      <c r="X4" s="15"/>
      <c r="Y4" s="15"/>
      <c r="Z4" s="19"/>
      <c r="AA4" s="15"/>
      <c r="AB4" s="15"/>
      <c r="AC4" s="15"/>
      <c r="AD4" s="15"/>
      <c r="AE4" s="15"/>
      <c r="AF4" s="15"/>
    </row>
    <row r="5" spans="1:32" hidden="1" outlineLevel="1" x14ac:dyDescent="0.25">
      <c r="A5">
        <f>3</f>
        <v>3</v>
      </c>
      <c r="J5" s="14"/>
      <c r="K5" s="14"/>
      <c r="L5" s="26"/>
      <c r="M5" s="15"/>
      <c r="N5" s="15"/>
      <c r="O5" s="15"/>
      <c r="P5" s="15"/>
      <c r="Q5" s="15"/>
      <c r="R5" s="15"/>
      <c r="S5" s="19"/>
      <c r="T5" s="15"/>
      <c r="U5" s="15"/>
      <c r="V5" s="15"/>
      <c r="W5" s="15"/>
      <c r="X5" s="15"/>
      <c r="Y5" s="15"/>
      <c r="Z5" s="19"/>
      <c r="AA5" s="15"/>
      <c r="AB5" s="15"/>
      <c r="AC5" s="15"/>
      <c r="AD5" s="15"/>
      <c r="AE5" s="15"/>
      <c r="AF5" s="15"/>
    </row>
    <row r="6" spans="1:32" hidden="1" outlineLevel="1" x14ac:dyDescent="0.25">
      <c r="A6" t="s">
        <v>3</v>
      </c>
      <c r="J6" s="12"/>
      <c r="K6" s="12"/>
      <c r="L6" s="27"/>
      <c r="M6" s="13"/>
      <c r="N6" s="13"/>
      <c r="O6" s="13"/>
      <c r="P6" s="13"/>
      <c r="Q6" s="13"/>
      <c r="R6" s="13"/>
      <c r="S6" s="20"/>
      <c r="T6" s="13"/>
      <c r="U6" s="13"/>
      <c r="V6" s="13"/>
      <c r="W6" s="13"/>
      <c r="X6" s="13"/>
      <c r="Y6" s="13"/>
      <c r="Z6" s="20"/>
      <c r="AA6" s="13"/>
      <c r="AB6" s="13"/>
      <c r="AC6" s="13"/>
      <c r="AD6" s="13"/>
      <c r="AE6" s="13"/>
      <c r="AF6" s="13"/>
    </row>
    <row r="7" spans="1:32" hidden="1" outlineLevel="1" x14ac:dyDescent="0.25">
      <c r="A7" t="s">
        <v>4</v>
      </c>
      <c r="J7" s="11"/>
      <c r="K7" s="11"/>
      <c r="L7" s="28"/>
      <c r="M7" s="10"/>
      <c r="N7" s="10"/>
      <c r="O7" s="10"/>
      <c r="P7" s="10"/>
      <c r="Q7" s="10"/>
      <c r="R7" s="10"/>
      <c r="S7" s="21"/>
      <c r="T7" s="10"/>
      <c r="U7" s="10"/>
      <c r="V7" s="10"/>
      <c r="W7" s="10"/>
      <c r="X7" s="10"/>
      <c r="Y7" s="10"/>
      <c r="Z7" s="21"/>
      <c r="AA7" s="10"/>
      <c r="AB7" s="10"/>
      <c r="AC7" s="10"/>
      <c r="AD7" s="10"/>
      <c r="AE7" s="10"/>
      <c r="AF7" s="10"/>
    </row>
    <row r="8" spans="1:32" hidden="1" outlineLevel="1" x14ac:dyDescent="0.25">
      <c r="A8" t="s">
        <v>6</v>
      </c>
    </row>
    <row r="9" spans="1:32" hidden="1" outlineLevel="1" x14ac:dyDescent="0.25"/>
    <row r="10" spans="1:32" hidden="1" outlineLevel="1" x14ac:dyDescent="0.25"/>
    <row r="11" spans="1:32" hidden="1" outlineLevel="1" x14ac:dyDescent="0.25">
      <c r="B11" s="32" t="s">
        <v>8</v>
      </c>
      <c r="C11" s="33"/>
      <c r="D11" s="34"/>
    </row>
    <row r="12" spans="1:32" hidden="1" outlineLevel="1" x14ac:dyDescent="0.25">
      <c r="B12" s="2" t="s">
        <v>9</v>
      </c>
      <c r="C12" s="3" t="s">
        <v>88</v>
      </c>
      <c r="D12" s="4"/>
    </row>
    <row r="13" spans="1:32" hidden="1" outlineLevel="1" x14ac:dyDescent="0.25">
      <c r="B13" s="2" t="s">
        <v>10</v>
      </c>
      <c r="C13" s="5" t="e" cm="1">
        <f t="array" aca="1" ref="C13" ca="1">_xll.VIEW(db_name&amp;":}ElementAttributes_}Clients","!","!")</f>
        <v>#NAME?</v>
      </c>
      <c r="D13" s="4"/>
    </row>
    <row r="14" spans="1:32" hidden="1" outlineLevel="1" x14ac:dyDescent="0.25">
      <c r="B14" s="2" t="s">
        <v>11</v>
      </c>
      <c r="C14" s="3" t="e" cm="1">
        <f t="array" aca="1" ref="C14" ca="1">_xll.TM1USER(db_name)</f>
        <v>#NAME?</v>
      </c>
      <c r="D14" s="4"/>
    </row>
    <row r="15" spans="1:32" hidden="1" outlineLevel="1" x14ac:dyDescent="0.25">
      <c r="B15" s="2" t="s">
        <v>12</v>
      </c>
      <c r="C15" s="3" t="e" cm="1">
        <f t="array" aca="1" ref="C15" ca="1">_xll.DBR($C$13,$C$14,$B15)</f>
        <v>#NAME?</v>
      </c>
      <c r="D15" s="4"/>
    </row>
    <row r="16" spans="1:32" hidden="1" outlineLevel="1" x14ac:dyDescent="0.25">
      <c r="B16" s="2" t="s">
        <v>13</v>
      </c>
      <c r="C16" s="3" t="e" cm="1">
        <f t="array" aca="1" ref="C16" ca="1">_xll.DBR($C$13,$C$14,$B16)</f>
        <v>#NAME?</v>
      </c>
      <c r="D16" s="4"/>
    </row>
    <row r="17" spans="2:32" hidden="1" outlineLevel="1" x14ac:dyDescent="0.25">
      <c r="B17" s="2" t="s">
        <v>14</v>
      </c>
      <c r="C17" s="3" t="e">
        <f ca="1">IF(LEFT($C$14,6)="CAM_AD",$C$15,$C$14)</f>
        <v>#NAME?</v>
      </c>
      <c r="D17" s="6"/>
    </row>
    <row r="18" spans="2:32" hidden="1" outlineLevel="1" x14ac:dyDescent="0.25"/>
    <row r="19" spans="2:32" hidden="1" outlineLevel="1" x14ac:dyDescent="0.25">
      <c r="B19" s="32" t="s">
        <v>15</v>
      </c>
      <c r="C19" s="33"/>
      <c r="D19" s="34"/>
      <c r="J19" s="6" t="e">
        <f ca="1">RIGHT(psHLYear,9)</f>
        <v>#NAME?</v>
      </c>
    </row>
    <row r="20" spans="2:32" hidden="1" outlineLevel="1" x14ac:dyDescent="0.25">
      <c r="B20" s="2" t="s">
        <v>16</v>
      </c>
      <c r="C20" s="6" t="e" cm="1">
        <f t="array" aca="1" ref="C20" ca="1">_xll.VIEW(db_name&amp;":}ElementAttributes_variables","!","!")</f>
        <v>#NAME?</v>
      </c>
      <c r="D20" s="6"/>
      <c r="J20" s="6" t="s">
        <v>66</v>
      </c>
      <c r="K20" s="6"/>
      <c r="L20" s="6"/>
      <c r="M20" s="6">
        <v>-2</v>
      </c>
      <c r="N20" s="6">
        <v>-1</v>
      </c>
      <c r="O20" s="6">
        <v>0</v>
      </c>
      <c r="P20" s="6">
        <v>1</v>
      </c>
      <c r="Q20" s="6">
        <v>2</v>
      </c>
      <c r="R20" s="6">
        <v>3</v>
      </c>
      <c r="S20" s="6"/>
      <c r="T20" s="6">
        <v>-2</v>
      </c>
      <c r="U20" s="6">
        <v>-1</v>
      </c>
      <c r="V20" s="6">
        <v>0</v>
      </c>
      <c r="W20" s="6">
        <v>1</v>
      </c>
      <c r="X20" s="6">
        <v>2</v>
      </c>
      <c r="Y20" s="6">
        <v>3</v>
      </c>
      <c r="Z20" s="6"/>
      <c r="AA20" s="6">
        <v>-2</v>
      </c>
      <c r="AB20" s="6">
        <v>-1</v>
      </c>
      <c r="AC20" s="6">
        <v>0</v>
      </c>
      <c r="AD20" s="6">
        <v>1</v>
      </c>
      <c r="AE20" s="6">
        <v>2</v>
      </c>
      <c r="AF20" s="6">
        <v>3</v>
      </c>
    </row>
    <row r="21" spans="2:32" hidden="1" outlineLevel="1" x14ac:dyDescent="0.25">
      <c r="B21" s="2" t="s">
        <v>17</v>
      </c>
      <c r="C21" s="6" t="s">
        <v>18</v>
      </c>
      <c r="D21" s="6" t="s">
        <v>19</v>
      </c>
      <c r="J21" t="s">
        <v>67</v>
      </c>
      <c r="M21" s="6" t="e" cm="1">
        <f t="array" aca="1" ref="M21" ca="1">_xll.DIMNM(db_name&amp;":period",_xll.DIMIX(db_name&amp;":period",$J$19)+M20)</f>
        <v>#NAME?</v>
      </c>
      <c r="N21" s="6" t="e" cm="1">
        <f t="array" aca="1" ref="N21" ca="1">_xll.DIMNM(db_name&amp;":period",_xll.DIMIX(db_name&amp;":period",$J$19)+N20)</f>
        <v>#NAME?</v>
      </c>
      <c r="O21" s="6" t="e" cm="1">
        <f t="array" aca="1" ref="O21" ca="1">_xll.DIMNM(db_name&amp;":period",_xll.DIMIX(db_name&amp;":period",$J$19)+O20)</f>
        <v>#NAME?</v>
      </c>
      <c r="P21" s="6" t="e" cm="1">
        <f t="array" aca="1" ref="P21" ca="1">_xll.DIMNM(db_name&amp;":period",_xll.DIMIX(db_name&amp;":period",$J$19)+P20)</f>
        <v>#NAME?</v>
      </c>
      <c r="Q21" s="6" t="e" cm="1">
        <f t="array" aca="1" ref="Q21" ca="1">_xll.DIMNM(db_name&amp;":period",_xll.DIMIX(db_name&amp;":period",$J$19)+Q20)</f>
        <v>#NAME?</v>
      </c>
      <c r="R21" s="6" t="e" cm="1">
        <f t="array" aca="1" ref="R21" ca="1">_xll.DIMNM(db_name&amp;":period",_xll.DIMIX(db_name&amp;":period",$J$19)+R20)</f>
        <v>#NAME?</v>
      </c>
      <c r="S21" s="6"/>
      <c r="T21" s="6" t="e" cm="1">
        <f t="array" aca="1" ref="T21" ca="1">_xll.DIMNM(db_name&amp;":period",_xll.DIMIX(db_name&amp;":period",$J$19)+T20)</f>
        <v>#NAME?</v>
      </c>
      <c r="U21" s="6" t="e" cm="1">
        <f t="array" aca="1" ref="U21" ca="1">_xll.DIMNM(db_name&amp;":period",_xll.DIMIX(db_name&amp;":period",$J$19)+U20)</f>
        <v>#NAME?</v>
      </c>
      <c r="V21" s="6" t="e" cm="1">
        <f t="array" aca="1" ref="V21" ca="1">_xll.DIMNM(db_name&amp;":period",_xll.DIMIX(db_name&amp;":period",$J$19)+V20)</f>
        <v>#NAME?</v>
      </c>
      <c r="W21" s="6" t="e" cm="1">
        <f t="array" aca="1" ref="W21" ca="1">_xll.DIMNM(db_name&amp;":period",_xll.DIMIX(db_name&amp;":period",$J$19)+W20)</f>
        <v>#NAME?</v>
      </c>
      <c r="X21" s="6" t="e" cm="1">
        <f t="array" aca="1" ref="X21" ca="1">_xll.DIMNM(db_name&amp;":period",_xll.DIMIX(db_name&amp;":period",$J$19)+X20)</f>
        <v>#NAME?</v>
      </c>
      <c r="Y21" s="6" t="e" cm="1">
        <f t="array" aca="1" ref="Y21" ca="1">_xll.DIMNM(db_name&amp;":period",_xll.DIMIX(db_name&amp;":period",$J$19)+Y20)</f>
        <v>#NAME?</v>
      </c>
      <c r="Z21" s="6"/>
      <c r="AA21" s="6" t="e" cm="1">
        <f t="array" aca="1" ref="AA21" ca="1">_xll.DIMNM(db_name&amp;":period",_xll.DIMIX(db_name&amp;":period",$J$19)+AA20)</f>
        <v>#NAME?</v>
      </c>
      <c r="AB21" s="6" t="e" cm="1">
        <f t="array" aca="1" ref="AB21" ca="1">_xll.DIMNM(db_name&amp;":period",_xll.DIMIX(db_name&amp;":period",$J$19)+AB20)</f>
        <v>#NAME?</v>
      </c>
      <c r="AC21" s="6" t="e" cm="1">
        <f t="array" aca="1" ref="AC21" ca="1">_xll.DIMNM(db_name&amp;":period",_xll.DIMIX(db_name&amp;":period",$J$19)+AC20)</f>
        <v>#NAME?</v>
      </c>
      <c r="AD21" s="6" t="e" cm="1">
        <f t="array" aca="1" ref="AD21" ca="1">_xll.DIMNM(db_name&amp;":period",_xll.DIMIX(db_name&amp;":period",$J$19)+AD20)</f>
        <v>#NAME?</v>
      </c>
      <c r="AE21" s="6" t="e" cm="1">
        <f t="array" aca="1" ref="AE21" ca="1">_xll.DIMNM(db_name&amp;":period",_xll.DIMIX(db_name&amp;":period",$J$19)+AE20)</f>
        <v>#NAME?</v>
      </c>
      <c r="AF21" s="6" t="e" cm="1">
        <f t="array" aca="1" ref="AF21" ca="1">_xll.DIMNM(db_name&amp;":period",_xll.DIMIX(db_name&amp;":period",$J$19)+AF20)</f>
        <v>#NAME?</v>
      </c>
    </row>
    <row r="22" spans="2:32" hidden="1" outlineLevel="1" x14ac:dyDescent="0.25">
      <c r="B22" s="2" t="s">
        <v>0</v>
      </c>
      <c r="C22" s="6" t="e" cm="1">
        <f t="array" aca="1" ref="C22" ca="1">_xll.DBR($C$20,$B22,"value")</f>
        <v>#NAME?</v>
      </c>
      <c r="D22" s="6"/>
    </row>
    <row r="23" spans="2:32" hidden="1" outlineLevel="1" x14ac:dyDescent="0.25">
      <c r="B23" s="2" t="s">
        <v>20</v>
      </c>
      <c r="C23" s="6" t="e" cm="1">
        <f t="array" aca="1" ref="C23" ca="1">_xll.DBR($C$20,$B23,"value")</f>
        <v>#NAME?</v>
      </c>
      <c r="D23" s="6"/>
    </row>
    <row r="24" spans="2:32" hidden="1" outlineLevel="1" x14ac:dyDescent="0.25">
      <c r="B24" s="2" t="s">
        <v>21</v>
      </c>
      <c r="C24" s="6" t="e" cm="1">
        <f t="array" aca="1" ref="C24" ca="1">_xll.DBR($C$20,$B24,"value")</f>
        <v>#NAME?</v>
      </c>
      <c r="D24" s="6"/>
      <c r="M24" s="1" t="s">
        <v>1</v>
      </c>
      <c r="N24" s="1" t="s">
        <v>1</v>
      </c>
      <c r="O24" s="1" t="s">
        <v>1</v>
      </c>
      <c r="P24" s="1" t="s">
        <v>1</v>
      </c>
      <c r="Q24" s="1" t="s">
        <v>1</v>
      </c>
      <c r="R24" s="1" t="s">
        <v>1</v>
      </c>
      <c r="S24" s="1"/>
      <c r="T24" s="1" t="s">
        <v>7</v>
      </c>
      <c r="U24" s="1" t="s">
        <v>7</v>
      </c>
      <c r="V24" s="1" t="s">
        <v>7</v>
      </c>
      <c r="W24" s="1" t="s">
        <v>7</v>
      </c>
      <c r="X24" s="1" t="s">
        <v>7</v>
      </c>
      <c r="Y24" s="1" t="s">
        <v>7</v>
      </c>
      <c r="Z24" s="1"/>
      <c r="AA24" s="1" t="s">
        <v>2</v>
      </c>
      <c r="AB24" s="1" t="s">
        <v>2</v>
      </c>
      <c r="AC24" s="1" t="s">
        <v>2</v>
      </c>
      <c r="AD24" s="1" t="s">
        <v>2</v>
      </c>
      <c r="AE24" s="1" t="s">
        <v>2</v>
      </c>
      <c r="AF24" s="1" t="s">
        <v>2</v>
      </c>
    </row>
    <row r="25" spans="2:32" hidden="1" outlineLevel="1" x14ac:dyDescent="0.25">
      <c r="B25" s="2" t="s">
        <v>22</v>
      </c>
      <c r="C25" s="6" t="e" cm="1">
        <f t="array" aca="1" ref="C25" ca="1">_xll.DBR($C$20,$B25,"value")</f>
        <v>#NAME?</v>
      </c>
      <c r="D25" s="6"/>
    </row>
    <row r="26" spans="2:32" hidden="1" outlineLevel="1" x14ac:dyDescent="0.25"/>
    <row r="27" spans="2:32" hidden="1" outlineLevel="1" x14ac:dyDescent="0.25">
      <c r="B27" s="32" t="s">
        <v>23</v>
      </c>
      <c r="C27" s="33"/>
      <c r="D27" s="34"/>
    </row>
    <row r="28" spans="2:32" hidden="1" outlineLevel="1" x14ac:dyDescent="0.25">
      <c r="B28" s="2" t="s">
        <v>16</v>
      </c>
      <c r="C28" s="6" t="e" cm="1">
        <f t="array" aca="1" ref="C28" ca="1">_xll.VIEW(db_name&amp;":sys_client preference","!","!","!")</f>
        <v>#NAME?</v>
      </c>
      <c r="D28" s="6"/>
    </row>
    <row r="29" spans="2:32" hidden="1" outlineLevel="1" x14ac:dyDescent="0.25">
      <c r="B29" s="2" t="s">
        <v>24</v>
      </c>
      <c r="C29" s="6" t="e" cm="1">
        <f t="array" aca="1" ref="C29" ca="1">_xll.DBR(C$28,psUser,$B29,"value")</f>
        <v>#NAME?</v>
      </c>
      <c r="D29" s="6"/>
    </row>
    <row r="30" spans="2:32" hidden="1" outlineLevel="1" x14ac:dyDescent="0.25">
      <c r="B30" s="2" t="s">
        <v>25</v>
      </c>
      <c r="C30" s="6" t="e" cm="1">
        <f t="array" aca="1" ref="C30" ca="1">_xll.DBR(C$28,psUser,$B30,"value")</f>
        <v>#NAME?</v>
      </c>
      <c r="D30" s="6"/>
    </row>
    <row r="31" spans="2:32" hidden="1" outlineLevel="1" x14ac:dyDescent="0.25">
      <c r="B31" s="2" t="s">
        <v>26</v>
      </c>
      <c r="C31" s="6" t="e" cm="1">
        <f t="array" aca="1" ref="C31" ca="1">_xll.DBR(C$28,psUser,$B31,"value")</f>
        <v>#NAME?</v>
      </c>
      <c r="D31" s="6"/>
    </row>
    <row r="32" spans="2:32" hidden="1" outlineLevel="1" x14ac:dyDescent="0.25">
      <c r="B32" s="2" t="s">
        <v>27</v>
      </c>
      <c r="C32" s="6" t="e" cm="1">
        <f t="array" aca="1" ref="C32" ca="1">_xll.DBR(C$28,psUser,$B32,"value")</f>
        <v>#NAME?</v>
      </c>
      <c r="D32" s="6"/>
    </row>
    <row r="33" spans="2:8" hidden="1" outlineLevel="1" x14ac:dyDescent="0.25"/>
    <row r="34" spans="2:8" hidden="1" outlineLevel="1" x14ac:dyDescent="0.25">
      <c r="B34" s="32" t="s">
        <v>28</v>
      </c>
      <c r="C34" s="33"/>
      <c r="D34" s="34"/>
    </row>
    <row r="35" spans="2:8" hidden="1" outlineLevel="1" x14ac:dyDescent="0.25">
      <c r="B35" s="6" t="s">
        <v>29</v>
      </c>
      <c r="C35" s="6" t="e">
        <f ca="1">_xll.VIEW(db_name&amp;":sys_application","!","!")</f>
        <v>#NAME?</v>
      </c>
      <c r="D35" s="6"/>
    </row>
    <row r="36" spans="2:8" hidden="1" outlineLevel="1" x14ac:dyDescent="0.25">
      <c r="B36" s="2" t="s">
        <v>30</v>
      </c>
      <c r="C36" s="6" t="s">
        <v>73</v>
      </c>
    </row>
    <row r="37" spans="2:8" hidden="1" outlineLevel="1" x14ac:dyDescent="0.25">
      <c r="B37" s="7" t="s">
        <v>31</v>
      </c>
      <c r="C37" s="8" t="s">
        <v>32</v>
      </c>
      <c r="D37" s="8" t="s">
        <v>33</v>
      </c>
      <c r="E37" s="8" t="s">
        <v>34</v>
      </c>
      <c r="F37" s="8" t="s">
        <v>35</v>
      </c>
      <c r="G37" s="8" t="s">
        <v>36</v>
      </c>
      <c r="H37" s="8" t="s">
        <v>37</v>
      </c>
    </row>
    <row r="38" spans="2:8" hidden="1" outlineLevel="1" x14ac:dyDescent="0.25">
      <c r="B38" s="6" t="s">
        <v>38</v>
      </c>
      <c r="C38" s="6" t="e" cm="1">
        <f t="array" aca="1" ref="C38" ca="1">_xll.DBR($C$35,$B38,C$37)</f>
        <v>#NAME?</v>
      </c>
      <c r="D38" s="6" t="e" cm="1">
        <f t="array" aca="1" ref="D38" ca="1">_xll.DBR($C$35,$B38,D$37)</f>
        <v>#NAME?</v>
      </c>
      <c r="E38" s="6" t="e" cm="1">
        <f t="array" aca="1" ref="E38" ca="1">_xll.DBR($C$35,$B38,E$37)</f>
        <v>#NAME?</v>
      </c>
      <c r="F38" s="6" t="e" cm="1">
        <f t="array" aca="1" ref="F38" ca="1">_xll.DBR($C$35,$B38,F$37)</f>
        <v>#NAME?</v>
      </c>
      <c r="G38" s="6" t="e" cm="1">
        <f t="array" aca="1" ref="G38" ca="1">_xll.DBR($C$35,$B38,G$37)</f>
        <v>#NAME?</v>
      </c>
      <c r="H38" s="6" t="e" cm="1">
        <f t="array" aca="1" ref="H38" ca="1">_xll.DBR($C$35,$B38,H$37)</f>
        <v>#NAME?</v>
      </c>
    </row>
    <row r="39" spans="2:8" hidden="1" outlineLevel="1" x14ac:dyDescent="0.25">
      <c r="B39" s="6" t="s">
        <v>39</v>
      </c>
      <c r="C39" s="6" t="e" cm="1">
        <f t="array" aca="1" ref="C39" ca="1">_xll.DBR($C$35,$B39,C$37)</f>
        <v>#NAME?</v>
      </c>
      <c r="D39" s="6" t="e" cm="1">
        <f t="array" aca="1" ref="D39" ca="1">_xll.DBR($C$35,$B39,D$37)</f>
        <v>#NAME?</v>
      </c>
      <c r="E39" s="6" t="e" cm="1">
        <f t="array" aca="1" ref="E39" ca="1">_xll.DBR($C$35,$B39,E$37)</f>
        <v>#NAME?</v>
      </c>
      <c r="F39" s="6" t="e" cm="1">
        <f t="array" aca="1" ref="F39" ca="1">_xll.DBR($C$35,$B39,F$37)</f>
        <v>#NAME?</v>
      </c>
      <c r="G39" s="6" t="e" cm="1">
        <f t="array" aca="1" ref="G39" ca="1">_xll.DBR($C$35,$B39,G$37)</f>
        <v>#NAME?</v>
      </c>
      <c r="H39" s="6" t="e" cm="1">
        <f t="array" aca="1" ref="H39" ca="1">_xll.DBR($C$35,$B39,H$37)</f>
        <v>#NAME?</v>
      </c>
    </row>
    <row r="40" spans="2:8" hidden="1" outlineLevel="1" x14ac:dyDescent="0.25">
      <c r="B40" s="6" t="s">
        <v>40</v>
      </c>
      <c r="C40" s="6" t="e" cm="1">
        <f t="array" aca="1" ref="C40" ca="1">_xll.DBR($C$35,$B40,C$37)</f>
        <v>#NAME?</v>
      </c>
      <c r="D40" s="6" t="e" cm="1">
        <f t="array" aca="1" ref="D40" ca="1">_xll.DBR($C$35,$B40,D$37)</f>
        <v>#NAME?</v>
      </c>
      <c r="E40" s="6" t="e" cm="1">
        <f t="array" aca="1" ref="E40" ca="1">_xll.DBR($C$35,$B40,E$37)</f>
        <v>#NAME?</v>
      </c>
      <c r="F40" s="6" t="e" cm="1">
        <f t="array" aca="1" ref="F40" ca="1">_xll.DBR($C$35,$B40,F$37)</f>
        <v>#NAME?</v>
      </c>
      <c r="G40" s="6" t="e" cm="1">
        <f t="array" aca="1" ref="G40" ca="1">_xll.DBR($C$35,$B40,G$37)</f>
        <v>#NAME?</v>
      </c>
      <c r="H40" s="6" t="e" cm="1">
        <f t="array" aca="1" ref="H40" ca="1">_xll.DBR($C$35,$B40,H$37)</f>
        <v>#NAME?</v>
      </c>
    </row>
    <row r="41" spans="2:8" hidden="1" outlineLevel="1" x14ac:dyDescent="0.25">
      <c r="B41" s="6" t="s">
        <v>41</v>
      </c>
      <c r="C41" s="6" t="e" cm="1">
        <f t="array" aca="1" ref="C41" ca="1">_xll.DBR($C$35,$B41,C$37)</f>
        <v>#NAME?</v>
      </c>
      <c r="D41" s="6" t="e" cm="1">
        <f t="array" aca="1" ref="D41" ca="1">_xll.DBR($C$35,$B41,D$37)</f>
        <v>#NAME?</v>
      </c>
      <c r="E41" s="6" t="e" cm="1">
        <f t="array" aca="1" ref="E41" ca="1">_xll.DBR($C$35,$B41,E$37)</f>
        <v>#NAME?</v>
      </c>
      <c r="F41" s="6" t="e" cm="1">
        <f t="array" aca="1" ref="F41" ca="1">_xll.DBR($C$35,$B41,F$37)</f>
        <v>#NAME?</v>
      </c>
      <c r="G41" s="6" t="e" cm="1">
        <f t="array" aca="1" ref="G41" ca="1">_xll.DBR($C$35,$B41,G$37)</f>
        <v>#NAME?</v>
      </c>
      <c r="H41" s="6" t="e" cm="1">
        <f t="array" aca="1" ref="H41" ca="1">_xll.DBR($C$35,$B41,H$37)</f>
        <v>#NAME?</v>
      </c>
    </row>
    <row r="42" spans="2:8" hidden="1" outlineLevel="1" x14ac:dyDescent="0.25">
      <c r="B42" s="6" t="s">
        <v>42</v>
      </c>
      <c r="C42" s="6" t="e" cm="1">
        <f t="array" aca="1" ref="C42" ca="1">_xll.DBR($C$35,$B42,C$37)</f>
        <v>#NAME?</v>
      </c>
      <c r="D42" s="6" t="e" cm="1">
        <f t="array" aca="1" ref="D42" ca="1">_xll.DBR($C$35,$B42,D$37)</f>
        <v>#NAME?</v>
      </c>
      <c r="E42" s="6" t="e" cm="1">
        <f t="array" aca="1" ref="E42" ca="1">_xll.DBR($C$35,$B42,E$37)</f>
        <v>#NAME?</v>
      </c>
      <c r="F42" s="6" t="e" cm="1">
        <f t="array" aca="1" ref="F42" ca="1">_xll.DBR($C$35,$B42,F$37)</f>
        <v>#NAME?</v>
      </c>
      <c r="G42" s="6" t="e" cm="1">
        <f t="array" aca="1" ref="G42" ca="1">_xll.DBR($C$35,$B42,G$37)</f>
        <v>#NAME?</v>
      </c>
      <c r="H42" s="6" t="e" cm="1">
        <f t="array" aca="1" ref="H42" ca="1">_xll.DBR($C$35,$B42,H$37)</f>
        <v>#NAME?</v>
      </c>
    </row>
    <row r="43" spans="2:8" hidden="1" outlineLevel="1" x14ac:dyDescent="0.25">
      <c r="B43" s="6" t="s">
        <v>47</v>
      </c>
      <c r="C43" s="6" t="e" cm="1">
        <f t="array" aca="1" ref="C43" ca="1">_xll.DBR($C$35,$B43,C$37)</f>
        <v>#NAME?</v>
      </c>
      <c r="D43" s="6" t="e" cm="1">
        <f t="array" aca="1" ref="D43" ca="1">_xll.DBR($C$35,$B43,D$37)</f>
        <v>#NAME?</v>
      </c>
      <c r="E43" s="6" t="e" cm="1">
        <f t="array" aca="1" ref="E43" ca="1">_xll.DBR($C$35,$B43,E$37)</f>
        <v>#NAME?</v>
      </c>
      <c r="F43" s="6" t="e" cm="1">
        <f t="array" aca="1" ref="F43" ca="1">_xll.DBR($C$35,$B43,F$37)</f>
        <v>#NAME?</v>
      </c>
      <c r="G43" s="6" t="e" cm="1">
        <f t="array" aca="1" ref="G43" ca="1">_xll.DBR($C$35,$B43,G$37)</f>
        <v>#NAME?</v>
      </c>
      <c r="H43" s="6" t="e" cm="1">
        <f t="array" aca="1" ref="H43" ca="1">_xll.DBR($C$35,$B43,H$37)</f>
        <v>#NAME?</v>
      </c>
    </row>
    <row r="44" spans="2:8" hidden="1" outlineLevel="1" x14ac:dyDescent="0.25">
      <c r="B44" s="6" t="s">
        <v>43</v>
      </c>
      <c r="C44" s="6" t="e" cm="1">
        <f t="array" aca="1" ref="C44" ca="1">_xll.DBR($C$35,$B44,C$37)</f>
        <v>#NAME?</v>
      </c>
      <c r="D44" s="6" t="e" cm="1">
        <f t="array" aca="1" ref="D44" ca="1">_xll.DBR($C$35,$B44,D$37)</f>
        <v>#NAME?</v>
      </c>
      <c r="E44" s="6" t="e" cm="1">
        <f t="array" aca="1" ref="E44" ca="1">_xll.DBR($C$35,$B44,E$37)</f>
        <v>#NAME?</v>
      </c>
      <c r="F44" s="6" t="e" cm="1">
        <f t="array" aca="1" ref="F44" ca="1">_xll.DBR($C$35,$B44,F$37)</f>
        <v>#NAME?</v>
      </c>
      <c r="G44" s="6" t="e" cm="1">
        <f t="array" aca="1" ref="G44" ca="1">_xll.DBR($C$35,$B44,G$37)</f>
        <v>#NAME?</v>
      </c>
      <c r="H44" s="6" t="e" cm="1">
        <f t="array" aca="1" ref="H44" ca="1">_xll.DBR($C$35,$B44,H$37)</f>
        <v>#NAME?</v>
      </c>
    </row>
    <row r="45" spans="2:8" hidden="1" outlineLevel="1" x14ac:dyDescent="0.25">
      <c r="B45" s="6" t="s">
        <v>44</v>
      </c>
      <c r="C45" s="6" t="e" cm="1">
        <f t="array" aca="1" ref="C45" ca="1">_xll.DBR($C$35,$B45,C$37)</f>
        <v>#NAME?</v>
      </c>
      <c r="D45" s="6" t="e" cm="1">
        <f t="array" aca="1" ref="D45" ca="1">_xll.DBR($C$35,$B45,D$37)</f>
        <v>#NAME?</v>
      </c>
      <c r="E45" s="6" t="e" cm="1">
        <f t="array" aca="1" ref="E45" ca="1">_xll.DBR($C$35,$B45,E$37)</f>
        <v>#NAME?</v>
      </c>
      <c r="F45" s="6" t="e" cm="1">
        <f t="array" aca="1" ref="F45" ca="1">_xll.DBR($C$35,$B45,F$37)</f>
        <v>#NAME?</v>
      </c>
      <c r="G45" s="6" t="e" cm="1">
        <f t="array" aca="1" ref="G45" ca="1">_xll.DBR($C$35,$B45,G$37)</f>
        <v>#NAME?</v>
      </c>
      <c r="H45" s="6" t="e" cm="1">
        <f t="array" aca="1" ref="H45" ca="1">_xll.DBR($C$35,$B45,H$37)</f>
        <v>#NAME?</v>
      </c>
    </row>
    <row r="46" spans="2:8" hidden="1" outlineLevel="1" x14ac:dyDescent="0.25">
      <c r="B46" s="6" t="s">
        <v>46</v>
      </c>
      <c r="C46" s="6" t="e" cm="1">
        <f t="array" aca="1" ref="C46" ca="1">_xll.DBR($C$35,$B46,C$37)</f>
        <v>#NAME?</v>
      </c>
      <c r="D46" s="6" t="e" cm="1">
        <f t="array" aca="1" ref="D46" ca="1">_xll.DBR($C$35,$B46,D$37)</f>
        <v>#NAME?</v>
      </c>
      <c r="E46" s="6" t="e" cm="1">
        <f t="array" aca="1" ref="E46" ca="1">_xll.DBR($C$35,$B46,E$37)</f>
        <v>#NAME?</v>
      </c>
      <c r="F46" s="6" t="e" cm="1">
        <f t="array" aca="1" ref="F46" ca="1">_xll.DBR($C$35,$B46,F$37)</f>
        <v>#NAME?</v>
      </c>
      <c r="G46" s="6" t="e" cm="1">
        <f t="array" aca="1" ref="G46" ca="1">_xll.DBR($C$35,$B46,G$37)</f>
        <v>#NAME?</v>
      </c>
      <c r="H46" s="6" t="e" cm="1">
        <f t="array" aca="1" ref="H46" ca="1">_xll.DBR($C$35,$B46,H$37)</f>
        <v>#NAME?</v>
      </c>
    </row>
    <row r="47" spans="2:8" hidden="1" outlineLevel="1" x14ac:dyDescent="0.25">
      <c r="B47" s="6" t="s">
        <v>45</v>
      </c>
      <c r="C47" s="6" t="e" cm="1">
        <f t="array" aca="1" ref="C47" ca="1">_xll.DBR($C$35,$B47,C$37)</f>
        <v>#NAME?</v>
      </c>
      <c r="D47" s="6" t="e" cm="1">
        <f t="array" aca="1" ref="D47" ca="1">_xll.DBR($C$35,$B47,D$37)</f>
        <v>#NAME?</v>
      </c>
      <c r="E47" s="6" t="e" cm="1">
        <f t="array" aca="1" ref="E47" ca="1">_xll.DBR($C$35,$B47,E$37)</f>
        <v>#NAME?</v>
      </c>
      <c r="F47" s="6" t="e" cm="1">
        <f t="array" aca="1" ref="F47" ca="1">_xll.DBR($C$35,$B47,F$37)</f>
        <v>#NAME?</v>
      </c>
      <c r="G47" s="6" t="e" cm="1">
        <f t="array" aca="1" ref="G47" ca="1">_xll.DBR($C$35,$B47,G$37)</f>
        <v>#NAME?</v>
      </c>
      <c r="H47" s="6" t="e" cm="1">
        <f t="array" aca="1" ref="H47" ca="1">_xll.DBR($C$35,$B47,H$37)</f>
        <v>#NAME?</v>
      </c>
    </row>
    <row r="48" spans="2:8" hidden="1" outlineLevel="1" x14ac:dyDescent="0.25">
      <c r="B48" s="6" t="s">
        <v>73</v>
      </c>
      <c r="C48" s="6" t="e" cm="1">
        <f t="array" aca="1" ref="C48" ca="1">_xll.DBR($C$35,$B48,C$37)</f>
        <v>#NAME?</v>
      </c>
      <c r="D48" s="6" t="e" cm="1">
        <f t="array" aca="1" ref="D48" ca="1">_xll.DBR($C$35,$B48,D$37)</f>
        <v>#NAME?</v>
      </c>
      <c r="E48" s="6" t="e" cm="1">
        <f t="array" aca="1" ref="E48" ca="1">_xll.DBR($C$35,$B48,E$37)</f>
        <v>#NAME?</v>
      </c>
      <c r="F48" s="6" t="e" cm="1">
        <f t="array" aca="1" ref="F48" ca="1">_xll.DBR($C$35,$B48,F$37)</f>
        <v>#NAME?</v>
      </c>
      <c r="G48" s="6" t="e" cm="1">
        <f t="array" aca="1" ref="G48" ca="1">_xll.DBR($C$35,$B48,G$37)</f>
        <v>#NAME?</v>
      </c>
      <c r="H48" s="6" t="e" cm="1">
        <f t="array" aca="1" ref="H48" ca="1">_xll.DBR($C$35,$B48,H$37)</f>
        <v>#NAME?</v>
      </c>
    </row>
    <row r="49" spans="2:8" hidden="1" outlineLevel="1" x14ac:dyDescent="0.25">
      <c r="B49" s="6" t="s">
        <v>86</v>
      </c>
      <c r="C49" s="6" t="e" cm="1">
        <f t="array" aca="1" ref="C49" ca="1">_xll.DBR($C$35,$B49,C$37)</f>
        <v>#NAME?</v>
      </c>
      <c r="D49" s="6" t="e" cm="1">
        <f t="array" aca="1" ref="D49" ca="1">_xll.DBR($C$35,$B49,D$37)</f>
        <v>#NAME?</v>
      </c>
      <c r="E49" s="6" t="e" cm="1">
        <f t="array" aca="1" ref="E49" ca="1">_xll.DBR($C$35,$B49,E$37)</f>
        <v>#NAME?</v>
      </c>
      <c r="F49" s="6" t="e" cm="1">
        <f t="array" aca="1" ref="F49" ca="1">_xll.DBR($C$35,$B49,F$37)</f>
        <v>#NAME?</v>
      </c>
      <c r="G49" s="6" t="e" cm="1">
        <f t="array" aca="1" ref="G49" ca="1">_xll.DBR($C$35,$B49,G$37)</f>
        <v>#NAME?</v>
      </c>
      <c r="H49" s="6" t="e" cm="1">
        <f t="array" aca="1" ref="H49" ca="1">_xll.DBR($C$35,$B49,H$37)</f>
        <v>#NAME?</v>
      </c>
    </row>
    <row r="50" spans="2:8" hidden="1" outlineLevel="1" x14ac:dyDescent="0.25">
      <c r="B50" s="6" t="s">
        <v>87</v>
      </c>
      <c r="C50" s="6" t="e" cm="1">
        <f t="array" aca="1" ref="C50" ca="1">_xll.DBR($C$35,$B50,C$37)</f>
        <v>#NAME?</v>
      </c>
      <c r="D50" s="6" t="e" cm="1">
        <f t="array" aca="1" ref="D50" ca="1">_xll.DBR($C$35,$B50,D$37)</f>
        <v>#NAME?</v>
      </c>
      <c r="E50" s="6" t="e" cm="1">
        <f t="array" aca="1" ref="E50" ca="1">_xll.DBR($C$35,$B50,E$37)</f>
        <v>#NAME?</v>
      </c>
      <c r="F50" s="6" t="e" cm="1">
        <f t="array" aca="1" ref="F50" ca="1">_xll.DBR($C$35,$B50,F$37)</f>
        <v>#NAME?</v>
      </c>
      <c r="G50" s="6" t="e" cm="1">
        <f t="array" aca="1" ref="G50" ca="1">_xll.DBR($C$35,$B50,G$37)</f>
        <v>#NAME?</v>
      </c>
      <c r="H50" s="6" t="e" cm="1">
        <f t="array" aca="1" ref="H50" ca="1">_xll.DBR($C$35,$B50,H$37)</f>
        <v>#NAME?</v>
      </c>
    </row>
    <row r="51" spans="2:8" hidden="1" outlineLevel="1" x14ac:dyDescent="0.25">
      <c r="B51" s="6" t="s">
        <v>81</v>
      </c>
      <c r="C51" s="6" t="e" cm="1">
        <f t="array" aca="1" ref="C51" ca="1">_xll.DBR($C$35,$B51,C$37)</f>
        <v>#NAME?</v>
      </c>
      <c r="D51" s="6" t="e" cm="1">
        <f t="array" aca="1" ref="D51" ca="1">_xll.DBR($C$35,$B51,D$37)</f>
        <v>#NAME?</v>
      </c>
      <c r="E51" s="6" t="e" cm="1">
        <f t="array" aca="1" ref="E51" ca="1">_xll.DBR($C$35,$B51,E$37)</f>
        <v>#NAME?</v>
      </c>
      <c r="F51" s="6" t="e" cm="1">
        <f t="array" aca="1" ref="F51" ca="1">_xll.DBR($C$35,$B51,F$37)</f>
        <v>#NAME?</v>
      </c>
      <c r="G51" s="6" t="e" cm="1">
        <f t="array" aca="1" ref="G51" ca="1">_xll.DBR($C$35,$B51,G$37)</f>
        <v>#NAME?</v>
      </c>
      <c r="H51" s="6" t="e" cm="1">
        <f t="array" aca="1" ref="H51" ca="1">_xll.DBR($C$35,$B51,H$37)</f>
        <v>#NAME?</v>
      </c>
    </row>
    <row r="52" spans="2:8" hidden="1" outlineLevel="1" x14ac:dyDescent="0.25"/>
    <row r="53" spans="2:8" hidden="1" outlineLevel="1" x14ac:dyDescent="0.25">
      <c r="B53" s="32" t="s">
        <v>28</v>
      </c>
      <c r="C53" s="33"/>
      <c r="D53" s="34"/>
    </row>
    <row r="54" spans="2:8" hidden="1" outlineLevel="1" x14ac:dyDescent="0.25">
      <c r="B54" s="6" t="s">
        <v>48</v>
      </c>
      <c r="C54" s="6" t="e">
        <f ca="1">_xll.TM1RPTVIEW(db_name&amp;":AE adjustments:1", 1, _xll.TM1RPTTITLE(db_name&amp;":headline year",$M$82), _xll.TM1RPTTITLE(db_name&amp;":status",$M$84), _xll.TM1RPTTITLE(db_name&amp;":outcome",$C$69), _xll.TM1RPTTITLE(db_name&amp;":related entity",$C$60), _xll.TM1RPTTITLE(db_name&amp;":function",$C$61), _xll.TM1RPTTITLE(db_name&amp;":reason",$C$67), _xll.TM1RPTTITLE(db_name&amp;":spp",$C$66), _xll.TM1RPTTITLE(db_name&amp;":measure code",$C$62), _xll.TM1RPTTITLE(db_name&amp;":appropriation type",$C$63), _xll.TM1RPTTITLE(db_name&amp;":appropriation item",$C$68), _xll.TM1RPTTITLE(db_name&amp;":programme",$M$83), _xll.TM1RPTTITLE(db_name&amp;":jurisdiction",$C$65),TM1RPTFMTRNG,TM1RPTFMTIDCOL)</f>
        <v>#NAME?</v>
      </c>
      <c r="D54" s="6"/>
    </row>
    <row r="55" spans="2:8" hidden="1" outlineLevel="1" x14ac:dyDescent="0.25">
      <c r="B55" s="6" t="s">
        <v>49</v>
      </c>
      <c r="C55" s="6" t="e">
        <f ca="1">_xll.VIEW(db_name&amp;":AE adjustments",$M$82,"!",$M$84,$C$69,$C$60,$C$61,$C$67,$C$66,$C$62,$C$63,"!",$C$68,$M$83,"!","!",$C$65,"!")</f>
        <v>#NAME?</v>
      </c>
      <c r="D55" s="6"/>
    </row>
    <row r="56" spans="2:8" hidden="1" outlineLevel="1" x14ac:dyDescent="0.25">
      <c r="B56" s="6" t="s">
        <v>50</v>
      </c>
      <c r="C56" s="6" t="e">
        <f ca="1">"{ EXCEPT({TM1FILTERBYLEVEL( {TM1DRILLDOWNMEMBER( {[account].[" &amp;$M$85 &amp;"]}, ALL, RECURSIVE )}, 0)}, {{ [account].[5235501] },{ [account].[5235502] },{ [account].[5243001] },{ [account].[5243002] }}) }"</f>
        <v>#NAME?</v>
      </c>
      <c r="D56" s="6"/>
    </row>
    <row r="57" spans="2:8" hidden="1" outlineLevel="1" x14ac:dyDescent="0.25">
      <c r="B57" s="6" t="s">
        <v>72</v>
      </c>
      <c r="C57" s="6" t="s">
        <v>80</v>
      </c>
      <c r="D57" s="6" t="s">
        <v>77</v>
      </c>
    </row>
    <row r="58" spans="2:8" hidden="1" outlineLevel="1" x14ac:dyDescent="0.25">
      <c r="B58" s="6" t="s">
        <v>78</v>
      </c>
      <c r="C58" s="6" t="s">
        <v>79</v>
      </c>
      <c r="D58" s="6"/>
    </row>
    <row r="59" spans="2:8" hidden="1" outlineLevel="1" x14ac:dyDescent="0.25">
      <c r="B59" s="6"/>
      <c r="C59" s="6"/>
      <c r="D59" s="6"/>
    </row>
    <row r="60" spans="2:8" hidden="1" outlineLevel="1" x14ac:dyDescent="0.25">
      <c r="B60" s="23" t="s">
        <v>55</v>
      </c>
      <c r="C60" s="6" t="e">
        <f ca="1">_xll.SUBNM(db_name&amp;":related entity","","Total related entity")</f>
        <v>#NAME?</v>
      </c>
      <c r="D60" s="6"/>
    </row>
    <row r="61" spans="2:8" hidden="1" outlineLevel="1" x14ac:dyDescent="0.25">
      <c r="B61" s="23" t="s">
        <v>56</v>
      </c>
      <c r="C61" s="6" t="e">
        <f ca="1">_xll.SUBNM(db_name&amp;":function","","Total functions")</f>
        <v>#NAME?</v>
      </c>
      <c r="D61" s="6"/>
    </row>
    <row r="62" spans="2:8" hidden="1" outlineLevel="1" x14ac:dyDescent="0.25">
      <c r="B62" s="23" t="s">
        <v>59</v>
      </c>
      <c r="C62" s="6" t="e">
        <f ca="1">_xll.SUBNM(db_name&amp;":measure code","","Total Measures","CBMS")</f>
        <v>#NAME?</v>
      </c>
      <c r="D62" s="6"/>
    </row>
    <row r="63" spans="2:8" hidden="1" outlineLevel="1" x14ac:dyDescent="0.25">
      <c r="B63" s="23" t="s">
        <v>60</v>
      </c>
      <c r="C63" s="6" t="e">
        <f ca="1">_xll.SUBNM(db_name&amp;":appropriation type","","Total approp types")</f>
        <v>#NAME?</v>
      </c>
      <c r="D63" s="6"/>
    </row>
    <row r="64" spans="2:8" hidden="1" outlineLevel="1" x14ac:dyDescent="0.25">
      <c r="B64" s="23" t="s">
        <v>62</v>
      </c>
      <c r="C64" s="6" t="e">
        <f ca="1">_xll.SUBNM(db_name&amp;":id","","Total IDs")</f>
        <v>#NAME?</v>
      </c>
      <c r="D64" s="6"/>
    </row>
    <row r="65" spans="2:32" hidden="1" outlineLevel="1" x14ac:dyDescent="0.25">
      <c r="B65" s="23" t="s">
        <v>63</v>
      </c>
      <c r="C65" s="6" t="e">
        <f ca="1">_xll.SUBNM(db_name&amp;":jurisdiction","","Total jurisdictions")</f>
        <v>#NAME?</v>
      </c>
      <c r="D65" s="6"/>
    </row>
    <row r="66" spans="2:32" hidden="1" outlineLevel="1" x14ac:dyDescent="0.25">
      <c r="B66" s="23" t="s">
        <v>58</v>
      </c>
      <c r="C66" s="6" t="e">
        <f ca="1">_xll.SUBNM(db_name&amp;":spp","","Total SPP")</f>
        <v>#NAME?</v>
      </c>
      <c r="D66" s="6"/>
    </row>
    <row r="67" spans="2:32" hidden="1" outlineLevel="1" x14ac:dyDescent="0.25">
      <c r="B67" s="23" t="s">
        <v>57</v>
      </c>
      <c r="C67" s="6" t="e">
        <f ca="1">_xll.SUBNM(db_name&amp;":reason","","Total reason")</f>
        <v>#NAME?</v>
      </c>
      <c r="D67" s="6"/>
    </row>
    <row r="68" spans="2:32" hidden="1" outlineLevel="1" x14ac:dyDescent="0.25">
      <c r="B68" s="23" t="s">
        <v>61</v>
      </c>
      <c r="C68" s="6" t="e">
        <f ca="1">_xll.SUBNM(db_name&amp;":appropriation item","","Total approp item")</f>
        <v>#NAME?</v>
      </c>
      <c r="D68" s="6"/>
    </row>
    <row r="69" spans="2:32" hidden="1" outlineLevel="1" x14ac:dyDescent="0.25">
      <c r="B69" s="9" t="s">
        <v>54</v>
      </c>
      <c r="C69" s="6" t="e">
        <f ca="1">_xll.SUBNM(db_name&amp;":outcome","","Total outcomes")</f>
        <v>#NAME?</v>
      </c>
      <c r="D69" s="6"/>
      <c r="E69" s="6"/>
    </row>
    <row r="70" spans="2:32" hidden="1" outlineLevel="1" x14ac:dyDescent="0.25">
      <c r="B70" s="9" t="s">
        <v>65</v>
      </c>
      <c r="C70" s="6" t="e">
        <f ca="1">_xll.SUBNM(db_name&amp;":movement account","","Total movement","code and description")</f>
        <v>#NAME?</v>
      </c>
      <c r="D70" s="6"/>
      <c r="E70" s="6"/>
    </row>
    <row r="71" spans="2:32" hidden="1" outlineLevel="1" x14ac:dyDescent="0.25"/>
    <row r="72" spans="2:32" hidden="1" outlineLevel="1" x14ac:dyDescent="0.25"/>
    <row r="73" spans="2:32" hidden="1" outlineLevel="1" x14ac:dyDescent="0.25"/>
    <row r="74" spans="2:32" ht="39.950000000000003" customHeight="1" collapsed="1" x14ac:dyDescent="0.25">
      <c r="I74" s="24"/>
      <c r="J74" s="24"/>
      <c r="K74" s="24"/>
      <c r="L74" s="24"/>
      <c r="M74" s="24"/>
      <c r="N74" s="24"/>
      <c r="O74" s="24"/>
      <c r="P74" s="24"/>
      <c r="Q74" s="24"/>
      <c r="R74" s="24" t="s">
        <v>83</v>
      </c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</row>
    <row r="75" spans="2:32" ht="4.5" customHeight="1" x14ac:dyDescent="0.25"/>
    <row r="76" spans="2:32" ht="24" customHeight="1" x14ac:dyDescent="0.25"/>
    <row r="77" spans="2:32" ht="1.5" customHeight="1" x14ac:dyDescent="0.25"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</row>
    <row r="78" spans="2:32" ht="4.5" customHeight="1" x14ac:dyDescent="0.25"/>
    <row r="79" spans="2:32" x14ac:dyDescent="0.25">
      <c r="J79" s="41" t="s">
        <v>84</v>
      </c>
      <c r="K79" s="41"/>
      <c r="L79" s="41"/>
      <c r="M79" s="41"/>
      <c r="N79" s="41"/>
      <c r="O79" s="41"/>
      <c r="P79" s="41"/>
      <c r="Q79" s="41"/>
      <c r="R79" s="41"/>
    </row>
    <row r="80" spans="2:32" ht="4.5" customHeight="1" x14ac:dyDescent="0.25"/>
    <row r="81" spans="1:32" x14ac:dyDescent="0.25">
      <c r="M81" s="39" t="s">
        <v>71</v>
      </c>
      <c r="N81" s="40"/>
      <c r="O81" s="40"/>
    </row>
    <row r="82" spans="1:32" x14ac:dyDescent="0.25">
      <c r="K82" s="44" t="s">
        <v>52</v>
      </c>
      <c r="L82" s="45"/>
      <c r="M82" s="37" t="e">
        <f ca="1">_xll.SUBNM(db_name&amp;":headline year","",$C$22)</f>
        <v>#NAME?</v>
      </c>
      <c r="N82" s="37"/>
      <c r="O82" s="37"/>
    </row>
    <row r="83" spans="1:32" x14ac:dyDescent="0.25">
      <c r="K83" s="44" t="s">
        <v>85</v>
      </c>
      <c r="L83" s="45"/>
      <c r="M83" s="37" t="e">
        <f ca="1">_xll.SUBNM(db_name&amp;":programme","","Administered Programmes","code and description")</f>
        <v>#NAME?</v>
      </c>
      <c r="N83" s="37"/>
      <c r="O83" s="37"/>
    </row>
    <row r="84" spans="1:32" x14ac:dyDescent="0.25">
      <c r="K84" s="44" t="s">
        <v>53</v>
      </c>
      <c r="L84" s="45"/>
      <c r="M84" s="37" t="e">
        <f ca="1">_xll.SUBNM(db_name&amp;":status","","Total approved")</f>
        <v>#NAME?</v>
      </c>
      <c r="N84" s="37"/>
      <c r="O84" s="37"/>
    </row>
    <row r="85" spans="1:32" x14ac:dyDescent="0.25">
      <c r="K85" s="44" t="s">
        <v>64</v>
      </c>
      <c r="L85" s="45"/>
      <c r="M85" s="37" t="e">
        <f ca="1">_xll.SUBNM(db_name&amp;":Account","","2000000","code and description")</f>
        <v>#NAME?</v>
      </c>
      <c r="N85" s="37"/>
      <c r="O85" s="37"/>
    </row>
    <row r="86" spans="1:32" ht="4.5" customHeight="1" x14ac:dyDescent="0.25"/>
    <row r="87" spans="1:32" x14ac:dyDescent="0.25">
      <c r="M87" s="35" t="s">
        <v>68</v>
      </c>
      <c r="N87" s="35"/>
      <c r="O87" s="35"/>
      <c r="P87" s="35"/>
      <c r="Q87" s="36"/>
      <c r="R87" s="36"/>
      <c r="T87" s="35" t="s">
        <v>69</v>
      </c>
      <c r="U87" s="35"/>
      <c r="V87" s="35"/>
      <c r="W87" s="35"/>
      <c r="X87" s="36"/>
      <c r="Y87" s="36"/>
      <c r="AA87" s="35" t="s">
        <v>70</v>
      </c>
      <c r="AB87" s="35"/>
      <c r="AC87" s="35"/>
      <c r="AD87" s="35"/>
      <c r="AE87" s="36"/>
      <c r="AF87" s="36"/>
    </row>
    <row r="88" spans="1:32" x14ac:dyDescent="0.25">
      <c r="M88" s="17" t="e">
        <f ca="1">M$21</f>
        <v>#NAME?</v>
      </c>
      <c r="N88" s="17" t="e">
        <f t="shared" ref="N88:AF88" ca="1" si="0">N$21</f>
        <v>#NAME?</v>
      </c>
      <c r="O88" s="17" t="e">
        <f t="shared" ca="1" si="0"/>
        <v>#NAME?</v>
      </c>
      <c r="P88" s="17" t="e">
        <f t="shared" ca="1" si="0"/>
        <v>#NAME?</v>
      </c>
      <c r="Q88" s="17" t="e">
        <f t="shared" ca="1" si="0"/>
        <v>#NAME?</v>
      </c>
      <c r="R88" s="18" t="e">
        <f t="shared" ca="1" si="0"/>
        <v>#NAME?</v>
      </c>
      <c r="T88" s="17" t="e">
        <f t="shared" ca="1" si="0"/>
        <v>#NAME?</v>
      </c>
      <c r="U88" s="17" t="e">
        <f t="shared" ca="1" si="0"/>
        <v>#NAME?</v>
      </c>
      <c r="V88" s="17" t="e">
        <f t="shared" ca="1" si="0"/>
        <v>#NAME?</v>
      </c>
      <c r="W88" s="17" t="e">
        <f t="shared" ca="1" si="0"/>
        <v>#NAME?</v>
      </c>
      <c r="X88" s="17" t="e">
        <f t="shared" ca="1" si="0"/>
        <v>#NAME?</v>
      </c>
      <c r="Y88" s="18" t="e">
        <f t="shared" ca="1" si="0"/>
        <v>#NAME?</v>
      </c>
      <c r="AA88" s="17" t="e">
        <f t="shared" ca="1" si="0"/>
        <v>#NAME?</v>
      </c>
      <c r="AB88" s="17" t="e">
        <f t="shared" ca="1" si="0"/>
        <v>#NAME?</v>
      </c>
      <c r="AC88" s="17" t="e">
        <f t="shared" ca="1" si="0"/>
        <v>#NAME?</v>
      </c>
      <c r="AD88" s="17" t="e">
        <f t="shared" ca="1" si="0"/>
        <v>#NAME?</v>
      </c>
      <c r="AE88" s="17" t="e">
        <f t="shared" ca="1" si="0"/>
        <v>#NAME?</v>
      </c>
      <c r="AF88" s="18" t="e">
        <f t="shared" ca="1" si="0"/>
        <v>#NAME?</v>
      </c>
    </row>
    <row r="89" spans="1:32" x14ac:dyDescent="0.25">
      <c r="K89" s="42" t="e">
        <f ca="1">$M$85</f>
        <v>#NAME?</v>
      </c>
      <c r="L89" s="43"/>
      <c r="M89" s="16" t="e" cm="1">
        <f t="array" aca="1" ref="M89" ca="1">_xll.DBRW($C$55,$M$82,M$24,$M$84,$C$69,$C$60,$C$61,$C$67,$C$66,$C$62,$C$63,$C$70,$C$68,$M$83,$K89,$C$64,$C$65,M$93)</f>
        <v>#NAME?</v>
      </c>
      <c r="N89" s="16" t="e" cm="1">
        <f t="array" aca="1" ref="N89" ca="1">_xll.DBRW($C$55,$M$82,N$24,$M$84,$C$69,$C$60,$C$61,$C$67,$C$66,$C$62,$C$63,$C$70,$C$68,$M$83,$K89,$C$64,$C$65,N$93)</f>
        <v>#NAME?</v>
      </c>
      <c r="O89" s="16" t="e" cm="1">
        <f t="array" aca="1" ref="O89" ca="1">_xll.DBRW($C$55,$M$82,O$24,$M$84,$C$69,$C$60,$C$61,$C$67,$C$66,$C$62,$C$63,$C$70,$C$68,$M$83,$K89,$C$64,$C$65,O$93)</f>
        <v>#NAME?</v>
      </c>
      <c r="P89" s="16" t="e" cm="1">
        <f t="array" aca="1" ref="P89" ca="1">_xll.DBRW($C$55,$M$82,P$24,$M$84,$C$69,$C$60,$C$61,$C$67,$C$66,$C$62,$C$63,$C$70,$C$68,$M$83,$K89,$C$64,$C$65,P$93)</f>
        <v>#NAME?</v>
      </c>
      <c r="Q89" s="16" t="e" cm="1">
        <f t="array" aca="1" ref="Q89" ca="1">_xll.DBRW($C$55,$M$82,Q$24,$M$84,$C$69,$C$60,$C$61,$C$67,$C$66,$C$62,$C$63,$C$70,$C$68,$M$83,$K89,$C$64,$C$65,Q$93)</f>
        <v>#NAME?</v>
      </c>
      <c r="R89" s="16" t="e" cm="1">
        <f t="array" aca="1" ref="R89" ca="1">_xll.DBRW($C$55,$M$82,R$24,$M$84,$C$69,$C$60,$C$61,$C$67,$C$66,$C$62,$C$63,$C$70,$C$68,$M$83,$K89,$C$64,$C$65,R$93)</f>
        <v>#NAME?</v>
      </c>
      <c r="T89" s="16" t="e" cm="1">
        <f t="array" aca="1" ref="T89" ca="1">_xll.DBRW($C$55,$M$82,T$24,$M$84,$C$69,$C$60,$C$61,$C$67,$C$66,$C$62,$C$63,$C$70,$C$68,$M$83,$K89,$C$64,$C$65,T$93)</f>
        <v>#NAME?</v>
      </c>
      <c r="U89" s="16" t="e" cm="1">
        <f t="array" aca="1" ref="U89" ca="1">_xll.DBRW($C$55,$M$82,U$24,$M$84,$C$69,$C$60,$C$61,$C$67,$C$66,$C$62,$C$63,$C$70,$C$68,$M$83,$K89,$C$64,$C$65,U$93)</f>
        <v>#NAME?</v>
      </c>
      <c r="V89" s="16" t="e" cm="1">
        <f t="array" aca="1" ref="V89" ca="1">_xll.DBRW($C$55,$M$82,V$24,$M$84,$C$69,$C$60,$C$61,$C$67,$C$66,$C$62,$C$63,$C$70,$C$68,$M$83,$K89,$C$64,$C$65,V$93)</f>
        <v>#NAME?</v>
      </c>
      <c r="W89" s="16" t="e" cm="1">
        <f t="array" aca="1" ref="W89" ca="1">_xll.DBRW($C$55,$M$82,W$24,$M$84,$C$69,$C$60,$C$61,$C$67,$C$66,$C$62,$C$63,$C$70,$C$68,$M$83,$K89,$C$64,$C$65,W$93)</f>
        <v>#NAME?</v>
      </c>
      <c r="X89" s="16" t="e" cm="1">
        <f t="array" aca="1" ref="X89" ca="1">_xll.DBRW($C$55,$M$82,X$24,$M$84,$C$69,$C$60,$C$61,$C$67,$C$66,$C$62,$C$63,$C$70,$C$68,$M$83,$K89,$C$64,$C$65,X$93)</f>
        <v>#NAME?</v>
      </c>
      <c r="Y89" s="16" t="e" cm="1">
        <f t="array" aca="1" ref="Y89" ca="1">_xll.DBRW($C$55,$M$82,Y$24,$M$84,$C$69,$C$60,$C$61,$C$67,$C$66,$C$62,$C$63,$C$70,$C$68,$M$83,$K89,$C$64,$C$65,Y$93)</f>
        <v>#NAME?</v>
      </c>
      <c r="AA89" s="16" t="e" cm="1">
        <f t="array" aca="1" ref="AA89" ca="1">_xll.DBRW($C$55,$M$82,AA$24,$M$84,$C$69,$C$60,$C$61,$C$67,$C$66,$C$62,$C$63,$C$70,$C$68,$M$83,$K89,$C$64,$C$65,AA$93)</f>
        <v>#NAME?</v>
      </c>
      <c r="AB89" s="16" t="e" cm="1">
        <f t="array" aca="1" ref="AB89" ca="1">_xll.DBRW($C$55,$M$82,AB$24,$M$84,$C$69,$C$60,$C$61,$C$67,$C$66,$C$62,$C$63,$C$70,$C$68,$M$83,$K89,$C$64,$C$65,AB$93)</f>
        <v>#NAME?</v>
      </c>
      <c r="AC89" s="16" t="e" cm="1">
        <f t="array" aca="1" ref="AC89" ca="1">_xll.DBRW($C$55,$M$82,AC$24,$M$84,$C$69,$C$60,$C$61,$C$67,$C$66,$C$62,$C$63,$C$70,$C$68,$M$83,$K89,$C$64,$C$65,AC$93)</f>
        <v>#NAME?</v>
      </c>
      <c r="AD89" s="16" t="e" cm="1">
        <f t="array" aca="1" ref="AD89" ca="1">_xll.DBRW($C$55,$M$82,AD$24,$M$84,$C$69,$C$60,$C$61,$C$67,$C$66,$C$62,$C$63,$C$70,$C$68,$M$83,$K89,$C$64,$C$65,AD$93)</f>
        <v>#NAME?</v>
      </c>
      <c r="AE89" s="16" t="e" cm="1">
        <f t="array" aca="1" ref="AE89" ca="1">_xll.DBRW($C$55,$M$82,AE$24,$M$84,$C$69,$C$60,$C$61,$C$67,$C$66,$C$62,$C$63,$C$70,$C$68,$M$83,$K89,$C$64,$C$65,AE$93)</f>
        <v>#NAME?</v>
      </c>
      <c r="AF89" s="16" t="e" cm="1">
        <f t="array" aca="1" ref="AF89" ca="1">_xll.DBRW($C$55,$M$82,AF$24,$M$84,$C$69,$C$60,$C$61,$C$67,$C$66,$C$62,$C$63,$C$70,$C$68,$M$83,$K89,$C$64,$C$65,AF$93)</f>
        <v>#NAME?</v>
      </c>
    </row>
    <row r="90" spans="1:32" ht="4.5" customHeight="1" x14ac:dyDescent="0.25"/>
    <row r="91" spans="1:32" x14ac:dyDescent="0.25">
      <c r="M91" s="38" t="s">
        <v>82</v>
      </c>
      <c r="N91" s="38"/>
      <c r="O91" s="38"/>
      <c r="P91" s="38"/>
      <c r="Q91" s="38"/>
      <c r="R91" s="38"/>
      <c r="T91" s="38" t="s">
        <v>82</v>
      </c>
      <c r="U91" s="38"/>
      <c r="V91" s="38"/>
      <c r="W91" s="38"/>
      <c r="X91" s="38"/>
      <c r="Y91" s="38"/>
      <c r="AA91" s="38" t="s">
        <v>82</v>
      </c>
      <c r="AB91" s="38"/>
      <c r="AC91" s="38"/>
      <c r="AD91" s="38"/>
      <c r="AE91" s="38"/>
      <c r="AF91" s="38"/>
    </row>
    <row r="92" spans="1:32" x14ac:dyDescent="0.25">
      <c r="J92" s="22" t="s">
        <v>74</v>
      </c>
      <c r="K92" s="22"/>
      <c r="L92" s="22"/>
      <c r="M92" s="35" t="s">
        <v>68</v>
      </c>
      <c r="N92" s="35"/>
      <c r="O92" s="35"/>
      <c r="P92" s="35"/>
      <c r="Q92" s="36"/>
      <c r="R92" s="36"/>
      <c r="T92" s="35" t="s">
        <v>69</v>
      </c>
      <c r="U92" s="35"/>
      <c r="V92" s="35"/>
      <c r="W92" s="35"/>
      <c r="X92" s="36"/>
      <c r="Y92" s="36"/>
      <c r="AA92" s="35" t="s">
        <v>70</v>
      </c>
      <c r="AB92" s="35"/>
      <c r="AC92" s="35"/>
      <c r="AD92" s="35"/>
      <c r="AE92" s="36"/>
      <c r="AF92" s="36"/>
    </row>
    <row r="93" spans="1:32" x14ac:dyDescent="0.25">
      <c r="J93" s="22" t="s">
        <v>51</v>
      </c>
      <c r="K93" s="25" t="s">
        <v>75</v>
      </c>
      <c r="L93" s="25" t="s">
        <v>76</v>
      </c>
      <c r="M93" s="17" t="e">
        <f ca="1">M$21</f>
        <v>#NAME?</v>
      </c>
      <c r="N93" s="17" t="e">
        <f t="shared" ref="N93:AF93" ca="1" si="1">N$21</f>
        <v>#NAME?</v>
      </c>
      <c r="O93" s="17" t="e">
        <f t="shared" ca="1" si="1"/>
        <v>#NAME?</v>
      </c>
      <c r="P93" s="17" t="e">
        <f t="shared" ca="1" si="1"/>
        <v>#NAME?</v>
      </c>
      <c r="Q93" s="17" t="e">
        <f t="shared" ca="1" si="1"/>
        <v>#NAME?</v>
      </c>
      <c r="R93" s="18" t="e">
        <f t="shared" ca="1" si="1"/>
        <v>#NAME?</v>
      </c>
      <c r="T93" s="17" t="e">
        <f t="shared" ca="1" si="1"/>
        <v>#NAME?</v>
      </c>
      <c r="U93" s="17" t="e">
        <f t="shared" ca="1" si="1"/>
        <v>#NAME?</v>
      </c>
      <c r="V93" s="17" t="e">
        <f t="shared" ca="1" si="1"/>
        <v>#NAME?</v>
      </c>
      <c r="W93" s="17" t="e">
        <f t="shared" ca="1" si="1"/>
        <v>#NAME?</v>
      </c>
      <c r="X93" s="17" t="e">
        <f t="shared" ca="1" si="1"/>
        <v>#NAME?</v>
      </c>
      <c r="Y93" s="18" t="e">
        <f t="shared" ca="1" si="1"/>
        <v>#NAME?</v>
      </c>
      <c r="AA93" s="17" t="e">
        <f t="shared" ca="1" si="1"/>
        <v>#NAME?</v>
      </c>
      <c r="AB93" s="17" t="e">
        <f t="shared" ca="1" si="1"/>
        <v>#NAME?</v>
      </c>
      <c r="AC93" s="17" t="e">
        <f t="shared" ca="1" si="1"/>
        <v>#NAME?</v>
      </c>
      <c r="AD93" s="17" t="e">
        <f t="shared" ca="1" si="1"/>
        <v>#NAME?</v>
      </c>
      <c r="AE93" s="17" t="e">
        <f t="shared" ca="1" si="1"/>
        <v>#NAME?</v>
      </c>
      <c r="AF93" s="18" t="e">
        <f t="shared" ca="1" si="1"/>
        <v>#NAME?</v>
      </c>
    </row>
    <row r="94" spans="1:32" outlineLevel="1" x14ac:dyDescent="0.25">
      <c r="A94" t="e" cm="1">
        <f t="array" aca="1" ref="A94" ca="1">IF(_xll.TM1RPTELISCONSOLIDATED($J$94,$J94),IF(_xll.TM1RPTELLEV($J$94,$J94)&lt;=3,_xll.TM1RPTELLEV($J$94,$J94),"D"),"N")</f>
        <v>#NAME?</v>
      </c>
      <c r="J94" s="30" t="e" cm="1">
        <f t="array" aca="1" ref="J94" ca="1">_xll.TM1RPTROW($C$54,db_name&amp;":account","","","code and description",0,$C$56)</f>
        <v>#NAME?</v>
      </c>
      <c r="K94" s="31" t="e" cm="1">
        <f t="array" aca="1" ref="K94" ca="1">_xll.TM1RPTROW($C$54,db_name&amp;":movement account","","","code and description",0,$C$57)</f>
        <v>#NAME?</v>
      </c>
      <c r="L94" s="29" t="e" cm="1">
        <f t="array" aca="1" ref="L94" ca="1">_xll.TM1RPTROW($C$54,db_name&amp;":id","","","code and description",0,$C$58)</f>
        <v>#NAME?</v>
      </c>
      <c r="M94" s="10" t="e" cm="1">
        <f t="array" aca="1" ref="M94" ca="1">_xll.DBRW($C$54,$M$82,M$24,$M$84,$C$69,$C$60,$C$61,$C$67,$C$66,$C$62,$C$63,$K94,$C$68,$M$83,$J94,$L94,$C$65,M$93)</f>
        <v>#NAME?</v>
      </c>
      <c r="N94" s="10" t="e" cm="1">
        <f t="array" aca="1" ref="N94" ca="1">_xll.DBRW($C$54,$M$82,N$24,$M$84,$C$69,$C$60,$C$61,$C$67,$C$66,$C$62,$C$63,$K94,$C$68,$M$83,$J94,$L94,$C$65,N$93)</f>
        <v>#NAME?</v>
      </c>
      <c r="O94" s="10" t="e" cm="1">
        <f t="array" aca="1" ref="O94" ca="1">_xll.DBRW($C$54,$M$82,O$24,$M$84,$C$69,$C$60,$C$61,$C$67,$C$66,$C$62,$C$63,$K94,$C$68,$M$83,$J94,$L94,$C$65,O$93)</f>
        <v>#NAME?</v>
      </c>
      <c r="P94" s="10" t="e" cm="1">
        <f t="array" aca="1" ref="P94" ca="1">_xll.DBRW($C$54,$M$82,P$24,$M$84,$C$69,$C$60,$C$61,$C$67,$C$66,$C$62,$C$63,$K94,$C$68,$M$83,$J94,$L94,$C$65,P$93)</f>
        <v>#NAME?</v>
      </c>
      <c r="Q94" s="10" t="e" cm="1">
        <f t="array" aca="1" ref="Q94" ca="1">_xll.DBRW($C$54,$M$82,Q$24,$M$84,$C$69,$C$60,$C$61,$C$67,$C$66,$C$62,$C$63,$K94,$C$68,$M$83,$J94,$L94,$C$65,Q$93)</f>
        <v>#NAME?</v>
      </c>
      <c r="R94" s="10" t="e" cm="1">
        <f t="array" aca="1" ref="R94" ca="1">_xll.DBRW($C$54,$M$82,R$24,$M$84,$C$69,$C$60,$C$61,$C$67,$C$66,$C$62,$C$63,$K94,$C$68,$M$83,$J94,$L94,$C$65,R$93)</f>
        <v>#NAME?</v>
      </c>
      <c r="S94" s="21" t="e" cm="1">
        <f t="array" aca="1" ref="S94" ca="1">_xll.DBRW($C$54,$M$82,S$24,$M$84,$C$69,$C$60,$C$61,$C$67,$C$66,$C$62,$C$63,$K94,$C$68,$M$83,$J94,$L94,$C$65,S$93)</f>
        <v>#NAME?</v>
      </c>
      <c r="T94" s="10" t="e" cm="1">
        <f t="array" aca="1" ref="T94" ca="1">_xll.DBRW($C$54,$M$82,T$24,$M$84,$C$69,$C$60,$C$61,$C$67,$C$66,$C$62,$C$63,$K94,$C$68,$M$83,$J94,$L94,$C$65,T$93)</f>
        <v>#NAME?</v>
      </c>
      <c r="U94" s="10" t="e" cm="1">
        <f t="array" aca="1" ref="U94" ca="1">_xll.DBRW($C$54,$M$82,U$24,$M$84,$C$69,$C$60,$C$61,$C$67,$C$66,$C$62,$C$63,$K94,$C$68,$M$83,$J94,$L94,$C$65,U$93)</f>
        <v>#NAME?</v>
      </c>
      <c r="V94" s="10" t="e" cm="1">
        <f t="array" aca="1" ref="V94" ca="1">_xll.DBRW($C$54,$M$82,V$24,$M$84,$C$69,$C$60,$C$61,$C$67,$C$66,$C$62,$C$63,$K94,$C$68,$M$83,$J94,$L94,$C$65,V$93)</f>
        <v>#NAME?</v>
      </c>
      <c r="W94" s="10" t="e" cm="1">
        <f t="array" aca="1" ref="W94" ca="1">_xll.DBRW($C$54,$M$82,W$24,$M$84,$C$69,$C$60,$C$61,$C$67,$C$66,$C$62,$C$63,$K94,$C$68,$M$83,$J94,$L94,$C$65,W$93)</f>
        <v>#NAME?</v>
      </c>
      <c r="X94" s="10" t="e" cm="1">
        <f t="array" aca="1" ref="X94" ca="1">_xll.DBRW($C$54,$M$82,X$24,$M$84,$C$69,$C$60,$C$61,$C$67,$C$66,$C$62,$C$63,$K94,$C$68,$M$83,$J94,$L94,$C$65,X$93)</f>
        <v>#NAME?</v>
      </c>
      <c r="Y94" s="10" t="e" cm="1">
        <f t="array" aca="1" ref="Y94" ca="1">_xll.DBRW($C$54,$M$82,Y$24,$M$84,$C$69,$C$60,$C$61,$C$67,$C$66,$C$62,$C$63,$K94,$C$68,$M$83,$J94,$L94,$C$65,Y$93)</f>
        <v>#NAME?</v>
      </c>
      <c r="Z94" s="21" t="e" cm="1">
        <f t="array" aca="1" ref="Z94" ca="1">_xll.DBRW($C$54,$M$82,Z$24,$M$84,$C$69,$C$60,$C$61,$C$67,$C$66,$C$62,$C$63,$K94,$C$68,$M$83,$J94,$L94,$C$65,Z$93)</f>
        <v>#NAME?</v>
      </c>
      <c r="AA94" s="10" t="e" cm="1">
        <f t="array" aca="1" ref="AA94" ca="1">_xll.DBRW($C$54,$M$82,AA$24,$M$84,$C$69,$C$60,$C$61,$C$67,$C$66,$C$62,$C$63,$K94,$C$68,$M$83,$J94,$L94,$C$65,AA$93)</f>
        <v>#NAME?</v>
      </c>
      <c r="AB94" s="10" t="e" cm="1">
        <f t="array" aca="1" ref="AB94" ca="1">_xll.DBRW($C$54,$M$82,AB$24,$M$84,$C$69,$C$60,$C$61,$C$67,$C$66,$C$62,$C$63,$K94,$C$68,$M$83,$J94,$L94,$C$65,AB$93)</f>
        <v>#NAME?</v>
      </c>
      <c r="AC94" s="10" t="e" cm="1">
        <f t="array" aca="1" ref="AC94" ca="1">_xll.DBRW($C$54,$M$82,AC$24,$M$84,$C$69,$C$60,$C$61,$C$67,$C$66,$C$62,$C$63,$K94,$C$68,$M$83,$J94,$L94,$C$65,AC$93)</f>
        <v>#NAME?</v>
      </c>
      <c r="AD94" s="10" t="e" cm="1">
        <f t="array" aca="1" ref="AD94" ca="1">_xll.DBRW($C$54,$M$82,AD$24,$M$84,$C$69,$C$60,$C$61,$C$67,$C$66,$C$62,$C$63,$K94,$C$68,$M$83,$J94,$L94,$C$65,AD$93)</f>
        <v>#NAME?</v>
      </c>
      <c r="AE94" s="10" t="e" cm="1">
        <f t="array" aca="1" ref="AE94" ca="1">_xll.DBRW($C$54,$M$82,AE$24,$M$84,$C$69,$C$60,$C$61,$C$67,$C$66,$C$62,$C$63,$K94,$C$68,$M$83,$J94,$L94,$C$65,AE$93)</f>
        <v>#NAME?</v>
      </c>
      <c r="AF94" s="10" t="e" cm="1">
        <f t="array" aca="1" ref="AF94" ca="1">_xll.DBRW($C$54,$M$82,AF$24,$M$84,$C$69,$C$60,$C$61,$C$67,$C$66,$C$62,$C$63,$K94,$C$68,$M$83,$J94,$L94,$C$65,AF$93)</f>
        <v>#NAME?</v>
      </c>
    </row>
  </sheetData>
  <sheetProtection sheet="1" objects="1" scenarios="1"/>
  <mergeCells count="25">
    <mergeCell ref="M81:O81"/>
    <mergeCell ref="J79:R79"/>
    <mergeCell ref="T92:Y92"/>
    <mergeCell ref="M82:O82"/>
    <mergeCell ref="M83:O83"/>
    <mergeCell ref="M84:O84"/>
    <mergeCell ref="K89:L89"/>
    <mergeCell ref="K82:L82"/>
    <mergeCell ref="K83:L83"/>
    <mergeCell ref="K84:L84"/>
    <mergeCell ref="K85:L85"/>
    <mergeCell ref="AA92:AF92"/>
    <mergeCell ref="M87:R87"/>
    <mergeCell ref="T87:Y87"/>
    <mergeCell ref="AA87:AF87"/>
    <mergeCell ref="M85:O85"/>
    <mergeCell ref="M92:R92"/>
    <mergeCell ref="M91:R91"/>
    <mergeCell ref="T91:Y91"/>
    <mergeCell ref="AA91:AF91"/>
    <mergeCell ref="B11:D11"/>
    <mergeCell ref="B19:D19"/>
    <mergeCell ref="B27:D27"/>
    <mergeCell ref="B34:D34"/>
    <mergeCell ref="B53:D53"/>
  </mergeCells>
  <conditionalFormatting sqref="J2:K7">
    <cfRule type="cellIs" dxfId="1" priority="17" operator="notEqual">
      <formula>"dsadsa"</formula>
    </cfRule>
  </conditionalFormatting>
  <conditionalFormatting sqref="J94:K94">
    <cfRule type="cellIs" dxfId="0" priority="1" operator="notEqual">
      <formula>"dsadsa"</formula>
    </cfRule>
  </conditionalFormatting>
  <pageMargins left="0.70866141732283472" right="0.70866141732283472" top="0.74803149606299213" bottom="0.74803149606299213" header="0.31496062992125984" footer="0.31496062992125984"/>
  <pageSetup paperSize="9" scale="43" fitToHeight="0" orientation="landscape" horizontalDpi="0" verticalDpi="0" r:id="rId1"/>
  <drawing r:id="rId2"/>
  <legacyDrawing r:id="rId3"/>
  <controls>
    <mc:AlternateContent xmlns:mc="http://schemas.openxmlformats.org/markup-compatibility/2006">
      <mc:Choice Requires="x14">
        <control shapeId="1300" r:id="rId4" name="TIButton8">
          <controlPr defaultSize="0" print="0" autoLine="0" r:id="rId5">
            <anchor moveWithCells="1" sizeWithCells="1">
              <from>
                <xdr:col>12</xdr:col>
                <xdr:colOff>66675</xdr:colOff>
                <xdr:row>75</xdr:row>
                <xdr:rowOff>0</xdr:rowOff>
              </from>
              <to>
                <xdr:col>13</xdr:col>
                <xdr:colOff>323850</xdr:colOff>
                <xdr:row>75</xdr:row>
                <xdr:rowOff>247650</xdr:rowOff>
              </to>
            </anchor>
          </controlPr>
        </control>
      </mc:Choice>
      <mc:Fallback>
        <control shapeId="1300" r:id="rId4" name="TIButton8"/>
      </mc:Fallback>
    </mc:AlternateContent>
    <mc:AlternateContent xmlns:mc="http://schemas.openxmlformats.org/markup-compatibility/2006">
      <mc:Choice Requires="x14">
        <control shapeId="1299" r:id="rId6" name="TIButton9">
          <controlPr defaultSize="0" print="0" autoLine="0" r:id="rId7">
            <anchor moveWithCells="1" sizeWithCells="1">
              <from>
                <xdr:col>10</xdr:col>
                <xdr:colOff>1847850</xdr:colOff>
                <xdr:row>75</xdr:row>
                <xdr:rowOff>0</xdr:rowOff>
              </from>
              <to>
                <xdr:col>11</xdr:col>
                <xdr:colOff>476250</xdr:colOff>
                <xdr:row>75</xdr:row>
                <xdr:rowOff>247650</xdr:rowOff>
              </to>
            </anchor>
          </controlPr>
        </control>
      </mc:Choice>
      <mc:Fallback>
        <control shapeId="1299" r:id="rId6" name="TIButton9"/>
      </mc:Fallback>
    </mc:AlternateContent>
    <mc:AlternateContent xmlns:mc="http://schemas.openxmlformats.org/markup-compatibility/2006">
      <mc:Choice Requires="x14">
        <control shapeId="1286" r:id="rId8" name="TIButton5">
          <controlPr defaultSize="0" print="0" autoLine="0" r:id="rId9">
            <anchor moveWithCells="1" sizeWithCells="1">
              <from>
                <xdr:col>10</xdr:col>
                <xdr:colOff>352425</xdr:colOff>
                <xdr:row>75</xdr:row>
                <xdr:rowOff>0</xdr:rowOff>
              </from>
              <to>
                <xdr:col>10</xdr:col>
                <xdr:colOff>1819275</xdr:colOff>
                <xdr:row>75</xdr:row>
                <xdr:rowOff>247650</xdr:rowOff>
              </to>
            </anchor>
          </controlPr>
        </control>
      </mc:Choice>
      <mc:Fallback>
        <control shapeId="1286" r:id="rId8" name="TIButton5"/>
      </mc:Fallback>
    </mc:AlternateContent>
    <mc:AlternateContent xmlns:mc="http://schemas.openxmlformats.org/markup-compatibility/2006">
      <mc:Choice Requires="x14">
        <control shapeId="1242" r:id="rId10" name="TIButton4">
          <controlPr defaultSize="0" print="0" autoLine="0" autoPict="0" r:id="rId11">
            <anchor moveWithCells="1" sizeWithCells="1">
              <from>
                <xdr:col>9</xdr:col>
                <xdr:colOff>1866900</xdr:colOff>
                <xdr:row>75</xdr:row>
                <xdr:rowOff>0</xdr:rowOff>
              </from>
              <to>
                <xdr:col>10</xdr:col>
                <xdr:colOff>314325</xdr:colOff>
                <xdr:row>75</xdr:row>
                <xdr:rowOff>247650</xdr:rowOff>
              </to>
            </anchor>
          </controlPr>
        </control>
      </mc:Choice>
      <mc:Fallback>
        <control shapeId="1242" r:id="rId10" name="TIButton4"/>
      </mc:Fallback>
    </mc:AlternateContent>
    <mc:AlternateContent xmlns:mc="http://schemas.openxmlformats.org/markup-compatibility/2006">
      <mc:Choice Requires="x14">
        <control shapeId="1241" r:id="rId12" name="TIButton2">
          <controlPr defaultSize="0" print="0" autoLine="0" r:id="rId13">
            <anchor moveWithCells="1" sizeWithCells="1">
              <from>
                <xdr:col>9</xdr:col>
                <xdr:colOff>714375</xdr:colOff>
                <xdr:row>75</xdr:row>
                <xdr:rowOff>0</xdr:rowOff>
              </from>
              <to>
                <xdr:col>9</xdr:col>
                <xdr:colOff>1838325</xdr:colOff>
                <xdr:row>75</xdr:row>
                <xdr:rowOff>247650</xdr:rowOff>
              </to>
            </anchor>
          </controlPr>
        </control>
      </mc:Choice>
      <mc:Fallback>
        <control shapeId="1241" r:id="rId12" name="TIButton2"/>
      </mc:Fallback>
    </mc:AlternateContent>
    <mc:AlternateContent xmlns:mc="http://schemas.openxmlformats.org/markup-compatibility/2006">
      <mc:Choice Requires="x14">
        <control shapeId="1240" r:id="rId14" name="TIButton3">
          <controlPr defaultSize="0" print="0" autoLine="0" r:id="rId15">
            <anchor moveWithCells="1" sizeWithCells="1">
              <from>
                <xdr:col>9</xdr:col>
                <xdr:colOff>38100</xdr:colOff>
                <xdr:row>75</xdr:row>
                <xdr:rowOff>0</xdr:rowOff>
              </from>
              <to>
                <xdr:col>9</xdr:col>
                <xdr:colOff>676275</xdr:colOff>
                <xdr:row>75</xdr:row>
                <xdr:rowOff>247650</xdr:rowOff>
              </to>
            </anchor>
          </controlPr>
        </control>
      </mc:Choice>
      <mc:Fallback>
        <control shapeId="1240" r:id="rId14" name="TIButton3"/>
      </mc:Fallback>
    </mc:AlternateContent>
    <mc:AlternateContent xmlns:mc="http://schemas.openxmlformats.org/markup-compatibility/2006">
      <mc:Choice Requires="x14">
        <control shapeId="1239" r:id="rId16" name="TIButton1">
          <controlPr defaultSize="0" print="0" autoLine="0" r:id="rId17">
            <anchor moveWithCells="1" sizeWithCells="1">
              <from>
                <xdr:col>14</xdr:col>
                <xdr:colOff>161925</xdr:colOff>
                <xdr:row>75</xdr:row>
                <xdr:rowOff>0</xdr:rowOff>
              </from>
              <to>
                <xdr:col>14</xdr:col>
                <xdr:colOff>942975</xdr:colOff>
                <xdr:row>75</xdr:row>
                <xdr:rowOff>247650</xdr:rowOff>
              </to>
            </anchor>
          </controlPr>
        </control>
      </mc:Choice>
      <mc:Fallback>
        <control shapeId="1239" r:id="rId16" name="TIButton1"/>
      </mc:Fallback>
    </mc:AlternateContent>
    <mc:AlternateContent xmlns:mc="http://schemas.openxmlformats.org/markup-compatibility/2006">
      <mc:Choice Requires="x14">
        <control shapeId="1296" r:id="rId18" name="TIButton6">
          <controlPr defaultSize="0" print="0" autoLine="0" r:id="rId19">
            <anchor moveWithCells="1" sizeWithCells="1">
              <from>
                <xdr:col>17</xdr:col>
                <xdr:colOff>657225</xdr:colOff>
                <xdr:row>74</xdr:row>
                <xdr:rowOff>28575</xdr:rowOff>
              </from>
              <to>
                <xdr:col>17</xdr:col>
                <xdr:colOff>971550</xdr:colOff>
                <xdr:row>75</xdr:row>
                <xdr:rowOff>285750</xdr:rowOff>
              </to>
            </anchor>
          </controlPr>
        </control>
      </mc:Choice>
      <mc:Fallback>
        <control shapeId="1296" r:id="rId18" name="TIButton6"/>
      </mc:Fallback>
    </mc:AlternateContent>
    <mc:AlternateContent xmlns:mc="http://schemas.openxmlformats.org/markup-compatibility/2006">
      <mc:Choice Requires="x14">
        <control shapeId="1298" r:id="rId20" name="TIButton7">
          <controlPr defaultSize="0" print="0" autoLine="0" r:id="rId21">
            <anchor moveWithCells="1" sizeWithCells="1">
              <from>
                <xdr:col>13</xdr:col>
                <xdr:colOff>371475</xdr:colOff>
                <xdr:row>75</xdr:row>
                <xdr:rowOff>0</xdr:rowOff>
              </from>
              <to>
                <xdr:col>14</xdr:col>
                <xdr:colOff>123825</xdr:colOff>
                <xdr:row>75</xdr:row>
                <xdr:rowOff>247650</xdr:rowOff>
              </to>
            </anchor>
          </controlPr>
        </control>
      </mc:Choice>
      <mc:Fallback>
        <control shapeId="1298" r:id="rId20" name="TIButton7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49</vt:i4>
      </vt:variant>
    </vt:vector>
  </HeadingPairs>
  <TitlesOfParts>
    <vt:vector size="50" baseType="lpstr">
      <vt:lpstr>reco</vt:lpstr>
      <vt:lpstr>db_name</vt:lpstr>
      <vt:lpstr>psApp</vt:lpstr>
      <vt:lpstr>psHLYear</vt:lpstr>
      <vt:lpstr>psUser</vt:lpstr>
      <vt:lpstr>TM1AdjIDListCAP</vt:lpstr>
      <vt:lpstr>TM1AdjIDListWB</vt:lpstr>
      <vt:lpstr>TM1AdminArcCBMSRecoAppropCAP</vt:lpstr>
      <vt:lpstr>TM1AdminArcCBMSRecoAppropWB</vt:lpstr>
      <vt:lpstr>TM1AdminArcCBMSRecoAppropWS</vt:lpstr>
      <vt:lpstr>TM1AdminArcCBMSRecoCAP</vt:lpstr>
      <vt:lpstr>TM1AdminArcCBMSRecoProgDetCAP</vt:lpstr>
      <vt:lpstr>TM1AdminArcCBMSRecoProgDetWB</vt:lpstr>
      <vt:lpstr>TM1AdminArcCBMSRecoProgDetWS</vt:lpstr>
      <vt:lpstr>TM1AdminArcCBMSRecoRep</vt:lpstr>
      <vt:lpstr>TM1AdminArcCBMSRecoRepCAP</vt:lpstr>
      <vt:lpstr>TM1AdminArcCBMSRecoRepDetCAP</vt:lpstr>
      <vt:lpstr>TM1AdminArcCBMSRecoRepDetWB</vt:lpstr>
      <vt:lpstr>TM1AdminArcCBMSRecoRepDetWS</vt:lpstr>
      <vt:lpstr>TM1AdminArcCBMSRecoRepWB</vt:lpstr>
      <vt:lpstr>TM1AdminArcCBMSRecoRepWS</vt:lpstr>
      <vt:lpstr>TM1AdminArcCBMSRecoWB</vt:lpstr>
      <vt:lpstr>TM1HomeAdminBaseCAP</vt:lpstr>
      <vt:lpstr>TM1HomeAdminBaseWB</vt:lpstr>
      <vt:lpstr>TM1HomeAdminBaseWS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TM1HomeUnderCAP</vt:lpstr>
      <vt:lpstr>TM1HomeUnderWB</vt:lpstr>
      <vt:lpstr>TM1HomeUnderWS</vt:lpstr>
      <vt:lpstr>TM1HomeWB</vt:lpstr>
      <vt:lpstr>TM1HomeWS</vt:lpstr>
      <vt:lpstr>TM1IDListWS</vt:lpstr>
      <vt:lpstr>reco!TM1RPTDATARNG1</vt:lpstr>
      <vt:lpstr>reco!TM1RPTFMTIDCOL</vt:lpstr>
      <vt:lpstr>reco!TM1RPTFMTRNG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cp:lastPrinted>2019-08-30T05:04:19Z</cp:lastPrinted>
  <dcterms:created xsi:type="dcterms:W3CDTF">2019-08-30T03:30:26Z</dcterms:created>
  <dcterms:modified xsi:type="dcterms:W3CDTF">2025-08-05T04:47:18Z</dcterms:modified>
</cp:coreProperties>
</file>