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he\Test_Repository\files\}Externals\"/>
    </mc:Choice>
  </mc:AlternateContent>
  <xr:revisionPtr revIDLastSave="0" documentId="8_{97A87622-BFC2-46E7-BF7B-30EB7FB3BB49}" xr6:coauthVersionLast="47" xr6:coauthVersionMax="47" xr10:uidLastSave="{00000000-0000-0000-0000-000000000000}"/>
  <bookViews>
    <workbookView xWindow="29580" yWindow="780" windowWidth="21600" windowHeight="11385" xr2:uid="{4AAE87B4-1697-4EA2-8857-8A2554EC5328}"/>
  </bookViews>
  <sheets>
    <sheet name="report" sheetId="1" r:id="rId1"/>
  </sheets>
  <definedNames>
    <definedName name="Acc_display_list">report!$C$57:$C$58</definedName>
    <definedName name="db_name">report!$C$12</definedName>
    <definedName name="Freeze_HERE">report!$B$108</definedName>
    <definedName name="ID" localSheetId="0" hidden="1">"d7157b05-1889-461b-ba64-ca29d9a244ca"</definedName>
    <definedName name="psApp">report!$C$27</definedName>
    <definedName name="psHLYear">report!$L$97</definedName>
    <definedName name="psProgDimName">report!$C$23</definedName>
    <definedName name="psUser">report!$C$14</definedName>
    <definedName name="Report_type_table">report!$B$41:$E$42</definedName>
    <definedName name="sys_disprep_list">report!$C$53:$C$54</definedName>
    <definedName name="sys_YN_list">report!$C$55:$C$56</definedName>
    <definedName name="TM1HomeAECAP">report!$D$30</definedName>
    <definedName name="TM1HomeAEWB">report!$F$30</definedName>
    <definedName name="TM1HomeAEWS">report!$H$30</definedName>
    <definedName name="TM1HomeCAP">report!$D$29</definedName>
    <definedName name="TM1HomeRepAnalyticalCAP">report!$D$33</definedName>
    <definedName name="TM1HomeRepAnalyticalWB">report!$F$33</definedName>
    <definedName name="TM1HomeRepAnalyticalWS">report!$H$33</definedName>
    <definedName name="TM1HomeRepCAP">report!$D$31</definedName>
    <definedName name="TM1HomeRepOtherCAP">report!$D$32</definedName>
    <definedName name="TM1HomeRepOtherWB">report!$F$32</definedName>
    <definedName name="TM1HomeRepOtherWS">report!$H$32</definedName>
    <definedName name="TM1HomeRepWB">report!$F$31</definedName>
    <definedName name="TM1HomeRepWS">report!$H$31</definedName>
    <definedName name="TM1HomeWB">report!$F$29</definedName>
    <definedName name="TM1HomeWS">report!$H$29</definedName>
    <definedName name="TM1REBUILDOPTION">0</definedName>
    <definedName name="TM1RPTDATARNG3" localSheetId="0">report!$109:$109</definedName>
    <definedName name="TM1RPTFMTIDCOL" localSheetId="0">report!$B$1:$B$8</definedName>
    <definedName name="TM1RPTFMTRNG" localSheetId="0">report!$K$1:$AB$8</definedName>
  </definedNames>
  <calcPr calcId="181029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0" i="1" l="1" a="1"/>
  <c r="C20" i="1" s="1"/>
  <c r="C26" i="1" a="1"/>
  <c r="C26" i="1" s="1"/>
  <c r="C13" i="1" a="1"/>
  <c r="C13" i="1" s="1"/>
  <c r="R103" i="1"/>
  <c r="AB106" i="1"/>
  <c r="AA106" i="1"/>
  <c r="Z106" i="1"/>
  <c r="Y106" i="1"/>
  <c r="X106" i="1"/>
  <c r="W106" i="1"/>
  <c r="V106" i="1"/>
  <c r="U106" i="1"/>
  <c r="T106" i="1"/>
  <c r="S106" i="1"/>
  <c r="R106" i="1"/>
  <c r="Q106" i="1"/>
  <c r="P106" i="1"/>
  <c r="O106" i="1"/>
  <c r="N106" i="1"/>
  <c r="B5" i="1"/>
  <c r="B4" i="1"/>
  <c r="B3" i="1"/>
  <c r="B2" i="1"/>
  <c r="C77" i="1" a="1"/>
  <c r="L99" i="1" a="1"/>
  <c r="L87" i="1" a="1"/>
  <c r="O100" i="1" a="1"/>
  <c r="L102" i="1" a="1"/>
  <c r="D68" i="1" a="1"/>
  <c r="O102" i="1" a="1"/>
  <c r="C21" i="1" a="1"/>
  <c r="C66" i="1" a="1"/>
  <c r="C76" i="1" a="1"/>
  <c r="O103" i="1" a="1"/>
  <c r="C67" i="1" a="1"/>
  <c r="O99" i="1" a="1"/>
  <c r="H33" i="1" a="1"/>
  <c r="F32" i="1" a="1"/>
  <c r="H31" i="1" a="1"/>
  <c r="D31" i="1" a="1"/>
  <c r="F30" i="1" a="1"/>
  <c r="D29" i="1" a="1"/>
  <c r="C69" i="1" a="1"/>
  <c r="O101" i="1" a="1"/>
  <c r="F33" i="1" a="1"/>
  <c r="H30" i="1" a="1"/>
  <c r="C68" i="1" a="1"/>
  <c r="C23" i="1" a="1"/>
  <c r="D33" i="1" a="1"/>
  <c r="H29" i="1" a="1"/>
  <c r="O98" i="1" a="1"/>
  <c r="C70" i="1" a="1"/>
  <c r="D32" i="1" a="1"/>
  <c r="D30" i="1" a="1"/>
  <c r="C32" i="1" a="1"/>
  <c r="G30" i="1" a="1"/>
  <c r="C14" i="1" a="1"/>
  <c r="C73" i="1" a="1"/>
  <c r="F31" i="1" a="1"/>
  <c r="F29" i="1" a="1"/>
  <c r="G32" i="1" a="1"/>
  <c r="E31" i="1" a="1"/>
  <c r="C30" i="1" a="1"/>
  <c r="C22" i="1" a="1"/>
  <c r="C71" i="1" a="1"/>
  <c r="L101" i="1" a="1"/>
  <c r="B109" i="1" a="1"/>
  <c r="G33" i="1" a="1"/>
  <c r="C33" i="1" a="1"/>
  <c r="E32" i="1" a="1"/>
  <c r="G31" i="1" a="1"/>
  <c r="C31" i="1" a="1"/>
  <c r="E30" i="1" a="1"/>
  <c r="G29" i="1" a="1"/>
  <c r="C29" i="1" a="1"/>
  <c r="C72" i="1" a="1"/>
  <c r="O97" i="1" a="1"/>
  <c r="H32" i="1" a="1"/>
  <c r="E33" i="1" a="1"/>
  <c r="E29" i="1" a="1"/>
  <c r="E29" i="1" l="1"/>
  <c r="E33" i="1"/>
  <c r="H32" i="1"/>
  <c r="O97" i="1"/>
  <c r="C72" i="1"/>
  <c r="C29" i="1"/>
  <c r="G29" i="1"/>
  <c r="E30" i="1"/>
  <c r="C31" i="1"/>
  <c r="G31" i="1"/>
  <c r="E32" i="1"/>
  <c r="C33" i="1"/>
  <c r="G33" i="1"/>
  <c r="B109" i="1"/>
  <c r="L101" i="1"/>
  <c r="C71" i="1"/>
  <c r="C22" i="1"/>
  <c r="C30" i="1"/>
  <c r="E31" i="1"/>
  <c r="G32" i="1"/>
  <c r="F29" i="1"/>
  <c r="F31" i="1"/>
  <c r="C73" i="1"/>
  <c r="C14" i="1"/>
  <c r="G30" i="1"/>
  <c r="C32" i="1"/>
  <c r="D30" i="1"/>
  <c r="D32" i="1"/>
  <c r="C70" i="1"/>
  <c r="O98" i="1"/>
  <c r="H29" i="1"/>
  <c r="D33" i="1"/>
  <c r="C23" i="1"/>
  <c r="C68" i="1"/>
  <c r="H30" i="1"/>
  <c r="F33" i="1"/>
  <c r="O101" i="1"/>
  <c r="C69" i="1"/>
  <c r="D29" i="1"/>
  <c r="F30" i="1"/>
  <c r="D31" i="1"/>
  <c r="H31" i="1"/>
  <c r="F32" i="1"/>
  <c r="H33" i="1"/>
  <c r="O99" i="1"/>
  <c r="C67" i="1"/>
  <c r="O103" i="1"/>
  <c r="C59" i="1" s="1"/>
  <c r="C76" i="1"/>
  <c r="C66" i="1"/>
  <c r="C21" i="1"/>
  <c r="O102" i="1"/>
  <c r="C60" i="1" s="1"/>
  <c r="D68" i="1"/>
  <c r="L102" i="1"/>
  <c r="O100" i="1"/>
  <c r="L87" i="1"/>
  <c r="L99" i="1"/>
  <c r="C77" i="1"/>
  <c r="L98" i="1" a="1"/>
  <c r="L97" i="1" a="1"/>
  <c r="C15" i="1" a="1"/>
  <c r="C16" i="1" a="1"/>
  <c r="C16" i="1" l="1"/>
  <c r="C15" i="1"/>
  <c r="C17" i="1" s="1"/>
  <c r="L97" i="1"/>
  <c r="L98" i="1"/>
  <c r="C45" i="1"/>
  <c r="C46" i="1"/>
  <c r="C43" i="1" s="1"/>
  <c r="E48" i="1"/>
  <c r="D48" i="1"/>
  <c r="C48" i="1" s="1"/>
  <c r="E50" i="1"/>
  <c r="D50" i="1"/>
  <c r="C50" i="1" s="1"/>
  <c r="E49" i="1"/>
  <c r="D49" i="1"/>
  <c r="C49" i="1" s="1"/>
  <c r="D51" i="1"/>
  <c r="C51" i="1" s="1"/>
  <c r="E51" i="1"/>
  <c r="C36" i="1" a="1"/>
  <c r="L100" i="1" a="1"/>
  <c r="L100" i="1" l="1"/>
  <c r="C36" i="1"/>
  <c r="N19" i="1"/>
  <c r="L109" i="1" a="1"/>
  <c r="J109" i="1" a="1"/>
  <c r="M109" i="1" a="1"/>
  <c r="R20" i="1" a="1"/>
  <c r="S20" i="1" a="1"/>
  <c r="O20" i="1" a="1"/>
  <c r="P20" i="1" a="1"/>
  <c r="Q20" i="1" a="1"/>
  <c r="N20" i="1" a="1"/>
  <c r="N20" i="1" l="1"/>
  <c r="N105" i="1" s="1"/>
  <c r="Q20" i="1"/>
  <c r="Q105" i="1" s="1"/>
  <c r="P20" i="1"/>
  <c r="P105" i="1" s="1"/>
  <c r="O20" i="1"/>
  <c r="S20" i="1"/>
  <c r="S105" i="1" s="1"/>
  <c r="R20" i="1"/>
  <c r="R105" i="1" s="1"/>
  <c r="M109" i="1"/>
  <c r="J109" i="1"/>
  <c r="L109" i="1"/>
  <c r="C42" i="1"/>
  <c r="C39" i="1" s="1"/>
  <c r="C41" i="1"/>
  <c r="Z20" i="1" a="1"/>
  <c r="U20" i="1" a="1"/>
  <c r="AB20" i="1" a="1"/>
  <c r="AA20" i="1" a="1"/>
  <c r="W20" i="1" a="1"/>
  <c r="X20" i="1" a="1"/>
  <c r="V20" i="1" a="1"/>
  <c r="Y20" i="1" a="1"/>
  <c r="T20" i="1" a="1"/>
  <c r="K109" i="1" a="1"/>
  <c r="K109" i="1" l="1"/>
  <c r="T20" i="1"/>
  <c r="T105" i="1" s="1"/>
  <c r="Y20" i="1"/>
  <c r="Y105" i="1" s="1"/>
  <c r="V20" i="1"/>
  <c r="V105" i="1" s="1"/>
  <c r="X20" i="1"/>
  <c r="X105" i="1" s="1"/>
  <c r="W20" i="1"/>
  <c r="W105" i="1" s="1"/>
  <c r="AA20" i="1"/>
  <c r="AA105" i="1" s="1"/>
  <c r="AB20" i="1"/>
  <c r="AB105" i="1" s="1"/>
  <c r="U20" i="1"/>
  <c r="U105" i="1" s="1"/>
  <c r="Z20" i="1"/>
  <c r="Z105" i="1" s="1"/>
  <c r="O105" i="1"/>
  <c r="P109" i="1" a="1"/>
  <c r="AB109" i="1" a="1"/>
  <c r="X109" i="1" a="1"/>
  <c r="Y109" i="1" a="1"/>
  <c r="T109" i="1" a="1"/>
  <c r="Q109" i="1" a="1"/>
  <c r="U109" i="1" a="1"/>
  <c r="N109" i="1" a="1"/>
  <c r="R109" i="1" a="1"/>
  <c r="V109" i="1" a="1"/>
  <c r="Z109" i="1" a="1"/>
  <c r="O109" i="1" a="1"/>
  <c r="S109" i="1" a="1"/>
  <c r="W109" i="1" a="1"/>
  <c r="AA109" i="1" a="1"/>
  <c r="AA109" i="1" l="1"/>
  <c r="W109" i="1"/>
  <c r="S109" i="1"/>
  <c r="O109" i="1"/>
  <c r="Z109" i="1"/>
  <c r="V109" i="1"/>
  <c r="R109" i="1"/>
  <c r="N109" i="1"/>
  <c r="U109" i="1"/>
  <c r="Q109" i="1"/>
  <c r="T109" i="1"/>
  <c r="Y109" i="1"/>
  <c r="X109" i="1"/>
  <c r="AB109" i="1"/>
  <c r="P109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<sst xmlns="http://schemas.openxmlformats.org/spreadsheetml/2006/main" count="137" uniqueCount="118">
  <si>
    <t>headline year</t>
  </si>
  <si>
    <t>scenario</t>
  </si>
  <si>
    <t>status</t>
  </si>
  <si>
    <t>outcome</t>
  </si>
  <si>
    <t>related entity</t>
  </si>
  <si>
    <t>function</t>
  </si>
  <si>
    <t>reason</t>
  </si>
  <si>
    <t>spp</t>
  </si>
  <si>
    <t>measure code</t>
  </si>
  <si>
    <t>appropriation type</t>
  </si>
  <si>
    <t>movement account</t>
  </si>
  <si>
    <t>id</t>
  </si>
  <si>
    <t>jurisdiction</t>
  </si>
  <si>
    <t>D</t>
  </si>
  <si>
    <t>N</t>
  </si>
  <si>
    <t>[Begin Format Range]</t>
  </si>
  <si>
    <t>[End Format Range]</t>
  </si>
  <si>
    <t>Appropriation Item</t>
  </si>
  <si>
    <t>Programme</t>
  </si>
  <si>
    <t>period</t>
  </si>
  <si>
    <t>Acc MDX</t>
  </si>
  <si>
    <t>Prog MDX</t>
  </si>
  <si>
    <t>code and description</t>
  </si>
  <si>
    <t>Summary</t>
  </si>
  <si>
    <t>Yes</t>
  </si>
  <si>
    <t>sys_disprep_list</t>
  </si>
  <si>
    <t>Detail</t>
  </si>
  <si>
    <t>No</t>
  </si>
  <si>
    <t>sys_YN_list</t>
  </si>
  <si>
    <t>Acc_Display_list</t>
  </si>
  <si>
    <t>Code and description</t>
  </si>
  <si>
    <t>description</t>
  </si>
  <si>
    <t>Supress Zero Flag</t>
  </si>
  <si>
    <t>Expand Above Flag</t>
  </si>
  <si>
    <t>Approp Item MDX</t>
  </si>
  <si>
    <t>Report type table for Prog MDX:</t>
  </si>
  <si>
    <t>Report Type table for Approp Item MDX:</t>
  </si>
  <si>
    <t>RB</t>
  </si>
  <si>
    <t>NB</t>
  </si>
  <si>
    <t>FE2</t>
  </si>
  <si>
    <t>$'000</t>
  </si>
  <si>
    <t>FE1</t>
  </si>
  <si>
    <t>FE3</t>
  </si>
  <si>
    <t>Freeze Rows HERE</t>
  </si>
  <si>
    <t>{TM1DRILLDOWNMEMBER( {[account].[9000851].Children}, ALL, RECURSIVE )}</t>
  </si>
  <si>
    <t>Account Display  :</t>
  </si>
  <si>
    <t>System Parameters</t>
  </si>
  <si>
    <t>Dataabase Name</t>
  </si>
  <si>
    <t>}Clients</t>
  </si>
  <si>
    <t>TM1 User</t>
  </si>
  <si>
    <t>}TM1_DefaultDisplayValue</t>
  </si>
  <si>
    <t>GEUS User Name</t>
  </si>
  <si>
    <t>Current User</t>
  </si>
  <si>
    <t xml:space="preserve">System Variables </t>
  </si>
  <si>
    <t>VIEW</t>
  </si>
  <si>
    <t>headline scenario</t>
  </si>
  <si>
    <t>program dimension name</t>
  </si>
  <si>
    <t>Active Form AE Adjustments</t>
  </si>
  <si>
    <t>Active Form View</t>
  </si>
  <si>
    <t>Slice View</t>
  </si>
  <si>
    <t>Report Headers AE Adjustment</t>
  </si>
  <si>
    <t>Summary/Collapse</t>
  </si>
  <si>
    <t>Detail/Expand</t>
  </si>
  <si>
    <t>REPORT PARAMETERS</t>
  </si>
  <si>
    <t>DISPLAY SETTINGS</t>
  </si>
  <si>
    <t>Expand Above:</t>
  </si>
  <si>
    <t>Suppress Zero:</t>
  </si>
  <si>
    <t>Headline Year :</t>
  </si>
  <si>
    <t>Scenario :</t>
  </si>
  <si>
    <t>Program :</t>
  </si>
  <si>
    <t>Status :</t>
  </si>
  <si>
    <t>sys_application</t>
  </si>
  <si>
    <t>Current Workbook</t>
  </si>
  <si>
    <t>Caption Name</t>
  </si>
  <si>
    <t>Caption</t>
  </si>
  <si>
    <t>Workbook Name</t>
  </si>
  <si>
    <t>Workbook</t>
  </si>
  <si>
    <t>Worksheet Name</t>
  </si>
  <si>
    <t>Worksheet</t>
  </si>
  <si>
    <t>Homepage - Home</t>
  </si>
  <si>
    <t>Homepage - Annual Estimates</t>
  </si>
  <si>
    <t>Homepage - Reports</t>
  </si>
  <si>
    <t>Homepage - Reports - Other</t>
  </si>
  <si>
    <t>Reports - Special Accounts</t>
  </si>
  <si>
    <t>As at</t>
  </si>
  <si>
    <t>PROGRAM</t>
  </si>
  <si>
    <t>ACCOUNT</t>
  </si>
  <si>
    <t>Homepage - Reports - Analytical</t>
  </si>
  <si>
    <t>FE5</t>
  </si>
  <si>
    <t>FE6</t>
  </si>
  <si>
    <t>FE7</t>
  </si>
  <si>
    <t>FE8</t>
  </si>
  <si>
    <t>FE9</t>
  </si>
  <si>
    <t>FE10</t>
  </si>
  <si>
    <t>FE11</t>
  </si>
  <si>
    <t>FE12</t>
  </si>
  <si>
    <t>FE13</t>
  </si>
  <si>
    <t>FE4</t>
  </si>
  <si>
    <t>Appropriation Item :</t>
  </si>
  <si>
    <t>Function - MDX</t>
  </si>
  <si>
    <t>Collapse</t>
  </si>
  <si>
    <t>SPP Report</t>
  </si>
  <si>
    <t>SPP :</t>
  </si>
  <si>
    <t>Account :</t>
  </si>
  <si>
    <t>SPP - MDX</t>
  </si>
  <si>
    <t>SPP</t>
  </si>
  <si>
    <t>Program  :</t>
  </si>
  <si>
    <t>SubFunction  :</t>
  </si>
  <si>
    <t>SPP  :</t>
  </si>
  <si>
    <t>Account  :</t>
  </si>
  <si>
    <t>JURISDICTION</t>
  </si>
  <si>
    <t>To USE</t>
  </si>
  <si>
    <t>Jurisdiction - MDX</t>
  </si>
  <si>
    <t>Show SPP Accounts Only  :</t>
  </si>
  <si>
    <t>Show SPP Accounts Only</t>
  </si>
  <si>
    <t>{TM1SORT( {FILTER( {TM1FILTERBYLEVEL( {TM1SUBSETALL( [account] )}, 0)}, [account].[SPP Required] = "Y")}, ASC)}</t>
  </si>
  <si>
    <t xml:space="preserve">Note : To filter on accounts, need to set this option to NO. </t>
  </si>
  <si>
    <t>finance_geus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</si>
</sst>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_);[Red]_(* \(#,##0\);_(* &quot;-&quot;??_);_(@_)"/>
    <numFmt numFmtId="165" formatCode="_(* #,##0.00_);_(* \(#,##0.00\);_(* &quot;-&quot;??_);_(@_)"/>
    <numFmt numFmtId="166" formatCode="dd\ mmmm\ yyyy\ h:mm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indexed="9"/>
      <name val="Calibri"/>
      <family val="2"/>
      <scheme val="minor"/>
    </font>
    <font>
      <b/>
      <sz val="10"/>
      <color theme="3" tint="-0.249977111117893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20"/>
      <color theme="0"/>
      <name val="Calibri"/>
      <family val="2"/>
      <scheme val="minor"/>
    </font>
    <font>
      <i/>
      <sz val="9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4274"/>
        <bgColor indexed="64"/>
      </patternFill>
    </fill>
    <fill>
      <patternFill patternType="solid">
        <fgColor rgb="FF00426A"/>
        <bgColor indexed="64"/>
      </patternFill>
    </fill>
    <fill>
      <patternFill patternType="solid">
        <fgColor rgb="FF333F48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3">
    <xf numFmtId="0" fontId="0" fillId="0" borderId="0"/>
    <xf numFmtId="0" fontId="1" fillId="0" borderId="0"/>
    <xf numFmtId="165" fontId="1" fillId="0" borderId="0" applyFont="0" applyFill="0" applyBorder="0" applyAlignment="0" applyProtection="0"/>
  </cellStyleXfs>
  <cellXfs count="67">
    <xf numFmtId="0" fontId="0" fillId="0" borderId="0" xfId="0"/>
    <xf numFmtId="0" fontId="2" fillId="0" borderId="0" xfId="0" applyFont="1"/>
    <xf numFmtId="0" fontId="4" fillId="0" borderId="0" xfId="0" applyFont="1" applyAlignment="1">
      <alignment vertical="center"/>
    </xf>
    <xf numFmtId="0" fontId="6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7" fillId="0" borderId="0" xfId="1" applyFont="1" applyAlignment="1">
      <alignment horizontal="right" indent="2"/>
    </xf>
    <xf numFmtId="0" fontId="7" fillId="0" borderId="0" xfId="1" applyFont="1" applyAlignment="1">
      <alignment horizontal="right" wrapText="1" indent="1"/>
    </xf>
    <xf numFmtId="0" fontId="2" fillId="0" borderId="3" xfId="0" applyFont="1" applyBorder="1" applyAlignment="1">
      <alignment wrapText="1"/>
    </xf>
    <xf numFmtId="0" fontId="2" fillId="0" borderId="4" xfId="0" applyFont="1" applyBorder="1"/>
    <xf numFmtId="0" fontId="2" fillId="0" borderId="5" xfId="0" applyFont="1" applyBorder="1" applyAlignment="1">
      <alignment wrapText="1"/>
    </xf>
    <xf numFmtId="0" fontId="2" fillId="0" borderId="6" xfId="0" applyFont="1" applyBorder="1"/>
    <xf numFmtId="0" fontId="2" fillId="2" borderId="0" xfId="0" applyFont="1" applyFill="1"/>
    <xf numFmtId="0" fontId="2" fillId="0" borderId="0" xfId="0" applyFont="1" applyAlignment="1">
      <alignment vertical="top"/>
    </xf>
    <xf numFmtId="0" fontId="2" fillId="0" borderId="8" xfId="0" applyFont="1" applyBorder="1"/>
    <xf numFmtId="0" fontId="2" fillId="0" borderId="0" xfId="0" applyFont="1" applyAlignment="1">
      <alignment horizontal="center"/>
    </xf>
    <xf numFmtId="0" fontId="0" fillId="3" borderId="0" xfId="0" applyFill="1"/>
    <xf numFmtId="164" fontId="5" fillId="2" borderId="1" xfId="2" applyNumberFormat="1" applyFont="1" applyFill="1" applyBorder="1"/>
    <xf numFmtId="164" fontId="5" fillId="4" borderId="1" xfId="2" applyNumberFormat="1" applyFont="1" applyFill="1" applyBorder="1"/>
    <xf numFmtId="164" fontId="2" fillId="0" borderId="1" xfId="2" applyNumberFormat="1" applyFont="1" applyBorder="1"/>
    <xf numFmtId="0" fontId="5" fillId="2" borderId="1" xfId="0" applyFont="1" applyFill="1" applyBorder="1"/>
    <xf numFmtId="0" fontId="5" fillId="4" borderId="1" xfId="0" applyFont="1" applyFill="1" applyBorder="1"/>
    <xf numFmtId="0" fontId="2" fillId="0" borderId="1" xfId="0" applyFont="1" applyBorder="1"/>
    <xf numFmtId="0" fontId="9" fillId="0" borderId="0" xfId="0" applyFont="1"/>
    <xf numFmtId="0" fontId="9" fillId="0" borderId="1" xfId="0" applyFont="1" applyBorder="1"/>
    <xf numFmtId="0" fontId="0" fillId="0" borderId="1" xfId="0" applyBorder="1"/>
    <xf numFmtId="0" fontId="5" fillId="0" borderId="1" xfId="0" applyFont="1" applyBorder="1" applyAlignment="1">
      <alignment wrapText="1"/>
    </xf>
    <xf numFmtId="0" fontId="2" fillId="0" borderId="1" xfId="0" applyFont="1" applyBorder="1" applyAlignment="1">
      <alignment vertical="top"/>
    </xf>
    <xf numFmtId="0" fontId="10" fillId="0" borderId="1" xfId="0" applyFont="1" applyBorder="1" applyAlignment="1" applyProtection="1">
      <alignment horizontal="center" vertical="center" wrapText="1"/>
      <protection locked="0"/>
    </xf>
    <xf numFmtId="0" fontId="2" fillId="0" borderId="0" xfId="0" applyFont="1" applyAlignment="1">
      <alignment horizontal="left" indent="1"/>
    </xf>
    <xf numFmtId="0" fontId="10" fillId="0" borderId="0" xfId="0" applyFont="1" applyAlignment="1" applyProtection="1">
      <alignment horizontal="center" vertical="center" wrapText="1"/>
      <protection locked="0"/>
    </xf>
    <xf numFmtId="0" fontId="11" fillId="6" borderId="0" xfId="0" applyFont="1" applyFill="1" applyAlignment="1">
      <alignment vertical="center" wrapText="1"/>
    </xf>
    <xf numFmtId="0" fontId="3" fillId="6" borderId="0" xfId="0" applyFont="1" applyFill="1" applyAlignment="1">
      <alignment horizontal="right" vertical="center"/>
    </xf>
    <xf numFmtId="0" fontId="8" fillId="7" borderId="2" xfId="0" applyFont="1" applyFill="1" applyBorder="1" applyAlignment="1">
      <alignment wrapText="1"/>
    </xf>
    <xf numFmtId="0" fontId="9" fillId="0" borderId="0" xfId="0" applyFont="1" applyAlignment="1">
      <alignment horizontal="right" indent="1"/>
    </xf>
    <xf numFmtId="0" fontId="10" fillId="0" borderId="1" xfId="0" applyFont="1" applyBorder="1" applyAlignment="1" applyProtection="1">
      <alignment horizontal="left" vertical="center" indent="1"/>
      <protection locked="0"/>
    </xf>
    <xf numFmtId="0" fontId="2" fillId="0" borderId="7" xfId="0" applyFont="1" applyBorder="1" applyAlignment="1">
      <alignment wrapText="1"/>
    </xf>
    <xf numFmtId="0" fontId="9" fillId="0" borderId="0" xfId="0" applyFont="1" applyAlignment="1">
      <alignment horizontal="right"/>
    </xf>
    <xf numFmtId="0" fontId="0" fillId="0" borderId="1" xfId="0" applyBorder="1" applyAlignment="1">
      <alignment horizontal="center"/>
    </xf>
    <xf numFmtId="0" fontId="8" fillId="6" borderId="0" xfId="0" applyFont="1" applyFill="1" applyAlignment="1">
      <alignment horizontal="center"/>
    </xf>
    <xf numFmtId="0" fontId="2" fillId="8" borderId="1" xfId="0" applyFont="1" applyFill="1" applyBorder="1"/>
    <xf numFmtId="0" fontId="2" fillId="8" borderId="1" xfId="0" applyFont="1" applyFill="1" applyBorder="1" applyAlignment="1">
      <alignment vertical="top"/>
    </xf>
    <xf numFmtId="0" fontId="5" fillId="0" borderId="1" xfId="0" quotePrefix="1" applyFont="1" applyBorder="1"/>
    <xf numFmtId="0" fontId="5" fillId="0" borderId="1" xfId="0" applyFont="1" applyBorder="1"/>
    <xf numFmtId="0" fontId="8" fillId="5" borderId="12" xfId="0" applyFont="1" applyFill="1" applyBorder="1" applyAlignment="1">
      <alignment horizontal="center"/>
    </xf>
    <xf numFmtId="0" fontId="12" fillId="0" borderId="0" xfId="0" applyFont="1"/>
    <xf numFmtId="0" fontId="5" fillId="2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3" fillId="6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11" fillId="6" borderId="0" xfId="0" applyFont="1" applyFill="1" applyAlignment="1">
      <alignment horizontal="center" vertical="center" wrapText="1"/>
    </xf>
    <xf numFmtId="0" fontId="7" fillId="0" borderId="0" xfId="1" applyFont="1" applyAlignment="1">
      <alignment horizontal="center"/>
    </xf>
    <xf numFmtId="49" fontId="5" fillId="0" borderId="1" xfId="0" applyNumberFormat="1" applyFont="1" applyBorder="1"/>
    <xf numFmtId="166" fontId="9" fillId="0" borderId="0" xfId="0" applyNumberFormat="1" applyFont="1" applyAlignment="1">
      <alignment horizontal="left" indent="1"/>
    </xf>
    <xf numFmtId="0" fontId="8" fillId="7" borderId="2" xfId="0" applyFont="1" applyFill="1" applyBorder="1" applyAlignment="1">
      <alignment horizontal="center" wrapText="1"/>
    </xf>
    <xf numFmtId="0" fontId="8" fillId="7" borderId="0" xfId="0" applyFont="1" applyFill="1" applyAlignment="1">
      <alignment horizontal="center" wrapText="1"/>
    </xf>
    <xf numFmtId="0" fontId="9" fillId="2" borderId="9" xfId="0" applyFont="1" applyFill="1" applyBorder="1" applyAlignment="1">
      <alignment horizontal="center"/>
    </xf>
    <xf numFmtId="0" fontId="9" fillId="2" borderId="10" xfId="0" applyFont="1" applyFill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2" fillId="0" borderId="1" xfId="0" applyFont="1" applyBorder="1"/>
    <xf numFmtId="0" fontId="8" fillId="5" borderId="12" xfId="0" applyFont="1" applyFill="1" applyBorder="1" applyAlignment="1">
      <alignment horizontal="center" vertical="center"/>
    </xf>
    <xf numFmtId="0" fontId="8" fillId="5" borderId="12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/>
    </xf>
    <xf numFmtId="0" fontId="9" fillId="2" borderId="3" xfId="0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/>
    </xf>
  </cellXfs>
  <cellStyles count="3">
    <cellStyle name="Comma 4" xfId="2" xr:uid="{3C456B04-2302-47A1-81B2-CED617570B80}"/>
    <cellStyle name="Normal" xfId="0" builtinId="0"/>
    <cellStyle name="Normal 3" xfId="1" xr:uid="{D6D312E5-FD04-4555-A282-623E66EC5C77}"/>
  </cellStyles>
  <dxfs count="1">
    <dxf>
      <font>
        <color theme="1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4274"/>
      <color rgb="FFCCEC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4.emf"/><Relationship Id="rId1" Type="http://schemas.openxmlformats.org/officeDocument/2006/relationships/image" Target="../media/image5.emf"/><Relationship Id="rId6" Type="http://schemas.openxmlformats.org/officeDocument/2006/relationships/image" Target="../media/image6.emf"/><Relationship Id="rId5" Type="http://schemas.openxmlformats.org/officeDocument/2006/relationships/image" Target="../media/image1.emf"/><Relationship Id="rId4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723900</xdr:colOff>
          <xdr:row>91</xdr:row>
          <xdr:rowOff>38100</xdr:rowOff>
        </xdr:from>
        <xdr:to>
          <xdr:col>18</xdr:col>
          <xdr:colOff>1038225</xdr:colOff>
          <xdr:row>92</xdr:row>
          <xdr:rowOff>295275</xdr:rowOff>
        </xdr:to>
        <xdr:sp macro="" textlink="">
          <xdr:nvSpPr>
            <xdr:cNvPr id="1029" name="TIButton4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19050</xdr:colOff>
          <xdr:row>92</xdr:row>
          <xdr:rowOff>9525</xdr:rowOff>
        </xdr:from>
        <xdr:to>
          <xdr:col>9</xdr:col>
          <xdr:colOff>619125</xdr:colOff>
          <xdr:row>92</xdr:row>
          <xdr:rowOff>257175</xdr:rowOff>
        </xdr:to>
        <xdr:sp macro="" textlink="">
          <xdr:nvSpPr>
            <xdr:cNvPr id="1030" name="TIButton2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1304925</xdr:colOff>
          <xdr:row>92</xdr:row>
          <xdr:rowOff>9525</xdr:rowOff>
        </xdr:from>
        <xdr:to>
          <xdr:col>10</xdr:col>
          <xdr:colOff>2085975</xdr:colOff>
          <xdr:row>92</xdr:row>
          <xdr:rowOff>257175</xdr:rowOff>
        </xdr:to>
        <xdr:sp macro="" textlink="">
          <xdr:nvSpPr>
            <xdr:cNvPr id="1031" name="TIButton3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638175</xdr:colOff>
          <xdr:row>92</xdr:row>
          <xdr:rowOff>9525</xdr:rowOff>
        </xdr:from>
        <xdr:to>
          <xdr:col>9</xdr:col>
          <xdr:colOff>1781175</xdr:colOff>
          <xdr:row>92</xdr:row>
          <xdr:rowOff>257175</xdr:rowOff>
        </xdr:to>
        <xdr:sp macro="" textlink="">
          <xdr:nvSpPr>
            <xdr:cNvPr id="1032" name="TIButton1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1809750</xdr:colOff>
          <xdr:row>92</xdr:row>
          <xdr:rowOff>9525</xdr:rowOff>
        </xdr:from>
        <xdr:to>
          <xdr:col>9</xdr:col>
          <xdr:colOff>3152775</xdr:colOff>
          <xdr:row>92</xdr:row>
          <xdr:rowOff>257175</xdr:rowOff>
        </xdr:to>
        <xdr:sp macro="" textlink="">
          <xdr:nvSpPr>
            <xdr:cNvPr id="1033" name="TIButton5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3209925</xdr:colOff>
          <xdr:row>92</xdr:row>
          <xdr:rowOff>9525</xdr:rowOff>
        </xdr:from>
        <xdr:to>
          <xdr:col>10</xdr:col>
          <xdr:colOff>1266825</xdr:colOff>
          <xdr:row>92</xdr:row>
          <xdr:rowOff>257175</xdr:rowOff>
        </xdr:to>
        <xdr:sp macro="" textlink="">
          <xdr:nvSpPr>
            <xdr:cNvPr id="1034" name="TIButton6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twoCellAnchor editAs="oneCell">
    <xdr:from>
      <xdr:col>9</xdr:col>
      <xdr:colOff>28575</xdr:colOff>
      <xdr:row>90</xdr:row>
      <xdr:rowOff>66675</xdr:rowOff>
    </xdr:from>
    <xdr:to>
      <xdr:col>9</xdr:col>
      <xdr:colOff>1844040</xdr:colOff>
      <xdr:row>91</xdr:row>
      <xdr:rowOff>19050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66675"/>
          <a:ext cx="1809750" cy="445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10" Type="http://schemas.openxmlformats.org/officeDocument/2006/relationships/control" Target="../activeX/activeX4.xml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CD2CA-ED33-4DB3-A7E7-169F8573C526}">
  <sheetPr codeName="Sheet1">
    <outlinePr showOutlineSymbols="0"/>
    <pageSetUpPr fitToPage="1"/>
  </sheetPr>
  <dimension ref="A1:AB109"/>
  <sheetViews>
    <sheetView showGridLines="0" tabSelected="1" showOutlineSymbols="0" topLeftCell="I91" zoomScaleNormal="100" workbookViewId="0">
      <pane xSplit="3" ySplit="18" topLeftCell="L109" activePane="bottomRight" state="frozen"/>
      <selection activeCell="I91" sqref="I91"/>
      <selection pane="topRight" activeCell="L91" sqref="L91"/>
      <selection pane="bottomLeft" activeCell="I109" sqref="I109"/>
      <selection pane="bottomRight"/>
    </sheetView>
  </sheetViews>
  <sheetFormatPr defaultColWidth="8.85546875" defaultRowHeight="12" outlineLevelRow="1" outlineLevelCol="1" x14ac:dyDescent="0.2"/>
  <cols>
    <col min="1" max="1" width="2.28515625" style="1" hidden="1" customWidth="1" outlineLevel="1"/>
    <col min="2" max="8" width="20.85546875" style="1" hidden="1" customWidth="1" outlineLevel="1"/>
    <col min="9" max="9" width="0.85546875" style="1" customWidth="1" collapsed="1"/>
    <col min="10" max="11" width="50.7109375" style="4" customWidth="1"/>
    <col min="12" max="12" width="40.7109375" style="1" customWidth="1"/>
    <col min="13" max="13" width="15.7109375" style="15" customWidth="1"/>
    <col min="14" max="28" width="15.7109375" style="1" customWidth="1"/>
    <col min="29" max="16384" width="8.85546875" style="1"/>
  </cols>
  <sheetData>
    <row r="1" spans="2:28" hidden="1" outlineLevel="1" x14ac:dyDescent="0.2">
      <c r="B1" s="1" t="s">
        <v>15</v>
      </c>
    </row>
    <row r="2" spans="2:28" hidden="1" outlineLevel="1" x14ac:dyDescent="0.2">
      <c r="B2" s="1">
        <f>0</f>
        <v>0</v>
      </c>
      <c r="J2" s="20"/>
      <c r="K2" s="20"/>
      <c r="L2" s="20"/>
      <c r="M2" s="46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</row>
    <row r="3" spans="2:28" hidden="1" outlineLevel="1" x14ac:dyDescent="0.2">
      <c r="B3" s="1">
        <f>1</f>
        <v>1</v>
      </c>
      <c r="J3" s="21"/>
      <c r="K3" s="21"/>
      <c r="L3" s="21"/>
      <c r="M3" s="47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</row>
    <row r="4" spans="2:28" hidden="1" outlineLevel="1" x14ac:dyDescent="0.2">
      <c r="B4" s="1">
        <f>2</f>
        <v>2</v>
      </c>
      <c r="J4" s="22"/>
      <c r="K4" s="22"/>
      <c r="L4" s="22"/>
      <c r="M4" s="48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</row>
    <row r="5" spans="2:28" hidden="1" outlineLevel="1" x14ac:dyDescent="0.2">
      <c r="B5" s="1">
        <f>3</f>
        <v>3</v>
      </c>
      <c r="J5" s="22"/>
      <c r="K5" s="22"/>
      <c r="L5" s="22"/>
      <c r="M5" s="48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</row>
    <row r="6" spans="2:28" hidden="1" outlineLevel="1" x14ac:dyDescent="0.2">
      <c r="B6" s="1" t="s">
        <v>13</v>
      </c>
      <c r="J6" s="22"/>
      <c r="K6" s="22"/>
      <c r="L6" s="22"/>
      <c r="M6" s="48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</row>
    <row r="7" spans="2:28" hidden="1" outlineLevel="1" x14ac:dyDescent="0.2">
      <c r="B7" s="1" t="s">
        <v>14</v>
      </c>
      <c r="J7" s="43"/>
      <c r="K7" s="43"/>
      <c r="L7" s="43"/>
      <c r="M7" s="48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</row>
    <row r="8" spans="2:28" hidden="1" outlineLevel="1" x14ac:dyDescent="0.2">
      <c r="B8" s="1" t="s">
        <v>16</v>
      </c>
    </row>
    <row r="9" spans="2:28" hidden="1" outlineLevel="1" x14ac:dyDescent="0.2"/>
    <row r="10" spans="2:28" hidden="1" outlineLevel="1" x14ac:dyDescent="0.2"/>
    <row r="11" spans="2:28" ht="15" hidden="1" outlineLevel="1" x14ac:dyDescent="0.25">
      <c r="B11" s="64" t="s">
        <v>46</v>
      </c>
      <c r="C11" s="64"/>
    </row>
    <row r="12" spans="2:28" hidden="1" outlineLevel="1" x14ac:dyDescent="0.2">
      <c r="B12" s="22" t="s">
        <v>47</v>
      </c>
      <c r="C12" s="22" t="s">
        <v>117</v>
      </c>
    </row>
    <row r="13" spans="2:28" hidden="1" outlineLevel="1" x14ac:dyDescent="0.2">
      <c r="B13" s="22" t="s">
        <v>48</v>
      </c>
      <c r="C13" s="22" t="e" cm="1">
        <f t="array" aca="1" ref="C13" ca="1">_xll.VIEW(db_name&amp;":}ElementAttributes_}Clients","!","!")</f>
        <v>#NAME?</v>
      </c>
    </row>
    <row r="14" spans="2:28" hidden="1" outlineLevel="1" x14ac:dyDescent="0.2">
      <c r="B14" s="22" t="s">
        <v>49</v>
      </c>
      <c r="C14" s="22" t="e" cm="1">
        <f t="array" aca="1" ref="C14" ca="1">_xll.TM1USER(db_name)</f>
        <v>#NAME?</v>
      </c>
    </row>
    <row r="15" spans="2:28" hidden="1" outlineLevel="1" x14ac:dyDescent="0.2">
      <c r="B15" s="22" t="s">
        <v>50</v>
      </c>
      <c r="C15" s="22" t="e" cm="1">
        <f t="array" aca="1" ref="C15" ca="1">_xll.DBR($C$13,$C$14,$B15)</f>
        <v>#NAME?</v>
      </c>
    </row>
    <row r="16" spans="2:28" hidden="1" outlineLevel="1" x14ac:dyDescent="0.2">
      <c r="B16" s="22" t="s">
        <v>51</v>
      </c>
      <c r="C16" s="22" t="e" cm="1">
        <f t="array" aca="1" ref="C16" ca="1">_xll.DBR($C$13,$C$14,$B16)</f>
        <v>#NAME?</v>
      </c>
    </row>
    <row r="17" spans="2:28" hidden="1" outlineLevel="1" x14ac:dyDescent="0.2">
      <c r="B17" s="22" t="s">
        <v>52</v>
      </c>
      <c r="C17" s="22" t="e">
        <f ca="1">IF(LEFT($C$15,6)="CAM_AD",$C$16,$C$15)</f>
        <v>#NAME?</v>
      </c>
    </row>
    <row r="18" spans="2:28" ht="12.75" hidden="1" outlineLevel="1" thickBot="1" x14ac:dyDescent="0.25"/>
    <row r="19" spans="2:28" ht="15" hidden="1" outlineLevel="1" x14ac:dyDescent="0.25">
      <c r="B19" s="65" t="s">
        <v>53</v>
      </c>
      <c r="C19" s="66"/>
      <c r="N19" s="15" t="e">
        <f ca="1">RIGHT(psHLYear,9)</f>
        <v>#NAME?</v>
      </c>
      <c r="O19" s="15"/>
      <c r="P19" s="15"/>
      <c r="Q19" s="15"/>
      <c r="R19" s="15"/>
      <c r="S19" s="15"/>
    </row>
    <row r="20" spans="2:28" ht="15" hidden="1" outlineLevel="1" x14ac:dyDescent="0.25">
      <c r="B20" s="25" t="s">
        <v>54</v>
      </c>
      <c r="C20" s="25" t="e" cm="1">
        <f t="array" aca="1" ref="C20" ca="1">_xll.VIEW(db_name&amp;":}ElementAttributes_variables","!","!")</f>
        <v>#NAME?</v>
      </c>
      <c r="N20" s="15" t="e" cm="1">
        <f t="array" aca="1" ref="N20" ca="1">_xll.DIMNM(db_name&amp;":period",_xll.DIMIX(db_name&amp;":period",$N$19)+N21)</f>
        <v>#NAME?</v>
      </c>
      <c r="O20" s="15" t="e" cm="1">
        <f t="array" aca="1" ref="O20" ca="1">_xll.DIMNM(db_name&amp;":period",_xll.DIMIX(db_name&amp;":period",$N$19)+O21)</f>
        <v>#NAME?</v>
      </c>
      <c r="P20" s="15" t="e" cm="1">
        <f t="array" aca="1" ref="P20" ca="1">_xll.DIMNM(db_name&amp;":period",_xll.DIMIX(db_name&amp;":period",$N$19)+P21)</f>
        <v>#NAME?</v>
      </c>
      <c r="Q20" s="15" t="e" cm="1">
        <f t="array" aca="1" ref="Q20" ca="1">_xll.DIMNM(db_name&amp;":period",_xll.DIMIX(db_name&amp;":period",$N$19)+Q21)</f>
        <v>#NAME?</v>
      </c>
      <c r="R20" s="15" t="e" cm="1">
        <f t="array" aca="1" ref="R20" ca="1">_xll.DIMNM(db_name&amp;":period",_xll.DIMIX(db_name&amp;":period",$N$19)+R21)</f>
        <v>#NAME?</v>
      </c>
      <c r="S20" s="15" t="e" cm="1">
        <f t="array" aca="1" ref="S20" ca="1">_xll.DIMNM(db_name&amp;":period",_xll.DIMIX(db_name&amp;":period",$N$19)+S21)</f>
        <v>#NAME?</v>
      </c>
      <c r="T20" s="38" t="e">
        <f t="array" aca="1" ref="T20" ca="1">_xll.DIMNM(db_name&amp;":period",_xll.DIMIX(db_name&amp;":period",$O$20)+T$21)</f>
        <v>#NAME?</v>
      </c>
      <c r="U20" s="38" t="e">
        <f t="array" aca="1" ref="U20" ca="1">_xll.DIMNM(db_name&amp;":period",_xll.DIMIX(db_name&amp;":period",$O$20)+U$21)</f>
        <v>#NAME?</v>
      </c>
      <c r="V20" s="38" t="e">
        <f t="array" aca="1" ref="V20" ca="1">_xll.DIMNM(db_name&amp;":period",_xll.DIMIX(db_name&amp;":period",$O$20)+V$21)</f>
        <v>#NAME?</v>
      </c>
      <c r="W20" s="38" t="e">
        <f t="array" aca="1" ref="W20" ca="1">_xll.DIMNM(db_name&amp;":period",_xll.DIMIX(db_name&amp;":period",$O$20)+W$21)</f>
        <v>#NAME?</v>
      </c>
      <c r="X20" s="38" t="e">
        <f t="array" aca="1" ref="X20" ca="1">_xll.DIMNM(db_name&amp;":period",_xll.DIMIX(db_name&amp;":period",$O$20)+X$21)</f>
        <v>#NAME?</v>
      </c>
      <c r="Y20" s="38" t="e">
        <f t="array" aca="1" ref="Y20" ca="1">_xll.DIMNM(db_name&amp;":period",_xll.DIMIX(db_name&amp;":period",$O$20)+Y$21)</f>
        <v>#NAME?</v>
      </c>
      <c r="Z20" s="38" t="e">
        <f t="array" aca="1" ref="Z20" ca="1">_xll.DIMNM(db_name&amp;":period",_xll.DIMIX(db_name&amp;":period",$O$20)+Z$21)</f>
        <v>#NAME?</v>
      </c>
      <c r="AA20" s="38" t="e">
        <f t="array" aca="1" ref="AA20" ca="1">_xll.DIMNM(db_name&amp;":period",_xll.DIMIX(db_name&amp;":period",$O$20)+AA$21)</f>
        <v>#NAME?</v>
      </c>
      <c r="AB20" s="38" t="e">
        <f t="array" aca="1" ref="AB20" ca="1">_xll.DIMNM(db_name&amp;":period",_xll.DIMIX(db_name&amp;":period",$O$20)+AB$21)</f>
        <v>#NAME?</v>
      </c>
    </row>
    <row r="21" spans="2:28" ht="15" hidden="1" outlineLevel="1" x14ac:dyDescent="0.25">
      <c r="B21" s="25" t="s">
        <v>0</v>
      </c>
      <c r="C21" s="25" t="e" cm="1">
        <f t="array" aca="1" ref="C21" ca="1">_xll.DBR($C$20,$B21,"value")</f>
        <v>#NAME?</v>
      </c>
      <c r="N21" s="15">
        <v>-1</v>
      </c>
      <c r="O21" s="15">
        <v>0</v>
      </c>
      <c r="P21" s="15">
        <v>1</v>
      </c>
      <c r="Q21" s="15">
        <v>2</v>
      </c>
      <c r="R21" s="15">
        <v>3</v>
      </c>
      <c r="S21" s="15">
        <v>4</v>
      </c>
      <c r="T21" s="38">
        <v>5</v>
      </c>
      <c r="U21" s="38">
        <v>6</v>
      </c>
      <c r="V21" s="38">
        <v>7</v>
      </c>
      <c r="W21" s="38">
        <v>8</v>
      </c>
      <c r="X21" s="38">
        <v>9</v>
      </c>
      <c r="Y21" s="38">
        <v>10</v>
      </c>
      <c r="Z21" s="38">
        <v>11</v>
      </c>
      <c r="AA21" s="38">
        <v>12</v>
      </c>
      <c r="AB21" s="38">
        <v>13</v>
      </c>
    </row>
    <row r="22" spans="2:28" ht="15" hidden="1" outlineLevel="1" x14ac:dyDescent="0.25">
      <c r="B22" s="25" t="s">
        <v>55</v>
      </c>
      <c r="C22" s="25" t="e" cm="1">
        <f t="array" aca="1" ref="C22" ca="1">_xll.DBR($C$20,$B22,"value")</f>
        <v>#NAME?</v>
      </c>
      <c r="J22" s="1"/>
      <c r="K22" s="1"/>
      <c r="N22" s="39" t="s">
        <v>37</v>
      </c>
      <c r="O22" s="39" t="s">
        <v>38</v>
      </c>
      <c r="P22" s="39" t="s">
        <v>41</v>
      </c>
      <c r="Q22" s="39" t="s">
        <v>39</v>
      </c>
      <c r="R22" s="39" t="s">
        <v>42</v>
      </c>
      <c r="S22" s="39" t="s">
        <v>97</v>
      </c>
      <c r="T22" s="39" t="s">
        <v>88</v>
      </c>
      <c r="U22" s="39" t="s">
        <v>89</v>
      </c>
      <c r="V22" s="39" t="s">
        <v>90</v>
      </c>
      <c r="W22" s="39" t="s">
        <v>91</v>
      </c>
      <c r="X22" s="39" t="s">
        <v>92</v>
      </c>
      <c r="Y22" s="39" t="s">
        <v>93</v>
      </c>
      <c r="Z22" s="39" t="s">
        <v>94</v>
      </c>
      <c r="AA22" s="39" t="s">
        <v>95</v>
      </c>
      <c r="AB22" s="39" t="s">
        <v>96</v>
      </c>
    </row>
    <row r="23" spans="2:28" ht="15" hidden="1" outlineLevel="1" x14ac:dyDescent="0.25">
      <c r="B23" s="25" t="s">
        <v>56</v>
      </c>
      <c r="C23" s="25" t="e" cm="1">
        <f t="array" aca="1" ref="C23" ca="1">_xll.DBR($C$20,$B23,"value")</f>
        <v>#NAME?</v>
      </c>
    </row>
    <row r="24" spans="2:28" hidden="1" outlineLevel="1" x14ac:dyDescent="0.2">
      <c r="J24" s="1"/>
      <c r="K24" s="1"/>
    </row>
    <row r="25" spans="2:28" ht="15" hidden="1" outlineLevel="1" x14ac:dyDescent="0.25">
      <c r="B25" s="58" t="s">
        <v>71</v>
      </c>
      <c r="C25" s="59"/>
      <c r="D25" s="60"/>
      <c r="E25"/>
      <c r="F25"/>
      <c r="G25"/>
      <c r="H25"/>
      <c r="J25" s="1"/>
      <c r="K25" s="1"/>
    </row>
    <row r="26" spans="2:28" ht="15" hidden="1" outlineLevel="1" x14ac:dyDescent="0.25">
      <c r="B26" s="24" t="s">
        <v>59</v>
      </c>
      <c r="C26" s="25" t="e" cm="1">
        <f t="array" aca="1" ref="C26" ca="1">_xll.VIEW(db_name&amp;":sys_application","!","!")</f>
        <v>#NAME?</v>
      </c>
      <c r="D26" s="25"/>
      <c r="E26"/>
      <c r="F26"/>
      <c r="G26"/>
      <c r="H26"/>
      <c r="J26" s="1"/>
      <c r="K26" s="1"/>
    </row>
    <row r="27" spans="2:28" ht="15" hidden="1" outlineLevel="1" x14ac:dyDescent="0.25">
      <c r="B27" s="24" t="s">
        <v>72</v>
      </c>
      <c r="C27" t="s">
        <v>83</v>
      </c>
      <c r="D27" s="25"/>
      <c r="E27"/>
      <c r="F27"/>
      <c r="G27"/>
      <c r="H27"/>
      <c r="J27" s="1"/>
      <c r="K27" s="1"/>
    </row>
    <row r="28" spans="2:28" ht="15" hidden="1" outlineLevel="1" x14ac:dyDescent="0.25">
      <c r="B28" s="25"/>
      <c r="C28" s="24" t="s">
        <v>73</v>
      </c>
      <c r="D28" s="24" t="s">
        <v>74</v>
      </c>
      <c r="E28" s="24" t="s">
        <v>75</v>
      </c>
      <c r="F28" s="24" t="s">
        <v>76</v>
      </c>
      <c r="G28" s="24" t="s">
        <v>77</v>
      </c>
      <c r="H28" s="24" t="s">
        <v>78</v>
      </c>
      <c r="J28" s="1"/>
      <c r="K28" s="1"/>
    </row>
    <row r="29" spans="2:28" ht="15" hidden="1" outlineLevel="1" x14ac:dyDescent="0.25">
      <c r="B29" s="25" t="s">
        <v>79</v>
      </c>
      <c r="C29" s="25" t="e" cm="1">
        <f t="array" aca="1" ref="C29" ca="1">_xll.DBR($C$26,$B29,C$28)</f>
        <v>#NAME?</v>
      </c>
      <c r="D29" s="25" t="e" cm="1">
        <f t="array" aca="1" ref="D29" ca="1">_xll.DBR($C$26,$B29,D$28)</f>
        <v>#NAME?</v>
      </c>
      <c r="E29" s="25" t="e" cm="1">
        <f t="array" aca="1" ref="E29" ca="1">_xll.DBR($C$26,$B29,E$28)</f>
        <v>#NAME?</v>
      </c>
      <c r="F29" s="25" t="e" cm="1">
        <f t="array" aca="1" ref="F29" ca="1">_xll.DBR($C$26,$B29,F$28)</f>
        <v>#NAME?</v>
      </c>
      <c r="G29" s="25" t="e" cm="1">
        <f t="array" aca="1" ref="G29" ca="1">_xll.DBR($C$26,$B29,G$28)</f>
        <v>#NAME?</v>
      </c>
      <c r="H29" s="25" t="e" cm="1">
        <f t="array" aca="1" ref="H29" ca="1">_xll.DBR($C$26,$B29,H$28)</f>
        <v>#NAME?</v>
      </c>
      <c r="J29" s="1"/>
      <c r="K29" s="1"/>
    </row>
    <row r="30" spans="2:28" ht="15" hidden="1" outlineLevel="1" x14ac:dyDescent="0.25">
      <c r="B30" s="25" t="s">
        <v>80</v>
      </c>
      <c r="C30" s="25" t="e" cm="1">
        <f t="array" aca="1" ref="C30" ca="1">_xll.DBR($C$26,$B30,C$28)</f>
        <v>#NAME?</v>
      </c>
      <c r="D30" s="25" t="e" cm="1">
        <f t="array" aca="1" ref="D30" ca="1">_xll.DBR($C$26,$B30,D$28)</f>
        <v>#NAME?</v>
      </c>
      <c r="E30" s="25" t="e" cm="1">
        <f t="array" aca="1" ref="E30" ca="1">_xll.DBR($C$26,$B30,E$28)</f>
        <v>#NAME?</v>
      </c>
      <c r="F30" s="25" t="e" cm="1">
        <f t="array" aca="1" ref="F30" ca="1">_xll.DBR($C$26,$B30,F$28)</f>
        <v>#NAME?</v>
      </c>
      <c r="G30" s="25" t="e" cm="1">
        <f t="array" aca="1" ref="G30" ca="1">_xll.DBR($C$26,$B30,G$28)</f>
        <v>#NAME?</v>
      </c>
      <c r="H30" s="25" t="e" cm="1">
        <f t="array" aca="1" ref="H30" ca="1">_xll.DBR($C$26,$B30,H$28)</f>
        <v>#NAME?</v>
      </c>
      <c r="J30" s="1"/>
      <c r="K30" s="1"/>
    </row>
    <row r="31" spans="2:28" ht="15" hidden="1" outlineLevel="1" x14ac:dyDescent="0.25">
      <c r="B31" s="25" t="s">
        <v>81</v>
      </c>
      <c r="C31" s="25" t="e" cm="1">
        <f t="array" aca="1" ref="C31" ca="1">_xll.DBR($C$26,$B31,C$28)</f>
        <v>#NAME?</v>
      </c>
      <c r="D31" s="25" t="e" cm="1">
        <f t="array" aca="1" ref="D31" ca="1">_xll.DBR($C$26,$B31,D$28)</f>
        <v>#NAME?</v>
      </c>
      <c r="E31" s="25" t="e" cm="1">
        <f t="array" aca="1" ref="E31" ca="1">_xll.DBR($C$26,$B31,E$28)</f>
        <v>#NAME?</v>
      </c>
      <c r="F31" s="25" t="e" cm="1">
        <f t="array" aca="1" ref="F31" ca="1">_xll.DBR($C$26,$B31,F$28)</f>
        <v>#NAME?</v>
      </c>
      <c r="G31" s="25" t="e" cm="1">
        <f t="array" aca="1" ref="G31" ca="1">_xll.DBR($C$26,$B31,G$28)</f>
        <v>#NAME?</v>
      </c>
      <c r="H31" s="25" t="e" cm="1">
        <f t="array" aca="1" ref="H31" ca="1">_xll.DBR($C$26,$B31,H$28)</f>
        <v>#NAME?</v>
      </c>
      <c r="J31" s="1"/>
      <c r="K31" s="1"/>
    </row>
    <row r="32" spans="2:28" ht="15" hidden="1" outlineLevel="1" x14ac:dyDescent="0.25">
      <c r="B32" s="25" t="s">
        <v>82</v>
      </c>
      <c r="C32" s="25" t="e" cm="1">
        <f t="array" aca="1" ref="C32" ca="1">_xll.DBR($C$26,$B32,C$28)</f>
        <v>#NAME?</v>
      </c>
      <c r="D32" s="25" t="e" cm="1">
        <f t="array" aca="1" ref="D32" ca="1">_xll.DBR($C$26,$B32,D$28)</f>
        <v>#NAME?</v>
      </c>
      <c r="E32" s="25" t="e" cm="1">
        <f t="array" aca="1" ref="E32" ca="1">_xll.DBR($C$26,$B32,E$28)</f>
        <v>#NAME?</v>
      </c>
      <c r="F32" s="25" t="e" cm="1">
        <f t="array" aca="1" ref="F32" ca="1">_xll.DBR($C$26,$B32,F$28)</f>
        <v>#NAME?</v>
      </c>
      <c r="G32" s="25" t="e" cm="1">
        <f t="array" aca="1" ref="G32" ca="1">_xll.DBR($C$26,$B32,G$28)</f>
        <v>#NAME?</v>
      </c>
      <c r="H32" s="25" t="e" cm="1">
        <f t="array" aca="1" ref="H32" ca="1">_xll.DBR($C$26,$B32,H$28)</f>
        <v>#NAME?</v>
      </c>
      <c r="J32" s="1"/>
      <c r="K32" s="1"/>
    </row>
    <row r="33" spans="2:11" ht="15" hidden="1" outlineLevel="1" x14ac:dyDescent="0.25">
      <c r="B33" s="25" t="s">
        <v>87</v>
      </c>
      <c r="C33" s="25" t="e" cm="1">
        <f t="array" aca="1" ref="C33" ca="1">_xll.DBR($C$26,$B33,C$28)</f>
        <v>#NAME?</v>
      </c>
      <c r="D33" s="25" t="e" cm="1">
        <f t="array" aca="1" ref="D33" ca="1">_xll.DBR($C$26,$B33,D$28)</f>
        <v>#NAME?</v>
      </c>
      <c r="E33" s="25" t="e" cm="1">
        <f t="array" aca="1" ref="E33" ca="1">_xll.DBR($C$26,$B33,E$28)</f>
        <v>#NAME?</v>
      </c>
      <c r="F33" s="25" t="e" cm="1">
        <f t="array" aca="1" ref="F33" ca="1">_xll.DBR($C$26,$B33,F$28)</f>
        <v>#NAME?</v>
      </c>
      <c r="G33" s="25" t="e" cm="1">
        <f t="array" aca="1" ref="G33" ca="1">_xll.DBR($C$26,$B33,G$28)</f>
        <v>#NAME?</v>
      </c>
      <c r="H33" s="25" t="e" cm="1">
        <f t="array" aca="1" ref="H33" ca="1">_xll.DBR($C$26,$B33,H$28)</f>
        <v>#NAME?</v>
      </c>
      <c r="J33" s="1"/>
      <c r="K33" s="1"/>
    </row>
    <row r="34" spans="2:11" hidden="1" outlineLevel="1" x14ac:dyDescent="0.2">
      <c r="J34" s="1"/>
      <c r="K34" s="1"/>
    </row>
    <row r="35" spans="2:11" ht="15" hidden="1" outlineLevel="1" x14ac:dyDescent="0.25">
      <c r="B35" s="64" t="s">
        <v>57</v>
      </c>
      <c r="C35" s="64"/>
    </row>
    <row r="36" spans="2:11" hidden="1" outlineLevel="1" x14ac:dyDescent="0.2">
      <c r="B36" s="1" t="s">
        <v>58</v>
      </c>
      <c r="C36" s="1" t="e" cm="1">
        <f t="array" aca="1" ref="C36" ca="1">_xll.TM1RPTVIEW(db_name&amp;":AE adjustments:3",$C$59, _xll.TM1RPTTITLE(db_name&amp;":headline year",$L$97), _xll.TM1RPTTITLE(db_name&amp;":scenario",$L$98), _xll.TM1RPTTITLE(db_name&amp;":status",$L$99), _xll.TM1RPTTITLE(db_name&amp;":outcome",$C$66),_xll.TM1RPTTITLE(db_name&amp;":function",$C$68), _xll.TM1RPTTITLE(db_name&amp;":related entity",$C$67), _xll.TM1RPTTITLE(db_name&amp;":reason",$C$69), _xll.TM1RPTTITLE(db_name&amp;":Appropriation item",$L$87), _xll.TM1RPTTITLE(db_name&amp;":measure code",$C$71), _xll.TM1RPTTITLE(db_name&amp;":appropriation type",$C$72), _xll.TM1RPTTITLE(db_name&amp;":movement account",$C$73), _xll.TM1RPTTITLE(db_name&amp;":id",$C$76), TM1RPTFMTRNG,TM1RPTFMTIDCOL)</f>
        <v>#NAME?</v>
      </c>
    </row>
    <row r="37" spans="2:11" hidden="1" outlineLevel="1" x14ac:dyDescent="0.2">
      <c r="B37" s="1" t="s">
        <v>59</v>
      </c>
    </row>
    <row r="38" spans="2:11" hidden="1" outlineLevel="1" x14ac:dyDescent="0.2"/>
    <row r="39" spans="2:11" hidden="1" outlineLevel="1" x14ac:dyDescent="0.2">
      <c r="B39" s="26" t="s">
        <v>21</v>
      </c>
      <c r="C39" s="40" t="e">
        <f ca="1">IF(O97="Collapse",C41,C42)</f>
        <v>#NAME?</v>
      </c>
      <c r="D39" s="22"/>
      <c r="E39" s="22"/>
    </row>
    <row r="40" spans="2:11" ht="24" hidden="1" outlineLevel="1" x14ac:dyDescent="0.2">
      <c r="B40" s="26" t="s">
        <v>35</v>
      </c>
      <c r="C40" s="27"/>
      <c r="D40" s="22"/>
      <c r="E40" s="22"/>
    </row>
    <row r="41" spans="2:11" hidden="1" outlineLevel="1" x14ac:dyDescent="0.2">
      <c r="B41" s="26" t="s">
        <v>61</v>
      </c>
      <c r="C41" s="27" t="e">
        <f ca="1">"{HIERARCHIZE ({["&amp; psProgDimName &amp; "].["&amp;$L$100&amp;"]})}"</f>
        <v>#NAME?</v>
      </c>
      <c r="D41" s="22"/>
      <c r="E41" s="22"/>
    </row>
    <row r="42" spans="2:11" hidden="1" outlineLevel="1" x14ac:dyDescent="0.2">
      <c r="B42" s="22" t="s">
        <v>62</v>
      </c>
      <c r="C42" s="27" t="e">
        <f ca="1">"{TM1SORTBYINDEX( {TM1FILTERBYLEVEL( {TM1DRILLDOWNMEMBER( {["&amp; psProgDimName &amp; "].["&amp;$L$100&amp;"]}, ALL, RECURSIVE )}, 0)}, DESC)}"</f>
        <v>#NAME?</v>
      </c>
      <c r="D42" s="22"/>
      <c r="E42" s="22"/>
    </row>
    <row r="43" spans="2:11" hidden="1" outlineLevel="1" x14ac:dyDescent="0.2">
      <c r="B43" s="26" t="s">
        <v>34</v>
      </c>
      <c r="C43" s="41" t="e">
        <f ca="1">IF($O$97="Collapse",$C$45,$C$46)</f>
        <v>#NAME?</v>
      </c>
      <c r="D43" s="22"/>
      <c r="E43" s="22"/>
    </row>
    <row r="44" spans="2:11" ht="24" hidden="1" outlineLevel="1" x14ac:dyDescent="0.2">
      <c r="B44" s="26" t="s">
        <v>36</v>
      </c>
      <c r="C44" s="27"/>
      <c r="D44" s="22"/>
      <c r="E44" s="22"/>
    </row>
    <row r="45" spans="2:11" hidden="1" outlineLevel="1" x14ac:dyDescent="0.2">
      <c r="B45" s="26" t="s">
        <v>61</v>
      </c>
      <c r="C45" s="27" t="e">
        <f ca="1">"{[appropriation item].["&amp;$L$87&amp;"]}"</f>
        <v>#NAME?</v>
      </c>
      <c r="D45" s="22"/>
      <c r="E45" s="22"/>
    </row>
    <row r="46" spans="2:11" hidden="1" outlineLevel="1" x14ac:dyDescent="0.2">
      <c r="B46" s="22" t="s">
        <v>62</v>
      </c>
      <c r="C46" s="22" t="e">
        <f ca="1">"{TM1SORT( {TM1FILTERBYLEVEL( {TM1DRILLDOWNMEMBER( {[appropriation item].["&amp;$L$87&amp;"]}, ALL, RECURSIVE )}, 0)}, ASC)}"</f>
        <v>#NAME?</v>
      </c>
      <c r="D46" s="22"/>
      <c r="E46" s="22"/>
    </row>
    <row r="47" spans="2:11" hidden="1" outlineLevel="1" x14ac:dyDescent="0.2">
      <c r="B47" s="26"/>
      <c r="C47" s="42" t="s">
        <v>111</v>
      </c>
      <c r="D47" s="43" t="s">
        <v>26</v>
      </c>
      <c r="E47" s="43" t="s">
        <v>100</v>
      </c>
      <c r="F47" s="43" t="s">
        <v>114</v>
      </c>
    </row>
    <row r="48" spans="2:11" hidden="1" outlineLevel="1" x14ac:dyDescent="0.2">
      <c r="B48" s="26" t="s">
        <v>20</v>
      </c>
      <c r="C48" s="41" t="e">
        <f ca="1">IF($O$101="Yes",$F$48,IF($O$100="Collapse",E48,D48))</f>
        <v>#NAME?</v>
      </c>
      <c r="D48" s="22" t="e">
        <f ca="1">"{TM1SORT( {TM1FILTERBYLEVEL( {TM1DRILLDOWNMEMBER( {[Account].["&amp;$L$101&amp;"]}, ALL, RECURSIVE )}, 0)}, ASC)}"</f>
        <v>#NAME?</v>
      </c>
      <c r="E48" s="22" t="e">
        <f ca="1">" {[Account].["&amp;$L$101&amp;"]}"</f>
        <v>#NAME?</v>
      </c>
      <c r="F48" s="1" t="s">
        <v>115</v>
      </c>
    </row>
    <row r="49" spans="2:11" hidden="1" outlineLevel="1" x14ac:dyDescent="0.2">
      <c r="B49" s="26" t="s">
        <v>99</v>
      </c>
      <c r="C49" s="41" t="e">
        <f ca="1">IF($O$98="Collapse",E49,D49)</f>
        <v>#NAME?</v>
      </c>
      <c r="D49" s="22" t="e">
        <f ca="1">"{TM1SORT( {TM1FILTERBYLEVEL( {TM1DRILLDOWNMEMBER( {[function].["&amp;$D$68&amp;"]}, ALL, RECURSIVE )}, 0)}, ASC)}"</f>
        <v>#NAME?</v>
      </c>
      <c r="E49" s="22" t="e">
        <f ca="1">"{[function].["&amp;$D$68&amp;"]}"</f>
        <v>#NAME?</v>
      </c>
    </row>
    <row r="50" spans="2:11" hidden="1" outlineLevel="1" x14ac:dyDescent="0.2">
      <c r="B50" s="26" t="s">
        <v>104</v>
      </c>
      <c r="C50" s="41" t="e">
        <f ca="1">IF($O$99="Collapse",E50,D50)</f>
        <v>#NAME?</v>
      </c>
      <c r="D50" s="22" t="e">
        <f ca="1">"{TM1SORT( {TM1FILTERBYLEVEL( {TM1DRILLDOWNMEMBER( {[SPP].["&amp;$L$102&amp;"]}, ALL, RECURSIVE )}, 0)}, ASC)}"</f>
        <v>#NAME?</v>
      </c>
      <c r="E50" s="22" t="e">
        <f ca="1">"{[SPP].["&amp;$L$102&amp;"]}"</f>
        <v>#NAME?</v>
      </c>
      <c r="J50" s="1"/>
      <c r="K50" s="1"/>
    </row>
    <row r="51" spans="2:11" hidden="1" outlineLevel="1" x14ac:dyDescent="0.2">
      <c r="B51" s="26" t="s">
        <v>112</v>
      </c>
      <c r="C51" s="41" t="e">
        <f ca="1">$D51</f>
        <v>#NAME?</v>
      </c>
      <c r="D51" s="22" t="e">
        <f ca="1">"{TM1FILTERBYLEVEL( {TM1DRILLDOWNMEMBER( {[Jurisdiction].["&amp;$C$77&amp;"]}, ALL, RECURSIVE )}, 0)}"</f>
        <v>#NAME?</v>
      </c>
      <c r="E51" s="22" t="e">
        <f ca="1">"{[jurisdiction].["&amp;$C$77&amp;"]}"</f>
        <v>#NAME?</v>
      </c>
      <c r="J51" s="1"/>
      <c r="K51" s="1"/>
    </row>
    <row r="52" spans="2:11" ht="12.75" hidden="1" outlineLevel="1" thickBot="1" x14ac:dyDescent="0.25">
      <c r="J52" s="1"/>
      <c r="K52" s="1"/>
    </row>
    <row r="53" spans="2:11" hidden="1" outlineLevel="1" x14ac:dyDescent="0.2">
      <c r="B53" s="8" t="s">
        <v>25</v>
      </c>
      <c r="C53" s="9" t="s">
        <v>23</v>
      </c>
      <c r="J53" s="1"/>
      <c r="K53" s="1"/>
    </row>
    <row r="54" spans="2:11" ht="12.75" hidden="1" outlineLevel="1" thickBot="1" x14ac:dyDescent="0.25">
      <c r="B54" s="10"/>
      <c r="C54" s="11" t="s">
        <v>26</v>
      </c>
      <c r="J54" s="1"/>
      <c r="K54" s="1"/>
    </row>
    <row r="55" spans="2:11" hidden="1" outlineLevel="1" x14ac:dyDescent="0.2">
      <c r="B55" s="8" t="s">
        <v>28</v>
      </c>
      <c r="C55" s="9" t="s">
        <v>24</v>
      </c>
      <c r="J55" s="1"/>
      <c r="K55" s="1"/>
    </row>
    <row r="56" spans="2:11" ht="12.75" hidden="1" outlineLevel="1" thickBot="1" x14ac:dyDescent="0.25">
      <c r="B56" s="10"/>
      <c r="C56" s="11" t="s">
        <v>27</v>
      </c>
      <c r="J56" s="1"/>
      <c r="K56" s="1"/>
    </row>
    <row r="57" spans="2:11" hidden="1" outlineLevel="1" x14ac:dyDescent="0.2">
      <c r="B57" s="8" t="s">
        <v>29</v>
      </c>
      <c r="C57" s="9" t="s">
        <v>30</v>
      </c>
      <c r="J57" s="1"/>
      <c r="K57" s="1"/>
    </row>
    <row r="58" spans="2:11" hidden="1" outlineLevel="1" x14ac:dyDescent="0.2">
      <c r="B58" s="36"/>
      <c r="C58" s="14" t="s">
        <v>31</v>
      </c>
      <c r="J58" s="1"/>
      <c r="K58" s="1"/>
    </row>
    <row r="59" spans="2:11" ht="15" hidden="1" outlineLevel="1" x14ac:dyDescent="0.25">
      <c r="B59" s="22" t="s">
        <v>32</v>
      </c>
      <c r="C59" s="25" t="e">
        <f ca="1">IF($O$103="Yes",1,0)</f>
        <v>#NAME?</v>
      </c>
      <c r="J59" s="1"/>
      <c r="K59" s="1"/>
    </row>
    <row r="60" spans="2:11" ht="15" hidden="1" outlineLevel="1" x14ac:dyDescent="0.25">
      <c r="B60" s="22" t="s">
        <v>33</v>
      </c>
      <c r="C60" s="25" t="e">
        <f ca="1">IF($O$102="Yes",1,0)</f>
        <v>#NAME?</v>
      </c>
      <c r="J60" s="1"/>
      <c r="K60" s="1"/>
    </row>
    <row r="61" spans="2:11" hidden="1" outlineLevel="1" x14ac:dyDescent="0.2">
      <c r="J61" s="1"/>
      <c r="K61" s="1"/>
    </row>
    <row r="62" spans="2:11" ht="15" hidden="1" outlineLevel="1" x14ac:dyDescent="0.25">
      <c r="B62" s="64" t="s">
        <v>60</v>
      </c>
      <c r="C62" s="64"/>
      <c r="J62" s="1"/>
      <c r="K62" s="1"/>
    </row>
    <row r="63" spans="2:11" hidden="1" outlineLevel="1" x14ac:dyDescent="0.2">
      <c r="B63" s="5" t="s">
        <v>0</v>
      </c>
      <c r="J63" s="1"/>
      <c r="K63" s="1"/>
    </row>
    <row r="64" spans="2:11" hidden="1" outlineLevel="1" x14ac:dyDescent="0.2">
      <c r="B64" s="5" t="s">
        <v>1</v>
      </c>
      <c r="J64" s="1"/>
      <c r="K64" s="1"/>
    </row>
    <row r="65" spans="2:15" hidden="1" outlineLevel="1" x14ac:dyDescent="0.2">
      <c r="B65" s="5" t="s">
        <v>2</v>
      </c>
      <c r="J65" s="1"/>
      <c r="K65" s="1"/>
    </row>
    <row r="66" spans="2:15" hidden="1" outlineLevel="1" x14ac:dyDescent="0.2">
      <c r="B66" s="5" t="s">
        <v>3</v>
      </c>
      <c r="C66" s="1" t="e" cm="1">
        <f t="array" aca="1" ref="C66" ca="1">_xll.SUBNM(db_name&amp;":outcome","","Total outcomes")</f>
        <v>#NAME?</v>
      </c>
      <c r="J66" s="1"/>
      <c r="K66" s="1"/>
    </row>
    <row r="67" spans="2:15" hidden="1" outlineLevel="1" x14ac:dyDescent="0.2">
      <c r="B67" s="5" t="s">
        <v>4</v>
      </c>
      <c r="C67" s="1" t="e" cm="1">
        <f t="array" aca="1" ref="C67" ca="1">_xll.SUBNM(db_name&amp;":related entity","","Total related entity","code and description")</f>
        <v>#NAME?</v>
      </c>
      <c r="J67" s="5"/>
      <c r="K67" s="5"/>
    </row>
    <row r="68" spans="2:15" ht="15" hidden="1" outlineLevel="1" x14ac:dyDescent="0.2">
      <c r="B68" s="5" t="s">
        <v>5</v>
      </c>
      <c r="C68" s="1" t="e" cm="1">
        <f t="array" aca="1" ref="C68" ca="1">_xll.SUBNM(db_name&amp;":function","","Total functions")</f>
        <v>#NAME?</v>
      </c>
      <c r="D68" s="35" t="e" cm="1">
        <f t="array" aca="1" ref="D68" ca="1">_xll.SUBNM(db_name&amp;":function","","Total functions","Code and Description")</f>
        <v>#NAME?</v>
      </c>
      <c r="J68" s="5"/>
      <c r="K68" s="5"/>
    </row>
    <row r="69" spans="2:15" hidden="1" outlineLevel="1" x14ac:dyDescent="0.2">
      <c r="B69" s="5" t="s">
        <v>6</v>
      </c>
      <c r="C69" s="1" t="e" cm="1">
        <f t="array" aca="1" ref="C69" ca="1">_xll.SUBNM(db_name&amp;":reason","","Total reason")</f>
        <v>#NAME?</v>
      </c>
      <c r="J69" s="1"/>
      <c r="K69" s="1"/>
    </row>
    <row r="70" spans="2:15" hidden="1" outlineLevel="1" x14ac:dyDescent="0.2">
      <c r="B70" s="5" t="s">
        <v>7</v>
      </c>
      <c r="C70" s="1" t="e" cm="1">
        <f t="array" aca="1" ref="C70" ca="1">_xll.SUBNM(db_name&amp;":spp","","Total SPP")</f>
        <v>#NAME?</v>
      </c>
      <c r="J70" s="1"/>
      <c r="K70" s="1"/>
    </row>
    <row r="71" spans="2:15" hidden="1" outlineLevel="1" x14ac:dyDescent="0.2">
      <c r="B71" s="5" t="s">
        <v>8</v>
      </c>
      <c r="C71" s="1" t="e" cm="1">
        <f t="array" aca="1" ref="C71" ca="1">_xll.SUBNM(db_name&amp;":measure code","","Total Measures","CBMS")</f>
        <v>#NAME?</v>
      </c>
      <c r="J71" s="1"/>
      <c r="K71" s="1"/>
    </row>
    <row r="72" spans="2:15" hidden="1" outlineLevel="1" x14ac:dyDescent="0.2">
      <c r="B72" s="5" t="s">
        <v>9</v>
      </c>
      <c r="C72" s="1" t="e" cm="1">
        <f t="array" aca="1" ref="C72" ca="1">_xll.SUBNM(db_name&amp;":appropriation type","","Total approp types")</f>
        <v>#NAME?</v>
      </c>
      <c r="J72" s="1"/>
      <c r="K72" s="1"/>
    </row>
    <row r="73" spans="2:15" hidden="1" outlineLevel="1" x14ac:dyDescent="0.2">
      <c r="B73" s="5" t="s">
        <v>10</v>
      </c>
      <c r="C73" s="1" t="e" cm="1">
        <f t="array" aca="1" ref="C73" ca="1">_xll.SUBNM(db_name&amp;":movement account","","Total movement","code and description")</f>
        <v>#NAME?</v>
      </c>
      <c r="J73" s="1"/>
      <c r="K73" s="1"/>
      <c r="L73" s="13"/>
    </row>
    <row r="74" spans="2:15" hidden="1" outlineLevel="1" x14ac:dyDescent="0.2">
      <c r="B74" s="5" t="s">
        <v>17</v>
      </c>
      <c r="C74" s="12"/>
      <c r="J74" s="1"/>
      <c r="K74" s="1"/>
    </row>
    <row r="75" spans="2:15" hidden="1" outlineLevel="1" x14ac:dyDescent="0.2">
      <c r="B75" s="5" t="s">
        <v>18</v>
      </c>
      <c r="C75" s="12"/>
      <c r="J75" s="1"/>
      <c r="K75" s="1"/>
    </row>
    <row r="76" spans="2:15" hidden="1" outlineLevel="1" x14ac:dyDescent="0.2">
      <c r="B76" s="5" t="s">
        <v>11</v>
      </c>
      <c r="C76" s="1" t="e" cm="1">
        <f t="array" aca="1" ref="C76" ca="1">_xll.SUBNM(db_name&amp;":id","","Total IDs")</f>
        <v>#NAME?</v>
      </c>
      <c r="J76" s="1"/>
      <c r="K76" s="1"/>
    </row>
    <row r="77" spans="2:15" hidden="1" outlineLevel="1" x14ac:dyDescent="0.2">
      <c r="B77" s="5" t="s">
        <v>12</v>
      </c>
      <c r="C77" s="1" t="e" cm="1">
        <f t="array" aca="1" ref="C77" ca="1">_xll.SUBNM(db_name&amp;":jurisdiction","","Total jurisdictions")</f>
        <v>#NAME?</v>
      </c>
      <c r="J77" s="1"/>
      <c r="K77" s="1"/>
    </row>
    <row r="78" spans="2:15" hidden="1" outlineLevel="1" x14ac:dyDescent="0.2">
      <c r="B78" s="5" t="s">
        <v>19</v>
      </c>
      <c r="C78" s="12"/>
      <c r="J78" s="1"/>
      <c r="K78" s="1"/>
    </row>
    <row r="79" spans="2:15" hidden="1" outlineLevel="1" x14ac:dyDescent="0.2">
      <c r="J79" s="1"/>
      <c r="K79" s="1"/>
    </row>
    <row r="80" spans="2:15" ht="12.75" hidden="1" outlineLevel="1" x14ac:dyDescent="0.2">
      <c r="B80" s="6" t="s">
        <v>45</v>
      </c>
      <c r="C80" s="61" t="s">
        <v>22</v>
      </c>
      <c r="D80" s="61"/>
      <c r="J80" s="1"/>
      <c r="K80" s="1"/>
      <c r="O80" s="1" t="s">
        <v>44</v>
      </c>
    </row>
    <row r="81" spans="9:28" hidden="1" outlineLevel="1" x14ac:dyDescent="0.2">
      <c r="J81" s="1"/>
      <c r="K81" s="1"/>
    </row>
    <row r="82" spans="9:28" hidden="1" outlineLevel="1" x14ac:dyDescent="0.2">
      <c r="J82" s="1"/>
      <c r="K82" s="1"/>
    </row>
    <row r="83" spans="9:28" hidden="1" outlineLevel="1" x14ac:dyDescent="0.2">
      <c r="J83" s="1"/>
      <c r="K83" s="1"/>
    </row>
    <row r="84" spans="9:28" hidden="1" outlineLevel="1" x14ac:dyDescent="0.2">
      <c r="J84" s="1"/>
      <c r="K84" s="1"/>
    </row>
    <row r="85" spans="9:28" hidden="1" outlineLevel="1" x14ac:dyDescent="0.2">
      <c r="J85" s="1"/>
      <c r="K85" s="1"/>
    </row>
    <row r="86" spans="9:28" hidden="1" outlineLevel="1" x14ac:dyDescent="0.2">
      <c r="J86" s="1"/>
    </row>
    <row r="87" spans="9:28" ht="15" hidden="1" outlineLevel="1" x14ac:dyDescent="0.25">
      <c r="J87" s="34"/>
      <c r="K87" s="34" t="s">
        <v>98</v>
      </c>
      <c r="L87" s="35" t="e" cm="1">
        <f t="array" aca="1" ref="L87" ca="1">_xll.SUBNM(db_name&amp;": appropriation item","","Total approp item")</f>
        <v>#NAME?</v>
      </c>
    </row>
    <row r="88" spans="9:28" hidden="1" outlineLevel="1" x14ac:dyDescent="0.2">
      <c r="J88" s="1"/>
      <c r="K88" s="1"/>
    </row>
    <row r="89" spans="9:28" hidden="1" outlineLevel="1" x14ac:dyDescent="0.2"/>
    <row r="90" spans="9:28" hidden="1" outlineLevel="1" x14ac:dyDescent="0.2"/>
    <row r="91" spans="9:28" ht="40.15" customHeight="1" collapsed="1" x14ac:dyDescent="0.2">
      <c r="I91" s="32"/>
      <c r="J91" s="32"/>
      <c r="K91" s="32"/>
      <c r="L91" s="32"/>
      <c r="M91" s="50"/>
      <c r="N91" s="32"/>
      <c r="O91" s="32"/>
      <c r="P91" s="32"/>
      <c r="Q91" s="32"/>
      <c r="R91" s="32"/>
      <c r="S91" s="32" t="s">
        <v>101</v>
      </c>
      <c r="T91" s="32"/>
      <c r="U91" s="32"/>
      <c r="V91" s="32"/>
      <c r="W91" s="32"/>
      <c r="X91" s="32"/>
      <c r="Y91" s="32"/>
      <c r="Z91" s="32"/>
      <c r="AA91" s="32"/>
      <c r="AB91" s="32"/>
    </row>
    <row r="92" spans="9:28" customFormat="1" ht="4.5" customHeight="1" x14ac:dyDescent="0.25">
      <c r="M92" s="51"/>
    </row>
    <row r="93" spans="9:28" customFormat="1" ht="24" customHeight="1" x14ac:dyDescent="0.25">
      <c r="J93" s="23"/>
      <c r="K93" s="23"/>
      <c r="M93" s="51"/>
    </row>
    <row r="94" spans="9:28" ht="1.5" customHeight="1" x14ac:dyDescent="0.2">
      <c r="I94" s="31"/>
      <c r="J94" s="31"/>
      <c r="K94" s="31"/>
      <c r="L94" s="31"/>
      <c r="M94" s="52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</row>
    <row r="95" spans="9:28" ht="4.5" customHeight="1" x14ac:dyDescent="0.2">
      <c r="J95" s="1"/>
      <c r="K95" s="1"/>
    </row>
    <row r="96" spans="9:28" ht="15" x14ac:dyDescent="0.25">
      <c r="J96" s="1"/>
      <c r="K96" s="1"/>
      <c r="L96" s="33" t="s">
        <v>63</v>
      </c>
      <c r="N96" s="56" t="s">
        <v>64</v>
      </c>
      <c r="O96" s="57"/>
    </row>
    <row r="97" spans="2:28" ht="15" x14ac:dyDescent="0.25">
      <c r="J97" s="34"/>
      <c r="K97" s="34" t="s">
        <v>67</v>
      </c>
      <c r="L97" s="35" t="e" cm="1">
        <f t="array" aca="1" ref="L97" ca="1">_xll.SUBNM(db_name&amp;":headline year","",$C$21)</f>
        <v>#NAME?</v>
      </c>
      <c r="N97" s="34" t="s">
        <v>106</v>
      </c>
      <c r="O97" s="28" t="e" cm="1">
        <f t="array" aca="1" ref="O97" ca="1">_xll.SUBNM(db_name&amp;":sys_ReportDisplay","","Expand")</f>
        <v>#NAME?</v>
      </c>
    </row>
    <row r="98" spans="2:28" ht="15" x14ac:dyDescent="0.25">
      <c r="K98" s="34" t="s">
        <v>68</v>
      </c>
      <c r="L98" s="35" t="e" cm="1">
        <f t="array" aca="1" ref="L98" ca="1">_xll.SUBNM(db_name&amp;":scenario","",$C$22)</f>
        <v>#NAME?</v>
      </c>
      <c r="N98" s="34" t="s">
        <v>107</v>
      </c>
      <c r="O98" s="28" t="e" cm="1">
        <f t="array" aca="1" ref="O98" ca="1">_xll.SUBNM(db_name&amp;":sys_ReportDisplay","","Expand")</f>
        <v>#NAME?</v>
      </c>
    </row>
    <row r="99" spans="2:28" ht="15" x14ac:dyDescent="0.25">
      <c r="K99" s="34" t="s">
        <v>70</v>
      </c>
      <c r="L99" s="35" t="e" cm="1">
        <f t="array" aca="1" ref="L99" ca="1">_xll.SUBNM(db_name&amp;":status","","Total approved")</f>
        <v>#NAME?</v>
      </c>
      <c r="N99" s="34" t="s">
        <v>108</v>
      </c>
      <c r="O99" s="28" t="e" cm="1">
        <f t="array" aca="1" ref="O99" ca="1">_xll.SUBNM(db_name&amp;":sys_ReportDisplay","","Expand")</f>
        <v>#NAME?</v>
      </c>
    </row>
    <row r="100" spans="2:28" ht="15" customHeight="1" x14ac:dyDescent="0.25">
      <c r="K100" s="34" t="s">
        <v>69</v>
      </c>
      <c r="L100" s="35" t="e" cm="1">
        <f t="array" aca="1" ref="L100" ca="1">_xll.SUBNM(db_name&amp;":"&amp; psProgDimName,"","Administered Programmes","code and description")</f>
        <v>#NAME?</v>
      </c>
      <c r="N100" s="34" t="s">
        <v>109</v>
      </c>
      <c r="O100" s="28" t="e" cm="1">
        <f t="array" aca="1" ref="O100" ca="1">_xll.SUBNM(db_name&amp;":sys_ReportDisplay","","Expand")</f>
        <v>#NAME?</v>
      </c>
      <c r="Q100" s="37"/>
      <c r="R100" s="55"/>
      <c r="S100" s="55"/>
    </row>
    <row r="101" spans="2:28" ht="15" customHeight="1" x14ac:dyDescent="0.25">
      <c r="K101" s="34" t="s">
        <v>103</v>
      </c>
      <c r="L101" s="35" t="e" cm="1">
        <f t="array" aca="1" ref="L101" ca="1">_xll.SUBNM(db_name&amp;":Account","","2000000","Code and Description")</f>
        <v>#NAME?</v>
      </c>
      <c r="N101" s="34" t="s">
        <v>113</v>
      </c>
      <c r="O101" s="28" t="e" cm="1">
        <f t="array" aca="1" ref="O101" ca="1">_xll.SUBNM(db_name&amp;":sys_YesNo","","Yes")</f>
        <v>#NAME?</v>
      </c>
      <c r="P101" s="45" t="s">
        <v>116</v>
      </c>
      <c r="Q101" s="37"/>
      <c r="R101" s="45"/>
      <c r="S101" s="45"/>
      <c r="T101" s="45"/>
      <c r="U101" s="45"/>
      <c r="V101" s="45"/>
    </row>
    <row r="102" spans="2:28" ht="15" customHeight="1" x14ac:dyDescent="0.25">
      <c r="K102" s="34" t="s">
        <v>102</v>
      </c>
      <c r="L102" s="35" t="e" cm="1">
        <f t="array" aca="1" ref="L102" ca="1">_xll.SUBNM(db_name&amp;":spp","","Total SPP","Code and Description")</f>
        <v>#NAME?</v>
      </c>
      <c r="N102" s="34" t="s">
        <v>65</v>
      </c>
      <c r="O102" s="28" t="e" cm="1">
        <f t="array" aca="1" ref="O102" ca="1">_xll.SUBNM(db_name&amp;":sys_YesNo","","Yes")</f>
        <v>#NAME?</v>
      </c>
      <c r="Q102" s="37"/>
      <c r="R102" s="55"/>
      <c r="S102" s="55"/>
    </row>
    <row r="103" spans="2:28" ht="15" customHeight="1" x14ac:dyDescent="0.25">
      <c r="J103" s="34"/>
      <c r="K103" s="34"/>
      <c r="N103" s="34" t="s">
        <v>66</v>
      </c>
      <c r="O103" s="28" t="e" cm="1">
        <f t="array" aca="1" ref="O103" ca="1">_xll.SUBNM(db_name&amp;":sys_YesNo","","Yes")</f>
        <v>#NAME?</v>
      </c>
      <c r="Q103" s="37" t="s">
        <v>84</v>
      </c>
      <c r="R103" s="55">
        <f ca="1">NOW()</f>
        <v>45874.612911458331</v>
      </c>
      <c r="S103" s="55"/>
    </row>
    <row r="104" spans="2:28" ht="4.5" customHeight="1" x14ac:dyDescent="0.2">
      <c r="J104" s="7"/>
      <c r="K104" s="7"/>
      <c r="L104" s="29"/>
      <c r="M104" s="53"/>
      <c r="N104" s="30"/>
      <c r="O104" s="2"/>
      <c r="P104" s="2"/>
    </row>
    <row r="105" spans="2:28" customFormat="1" ht="15" x14ac:dyDescent="0.25">
      <c r="J105" s="62" t="s">
        <v>105</v>
      </c>
      <c r="K105" s="63" t="s">
        <v>85</v>
      </c>
      <c r="L105" s="62" t="s">
        <v>86</v>
      </c>
      <c r="M105" s="62" t="s">
        <v>110</v>
      </c>
      <c r="N105" s="44" t="e">
        <f t="shared" ref="N105:S105" ca="1" si="0">+N20</f>
        <v>#NAME?</v>
      </c>
      <c r="O105" s="44" t="e">
        <f t="shared" ca="1" si="0"/>
        <v>#NAME?</v>
      </c>
      <c r="P105" s="44" t="e">
        <f t="shared" ca="1" si="0"/>
        <v>#NAME?</v>
      </c>
      <c r="Q105" s="44" t="e">
        <f t="shared" ca="1" si="0"/>
        <v>#NAME?</v>
      </c>
      <c r="R105" s="44" t="e">
        <f t="shared" ca="1" si="0"/>
        <v>#NAME?</v>
      </c>
      <c r="S105" s="44" t="e">
        <f t="shared" ca="1" si="0"/>
        <v>#NAME?</v>
      </c>
      <c r="T105" s="44" t="e">
        <f t="shared" ref="T105:AB105" ca="1" si="1">+T20</f>
        <v>#NAME?</v>
      </c>
      <c r="U105" s="44" t="e">
        <f t="shared" ca="1" si="1"/>
        <v>#NAME?</v>
      </c>
      <c r="V105" s="44" t="e">
        <f t="shared" ca="1" si="1"/>
        <v>#NAME?</v>
      </c>
      <c r="W105" s="44" t="e">
        <f t="shared" ca="1" si="1"/>
        <v>#NAME?</v>
      </c>
      <c r="X105" s="44" t="e">
        <f t="shared" ca="1" si="1"/>
        <v>#NAME?</v>
      </c>
      <c r="Y105" s="44" t="e">
        <f t="shared" ca="1" si="1"/>
        <v>#NAME?</v>
      </c>
      <c r="Z105" s="44" t="e">
        <f t="shared" ca="1" si="1"/>
        <v>#NAME?</v>
      </c>
      <c r="AA105" s="44" t="e">
        <f t="shared" ca="1" si="1"/>
        <v>#NAME?</v>
      </c>
      <c r="AB105" s="44" t="e">
        <f t="shared" ca="1" si="1"/>
        <v>#NAME?</v>
      </c>
    </row>
    <row r="106" spans="2:28" customFormat="1" ht="15" x14ac:dyDescent="0.25">
      <c r="J106" s="62"/>
      <c r="K106" s="63"/>
      <c r="L106" s="62"/>
      <c r="M106" s="62"/>
      <c r="N106" s="44" t="str">
        <f t="shared" ref="N106:S106" si="2">+N22</f>
        <v>RB</v>
      </c>
      <c r="O106" s="44" t="str">
        <f t="shared" si="2"/>
        <v>NB</v>
      </c>
      <c r="P106" s="44" t="str">
        <f t="shared" si="2"/>
        <v>FE1</v>
      </c>
      <c r="Q106" s="44" t="str">
        <f t="shared" si="2"/>
        <v>FE2</v>
      </c>
      <c r="R106" s="44" t="str">
        <f t="shared" si="2"/>
        <v>FE3</v>
      </c>
      <c r="S106" s="44" t="str">
        <f t="shared" si="2"/>
        <v>FE4</v>
      </c>
      <c r="T106" s="44" t="str">
        <f t="shared" ref="T106:AB106" si="3">+T22</f>
        <v>FE5</v>
      </c>
      <c r="U106" s="44" t="str">
        <f t="shared" si="3"/>
        <v>FE6</v>
      </c>
      <c r="V106" s="44" t="str">
        <f t="shared" si="3"/>
        <v>FE7</v>
      </c>
      <c r="W106" s="44" t="str">
        <f t="shared" si="3"/>
        <v>FE8</v>
      </c>
      <c r="X106" s="44" t="str">
        <f t="shared" si="3"/>
        <v>FE9</v>
      </c>
      <c r="Y106" s="44" t="str">
        <f t="shared" si="3"/>
        <v>FE10</v>
      </c>
      <c r="Z106" s="44" t="str">
        <f t="shared" si="3"/>
        <v>FE11</v>
      </c>
      <c r="AA106" s="44" t="str">
        <f t="shared" si="3"/>
        <v>FE12</v>
      </c>
      <c r="AB106" s="44" t="str">
        <f t="shared" si="3"/>
        <v>FE13</v>
      </c>
    </row>
    <row r="107" spans="2:28" customFormat="1" ht="15" x14ac:dyDescent="0.25">
      <c r="J107" s="62"/>
      <c r="K107" s="63"/>
      <c r="L107" s="62"/>
      <c r="M107" s="62"/>
      <c r="N107" s="44" t="s">
        <v>40</v>
      </c>
      <c r="O107" s="44" t="s">
        <v>40</v>
      </c>
      <c r="P107" s="44" t="s">
        <v>40</v>
      </c>
      <c r="Q107" s="44" t="s">
        <v>40</v>
      </c>
      <c r="R107" s="44" t="s">
        <v>40</v>
      </c>
      <c r="S107" s="44" t="s">
        <v>40</v>
      </c>
      <c r="T107" s="44" t="s">
        <v>40</v>
      </c>
      <c r="U107" s="44" t="s">
        <v>40</v>
      </c>
      <c r="V107" s="44" t="s">
        <v>40</v>
      </c>
      <c r="W107" s="44" t="s">
        <v>40</v>
      </c>
      <c r="X107" s="44" t="s">
        <v>40</v>
      </c>
      <c r="Y107" s="44" t="s">
        <v>40</v>
      </c>
      <c r="Z107" s="44" t="s">
        <v>40</v>
      </c>
      <c r="AA107" s="44" t="s">
        <v>40</v>
      </c>
      <c r="AB107" s="44" t="s">
        <v>40</v>
      </c>
    </row>
    <row r="108" spans="2:28" ht="4.5" customHeight="1" x14ac:dyDescent="0.25">
      <c r="B108" s="16" t="s">
        <v>43</v>
      </c>
      <c r="C108"/>
      <c r="D108"/>
      <c r="E108"/>
      <c r="F108"/>
      <c r="G108"/>
      <c r="H108"/>
      <c r="I108"/>
      <c r="K108" s="1"/>
      <c r="N108" s="3"/>
      <c r="O108" s="3"/>
      <c r="P108" s="3"/>
      <c r="Q108" s="3"/>
      <c r="R108" s="3"/>
      <c r="S108" s="3"/>
    </row>
    <row r="109" spans="2:28" outlineLevel="1" x14ac:dyDescent="0.2">
      <c r="B109" s="1" t="e" cm="1">
        <f t="array" aca="1" ref="B109" ca="1">IF(_xll.TM1RPTELISCONSOLIDATED($L$109,$L109),IF(_xll.TM1RPTELLEV($L$109,$L109)&lt;=3,_xll.TM1RPTELLEV($L$109,$L109),"D"),"N")</f>
        <v>#NAME?</v>
      </c>
      <c r="J109" s="54" t="e" cm="1">
        <f t="array" aca="1" ref="J109" ca="1">_xll.TM1RPTROW($C$36,db_name&amp;":SPP","",,"code and description",,$C$50)</f>
        <v>#NAME?</v>
      </c>
      <c r="K109" s="54" t="e" cm="1">
        <f t="array" aca="1" ref="K109" ca="1">_xll.TM1RPTROW($C$36,db_name&amp;":"&amp; psProgDimName,"",,"code and description",0,$C$39)</f>
        <v>#NAME?</v>
      </c>
      <c r="L109" s="54" t="e" cm="1">
        <f t="array" aca="1" ref="L109" ca="1">_xll.TM1RPTROW($C$36,db_name&amp;":account",,,"code and description",$C$60,$C$48)</f>
        <v>#NAME?</v>
      </c>
      <c r="M109" s="49" t="e" cm="1">
        <f t="array" aca="1" ref="M109" ca="1">_xll.TM1RPTROW($C$36,db_name&amp;":jurisdiction",,,"code and description","",$C$51)</f>
        <v>#NAME?</v>
      </c>
      <c r="N109" s="19" t="e" cm="1">
        <f t="array" aca="1" ref="N109" ca="1">_xll.DBRW($C$36,$L$97,$L$98,$L$99,$C$66,$C$67,$C$68,$C$69,$J109,$C$71,$C$72,$C$73,$L$87,$K109,$L109,$C$76,$M109,N$105)</f>
        <v>#NAME?</v>
      </c>
      <c r="O109" s="19" t="e" cm="1">
        <f t="array" aca="1" ref="O109" ca="1">_xll.DBRW($C$36,$L$97,$L$98,$L$99,$C$66,$C$67,$C$68,$C$69,$J109,$C$71,$C$72,$C$73,$L$87,$K109,$L109,$C$76,$M109,O$105)</f>
        <v>#NAME?</v>
      </c>
      <c r="P109" s="19" t="e" cm="1">
        <f t="array" aca="1" ref="P109" ca="1">_xll.DBRW($C$36,$L$97,$L$98,$L$99,$C$66,$C$67,$C$68,$C$69,$J109,$C$71,$C$72,$C$73,$L$87,$K109,$L109,$C$76,$M109,P$105)</f>
        <v>#NAME?</v>
      </c>
      <c r="Q109" s="19" t="e" cm="1">
        <f t="array" aca="1" ref="Q109" ca="1">_xll.DBRW($C$36,$L$97,$L$98,$L$99,$C$66,$C$67,$C$68,$C$69,$J109,$C$71,$C$72,$C$73,$L$87,$K109,$L109,$C$76,$M109,Q$105)</f>
        <v>#NAME?</v>
      </c>
      <c r="R109" s="19" t="e" cm="1">
        <f t="array" aca="1" ref="R109" ca="1">_xll.DBRW($C$36,$L$97,$L$98,$L$99,$C$66,$C$67,$C$68,$C$69,$J109,$C$71,$C$72,$C$73,$L$87,$K109,$L109,$C$76,$M109,R$105)</f>
        <v>#NAME?</v>
      </c>
      <c r="S109" s="19" t="e" cm="1">
        <f t="array" aca="1" ref="S109" ca="1">_xll.DBRW($C$36,$L$97,$L$98,$L$99,$C$66,$C$67,$C$68,$C$69,$J109,$C$71,$C$72,$C$73,$L$87,$K109,$L109,$C$76,$M109,S$105)</f>
        <v>#NAME?</v>
      </c>
      <c r="T109" s="19" t="e" cm="1">
        <f t="array" aca="1" ref="T109" ca="1">_xll.DBRW($C$36,$L$97,$L$98,$L$99,$C$66,$C$67,$C$68,$C$69,$J109,$C$71,$C$72,$C$73,$L$87,$K109,$L109,$C$76,$M109,T$105)</f>
        <v>#NAME?</v>
      </c>
      <c r="U109" s="19" t="e" cm="1">
        <f t="array" aca="1" ref="U109" ca="1">_xll.DBRW($C$36,$L$97,$L$98,$L$99,$C$66,$C$67,$C$68,$C$69,$J109,$C$71,$C$72,$C$73,$L$87,$K109,$L109,$C$76,$M109,U$105)</f>
        <v>#NAME?</v>
      </c>
      <c r="V109" s="19" t="e" cm="1">
        <f t="array" aca="1" ref="V109" ca="1">_xll.DBRW($C$36,$L$97,$L$98,$L$99,$C$66,$C$67,$C$68,$C$69,$J109,$C$71,$C$72,$C$73,$L$87,$K109,$L109,$C$76,$M109,V$105)</f>
        <v>#NAME?</v>
      </c>
      <c r="W109" s="19" t="e" cm="1">
        <f t="array" aca="1" ref="W109" ca="1">_xll.DBRW($C$36,$L$97,$L$98,$L$99,$C$66,$C$67,$C$68,$C$69,$J109,$C$71,$C$72,$C$73,$L$87,$K109,$L109,$C$76,$M109,W$105)</f>
        <v>#NAME?</v>
      </c>
      <c r="X109" s="19" t="e" cm="1">
        <f t="array" aca="1" ref="X109" ca="1">_xll.DBRW($C$36,$L$97,$L$98,$L$99,$C$66,$C$67,$C$68,$C$69,$J109,$C$71,$C$72,$C$73,$L$87,$K109,$L109,$C$76,$M109,X$105)</f>
        <v>#NAME?</v>
      </c>
      <c r="Y109" s="19" t="e" cm="1">
        <f t="array" aca="1" ref="Y109" ca="1">_xll.DBRW($C$36,$L$97,$L$98,$L$99,$C$66,$C$67,$C$68,$C$69,$J109,$C$71,$C$72,$C$73,$L$87,$K109,$L109,$C$76,$M109,Y$105)</f>
        <v>#NAME?</v>
      </c>
      <c r="Z109" s="19" t="e" cm="1">
        <f t="array" aca="1" ref="Z109" ca="1">_xll.DBRW($C$36,$L$97,$L$98,$L$99,$C$66,$C$67,$C$68,$C$69,$J109,$C$71,$C$72,$C$73,$L$87,$K109,$L109,$C$76,$M109,Z$105)</f>
        <v>#NAME?</v>
      </c>
      <c r="AA109" s="19" t="e" cm="1">
        <f t="array" aca="1" ref="AA109" ca="1">_xll.DBRW($C$36,$L$97,$L$98,$L$99,$C$66,$C$67,$C$68,$C$69,$J109,$C$71,$C$72,$C$73,$L$87,$K109,$L109,$C$76,$M109,AA$105)</f>
        <v>#NAME?</v>
      </c>
      <c r="AB109" s="19" t="e" cm="1">
        <f t="array" aca="1" ref="AB109" ca="1">_xll.DBRW($C$36,$L$97,$L$98,$L$99,$C$66,$C$67,$C$68,$C$69,$J109,$C$71,$C$72,$C$73,$L$87,$K109,$L109,$C$76,$M109,AB$105)</f>
        <v>#NAME?</v>
      </c>
    </row>
  </sheetData>
  <sheetProtection sheet="1" objects="1" scenarios="1"/>
  <mergeCells count="14">
    <mergeCell ref="J105:J107"/>
    <mergeCell ref="L105:L107"/>
    <mergeCell ref="M105:M107"/>
    <mergeCell ref="K105:K107"/>
    <mergeCell ref="B11:C11"/>
    <mergeCell ref="B19:C19"/>
    <mergeCell ref="B35:C35"/>
    <mergeCell ref="B62:C62"/>
    <mergeCell ref="R103:S103"/>
    <mergeCell ref="R100:S100"/>
    <mergeCell ref="N96:O96"/>
    <mergeCell ref="B25:D25"/>
    <mergeCell ref="C80:D80"/>
    <mergeCell ref="R102:S102"/>
  </mergeCells>
  <conditionalFormatting sqref="J2:M7 J109:M109">
    <cfRule type="cellIs" dxfId="0" priority="4" operator="notEqual">
      <formula>"adfvxz"</formula>
    </cfRule>
  </conditionalFormatting>
  <dataValidations disablePrompts="1" count="1">
    <dataValidation type="list" allowBlank="1" showInputMessage="1" showErrorMessage="1" sqref="C80:D80" xr:uid="{44DA7C18-A966-49B2-B1F3-A38DA421908D}">
      <formula1>Acc_display_list</formula1>
    </dataValidation>
  </dataValidations>
  <pageMargins left="0.70866141732283472" right="0.70866141732283472" top="0.74803149606299213" bottom="0.74803149606299213" header="0.31496062992125984" footer="0.31496062992125984"/>
  <pageSetup paperSize="9" scale="57" fitToHeight="0" orientation="landscape" r:id="rId1"/>
  <drawing r:id="rId2"/>
  <legacyDrawing r:id="rId3"/>
  <controls>
    <mc:AlternateContent xmlns:mc="http://schemas.openxmlformats.org/markup-compatibility/2006">
      <mc:Choice Requires="x14">
        <control shapeId="1033" r:id="rId4" name="TIButton5">
          <controlPr defaultSize="0" print="0" autoLine="0" r:id="rId5">
            <anchor moveWithCells="1" sizeWithCells="1">
              <from>
                <xdr:col>9</xdr:col>
                <xdr:colOff>1809750</xdr:colOff>
                <xdr:row>92</xdr:row>
                <xdr:rowOff>9525</xdr:rowOff>
              </from>
              <to>
                <xdr:col>9</xdr:col>
                <xdr:colOff>3152775</xdr:colOff>
                <xdr:row>92</xdr:row>
                <xdr:rowOff>257175</xdr:rowOff>
              </to>
            </anchor>
          </controlPr>
        </control>
      </mc:Choice>
      <mc:Fallback>
        <control shapeId="1033" r:id="rId4" name="TIButton5"/>
      </mc:Fallback>
    </mc:AlternateContent>
    <mc:AlternateContent xmlns:mc="http://schemas.openxmlformats.org/markup-compatibility/2006">
      <mc:Choice Requires="x14">
        <control shapeId="1032" r:id="rId6" name="TIButton1">
          <controlPr defaultSize="0" print="0" autoLine="0" r:id="rId7">
            <anchor moveWithCells="1" sizeWithCells="1">
              <from>
                <xdr:col>9</xdr:col>
                <xdr:colOff>638175</xdr:colOff>
                <xdr:row>92</xdr:row>
                <xdr:rowOff>9525</xdr:rowOff>
              </from>
              <to>
                <xdr:col>9</xdr:col>
                <xdr:colOff>1781175</xdr:colOff>
                <xdr:row>92</xdr:row>
                <xdr:rowOff>257175</xdr:rowOff>
              </to>
            </anchor>
          </controlPr>
        </control>
      </mc:Choice>
      <mc:Fallback>
        <control shapeId="1032" r:id="rId6" name="TIButton1"/>
      </mc:Fallback>
    </mc:AlternateContent>
    <mc:AlternateContent xmlns:mc="http://schemas.openxmlformats.org/markup-compatibility/2006">
      <mc:Choice Requires="x14">
        <control shapeId="1031" r:id="rId8" name="TIButton3">
          <controlPr defaultSize="0" print="0" autoLine="0" r:id="rId9">
            <anchor moveWithCells="1" sizeWithCells="1">
              <from>
                <xdr:col>10</xdr:col>
                <xdr:colOff>1304925</xdr:colOff>
                <xdr:row>92</xdr:row>
                <xdr:rowOff>9525</xdr:rowOff>
              </from>
              <to>
                <xdr:col>10</xdr:col>
                <xdr:colOff>2085975</xdr:colOff>
                <xdr:row>92</xdr:row>
                <xdr:rowOff>257175</xdr:rowOff>
              </to>
            </anchor>
          </controlPr>
        </control>
      </mc:Choice>
      <mc:Fallback>
        <control shapeId="1031" r:id="rId8" name="TIButton3"/>
      </mc:Fallback>
    </mc:AlternateContent>
    <mc:AlternateContent xmlns:mc="http://schemas.openxmlformats.org/markup-compatibility/2006">
      <mc:Choice Requires="x14">
        <control shapeId="1030" r:id="rId10" name="TIButton2">
          <controlPr defaultSize="0" print="0" autoLine="0" r:id="rId11">
            <anchor moveWithCells="1" sizeWithCells="1">
              <from>
                <xdr:col>8</xdr:col>
                <xdr:colOff>19050</xdr:colOff>
                <xdr:row>92</xdr:row>
                <xdr:rowOff>9525</xdr:rowOff>
              </from>
              <to>
                <xdr:col>9</xdr:col>
                <xdr:colOff>619125</xdr:colOff>
                <xdr:row>92</xdr:row>
                <xdr:rowOff>257175</xdr:rowOff>
              </to>
            </anchor>
          </controlPr>
        </control>
      </mc:Choice>
      <mc:Fallback>
        <control shapeId="1030" r:id="rId10" name="TIButton2"/>
      </mc:Fallback>
    </mc:AlternateContent>
    <mc:AlternateContent xmlns:mc="http://schemas.openxmlformats.org/markup-compatibility/2006">
      <mc:Choice Requires="x14">
        <control shapeId="1029" r:id="rId12" name="TIButton4">
          <controlPr defaultSize="0" print="0" autoLine="0" autoPict="0" r:id="rId13">
            <anchor moveWithCells="1" sizeWithCells="1">
              <from>
                <xdr:col>18</xdr:col>
                <xdr:colOff>723900</xdr:colOff>
                <xdr:row>91</xdr:row>
                <xdr:rowOff>38100</xdr:rowOff>
              </from>
              <to>
                <xdr:col>18</xdr:col>
                <xdr:colOff>1038225</xdr:colOff>
                <xdr:row>92</xdr:row>
                <xdr:rowOff>295275</xdr:rowOff>
              </to>
            </anchor>
          </controlPr>
        </control>
      </mc:Choice>
      <mc:Fallback>
        <control shapeId="1029" r:id="rId12" name="TIButton4"/>
      </mc:Fallback>
    </mc:AlternateContent>
    <mc:AlternateContent xmlns:mc="http://schemas.openxmlformats.org/markup-compatibility/2006">
      <mc:Choice Requires="x14">
        <control shapeId="1034" r:id="rId14" name="TIButton6">
          <controlPr defaultSize="0" print="0" autoLine="0" r:id="rId15">
            <anchor moveWithCells="1" sizeWithCells="1">
              <from>
                <xdr:col>9</xdr:col>
                <xdr:colOff>3209925</xdr:colOff>
                <xdr:row>92</xdr:row>
                <xdr:rowOff>9525</xdr:rowOff>
              </from>
              <to>
                <xdr:col>10</xdr:col>
                <xdr:colOff>1266825</xdr:colOff>
                <xdr:row>92</xdr:row>
                <xdr:rowOff>257175</xdr:rowOff>
              </to>
            </anchor>
          </controlPr>
        </control>
      </mc:Choice>
      <mc:Fallback>
        <control shapeId="1034" r:id="rId14" name="TIButton6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28</vt:i4>
      </vt:variant>
    </vt:vector>
  </HeadingPairs>
  <TitlesOfParts>
    <vt:vector size="29" baseType="lpstr">
      <vt:lpstr>report</vt:lpstr>
      <vt:lpstr>Acc_display_list</vt:lpstr>
      <vt:lpstr>db_name</vt:lpstr>
      <vt:lpstr>Freeze_HERE</vt:lpstr>
      <vt:lpstr>psApp</vt:lpstr>
      <vt:lpstr>psHLYear</vt:lpstr>
      <vt:lpstr>psProgDimName</vt:lpstr>
      <vt:lpstr>psUser</vt:lpstr>
      <vt:lpstr>Report_type_table</vt:lpstr>
      <vt:lpstr>sys_disprep_list</vt:lpstr>
      <vt:lpstr>sys_YN_list</vt:lpstr>
      <vt:lpstr>TM1HomeAECAP</vt:lpstr>
      <vt:lpstr>TM1HomeAEWB</vt:lpstr>
      <vt:lpstr>TM1HomeAEWS</vt:lpstr>
      <vt:lpstr>TM1HomeCAP</vt:lpstr>
      <vt:lpstr>TM1HomeRepAnalyticalCAP</vt:lpstr>
      <vt:lpstr>TM1HomeRepAnalyticalWB</vt:lpstr>
      <vt:lpstr>TM1HomeRepAnalyticalWS</vt:lpstr>
      <vt:lpstr>TM1HomeRepCAP</vt:lpstr>
      <vt:lpstr>TM1HomeRepOtherCAP</vt:lpstr>
      <vt:lpstr>TM1HomeRepOtherWB</vt:lpstr>
      <vt:lpstr>TM1HomeRepOtherWS</vt:lpstr>
      <vt:lpstr>TM1HomeRepWB</vt:lpstr>
      <vt:lpstr>TM1HomeRepWS</vt:lpstr>
      <vt:lpstr>TM1HomeWB</vt:lpstr>
      <vt:lpstr>TM1HomeWS</vt:lpstr>
      <vt:lpstr>report!TM1RPTDATARNG3</vt:lpstr>
      <vt:lpstr>report!TM1RPTFMTIDCOL</vt:lpstr>
      <vt:lpstr>report!TM1RPTFMTRNG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Looyen</dc:creator>
  <cp:lastModifiedBy>Xin HE</cp:lastModifiedBy>
  <cp:lastPrinted>2019-09-11T02:46:54Z</cp:lastPrinted>
  <dcterms:created xsi:type="dcterms:W3CDTF">2019-03-07T00:10:17Z</dcterms:created>
  <dcterms:modified xsi:type="dcterms:W3CDTF">2025-08-05T04:42:36Z</dcterms:modified>
</cp:coreProperties>
</file>