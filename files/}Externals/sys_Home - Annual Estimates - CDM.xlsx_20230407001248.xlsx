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Excelerated\Client work\Generic GEUS\20230227 CDM TI Processes\"/>
    </mc:Choice>
  </mc:AlternateContent>
  <xr:revisionPtr revIDLastSave="0" documentId="13_ncr:1_{27640B2E-5CD4-4DAF-A738-ADF9A94CA86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enu" sheetId="1" r:id="rId1"/>
    <sheet name="{PL}PickLst" sheetId="3" state="hidden" r:id="rId2"/>
  </sheets>
  <definedNames>
    <definedName name="db_name">Menu!$C$2</definedName>
    <definedName name="home">Menu!$G$33</definedName>
    <definedName name="Menu">Menu!$G$34</definedName>
    <definedName name="psHLYear">Menu!$C$11</definedName>
    <definedName name="psScenario">Menu!$C$12</definedName>
    <definedName name="psUser">Menu!$C$7</definedName>
    <definedName name="RangeName_List">#REF!</definedName>
    <definedName name="TM1AdjIDListCAP">Menu!$D$45</definedName>
    <definedName name="TM1AdjIDListWB">Menu!$F$45</definedName>
    <definedName name="TM1BulkProcessCAP">Menu!$D$46</definedName>
    <definedName name="TM1BulkProcessWB">Menu!$F$46</definedName>
    <definedName name="TM1BulkProcessWS">Menu!$H$46</definedName>
    <definedName name="TM1EDCAP">Menu!$D$50</definedName>
    <definedName name="TM1EDWB">Menu!$F$50</definedName>
    <definedName name="TM1EDWS">Menu!$H$50</definedName>
    <definedName name="TM1FailMsg">Menu!$D$28</definedName>
    <definedName name="TM1FE3CAP">Menu!$D$48</definedName>
    <definedName name="TM1FE3WB">Menu!$F$48</definedName>
    <definedName name="TM1FE3WS">Menu!$H$48</definedName>
    <definedName name="TM1HomeAdminCAP">Menu!$D$40</definedName>
    <definedName name="TM1HomeAdminWB">Menu!$F$40</definedName>
    <definedName name="TM1HomeAdminWS">Menu!$H$40</definedName>
    <definedName name="TM1HomeAEAccVarCAP">Menu!$D$38</definedName>
    <definedName name="TM1HomeAEAccVarWB">Menu!$F$38</definedName>
    <definedName name="TM1HomeAEAccVarWS">Menu!$H$38</definedName>
    <definedName name="TM1HomeAECAP">Menu!$D$34</definedName>
    <definedName name="TM1HomeAECDMCAP">Menu!$D$42</definedName>
    <definedName name="TM1HomeAECDMWB">Menu!$F$42</definedName>
    <definedName name="TM1HomeAECDMWS">Menu!$H$42</definedName>
    <definedName name="TM1HomeAEDataEntryCAP">Menu!$D$35</definedName>
    <definedName name="TM1HomeAEDataEntryWB">Menu!$F$35</definedName>
    <definedName name="TM1HomeAEDataEntryWS">Menu!$H$35</definedName>
    <definedName name="TM1HomeAEFFCAP">Menu!$D$37</definedName>
    <definedName name="TM1HomeAEFFWB">Menu!$F$37</definedName>
    <definedName name="TM1HomeAEFFWS">Menu!$H$37</definedName>
    <definedName name="TM1HomeAEMeasuresCAP">Menu!$D$36</definedName>
    <definedName name="TM1HomeAEMeasuresWB">Menu!$F$36</definedName>
    <definedName name="TM1HomeAEMeasuresWS">Menu!$H$36</definedName>
    <definedName name="TM1HomeAEWB">Menu!$F$34</definedName>
    <definedName name="TM1HomeAEWS">Menu!$H$34</definedName>
    <definedName name="TM1HomeCAP">Menu!$D$33</definedName>
    <definedName name="TM1HomeRepCAP">Menu!$D$39</definedName>
    <definedName name="TM1HomeRepWB">Menu!$F$39</definedName>
    <definedName name="TM1HomeRepWS">Menu!$H$39</definedName>
    <definedName name="TM1HomeUnderCAP">Menu!$D$41</definedName>
    <definedName name="TM1HomeUnderWB">Menu!$F$41</definedName>
    <definedName name="TM1HomeUnderWS">Menu!$H$41</definedName>
    <definedName name="TM1HomeWB">Menu!$F$33</definedName>
    <definedName name="TM1HomeWS">Menu!$H$33</definedName>
    <definedName name="TM1IDListWS">Menu!$H$45</definedName>
    <definedName name="TM1IndexCAP">Menu!$D$49</definedName>
    <definedName name="TM1IndexFE3MapCAP">Menu!$D$52</definedName>
    <definedName name="TM1IndexFE3MapWB">Menu!$F$52</definedName>
    <definedName name="TM1IndexFE3MapWS">Menu!$H$52</definedName>
    <definedName name="TM1IndexWB">Menu!$F$49</definedName>
    <definedName name="TM1IndexWS">Menu!$H$49</definedName>
    <definedName name="TM1NewAdj01HeaderCAP">Menu!$D$44</definedName>
    <definedName name="TM1NewAdj01HeaderWB">Menu!$F$44</definedName>
    <definedName name="TM1NewAdj01HeaderWS">Menu!$H$44</definedName>
    <definedName name="TM1NewAdj97UploadCAP">Menu!$D$47</definedName>
    <definedName name="TM1NewAdj97UploadWB">Menu!$F$47</definedName>
    <definedName name="TM1NewAdj97UploadWS">Menu!$H$47</definedName>
    <definedName name="TM1OkMsg">Menu!$D$27</definedName>
    <definedName name="TM1ProgTransferCAP">Menu!$D$51</definedName>
    <definedName name="TM1ProgTransferWB">Menu!$F$51</definedName>
    <definedName name="TM1ProgTransferWS">Menu!$H$51</definedName>
    <definedName name="TM1PromptMsg">Menu!$D$26</definedName>
    <definedName name="TM1REBUILDOPTION">1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H42" i="1"/>
  <c r="G42" i="1"/>
  <c r="F42" i="1"/>
  <c r="E42" i="1"/>
  <c r="D42" i="1"/>
  <c r="C42" i="1"/>
  <c r="K92" i="1"/>
  <c r="C10" i="1"/>
  <c r="C12" i="1"/>
  <c r="C11" i="1"/>
  <c r="C13" i="1"/>
  <c r="C14" i="1"/>
  <c r="C15" i="1"/>
  <c r="K58" i="1"/>
  <c r="C4" i="1"/>
  <c r="C7" i="1"/>
  <c r="W56" i="1"/>
  <c r="H52" i="1"/>
  <c r="G52" i="1"/>
  <c r="F52" i="1"/>
  <c r="E52" i="1"/>
  <c r="D52" i="1"/>
  <c r="C52" i="1"/>
  <c r="H51" i="1"/>
  <c r="G51" i="1"/>
  <c r="F51" i="1"/>
  <c r="E51" i="1"/>
  <c r="D51" i="1"/>
  <c r="C51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C18" i="1"/>
  <c r="C22" i="1"/>
  <c r="C21" i="1"/>
  <c r="C20" i="1"/>
  <c r="C19" i="1"/>
  <c r="C3" i="1"/>
  <c r="C6" i="1"/>
  <c r="C5" i="1"/>
</calcChain>
</file>

<file path=xl/sharedStrings.xml><?xml version="1.0" encoding="utf-8"?>
<sst xmlns="http://schemas.openxmlformats.org/spreadsheetml/2006/main" count="72" uniqueCount="65">
  <si>
    <t>Database Variables</t>
  </si>
  <si>
    <t>Database Name</t>
  </si>
  <si>
    <t>dcceew_geus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</si>
  <si>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</si>
  <si>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</si>
  <si>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</si>
  <si>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</si>
  <si>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</si>
  <si>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</si>
  <si>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</si>
  <si>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</si>
  <si>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</si>
  <si>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</si>
  <si>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</si>
  <si>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</si>
  <si>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</si>
  <si>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</si>
  <si>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</si>
  <si>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</si>
  <si>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</si>
  <si>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</si>
  <si>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</si>
  <si>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</si>
  <si>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</si>
  <si>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</si>
  <si>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</si>
  <si>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</si>
  <si>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</si>
  <si>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</si>
  <si>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</si>
  <si>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</si>
  <si>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</si>
  <si>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</si>
  <si>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</si>
  <si>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Annual Estimates - Measures</t>
  </si>
  <si>
    <t>Homepage - Annual Estimates - Flatfile Creation</t>
  </si>
  <si>
    <t>Homepage - Annual Estimates - Account Variation</t>
  </si>
  <si>
    <t>Worksheet description</t>
  </si>
  <si>
    <t>Homepage - Reports</t>
  </si>
  <si>
    <t>Homepage - Administration</t>
  </si>
  <si>
    <t>Homepage - Under Construction</t>
  </si>
  <si>
    <t>Data Entry - New Adj 01 - Header Details</t>
  </si>
  <si>
    <t>Adjustment - ID List</t>
  </si>
  <si>
    <t>Adjustment - Bulk Process</t>
  </si>
  <si>
    <t>Data Entry - New Adj 97 - Upload</t>
  </si>
  <si>
    <t>Adjustment - Generate FE3</t>
  </si>
  <si>
    <t>Adjustment - Generate Indexation</t>
  </si>
  <si>
    <t>Adjustment - Generate ED</t>
  </si>
  <si>
    <t>Adjustment - Programme Transfers</t>
  </si>
  <si>
    <t>Adjustment - Indexation and FE3 Navigational Map</t>
  </si>
  <si>
    <t>ANNUAL ESTIMATES</t>
  </si>
  <si>
    <t>DATA ENTRY MENU</t>
  </si>
  <si>
    <t>Navigate to the adjustment list</t>
  </si>
  <si>
    <t>Navigate to the Primary Financial Statements</t>
  </si>
  <si>
    <t>Homepage - Annual Estimates - CDM Extract</t>
  </si>
  <si>
    <t>CDM TI Message</t>
  </si>
  <si>
    <t>Success</t>
  </si>
  <si>
    <t>Fail</t>
  </si>
  <si>
    <t>CDM Extract was processed successfully. The output file was saved in the specified directory.</t>
  </si>
  <si>
    <t>CDM Extract was failed. Please contact TM1 Administrator.</t>
  </si>
  <si>
    <t>Prompt</t>
  </si>
  <si>
    <t>Are you sure you want to run this CDM Extract?</t>
  </si>
  <si>
    <t>TM1PromptMsg</t>
  </si>
  <si>
    <t>TM1FailMsg</t>
  </si>
  <si>
    <t>TM1OkMsg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</si>
</sst>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rgb="FF333399"/>
      <name val="Verdana"/>
      <family val="2"/>
    </font>
    <font>
      <sz val="11"/>
      <color theme="8" tint="-0.499923703726310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0.149937437055574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>
      <protection locked="0"/>
    </xf>
  </cellStyleXfs>
  <cellXfs count="24">
    <xf numFmtId="0" fontId="0" fillId="0" borderId="0" xfId="0"/>
    <xf numFmtId="0" fontId="5" fillId="3" borderId="0" xfId="0" applyFont="1" applyFill="1" applyAlignment="1">
      <alignment horizontal="left" vertical="center" indent="1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7" fillId="4" borderId="0" xfId="6" applyFont="1" applyFill="1" applyAlignment="1" applyProtection="1">
      <alignment horizontal="left" vertical="center"/>
    </xf>
    <xf numFmtId="0" fontId="7" fillId="2" borderId="0" xfId="0" applyFont="1" applyFill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3" fillId="2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7" fillId="4" borderId="0" xfId="6" applyFont="1" applyFill="1" applyAlignment="1" applyProtection="1">
      <alignment vertical="center"/>
    </xf>
    <xf numFmtId="0" fontId="0" fillId="5" borderId="0" xfId="0" applyFill="1"/>
    <xf numFmtId="0" fontId="0" fillId="0" borderId="3" xfId="0" applyBorder="1"/>
    <xf numFmtId="0" fontId="0" fillId="0" borderId="0" xfId="0" quotePrefix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6" borderId="1" xfId="0" applyFont="1" applyFill="1" applyBorder="1"/>
    <xf numFmtId="0" fontId="2" fillId="6" borderId="3" xfId="0" applyFont="1" applyFill="1" applyBorder="1"/>
    <xf numFmtId="0" fontId="4" fillId="2" borderId="0" xfId="0" applyFont="1" applyFill="1" applyAlignment="1">
      <alignment horizontal="right" vertical="center" indent="1"/>
    </xf>
    <xf numFmtId="0" fontId="9" fillId="0" borderId="0" xfId="0" applyFont="1"/>
    <xf numFmtId="0" fontId="0" fillId="0" borderId="0" xfId="0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1">
    <dxf>
      <font>
        <color theme="0"/>
      </font>
      <fill>
        <patternFill>
          <bgColor theme="9" tint="-0.499923703726310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2.jpeg"/><Relationship Id="rId4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image" Target="../media/image5.emf"/><Relationship Id="rId3" Type="http://schemas.openxmlformats.org/officeDocument/2006/relationships/image" Target="../media/image15.emf"/><Relationship Id="rId7" Type="http://schemas.openxmlformats.org/officeDocument/2006/relationships/image" Target="../media/image11.emf"/><Relationship Id="rId12" Type="http://schemas.openxmlformats.org/officeDocument/2006/relationships/image" Target="../media/image6.emf"/><Relationship Id="rId17" Type="http://schemas.openxmlformats.org/officeDocument/2006/relationships/image" Target="../media/image1.emf"/><Relationship Id="rId2" Type="http://schemas.openxmlformats.org/officeDocument/2006/relationships/image" Target="../media/image16.emf"/><Relationship Id="rId16" Type="http://schemas.openxmlformats.org/officeDocument/2006/relationships/image" Target="../media/image2.emf"/><Relationship Id="rId1" Type="http://schemas.openxmlformats.org/officeDocument/2006/relationships/image" Target="../media/image17.emf"/><Relationship Id="rId6" Type="http://schemas.openxmlformats.org/officeDocument/2006/relationships/image" Target="../media/image12.emf"/><Relationship Id="rId11" Type="http://schemas.openxmlformats.org/officeDocument/2006/relationships/image" Target="../media/image7.emf"/><Relationship Id="rId5" Type="http://schemas.openxmlformats.org/officeDocument/2006/relationships/image" Target="../media/image13.emf"/><Relationship Id="rId15" Type="http://schemas.openxmlformats.org/officeDocument/2006/relationships/image" Target="../media/image3.emf"/><Relationship Id="rId10" Type="http://schemas.openxmlformats.org/officeDocument/2006/relationships/image" Target="../media/image8.emf"/><Relationship Id="rId4" Type="http://schemas.openxmlformats.org/officeDocument/2006/relationships/image" Target="../media/image14.emf"/><Relationship Id="rId9" Type="http://schemas.openxmlformats.org/officeDocument/2006/relationships/image" Target="../media/image9.emf"/><Relationship Id="rId1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57</xdr:row>
      <xdr:rowOff>55686</xdr:rowOff>
    </xdr:from>
    <xdr:to>
      <xdr:col>22</xdr:col>
      <xdr:colOff>206290</xdr:colOff>
      <xdr:row>57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0" y="619125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62</xdr:row>
      <xdr:rowOff>57150</xdr:rowOff>
    </xdr:from>
    <xdr:to>
      <xdr:col>15</xdr:col>
      <xdr:colOff>307716</xdr:colOff>
      <xdr:row>62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628775"/>
          <a:ext cx="238125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62</xdr:row>
      <xdr:rowOff>66675</xdr:rowOff>
    </xdr:from>
    <xdr:to>
      <xdr:col>22</xdr:col>
      <xdr:colOff>289046</xdr:colOff>
      <xdr:row>62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38300"/>
          <a:ext cx="23812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28575</xdr:rowOff>
    </xdr:from>
    <xdr:to>
      <xdr:col>12</xdr:col>
      <xdr:colOff>57150</xdr:colOff>
      <xdr:row>55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575"/>
          <a:ext cx="1809750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62</xdr:row>
      <xdr:rowOff>66675</xdr:rowOff>
    </xdr:from>
    <xdr:to>
      <xdr:col>22</xdr:col>
      <xdr:colOff>289046</xdr:colOff>
      <xdr:row>62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38300"/>
          <a:ext cx="238125" cy="1809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63</xdr:row>
          <xdr:rowOff>47625</xdr:rowOff>
        </xdr:from>
        <xdr:to>
          <xdr:col>14</xdr:col>
          <xdr:colOff>752475</xdr:colOff>
          <xdr:row>66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66</xdr:row>
          <xdr:rowOff>47625</xdr:rowOff>
        </xdr:from>
        <xdr:to>
          <xdr:col>14</xdr:col>
          <xdr:colOff>752475</xdr:colOff>
          <xdr:row>68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104775</xdr:rowOff>
        </xdr:from>
        <xdr:to>
          <xdr:col>14</xdr:col>
          <xdr:colOff>752475</xdr:colOff>
          <xdr:row>70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70</xdr:row>
          <xdr:rowOff>161925</xdr:rowOff>
        </xdr:from>
        <xdr:to>
          <xdr:col>14</xdr:col>
          <xdr:colOff>752475</xdr:colOff>
          <xdr:row>72</xdr:row>
          <xdr:rowOff>38100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59</xdr:row>
          <xdr:rowOff>47625</xdr:rowOff>
        </xdr:from>
        <xdr:to>
          <xdr:col>13</xdr:col>
          <xdr:colOff>38100</xdr:colOff>
          <xdr:row>61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59</xdr:row>
          <xdr:rowOff>47625</xdr:rowOff>
        </xdr:from>
        <xdr:to>
          <xdr:col>15</xdr:col>
          <xdr:colOff>352425</xdr:colOff>
          <xdr:row>61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59</xdr:row>
          <xdr:rowOff>38100</xdr:rowOff>
        </xdr:from>
        <xdr:to>
          <xdr:col>19</xdr:col>
          <xdr:colOff>1104900</xdr:colOff>
          <xdr:row>61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59</xdr:row>
          <xdr:rowOff>38100</xdr:rowOff>
        </xdr:from>
        <xdr:to>
          <xdr:col>22</xdr:col>
          <xdr:colOff>114300</xdr:colOff>
          <xdr:row>61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63</xdr:row>
          <xdr:rowOff>47625</xdr:rowOff>
        </xdr:from>
        <xdr:to>
          <xdr:col>21</xdr:col>
          <xdr:colOff>1038225</xdr:colOff>
          <xdr:row>66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66</xdr:row>
          <xdr:rowOff>47625</xdr:rowOff>
        </xdr:from>
        <xdr:to>
          <xdr:col>21</xdr:col>
          <xdr:colOff>1038225</xdr:colOff>
          <xdr:row>68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68</xdr:row>
          <xdr:rowOff>104775</xdr:rowOff>
        </xdr:from>
        <xdr:to>
          <xdr:col>21</xdr:col>
          <xdr:colOff>1038225</xdr:colOff>
          <xdr:row>70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70</xdr:row>
          <xdr:rowOff>161925</xdr:rowOff>
        </xdr:from>
        <xdr:to>
          <xdr:col>21</xdr:col>
          <xdr:colOff>1038225</xdr:colOff>
          <xdr:row>72</xdr:row>
          <xdr:rowOff>38100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72</xdr:row>
          <xdr:rowOff>85725</xdr:rowOff>
        </xdr:from>
        <xdr:to>
          <xdr:col>21</xdr:col>
          <xdr:colOff>1038225</xdr:colOff>
          <xdr:row>74</xdr:row>
          <xdr:rowOff>152400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75</xdr:row>
          <xdr:rowOff>9525</xdr:rowOff>
        </xdr:from>
        <xdr:to>
          <xdr:col>21</xdr:col>
          <xdr:colOff>1038225</xdr:colOff>
          <xdr:row>78</xdr:row>
          <xdr:rowOff>19050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80</xdr:row>
          <xdr:rowOff>180975</xdr:rowOff>
        </xdr:from>
        <xdr:to>
          <xdr:col>21</xdr:col>
          <xdr:colOff>1038225</xdr:colOff>
          <xdr:row>84</xdr:row>
          <xdr:rowOff>0</xdr:rowOff>
        </xdr:to>
        <xdr:sp macro="" textlink="">
          <xdr:nvSpPr>
            <xdr:cNvPr id="1042" name="TIButton16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28576</xdr:colOff>
      <xdr:row>0</xdr:row>
      <xdr:rowOff>0</xdr:rowOff>
    </xdr:from>
    <xdr:to>
      <xdr:col>26</xdr:col>
      <xdr:colOff>55246</xdr:colOff>
      <xdr:row>62</xdr:row>
      <xdr:rowOff>281941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25" y="0"/>
          <a:ext cx="1857375" cy="1857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72</xdr:row>
          <xdr:rowOff>104775</xdr:rowOff>
        </xdr:from>
        <xdr:to>
          <xdr:col>14</xdr:col>
          <xdr:colOff>752475</xdr:colOff>
          <xdr:row>74</xdr:row>
          <xdr:rowOff>171450</xdr:rowOff>
        </xdr:to>
        <xdr:sp macro="" textlink="">
          <xdr:nvSpPr>
            <xdr:cNvPr id="1044" name="TIButton1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A05CFF7F-E2BD-DDCB-1CA5-FB4838DB53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304800</xdr:colOff>
          <xdr:row>78</xdr:row>
          <xdr:rowOff>66675</xdr:rowOff>
        </xdr:from>
        <xdr:to>
          <xdr:col>21</xdr:col>
          <xdr:colOff>1057275</xdr:colOff>
          <xdr:row>80</xdr:row>
          <xdr:rowOff>133350</xdr:rowOff>
        </xdr:to>
        <xdr:sp macro="" textlink="">
          <xdr:nvSpPr>
            <xdr:cNvPr id="1045" name="TIButton15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396C4718-23B5-FD9E-90F5-94106EAF1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/>
  <dimension ref="A1:AE92"/>
  <sheetViews>
    <sheetView showGridLines="0" tabSelected="1" topLeftCell="J56" workbookViewId="0"/>
  </sheetViews>
  <sheetFormatPr defaultRowHeight="15" customHeight="1" outlineLevelRow="1" outlineLevelCol="1" x14ac:dyDescent="0.25"/>
  <cols>
    <col min="1" max="1" width="5.7109375" hidden="1" customWidth="1" outlineLevel="1"/>
    <col min="2" max="2" width="55.28515625" hidden="1" customWidth="1" outlineLevel="1"/>
    <col min="3" max="4" width="20.28515625" hidden="1" customWidth="1" outlineLevel="1"/>
    <col min="5" max="5" width="24.42578125" hidden="1" customWidth="1" outlineLevel="1"/>
    <col min="6" max="6" width="63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t="15" hidden="1" customHeight="1" outlineLevel="1" x14ac:dyDescent="0.25">
      <c r="B1" s="4" t="s">
        <v>0</v>
      </c>
      <c r="C1" s="3"/>
      <c r="D1" s="2"/>
    </row>
    <row r="2" spans="2:4" ht="15" hidden="1" customHeight="1" outlineLevel="1" x14ac:dyDescent="0.25">
      <c r="B2" s="16" t="s">
        <v>1</v>
      </c>
      <c r="C2" s="17" t="s">
        <v>2</v>
      </c>
      <c r="D2" s="8"/>
    </row>
    <row r="3" spans="2:4" ht="15" hidden="1" customHeight="1" outlineLevel="1" x14ac:dyDescent="0.25">
      <c r="B3" s="16" t="s">
        <v>3</v>
      </c>
      <c r="C3" s="18" t="str">
        <f ca="1">_xll.VIEW((db_name&amp;":}ElementAttributes_}Clients"),"!","!")</f>
        <v>dcceew_geus:}ElementAttributes_}Clients</v>
      </c>
      <c r="D3" s="8"/>
    </row>
    <row r="4" spans="2:4" ht="15" hidden="1" customHeight="1" outlineLevel="1" x14ac:dyDescent="0.25">
      <c r="B4" s="16" t="s">
        <v>4</v>
      </c>
      <c r="C4" s="17" t="str">
        <f ca="1">_xll.TM1USER(db_name)</f>
        <v>Admin</v>
      </c>
      <c r="D4" s="8"/>
    </row>
    <row r="5" spans="2:4" ht="15" hidden="1" customHeight="1" outlineLevel="1" x14ac:dyDescent="0.25">
      <c r="B5" s="16" t="s">
        <v>5</v>
      </c>
      <c r="C5" s="17" t="str">
        <f ca="1">_xll.DBR($C$3,$C$4,$B5)</f>
        <v>Admin</v>
      </c>
      <c r="D5" s="8"/>
    </row>
    <row r="6" spans="2:4" ht="15" hidden="1" customHeight="1" outlineLevel="1" x14ac:dyDescent="0.25">
      <c r="B6" s="16" t="s">
        <v>6</v>
      </c>
      <c r="C6" s="17" t="str">
        <f ca="1">_xll.DBR($C$3,$C$4,$B6)</f>
        <v>Admin</v>
      </c>
      <c r="D6" s="8"/>
    </row>
    <row r="7" spans="2:4" ht="15" hidden="1" customHeight="1" outlineLevel="1" x14ac:dyDescent="0.25">
      <c r="B7" s="16" t="s">
        <v>7</v>
      </c>
      <c r="C7" s="17" t="str">
        <f ca="1">IF((LEFT($C$4,6)="CAM_AD"),$C$5,$C$4)</f>
        <v>Admin</v>
      </c>
      <c r="D7" s="7"/>
    </row>
    <row r="8" spans="2:4" ht="15" hidden="1" customHeight="1" outlineLevel="1" x14ac:dyDescent="0.25"/>
    <row r="9" spans="2:4" ht="15" hidden="1" customHeight="1" outlineLevel="1" x14ac:dyDescent="0.25">
      <c r="B9" s="4" t="s">
        <v>8</v>
      </c>
      <c r="C9" s="3"/>
      <c r="D9" s="2"/>
    </row>
    <row r="10" spans="2:4" ht="15" hidden="1" customHeight="1" outlineLevel="1" x14ac:dyDescent="0.25">
      <c r="B10" s="16" t="s">
        <v>9</v>
      </c>
      <c r="C10" s="7" t="str">
        <f ca="1">_xll.VIEW((db_name&amp;":}ElementAttributes_variables"),"!","!")</f>
        <v>dcceew_geus:}ElementAttributes_variables</v>
      </c>
      <c r="D10" s="7"/>
    </row>
    <row r="11" spans="2:4" ht="15" hidden="1" customHeight="1" outlineLevel="1" x14ac:dyDescent="0.25">
      <c r="B11" s="16" t="s">
        <v>10</v>
      </c>
      <c r="C11" s="7" t="str">
        <f ca="1">_xll.DBR($C$10,$B11,"value")</f>
        <v>HL2023-2024</v>
      </c>
      <c r="D11" s="7"/>
    </row>
    <row r="12" spans="2:4" ht="15" hidden="1" customHeight="1" outlineLevel="1" x14ac:dyDescent="0.25">
      <c r="B12" s="16" t="s">
        <v>11</v>
      </c>
      <c r="C12" s="7" t="str">
        <f ca="1">_xll.DBR($C$10,$B12,"value")</f>
        <v>current</v>
      </c>
      <c r="D12" s="7"/>
    </row>
    <row r="13" spans="2:4" ht="15" hidden="1" customHeight="1" outlineLevel="1" x14ac:dyDescent="0.25">
      <c r="B13" s="16" t="s">
        <v>12</v>
      </c>
      <c r="C13" s="7" t="str">
        <f ca="1">_xll.DBR($C$10,$B13,"value")</f>
        <v>HL2022-2023</v>
      </c>
      <c r="D13" s="7"/>
    </row>
    <row r="14" spans="2:4" ht="15" hidden="1" customHeight="1" outlineLevel="1" x14ac:dyDescent="0.25">
      <c r="B14" s="16" t="s">
        <v>13</v>
      </c>
      <c r="C14" s="7" t="str">
        <f ca="1">_xll.DBR($C$10,$B14,"value")</f>
        <v>PEFO</v>
      </c>
      <c r="D14" s="7"/>
    </row>
    <row r="15" spans="2:4" ht="15" hidden="1" customHeight="1" outlineLevel="1" x14ac:dyDescent="0.25">
      <c r="B15" s="16" t="s">
        <v>14</v>
      </c>
      <c r="C15" s="7" t="str">
        <f ca="1">("The current scenario is """&amp;($C$12&amp;(""" for the """&amp;($C$11&amp;(""" Headline Year. Archive was done for """&amp;($C$13&amp;(""" on scenario """&amp;($C$14&amp;"""."))))))))</f>
        <v>The current scenario is "current" for the "HL2023-2024" Headline Year. Archive was done for "HL2022-2023" on scenario "PEFO".</v>
      </c>
      <c r="D15" s="7"/>
    </row>
    <row r="16" spans="2:4" ht="15" hidden="1" customHeight="1" outlineLevel="1" x14ac:dyDescent="0.25"/>
    <row r="17" spans="2:8" ht="15" hidden="1" customHeight="1" outlineLevel="1" x14ac:dyDescent="0.25">
      <c r="B17" s="4" t="s">
        <v>15</v>
      </c>
      <c r="C17" s="3"/>
      <c r="D17" s="2"/>
    </row>
    <row r="18" spans="2:8" ht="15" hidden="1" customHeight="1" outlineLevel="1" x14ac:dyDescent="0.25">
      <c r="B18" s="16" t="s">
        <v>9</v>
      </c>
      <c r="C18" s="7" t="str">
        <f ca="1">_xll.VIEW((db_name&amp;":sys_client preference"),"!","!","!")</f>
        <v>dcceew_geus:sys_client preference</v>
      </c>
      <c r="D18" s="7"/>
    </row>
    <row r="19" spans="2:8" ht="15" hidden="1" customHeight="1" outlineLevel="1" x14ac:dyDescent="0.25">
      <c r="B19" s="16" t="s">
        <v>16</v>
      </c>
      <c r="C19" s="7" t="str">
        <f ca="1">_xll.DBR($C$18,psUser,$B19,"value")</f>
        <v>HL2023-2024</v>
      </c>
      <c r="D19" s="7"/>
    </row>
    <row r="20" spans="2:8" ht="15" hidden="1" customHeight="1" outlineLevel="1" x14ac:dyDescent="0.25">
      <c r="B20" s="16" t="s">
        <v>17</v>
      </c>
      <c r="C20" s="7" t="str">
        <f ca="1">_xll.DBR($C$18,psUser,$B20,"value")</f>
        <v>current</v>
      </c>
      <c r="D20" s="7"/>
    </row>
    <row r="21" spans="2:8" ht="15" hidden="1" customHeight="1" outlineLevel="1" x14ac:dyDescent="0.25">
      <c r="B21" s="16" t="s">
        <v>18</v>
      </c>
      <c r="C21" s="7" t="str">
        <f ca="1">_xll.DBR($C$18,psUser,$B21,"value")</f>
        <v>00176</v>
      </c>
      <c r="D21" s="7"/>
    </row>
    <row r="22" spans="2:8" ht="15" hidden="1" customHeight="1" outlineLevel="1" x14ac:dyDescent="0.25">
      <c r="B22" s="16" t="s">
        <v>19</v>
      </c>
      <c r="C22" s="7" t="str">
        <f ca="1">_xll.DBR($C$18,psUser,$B22,"value")</f>
        <v/>
      </c>
      <c r="D22" s="7"/>
    </row>
    <row r="23" spans="2:8" ht="15" hidden="1" customHeight="1" outlineLevel="1" x14ac:dyDescent="0.25">
      <c r="B23" s="16" t="s">
        <v>20</v>
      </c>
      <c r="C23" s="7" t="s">
        <v>21</v>
      </c>
      <c r="D23" s="7"/>
    </row>
    <row r="24" spans="2:8" ht="15" hidden="1" customHeight="1" outlineLevel="1" x14ac:dyDescent="0.25"/>
    <row r="25" spans="2:8" ht="15" hidden="1" customHeight="1" outlineLevel="1" x14ac:dyDescent="0.25">
      <c r="B25" s="4" t="s">
        <v>55</v>
      </c>
      <c r="C25" s="3"/>
      <c r="D25" s="2"/>
    </row>
    <row r="26" spans="2:8" ht="15" hidden="1" customHeight="1" outlineLevel="1" x14ac:dyDescent="0.25">
      <c r="B26" s="16" t="s">
        <v>60</v>
      </c>
      <c r="C26" s="7" t="s">
        <v>62</v>
      </c>
      <c r="D26" s="7" t="s">
        <v>61</v>
      </c>
    </row>
    <row r="27" spans="2:8" s="23" customFormat="1" ht="15" hidden="1" customHeight="1" outlineLevel="1" x14ac:dyDescent="0.25">
      <c r="B27" s="16" t="s">
        <v>56</v>
      </c>
      <c r="C27" s="7" t="s">
        <v>64</v>
      </c>
      <c r="D27" s="7" t="s">
        <v>58</v>
      </c>
    </row>
    <row r="28" spans="2:8" s="23" customFormat="1" ht="15" hidden="1" customHeight="1" outlineLevel="1" x14ac:dyDescent="0.25">
      <c r="B28" s="16" t="s">
        <v>57</v>
      </c>
      <c r="C28" s="7" t="s">
        <v>63</v>
      </c>
      <c r="D28" s="7" t="s">
        <v>59</v>
      </c>
    </row>
    <row r="29" spans="2:8" ht="15" hidden="1" customHeight="1" outlineLevel="1" x14ac:dyDescent="0.25"/>
    <row r="30" spans="2:8" ht="15" hidden="1" customHeight="1" outlineLevel="1" x14ac:dyDescent="0.25">
      <c r="B30" s="4" t="s">
        <v>22</v>
      </c>
      <c r="C30" s="3"/>
      <c r="D30" s="2"/>
    </row>
    <row r="31" spans="2:8" ht="15" hidden="1" customHeight="1" outlineLevel="1" x14ac:dyDescent="0.25">
      <c r="B31" s="7" t="s">
        <v>23</v>
      </c>
      <c r="C31" s="14" t="str">
        <f ca="1">_xll.VIEW((db_name&amp;":sys_application"),"!","!")</f>
        <v>dcceew_geus:sys_application</v>
      </c>
      <c r="D31" s="14"/>
    </row>
    <row r="32" spans="2:8" ht="15" hidden="1" customHeight="1" outlineLevel="1" x14ac:dyDescent="0.25">
      <c r="B32" s="19" t="s">
        <v>24</v>
      </c>
      <c r="C32" s="20" t="s">
        <v>25</v>
      </c>
      <c r="D32" s="20" t="s">
        <v>26</v>
      </c>
      <c r="E32" s="20" t="s">
        <v>27</v>
      </c>
      <c r="F32" s="20" t="s">
        <v>28</v>
      </c>
      <c r="G32" s="20" t="s">
        <v>29</v>
      </c>
      <c r="H32" s="20" t="s">
        <v>30</v>
      </c>
    </row>
    <row r="33" spans="2:13" ht="15" hidden="1" customHeight="1" outlineLevel="1" x14ac:dyDescent="0.25">
      <c r="B33" s="7" t="s">
        <v>31</v>
      </c>
      <c r="C33" s="7" t="str">
        <f ca="1">_xll.DBR($C$31,$B33,C$32)</f>
        <v>TM1HomeCAP</v>
      </c>
      <c r="D33" s="7" t="str">
        <f ca="1">_xll.DBR($C$31,$B33,D$32)</f>
        <v>Home</v>
      </c>
      <c r="E33" s="7" t="str">
        <f ca="1">_xll.DBR($C$31,$B33,E$32)</f>
        <v>TM1HomeWB</v>
      </c>
      <c r="F33" s="7" t="str">
        <f ca="1">_xll.DBR($C$31,$B33,F$32)</f>
        <v>PRIMUS\GEUS WEB\Homepage\sys_Home.xlsx</v>
      </c>
      <c r="G33" s="7" t="str">
        <f ca="1">_xll.DBR($C$31,$B33,G$32)</f>
        <v>TM1HomeWS</v>
      </c>
      <c r="H33" s="7" t="str">
        <f ca="1">_xll.DBR($C$31,$B33,H$32)</f>
        <v>home</v>
      </c>
      <c r="M33" t="s">
        <v>26</v>
      </c>
    </row>
    <row r="34" spans="2:13" ht="15" hidden="1" customHeight="1" outlineLevel="1" x14ac:dyDescent="0.25">
      <c r="B34" s="7" t="s">
        <v>32</v>
      </c>
      <c r="C34" s="7" t="str">
        <f ca="1">_xll.DBR($C$31,$B34,C$32)</f>
        <v>TM1HomeAECAP</v>
      </c>
      <c r="D34" s="7" t="str">
        <f ca="1">_xll.DBR($C$31,$B34,D$32)</f>
        <v>Annual Estimates</v>
      </c>
      <c r="E34" s="7" t="str">
        <f ca="1">_xll.DBR($C$31,$B34,E$32)</f>
        <v>TM1HomeAEWB</v>
      </c>
      <c r="F34" s="7" t="str">
        <f ca="1">_xll.DBR($C$31,$B34,F$32)</f>
        <v>PRIMUS\GEUS WEB\Homepage\sys_Home - Annual Estimates - Data Entry.xlsx</v>
      </c>
      <c r="G34" s="7" t="str">
        <f ca="1">_xll.DBR($C$31,$B34,G$32)</f>
        <v>TM1HomeAEWS</v>
      </c>
      <c r="H34" s="7" t="str">
        <f ca="1">_xll.DBR($C$31,$B34,H$32)</f>
        <v>Menu</v>
      </c>
      <c r="M34" t="s">
        <v>27</v>
      </c>
    </row>
    <row r="35" spans="2:13" ht="15" hidden="1" customHeight="1" outlineLevel="1" x14ac:dyDescent="0.25">
      <c r="B35" s="7" t="s">
        <v>33</v>
      </c>
      <c r="C35" s="7" t="str">
        <f ca="1">_xll.DBR($C$31,$B35,C$32)</f>
        <v>TM1HomeAEDataEntryCAP</v>
      </c>
      <c r="D35" s="7" t="str">
        <f ca="1">_xll.DBR($C$31,$B35,D$32)</f>
        <v>Data Entry Menu</v>
      </c>
      <c r="E35" s="7" t="str">
        <f ca="1">_xll.DBR($C$31,$B35,E$32)</f>
        <v>TM1HomeAEDataEntryWB</v>
      </c>
      <c r="F35" s="7" t="str">
        <f ca="1">_xll.DBR($C$31,$B35,F$32)</f>
        <v>PRIMUS\GEUS WEB\Homepage\sys_Home - Annual Estimates - Data Entry.xlsx</v>
      </c>
      <c r="G35" s="7" t="str">
        <f ca="1">_xll.DBR($C$31,$B35,G$32)</f>
        <v>TM1HomeAEDataEntryWS</v>
      </c>
      <c r="H35" s="7" t="str">
        <f ca="1">_xll.DBR($C$31,$B35,H$32)</f>
        <v>Menu</v>
      </c>
      <c r="M35" t="s">
        <v>28</v>
      </c>
    </row>
    <row r="36" spans="2:13" ht="15" hidden="1" customHeight="1" outlineLevel="1" x14ac:dyDescent="0.25">
      <c r="B36" s="7" t="s">
        <v>34</v>
      </c>
      <c r="C36" s="7" t="str">
        <f ca="1">_xll.DBR($C$31,$B36,C$32)</f>
        <v>TM1HomeAEMeasuresCAP</v>
      </c>
      <c r="D36" s="7" t="str">
        <f ca="1">_xll.DBR($C$31,$B36,D$32)</f>
        <v>Measures Menu</v>
      </c>
      <c r="E36" s="7" t="str">
        <f ca="1">_xll.DBR($C$31,$B36,E$32)</f>
        <v>TM1HomeAEMeasuresWB</v>
      </c>
      <c r="F36" s="7" t="str">
        <f ca="1">_xll.DBR($C$31,$B36,F$32)</f>
        <v>PRIMUS\GEUS WEB\Homepage\sys_Home - Annual Estimates - Measures.xlsx</v>
      </c>
      <c r="G36" s="7" t="str">
        <f ca="1">_xll.DBR($C$31,$B36,G$32)</f>
        <v>TM1HomeAEMeasuresWS</v>
      </c>
      <c r="H36" s="7" t="str">
        <f ca="1">_xll.DBR($C$31,$B36,H$32)</f>
        <v>Menu</v>
      </c>
      <c r="M36" t="s">
        <v>29</v>
      </c>
    </row>
    <row r="37" spans="2:13" ht="15" hidden="1" customHeight="1" outlineLevel="1" x14ac:dyDescent="0.25">
      <c r="B37" s="7" t="s">
        <v>35</v>
      </c>
      <c r="C37" s="7" t="str">
        <f ca="1">_xll.DBR($C$31,$B37,C$32)</f>
        <v>TM1HomeAEFFCAP</v>
      </c>
      <c r="D37" s="7" t="str">
        <f ca="1">_xll.DBR($C$31,$B37,D$32)</f>
        <v>Flatfile Creation Menu</v>
      </c>
      <c r="E37" s="7" t="str">
        <f ca="1">_xll.DBR($C$31,$B37,E$32)</f>
        <v>TM1HomeAEFFWB</v>
      </c>
      <c r="F37" s="7" t="str">
        <f ca="1">_xll.DBR($C$31,$B37,F$32)</f>
        <v>PRIMUS\GEUS WEB\Homepage\sys_Home - Annual Estimates - Flatfile Creation.xlsx</v>
      </c>
      <c r="G37" s="7" t="str">
        <f ca="1">_xll.DBR($C$31,$B37,G$32)</f>
        <v>TM1HomeAEFFWS</v>
      </c>
      <c r="H37" s="7" t="str">
        <f ca="1">_xll.DBR($C$31,$B37,H$32)</f>
        <v>Menu</v>
      </c>
      <c r="M37" t="s">
        <v>30</v>
      </c>
    </row>
    <row r="38" spans="2:13" ht="15" hidden="1" customHeight="1" outlineLevel="1" x14ac:dyDescent="0.25">
      <c r="B38" s="7" t="s">
        <v>36</v>
      </c>
      <c r="C38" s="7" t="str">
        <f ca="1">_xll.DBR($C$31,$B38,C$32)</f>
        <v>TM1HomeAEAccVarCAP</v>
      </c>
      <c r="D38" s="7" t="str">
        <f ca="1">_xll.DBR($C$31,$B38,D$32)</f>
        <v>Account Variation Data Entry Menu</v>
      </c>
      <c r="E38" s="7" t="str">
        <f ca="1">_xll.DBR($C$31,$B38,E$32)</f>
        <v>TM1HomeAEAccVarWB</v>
      </c>
      <c r="F38" s="7" t="str">
        <f ca="1">_xll.DBR($C$31,$B38,F$32)</f>
        <v>PRIMUS\GEUS WEB\Homepage\sys_Home - Annual Estimates - Account Variation.xlsx</v>
      </c>
      <c r="G38" s="7" t="str">
        <f ca="1">_xll.DBR($C$31,$B38,G$32)</f>
        <v>TM1HomeAEAccVarWS</v>
      </c>
      <c r="H38" s="7" t="str">
        <f ca="1">_xll.DBR($C$31,$B38,H$32)</f>
        <v>Menu</v>
      </c>
      <c r="M38" t="s">
        <v>37</v>
      </c>
    </row>
    <row r="39" spans="2:13" ht="15" hidden="1" customHeight="1" outlineLevel="1" x14ac:dyDescent="0.25">
      <c r="B39" s="7" t="s">
        <v>38</v>
      </c>
      <c r="C39" s="7" t="str">
        <f ca="1">_xll.DBR($C$31,$B39,C$32)</f>
        <v>TM1HomeRepCAP</v>
      </c>
      <c r="D39" s="7" t="str">
        <f ca="1">_xll.DBR($C$31,$B39,D$32)</f>
        <v>Reports</v>
      </c>
      <c r="E39" s="7" t="str">
        <f ca="1">_xll.DBR($C$31,$B39,E$32)</f>
        <v>TM1HomeRepWB</v>
      </c>
      <c r="F39" s="7" t="str">
        <f ca="1">_xll.DBR($C$31,$B39,F$32)</f>
        <v>PRIMUS\GEUS WEB\Homepage\sys_Home - Reports - PFS.xlsx</v>
      </c>
      <c r="G39" s="7" t="str">
        <f ca="1">_xll.DBR($C$31,$B39,G$32)</f>
        <v>TM1HomeRepWS</v>
      </c>
      <c r="H39" s="7" t="str">
        <f ca="1">_xll.DBR($C$31,$B39,H$32)</f>
        <v>Menu</v>
      </c>
    </row>
    <row r="40" spans="2:13" ht="15" hidden="1" customHeight="1" outlineLevel="1" x14ac:dyDescent="0.25">
      <c r="B40" s="7" t="s">
        <v>39</v>
      </c>
      <c r="C40" s="7" t="str">
        <f ca="1">_xll.DBR($C$31,$B40,C$32)</f>
        <v>TM1HomeAdminCAP</v>
      </c>
      <c r="D40" s="7" t="str">
        <f ca="1">_xll.DBR($C$31,$B40,D$32)</f>
        <v>Administration</v>
      </c>
      <c r="E40" s="7" t="str">
        <f ca="1">_xll.DBR($C$31,$B40,E$32)</f>
        <v>TM1HomeAdminWB</v>
      </c>
      <c r="F40" s="7" t="str">
        <f ca="1">_xll.DBR($C$31,$B40,F$32)</f>
        <v>PRIMUS\GEUS WEB\Homepage\sys_Home - Administration - GEUS Setup.xlsx</v>
      </c>
      <c r="G40" s="7" t="str">
        <f ca="1">_xll.DBR($C$31,$B40,G$32)</f>
        <v>TM1HomeAdminWS</v>
      </c>
      <c r="H40" s="7" t="str">
        <f ca="1">_xll.DBR($C$31,$B40,H$32)</f>
        <v>Menu</v>
      </c>
    </row>
    <row r="41" spans="2:13" ht="15" hidden="1" customHeight="1" outlineLevel="1" x14ac:dyDescent="0.25">
      <c r="B41" s="7" t="s">
        <v>40</v>
      </c>
      <c r="C41" s="7" t="str">
        <f ca="1">_xll.DBR($C$31,$B41,C$32)</f>
        <v>TM1HomeUnderCAP</v>
      </c>
      <c r="D41" s="7" t="str">
        <f ca="1">_xll.DBR($C$31,$B41,D$32)</f>
        <v>Under Construction</v>
      </c>
      <c r="E41" s="7" t="str">
        <f ca="1">_xll.DBR($C$31,$B41,E$32)</f>
        <v>TM1HomeUnderWB</v>
      </c>
      <c r="F41" s="7" t="str">
        <f ca="1">_xll.DBR($C$31,$B41,F$32)</f>
        <v>PRIMUS\GEUS WEB\Homepage\sys_Home - Under Construction.xlsx</v>
      </c>
      <c r="G41" s="7" t="str">
        <f ca="1">_xll.DBR($C$31,$B41,G$32)</f>
        <v>TM1HomeUnderWS</v>
      </c>
      <c r="H41" s="7" t="str">
        <f ca="1">_xll.DBR($C$31,$B41,H$32)</f>
        <v>under construction</v>
      </c>
    </row>
    <row r="42" spans="2:13" ht="15" hidden="1" customHeight="1" outlineLevel="1" x14ac:dyDescent="0.25">
      <c r="B42" s="7" t="s">
        <v>54</v>
      </c>
      <c r="C42" s="7" t="str">
        <f ca="1">_xll.DBR($C$31,$B42,C$32)</f>
        <v>TM1HomeAECDMCAP</v>
      </c>
      <c r="D42" s="7" t="str">
        <f ca="1">_xll.DBR($C$31,$B42,D$32)</f>
        <v>CDM Extract Menu</v>
      </c>
      <c r="E42" s="7" t="str">
        <f ca="1">_xll.DBR($C$31,$B42,E$32)</f>
        <v>TM1HomeAECDMWB</v>
      </c>
      <c r="F42" s="7" t="str">
        <f ca="1">_xll.DBR($C$31,$B42,F$32)</f>
        <v>PRIMUS\GEUS WEB\Homepage\sys_Home - Annual Estimates - CDM.xlsx</v>
      </c>
      <c r="G42" s="7" t="str">
        <f ca="1">_xll.DBR($C$31,$B42,G$32)</f>
        <v>TM1HomeAECDMWS</v>
      </c>
      <c r="H42" s="7" t="str">
        <f ca="1">_xll.DBR($C$31,$B42,H$32)</f>
        <v>Menu</v>
      </c>
    </row>
    <row r="43" spans="2:13" ht="15" hidden="1" customHeight="1" outlineLevel="1" x14ac:dyDescent="0.25"/>
    <row r="44" spans="2:13" ht="15" hidden="1" customHeight="1" outlineLevel="1" x14ac:dyDescent="0.25">
      <c r="B44" s="7" t="s">
        <v>41</v>
      </c>
      <c r="C44" s="7" t="str">
        <f ca="1">_xll.DBR($C$31,$B44,C$32)</f>
        <v>TM1NewAdj01HeaderCAP</v>
      </c>
      <c r="D44" s="7" t="str">
        <f ca="1">_xll.DBR($C$31,$B44,D$32)</f>
        <v>New Adjustment</v>
      </c>
      <c r="E44" s="7" t="str">
        <f ca="1">_xll.DBR($C$31,$B44,E$32)</f>
        <v>TM1NewAdj01HeaderWB</v>
      </c>
      <c r="F44" s="7" t="str">
        <f ca="1">_xll.DBR($C$31,$B44,F$32)</f>
        <v>PRIMUS\GEUS WEB\Annual Estimates\Data Entry\new adj 01 - adjustment header details.xlsx</v>
      </c>
      <c r="G44" s="7" t="str">
        <f ca="1">_xll.DBR($C$31,$B44,G$32)</f>
        <v>TM1NewAdj01HeaderWS</v>
      </c>
      <c r="H44" s="7" t="str">
        <f ca="1">_xll.DBR($C$31,$B44,H$32)</f>
        <v>new adjustment</v>
      </c>
    </row>
    <row r="45" spans="2:13" ht="15" hidden="1" customHeight="1" outlineLevel="1" x14ac:dyDescent="0.25">
      <c r="B45" s="7" t="s">
        <v>42</v>
      </c>
      <c r="C45" s="7" t="str">
        <f ca="1">_xll.DBR($C$31,$B45,C$32)</f>
        <v>TM1AdjIDListCAP</v>
      </c>
      <c r="D45" s="7" t="str">
        <f ca="1">_xll.DBR($C$31,$B45,D$32)</f>
        <v>Adj List</v>
      </c>
      <c r="E45" s="7" t="str">
        <f ca="1">_xll.DBR($C$31,$B45,E$32)</f>
        <v>TM1AdjIDListWB</v>
      </c>
      <c r="F45" s="7" t="str">
        <f ca="1">_xll.DBR($C$31,$B45,F$32)</f>
        <v>PRIMUS\GEUS WEB\Annual Estimates\Adjustment\adj_id list.xlsx</v>
      </c>
      <c r="G45" s="7" t="str">
        <f ca="1">_xll.DBR($C$31,$B45,G$32)</f>
        <v>TM1IDListWS</v>
      </c>
      <c r="H45" s="7" t="str">
        <f ca="1">_xll.DBR($C$31,$B45,H$32)</f>
        <v>ID List</v>
      </c>
    </row>
    <row r="46" spans="2:13" ht="15" hidden="1" customHeight="1" outlineLevel="1" x14ac:dyDescent="0.25">
      <c r="B46" s="7" t="s">
        <v>43</v>
      </c>
      <c r="C46" s="7" t="str">
        <f ca="1">_xll.DBR($C$31,$B46,C$32)</f>
        <v>TM1BulkProcessCAP</v>
      </c>
      <c r="D46" s="7" t="str">
        <f ca="1">_xll.DBR($C$31,$B46,D$32)</f>
        <v>Bulk Process</v>
      </c>
      <c r="E46" s="7" t="str">
        <f ca="1">_xll.DBR($C$31,$B46,E$32)</f>
        <v>TM1BulkProcessWB</v>
      </c>
      <c r="F46" s="7" t="str">
        <f ca="1">_xll.DBR($C$31,$B46,F$32)</f>
        <v>PRIMUS\GEUS WEB\Annual Estimates\Adjustment\adj_bulk process.xlsx</v>
      </c>
      <c r="G46" s="7" t="str">
        <f ca="1">_xll.DBR($C$31,$B46,G$32)</f>
        <v>TM1BulkProcessWS</v>
      </c>
      <c r="H46" s="7" t="str">
        <f ca="1">_xll.DBR($C$31,$B46,H$32)</f>
        <v>bulk process</v>
      </c>
    </row>
    <row r="47" spans="2:13" ht="15" hidden="1" customHeight="1" outlineLevel="1" x14ac:dyDescent="0.25">
      <c r="B47" s="7" t="s">
        <v>44</v>
      </c>
      <c r="C47" s="7" t="str">
        <f ca="1">_xll.DBR($C$31,$B47,C$32)</f>
        <v>TM1NewAdj97UploadCAP</v>
      </c>
      <c r="D47" s="7" t="str">
        <f ca="1">_xll.DBR($C$31,$B47,D$32)</f>
        <v>Upload Flat Files</v>
      </c>
      <c r="E47" s="7" t="str">
        <f ca="1">_xll.DBR($C$31,$B47,E$32)</f>
        <v>TM1NewAdj97UploadWB</v>
      </c>
      <c r="F47" s="7" t="str">
        <f ca="1">_xll.DBR($C$31,$B47,F$32)</f>
        <v>PRIMUS\GEUS WEB\Annual Estimates\Data Entry\new adj 97 - upload process.xlsx</v>
      </c>
      <c r="G47" s="7" t="str">
        <f ca="1">_xll.DBR($C$31,$B47,G$32)</f>
        <v>TM1NewAdj97UploadWS</v>
      </c>
      <c r="H47" s="7" t="str">
        <f ca="1">_xll.DBR($C$31,$B47,H$32)</f>
        <v>upload</v>
      </c>
    </row>
    <row r="48" spans="2:13" ht="15" hidden="1" customHeight="1" outlineLevel="1" x14ac:dyDescent="0.25">
      <c r="B48" s="7" t="s">
        <v>45</v>
      </c>
      <c r="C48" s="7" t="str">
        <f ca="1">_xll.DBR($C$31,$B48,C$32)</f>
        <v>TM1FE3CAP</v>
      </c>
      <c r="D48" s="7" t="str">
        <f ca="1">_xll.DBR($C$31,$B48,D$32)</f>
        <v>Generate FE3</v>
      </c>
      <c r="E48" s="7" t="str">
        <f ca="1">_xll.DBR($C$31,$B48,E$32)</f>
        <v>TM1FE3WB</v>
      </c>
      <c r="F48" s="7" t="str">
        <f ca="1">_xll.DBR($C$31,$B48,F$32)</f>
        <v>PRIMUS\GEUS WEB\Annual Estimates\Adjustment\adj_generate fe3.xlsx</v>
      </c>
      <c r="G48" s="7" t="str">
        <f ca="1">_xll.DBR($C$31,$B48,G$32)</f>
        <v>TM1FE3WS</v>
      </c>
      <c r="H48" s="7" t="str">
        <f ca="1">_xll.DBR($C$31,$B48,H$32)</f>
        <v>fe3 calculation</v>
      </c>
    </row>
    <row r="49" spans="2:23" ht="15" hidden="1" customHeight="1" outlineLevel="1" x14ac:dyDescent="0.25">
      <c r="B49" s="7" t="s">
        <v>46</v>
      </c>
      <c r="C49" s="7" t="str">
        <f ca="1">_xll.DBR($C$31,$B49,C$32)</f>
        <v>TM1IndexCAP</v>
      </c>
      <c r="D49" s="7" t="str">
        <f ca="1">_xll.DBR($C$31,$B49,D$32)</f>
        <v>Generate Indexation</v>
      </c>
      <c r="E49" s="7" t="str">
        <f ca="1">_xll.DBR($C$31,$B49,E$32)</f>
        <v>TM1IndexWB</v>
      </c>
      <c r="F49" s="7" t="str">
        <f ca="1">_xll.DBR($C$31,$B49,F$32)</f>
        <v>PRIMUS\GEUS WEB\Annual Estimates\Adjustment\adj_parameters.xlsx</v>
      </c>
      <c r="G49" s="7" t="str">
        <f ca="1">_xll.DBR($C$31,$B49,G$32)</f>
        <v>TM1IndexWS</v>
      </c>
      <c r="H49" s="7" t="str">
        <f ca="1">_xll.DBR($C$31,$B49,H$32)</f>
        <v>parameters</v>
      </c>
    </row>
    <row r="50" spans="2:23" ht="15" hidden="1" customHeight="1" outlineLevel="1" x14ac:dyDescent="0.25">
      <c r="B50" s="7" t="s">
        <v>47</v>
      </c>
      <c r="C50" s="7" t="str">
        <f ca="1">_xll.DBR($C$31,$B50,C$32)</f>
        <v>TM1EDCAP</v>
      </c>
      <c r="D50" s="7" t="str">
        <f ca="1">_xll.DBR($C$31,$B50,D$32)</f>
        <v>Generate ED</v>
      </c>
      <c r="E50" s="7" t="str">
        <f ca="1">_xll.DBR($C$31,$B50,E$32)</f>
        <v>TM1EDWB</v>
      </c>
      <c r="F50" s="7" t="str">
        <f ca="1">_xll.DBR($C$31,$B50,F$32)</f>
        <v>PRIMUS\GEUS WEB\Annual Estimates\Adjustment\adj_ED.xlsx</v>
      </c>
      <c r="G50" s="7" t="str">
        <f ca="1">_xll.DBR($C$31,$B50,G$32)</f>
        <v>TM1EDWS</v>
      </c>
      <c r="H50" s="7" t="str">
        <f ca="1">_xll.DBR($C$31,$B50,H$32)</f>
        <v>ED</v>
      </c>
    </row>
    <row r="51" spans="2:23" ht="15" hidden="1" customHeight="1" outlineLevel="1" x14ac:dyDescent="0.25">
      <c r="B51" s="7" t="s">
        <v>48</v>
      </c>
      <c r="C51" s="7" t="str">
        <f ca="1">_xll.DBR($C$31,$B51,C$32)</f>
        <v>TM1ProgTransferCAP</v>
      </c>
      <c r="D51" s="7" t="str">
        <f ca="1">_xll.DBR($C$31,$B51,D$32)</f>
        <v>Program Transfer</v>
      </c>
      <c r="E51" s="7" t="str">
        <f ca="1">_xll.DBR($C$31,$B51,E$32)</f>
        <v>TM1ProgTransferWB</v>
      </c>
      <c r="F51" s="7" t="str">
        <f ca="1">_xll.DBR($C$31,$B51,F$32)</f>
        <v>PRIMUS\GEUS WEB\Homepage\sys_Home - Under Construction.xlsx</v>
      </c>
      <c r="G51" s="7" t="str">
        <f ca="1">_xll.DBR($C$31,$B51,G$32)</f>
        <v>TM1ProgTransferWS</v>
      </c>
      <c r="H51" s="7" t="str">
        <f ca="1">_xll.DBR($C$31,$B51,H$32)</f>
        <v>under construction</v>
      </c>
    </row>
    <row r="52" spans="2:23" ht="15" hidden="1" customHeight="1" outlineLevel="1" x14ac:dyDescent="0.25">
      <c r="B52" s="14" t="s">
        <v>49</v>
      </c>
      <c r="C52" s="14" t="str">
        <f ca="1">_xll.DBR($C$31,$B52,C$32)</f>
        <v>TM1IndexFE3MapCAP</v>
      </c>
      <c r="D52" s="14" t="str">
        <f ca="1">_xll.DBR($C$31,$B52,D$32)</f>
        <v>Indexation &amp; FE3 Guidelines</v>
      </c>
      <c r="E52" s="14" t="str">
        <f ca="1">_xll.DBR($C$31,$B52,E$32)</f>
        <v>TM1IndexFE3MapWB</v>
      </c>
      <c r="F52" s="14" t="str">
        <f ca="1">_xll.DBR($C$31,$B52,F$32)</f>
        <v>PRIMUS\GEUS WEB\Annual Estimates\Adjustment\adj_parameters and fe3 navigation map.xlsx</v>
      </c>
      <c r="G52" s="14" t="str">
        <f ca="1">_xll.DBR($C$31,$B52,G$32)</f>
        <v>TM1IndexFE3MapWS</v>
      </c>
      <c r="H52" s="14" t="str">
        <f ca="1">_xll.DBR($C$31,$B52,H$32)</f>
        <v>navigation</v>
      </c>
    </row>
    <row r="53" spans="2:23" ht="15" hidden="1" customHeight="1" outlineLevel="1" x14ac:dyDescent="0.25"/>
    <row r="54" spans="2:23" ht="15" hidden="1" customHeight="1" outlineLevel="1" x14ac:dyDescent="0.25"/>
    <row r="55" spans="2:23" ht="15" hidden="1" customHeight="1" outlineLevel="1" x14ac:dyDescent="0.25"/>
    <row r="56" spans="2:23" ht="39.75" customHeight="1" collapsed="1" x14ac:dyDescent="0.25"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21" t="str">
        <f ca="1">("Welcome "&amp;psUser)</f>
        <v>Welcome Admin</v>
      </c>
    </row>
    <row r="57" spans="2:23" ht="4.5" customHeight="1" x14ac:dyDescent="0.25"/>
    <row r="58" spans="2:23" ht="30" customHeight="1" x14ac:dyDescent="0.25">
      <c r="J58" s="10"/>
      <c r="K58" s="1" t="str">
        <f ca="1">$C$15</f>
        <v>The current scenario is "current" for the "HL2023-2024" Headline Year. Archive was done for "HL2022-2023" on scenario "PEFO".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0"/>
      <c r="W58" s="10"/>
    </row>
    <row r="59" spans="2:23" ht="4.5" customHeight="1" x14ac:dyDescent="0.25"/>
    <row r="63" spans="2:23" ht="24.75" customHeight="1" x14ac:dyDescent="0.25">
      <c r="J63" s="11"/>
      <c r="K63" s="11"/>
      <c r="L63" s="6" t="s">
        <v>50</v>
      </c>
      <c r="M63" s="6"/>
      <c r="N63" s="6"/>
      <c r="O63" s="6"/>
      <c r="P63" s="9"/>
      <c r="R63" s="12"/>
      <c r="S63" s="5" t="s">
        <v>51</v>
      </c>
      <c r="T63" s="5"/>
      <c r="U63" s="5"/>
      <c r="V63" s="5"/>
      <c r="W63" s="12"/>
    </row>
    <row r="64" spans="2:23" ht="4.5" customHeight="1" x14ac:dyDescent="0.25">
      <c r="J64" s="13"/>
      <c r="K64" s="13"/>
      <c r="L64" s="13"/>
      <c r="M64" s="13"/>
      <c r="N64" s="13"/>
      <c r="O64" s="13"/>
      <c r="P64" s="13"/>
      <c r="R64" s="13"/>
      <c r="S64" s="13"/>
      <c r="T64" s="13"/>
      <c r="U64" s="13"/>
      <c r="V64" s="13"/>
      <c r="W64" s="13"/>
    </row>
    <row r="65" spans="10:31" ht="19.5" customHeight="1" x14ac:dyDescent="0.25">
      <c r="J65" s="13"/>
      <c r="K65" s="13"/>
      <c r="L65" s="13"/>
      <c r="M65" s="13"/>
      <c r="N65" s="13"/>
      <c r="O65" s="13"/>
      <c r="P65" s="13"/>
      <c r="R65" s="13"/>
      <c r="S65" s="13"/>
      <c r="T65" s="13"/>
      <c r="U65" s="13"/>
      <c r="V65" s="13"/>
      <c r="W65" s="13"/>
    </row>
    <row r="66" spans="10:31" ht="4.5" customHeight="1" x14ac:dyDescent="0.25">
      <c r="J66" s="13"/>
      <c r="K66" s="13"/>
      <c r="L66" s="13"/>
      <c r="M66" s="13"/>
      <c r="N66" s="13"/>
      <c r="O66" s="13"/>
      <c r="P66" s="13"/>
      <c r="R66" s="13"/>
      <c r="S66" s="13"/>
      <c r="T66" s="13"/>
      <c r="U66" s="13"/>
      <c r="V66" s="13"/>
      <c r="W66" s="13"/>
    </row>
    <row r="67" spans="10:31" ht="19.5" customHeight="1" x14ac:dyDescent="0.25">
      <c r="J67" s="13"/>
      <c r="K67" s="13"/>
      <c r="L67" s="13"/>
      <c r="M67" s="13"/>
      <c r="N67" s="13"/>
      <c r="O67" s="13"/>
      <c r="P67" s="13"/>
      <c r="R67" s="13"/>
      <c r="S67" s="13"/>
      <c r="T67" s="13"/>
      <c r="U67" s="13"/>
      <c r="V67" s="13"/>
      <c r="W67" s="13"/>
      <c r="AE67" s="15"/>
    </row>
    <row r="68" spans="10:31" ht="4.5" customHeight="1" x14ac:dyDescent="0.25">
      <c r="J68" s="13"/>
      <c r="K68" s="13"/>
      <c r="L68" s="13"/>
      <c r="M68" s="13"/>
      <c r="N68" s="13"/>
      <c r="O68" s="13"/>
      <c r="P68" s="13"/>
      <c r="R68" s="13"/>
      <c r="S68" s="13"/>
      <c r="T68" s="13"/>
      <c r="U68" s="13"/>
      <c r="V68" s="13"/>
      <c r="W68" s="13"/>
    </row>
    <row r="69" spans="10:31" ht="19.5" customHeight="1" x14ac:dyDescent="0.25">
      <c r="J69" s="13"/>
      <c r="K69" s="13"/>
      <c r="L69" s="13"/>
      <c r="M69" s="13"/>
      <c r="N69" s="13"/>
      <c r="O69" s="13"/>
      <c r="P69" s="13"/>
      <c r="R69" s="13"/>
      <c r="S69" s="13"/>
      <c r="T69" s="13"/>
      <c r="U69" s="13"/>
      <c r="V69" s="13"/>
      <c r="W69" s="13"/>
      <c r="AE69" s="15"/>
    </row>
    <row r="70" spans="10:31" ht="4.5" customHeight="1" x14ac:dyDescent="0.25">
      <c r="J70" s="13"/>
      <c r="K70" s="13"/>
      <c r="L70" s="13"/>
      <c r="M70" s="13"/>
      <c r="N70" s="13"/>
      <c r="O70" s="13"/>
      <c r="P70" s="13"/>
      <c r="R70" s="13"/>
      <c r="S70" s="13"/>
      <c r="T70" s="13"/>
      <c r="U70" s="13"/>
      <c r="V70" s="13"/>
      <c r="W70" s="13"/>
    </row>
    <row r="71" spans="10:31" ht="19.5" customHeight="1" x14ac:dyDescent="0.25">
      <c r="J71" s="13"/>
      <c r="K71" s="13"/>
      <c r="L71" s="13"/>
      <c r="M71" s="13"/>
      <c r="N71" s="13"/>
      <c r="O71" s="13"/>
      <c r="P71" s="13"/>
      <c r="R71" s="13"/>
      <c r="S71" s="13"/>
      <c r="T71" s="13"/>
      <c r="U71" s="13"/>
      <c r="V71" s="13"/>
      <c r="W71" s="13"/>
      <c r="AE71" s="15"/>
    </row>
    <row r="72" spans="10:31" ht="15" customHeight="1" x14ac:dyDescent="0.25">
      <c r="J72" s="13"/>
      <c r="K72" s="13"/>
      <c r="L72" s="13"/>
      <c r="M72" s="13"/>
      <c r="N72" s="13"/>
      <c r="O72" s="13"/>
      <c r="P72" s="13"/>
      <c r="R72" s="13"/>
      <c r="S72" s="13"/>
      <c r="T72" s="13"/>
      <c r="U72" s="13"/>
      <c r="V72" s="13"/>
      <c r="W72" s="13"/>
    </row>
    <row r="73" spans="10:31" ht="15" customHeight="1" x14ac:dyDescent="0.25">
      <c r="J73" s="13"/>
      <c r="K73" s="13"/>
      <c r="L73" s="13"/>
      <c r="M73" s="13"/>
      <c r="N73" s="13"/>
      <c r="O73" s="13"/>
      <c r="P73" s="13"/>
      <c r="R73" s="13"/>
      <c r="S73" s="13"/>
      <c r="T73" s="13"/>
      <c r="U73" s="13"/>
      <c r="V73" s="13"/>
      <c r="W73" s="13"/>
    </row>
    <row r="74" spans="10:31" ht="4.5" customHeight="1" x14ac:dyDescent="0.25">
      <c r="J74" s="13"/>
      <c r="K74" s="13"/>
      <c r="L74" s="13"/>
      <c r="M74" s="13"/>
      <c r="N74" s="13"/>
      <c r="O74" s="13"/>
      <c r="P74" s="13"/>
      <c r="R74" s="13"/>
      <c r="S74" s="13"/>
      <c r="T74" s="13"/>
      <c r="U74" s="13"/>
      <c r="V74" s="13"/>
      <c r="W74" s="13"/>
    </row>
    <row r="75" spans="10:31" ht="15" customHeight="1" x14ac:dyDescent="0.25">
      <c r="J75" s="13"/>
      <c r="K75" s="13"/>
      <c r="L75" s="13"/>
      <c r="M75" s="13"/>
      <c r="N75" s="13"/>
      <c r="O75" s="13"/>
      <c r="P75" s="13"/>
      <c r="R75" s="13"/>
      <c r="S75" s="13"/>
      <c r="T75" s="13"/>
      <c r="U75" s="13"/>
      <c r="V75" s="13"/>
      <c r="W75" s="13"/>
    </row>
    <row r="76" spans="10:31" ht="4.5" customHeight="1" x14ac:dyDescent="0.25">
      <c r="J76" s="13"/>
      <c r="K76" s="13"/>
      <c r="L76" s="13"/>
      <c r="M76" s="13"/>
      <c r="N76" s="13"/>
      <c r="O76" s="13"/>
      <c r="P76" s="13"/>
      <c r="R76" s="13"/>
      <c r="S76" s="13"/>
      <c r="T76" s="13"/>
      <c r="U76" s="13"/>
      <c r="V76" s="13"/>
      <c r="W76" s="13"/>
    </row>
    <row r="77" spans="10:31" ht="15" customHeight="1" x14ac:dyDescent="0.25">
      <c r="J77" s="13"/>
      <c r="K77" s="13"/>
      <c r="L77" s="13"/>
      <c r="M77" s="13"/>
      <c r="N77" s="13"/>
      <c r="O77" s="13"/>
      <c r="P77" s="13"/>
      <c r="R77" s="13"/>
      <c r="S77" s="13"/>
      <c r="T77" s="13"/>
      <c r="U77" s="13"/>
      <c r="V77" s="13"/>
      <c r="W77" s="13"/>
    </row>
    <row r="78" spans="10:31" ht="4.5" customHeight="1" x14ac:dyDescent="0.25">
      <c r="J78" s="13"/>
      <c r="K78" s="13"/>
      <c r="L78" s="13"/>
      <c r="M78" s="13"/>
      <c r="N78" s="13"/>
      <c r="O78" s="13"/>
      <c r="P78" s="13"/>
      <c r="R78" s="13"/>
      <c r="S78" s="13"/>
      <c r="T78" s="13"/>
      <c r="U78" s="13"/>
      <c r="V78" s="13"/>
      <c r="W78" s="13"/>
    </row>
    <row r="79" spans="10:31" ht="15" customHeight="1" x14ac:dyDescent="0.25">
      <c r="J79" s="13"/>
      <c r="K79" s="13"/>
      <c r="L79" s="13"/>
      <c r="M79" s="13"/>
      <c r="N79" s="13"/>
      <c r="O79" s="13"/>
      <c r="P79" s="13"/>
      <c r="R79" s="13"/>
      <c r="S79" s="13"/>
      <c r="T79" s="13"/>
      <c r="U79" s="13"/>
      <c r="V79" s="13"/>
      <c r="W79" s="13"/>
    </row>
    <row r="80" spans="10:31" ht="4.5" customHeight="1" x14ac:dyDescent="0.25">
      <c r="J80" s="13"/>
      <c r="K80" s="13"/>
      <c r="L80" s="13"/>
      <c r="M80" s="13"/>
      <c r="N80" s="13"/>
      <c r="O80" s="13"/>
      <c r="P80" s="13"/>
      <c r="R80" s="13"/>
      <c r="S80" s="13"/>
      <c r="T80" s="13"/>
      <c r="U80" s="13"/>
      <c r="V80" s="13"/>
      <c r="W80" s="13"/>
    </row>
    <row r="81" spans="10:23" ht="15" customHeight="1" x14ac:dyDescent="0.25">
      <c r="J81" s="13"/>
      <c r="K81" s="13"/>
      <c r="L81" s="13"/>
      <c r="M81" s="13"/>
      <c r="N81" s="13"/>
      <c r="O81" s="13"/>
      <c r="P81" s="13"/>
      <c r="R81" s="13"/>
      <c r="S81" s="13"/>
      <c r="T81" s="13"/>
      <c r="U81" s="13"/>
      <c r="V81" s="13"/>
      <c r="W81" s="13"/>
    </row>
    <row r="82" spans="10:23" ht="4.5" customHeight="1" x14ac:dyDescent="0.25">
      <c r="J82" s="13"/>
      <c r="K82" s="13"/>
      <c r="L82" s="13"/>
      <c r="M82" s="13"/>
      <c r="N82" s="13"/>
      <c r="O82" s="13"/>
      <c r="P82" s="13"/>
      <c r="R82" s="13"/>
      <c r="S82" s="13"/>
      <c r="T82" s="13"/>
      <c r="U82" s="13"/>
      <c r="V82" s="13"/>
      <c r="W82" s="13"/>
    </row>
    <row r="83" spans="10:23" ht="15" customHeight="1" x14ac:dyDescent="0.25">
      <c r="J83" s="13"/>
      <c r="K83" s="13"/>
      <c r="L83" s="13"/>
      <c r="M83" s="13"/>
      <c r="N83" s="13"/>
      <c r="O83" s="13"/>
      <c r="P83" s="13"/>
      <c r="R83" s="13"/>
      <c r="S83" s="13"/>
      <c r="T83" s="13"/>
      <c r="U83" s="13"/>
      <c r="V83" s="13"/>
      <c r="W83" s="13"/>
    </row>
    <row r="84" spans="10:23" ht="4.5" customHeight="1" x14ac:dyDescent="0.25">
      <c r="J84" s="13"/>
      <c r="K84" s="13"/>
      <c r="L84" s="13"/>
      <c r="M84" s="13"/>
      <c r="N84" s="13"/>
      <c r="O84" s="13"/>
      <c r="P84" s="13"/>
      <c r="R84" s="13"/>
      <c r="S84" s="13"/>
      <c r="T84" s="13"/>
      <c r="U84" s="13"/>
      <c r="V84" s="13"/>
      <c r="W84" s="13"/>
    </row>
    <row r="85" spans="10:23" ht="15" customHeight="1" x14ac:dyDescent="0.25">
      <c r="J85" s="13"/>
      <c r="K85" s="13"/>
      <c r="L85" s="13"/>
      <c r="M85" s="13"/>
      <c r="N85" s="13"/>
      <c r="O85" s="13"/>
      <c r="P85" s="13"/>
      <c r="R85" s="13"/>
      <c r="S85" s="13"/>
      <c r="T85" s="13"/>
      <c r="U85" s="13"/>
      <c r="V85" s="13"/>
      <c r="W85" s="13"/>
    </row>
    <row r="86" spans="10:23" ht="4.5" customHeight="1" x14ac:dyDescent="0.25">
      <c r="J86" s="13"/>
      <c r="K86" s="13"/>
      <c r="L86" s="13"/>
      <c r="M86" s="13"/>
      <c r="N86" s="13"/>
      <c r="O86" s="13"/>
      <c r="P86" s="13"/>
      <c r="R86" s="13"/>
      <c r="S86" s="13"/>
      <c r="T86" s="13"/>
      <c r="U86" s="13"/>
      <c r="V86" s="13"/>
      <c r="W86" s="13"/>
    </row>
    <row r="87" spans="10:23" ht="15" customHeight="1" x14ac:dyDescent="0.25">
      <c r="J87" s="13"/>
      <c r="K87" s="13"/>
      <c r="L87" s="13"/>
      <c r="M87" s="13"/>
      <c r="N87" s="13"/>
      <c r="O87" s="13"/>
      <c r="P87" s="13"/>
      <c r="R87" s="13"/>
      <c r="S87" s="13"/>
      <c r="T87" s="13"/>
      <c r="U87" s="13"/>
      <c r="V87" s="13"/>
      <c r="W87" s="13"/>
    </row>
    <row r="88" spans="10:23" ht="4.5" customHeight="1" x14ac:dyDescent="0.25">
      <c r="J88" s="13"/>
      <c r="K88" s="13"/>
      <c r="L88" s="13"/>
      <c r="M88" s="13"/>
      <c r="N88" s="13"/>
      <c r="O88" s="13"/>
      <c r="P88" s="13"/>
      <c r="R88" s="13"/>
      <c r="S88" s="13"/>
      <c r="T88" s="13"/>
      <c r="U88" s="13"/>
      <c r="V88" s="13"/>
      <c r="W88" s="13"/>
    </row>
    <row r="89" spans="10:23" ht="15" customHeight="1" x14ac:dyDescent="0.25">
      <c r="J89" s="13"/>
      <c r="K89" s="13"/>
      <c r="L89" s="13"/>
      <c r="M89" s="13"/>
      <c r="N89" s="13"/>
      <c r="O89" s="13"/>
      <c r="P89" s="13"/>
      <c r="R89" s="13"/>
      <c r="S89" s="13"/>
      <c r="T89" s="13"/>
      <c r="U89" s="13"/>
      <c r="V89" s="13"/>
      <c r="W89" s="13"/>
    </row>
    <row r="90" spans="10:23" ht="4.5" customHeight="1" x14ac:dyDescent="0.25">
      <c r="J90" s="13"/>
      <c r="K90" s="13"/>
      <c r="L90" s="13"/>
      <c r="M90" s="13"/>
      <c r="N90" s="13"/>
      <c r="O90" s="13"/>
      <c r="P90" s="13"/>
      <c r="R90" s="13"/>
      <c r="S90" s="13"/>
      <c r="T90" s="13"/>
      <c r="U90" s="13"/>
      <c r="V90" s="13"/>
      <c r="W90" s="13"/>
    </row>
    <row r="91" spans="10:23" ht="15" customHeight="1" x14ac:dyDescent="0.25">
      <c r="J91" s="13"/>
      <c r="K91" s="13"/>
      <c r="L91" s="13"/>
      <c r="M91" s="13"/>
      <c r="N91" s="13"/>
      <c r="O91" s="13"/>
      <c r="P91" s="13"/>
      <c r="R91" s="13"/>
      <c r="S91" s="13"/>
      <c r="T91" s="13"/>
      <c r="U91" s="13"/>
      <c r="V91" s="13"/>
      <c r="W91" s="13"/>
    </row>
    <row r="92" spans="10:23" ht="15" customHeight="1" x14ac:dyDescent="0.25">
      <c r="K92" s="22" t="str">
        <f ca="1">("© Excelerated Consulting Pty Ltd 2001-"&amp;YEAR(NOW()))</f>
        <v>© Excelerated Consulting Pty Ltd 2001-2023</v>
      </c>
    </row>
  </sheetData>
  <sheetProtection sheet="1" objects="1" scenarios="1"/>
  <mergeCells count="8">
    <mergeCell ref="L63:O63"/>
    <mergeCell ref="S63:V63"/>
    <mergeCell ref="B1:D1"/>
    <mergeCell ref="B9:D9"/>
    <mergeCell ref="B17:D17"/>
    <mergeCell ref="B30:D30"/>
    <mergeCell ref="K58:U58"/>
    <mergeCell ref="B25:D25"/>
  </mergeCells>
  <conditionalFormatting sqref="R63:W63">
    <cfRule type="expression" dxfId="0" priority="1">
      <formula>$C$30="gbms-reporting"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5" r:id="rId4" name="TIButton15">
          <controlPr defaultSize="0" print="0" autoLine="0" r:id="rId5">
            <anchor moveWithCells="1" sizeWithCells="1">
              <from>
                <xdr:col>18</xdr:col>
                <xdr:colOff>304800</xdr:colOff>
                <xdr:row>78</xdr:row>
                <xdr:rowOff>66675</xdr:rowOff>
              </from>
              <to>
                <xdr:col>21</xdr:col>
                <xdr:colOff>1057275</xdr:colOff>
                <xdr:row>80</xdr:row>
                <xdr:rowOff>133350</xdr:rowOff>
              </to>
            </anchor>
          </controlPr>
        </control>
      </mc:Choice>
      <mc:Fallback>
        <control shapeId="1045" r:id="rId4" name="TIButton15"/>
      </mc:Fallback>
    </mc:AlternateContent>
    <mc:AlternateContent xmlns:mc="http://schemas.openxmlformats.org/markup-compatibility/2006">
      <mc:Choice Requires="x14">
        <control shapeId="1044" r:id="rId6" name="TIButton18">
          <controlPr defaultSize="0" print="0" autoLine="0" r:id="rId7">
            <anchor moveWithCells="1" sizeWithCells="1">
              <from>
                <xdr:col>11</xdr:col>
                <xdr:colOff>0</xdr:colOff>
                <xdr:row>72</xdr:row>
                <xdr:rowOff>104775</xdr:rowOff>
              </from>
              <to>
                <xdr:col>14</xdr:col>
                <xdr:colOff>752475</xdr:colOff>
                <xdr:row>74</xdr:row>
                <xdr:rowOff>171450</xdr:rowOff>
              </to>
            </anchor>
          </controlPr>
        </control>
      </mc:Choice>
      <mc:Fallback>
        <control shapeId="1044" r:id="rId6" name="TIButton18"/>
      </mc:Fallback>
    </mc:AlternateContent>
    <mc:AlternateContent xmlns:mc="http://schemas.openxmlformats.org/markup-compatibility/2006">
      <mc:Choice Requires="x14">
        <control shapeId="1042" r:id="rId8" name="TIButton16">
          <controlPr defaultSize="0" print="0" autoLine="0" r:id="rId9">
            <anchor moveWithCells="1" sizeWithCells="1">
              <from>
                <xdr:col>18</xdr:col>
                <xdr:colOff>285750</xdr:colOff>
                <xdr:row>80</xdr:row>
                <xdr:rowOff>180975</xdr:rowOff>
              </from>
              <to>
                <xdr:col>21</xdr:col>
                <xdr:colOff>1038225</xdr:colOff>
                <xdr:row>84</xdr:row>
                <xdr:rowOff>0</xdr:rowOff>
              </to>
            </anchor>
          </controlPr>
        </control>
      </mc:Choice>
      <mc:Fallback>
        <control shapeId="1042" r:id="rId8" name="TIButton16"/>
      </mc:Fallback>
    </mc:AlternateContent>
    <mc:AlternateContent xmlns:mc="http://schemas.openxmlformats.org/markup-compatibility/2006">
      <mc:Choice Requires="x14">
        <control shapeId="1040" r:id="rId10" name="TIButton14">
          <controlPr defaultSize="0" print="0" autoLine="0" r:id="rId11">
            <anchor moveWithCells="1" sizeWithCells="1">
              <from>
                <xdr:col>18</xdr:col>
                <xdr:colOff>285750</xdr:colOff>
                <xdr:row>75</xdr:row>
                <xdr:rowOff>9525</xdr:rowOff>
              </from>
              <to>
                <xdr:col>21</xdr:col>
                <xdr:colOff>1038225</xdr:colOff>
                <xdr:row>78</xdr:row>
                <xdr:rowOff>19050</xdr:rowOff>
              </to>
            </anchor>
          </controlPr>
        </control>
      </mc:Choice>
      <mc:Fallback>
        <control shapeId="1040" r:id="rId10" name="TIButton14"/>
      </mc:Fallback>
    </mc:AlternateContent>
    <mc:AlternateContent xmlns:mc="http://schemas.openxmlformats.org/markup-compatibility/2006">
      <mc:Choice Requires="x14">
        <control shapeId="1039" r:id="rId12" name="TIButton13">
          <controlPr defaultSize="0" print="0" autoLine="0" r:id="rId13">
            <anchor moveWithCells="1" sizeWithCells="1">
              <from>
                <xdr:col>18</xdr:col>
                <xdr:colOff>285750</xdr:colOff>
                <xdr:row>72</xdr:row>
                <xdr:rowOff>85725</xdr:rowOff>
              </from>
              <to>
                <xdr:col>21</xdr:col>
                <xdr:colOff>1038225</xdr:colOff>
                <xdr:row>74</xdr:row>
                <xdr:rowOff>152400</xdr:rowOff>
              </to>
            </anchor>
          </controlPr>
        </control>
      </mc:Choice>
      <mc:Fallback>
        <control shapeId="1039" r:id="rId12" name="TIButton13"/>
      </mc:Fallback>
    </mc:AlternateContent>
    <mc:AlternateContent xmlns:mc="http://schemas.openxmlformats.org/markup-compatibility/2006">
      <mc:Choice Requires="x14">
        <control shapeId="1038" r:id="rId14" name="TIButton12">
          <controlPr defaultSize="0" print="0" autoLine="0" r:id="rId15">
            <anchor moveWithCells="1" sizeWithCells="1">
              <from>
                <xdr:col>18</xdr:col>
                <xdr:colOff>285750</xdr:colOff>
                <xdr:row>70</xdr:row>
                <xdr:rowOff>161925</xdr:rowOff>
              </from>
              <to>
                <xdr:col>21</xdr:col>
                <xdr:colOff>1038225</xdr:colOff>
                <xdr:row>72</xdr:row>
                <xdr:rowOff>38100</xdr:rowOff>
              </to>
            </anchor>
          </controlPr>
        </control>
      </mc:Choice>
      <mc:Fallback>
        <control shapeId="1038" r:id="rId14" name="TIButton12"/>
      </mc:Fallback>
    </mc:AlternateContent>
    <mc:AlternateContent xmlns:mc="http://schemas.openxmlformats.org/markup-compatibility/2006">
      <mc:Choice Requires="x14">
        <control shapeId="1037" r:id="rId16" name="TIButton11">
          <controlPr defaultSize="0" print="0" autoLine="0" r:id="rId17">
            <anchor moveWithCells="1" sizeWithCells="1">
              <from>
                <xdr:col>18</xdr:col>
                <xdr:colOff>285750</xdr:colOff>
                <xdr:row>68</xdr:row>
                <xdr:rowOff>104775</xdr:rowOff>
              </from>
              <to>
                <xdr:col>21</xdr:col>
                <xdr:colOff>1038225</xdr:colOff>
                <xdr:row>70</xdr:row>
                <xdr:rowOff>114300</xdr:rowOff>
              </to>
            </anchor>
          </controlPr>
        </control>
      </mc:Choice>
      <mc:Fallback>
        <control shapeId="1037" r:id="rId16" name="TIButton11"/>
      </mc:Fallback>
    </mc:AlternateContent>
    <mc:AlternateContent xmlns:mc="http://schemas.openxmlformats.org/markup-compatibility/2006">
      <mc:Choice Requires="x14">
        <control shapeId="1036" r:id="rId18" name="TIButton10">
          <controlPr defaultSize="0" print="0" autoLine="0" r:id="rId19">
            <anchor moveWithCells="1" sizeWithCells="1">
              <from>
                <xdr:col>18</xdr:col>
                <xdr:colOff>285750</xdr:colOff>
                <xdr:row>66</xdr:row>
                <xdr:rowOff>47625</xdr:rowOff>
              </from>
              <to>
                <xdr:col>21</xdr:col>
                <xdr:colOff>1038225</xdr:colOff>
                <xdr:row>68</xdr:row>
                <xdr:rowOff>57150</xdr:rowOff>
              </to>
            </anchor>
          </controlPr>
        </control>
      </mc:Choice>
      <mc:Fallback>
        <control shapeId="1036" r:id="rId18" name="TIButton10"/>
      </mc:Fallback>
    </mc:AlternateContent>
    <mc:AlternateContent xmlns:mc="http://schemas.openxmlformats.org/markup-compatibility/2006">
      <mc:Choice Requires="x14">
        <control shapeId="1035" r:id="rId20" name="TIButton9">
          <controlPr defaultSize="0" print="0" autoLine="0" r:id="rId21">
            <anchor moveWithCells="1" sizeWithCells="1">
              <from>
                <xdr:col>18</xdr:col>
                <xdr:colOff>285750</xdr:colOff>
                <xdr:row>63</xdr:row>
                <xdr:rowOff>47625</xdr:rowOff>
              </from>
              <to>
                <xdr:col>21</xdr:col>
                <xdr:colOff>1038225</xdr:colOff>
                <xdr:row>66</xdr:row>
                <xdr:rowOff>0</xdr:rowOff>
              </to>
            </anchor>
          </controlPr>
        </control>
      </mc:Choice>
      <mc:Fallback>
        <control shapeId="1035" r:id="rId20" name="TIButton9"/>
      </mc:Fallback>
    </mc:AlternateContent>
    <mc:AlternateContent xmlns:mc="http://schemas.openxmlformats.org/markup-compatibility/2006">
      <mc:Choice Requires="x14">
        <control shapeId="1034" r:id="rId22" name="TIButton8">
          <controlPr defaultSize="0" print="0" autoLine="0" r:id="rId23">
            <anchor moveWithCells="1" sizeWithCells="1">
              <from>
                <xdr:col>19</xdr:col>
                <xdr:colOff>1133475</xdr:colOff>
                <xdr:row>59</xdr:row>
                <xdr:rowOff>38100</xdr:rowOff>
              </from>
              <to>
                <xdr:col>22</xdr:col>
                <xdr:colOff>114300</xdr:colOff>
                <xdr:row>61</xdr:row>
                <xdr:rowOff>76200</xdr:rowOff>
              </to>
            </anchor>
          </controlPr>
        </control>
      </mc:Choice>
      <mc:Fallback>
        <control shapeId="1034" r:id="rId22" name="TIButton8"/>
      </mc:Fallback>
    </mc:AlternateContent>
    <mc:AlternateContent xmlns:mc="http://schemas.openxmlformats.org/markup-compatibility/2006">
      <mc:Choice Requires="x14">
        <control shapeId="1033" r:id="rId24" name="TIButton7">
          <controlPr defaultSize="0" print="0" autoLine="0" r:id="rId25">
            <anchor moveWithCells="1" sizeWithCells="1">
              <from>
                <xdr:col>15</xdr:col>
                <xdr:colOff>371475</xdr:colOff>
                <xdr:row>59</xdr:row>
                <xdr:rowOff>38100</xdr:rowOff>
              </from>
              <to>
                <xdr:col>19</xdr:col>
                <xdr:colOff>1104900</xdr:colOff>
                <xdr:row>61</xdr:row>
                <xdr:rowOff>76200</xdr:rowOff>
              </to>
            </anchor>
          </controlPr>
        </control>
      </mc:Choice>
      <mc:Fallback>
        <control shapeId="1033" r:id="rId24" name="TIButton7"/>
      </mc:Fallback>
    </mc:AlternateContent>
    <mc:AlternateContent xmlns:mc="http://schemas.openxmlformats.org/markup-compatibility/2006">
      <mc:Choice Requires="x14">
        <control shapeId="1032" r:id="rId26" name="TIButton6">
          <controlPr defaultSize="0" print="0" autoLine="0" r:id="rId27">
            <anchor moveWithCells="1" sizeWithCells="1">
              <from>
                <xdr:col>13</xdr:col>
                <xdr:colOff>57150</xdr:colOff>
                <xdr:row>59</xdr:row>
                <xdr:rowOff>47625</xdr:rowOff>
              </from>
              <to>
                <xdr:col>15</xdr:col>
                <xdr:colOff>352425</xdr:colOff>
                <xdr:row>61</xdr:row>
                <xdr:rowOff>85725</xdr:rowOff>
              </to>
            </anchor>
          </controlPr>
        </control>
      </mc:Choice>
      <mc:Fallback>
        <control shapeId="1032" r:id="rId26" name="TIButton6"/>
      </mc:Fallback>
    </mc:AlternateContent>
    <mc:AlternateContent xmlns:mc="http://schemas.openxmlformats.org/markup-compatibility/2006">
      <mc:Choice Requires="x14">
        <control shapeId="1031" r:id="rId28" name="TIButton5">
          <controlPr defaultSize="0" print="0" autoLine="0" r:id="rId29">
            <anchor moveWithCells="1" sizeWithCells="1">
              <from>
                <xdr:col>10</xdr:col>
                <xdr:colOff>123825</xdr:colOff>
                <xdr:row>59</xdr:row>
                <xdr:rowOff>47625</xdr:rowOff>
              </from>
              <to>
                <xdr:col>13</xdr:col>
                <xdr:colOff>38100</xdr:colOff>
                <xdr:row>61</xdr:row>
                <xdr:rowOff>85725</xdr:rowOff>
              </to>
            </anchor>
          </controlPr>
        </control>
      </mc:Choice>
      <mc:Fallback>
        <control shapeId="1031" r:id="rId28" name="TIButton5"/>
      </mc:Fallback>
    </mc:AlternateContent>
    <mc:AlternateContent xmlns:mc="http://schemas.openxmlformats.org/markup-compatibility/2006">
      <mc:Choice Requires="x14">
        <control shapeId="1028" r:id="rId30" name="TIButton4">
          <controlPr defaultSize="0" print="0" autoLine="0" r:id="rId31">
            <anchor moveWithCells="1" sizeWithCells="1">
              <from>
                <xdr:col>11</xdr:col>
                <xdr:colOff>0</xdr:colOff>
                <xdr:row>70</xdr:row>
                <xdr:rowOff>161925</xdr:rowOff>
              </from>
              <to>
                <xdr:col>14</xdr:col>
                <xdr:colOff>752475</xdr:colOff>
                <xdr:row>72</xdr:row>
                <xdr:rowOff>38100</xdr:rowOff>
              </to>
            </anchor>
          </controlPr>
        </control>
      </mc:Choice>
      <mc:Fallback>
        <control shapeId="1028" r:id="rId30" name="TIButton4"/>
      </mc:Fallback>
    </mc:AlternateContent>
    <mc:AlternateContent xmlns:mc="http://schemas.openxmlformats.org/markup-compatibility/2006">
      <mc:Choice Requires="x14">
        <control shapeId="1027" r:id="rId32" name="TIButton3">
          <controlPr defaultSize="0" print="0" autoLine="0" r:id="rId33">
            <anchor moveWithCells="1" sizeWithCells="1">
              <from>
                <xdr:col>11</xdr:col>
                <xdr:colOff>0</xdr:colOff>
                <xdr:row>68</xdr:row>
                <xdr:rowOff>104775</xdr:rowOff>
              </from>
              <to>
                <xdr:col>14</xdr:col>
                <xdr:colOff>752475</xdr:colOff>
                <xdr:row>70</xdr:row>
                <xdr:rowOff>114300</xdr:rowOff>
              </to>
            </anchor>
          </controlPr>
        </control>
      </mc:Choice>
      <mc:Fallback>
        <control shapeId="1027" r:id="rId32" name="TIButton3"/>
      </mc:Fallback>
    </mc:AlternateContent>
    <mc:AlternateContent xmlns:mc="http://schemas.openxmlformats.org/markup-compatibility/2006">
      <mc:Choice Requires="x14">
        <control shapeId="1026" r:id="rId34" name="TIButton2">
          <controlPr defaultSize="0" print="0" autoLine="0" r:id="rId35">
            <anchor moveWithCells="1" sizeWithCells="1">
              <from>
                <xdr:col>11</xdr:col>
                <xdr:colOff>0</xdr:colOff>
                <xdr:row>66</xdr:row>
                <xdr:rowOff>47625</xdr:rowOff>
              </from>
              <to>
                <xdr:col>14</xdr:col>
                <xdr:colOff>752475</xdr:colOff>
                <xdr:row>68</xdr:row>
                <xdr:rowOff>57150</xdr:rowOff>
              </to>
            </anchor>
          </controlPr>
        </control>
      </mc:Choice>
      <mc:Fallback>
        <control shapeId="1026" r:id="rId34" name="TIButton2"/>
      </mc:Fallback>
    </mc:AlternateContent>
    <mc:AlternateContent xmlns:mc="http://schemas.openxmlformats.org/markup-compatibility/2006">
      <mc:Choice Requires="x14">
        <control shapeId="1025" r:id="rId36" name="TIButton1">
          <controlPr defaultSize="0" print="0" autoLine="0" r:id="rId37">
            <anchor moveWithCells="1" sizeWithCells="1">
              <from>
                <xdr:col>11</xdr:col>
                <xdr:colOff>0</xdr:colOff>
                <xdr:row>63</xdr:row>
                <xdr:rowOff>47625</xdr:rowOff>
              </from>
              <to>
                <xdr:col>14</xdr:col>
                <xdr:colOff>752475</xdr:colOff>
                <xdr:row>66</xdr:row>
                <xdr:rowOff>0</xdr:rowOff>
              </to>
            </anchor>
          </controlPr>
        </control>
      </mc:Choice>
      <mc:Fallback>
        <control shapeId="1025" r:id="rId36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93B-A736-48F0-AB52-76639E1BC7E5}">
  <sheetPr codeName="Sheet3"/>
  <dimension ref="A1:A3"/>
  <sheetViews>
    <sheetView workbookViewId="0"/>
  </sheetViews>
  <sheetFormatPr defaultRowHeight="15" customHeight="1" x14ac:dyDescent="0.25"/>
  <sheetData>
    <row r="1" spans="1:1" ht="15" customHeight="1" x14ac:dyDescent="0.25">
      <c r="A1" t="s">
        <v>52</v>
      </c>
    </row>
    <row r="2" spans="1:1" ht="15" customHeight="1" x14ac:dyDescent="0.25">
      <c r="A2" t="s">
        <v>41</v>
      </c>
    </row>
    <row r="3" spans="1:1" ht="15" customHeight="1" x14ac:dyDescent="0.25">
      <c r="A3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Menu</vt:lpstr>
      <vt:lpstr>{PL}PickLst</vt:lpstr>
      <vt:lpstr>db_name</vt:lpstr>
      <vt:lpstr>home</vt:lpstr>
      <vt:lpstr>Menu</vt:lpstr>
      <vt:lpstr>psHLYear</vt:lpstr>
      <vt:lpstr>psScenario</vt:lpstr>
      <vt:lpstr>psUser</vt:lpstr>
      <vt:lpstr>TM1AdjIDListCAP</vt:lpstr>
      <vt:lpstr>TM1AdjIDListWB</vt:lpstr>
      <vt:lpstr>TM1BulkProcessCAP</vt:lpstr>
      <vt:lpstr>TM1BulkProcessWB</vt:lpstr>
      <vt:lpstr>TM1BulkProcessWS</vt:lpstr>
      <vt:lpstr>TM1EDCAP</vt:lpstr>
      <vt:lpstr>TM1EDWB</vt:lpstr>
      <vt:lpstr>TM1EDWS</vt:lpstr>
      <vt:lpstr>TM1FailMsg</vt:lpstr>
      <vt:lpstr>TM1FE3CAP</vt:lpstr>
      <vt:lpstr>TM1FE3WB</vt:lpstr>
      <vt:lpstr>TM1FE3WS</vt:lpstr>
      <vt:lpstr>TM1HomeAdminCAP</vt:lpstr>
      <vt:lpstr>TM1HomeAdminWB</vt:lpstr>
      <vt:lpstr>TM1HomeAdminWS</vt:lpstr>
      <vt:lpstr>TM1HomeAEAccVarCAP</vt:lpstr>
      <vt:lpstr>TM1HomeAEAccVarWB</vt:lpstr>
      <vt:lpstr>TM1HomeAEAccVarWS</vt:lpstr>
      <vt:lpstr>TM1HomeAECAP</vt:lpstr>
      <vt:lpstr>TM1HomeAECDMCAP</vt:lpstr>
      <vt:lpstr>TM1HomeAECDMWB</vt:lpstr>
      <vt:lpstr>TM1HomeAECDMWS</vt:lpstr>
      <vt:lpstr>TM1HomeAEDataEntryCAP</vt:lpstr>
      <vt:lpstr>TM1HomeAEDataEntryWB</vt:lpstr>
      <vt:lpstr>TM1HomeAEDataEntryWS</vt:lpstr>
      <vt:lpstr>TM1HomeAEFFCAP</vt:lpstr>
      <vt:lpstr>TM1HomeAEFFWB</vt:lpstr>
      <vt:lpstr>TM1HomeAEFFWS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TM1IndexCAP</vt:lpstr>
      <vt:lpstr>TM1IndexFE3MapCAP</vt:lpstr>
      <vt:lpstr>TM1IndexFE3MapWB</vt:lpstr>
      <vt:lpstr>TM1IndexFE3MapWS</vt:lpstr>
      <vt:lpstr>TM1IndexWB</vt:lpstr>
      <vt:lpstr>TM1IndexWS</vt:lpstr>
      <vt:lpstr>TM1NewAdj01HeaderCAP</vt:lpstr>
      <vt:lpstr>TM1NewAdj01HeaderWB</vt:lpstr>
      <vt:lpstr>TM1NewAdj01HeaderWS</vt:lpstr>
      <vt:lpstr>TM1NewAdj97UploadCAP</vt:lpstr>
      <vt:lpstr>TM1NewAdj97UploadWB</vt:lpstr>
      <vt:lpstr>TM1NewAdj97UploadWS</vt:lpstr>
      <vt:lpstr>TM1OkMsg</vt:lpstr>
      <vt:lpstr>TM1ProgTransferCAP</vt:lpstr>
      <vt:lpstr>TM1ProgTransferWB</vt:lpstr>
      <vt:lpstr>TM1ProgTransferWS</vt:lpstr>
      <vt:lpstr>TM1PromptMsg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</dc:creator>
  <cp:keywords/>
  <dc:description/>
  <cp:lastModifiedBy>khe</cp:lastModifiedBy>
  <dcterms:created xsi:type="dcterms:W3CDTF">2023-04-03T03:52:46Z</dcterms:created>
  <dcterms:modified xsi:type="dcterms:W3CDTF">2023-04-03T06:02:20Z</dcterms:modified>
  <cp:category/>
  <cp:contentStatus/>
</cp:coreProperties>
</file>