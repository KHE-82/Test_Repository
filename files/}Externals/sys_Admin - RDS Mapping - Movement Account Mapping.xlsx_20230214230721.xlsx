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27706B42-94CD-4EF3-948F-A1FA151F3DEB}" xr6:coauthVersionLast="47" xr6:coauthVersionMax="47" xr10:uidLastSave="{00000000-0000-0000-0000-000000000000}"/>
  <bookViews>
    <workbookView xWindow="29580" yWindow="780" windowWidth="21600" windowHeight="11385" xr2:uid="{4C5C097A-B816-4463-9BFC-F733AB0C3C2A}"/>
  </bookViews>
  <sheets>
    <sheet name="RDS - MA mapping" sheetId="1" r:id="rId1"/>
  </sheets>
  <definedNames>
    <definedName name="db_name">'RDS - MA mapping'!$C$12</definedName>
    <definedName name="psApp">'RDS - MA mapping'!$C$29</definedName>
    <definedName name="psUser">'RDS - MA mapping'!$C$17</definedName>
    <definedName name="TM1AdminRDSAccountCAP">'RDS - MA mapping'!$D$36</definedName>
    <definedName name="TM1AdminRDSAccountWB">'RDS - MA mapping'!$F$36</definedName>
    <definedName name="TM1AdminRDSAccountWS">'RDS - MA mapping'!$H$36</definedName>
    <definedName name="TM1AdminRDSMACAP">'RDS - MA mapping'!$D$37</definedName>
    <definedName name="TM1AdminRDSMapCFMapCap">'RDS - MA mapping'!$D$39</definedName>
    <definedName name="TM1AdminRDSMapCFMapWB">'RDS - MA mapping'!$F$39</definedName>
    <definedName name="TM1AdminRDSMapCFMapWS">'RDS - MA mapping'!$H$39</definedName>
    <definedName name="TM1AdminRDSMapIDCap">'RDS - MA mapping'!$D$38</definedName>
    <definedName name="TM1AdminRDSMapIDWB">'RDS - MA mapping'!$F$38</definedName>
    <definedName name="TM1AdminRDSMapIDWS">'RDS - MA mapping'!$H$38</definedName>
    <definedName name="TM1AdminRDSMapMAMapCAP">'RDS - MA mapping'!$D$40</definedName>
    <definedName name="TM1AdminRDSMapMAMapWB">'RDS - MA mapping'!$F$40</definedName>
    <definedName name="TM1AdminRDSMapMAMapWS">'RDS - MA mapping'!$H$40</definedName>
    <definedName name="TM1AdminRDSMAWB">'RDS - MA mapping'!$F$37</definedName>
    <definedName name="TM1AdminRDSMAWS">'RDS - MA mapping'!$H$37</definedName>
    <definedName name="TM1HomeAdminCAP">'RDS - MA mapping'!$D$32</definedName>
    <definedName name="TM1HomeAdminGEUSCAP">'RDS - MA mapping'!$D$41</definedName>
    <definedName name="TM1HomeAdminGEUSWB">'RDS - MA mapping'!$F$41</definedName>
    <definedName name="TM1HomeAdminGEUSWS">'RDS - MA mapping'!$H$41</definedName>
    <definedName name="TM1HomeAdminRDSCAP">'RDS - MA mapping'!$D$33</definedName>
    <definedName name="TM1HomeAdminRDSMapCAP">'RDS - MA mapping'!$D$34</definedName>
    <definedName name="TM1HomeAdminRDSMapWB">'RDS - MA mapping'!$F$34</definedName>
    <definedName name="TM1HomeAdminRDSMapWS">'RDS - MA mapping'!$H$34</definedName>
    <definedName name="TM1HomeAdminRDSWB">'RDS - MA mapping'!$F$33</definedName>
    <definedName name="TM1HomeAdminRDSWS">'RDS - MA mapping'!$H$33</definedName>
    <definedName name="TM1HomeAdminWB">'RDS - MA mapping'!$F$32</definedName>
    <definedName name="TM1HomeAdminWS">'RDS - MA mapping'!$H$32</definedName>
    <definedName name="TM1HomeCAP">'RDS - MA mapping'!$D$31</definedName>
    <definedName name="TM1HomeUnderCAP">'RDS - MA mapping'!$D$35</definedName>
    <definedName name="TM1HomeUnderWB">'RDS - MA mapping'!$F$35</definedName>
    <definedName name="TM1HomeUnderWS">'RDS - MA mapping'!$H$35</definedName>
    <definedName name="TM1HomeWB">'RDS - MA mapping'!$F$31</definedName>
    <definedName name="TM1HomeWS">'RDS - MA mapping'!$H$31</definedName>
    <definedName name="TM1REBUILDOPTION">1</definedName>
    <definedName name="TM1RPTDATARNG1" localSheetId="0">'RDS - MA mapping'!$62:$62</definedName>
    <definedName name="TM1RPTFMTIDCOL" localSheetId="0">'RDS - MA mapping'!$A$1:$A$8</definedName>
    <definedName name="TM1RPTFMTRNG" localSheetId="0">'RDS - MA mapping'!$J$1:$L$8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  <c r="J62" i="1"/>
  <c r="C28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L62" i="1" a="1"/>
  <c r="L62" i="1"/>
  <c r="K62" i="1" a="1"/>
  <c r="K62" i="1"/>
  <c r="A62" i="1" a="1"/>
  <c r="A62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0" i="1" a="1"/>
  <c r="C20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4" i="1" a="1"/>
  <c r="C14" i="1"/>
  <c r="C16" i="1" a="1"/>
  <c r="C16" i="1"/>
  <c r="C15" i="1" a="1"/>
  <c r="C15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<sst xmlns="http://schemas.openxmlformats.org/spreadsheetml/2006/main" count="53" uniqueCount="52">
  <si>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code and description</t>
  </si>
  <si>
    <t>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</si>
  <si>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</si>
  <si>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</si>
  <si>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</si>
  <si>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</si>
  <si>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</si>
  <si>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</si>
  <si>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</si>
  <si>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</si>
  <si>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</si>
  <si>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</si>
  <si>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</si>
  <si>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</si>
  <si>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</si>
  <si>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</si>
  <si>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</si>
  <si>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</si>
  <si>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</si>
  <si>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</si>
  <si>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</si>
  <si>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</si>
  <si>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</si>
  <si>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Admin RDS Mapping - CF Mapping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</si>
  <si>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</si>
  <si>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</si>
  <si>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</si>
  <si>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</si>
  <si>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</si>
  <si>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</si>
  <si>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</si>
  <si>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Administration</t>
  </si>
  <si>
    <t>Homepage - Administration - RDS</t>
  </si>
  <si>
    <t>Homepage - Administration - RDS Mapping</t>
  </si>
  <si>
    <t>Homepage - Under Construction</t>
  </si>
  <si>
    <t>Admin RDS - Account</t>
  </si>
  <si>
    <t>Admin RDS - Movement Account</t>
  </si>
  <si>
    <t>Admin RDS Mapping - ID Threshold</t>
  </si>
  <si>
    <t>Admin RDS Mapping - MA Mapping</t>
  </si>
  <si>
    <t>]ElementAttributes_}movement account mapping</t>
  </si>
  <si>
    <t>Active Form View</t>
  </si>
  <si>
    <t>MDX</t>
  </si>
  <si>
    <t>{TM1DRILLDOWNMEMBER( {TM1SUBSETALL( [}movement account mapping] )}, ALL, RECURSIVE )}</t>
  </si>
  <si>
    <t>Description</t>
  </si>
  <si>
    <t>Code and Description</t>
  </si>
  <si>
    <t>Account / Movement Account</t>
  </si>
  <si>
    <r>
      <rPr>
        <i/>
        <sz val="11"/>
        <color rgb="FFFF0000"/>
        <rFont val="Calibri"/>
        <family val="2"/>
      </rPr>
      <t>Note :</t>
    </r>
    <r>
      <rPr>
        <i/>
        <sz val="11"/>
        <color rgb="FFFF0000"/>
        <rFont val="Calibri"/>
        <family val="2"/>
        <scheme val="minor"/>
      </rPr>
      <t xml:space="preserve"> This screen is a copy of the }ElementAttributes_}movement account mapping</t>
    </r>
  </si>
  <si>
    <r>
      <rPr>
        <i/>
        <sz val="11"/>
        <color rgb="FFFF0000"/>
        <rFont val="Calibri"/>
        <family val="2"/>
      </rPr>
      <t>Note :</t>
    </r>
    <r>
      <rPr>
        <i/>
        <sz val="11"/>
        <color rgb="FFFF0000"/>
        <rFont val="Calibri"/>
        <family val="2"/>
        <scheme val="minor"/>
      </rPr>
      <t xml:space="preserve"> This screen is used to identify which movement account is mapped to allow to be used with a particular account. </t>
    </r>
  </si>
  <si>
    <r>
      <rPr>
        <i/>
        <sz val="11"/>
        <color rgb="FFFF0000"/>
        <rFont val="Calibri"/>
        <family val="2"/>
      </rPr>
      <t>Note :</t>
    </r>
    <r>
      <rPr>
        <i/>
        <sz val="11"/>
        <color rgb="FFFF0000"/>
        <rFont val="Calibri"/>
        <family val="2"/>
        <scheme val="minor"/>
      </rPr>
      <t xml:space="preserve"> A subset beginning with sys_###### in the }movement account mapping is used for data entry purposes. </t>
    </r>
  </si>
  <si>
    <t>RDS Mapping - Movement Account Mapping</t>
  </si>
  <si>
    <t>Homepage - Administration - GEUS Setup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</si>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</sst>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6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/>
    <xf numFmtId="0" fontId="4" fillId="3" borderId="4" xfId="0" applyFont="1" applyFill="1" applyBorder="1" applyProtection="1">
      <protection locked="0"/>
    </xf>
    <xf numFmtId="0" fontId="3" fillId="3" borderId="4" xfId="0" applyFont="1" applyFill="1" applyBorder="1" applyProtection="1">
      <protection locked="0"/>
    </xf>
    <xf numFmtId="0" fontId="4" fillId="4" borderId="4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5" fillId="0" borderId="4" xfId="0" applyFont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4" fillId="3" borderId="4" xfId="0" applyNumberFormat="1" applyFont="1" applyFill="1" applyBorder="1" applyProtection="1">
      <protection locked="0"/>
    </xf>
    <xf numFmtId="0" fontId="7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</xdr:colOff>
      <xdr:row>51</xdr:row>
      <xdr:rowOff>19050</xdr:rowOff>
    </xdr:from>
    <xdr:to>
      <xdr:col>9</xdr:col>
      <xdr:colOff>2003320</xdr:colOff>
      <xdr:row>52</xdr:row>
      <xdr:rowOff>15240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" y="19050"/>
          <a:ext cx="198236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53</xdr:row>
          <xdr:rowOff>9525</xdr:rowOff>
        </xdr:from>
        <xdr:to>
          <xdr:col>9</xdr:col>
          <xdr:colOff>666750</xdr:colOff>
          <xdr:row>53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6391275</xdr:colOff>
          <xdr:row>52</xdr:row>
          <xdr:rowOff>38100</xdr:rowOff>
        </xdr:from>
        <xdr:to>
          <xdr:col>11</xdr:col>
          <xdr:colOff>6705600</xdr:colOff>
          <xdr:row>53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733425</xdr:colOff>
          <xdr:row>53</xdr:row>
          <xdr:rowOff>9525</xdr:rowOff>
        </xdr:from>
        <xdr:to>
          <xdr:col>10</xdr:col>
          <xdr:colOff>428625</xdr:colOff>
          <xdr:row>53</xdr:row>
          <xdr:rowOff>266700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3419475</xdr:colOff>
          <xdr:row>53</xdr:row>
          <xdr:rowOff>9525</xdr:rowOff>
        </xdr:from>
        <xdr:to>
          <xdr:col>10</xdr:col>
          <xdr:colOff>4200525</xdr:colOff>
          <xdr:row>53</xdr:row>
          <xdr:rowOff>266700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53</xdr:row>
          <xdr:rowOff>9525</xdr:rowOff>
        </xdr:from>
        <xdr:to>
          <xdr:col>10</xdr:col>
          <xdr:colOff>2047875</xdr:colOff>
          <xdr:row>53</xdr:row>
          <xdr:rowOff>266700</xdr:rowOff>
        </xdr:to>
        <xdr:sp macro="" textlink="">
          <xdr:nvSpPr>
            <xdr:cNvPr id="1032" name="TIButton3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2085975</xdr:colOff>
          <xdr:row>53</xdr:row>
          <xdr:rowOff>9525</xdr:rowOff>
        </xdr:from>
        <xdr:to>
          <xdr:col>10</xdr:col>
          <xdr:colOff>3400425</xdr:colOff>
          <xdr:row>53</xdr:row>
          <xdr:rowOff>266700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6DC0-9365-45D9-8960-3968D01742F3}">
  <sheetPr codeName="Sheet1">
    <outlinePr showOutlineSymbols="0"/>
  </sheetPr>
  <dimension ref="A1:L62"/>
  <sheetViews>
    <sheetView showGridLines="0" showRowColHeaders="0" tabSelected="1" showOutlineSymbols="0" topLeftCell="A52" workbookViewId="0">
      <pane ySplit="10" topLeftCell="A62" activePane="bottomLeft" state="frozen"/>
      <selection activeCell="I52" sqref="I52"/>
      <selection pane="bottomLeft"/>
    </sheetView>
  </sheetViews>
  <sheetFormatPr defaultRowHeight="15" outlineLevelRow="1" outlineLevelCol="1" x14ac:dyDescent="0.25"/>
  <cols>
    <col min="1" max="1" width="20.28515625" hidden="1" customWidth="1" outlineLevel="1"/>
    <col min="2" max="2" width="54" hidden="1" customWidth="1" outlineLevel="1"/>
    <col min="3" max="8" width="20.28515625" hidden="1" customWidth="1" outlineLevel="1"/>
    <col min="9" max="9" width="0.85546875" customWidth="1" collapsed="1"/>
    <col min="10" max="10" width="30.7109375" customWidth="1"/>
    <col min="11" max="12" width="100.7109375" customWidth="1"/>
  </cols>
  <sheetData>
    <row r="1" spans="1:12" hidden="1" outlineLevel="1" x14ac:dyDescent="0.25">
      <c r="A1" t="s">
        <v>4</v>
      </c>
    </row>
    <row r="2" spans="1:12" hidden="1" outlineLevel="1" x14ac:dyDescent="0.25">
      <c r="A2">
        <f>0</f>
        <v>0</v>
      </c>
      <c r="J2" s="7"/>
      <c r="K2" s="8"/>
      <c r="L2" s="8"/>
    </row>
    <row r="3" spans="1:12" hidden="1" outlineLevel="1" x14ac:dyDescent="0.25">
      <c r="A3">
        <f>1</f>
        <v>1</v>
      </c>
      <c r="J3" s="9"/>
      <c r="K3" s="10"/>
      <c r="L3" s="10"/>
    </row>
    <row r="4" spans="1:12" hidden="1" outlineLevel="1" x14ac:dyDescent="0.25">
      <c r="A4">
        <f>2</f>
        <v>2</v>
      </c>
      <c r="J4" s="9"/>
      <c r="K4" s="10"/>
      <c r="L4" s="10"/>
    </row>
    <row r="5" spans="1:12" hidden="1" outlineLevel="1" x14ac:dyDescent="0.25">
      <c r="A5">
        <f>3</f>
        <v>3</v>
      </c>
      <c r="J5" s="9"/>
      <c r="K5" s="10"/>
      <c r="L5" s="10"/>
    </row>
    <row r="6" spans="1:12" hidden="1" outlineLevel="1" x14ac:dyDescent="0.25">
      <c r="A6" t="s">
        <v>2</v>
      </c>
      <c r="J6" s="9"/>
      <c r="K6" s="10"/>
      <c r="L6" s="10"/>
    </row>
    <row r="7" spans="1:12" hidden="1" outlineLevel="1" x14ac:dyDescent="0.25">
      <c r="A7" t="s">
        <v>3</v>
      </c>
      <c r="J7" s="9"/>
      <c r="K7" s="10"/>
      <c r="L7" s="10"/>
    </row>
    <row r="8" spans="1:12" hidden="1" outlineLevel="1" x14ac:dyDescent="0.25">
      <c r="A8" t="s">
        <v>5</v>
      </c>
    </row>
    <row r="9" spans="1:12" hidden="1" outlineLevel="1" x14ac:dyDescent="0.25"/>
    <row r="10" spans="1:12" hidden="1" outlineLevel="1" x14ac:dyDescent="0.25"/>
    <row r="11" spans="1:12" hidden="1" outlineLevel="1" x14ac:dyDescent="0.25">
      <c r="B11" s="16" t="s">
        <v>6</v>
      </c>
      <c r="C11" s="17"/>
      <c r="D11" s="18"/>
    </row>
    <row r="12" spans="1:12" hidden="1" outlineLevel="1" x14ac:dyDescent="0.25">
      <c r="B12" s="1" t="s">
        <v>7</v>
      </c>
      <c r="C12" s="2" t="s">
        <v>51</v>
      </c>
      <c r="D12" s="3"/>
    </row>
    <row r="13" spans="1:12" hidden="1" outlineLevel="1" x14ac:dyDescent="0.25">
      <c r="B13" s="1" t="s">
        <v>8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12" hidden="1" outlineLevel="1" x14ac:dyDescent="0.25">
      <c r="B14" s="1" t="s">
        <v>9</v>
      </c>
      <c r="C14" s="2" t="str" cm="1">
        <f t="array" aca="1" ref="C14" ca="1">_xll.TM1USER(db_name)</f>
        <v/>
      </c>
      <c r="D14" s="3"/>
    </row>
    <row r="15" spans="1:12" hidden="1" outlineLevel="1" x14ac:dyDescent="0.25">
      <c r="B15" s="1" t="s">
        <v>10</v>
      </c>
      <c r="C15" s="2" t="str" cm="1">
        <f t="array" aca="1" ref="C15" ca="1">_xll.DBR($C$13,$C$14,$B15)</f>
        <v>*KEY_ERR</v>
      </c>
      <c r="D15" s="3"/>
    </row>
    <row r="16" spans="1:12" hidden="1" outlineLevel="1" x14ac:dyDescent="0.25">
      <c r="B16" s="1" t="s">
        <v>11</v>
      </c>
      <c r="C16" s="2" t="str" cm="1">
        <f t="array" aca="1" ref="C16" ca="1">_xll.DBR($C$13,$C$14,$B16)</f>
        <v>*KEY_ERR</v>
      </c>
      <c r="D16" s="3"/>
    </row>
    <row r="17" spans="2:8" hidden="1" outlineLevel="1" x14ac:dyDescent="0.25">
      <c r="B17" s="1" t="s">
        <v>12</v>
      </c>
      <c r="C17" s="2" t="str">
        <f ca="1">IF(LEFT($C$15,6)="CAM_AD",$C$16,$C$15)</f>
        <v>*KEY_ERR</v>
      </c>
      <c r="D17" s="5"/>
    </row>
    <row r="18" spans="2:8" hidden="1" outlineLevel="1" x14ac:dyDescent="0.25"/>
    <row r="19" spans="2:8" hidden="1" outlineLevel="1" x14ac:dyDescent="0.25">
      <c r="B19" s="16" t="s">
        <v>13</v>
      </c>
      <c r="C19" s="17"/>
      <c r="D19" s="18"/>
    </row>
    <row r="20" spans="2:8" hidden="1" outlineLevel="1" x14ac:dyDescent="0.25">
      <c r="B20" s="1" t="s">
        <v>14</v>
      </c>
      <c r="C20" s="5" t="str" cm="1">
        <f t="array" aca="1" ref="C20" ca="1">_xll.VIEW(db_name&amp;":}ElementAttributes_variables","!","!")</f>
        <v>dcceew_geus:}ElementAttributes_variables</v>
      </c>
      <c r="D20" s="5"/>
    </row>
    <row r="21" spans="2:8" hidden="1" outlineLevel="1" x14ac:dyDescent="0.25">
      <c r="B21" s="1" t="s">
        <v>15</v>
      </c>
      <c r="C21" s="5" t="str" cm="1">
        <f t="array" aca="1" ref="C21" ca="1">_xll.DBR($C$20,$B21,"value")</f>
        <v>*KEY_ERR</v>
      </c>
      <c r="D21" s="5"/>
    </row>
    <row r="22" spans="2:8" hidden="1" outlineLevel="1" x14ac:dyDescent="0.25">
      <c r="B22" s="1" t="s">
        <v>16</v>
      </c>
      <c r="C22" s="5" t="str" cm="1">
        <f t="array" aca="1" ref="C22" ca="1">_xll.DBR($C$20,$B22,"value")</f>
        <v>*KEY_ERR</v>
      </c>
      <c r="D22" s="5"/>
    </row>
    <row r="23" spans="2:8" hidden="1" outlineLevel="1" x14ac:dyDescent="0.25">
      <c r="B23" s="1" t="s">
        <v>17</v>
      </c>
      <c r="C23" s="5" t="str" cm="1">
        <f t="array" aca="1" ref="C23" ca="1">_xll.DBR($C$20,$B23,"value")</f>
        <v>*KEY_ERR</v>
      </c>
      <c r="D23" s="5"/>
    </row>
    <row r="24" spans="2:8" hidden="1" outlineLevel="1" x14ac:dyDescent="0.25">
      <c r="B24" s="1" t="s">
        <v>18</v>
      </c>
      <c r="C24" s="5" t="str" cm="1">
        <f t="array" aca="1" ref="C24" ca="1">_xll.DBR($C$20,$B24,"value")</f>
        <v>*KEY_ERR</v>
      </c>
      <c r="D24" s="5"/>
    </row>
    <row r="25" spans="2:8" hidden="1" outlineLevel="1" x14ac:dyDescent="0.25">
      <c r="B25" s="1" t="s">
        <v>19</v>
      </c>
      <c r="C25" s="5" t="str" cm="1">
        <f t="array" aca="1" ref="C25" ca="1">_xll.DBR($C$20,$B25,"value")</f>
        <v>*KEY_ERR</v>
      </c>
      <c r="D25" s="5"/>
    </row>
    <row r="26" spans="2:8" hidden="1" outlineLevel="1" x14ac:dyDescent="0.25">
      <c r="B26" s="6"/>
    </row>
    <row r="27" spans="2:8" hidden="1" outlineLevel="1" x14ac:dyDescent="0.25">
      <c r="B27" s="16" t="s">
        <v>20</v>
      </c>
      <c r="C27" s="17"/>
      <c r="D27" s="18"/>
    </row>
    <row r="28" spans="2:8" hidden="1" outlineLevel="1" x14ac:dyDescent="0.25">
      <c r="B28" s="1" t="s">
        <v>21</v>
      </c>
      <c r="C28" s="5" t="str">
        <f ca="1">_xll.VIEW(db_name&amp;":sys_application","!","!")</f>
        <v>dcceew_geus:sys_application</v>
      </c>
      <c r="D28" s="5"/>
    </row>
    <row r="29" spans="2:8" hidden="1" outlineLevel="1" x14ac:dyDescent="0.25">
      <c r="B29" s="1" t="s">
        <v>22</v>
      </c>
      <c r="C29" s="5" t="s">
        <v>38</v>
      </c>
      <c r="D29" s="5"/>
    </row>
    <row r="30" spans="2:8" hidden="1" outlineLevel="1" x14ac:dyDescent="0.25">
      <c r="B30" s="5"/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</row>
    <row r="31" spans="2:8" hidden="1" outlineLevel="1" x14ac:dyDescent="0.25">
      <c r="B31" s="5" t="s">
        <v>30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8" hidden="1" outlineLevel="1" x14ac:dyDescent="0.25">
      <c r="B32" s="5" t="s">
        <v>31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2:12" hidden="1" outlineLevel="1" x14ac:dyDescent="0.25">
      <c r="B33" s="5" t="s">
        <v>32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2:12" hidden="1" outlineLevel="1" x14ac:dyDescent="0.25">
      <c r="B34" s="5" t="s">
        <v>33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2:12" hidden="1" outlineLevel="1" x14ac:dyDescent="0.25">
      <c r="B35" s="5" t="s">
        <v>34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2:12" hidden="1" outlineLevel="1" x14ac:dyDescent="0.25">
      <c r="B36" s="5" t="s">
        <v>35</v>
      </c>
      <c r="C36" s="5" t="str" cm="1">
        <f t="array" aca="1" ref="C36" ca="1">_xll.DBR($C$28,$B36,C$30)</f>
        <v>*KEY_ERR</v>
      </c>
      <c r="D36" s="5" t="str" cm="1">
        <f t="array" aca="1" ref="D36" ca="1">_xll.DBR($C$28,$B36,D$30)</f>
        <v>*KEY_ERR</v>
      </c>
      <c r="E36" s="5" t="str" cm="1">
        <f t="array" aca="1" ref="E36" ca="1">_xll.DBR($C$28,$B36,E$30)</f>
        <v>*KEY_ERR</v>
      </c>
      <c r="F36" s="5" t="str" cm="1">
        <f t="array" aca="1" ref="F36" ca="1">_xll.DBR($C$28,$B36,F$30)</f>
        <v>*KEY_ERR</v>
      </c>
      <c r="G36" s="5" t="str" cm="1">
        <f t="array" aca="1" ref="G36" ca="1">_xll.DBR($C$28,$B36,G$30)</f>
        <v>*KEY_ERR</v>
      </c>
      <c r="H36" s="5" t="str" cm="1">
        <f t="array" aca="1" ref="H36" ca="1">_xll.DBR($C$28,$B36,H$30)</f>
        <v>*KEY_ERR</v>
      </c>
    </row>
    <row r="37" spans="2:12" hidden="1" outlineLevel="1" x14ac:dyDescent="0.25">
      <c r="B37" s="5" t="s">
        <v>36</v>
      </c>
      <c r="C37" s="5" t="str" cm="1">
        <f t="array" aca="1" ref="C37" ca="1">_xll.DBR($C$28,$B37,C$30)</f>
        <v>*KEY_ERR</v>
      </c>
      <c r="D37" s="5" t="str" cm="1">
        <f t="array" aca="1" ref="D37" ca="1">_xll.DBR($C$28,$B37,D$30)</f>
        <v>*KEY_ERR</v>
      </c>
      <c r="E37" s="5" t="str" cm="1">
        <f t="array" aca="1" ref="E37" ca="1">_xll.DBR($C$28,$B37,E$30)</f>
        <v>*KEY_ERR</v>
      </c>
      <c r="F37" s="5" t="str" cm="1">
        <f t="array" aca="1" ref="F37" ca="1">_xll.DBR($C$28,$B37,F$30)</f>
        <v>*KEY_ERR</v>
      </c>
      <c r="G37" s="5" t="str" cm="1">
        <f t="array" aca="1" ref="G37" ca="1">_xll.DBR($C$28,$B37,G$30)</f>
        <v>*KEY_ERR</v>
      </c>
      <c r="H37" s="5" t="str" cm="1">
        <f t="array" aca="1" ref="H37" ca="1">_xll.DBR($C$28,$B37,H$30)</f>
        <v>*KEY_ERR</v>
      </c>
    </row>
    <row r="38" spans="2:12" hidden="1" outlineLevel="1" x14ac:dyDescent="0.25">
      <c r="B38" s="5" t="s">
        <v>37</v>
      </c>
      <c r="C38" s="5" t="str" cm="1">
        <f t="array" aca="1" ref="C38" ca="1">_xll.DBR($C$28,$B38,C$30)</f>
        <v>*KEY_ERR</v>
      </c>
      <c r="D38" s="5" t="str" cm="1">
        <f t="array" aca="1" ref="D38" ca="1">_xll.DBR($C$28,$B38,D$30)</f>
        <v>*KEY_ERR</v>
      </c>
      <c r="E38" s="5" t="str" cm="1">
        <f t="array" aca="1" ref="E38" ca="1">_xll.DBR($C$28,$B38,E$30)</f>
        <v>*KEY_ERR</v>
      </c>
      <c r="F38" s="5" t="str" cm="1">
        <f t="array" aca="1" ref="F38" ca="1">_xll.DBR($C$28,$B38,F$30)</f>
        <v>*KEY_ERR</v>
      </c>
      <c r="G38" s="5" t="str" cm="1">
        <f t="array" aca="1" ref="G38" ca="1">_xll.DBR($C$28,$B38,G$30)</f>
        <v>*KEY_ERR</v>
      </c>
      <c r="H38" s="5" t="str" cm="1">
        <f t="array" aca="1" ref="H38" ca="1">_xll.DBR($C$28,$B38,H$30)</f>
        <v>*KEY_ERR</v>
      </c>
    </row>
    <row r="39" spans="2:12" hidden="1" outlineLevel="1" x14ac:dyDescent="0.25">
      <c r="B39" s="5" t="s">
        <v>23</v>
      </c>
      <c r="C39" s="5" t="str" cm="1">
        <f t="array" aca="1" ref="C39" ca="1">_xll.DBR($C$28,$B39,C$30)</f>
        <v>*KEY_ERR</v>
      </c>
      <c r="D39" s="5" t="str" cm="1">
        <f t="array" aca="1" ref="D39" ca="1">_xll.DBR($C$28,$B39,D$30)</f>
        <v>*KEY_ERR</v>
      </c>
      <c r="E39" s="5" t="str" cm="1">
        <f t="array" aca="1" ref="E39" ca="1">_xll.DBR($C$28,$B39,E$30)</f>
        <v>*KEY_ERR</v>
      </c>
      <c r="F39" s="5" t="str" cm="1">
        <f t="array" aca="1" ref="F39" ca="1">_xll.DBR($C$28,$B39,F$30)</f>
        <v>*KEY_ERR</v>
      </c>
      <c r="G39" s="5" t="str" cm="1">
        <f t="array" aca="1" ref="G39" ca="1">_xll.DBR($C$28,$B39,G$30)</f>
        <v>*KEY_ERR</v>
      </c>
      <c r="H39" s="5" t="str" cm="1">
        <f t="array" aca="1" ref="H39" ca="1">_xll.DBR($C$28,$B39,H$30)</f>
        <v>*KEY_ERR</v>
      </c>
    </row>
    <row r="40" spans="2:12" hidden="1" outlineLevel="1" x14ac:dyDescent="0.25">
      <c r="B40" s="5" t="s">
        <v>38</v>
      </c>
      <c r="C40" s="5" t="str" cm="1">
        <f t="array" aca="1" ref="C40" ca="1">_xll.DBR($C$28,$B40,C$30)</f>
        <v>*KEY_ERR</v>
      </c>
      <c r="D40" s="5" t="str" cm="1">
        <f t="array" aca="1" ref="D40" ca="1">_xll.DBR($C$28,$B40,D$30)</f>
        <v>*KEY_ERR</v>
      </c>
      <c r="E40" s="5" t="str" cm="1">
        <f t="array" aca="1" ref="E40" ca="1">_xll.DBR($C$28,$B40,E$30)</f>
        <v>*KEY_ERR</v>
      </c>
      <c r="F40" s="5" t="str" cm="1">
        <f t="array" aca="1" ref="F40" ca="1">_xll.DBR($C$28,$B40,F$30)</f>
        <v>*KEY_ERR</v>
      </c>
      <c r="G40" s="5" t="str" cm="1">
        <f t="array" aca="1" ref="G40" ca="1">_xll.DBR($C$28,$B40,G$30)</f>
        <v>*KEY_ERR</v>
      </c>
      <c r="H40" s="5" t="str" cm="1">
        <f t="array" aca="1" ref="H40" ca="1">_xll.DBR($C$28,$B40,H$30)</f>
        <v>*KEY_ERR</v>
      </c>
    </row>
    <row r="41" spans="2:12" hidden="1" outlineLevel="1" x14ac:dyDescent="0.25">
      <c r="B41" s="5" t="s">
        <v>50</v>
      </c>
      <c r="C41" s="5" t="str" cm="1">
        <f t="array" aca="1" ref="C41" ca="1">_xll.DBR($C$28,$B41,C$30)</f>
        <v>*KEY_ERR</v>
      </c>
      <c r="D41" s="5" t="str" cm="1">
        <f t="array" aca="1" ref="D41" ca="1">_xll.DBR($C$28,$B41,D$30)</f>
        <v>*KEY_ERR</v>
      </c>
      <c r="E41" s="5" t="str" cm="1">
        <f t="array" aca="1" ref="E41" ca="1">_xll.DBR($C$28,$B41,E$30)</f>
        <v>*KEY_ERR</v>
      </c>
      <c r="F41" s="5" t="str" cm="1">
        <f t="array" aca="1" ref="F41" ca="1">_xll.DBR($C$28,$B41,F$30)</f>
        <v>*KEY_ERR</v>
      </c>
      <c r="G41" s="5" t="str" cm="1">
        <f t="array" aca="1" ref="G41" ca="1">_xll.DBR($C$28,$B41,G$30)</f>
        <v>*KEY_ERR</v>
      </c>
      <c r="H41" s="5" t="str" cm="1">
        <f t="array" aca="1" ref="H41" ca="1">_xll.DBR($C$28,$B41,H$30)</f>
        <v>*KEY_ERR</v>
      </c>
    </row>
    <row r="42" spans="2:12" hidden="1" outlineLevel="1" x14ac:dyDescent="0.25">
      <c r="B42" s="6"/>
    </row>
    <row r="43" spans="2:12" hidden="1" outlineLevel="1" x14ac:dyDescent="0.25">
      <c r="B43" s="16" t="s">
        <v>39</v>
      </c>
      <c r="C43" s="17"/>
      <c r="D43" s="18"/>
    </row>
    <row r="44" spans="2:12" hidden="1" outlineLevel="1" x14ac:dyDescent="0.25">
      <c r="B44" s="1" t="s">
        <v>40</v>
      </c>
      <c r="C44" s="5" t="str">
        <f ca="1">_xll.TM1RPTVIEW(db_name&amp;":}ElementAttributes_}movement account mapping:1", 0,TM1RPTFMTRNG,TM1RPTFMTIDCOL)</f>
        <v>dcceew_geus:}ElementAttributes_}movement account mapping:1</v>
      </c>
      <c r="D44" s="5"/>
    </row>
    <row r="45" spans="2:12" hidden="1" outlineLevel="1" x14ac:dyDescent="0.25">
      <c r="B45" s="1" t="s">
        <v>41</v>
      </c>
      <c r="C45" s="5" t="s">
        <v>42</v>
      </c>
      <c r="D45" s="5"/>
    </row>
    <row r="46" spans="2:12" hidden="1" outlineLevel="1" x14ac:dyDescent="0.25">
      <c r="B46" s="6"/>
    </row>
    <row r="47" spans="2:12" hidden="1" outlineLevel="1" x14ac:dyDescent="0.25">
      <c r="B47" s="6"/>
      <c r="K47" s="11" t="s">
        <v>1</v>
      </c>
      <c r="L47" s="11" t="s">
        <v>0</v>
      </c>
    </row>
    <row r="48" spans="2:12" hidden="1" outlineLevel="1" x14ac:dyDescent="0.25">
      <c r="B48" s="6"/>
    </row>
    <row r="49" spans="1:12" hidden="1" outlineLevel="1" x14ac:dyDescent="0.25">
      <c r="B49" s="6"/>
    </row>
    <row r="50" spans="1:12" hidden="1" outlineLevel="1" x14ac:dyDescent="0.25">
      <c r="B50" s="6"/>
    </row>
    <row r="51" spans="1:12" hidden="1" outlineLevel="1" x14ac:dyDescent="0.25">
      <c r="B51" s="6"/>
    </row>
    <row r="52" spans="1:12" ht="39.950000000000003" customHeight="1" collapsed="1" x14ac:dyDescent="0.25">
      <c r="B52" s="6"/>
      <c r="I52" s="13"/>
      <c r="J52" s="13"/>
      <c r="K52" s="13"/>
      <c r="L52" s="13" t="s">
        <v>49</v>
      </c>
    </row>
    <row r="53" spans="1:12" ht="4.5" customHeight="1" x14ac:dyDescent="0.25"/>
    <row r="54" spans="1:12" ht="24" customHeight="1" x14ac:dyDescent="0.25"/>
    <row r="55" spans="1:12" ht="1.5" customHeight="1" x14ac:dyDescent="0.25">
      <c r="I55" s="13"/>
      <c r="J55" s="13"/>
      <c r="K55" s="13"/>
      <c r="L55" s="13"/>
    </row>
    <row r="56" spans="1:12" ht="4.5" customHeight="1" x14ac:dyDescent="0.25"/>
    <row r="57" spans="1:12" x14ac:dyDescent="0.25">
      <c r="J57" s="15" t="s">
        <v>46</v>
      </c>
      <c r="K57" s="15"/>
      <c r="L57" s="15"/>
    </row>
    <row r="58" spans="1:12" x14ac:dyDescent="0.25">
      <c r="J58" s="15" t="s">
        <v>47</v>
      </c>
      <c r="K58" s="15"/>
      <c r="L58" s="15"/>
    </row>
    <row r="59" spans="1:12" x14ac:dyDescent="0.25">
      <c r="J59" s="15" t="s">
        <v>48</v>
      </c>
      <c r="K59" s="15"/>
      <c r="L59" s="15"/>
    </row>
    <row r="60" spans="1:12" ht="4.5" customHeight="1" x14ac:dyDescent="0.25"/>
    <row r="61" spans="1:12" x14ac:dyDescent="0.25">
      <c r="J61" s="12" t="s">
        <v>45</v>
      </c>
      <c r="K61" s="12" t="s">
        <v>43</v>
      </c>
      <c r="L61" s="12" t="s">
        <v>44</v>
      </c>
    </row>
    <row r="62" spans="1:12" x14ac:dyDescent="0.25">
      <c r="A62" t="str" cm="1">
        <f t="array" aca="1" ref="A62" ca="1">IF(_xll.TM1RPTELISCONSOLIDATED($J$62,$J62),IF(_xll.TM1RPTELLEV($J$62,$J62)&lt;=3,_xll.TM1RPTELLEV($J$62,$J62),"D"),"N")</f>
        <v>N</v>
      </c>
      <c r="J62" s="14" t="str">
        <f ca="1">_xll.TM1RPTROW($C$44,db_name&amp;":}movement account mapping","","","",0,$C$45)</f>
        <v/>
      </c>
      <c r="K62" s="8" t="str" cm="1">
        <f t="array" aca="1" ref="K62" ca="1">_xll.DBRW($C$44,$J62,K$47)</f>
        <v/>
      </c>
      <c r="L62" s="8" t="str" cm="1">
        <f t="array" aca="1" ref="L62" ca="1">_xll.DBRW($C$44,$J62,L$47)</f>
        <v/>
      </c>
    </row>
  </sheetData>
  <sheetProtection sheet="1" objects="1" scenarios="1"/>
  <mergeCells count="7">
    <mergeCell ref="J59:L59"/>
    <mergeCell ref="B11:D11"/>
    <mergeCell ref="B19:D19"/>
    <mergeCell ref="B27:D27"/>
    <mergeCell ref="B43:D43"/>
    <mergeCell ref="J57:L57"/>
    <mergeCell ref="J58:L58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3" r:id="rId4" name="TIButton6">
          <controlPr defaultSize="0" print="0" autoLine="0" r:id="rId5">
            <anchor moveWithCells="1" sizeWithCells="1">
              <from>
                <xdr:col>10</xdr:col>
                <xdr:colOff>2085975</xdr:colOff>
                <xdr:row>53</xdr:row>
                <xdr:rowOff>9525</xdr:rowOff>
              </from>
              <to>
                <xdr:col>10</xdr:col>
                <xdr:colOff>3400425</xdr:colOff>
                <xdr:row>53</xdr:row>
                <xdr:rowOff>266700</xdr:rowOff>
              </to>
            </anchor>
          </controlPr>
        </control>
      </mc:Choice>
      <mc:Fallback>
        <control shapeId="1033" r:id="rId4" name="TIButton6"/>
      </mc:Fallback>
    </mc:AlternateContent>
    <mc:AlternateContent xmlns:mc="http://schemas.openxmlformats.org/markup-compatibility/2006">
      <mc:Choice Requires="x14">
        <control shapeId="1032" r:id="rId6" name="TIButton3">
          <controlPr defaultSize="0" print="0" autoLine="0" r:id="rId7">
            <anchor moveWithCells="1" sizeWithCells="1">
              <from>
                <xdr:col>10</xdr:col>
                <xdr:colOff>466725</xdr:colOff>
                <xdr:row>53</xdr:row>
                <xdr:rowOff>9525</xdr:rowOff>
              </from>
              <to>
                <xdr:col>10</xdr:col>
                <xdr:colOff>2047875</xdr:colOff>
                <xdr:row>53</xdr:row>
                <xdr:rowOff>266700</xdr:rowOff>
              </to>
            </anchor>
          </controlPr>
        </control>
      </mc:Choice>
      <mc:Fallback>
        <control shapeId="1032" r:id="rId6" name="TIButton3"/>
      </mc:Fallback>
    </mc:AlternateContent>
    <mc:AlternateContent xmlns:mc="http://schemas.openxmlformats.org/markup-compatibility/2006">
      <mc:Choice Requires="x14">
        <control shapeId="1031" r:id="rId8" name="TIButton4">
          <controlPr defaultSize="0" print="0" autoLine="0" r:id="rId9">
            <anchor moveWithCells="1" sizeWithCells="1">
              <from>
                <xdr:col>10</xdr:col>
                <xdr:colOff>3419475</xdr:colOff>
                <xdr:row>53</xdr:row>
                <xdr:rowOff>9525</xdr:rowOff>
              </from>
              <to>
                <xdr:col>10</xdr:col>
                <xdr:colOff>4200525</xdr:colOff>
                <xdr:row>53</xdr:row>
                <xdr:rowOff>266700</xdr:rowOff>
              </to>
            </anchor>
          </controlPr>
        </control>
      </mc:Choice>
      <mc:Fallback>
        <control shapeId="1031" r:id="rId8" name="TIButton4"/>
      </mc:Fallback>
    </mc:AlternateContent>
    <mc:AlternateContent xmlns:mc="http://schemas.openxmlformats.org/markup-compatibility/2006">
      <mc:Choice Requires="x14">
        <control shapeId="1030" r:id="rId10" name="TIButton2">
          <controlPr defaultSize="0" print="0" autoLine="0" r:id="rId11">
            <anchor moveWithCells="1" sizeWithCells="1">
              <from>
                <xdr:col>9</xdr:col>
                <xdr:colOff>733425</xdr:colOff>
                <xdr:row>53</xdr:row>
                <xdr:rowOff>9525</xdr:rowOff>
              </from>
              <to>
                <xdr:col>10</xdr:col>
                <xdr:colOff>428625</xdr:colOff>
                <xdr:row>53</xdr:row>
                <xdr:rowOff>266700</xdr:rowOff>
              </to>
            </anchor>
          </controlPr>
        </control>
      </mc:Choice>
      <mc:Fallback>
        <control shapeId="1030" r:id="rId10" name="TIButton2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autoPict="0" r:id="rId13">
            <anchor moveWithCells="1" sizeWithCells="1">
              <from>
                <xdr:col>11</xdr:col>
                <xdr:colOff>6391275</xdr:colOff>
                <xdr:row>52</xdr:row>
                <xdr:rowOff>38100</xdr:rowOff>
              </from>
              <to>
                <xdr:col>11</xdr:col>
                <xdr:colOff>6705600</xdr:colOff>
                <xdr:row>53</xdr:row>
                <xdr:rowOff>295275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autoPict="0" r:id="rId15">
            <anchor moveWithCells="1" sizeWithCells="1">
              <from>
                <xdr:col>9</xdr:col>
                <xdr:colOff>28575</xdr:colOff>
                <xdr:row>53</xdr:row>
                <xdr:rowOff>9525</xdr:rowOff>
              </from>
              <to>
                <xdr:col>9</xdr:col>
                <xdr:colOff>666750</xdr:colOff>
                <xdr:row>53</xdr:row>
                <xdr:rowOff>257175</xdr:rowOff>
              </to>
            </anchor>
          </controlPr>
        </control>
      </mc:Choice>
      <mc:Fallback>
        <control shapeId="1025" r:id="rId1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RDS - MA mapping</vt:lpstr>
      <vt:lpstr>db_name</vt:lpstr>
      <vt:lpstr>psApp</vt:lpstr>
      <vt:lpstr>psUser</vt:lpstr>
      <vt:lpstr>TM1AdminRDSAccountCAP</vt:lpstr>
      <vt:lpstr>TM1AdminRDSAccountWB</vt:lpstr>
      <vt:lpstr>TM1AdminRDSAccountWS</vt:lpstr>
      <vt:lpstr>TM1AdminRDSMACAP</vt:lpstr>
      <vt:lpstr>TM1AdminRDSMapCFMapCap</vt:lpstr>
      <vt:lpstr>TM1AdminRDSMapCFMapWB</vt:lpstr>
      <vt:lpstr>TM1AdminRDSMapCFMapWS</vt:lpstr>
      <vt:lpstr>TM1AdminRDSMapIDCap</vt:lpstr>
      <vt:lpstr>TM1AdminRDSMapIDWB</vt:lpstr>
      <vt:lpstr>TM1AdminRDSMapIDWS</vt:lpstr>
      <vt:lpstr>TM1AdminRDSMapMAMapCAP</vt:lpstr>
      <vt:lpstr>TM1AdminRDSMapMAMapWB</vt:lpstr>
      <vt:lpstr>TM1AdminRDSMapMAMapWS</vt:lpstr>
      <vt:lpstr>TM1AdminRDSMAWB</vt:lpstr>
      <vt:lpstr>TM1AdminRDSMAWS</vt:lpstr>
      <vt:lpstr>TM1HomeAdminCAP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TM1HomeCAP</vt:lpstr>
      <vt:lpstr>TM1HomeUnderCAP</vt:lpstr>
      <vt:lpstr>TM1HomeUnderWB</vt:lpstr>
      <vt:lpstr>TM1HomeUnderWS</vt:lpstr>
      <vt:lpstr>TM1HomeWB</vt:lpstr>
      <vt:lpstr>TM1HomeWS</vt:lpstr>
      <vt:lpstr>'RDS - MA mapping'!TM1RPTDATARNG1</vt:lpstr>
      <vt:lpstr>'RDS - MA mapping'!TM1RPTFMTIDCOL</vt:lpstr>
      <vt:lpstr>'RDS - MA mapping'!TM1RPTFMTRNG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2019-10-17T12:08:27Z</dcterms:created>
  <dcterms:modified xsi:type="dcterms:W3CDTF">2025-08-05T04:52:33Z</dcterms:modified>
</cp:coreProperties>
</file>