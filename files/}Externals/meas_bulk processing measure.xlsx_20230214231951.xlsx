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6.xml" ContentType="application/vnd.ms-office.activeX+xml"/>
  <Override PartName="/xl/activeX/activeX5.bin" ContentType="application/vnd.ms-office.activeX"/>
  <Override PartName="/xl/activeX/activeX7.xml" ContentType="application/vnd.ms-office.activeX+xml"/>
  <Override PartName="/xl/activeX/activeX6.bin" ContentType="application/vnd.ms-office.activeX"/>
  <Override PartName="/xl/activeX/activeX8.xml" ContentType="application/vnd.ms-office.activeX+xml"/>
  <Override PartName="/xl/activeX/activeX7.bin" ContentType="application/vnd.ms-office.activeX"/>
  <Override PartName="/xl/activeX/activeX9.xml" ContentType="application/vnd.ms-office.activeX+xml"/>
  <Override PartName="/xl/activeX/activeX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odeler1\AppData\Local\Temp\2\"/>
    </mc:Choice>
  </mc:AlternateContent>
  <bookViews>
    <workbookView xWindow="57480" yWindow="-1965" windowWidth="29040" windowHeight="15840"/>
  </bookViews>
  <sheets>
    <sheet name="bulk process" sheetId="1" r:id="rId1"/>
  </sheets>
  <definedNames>
    <definedName name="db_name" localSheetId="0">'bulk process'!$C$11</definedName>
    <definedName name="IDList" localSheetId="0">OFFSET('bulk process'!$Q$114,0,0,COUNTA('bulk process'!$Q:$R,1))</definedName>
    <definedName name="psApp">'bulk process'!$C$20</definedName>
    <definedName name="psBulkMDX">'bulk process'!$C$71</definedName>
    <definedName name="psBulkProcess">'bulk process'!$N$104</definedName>
    <definedName name="psFailureMessage">'bulk process'!$C$76</definedName>
    <definedName name="psFilter" localSheetId="0">'bulk process'!$R$108</definedName>
    <definedName name="psHLYear" localSheetId="0">'bulk process'!$N$107</definedName>
    <definedName name="psScenario" localSheetId="0">'bulk process'!$N$108</definedName>
    <definedName name="psTextFilter" localSheetId="0">'bulk process'!$R$109</definedName>
    <definedName name="psUser" localSheetId="0">'bulk process'!$C$16</definedName>
    <definedName name="SelectedHLYear" localSheetId="0">'bulk process'!$N$107</definedName>
    <definedName name="SelectedScenario" localSheetId="0">'bulk process'!$N$108</definedName>
    <definedName name="sys_bulkprocesslist">'bulk process'!$B$82:$H$87</definedName>
    <definedName name="sys_id_filterlist" localSheetId="0">'bulk process'!$B$59:$B$68</definedName>
    <definedName name="sys_idfilter_lookup" localSheetId="0">'bulk process'!$B$59:$C$68</definedName>
    <definedName name="TM1AdjIDListCAP">'bulk process'!$D$27</definedName>
    <definedName name="TM1AdjIDListWB">'bulk process'!$F$27</definedName>
    <definedName name="TM1AdjListWB">'bulk process'!$P$12</definedName>
    <definedName name="TM1AdjListWS">'bulk process'!$R$12</definedName>
    <definedName name="TM1BackColor">'bulk process'!$E$58</definedName>
    <definedName name="TM1BulkProcessCAP">'bulk process'!$D$26</definedName>
    <definedName name="TM1BulkProcessWB">'bulk process'!$F$26</definedName>
    <definedName name="TM1BulkProcessWS">'bulk process'!$H$26</definedName>
    <definedName name="TM1BulkWB">'bulk process'!$D$91</definedName>
    <definedName name="TM1BulkWS">'bulk process'!$E$91</definedName>
    <definedName name="TM1HomeAECAP">'bulk process'!$D$23</definedName>
    <definedName name="TM1HomeAEDataEntryCAP">'bulk process'!$D$24</definedName>
    <definedName name="TM1HomeAEDataEntryWB">'bulk process'!$F$24</definedName>
    <definedName name="TM1HomeAEDataEntryWS">'bulk process'!$H$24</definedName>
    <definedName name="TM1HomeAEMeasuresCAP">'bulk process'!$D$28</definedName>
    <definedName name="TM1HomeAEMeasuresWB">'bulk process'!$F$28</definedName>
    <definedName name="TM1HomeAEMeasuresWS">'bulk process'!$H$28</definedName>
    <definedName name="TM1HomeAEWB">'bulk process'!$F$23</definedName>
    <definedName name="TM1HomeAEWS">'bulk process'!$H$23</definedName>
    <definedName name="TM1HomeCAP">'bulk process'!$D$22</definedName>
    <definedName name="TM1HomeRepCAP">'bulk process'!$D$25</definedName>
    <definedName name="TM1HomeRepWB">'bulk process'!$F$25</definedName>
    <definedName name="TM1HomeRepWS">'bulk process'!$H$25</definedName>
    <definedName name="TM1HomeWB">'bulk process'!$F$22</definedName>
    <definedName name="TM1HomeWS">'bulk process'!$H$22</definedName>
    <definedName name="TM1IDListWS">'bulk process'!$H$27</definedName>
    <definedName name="TM1MeasBulkCAP">'bulk process'!$D$31</definedName>
    <definedName name="TM1MeasBulkWB">'bulk process'!$F$31</definedName>
    <definedName name="TM1MeasBulkWS">'bulk process'!$H$31</definedName>
    <definedName name="TM1MeasListCAP">'bulk process'!$D$30</definedName>
    <definedName name="TM1MeasListWB">'bulk process'!$F$30</definedName>
    <definedName name="TM1MeasListWS">'bulk process'!$H$30</definedName>
    <definedName name="TM1NewAdjWB">'bulk process'!$P$11</definedName>
    <definedName name="TM1NewAdjWS">'bulk process'!$R$11</definedName>
    <definedName name="TM1NewMeas01HeaderCAP">'bulk process'!$D$29</definedName>
    <definedName name="TM1NewMeas01HeaderWB">'bulk process'!$F$29</definedName>
    <definedName name="TM1NewMeas01HeaderWS">'bulk process'!$H$29</definedName>
    <definedName name="TM1PrcConfMsg">'bulk process'!$F$81</definedName>
    <definedName name="TM1PrcErrorMsg">'bulk process'!$H$81</definedName>
    <definedName name="TM1PrcSuccessMsg">'bulk process'!$G$81</definedName>
    <definedName name="TM1REBUILDOPTION">0</definedName>
    <definedName name="TM1RPTDATARNG2" localSheetId="0">'bulk process'!$114:$114</definedName>
    <definedName name="TM1RPTFMTIDCOL" localSheetId="0">'bulk process'!$A$1:$A$8</definedName>
    <definedName name="TM1RPTFMTRNG" localSheetId="0">'bulk process'!$J$1:$S$8</definedName>
    <definedName name="TM1ViewAdjWB">'bulk process'!$P$17</definedName>
    <definedName name="TM1ViewAdjWS">'bulk process'!$R$17</definedName>
    <definedName name="TM1ViewMeas01HeaderCAP">'bulk process'!$D$32</definedName>
    <definedName name="TM1ViewMeas01HeaderWB">'bulk process'!$F$32</definedName>
    <definedName name="TM1ViewMeas01HeaderWS">'bulk process'!$H$32</definedName>
  </definedNames>
  <calcPr calcId="162913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2" i="1" l="1" a="1"/>
  <c r="C42" i="1"/>
  <c r="C43" i="1" a="1"/>
  <c r="C43" i="1"/>
  <c r="N107" i="1" a="1"/>
  <c r="N107" i="1"/>
  <c r="C44" i="1" a="1"/>
  <c r="C44" i="1"/>
  <c r="N108" i="1" a="1"/>
  <c r="N108" i="1"/>
  <c r="C52" i="1" a="1"/>
  <c r="C52" i="1"/>
  <c r="C12" i="1" a="1"/>
  <c r="C12" i="1"/>
  <c r="C13" i="1" a="1"/>
  <c r="C13" i="1"/>
  <c r="C14" i="1" a="1"/>
  <c r="C14" i="1"/>
  <c r="C16" i="1"/>
  <c r="C56" i="1" a="1"/>
  <c r="C56" i="1"/>
  <c r="C51" i="1" a="1"/>
  <c r="C51" i="1"/>
  <c r="C35" i="1" a="1"/>
  <c r="C35" i="1"/>
  <c r="N104" i="1" a="1"/>
  <c r="N104" i="1"/>
  <c r="H81" i="1"/>
  <c r="G81" i="1"/>
  <c r="H86" i="1"/>
  <c r="C78" i="1" a="1"/>
  <c r="C78" i="1"/>
  <c r="G86" i="1"/>
  <c r="F86" i="1"/>
  <c r="E86" i="1"/>
  <c r="D86" i="1"/>
  <c r="F81" i="1"/>
  <c r="R107" i="1" a="1"/>
  <c r="R107" i="1"/>
  <c r="C70" i="1"/>
  <c r="D82" i="1"/>
  <c r="E82" i="1"/>
  <c r="D84" i="1"/>
  <c r="E84" i="1"/>
  <c r="C71" i="1"/>
  <c r="E85" i="1"/>
  <c r="E83" i="1"/>
  <c r="C53" i="1"/>
  <c r="B114" i="1" a="1"/>
  <c r="B114" i="1"/>
  <c r="S114" i="1" a="1"/>
  <c r="S114" i="1"/>
  <c r="R114" i="1" a="1"/>
  <c r="R114" i="1"/>
  <c r="Q114" i="1" a="1"/>
  <c r="Q114" i="1"/>
  <c r="P114" i="1" a="1"/>
  <c r="P114" i="1"/>
  <c r="O114" i="1" a="1"/>
  <c r="O114" i="1"/>
  <c r="N114" i="1" a="1"/>
  <c r="N114" i="1"/>
  <c r="L114" i="1" a="1"/>
  <c r="L114" i="1"/>
  <c r="K114" i="1" a="1"/>
  <c r="K114" i="1"/>
  <c r="J114" i="1" a="1"/>
  <c r="J114" i="1"/>
  <c r="C114" i="1" a="1"/>
  <c r="C114" i="1"/>
  <c r="A114" i="1" a="1"/>
  <c r="A114" i="1"/>
  <c r="C19" i="1" a="1"/>
  <c r="C19" i="1"/>
  <c r="E95" i="1" a="1"/>
  <c r="E95" i="1"/>
  <c r="D95" i="1" a="1"/>
  <c r="D95" i="1"/>
  <c r="E94" i="1" a="1"/>
  <c r="E94" i="1"/>
  <c r="D94" i="1" a="1"/>
  <c r="D94" i="1"/>
  <c r="C92" i="1"/>
  <c r="C93" i="1" a="1"/>
  <c r="C93" i="1"/>
  <c r="R90" i="1"/>
  <c r="R92" i="1" a="1"/>
  <c r="R92" i="1"/>
  <c r="C54" i="1" a="1"/>
  <c r="C54" i="1"/>
  <c r="C48" i="1" a="1"/>
  <c r="C48" i="1"/>
  <c r="C46" i="1" a="1"/>
  <c r="C46" i="1"/>
  <c r="C47" i="1" a="1"/>
  <c r="C47" i="1"/>
  <c r="C45" i="1" a="1"/>
  <c r="C45" i="1"/>
  <c r="E42" i="1" a="1"/>
  <c r="E42" i="1"/>
  <c r="E43" i="1" a="1"/>
  <c r="E43" i="1"/>
  <c r="C39" i="1" a="1"/>
  <c r="C39" i="1"/>
  <c r="C38" i="1" a="1"/>
  <c r="C38" i="1"/>
  <c r="C37" i="1" a="1"/>
  <c r="C37" i="1"/>
  <c r="D37" i="1" a="1"/>
  <c r="D37" i="1"/>
  <c r="C36" i="1" a="1"/>
  <c r="C36" i="1"/>
  <c r="D36" i="1" a="1"/>
  <c r="D36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H28" i="1" a="1"/>
  <c r="H28" i="1"/>
  <c r="G28" i="1" a="1"/>
  <c r="G28" i="1"/>
  <c r="F28" i="1" a="1"/>
  <c r="F28" i="1"/>
  <c r="E28" i="1" a="1"/>
  <c r="E28" i="1"/>
  <c r="D28" i="1" a="1"/>
  <c r="D28" i="1"/>
  <c r="C28" i="1" a="1"/>
  <c r="C28" i="1"/>
  <c r="H27" i="1" a="1"/>
  <c r="H27" i="1"/>
  <c r="G27" i="1" a="1"/>
  <c r="G27" i="1"/>
  <c r="F27" i="1" a="1"/>
  <c r="F27" i="1"/>
  <c r="E27" i="1" a="1"/>
  <c r="E27" i="1"/>
  <c r="D27" i="1" a="1"/>
  <c r="D27" i="1"/>
  <c r="C27" i="1" a="1"/>
  <c r="C27" i="1"/>
  <c r="H26" i="1" a="1"/>
  <c r="H26" i="1"/>
  <c r="G26" i="1" a="1"/>
  <c r="G26" i="1"/>
  <c r="F26" i="1" a="1"/>
  <c r="F26" i="1"/>
  <c r="E26" i="1" a="1"/>
  <c r="E26" i="1"/>
  <c r="D26" i="1" a="1"/>
  <c r="D26" i="1"/>
  <c r="C26" i="1" a="1"/>
  <c r="C26" i="1"/>
  <c r="H25" i="1" a="1"/>
  <c r="H25" i="1"/>
  <c r="G25" i="1" a="1"/>
  <c r="G25" i="1"/>
  <c r="F25" i="1" a="1"/>
  <c r="F25" i="1"/>
  <c r="E25" i="1" a="1"/>
  <c r="E25" i="1"/>
  <c r="D25" i="1" a="1"/>
  <c r="D25" i="1"/>
  <c r="C25" i="1" a="1"/>
  <c r="C25" i="1"/>
  <c r="H24" i="1" a="1"/>
  <c r="H24" i="1"/>
  <c r="G24" i="1" a="1"/>
  <c r="G24" i="1"/>
  <c r="F24" i="1" a="1"/>
  <c r="F24" i="1"/>
  <c r="E24" i="1" a="1"/>
  <c r="E24" i="1"/>
  <c r="D24" i="1" a="1"/>
  <c r="D24" i="1"/>
  <c r="C24" i="1" a="1"/>
  <c r="C24" i="1"/>
  <c r="H23" i="1" a="1"/>
  <c r="H23" i="1"/>
  <c r="G23" i="1" a="1"/>
  <c r="G23" i="1"/>
  <c r="F23" i="1" a="1"/>
  <c r="F23" i="1"/>
  <c r="E23" i="1" a="1"/>
  <c r="E23" i="1"/>
  <c r="D23" i="1" a="1"/>
  <c r="D23" i="1"/>
  <c r="C23" i="1" a="1"/>
  <c r="C23" i="1"/>
  <c r="H22" i="1" a="1"/>
  <c r="H22" i="1"/>
  <c r="G22" i="1" a="1"/>
  <c r="G22" i="1"/>
  <c r="F22" i="1" a="1"/>
  <c r="F22" i="1"/>
  <c r="E22" i="1" a="1"/>
  <c r="E22" i="1"/>
  <c r="D22" i="1" a="1"/>
  <c r="D22" i="1"/>
  <c r="C22" i="1" a="1"/>
  <c r="C22" i="1"/>
  <c r="C15" i="1" a="1"/>
  <c r="C15" i="1"/>
  <c r="J110" i="1"/>
  <c r="C76" i="1"/>
  <c r="N109" i="1"/>
  <c r="D85" i="1"/>
  <c r="D83" i="1"/>
  <c r="H85" i="1"/>
  <c r="H84" i="1"/>
  <c r="H83" i="1"/>
  <c r="H82" i="1"/>
  <c r="G85" i="1"/>
  <c r="G84" i="1"/>
  <c r="G83" i="1"/>
  <c r="G82" i="1"/>
  <c r="F85" i="1"/>
  <c r="F84" i="1"/>
  <c r="F83" i="1"/>
  <c r="F82" i="1"/>
  <c r="A5" i="1"/>
  <c r="A4" i="1"/>
  <c r="A3" i="1"/>
  <c r="A2" i="1"/>
  <c r="E104" i="1"/>
  <c r="L103" i="1"/>
  <c r="H109" i="1"/>
  <c r="E91" i="1"/>
  <c r="P104" i="1"/>
  <c r="G109" i="1"/>
  <c r="F109" i="1"/>
  <c r="D91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<sst xmlns="http://schemas.openxmlformats.org/spreadsheetml/2006/main" count="173" uniqueCount="143">
  <si>
    <t>[Begin Format Range]</t>
  </si>
  <si>
    <t>D</t>
  </si>
  <si>
    <t>N</t>
  </si>
  <si>
    <t>[End Format Range]</t>
  </si>
  <si>
    <t>System Parameters</t>
  </si>
  <si>
    <t>Database Name</t>
  </si>
  <si>
    <t>Current User</t>
  </si>
  <si>
    <t>Client Details</t>
  </si>
  <si>
    <t>Cube View</t>
  </si>
  <si>
    <t xml:space="preserve">System Variable </t>
  </si>
  <si>
    <t>headline year</t>
  </si>
  <si>
    <t>headline scenario</t>
  </si>
  <si>
    <t>Filter List</t>
  </si>
  <si>
    <t>TM1 element name</t>
  </si>
  <si>
    <t>agency</t>
  </si>
  <si>
    <t>Title</t>
  </si>
  <si>
    <t>AE ID Details</t>
  </si>
  <si>
    <t>Reason</t>
  </si>
  <si>
    <t>Cube View (AF)</t>
  </si>
  <si>
    <t>Status</t>
  </si>
  <si>
    <t>Cube View (Slice)</t>
  </si>
  <si>
    <t>entity segment</t>
  </si>
  <si>
    <t>Subset Used</t>
  </si>
  <si>
    <t>Created By</t>
  </si>
  <si>
    <t>created by</t>
  </si>
  <si>
    <t>Approved By</t>
  </si>
  <si>
    <t>authorised by</t>
  </si>
  <si>
    <t>AE Bulk Process</t>
  </si>
  <si>
    <t>Selected Filter</t>
  </si>
  <si>
    <t>All Agencies</t>
  </si>
  <si>
    <t>Single Agency</t>
  </si>
  <si>
    <t>MDX to Use</t>
  </si>
  <si>
    <t>FILTER QUOTE</t>
  </si>
  <si>
    <t>"</t>
  </si>
  <si>
    <t>To Use</t>
  </si>
  <si>
    <t>Copy</t>
  </si>
  <si>
    <t>all</t>
  </si>
  <si>
    <t>Active Form TM1RPTROW</t>
  </si>
  <si>
    <t>bulk processing flag</t>
  </si>
  <si>
    <t>Note : Filters are case sensitive. Please use Capitals if required</t>
  </si>
  <si>
    <t>Headline Year :</t>
  </si>
  <si>
    <t>Scenario :</t>
  </si>
  <si>
    <t>FILTERS</t>
  </si>
  <si>
    <t>Filter :</t>
  </si>
  <si>
    <t>Enter Text Filter :</t>
  </si>
  <si>
    <t>SELECT PROCESS</t>
  </si>
  <si>
    <t>&amp;H00545353&amp;</t>
  </si>
  <si>
    <t>Black Colour</t>
  </si>
  <si>
    <t>Purple Colour</t>
  </si>
  <si>
    <t>&amp;H00873A62&amp;</t>
  </si>
  <si>
    <t>sys_Application Cube</t>
  </si>
  <si>
    <t>View</t>
  </si>
  <si>
    <t>sys_Application Element</t>
  </si>
  <si>
    <t>Homepage - Home</t>
  </si>
  <si>
    <t>Workbook</t>
  </si>
  <si>
    <t>Worksheet</t>
  </si>
  <si>
    <t>Adjustment - ID List</t>
  </si>
  <si>
    <t>sys_status</t>
  </si>
  <si>
    <t>PARAMETERS</t>
  </si>
  <si>
    <t>SELECT (Y)</t>
  </si>
  <si>
    <t>Client Attributes</t>
  </si>
  <si>
    <t>psSuccessMessage</t>
  </si>
  <si>
    <t>psFailureMessage</t>
  </si>
  <si>
    <t>psConfirmationMessage</t>
  </si>
  <si>
    <t>Comments</t>
  </si>
  <si>
    <t>Confirmation Message</t>
  </si>
  <si>
    <t>Success Message</t>
  </si>
  <si>
    <t>Note Messages :</t>
  </si>
  <si>
    <t>Subset Size</t>
  </si>
  <si>
    <t>Bulk Process Validation</t>
  </si>
  <si>
    <t>ID Count</t>
  </si>
  <si>
    <t>="{{TM1SORT({FILTER({FILTER( {{FILTER( {EXCEPT( {[id].[Total IDs].Children}, {[id].[00000],[id].[cash flow]} )}, INSTR( [AE id detail].([Headline Year].[" &amp; psHLYear &amp;"],[scenario].[" &amp; psScenario &amp;"],[AE id measure].[" &amp;$H$31&amp;"]), "  &amp; $C$41 &amp;  $C56 &amp; $C$41 &amp;  " ) &gt;=1) }}, INSTR( [AE id detail].([Headline Year].[" &amp; psHLYear &amp;"],[scenario].[" &amp; psScenario &amp;"],[AE id measure].[commonwealth grant]), "  &amp; $C$41 &amp;  "CW00000" &amp; $C$41 &amp;  " ) &gt;=1)}, INSTR( [AE id detail].([Headline Year].[" &amp; psHLYear &amp;"],[scenario].[" &amp; psScenario &amp;"],[AE id measure].[" &amp;$C$39&amp;"]), "  &amp; $C$41 &amp;  $R$80 &amp; $C$41 &amp;  " ) &gt;=1)}, DESC)},[id].[cash flow]}"</t>
  </si>
  <si>
    <t>Budget Stage Lookup :</t>
  </si>
  <si>
    <t>Budget Stage Lookup</t>
  </si>
  <si>
    <t>stage name</t>
  </si>
  <si>
    <t>Print</t>
  </si>
  <si>
    <t>PRINT FUNCTION NAVIGATION</t>
  </si>
  <si>
    <t>Used For Worksheet</t>
  </si>
  <si>
    <t>TO USE FOR RUN PROCESS</t>
  </si>
  <si>
    <t>All Other Processes</t>
  </si>
  <si>
    <t>Adjustment - Bulk Process</t>
  </si>
  <si>
    <t>Adjustment - Bulk Process Extract</t>
  </si>
  <si>
    <t>sys_bulk process count</t>
  </si>
  <si>
    <t>Print SUBSET</t>
  </si>
  <si>
    <t>SUBSET COUNT</t>
  </si>
  <si>
    <t>Failure Message</t>
  </si>
  <si>
    <t>=IF($C$48="",IF(AND($C$75&gt;0,$C$75&lt;=20),"The bulk process for "&amp;$B67&amp;"  has completed successfully.","Bulk Printing cancelled as it exceeds maximum limit"),"Bulk Printing cancelled as it exceeds maximum limit")</t>
  </si>
  <si>
    <t>COMMENTS :</t>
  </si>
  <si>
    <t>XXXX</t>
  </si>
  <si>
    <t>FLAG COUNT</t>
  </si>
  <si>
    <t>REMAINING (FOR PRINT)</t>
  </si>
  <si>
    <t>TM1 User</t>
  </si>
  <si>
    <t>}TM1_DefaultDisplayValue</t>
  </si>
  <si>
    <t>GEUS User Name</t>
  </si>
  <si>
    <t>Current Workbook</t>
  </si>
  <si>
    <t>Homepage - Annual Estimates</t>
  </si>
  <si>
    <t>Homepage - Annual Estimates - Data Entry</t>
  </si>
  <si>
    <t>Homepage - Reports</t>
  </si>
  <si>
    <t>Application</t>
  </si>
  <si>
    <t>Caption Name</t>
  </si>
  <si>
    <t>Caption</t>
  </si>
  <si>
    <t>Workbook Name</t>
  </si>
  <si>
    <t>Worksheet Name</t>
  </si>
  <si>
    <t>geus hlyear</t>
  </si>
  <si>
    <t>geus scenario</t>
  </si>
  <si>
    <t>geus adj</t>
  </si>
  <si>
    <t>current budget round</t>
  </si>
  <si>
    <t>sys_CBMSR GoLive Headline year</t>
  </si>
  <si>
    <t>INDEX CBMSR</t>
  </si>
  <si>
    <t>Sel Index HLYear</t>
  </si>
  <si>
    <t>MDX</t>
  </si>
  <si>
    <t>GEUS ID</t>
  </si>
  <si>
    <t>CBMS Measure Code</t>
  </si>
  <si>
    <t>M00000</t>
  </si>
  <si>
    <t xml:space="preserve">MEASURE BULK PROCESS </t>
  </si>
  <si>
    <t>Measures - Bulk Process</t>
  </si>
  <si>
    <t>Approve</t>
  </si>
  <si>
    <t>Reject</t>
  </si>
  <si>
    <t>Delete</t>
  </si>
  <si>
    <t>measure title</t>
  </si>
  <si>
    <t>Measure Code</t>
  </si>
  <si>
    <t>sys_measure title</t>
  </si>
  <si>
    <t>sys_measure code</t>
  </si>
  <si>
    <t>Measure Type</t>
  </si>
  <si>
    <t>sys_measure type</t>
  </si>
  <si>
    <t>sys_funding life</t>
  </si>
  <si>
    <t>sys_CBMS Measure Code</t>
  </si>
  <si>
    <t>Measure Title</t>
  </si>
  <si>
    <t>Funding Life</t>
  </si>
  <si>
    <t>sys_display terminating year</t>
  </si>
  <si>
    <t>sys_government decision</t>
  </si>
  <si>
    <t>Government Decision</t>
  </si>
  <si>
    <t>Terminating Year</t>
  </si>
  <si>
    <t>approved</t>
  </si>
  <si>
    <t>draft</t>
  </si>
  <si>
    <t>Measures - New Measure 01 - Header Details</t>
  </si>
  <si>
    <t>Measures - Measure List</t>
  </si>
  <si>
    <t>Homepage - Annual Estimates - Measures</t>
  </si>
  <si>
    <t>Measures - View Measure 01 - Header Details</t>
  </si>
  <si>
    <t>Termination Year</t>
  </si>
  <si>
    <t>Display Current Measures  :</t>
  </si>
  <si>
    <t>Please select a process.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</si>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</sst>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62"/>
      <name val="Verdana"/>
      <family val="2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color theme="3" tint="-0.249977111117893"/>
      <name val="Calibri"/>
      <family val="2"/>
    </font>
    <font>
      <b/>
      <u/>
      <sz val="11"/>
      <color theme="1"/>
      <name val="Calibri"/>
      <family val="2"/>
      <scheme val="minor"/>
    </font>
    <font>
      <sz val="8"/>
      <color rgb="FFFF0000"/>
      <name val="Verdana"/>
      <family val="2"/>
    </font>
    <font>
      <sz val="9"/>
      <name val="Verdana"/>
      <family val="2"/>
    </font>
    <font>
      <b/>
      <sz val="11"/>
      <color theme="3" tint="-0.249977111117893"/>
      <name val="Calibri"/>
      <family val="2"/>
      <scheme val="minor"/>
    </font>
    <font>
      <sz val="10"/>
      <name val="Arial"/>
      <family val="2"/>
    </font>
    <font>
      <b/>
      <sz val="9"/>
      <color rgb="FF0070C0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i/>
      <sz val="10"/>
      <color rgb="FFFF000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i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BBDDE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</borders>
  <cellStyleXfs count="27">
    <xf numFmtId="0" fontId="0" fillId="0" borderId="0"/>
    <xf numFmtId="0" fontId="1" fillId="0" borderId="0"/>
    <xf numFmtId="0" fontId="4" fillId="0" borderId="0">
      <protection locked="0"/>
    </xf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4" fillId="0" borderId="0">
      <protection locked="0"/>
    </xf>
    <xf numFmtId="0" fontId="1" fillId="0" borderId="0"/>
    <xf numFmtId="0" fontId="17" fillId="0" borderId="0"/>
    <xf numFmtId="0" fontId="1" fillId="0" borderId="0"/>
    <xf numFmtId="0" fontId="1" fillId="0" borderId="0"/>
    <xf numFmtId="0" fontId="4" fillId="0" borderId="0">
      <protection locked="0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1"/>
    <xf numFmtId="0" fontId="3" fillId="0" borderId="0" xfId="1" applyFont="1"/>
    <xf numFmtId="0" fontId="2" fillId="0" borderId="0" xfId="1" applyFont="1"/>
    <xf numFmtId="0" fontId="2" fillId="0" borderId="3" xfId="0" applyFont="1" applyBorder="1"/>
    <xf numFmtId="0" fontId="0" fillId="0" borderId="3" xfId="0" applyBorder="1"/>
    <xf numFmtId="0" fontId="7" fillId="0" borderId="3" xfId="0" applyFont="1" applyBorder="1"/>
    <xf numFmtId="0" fontId="8" fillId="0" borderId="3" xfId="0" applyFont="1" applyBorder="1"/>
    <xf numFmtId="0" fontId="2" fillId="2" borderId="3" xfId="1" applyFont="1" applyFill="1" applyBorder="1"/>
    <xf numFmtId="0" fontId="1" fillId="0" borderId="3" xfId="1" applyBorder="1"/>
    <xf numFmtId="0" fontId="9" fillId="3" borderId="0" xfId="1" applyFont="1" applyFill="1"/>
    <xf numFmtId="0" fontId="10" fillId="3" borderId="0" xfId="1" applyFont="1" applyFill="1"/>
    <xf numFmtId="0" fontId="14" fillId="0" borderId="0" xfId="2" applyFont="1">
      <protection locked="0"/>
    </xf>
    <xf numFmtId="0" fontId="15" fillId="0" borderId="0" xfId="2" applyFont="1" applyAlignment="1">
      <alignment horizontal="center"/>
      <protection locked="0"/>
    </xf>
    <xf numFmtId="0" fontId="13" fillId="0" borderId="0" xfId="1" applyFont="1" applyAlignment="1">
      <alignment horizontal="right"/>
    </xf>
    <xf numFmtId="0" fontId="13" fillId="0" borderId="0" xfId="1" applyFont="1"/>
    <xf numFmtId="0" fontId="16" fillId="0" borderId="0" xfId="1" applyFont="1" applyAlignment="1">
      <alignment horizontal="right"/>
    </xf>
    <xf numFmtId="0" fontId="12" fillId="0" borderId="0" xfId="2" applyFont="1" applyProtection="1"/>
    <xf numFmtId="0" fontId="4" fillId="0" borderId="0" xfId="2" applyProtection="1"/>
    <xf numFmtId="0" fontId="20" fillId="0" borderId="0" xfId="1" applyFont="1" applyAlignment="1">
      <alignment vertical="center" wrapText="1"/>
    </xf>
    <xf numFmtId="0" fontId="19" fillId="3" borderId="0" xfId="1" applyFont="1" applyFill="1" applyAlignment="1">
      <alignment horizontal="center" vertical="center" wrapText="1"/>
    </xf>
    <xf numFmtId="0" fontId="19" fillId="4" borderId="0" xfId="1" applyFont="1" applyFill="1" applyAlignment="1">
      <alignment horizontal="center" vertical="center" wrapText="1"/>
    </xf>
    <xf numFmtId="0" fontId="21" fillId="0" borderId="0" xfId="1" applyFont="1" applyAlignment="1">
      <alignment horizontal="right"/>
    </xf>
    <xf numFmtId="0" fontId="1" fillId="0" borderId="0" xfId="1" applyAlignment="1">
      <alignment wrapText="1"/>
    </xf>
    <xf numFmtId="0" fontId="2" fillId="6" borderId="3" xfId="1" applyFont="1" applyFill="1" applyBorder="1"/>
    <xf numFmtId="0" fontId="1" fillId="7" borderId="3" xfId="1" applyFill="1" applyBorder="1"/>
    <xf numFmtId="0" fontId="1" fillId="6" borderId="3" xfId="1" applyFill="1" applyBorder="1" applyAlignment="1">
      <alignment horizontal="center"/>
    </xf>
    <xf numFmtId="0" fontId="1" fillId="0" borderId="0" xfId="1" quotePrefix="1"/>
    <xf numFmtId="0" fontId="2" fillId="6" borderId="3" xfId="0" applyFont="1" applyFill="1" applyBorder="1"/>
    <xf numFmtId="0" fontId="2" fillId="6" borderId="3" xfId="0" applyFont="1" applyFill="1" applyBorder="1" applyAlignment="1">
      <alignment horizontal="center"/>
    </xf>
    <xf numFmtId="0" fontId="1" fillId="7" borderId="0" xfId="1" applyFill="1"/>
    <xf numFmtId="0" fontId="24" fillId="0" borderId="0" xfId="1" applyFont="1"/>
    <xf numFmtId="0" fontId="2" fillId="8" borderId="3" xfId="1" applyFont="1" applyFill="1" applyBorder="1"/>
    <xf numFmtId="0" fontId="1" fillId="9" borderId="0" xfId="1" applyFill="1"/>
    <xf numFmtId="0" fontId="19" fillId="0" borderId="0" xfId="1" applyFont="1" applyAlignment="1">
      <alignment horizontal="center" vertical="center" wrapText="1"/>
    </xf>
    <xf numFmtId="0" fontId="1" fillId="0" borderId="7" xfId="1" applyBorder="1"/>
    <xf numFmtId="0" fontId="25" fillId="0" borderId="0" xfId="1" applyFont="1" applyAlignment="1">
      <alignment vertical="center"/>
    </xf>
    <xf numFmtId="0" fontId="0" fillId="0" borderId="3" xfId="0" applyBorder="1" applyAlignment="1">
      <alignment horizontal="center"/>
    </xf>
    <xf numFmtId="0" fontId="2" fillId="6" borderId="2" xfId="0" applyFont="1" applyFill="1" applyBorder="1"/>
    <xf numFmtId="0" fontId="2" fillId="6" borderId="8" xfId="0" applyFont="1" applyFill="1" applyBorder="1"/>
    <xf numFmtId="0" fontId="0" fillId="0" borderId="3" xfId="0" applyBorder="1" applyAlignment="1" applyProtection="1">
      <alignment horizontal="left" indent="1"/>
      <protection locked="0"/>
    </xf>
    <xf numFmtId="0" fontId="26" fillId="10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right" vertical="center"/>
    </xf>
    <xf numFmtId="0" fontId="22" fillId="10" borderId="0" xfId="0" applyFont="1" applyFill="1" applyAlignment="1">
      <alignment horizontal="center" vertical="center"/>
    </xf>
    <xf numFmtId="0" fontId="5" fillId="6" borderId="1" xfId="2" applyFont="1" applyFill="1" applyBorder="1" applyAlignment="1" applyProtection="1">
      <alignment horizontal="center" vertical="center" wrapText="1"/>
    </xf>
    <xf numFmtId="0" fontId="0" fillId="6" borderId="3" xfId="0" applyFill="1" applyBorder="1" applyAlignment="1" applyProtection="1">
      <alignment horizontal="left" indent="1"/>
      <protection locked="0"/>
    </xf>
    <xf numFmtId="0" fontId="3" fillId="0" borderId="0" xfId="1" applyFont="1" applyAlignment="1">
      <alignment wrapText="1"/>
    </xf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3" fillId="0" borderId="10" xfId="2" applyFont="1" applyBorder="1" applyAlignment="1" applyProtection="1">
      <alignment vertical="center" wrapText="1"/>
    </xf>
    <xf numFmtId="0" fontId="3" fillId="2" borderId="1" xfId="2" applyFont="1" applyFill="1" applyBorder="1" applyAlignment="1" applyProtection="1">
      <alignment horizontal="left" vertical="center" wrapText="1"/>
    </xf>
    <xf numFmtId="0" fontId="3" fillId="2" borderId="1" xfId="2" applyFont="1" applyFill="1" applyBorder="1" applyAlignment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</xf>
    <xf numFmtId="0" fontId="18" fillId="2" borderId="4" xfId="2" applyFont="1" applyFill="1" applyBorder="1" applyAlignment="1" applyProtection="1">
      <alignment horizontal="left" vertical="center" wrapText="1"/>
    </xf>
    <xf numFmtId="0" fontId="2" fillId="11" borderId="9" xfId="0" applyFont="1" applyFill="1" applyBorder="1" applyAlignment="1" applyProtection="1">
      <alignment horizontal="left" indent="1"/>
      <protection locked="0"/>
    </xf>
    <xf numFmtId="0" fontId="19" fillId="10" borderId="0" xfId="1" applyFont="1" applyFill="1" applyAlignment="1">
      <alignment horizontal="right" indent="1"/>
    </xf>
    <xf numFmtId="0" fontId="3" fillId="11" borderId="11" xfId="0" applyFont="1" applyFill="1" applyBorder="1" applyAlignment="1" applyProtection="1">
      <alignment horizontal="center" vertical="center"/>
      <protection locked="0"/>
    </xf>
    <xf numFmtId="0" fontId="5" fillId="6" borderId="3" xfId="2" applyFont="1" applyFill="1" applyBorder="1" applyAlignment="1" applyProtection="1">
      <alignment horizontal="center" vertical="center" wrapText="1"/>
    </xf>
    <xf numFmtId="0" fontId="21" fillId="0" borderId="0" xfId="1" applyFont="1"/>
    <xf numFmtId="0" fontId="1" fillId="0" borderId="0" xfId="1" applyAlignment="1">
      <alignment horizontal="right"/>
    </xf>
    <xf numFmtId="0" fontId="2" fillId="0" borderId="0" xfId="0" applyFont="1" applyAlignment="1">
      <alignment horizontal="right" indent="1"/>
    </xf>
    <xf numFmtId="0" fontId="3" fillId="2" borderId="3" xfId="2" applyFont="1" applyFill="1" applyBorder="1" applyAlignment="1" applyProtection="1">
      <alignment horizontal="center" vertical="center" wrapText="1"/>
    </xf>
    <xf numFmtId="0" fontId="0" fillId="0" borderId="3" xfId="0" applyBorder="1" applyAlignment="1" applyProtection="1">
      <alignment horizontal="center"/>
      <protection locked="0"/>
    </xf>
    <xf numFmtId="0" fontId="24" fillId="0" borderId="0" xfId="1" applyFont="1" applyAlignment="1">
      <alignment horizontal="left"/>
    </xf>
    <xf numFmtId="0" fontId="22" fillId="5" borderId="1" xfId="1" applyFont="1" applyFill="1" applyBorder="1" applyAlignment="1">
      <alignment horizontal="left" indent="1"/>
    </xf>
    <xf numFmtId="0" fontId="23" fillId="5" borderId="4" xfId="0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2" fillId="6" borderId="3" xfId="1" applyFont="1" applyFill="1" applyBorder="1" applyAlignment="1">
      <alignment horizontal="center"/>
    </xf>
    <xf numFmtId="0" fontId="1" fillId="0" borderId="1" xfId="1" applyBorder="1" applyAlignment="1" applyProtection="1">
      <alignment horizontal="left"/>
      <protection locked="0"/>
    </xf>
    <xf numFmtId="0" fontId="1" fillId="0" borderId="5" xfId="1" applyBorder="1" applyAlignment="1" applyProtection="1">
      <alignment horizontal="left"/>
      <protection locked="0"/>
    </xf>
    <xf numFmtId="0" fontId="22" fillId="5" borderId="6" xfId="0" applyFont="1" applyFill="1" applyBorder="1" applyAlignment="1">
      <alignment horizontal="left" indent="1"/>
    </xf>
    <xf numFmtId="0" fontId="22" fillId="5" borderId="0" xfId="0" applyFont="1" applyFill="1" applyAlignment="1">
      <alignment horizontal="left" indent="1"/>
    </xf>
    <xf numFmtId="49" fontId="1" fillId="0" borderId="0" xfId="1" applyNumberFormat="1" applyAlignment="1">
      <alignment horizontal="left" wrapText="1" indent="1"/>
    </xf>
  </cellXfs>
  <cellStyles count="27">
    <cellStyle name="Comma 2" xfId="3"/>
    <cellStyle name="Comma 2 2" xfId="4"/>
    <cellStyle name="Comma 2 3" xfId="5"/>
    <cellStyle name="Comma 3" xfId="6"/>
    <cellStyle name="Comma 3 2" xfId="7"/>
    <cellStyle name="Comma 4" xfId="8"/>
    <cellStyle name="Comma 5" xfId="9"/>
    <cellStyle name="Comma 6" xfId="10"/>
    <cellStyle name="Comma 7" xfId="11"/>
    <cellStyle name="Normal" xfId="0" builtinId="0"/>
    <cellStyle name="Normal 10" xfId="12"/>
    <cellStyle name="Normal 11" xfId="13"/>
    <cellStyle name="Normal 2" xfId="2"/>
    <cellStyle name="Normal 2 2" xfId="14"/>
    <cellStyle name="Normal 2 3" xfId="15"/>
    <cellStyle name="Normal 3" xfId="1"/>
    <cellStyle name="Normal 3 2" xfId="16"/>
    <cellStyle name="Normal 4" xfId="17"/>
    <cellStyle name="Normal 5" xfId="18"/>
    <cellStyle name="Normal 5 2" xfId="19"/>
    <cellStyle name="Normal 6" xfId="20"/>
    <cellStyle name="Normal 7" xfId="21"/>
    <cellStyle name="Normal 8" xfId="22"/>
    <cellStyle name="Normal 9" xfId="23"/>
    <cellStyle name="Percent 2" xfId="24"/>
    <cellStyle name="Percent 2 2" xfId="25"/>
    <cellStyle name="Percent 3" xfId="26"/>
  </cellStyles>
  <dxfs count="11">
    <dxf>
      <font>
        <b/>
        <i val="0"/>
        <color rgb="FFFF000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00B0F0"/>
      </font>
    </dxf>
    <dxf>
      <font>
        <b val="0"/>
        <i val="0"/>
        <color auto="1"/>
      </font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theme="7" tint="-0.499984740745262"/>
      </font>
    </dxf>
  </dxfs>
  <tableStyles count="0" defaultTableStyle="TableStyleMedium2" defaultPivotStyle="PivotStyleLight16"/>
  <colors>
    <mruColors>
      <color rgb="FF00426A"/>
      <color rgb="FF973B87"/>
      <color rgb="FFEEDEEA"/>
      <color rgb="FF623A87"/>
      <color rgb="FF5F3A87"/>
      <color rgb="FF1F7DBE"/>
      <color rgb="FF535354"/>
      <color rgb="FF452C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588"/>
  <ax:ocxPr ax:name="_ExtentY" ax:value="397"/>
  <ax:ocxPr ax:name="_StockProps" ax:value="0"/>
  <ax:ocxPr ax:name="ServerName" ax:value="=db_name"/>
  <ax:ocxPr ax:name="ProcessName" ax:value="sys_Client - Clear Validation Data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View Measur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ViewMeas01HeaderWB"/>
  <ax:ocxPr ax:name="TargetWorksheetName" ax:value="=TM1ViewMeas01HeaderWs"/>
  <ax:ocxPr ax:name="AutoTitles" ax:value="-1"/>
  <ax:ocxPr ax:name="ReplaceWindow" ax:value="-1"/>
  <ax:ocxPr ax:name="IsMappingFormula" ax:value="0"/>
  <ax:ocxPr ax:name="TargetTypes" ax:value="0"/>
  <ax:ocxPr ax:name="TargetObjects" ax:value="measure code"/>
  <ax:ocxPr ax:name="TargetSubsets" ax:value=""/>
  <ax:ocxPr ax:name="TargetAliases" ax:value=""/>
  <ax:ocxPr ax:name="TargetValues" ax:value=""/>
  <ax:ocxPr ax:name="SourceTypes" ax:value="1"/>
  <ax:ocxPr ax:name="SourceObjects" ax:value="measure code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704850</xdr:colOff>
      <xdr:row>103</xdr:row>
      <xdr:rowOff>85725</xdr:rowOff>
    </xdr:from>
    <xdr:to>
      <xdr:col>20</xdr:col>
      <xdr:colOff>0</xdr:colOff>
      <xdr:row>108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725400" y="1123950"/>
          <a:ext cx="3209925" cy="933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1">
              <a:solidFill>
                <a:sysClr val="windowText" lastClr="000000"/>
              </a:solidFill>
            </a:rPr>
            <a:t>Step 1 : </a:t>
          </a:r>
          <a:r>
            <a:rPr lang="en-AU" sz="1000">
              <a:solidFill>
                <a:sysClr val="windowText" lastClr="000000"/>
              </a:solidFill>
            </a:rPr>
            <a:t>Select the 'Process'</a:t>
          </a:r>
        </a:p>
        <a:p>
          <a:r>
            <a:rPr lang="en-AU" sz="1000" b="1">
              <a:solidFill>
                <a:sysClr val="windowText" lastClr="000000"/>
              </a:solidFill>
            </a:rPr>
            <a:t>Step</a:t>
          </a:r>
          <a:r>
            <a:rPr lang="en-AU" sz="1000" b="1" baseline="0">
              <a:solidFill>
                <a:sysClr val="windowText" lastClr="000000"/>
              </a:solidFill>
            </a:rPr>
            <a:t> 2 : </a:t>
          </a:r>
          <a:r>
            <a:rPr lang="en-AU" sz="1000" baseline="0">
              <a:solidFill>
                <a:sysClr val="windowText" lastClr="000000"/>
              </a:solidFill>
            </a:rPr>
            <a:t>Click 'Refresh'</a:t>
          </a:r>
        </a:p>
        <a:p>
          <a:r>
            <a:rPr lang="en-AU" sz="1000" b="1" baseline="0">
              <a:solidFill>
                <a:sysClr val="windowText" lastClr="000000"/>
              </a:solidFill>
            </a:rPr>
            <a:t>Step 3 : </a:t>
          </a:r>
          <a:r>
            <a:rPr lang="en-AU" sz="1000" baseline="0">
              <a:solidFill>
                <a:sysClr val="windowText" lastClr="000000"/>
              </a:solidFill>
            </a:rPr>
            <a:t>Click 'Select All' or Select required Measures</a:t>
          </a:r>
        </a:p>
        <a:p>
          <a:r>
            <a:rPr lang="en-AU" sz="1000" b="1" baseline="0">
              <a:solidFill>
                <a:sysClr val="windowText" lastClr="000000"/>
              </a:solidFill>
            </a:rPr>
            <a:t>Step 4 : </a:t>
          </a:r>
          <a:r>
            <a:rPr lang="en-AU" sz="1000" baseline="0">
              <a:solidFill>
                <a:sysClr val="windowText" lastClr="000000"/>
              </a:solidFill>
            </a:rPr>
            <a:t>Click 'Run Process'</a:t>
          </a:r>
          <a:endParaRPr lang="en-AU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666750</xdr:colOff>
      <xdr:row>102</xdr:row>
      <xdr:rowOff>28575</xdr:rowOff>
    </xdr:from>
    <xdr:to>
      <xdr:col>19</xdr:col>
      <xdr:colOff>9525</xdr:colOff>
      <xdr:row>103</xdr:row>
      <xdr:rowOff>85724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2687300" y="866775"/>
          <a:ext cx="1057275" cy="2571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1" u="sng">
              <a:solidFill>
                <a:srgbClr val="FF0000"/>
              </a:solidFill>
            </a:rPr>
            <a:t>Notes :</a:t>
          </a:r>
        </a:p>
      </xdr:txBody>
    </xdr:sp>
    <xdr:clientData/>
  </xdr:twoCellAnchor>
  <xdr:twoCellAnchor editAs="oneCell">
    <xdr:from>
      <xdr:col>9</xdr:col>
      <xdr:colOff>0</xdr:colOff>
      <xdr:row>98</xdr:row>
      <xdr:rowOff>19050</xdr:rowOff>
    </xdr:from>
    <xdr:to>
      <xdr:col>10</xdr:col>
      <xdr:colOff>895350</xdr:colOff>
      <xdr:row>99</xdr:row>
      <xdr:rowOff>15240</xdr:rowOff>
    </xdr:to>
    <xdr:pic>
      <xdr:nvPicPr>
        <xdr:cNvPr id="12" name="Pictur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130742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99</xdr:row>
          <xdr:rowOff>47625</xdr:rowOff>
        </xdr:from>
        <xdr:to>
          <xdr:col>9</xdr:col>
          <xdr:colOff>638175</xdr:colOff>
          <xdr:row>100</xdr:row>
          <xdr:rowOff>238125</xdr:rowOff>
        </xdr:to>
        <xdr:sp macro="" textlink="">
          <xdr:nvSpPr>
            <xdr:cNvPr id="1062" name="TIButton1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676275</xdr:colOff>
          <xdr:row>99</xdr:row>
          <xdr:rowOff>47625</xdr:rowOff>
        </xdr:from>
        <xdr:to>
          <xdr:col>10</xdr:col>
          <xdr:colOff>790575</xdr:colOff>
          <xdr:row>100</xdr:row>
          <xdr:rowOff>238125</xdr:rowOff>
        </xdr:to>
        <xdr:sp macro="" textlink="">
          <xdr:nvSpPr>
            <xdr:cNvPr id="1063" name="TIButton2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2790825</xdr:colOff>
          <xdr:row>99</xdr:row>
          <xdr:rowOff>47625</xdr:rowOff>
        </xdr:from>
        <xdr:to>
          <xdr:col>13</xdr:col>
          <xdr:colOff>3571875</xdr:colOff>
          <xdr:row>100</xdr:row>
          <xdr:rowOff>238125</xdr:rowOff>
        </xdr:to>
        <xdr:sp macro="" textlink="">
          <xdr:nvSpPr>
            <xdr:cNvPr id="1064" name="TIButton3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838200</xdr:colOff>
          <xdr:row>99</xdr:row>
          <xdr:rowOff>47625</xdr:rowOff>
        </xdr:from>
        <xdr:to>
          <xdr:col>11</xdr:col>
          <xdr:colOff>676275</xdr:colOff>
          <xdr:row>100</xdr:row>
          <xdr:rowOff>238125</xdr:rowOff>
        </xdr:to>
        <xdr:sp macro="" textlink="">
          <xdr:nvSpPr>
            <xdr:cNvPr id="1065" name="TIButton4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723900</xdr:colOff>
          <xdr:row>99</xdr:row>
          <xdr:rowOff>47625</xdr:rowOff>
        </xdr:from>
        <xdr:to>
          <xdr:col>13</xdr:col>
          <xdr:colOff>314325</xdr:colOff>
          <xdr:row>100</xdr:row>
          <xdr:rowOff>238125</xdr:rowOff>
        </xdr:to>
        <xdr:sp macro="" textlink="">
          <xdr:nvSpPr>
            <xdr:cNvPr id="1066" name="TIButton5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352425</xdr:colOff>
          <xdr:row>99</xdr:row>
          <xdr:rowOff>47625</xdr:rowOff>
        </xdr:from>
        <xdr:to>
          <xdr:col>13</xdr:col>
          <xdr:colOff>1085850</xdr:colOff>
          <xdr:row>100</xdr:row>
          <xdr:rowOff>238125</xdr:rowOff>
        </xdr:to>
        <xdr:sp macro="" textlink="">
          <xdr:nvSpPr>
            <xdr:cNvPr id="1067" name="TIButton6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1114425</xdr:colOff>
          <xdr:row>99</xdr:row>
          <xdr:rowOff>47625</xdr:rowOff>
        </xdr:from>
        <xdr:to>
          <xdr:col>13</xdr:col>
          <xdr:colOff>1847850</xdr:colOff>
          <xdr:row>100</xdr:row>
          <xdr:rowOff>238125</xdr:rowOff>
        </xdr:to>
        <xdr:sp macro="" textlink="">
          <xdr:nvSpPr>
            <xdr:cNvPr id="1068" name="TIButton7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1905000</xdr:colOff>
          <xdr:row>99</xdr:row>
          <xdr:rowOff>47625</xdr:rowOff>
        </xdr:from>
        <xdr:to>
          <xdr:col>13</xdr:col>
          <xdr:colOff>2743200</xdr:colOff>
          <xdr:row>100</xdr:row>
          <xdr:rowOff>238125</xdr:rowOff>
        </xdr:to>
        <xdr:sp macro="" textlink="">
          <xdr:nvSpPr>
            <xdr:cNvPr id="1069" name="TIButton8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1400175</xdr:colOff>
          <xdr:row>99</xdr:row>
          <xdr:rowOff>28575</xdr:rowOff>
        </xdr:from>
        <xdr:to>
          <xdr:col>19</xdr:col>
          <xdr:colOff>0</xdr:colOff>
          <xdr:row>100</xdr:row>
          <xdr:rowOff>285750</xdr:rowOff>
        </xdr:to>
        <xdr:sp macro="" textlink="">
          <xdr:nvSpPr>
            <xdr:cNvPr id="1071" name="TIButton9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outlinePr showOutlineSymbols="0"/>
    <pageSetUpPr fitToPage="1"/>
  </sheetPr>
  <dimension ref="A1:S116"/>
  <sheetViews>
    <sheetView showGridLines="0" tabSelected="1" showOutlineSymbols="0" topLeftCell="I99" workbookViewId="0">
      <pane ySplit="15" topLeftCell="A114" activePane="bottomLeft" state="frozen"/>
      <selection activeCell="I99" sqref="I99"/>
      <selection pane="bottomLeft" activeCell="L99" sqref="L99"/>
    </sheetView>
  </sheetViews>
  <sheetFormatPr defaultColWidth="9.140625" defaultRowHeight="15" outlineLevelRow="1" outlineLevelCol="1" x14ac:dyDescent="0.25"/>
  <cols>
    <col min="1" max="1" width="2.7109375" style="1" hidden="1" customWidth="1" outlineLevel="1"/>
    <col min="2" max="2" width="29" style="1" hidden="1" customWidth="1" outlineLevel="1"/>
    <col min="3" max="3" width="55.7109375" style="1" hidden="1" customWidth="1" outlineLevel="1"/>
    <col min="4" max="4" width="25.85546875" style="1" hidden="1" customWidth="1" outlineLevel="1"/>
    <col min="5" max="5" width="15" style="1" hidden="1" customWidth="1" outlineLevel="1"/>
    <col min="6" max="6" width="41.85546875" style="1" hidden="1" customWidth="1" outlineLevel="1"/>
    <col min="7" max="7" width="33.5703125" style="1" hidden="1" customWidth="1" outlineLevel="1"/>
    <col min="8" max="8" width="17.28515625" style="1" hidden="1" customWidth="1" outlineLevel="1"/>
    <col min="9" max="9" width="0.85546875" style="1" customWidth="1" collapsed="1"/>
    <col min="10" max="10" width="13.85546875" style="1" customWidth="1"/>
    <col min="11" max="11" width="15" style="1" customWidth="1"/>
    <col min="12" max="12" width="20" style="1" customWidth="1"/>
    <col min="13" max="13" width="0.85546875" style="1" customWidth="1"/>
    <col min="14" max="14" width="55.7109375" style="1" customWidth="1"/>
    <col min="15" max="15" width="16.42578125" style="1" customWidth="1"/>
    <col min="16" max="16" width="17.5703125" style="1" customWidth="1"/>
    <col min="17" max="17" width="17.7109375" style="1" customWidth="1"/>
    <col min="18" max="18" width="22.28515625" style="1" customWidth="1"/>
    <col min="19" max="19" width="25.7109375" style="1" customWidth="1"/>
    <col min="20" max="16384" width="9.140625" style="1"/>
  </cols>
  <sheetData>
    <row r="1" spans="1:19" hidden="1" outlineLevel="1" x14ac:dyDescent="0.25">
      <c r="A1" s="1" t="s">
        <v>0</v>
      </c>
    </row>
    <row r="2" spans="1:19" hidden="1" outlineLevel="1" x14ac:dyDescent="0.25">
      <c r="A2" s="1">
        <f>0</f>
        <v>0</v>
      </c>
      <c r="C2" s="2"/>
      <c r="P2" s="2"/>
      <c r="Q2" s="2"/>
      <c r="R2" s="2"/>
      <c r="S2" s="2"/>
    </row>
    <row r="3" spans="1:19" hidden="1" outlineLevel="1" x14ac:dyDescent="0.25">
      <c r="A3" s="1">
        <f>1</f>
        <v>1</v>
      </c>
      <c r="C3" s="2"/>
      <c r="P3" s="2"/>
      <c r="Q3" s="2"/>
      <c r="R3" s="2"/>
      <c r="S3" s="2"/>
    </row>
    <row r="4" spans="1:19" hidden="1" outlineLevel="1" x14ac:dyDescent="0.25">
      <c r="A4" s="1">
        <f>2</f>
        <v>2</v>
      </c>
      <c r="C4" s="2"/>
      <c r="P4" s="2"/>
      <c r="Q4" s="2"/>
      <c r="R4" s="2"/>
      <c r="S4" s="2"/>
    </row>
    <row r="5" spans="1:19" hidden="1" outlineLevel="1" x14ac:dyDescent="0.25">
      <c r="A5" s="1">
        <f>3</f>
        <v>3</v>
      </c>
      <c r="C5" s="2"/>
      <c r="P5" s="2"/>
      <c r="Q5" s="2"/>
      <c r="R5" s="2"/>
      <c r="S5" s="2"/>
    </row>
    <row r="6" spans="1:19" ht="15.75" hidden="1" outlineLevel="1" thickBot="1" x14ac:dyDescent="0.3">
      <c r="A6" s="1" t="s">
        <v>1</v>
      </c>
      <c r="C6" s="2"/>
      <c r="J6" s="48"/>
      <c r="K6" s="48"/>
      <c r="L6" s="48"/>
      <c r="M6" s="48"/>
      <c r="N6" s="48"/>
      <c r="O6" s="48"/>
      <c r="P6" s="49"/>
      <c r="Q6" s="49"/>
      <c r="R6" s="49"/>
      <c r="S6" s="49"/>
    </row>
    <row r="7" spans="1:19" s="23" customFormat="1" ht="15.75" hidden="1" outlineLevel="1" thickBot="1" x14ac:dyDescent="0.3">
      <c r="A7" s="23" t="s">
        <v>2</v>
      </c>
      <c r="C7" s="47"/>
      <c r="J7" s="45"/>
      <c r="K7" s="58"/>
      <c r="L7" s="57"/>
      <c r="M7" s="50"/>
      <c r="N7" s="51"/>
      <c r="O7" s="52"/>
      <c r="P7" s="52"/>
      <c r="Q7" s="53"/>
      <c r="R7" s="62"/>
      <c r="S7" s="54" t="s">
        <v>113</v>
      </c>
    </row>
    <row r="8" spans="1:19" hidden="1" outlineLevel="1" x14ac:dyDescent="0.25">
      <c r="A8" s="1" t="s">
        <v>3</v>
      </c>
    </row>
    <row r="9" spans="1:19" hidden="1" outlineLevel="1" x14ac:dyDescent="0.25">
      <c r="G9" s="3"/>
      <c r="H9" s="3"/>
    </row>
    <row r="10" spans="1:19" hidden="1" outlineLevel="1" x14ac:dyDescent="0.25">
      <c r="B10" s="67" t="s">
        <v>4</v>
      </c>
      <c r="C10" s="68"/>
      <c r="E10" s="3"/>
    </row>
    <row r="11" spans="1:19" hidden="1" outlineLevel="1" x14ac:dyDescent="0.25">
      <c r="B11" s="4" t="s">
        <v>5</v>
      </c>
      <c r="C11" s="5" t="s">
        <v>142</v>
      </c>
    </row>
    <row r="12" spans="1:19" hidden="1" outlineLevel="1" x14ac:dyDescent="0.25">
      <c r="B12" s="9" t="s">
        <v>60</v>
      </c>
      <c r="C12" s="5" t="str" cm="1">
        <f t="array" aca="1" ref="C12" ca="1">_xll.VIEW(db_name&amp;":}ElementAttributes_}Clients","!","!")</f>
        <v>dcceew_geus:}ElementAttributes_}Clients</v>
      </c>
    </row>
    <row r="13" spans="1:19" hidden="1" outlineLevel="1" x14ac:dyDescent="0.25">
      <c r="B13" s="4" t="s">
        <v>91</v>
      </c>
      <c r="C13" s="37" t="str" cm="1">
        <f t="array" aca="1" ref="C13" ca="1">_xll.TM1USER(db_name)</f>
        <v>CAMID("pans:u:kgimena@excelerated.com.au")</v>
      </c>
    </row>
    <row r="14" spans="1:19" hidden="1" outlineLevel="1" x14ac:dyDescent="0.25">
      <c r="B14" s="4" t="s">
        <v>92</v>
      </c>
      <c r="C14" s="37" t="str" cm="1">
        <f t="array" aca="1" ref="C14" ca="1">_xll.DBR($C$12,$C$13,$B14)</f>
        <v>Business Analytics/Khristian Gimena</v>
      </c>
    </row>
    <row r="15" spans="1:19" hidden="1" outlineLevel="1" x14ac:dyDescent="0.25">
      <c r="B15" s="4" t="s">
        <v>93</v>
      </c>
      <c r="C15" s="37" t="str" cm="1">
        <f t="array" aca="1" ref="C15" ca="1">_xll.DBR($C$12,$C$13,$B15)</f>
        <v>Khristian Gimena</v>
      </c>
    </row>
    <row r="16" spans="1:19" hidden="1" outlineLevel="1" x14ac:dyDescent="0.25">
      <c r="B16" s="5" t="s">
        <v>6</v>
      </c>
      <c r="C16" s="37" t="str">
        <f ca="1">IF(LEFT($C$14,6)="CAM_AD",$C$15,$C$14)</f>
        <v>Business Analytics/Khristian Gimena</v>
      </c>
    </row>
    <row r="17" spans="2:8" hidden="1" outlineLevel="1" x14ac:dyDescent="0.25"/>
    <row r="18" spans="2:8" hidden="1" outlineLevel="1" x14ac:dyDescent="0.25">
      <c r="B18" s="67" t="s">
        <v>50</v>
      </c>
      <c r="C18" s="68"/>
    </row>
    <row r="19" spans="2:8" hidden="1" outlineLevel="1" x14ac:dyDescent="0.25">
      <c r="B19" s="5" t="s">
        <v>51</v>
      </c>
      <c r="C19" s="5" t="str" cm="1">
        <f t="array" aca="1" ref="C19" ca="1">_xll.VIEW(db_name&amp;":sys_Application","!","!")</f>
        <v>dcceew_geus:sys_Application</v>
      </c>
    </row>
    <row r="20" spans="2:8" hidden="1" outlineLevel="1" x14ac:dyDescent="0.25">
      <c r="B20" s="5" t="s">
        <v>94</v>
      </c>
      <c r="C20" s="9" t="s">
        <v>115</v>
      </c>
    </row>
    <row r="21" spans="2:8" hidden="1" outlineLevel="1" x14ac:dyDescent="0.25">
      <c r="B21" s="38" t="s">
        <v>98</v>
      </c>
      <c r="C21" s="39" t="s">
        <v>99</v>
      </c>
      <c r="D21" s="39" t="s">
        <v>100</v>
      </c>
      <c r="E21" s="39" t="s">
        <v>101</v>
      </c>
      <c r="F21" s="39" t="s">
        <v>54</v>
      </c>
      <c r="G21" s="39" t="s">
        <v>102</v>
      </c>
      <c r="H21" s="39" t="s">
        <v>55</v>
      </c>
    </row>
    <row r="22" spans="2:8" hidden="1" outlineLevel="1" x14ac:dyDescent="0.25">
      <c r="B22" s="5" t="s">
        <v>53</v>
      </c>
      <c r="C22" s="5" t="str" cm="1">
        <f t="array" aca="1" ref="C22" ca="1">_xll.DBR($C$19,$B22,C$21)</f>
        <v>TM1HomeCAP</v>
      </c>
      <c r="D22" s="5" t="str" cm="1">
        <f t="array" aca="1" ref="D22" ca="1">_xll.DBR($C$19,$B22,D$21)</f>
        <v>Home</v>
      </c>
      <c r="E22" s="5" t="str" cm="1">
        <f t="array" aca="1" ref="E22" ca="1">_xll.DBR($C$19,$B22,E$21)</f>
        <v>TM1HomeWB</v>
      </c>
      <c r="F22" s="5" t="str" cm="1">
        <f t="array" aca="1" ref="F22" ca="1">_xll.DBR($C$19,$B22,F$21)</f>
        <v>PRIMUS\GEUS WEB\Homepage\sys_Home.xlsx</v>
      </c>
      <c r="G22" s="5" t="str" cm="1">
        <f t="array" aca="1" ref="G22" ca="1">_xll.DBR($C$19,$B22,G$21)</f>
        <v>TM1HomeWS</v>
      </c>
      <c r="H22" s="5" t="str" cm="1">
        <f t="array" aca="1" ref="H22" ca="1">_xll.DBR($C$19,$B22,H$21)</f>
        <v>home</v>
      </c>
    </row>
    <row r="23" spans="2:8" hidden="1" outlineLevel="1" x14ac:dyDescent="0.25">
      <c r="B23" s="5" t="s">
        <v>95</v>
      </c>
      <c r="C23" s="5" t="str" cm="1">
        <f t="array" aca="1" ref="C23" ca="1">_xll.DBR($C$19,$B23,C$21)</f>
        <v>TM1HomeAECAP</v>
      </c>
      <c r="D23" s="5" t="str" cm="1">
        <f t="array" aca="1" ref="D23" ca="1">_xll.DBR($C$19,$B23,D$21)</f>
        <v>Annual Estimates</v>
      </c>
      <c r="E23" s="5" t="str" cm="1">
        <f t="array" aca="1" ref="E23" ca="1">_xll.DBR($C$19,$B23,E$21)</f>
        <v>TM1HomeAEWB</v>
      </c>
      <c r="F23" s="5" t="str" cm="1">
        <f t="array" aca="1" ref="F23" ca="1">_xll.DBR($C$19,$B23,F$21)</f>
        <v>PRIMUS\GEUS WEB\Homepage\sys_Home - Annual Estimates - Data Entry.xlsx</v>
      </c>
      <c r="G23" s="5" t="str" cm="1">
        <f t="array" aca="1" ref="G23" ca="1">_xll.DBR($C$19,$B23,G$21)</f>
        <v>TM1HomeAEWS</v>
      </c>
      <c r="H23" s="5" t="str" cm="1">
        <f t="array" aca="1" ref="H23" ca="1">_xll.DBR($C$19,$B23,H$21)</f>
        <v>Menu</v>
      </c>
    </row>
    <row r="24" spans="2:8" hidden="1" outlineLevel="1" x14ac:dyDescent="0.25">
      <c r="B24" s="5" t="s">
        <v>96</v>
      </c>
      <c r="C24" s="5" t="str" cm="1">
        <f t="array" aca="1" ref="C24" ca="1">_xll.DBR($C$19,$B24,C$21)</f>
        <v>TM1HomeAEDataEntryCAP</v>
      </c>
      <c r="D24" s="5" t="str" cm="1">
        <f t="array" aca="1" ref="D24" ca="1">_xll.DBR($C$19,$B24,D$21)</f>
        <v>Data Entry Menu</v>
      </c>
      <c r="E24" s="5" t="str" cm="1">
        <f t="array" aca="1" ref="E24" ca="1">_xll.DBR($C$19,$B24,E$21)</f>
        <v>TM1HomeAEDataEntryWB</v>
      </c>
      <c r="F24" s="5" t="str" cm="1">
        <f t="array" aca="1" ref="F24" ca="1">_xll.DBR($C$19,$B24,F$21)</f>
        <v>PRIMUS\GEUS WEB\Homepage\sys_Home - Annual Estimates - Data Entry.xlsx</v>
      </c>
      <c r="G24" s="5" t="str" cm="1">
        <f t="array" aca="1" ref="G24" ca="1">_xll.DBR($C$19,$B24,G$21)</f>
        <v>TM1HomeAEDataEntryWS</v>
      </c>
      <c r="H24" s="5" t="str" cm="1">
        <f t="array" aca="1" ref="H24" ca="1">_xll.DBR($C$19,$B24,H$21)</f>
        <v>Menu</v>
      </c>
    </row>
    <row r="25" spans="2:8" hidden="1" outlineLevel="1" x14ac:dyDescent="0.25">
      <c r="B25" s="5" t="s">
        <v>97</v>
      </c>
      <c r="C25" s="5" t="str" cm="1">
        <f t="array" aca="1" ref="C25" ca="1">_xll.DBR($C$19,$B25,C$21)</f>
        <v>TM1HomeRepCAP</v>
      </c>
      <c r="D25" s="5" t="str" cm="1">
        <f t="array" aca="1" ref="D25" ca="1">_xll.DBR($C$19,$B25,D$21)</f>
        <v>Reports</v>
      </c>
      <c r="E25" s="5" t="str" cm="1">
        <f t="array" aca="1" ref="E25" ca="1">_xll.DBR($C$19,$B25,E$21)</f>
        <v>TM1HomeRepWB</v>
      </c>
      <c r="F25" s="5" t="str" cm="1">
        <f t="array" aca="1" ref="F25" ca="1">_xll.DBR($C$19,$B25,F$21)</f>
        <v>PRIMUS\GEUS WEB\Homepage\sys_Home - Reports - PFS.xlsx</v>
      </c>
      <c r="G25" s="5" t="str" cm="1">
        <f t="array" aca="1" ref="G25" ca="1">_xll.DBR($C$19,$B25,G$21)</f>
        <v>TM1HomeRepWS</v>
      </c>
      <c r="H25" s="5" t="str" cm="1">
        <f t="array" aca="1" ref="H25" ca="1">_xll.DBR($C$19,$B25,H$21)</f>
        <v>Menu</v>
      </c>
    </row>
    <row r="26" spans="2:8" hidden="1" outlineLevel="1" x14ac:dyDescent="0.25">
      <c r="B26" s="5" t="s">
        <v>80</v>
      </c>
      <c r="C26" s="5" t="str" cm="1">
        <f t="array" aca="1" ref="C26" ca="1">_xll.DBR($C$19,$B26,C$21)</f>
        <v>TM1BulkProcessCAP</v>
      </c>
      <c r="D26" s="5" t="str" cm="1">
        <f t="array" aca="1" ref="D26" ca="1">_xll.DBR($C$19,$B26,D$21)</f>
        <v>Bulk Process</v>
      </c>
      <c r="E26" s="5" t="str" cm="1">
        <f t="array" aca="1" ref="E26" ca="1">_xll.DBR($C$19,$B26,E$21)</f>
        <v>TM1BulkProcessWB</v>
      </c>
      <c r="F26" s="5" t="str" cm="1">
        <f t="array" aca="1" ref="F26" ca="1">_xll.DBR($C$19,$B26,F$21)</f>
        <v>PRIMUS\GEUS WEB\Annual Estimates\Adjustment\adj_bulk process.xlsx</v>
      </c>
      <c r="G26" s="5" t="str" cm="1">
        <f t="array" aca="1" ref="G26" ca="1">_xll.DBR($C$19,$B26,G$21)</f>
        <v>TM1BulkProcessWS</v>
      </c>
      <c r="H26" s="5" t="str" cm="1">
        <f t="array" aca="1" ref="H26" ca="1">_xll.DBR($C$19,$B26,H$21)</f>
        <v>bulk process</v>
      </c>
    </row>
    <row r="27" spans="2:8" hidden="1" outlineLevel="1" x14ac:dyDescent="0.25">
      <c r="B27" s="5" t="s">
        <v>56</v>
      </c>
      <c r="C27" s="5" t="str" cm="1">
        <f t="array" aca="1" ref="C27" ca="1">_xll.DBR($C$19,$B27,C$21)</f>
        <v>TM1AdjIDListCAP</v>
      </c>
      <c r="D27" s="5" t="str" cm="1">
        <f t="array" aca="1" ref="D27" ca="1">_xll.DBR($C$19,$B27,D$21)</f>
        <v>Adj List</v>
      </c>
      <c r="E27" s="5" t="str" cm="1">
        <f t="array" aca="1" ref="E27" ca="1">_xll.DBR($C$19,$B27,E$21)</f>
        <v>TM1AdjIDListWB</v>
      </c>
      <c r="F27" s="5" t="str" cm="1">
        <f t="array" aca="1" ref="F27" ca="1">_xll.DBR($C$19,$B27,F$21)</f>
        <v>PRIMUS\GEUS WEB\Annual Estimates\Adjustment\adj_id list.xlsx</v>
      </c>
      <c r="G27" s="5" t="str" cm="1">
        <f t="array" aca="1" ref="G27" ca="1">_xll.DBR($C$19,$B27,G$21)</f>
        <v>TM1IDListWS</v>
      </c>
      <c r="H27" s="5" t="str" cm="1">
        <f t="array" aca="1" ref="H27" ca="1">_xll.DBR($C$19,$B27,H$21)</f>
        <v>ID List</v>
      </c>
    </row>
    <row r="28" spans="2:8" hidden="1" outlineLevel="1" x14ac:dyDescent="0.25">
      <c r="B28" s="5" t="s">
        <v>137</v>
      </c>
      <c r="C28" s="5" t="str" cm="1">
        <f t="array" aca="1" ref="C28" ca="1">_xll.DBR($C$19,$B28,C$21)</f>
        <v>TM1HomeAEMeasuresCAP</v>
      </c>
      <c r="D28" s="5" t="str" cm="1">
        <f t="array" aca="1" ref="D28" ca="1">_xll.DBR($C$19,$B28,D$21)</f>
        <v>Measures Menu</v>
      </c>
      <c r="E28" s="5" t="str" cm="1">
        <f t="array" aca="1" ref="E28" ca="1">_xll.DBR($C$19,$B28,E$21)</f>
        <v>TM1HomeAEMeasuresWB</v>
      </c>
      <c r="F28" s="5" t="str" cm="1">
        <f t="array" aca="1" ref="F28" ca="1">_xll.DBR($C$19,$B28,F$21)</f>
        <v>PRIMUS\GEUS WEB\Homepage\sys_Home - Annual Estimates - Measures.xlsx</v>
      </c>
      <c r="G28" s="5" t="str" cm="1">
        <f t="array" aca="1" ref="G28" ca="1">_xll.DBR($C$19,$B28,G$21)</f>
        <v>TM1HomeAEMeasuresWS</v>
      </c>
      <c r="H28" s="5" t="str" cm="1">
        <f t="array" aca="1" ref="H28" ca="1">_xll.DBR($C$19,$B28,H$21)</f>
        <v>Menu</v>
      </c>
    </row>
    <row r="29" spans="2:8" hidden="1" outlineLevel="1" x14ac:dyDescent="0.25">
      <c r="B29" s="9" t="s">
        <v>135</v>
      </c>
      <c r="C29" s="5" t="str" cm="1">
        <f t="array" aca="1" ref="C29" ca="1">_xll.DBR($C$19,$B29,C$21)</f>
        <v>TM1NewMeas01HeaderCAP</v>
      </c>
      <c r="D29" s="5" t="str" cm="1">
        <f t="array" aca="1" ref="D29" ca="1">_xll.DBR($C$19,$B29,D$21)</f>
        <v>New Measure</v>
      </c>
      <c r="E29" s="5" t="str" cm="1">
        <f t="array" aca="1" ref="E29" ca="1">_xll.DBR($C$19,$B29,E$21)</f>
        <v>TM1NewMeas01HeaderWB</v>
      </c>
      <c r="F29" s="5" t="str" cm="1">
        <f t="array" aca="1" ref="F29" ca="1">_xll.DBR($C$19,$B29,F$21)</f>
        <v>PRIMUS\GEUS WEB\Annual Estimates\Measures\new measure 01 - measure header details.xlsx</v>
      </c>
      <c r="G29" s="5" t="str" cm="1">
        <f t="array" aca="1" ref="G29" ca="1">_xll.DBR($C$19,$B29,G$21)</f>
        <v>TM1NewMeas01HeaderWS</v>
      </c>
      <c r="H29" s="5" t="str" cm="1">
        <f t="array" aca="1" ref="H29" ca="1">_xll.DBR($C$19,$B29,H$21)</f>
        <v>sheet 1</v>
      </c>
    </row>
    <row r="30" spans="2:8" hidden="1" outlineLevel="1" x14ac:dyDescent="0.25">
      <c r="B30" s="9" t="s">
        <v>136</v>
      </c>
      <c r="C30" s="5" t="str" cm="1">
        <f t="array" aca="1" ref="C30" ca="1">_xll.DBR($C$19,$B30,C$21)</f>
        <v>TM1MeasListCAP</v>
      </c>
      <c r="D30" s="5" t="str" cm="1">
        <f t="array" aca="1" ref="D30" ca="1">_xll.DBR($C$19,$B30,D$21)</f>
        <v>Measure List</v>
      </c>
      <c r="E30" s="5" t="str" cm="1">
        <f t="array" aca="1" ref="E30" ca="1">_xll.DBR($C$19,$B30,E$21)</f>
        <v>TM1MeasListWB</v>
      </c>
      <c r="F30" s="5" t="str" cm="1">
        <f t="array" aca="1" ref="F30" ca="1">_xll.DBR($C$19,$B30,F$21)</f>
        <v>PRIMUS\GEUS WEB\Annual Estimates\Measures\meas_measure list.xlsx</v>
      </c>
      <c r="G30" s="5" t="str" cm="1">
        <f t="array" aca="1" ref="G30" ca="1">_xll.DBR($C$19,$B30,G$21)</f>
        <v>TM1MeasListWS</v>
      </c>
      <c r="H30" s="5" t="str" cm="1">
        <f t="array" aca="1" ref="H30" ca="1">_xll.DBR($C$19,$B30,H$21)</f>
        <v>measure list</v>
      </c>
    </row>
    <row r="31" spans="2:8" hidden="1" outlineLevel="1" x14ac:dyDescent="0.25">
      <c r="B31" s="9" t="s">
        <v>115</v>
      </c>
      <c r="C31" s="5" t="str" cm="1">
        <f t="array" aca="1" ref="C31" ca="1">_xll.DBR($C$19,$B31,C$21)</f>
        <v>TM1MeasBulkCAP</v>
      </c>
      <c r="D31" s="5" t="str" cm="1">
        <f t="array" aca="1" ref="D31" ca="1">_xll.DBR($C$19,$B31,D$21)</f>
        <v>Bulk Process Measure</v>
      </c>
      <c r="E31" s="5" t="str" cm="1">
        <f t="array" aca="1" ref="E31" ca="1">_xll.DBR($C$19,$B31,E$21)</f>
        <v>TM1MeasBulkWB</v>
      </c>
      <c r="F31" s="5" t="str" cm="1">
        <f t="array" aca="1" ref="F31" ca="1">_xll.DBR($C$19,$B31,F$21)</f>
        <v>PRIMUS\GEUS WEB\Annual Estimates\Measures\meas_bulk processing measure.xlsx</v>
      </c>
      <c r="G31" s="5" t="str" cm="1">
        <f t="array" aca="1" ref="G31" ca="1">_xll.DBR($C$19,$B31,G$21)</f>
        <v>TM1MeasBulkWS</v>
      </c>
      <c r="H31" s="5" t="str" cm="1">
        <f t="array" aca="1" ref="H31" ca="1">_xll.DBR($C$19,$B31,H$21)</f>
        <v>bulk process</v>
      </c>
    </row>
    <row r="32" spans="2:8" hidden="1" outlineLevel="1" x14ac:dyDescent="0.25">
      <c r="B32" s="9" t="s">
        <v>138</v>
      </c>
      <c r="C32" s="5" t="str" cm="1">
        <f t="array" aca="1" ref="C32" ca="1">_xll.DBR($C$19,$B32,C$21)</f>
        <v>TM1ViewMeas01HeaderCAP</v>
      </c>
      <c r="D32" s="5" t="str" cm="1">
        <f t="array" aca="1" ref="D32" ca="1">_xll.DBR($C$19,$B32,D$21)</f>
        <v>View Measure</v>
      </c>
      <c r="E32" s="5" t="str" cm="1">
        <f t="array" aca="1" ref="E32" ca="1">_xll.DBR($C$19,$B32,E$21)</f>
        <v>TM1ViewMeas01HeaderWB</v>
      </c>
      <c r="F32" s="5" t="str" cm="1">
        <f t="array" aca="1" ref="F32" ca="1">_xll.DBR($C$19,$B32,F$21)</f>
        <v>PRIMUS\GEUS WEB\Annual Estimates\Measures\view measure 01 - measure header details.xlsx</v>
      </c>
      <c r="G32" s="5" t="str" cm="1">
        <f t="array" aca="1" ref="G32" ca="1">_xll.DBR($C$19,$B32,G$21)</f>
        <v>TM1ViewMeas01HeaderWS</v>
      </c>
      <c r="H32" s="5" t="str" cm="1">
        <f t="array" aca="1" ref="H32" ca="1">_xll.DBR($C$19,$B32,H$21)</f>
        <v>view measure</v>
      </c>
    </row>
    <row r="33" spans="2:5" hidden="1" outlineLevel="1" x14ac:dyDescent="0.25"/>
    <row r="34" spans="2:5" hidden="1" outlineLevel="1" x14ac:dyDescent="0.25">
      <c r="B34" s="69" t="s">
        <v>7</v>
      </c>
      <c r="C34" s="70"/>
    </row>
    <row r="35" spans="2:5" hidden="1" outlineLevel="1" x14ac:dyDescent="0.25">
      <c r="B35" s="6" t="s">
        <v>8</v>
      </c>
      <c r="C35" s="7" t="str" cm="1">
        <f t="array" aca="1" ref="C35" ca="1">_xll.VIEW(db_name&amp;":sys_client preference",$C$13,"!","!")</f>
        <v>dcceew_geus:sys_client preference</v>
      </c>
    </row>
    <row r="36" spans="2:5" hidden="1" outlineLevel="1" x14ac:dyDescent="0.25">
      <c r="B36" s="9" t="s">
        <v>103</v>
      </c>
      <c r="C36" s="5" t="str" cm="1">
        <f t="array" aca="1" ref="C36" ca="1">_xll.DBR($C$35,psUser,$B36,"value")</f>
        <v>HL2023-2024</v>
      </c>
      <c r="D36" s="1" t="str" cm="1">
        <f t="array" aca="1" ref="D36" ca="1">IF($C36&lt;&gt;psHLYear,_xll.DBSS(psHLYear,$C$35,psUser,$B36,"value"),"")</f>
        <v/>
      </c>
    </row>
    <row r="37" spans="2:5" hidden="1" outlineLevel="1" x14ac:dyDescent="0.25">
      <c r="B37" s="9" t="s">
        <v>104</v>
      </c>
      <c r="C37" s="5" t="str" cm="1">
        <f t="array" aca="1" ref="C37" ca="1">_xll.DBR($C$35,psUser,$B37,"value")</f>
        <v>current</v>
      </c>
      <c r="D37" s="1" t="str" cm="1">
        <f t="array" aca="1" ref="D37" ca="1">IF($C37&lt;&gt;psScenario,_xll.DBSS(psScenario,$C$35,psUser,$B37,"value"),"")</f>
        <v/>
      </c>
    </row>
    <row r="38" spans="2:5" hidden="1" outlineLevel="1" x14ac:dyDescent="0.25">
      <c r="B38" s="9" t="s">
        <v>105</v>
      </c>
      <c r="C38" s="5" t="str" cm="1">
        <f t="array" aca="1" ref="C38" ca="1">_xll.DBR($C$35,psUser,$B38,"value")</f>
        <v>00354</v>
      </c>
    </row>
    <row r="39" spans="2:5" hidden="1" outlineLevel="1" x14ac:dyDescent="0.25">
      <c r="B39" s="9" t="s">
        <v>82</v>
      </c>
      <c r="C39" s="5" t="str" cm="1">
        <f t="array" aca="1" ref="C39" ca="1">_xll.DBR($C$35,psUser,$B39,"value")</f>
        <v/>
      </c>
    </row>
    <row r="40" spans="2:5" hidden="1" outlineLevel="1" x14ac:dyDescent="0.25"/>
    <row r="41" spans="2:5" hidden="1" outlineLevel="1" x14ac:dyDescent="0.25">
      <c r="B41" s="67" t="s">
        <v>9</v>
      </c>
      <c r="C41" s="68"/>
      <c r="D41" s="67" t="s">
        <v>73</v>
      </c>
      <c r="E41" s="68"/>
    </row>
    <row r="42" spans="2:5" hidden="1" outlineLevel="1" x14ac:dyDescent="0.25">
      <c r="B42" s="4" t="s">
        <v>8</v>
      </c>
      <c r="C42" s="5" t="str" cm="1">
        <f t="array" aca="1" ref="C42" ca="1">_xll.VIEW(db_name&amp;":}ElementAttributes_variables","!","!")</f>
        <v>dcceew_geus:}ElementAttributes_variables</v>
      </c>
      <c r="D42" s="4" t="s">
        <v>8</v>
      </c>
      <c r="E42" s="5" t="str" cm="1">
        <f t="array" aca="1" ref="E42" ca="1">_xll.VIEW(db_name&amp;":sys_budget stage lookup",psHLYear,psScenario,$E$36)</f>
        <v>dcceew_geus:sys_budget stage lookup</v>
      </c>
    </row>
    <row r="43" spans="2:5" hidden="1" outlineLevel="1" x14ac:dyDescent="0.25">
      <c r="B43" s="5" t="s">
        <v>10</v>
      </c>
      <c r="C43" s="5" t="str" cm="1">
        <f t="array" aca="1" ref="C43" ca="1">_xll.DBR($C$42,$B43,"value")</f>
        <v>HL2023-2024</v>
      </c>
      <c r="D43" s="5" t="s">
        <v>74</v>
      </c>
      <c r="E43" s="9" t="str" cm="1">
        <f t="array" aca="1" ref="E43" ca="1">_xll.DBR($E$42,psHLYear,psScenario,$D43)</f>
        <v>*KEY_ERR</v>
      </c>
    </row>
    <row r="44" spans="2:5" hidden="1" outlineLevel="1" x14ac:dyDescent="0.25">
      <c r="B44" s="5" t="s">
        <v>11</v>
      </c>
      <c r="C44" s="5" t="str" cm="1">
        <f t="array" aca="1" ref="C44" ca="1">_xll.DBR($C$42,$B44,"value")</f>
        <v>current</v>
      </c>
      <c r="D44" s="9"/>
      <c r="E44" s="5"/>
    </row>
    <row r="45" spans="2:5" hidden="1" outlineLevel="1" x14ac:dyDescent="0.25">
      <c r="B45" s="5" t="s">
        <v>106</v>
      </c>
      <c r="C45" s="5" t="str" cm="1">
        <f t="array" aca="1" ref="C45" ca="1">_xll.DBR($C$42,$B45,"value")</f>
        <v>Budget</v>
      </c>
    </row>
    <row r="46" spans="2:5" hidden="1" outlineLevel="1" x14ac:dyDescent="0.25">
      <c r="B46" s="9" t="s">
        <v>107</v>
      </c>
      <c r="C46" s="5" t="str" cm="1">
        <f t="array" aca="1" ref="C46" ca="1">_xll.DBR($C$42,$B46,"value")</f>
        <v>HL2018-2019</v>
      </c>
    </row>
    <row r="47" spans="2:5" hidden="1" outlineLevel="1" x14ac:dyDescent="0.25">
      <c r="B47" s="9" t="s">
        <v>108</v>
      </c>
      <c r="C47" s="9" cm="1">
        <f t="array" aca="1" ref="C47" ca="1">_xll.DIMIX(db_name&amp;":headline year",$C$46)</f>
        <v>0</v>
      </c>
    </row>
    <row r="48" spans="2:5" hidden="1" outlineLevel="1" x14ac:dyDescent="0.25">
      <c r="B48" s="9" t="s">
        <v>109</v>
      </c>
      <c r="C48" s="9" cm="1">
        <f t="array" aca="1" ref="C48" ca="1">_xll.DIMIX(db_name&amp;":headline year",psHLYear)</f>
        <v>6</v>
      </c>
    </row>
    <row r="49" spans="2:5" hidden="1" outlineLevel="1" x14ac:dyDescent="0.25"/>
    <row r="50" spans="2:5" hidden="1" outlineLevel="1" x14ac:dyDescent="0.25">
      <c r="B50" s="67" t="s">
        <v>16</v>
      </c>
      <c r="C50" s="68"/>
    </row>
    <row r="51" spans="2:5" hidden="1" outlineLevel="1" x14ac:dyDescent="0.25">
      <c r="B51" s="9" t="s">
        <v>18</v>
      </c>
      <c r="C51" s="9" t="str" cm="1">
        <f t="array" aca="1" ref="C51" ca="1">_xll.TM1RPTVIEW(db_name&amp;":government measures details:2", 1, _xll.TM1RPTTITLE(db_name&amp;":headline year",$N$107), _xll.TM1RPTTITLE(db_name&amp;":scenario",$N$108),TM1RPTFMTRNG,TM1RPTFMTIDCOL)</f>
        <v>dcceew_geus:government measures details:2</v>
      </c>
    </row>
    <row r="52" spans="2:5" hidden="1" outlineLevel="1" x14ac:dyDescent="0.25">
      <c r="B52" s="9" t="s">
        <v>20</v>
      </c>
      <c r="C52" s="9" t="str" cm="1">
        <f t="array" aca="1" ref="C52" ca="1">_xll.VIEW(db_name&amp;":government measures details",$N$107,$N$108,"!","!")</f>
        <v>dcceew_geus:government measures details</v>
      </c>
    </row>
    <row r="53" spans="2:5" hidden="1" outlineLevel="1" x14ac:dyDescent="0.25">
      <c r="B53" s="9" t="s">
        <v>22</v>
      </c>
      <c r="C53" s="9" t="str">
        <f ca="1">$C$16&amp;"_$sysMeasBulkList"</f>
        <v>Business Analytics/Khristian Gimena_$sysMeasBulkList</v>
      </c>
    </row>
    <row r="54" spans="2:5" hidden="1" outlineLevel="1" x14ac:dyDescent="0.25">
      <c r="B54" s="9" t="s">
        <v>68</v>
      </c>
      <c r="C54" s="9" cm="1">
        <f t="array" aca="1" ref="C54" ca="1">_xll.SUBSIZ(db_name&amp;":id",$C$53)-1</f>
        <v>-1</v>
      </c>
    </row>
    <row r="55" spans="2:5" hidden="1" outlineLevel="1" x14ac:dyDescent="0.25">
      <c r="B55" s="67" t="s">
        <v>27</v>
      </c>
      <c r="C55" s="68"/>
    </row>
    <row r="56" spans="2:5" hidden="1" outlineLevel="1" x14ac:dyDescent="0.25">
      <c r="B56" s="9" t="s">
        <v>20</v>
      </c>
      <c r="C56" s="9" t="str" cm="1">
        <f t="array" aca="1" ref="C56" ca="1">_xll.VIEW(db_name&amp;":government measures bulk processing",psUser,$N$107,$N$108,"!","!")</f>
        <v>dcceew_geus:government measures bulk processing</v>
      </c>
    </row>
    <row r="57" spans="2:5" hidden="1" outlineLevel="1" x14ac:dyDescent="0.25"/>
    <row r="58" spans="2:5" hidden="1" outlineLevel="1" x14ac:dyDescent="0.25">
      <c r="B58" s="8" t="s">
        <v>12</v>
      </c>
      <c r="C58" s="8" t="s">
        <v>13</v>
      </c>
      <c r="D58" s="1" t="s">
        <v>34</v>
      </c>
      <c r="E58" s="1" t="s">
        <v>46</v>
      </c>
    </row>
    <row r="59" spans="2:5" hidden="1" outlineLevel="1" x14ac:dyDescent="0.25">
      <c r="B59" s="9" t="s">
        <v>112</v>
      </c>
      <c r="C59" s="9" t="s">
        <v>126</v>
      </c>
      <c r="D59" s="1" t="s">
        <v>47</v>
      </c>
      <c r="E59" s="1" t="s">
        <v>46</v>
      </c>
    </row>
    <row r="60" spans="2:5" hidden="1" outlineLevel="1" x14ac:dyDescent="0.25">
      <c r="B60" s="9" t="s">
        <v>15</v>
      </c>
      <c r="C60" s="9" t="s">
        <v>121</v>
      </c>
      <c r="D60" s="1" t="s">
        <v>48</v>
      </c>
      <c r="E60" s="1" t="s">
        <v>49</v>
      </c>
    </row>
    <row r="61" spans="2:5" hidden="1" outlineLevel="1" x14ac:dyDescent="0.25">
      <c r="B61" s="9" t="s">
        <v>123</v>
      </c>
      <c r="C61" s="9" t="s">
        <v>124</v>
      </c>
    </row>
    <row r="62" spans="2:5" hidden="1" outlineLevel="1" x14ac:dyDescent="0.25">
      <c r="B62" s="9" t="s">
        <v>128</v>
      </c>
      <c r="C62" s="9" t="s">
        <v>125</v>
      </c>
    </row>
    <row r="63" spans="2:5" hidden="1" outlineLevel="1" x14ac:dyDescent="0.25">
      <c r="B63" s="9" t="s">
        <v>19</v>
      </c>
      <c r="C63" s="9" t="s">
        <v>57</v>
      </c>
    </row>
    <row r="64" spans="2:5" hidden="1" outlineLevel="1" x14ac:dyDescent="0.25">
      <c r="B64" s="9" t="s">
        <v>132</v>
      </c>
      <c r="C64" s="9" t="s">
        <v>129</v>
      </c>
    </row>
    <row r="65" spans="2:8" hidden="1" outlineLevel="1" x14ac:dyDescent="0.25">
      <c r="B65" s="9" t="s">
        <v>131</v>
      </c>
      <c r="C65" s="9" t="s">
        <v>130</v>
      </c>
    </row>
    <row r="66" spans="2:8" hidden="1" outlineLevel="1" x14ac:dyDescent="0.25">
      <c r="B66" s="9" t="s">
        <v>23</v>
      </c>
      <c r="C66" s="9" t="s">
        <v>24</v>
      </c>
    </row>
    <row r="67" spans="2:8" hidden="1" outlineLevel="1" x14ac:dyDescent="0.25">
      <c r="B67" s="9" t="s">
        <v>25</v>
      </c>
      <c r="C67" s="9" t="s">
        <v>26</v>
      </c>
    </row>
    <row r="68" spans="2:8" hidden="1" outlineLevel="1" x14ac:dyDescent="0.25">
      <c r="B68" s="9"/>
      <c r="C68" s="9"/>
    </row>
    <row r="69" spans="2:8" hidden="1" outlineLevel="1" x14ac:dyDescent="0.25"/>
    <row r="70" spans="2:8" hidden="1" outlineLevel="1" x14ac:dyDescent="0.25">
      <c r="B70" s="24" t="s">
        <v>28</v>
      </c>
      <c r="C70" s="24" t="str">
        <f>VLOOKUP(psFilter,sys_idfilter_lookup,2,FALSE)</f>
        <v>sys_CBMS Measure Code</v>
      </c>
      <c r="D70" s="24" t="s">
        <v>29</v>
      </c>
      <c r="E70" s="24" t="s">
        <v>30</v>
      </c>
    </row>
    <row r="71" spans="2:8" hidden="1" outlineLevel="1" x14ac:dyDescent="0.25">
      <c r="B71" s="9" t="s">
        <v>31</v>
      </c>
      <c r="C71" s="25" t="str">
        <f ca="1">IF($N$104="","",IF($R$107="Yes",VLOOKUP($N$104,$B$82:$E$87,4,FALSE),VLOOKUP($N$104,$B$82:$E$87,3,FALSE)))</f>
        <v/>
      </c>
      <c r="D71" s="9"/>
      <c r="E71" s="9"/>
    </row>
    <row r="72" spans="2:8" hidden="1" outlineLevel="1" x14ac:dyDescent="0.25">
      <c r="B72" s="9" t="s">
        <v>32</v>
      </c>
      <c r="C72" s="9" t="s">
        <v>33</v>
      </c>
      <c r="D72" s="9"/>
      <c r="E72" s="9"/>
    </row>
    <row r="73" spans="2:8" hidden="1" outlineLevel="1" x14ac:dyDescent="0.25"/>
    <row r="74" spans="2:8" hidden="1" outlineLevel="1" x14ac:dyDescent="0.25">
      <c r="B74" s="71" t="s">
        <v>64</v>
      </c>
      <c r="C74" s="71"/>
    </row>
    <row r="75" spans="2:8" hidden="1" outlineLevel="1" x14ac:dyDescent="0.25">
      <c r="B75" s="9" t="s">
        <v>61</v>
      </c>
      <c r="C75" s="9"/>
    </row>
    <row r="76" spans="2:8" hidden="1" outlineLevel="1" x14ac:dyDescent="0.25">
      <c r="B76" s="9" t="s">
        <v>62</v>
      </c>
      <c r="C76" s="9" t="str">
        <f ca="1">IF($C$78="FAIL","Process Failed",$C$78)</f>
        <v/>
      </c>
    </row>
    <row r="77" spans="2:8" hidden="1" outlineLevel="1" x14ac:dyDescent="0.25">
      <c r="B77" s="9" t="s">
        <v>63</v>
      </c>
      <c r="C77" s="9"/>
    </row>
    <row r="78" spans="2:8" hidden="1" outlineLevel="1" x14ac:dyDescent="0.25">
      <c r="B78" s="9" t="s">
        <v>69</v>
      </c>
      <c r="C78" s="5" t="str" cm="1">
        <f t="array" aca="1" ref="C78" ca="1">_xll.DBR($C$35,$C$13,"sys_meas bulk process","validate")</f>
        <v/>
      </c>
      <c r="D78" s="27" t="s">
        <v>71</v>
      </c>
    </row>
    <row r="79" spans="2:8" hidden="1" outlineLevel="1" x14ac:dyDescent="0.25"/>
    <row r="80" spans="2:8" hidden="1" outlineLevel="1" x14ac:dyDescent="0.25">
      <c r="B80" s="24" t="s">
        <v>34</v>
      </c>
      <c r="C80" s="24" t="s">
        <v>19</v>
      </c>
      <c r="D80" s="24" t="s">
        <v>110</v>
      </c>
      <c r="E80" s="24"/>
      <c r="F80" s="24" t="s">
        <v>65</v>
      </c>
      <c r="G80" s="24" t="s">
        <v>66</v>
      </c>
      <c r="H80" s="24" t="s">
        <v>85</v>
      </c>
    </row>
    <row r="81" spans="2:19" hidden="1" outlineLevel="1" x14ac:dyDescent="0.25">
      <c r="B81" s="32"/>
      <c r="C81" s="32"/>
      <c r="D81" s="32"/>
      <c r="E81" s="32"/>
      <c r="F81" s="32" t="str">
        <f ca="1">IF(ISERROR(VLOOKUP(psBulkProcess,sys_bulkprocesslist,5,FALSE)),"Please select a process",VLOOKUP(psBulkProcess,sys_bulkprocesslist,5,FALSE))</f>
        <v>Please select a process</v>
      </c>
      <c r="G81" s="32" t="str">
        <f ca="1">IF(ISERROR(VLOOKUP(psBulkProcess,sys_bulkprocesslist,6,FALSE)),"Please select a process",VLOOKUP(psBulkProcess,sys_bulkprocesslist,6,FALSE))</f>
        <v>Please select a process</v>
      </c>
      <c r="H81" s="32" t="str">
        <f ca="1">IF(ISERROR(VLOOKUP(psBulkProcess,sys_bulkprocesslist,7,FALSE)),"Please select a process",VLOOKUP(psBulkProcess,sys_bulkprocesslist,7,FALSE))</f>
        <v>Please select a process</v>
      </c>
    </row>
    <row r="82" spans="2:19" hidden="1" outlineLevel="1" x14ac:dyDescent="0.25">
      <c r="B82" s="9" t="s">
        <v>116</v>
      </c>
      <c r="C82" s="9" t="s">
        <v>134</v>
      </c>
      <c r="D82" s="9" t="str">
        <f ca="1">"{{TM1SORT({FILTER( {{FILTER( {[measure code].[Total Measures].Children}, INSTR( [government measures details].([Headline Year].[" &amp; psHLYear &amp;"],[scenario].[" &amp; psScenario &amp;"],[measure details].[" &amp;$C$63&amp;"]), "  &amp; $C$72 &amp;  $C82 &amp; $C$72 &amp;  " ) &gt;=1) }}, INSTR( [government measures details].([Headline Year].[" &amp; psHLYear &amp;"],[scenario].[" &amp; psScenario &amp;"],[measure details].[" &amp;$C$70&amp;"]), "  &amp; $C$72 &amp;  $R$109 &amp; $C$72 &amp;  " ) &gt;=1)}, DESC)},[measure code].[M00000]}"</f>
        <v>{{TM1SORT({FILTER( {{FILTER( {[measure code].[Total Measures].Children}, INSTR( [government measures details].([Headline Year].[HL2023-2024],[scenario].[current],[measure details].[sys_status]), "draft" ) &gt;=1) }}, INSTR( [government measures details].([Headline Year].[HL2023-2024],[scenario].[current],[measure details].[sys_CBMS Measure Code]), "" ) &gt;=1)}, DESC)},[measure code].[M00000]}</v>
      </c>
      <c r="E82" s="9" t="str">
        <f ca="1">"{{FILTER({TM1SORT({FILTER( {{FILTER( {[measure code].[Total Measures].Children}, INSTR( [government measures details].([Headline Year].[" &amp; psHLYear &amp;"],[scenario].[" &amp; psScenario &amp;"],[measure details].[" &amp;$C$63&amp;"]), "  &amp; $C$72 &amp;  $C82 &amp; $C$72 &amp;  " ) &gt;=1) }}, INSTR( [government measures details].([Headline Year].[" &amp; psHLYear &amp;"],[scenario].[" &amp; psScenario &amp;"],[measure details].[" &amp;$C$70&amp;"]), "  &amp; $C$72 &amp;  $R$109 &amp; $C$72 &amp;  " ) &gt;=1)}, DESC)},[measure code].[current] = """ &amp; "Y" &amp; """)},[measure code].[M00000]}"</f>
        <v>{{FILTER({TM1SORT({FILTER( {{FILTER( {[measure code].[Total Measures].Children}, INSTR( [government measures details].([Headline Year].[HL2023-2024],[scenario].[current],[measure details].[sys_status]), "draft" ) &gt;=1) }}, INSTR( [government measures details].([Headline Year].[HL2023-2024],[scenario].[current],[measure details].[sys_CBMS Measure Code]), "" ) &gt;=1)}, DESC)},[measure code].[current] = "Y")},[measure code].[M00000]}</v>
      </c>
      <c r="F82" s="9" t="str">
        <f>"Are you sure you want to run the " &amp; $B82 &amp; " Process?"</f>
        <v>Are you sure you want to run the Approve Process?</v>
      </c>
      <c r="G82" s="9" t="str">
        <f>"The bulk process for "&amp; $B82 &amp;"  has completed successfully."</f>
        <v>The bulk process for Approve  has completed successfully.</v>
      </c>
      <c r="H82" s="9" t="str">
        <f>"The bulk process for " &amp; $B82 &amp; " failed. Please refresh list and try again."</f>
        <v>The bulk process for Approve failed. Please refresh list and try again.</v>
      </c>
    </row>
    <row r="83" spans="2:19" hidden="1" outlineLevel="1" x14ac:dyDescent="0.25">
      <c r="B83" s="9" t="s">
        <v>35</v>
      </c>
      <c r="C83" s="9" t="s">
        <v>36</v>
      </c>
      <c r="D83" s="9" t="str">
        <f>"{{ [measure code].[M00000] },{TM1SORT( { EXCEPT( {TM1FILTERBYLEVEL( {TM1SUBSETALL( [measure code] )}, 0)}, { [measure code].[M00000] }) }, DESC)}}"</f>
        <v>{{ [measure code].[M00000] },{TM1SORT( { EXCEPT( {TM1FILTERBYLEVEL( {TM1SUBSETALL( [measure code] )}, 0)}, { [measure code].[M00000] }) }, DESC)}}</v>
      </c>
      <c r="E83" s="9" t="str">
        <f>"{{ [measure code].[M00000] },{FILTER({TM1SORT( { EXCEPT( {TM1FILTERBYLEVEL( {TM1SUBSETALL( [measure code] )}, 0)}, { [measure code].[M00000] }) }, DESC)},[measure code].[current] = """ &amp; "Y" &amp; """)}}"</f>
        <v>{{ [measure code].[M00000] },{FILTER({TM1SORT( { EXCEPT( {TM1FILTERBYLEVEL( {TM1SUBSETALL( [measure code] )}, 0)}, { [measure code].[M00000] }) }, DESC)},[measure code].[current] = "Y")}}</v>
      </c>
      <c r="F83" s="9" t="str">
        <f t="shared" ref="F83:F86" si="0">"Are you sure you want to run the " &amp; $B83 &amp; " Process?"</f>
        <v>Are you sure you want to run the Copy Process?</v>
      </c>
      <c r="G83" s="9" t="str">
        <f t="shared" ref="G83:G85" si="1">"The bulk process for "&amp; $B83 &amp;"  has completed successfully."</f>
        <v>The bulk process for Copy  has completed successfully.</v>
      </c>
      <c r="H83" s="9" t="str">
        <f t="shared" ref="H83:H85" si="2">"The bulk process for " &amp; $B83 &amp; " failed. Please refresh list and try again."</f>
        <v>The bulk process for Copy failed. Please refresh list and try again.</v>
      </c>
    </row>
    <row r="84" spans="2:19" hidden="1" outlineLevel="1" x14ac:dyDescent="0.25">
      <c r="B84" s="9" t="s">
        <v>117</v>
      </c>
      <c r="C84" s="9" t="s">
        <v>133</v>
      </c>
      <c r="D84" s="9" t="str">
        <f ca="1">"{{TM1SORT({FILTER( {{FILTER( {[measure code].[Total Measures].Children}, INSTR( [government measures details].([Headline Year].[" &amp; psHLYear &amp;"],[scenario].[" &amp; psScenario &amp;"],[measure details].[" &amp;$C$63&amp;"]), "  &amp; $C$72 &amp;  $C84 &amp; $C$72 &amp;  " ) &gt;=1) }}, INSTR( [government measures details].([Headline Year].[" &amp; psHLYear &amp;"],[scenario].[" &amp; psScenario &amp;"],[measure details].[" &amp;$C$70&amp;"]), "  &amp; $C$72 &amp;  $R$109 &amp; $C$72 &amp;  " ) &gt;=1)}, DESC)},[measure code].[M00000]}"</f>
        <v>{{TM1SORT({FILTER( {{FILTER( {[measure code].[Total Measures].Children}, INSTR( [government measures details].([Headline Year].[HL2023-2024],[scenario].[current],[measure details].[sys_status]), "approved" ) &gt;=1) }}, INSTR( [government measures details].([Headline Year].[HL2023-2024],[scenario].[current],[measure details].[sys_CBMS Measure Code]), "" ) &gt;=1)}, DESC)},[measure code].[M00000]}</v>
      </c>
      <c r="E84" s="9" t="str">
        <f ca="1">"{{FILTER({TM1SORT({FILTER( {{FILTER( {[measure code].[Total Measures].Children}, INSTR( [government measures details].([Headline Year].[" &amp; psHLYear &amp;"],[scenario].[" &amp; psScenario &amp;"],[measure details].[" &amp;$C$63&amp;"]), "  &amp; $C$72 &amp;  $C84 &amp; $C$72 &amp;  " ) &gt;=1) }}, INSTR( [government measures details].([Headline Year].[" &amp; psHLYear &amp;"],[scenario].[" &amp; psScenario &amp;"],[measure details].[" &amp;$C$70&amp;"]), "  &amp; $C$72 &amp;  $R$109 &amp; $C$72 &amp;  " ) &gt;=1)}, DESC)},[measure code].[current] = """ &amp; "Y" &amp; """)},[measure code].[M00000]}"</f>
        <v>{{FILTER({TM1SORT({FILTER( {{FILTER( {[measure code].[Total Measures].Children}, INSTR( [government measures details].([Headline Year].[HL2023-2024],[scenario].[current],[measure details].[sys_status]), "approved" ) &gt;=1) }}, INSTR( [government measures details].([Headline Year].[HL2023-2024],[scenario].[current],[measure details].[sys_CBMS Measure Code]), "" ) &gt;=1)}, DESC)},[measure code].[current] = "Y")},[measure code].[M00000]}</v>
      </c>
      <c r="F84" s="9" t="str">
        <f t="shared" si="0"/>
        <v>Are you sure you want to run the Reject Process?</v>
      </c>
      <c r="G84" s="9" t="str">
        <f t="shared" si="1"/>
        <v>The bulk process for Reject  has completed successfully.</v>
      </c>
      <c r="H84" s="9" t="str">
        <f t="shared" si="2"/>
        <v>The bulk process for Reject failed. Please refresh list and try again.</v>
      </c>
    </row>
    <row r="85" spans="2:19" hidden="1" outlineLevel="1" x14ac:dyDescent="0.25">
      <c r="B85" s="9" t="s">
        <v>118</v>
      </c>
      <c r="C85" s="9" t="s">
        <v>36</v>
      </c>
      <c r="D85" s="9" t="str">
        <f t="shared" ref="D85:D86" si="3">"{{ [measure code].[M00000] },{TM1SORT( { EXCEPT( {TM1FILTERBYLEVEL( {TM1SUBSETALL( [measure code] )}, 0)}, { [measure code].[M00000] }) }, DESC)}}"</f>
        <v>{{ [measure code].[M00000] },{TM1SORT( { EXCEPT( {TM1FILTERBYLEVEL( {TM1SUBSETALL( [measure code] )}, 0)}, { [measure code].[M00000] }) }, DESC)}}</v>
      </c>
      <c r="E85" s="9" t="str">
        <f>"{{ [measure code].[M00000] },{FILTER({TM1SORT( { EXCEPT( {TM1FILTERBYLEVEL( {TM1SUBSETALL( [measure code] )}, 0)}, { [measure code].[M00000] }) }, DESC)},[measure code].[current] = """ &amp; "Y" &amp; """)}}"</f>
        <v>{{ [measure code].[M00000] },{FILTER({TM1SORT( { EXCEPT( {TM1FILTERBYLEVEL( {TM1SUBSETALL( [measure code] )}, 0)}, { [measure code].[M00000] }) }, DESC)},[measure code].[current] = "Y")}}</v>
      </c>
      <c r="F85" s="9" t="str">
        <f t="shared" si="0"/>
        <v>Are you sure you want to run the Delete Process?</v>
      </c>
      <c r="G85" s="9" t="str">
        <f t="shared" si="1"/>
        <v>The bulk process for Delete  has completed successfully.</v>
      </c>
      <c r="H85" s="9" t="str">
        <f t="shared" si="2"/>
        <v>The bulk process for Delete failed. Please refresh list and try again.</v>
      </c>
    </row>
    <row r="86" spans="2:19" hidden="1" outlineLevel="1" x14ac:dyDescent="0.25">
      <c r="B86" s="9" t="s">
        <v>75</v>
      </c>
      <c r="C86" s="9" t="s">
        <v>36</v>
      </c>
      <c r="D86" s="9" t="str">
        <f t="shared" si="3"/>
        <v>{{ [measure code].[M00000] },{TM1SORT( { EXCEPT( {TM1FILTERBYLEVEL( {TM1SUBSETALL( [measure code] )}, 0)}, { [measure code].[M00000] }) }, DESC)}}</v>
      </c>
      <c r="E86" s="9" t="str">
        <f>"{{ [measure code].[M00000] },{FILTER({TM1SORT( { EXCEPT( {TM1FILTERBYLEVEL( {TM1SUBSETALL( [measure code] )}, 0)}, { [measure code].[M00000] }) }, DESC)},[measure code].[current] = """ &amp; "Y" &amp; """)}}"</f>
        <v>{{ [measure code].[M00000] },{FILTER({TM1SORT( { EXCEPT( {TM1FILTERBYLEVEL( {TM1SUBSETALL( [measure code] )}, 0)}, { [measure code].[M00000] }) }, DESC)},[measure code].[current] = "Y")}}</v>
      </c>
      <c r="F86" s="9" t="str">
        <f t="shared" si="0"/>
        <v>Are you sure you want to run the Print Process?</v>
      </c>
      <c r="G86" s="9" t="str">
        <f ca="1">IF($C$78="","The bulk process for "&amp;$B86&amp;"  has completed successfully.","Bulk Printing cancelled as it exceeds maximum limit")</f>
        <v>The bulk process for Print  has completed successfully.</v>
      </c>
      <c r="H86" s="9" t="str">
        <f>"The bulk process for " &amp; $B81 &amp; " failed. Bulk Printing has a limit of 20 adjustments per process. Please refresh list and try again."</f>
        <v>The bulk process for  failed. Bulk Printing has a limit of 20 adjustments per process. Please refresh list and try again.</v>
      </c>
      <c r="J86" s="27" t="s">
        <v>86</v>
      </c>
      <c r="K86" s="27"/>
    </row>
    <row r="87" spans="2:19" hidden="1" outlineLevel="1" x14ac:dyDescent="0.25">
      <c r="B87" s="9"/>
      <c r="C87" s="9"/>
      <c r="D87" s="9"/>
      <c r="E87" s="9"/>
      <c r="F87" s="9" t="s">
        <v>141</v>
      </c>
      <c r="G87" s="9" t="s">
        <v>141</v>
      </c>
      <c r="H87" s="9" t="s">
        <v>141</v>
      </c>
      <c r="J87" s="27" t="s">
        <v>86</v>
      </c>
      <c r="K87" s="27"/>
    </row>
    <row r="88" spans="2:19" hidden="1" outlineLevel="1" x14ac:dyDescent="0.25"/>
    <row r="89" spans="2:19" hidden="1" outlineLevel="1" x14ac:dyDescent="0.25">
      <c r="B89" s="3" t="s">
        <v>76</v>
      </c>
    </row>
    <row r="90" spans="2:19" hidden="1" outlineLevel="1" x14ac:dyDescent="0.25">
      <c r="B90" s="28" t="s">
        <v>77</v>
      </c>
      <c r="C90" s="28" t="s">
        <v>52</v>
      </c>
      <c r="D90" s="28" t="s">
        <v>54</v>
      </c>
      <c r="E90" s="28" t="s">
        <v>55</v>
      </c>
      <c r="F90" s="29" t="s">
        <v>17</v>
      </c>
      <c r="R90" s="33" t="str">
        <f ca="1">IF(LEFT(psBulkProcess,6)= "Reject","sys_meas bulk process comment","")</f>
        <v/>
      </c>
    </row>
    <row r="91" spans="2:19" hidden="1" outlineLevel="1" x14ac:dyDescent="0.25">
      <c r="B91" s="30" t="s">
        <v>78</v>
      </c>
      <c r="C91" s="30"/>
      <c r="D91" s="25" t="str">
        <f ca="1">IF(psBulkProcess="Print",IF(AND($C$93&gt;0,$C$93&lt;=20),$D$95,$D$94),$D$94)</f>
        <v>PRIMUS\GEUS WEB\Annual Estimates\Measures\meas_bulk processing measure.xlsx</v>
      </c>
      <c r="E91" s="25" t="str">
        <f ca="1">IF(psBulkProcess="Print",IF(AND($C$93&gt;0,$C$93&lt;=20),$E$95,$E$94),$E$94)</f>
        <v>bulk process</v>
      </c>
      <c r="F91" s="30"/>
    </row>
    <row r="92" spans="2:19" hidden="1" outlineLevel="1" x14ac:dyDescent="0.25">
      <c r="B92" s="30" t="s">
        <v>83</v>
      </c>
      <c r="C92" s="30" t="str">
        <f ca="1">psUser&amp;"_$sysMeasBulkPrintList"</f>
        <v>Business Analytics/Khristian Gimena_$sysMeasBulkPrintList</v>
      </c>
      <c r="D92" s="25"/>
      <c r="E92" s="25"/>
      <c r="F92" s="30"/>
      <c r="Q92" s="56" t="s">
        <v>87</v>
      </c>
      <c r="R92" s="72" t="str" cm="1">
        <f t="array" aca="1" ref="R92" ca="1">_xll.DBR($C$35,psUser,$R$90,"value")</f>
        <v>*KEY_ERR</v>
      </c>
      <c r="S92" s="73"/>
    </row>
    <row r="93" spans="2:19" hidden="1" outlineLevel="1" x14ac:dyDescent="0.25">
      <c r="B93" s="30" t="s">
        <v>84</v>
      </c>
      <c r="C93" s="30" cm="1">
        <f t="array" aca="1" ref="C93" ca="1">_xll.SUBSIZ(db_name&amp;":id",$C$92)</f>
        <v>0</v>
      </c>
      <c r="D93" s="25"/>
      <c r="E93" s="25"/>
      <c r="F93" s="30"/>
    </row>
    <row r="94" spans="2:19" hidden="1" outlineLevel="1" x14ac:dyDescent="0.25">
      <c r="B94" s="9" t="s">
        <v>79</v>
      </c>
      <c r="C94" s="9" t="s">
        <v>115</v>
      </c>
      <c r="D94" s="9" t="str" cm="1">
        <f t="array" aca="1" ref="D94" ca="1">IF($C94="","",_xll.DBR($C$19,$C94,D$90))</f>
        <v>PRIMUS\GEUS WEB\Annual Estimates\Measures\meas_bulk processing measure.xlsx</v>
      </c>
      <c r="E94" s="9" t="str" cm="1">
        <f t="array" aca="1" ref="E94" ca="1">IF($C94="","",_xll.DBR($C$19,$C94,E$90))</f>
        <v>bulk process</v>
      </c>
    </row>
    <row r="95" spans="2:19" hidden="1" outlineLevel="1" x14ac:dyDescent="0.25">
      <c r="B95" s="9" t="s">
        <v>75</v>
      </c>
      <c r="C95" s="9" t="s">
        <v>81</v>
      </c>
      <c r="D95" s="9" t="str" cm="1">
        <f t="array" aca="1" ref="D95" ca="1">IF($C95="","",_xll.DBR($C$19,$C95,D$90))</f>
        <v>PRIMUS\GEUS WEB\Annual Estimates\Adjustment\adj_bulk process - extract adj.xlsx</v>
      </c>
      <c r="E95" s="9" t="str" cm="1">
        <f t="array" aca="1" ref="E95" ca="1">IF($C95="","",_xll.DBR($C$19,$C95,E$90))</f>
        <v>extract adj</v>
      </c>
    </row>
    <row r="96" spans="2:19" hidden="1" outlineLevel="1" x14ac:dyDescent="0.25"/>
    <row r="97" spans="1:19" ht="15" hidden="1" customHeight="1" outlineLevel="1" x14ac:dyDescent="0.25">
      <c r="B97" s="10" t="s">
        <v>37</v>
      </c>
      <c r="C97" s="10" t="s">
        <v>119</v>
      </c>
      <c r="D97" s="10"/>
      <c r="E97" s="10" t="s">
        <v>14</v>
      </c>
      <c r="F97" s="11"/>
      <c r="G97" s="11" t="s">
        <v>21</v>
      </c>
      <c r="H97" s="11"/>
      <c r="I97" s="11"/>
      <c r="J97" s="10" t="s">
        <v>122</v>
      </c>
      <c r="K97" s="10" t="s">
        <v>126</v>
      </c>
      <c r="L97" s="10" t="s">
        <v>38</v>
      </c>
      <c r="M97" s="11"/>
      <c r="N97" s="10" t="s">
        <v>121</v>
      </c>
      <c r="O97" s="11" t="s">
        <v>124</v>
      </c>
      <c r="P97" s="11" t="s">
        <v>57</v>
      </c>
      <c r="Q97" s="11" t="s">
        <v>125</v>
      </c>
      <c r="R97" s="11" t="s">
        <v>129</v>
      </c>
      <c r="S97" s="10" t="s">
        <v>130</v>
      </c>
    </row>
    <row r="98" spans="1:19" hidden="1" outlineLevel="1" x14ac:dyDescent="0.25"/>
    <row r="99" spans="1:19" ht="36" customHeight="1" collapsed="1" x14ac:dyDescent="0.2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 t="s">
        <v>114</v>
      </c>
    </row>
    <row r="100" spans="1:19" ht="4.5" customHeight="1" x14ac:dyDescent="0.25">
      <c r="I100" s="17"/>
      <c r="J100" s="17"/>
      <c r="K100" s="17"/>
      <c r="L100" s="17"/>
      <c r="M100" s="17"/>
      <c r="N100" s="17"/>
      <c r="O100" s="17"/>
      <c r="P100" s="18"/>
      <c r="Q100" s="18"/>
      <c r="R100" s="18"/>
      <c r="S100" s="18"/>
    </row>
    <row r="101" spans="1:19" ht="24" customHeight="1" x14ac:dyDescent="0.25">
      <c r="I101"/>
      <c r="J101"/>
      <c r="K101"/>
      <c r="L101"/>
      <c r="N101"/>
      <c r="O101"/>
      <c r="P101"/>
      <c r="Q101"/>
    </row>
    <row r="102" spans="1:19" ht="1.5" customHeight="1" x14ac:dyDescent="0.25"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</row>
    <row r="103" spans="1:19" ht="15.75" thickBot="1" x14ac:dyDescent="0.3">
      <c r="L103" s="31" t="str">
        <f ca="1">$E$104</f>
        <v>A minimum of 1 and maximum of 20 can be printed, please amend selection to meet requirements.</v>
      </c>
      <c r="M103" s="31"/>
      <c r="N103" s="31"/>
      <c r="O103" s="31"/>
      <c r="Q103" s="13"/>
      <c r="R103" s="13"/>
      <c r="S103" s="13"/>
    </row>
    <row r="104" spans="1:19" ht="15.75" thickBot="1" x14ac:dyDescent="0.3">
      <c r="D104" s="3" t="s">
        <v>67</v>
      </c>
      <c r="E104" s="25" t="str">
        <f ca="1">IF(OR(psBulkProcess=$B$83,psBulkProcess=$B$84,psBulkProcess=$B$85),IF($C$78&lt;&gt;"",$C$78,"Note : This process will place you in a queue and may take a while to complete."),IF(psBulkProcess=$B$87,IF(OR($C$93=0,$C$93&gt;20),"A minimum of 1 and maximum of 20 can be printed, please amend selection to meet requirements.",""),""))</f>
        <v>A minimum of 1 and maximum of 20 can be printed, please amend selection to meet requirements.</v>
      </c>
      <c r="L104" s="44" t="s">
        <v>45</v>
      </c>
      <c r="M104" s="12"/>
      <c r="N104" s="55" t="str" cm="1">
        <f t="array" aca="1" ref="N104" ca="1">_xll.DBR($C$35,psUser,"sys_meas bulk process","value")</f>
        <v/>
      </c>
      <c r="O104" s="31"/>
      <c r="P104" s="36" t="str">
        <f ca="1">IF(psBulkProcess="Print","Remaining IDs available to Print : " &amp;$F109,"")</f>
        <v/>
      </c>
    </row>
    <row r="105" spans="1:19" ht="5.0999999999999996" customHeight="1" x14ac:dyDescent="0.25">
      <c r="J105" s="14"/>
      <c r="K105" s="14"/>
      <c r="L105" s="14"/>
      <c r="M105" s="15"/>
      <c r="O105" s="31"/>
      <c r="S105" s="15"/>
    </row>
    <row r="106" spans="1:19" x14ac:dyDescent="0.25">
      <c r="L106" s="74" t="s">
        <v>58</v>
      </c>
      <c r="M106" s="75"/>
      <c r="N106" s="75"/>
      <c r="O106" s="31"/>
      <c r="Q106" s="65" t="s">
        <v>42</v>
      </c>
      <c r="R106" s="66"/>
      <c r="S106" s="15"/>
    </row>
    <row r="107" spans="1:19" x14ac:dyDescent="0.25">
      <c r="L107" s="16" t="s">
        <v>40</v>
      </c>
      <c r="M107" s="12"/>
      <c r="N107" s="40" t="str" cm="1">
        <f t="array" aca="1" ref="N107" ca="1">_xll.SUBNM(db_name&amp;":headline year","",$C$43)</f>
        <v>HL2023-2024</v>
      </c>
      <c r="O107" s="31"/>
      <c r="Q107" s="61" t="s">
        <v>140</v>
      </c>
      <c r="R107" s="63" t="str" cm="1">
        <f t="array" aca="1" ref="R107" ca="1">_xll.SUBNM(db_name&amp;":sys_YesNo","","Yes")</f>
        <v>Yes</v>
      </c>
      <c r="S107" s="15"/>
    </row>
    <row r="108" spans="1:19" x14ac:dyDescent="0.25">
      <c r="F108" s="41" t="s">
        <v>90</v>
      </c>
      <c r="G108" s="41" t="s">
        <v>89</v>
      </c>
      <c r="H108" s="41" t="s">
        <v>70</v>
      </c>
      <c r="L108" s="16" t="s">
        <v>41</v>
      </c>
      <c r="M108" s="12"/>
      <c r="N108" s="40" t="str" cm="1">
        <f t="array" aca="1" ref="N108" ca="1">_xll.SUBNM(db_name&amp;":scenario","",$C$44)</f>
        <v>current</v>
      </c>
      <c r="O108" s="31"/>
      <c r="Q108" s="61" t="s">
        <v>43</v>
      </c>
      <c r="R108" s="40" t="s">
        <v>112</v>
      </c>
      <c r="S108" s="15"/>
    </row>
    <row r="109" spans="1:19" x14ac:dyDescent="0.25">
      <c r="F109" s="26">
        <f ca="1">20-G109</f>
        <v>20</v>
      </c>
      <c r="G109" s="26">
        <f ca="1">COUNTIF($L114:$L115,"Y")</f>
        <v>0</v>
      </c>
      <c r="H109" s="26">
        <f ca="1">$C$54</f>
        <v>-1</v>
      </c>
      <c r="L109" s="16" t="s">
        <v>72</v>
      </c>
      <c r="M109" s="12"/>
      <c r="N109" s="46" t="str">
        <f ca="1">IF(psScenario="current",$C$45,psScenario)</f>
        <v>Budget</v>
      </c>
      <c r="O109" s="31"/>
      <c r="P109" s="59"/>
      <c r="Q109" s="61" t="s">
        <v>44</v>
      </c>
      <c r="R109" s="40"/>
      <c r="S109" s="15"/>
    </row>
    <row r="110" spans="1:19" x14ac:dyDescent="0.25">
      <c r="J110" s="64" t="str">
        <f ca="1">IF(psBulkProcess=$B$85,"Measures that has balances WILL NOT be deleted","")</f>
        <v/>
      </c>
      <c r="K110" s="64"/>
      <c r="L110" s="64"/>
      <c r="O110" s="31"/>
      <c r="Q110" s="60"/>
      <c r="R110" s="22" t="s">
        <v>39</v>
      </c>
      <c r="S110" s="15"/>
    </row>
    <row r="111" spans="1:19" ht="5.0999999999999996" customHeight="1" x14ac:dyDescent="0.25"/>
    <row r="112" spans="1:19" s="19" customFormat="1" ht="35.25" customHeight="1" x14ac:dyDescent="0.25">
      <c r="B112" s="20" t="s">
        <v>120</v>
      </c>
      <c r="C112" s="21" t="s">
        <v>15</v>
      </c>
      <c r="D112" s="21"/>
      <c r="E112" s="21"/>
      <c r="F112" s="21"/>
      <c r="G112" s="21"/>
      <c r="H112" s="21"/>
      <c r="J112" s="41" t="s">
        <v>111</v>
      </c>
      <c r="K112" s="42" t="s">
        <v>112</v>
      </c>
      <c r="L112" s="41" t="s">
        <v>59</v>
      </c>
      <c r="N112" s="41" t="s">
        <v>127</v>
      </c>
      <c r="O112" s="42" t="s">
        <v>123</v>
      </c>
      <c r="P112" s="41" t="s">
        <v>19</v>
      </c>
      <c r="Q112" s="41" t="s">
        <v>128</v>
      </c>
      <c r="R112" s="41" t="s">
        <v>139</v>
      </c>
      <c r="S112" s="41" t="s">
        <v>131</v>
      </c>
    </row>
    <row r="113" spans="1:19" s="19" customFormat="1" ht="5.0999999999999996" customHeight="1" thickBot="1" x14ac:dyDescent="0.3">
      <c r="B113" s="34"/>
      <c r="C113" s="34"/>
      <c r="D113" s="34"/>
      <c r="E113" s="34"/>
      <c r="F113" s="34"/>
      <c r="G113" s="34"/>
      <c r="H113" s="34"/>
      <c r="J113" s="34"/>
      <c r="K113" s="34"/>
      <c r="L113" s="34"/>
      <c r="N113" s="34"/>
      <c r="O113" s="34"/>
      <c r="P113" s="34"/>
      <c r="Q113" s="34"/>
      <c r="R113" s="34"/>
      <c r="S113" s="34"/>
    </row>
    <row r="114" spans="1:19" ht="24.95" customHeight="1" thickBot="1" x14ac:dyDescent="0.3">
      <c r="A114" s="23" t="str" cm="1">
        <f t="array" aca="1" ref="A114" ca="1">IF(_xll.TM1RPTELISCONSOLIDATED($B$114,$B114),IF(_xll.TM1RPTELLEV($B$114,$B114)&lt;=3,_xll.TM1RPTELLEV($B$114,$B114),"D"),"N")</f>
        <v>N</v>
      </c>
      <c r="B114" s="76" t="str" cm="1">
        <f t="array" aca="1" ref="B114" ca="1">_xll.TM1RPTROW($C$51,db_name&amp;":measure code",$C$53,"","",,"")</f>
        <v>M00344</v>
      </c>
      <c r="C114" s="47" t="str" cm="1">
        <f t="array" aca="1" ref="C114" ca="1">_xll.DBRW($C$51,$N$107,$N$108,$B114,C$97)</f>
        <v>Personal Protective Equipment - Mask Material Manufacture - Textor</v>
      </c>
      <c r="D114" s="23"/>
      <c r="E114" s="23"/>
      <c r="F114" s="23"/>
      <c r="G114" s="23"/>
      <c r="H114" s="23"/>
      <c r="I114" s="23"/>
      <c r="J114" s="45" t="str" cm="1">
        <f t="array" aca="1" ref="J114" ca="1">_xll.DBRW($C$52,$N$107,$N$108,$B114,J$97)</f>
        <v>M00344</v>
      </c>
      <c r="K114" s="58" t="str" cm="1">
        <f t="array" aca="1" ref="K114" ca="1">_xll.DBRW($C$52,$N$107,$N$108,$B114,K$97)</f>
        <v>103587</v>
      </c>
      <c r="L114" s="57" t="str" cm="1">
        <f t="array" aca="1" ref="L114" ca="1">_xll.DBRW($C$56,psUser,$N$107,$N$108,$B114,L$97)</f>
        <v/>
      </c>
      <c r="M114" s="50"/>
      <c r="N114" s="51" t="str" cm="1">
        <f t="array" aca="1" ref="N114" ca="1">_xll.DBRW($C$52,$N$107,$N$108,$B114,N$97)</f>
        <v>Personal Protective Equipment - Mask Material Manufacture - Textor</v>
      </c>
      <c r="O114" s="52" t="str" cm="1">
        <f t="array" aca="1" ref="O114" ca="1">_xll.DBRW($C$52,$N$107,$N$108,$B114,O$97)</f>
        <v>Expenses</v>
      </c>
      <c r="P114" s="52" t="str" cm="1">
        <f t="array" aca="1" ref="P114" ca="1">_xll.DBRW($C$52,$N$107,$N$108,$B114,P$97)</f>
        <v>draft</v>
      </c>
      <c r="Q114" s="53" t="str" cm="1">
        <f t="array" aca="1" ref="Q114" ca="1">_xll.DBRW($C$52,$N$107,$N$108,$B114,Q$97)</f>
        <v>terminating</v>
      </c>
      <c r="R114" s="62" t="str" cm="1">
        <f t="array" aca="1" ref="R114" ca="1">_xll.DBRW($C$52,$N$107,$N$108,$B114,R$97)</f>
        <v>2021-2022</v>
      </c>
      <c r="S114" s="54" t="str" cm="1">
        <f t="array" aca="1" ref="S114" ca="1">_xll.DBRW($C$52,$N$107,$N$108,$B114,S$97)</f>
        <v>SM20/0137/CAB/2</v>
      </c>
    </row>
    <row r="115" spans="1:19" ht="5.0999999999999996" customHeight="1" x14ac:dyDescent="0.25">
      <c r="J115" s="35"/>
      <c r="K115" s="35"/>
      <c r="L115" s="35"/>
      <c r="N115" s="35"/>
      <c r="O115" s="35"/>
      <c r="P115" s="35"/>
      <c r="Q115" s="35"/>
      <c r="R115" s="35"/>
      <c r="S115" s="35"/>
    </row>
    <row r="116" spans="1:19" x14ac:dyDescent="0.25">
      <c r="B116" s="1" t="s">
        <v>88</v>
      </c>
    </row>
  </sheetData>
  <sheetProtection sheet="1" objects="1" scenarios="1"/>
  <mergeCells count="12">
    <mergeCell ref="J110:L110"/>
    <mergeCell ref="Q106:R106"/>
    <mergeCell ref="B10:C10"/>
    <mergeCell ref="B34:C34"/>
    <mergeCell ref="B41:C41"/>
    <mergeCell ref="B50:C50"/>
    <mergeCell ref="B55:C55"/>
    <mergeCell ref="B18:C18"/>
    <mergeCell ref="B74:C74"/>
    <mergeCell ref="D41:E41"/>
    <mergeCell ref="R92:S92"/>
    <mergeCell ref="L106:N106"/>
  </mergeCells>
  <conditionalFormatting sqref="Q7 Q114">
    <cfRule type="beginsWith" dxfId="10" priority="5371" operator="beginsWith" text="Agency draft">
      <formula>LEFT(Q7,LEN("Agency draft"))="Agency draft"</formula>
    </cfRule>
    <cfRule type="beginsWith" dxfId="9" priority="5372" operator="beginsWith" text="Agency CFO approved">
      <formula>LEFT(Q7,LEN("Agency CFO approved"))="Agency CFO approved"</formula>
    </cfRule>
  </conditionalFormatting>
  <conditionalFormatting sqref="Q7 Q114">
    <cfRule type="containsText" dxfId="8" priority="5370" operator="containsText" text="submit">
      <formula>NOT(ISERROR(SEARCH("submit",Q7)))</formula>
    </cfRule>
  </conditionalFormatting>
  <conditionalFormatting sqref="S7 S114">
    <cfRule type="beginsWith" dxfId="7" priority="4695" operator="beginsWith" text="I000000">
      <formula>LEFT(S7,7)="I000000"</formula>
    </cfRule>
  </conditionalFormatting>
  <conditionalFormatting sqref="Q7 Q114">
    <cfRule type="beginsWith" dxfId="6" priority="5368" operator="beginsWith" text="Treasury review">
      <formula>LEFT(Q7,15)="Treasury review"</formula>
    </cfRule>
  </conditionalFormatting>
  <conditionalFormatting sqref="Q7 Q114">
    <cfRule type="beginsWith" dxfId="5" priority="4733" operator="beginsWith" text="Treasury approved">
      <formula>LEFT(Q7,17)="Treasury approved"</formula>
    </cfRule>
    <cfRule type="containsText" dxfId="4" priority="4734" operator="containsText" text="unauthorised">
      <formula>NOT(ISERROR(SEARCH("unauthorised",Q7)))</formula>
    </cfRule>
    <cfRule type="containsText" dxfId="3" priority="4735" operator="containsText" text="unbalanced">
      <formula>NOT(ISERROR(SEARCH("unbalanced",Q7)))</formula>
    </cfRule>
  </conditionalFormatting>
  <conditionalFormatting sqref="S7 S114">
    <cfRule type="containsText" dxfId="2" priority="4545" operator="containsText" text="No Measure">
      <formula>NOT(ISERROR(SEARCH("No Measure",S7)))</formula>
    </cfRule>
  </conditionalFormatting>
  <conditionalFormatting sqref="Q92:S92">
    <cfRule type="expression" dxfId="1" priority="1014">
      <formula>LEFT($N$104,6)&lt;&gt;"Reject"</formula>
    </cfRule>
  </conditionalFormatting>
  <conditionalFormatting sqref="P104">
    <cfRule type="expression" dxfId="0" priority="793">
      <formula>$F$109&lt;0</formula>
    </cfRule>
  </conditionalFormatting>
  <dataValidations count="1">
    <dataValidation type="list" allowBlank="1" showInputMessage="1" showErrorMessage="1" sqref="R108">
      <formula1>sys_id_filterlist</formula1>
    </dataValidation>
  </dataValidations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62" r:id="rId4" name="TIButton1">
          <controlPr defaultSize="0" print="0" autoLine="0" r:id="rId5">
            <anchor moveWithCells="1" sizeWithCells="1">
              <from>
                <xdr:col>9</xdr:col>
                <xdr:colOff>0</xdr:colOff>
                <xdr:row>99</xdr:row>
                <xdr:rowOff>47625</xdr:rowOff>
              </from>
              <to>
                <xdr:col>9</xdr:col>
                <xdr:colOff>638175</xdr:colOff>
                <xdr:row>100</xdr:row>
                <xdr:rowOff>238125</xdr:rowOff>
              </to>
            </anchor>
          </controlPr>
        </control>
      </mc:Choice>
      <mc:Fallback>
        <control shapeId="1062" r:id="rId4" name="TIButton1"/>
      </mc:Fallback>
    </mc:AlternateContent>
    <mc:AlternateContent xmlns:mc="http://schemas.openxmlformats.org/markup-compatibility/2006">
      <mc:Choice Requires="x14">
        <control shapeId="1063" r:id="rId6" name="TIButton2">
          <controlPr defaultSize="0" print="0" autoLine="0" r:id="rId7">
            <anchor moveWithCells="1" sizeWithCells="1">
              <from>
                <xdr:col>9</xdr:col>
                <xdr:colOff>676275</xdr:colOff>
                <xdr:row>99</xdr:row>
                <xdr:rowOff>47625</xdr:rowOff>
              </from>
              <to>
                <xdr:col>10</xdr:col>
                <xdr:colOff>790575</xdr:colOff>
                <xdr:row>100</xdr:row>
                <xdr:rowOff>238125</xdr:rowOff>
              </to>
            </anchor>
          </controlPr>
        </control>
      </mc:Choice>
      <mc:Fallback>
        <control shapeId="1063" r:id="rId6" name="TIButton2"/>
      </mc:Fallback>
    </mc:AlternateContent>
    <mc:AlternateContent xmlns:mc="http://schemas.openxmlformats.org/markup-compatibility/2006">
      <mc:Choice Requires="x14">
        <control shapeId="1064" r:id="rId8" name="TIButton3">
          <controlPr defaultSize="0" print="0" autoLine="0" r:id="rId9">
            <anchor moveWithCells="1" sizeWithCells="1">
              <from>
                <xdr:col>13</xdr:col>
                <xdr:colOff>2790825</xdr:colOff>
                <xdr:row>99</xdr:row>
                <xdr:rowOff>47625</xdr:rowOff>
              </from>
              <to>
                <xdr:col>13</xdr:col>
                <xdr:colOff>3571875</xdr:colOff>
                <xdr:row>100</xdr:row>
                <xdr:rowOff>238125</xdr:rowOff>
              </to>
            </anchor>
          </controlPr>
        </control>
      </mc:Choice>
      <mc:Fallback>
        <control shapeId="1064" r:id="rId8" name="TIButton3"/>
      </mc:Fallback>
    </mc:AlternateContent>
    <mc:AlternateContent xmlns:mc="http://schemas.openxmlformats.org/markup-compatibility/2006">
      <mc:Choice Requires="x14">
        <control shapeId="1065" r:id="rId10" name="TIButton4">
          <controlPr defaultSize="0" print="0" autoLine="0" r:id="rId11">
            <anchor moveWithCells="1" sizeWithCells="1">
              <from>
                <xdr:col>10</xdr:col>
                <xdr:colOff>838200</xdr:colOff>
                <xdr:row>99</xdr:row>
                <xdr:rowOff>47625</xdr:rowOff>
              </from>
              <to>
                <xdr:col>11</xdr:col>
                <xdr:colOff>676275</xdr:colOff>
                <xdr:row>100</xdr:row>
                <xdr:rowOff>238125</xdr:rowOff>
              </to>
            </anchor>
          </controlPr>
        </control>
      </mc:Choice>
      <mc:Fallback>
        <control shapeId="1065" r:id="rId10" name="TIButton4"/>
      </mc:Fallback>
    </mc:AlternateContent>
    <mc:AlternateContent xmlns:mc="http://schemas.openxmlformats.org/markup-compatibility/2006">
      <mc:Choice Requires="x14">
        <control shapeId="1066" r:id="rId12" name="TIButton5">
          <controlPr defaultSize="0" print="0" autoLine="0" r:id="rId13">
            <anchor moveWithCells="1" sizeWithCells="1">
              <from>
                <xdr:col>11</xdr:col>
                <xdr:colOff>723900</xdr:colOff>
                <xdr:row>99</xdr:row>
                <xdr:rowOff>47625</xdr:rowOff>
              </from>
              <to>
                <xdr:col>13</xdr:col>
                <xdr:colOff>314325</xdr:colOff>
                <xdr:row>100</xdr:row>
                <xdr:rowOff>238125</xdr:rowOff>
              </to>
            </anchor>
          </controlPr>
        </control>
      </mc:Choice>
      <mc:Fallback>
        <control shapeId="1066" r:id="rId12" name="TIButton5"/>
      </mc:Fallback>
    </mc:AlternateContent>
    <mc:AlternateContent xmlns:mc="http://schemas.openxmlformats.org/markup-compatibility/2006">
      <mc:Choice Requires="x14">
        <control shapeId="1067" r:id="rId14" name="TIButton6">
          <controlPr defaultSize="0" print="0" autoLine="0" r:id="rId15">
            <anchor moveWithCells="1" sizeWithCells="1">
              <from>
                <xdr:col>13</xdr:col>
                <xdr:colOff>352425</xdr:colOff>
                <xdr:row>99</xdr:row>
                <xdr:rowOff>47625</xdr:rowOff>
              </from>
              <to>
                <xdr:col>13</xdr:col>
                <xdr:colOff>1085850</xdr:colOff>
                <xdr:row>100</xdr:row>
                <xdr:rowOff>238125</xdr:rowOff>
              </to>
            </anchor>
          </controlPr>
        </control>
      </mc:Choice>
      <mc:Fallback>
        <control shapeId="1067" r:id="rId14" name="TIButton6"/>
      </mc:Fallback>
    </mc:AlternateContent>
    <mc:AlternateContent xmlns:mc="http://schemas.openxmlformats.org/markup-compatibility/2006">
      <mc:Choice Requires="x14">
        <control shapeId="1068" r:id="rId16" name="TIButton7">
          <controlPr defaultSize="0" print="0" autoLine="0" r:id="rId17">
            <anchor moveWithCells="1" sizeWithCells="1">
              <from>
                <xdr:col>13</xdr:col>
                <xdr:colOff>1114425</xdr:colOff>
                <xdr:row>99</xdr:row>
                <xdr:rowOff>47625</xdr:rowOff>
              </from>
              <to>
                <xdr:col>13</xdr:col>
                <xdr:colOff>1847850</xdr:colOff>
                <xdr:row>100</xdr:row>
                <xdr:rowOff>238125</xdr:rowOff>
              </to>
            </anchor>
          </controlPr>
        </control>
      </mc:Choice>
      <mc:Fallback>
        <control shapeId="1068" r:id="rId16" name="TIButton7"/>
      </mc:Fallback>
    </mc:AlternateContent>
    <mc:AlternateContent xmlns:mc="http://schemas.openxmlformats.org/markup-compatibility/2006">
      <mc:Choice Requires="x14">
        <control shapeId="1069" r:id="rId18" name="TIButton8">
          <controlPr defaultSize="0" print="0" autoLine="0" r:id="rId19">
            <anchor moveWithCells="1" sizeWithCells="1">
              <from>
                <xdr:col>13</xdr:col>
                <xdr:colOff>1905000</xdr:colOff>
                <xdr:row>99</xdr:row>
                <xdr:rowOff>47625</xdr:rowOff>
              </from>
              <to>
                <xdr:col>13</xdr:col>
                <xdr:colOff>2743200</xdr:colOff>
                <xdr:row>100</xdr:row>
                <xdr:rowOff>238125</xdr:rowOff>
              </to>
            </anchor>
          </controlPr>
        </control>
      </mc:Choice>
      <mc:Fallback>
        <control shapeId="1069" r:id="rId18" name="TIButton8"/>
      </mc:Fallback>
    </mc:AlternateContent>
    <mc:AlternateContent xmlns:mc="http://schemas.openxmlformats.org/markup-compatibility/2006">
      <mc:Choice Requires="x14">
        <control shapeId="1071" r:id="rId20" name="TIButton9">
          <controlPr defaultSize="0" print="0" autoLine="0" r:id="rId21">
            <anchor moveWithCells="1" sizeWithCells="1">
              <from>
                <xdr:col>18</xdr:col>
                <xdr:colOff>1400175</xdr:colOff>
                <xdr:row>99</xdr:row>
                <xdr:rowOff>28575</xdr:rowOff>
              </from>
              <to>
                <xdr:col>19</xdr:col>
                <xdr:colOff>0</xdr:colOff>
                <xdr:row>100</xdr:row>
                <xdr:rowOff>285750</xdr:rowOff>
              </to>
            </anchor>
          </controlPr>
        </control>
      </mc:Choice>
      <mc:Fallback>
        <control shapeId="1071" r:id="rId20" name="TIButton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63</vt:i4>
      </vt:variant>
    </vt:vector>
  </HeadingPairs>
  <TitlesOfParts>
    <vt:vector size="64" baseType="lpstr">
      <vt:lpstr>bulk process</vt:lpstr>
      <vt:lpstr>'bulk process'!db_name</vt:lpstr>
      <vt:lpstr>psApp</vt:lpstr>
      <vt:lpstr>psBulkMDX</vt:lpstr>
      <vt:lpstr>psBulkProcess</vt:lpstr>
      <vt:lpstr>psFailureMessage</vt:lpstr>
      <vt:lpstr>'bulk process'!psFilter</vt:lpstr>
      <vt:lpstr>'bulk process'!psHLYear</vt:lpstr>
      <vt:lpstr>'bulk process'!psScenario</vt:lpstr>
      <vt:lpstr>'bulk process'!psTextFilter</vt:lpstr>
      <vt:lpstr>'bulk process'!psUser</vt:lpstr>
      <vt:lpstr>'bulk process'!SelectedHLYear</vt:lpstr>
      <vt:lpstr>'bulk process'!SelectedScenario</vt:lpstr>
      <vt:lpstr>sys_bulkprocesslist</vt:lpstr>
      <vt:lpstr>'bulk process'!sys_id_filterlist</vt:lpstr>
      <vt:lpstr>'bulk process'!sys_idfilter_lookup</vt:lpstr>
      <vt:lpstr>TM1AdjIDListCAP</vt:lpstr>
      <vt:lpstr>TM1AdjIDListWB</vt:lpstr>
      <vt:lpstr>TM1AdjListWB</vt:lpstr>
      <vt:lpstr>TM1AdjListWS</vt:lpstr>
      <vt:lpstr>TM1BackColor</vt:lpstr>
      <vt:lpstr>TM1BulkProcessCAP</vt:lpstr>
      <vt:lpstr>TM1BulkProcessWB</vt:lpstr>
      <vt:lpstr>TM1BulkProcessWS</vt:lpstr>
      <vt:lpstr>TM1BulkWB</vt:lpstr>
      <vt:lpstr>TM1BulkWS</vt:lpstr>
      <vt:lpstr>TM1HomeAECAP</vt:lpstr>
      <vt:lpstr>TM1HomeAEDataEntryCAP</vt:lpstr>
      <vt:lpstr>TM1HomeAEDataEntryWB</vt:lpstr>
      <vt:lpstr>TM1HomeAEDataEntryWS</vt:lpstr>
      <vt:lpstr>TM1HomeAEMeasuresCAP</vt:lpstr>
      <vt:lpstr>TM1HomeAEMeasuresWB</vt:lpstr>
      <vt:lpstr>TM1HomeAEMeasuresWS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TM1IDListWS</vt:lpstr>
      <vt:lpstr>TM1MeasBulkCAP</vt:lpstr>
      <vt:lpstr>TM1MeasBulkWB</vt:lpstr>
      <vt:lpstr>TM1MeasBulkWS</vt:lpstr>
      <vt:lpstr>TM1MeasListCAP</vt:lpstr>
      <vt:lpstr>TM1MeasListWB</vt:lpstr>
      <vt:lpstr>TM1MeasListWS</vt:lpstr>
      <vt:lpstr>TM1NewAdjWB</vt:lpstr>
      <vt:lpstr>TM1NewAdjWS</vt:lpstr>
      <vt:lpstr>TM1NewMeas01HeaderCAP</vt:lpstr>
      <vt:lpstr>TM1NewMeas01HeaderWB</vt:lpstr>
      <vt:lpstr>TM1NewMeas01HeaderWS</vt:lpstr>
      <vt:lpstr>TM1PrcConfMsg</vt:lpstr>
      <vt:lpstr>TM1PrcErrorMsg</vt:lpstr>
      <vt:lpstr>TM1PrcSuccessMsg</vt:lpstr>
      <vt:lpstr>'bulk process'!TM1RPTDATARNG2</vt:lpstr>
      <vt:lpstr>'bulk process'!TM1RPTFMTIDCOL</vt:lpstr>
      <vt:lpstr>'bulk process'!TM1RPTFMTRNG</vt:lpstr>
      <vt:lpstr>TM1ViewAdjWB</vt:lpstr>
      <vt:lpstr>TM1ViewAdjWS</vt:lpstr>
      <vt:lpstr>TM1ViewMeas01HeaderCAP</vt:lpstr>
      <vt:lpstr>TM1ViewMeas01HeaderWB</vt:lpstr>
      <vt:lpstr>TM1ViewMeas01HeaderWS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ian0404</dc:creator>
  <cp:lastModifiedBy>modeler1</cp:lastModifiedBy>
  <dcterms:created xsi:type="dcterms:W3CDTF">2015-10-26T03:10:46Z</dcterms:created>
  <dcterms:modified xsi:type="dcterms:W3CDTF">2023-09-01T00:40:51Z</dcterms:modified>
  <cp:category>Applications\GBMS\GBMS Lite\Adjustment\adj_bulk process.xlsx</cp:category>
</cp:coreProperties>
</file>