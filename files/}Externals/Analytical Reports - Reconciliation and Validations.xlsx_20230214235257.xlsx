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CCD8B0ED-BBB4-41CE-8FDA-3647C67D2FEA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reco" sheetId="1" r:id="rId1"/>
  </sheets>
  <definedNames>
    <definedName name="db_name">reco!$C$12</definedName>
    <definedName name="_xlnm.Print_Area" localSheetId="0">reco!$J$74:$S$167</definedName>
    <definedName name="_xlnm.Print_Titles" localSheetId="0">reco!$J:$M,reco!$86:$86</definedName>
    <definedName name="psApp">reco!$C$30</definedName>
    <definedName name="psUser">reco!$C$14</definedName>
    <definedName name="TM1AnalRptARTRecoCAP">reco!$D$41</definedName>
    <definedName name="TM1AnalRptARTRecoWB">reco!$F$41</definedName>
    <definedName name="TM1AnalRptARTRecoWS">reco!$H$41</definedName>
    <definedName name="TM1AnalRptDashboardCAP">reco!$D$40</definedName>
    <definedName name="TM1AnalRptDashboardWB">reco!$F$40</definedName>
    <definedName name="TM1AnalRptDashboardWS">reco!$H$40</definedName>
    <definedName name="TM1AnalRptExportToCSVCAP">reco!$D$42</definedName>
    <definedName name="TM1AnalRptExportToCSVWB">reco!$F$42</definedName>
    <definedName name="TM1AnalRptExportToCSVWS">reco!$H$42</definedName>
    <definedName name="TM1AnalRptRecoCAP">reco!$D$39</definedName>
    <definedName name="TM1AnalRptRecoWB">reco!$F$39</definedName>
    <definedName name="TM1AnalRptRecoWS">reco!$H$39</definedName>
    <definedName name="TM1AnalRptRepAdjRecoCAP">reco!$D$38</definedName>
    <definedName name="TM1AnalRptRepAdjRecoWB">reco!$F$38</definedName>
    <definedName name="TM1AnalRptRepAdjRecoWS">reco!$H$38</definedName>
    <definedName name="TM1AnalRptRepStageMaintCAP">reco!$D$43</definedName>
    <definedName name="TM1AnalRptRepStageMaintWB">reco!$F$43</definedName>
    <definedName name="TM1AnalRptRepStageMaintWS">reco!$H$43</definedName>
    <definedName name="TM1AnalRptTransCAP">reco!$D$37</definedName>
    <definedName name="TM1AnalRptTransWB">reco!$F$37</definedName>
    <definedName name="TM1AnalRptTransWS">reco!$H$37</definedName>
    <definedName name="TM1HomeAECAP">reco!$D$33</definedName>
    <definedName name="TM1HomeAEWB">reco!$F$33</definedName>
    <definedName name="TM1HomeAEWS">reco!$H$33</definedName>
    <definedName name="TM1HomeCAP">reco!$D$32</definedName>
    <definedName name="TM1HomeRepAnalyticalCAP">reco!$D$36</definedName>
    <definedName name="TM1HomeRepAnalyticalWB">reco!$F$36</definedName>
    <definedName name="TM1HomeRepAnalyticalWS">reco!$H$36</definedName>
    <definedName name="TM1HomeRepCAP">reco!$D$34</definedName>
    <definedName name="TM1HomeRepOtherCAP">reco!$D$35</definedName>
    <definedName name="TM1HomeRepOtherWB">reco!$F$35</definedName>
    <definedName name="TM1HomeRepOtherWS">reco!$H$35</definedName>
    <definedName name="TM1HomeRepWB">reco!$F$34</definedName>
    <definedName name="TM1HomeRepWS">reco!$H$34</definedName>
    <definedName name="TM1HomeWB">reco!$F$32</definedName>
    <definedName name="TM1HomeWS">reco!$H$32</definedName>
    <definedName name="TM1REBUILDOPTION">1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5" i="1" l="1"/>
  <c r="B165" i="1"/>
  <c r="D164" i="1"/>
  <c r="B164" i="1"/>
  <c r="D163" i="1"/>
  <c r="B163" i="1"/>
  <c r="D161" i="1"/>
  <c r="B161" i="1"/>
  <c r="D160" i="1"/>
  <c r="B160" i="1"/>
  <c r="D158" i="1"/>
  <c r="B158" i="1"/>
  <c r="D157" i="1"/>
  <c r="B157" i="1"/>
  <c r="D156" i="1"/>
  <c r="B156" i="1"/>
  <c r="D155" i="1"/>
  <c r="B155" i="1"/>
  <c r="D154" i="1"/>
  <c r="B154" i="1"/>
  <c r="D152" i="1"/>
  <c r="B152" i="1"/>
  <c r="D151" i="1"/>
  <c r="B151" i="1"/>
  <c r="D150" i="1"/>
  <c r="B150" i="1"/>
  <c r="D148" i="1"/>
  <c r="B148" i="1"/>
  <c r="D147" i="1"/>
  <c r="B147" i="1"/>
  <c r="D146" i="1"/>
  <c r="B146" i="1"/>
  <c r="D144" i="1"/>
  <c r="B144" i="1"/>
  <c r="D143" i="1"/>
  <c r="B143" i="1"/>
  <c r="D140" i="1"/>
  <c r="B140" i="1"/>
  <c r="D139" i="1"/>
  <c r="B139" i="1"/>
  <c r="D138" i="1"/>
  <c r="B138" i="1"/>
  <c r="D137" i="1"/>
  <c r="B137" i="1"/>
  <c r="D133" i="1"/>
  <c r="D132" i="1"/>
  <c r="B132" i="1"/>
  <c r="D131" i="1"/>
  <c r="B131" i="1"/>
  <c r="D130" i="1"/>
  <c r="B130" i="1"/>
  <c r="D129" i="1"/>
  <c r="D128" i="1"/>
  <c r="B128" i="1"/>
  <c r="D127" i="1"/>
  <c r="B127" i="1"/>
  <c r="D126" i="1"/>
  <c r="B126" i="1"/>
  <c r="D124" i="1"/>
  <c r="B124" i="1"/>
  <c r="D123" i="1"/>
  <c r="B123" i="1"/>
  <c r="D122" i="1"/>
  <c r="B122" i="1"/>
  <c r="D120" i="1"/>
  <c r="B120" i="1"/>
  <c r="D119" i="1"/>
  <c r="B119" i="1"/>
  <c r="D118" i="1"/>
  <c r="B118" i="1"/>
  <c r="D113" i="1"/>
  <c r="B113" i="1"/>
  <c r="D112" i="1"/>
  <c r="B112" i="1"/>
  <c r="D110" i="1"/>
  <c r="B110" i="1"/>
  <c r="D109" i="1"/>
  <c r="B109" i="1"/>
  <c r="D107" i="1"/>
  <c r="B107" i="1"/>
  <c r="D106" i="1"/>
  <c r="B106" i="1"/>
  <c r="D105" i="1"/>
  <c r="B105" i="1"/>
  <c r="D103" i="1"/>
  <c r="B103" i="1"/>
  <c r="D102" i="1"/>
  <c r="B102" i="1"/>
  <c r="D101" i="1"/>
  <c r="B101" i="1"/>
  <c r="D100" i="1"/>
  <c r="B100" i="1"/>
  <c r="D95" i="1"/>
  <c r="B95" i="1"/>
  <c r="D94" i="1"/>
  <c r="B94" i="1"/>
  <c r="D91" i="1"/>
  <c r="B91" i="1"/>
  <c r="D90" i="1"/>
  <c r="B90" i="1"/>
  <c r="C20" i="1" a="1"/>
  <c r="C20" i="1"/>
  <c r="C22" i="1" a="1"/>
  <c r="C22" i="1"/>
  <c r="M83" i="1" a="1"/>
  <c r="M83" i="1"/>
  <c r="C23" i="1" a="1"/>
  <c r="C23" i="1"/>
  <c r="M84" i="1" a="1"/>
  <c r="M84" i="1"/>
  <c r="C48" i="1" a="1"/>
  <c r="C49" i="1" a="1"/>
  <c r="C50" i="1" a="1"/>
  <c r="C51" i="1" a="1"/>
  <c r="C52" i="1" a="1"/>
  <c r="C53" i="1" a="1"/>
  <c r="C54" i="1" a="1"/>
  <c r="C55" i="1" a="1"/>
  <c r="C56" i="1" a="1"/>
  <c r="M82" i="1" a="1"/>
  <c r="C57" i="1" a="1"/>
  <c r="C58" i="1" a="1"/>
  <c r="C48" i="1"/>
  <c r="C49" i="1"/>
  <c r="C50" i="1"/>
  <c r="C51" i="1"/>
  <c r="C52" i="1"/>
  <c r="C53" i="1"/>
  <c r="C54" i="1"/>
  <c r="C55" i="1"/>
  <c r="C56" i="1"/>
  <c r="M82" i="1"/>
  <c r="C57" i="1"/>
  <c r="C58" i="1"/>
  <c r="C47" i="1" a="1"/>
  <c r="C47" i="1"/>
  <c r="N71" i="1"/>
  <c r="AC72" i="1" a="1"/>
  <c r="AC72" i="1"/>
  <c r="AC86" i="1"/>
  <c r="AC120" i="1" a="1"/>
  <c r="AC120" i="1"/>
  <c r="AC119" i="1" a="1"/>
  <c r="AC119" i="1"/>
  <c r="AC118" i="1" a="1"/>
  <c r="AC118" i="1"/>
  <c r="AC121" i="1"/>
  <c r="AB72" i="1" a="1"/>
  <c r="AB72" i="1"/>
  <c r="AB86" i="1"/>
  <c r="AB120" i="1" a="1"/>
  <c r="AB120" i="1"/>
  <c r="AB119" i="1" a="1"/>
  <c r="AB119" i="1"/>
  <c r="AB118" i="1" a="1"/>
  <c r="AB118" i="1"/>
  <c r="AB121" i="1"/>
  <c r="AA72" i="1" a="1"/>
  <c r="AA72" i="1"/>
  <c r="AA86" i="1"/>
  <c r="AA120" i="1" a="1"/>
  <c r="AA120" i="1"/>
  <c r="AA119" i="1" a="1"/>
  <c r="AA119" i="1"/>
  <c r="AA118" i="1" a="1"/>
  <c r="AA118" i="1"/>
  <c r="AA121" i="1"/>
  <c r="Z72" i="1" a="1"/>
  <c r="Z72" i="1"/>
  <c r="Z86" i="1"/>
  <c r="Z120" i="1" a="1"/>
  <c r="Z120" i="1"/>
  <c r="Z119" i="1" a="1"/>
  <c r="Z119" i="1"/>
  <c r="Z118" i="1" a="1"/>
  <c r="Z118" i="1"/>
  <c r="Z121" i="1"/>
  <c r="Y72" i="1" a="1"/>
  <c r="Y72" i="1"/>
  <c r="Y86" i="1"/>
  <c r="Y120" i="1" a="1"/>
  <c r="Y120" i="1"/>
  <c r="Y119" i="1" a="1"/>
  <c r="Y119" i="1"/>
  <c r="Y118" i="1" a="1"/>
  <c r="Y118" i="1"/>
  <c r="Y121" i="1"/>
  <c r="X72" i="1" a="1"/>
  <c r="X72" i="1"/>
  <c r="X86" i="1"/>
  <c r="X120" i="1" a="1"/>
  <c r="X120" i="1"/>
  <c r="X119" i="1" a="1"/>
  <c r="X119" i="1"/>
  <c r="X118" i="1" a="1"/>
  <c r="X118" i="1"/>
  <c r="X121" i="1"/>
  <c r="W72" i="1" a="1"/>
  <c r="W72" i="1"/>
  <c r="W86" i="1"/>
  <c r="W120" i="1" a="1"/>
  <c r="W120" i="1"/>
  <c r="W119" i="1" a="1"/>
  <c r="W119" i="1"/>
  <c r="W118" i="1" a="1"/>
  <c r="W118" i="1"/>
  <c r="W121" i="1"/>
  <c r="V72" i="1" a="1"/>
  <c r="V72" i="1"/>
  <c r="V86" i="1"/>
  <c r="V120" i="1" a="1"/>
  <c r="V120" i="1"/>
  <c r="V119" i="1" a="1"/>
  <c r="V119" i="1"/>
  <c r="V118" i="1" a="1"/>
  <c r="V118" i="1"/>
  <c r="V121" i="1"/>
  <c r="U72" i="1" a="1"/>
  <c r="U72" i="1"/>
  <c r="U86" i="1"/>
  <c r="U120" i="1" a="1"/>
  <c r="U120" i="1"/>
  <c r="U119" i="1" a="1"/>
  <c r="U119" i="1"/>
  <c r="U118" i="1" a="1"/>
  <c r="U118" i="1"/>
  <c r="U121" i="1"/>
  <c r="T72" i="1" a="1"/>
  <c r="T72" i="1"/>
  <c r="T86" i="1"/>
  <c r="T120" i="1" a="1"/>
  <c r="T120" i="1"/>
  <c r="T119" i="1" a="1"/>
  <c r="T119" i="1"/>
  <c r="T118" i="1" a="1"/>
  <c r="T118" i="1"/>
  <c r="T121" i="1"/>
  <c r="S72" i="1" a="1"/>
  <c r="S72" i="1"/>
  <c r="S86" i="1"/>
  <c r="S120" i="1" a="1"/>
  <c r="S120" i="1"/>
  <c r="S119" i="1" a="1"/>
  <c r="S119" i="1"/>
  <c r="S118" i="1" a="1"/>
  <c r="S118" i="1"/>
  <c r="S121" i="1"/>
  <c r="R72" i="1" a="1"/>
  <c r="R72" i="1"/>
  <c r="R86" i="1"/>
  <c r="R120" i="1" a="1"/>
  <c r="R120" i="1"/>
  <c r="R119" i="1" a="1"/>
  <c r="R119" i="1"/>
  <c r="R118" i="1" a="1"/>
  <c r="R118" i="1"/>
  <c r="R121" i="1"/>
  <c r="Q72" i="1" a="1"/>
  <c r="Q72" i="1"/>
  <c r="Q86" i="1"/>
  <c r="Q120" i="1" a="1"/>
  <c r="Q120" i="1"/>
  <c r="Q119" i="1" a="1"/>
  <c r="Q119" i="1"/>
  <c r="Q118" i="1" a="1"/>
  <c r="Q118" i="1"/>
  <c r="Q121" i="1"/>
  <c r="P72" i="1" a="1"/>
  <c r="P72" i="1"/>
  <c r="P86" i="1"/>
  <c r="P120" i="1" a="1"/>
  <c r="P120" i="1"/>
  <c r="P119" i="1" a="1"/>
  <c r="P119" i="1"/>
  <c r="P118" i="1" a="1"/>
  <c r="P118" i="1"/>
  <c r="P121" i="1"/>
  <c r="O72" i="1" a="1"/>
  <c r="O72" i="1"/>
  <c r="O86" i="1"/>
  <c r="O120" i="1" a="1"/>
  <c r="O120" i="1"/>
  <c r="O119" i="1" a="1"/>
  <c r="O119" i="1"/>
  <c r="O118" i="1" a="1"/>
  <c r="O118" i="1"/>
  <c r="O121" i="1"/>
  <c r="N72" i="1" a="1"/>
  <c r="N72" i="1"/>
  <c r="N86" i="1"/>
  <c r="N120" i="1" a="1"/>
  <c r="N120" i="1"/>
  <c r="N119" i="1" a="1"/>
  <c r="N119" i="1"/>
  <c r="N118" i="1" a="1"/>
  <c r="N118" i="1"/>
  <c r="N121" i="1"/>
  <c r="AC124" i="1" a="1"/>
  <c r="AC124" i="1"/>
  <c r="AC123" i="1" a="1"/>
  <c r="AC123" i="1"/>
  <c r="AC122" i="1" a="1"/>
  <c r="AC122" i="1"/>
  <c r="AC125" i="1"/>
  <c r="AB124" i="1" a="1"/>
  <c r="AB124" i="1"/>
  <c r="AB123" i="1" a="1"/>
  <c r="AB123" i="1"/>
  <c r="AB122" i="1" a="1"/>
  <c r="AB122" i="1"/>
  <c r="AB125" i="1"/>
  <c r="AA124" i="1" a="1"/>
  <c r="AA124" i="1"/>
  <c r="AA123" i="1" a="1"/>
  <c r="AA123" i="1"/>
  <c r="AA122" i="1" a="1"/>
  <c r="AA122" i="1"/>
  <c r="AA125" i="1"/>
  <c r="Z124" i="1" a="1"/>
  <c r="Z124" i="1"/>
  <c r="Z123" i="1" a="1"/>
  <c r="Z123" i="1"/>
  <c r="Z122" i="1" a="1"/>
  <c r="Z122" i="1"/>
  <c r="Z125" i="1"/>
  <c r="Y124" i="1" a="1"/>
  <c r="Y124" i="1"/>
  <c r="Y123" i="1" a="1"/>
  <c r="Y123" i="1"/>
  <c r="Y122" i="1" a="1"/>
  <c r="Y122" i="1"/>
  <c r="Y125" i="1"/>
  <c r="X124" i="1" a="1"/>
  <c r="X124" i="1"/>
  <c r="X123" i="1" a="1"/>
  <c r="X123" i="1"/>
  <c r="X122" i="1" a="1"/>
  <c r="X122" i="1"/>
  <c r="X125" i="1"/>
  <c r="W124" i="1" a="1"/>
  <c r="W124" i="1"/>
  <c r="W123" i="1" a="1"/>
  <c r="W123" i="1"/>
  <c r="W122" i="1" a="1"/>
  <c r="W122" i="1"/>
  <c r="W125" i="1"/>
  <c r="V124" i="1" a="1"/>
  <c r="V124" i="1"/>
  <c r="V123" i="1" a="1"/>
  <c r="V123" i="1"/>
  <c r="V122" i="1" a="1"/>
  <c r="V122" i="1"/>
  <c r="V125" i="1"/>
  <c r="U124" i="1" a="1"/>
  <c r="U124" i="1"/>
  <c r="U123" i="1" a="1"/>
  <c r="U123" i="1"/>
  <c r="U122" i="1" a="1"/>
  <c r="U122" i="1"/>
  <c r="U125" i="1"/>
  <c r="T124" i="1" a="1"/>
  <c r="T124" i="1"/>
  <c r="T123" i="1" a="1"/>
  <c r="T123" i="1"/>
  <c r="T122" i="1" a="1"/>
  <c r="T122" i="1"/>
  <c r="T125" i="1"/>
  <c r="S124" i="1" a="1"/>
  <c r="S124" i="1"/>
  <c r="S123" i="1" a="1"/>
  <c r="S123" i="1"/>
  <c r="S122" i="1" a="1"/>
  <c r="S122" i="1"/>
  <c r="S125" i="1"/>
  <c r="R124" i="1" a="1"/>
  <c r="R124" i="1"/>
  <c r="R123" i="1" a="1"/>
  <c r="R123" i="1"/>
  <c r="R122" i="1" a="1"/>
  <c r="R122" i="1"/>
  <c r="R125" i="1"/>
  <c r="Q124" i="1" a="1"/>
  <c r="Q124" i="1"/>
  <c r="Q123" i="1" a="1"/>
  <c r="Q123" i="1"/>
  <c r="Q122" i="1" a="1"/>
  <c r="Q122" i="1"/>
  <c r="Q125" i="1"/>
  <c r="P124" i="1" a="1"/>
  <c r="P124" i="1"/>
  <c r="P123" i="1" a="1"/>
  <c r="P123" i="1"/>
  <c r="P122" i="1" a="1"/>
  <c r="P122" i="1"/>
  <c r="P125" i="1"/>
  <c r="O124" i="1" a="1"/>
  <c r="O124" i="1"/>
  <c r="O123" i="1" a="1"/>
  <c r="O123" i="1"/>
  <c r="O122" i="1" a="1"/>
  <c r="O122" i="1"/>
  <c r="O125" i="1"/>
  <c r="N124" i="1" a="1"/>
  <c r="N124" i="1"/>
  <c r="N123" i="1" a="1"/>
  <c r="N123" i="1"/>
  <c r="N122" i="1" a="1"/>
  <c r="N122" i="1"/>
  <c r="N125" i="1"/>
  <c r="AC128" i="1" a="1"/>
  <c r="AC128" i="1"/>
  <c r="AC127" i="1" a="1"/>
  <c r="AC127" i="1"/>
  <c r="AC126" i="1" a="1"/>
  <c r="AC126" i="1"/>
  <c r="AC129" i="1"/>
  <c r="AB128" i="1" a="1"/>
  <c r="AB128" i="1"/>
  <c r="AB127" i="1" a="1"/>
  <c r="AB127" i="1"/>
  <c r="AB126" i="1" a="1"/>
  <c r="AB126" i="1"/>
  <c r="AB129" i="1"/>
  <c r="AA128" i="1" a="1"/>
  <c r="AA128" i="1"/>
  <c r="AA127" i="1" a="1"/>
  <c r="AA127" i="1"/>
  <c r="AA126" i="1" a="1"/>
  <c r="AA126" i="1"/>
  <c r="AA129" i="1"/>
  <c r="Z128" i="1" a="1"/>
  <c r="Z128" i="1"/>
  <c r="Z127" i="1" a="1"/>
  <c r="Z127" i="1"/>
  <c r="Z126" i="1" a="1"/>
  <c r="Z126" i="1"/>
  <c r="Z129" i="1"/>
  <c r="Y128" i="1" a="1"/>
  <c r="Y128" i="1"/>
  <c r="Y127" i="1" a="1"/>
  <c r="Y127" i="1"/>
  <c r="Y126" i="1" a="1"/>
  <c r="Y126" i="1"/>
  <c r="Y129" i="1"/>
  <c r="X128" i="1" a="1"/>
  <c r="X128" i="1"/>
  <c r="X127" i="1" a="1"/>
  <c r="X127" i="1"/>
  <c r="X126" i="1" a="1"/>
  <c r="X126" i="1"/>
  <c r="X129" i="1"/>
  <c r="W128" i="1" a="1"/>
  <c r="W128" i="1"/>
  <c r="W127" i="1" a="1"/>
  <c r="W127" i="1"/>
  <c r="W126" i="1" a="1"/>
  <c r="W126" i="1"/>
  <c r="W129" i="1"/>
  <c r="V128" i="1" a="1"/>
  <c r="V128" i="1"/>
  <c r="V127" i="1" a="1"/>
  <c r="V127" i="1"/>
  <c r="V126" i="1" a="1"/>
  <c r="V126" i="1"/>
  <c r="V129" i="1"/>
  <c r="U128" i="1" a="1"/>
  <c r="U128" i="1"/>
  <c r="U127" i="1" a="1"/>
  <c r="U127" i="1"/>
  <c r="U126" i="1" a="1"/>
  <c r="U126" i="1"/>
  <c r="U129" i="1"/>
  <c r="T128" i="1" a="1"/>
  <c r="T128" i="1"/>
  <c r="T127" i="1" a="1"/>
  <c r="T127" i="1"/>
  <c r="T126" i="1" a="1"/>
  <c r="T126" i="1"/>
  <c r="T129" i="1"/>
  <c r="S128" i="1" a="1"/>
  <c r="S128" i="1"/>
  <c r="S127" i="1" a="1"/>
  <c r="S127" i="1"/>
  <c r="S126" i="1" a="1"/>
  <c r="S126" i="1"/>
  <c r="S129" i="1"/>
  <c r="R128" i="1" a="1"/>
  <c r="R128" i="1"/>
  <c r="R127" i="1" a="1"/>
  <c r="R127" i="1"/>
  <c r="R126" i="1" a="1"/>
  <c r="R126" i="1"/>
  <c r="R129" i="1"/>
  <c r="Q128" i="1" a="1"/>
  <c r="Q128" i="1"/>
  <c r="Q127" i="1" a="1"/>
  <c r="Q127" i="1"/>
  <c r="Q126" i="1" a="1"/>
  <c r="Q126" i="1"/>
  <c r="Q129" i="1"/>
  <c r="P128" i="1" a="1"/>
  <c r="P128" i="1"/>
  <c r="P127" i="1" a="1"/>
  <c r="P127" i="1"/>
  <c r="P126" i="1" a="1"/>
  <c r="P126" i="1"/>
  <c r="P129" i="1"/>
  <c r="O128" i="1" a="1"/>
  <c r="O128" i="1"/>
  <c r="O127" i="1" a="1"/>
  <c r="O127" i="1"/>
  <c r="O126" i="1" a="1"/>
  <c r="O126" i="1"/>
  <c r="O129" i="1"/>
  <c r="N128" i="1" a="1"/>
  <c r="N128" i="1"/>
  <c r="N127" i="1" a="1"/>
  <c r="N127" i="1"/>
  <c r="N126" i="1" a="1"/>
  <c r="N126" i="1"/>
  <c r="N129" i="1"/>
  <c r="AC130" i="1" a="1"/>
  <c r="AC130" i="1"/>
  <c r="AC131" i="1" a="1"/>
  <c r="AC131" i="1"/>
  <c r="AC132" i="1" a="1"/>
  <c r="AC132" i="1"/>
  <c r="AC133" i="1"/>
  <c r="AB130" i="1" a="1"/>
  <c r="AB130" i="1"/>
  <c r="AB131" i="1" a="1"/>
  <c r="AB131" i="1"/>
  <c r="AB132" i="1" a="1"/>
  <c r="AB132" i="1"/>
  <c r="AB133" i="1"/>
  <c r="AA130" i="1" a="1"/>
  <c r="AA130" i="1"/>
  <c r="AA131" i="1" a="1"/>
  <c r="AA131" i="1"/>
  <c r="AA132" i="1" a="1"/>
  <c r="AA132" i="1"/>
  <c r="AA133" i="1"/>
  <c r="Z130" i="1" a="1"/>
  <c r="Z130" i="1"/>
  <c r="Z131" i="1" a="1"/>
  <c r="Z131" i="1"/>
  <c r="Z132" i="1" a="1"/>
  <c r="Z132" i="1"/>
  <c r="Z133" i="1"/>
  <c r="Y130" i="1" a="1"/>
  <c r="Y130" i="1"/>
  <c r="Y131" i="1" a="1"/>
  <c r="Y131" i="1"/>
  <c r="Y132" i="1" a="1"/>
  <c r="Y132" i="1"/>
  <c r="Y133" i="1"/>
  <c r="X130" i="1" a="1"/>
  <c r="X130" i="1"/>
  <c r="X131" i="1" a="1"/>
  <c r="X131" i="1"/>
  <c r="X132" i="1" a="1"/>
  <c r="X132" i="1"/>
  <c r="X133" i="1"/>
  <c r="W130" i="1" a="1"/>
  <c r="W130" i="1"/>
  <c r="W131" i="1" a="1"/>
  <c r="W131" i="1"/>
  <c r="W132" i="1" a="1"/>
  <c r="W132" i="1"/>
  <c r="W133" i="1"/>
  <c r="V130" i="1" a="1"/>
  <c r="V130" i="1"/>
  <c r="V131" i="1" a="1"/>
  <c r="V131" i="1"/>
  <c r="V132" i="1" a="1"/>
  <c r="V132" i="1"/>
  <c r="V133" i="1"/>
  <c r="U130" i="1" a="1"/>
  <c r="U130" i="1"/>
  <c r="U131" i="1" a="1"/>
  <c r="U131" i="1"/>
  <c r="U132" i="1" a="1"/>
  <c r="U132" i="1"/>
  <c r="U133" i="1"/>
  <c r="T130" i="1" a="1"/>
  <c r="T130" i="1"/>
  <c r="T131" i="1" a="1"/>
  <c r="T131" i="1"/>
  <c r="T132" i="1" a="1"/>
  <c r="T132" i="1"/>
  <c r="T133" i="1"/>
  <c r="S130" i="1" a="1"/>
  <c r="S130" i="1"/>
  <c r="S131" i="1" a="1"/>
  <c r="S131" i="1"/>
  <c r="S132" i="1" a="1"/>
  <c r="S132" i="1"/>
  <c r="S133" i="1"/>
  <c r="R130" i="1" a="1"/>
  <c r="R130" i="1"/>
  <c r="R131" i="1" a="1"/>
  <c r="R131" i="1"/>
  <c r="R132" i="1" a="1"/>
  <c r="R132" i="1"/>
  <c r="R133" i="1"/>
  <c r="Q130" i="1" a="1"/>
  <c r="Q130" i="1"/>
  <c r="Q131" i="1" a="1"/>
  <c r="Q131" i="1"/>
  <c r="Q132" i="1" a="1"/>
  <c r="Q132" i="1"/>
  <c r="Q133" i="1"/>
  <c r="P130" i="1" a="1"/>
  <c r="P130" i="1"/>
  <c r="P131" i="1" a="1"/>
  <c r="P131" i="1"/>
  <c r="P132" i="1" a="1"/>
  <c r="P132" i="1"/>
  <c r="P133" i="1"/>
  <c r="O130" i="1" a="1"/>
  <c r="O130" i="1"/>
  <c r="O131" i="1" a="1"/>
  <c r="O131" i="1"/>
  <c r="O132" i="1" a="1"/>
  <c r="O132" i="1"/>
  <c r="O133" i="1"/>
  <c r="N130" i="1" a="1"/>
  <c r="N130" i="1"/>
  <c r="N131" i="1" a="1"/>
  <c r="N131" i="1"/>
  <c r="N132" i="1" a="1"/>
  <c r="N132" i="1"/>
  <c r="N133" i="1"/>
  <c r="M132" i="1"/>
  <c r="L132" i="1"/>
  <c r="K132" i="1"/>
  <c r="M131" i="1"/>
  <c r="L131" i="1"/>
  <c r="K131" i="1"/>
  <c r="M130" i="1"/>
  <c r="L130" i="1"/>
  <c r="K130" i="1"/>
  <c r="M119" i="1"/>
  <c r="L119" i="1"/>
  <c r="K119" i="1"/>
  <c r="M127" i="1"/>
  <c r="L127" i="1"/>
  <c r="K127" i="1"/>
  <c r="M123" i="1"/>
  <c r="L123" i="1"/>
  <c r="K123" i="1"/>
  <c r="M72" i="1" a="1"/>
  <c r="M72" i="1"/>
  <c r="C29" i="1" a="1"/>
  <c r="C29" i="1"/>
  <c r="AC165" i="1" a="1"/>
  <c r="AC165" i="1"/>
  <c r="AB165" i="1" a="1"/>
  <c r="AB165" i="1"/>
  <c r="AA165" i="1" a="1"/>
  <c r="AA165" i="1"/>
  <c r="Z165" i="1" a="1"/>
  <c r="Z165" i="1"/>
  <c r="Y165" i="1" a="1"/>
  <c r="Y165" i="1"/>
  <c r="X165" i="1" a="1"/>
  <c r="X165" i="1"/>
  <c r="W165" i="1" a="1"/>
  <c r="W165" i="1"/>
  <c r="V165" i="1" a="1"/>
  <c r="V165" i="1"/>
  <c r="U165" i="1" a="1"/>
  <c r="U165" i="1"/>
  <c r="T165" i="1" a="1"/>
  <c r="T165" i="1"/>
  <c r="S165" i="1" a="1"/>
  <c r="S165" i="1"/>
  <c r="R165" i="1" a="1"/>
  <c r="R165" i="1"/>
  <c r="Q165" i="1" a="1"/>
  <c r="Q165" i="1"/>
  <c r="P165" i="1" a="1"/>
  <c r="P165" i="1"/>
  <c r="O165" i="1" a="1"/>
  <c r="O165" i="1"/>
  <c r="N165" i="1" a="1"/>
  <c r="N165" i="1"/>
  <c r="AC164" i="1" a="1"/>
  <c r="AC164" i="1"/>
  <c r="AB164" i="1" a="1"/>
  <c r="AB164" i="1"/>
  <c r="AA164" i="1" a="1"/>
  <c r="AA164" i="1"/>
  <c r="Z164" i="1" a="1"/>
  <c r="Z164" i="1"/>
  <c r="Y164" i="1" a="1"/>
  <c r="Y164" i="1"/>
  <c r="X164" i="1" a="1"/>
  <c r="X164" i="1"/>
  <c r="W164" i="1" a="1"/>
  <c r="W164" i="1"/>
  <c r="V164" i="1" a="1"/>
  <c r="V164" i="1"/>
  <c r="U164" i="1" a="1"/>
  <c r="U164" i="1"/>
  <c r="T164" i="1" a="1"/>
  <c r="T164" i="1"/>
  <c r="S164" i="1" a="1"/>
  <c r="S164" i="1"/>
  <c r="R164" i="1" a="1"/>
  <c r="R164" i="1"/>
  <c r="Q164" i="1" a="1"/>
  <c r="Q164" i="1"/>
  <c r="P164" i="1" a="1"/>
  <c r="P164" i="1"/>
  <c r="O164" i="1" a="1"/>
  <c r="O164" i="1"/>
  <c r="N164" i="1" a="1"/>
  <c r="N164" i="1"/>
  <c r="AC163" i="1" a="1"/>
  <c r="AC163" i="1"/>
  <c r="AB163" i="1" a="1"/>
  <c r="AB163" i="1"/>
  <c r="AA163" i="1" a="1"/>
  <c r="AA163" i="1"/>
  <c r="Z163" i="1" a="1"/>
  <c r="Z163" i="1"/>
  <c r="Y163" i="1" a="1"/>
  <c r="Y163" i="1"/>
  <c r="X163" i="1" a="1"/>
  <c r="X163" i="1"/>
  <c r="W163" i="1" a="1"/>
  <c r="W163" i="1"/>
  <c r="V163" i="1" a="1"/>
  <c r="V163" i="1"/>
  <c r="U163" i="1" a="1"/>
  <c r="U163" i="1"/>
  <c r="T163" i="1" a="1"/>
  <c r="T163" i="1"/>
  <c r="S163" i="1" a="1"/>
  <c r="S163" i="1"/>
  <c r="R163" i="1" a="1"/>
  <c r="R163" i="1"/>
  <c r="Q163" i="1" a="1"/>
  <c r="Q163" i="1"/>
  <c r="P163" i="1" a="1"/>
  <c r="P163" i="1"/>
  <c r="O163" i="1" a="1"/>
  <c r="O163" i="1"/>
  <c r="N163" i="1" a="1"/>
  <c r="N163" i="1"/>
  <c r="AC161" i="1" a="1"/>
  <c r="AC161" i="1"/>
  <c r="AB161" i="1" a="1"/>
  <c r="AB161" i="1"/>
  <c r="AA161" i="1" a="1"/>
  <c r="AA161" i="1"/>
  <c r="Z161" i="1" a="1"/>
  <c r="Z161" i="1"/>
  <c r="Y161" i="1" a="1"/>
  <c r="Y161" i="1"/>
  <c r="X161" i="1" a="1"/>
  <c r="X161" i="1"/>
  <c r="W161" i="1" a="1"/>
  <c r="W161" i="1"/>
  <c r="V161" i="1" a="1"/>
  <c r="V161" i="1"/>
  <c r="U161" i="1" a="1"/>
  <c r="U161" i="1"/>
  <c r="T161" i="1" a="1"/>
  <c r="T161" i="1"/>
  <c r="S161" i="1" a="1"/>
  <c r="S161" i="1"/>
  <c r="R161" i="1" a="1"/>
  <c r="R161" i="1"/>
  <c r="Q161" i="1" a="1"/>
  <c r="Q161" i="1"/>
  <c r="P161" i="1" a="1"/>
  <c r="P161" i="1"/>
  <c r="O161" i="1" a="1"/>
  <c r="O161" i="1"/>
  <c r="N161" i="1" a="1"/>
  <c r="N161" i="1"/>
  <c r="AC160" i="1" a="1"/>
  <c r="AC160" i="1"/>
  <c r="AB160" i="1" a="1"/>
  <c r="AB160" i="1"/>
  <c r="AA160" i="1" a="1"/>
  <c r="AA160" i="1"/>
  <c r="Z160" i="1" a="1"/>
  <c r="Z160" i="1"/>
  <c r="Y160" i="1" a="1"/>
  <c r="Y160" i="1"/>
  <c r="X160" i="1" a="1"/>
  <c r="X160" i="1"/>
  <c r="W160" i="1" a="1"/>
  <c r="W160" i="1"/>
  <c r="V160" i="1" a="1"/>
  <c r="V160" i="1"/>
  <c r="U160" i="1" a="1"/>
  <c r="U160" i="1"/>
  <c r="T160" i="1" a="1"/>
  <c r="T160" i="1"/>
  <c r="S160" i="1" a="1"/>
  <c r="S160" i="1"/>
  <c r="R160" i="1" a="1"/>
  <c r="R160" i="1"/>
  <c r="Q160" i="1" a="1"/>
  <c r="Q160" i="1"/>
  <c r="P160" i="1" a="1"/>
  <c r="P160" i="1"/>
  <c r="O160" i="1" a="1"/>
  <c r="O160" i="1"/>
  <c r="N160" i="1" a="1"/>
  <c r="N160" i="1"/>
  <c r="AC158" i="1" a="1"/>
  <c r="AC158" i="1"/>
  <c r="AB158" i="1" a="1"/>
  <c r="AB158" i="1"/>
  <c r="AA158" i="1" a="1"/>
  <c r="AA158" i="1"/>
  <c r="Z158" i="1" a="1"/>
  <c r="Z158" i="1"/>
  <c r="Y158" i="1" a="1"/>
  <c r="Y158" i="1"/>
  <c r="X158" i="1" a="1"/>
  <c r="X158" i="1"/>
  <c r="W158" i="1" a="1"/>
  <c r="W158" i="1"/>
  <c r="V158" i="1" a="1"/>
  <c r="V158" i="1"/>
  <c r="U158" i="1" a="1"/>
  <c r="U158" i="1"/>
  <c r="T158" i="1" a="1"/>
  <c r="T158" i="1"/>
  <c r="S158" i="1" a="1"/>
  <c r="S158" i="1"/>
  <c r="R158" i="1" a="1"/>
  <c r="R158" i="1"/>
  <c r="Q158" i="1" a="1"/>
  <c r="Q158" i="1"/>
  <c r="P158" i="1" a="1"/>
  <c r="P158" i="1"/>
  <c r="O158" i="1" a="1"/>
  <c r="O158" i="1"/>
  <c r="N158" i="1" a="1"/>
  <c r="N158" i="1"/>
  <c r="AC157" i="1" a="1"/>
  <c r="AC157" i="1"/>
  <c r="AB157" i="1" a="1"/>
  <c r="AB157" i="1"/>
  <c r="AA157" i="1" a="1"/>
  <c r="AA157" i="1"/>
  <c r="Z157" i="1" a="1"/>
  <c r="Z157" i="1"/>
  <c r="Y157" i="1" a="1"/>
  <c r="Y157" i="1"/>
  <c r="X157" i="1" a="1"/>
  <c r="X157" i="1"/>
  <c r="W157" i="1" a="1"/>
  <c r="W157" i="1"/>
  <c r="V157" i="1" a="1"/>
  <c r="V157" i="1"/>
  <c r="U157" i="1" a="1"/>
  <c r="U157" i="1"/>
  <c r="T157" i="1" a="1"/>
  <c r="T157" i="1"/>
  <c r="S157" i="1" a="1"/>
  <c r="S157" i="1"/>
  <c r="R157" i="1" a="1"/>
  <c r="R157" i="1"/>
  <c r="Q157" i="1" a="1"/>
  <c r="Q157" i="1"/>
  <c r="P157" i="1" a="1"/>
  <c r="P157" i="1"/>
  <c r="O157" i="1" a="1"/>
  <c r="O157" i="1"/>
  <c r="N157" i="1" a="1"/>
  <c r="N157" i="1"/>
  <c r="AC156" i="1" a="1"/>
  <c r="AC156" i="1"/>
  <c r="AB156" i="1" a="1"/>
  <c r="AB156" i="1"/>
  <c r="AA156" i="1" a="1"/>
  <c r="AA156" i="1"/>
  <c r="Z156" i="1" a="1"/>
  <c r="Z156" i="1"/>
  <c r="Y156" i="1" a="1"/>
  <c r="Y156" i="1"/>
  <c r="X156" i="1" a="1"/>
  <c r="X156" i="1"/>
  <c r="W156" i="1" a="1"/>
  <c r="W156" i="1"/>
  <c r="V156" i="1" a="1"/>
  <c r="V156" i="1"/>
  <c r="U156" i="1" a="1"/>
  <c r="U156" i="1"/>
  <c r="T156" i="1" a="1"/>
  <c r="T156" i="1"/>
  <c r="S156" i="1" a="1"/>
  <c r="S156" i="1"/>
  <c r="R156" i="1" a="1"/>
  <c r="R156" i="1"/>
  <c r="Q156" i="1" a="1"/>
  <c r="Q156" i="1"/>
  <c r="P156" i="1" a="1"/>
  <c r="P156" i="1"/>
  <c r="O156" i="1" a="1"/>
  <c r="O156" i="1"/>
  <c r="N156" i="1" a="1"/>
  <c r="N156" i="1"/>
  <c r="AC155" i="1" a="1"/>
  <c r="AC155" i="1"/>
  <c r="AB155" i="1" a="1"/>
  <c r="AB155" i="1"/>
  <c r="AA155" i="1" a="1"/>
  <c r="AA155" i="1"/>
  <c r="Z155" i="1" a="1"/>
  <c r="Z155" i="1"/>
  <c r="Y155" i="1" a="1"/>
  <c r="Y155" i="1"/>
  <c r="X155" i="1" a="1"/>
  <c r="X155" i="1"/>
  <c r="W155" i="1" a="1"/>
  <c r="W155" i="1"/>
  <c r="V155" i="1" a="1"/>
  <c r="V155" i="1"/>
  <c r="U155" i="1" a="1"/>
  <c r="U155" i="1"/>
  <c r="T155" i="1" a="1"/>
  <c r="T155" i="1"/>
  <c r="S155" i="1" a="1"/>
  <c r="S155" i="1"/>
  <c r="R155" i="1" a="1"/>
  <c r="R155" i="1"/>
  <c r="Q155" i="1" a="1"/>
  <c r="Q155" i="1"/>
  <c r="P155" i="1" a="1"/>
  <c r="P155" i="1"/>
  <c r="O155" i="1" a="1"/>
  <c r="O155" i="1"/>
  <c r="N155" i="1" a="1"/>
  <c r="N155" i="1"/>
  <c r="AC154" i="1" a="1"/>
  <c r="AC154" i="1"/>
  <c r="AB154" i="1" a="1"/>
  <c r="AB154" i="1"/>
  <c r="AA154" i="1" a="1"/>
  <c r="AA154" i="1"/>
  <c r="Z154" i="1" a="1"/>
  <c r="Z154" i="1"/>
  <c r="Y154" i="1" a="1"/>
  <c r="Y154" i="1"/>
  <c r="X154" i="1" a="1"/>
  <c r="X154" i="1"/>
  <c r="W154" i="1" a="1"/>
  <c r="W154" i="1"/>
  <c r="V154" i="1" a="1"/>
  <c r="V154" i="1"/>
  <c r="U154" i="1" a="1"/>
  <c r="U154" i="1"/>
  <c r="T154" i="1" a="1"/>
  <c r="T154" i="1"/>
  <c r="S154" i="1" a="1"/>
  <c r="S154" i="1"/>
  <c r="R154" i="1" a="1"/>
  <c r="R154" i="1"/>
  <c r="Q154" i="1" a="1"/>
  <c r="Q154" i="1"/>
  <c r="P154" i="1" a="1"/>
  <c r="P154" i="1"/>
  <c r="O154" i="1" a="1"/>
  <c r="O154" i="1"/>
  <c r="N154" i="1" a="1"/>
  <c r="N154" i="1"/>
  <c r="AC152" i="1" a="1"/>
  <c r="AC152" i="1"/>
  <c r="AB152" i="1" a="1"/>
  <c r="AB152" i="1"/>
  <c r="AA152" i="1" a="1"/>
  <c r="AA152" i="1"/>
  <c r="Z152" i="1" a="1"/>
  <c r="Z152" i="1"/>
  <c r="Y152" i="1" a="1"/>
  <c r="Y152" i="1"/>
  <c r="X152" i="1" a="1"/>
  <c r="X152" i="1"/>
  <c r="W152" i="1" a="1"/>
  <c r="W152" i="1"/>
  <c r="V152" i="1" a="1"/>
  <c r="V152" i="1"/>
  <c r="U152" i="1" a="1"/>
  <c r="U152" i="1"/>
  <c r="T152" i="1" a="1"/>
  <c r="T152" i="1"/>
  <c r="S152" i="1" a="1"/>
  <c r="S152" i="1"/>
  <c r="R152" i="1" a="1"/>
  <c r="R152" i="1"/>
  <c r="Q152" i="1" a="1"/>
  <c r="Q152" i="1"/>
  <c r="P152" i="1" a="1"/>
  <c r="P152" i="1"/>
  <c r="O152" i="1" a="1"/>
  <c r="O152" i="1"/>
  <c r="N152" i="1" a="1"/>
  <c r="N152" i="1"/>
  <c r="AC151" i="1" a="1"/>
  <c r="AC151" i="1"/>
  <c r="AB151" i="1" a="1"/>
  <c r="AB151" i="1"/>
  <c r="AA151" i="1" a="1"/>
  <c r="AA151" i="1"/>
  <c r="Z151" i="1" a="1"/>
  <c r="Z151" i="1"/>
  <c r="Y151" i="1" a="1"/>
  <c r="Y151" i="1"/>
  <c r="X151" i="1" a="1"/>
  <c r="X151" i="1"/>
  <c r="W151" i="1" a="1"/>
  <c r="W151" i="1"/>
  <c r="V151" i="1" a="1"/>
  <c r="V151" i="1"/>
  <c r="U151" i="1" a="1"/>
  <c r="U151" i="1"/>
  <c r="T151" i="1" a="1"/>
  <c r="T151" i="1"/>
  <c r="S151" i="1" a="1"/>
  <c r="S151" i="1"/>
  <c r="R151" i="1" a="1"/>
  <c r="R151" i="1"/>
  <c r="Q151" i="1" a="1"/>
  <c r="Q151" i="1"/>
  <c r="P151" i="1" a="1"/>
  <c r="P151" i="1"/>
  <c r="O151" i="1" a="1"/>
  <c r="O151" i="1"/>
  <c r="N151" i="1" a="1"/>
  <c r="N151" i="1"/>
  <c r="AC150" i="1" a="1"/>
  <c r="AC150" i="1"/>
  <c r="AB150" i="1" a="1"/>
  <c r="AB150" i="1"/>
  <c r="AA150" i="1" a="1"/>
  <c r="AA150" i="1"/>
  <c r="Z150" i="1" a="1"/>
  <c r="Z150" i="1"/>
  <c r="Y150" i="1" a="1"/>
  <c r="Y150" i="1"/>
  <c r="X150" i="1" a="1"/>
  <c r="X150" i="1"/>
  <c r="W150" i="1" a="1"/>
  <c r="W150" i="1"/>
  <c r="V150" i="1" a="1"/>
  <c r="V150" i="1"/>
  <c r="U150" i="1" a="1"/>
  <c r="U150" i="1"/>
  <c r="T150" i="1" a="1"/>
  <c r="T150" i="1"/>
  <c r="S150" i="1" a="1"/>
  <c r="S150" i="1"/>
  <c r="R150" i="1" a="1"/>
  <c r="R150" i="1"/>
  <c r="Q150" i="1" a="1"/>
  <c r="Q150" i="1"/>
  <c r="P150" i="1" a="1"/>
  <c r="P150" i="1"/>
  <c r="O150" i="1" a="1"/>
  <c r="O150" i="1"/>
  <c r="N150" i="1" a="1"/>
  <c r="N150" i="1"/>
  <c r="AC148" i="1" a="1"/>
  <c r="AC148" i="1"/>
  <c r="AB148" i="1" a="1"/>
  <c r="AB148" i="1"/>
  <c r="AA148" i="1" a="1"/>
  <c r="AA148" i="1"/>
  <c r="Z148" i="1" a="1"/>
  <c r="Z148" i="1"/>
  <c r="Y148" i="1" a="1"/>
  <c r="Y148" i="1"/>
  <c r="X148" i="1" a="1"/>
  <c r="X148" i="1"/>
  <c r="W148" i="1" a="1"/>
  <c r="W148" i="1"/>
  <c r="V148" i="1" a="1"/>
  <c r="V148" i="1"/>
  <c r="U148" i="1" a="1"/>
  <c r="U148" i="1"/>
  <c r="T148" i="1" a="1"/>
  <c r="T148" i="1"/>
  <c r="S148" i="1" a="1"/>
  <c r="S148" i="1"/>
  <c r="R148" i="1" a="1"/>
  <c r="R148" i="1"/>
  <c r="Q148" i="1" a="1"/>
  <c r="Q148" i="1"/>
  <c r="P148" i="1" a="1"/>
  <c r="P148" i="1"/>
  <c r="O148" i="1" a="1"/>
  <c r="O148" i="1"/>
  <c r="N148" i="1" a="1"/>
  <c r="N148" i="1"/>
  <c r="AC147" i="1" a="1"/>
  <c r="AC147" i="1"/>
  <c r="AB147" i="1" a="1"/>
  <c r="AB147" i="1"/>
  <c r="AA147" i="1" a="1"/>
  <c r="AA147" i="1"/>
  <c r="Z147" i="1" a="1"/>
  <c r="Z147" i="1"/>
  <c r="Y147" i="1" a="1"/>
  <c r="Y147" i="1"/>
  <c r="X147" i="1" a="1"/>
  <c r="X147" i="1"/>
  <c r="W147" i="1" a="1"/>
  <c r="W147" i="1"/>
  <c r="V147" i="1" a="1"/>
  <c r="V147" i="1"/>
  <c r="U147" i="1" a="1"/>
  <c r="U147" i="1"/>
  <c r="T147" i="1" a="1"/>
  <c r="T147" i="1"/>
  <c r="S147" i="1" a="1"/>
  <c r="S147" i="1"/>
  <c r="R147" i="1" a="1"/>
  <c r="R147" i="1"/>
  <c r="Q147" i="1" a="1"/>
  <c r="Q147" i="1"/>
  <c r="P147" i="1" a="1"/>
  <c r="P147" i="1"/>
  <c r="O147" i="1" a="1"/>
  <c r="O147" i="1"/>
  <c r="N147" i="1" a="1"/>
  <c r="N147" i="1"/>
  <c r="AC146" i="1" a="1"/>
  <c r="AC146" i="1"/>
  <c r="AB146" i="1" a="1"/>
  <c r="AB146" i="1"/>
  <c r="AA146" i="1" a="1"/>
  <c r="AA146" i="1"/>
  <c r="Z146" i="1" a="1"/>
  <c r="Z146" i="1"/>
  <c r="Y146" i="1" a="1"/>
  <c r="Y146" i="1"/>
  <c r="X146" i="1" a="1"/>
  <c r="X146" i="1"/>
  <c r="W146" i="1" a="1"/>
  <c r="W146" i="1"/>
  <c r="V146" i="1" a="1"/>
  <c r="V146" i="1"/>
  <c r="U146" i="1" a="1"/>
  <c r="U146" i="1"/>
  <c r="T146" i="1" a="1"/>
  <c r="T146" i="1"/>
  <c r="S146" i="1" a="1"/>
  <c r="S146" i="1"/>
  <c r="R146" i="1" a="1"/>
  <c r="R146" i="1"/>
  <c r="Q146" i="1" a="1"/>
  <c r="Q146" i="1"/>
  <c r="P146" i="1" a="1"/>
  <c r="P146" i="1"/>
  <c r="O146" i="1" a="1"/>
  <c r="O146" i="1"/>
  <c r="N146" i="1" a="1"/>
  <c r="N146" i="1"/>
  <c r="AC144" i="1" a="1"/>
  <c r="AC144" i="1"/>
  <c r="AB144" i="1" a="1"/>
  <c r="AB144" i="1"/>
  <c r="AA144" i="1" a="1"/>
  <c r="AA144" i="1"/>
  <c r="Z144" i="1" a="1"/>
  <c r="Z144" i="1"/>
  <c r="Y144" i="1" a="1"/>
  <c r="Y144" i="1"/>
  <c r="X144" i="1" a="1"/>
  <c r="X144" i="1"/>
  <c r="W144" i="1" a="1"/>
  <c r="W144" i="1"/>
  <c r="V144" i="1" a="1"/>
  <c r="V144" i="1"/>
  <c r="U144" i="1" a="1"/>
  <c r="U144" i="1"/>
  <c r="T144" i="1" a="1"/>
  <c r="T144" i="1"/>
  <c r="S144" i="1" a="1"/>
  <c r="S144" i="1"/>
  <c r="R144" i="1" a="1"/>
  <c r="R144" i="1"/>
  <c r="Q144" i="1" a="1"/>
  <c r="Q144" i="1"/>
  <c r="P144" i="1" a="1"/>
  <c r="P144" i="1"/>
  <c r="O144" i="1" a="1"/>
  <c r="O144" i="1"/>
  <c r="N144" i="1" a="1"/>
  <c r="N144" i="1"/>
  <c r="AC143" i="1" a="1"/>
  <c r="AC143" i="1"/>
  <c r="AB143" i="1" a="1"/>
  <c r="AB143" i="1"/>
  <c r="AA143" i="1" a="1"/>
  <c r="AA143" i="1"/>
  <c r="Z143" i="1" a="1"/>
  <c r="Z143" i="1"/>
  <c r="Y143" i="1" a="1"/>
  <c r="Y143" i="1"/>
  <c r="X143" i="1" a="1"/>
  <c r="X143" i="1"/>
  <c r="W143" i="1" a="1"/>
  <c r="W143" i="1"/>
  <c r="V143" i="1" a="1"/>
  <c r="V143" i="1"/>
  <c r="U143" i="1" a="1"/>
  <c r="U143" i="1"/>
  <c r="T143" i="1" a="1"/>
  <c r="T143" i="1"/>
  <c r="S143" i="1" a="1"/>
  <c r="S143" i="1"/>
  <c r="R143" i="1" a="1"/>
  <c r="R143" i="1"/>
  <c r="Q143" i="1" a="1"/>
  <c r="Q143" i="1"/>
  <c r="P143" i="1" a="1"/>
  <c r="P143" i="1"/>
  <c r="O143" i="1" a="1"/>
  <c r="O143" i="1"/>
  <c r="N143" i="1" a="1"/>
  <c r="N143" i="1"/>
  <c r="AC140" i="1" a="1"/>
  <c r="AC140" i="1"/>
  <c r="AB140" i="1" a="1"/>
  <c r="AB140" i="1"/>
  <c r="AA140" i="1" a="1"/>
  <c r="AA140" i="1"/>
  <c r="Z140" i="1" a="1"/>
  <c r="Z140" i="1"/>
  <c r="Y140" i="1" a="1"/>
  <c r="Y140" i="1"/>
  <c r="X140" i="1" a="1"/>
  <c r="X140" i="1"/>
  <c r="W140" i="1" a="1"/>
  <c r="W140" i="1"/>
  <c r="V140" i="1" a="1"/>
  <c r="V140" i="1"/>
  <c r="U140" i="1" a="1"/>
  <c r="U140" i="1"/>
  <c r="T140" i="1" a="1"/>
  <c r="T140" i="1"/>
  <c r="S140" i="1" a="1"/>
  <c r="S140" i="1"/>
  <c r="R140" i="1" a="1"/>
  <c r="R140" i="1"/>
  <c r="Q140" i="1" a="1"/>
  <c r="Q140" i="1"/>
  <c r="P140" i="1" a="1"/>
  <c r="P140" i="1"/>
  <c r="O140" i="1" a="1"/>
  <c r="O140" i="1"/>
  <c r="N140" i="1" a="1"/>
  <c r="N140" i="1"/>
  <c r="AC139" i="1" a="1"/>
  <c r="AC139" i="1"/>
  <c r="AB139" i="1" a="1"/>
  <c r="AB139" i="1"/>
  <c r="AA139" i="1" a="1"/>
  <c r="AA139" i="1"/>
  <c r="Z139" i="1" a="1"/>
  <c r="Z139" i="1"/>
  <c r="Y139" i="1" a="1"/>
  <c r="Y139" i="1"/>
  <c r="X139" i="1" a="1"/>
  <c r="X139" i="1"/>
  <c r="W139" i="1" a="1"/>
  <c r="W139" i="1"/>
  <c r="V139" i="1" a="1"/>
  <c r="V139" i="1"/>
  <c r="U139" i="1" a="1"/>
  <c r="U139" i="1"/>
  <c r="T139" i="1" a="1"/>
  <c r="T139" i="1"/>
  <c r="S139" i="1" a="1"/>
  <c r="S139" i="1"/>
  <c r="R139" i="1" a="1"/>
  <c r="R139" i="1"/>
  <c r="Q139" i="1" a="1"/>
  <c r="Q139" i="1"/>
  <c r="P139" i="1" a="1"/>
  <c r="P139" i="1"/>
  <c r="O139" i="1" a="1"/>
  <c r="O139" i="1"/>
  <c r="N139" i="1" a="1"/>
  <c r="N139" i="1"/>
  <c r="AC138" i="1" a="1"/>
  <c r="AC138" i="1"/>
  <c r="AB138" i="1" a="1"/>
  <c r="AB138" i="1"/>
  <c r="AA138" i="1" a="1"/>
  <c r="AA138" i="1"/>
  <c r="Z138" i="1" a="1"/>
  <c r="Z138" i="1"/>
  <c r="Y138" i="1" a="1"/>
  <c r="Y138" i="1"/>
  <c r="X138" i="1" a="1"/>
  <c r="X138" i="1"/>
  <c r="W138" i="1" a="1"/>
  <c r="W138" i="1"/>
  <c r="V138" i="1" a="1"/>
  <c r="V138" i="1"/>
  <c r="U138" i="1" a="1"/>
  <c r="U138" i="1"/>
  <c r="T138" i="1" a="1"/>
  <c r="T138" i="1"/>
  <c r="S138" i="1" a="1"/>
  <c r="S138" i="1"/>
  <c r="R138" i="1" a="1"/>
  <c r="R138" i="1"/>
  <c r="Q138" i="1" a="1"/>
  <c r="Q138" i="1"/>
  <c r="P138" i="1" a="1"/>
  <c r="P138" i="1"/>
  <c r="O138" i="1" a="1"/>
  <c r="O138" i="1"/>
  <c r="N138" i="1" a="1"/>
  <c r="N138" i="1"/>
  <c r="AC137" i="1" a="1"/>
  <c r="AC137" i="1"/>
  <c r="AB137" i="1" a="1"/>
  <c r="AB137" i="1"/>
  <c r="AA137" i="1" a="1"/>
  <c r="AA137" i="1"/>
  <c r="Z137" i="1" a="1"/>
  <c r="Z137" i="1"/>
  <c r="Y137" i="1" a="1"/>
  <c r="Y137" i="1"/>
  <c r="X137" i="1" a="1"/>
  <c r="X137" i="1"/>
  <c r="W137" i="1" a="1"/>
  <c r="W137" i="1"/>
  <c r="V137" i="1" a="1"/>
  <c r="V137" i="1"/>
  <c r="U137" i="1" a="1"/>
  <c r="U137" i="1"/>
  <c r="T137" i="1" a="1"/>
  <c r="T137" i="1"/>
  <c r="S137" i="1" a="1"/>
  <c r="S137" i="1"/>
  <c r="R137" i="1" a="1"/>
  <c r="R137" i="1"/>
  <c r="Q137" i="1" a="1"/>
  <c r="Q137" i="1"/>
  <c r="P137" i="1" a="1"/>
  <c r="P137" i="1"/>
  <c r="O137" i="1" a="1"/>
  <c r="O137" i="1"/>
  <c r="N137" i="1" a="1"/>
  <c r="N137" i="1"/>
  <c r="AC113" i="1" a="1"/>
  <c r="AC113" i="1"/>
  <c r="AB113" i="1" a="1"/>
  <c r="AB113" i="1"/>
  <c r="AA113" i="1" a="1"/>
  <c r="AA113" i="1"/>
  <c r="Z113" i="1" a="1"/>
  <c r="Z113" i="1"/>
  <c r="Y113" i="1" a="1"/>
  <c r="Y113" i="1"/>
  <c r="X113" i="1" a="1"/>
  <c r="X113" i="1"/>
  <c r="W113" i="1" a="1"/>
  <c r="W113" i="1"/>
  <c r="V113" i="1" a="1"/>
  <c r="V113" i="1"/>
  <c r="U113" i="1" a="1"/>
  <c r="U113" i="1"/>
  <c r="T113" i="1" a="1"/>
  <c r="T113" i="1"/>
  <c r="S113" i="1" a="1"/>
  <c r="S113" i="1"/>
  <c r="R113" i="1" a="1"/>
  <c r="R113" i="1"/>
  <c r="Q113" i="1" a="1"/>
  <c r="Q113" i="1"/>
  <c r="P113" i="1" a="1"/>
  <c r="P113" i="1"/>
  <c r="O113" i="1" a="1"/>
  <c r="O113" i="1"/>
  <c r="N113" i="1" a="1"/>
  <c r="N113" i="1"/>
  <c r="AC112" i="1" a="1"/>
  <c r="AC112" i="1"/>
  <c r="AB112" i="1" a="1"/>
  <c r="AB112" i="1"/>
  <c r="AA112" i="1" a="1"/>
  <c r="AA112" i="1"/>
  <c r="Z112" i="1" a="1"/>
  <c r="Z112" i="1"/>
  <c r="Y112" i="1" a="1"/>
  <c r="Y112" i="1"/>
  <c r="X112" i="1" a="1"/>
  <c r="X112" i="1"/>
  <c r="W112" i="1" a="1"/>
  <c r="W112" i="1"/>
  <c r="V112" i="1" a="1"/>
  <c r="V112" i="1"/>
  <c r="U112" i="1" a="1"/>
  <c r="U112" i="1"/>
  <c r="T112" i="1" a="1"/>
  <c r="T112" i="1"/>
  <c r="S112" i="1" a="1"/>
  <c r="S112" i="1"/>
  <c r="R112" i="1" a="1"/>
  <c r="R112" i="1"/>
  <c r="Q112" i="1" a="1"/>
  <c r="Q112" i="1"/>
  <c r="P112" i="1" a="1"/>
  <c r="P112" i="1"/>
  <c r="O112" i="1" a="1"/>
  <c r="O112" i="1"/>
  <c r="N112" i="1" a="1"/>
  <c r="N112" i="1"/>
  <c r="AC110" i="1" a="1"/>
  <c r="AC110" i="1"/>
  <c r="AB110" i="1" a="1"/>
  <c r="AB110" i="1"/>
  <c r="AA110" i="1" a="1"/>
  <c r="AA110" i="1"/>
  <c r="Z110" i="1" a="1"/>
  <c r="Z110" i="1"/>
  <c r="Y110" i="1" a="1"/>
  <c r="Y110" i="1"/>
  <c r="X110" i="1" a="1"/>
  <c r="X110" i="1"/>
  <c r="W110" i="1" a="1"/>
  <c r="W110" i="1"/>
  <c r="V110" i="1" a="1"/>
  <c r="V110" i="1"/>
  <c r="U110" i="1" a="1"/>
  <c r="U110" i="1"/>
  <c r="T110" i="1" a="1"/>
  <c r="T110" i="1"/>
  <c r="S110" i="1" a="1"/>
  <c r="S110" i="1"/>
  <c r="R110" i="1" a="1"/>
  <c r="R110" i="1"/>
  <c r="Q110" i="1" a="1"/>
  <c r="Q110" i="1"/>
  <c r="P110" i="1" a="1"/>
  <c r="P110" i="1"/>
  <c r="O110" i="1" a="1"/>
  <c r="O110" i="1"/>
  <c r="N110" i="1" a="1"/>
  <c r="N110" i="1"/>
  <c r="AC109" i="1" a="1"/>
  <c r="AC109" i="1"/>
  <c r="AB109" i="1" a="1"/>
  <c r="AB109" i="1"/>
  <c r="AA109" i="1" a="1"/>
  <c r="AA109" i="1"/>
  <c r="Z109" i="1" a="1"/>
  <c r="Z109" i="1"/>
  <c r="Y109" i="1" a="1"/>
  <c r="Y109" i="1"/>
  <c r="X109" i="1" a="1"/>
  <c r="X109" i="1"/>
  <c r="W109" i="1" a="1"/>
  <c r="W109" i="1"/>
  <c r="V109" i="1" a="1"/>
  <c r="V109" i="1"/>
  <c r="U109" i="1" a="1"/>
  <c r="U109" i="1"/>
  <c r="T109" i="1" a="1"/>
  <c r="T109" i="1"/>
  <c r="S109" i="1" a="1"/>
  <c r="S109" i="1"/>
  <c r="R109" i="1" a="1"/>
  <c r="R109" i="1"/>
  <c r="Q109" i="1" a="1"/>
  <c r="Q109" i="1"/>
  <c r="P109" i="1" a="1"/>
  <c r="P109" i="1"/>
  <c r="O109" i="1" a="1"/>
  <c r="O109" i="1"/>
  <c r="N109" i="1" a="1"/>
  <c r="N109" i="1"/>
  <c r="AC107" i="1" a="1"/>
  <c r="AC107" i="1"/>
  <c r="AB107" i="1" a="1"/>
  <c r="AB107" i="1"/>
  <c r="AA107" i="1" a="1"/>
  <c r="AA107" i="1"/>
  <c r="Z107" i="1" a="1"/>
  <c r="Z107" i="1"/>
  <c r="Y107" i="1" a="1"/>
  <c r="Y107" i="1"/>
  <c r="X107" i="1" a="1"/>
  <c r="X107" i="1"/>
  <c r="W107" i="1" a="1"/>
  <c r="W107" i="1"/>
  <c r="V107" i="1" a="1"/>
  <c r="V107" i="1"/>
  <c r="U107" i="1" a="1"/>
  <c r="U107" i="1"/>
  <c r="T107" i="1" a="1"/>
  <c r="T107" i="1"/>
  <c r="S107" i="1" a="1"/>
  <c r="S107" i="1"/>
  <c r="R107" i="1" a="1"/>
  <c r="R107" i="1"/>
  <c r="Q107" i="1" a="1"/>
  <c r="Q107" i="1"/>
  <c r="P107" i="1" a="1"/>
  <c r="P107" i="1"/>
  <c r="O107" i="1" a="1"/>
  <c r="O107" i="1"/>
  <c r="N107" i="1" a="1"/>
  <c r="N107" i="1"/>
  <c r="AC106" i="1" a="1"/>
  <c r="AC106" i="1"/>
  <c r="AB106" i="1" a="1"/>
  <c r="AB106" i="1"/>
  <c r="AA106" i="1" a="1"/>
  <c r="AA106" i="1"/>
  <c r="Z106" i="1" a="1"/>
  <c r="Z106" i="1"/>
  <c r="Y106" i="1" a="1"/>
  <c r="Y106" i="1"/>
  <c r="X106" i="1" a="1"/>
  <c r="X106" i="1"/>
  <c r="W106" i="1" a="1"/>
  <c r="W106" i="1"/>
  <c r="V106" i="1" a="1"/>
  <c r="V106" i="1"/>
  <c r="U106" i="1" a="1"/>
  <c r="U106" i="1"/>
  <c r="T106" i="1" a="1"/>
  <c r="T106" i="1"/>
  <c r="S106" i="1" a="1"/>
  <c r="S106" i="1"/>
  <c r="R106" i="1" a="1"/>
  <c r="R106" i="1"/>
  <c r="Q106" i="1" a="1"/>
  <c r="Q106" i="1"/>
  <c r="P106" i="1" a="1"/>
  <c r="P106" i="1"/>
  <c r="O106" i="1" a="1"/>
  <c r="O106" i="1"/>
  <c r="N106" i="1" a="1"/>
  <c r="N106" i="1"/>
  <c r="AC105" i="1" a="1"/>
  <c r="AC105" i="1"/>
  <c r="AB105" i="1" a="1"/>
  <c r="AB105" i="1"/>
  <c r="AA105" i="1" a="1"/>
  <c r="AA105" i="1"/>
  <c r="Z105" i="1" a="1"/>
  <c r="Z105" i="1"/>
  <c r="Y105" i="1" a="1"/>
  <c r="Y105" i="1"/>
  <c r="X105" i="1" a="1"/>
  <c r="X105" i="1"/>
  <c r="W105" i="1" a="1"/>
  <c r="W105" i="1"/>
  <c r="V105" i="1" a="1"/>
  <c r="V105" i="1"/>
  <c r="U105" i="1" a="1"/>
  <c r="U105" i="1"/>
  <c r="T105" i="1" a="1"/>
  <c r="T105" i="1"/>
  <c r="S105" i="1" a="1"/>
  <c r="S105" i="1"/>
  <c r="R105" i="1" a="1"/>
  <c r="R105" i="1"/>
  <c r="Q105" i="1" a="1"/>
  <c r="Q105" i="1"/>
  <c r="P105" i="1" a="1"/>
  <c r="P105" i="1"/>
  <c r="O105" i="1" a="1"/>
  <c r="O105" i="1"/>
  <c r="N105" i="1" a="1"/>
  <c r="N105" i="1"/>
  <c r="AC103" i="1" a="1"/>
  <c r="AC103" i="1"/>
  <c r="AB103" i="1" a="1"/>
  <c r="AB103" i="1"/>
  <c r="AA103" i="1" a="1"/>
  <c r="AA103" i="1"/>
  <c r="Z103" i="1" a="1"/>
  <c r="Z103" i="1"/>
  <c r="Y103" i="1" a="1"/>
  <c r="Y103" i="1"/>
  <c r="X103" i="1" a="1"/>
  <c r="X103" i="1"/>
  <c r="W103" i="1" a="1"/>
  <c r="W103" i="1"/>
  <c r="V103" i="1" a="1"/>
  <c r="V103" i="1"/>
  <c r="U103" i="1" a="1"/>
  <c r="U103" i="1"/>
  <c r="T103" i="1" a="1"/>
  <c r="T103" i="1"/>
  <c r="S103" i="1" a="1"/>
  <c r="S103" i="1"/>
  <c r="R103" i="1" a="1"/>
  <c r="R103" i="1"/>
  <c r="Q103" i="1" a="1"/>
  <c r="Q103" i="1"/>
  <c r="P103" i="1" a="1"/>
  <c r="P103" i="1"/>
  <c r="O103" i="1" a="1"/>
  <c r="O103" i="1"/>
  <c r="N103" i="1" a="1"/>
  <c r="N103" i="1"/>
  <c r="AC102" i="1" a="1"/>
  <c r="AC102" i="1"/>
  <c r="AB102" i="1" a="1"/>
  <c r="AB102" i="1"/>
  <c r="AA102" i="1" a="1"/>
  <c r="AA102" i="1"/>
  <c r="Z102" i="1" a="1"/>
  <c r="Z102" i="1"/>
  <c r="Y102" i="1" a="1"/>
  <c r="Y102" i="1"/>
  <c r="X102" i="1" a="1"/>
  <c r="X102" i="1"/>
  <c r="W102" i="1" a="1"/>
  <c r="W102" i="1"/>
  <c r="V102" i="1" a="1"/>
  <c r="V102" i="1"/>
  <c r="U102" i="1" a="1"/>
  <c r="U102" i="1"/>
  <c r="T102" i="1" a="1"/>
  <c r="T102" i="1"/>
  <c r="S102" i="1" a="1"/>
  <c r="S102" i="1"/>
  <c r="R102" i="1" a="1"/>
  <c r="R102" i="1"/>
  <c r="Q102" i="1" a="1"/>
  <c r="Q102" i="1"/>
  <c r="P102" i="1" a="1"/>
  <c r="P102" i="1"/>
  <c r="O102" i="1" a="1"/>
  <c r="O102" i="1"/>
  <c r="N102" i="1" a="1"/>
  <c r="N102" i="1"/>
  <c r="AC101" i="1" a="1"/>
  <c r="AC101" i="1"/>
  <c r="AB101" i="1" a="1"/>
  <c r="AB101" i="1"/>
  <c r="AA101" i="1" a="1"/>
  <c r="AA101" i="1"/>
  <c r="Z101" i="1" a="1"/>
  <c r="Z101" i="1"/>
  <c r="Y101" i="1" a="1"/>
  <c r="Y101" i="1"/>
  <c r="X101" i="1" a="1"/>
  <c r="X101" i="1"/>
  <c r="W101" i="1" a="1"/>
  <c r="W101" i="1"/>
  <c r="V101" i="1" a="1"/>
  <c r="V101" i="1"/>
  <c r="U101" i="1" a="1"/>
  <c r="U101" i="1"/>
  <c r="T101" i="1" a="1"/>
  <c r="T101" i="1"/>
  <c r="S101" i="1" a="1"/>
  <c r="S101" i="1"/>
  <c r="R101" i="1" a="1"/>
  <c r="R101" i="1"/>
  <c r="Q101" i="1" a="1"/>
  <c r="Q101" i="1"/>
  <c r="P101" i="1" a="1"/>
  <c r="P101" i="1"/>
  <c r="O101" i="1" a="1"/>
  <c r="O101" i="1"/>
  <c r="N101" i="1" a="1"/>
  <c r="N101" i="1"/>
  <c r="AC100" i="1" a="1"/>
  <c r="AC100" i="1"/>
  <c r="AB100" i="1" a="1"/>
  <c r="AB100" i="1"/>
  <c r="AA100" i="1" a="1"/>
  <c r="AA100" i="1"/>
  <c r="Z100" i="1" a="1"/>
  <c r="Z100" i="1"/>
  <c r="Y100" i="1" a="1"/>
  <c r="Y100" i="1"/>
  <c r="X100" i="1" a="1"/>
  <c r="X100" i="1"/>
  <c r="W100" i="1" a="1"/>
  <c r="W100" i="1"/>
  <c r="V100" i="1" a="1"/>
  <c r="V100" i="1"/>
  <c r="U100" i="1" a="1"/>
  <c r="U100" i="1"/>
  <c r="T100" i="1" a="1"/>
  <c r="T100" i="1"/>
  <c r="S100" i="1" a="1"/>
  <c r="S100" i="1"/>
  <c r="R100" i="1" a="1"/>
  <c r="R100" i="1"/>
  <c r="Q100" i="1" a="1"/>
  <c r="Q100" i="1"/>
  <c r="P100" i="1" a="1"/>
  <c r="P100" i="1"/>
  <c r="O100" i="1" a="1"/>
  <c r="O100" i="1"/>
  <c r="N100" i="1" a="1"/>
  <c r="N100" i="1"/>
  <c r="AC95" i="1" a="1"/>
  <c r="AC95" i="1"/>
  <c r="AB95" i="1" a="1"/>
  <c r="AB95" i="1"/>
  <c r="AA95" i="1" a="1"/>
  <c r="AA95" i="1"/>
  <c r="Z95" i="1" a="1"/>
  <c r="Z95" i="1"/>
  <c r="Y95" i="1" a="1"/>
  <c r="Y95" i="1"/>
  <c r="X95" i="1" a="1"/>
  <c r="X95" i="1"/>
  <c r="W95" i="1" a="1"/>
  <c r="W95" i="1"/>
  <c r="V95" i="1" a="1"/>
  <c r="V95" i="1"/>
  <c r="U95" i="1" a="1"/>
  <c r="U95" i="1"/>
  <c r="T95" i="1" a="1"/>
  <c r="T95" i="1"/>
  <c r="S95" i="1" a="1"/>
  <c r="S95" i="1"/>
  <c r="R95" i="1" a="1"/>
  <c r="R95" i="1"/>
  <c r="Q95" i="1" a="1"/>
  <c r="Q95" i="1"/>
  <c r="P95" i="1" a="1"/>
  <c r="P95" i="1"/>
  <c r="O95" i="1" a="1"/>
  <c r="O95" i="1"/>
  <c r="N95" i="1" a="1"/>
  <c r="N95" i="1"/>
  <c r="AC94" i="1" a="1"/>
  <c r="AC94" i="1"/>
  <c r="AB94" i="1" a="1"/>
  <c r="AB94" i="1"/>
  <c r="AA94" i="1" a="1"/>
  <c r="AA94" i="1"/>
  <c r="Z94" i="1" a="1"/>
  <c r="Z94" i="1"/>
  <c r="Y94" i="1" a="1"/>
  <c r="Y94" i="1"/>
  <c r="X94" i="1" a="1"/>
  <c r="X94" i="1"/>
  <c r="W94" i="1" a="1"/>
  <c r="W94" i="1"/>
  <c r="V94" i="1" a="1"/>
  <c r="V94" i="1"/>
  <c r="U94" i="1" a="1"/>
  <c r="U94" i="1"/>
  <c r="T94" i="1" a="1"/>
  <c r="T94" i="1"/>
  <c r="S94" i="1" a="1"/>
  <c r="S94" i="1"/>
  <c r="R94" i="1" a="1"/>
  <c r="R94" i="1"/>
  <c r="Q94" i="1" a="1"/>
  <c r="Q94" i="1"/>
  <c r="P94" i="1" a="1"/>
  <c r="P94" i="1"/>
  <c r="O94" i="1" a="1"/>
  <c r="O94" i="1"/>
  <c r="N94" i="1" a="1"/>
  <c r="N94" i="1"/>
  <c r="AC91" i="1" a="1"/>
  <c r="AC91" i="1"/>
  <c r="AB91" i="1" a="1"/>
  <c r="AB91" i="1"/>
  <c r="AA91" i="1" a="1"/>
  <c r="AA91" i="1"/>
  <c r="Z91" i="1" a="1"/>
  <c r="Z91" i="1"/>
  <c r="Y91" i="1" a="1"/>
  <c r="Y91" i="1"/>
  <c r="X91" i="1" a="1"/>
  <c r="X91" i="1"/>
  <c r="W91" i="1" a="1"/>
  <c r="W91" i="1"/>
  <c r="V91" i="1" a="1"/>
  <c r="V91" i="1"/>
  <c r="U91" i="1" a="1"/>
  <c r="U91" i="1"/>
  <c r="T91" i="1" a="1"/>
  <c r="T91" i="1"/>
  <c r="S91" i="1" a="1"/>
  <c r="S91" i="1"/>
  <c r="R91" i="1" a="1"/>
  <c r="R91" i="1"/>
  <c r="Q91" i="1" a="1"/>
  <c r="Q91" i="1"/>
  <c r="P91" i="1" a="1"/>
  <c r="P91" i="1"/>
  <c r="O91" i="1" a="1"/>
  <c r="O91" i="1"/>
  <c r="N91" i="1" a="1"/>
  <c r="N91" i="1"/>
  <c r="AC90" i="1" a="1"/>
  <c r="AC90" i="1"/>
  <c r="AB90" i="1" a="1"/>
  <c r="AB90" i="1"/>
  <c r="AA90" i="1" a="1"/>
  <c r="AA90" i="1"/>
  <c r="Z90" i="1" a="1"/>
  <c r="Z90" i="1"/>
  <c r="Y90" i="1" a="1"/>
  <c r="Y90" i="1"/>
  <c r="X90" i="1" a="1"/>
  <c r="X90" i="1"/>
  <c r="W90" i="1" a="1"/>
  <c r="W90" i="1"/>
  <c r="V90" i="1" a="1"/>
  <c r="V90" i="1"/>
  <c r="U90" i="1" a="1"/>
  <c r="U90" i="1"/>
  <c r="T90" i="1" a="1"/>
  <c r="T90" i="1"/>
  <c r="S90" i="1" a="1"/>
  <c r="S90" i="1"/>
  <c r="R90" i="1" a="1"/>
  <c r="R90" i="1"/>
  <c r="Q90" i="1" a="1"/>
  <c r="Q90" i="1"/>
  <c r="P90" i="1" a="1"/>
  <c r="P90" i="1"/>
  <c r="O90" i="1" a="1"/>
  <c r="O90" i="1"/>
  <c r="N90" i="1" a="1"/>
  <c r="N90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C26" i="1" a="1"/>
  <c r="C26" i="1"/>
  <c r="C25" i="1" a="1"/>
  <c r="C25" i="1"/>
  <c r="C24" i="1" a="1"/>
  <c r="C24" i="1"/>
  <c r="C13" i="1" a="1"/>
  <c r="C13" i="1"/>
  <c r="C14" i="1" a="1"/>
  <c r="C14" i="1"/>
  <c r="C16" i="1" a="1"/>
  <c r="C16" i="1"/>
  <c r="C15" i="1" a="1"/>
  <c r="C15" i="1"/>
  <c r="R84" i="1"/>
  <c r="C17" i="1"/>
  <c r="AC92" i="1"/>
  <c r="AB92" i="1"/>
  <c r="AC93" i="1"/>
  <c r="AA92" i="1"/>
  <c r="AB93" i="1"/>
  <c r="Z92" i="1"/>
  <c r="AA93" i="1"/>
  <c r="Y92" i="1"/>
  <c r="Z93" i="1"/>
  <c r="X92" i="1"/>
  <c r="Y93" i="1"/>
  <c r="W92" i="1"/>
  <c r="X93" i="1"/>
  <c r="V92" i="1"/>
  <c r="W93" i="1"/>
  <c r="U92" i="1"/>
  <c r="V93" i="1"/>
  <c r="T92" i="1"/>
  <c r="U93" i="1"/>
  <c r="S92" i="1"/>
  <c r="T93" i="1"/>
  <c r="R92" i="1"/>
  <c r="S93" i="1"/>
  <c r="Q92" i="1"/>
  <c r="R93" i="1"/>
  <c r="P92" i="1"/>
  <c r="Q93" i="1"/>
  <c r="O92" i="1"/>
  <c r="P93" i="1"/>
  <c r="N92" i="1"/>
  <c r="O93" i="1"/>
  <c r="AC166" i="1"/>
  <c r="AB166" i="1"/>
  <c r="AC167" i="1"/>
  <c r="AA166" i="1"/>
  <c r="AB167" i="1"/>
  <c r="Z166" i="1"/>
  <c r="AA167" i="1"/>
  <c r="Y166" i="1"/>
  <c r="Z167" i="1"/>
  <c r="X166" i="1"/>
  <c r="Y167" i="1"/>
  <c r="AC162" i="1"/>
  <c r="AB162" i="1"/>
  <c r="AA162" i="1"/>
  <c r="Z162" i="1"/>
  <c r="Y162" i="1"/>
  <c r="AC159" i="1"/>
  <c r="AB159" i="1"/>
  <c r="AA159" i="1"/>
  <c r="Z159" i="1"/>
  <c r="Y159" i="1"/>
  <c r="AC153" i="1"/>
  <c r="AB153" i="1"/>
  <c r="AA153" i="1"/>
  <c r="Z153" i="1"/>
  <c r="Y153" i="1"/>
  <c r="AC149" i="1"/>
  <c r="AB149" i="1"/>
  <c r="AA149" i="1"/>
  <c r="Z149" i="1"/>
  <c r="Y149" i="1"/>
  <c r="AC145" i="1"/>
  <c r="AB145" i="1"/>
  <c r="AA145" i="1"/>
  <c r="Z145" i="1"/>
  <c r="Y145" i="1"/>
  <c r="AC141" i="1"/>
  <c r="AB141" i="1"/>
  <c r="AC142" i="1"/>
  <c r="AA141" i="1"/>
  <c r="AB142" i="1"/>
  <c r="Z141" i="1"/>
  <c r="AA142" i="1"/>
  <c r="Y141" i="1"/>
  <c r="Z142" i="1"/>
  <c r="X141" i="1"/>
  <c r="Y142" i="1"/>
  <c r="AC114" i="1"/>
  <c r="AB114" i="1"/>
  <c r="AA114" i="1"/>
  <c r="Z114" i="1"/>
  <c r="Y114" i="1"/>
  <c r="AC111" i="1"/>
  <c r="AB111" i="1"/>
  <c r="AA111" i="1"/>
  <c r="Z111" i="1"/>
  <c r="Y111" i="1"/>
  <c r="AC108" i="1"/>
  <c r="AB108" i="1"/>
  <c r="AA108" i="1"/>
  <c r="Z108" i="1"/>
  <c r="Y108" i="1"/>
  <c r="AC104" i="1"/>
  <c r="AB104" i="1"/>
  <c r="AA104" i="1"/>
  <c r="Z104" i="1"/>
  <c r="Y104" i="1"/>
  <c r="AC96" i="1"/>
  <c r="AB96" i="1"/>
  <c r="AA96" i="1"/>
  <c r="Z96" i="1"/>
  <c r="Y96" i="1"/>
  <c r="O141" i="1"/>
  <c r="N141" i="1"/>
  <c r="O142" i="1"/>
  <c r="P141" i="1"/>
  <c r="P142" i="1"/>
  <c r="Q141" i="1"/>
  <c r="Q142" i="1"/>
  <c r="R141" i="1"/>
  <c r="R142" i="1"/>
  <c r="S141" i="1"/>
  <c r="S142" i="1"/>
  <c r="T141" i="1"/>
  <c r="T142" i="1"/>
  <c r="U141" i="1"/>
  <c r="U142" i="1"/>
  <c r="V141" i="1"/>
  <c r="V142" i="1"/>
  <c r="W141" i="1"/>
  <c r="W142" i="1"/>
  <c r="X142" i="1"/>
  <c r="K138" i="1"/>
  <c r="L138" i="1"/>
  <c r="M138" i="1"/>
  <c r="K139" i="1"/>
  <c r="L139" i="1"/>
  <c r="M139" i="1"/>
  <c r="M100" i="1"/>
  <c r="W166" i="1"/>
  <c r="X167" i="1"/>
  <c r="V166" i="1"/>
  <c r="W167" i="1"/>
  <c r="U166" i="1"/>
  <c r="V167" i="1"/>
  <c r="T166" i="1"/>
  <c r="U167" i="1"/>
  <c r="X162" i="1"/>
  <c r="W162" i="1"/>
  <c r="V162" i="1"/>
  <c r="U162" i="1"/>
  <c r="X159" i="1"/>
  <c r="W159" i="1"/>
  <c r="V159" i="1"/>
  <c r="U159" i="1"/>
  <c r="X153" i="1"/>
  <c r="W153" i="1"/>
  <c r="V153" i="1"/>
  <c r="U153" i="1"/>
  <c r="X149" i="1"/>
  <c r="W149" i="1"/>
  <c r="V149" i="1"/>
  <c r="U149" i="1"/>
  <c r="X145" i="1"/>
  <c r="W145" i="1"/>
  <c r="V145" i="1"/>
  <c r="U145" i="1"/>
  <c r="X114" i="1"/>
  <c r="W114" i="1"/>
  <c r="V114" i="1"/>
  <c r="U114" i="1"/>
  <c r="X111" i="1"/>
  <c r="W111" i="1"/>
  <c r="V111" i="1"/>
  <c r="U111" i="1"/>
  <c r="X108" i="1"/>
  <c r="W108" i="1"/>
  <c r="V108" i="1"/>
  <c r="U108" i="1"/>
  <c r="X104" i="1"/>
  <c r="W104" i="1"/>
  <c r="V104" i="1"/>
  <c r="U104" i="1"/>
  <c r="X96" i="1"/>
  <c r="W96" i="1"/>
  <c r="V96" i="1"/>
  <c r="U96" i="1"/>
  <c r="O166" i="1"/>
  <c r="N166" i="1"/>
  <c r="O167" i="1"/>
  <c r="P166" i="1"/>
  <c r="P167" i="1"/>
  <c r="Q166" i="1"/>
  <c r="Q167" i="1"/>
  <c r="R166" i="1"/>
  <c r="R167" i="1"/>
  <c r="S166" i="1"/>
  <c r="S167" i="1"/>
  <c r="T167" i="1"/>
  <c r="M95" i="1"/>
  <c r="M94" i="1"/>
  <c r="M91" i="1"/>
  <c r="M90" i="1"/>
  <c r="M128" i="1"/>
  <c r="M126" i="1"/>
  <c r="M124" i="1"/>
  <c r="M122" i="1"/>
  <c r="M120" i="1"/>
  <c r="M118" i="1"/>
  <c r="M113" i="1"/>
  <c r="M112" i="1"/>
  <c r="M110" i="1"/>
  <c r="M109" i="1"/>
  <c r="M107" i="1"/>
  <c r="M106" i="1"/>
  <c r="M105" i="1"/>
  <c r="M103" i="1"/>
  <c r="M102" i="1"/>
  <c r="M101" i="1"/>
  <c r="M165" i="1"/>
  <c r="M164" i="1"/>
  <c r="M163" i="1"/>
  <c r="M161" i="1"/>
  <c r="M160" i="1"/>
  <c r="M158" i="1"/>
  <c r="M157" i="1"/>
  <c r="M156" i="1"/>
  <c r="M155" i="1"/>
  <c r="M154" i="1"/>
  <c r="M152" i="1"/>
  <c r="M151" i="1"/>
  <c r="M150" i="1"/>
  <c r="M148" i="1"/>
  <c r="M147" i="1"/>
  <c r="M146" i="1"/>
  <c r="M144" i="1"/>
  <c r="M143" i="1"/>
  <c r="M137" i="1"/>
  <c r="M140" i="1"/>
  <c r="Q111" i="1"/>
  <c r="O108" i="1"/>
  <c r="P108" i="1"/>
  <c r="Q108" i="1"/>
  <c r="R108" i="1"/>
  <c r="S108" i="1"/>
  <c r="T108" i="1"/>
  <c r="N108" i="1"/>
  <c r="O104" i="1"/>
  <c r="P104" i="1"/>
  <c r="Q104" i="1"/>
  <c r="R104" i="1"/>
  <c r="S104" i="1"/>
  <c r="T104" i="1"/>
  <c r="N104" i="1"/>
  <c r="O159" i="1"/>
  <c r="P159" i="1"/>
  <c r="Q159" i="1"/>
  <c r="R159" i="1"/>
  <c r="S159" i="1"/>
  <c r="T159" i="1"/>
  <c r="N159" i="1"/>
  <c r="T153" i="1"/>
  <c r="S153" i="1"/>
  <c r="R153" i="1"/>
  <c r="Q153" i="1"/>
  <c r="P153" i="1"/>
  <c r="O153" i="1"/>
  <c r="N153" i="1"/>
  <c r="O149" i="1"/>
  <c r="P149" i="1"/>
  <c r="Q149" i="1"/>
  <c r="R149" i="1"/>
  <c r="S149" i="1"/>
  <c r="T149" i="1"/>
  <c r="N149" i="1"/>
  <c r="L146" i="1"/>
  <c r="L91" i="1"/>
  <c r="L94" i="1"/>
  <c r="L95" i="1"/>
  <c r="L137" i="1"/>
  <c r="L140" i="1"/>
  <c r="L143" i="1"/>
  <c r="L144" i="1"/>
  <c r="L147" i="1"/>
  <c r="L148" i="1"/>
  <c r="L150" i="1"/>
  <c r="L151" i="1"/>
  <c r="L152" i="1"/>
  <c r="L154" i="1"/>
  <c r="L155" i="1"/>
  <c r="L156" i="1"/>
  <c r="L157" i="1"/>
  <c r="L158" i="1"/>
  <c r="L160" i="1"/>
  <c r="L161" i="1"/>
  <c r="L163" i="1"/>
  <c r="L164" i="1"/>
  <c r="L165" i="1"/>
  <c r="L100" i="1"/>
  <c r="L101" i="1"/>
  <c r="L102" i="1"/>
  <c r="L103" i="1"/>
  <c r="L105" i="1"/>
  <c r="L106" i="1"/>
  <c r="L107" i="1"/>
  <c r="L109" i="1"/>
  <c r="L110" i="1"/>
  <c r="L112" i="1"/>
  <c r="L113" i="1"/>
  <c r="L118" i="1"/>
  <c r="L120" i="1"/>
  <c r="L122" i="1"/>
  <c r="L124" i="1"/>
  <c r="L126" i="1"/>
  <c r="L128" i="1"/>
  <c r="L90" i="1"/>
  <c r="K91" i="1"/>
  <c r="K94" i="1"/>
  <c r="K95" i="1"/>
  <c r="K137" i="1"/>
  <c r="K140" i="1"/>
  <c r="K143" i="1"/>
  <c r="K144" i="1"/>
  <c r="K146" i="1"/>
  <c r="K147" i="1"/>
  <c r="K148" i="1"/>
  <c r="K150" i="1"/>
  <c r="K151" i="1"/>
  <c r="K152" i="1"/>
  <c r="K154" i="1"/>
  <c r="K155" i="1"/>
  <c r="K156" i="1"/>
  <c r="K157" i="1"/>
  <c r="K158" i="1"/>
  <c r="K160" i="1"/>
  <c r="K161" i="1"/>
  <c r="K163" i="1"/>
  <c r="K164" i="1"/>
  <c r="K165" i="1"/>
  <c r="K100" i="1"/>
  <c r="K101" i="1"/>
  <c r="K102" i="1"/>
  <c r="K103" i="1"/>
  <c r="K105" i="1"/>
  <c r="K106" i="1"/>
  <c r="K107" i="1"/>
  <c r="K109" i="1"/>
  <c r="K110" i="1"/>
  <c r="K112" i="1"/>
  <c r="K113" i="1"/>
  <c r="K118" i="1"/>
  <c r="K120" i="1"/>
  <c r="K122" i="1"/>
  <c r="K124" i="1"/>
  <c r="K126" i="1"/>
  <c r="K128" i="1"/>
  <c r="K90" i="1"/>
  <c r="T114" i="1"/>
  <c r="S114" i="1"/>
  <c r="R114" i="1"/>
  <c r="Q114" i="1"/>
  <c r="P114" i="1"/>
  <c r="O114" i="1"/>
  <c r="N114" i="1"/>
  <c r="T111" i="1"/>
  <c r="S111" i="1"/>
  <c r="R111" i="1"/>
  <c r="P111" i="1"/>
  <c r="O111" i="1"/>
  <c r="N111" i="1"/>
  <c r="T162" i="1"/>
  <c r="S162" i="1"/>
  <c r="R162" i="1"/>
  <c r="Q162" i="1"/>
  <c r="P162" i="1"/>
  <c r="O162" i="1"/>
  <c r="N162" i="1"/>
  <c r="T145" i="1"/>
  <c r="S145" i="1"/>
  <c r="R145" i="1"/>
  <c r="Q145" i="1"/>
  <c r="P145" i="1"/>
  <c r="O145" i="1"/>
  <c r="N145" i="1"/>
  <c r="T96" i="1"/>
  <c r="S96" i="1"/>
  <c r="R96" i="1"/>
  <c r="Q96" i="1"/>
  <c r="P96" i="1"/>
  <c r="O96" i="1"/>
  <c r="N9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<sst xmlns="http://schemas.openxmlformats.org/spreadsheetml/2006/main" count="246" uniqueCount="148">
  <si>
    <t>CUBE:</t>
  </si>
  <si>
    <t>headline year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</si>
  <si>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</si>
  <si>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</si>
  <si>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</si>
  <si>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</si>
  <si>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</si>
  <si>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</si>
  <si>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</si>
  <si>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</si>
  <si>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appropriation item</t>
  </si>
  <si>
    <t>id</t>
  </si>
  <si>
    <t>jurisdiction</t>
  </si>
  <si>
    <t>No_Mvt</t>
  </si>
  <si>
    <t>Cash &amp; Appropriation Receivables</t>
  </si>
  <si>
    <t>=</t>
  </si>
  <si>
    <t>+</t>
  </si>
  <si>
    <t>-</t>
  </si>
  <si>
    <t>Capital Budget</t>
  </si>
  <si>
    <t>Miscellaneous</t>
  </si>
  <si>
    <t>6000000</t>
  </si>
  <si>
    <t>5220000</t>
  </si>
  <si>
    <t/>
  </si>
  <si>
    <t>6100001</t>
  </si>
  <si>
    <t>9000883</t>
  </si>
  <si>
    <t>6212013</t>
  </si>
  <si>
    <t>5220004</t>
  </si>
  <si>
    <t>9000882</t>
  </si>
  <si>
    <t>5220002</t>
  </si>
  <si>
    <t>9000863</t>
  </si>
  <si>
    <t>6211006</t>
  </si>
  <si>
    <t>6231010</t>
  </si>
  <si>
    <t>9000864</t>
  </si>
  <si>
    <t>6211002</t>
  </si>
  <si>
    <t>6211098</t>
  </si>
  <si>
    <t>9000865</t>
  </si>
  <si>
    <t>6212000</t>
  </si>
  <si>
    <t>6221200</t>
  </si>
  <si>
    <t>6232000</t>
  </si>
  <si>
    <t>9000869</t>
  </si>
  <si>
    <t>6211003</t>
  </si>
  <si>
    <t>5233029</t>
  </si>
  <si>
    <t>5220003</t>
  </si>
  <si>
    <t>5233028</t>
  </si>
  <si>
    <t>9300000</t>
  </si>
  <si>
    <t>5311002</t>
  </si>
  <si>
    <t>5312002</t>
  </si>
  <si>
    <t>5313001</t>
  </si>
  <si>
    <t>6232007</t>
  </si>
  <si>
    <t>9110000</t>
  </si>
  <si>
    <t>4100003</t>
  </si>
  <si>
    <t>9170000</t>
  </si>
  <si>
    <t>2241002</t>
  </si>
  <si>
    <t>2241003</t>
  </si>
  <si>
    <t>2242002</t>
  </si>
  <si>
    <t xml:space="preserve"> </t>
  </si>
  <si>
    <t>7206</t>
  </si>
  <si>
    <t>7209</t>
  </si>
  <si>
    <t>7153</t>
  </si>
  <si>
    <t>Revenue Account</t>
  </si>
  <si>
    <t>Expense Account</t>
  </si>
  <si>
    <t>Liability Account</t>
  </si>
  <si>
    <t>Asset Account</t>
  </si>
  <si>
    <t>Cash Flow Account</t>
  </si>
  <si>
    <t>Capital Account</t>
  </si>
  <si>
    <t>Account Type</t>
  </si>
  <si>
    <t>Account</t>
  </si>
  <si>
    <t>Movement Account</t>
  </si>
  <si>
    <t>Previous Year</t>
  </si>
  <si>
    <t>#1</t>
  </si>
  <si>
    <t>#2</t>
  </si>
  <si>
    <t>#3</t>
  </si>
  <si>
    <t>#4</t>
  </si>
  <si>
    <t>#5</t>
  </si>
  <si>
    <t>#6</t>
  </si>
  <si>
    <t>#7</t>
  </si>
  <si>
    <t>headline scenario</t>
  </si>
  <si>
    <t>Equity Account</t>
  </si>
  <si>
    <t>6221201</t>
  </si>
  <si>
    <t>Incremental movement in assets</t>
  </si>
  <si>
    <t>Wrong cash and/or approp receivables accounts used</t>
  </si>
  <si>
    <t>Cash at end of year (CF statement) 
less Cash (balance sheet)</t>
  </si>
  <si>
    <t>Cash at beginning of year (CF statement) 
less Cash at end of previous year (CF statement)</t>
  </si>
  <si>
    <t>Purchases (capital budget) less Additions (balance sheet)</t>
  </si>
  <si>
    <t>Purchases (capital budget) 
less Additions (cashflow statement)</t>
  </si>
  <si>
    <t>Bill 2 appropriations (capital budget) 
less Bill 2 equity injections (balance sheet)</t>
  </si>
  <si>
    <t>Bill 1 DCB appropriations (capital budget) 
less Bill 1 DCB equity injections (balance sheet)</t>
  </si>
  <si>
    <t>Dep'n expense  (income statement) 
less Accum dep'n movement (balance sheet)</t>
  </si>
  <si>
    <t>Cash held by entity (special account schedule) 
less Cash at bank (balance sheet)</t>
  </si>
  <si>
    <t>Appropriation receipts (special account) 
less Appropriation receipts (CF statement)</t>
  </si>
  <si>
    <t>Receipts (special account) 
less Various receipts excl GST (CF statement)</t>
  </si>
  <si>
    <t>Expenditure (special account) 
less Expenditure excl GST (CF statement)</t>
  </si>
  <si>
    <t>Investment receipts (special account) 
less Interest receipts (CF statement)</t>
  </si>
  <si>
    <t>Headline year</t>
  </si>
  <si>
    <t>Year indices (relative)</t>
  </si>
  <si>
    <t>Cash discrepancy between Balance Sheet and Special Account schedule due to GST impact</t>
  </si>
  <si>
    <t>Conditional formatting cell refs:</t>
  </si>
  <si>
    <t>=$I$30:$X$30,$I$33:$X$33,$I$41:$X$41,$I$45:$X$45,$I$48:$X$48,$I$51:$X$51,$I$57:$X$57,$I$60:$x$60,$I$63:$x$63,$i$72:$x$72,$I$75:$x$75,$I$79:$x$79,$I$83:$x$83,$I$89:$x$89,$I$92:$x$92,$I$97:$x$97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</si>
  <si>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</si>
  <si>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</si>
  <si>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</si>
  <si>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</si>
  <si>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</si>
  <si>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</si>
  <si>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</si>
  <si>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</si>
  <si>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</si>
  <si>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Variable measure</t>
  </si>
  <si>
    <t>value</t>
  </si>
  <si>
    <t>importance</t>
  </si>
  <si>
    <t>archive year</t>
  </si>
  <si>
    <t>archive scenario</t>
  </si>
  <si>
    <t>save location</t>
  </si>
  <si>
    <t>sys_application</t>
  </si>
  <si>
    <t>Slice View</t>
  </si>
  <si>
    <t>Current Workbook</t>
  </si>
  <si>
    <t>Analytical Reports - Reporting Stage Maintenance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</si>
  <si>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</si>
  <si>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</si>
  <si>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</si>
  <si>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</si>
  <si>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</si>
  <si>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</si>
  <si>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</si>
  <si>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</si>
  <si>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</si>
  <si>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</si>
  <si>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Homepage - Reports - Analytical</t>
  </si>
  <si>
    <t>Analytical Reports - Transaction Listing</t>
  </si>
  <si>
    <t>Analytical Reports - Reporting Cube and AE Adj Reconciliation</t>
  </si>
  <si>
    <t>Analytical Reports - Validations and Reconciliation</t>
  </si>
  <si>
    <t>Analytical Reports - Dashboard Reporting</t>
  </si>
  <si>
    <t>Analytical Reports - Agency Resourcing Table Reconciliation</t>
  </si>
  <si>
    <t>Analytical Reports - Export To CSV</t>
  </si>
  <si>
    <t>AE Adjustments</t>
  </si>
  <si>
    <t>Reconciliation and Validation Report</t>
  </si>
  <si>
    <t>Special Account</t>
  </si>
  <si>
    <t>Note : This screen is used as a validation check of GEUS accounts within Annual Estimates. Some of these validations may not be applicable to some agencies.</t>
  </si>
  <si>
    <t>REPORT PARAMETERS</t>
  </si>
  <si>
    <t xml:space="preserve">Program : </t>
  </si>
  <si>
    <t xml:space="preserve">Headline Year : </t>
  </si>
  <si>
    <t xml:space="preserve">Scenario : </t>
  </si>
  <si>
    <t>As at</t>
  </si>
  <si>
    <t>7353</t>
  </si>
  <si>
    <t>Lease renewal/addition in Asset account
less lease liability increase</t>
  </si>
  <si>
    <t>3240102</t>
  </si>
  <si>
    <t>7321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</si>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</sst>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_-* &quot;-&quot;??_-;_-@_-"/>
    <numFmt numFmtId="165" formatCode="dd\ mmmm\ yyyy\ h:mm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4.9958800012207406E-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34995574816125979"/>
      </top>
      <bottom style="thin">
        <color theme="0" tint="-0.34995574816125979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4" fontId="1" fillId="0" borderId="6" xfId="0" applyNumberFormat="1" applyFont="1" applyBorder="1" applyAlignment="1">
      <alignment horizontal="right" vertical="top"/>
    </xf>
    <xf numFmtId="164" fontId="1" fillId="0" borderId="11" xfId="0" applyNumberFormat="1" applyFont="1" applyBorder="1" applyAlignment="1">
      <alignment horizontal="right" vertical="top"/>
    </xf>
    <xf numFmtId="164" fontId="1" fillId="0" borderId="8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4" fontId="2" fillId="3" borderId="3" xfId="0" applyNumberFormat="1" applyFont="1" applyFill="1" applyBorder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0" fontId="1" fillId="0" borderId="12" xfId="0" applyFont="1" applyBorder="1"/>
    <xf numFmtId="0" fontId="1" fillId="0" borderId="0" xfId="0" applyFont="1" applyAlignment="1">
      <alignment horizontal="left"/>
    </xf>
    <xf numFmtId="49" fontId="1" fillId="0" borderId="0" xfId="0" applyNumberFormat="1" applyFont="1"/>
    <xf numFmtId="164" fontId="1" fillId="0" borderId="0" xfId="0" applyNumberFormat="1" applyFont="1"/>
    <xf numFmtId="0" fontId="1" fillId="0" borderId="8" xfId="0" applyFont="1" applyBorder="1"/>
    <xf numFmtId="0" fontId="1" fillId="0" borderId="0" xfId="0" applyFont="1" applyAlignment="1">
      <alignment horizontal="right"/>
    </xf>
    <xf numFmtId="0" fontId="3" fillId="0" borderId="0" xfId="0" quotePrefix="1" applyFont="1" applyAlignment="1">
      <alignment vertical="top"/>
    </xf>
    <xf numFmtId="0" fontId="3" fillId="0" borderId="0" xfId="0" applyFont="1" applyAlignment="1">
      <alignment horizontal="right"/>
    </xf>
    <xf numFmtId="0" fontId="5" fillId="0" borderId="12" xfId="0" applyFont="1" applyBorder="1"/>
    <xf numFmtId="0" fontId="0" fillId="0" borderId="12" xfId="0" applyBorder="1" applyAlignment="1">
      <alignment horizontal="center"/>
    </xf>
    <xf numFmtId="0" fontId="0" fillId="0" borderId="15" xfId="0" applyBorder="1"/>
    <xf numFmtId="0" fontId="0" fillId="0" borderId="12" xfId="0" applyBorder="1" applyAlignment="1">
      <alignment horizontal="left"/>
    </xf>
    <xf numFmtId="0" fontId="0" fillId="0" borderId="12" xfId="0" applyBorder="1"/>
    <xf numFmtId="0" fontId="1" fillId="0" borderId="12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5" fillId="0" borderId="0" xfId="0" applyFont="1"/>
    <xf numFmtId="0" fontId="4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7" fillId="0" borderId="0" xfId="0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6" xfId="0" applyFont="1" applyBorder="1" applyAlignment="1">
      <alignment horizontal="right" vertical="top"/>
    </xf>
    <xf numFmtId="0" fontId="8" fillId="0" borderId="6" xfId="0" applyFont="1" applyBorder="1" applyAlignment="1">
      <alignment vertical="top" wrapText="1"/>
    </xf>
    <xf numFmtId="0" fontId="8" fillId="0" borderId="6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164" fontId="8" fillId="0" borderId="10" xfId="0" applyNumberFormat="1" applyFont="1" applyBorder="1" applyAlignment="1">
      <alignment horizontal="right" vertical="top"/>
    </xf>
    <xf numFmtId="164" fontId="8" fillId="0" borderId="6" xfId="0" applyNumberFormat="1" applyFont="1" applyBorder="1" applyAlignment="1">
      <alignment horizontal="right" vertical="top"/>
    </xf>
    <xf numFmtId="164" fontId="8" fillId="0" borderId="11" xfId="0" applyNumberFormat="1" applyFont="1" applyBorder="1" applyAlignment="1">
      <alignment horizontal="right" vertical="top"/>
    </xf>
    <xf numFmtId="0" fontId="8" fillId="0" borderId="8" xfId="0" applyFont="1" applyBorder="1" applyAlignment="1">
      <alignment horizontal="right" vertical="top"/>
    </xf>
    <xf numFmtId="0" fontId="8" fillId="0" borderId="8" xfId="0" applyFont="1" applyBorder="1" applyAlignment="1">
      <alignment vertical="top" wrapText="1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164" fontId="8" fillId="0" borderId="7" xfId="0" applyNumberFormat="1" applyFont="1" applyBorder="1" applyAlignment="1">
      <alignment horizontal="right" vertical="top"/>
    </xf>
    <xf numFmtId="164" fontId="8" fillId="0" borderId="8" xfId="0" applyNumberFormat="1" applyFont="1" applyBorder="1" applyAlignment="1">
      <alignment horizontal="right" vertical="top"/>
    </xf>
    <xf numFmtId="164" fontId="8" fillId="0" borderId="9" xfId="0" applyNumberFormat="1" applyFont="1" applyBorder="1" applyAlignment="1">
      <alignment horizontal="right" vertical="top"/>
    </xf>
    <xf numFmtId="0" fontId="8" fillId="0" borderId="1" xfId="0" applyFont="1" applyBorder="1" applyAlignment="1">
      <alignment horizontal="right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164" fontId="9" fillId="3" borderId="2" xfId="0" applyNumberFormat="1" applyFont="1" applyFill="1" applyBorder="1" applyAlignment="1">
      <alignment horizontal="right" vertical="top"/>
    </xf>
    <xf numFmtId="164" fontId="9" fillId="3" borderId="1" xfId="0" applyNumberFormat="1" applyFont="1" applyFill="1" applyBorder="1" applyAlignment="1">
      <alignment horizontal="right" vertical="top"/>
    </xf>
    <xf numFmtId="164" fontId="9" fillId="3" borderId="3" xfId="0" applyNumberFormat="1" applyFont="1" applyFill="1" applyBorder="1" applyAlignment="1">
      <alignment horizontal="right" vertical="top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vertical="top" wrapText="1"/>
    </xf>
    <xf numFmtId="0" fontId="8" fillId="0" borderId="5" xfId="0" applyFont="1" applyBorder="1" applyAlignment="1">
      <alignment vertical="top"/>
    </xf>
    <xf numFmtId="164" fontId="8" fillId="0" borderId="4" xfId="0" applyNumberFormat="1" applyFont="1" applyBorder="1" applyAlignment="1">
      <alignment horizontal="right" vertical="top"/>
    </xf>
    <xf numFmtId="164" fontId="8" fillId="0" borderId="0" xfId="0" applyNumberFormat="1" applyFont="1" applyAlignment="1">
      <alignment horizontal="right" vertical="top"/>
    </xf>
    <xf numFmtId="164" fontId="8" fillId="0" borderId="5" xfId="0" applyNumberFormat="1" applyFont="1" applyBorder="1" applyAlignment="1">
      <alignment horizontal="right" vertical="top"/>
    </xf>
    <xf numFmtId="0" fontId="9" fillId="0" borderId="0" xfId="0" applyFont="1"/>
    <xf numFmtId="0" fontId="7" fillId="0" borderId="0" xfId="0" applyFont="1" applyAlignment="1">
      <alignment vertical="top"/>
    </xf>
    <xf numFmtId="164" fontId="9" fillId="0" borderId="4" xfId="0" applyNumberFormat="1" applyFont="1" applyBorder="1" applyAlignment="1">
      <alignment horizontal="right" vertical="top"/>
    </xf>
    <xf numFmtId="164" fontId="9" fillId="0" borderId="0" xfId="0" applyNumberFormat="1" applyFont="1" applyAlignment="1">
      <alignment horizontal="right" vertical="top"/>
    </xf>
    <xf numFmtId="164" fontId="9" fillId="0" borderId="5" xfId="0" applyNumberFormat="1" applyFont="1" applyBorder="1" applyAlignment="1">
      <alignment horizontal="right" vertical="top"/>
    </xf>
    <xf numFmtId="0" fontId="8" fillId="0" borderId="8" xfId="0" applyFont="1" applyBorder="1" applyAlignment="1">
      <alignment horizontal="center" vertical="top"/>
    </xf>
    <xf numFmtId="0" fontId="8" fillId="0" borderId="8" xfId="0" applyFont="1" applyBorder="1"/>
    <xf numFmtId="0" fontId="8" fillId="0" borderId="8" xfId="0" quotePrefix="1" applyFont="1" applyBorder="1" applyAlignment="1">
      <alignment horizontal="right" vertical="top"/>
    </xf>
    <xf numFmtId="0" fontId="8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vertical="top"/>
    </xf>
    <xf numFmtId="0" fontId="8" fillId="5" borderId="3" xfId="0" applyFont="1" applyFill="1" applyBorder="1" applyAlignment="1">
      <alignment vertical="top"/>
    </xf>
    <xf numFmtId="164" fontId="9" fillId="5" borderId="2" xfId="0" applyNumberFormat="1" applyFont="1" applyFill="1" applyBorder="1" applyAlignment="1">
      <alignment horizontal="right" vertical="top"/>
    </xf>
    <xf numFmtId="164" fontId="9" fillId="5" borderId="1" xfId="0" applyNumberFormat="1" applyFont="1" applyFill="1" applyBorder="1" applyAlignment="1">
      <alignment horizontal="right" vertical="top"/>
    </xf>
    <xf numFmtId="164" fontId="9" fillId="5" borderId="3" xfId="0" applyNumberFormat="1" applyFont="1" applyFill="1" applyBorder="1" applyAlignment="1">
      <alignment horizontal="right" vertical="top"/>
    </xf>
    <xf numFmtId="164" fontId="2" fillId="5" borderId="1" xfId="0" applyNumberFormat="1" applyFont="1" applyFill="1" applyBorder="1" applyAlignment="1">
      <alignment horizontal="right" vertical="top"/>
    </xf>
    <xf numFmtId="164" fontId="2" fillId="5" borderId="3" xfId="0" applyNumberFormat="1" applyFont="1" applyFill="1" applyBorder="1" applyAlignment="1">
      <alignment horizontal="right" vertical="top"/>
    </xf>
    <xf numFmtId="0" fontId="8" fillId="5" borderId="1" xfId="0" applyFont="1" applyFill="1" applyBorder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/>
    </xf>
    <xf numFmtId="0" fontId="1" fillId="0" borderId="0" xfId="0" quotePrefix="1" applyFont="1"/>
    <xf numFmtId="0" fontId="8" fillId="7" borderId="16" xfId="0" applyFont="1" applyFill="1" applyBorder="1" applyAlignment="1">
      <alignment horizontal="right" vertical="top"/>
    </xf>
    <xf numFmtId="0" fontId="8" fillId="7" borderId="16" xfId="0" applyFont="1" applyFill="1" applyBorder="1" applyAlignment="1">
      <alignment horizontal="left" vertical="top" wrapText="1"/>
    </xf>
    <xf numFmtId="0" fontId="0" fillId="0" borderId="13" xfId="0" applyBorder="1" applyAlignment="1" applyProtection="1">
      <alignment horizontal="left"/>
      <protection locked="0"/>
    </xf>
    <xf numFmtId="0" fontId="0" fillId="0" borderId="14" xfId="0" applyBorder="1" applyAlignment="1" applyProtection="1">
      <alignment horizontal="left"/>
      <protection locked="0"/>
    </xf>
    <xf numFmtId="0" fontId="0" fillId="0" borderId="15" xfId="0" applyBorder="1" applyAlignment="1" applyProtection="1">
      <alignment horizontal="left"/>
      <protection locked="0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0" fillId="0" borderId="0" xfId="0" applyFont="1" applyAlignment="1">
      <alignment horizontal="left" indent="1"/>
    </xf>
    <xf numFmtId="0" fontId="4" fillId="6" borderId="0" xfId="0" applyFont="1" applyFill="1" applyAlignment="1">
      <alignment horizontal="center"/>
    </xf>
    <xf numFmtId="165" fontId="5" fillId="0" borderId="0" xfId="0" applyNumberFormat="1" applyFont="1" applyAlignment="1">
      <alignment horizontal="left" indent="1"/>
    </xf>
  </cellXfs>
  <cellStyles count="1">
    <cellStyle name="Normal" xfId="0" builtinId="0"/>
  </cellStyles>
  <dxfs count="2">
    <dxf>
      <fill>
        <patternFill>
          <bgColor rgb="FFFFBDBD"/>
        </patternFill>
      </fill>
    </dxf>
    <dxf>
      <fill>
        <patternFill>
          <bgColor rgb="FFFFBDBD"/>
        </patternFill>
      </fill>
    </dxf>
  </dxfs>
  <tableStyles count="0" defaultTableStyle="TableStyleMedium2" defaultPivotStyle="PivotStyleLight16"/>
  <colors>
    <mruColors>
      <color rgb="FFFFBDBD"/>
      <color rgb="FFFFA7A7"/>
      <color rgb="FFFF9F9F"/>
      <color rgb="FFFF9797"/>
      <color rgb="FFFFA3A3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75</xdr:row>
          <xdr:rowOff>0</xdr:rowOff>
        </xdr:from>
        <xdr:to>
          <xdr:col>10</xdr:col>
          <xdr:colOff>419100</xdr:colOff>
          <xdr:row>75</xdr:row>
          <xdr:rowOff>247650</xdr:rowOff>
        </xdr:to>
        <xdr:sp macro="" textlink="">
          <xdr:nvSpPr>
            <xdr:cNvPr id="1026" name="TIButton5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457200</xdr:colOff>
          <xdr:row>75</xdr:row>
          <xdr:rowOff>0</xdr:rowOff>
        </xdr:from>
        <xdr:to>
          <xdr:col>10</xdr:col>
          <xdr:colOff>1276350</xdr:colOff>
          <xdr:row>75</xdr:row>
          <xdr:rowOff>247650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75</xdr:row>
          <xdr:rowOff>0</xdr:rowOff>
        </xdr:from>
        <xdr:to>
          <xdr:col>11</xdr:col>
          <xdr:colOff>1524000</xdr:colOff>
          <xdr:row>75</xdr:row>
          <xdr:rowOff>247650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1562100</xdr:colOff>
          <xdr:row>75</xdr:row>
          <xdr:rowOff>0</xdr:rowOff>
        </xdr:from>
        <xdr:to>
          <xdr:col>11</xdr:col>
          <xdr:colOff>2343150</xdr:colOff>
          <xdr:row>75</xdr:row>
          <xdr:rowOff>247650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561975</xdr:colOff>
          <xdr:row>74</xdr:row>
          <xdr:rowOff>28575</xdr:rowOff>
        </xdr:from>
        <xdr:to>
          <xdr:col>18</xdr:col>
          <xdr:colOff>876300</xdr:colOff>
          <xdr:row>75</xdr:row>
          <xdr:rowOff>285750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19050</xdr:colOff>
      <xdr:row>73</xdr:row>
      <xdr:rowOff>28575</xdr:rowOff>
    </xdr:from>
    <xdr:to>
      <xdr:col>10</xdr:col>
      <xdr:colOff>1524000</xdr:colOff>
      <xdr:row>73</xdr:row>
      <xdr:rowOff>474345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1314450</xdr:colOff>
          <xdr:row>75</xdr:row>
          <xdr:rowOff>0</xdr:rowOff>
        </xdr:from>
        <xdr:to>
          <xdr:col>10</xdr:col>
          <xdr:colOff>2676525</xdr:colOff>
          <xdr:row>75</xdr:row>
          <xdr:rowOff>247650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AC180"/>
  <sheetViews>
    <sheetView showGridLines="0" showRowColHeaders="0" tabSelected="1" showOutlineSymbols="0" topLeftCell="A74" zoomScaleNormal="100" workbookViewId="0">
      <pane ySplit="14" topLeftCell="A88" activePane="bottomLeft" state="frozen"/>
      <selection activeCell="I74" sqref="I74"/>
      <selection pane="bottomLeft"/>
    </sheetView>
  </sheetViews>
  <sheetFormatPr defaultColWidth="9.140625" defaultRowHeight="10.5" outlineLevelRow="1" outlineLevelCol="1" x14ac:dyDescent="0.15"/>
  <cols>
    <col min="1" max="1" width="8.28515625" style="1" hidden="1" customWidth="1" outlineLevel="1"/>
    <col min="2" max="2" width="24.5703125" style="1" hidden="1" customWidth="1" outlineLevel="1"/>
    <col min="3" max="3" width="31.140625" style="1" hidden="1" customWidth="1" outlineLevel="1"/>
    <col min="4" max="8" width="16.7109375" style="1" hidden="1" customWidth="1" outlineLevel="1"/>
    <col min="9" max="9" width="0.85546875" style="1" customWidth="1" collapsed="1"/>
    <col min="10" max="10" width="3.7109375" style="4" customWidth="1"/>
    <col min="11" max="11" width="40.28515625" style="1" customWidth="1"/>
    <col min="12" max="12" width="35.28515625" style="1" customWidth="1"/>
    <col min="13" max="13" width="14.140625" style="1" bestFit="1" customWidth="1"/>
    <col min="14" max="29" width="13.28515625" style="1" customWidth="1"/>
    <col min="30" max="16384" width="9.140625" style="1"/>
  </cols>
  <sheetData>
    <row r="1" spans="2:4" hidden="1" outlineLevel="1" x14ac:dyDescent="0.15"/>
    <row r="2" spans="2:4" hidden="1" outlineLevel="1" x14ac:dyDescent="0.15"/>
    <row r="3" spans="2:4" hidden="1" outlineLevel="1" x14ac:dyDescent="0.15"/>
    <row r="4" spans="2:4" hidden="1" outlineLevel="1" x14ac:dyDescent="0.15"/>
    <row r="5" spans="2:4" hidden="1" outlineLevel="1" x14ac:dyDescent="0.15"/>
    <row r="6" spans="2:4" hidden="1" outlineLevel="1" x14ac:dyDescent="0.15"/>
    <row r="7" spans="2:4" hidden="1" outlineLevel="1" x14ac:dyDescent="0.15"/>
    <row r="8" spans="2:4" hidden="1" outlineLevel="1" x14ac:dyDescent="0.15"/>
    <row r="9" spans="2:4" hidden="1" outlineLevel="1" x14ac:dyDescent="0.15"/>
    <row r="10" spans="2:4" hidden="1" outlineLevel="1" x14ac:dyDescent="0.15"/>
    <row r="11" spans="2:4" ht="15" hidden="1" outlineLevel="1" x14ac:dyDescent="0.25">
      <c r="B11" s="94" t="s">
        <v>98</v>
      </c>
      <c r="C11" s="95"/>
      <c r="D11" s="96"/>
    </row>
    <row r="12" spans="2:4" ht="15" hidden="1" outlineLevel="1" x14ac:dyDescent="0.25">
      <c r="B12" s="28" t="s">
        <v>99</v>
      </c>
      <c r="C12" s="29" t="s">
        <v>147</v>
      </c>
      <c r="D12" s="30"/>
    </row>
    <row r="13" spans="2:4" ht="15" hidden="1" outlineLevel="1" x14ac:dyDescent="0.25">
      <c r="B13" s="28" t="s">
        <v>100</v>
      </c>
      <c r="C13" s="31" t="str" cm="1">
        <f t="array" aca="1" ref="C13" ca="1">_xll.VIEW(db_name&amp;":}ElementAttributes_}Clients","!","!")</f>
        <v>dcceew_geus:}ElementAttributes_}Clients</v>
      </c>
      <c r="D13" s="30"/>
    </row>
    <row r="14" spans="2:4" ht="15" hidden="1" outlineLevel="1" x14ac:dyDescent="0.25">
      <c r="B14" s="28" t="s">
        <v>101</v>
      </c>
      <c r="C14" s="29" t="str" cm="1">
        <f t="array" aca="1" ref="C14" ca="1">_xll.TM1USER(db_name)</f>
        <v/>
      </c>
      <c r="D14" s="30"/>
    </row>
    <row r="15" spans="2:4" ht="15" hidden="1" outlineLevel="1" x14ac:dyDescent="0.25">
      <c r="B15" s="28" t="s">
        <v>102</v>
      </c>
      <c r="C15" s="29" t="str" cm="1">
        <f t="array" aca="1" ref="C15" ca="1">_xll.DBR($C$13,$C$14,$B15)</f>
        <v>*KEY_ERR</v>
      </c>
      <c r="D15" s="30"/>
    </row>
    <row r="16" spans="2:4" ht="15" hidden="1" outlineLevel="1" x14ac:dyDescent="0.25">
      <c r="B16" s="28" t="s">
        <v>103</v>
      </c>
      <c r="C16" s="29" t="str" cm="1">
        <f t="array" aca="1" ref="C16" ca="1">_xll.DBR($C$13,$C$14,$B16)</f>
        <v>*KEY_ERR</v>
      </c>
      <c r="D16" s="30"/>
    </row>
    <row r="17" spans="2:9" ht="15" hidden="1" outlineLevel="1" x14ac:dyDescent="0.25">
      <c r="B17" s="28" t="s">
        <v>104</v>
      </c>
      <c r="C17" s="29" t="str">
        <f ca="1">IF(LEFT($C$14,6)="CAM_AD",$C$15,$C$14)</f>
        <v/>
      </c>
      <c r="D17" s="32"/>
    </row>
    <row r="18" spans="2:9" hidden="1" outlineLevel="1" x14ac:dyDescent="0.15"/>
    <row r="19" spans="2:9" ht="15" hidden="1" outlineLevel="1" x14ac:dyDescent="0.25">
      <c r="B19" s="94" t="s">
        <v>105</v>
      </c>
      <c r="C19" s="95"/>
      <c r="D19" s="96"/>
    </row>
    <row r="20" spans="2:9" ht="15" hidden="1" outlineLevel="1" x14ac:dyDescent="0.25">
      <c r="B20" s="28" t="s">
        <v>106</v>
      </c>
      <c r="C20" s="32" t="str" cm="1">
        <f t="array" aca="1" ref="C20" ca="1">_xll.VIEW(db_name&amp;":}ElementAttributes_variables","!","!")</f>
        <v>dcceew_geus:}ElementAttributes_variables</v>
      </c>
      <c r="D20" s="32"/>
    </row>
    <row r="21" spans="2:9" ht="15" hidden="1" outlineLevel="1" x14ac:dyDescent="0.25">
      <c r="B21" s="28" t="s">
        <v>107</v>
      </c>
      <c r="C21" s="32" t="s">
        <v>108</v>
      </c>
      <c r="D21" s="32" t="s">
        <v>109</v>
      </c>
    </row>
    <row r="22" spans="2:9" ht="15" hidden="1" outlineLevel="1" x14ac:dyDescent="0.25">
      <c r="B22" s="28" t="s">
        <v>1</v>
      </c>
      <c r="C22" s="32" t="str" cm="1">
        <f t="array" aca="1" ref="C22" ca="1">_xll.DBR($C$20,$B22,"value")</f>
        <v>*KEY_ERR</v>
      </c>
      <c r="D22" s="32"/>
    </row>
    <row r="23" spans="2:9" ht="15" hidden="1" outlineLevel="1" x14ac:dyDescent="0.25">
      <c r="B23" s="28" t="s">
        <v>76</v>
      </c>
      <c r="C23" s="32" t="str" cm="1">
        <f t="array" aca="1" ref="C23" ca="1">_xll.DBR($C$20,$B23,"value")</f>
        <v>*KEY_ERR</v>
      </c>
      <c r="D23" s="32"/>
    </row>
    <row r="24" spans="2:9" ht="15" hidden="1" outlineLevel="1" x14ac:dyDescent="0.25">
      <c r="B24" s="28" t="s">
        <v>110</v>
      </c>
      <c r="C24" s="32" t="str" cm="1">
        <f t="array" aca="1" ref="C24" ca="1">_xll.DBR($C$20,$B24,"value")</f>
        <v>*KEY_ERR</v>
      </c>
      <c r="D24" s="32"/>
    </row>
    <row r="25" spans="2:9" ht="15" hidden="1" outlineLevel="1" x14ac:dyDescent="0.25">
      <c r="B25" s="28" t="s">
        <v>111</v>
      </c>
      <c r="C25" s="32" t="str" cm="1">
        <f t="array" aca="1" ref="C25" ca="1">_xll.DBR($C$20,$B25,"value")</f>
        <v>*KEY_ERR</v>
      </c>
      <c r="D25" s="32"/>
    </row>
    <row r="26" spans="2:9" ht="15" hidden="1" outlineLevel="1" x14ac:dyDescent="0.25">
      <c r="B26" s="28" t="s">
        <v>112</v>
      </c>
      <c r="C26" s="32" t="str" cm="1">
        <f t="array" aca="1" ref="C26" ca="1">_xll.DBR($C$20,$B26,"value")</f>
        <v>*KEY_ERR</v>
      </c>
      <c r="D26" s="32"/>
    </row>
    <row r="27" spans="2:9" hidden="1" outlineLevel="1" x14ac:dyDescent="0.15"/>
    <row r="28" spans="2:9" ht="15" hidden="1" outlineLevel="1" x14ac:dyDescent="0.25">
      <c r="B28" s="94" t="s">
        <v>113</v>
      </c>
      <c r="C28" s="95"/>
      <c r="D28" s="96"/>
      <c r="E28"/>
      <c r="F28"/>
      <c r="G28"/>
      <c r="H28"/>
      <c r="I28"/>
    </row>
    <row r="29" spans="2:9" ht="15" hidden="1" outlineLevel="1" x14ac:dyDescent="0.25">
      <c r="B29" s="28" t="s">
        <v>114</v>
      </c>
      <c r="C29" s="32" t="str">
        <f t="array" aca="1" ref="C29" ca="1">_xll.VIEW(db_name&amp;":sys_application","!","!")</f>
        <v>dcceew_geus:sys_application</v>
      </c>
      <c r="D29" s="32"/>
      <c r="E29"/>
      <c r="F29"/>
      <c r="G29"/>
      <c r="H29"/>
      <c r="I29"/>
    </row>
    <row r="30" spans="2:9" ht="15" hidden="1" outlineLevel="1" x14ac:dyDescent="0.25">
      <c r="B30" s="28" t="s">
        <v>115</v>
      </c>
      <c r="C30" s="32" t="s">
        <v>130</v>
      </c>
      <c r="D30" s="32"/>
      <c r="E30"/>
      <c r="F30"/>
      <c r="G30"/>
      <c r="H30"/>
      <c r="I30"/>
    </row>
    <row r="31" spans="2:9" ht="15" hidden="1" outlineLevel="1" x14ac:dyDescent="0.25">
      <c r="B31" s="32"/>
      <c r="C31" s="28" t="s">
        <v>117</v>
      </c>
      <c r="D31" s="28" t="s">
        <v>118</v>
      </c>
      <c r="E31" s="28" t="s">
        <v>119</v>
      </c>
      <c r="F31" s="28" t="s">
        <v>120</v>
      </c>
      <c r="G31" s="28" t="s">
        <v>121</v>
      </c>
      <c r="H31" s="28" t="s">
        <v>122</v>
      </c>
      <c r="I31" s="35"/>
    </row>
    <row r="32" spans="2:9" ht="15" hidden="1" outlineLevel="1" x14ac:dyDescent="0.25">
      <c r="B32" s="32" t="s">
        <v>123</v>
      </c>
      <c r="C32" s="32" t="str" cm="1">
        <f t="array" aca="1" ref="C32" ca="1">_xll.DBR($C$29,$B32,C$31)</f>
        <v>*KEY_ERR</v>
      </c>
      <c r="D32" s="32" t="str" cm="1">
        <f t="array" aca="1" ref="D32" ca="1">_xll.DBR($C$29,$B32,D$31)</f>
        <v>*KEY_ERR</v>
      </c>
      <c r="E32" s="32" t="str" cm="1">
        <f t="array" aca="1" ref="E32" ca="1">_xll.DBR($C$29,$B32,E$31)</f>
        <v>*KEY_ERR</v>
      </c>
      <c r="F32" s="32" t="str" cm="1">
        <f t="array" aca="1" ref="F32" ca="1">_xll.DBR($C$29,$B32,F$31)</f>
        <v>*KEY_ERR</v>
      </c>
      <c r="G32" s="32" t="str" cm="1">
        <f t="array" aca="1" ref="G32" ca="1">_xll.DBR($C$29,$B32,G$31)</f>
        <v>*KEY_ERR</v>
      </c>
      <c r="H32" s="32" t="str" cm="1">
        <f t="array" aca="1" ref="H32" ca="1">_xll.DBR($C$29,$B32,H$31)</f>
        <v>*KEY_ERR</v>
      </c>
      <c r="I32"/>
    </row>
    <row r="33" spans="2:9" ht="15" hidden="1" outlineLevel="1" x14ac:dyDescent="0.25">
      <c r="B33" s="32" t="s">
        <v>124</v>
      </c>
      <c r="C33" s="32" t="str" cm="1">
        <f t="array" aca="1" ref="C33" ca="1">_xll.DBR($C$29,$B33,C$31)</f>
        <v>*KEY_ERR</v>
      </c>
      <c r="D33" s="32" t="str" cm="1">
        <f t="array" aca="1" ref="D33" ca="1">_xll.DBR($C$29,$B33,D$31)</f>
        <v>*KEY_ERR</v>
      </c>
      <c r="E33" s="32" t="str" cm="1">
        <f t="array" aca="1" ref="E33" ca="1">_xll.DBR($C$29,$B33,E$31)</f>
        <v>*KEY_ERR</v>
      </c>
      <c r="F33" s="32" t="str" cm="1">
        <f t="array" aca="1" ref="F33" ca="1">_xll.DBR($C$29,$B33,F$31)</f>
        <v>*KEY_ERR</v>
      </c>
      <c r="G33" s="32" t="str" cm="1">
        <f t="array" aca="1" ref="G33" ca="1">_xll.DBR($C$29,$B33,G$31)</f>
        <v>*KEY_ERR</v>
      </c>
      <c r="H33" s="32" t="str" cm="1">
        <f t="array" aca="1" ref="H33" ca="1">_xll.DBR($C$29,$B33,H$31)</f>
        <v>*KEY_ERR</v>
      </c>
      <c r="I33"/>
    </row>
    <row r="34" spans="2:9" ht="15" hidden="1" outlineLevel="1" x14ac:dyDescent="0.25">
      <c r="B34" s="32" t="s">
        <v>125</v>
      </c>
      <c r="C34" s="32" t="str" cm="1">
        <f t="array" aca="1" ref="C34" ca="1">_xll.DBR($C$29,$B34,C$31)</f>
        <v>*KEY_ERR</v>
      </c>
      <c r="D34" s="32" t="str" cm="1">
        <f t="array" aca="1" ref="D34" ca="1">_xll.DBR($C$29,$B34,D$31)</f>
        <v>*KEY_ERR</v>
      </c>
      <c r="E34" s="32" t="str" cm="1">
        <f t="array" aca="1" ref="E34" ca="1">_xll.DBR($C$29,$B34,E$31)</f>
        <v>*KEY_ERR</v>
      </c>
      <c r="F34" s="32" t="str" cm="1">
        <f t="array" aca="1" ref="F34" ca="1">_xll.DBR($C$29,$B34,F$31)</f>
        <v>*KEY_ERR</v>
      </c>
      <c r="G34" s="32" t="str" cm="1">
        <f t="array" aca="1" ref="G34" ca="1">_xll.DBR($C$29,$B34,G$31)</f>
        <v>*KEY_ERR</v>
      </c>
      <c r="H34" s="32" t="str" cm="1">
        <f t="array" aca="1" ref="H34" ca="1">_xll.DBR($C$29,$B34,H$31)</f>
        <v>*KEY_ERR</v>
      </c>
      <c r="I34"/>
    </row>
    <row r="35" spans="2:9" ht="15" hidden="1" outlineLevel="1" x14ac:dyDescent="0.25">
      <c r="B35" s="32" t="s">
        <v>126</v>
      </c>
      <c r="C35" s="32" t="str" cm="1">
        <f t="array" aca="1" ref="C35" ca="1">_xll.DBR($C$29,$B35,C$31)</f>
        <v>*KEY_ERR</v>
      </c>
      <c r="D35" s="32" t="str" cm="1">
        <f t="array" aca="1" ref="D35" ca="1">_xll.DBR($C$29,$B35,D$31)</f>
        <v>*KEY_ERR</v>
      </c>
      <c r="E35" s="32" t="str" cm="1">
        <f t="array" aca="1" ref="E35" ca="1">_xll.DBR($C$29,$B35,E$31)</f>
        <v>*KEY_ERR</v>
      </c>
      <c r="F35" s="32" t="str" cm="1">
        <f t="array" aca="1" ref="F35" ca="1">_xll.DBR($C$29,$B35,F$31)</f>
        <v>*KEY_ERR</v>
      </c>
      <c r="G35" s="32" t="str" cm="1">
        <f t="array" aca="1" ref="G35" ca="1">_xll.DBR($C$29,$B35,G$31)</f>
        <v>*KEY_ERR</v>
      </c>
      <c r="H35" s="32" t="str" cm="1">
        <f t="array" aca="1" ref="H35" ca="1">_xll.DBR($C$29,$B35,H$31)</f>
        <v>*KEY_ERR</v>
      </c>
      <c r="I35"/>
    </row>
    <row r="36" spans="2:9" ht="15" hidden="1" outlineLevel="1" x14ac:dyDescent="0.25">
      <c r="B36" s="32" t="s">
        <v>127</v>
      </c>
      <c r="C36" s="32" t="str" cm="1">
        <f t="array" aca="1" ref="C36" ca="1">_xll.DBR($C$29,$B36,C$31)</f>
        <v>*KEY_ERR</v>
      </c>
      <c r="D36" s="32" t="str" cm="1">
        <f t="array" aca="1" ref="D36" ca="1">_xll.DBR($C$29,$B36,D$31)</f>
        <v>*KEY_ERR</v>
      </c>
      <c r="E36" s="32" t="str" cm="1">
        <f t="array" aca="1" ref="E36" ca="1">_xll.DBR($C$29,$B36,E$31)</f>
        <v>*KEY_ERR</v>
      </c>
      <c r="F36" s="32" t="str" cm="1">
        <f t="array" aca="1" ref="F36" ca="1">_xll.DBR($C$29,$B36,F$31)</f>
        <v>*KEY_ERR</v>
      </c>
      <c r="G36" s="32" t="str" cm="1">
        <f t="array" aca="1" ref="G36" ca="1">_xll.DBR($C$29,$B36,G$31)</f>
        <v>*KEY_ERR</v>
      </c>
      <c r="H36" s="32" t="str" cm="1">
        <f t="array" aca="1" ref="H36" ca="1">_xll.DBR($C$29,$B36,H$31)</f>
        <v>*KEY_ERR</v>
      </c>
      <c r="I36"/>
    </row>
    <row r="37" spans="2:9" ht="15" hidden="1" outlineLevel="1" x14ac:dyDescent="0.25">
      <c r="B37" s="32" t="s">
        <v>128</v>
      </c>
      <c r="C37" s="32" t="str" cm="1">
        <f t="array" aca="1" ref="C37" ca="1">_xll.DBR($C$29,$B37,C$31)</f>
        <v>*KEY_ERR</v>
      </c>
      <c r="D37" s="32" t="str" cm="1">
        <f t="array" aca="1" ref="D37" ca="1">_xll.DBR($C$29,$B37,D$31)</f>
        <v>*KEY_ERR</v>
      </c>
      <c r="E37" s="32" t="str" cm="1">
        <f t="array" aca="1" ref="E37" ca="1">_xll.DBR($C$29,$B37,E$31)</f>
        <v>*KEY_ERR</v>
      </c>
      <c r="F37" s="32" t="str" cm="1">
        <f t="array" aca="1" ref="F37" ca="1">_xll.DBR($C$29,$B37,F$31)</f>
        <v>*KEY_ERR</v>
      </c>
      <c r="G37" s="32" t="str" cm="1">
        <f t="array" aca="1" ref="G37" ca="1">_xll.DBR($C$29,$B37,G$31)</f>
        <v>*KEY_ERR</v>
      </c>
      <c r="H37" s="32" t="str" cm="1">
        <f t="array" aca="1" ref="H37" ca="1">_xll.DBR($C$29,$B37,H$31)</f>
        <v>*KEY_ERR</v>
      </c>
      <c r="I37"/>
    </row>
    <row r="38" spans="2:9" ht="15" hidden="1" outlineLevel="1" x14ac:dyDescent="0.25">
      <c r="B38" s="32" t="s">
        <v>129</v>
      </c>
      <c r="C38" s="32" t="str" cm="1">
        <f t="array" aca="1" ref="C38" ca="1">_xll.DBR($C$29,$B38,C$31)</f>
        <v>*KEY_ERR</v>
      </c>
      <c r="D38" s="32" t="str" cm="1">
        <f t="array" aca="1" ref="D38" ca="1">_xll.DBR($C$29,$B38,D$31)</f>
        <v>*KEY_ERR</v>
      </c>
      <c r="E38" s="32" t="str" cm="1">
        <f t="array" aca="1" ref="E38" ca="1">_xll.DBR($C$29,$B38,E$31)</f>
        <v>*KEY_ERR</v>
      </c>
      <c r="F38" s="32" t="str" cm="1">
        <f t="array" aca="1" ref="F38" ca="1">_xll.DBR($C$29,$B38,F$31)</f>
        <v>*KEY_ERR</v>
      </c>
      <c r="G38" s="32" t="str" cm="1">
        <f t="array" aca="1" ref="G38" ca="1">_xll.DBR($C$29,$B38,G$31)</f>
        <v>*KEY_ERR</v>
      </c>
      <c r="H38" s="32" t="str" cm="1">
        <f t="array" aca="1" ref="H38" ca="1">_xll.DBR($C$29,$B38,H$31)</f>
        <v>*KEY_ERR</v>
      </c>
      <c r="I38"/>
    </row>
    <row r="39" spans="2:9" ht="15" hidden="1" outlineLevel="1" x14ac:dyDescent="0.25">
      <c r="B39" s="32" t="s">
        <v>130</v>
      </c>
      <c r="C39" s="32" t="str" cm="1">
        <f t="array" aca="1" ref="C39" ca="1">_xll.DBR($C$29,$B39,C$31)</f>
        <v>*KEY_ERR</v>
      </c>
      <c r="D39" s="32" t="str" cm="1">
        <f t="array" aca="1" ref="D39" ca="1">_xll.DBR($C$29,$B39,D$31)</f>
        <v>*KEY_ERR</v>
      </c>
      <c r="E39" s="32" t="str" cm="1">
        <f t="array" aca="1" ref="E39" ca="1">_xll.DBR($C$29,$B39,E$31)</f>
        <v>*KEY_ERR</v>
      </c>
      <c r="F39" s="32" t="str" cm="1">
        <f t="array" aca="1" ref="F39" ca="1">_xll.DBR($C$29,$B39,F$31)</f>
        <v>*KEY_ERR</v>
      </c>
      <c r="G39" s="32" t="str" cm="1">
        <f t="array" aca="1" ref="G39" ca="1">_xll.DBR($C$29,$B39,G$31)</f>
        <v>*KEY_ERR</v>
      </c>
      <c r="H39" s="32" t="str" cm="1">
        <f t="array" aca="1" ref="H39" ca="1">_xll.DBR($C$29,$B39,H$31)</f>
        <v>*KEY_ERR</v>
      </c>
      <c r="I39"/>
    </row>
    <row r="40" spans="2:9" ht="15" hidden="1" outlineLevel="1" x14ac:dyDescent="0.25">
      <c r="B40" s="32" t="s">
        <v>131</v>
      </c>
      <c r="C40" s="32" t="str" cm="1">
        <f t="array" aca="1" ref="C40" ca="1">_xll.DBR($C$29,$B40,C$31)</f>
        <v>*KEY_ERR</v>
      </c>
      <c r="D40" s="32" t="str" cm="1">
        <f t="array" aca="1" ref="D40" ca="1">_xll.DBR($C$29,$B40,D$31)</f>
        <v>*KEY_ERR</v>
      </c>
      <c r="E40" s="32" t="str" cm="1">
        <f t="array" aca="1" ref="E40" ca="1">_xll.DBR($C$29,$B40,E$31)</f>
        <v>*KEY_ERR</v>
      </c>
      <c r="F40" s="32" t="str" cm="1">
        <f t="array" aca="1" ref="F40" ca="1">_xll.DBR($C$29,$B40,F$31)</f>
        <v>*KEY_ERR</v>
      </c>
      <c r="G40" s="32" t="str" cm="1">
        <f t="array" aca="1" ref="G40" ca="1">_xll.DBR($C$29,$B40,G$31)</f>
        <v>*KEY_ERR</v>
      </c>
      <c r="H40" s="32" t="str" cm="1">
        <f t="array" aca="1" ref="H40" ca="1">_xll.DBR($C$29,$B40,H$31)</f>
        <v>*KEY_ERR</v>
      </c>
      <c r="I40"/>
    </row>
    <row r="41" spans="2:9" ht="15" hidden="1" outlineLevel="1" x14ac:dyDescent="0.25">
      <c r="B41" s="32" t="s">
        <v>132</v>
      </c>
      <c r="C41" s="32" t="str" cm="1">
        <f t="array" aca="1" ref="C41" ca="1">_xll.DBR($C$29,$B41,C$31)</f>
        <v>*KEY_ERR</v>
      </c>
      <c r="D41" s="32" t="str" cm="1">
        <f t="array" aca="1" ref="D41" ca="1">_xll.DBR($C$29,$B41,D$31)</f>
        <v>*KEY_ERR</v>
      </c>
      <c r="E41" s="32" t="str" cm="1">
        <f t="array" aca="1" ref="E41" ca="1">_xll.DBR($C$29,$B41,E$31)</f>
        <v>*KEY_ERR</v>
      </c>
      <c r="F41" s="32" t="str" cm="1">
        <f t="array" aca="1" ref="F41" ca="1">_xll.DBR($C$29,$B41,F$31)</f>
        <v>*KEY_ERR</v>
      </c>
      <c r="G41" s="32" t="str" cm="1">
        <f t="array" aca="1" ref="G41" ca="1">_xll.DBR($C$29,$B41,G$31)</f>
        <v>*KEY_ERR</v>
      </c>
      <c r="H41" s="32" t="str" cm="1">
        <f t="array" aca="1" ref="H41" ca="1">_xll.DBR($C$29,$B41,H$31)</f>
        <v>*KEY_ERR</v>
      </c>
      <c r="I41"/>
    </row>
    <row r="42" spans="2:9" ht="15" hidden="1" outlineLevel="1" x14ac:dyDescent="0.25">
      <c r="B42" s="32" t="s">
        <v>133</v>
      </c>
      <c r="C42" s="32" t="str" cm="1">
        <f t="array" aca="1" ref="C42" ca="1">_xll.DBR($C$29,$B42,C$31)</f>
        <v>*KEY_ERR</v>
      </c>
      <c r="D42" s="32" t="str" cm="1">
        <f t="array" aca="1" ref="D42" ca="1">_xll.DBR($C$29,$B42,D$31)</f>
        <v>*KEY_ERR</v>
      </c>
      <c r="E42" s="32" t="str" cm="1">
        <f t="array" aca="1" ref="E42" ca="1">_xll.DBR($C$29,$B42,E$31)</f>
        <v>*KEY_ERR</v>
      </c>
      <c r="F42" s="32" t="str" cm="1">
        <f t="array" aca="1" ref="F42" ca="1">_xll.DBR($C$29,$B42,F$31)</f>
        <v>*KEY_ERR</v>
      </c>
      <c r="G42" s="32" t="str" cm="1">
        <f t="array" aca="1" ref="G42" ca="1">_xll.DBR($C$29,$B42,G$31)</f>
        <v>*KEY_ERR</v>
      </c>
      <c r="H42" s="32" t="str" cm="1">
        <f t="array" aca="1" ref="H42" ca="1">_xll.DBR($C$29,$B42,H$31)</f>
        <v>*KEY_ERR</v>
      </c>
      <c r="I42"/>
    </row>
    <row r="43" spans="2:9" ht="15" hidden="1" outlineLevel="1" x14ac:dyDescent="0.25">
      <c r="B43" s="32" t="s">
        <v>116</v>
      </c>
      <c r="C43" s="32" t="str" cm="1">
        <f t="array" aca="1" ref="C43" ca="1">_xll.DBR($C$29,$B43,C$31)</f>
        <v>*KEY_ERR</v>
      </c>
      <c r="D43" s="32" t="str" cm="1">
        <f t="array" aca="1" ref="D43" ca="1">_xll.DBR($C$29,$B43,D$31)</f>
        <v>*KEY_ERR</v>
      </c>
      <c r="E43" s="32" t="str" cm="1">
        <f t="array" aca="1" ref="E43" ca="1">_xll.DBR($C$29,$B43,E$31)</f>
        <v>*KEY_ERR</v>
      </c>
      <c r="F43" s="32" t="str" cm="1">
        <f t="array" aca="1" ref="F43" ca="1">_xll.DBR($C$29,$B43,F$31)</f>
        <v>*KEY_ERR</v>
      </c>
      <c r="G43" s="32" t="str" cm="1">
        <f t="array" aca="1" ref="G43" ca="1">_xll.DBR($C$29,$B43,G$31)</f>
        <v>*KEY_ERR</v>
      </c>
      <c r="H43" s="32" t="str" cm="1">
        <f t="array" aca="1" ref="H43" ca="1">_xll.DBR($C$29,$B43,H$31)</f>
        <v>*KEY_ERR</v>
      </c>
      <c r="I43"/>
    </row>
    <row r="44" spans="2:9" hidden="1" outlineLevel="1" x14ac:dyDescent="0.15"/>
    <row r="45" spans="2:9" hidden="1" outlineLevel="1" x14ac:dyDescent="0.15"/>
    <row r="46" spans="2:9" ht="15" hidden="1" outlineLevel="1" x14ac:dyDescent="0.25">
      <c r="B46" s="94" t="s">
        <v>134</v>
      </c>
      <c r="C46" s="95"/>
      <c r="D46" s="96"/>
    </row>
    <row r="47" spans="2:9" hidden="1" outlineLevel="1" x14ac:dyDescent="0.15">
      <c r="B47" s="33" t="s">
        <v>0</v>
      </c>
      <c r="C47" s="20" t="str">
        <f t="array" aca="1" ref="C47" ca="1">_xll.VIEW(db_name&amp;":AE adjustments",$M$83,$M$84,$C$48,$C$49,$C$50,$C$51,$C$52,$C$53,$C$54,$C$55,"!",$C$56,$M$82,"!",$C$57,$C$58,"!")</f>
        <v>dcceew_geus:AE adjustments</v>
      </c>
      <c r="D47" s="20"/>
    </row>
    <row r="48" spans="2:9" hidden="1" outlineLevel="1" x14ac:dyDescent="0.15">
      <c r="B48" s="34" t="s">
        <v>2</v>
      </c>
      <c r="C48" s="20" t="str">
        <f t="array" aca="1" ref="C48" ca="1">_xll.SUBNM(db_name&amp;":status","","Total approved")</f>
        <v/>
      </c>
      <c r="D48" s="20"/>
    </row>
    <row r="49" spans="2:17" hidden="1" outlineLevel="1" x14ac:dyDescent="0.15">
      <c r="B49" s="34" t="s">
        <v>3</v>
      </c>
      <c r="C49" s="20" t="str">
        <f t="array" aca="1" ref="C49" ca="1">_xll.SUBNM(db_name&amp;":outcome","","Total outcomes")</f>
        <v/>
      </c>
      <c r="D49" s="20"/>
    </row>
    <row r="50" spans="2:17" hidden="1" outlineLevel="1" x14ac:dyDescent="0.15">
      <c r="B50" s="34" t="s">
        <v>4</v>
      </c>
      <c r="C50" s="20" t="str">
        <f t="array" aca="1" ref="C50" ca="1">_xll.SUBNM(db_name&amp;":related entity","","Total related entity")</f>
        <v/>
      </c>
      <c r="D50" s="20"/>
    </row>
    <row r="51" spans="2:17" hidden="1" outlineLevel="1" x14ac:dyDescent="0.15">
      <c r="B51" s="34" t="s">
        <v>5</v>
      </c>
      <c r="C51" s="20" t="str">
        <f t="array" aca="1" ref="C51" ca="1">_xll.SUBNM(db_name&amp;":function","","Total functions")</f>
        <v/>
      </c>
      <c r="D51" s="20"/>
    </row>
    <row r="52" spans="2:17" hidden="1" outlineLevel="1" x14ac:dyDescent="0.15">
      <c r="B52" s="34" t="s">
        <v>6</v>
      </c>
      <c r="C52" s="20" t="str">
        <f t="array" aca="1" ref="C52" ca="1">_xll.SUBNM(db_name&amp;":reason","","Total reason")</f>
        <v/>
      </c>
      <c r="D52" s="20"/>
    </row>
    <row r="53" spans="2:17" hidden="1" outlineLevel="1" x14ac:dyDescent="0.15">
      <c r="B53" s="34" t="s">
        <v>7</v>
      </c>
      <c r="C53" s="20" t="str">
        <f t="array" aca="1" ref="C53" ca="1">_xll.SUBNM(db_name&amp;":spp","","Total SPP")</f>
        <v/>
      </c>
      <c r="D53" s="20"/>
    </row>
    <row r="54" spans="2:17" hidden="1" outlineLevel="1" x14ac:dyDescent="0.15">
      <c r="B54" s="34" t="s">
        <v>8</v>
      </c>
      <c r="C54" s="20" t="str">
        <f t="array" aca="1" ref="C54" ca="1">_xll.SUBNM(db_name&amp;":measure code","","Total Measures")</f>
        <v/>
      </c>
      <c r="D54" s="20"/>
    </row>
    <row r="55" spans="2:17" hidden="1" outlineLevel="1" x14ac:dyDescent="0.15">
      <c r="B55" s="34" t="s">
        <v>9</v>
      </c>
      <c r="C55" s="20" t="str">
        <f t="array" aca="1" ref="C55" ca="1">_xll.SUBNM(db_name&amp;":appropriation type","","Total approp types")</f>
        <v/>
      </c>
      <c r="D55" s="20"/>
    </row>
    <row r="56" spans="2:17" hidden="1" outlineLevel="1" x14ac:dyDescent="0.15">
      <c r="B56" s="34" t="s">
        <v>10</v>
      </c>
      <c r="C56" s="20" t="str">
        <f t="array" aca="1" ref="C56" ca="1">_xll.SUBNM(db_name&amp;":appropriation item","","Total approp item")</f>
        <v/>
      </c>
      <c r="D56" s="20"/>
    </row>
    <row r="57" spans="2:17" hidden="1" outlineLevel="1" x14ac:dyDescent="0.15">
      <c r="B57" s="34" t="s">
        <v>11</v>
      </c>
      <c r="C57" s="20" t="str">
        <f t="array" aca="1" ref="C57" ca="1">_xll.SUBNM(db_name&amp;":id","","Total IDs")</f>
        <v/>
      </c>
      <c r="D57" s="20"/>
    </row>
    <row r="58" spans="2:17" hidden="1" outlineLevel="1" x14ac:dyDescent="0.15">
      <c r="B58" s="34" t="s">
        <v>12</v>
      </c>
      <c r="C58" s="20" t="str">
        <f t="array" aca="1" ref="C58" ca="1">_xll.SUBNM(db_name&amp;":jurisdiction","","Total jurisdictions")</f>
        <v/>
      </c>
      <c r="D58" s="20"/>
    </row>
    <row r="59" spans="2:17" hidden="1" outlineLevel="1" x14ac:dyDescent="0.15"/>
    <row r="60" spans="2:17" hidden="1" outlineLevel="1" x14ac:dyDescent="0.15">
      <c r="P60" s="1">
        <v>1</v>
      </c>
      <c r="Q60" s="1" t="s">
        <v>59</v>
      </c>
    </row>
    <row r="61" spans="2:17" hidden="1" outlineLevel="1" x14ac:dyDescent="0.15">
      <c r="P61" s="1">
        <v>2</v>
      </c>
      <c r="Q61" s="1" t="s">
        <v>60</v>
      </c>
    </row>
    <row r="62" spans="2:17" hidden="1" outlineLevel="1" x14ac:dyDescent="0.15">
      <c r="P62" s="1">
        <v>3</v>
      </c>
      <c r="Q62" s="1" t="s">
        <v>61</v>
      </c>
    </row>
    <row r="63" spans="2:17" hidden="1" outlineLevel="1" x14ac:dyDescent="0.15">
      <c r="P63" s="1">
        <v>4</v>
      </c>
      <c r="Q63" s="1" t="s">
        <v>77</v>
      </c>
    </row>
    <row r="64" spans="2:17" hidden="1" outlineLevel="1" x14ac:dyDescent="0.15">
      <c r="P64" s="1">
        <v>5</v>
      </c>
      <c r="Q64" s="1" t="s">
        <v>62</v>
      </c>
    </row>
    <row r="65" spans="9:29" hidden="1" outlineLevel="1" x14ac:dyDescent="0.15">
      <c r="P65" s="1">
        <v>6</v>
      </c>
      <c r="Q65" s="1" t="s">
        <v>63</v>
      </c>
    </row>
    <row r="66" spans="9:29" hidden="1" outlineLevel="1" x14ac:dyDescent="0.15">
      <c r="P66" s="1">
        <v>9</v>
      </c>
      <c r="Q66" s="1" t="s">
        <v>64</v>
      </c>
    </row>
    <row r="67" spans="9:29" hidden="1" outlineLevel="1" x14ac:dyDescent="0.15"/>
    <row r="68" spans="9:29" hidden="1" outlineLevel="1" x14ac:dyDescent="0.15">
      <c r="K68" s="27" t="s">
        <v>96</v>
      </c>
      <c r="L68" s="26" t="s">
        <v>97</v>
      </c>
    </row>
    <row r="69" spans="9:29" hidden="1" outlineLevel="1" x14ac:dyDescent="0.15"/>
    <row r="70" spans="9:29" hidden="1" outlineLevel="1" x14ac:dyDescent="0.15">
      <c r="L70" s="25" t="s">
        <v>94</v>
      </c>
      <c r="M70" s="25">
        <v>-3</v>
      </c>
      <c r="N70" s="25">
        <v>-2</v>
      </c>
      <c r="O70" s="25">
        <v>-1</v>
      </c>
      <c r="P70" s="25">
        <v>0</v>
      </c>
      <c r="Q70" s="25">
        <v>1</v>
      </c>
      <c r="R70" s="25">
        <v>2</v>
      </c>
      <c r="S70" s="25">
        <v>3</v>
      </c>
      <c r="T70" s="25">
        <v>4</v>
      </c>
      <c r="U70" s="25">
        <v>5</v>
      </c>
      <c r="V70" s="25">
        <v>6</v>
      </c>
      <c r="W70" s="25">
        <v>7</v>
      </c>
      <c r="X70" s="25">
        <v>8</v>
      </c>
      <c r="Y70" s="25">
        <v>9</v>
      </c>
      <c r="Z70" s="25">
        <v>10</v>
      </c>
      <c r="AA70" s="25">
        <v>11</v>
      </c>
      <c r="AB70" s="25">
        <v>12</v>
      </c>
      <c r="AC70" s="25">
        <v>13</v>
      </c>
    </row>
    <row r="71" spans="9:29" hidden="1" outlineLevel="1" x14ac:dyDescent="0.15">
      <c r="L71" s="25" t="s">
        <v>93</v>
      </c>
      <c r="M71" s="25"/>
      <c r="N71" s="25" t="str">
        <f ca="1">RIGHT($M$83,9)</f>
        <v/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9:29" hidden="1" outlineLevel="1" x14ac:dyDescent="0.15">
      <c r="L72" s="25" t="s">
        <v>68</v>
      </c>
      <c r="M72" s="25" t="str">
        <f t="array" aca="1" ref="M72" ca="1">_xll.DIMNM(db_name&amp;":period",_xll.DIMIX(db_name&amp;":period",$N$71)+M$70)</f>
        <v/>
      </c>
      <c r="N72" s="25" t="str">
        <f t="array" aca="1" ref="N72" ca="1">_xll.DIMNM(db_name&amp;":period",_xll.DIMIX(db_name&amp;":period",$N$71)+N$70)</f>
        <v/>
      </c>
      <c r="O72" s="25" t="str">
        <f t="array" aca="1" ref="O72" ca="1">_xll.DIMNM(db_name&amp;":period",_xll.DIMIX(db_name&amp;":period",$N$71)+O$70)</f>
        <v/>
      </c>
      <c r="P72" s="25" t="str">
        <f t="array" aca="1" ref="P72" ca="1">_xll.DIMNM(db_name&amp;":period",_xll.DIMIX(db_name&amp;":period",$N$71)+P$70)</f>
        <v/>
      </c>
      <c r="Q72" s="25" t="str">
        <f t="array" aca="1" ref="Q72" ca="1">_xll.DIMNM(db_name&amp;":period",_xll.DIMIX(db_name&amp;":period",$N$71)+Q$70)</f>
        <v/>
      </c>
      <c r="R72" s="25" t="str">
        <f t="array" aca="1" ref="R72" ca="1">_xll.DIMNM(db_name&amp;":period",_xll.DIMIX(db_name&amp;":period",$N$71)+R$70)</f>
        <v/>
      </c>
      <c r="S72" s="25" t="str">
        <f t="array" aca="1" ref="S72" ca="1">_xll.DIMNM(db_name&amp;":period",_xll.DIMIX(db_name&amp;":period",$N$71)+S$70)</f>
        <v/>
      </c>
      <c r="T72" s="25" t="str">
        <f t="array" aca="1" ref="T72" ca="1">_xll.DIMNM(db_name&amp;":period",_xll.DIMIX(db_name&amp;":period",$N$71)+T$70)</f>
        <v/>
      </c>
      <c r="U72" s="25" t="str">
        <f t="array" aca="1" ref="U72" ca="1">_xll.DIMNM(db_name&amp;":period",_xll.DIMIX(db_name&amp;":period",$N$71)+U$70)</f>
        <v/>
      </c>
      <c r="V72" s="25" t="str">
        <f t="array" aca="1" ref="V72" ca="1">_xll.DIMNM(db_name&amp;":period",_xll.DIMIX(db_name&amp;":period",$N$71)+V$70)</f>
        <v/>
      </c>
      <c r="W72" s="25" t="str">
        <f t="array" aca="1" ref="W72" ca="1">_xll.DIMNM(db_name&amp;":period",_xll.DIMIX(db_name&amp;":period",$N$71)+W$70)</f>
        <v/>
      </c>
      <c r="X72" s="25" t="str">
        <f t="array" aca="1" ref="X72" ca="1">_xll.DIMNM(db_name&amp;":period",_xll.DIMIX(db_name&amp;":period",$N$71)+X$70)</f>
        <v/>
      </c>
      <c r="Y72" s="25" t="str">
        <f t="array" aca="1" ref="Y72" ca="1">_xll.DIMNM(db_name&amp;":period",_xll.DIMIX(db_name&amp;":period",$N$71)+Y$70)</f>
        <v/>
      </c>
      <c r="Z72" s="25" t="str">
        <f t="array" aca="1" ref="Z72" ca="1">_xll.DIMNM(db_name&amp;":period",_xll.DIMIX(db_name&amp;":period",$N$71)+Z$70)</f>
        <v/>
      </c>
      <c r="AA72" s="25" t="str">
        <f t="array" aca="1" ref="AA72" ca="1">_xll.DIMNM(db_name&amp;":period",_xll.DIMIX(db_name&amp;":period",$N$71)+AA$70)</f>
        <v/>
      </c>
      <c r="AB72" s="25" t="str">
        <f t="array" aca="1" ref="AB72" ca="1">_xll.DIMNM(db_name&amp;":period",_xll.DIMIX(db_name&amp;":period",$N$71)+AB$70)</f>
        <v/>
      </c>
      <c r="AC72" s="25" t="str">
        <f t="array" aca="1" ref="AC72" ca="1">_xll.DIMNM(db_name&amp;":period",_xll.DIMIX(db_name&amp;":period",$N$71)+AC$70)</f>
        <v/>
      </c>
    </row>
    <row r="73" spans="9:29" hidden="1" outlineLevel="1" x14ac:dyDescent="0.15"/>
    <row r="74" spans="9:29" ht="39.950000000000003" customHeight="1" collapsed="1" x14ac:dyDescent="0.15"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 t="s">
        <v>135</v>
      </c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9:29" ht="4.5" customHeight="1" x14ac:dyDescent="0.15">
      <c r="J75" s="5"/>
    </row>
    <row r="76" spans="9:29" ht="24" customHeight="1" x14ac:dyDescent="0.15">
      <c r="J76" s="5"/>
    </row>
    <row r="77" spans="9:29" ht="1.5" customHeight="1" x14ac:dyDescent="0.15"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9:29" ht="4.5" customHeight="1" x14ac:dyDescent="0.15">
      <c r="J78" s="5"/>
    </row>
    <row r="79" spans="9:29" customFormat="1" ht="15" customHeight="1" x14ac:dyDescent="0.25">
      <c r="J79" s="97" t="s">
        <v>137</v>
      </c>
      <c r="K79" s="97"/>
      <c r="L79" s="97"/>
      <c r="M79" s="97"/>
      <c r="N79" s="97"/>
      <c r="O79" s="97"/>
      <c r="P79" s="97"/>
      <c r="Q79" s="97"/>
      <c r="R79" s="97"/>
      <c r="S79" s="97"/>
    </row>
    <row r="80" spans="9:29" customFormat="1" ht="4.5" customHeight="1" x14ac:dyDescent="0.25">
      <c r="J80" s="86"/>
    </row>
    <row r="81" spans="1:29" customFormat="1" ht="15" x14ac:dyDescent="0.25">
      <c r="J81" s="86"/>
      <c r="M81" s="98" t="s">
        <v>138</v>
      </c>
      <c r="N81" s="98"/>
      <c r="O81" s="98"/>
    </row>
    <row r="82" spans="1:29" ht="15" customHeight="1" x14ac:dyDescent="0.25">
      <c r="L82" s="87" t="s">
        <v>139</v>
      </c>
      <c r="M82" s="91" t="str">
        <f t="array" aca="1" ref="M82" ca="1">_xll.SUBNM(db_name&amp;":programme","","Departmental Programmes","code and description")</f>
        <v/>
      </c>
      <c r="N82" s="92"/>
      <c r="O82" s="93"/>
    </row>
    <row r="83" spans="1:29" ht="15" customHeight="1" x14ac:dyDescent="0.25">
      <c r="L83" s="87" t="s">
        <v>140</v>
      </c>
      <c r="M83" s="91" t="str">
        <f t="array" aca="1" ref="M83" ca="1">_xll.SUBNM(db_name&amp;":headline year","",$C$22)</f>
        <v/>
      </c>
      <c r="N83" s="92"/>
      <c r="O83" s="9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 ht="15" x14ac:dyDescent="0.25">
      <c r="L84" s="87" t="s">
        <v>141</v>
      </c>
      <c r="M84" s="91" t="str">
        <f t="array" aca="1" ref="M84" ca="1">_xll.SUBNM(db_name&amp;":scenario","",$C$23)</f>
        <v/>
      </c>
      <c r="N84" s="92"/>
      <c r="O84" s="93"/>
      <c r="P84" s="23"/>
      <c r="Q84" s="87" t="s">
        <v>142</v>
      </c>
      <c r="R84" s="99">
        <f ca="1">NOW()</f>
        <v>44972.39734826389</v>
      </c>
      <c r="S84" s="99"/>
      <c r="T84" s="99"/>
      <c r="V84" s="23"/>
      <c r="W84" s="23"/>
      <c r="X84" s="23"/>
      <c r="Y84" s="23"/>
      <c r="Z84" s="23"/>
      <c r="AA84" s="23"/>
      <c r="AB84" s="23"/>
      <c r="AC84" s="23"/>
    </row>
    <row r="85" spans="1:29" ht="4.5" customHeight="1" x14ac:dyDescent="0.15"/>
    <row r="86" spans="1:29" s="7" customFormat="1" ht="32.1" customHeight="1" x14ac:dyDescent="0.25">
      <c r="J86" s="36"/>
      <c r="K86" s="36" t="s">
        <v>66</v>
      </c>
      <c r="L86" s="36" t="s">
        <v>67</v>
      </c>
      <c r="M86" s="36" t="s">
        <v>65</v>
      </c>
      <c r="N86" s="36" t="str">
        <f ca="1">N$72</f>
        <v/>
      </c>
      <c r="O86" s="36" t="str">
        <f t="shared" ref="O86:AC86" ca="1" si="0">O$72</f>
        <v/>
      </c>
      <c r="P86" s="36" t="str">
        <f t="shared" ca="1" si="0"/>
        <v/>
      </c>
      <c r="Q86" s="36" t="str">
        <f t="shared" ca="1" si="0"/>
        <v/>
      </c>
      <c r="R86" s="36" t="str">
        <f t="shared" ca="1" si="0"/>
        <v/>
      </c>
      <c r="S86" s="36" t="str">
        <f t="shared" ca="1" si="0"/>
        <v/>
      </c>
      <c r="T86" s="36" t="str">
        <f t="shared" ca="1" si="0"/>
        <v/>
      </c>
      <c r="U86" s="36" t="str">
        <f t="shared" ca="1" si="0"/>
        <v/>
      </c>
      <c r="V86" s="36" t="str">
        <f t="shared" ca="1" si="0"/>
        <v/>
      </c>
      <c r="W86" s="36" t="str">
        <f t="shared" ca="1" si="0"/>
        <v/>
      </c>
      <c r="X86" s="36" t="str">
        <f t="shared" ca="1" si="0"/>
        <v/>
      </c>
      <c r="Y86" s="36" t="str">
        <f t="shared" ca="1" si="0"/>
        <v/>
      </c>
      <c r="Z86" s="36" t="str">
        <f t="shared" ca="1" si="0"/>
        <v/>
      </c>
      <c r="AA86" s="36" t="str">
        <f t="shared" ca="1" si="0"/>
        <v/>
      </c>
      <c r="AB86" s="36" t="str">
        <f t="shared" ca="1" si="0"/>
        <v/>
      </c>
      <c r="AC86" s="36" t="str">
        <f t="shared" ca="1" si="0"/>
        <v/>
      </c>
    </row>
    <row r="87" spans="1:29" ht="4.5" customHeight="1" x14ac:dyDescent="0.1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" x14ac:dyDescent="0.2">
      <c r="J88" s="38" t="s">
        <v>14</v>
      </c>
      <c r="K88" s="39"/>
      <c r="L88" s="39"/>
      <c r="M88" s="40"/>
      <c r="N88" s="39"/>
      <c r="O88" s="39"/>
      <c r="P88" s="39"/>
      <c r="Q88" s="39"/>
      <c r="R88" s="39"/>
      <c r="S88" s="39"/>
    </row>
    <row r="89" spans="1:29" ht="6.75" customHeight="1" x14ac:dyDescent="0.2">
      <c r="J89" s="41"/>
      <c r="K89" s="39"/>
      <c r="L89" s="39"/>
      <c r="M89" s="39"/>
      <c r="N89" s="39"/>
      <c r="O89" s="39"/>
      <c r="P89" s="39"/>
      <c r="Q89" s="39"/>
      <c r="R89" s="39"/>
      <c r="S89" s="39"/>
    </row>
    <row r="90" spans="1:29" ht="12" x14ac:dyDescent="0.15">
      <c r="A90" s="1" t="s">
        <v>20</v>
      </c>
      <c r="B90" s="1" t="str">
        <f ca="1">_xll.DBRA(db_name&amp;":account",A90,"description")</f>
        <v/>
      </c>
      <c r="C90" s="1" t="s">
        <v>13</v>
      </c>
      <c r="D90" s="1" t="str">
        <f ca="1">_xll.DBRA(db_name&amp;":movement account",C90,"description")</f>
        <v/>
      </c>
      <c r="J90" s="42"/>
      <c r="K90" s="43" t="str">
        <f ca="1">A90&amp;" - "&amp;B90</f>
        <v xml:space="preserve">6000000 - </v>
      </c>
      <c r="L90" s="44" t="str">
        <f ca="1">IF(C90="No_Mvt",C90,C90&amp;" - "&amp;D90)</f>
        <v>No_Mvt</v>
      </c>
      <c r="M90" s="45" t="str">
        <f ca="1">IF(LEFT(A90,4)="9000","Special Account",VLOOKUP(LEFT(A90,1)*1,$P$60:$Q$66,2,FALSE))</f>
        <v>Cash Flow Account</v>
      </c>
      <c r="N90" s="46" t="str" cm="1">
        <f t="array" aca="1" ref="N90" ca="1">_xll.DBRW($C$47,$M$83,$M$84,$C$48,$C$49,$C$50,$C$51,$C$52,$C$53,$C$54,$C$55,$C90,$C$56,$M$82,$A90,$C$57,$C$58,N$86)</f>
        <v/>
      </c>
      <c r="O90" s="47" t="str" cm="1">
        <f t="array" aca="1" ref="O90" ca="1">_xll.DBRW($C$47,$M$83,$M$84,$C$48,$C$49,$C$50,$C$51,$C$52,$C$53,$C$54,$C$55,$C90,$C$56,$M$82,$A90,$C$57,$C$58,O$86)</f>
        <v/>
      </c>
      <c r="P90" s="47" t="str" cm="1">
        <f t="array" aca="1" ref="P90" ca="1">_xll.DBRW($C$47,$M$83,$M$84,$C$48,$C$49,$C$50,$C$51,$C$52,$C$53,$C$54,$C$55,$C90,$C$56,$M$82,$A90,$C$57,$C$58,P$86)</f>
        <v/>
      </c>
      <c r="Q90" s="47" t="str" cm="1">
        <f t="array" aca="1" ref="Q90" ca="1">_xll.DBRW($C$47,$M$83,$M$84,$C$48,$C$49,$C$50,$C$51,$C$52,$C$53,$C$54,$C$55,$C90,$C$56,$M$82,$A90,$C$57,$C$58,Q$86)</f>
        <v/>
      </c>
      <c r="R90" s="47" t="str" cm="1">
        <f t="array" aca="1" ref="R90" ca="1">_xll.DBRW($C$47,$M$83,$M$84,$C$48,$C$49,$C$50,$C$51,$C$52,$C$53,$C$54,$C$55,$C90,$C$56,$M$82,$A90,$C$57,$C$58,R$86)</f>
        <v/>
      </c>
      <c r="S90" s="48" t="str" cm="1">
        <f t="array" aca="1" ref="S90" ca="1">_xll.DBRW($C$47,$M$83,$M$84,$C$48,$C$49,$C$50,$C$51,$C$52,$C$53,$C$54,$C$55,$C90,$C$56,$M$82,$A90,$C$57,$C$58,S$86)</f>
        <v/>
      </c>
      <c r="T90" s="10" t="str" cm="1">
        <f t="array" aca="1" ref="T90" ca="1">_xll.DBRW($C$47,$M$83,$M$84,$C$48,$C$49,$C$50,$C$51,$C$52,$C$53,$C$54,$C$55,$C90,$C$56,$M$82,$A90,$C$57,$C$58,T$86)</f>
        <v/>
      </c>
      <c r="U90" s="10" t="str" cm="1">
        <f t="array" aca="1" ref="U90" ca="1">_xll.DBRW($C$47,$M$83,$M$84,$C$48,$C$49,$C$50,$C$51,$C$52,$C$53,$C$54,$C$55,$C90,$C$56,$M$82,$A90,$C$57,$C$58,U$86)</f>
        <v/>
      </c>
      <c r="V90" s="10" t="str" cm="1">
        <f t="array" aca="1" ref="V90" ca="1">_xll.DBRW($C$47,$M$83,$M$84,$C$48,$C$49,$C$50,$C$51,$C$52,$C$53,$C$54,$C$55,$C90,$C$56,$M$82,$A90,$C$57,$C$58,V$86)</f>
        <v/>
      </c>
      <c r="W90" s="10" t="str" cm="1">
        <f t="array" aca="1" ref="W90" ca="1">_xll.DBRW($C$47,$M$83,$M$84,$C$48,$C$49,$C$50,$C$51,$C$52,$C$53,$C$54,$C$55,$C90,$C$56,$M$82,$A90,$C$57,$C$58,W$86)</f>
        <v/>
      </c>
      <c r="X90" s="10" t="str" cm="1">
        <f t="array" aca="1" ref="X90" ca="1">_xll.DBRW($C$47,$M$83,$M$84,$C$48,$C$49,$C$50,$C$51,$C$52,$C$53,$C$54,$C$55,$C90,$C$56,$M$82,$A90,$C$57,$C$58,X$86)</f>
        <v/>
      </c>
      <c r="Y90" s="10" t="str" cm="1">
        <f t="array" aca="1" ref="Y90" ca="1">_xll.DBRW($C$47,$M$83,$M$84,$C$48,$C$49,$C$50,$C$51,$C$52,$C$53,$C$54,$C$55,$C90,$C$56,$M$82,$A90,$C$57,$C$58,Y$86)</f>
        <v/>
      </c>
      <c r="Z90" s="10" t="str" cm="1">
        <f t="array" aca="1" ref="Z90" ca="1">_xll.DBRW($C$47,$M$83,$M$84,$C$48,$C$49,$C$50,$C$51,$C$52,$C$53,$C$54,$C$55,$C90,$C$56,$M$82,$A90,$C$57,$C$58,Z$86)</f>
        <v/>
      </c>
      <c r="AA90" s="10" t="str" cm="1">
        <f t="array" aca="1" ref="AA90" ca="1">_xll.DBRW($C$47,$M$83,$M$84,$C$48,$C$49,$C$50,$C$51,$C$52,$C$53,$C$54,$C$55,$C90,$C$56,$M$82,$A90,$C$57,$C$58,AA$86)</f>
        <v/>
      </c>
      <c r="AB90" s="10" t="str" cm="1">
        <f t="array" aca="1" ref="AB90" ca="1">_xll.DBRW($C$47,$M$83,$M$84,$C$48,$C$49,$C$50,$C$51,$C$52,$C$53,$C$54,$C$55,$C90,$C$56,$M$82,$A90,$C$57,$C$58,AB$86)</f>
        <v/>
      </c>
      <c r="AC90" s="11" t="str" cm="1">
        <f t="array" aca="1" ref="AC90" ca="1">_xll.DBRW($C$47,$M$83,$M$84,$C$48,$C$49,$C$50,$C$51,$C$52,$C$53,$C$54,$C$55,$C90,$C$56,$M$82,$A90,$C$57,$C$58,AC$86)</f>
        <v/>
      </c>
    </row>
    <row r="91" spans="1:29" ht="12" x14ac:dyDescent="0.15">
      <c r="A91" s="1" t="s">
        <v>21</v>
      </c>
      <c r="B91" s="1" t="str">
        <f ca="1">_xll.DBRA(db_name&amp;":account",A91,"description")</f>
        <v/>
      </c>
      <c r="C91" s="1" t="s">
        <v>13</v>
      </c>
      <c r="D91" s="1" t="str">
        <f ca="1">_xll.DBRA(db_name&amp;":movement account",C91,"description")</f>
        <v/>
      </c>
      <c r="J91" s="49" t="s">
        <v>15</v>
      </c>
      <c r="K91" s="50" t="str">
        <f ca="1">A91&amp;" - "&amp;B91</f>
        <v xml:space="preserve">5220000 - </v>
      </c>
      <c r="L91" s="51" t="str">
        <f ca="1">IF(C91="No_Mvt",C91,C91&amp;" - "&amp;D91)</f>
        <v>No_Mvt</v>
      </c>
      <c r="M91" s="52" t="str">
        <f ca="1">IF(LEFT(A91,4)="9000","Special Account",VLOOKUP(LEFT(A91,1)*1,$P$60:$Q$66,2,FALSE))</f>
        <v>Asset Account</v>
      </c>
      <c r="N91" s="53" t="str" cm="1">
        <f t="array" aca="1" ref="N91" ca="1">_xll.DBRW($C$47,$M$83,$M$84,$C$48,$C$49,$C$50,$C$51,$C$52,$C$53,$C$54,$C$55,$C91,$C$56,$M$82,$A91,$C$57,$C$58,N$86)</f>
        <v/>
      </c>
      <c r="O91" s="54" t="str" cm="1">
        <f t="array" aca="1" ref="O91" ca="1">_xll.DBRW($C$47,$M$83,$M$84,$C$48,$C$49,$C$50,$C$51,$C$52,$C$53,$C$54,$C$55,$C91,$C$56,$M$82,$A91,$C$57,$C$58,O$86)</f>
        <v/>
      </c>
      <c r="P91" s="54" t="str" cm="1">
        <f t="array" aca="1" ref="P91" ca="1">_xll.DBRW($C$47,$M$83,$M$84,$C$48,$C$49,$C$50,$C$51,$C$52,$C$53,$C$54,$C$55,$C91,$C$56,$M$82,$A91,$C$57,$C$58,P$86)</f>
        <v/>
      </c>
      <c r="Q91" s="54" t="str" cm="1">
        <f t="array" aca="1" ref="Q91" ca="1">_xll.DBRW($C$47,$M$83,$M$84,$C$48,$C$49,$C$50,$C$51,$C$52,$C$53,$C$54,$C$55,$C91,$C$56,$M$82,$A91,$C$57,$C$58,Q$86)</f>
        <v/>
      </c>
      <c r="R91" s="54" t="str" cm="1">
        <f t="array" aca="1" ref="R91" ca="1">_xll.DBRW($C$47,$M$83,$M$84,$C$48,$C$49,$C$50,$C$51,$C$52,$C$53,$C$54,$C$55,$C91,$C$56,$M$82,$A91,$C$57,$C$58,R$86)</f>
        <v/>
      </c>
      <c r="S91" s="55" t="str" cm="1">
        <f t="array" aca="1" ref="S91" ca="1">_xll.DBRW($C$47,$M$83,$M$84,$C$48,$C$49,$C$50,$C$51,$C$52,$C$53,$C$54,$C$55,$C91,$C$56,$M$82,$A91,$C$57,$C$58,S$86)</f>
        <v/>
      </c>
      <c r="T91" s="12" t="str" cm="1">
        <f t="array" aca="1" ref="T91" ca="1">_xll.DBRW($C$47,$M$83,$M$84,$C$48,$C$49,$C$50,$C$51,$C$52,$C$53,$C$54,$C$55,$C91,$C$56,$M$82,$A91,$C$57,$C$58,T$86)</f>
        <v/>
      </c>
      <c r="U91" s="12" t="str" cm="1">
        <f t="array" aca="1" ref="U91" ca="1">_xll.DBRW($C$47,$M$83,$M$84,$C$48,$C$49,$C$50,$C$51,$C$52,$C$53,$C$54,$C$55,$C91,$C$56,$M$82,$A91,$C$57,$C$58,U$86)</f>
        <v/>
      </c>
      <c r="V91" s="12" t="str" cm="1">
        <f t="array" aca="1" ref="V91" ca="1">_xll.DBRW($C$47,$M$83,$M$84,$C$48,$C$49,$C$50,$C$51,$C$52,$C$53,$C$54,$C$55,$C91,$C$56,$M$82,$A91,$C$57,$C$58,V$86)</f>
        <v/>
      </c>
      <c r="W91" s="12" t="str" cm="1">
        <f t="array" aca="1" ref="W91" ca="1">_xll.DBRW($C$47,$M$83,$M$84,$C$48,$C$49,$C$50,$C$51,$C$52,$C$53,$C$54,$C$55,$C91,$C$56,$M$82,$A91,$C$57,$C$58,W$86)</f>
        <v/>
      </c>
      <c r="X91" s="12" t="str" cm="1">
        <f t="array" aca="1" ref="X91" ca="1">_xll.DBRW($C$47,$M$83,$M$84,$C$48,$C$49,$C$50,$C$51,$C$52,$C$53,$C$54,$C$55,$C91,$C$56,$M$82,$A91,$C$57,$C$58,X$86)</f>
        <v/>
      </c>
      <c r="Y91" s="12" t="str" cm="1">
        <f t="array" aca="1" ref="Y91" ca="1">_xll.DBRW($C$47,$M$83,$M$84,$C$48,$C$49,$C$50,$C$51,$C$52,$C$53,$C$54,$C$55,$C91,$C$56,$M$82,$A91,$C$57,$C$58,Y$86)</f>
        <v/>
      </c>
      <c r="Z91" s="12" t="str" cm="1">
        <f t="array" aca="1" ref="Z91" ca="1">_xll.DBRW($C$47,$M$83,$M$84,$C$48,$C$49,$C$50,$C$51,$C$52,$C$53,$C$54,$C$55,$C91,$C$56,$M$82,$A91,$C$57,$C$58,Z$86)</f>
        <v/>
      </c>
      <c r="AA91" s="12" t="str" cm="1">
        <f t="array" aca="1" ref="AA91" ca="1">_xll.DBRW($C$47,$M$83,$M$84,$C$48,$C$49,$C$50,$C$51,$C$52,$C$53,$C$54,$C$55,$C91,$C$56,$M$82,$A91,$C$57,$C$58,AA$86)</f>
        <v/>
      </c>
      <c r="AB91" s="12" t="str" cm="1">
        <f t="array" aca="1" ref="AB91" ca="1">_xll.DBRW($C$47,$M$83,$M$84,$C$48,$C$49,$C$50,$C$51,$C$52,$C$53,$C$54,$C$55,$C91,$C$56,$M$82,$A91,$C$57,$C$58,AB$86)</f>
        <v/>
      </c>
      <c r="AC91" s="13" t="str" cm="1">
        <f t="array" aca="1" ref="AC91" ca="1">_xll.DBRW($C$47,$M$83,$M$84,$C$48,$C$49,$C$50,$C$51,$C$52,$C$53,$C$54,$C$55,$C91,$C$56,$M$82,$A91,$C$57,$C$58,AC$86)</f>
        <v/>
      </c>
    </row>
    <row r="92" spans="1:29" s="2" customFormat="1" ht="24" x14ac:dyDescent="0.15">
      <c r="J92" s="85" t="s">
        <v>69</v>
      </c>
      <c r="K92" s="77" t="s">
        <v>81</v>
      </c>
      <c r="L92" s="78"/>
      <c r="M92" s="79"/>
      <c r="N92" s="80" t="e">
        <f ca="1">N91-N90</f>
        <v>#VALUE!</v>
      </c>
      <c r="O92" s="81" t="e">
        <f ca="1">O91-O90</f>
        <v>#VALUE!</v>
      </c>
      <c r="P92" s="81" t="e">
        <f t="shared" ref="P92:T92" ca="1" si="1">P91-P90</f>
        <v>#VALUE!</v>
      </c>
      <c r="Q92" s="81" t="e">
        <f t="shared" ca="1" si="1"/>
        <v>#VALUE!</v>
      </c>
      <c r="R92" s="81" t="e">
        <f t="shared" ca="1" si="1"/>
        <v>#VALUE!</v>
      </c>
      <c r="S92" s="82" t="e">
        <f t="shared" ca="1" si="1"/>
        <v>#VALUE!</v>
      </c>
      <c r="T92" s="83" t="e">
        <f t="shared" ca="1" si="1"/>
        <v>#VALUE!</v>
      </c>
      <c r="U92" s="83" t="e">
        <f t="shared" ref="U92:Y92" ca="1" si="2">U91-U90</f>
        <v>#VALUE!</v>
      </c>
      <c r="V92" s="83" t="e">
        <f t="shared" ca="1" si="2"/>
        <v>#VALUE!</v>
      </c>
      <c r="W92" s="83" t="e">
        <f t="shared" ca="1" si="2"/>
        <v>#VALUE!</v>
      </c>
      <c r="X92" s="83" t="e">
        <f t="shared" ca="1" si="2"/>
        <v>#VALUE!</v>
      </c>
      <c r="Y92" s="83" t="e">
        <f t="shared" ca="1" si="2"/>
        <v>#VALUE!</v>
      </c>
      <c r="Z92" s="83" t="e">
        <f t="shared" ref="Z92:AC92" ca="1" si="3">Z91-Z90</f>
        <v>#VALUE!</v>
      </c>
      <c r="AA92" s="83" t="e">
        <f t="shared" ca="1" si="3"/>
        <v>#VALUE!</v>
      </c>
      <c r="AB92" s="83" t="e">
        <f t="shared" ca="1" si="3"/>
        <v>#VALUE!</v>
      </c>
      <c r="AC92" s="84" t="e">
        <f t="shared" ca="1" si="3"/>
        <v>#VALUE!</v>
      </c>
    </row>
    <row r="93" spans="1:29" s="2" customFormat="1" ht="12" x14ac:dyDescent="0.15">
      <c r="J93" s="56"/>
      <c r="K93" s="57" t="s">
        <v>79</v>
      </c>
      <c r="L93" s="58"/>
      <c r="M93" s="59"/>
      <c r="N93" s="60"/>
      <c r="O93" s="61" t="e">
        <f t="shared" ref="O93" ca="1" si="4">O92-N92</f>
        <v>#VALUE!</v>
      </c>
      <c r="P93" s="61" t="e">
        <f t="shared" ref="P93" ca="1" si="5">P92-O92</f>
        <v>#VALUE!</v>
      </c>
      <c r="Q93" s="61" t="e">
        <f t="shared" ref="Q93" ca="1" si="6">Q92-P92</f>
        <v>#VALUE!</v>
      </c>
      <c r="R93" s="61" t="e">
        <f t="shared" ref="R93" ca="1" si="7">R92-Q92</f>
        <v>#VALUE!</v>
      </c>
      <c r="S93" s="62" t="e">
        <f t="shared" ref="S93" ca="1" si="8">S92-R92</f>
        <v>#VALUE!</v>
      </c>
      <c r="T93" s="16" t="e">
        <f t="shared" ref="T93" ca="1" si="9">T92-S92</f>
        <v>#VALUE!</v>
      </c>
      <c r="U93" s="16" t="e">
        <f t="shared" ref="U93" ca="1" si="10">U92-T92</f>
        <v>#VALUE!</v>
      </c>
      <c r="V93" s="16" t="e">
        <f t="shared" ref="V93" ca="1" si="11">V92-U92</f>
        <v>#VALUE!</v>
      </c>
      <c r="W93" s="16" t="e">
        <f t="shared" ref="W93" ca="1" si="12">W92-V92</f>
        <v>#VALUE!</v>
      </c>
      <c r="X93" s="16" t="e">
        <f t="shared" ref="X93" ca="1" si="13">X92-W92</f>
        <v>#VALUE!</v>
      </c>
      <c r="Y93" s="16" t="e">
        <f t="shared" ref="Y93" ca="1" si="14">Y92-X92</f>
        <v>#VALUE!</v>
      </c>
      <c r="Z93" s="16" t="e">
        <f t="shared" ref="Z93" ca="1" si="15">Z92-Y92</f>
        <v>#VALUE!</v>
      </c>
      <c r="AA93" s="16" t="e">
        <f t="shared" ref="AA93" ca="1" si="16">AA92-Z92</f>
        <v>#VALUE!</v>
      </c>
      <c r="AB93" s="16" t="e">
        <f t="shared" ref="AB93" ca="1" si="17">AB92-AA92</f>
        <v>#VALUE!</v>
      </c>
      <c r="AC93" s="17" t="e">
        <f t="shared" ref="AC93" ca="1" si="18">AC92-AB92</f>
        <v>#VALUE!</v>
      </c>
    </row>
    <row r="94" spans="1:29" ht="12" x14ac:dyDescent="0.15">
      <c r="A94" s="1" t="s">
        <v>23</v>
      </c>
      <c r="B94" s="1" t="str">
        <f ca="1">_xll.DBRA(db_name&amp;":account",A94,"description")</f>
        <v/>
      </c>
      <c r="C94" s="1" t="s">
        <v>13</v>
      </c>
      <c r="D94" s="1" t="str">
        <f ca="1">_xll.DBRA(db_name&amp;":movement account",C94,"description")</f>
        <v/>
      </c>
      <c r="J94" s="63"/>
      <c r="K94" s="64" t="str">
        <f ca="1">A94&amp;" - "&amp;B94</f>
        <v xml:space="preserve">6100001 - </v>
      </c>
      <c r="L94" s="40" t="str">
        <f ca="1">IF(C94="No_Mvt",C94,C94&amp;" - "&amp;D94)</f>
        <v>No_Mvt</v>
      </c>
      <c r="M94" s="65" t="str">
        <f ca="1">IF(LEFT(A94,4)="9000","Special Account",VLOOKUP(LEFT(A94,1)*1,$P$60:$Q$66,2,FALSE))</f>
        <v>Cash Flow Account</v>
      </c>
      <c r="N94" s="66" t="str" cm="1">
        <f t="array" aca="1" ref="N94" ca="1">_xll.DBRW($C$47,$M$83,$M$84,$C$48,$C$49,$C$50,$C$51,$C$52,$C$53,$C$54,$C$55,$C94,$C$56,$M$82,$A94,$C$57,$C$58,N$86)</f>
        <v/>
      </c>
      <c r="O94" s="67" t="str" cm="1">
        <f t="array" aca="1" ref="O94" ca="1">_xll.DBRW($C$47,$M$83,$M$84,$C$48,$C$49,$C$50,$C$51,$C$52,$C$53,$C$54,$C$55,$C94,$C$56,$M$82,$A94,$C$57,$C$58,O$86)</f>
        <v/>
      </c>
      <c r="P94" s="67" t="str" cm="1">
        <f t="array" aca="1" ref="P94" ca="1">_xll.DBRW($C$47,$M$83,$M$84,$C$48,$C$49,$C$50,$C$51,$C$52,$C$53,$C$54,$C$55,$C94,$C$56,$M$82,$A94,$C$57,$C$58,P$86)</f>
        <v/>
      </c>
      <c r="Q94" s="67" t="str" cm="1">
        <f t="array" aca="1" ref="Q94" ca="1">_xll.DBRW($C$47,$M$83,$M$84,$C$48,$C$49,$C$50,$C$51,$C$52,$C$53,$C$54,$C$55,$C94,$C$56,$M$82,$A94,$C$57,$C$58,Q$86)</f>
        <v/>
      </c>
      <c r="R94" s="67" t="str" cm="1">
        <f t="array" aca="1" ref="R94" ca="1">_xll.DBRW($C$47,$M$83,$M$84,$C$48,$C$49,$C$50,$C$51,$C$52,$C$53,$C$54,$C$55,$C94,$C$56,$M$82,$A94,$C$57,$C$58,R$86)</f>
        <v/>
      </c>
      <c r="S94" s="68" t="str" cm="1">
        <f t="array" aca="1" ref="S94" ca="1">_xll.DBRW($C$47,$M$83,$M$84,$C$48,$C$49,$C$50,$C$51,$C$52,$C$53,$C$54,$C$55,$C94,$C$56,$M$82,$A94,$C$57,$C$58,S$86)</f>
        <v/>
      </c>
      <c r="T94" s="14" t="str" cm="1">
        <f t="array" aca="1" ref="T94" ca="1">_xll.DBRW($C$47,$M$83,$M$84,$C$48,$C$49,$C$50,$C$51,$C$52,$C$53,$C$54,$C$55,$C94,$C$56,$M$82,$A94,$C$57,$C$58,T$86)</f>
        <v/>
      </c>
      <c r="U94" s="14" t="str" cm="1">
        <f t="array" aca="1" ref="U94" ca="1">_xll.DBRW($C$47,$M$83,$M$84,$C$48,$C$49,$C$50,$C$51,$C$52,$C$53,$C$54,$C$55,$C94,$C$56,$M$82,$A94,$C$57,$C$58,U$86)</f>
        <v/>
      </c>
      <c r="V94" s="14" t="str" cm="1">
        <f t="array" aca="1" ref="V94" ca="1">_xll.DBRW($C$47,$M$83,$M$84,$C$48,$C$49,$C$50,$C$51,$C$52,$C$53,$C$54,$C$55,$C94,$C$56,$M$82,$A94,$C$57,$C$58,V$86)</f>
        <v/>
      </c>
      <c r="W94" s="14" t="str" cm="1">
        <f t="array" aca="1" ref="W94" ca="1">_xll.DBRW($C$47,$M$83,$M$84,$C$48,$C$49,$C$50,$C$51,$C$52,$C$53,$C$54,$C$55,$C94,$C$56,$M$82,$A94,$C$57,$C$58,W$86)</f>
        <v/>
      </c>
      <c r="X94" s="14" t="str" cm="1">
        <f t="array" aca="1" ref="X94" ca="1">_xll.DBRW($C$47,$M$83,$M$84,$C$48,$C$49,$C$50,$C$51,$C$52,$C$53,$C$54,$C$55,$C94,$C$56,$M$82,$A94,$C$57,$C$58,X$86)</f>
        <v/>
      </c>
      <c r="Y94" s="14" t="str" cm="1">
        <f t="array" aca="1" ref="Y94" ca="1">_xll.DBRW($C$47,$M$83,$M$84,$C$48,$C$49,$C$50,$C$51,$C$52,$C$53,$C$54,$C$55,$C94,$C$56,$M$82,$A94,$C$57,$C$58,Y$86)</f>
        <v/>
      </c>
      <c r="Z94" s="14" t="str" cm="1">
        <f t="array" aca="1" ref="Z94" ca="1">_xll.DBRW($C$47,$M$83,$M$84,$C$48,$C$49,$C$50,$C$51,$C$52,$C$53,$C$54,$C$55,$C94,$C$56,$M$82,$A94,$C$57,$C$58,Z$86)</f>
        <v/>
      </c>
      <c r="AA94" s="14" t="str" cm="1">
        <f t="array" aca="1" ref="AA94" ca="1">_xll.DBRW($C$47,$M$83,$M$84,$C$48,$C$49,$C$50,$C$51,$C$52,$C$53,$C$54,$C$55,$C94,$C$56,$M$82,$A94,$C$57,$C$58,AA$86)</f>
        <v/>
      </c>
      <c r="AB94" s="14" t="str" cm="1">
        <f t="array" aca="1" ref="AB94" ca="1">_xll.DBRW($C$47,$M$83,$M$84,$C$48,$C$49,$C$50,$C$51,$C$52,$C$53,$C$54,$C$55,$C94,$C$56,$M$82,$A94,$C$57,$C$58,AB$86)</f>
        <v/>
      </c>
      <c r="AC94" s="15" t="str" cm="1">
        <f t="array" aca="1" ref="AC94" ca="1">_xll.DBRW($C$47,$M$83,$M$84,$C$48,$C$49,$C$50,$C$51,$C$52,$C$53,$C$54,$C$55,$C94,$C$56,$M$82,$A94,$C$57,$C$58,AC$86)</f>
        <v/>
      </c>
    </row>
    <row r="95" spans="1:29" ht="12" x14ac:dyDescent="0.15">
      <c r="A95" s="1" t="s">
        <v>20</v>
      </c>
      <c r="B95" s="1" t="str">
        <f ca="1">_xll.DBRA(db_name&amp;":account",A95,"description")</f>
        <v/>
      </c>
      <c r="C95" s="1" t="s">
        <v>13</v>
      </c>
      <c r="D95" s="1" t="str">
        <f ca="1">_xll.DBRA(db_name&amp;":movement account",C95,"description")</f>
        <v/>
      </c>
      <c r="J95" s="63" t="s">
        <v>15</v>
      </c>
      <c r="K95" s="64" t="str">
        <f ca="1">A95&amp;" - "&amp;B95</f>
        <v xml:space="preserve">6000000 - </v>
      </c>
      <c r="L95" s="40" t="str">
        <f ca="1">IF(C95="No_Mvt",C95,C95&amp;" - "&amp;D95)</f>
        <v>No_Mvt</v>
      </c>
      <c r="M95" s="65" t="str">
        <f ca="1">IF(LEFT(A95,4)="9000","Special Account",VLOOKUP(LEFT(A95,1)*1,$P$60:$Q$66,2,FALSE))</f>
        <v>Cash Flow Account</v>
      </c>
      <c r="N95" s="53" t="str" cm="1">
        <f t="array" aca="1" ref="N95" ca="1">_xll.DBRW($C$47,$M$83,$M$84,$C$48,$C$49,$C$50,$C$51,$C$52,$C$53,$C$54,$C$55,$C95,$C$56,$M$82,$A95,$C$57,$C$58,M$72)</f>
        <v/>
      </c>
      <c r="O95" s="54" t="str" cm="1">
        <f t="array" aca="1" ref="O95" ca="1">_xll.DBRW($C$47,$M$83,$M$84,$C$48,$C$49,$C$50,$C$51,$C$52,$C$53,$C$54,$C$55,$C95,$C$56,$M$82,$A95,$C$57,$C$58,N$72)</f>
        <v/>
      </c>
      <c r="P95" s="54" t="str" cm="1">
        <f t="array" aca="1" ref="P95" ca="1">_xll.DBRW($C$47,$M$83,$M$84,$C$48,$C$49,$C$50,$C$51,$C$52,$C$53,$C$54,$C$55,$C95,$C$56,$M$82,$A95,$C$57,$C$58,O$72)</f>
        <v/>
      </c>
      <c r="Q95" s="54" t="str" cm="1">
        <f t="array" aca="1" ref="Q95" ca="1">_xll.DBRW($C$47,$M$83,$M$84,$C$48,$C$49,$C$50,$C$51,$C$52,$C$53,$C$54,$C$55,$C95,$C$56,$M$82,$A95,$C$57,$C$58,P$72)</f>
        <v/>
      </c>
      <c r="R95" s="54" t="str" cm="1">
        <f t="array" aca="1" ref="R95" ca="1">_xll.DBRW($C$47,$M$83,$M$84,$C$48,$C$49,$C$50,$C$51,$C$52,$C$53,$C$54,$C$55,$C95,$C$56,$M$82,$A95,$C$57,$C$58,Q$72)</f>
        <v/>
      </c>
      <c r="S95" s="55" t="str" cm="1">
        <f t="array" aca="1" ref="S95" ca="1">_xll.DBRW($C$47,$M$83,$M$84,$C$48,$C$49,$C$50,$C$51,$C$52,$C$53,$C$54,$C$55,$C95,$C$56,$M$82,$A95,$C$57,$C$58,R$72)</f>
        <v/>
      </c>
      <c r="T95" s="12" t="str" cm="1">
        <f t="array" aca="1" ref="T95" ca="1">_xll.DBRW($C$47,$M$83,$M$84,$C$48,$C$49,$C$50,$C$51,$C$52,$C$53,$C$54,$C$55,$C95,$C$56,$M$82,$A95,$C$57,$C$58,S$72)</f>
        <v/>
      </c>
      <c r="U95" s="12" t="str" cm="1">
        <f t="array" aca="1" ref="U95" ca="1">_xll.DBRW($C$47,$M$83,$M$84,$C$48,$C$49,$C$50,$C$51,$C$52,$C$53,$C$54,$C$55,$C95,$C$56,$M$82,$A95,$C$57,$C$58,T$72)</f>
        <v/>
      </c>
      <c r="V95" s="12" t="str" cm="1">
        <f t="array" aca="1" ref="V95" ca="1">_xll.DBRW($C$47,$M$83,$M$84,$C$48,$C$49,$C$50,$C$51,$C$52,$C$53,$C$54,$C$55,$C95,$C$56,$M$82,$A95,$C$57,$C$58,U$72)</f>
        <v/>
      </c>
      <c r="W95" s="12" t="str" cm="1">
        <f t="array" aca="1" ref="W95" ca="1">_xll.DBRW($C$47,$M$83,$M$84,$C$48,$C$49,$C$50,$C$51,$C$52,$C$53,$C$54,$C$55,$C95,$C$56,$M$82,$A95,$C$57,$C$58,V$72)</f>
        <v/>
      </c>
      <c r="X95" s="12" t="str" cm="1">
        <f t="array" aca="1" ref="X95" ca="1">_xll.DBRW($C$47,$M$83,$M$84,$C$48,$C$49,$C$50,$C$51,$C$52,$C$53,$C$54,$C$55,$C95,$C$56,$M$82,$A95,$C$57,$C$58,W$72)</f>
        <v/>
      </c>
      <c r="Y95" s="12" t="str" cm="1">
        <f t="array" aca="1" ref="Y95" ca="1">_xll.DBRW($C$47,$M$83,$M$84,$C$48,$C$49,$C$50,$C$51,$C$52,$C$53,$C$54,$C$55,$C95,$C$56,$M$82,$A95,$C$57,$C$58,X$72)</f>
        <v/>
      </c>
      <c r="Z95" s="12" t="str" cm="1">
        <f t="array" aca="1" ref="Z95" ca="1">_xll.DBRW($C$47,$M$83,$M$84,$C$48,$C$49,$C$50,$C$51,$C$52,$C$53,$C$54,$C$55,$C95,$C$56,$M$82,$A95,$C$57,$C$58,Y$72)</f>
        <v/>
      </c>
      <c r="AA95" s="12" t="str" cm="1">
        <f t="array" aca="1" ref="AA95" ca="1">_xll.DBRW($C$47,$M$83,$M$84,$C$48,$C$49,$C$50,$C$51,$C$52,$C$53,$C$54,$C$55,$C95,$C$56,$M$82,$A95,$C$57,$C$58,Z$72)</f>
        <v/>
      </c>
      <c r="AB95" s="12" t="str" cm="1">
        <f t="array" aca="1" ref="AB95" ca="1">_xll.DBRW($C$47,$M$83,$M$84,$C$48,$C$49,$C$50,$C$51,$C$52,$C$53,$C$54,$C$55,$C95,$C$56,$M$82,$A95,$C$57,$C$58,AA$72)</f>
        <v/>
      </c>
      <c r="AC95" s="13" t="str" cm="1">
        <f t="array" aca="1" ref="AC95" ca="1">_xll.DBRW($C$47,$M$83,$M$84,$C$48,$C$49,$C$50,$C$51,$C$52,$C$53,$C$54,$C$55,$C95,$C$56,$M$82,$A95,$C$57,$C$58,AB$72)</f>
        <v/>
      </c>
    </row>
    <row r="96" spans="1:29" s="2" customFormat="1" ht="24" x14ac:dyDescent="0.15">
      <c r="J96" s="85" t="s">
        <v>70</v>
      </c>
      <c r="K96" s="77" t="s">
        <v>82</v>
      </c>
      <c r="L96" s="78"/>
      <c r="M96" s="79"/>
      <c r="N96" s="80" t="e">
        <f ca="1">N95-N94</f>
        <v>#VALUE!</v>
      </c>
      <c r="O96" s="81" t="e">
        <f ca="1">O95-O94</f>
        <v>#VALUE!</v>
      </c>
      <c r="P96" s="81" t="e">
        <f t="shared" ref="P96" ca="1" si="19">P95-P94</f>
        <v>#VALUE!</v>
      </c>
      <c r="Q96" s="81" t="e">
        <f t="shared" ref="Q96" ca="1" si="20">Q95-Q94</f>
        <v>#VALUE!</v>
      </c>
      <c r="R96" s="81" t="e">
        <f t="shared" ref="R96" ca="1" si="21">R95-R94</f>
        <v>#VALUE!</v>
      </c>
      <c r="S96" s="82" t="e">
        <f t="shared" ref="S96" ca="1" si="22">S95-S94</f>
        <v>#VALUE!</v>
      </c>
      <c r="T96" s="83" t="e">
        <f t="shared" ref="T96" ca="1" si="23">T95-T94</f>
        <v>#VALUE!</v>
      </c>
      <c r="U96" s="83" t="e">
        <f t="shared" ref="U96:Y96" ca="1" si="24">U95-U94</f>
        <v>#VALUE!</v>
      </c>
      <c r="V96" s="83" t="e">
        <f t="shared" ca="1" si="24"/>
        <v>#VALUE!</v>
      </c>
      <c r="W96" s="83" t="e">
        <f t="shared" ca="1" si="24"/>
        <v>#VALUE!</v>
      </c>
      <c r="X96" s="83" t="e">
        <f t="shared" ca="1" si="24"/>
        <v>#VALUE!</v>
      </c>
      <c r="Y96" s="83" t="e">
        <f t="shared" ca="1" si="24"/>
        <v>#VALUE!</v>
      </c>
      <c r="Z96" s="83" t="e">
        <f t="shared" ref="Z96:AC96" ca="1" si="25">Z95-Z94</f>
        <v>#VALUE!</v>
      </c>
      <c r="AA96" s="83" t="e">
        <f t="shared" ca="1" si="25"/>
        <v>#VALUE!</v>
      </c>
      <c r="AB96" s="83" t="e">
        <f t="shared" ca="1" si="25"/>
        <v>#VALUE!</v>
      </c>
      <c r="AC96" s="84" t="e">
        <f t="shared" ca="1" si="25"/>
        <v>#VALUE!</v>
      </c>
    </row>
    <row r="97" spans="1:29" ht="12" x14ac:dyDescent="0.2">
      <c r="J97" s="63"/>
      <c r="K97" s="64"/>
      <c r="L97" s="40"/>
      <c r="M97" s="69"/>
      <c r="N97" s="63"/>
      <c r="O97" s="63"/>
      <c r="P97" s="63"/>
      <c r="Q97" s="63"/>
      <c r="R97" s="63"/>
      <c r="S97" s="6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2" x14ac:dyDescent="0.15">
      <c r="J98" s="70" t="s">
        <v>18</v>
      </c>
      <c r="K98" s="64"/>
      <c r="L98" s="40"/>
      <c r="M98" s="40"/>
      <c r="N98" s="63"/>
      <c r="O98" s="63"/>
      <c r="P98" s="63"/>
      <c r="Q98" s="63"/>
      <c r="R98" s="63"/>
      <c r="S98" s="6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6.75" customHeight="1" x14ac:dyDescent="0.2">
      <c r="J99" s="41"/>
      <c r="K99" s="39"/>
      <c r="L99" s="39"/>
      <c r="M99" s="39"/>
      <c r="N99" s="39"/>
      <c r="O99" s="39"/>
      <c r="P99" s="39"/>
      <c r="Q99" s="39"/>
      <c r="R99" s="39"/>
      <c r="S99" s="39"/>
    </row>
    <row r="100" spans="1:29" ht="12" x14ac:dyDescent="0.15">
      <c r="A100" s="1" t="s">
        <v>44</v>
      </c>
      <c r="B100" s="1" t="str">
        <f ca="1">_xll.DBRA(db_name&amp;":account",A100,"description")</f>
        <v/>
      </c>
      <c r="C100" s="1" t="s">
        <v>13</v>
      </c>
      <c r="D100" s="1" t="str">
        <f ca="1">_xll.DBRA(db_name&amp;":movement account",C100,"description")</f>
        <v/>
      </c>
      <c r="J100" s="42"/>
      <c r="K100" s="43" t="str">
        <f ca="1">A100&amp;" - "&amp;B100</f>
        <v xml:space="preserve">9300000 - </v>
      </c>
      <c r="L100" s="44" t="str">
        <f ca="1">IF(C100="No_Mvt",C100,C100&amp;" - "&amp;D100)</f>
        <v>No_Mvt</v>
      </c>
      <c r="M100" s="45" t="str">
        <f ca="1">IF(LEFT(A100,4)="9000","Special Account",VLOOKUP(LEFT(A100,1)*1,$P$60:$Q$66,2,FALSE))</f>
        <v>Capital Account</v>
      </c>
      <c r="N100" s="46" t="str" cm="1">
        <f t="array" aca="1" ref="N100" ca="1">_xll.DBRW($C$47,$M$83,$M$84,$C$48,$C$49,$C$50,$C$51,$C$52,$C$53,$C$54,$C$55,$C100,$C$56,$M$82,$A100,$C$57,$C$58,N$86)</f>
        <v/>
      </c>
      <c r="O100" s="47" t="str" cm="1">
        <f t="array" aca="1" ref="O100" ca="1">_xll.DBRW($C$47,$M$83,$M$84,$C$48,$C$49,$C$50,$C$51,$C$52,$C$53,$C$54,$C$55,$C100,$C$56,$M$82,$A100,$C$57,$C$58,O$86)</f>
        <v/>
      </c>
      <c r="P100" s="47" t="str" cm="1">
        <f t="array" aca="1" ref="P100" ca="1">_xll.DBRW($C$47,$M$83,$M$84,$C$48,$C$49,$C$50,$C$51,$C$52,$C$53,$C$54,$C$55,$C100,$C$56,$M$82,$A100,$C$57,$C$58,P$86)</f>
        <v/>
      </c>
      <c r="Q100" s="47" t="str" cm="1">
        <f t="array" aca="1" ref="Q100" ca="1">_xll.DBRW($C$47,$M$83,$M$84,$C$48,$C$49,$C$50,$C$51,$C$52,$C$53,$C$54,$C$55,$C100,$C$56,$M$82,$A100,$C$57,$C$58,Q$86)</f>
        <v/>
      </c>
      <c r="R100" s="47" t="str" cm="1">
        <f t="array" aca="1" ref="R100" ca="1">_xll.DBRW($C$47,$M$83,$M$84,$C$48,$C$49,$C$50,$C$51,$C$52,$C$53,$C$54,$C$55,$C100,$C$56,$M$82,$A100,$C$57,$C$58,R$86)</f>
        <v/>
      </c>
      <c r="S100" s="48" t="str" cm="1">
        <f t="array" aca="1" ref="S100" ca="1">_xll.DBRW($C$47,$M$83,$M$84,$C$48,$C$49,$C$50,$C$51,$C$52,$C$53,$C$54,$C$55,$C100,$C$56,$M$82,$A100,$C$57,$C$58,S$86)</f>
        <v/>
      </c>
      <c r="T100" s="10" t="str" cm="1">
        <f t="array" aca="1" ref="T100" ca="1">_xll.DBRW($C$47,$M$83,$M$84,$C$48,$C$49,$C$50,$C$51,$C$52,$C$53,$C$54,$C$55,$C100,$C$56,$M$82,$A100,$C$57,$C$58,T$86)</f>
        <v/>
      </c>
      <c r="U100" s="10" t="str" cm="1">
        <f t="array" aca="1" ref="U100" ca="1">_xll.DBRW($C$47,$M$83,$M$84,$C$48,$C$49,$C$50,$C$51,$C$52,$C$53,$C$54,$C$55,$C100,$C$56,$M$82,$A100,$C$57,$C$58,U$86)</f>
        <v/>
      </c>
      <c r="V100" s="10" t="str" cm="1">
        <f t="array" aca="1" ref="V100" ca="1">_xll.DBRW($C$47,$M$83,$M$84,$C$48,$C$49,$C$50,$C$51,$C$52,$C$53,$C$54,$C$55,$C100,$C$56,$M$82,$A100,$C$57,$C$58,V$86)</f>
        <v/>
      </c>
      <c r="W100" s="10" t="str" cm="1">
        <f t="array" aca="1" ref="W100" ca="1">_xll.DBRW($C$47,$M$83,$M$84,$C$48,$C$49,$C$50,$C$51,$C$52,$C$53,$C$54,$C$55,$C100,$C$56,$M$82,$A100,$C$57,$C$58,W$86)</f>
        <v/>
      </c>
      <c r="X100" s="10" t="str" cm="1">
        <f t="array" aca="1" ref="X100" ca="1">_xll.DBRW($C$47,$M$83,$M$84,$C$48,$C$49,$C$50,$C$51,$C$52,$C$53,$C$54,$C$55,$C100,$C$56,$M$82,$A100,$C$57,$C$58,X$86)</f>
        <v/>
      </c>
      <c r="Y100" s="10" t="str" cm="1">
        <f t="array" aca="1" ref="Y100" ca="1">_xll.DBRW($C$47,$M$83,$M$84,$C$48,$C$49,$C$50,$C$51,$C$52,$C$53,$C$54,$C$55,$C100,$C$56,$M$82,$A100,$C$57,$C$58,Y$86)</f>
        <v/>
      </c>
      <c r="Z100" s="10" t="str" cm="1">
        <f t="array" aca="1" ref="Z100" ca="1">_xll.DBRW($C$47,$M$83,$M$84,$C$48,$C$49,$C$50,$C$51,$C$52,$C$53,$C$54,$C$55,$C100,$C$56,$M$82,$A100,$C$57,$C$58,Z$86)</f>
        <v/>
      </c>
      <c r="AA100" s="10" t="str" cm="1">
        <f t="array" aca="1" ref="AA100" ca="1">_xll.DBRW($C$47,$M$83,$M$84,$C$48,$C$49,$C$50,$C$51,$C$52,$C$53,$C$54,$C$55,$C100,$C$56,$M$82,$A100,$C$57,$C$58,AA$86)</f>
        <v/>
      </c>
      <c r="AB100" s="10" t="str" cm="1">
        <f t="array" aca="1" ref="AB100" ca="1">_xll.DBRW($C$47,$M$83,$M$84,$C$48,$C$49,$C$50,$C$51,$C$52,$C$53,$C$54,$C$55,$C100,$C$56,$M$82,$A100,$C$57,$C$58,AB$86)</f>
        <v/>
      </c>
      <c r="AC100" s="11" t="str" cm="1">
        <f t="array" aca="1" ref="AC100" ca="1">_xll.DBRW($C$47,$M$83,$M$84,$C$48,$C$49,$C$50,$C$51,$C$52,$C$53,$C$54,$C$55,$C100,$C$56,$M$82,$A100,$C$57,$C$58,AC$86)</f>
        <v/>
      </c>
    </row>
    <row r="101" spans="1:29" ht="12" x14ac:dyDescent="0.15">
      <c r="A101" s="1" t="s">
        <v>45</v>
      </c>
      <c r="B101" s="1" t="str">
        <f ca="1">_xll.DBRA(db_name&amp;":account",A101,"description")</f>
        <v/>
      </c>
      <c r="C101" s="21">
        <v>7121</v>
      </c>
      <c r="D101" s="1" t="str">
        <f ca="1">_xll.DBRA(db_name&amp;":movement account",C101,"description")</f>
        <v/>
      </c>
      <c r="J101" s="63" t="s">
        <v>15</v>
      </c>
      <c r="K101" s="64" t="str">
        <f ca="1">A101&amp;" - "&amp;B101</f>
        <v xml:space="preserve">5311002 - </v>
      </c>
      <c r="L101" s="40" t="str">
        <f ca="1">IF(C101="No_Mvt",C101,C101&amp;" - "&amp;D101)</f>
        <v xml:space="preserve">7121 - </v>
      </c>
      <c r="M101" s="65" t="str">
        <f ca="1">IF(LEFT(A101,4)="9000","Special Account",VLOOKUP(LEFT(A101,1)*1,$P$60:$Q$66,2,FALSE))</f>
        <v>Asset Account</v>
      </c>
      <c r="N101" s="66" t="str" cm="1">
        <f t="array" aca="1" ref="N101" ca="1">_xll.DBRW($C$47,$M$83,$M$84,$C$48,$C$49,$C$50,$C$51,$C$52,$C$53,$C$54,$C$55,$C101,$C$56,$M$82,$A101,$C$57,$C$58,N$86)</f>
        <v/>
      </c>
      <c r="O101" s="67" t="str" cm="1">
        <f t="array" aca="1" ref="O101" ca="1">_xll.DBRW($C$47,$M$83,$M$84,$C$48,$C$49,$C$50,$C$51,$C$52,$C$53,$C$54,$C$55,$C101,$C$56,$M$82,$A101,$C$57,$C$58,O$86)</f>
        <v/>
      </c>
      <c r="P101" s="67" t="str" cm="1">
        <f t="array" aca="1" ref="P101" ca="1">_xll.DBRW($C$47,$M$83,$M$84,$C$48,$C$49,$C$50,$C$51,$C$52,$C$53,$C$54,$C$55,$C101,$C$56,$M$82,$A101,$C$57,$C$58,P$86)</f>
        <v/>
      </c>
      <c r="Q101" s="67" t="str" cm="1">
        <f t="array" aca="1" ref="Q101" ca="1">_xll.DBRW($C$47,$M$83,$M$84,$C$48,$C$49,$C$50,$C$51,$C$52,$C$53,$C$54,$C$55,$C101,$C$56,$M$82,$A101,$C$57,$C$58,Q$86)</f>
        <v/>
      </c>
      <c r="R101" s="67" t="str" cm="1">
        <f t="array" aca="1" ref="R101" ca="1">_xll.DBRW($C$47,$M$83,$M$84,$C$48,$C$49,$C$50,$C$51,$C$52,$C$53,$C$54,$C$55,$C101,$C$56,$M$82,$A101,$C$57,$C$58,R$86)</f>
        <v/>
      </c>
      <c r="S101" s="68" t="str" cm="1">
        <f t="array" aca="1" ref="S101" ca="1">_xll.DBRW($C$47,$M$83,$M$84,$C$48,$C$49,$C$50,$C$51,$C$52,$C$53,$C$54,$C$55,$C101,$C$56,$M$82,$A101,$C$57,$C$58,S$86)</f>
        <v/>
      </c>
      <c r="T101" s="14" t="str" cm="1">
        <f t="array" aca="1" ref="T101" ca="1">_xll.DBRW($C$47,$M$83,$M$84,$C$48,$C$49,$C$50,$C$51,$C$52,$C$53,$C$54,$C$55,$C101,$C$56,$M$82,$A101,$C$57,$C$58,T$86)</f>
        <v/>
      </c>
      <c r="U101" s="14" t="str" cm="1">
        <f t="array" aca="1" ref="U101" ca="1">_xll.DBRW($C$47,$M$83,$M$84,$C$48,$C$49,$C$50,$C$51,$C$52,$C$53,$C$54,$C$55,$C101,$C$56,$M$82,$A101,$C$57,$C$58,U$86)</f>
        <v/>
      </c>
      <c r="V101" s="14" t="str" cm="1">
        <f t="array" aca="1" ref="V101" ca="1">_xll.DBRW($C$47,$M$83,$M$84,$C$48,$C$49,$C$50,$C$51,$C$52,$C$53,$C$54,$C$55,$C101,$C$56,$M$82,$A101,$C$57,$C$58,V$86)</f>
        <v/>
      </c>
      <c r="W101" s="14" t="str" cm="1">
        <f t="array" aca="1" ref="W101" ca="1">_xll.DBRW($C$47,$M$83,$M$84,$C$48,$C$49,$C$50,$C$51,$C$52,$C$53,$C$54,$C$55,$C101,$C$56,$M$82,$A101,$C$57,$C$58,W$86)</f>
        <v/>
      </c>
      <c r="X101" s="14" t="str" cm="1">
        <f t="array" aca="1" ref="X101" ca="1">_xll.DBRW($C$47,$M$83,$M$84,$C$48,$C$49,$C$50,$C$51,$C$52,$C$53,$C$54,$C$55,$C101,$C$56,$M$82,$A101,$C$57,$C$58,X$86)</f>
        <v/>
      </c>
      <c r="Y101" s="14" t="str" cm="1">
        <f t="array" aca="1" ref="Y101" ca="1">_xll.DBRW($C$47,$M$83,$M$84,$C$48,$C$49,$C$50,$C$51,$C$52,$C$53,$C$54,$C$55,$C101,$C$56,$M$82,$A101,$C$57,$C$58,Y$86)</f>
        <v/>
      </c>
      <c r="Z101" s="14" t="str" cm="1">
        <f t="array" aca="1" ref="Z101" ca="1">_xll.DBRW($C$47,$M$83,$M$84,$C$48,$C$49,$C$50,$C$51,$C$52,$C$53,$C$54,$C$55,$C101,$C$56,$M$82,$A101,$C$57,$C$58,Z$86)</f>
        <v/>
      </c>
      <c r="AA101" s="14" t="str" cm="1">
        <f t="array" aca="1" ref="AA101" ca="1">_xll.DBRW($C$47,$M$83,$M$84,$C$48,$C$49,$C$50,$C$51,$C$52,$C$53,$C$54,$C$55,$C101,$C$56,$M$82,$A101,$C$57,$C$58,AA$86)</f>
        <v/>
      </c>
      <c r="AB101" s="14" t="str" cm="1">
        <f t="array" aca="1" ref="AB101" ca="1">_xll.DBRW($C$47,$M$83,$M$84,$C$48,$C$49,$C$50,$C$51,$C$52,$C$53,$C$54,$C$55,$C101,$C$56,$M$82,$A101,$C$57,$C$58,AB$86)</f>
        <v/>
      </c>
      <c r="AC101" s="15" t="str" cm="1">
        <f t="array" aca="1" ref="AC101" ca="1">_xll.DBRW($C$47,$M$83,$M$84,$C$48,$C$49,$C$50,$C$51,$C$52,$C$53,$C$54,$C$55,$C101,$C$56,$M$82,$A101,$C$57,$C$58,AC$86)</f>
        <v/>
      </c>
    </row>
    <row r="102" spans="1:29" ht="12" x14ac:dyDescent="0.15">
      <c r="A102" s="1" t="s">
        <v>46</v>
      </c>
      <c r="B102" s="1" t="str">
        <f ca="1">_xll.DBRA(db_name&amp;":account",A102,"description")</f>
        <v/>
      </c>
      <c r="C102" s="21">
        <v>7121</v>
      </c>
      <c r="D102" s="1" t="str">
        <f ca="1">_xll.DBRA(db_name&amp;":movement account",C102,"description")</f>
        <v/>
      </c>
      <c r="J102" s="63" t="s">
        <v>16</v>
      </c>
      <c r="K102" s="64" t="str">
        <f ca="1">A102&amp;" - "&amp;B102</f>
        <v xml:space="preserve">5312002 - </v>
      </c>
      <c r="L102" s="40" t="str">
        <f ca="1">IF(C102="No_Mvt",C102,C102&amp;" - "&amp;D102)</f>
        <v xml:space="preserve">7121 - </v>
      </c>
      <c r="M102" s="65" t="str">
        <f ca="1">IF(LEFT(A102,4)="9000","Special Account",VLOOKUP(LEFT(A102,1)*1,$P$60:$Q$66,2,FALSE))</f>
        <v>Asset Account</v>
      </c>
      <c r="N102" s="66" t="str" cm="1">
        <f t="array" aca="1" ref="N102" ca="1">_xll.DBRW($C$47,$M$83,$M$84,$C$48,$C$49,$C$50,$C$51,$C$52,$C$53,$C$54,$C$55,$C102,$C$56,$M$82,$A102,$C$57,$C$58,N$86)</f>
        <v/>
      </c>
      <c r="O102" s="67" t="str" cm="1">
        <f t="array" aca="1" ref="O102" ca="1">_xll.DBRW($C$47,$M$83,$M$84,$C$48,$C$49,$C$50,$C$51,$C$52,$C$53,$C$54,$C$55,$C102,$C$56,$M$82,$A102,$C$57,$C$58,O$86)</f>
        <v/>
      </c>
      <c r="P102" s="67" t="str" cm="1">
        <f t="array" aca="1" ref="P102" ca="1">_xll.DBRW($C$47,$M$83,$M$84,$C$48,$C$49,$C$50,$C$51,$C$52,$C$53,$C$54,$C$55,$C102,$C$56,$M$82,$A102,$C$57,$C$58,P$86)</f>
        <v/>
      </c>
      <c r="Q102" s="67" t="str" cm="1">
        <f t="array" aca="1" ref="Q102" ca="1">_xll.DBRW($C$47,$M$83,$M$84,$C$48,$C$49,$C$50,$C$51,$C$52,$C$53,$C$54,$C$55,$C102,$C$56,$M$82,$A102,$C$57,$C$58,Q$86)</f>
        <v/>
      </c>
      <c r="R102" s="67" t="str" cm="1">
        <f t="array" aca="1" ref="R102" ca="1">_xll.DBRW($C$47,$M$83,$M$84,$C$48,$C$49,$C$50,$C$51,$C$52,$C$53,$C$54,$C$55,$C102,$C$56,$M$82,$A102,$C$57,$C$58,R$86)</f>
        <v/>
      </c>
      <c r="S102" s="68" t="str" cm="1">
        <f t="array" aca="1" ref="S102" ca="1">_xll.DBRW($C$47,$M$83,$M$84,$C$48,$C$49,$C$50,$C$51,$C$52,$C$53,$C$54,$C$55,$C102,$C$56,$M$82,$A102,$C$57,$C$58,S$86)</f>
        <v/>
      </c>
      <c r="T102" s="14" t="str" cm="1">
        <f t="array" aca="1" ref="T102" ca="1">_xll.DBRW($C$47,$M$83,$M$84,$C$48,$C$49,$C$50,$C$51,$C$52,$C$53,$C$54,$C$55,$C102,$C$56,$M$82,$A102,$C$57,$C$58,T$86)</f>
        <v/>
      </c>
      <c r="U102" s="14" t="str" cm="1">
        <f t="array" aca="1" ref="U102" ca="1">_xll.DBRW($C$47,$M$83,$M$84,$C$48,$C$49,$C$50,$C$51,$C$52,$C$53,$C$54,$C$55,$C102,$C$56,$M$82,$A102,$C$57,$C$58,U$86)</f>
        <v/>
      </c>
      <c r="V102" s="14" t="str" cm="1">
        <f t="array" aca="1" ref="V102" ca="1">_xll.DBRW($C$47,$M$83,$M$84,$C$48,$C$49,$C$50,$C$51,$C$52,$C$53,$C$54,$C$55,$C102,$C$56,$M$82,$A102,$C$57,$C$58,V$86)</f>
        <v/>
      </c>
      <c r="W102" s="14" t="str" cm="1">
        <f t="array" aca="1" ref="W102" ca="1">_xll.DBRW($C$47,$M$83,$M$84,$C$48,$C$49,$C$50,$C$51,$C$52,$C$53,$C$54,$C$55,$C102,$C$56,$M$82,$A102,$C$57,$C$58,W$86)</f>
        <v/>
      </c>
      <c r="X102" s="14" t="str" cm="1">
        <f t="array" aca="1" ref="X102" ca="1">_xll.DBRW($C$47,$M$83,$M$84,$C$48,$C$49,$C$50,$C$51,$C$52,$C$53,$C$54,$C$55,$C102,$C$56,$M$82,$A102,$C$57,$C$58,X$86)</f>
        <v/>
      </c>
      <c r="Y102" s="14" t="str" cm="1">
        <f t="array" aca="1" ref="Y102" ca="1">_xll.DBRW($C$47,$M$83,$M$84,$C$48,$C$49,$C$50,$C$51,$C$52,$C$53,$C$54,$C$55,$C102,$C$56,$M$82,$A102,$C$57,$C$58,Y$86)</f>
        <v/>
      </c>
      <c r="Z102" s="14" t="str" cm="1">
        <f t="array" aca="1" ref="Z102" ca="1">_xll.DBRW($C$47,$M$83,$M$84,$C$48,$C$49,$C$50,$C$51,$C$52,$C$53,$C$54,$C$55,$C102,$C$56,$M$82,$A102,$C$57,$C$58,Z$86)</f>
        <v/>
      </c>
      <c r="AA102" s="14" t="str" cm="1">
        <f t="array" aca="1" ref="AA102" ca="1">_xll.DBRW($C$47,$M$83,$M$84,$C$48,$C$49,$C$50,$C$51,$C$52,$C$53,$C$54,$C$55,$C102,$C$56,$M$82,$A102,$C$57,$C$58,AA$86)</f>
        <v/>
      </c>
      <c r="AB102" s="14" t="str" cm="1">
        <f t="array" aca="1" ref="AB102" ca="1">_xll.DBRW($C$47,$M$83,$M$84,$C$48,$C$49,$C$50,$C$51,$C$52,$C$53,$C$54,$C$55,$C102,$C$56,$M$82,$A102,$C$57,$C$58,AB$86)</f>
        <v/>
      </c>
      <c r="AC102" s="15" t="str" cm="1">
        <f t="array" aca="1" ref="AC102" ca="1">_xll.DBRW($C$47,$M$83,$M$84,$C$48,$C$49,$C$50,$C$51,$C$52,$C$53,$C$54,$C$55,$C102,$C$56,$M$82,$A102,$C$57,$C$58,AC$86)</f>
        <v/>
      </c>
    </row>
    <row r="103" spans="1:29" ht="12" x14ac:dyDescent="0.15">
      <c r="A103" s="1" t="s">
        <v>47</v>
      </c>
      <c r="B103" s="1" t="str">
        <f ca="1">_xll.DBRA(db_name&amp;":account",A103,"description")</f>
        <v/>
      </c>
      <c r="C103" s="21">
        <v>7121</v>
      </c>
      <c r="D103" s="1" t="str">
        <f ca="1">_xll.DBRA(db_name&amp;":movement account",C103,"description")</f>
        <v/>
      </c>
      <c r="J103" s="49" t="s">
        <v>16</v>
      </c>
      <c r="K103" s="50" t="str">
        <f ca="1">A103&amp;" - "&amp;B103</f>
        <v xml:space="preserve">5313001 - </v>
      </c>
      <c r="L103" s="51" t="str">
        <f ca="1">IF(C103="No_Mvt",C103,C103&amp;" - "&amp;D103)</f>
        <v xml:space="preserve">7121 - </v>
      </c>
      <c r="M103" s="65" t="str">
        <f ca="1">IF(LEFT(A103,4)="9000","Special Account",VLOOKUP(LEFT(A103,1)*1,$P$60:$Q$66,2,FALSE))</f>
        <v>Asset Account</v>
      </c>
      <c r="N103" s="53" t="str" cm="1">
        <f t="array" aca="1" ref="N103" ca="1">_xll.DBRW($C$47,$M$83,$M$84,$C$48,$C$49,$C$50,$C$51,$C$52,$C$53,$C$54,$C$55,$C103,$C$56,$M$82,$A103,$C$57,$C$58,N$86)</f>
        <v/>
      </c>
      <c r="O103" s="54" t="str" cm="1">
        <f t="array" aca="1" ref="O103" ca="1">_xll.DBRW($C$47,$M$83,$M$84,$C$48,$C$49,$C$50,$C$51,$C$52,$C$53,$C$54,$C$55,$C103,$C$56,$M$82,$A103,$C$57,$C$58,O$86)</f>
        <v/>
      </c>
      <c r="P103" s="54" t="str" cm="1">
        <f t="array" aca="1" ref="P103" ca="1">_xll.DBRW($C$47,$M$83,$M$84,$C$48,$C$49,$C$50,$C$51,$C$52,$C$53,$C$54,$C$55,$C103,$C$56,$M$82,$A103,$C$57,$C$58,P$86)</f>
        <v/>
      </c>
      <c r="Q103" s="54" t="str" cm="1">
        <f t="array" aca="1" ref="Q103" ca="1">_xll.DBRW($C$47,$M$83,$M$84,$C$48,$C$49,$C$50,$C$51,$C$52,$C$53,$C$54,$C$55,$C103,$C$56,$M$82,$A103,$C$57,$C$58,Q$86)</f>
        <v/>
      </c>
      <c r="R103" s="54" t="str" cm="1">
        <f t="array" aca="1" ref="R103" ca="1">_xll.DBRW($C$47,$M$83,$M$84,$C$48,$C$49,$C$50,$C$51,$C$52,$C$53,$C$54,$C$55,$C103,$C$56,$M$82,$A103,$C$57,$C$58,R$86)</f>
        <v/>
      </c>
      <c r="S103" s="55" t="str" cm="1">
        <f t="array" aca="1" ref="S103" ca="1">_xll.DBRW($C$47,$M$83,$M$84,$C$48,$C$49,$C$50,$C$51,$C$52,$C$53,$C$54,$C$55,$C103,$C$56,$M$82,$A103,$C$57,$C$58,S$86)</f>
        <v/>
      </c>
      <c r="T103" s="12" t="str" cm="1">
        <f t="array" aca="1" ref="T103" ca="1">_xll.DBRW($C$47,$M$83,$M$84,$C$48,$C$49,$C$50,$C$51,$C$52,$C$53,$C$54,$C$55,$C103,$C$56,$M$82,$A103,$C$57,$C$58,T$86)</f>
        <v/>
      </c>
      <c r="U103" s="12" t="str" cm="1">
        <f t="array" aca="1" ref="U103" ca="1">_xll.DBRW($C$47,$M$83,$M$84,$C$48,$C$49,$C$50,$C$51,$C$52,$C$53,$C$54,$C$55,$C103,$C$56,$M$82,$A103,$C$57,$C$58,U$86)</f>
        <v/>
      </c>
      <c r="V103" s="12" t="str" cm="1">
        <f t="array" aca="1" ref="V103" ca="1">_xll.DBRW($C$47,$M$83,$M$84,$C$48,$C$49,$C$50,$C$51,$C$52,$C$53,$C$54,$C$55,$C103,$C$56,$M$82,$A103,$C$57,$C$58,V$86)</f>
        <v/>
      </c>
      <c r="W103" s="12" t="str" cm="1">
        <f t="array" aca="1" ref="W103" ca="1">_xll.DBRW($C$47,$M$83,$M$84,$C$48,$C$49,$C$50,$C$51,$C$52,$C$53,$C$54,$C$55,$C103,$C$56,$M$82,$A103,$C$57,$C$58,W$86)</f>
        <v/>
      </c>
      <c r="X103" s="12" t="str" cm="1">
        <f t="array" aca="1" ref="X103" ca="1">_xll.DBRW($C$47,$M$83,$M$84,$C$48,$C$49,$C$50,$C$51,$C$52,$C$53,$C$54,$C$55,$C103,$C$56,$M$82,$A103,$C$57,$C$58,X$86)</f>
        <v/>
      </c>
      <c r="Y103" s="12" t="str" cm="1">
        <f t="array" aca="1" ref="Y103" ca="1">_xll.DBRW($C$47,$M$83,$M$84,$C$48,$C$49,$C$50,$C$51,$C$52,$C$53,$C$54,$C$55,$C103,$C$56,$M$82,$A103,$C$57,$C$58,Y$86)</f>
        <v/>
      </c>
      <c r="Z103" s="12" t="str" cm="1">
        <f t="array" aca="1" ref="Z103" ca="1">_xll.DBRW($C$47,$M$83,$M$84,$C$48,$C$49,$C$50,$C$51,$C$52,$C$53,$C$54,$C$55,$C103,$C$56,$M$82,$A103,$C$57,$C$58,Z$86)</f>
        <v/>
      </c>
      <c r="AA103" s="12" t="str" cm="1">
        <f t="array" aca="1" ref="AA103" ca="1">_xll.DBRW($C$47,$M$83,$M$84,$C$48,$C$49,$C$50,$C$51,$C$52,$C$53,$C$54,$C$55,$C103,$C$56,$M$82,$A103,$C$57,$C$58,AA$86)</f>
        <v/>
      </c>
      <c r="AB103" s="12" t="str" cm="1">
        <f t="array" aca="1" ref="AB103" ca="1">_xll.DBRW($C$47,$M$83,$M$84,$C$48,$C$49,$C$50,$C$51,$C$52,$C$53,$C$54,$C$55,$C103,$C$56,$M$82,$A103,$C$57,$C$58,AB$86)</f>
        <v/>
      </c>
      <c r="AC103" s="13" t="str" cm="1">
        <f t="array" aca="1" ref="AC103" ca="1">_xll.DBRW($C$47,$M$83,$M$84,$C$48,$C$49,$C$50,$C$51,$C$52,$C$53,$C$54,$C$55,$C103,$C$56,$M$82,$A103,$C$57,$C$58,AC$86)</f>
        <v/>
      </c>
    </row>
    <row r="104" spans="1:29" s="2" customFormat="1" ht="24" x14ac:dyDescent="0.15">
      <c r="J104" s="85" t="s">
        <v>69</v>
      </c>
      <c r="K104" s="77" t="s">
        <v>83</v>
      </c>
      <c r="L104" s="78"/>
      <c r="M104" s="79"/>
      <c r="N104" s="80" t="e">
        <f ca="1">N100-N101-N102-N103</f>
        <v>#VALUE!</v>
      </c>
      <c r="O104" s="81" t="e">
        <f t="shared" ref="O104:T104" ca="1" si="26">O100-O101-O102-O103</f>
        <v>#VALUE!</v>
      </c>
      <c r="P104" s="81" t="e">
        <f t="shared" ca="1" si="26"/>
        <v>#VALUE!</v>
      </c>
      <c r="Q104" s="81" t="e">
        <f t="shared" ca="1" si="26"/>
        <v>#VALUE!</v>
      </c>
      <c r="R104" s="81" t="e">
        <f t="shared" ca="1" si="26"/>
        <v>#VALUE!</v>
      </c>
      <c r="S104" s="82" t="e">
        <f t="shared" ca="1" si="26"/>
        <v>#VALUE!</v>
      </c>
      <c r="T104" s="83" t="e">
        <f t="shared" ca="1" si="26"/>
        <v>#VALUE!</v>
      </c>
      <c r="U104" s="83" t="e">
        <f t="shared" ref="U104:Y104" ca="1" si="27">U100-U101-U102-U103</f>
        <v>#VALUE!</v>
      </c>
      <c r="V104" s="83" t="e">
        <f t="shared" ca="1" si="27"/>
        <v>#VALUE!</v>
      </c>
      <c r="W104" s="83" t="e">
        <f t="shared" ca="1" si="27"/>
        <v>#VALUE!</v>
      </c>
      <c r="X104" s="83" t="e">
        <f t="shared" ca="1" si="27"/>
        <v>#VALUE!</v>
      </c>
      <c r="Y104" s="83" t="e">
        <f t="shared" ca="1" si="27"/>
        <v>#VALUE!</v>
      </c>
      <c r="Z104" s="83" t="e">
        <f t="shared" ref="Z104:AC104" ca="1" si="28">Z100-Z101-Z102-Z103</f>
        <v>#VALUE!</v>
      </c>
      <c r="AA104" s="83" t="e">
        <f t="shared" ca="1" si="28"/>
        <v>#VALUE!</v>
      </c>
      <c r="AB104" s="83" t="e">
        <f t="shared" ca="1" si="28"/>
        <v>#VALUE!</v>
      </c>
      <c r="AC104" s="84" t="e">
        <f t="shared" ca="1" si="28"/>
        <v>#VALUE!</v>
      </c>
    </row>
    <row r="105" spans="1:29" ht="12" x14ac:dyDescent="0.15">
      <c r="A105" s="1" t="s">
        <v>44</v>
      </c>
      <c r="B105" s="1" t="str">
        <f ca="1">_xll.DBRA(db_name&amp;":account",A105,"description")</f>
        <v/>
      </c>
      <c r="C105" s="1" t="s">
        <v>13</v>
      </c>
      <c r="D105" s="1" t="str">
        <f ca="1">_xll.DBRA(db_name&amp;":movement account",C105,"description")</f>
        <v/>
      </c>
      <c r="J105" s="63"/>
      <c r="K105" s="64" t="str">
        <f ca="1">A105&amp;" - "&amp;B105</f>
        <v xml:space="preserve">9300000 - </v>
      </c>
      <c r="L105" s="40" t="str">
        <f ca="1">IF(C105="No_Mvt",C105,C105&amp;" - "&amp;D105)</f>
        <v>No_Mvt</v>
      </c>
      <c r="M105" s="65" t="str">
        <f ca="1">IF(LEFT(A105,4)="9000","Special Account",VLOOKUP(LEFT(A105,1)*1,$P$60:$Q$66,2,FALSE))</f>
        <v>Capital Account</v>
      </c>
      <c r="N105" s="71" t="str" cm="1">
        <f t="array" aca="1" ref="N105" ca="1">_xll.DBRW($C$47,$M$83,$M$84,$C$48,$C$49,$C$50,$C$51,$C$52,$C$53,$C$54,$C$55,$C105,$C$56,$M$82,$A105,$C$57,$C$58,N$86)</f>
        <v/>
      </c>
      <c r="O105" s="72" t="str" cm="1">
        <f t="array" aca="1" ref="O105" ca="1">_xll.DBRW($C$47,$M$83,$M$84,$C$48,$C$49,$C$50,$C$51,$C$52,$C$53,$C$54,$C$55,$C105,$C$56,$M$82,$A105,$C$57,$C$58,O$86)</f>
        <v/>
      </c>
      <c r="P105" s="72" t="str" cm="1">
        <f t="array" aca="1" ref="P105" ca="1">_xll.DBRW($C$47,$M$83,$M$84,$C$48,$C$49,$C$50,$C$51,$C$52,$C$53,$C$54,$C$55,$C105,$C$56,$M$82,$A105,$C$57,$C$58,P$86)</f>
        <v/>
      </c>
      <c r="Q105" s="72" t="str" cm="1">
        <f t="array" aca="1" ref="Q105" ca="1">_xll.DBRW($C$47,$M$83,$M$84,$C$48,$C$49,$C$50,$C$51,$C$52,$C$53,$C$54,$C$55,$C105,$C$56,$M$82,$A105,$C$57,$C$58,Q$86)</f>
        <v/>
      </c>
      <c r="R105" s="72" t="str" cm="1">
        <f t="array" aca="1" ref="R105" ca="1">_xll.DBRW($C$47,$M$83,$M$84,$C$48,$C$49,$C$50,$C$51,$C$52,$C$53,$C$54,$C$55,$C105,$C$56,$M$82,$A105,$C$57,$C$58,R$86)</f>
        <v/>
      </c>
      <c r="S105" s="73" t="str" cm="1">
        <f t="array" aca="1" ref="S105" ca="1">_xll.DBRW($C$47,$M$83,$M$84,$C$48,$C$49,$C$50,$C$51,$C$52,$C$53,$C$54,$C$55,$C105,$C$56,$M$82,$A105,$C$57,$C$58,S$86)</f>
        <v/>
      </c>
      <c r="T105" s="18" t="str" cm="1">
        <f t="array" aca="1" ref="T105" ca="1">_xll.DBRW($C$47,$M$83,$M$84,$C$48,$C$49,$C$50,$C$51,$C$52,$C$53,$C$54,$C$55,$C105,$C$56,$M$82,$A105,$C$57,$C$58,T$86)</f>
        <v/>
      </c>
      <c r="U105" s="18" t="str" cm="1">
        <f t="array" aca="1" ref="U105" ca="1">_xll.DBRW($C$47,$M$83,$M$84,$C$48,$C$49,$C$50,$C$51,$C$52,$C$53,$C$54,$C$55,$C105,$C$56,$M$82,$A105,$C$57,$C$58,U$86)</f>
        <v/>
      </c>
      <c r="V105" s="18" t="str" cm="1">
        <f t="array" aca="1" ref="V105" ca="1">_xll.DBRW($C$47,$M$83,$M$84,$C$48,$C$49,$C$50,$C$51,$C$52,$C$53,$C$54,$C$55,$C105,$C$56,$M$82,$A105,$C$57,$C$58,V$86)</f>
        <v/>
      </c>
      <c r="W105" s="18" t="str" cm="1">
        <f t="array" aca="1" ref="W105" ca="1">_xll.DBRW($C$47,$M$83,$M$84,$C$48,$C$49,$C$50,$C$51,$C$52,$C$53,$C$54,$C$55,$C105,$C$56,$M$82,$A105,$C$57,$C$58,W$86)</f>
        <v/>
      </c>
      <c r="X105" s="18" t="str" cm="1">
        <f t="array" aca="1" ref="X105" ca="1">_xll.DBRW($C$47,$M$83,$M$84,$C$48,$C$49,$C$50,$C$51,$C$52,$C$53,$C$54,$C$55,$C105,$C$56,$M$82,$A105,$C$57,$C$58,X$86)</f>
        <v/>
      </c>
      <c r="Y105" s="18" t="str" cm="1">
        <f t="array" aca="1" ref="Y105" ca="1">_xll.DBRW($C$47,$M$83,$M$84,$C$48,$C$49,$C$50,$C$51,$C$52,$C$53,$C$54,$C$55,$C105,$C$56,$M$82,$A105,$C$57,$C$58,Y$86)</f>
        <v/>
      </c>
      <c r="Z105" s="18" t="str" cm="1">
        <f t="array" aca="1" ref="Z105" ca="1">_xll.DBRW($C$47,$M$83,$M$84,$C$48,$C$49,$C$50,$C$51,$C$52,$C$53,$C$54,$C$55,$C105,$C$56,$M$82,$A105,$C$57,$C$58,Z$86)</f>
        <v/>
      </c>
      <c r="AA105" s="18" t="str" cm="1">
        <f t="array" aca="1" ref="AA105" ca="1">_xll.DBRW($C$47,$M$83,$M$84,$C$48,$C$49,$C$50,$C$51,$C$52,$C$53,$C$54,$C$55,$C105,$C$56,$M$82,$A105,$C$57,$C$58,AA$86)</f>
        <v/>
      </c>
      <c r="AB105" s="18" t="str" cm="1">
        <f t="array" aca="1" ref="AB105" ca="1">_xll.DBRW($C$47,$M$83,$M$84,$C$48,$C$49,$C$50,$C$51,$C$52,$C$53,$C$54,$C$55,$C105,$C$56,$M$82,$A105,$C$57,$C$58,AB$86)</f>
        <v/>
      </c>
      <c r="AC105" s="19" t="str" cm="1">
        <f t="array" aca="1" ref="AC105" ca="1">_xll.DBRW($C$47,$M$83,$M$84,$C$48,$C$49,$C$50,$C$51,$C$52,$C$53,$C$54,$C$55,$C105,$C$56,$M$82,$A105,$C$57,$C$58,AC$86)</f>
        <v/>
      </c>
    </row>
    <row r="106" spans="1:29" ht="12" x14ac:dyDescent="0.15">
      <c r="A106" s="22" t="s">
        <v>78</v>
      </c>
      <c r="B106" s="1" t="str">
        <f ca="1">_xll.DBRA(db_name&amp;":account",A106,"description")</f>
        <v/>
      </c>
      <c r="C106" s="1" t="s">
        <v>13</v>
      </c>
      <c r="D106" s="1" t="str">
        <f ca="1">_xll.DBRA(db_name&amp;":movement account",C106,"description")</f>
        <v/>
      </c>
      <c r="J106" s="63" t="s">
        <v>15</v>
      </c>
      <c r="K106" s="64" t="str">
        <f ca="1">A106&amp;" - "&amp;B106</f>
        <v xml:space="preserve">6221201 - </v>
      </c>
      <c r="L106" s="40" t="str">
        <f ca="1">IF(C106="No_Mvt",C106,C106&amp;" - "&amp;D106)</f>
        <v>No_Mvt</v>
      </c>
      <c r="M106" s="65" t="str">
        <f ca="1">IF(LEFT(A106,4)="9000","Special Account",VLOOKUP(LEFT(A106,1)*1,$P$60:$Q$66,2,FALSE))</f>
        <v>Cash Flow Account</v>
      </c>
      <c r="N106" s="71" t="str" cm="1">
        <f t="array" aca="1" ref="N106" ca="1">_xll.DBRW($C$47,$M$83,$M$84,$C$48,$C$49,$C$50,$C$51,$C$52,$C$53,$C$54,$C$55,$C106,$C$56,$M$82,$A106,$C$57,$C$58,N$86)</f>
        <v/>
      </c>
      <c r="O106" s="72" t="str" cm="1">
        <f t="array" aca="1" ref="O106" ca="1">_xll.DBRW($C$47,$M$83,$M$84,$C$48,$C$49,$C$50,$C$51,$C$52,$C$53,$C$54,$C$55,$C106,$C$56,$M$82,$A106,$C$57,$C$58,O$86)</f>
        <v/>
      </c>
      <c r="P106" s="72" t="str" cm="1">
        <f t="array" aca="1" ref="P106" ca="1">_xll.DBRW($C$47,$M$83,$M$84,$C$48,$C$49,$C$50,$C$51,$C$52,$C$53,$C$54,$C$55,$C106,$C$56,$M$82,$A106,$C$57,$C$58,P$86)</f>
        <v/>
      </c>
      <c r="Q106" s="72" t="str" cm="1">
        <f t="array" aca="1" ref="Q106" ca="1">_xll.DBRW($C$47,$M$83,$M$84,$C$48,$C$49,$C$50,$C$51,$C$52,$C$53,$C$54,$C$55,$C106,$C$56,$M$82,$A106,$C$57,$C$58,Q$86)</f>
        <v/>
      </c>
      <c r="R106" s="72" t="str" cm="1">
        <f t="array" aca="1" ref="R106" ca="1">_xll.DBRW($C$47,$M$83,$M$84,$C$48,$C$49,$C$50,$C$51,$C$52,$C$53,$C$54,$C$55,$C106,$C$56,$M$82,$A106,$C$57,$C$58,R$86)</f>
        <v/>
      </c>
      <c r="S106" s="73" t="str" cm="1">
        <f t="array" aca="1" ref="S106" ca="1">_xll.DBRW($C$47,$M$83,$M$84,$C$48,$C$49,$C$50,$C$51,$C$52,$C$53,$C$54,$C$55,$C106,$C$56,$M$82,$A106,$C$57,$C$58,S$86)</f>
        <v/>
      </c>
      <c r="T106" s="18" t="str" cm="1">
        <f t="array" aca="1" ref="T106" ca="1">_xll.DBRW($C$47,$M$83,$M$84,$C$48,$C$49,$C$50,$C$51,$C$52,$C$53,$C$54,$C$55,$C106,$C$56,$M$82,$A106,$C$57,$C$58,T$86)</f>
        <v/>
      </c>
      <c r="U106" s="18" t="str" cm="1">
        <f t="array" aca="1" ref="U106" ca="1">_xll.DBRW($C$47,$M$83,$M$84,$C$48,$C$49,$C$50,$C$51,$C$52,$C$53,$C$54,$C$55,$C106,$C$56,$M$82,$A106,$C$57,$C$58,U$86)</f>
        <v/>
      </c>
      <c r="V106" s="18" t="str" cm="1">
        <f t="array" aca="1" ref="V106" ca="1">_xll.DBRW($C$47,$M$83,$M$84,$C$48,$C$49,$C$50,$C$51,$C$52,$C$53,$C$54,$C$55,$C106,$C$56,$M$82,$A106,$C$57,$C$58,V$86)</f>
        <v/>
      </c>
      <c r="W106" s="18" t="str" cm="1">
        <f t="array" aca="1" ref="W106" ca="1">_xll.DBRW($C$47,$M$83,$M$84,$C$48,$C$49,$C$50,$C$51,$C$52,$C$53,$C$54,$C$55,$C106,$C$56,$M$82,$A106,$C$57,$C$58,W$86)</f>
        <v/>
      </c>
      <c r="X106" s="18" t="str" cm="1">
        <f t="array" aca="1" ref="X106" ca="1">_xll.DBRW($C$47,$M$83,$M$84,$C$48,$C$49,$C$50,$C$51,$C$52,$C$53,$C$54,$C$55,$C106,$C$56,$M$82,$A106,$C$57,$C$58,X$86)</f>
        <v/>
      </c>
      <c r="Y106" s="18" t="str" cm="1">
        <f t="array" aca="1" ref="Y106" ca="1">_xll.DBRW($C$47,$M$83,$M$84,$C$48,$C$49,$C$50,$C$51,$C$52,$C$53,$C$54,$C$55,$C106,$C$56,$M$82,$A106,$C$57,$C$58,Y$86)</f>
        <v/>
      </c>
      <c r="Z106" s="18" t="str" cm="1">
        <f t="array" aca="1" ref="Z106" ca="1">_xll.DBRW($C$47,$M$83,$M$84,$C$48,$C$49,$C$50,$C$51,$C$52,$C$53,$C$54,$C$55,$C106,$C$56,$M$82,$A106,$C$57,$C$58,Z$86)</f>
        <v/>
      </c>
      <c r="AA106" s="18" t="str" cm="1">
        <f t="array" aca="1" ref="AA106" ca="1">_xll.DBRW($C$47,$M$83,$M$84,$C$48,$C$49,$C$50,$C$51,$C$52,$C$53,$C$54,$C$55,$C106,$C$56,$M$82,$A106,$C$57,$C$58,AA$86)</f>
        <v/>
      </c>
      <c r="AB106" s="18" t="str" cm="1">
        <f t="array" aca="1" ref="AB106" ca="1">_xll.DBRW($C$47,$M$83,$M$84,$C$48,$C$49,$C$50,$C$51,$C$52,$C$53,$C$54,$C$55,$C106,$C$56,$M$82,$A106,$C$57,$C$58,AB$86)</f>
        <v/>
      </c>
      <c r="AC106" s="19" t="str" cm="1">
        <f t="array" aca="1" ref="AC106" ca="1">_xll.DBRW($C$47,$M$83,$M$84,$C$48,$C$49,$C$50,$C$51,$C$52,$C$53,$C$54,$C$55,$C106,$C$56,$M$82,$A106,$C$57,$C$58,AC$86)</f>
        <v/>
      </c>
    </row>
    <row r="107" spans="1:29" ht="12" x14ac:dyDescent="0.15">
      <c r="A107" s="22" t="s">
        <v>48</v>
      </c>
      <c r="B107" s="1" t="str">
        <f ca="1">_xll.DBRA(db_name&amp;":account",A107,"description")</f>
        <v/>
      </c>
      <c r="C107" s="1" t="s">
        <v>13</v>
      </c>
      <c r="D107" s="1" t="str">
        <f ca="1">_xll.DBRA(db_name&amp;":movement account",C107,"description")</f>
        <v/>
      </c>
      <c r="J107" s="63" t="s">
        <v>16</v>
      </c>
      <c r="K107" s="64" t="str">
        <f ca="1">A107&amp;" - "&amp;B107</f>
        <v xml:space="preserve">6232007 - </v>
      </c>
      <c r="L107" s="40" t="str">
        <f ca="1">IF(C107="No_Mvt",C107,C107&amp;" - "&amp;D107)</f>
        <v>No_Mvt</v>
      </c>
      <c r="M107" s="65" t="str">
        <f ca="1">IF(LEFT(A107,4)="9000","Special Account",VLOOKUP(LEFT(A107,1)*1,$P$60:$Q$66,2,FALSE))</f>
        <v>Cash Flow Account</v>
      </c>
      <c r="N107" s="71" t="str" cm="1">
        <f t="array" aca="1" ref="N107" ca="1">_xll.DBRW($C$47,$M$83,$M$84,$C$48,$C$49,$C$50,$C$51,$C$52,$C$53,$C$54,$C$55,$C107,$C$56,$M$82,$A107,$C$57,$C$58,N$86)</f>
        <v/>
      </c>
      <c r="O107" s="72" t="str" cm="1">
        <f t="array" aca="1" ref="O107" ca="1">_xll.DBRW($C$47,$M$83,$M$84,$C$48,$C$49,$C$50,$C$51,$C$52,$C$53,$C$54,$C$55,$C107,$C$56,$M$82,$A107,$C$57,$C$58,O$86)</f>
        <v/>
      </c>
      <c r="P107" s="72" t="str" cm="1">
        <f t="array" aca="1" ref="P107" ca="1">_xll.DBRW($C$47,$M$83,$M$84,$C$48,$C$49,$C$50,$C$51,$C$52,$C$53,$C$54,$C$55,$C107,$C$56,$M$82,$A107,$C$57,$C$58,P$86)</f>
        <v/>
      </c>
      <c r="Q107" s="72" t="str" cm="1">
        <f t="array" aca="1" ref="Q107" ca="1">_xll.DBRW($C$47,$M$83,$M$84,$C$48,$C$49,$C$50,$C$51,$C$52,$C$53,$C$54,$C$55,$C107,$C$56,$M$82,$A107,$C$57,$C$58,Q$86)</f>
        <v/>
      </c>
      <c r="R107" s="72" t="str" cm="1">
        <f t="array" aca="1" ref="R107" ca="1">_xll.DBRW($C$47,$M$83,$M$84,$C$48,$C$49,$C$50,$C$51,$C$52,$C$53,$C$54,$C$55,$C107,$C$56,$M$82,$A107,$C$57,$C$58,R$86)</f>
        <v/>
      </c>
      <c r="S107" s="73" t="str" cm="1">
        <f t="array" aca="1" ref="S107" ca="1">_xll.DBRW($C$47,$M$83,$M$84,$C$48,$C$49,$C$50,$C$51,$C$52,$C$53,$C$54,$C$55,$C107,$C$56,$M$82,$A107,$C$57,$C$58,S$86)</f>
        <v/>
      </c>
      <c r="T107" s="18" t="str" cm="1">
        <f t="array" aca="1" ref="T107" ca="1">_xll.DBRW($C$47,$M$83,$M$84,$C$48,$C$49,$C$50,$C$51,$C$52,$C$53,$C$54,$C$55,$C107,$C$56,$M$82,$A107,$C$57,$C$58,T$86)</f>
        <v/>
      </c>
      <c r="U107" s="18" t="str" cm="1">
        <f t="array" aca="1" ref="U107" ca="1">_xll.DBRW($C$47,$M$83,$M$84,$C$48,$C$49,$C$50,$C$51,$C$52,$C$53,$C$54,$C$55,$C107,$C$56,$M$82,$A107,$C$57,$C$58,U$86)</f>
        <v/>
      </c>
      <c r="V107" s="18" t="str" cm="1">
        <f t="array" aca="1" ref="V107" ca="1">_xll.DBRW($C$47,$M$83,$M$84,$C$48,$C$49,$C$50,$C$51,$C$52,$C$53,$C$54,$C$55,$C107,$C$56,$M$82,$A107,$C$57,$C$58,V$86)</f>
        <v/>
      </c>
      <c r="W107" s="18" t="str" cm="1">
        <f t="array" aca="1" ref="W107" ca="1">_xll.DBRW($C$47,$M$83,$M$84,$C$48,$C$49,$C$50,$C$51,$C$52,$C$53,$C$54,$C$55,$C107,$C$56,$M$82,$A107,$C$57,$C$58,W$86)</f>
        <v/>
      </c>
      <c r="X107" s="18" t="str" cm="1">
        <f t="array" aca="1" ref="X107" ca="1">_xll.DBRW($C$47,$M$83,$M$84,$C$48,$C$49,$C$50,$C$51,$C$52,$C$53,$C$54,$C$55,$C107,$C$56,$M$82,$A107,$C$57,$C$58,X$86)</f>
        <v/>
      </c>
      <c r="Y107" s="18" t="str" cm="1">
        <f t="array" aca="1" ref="Y107" ca="1">_xll.DBRW($C$47,$M$83,$M$84,$C$48,$C$49,$C$50,$C$51,$C$52,$C$53,$C$54,$C$55,$C107,$C$56,$M$82,$A107,$C$57,$C$58,Y$86)</f>
        <v/>
      </c>
      <c r="Z107" s="18" t="str" cm="1">
        <f t="array" aca="1" ref="Z107" ca="1">_xll.DBRW($C$47,$M$83,$M$84,$C$48,$C$49,$C$50,$C$51,$C$52,$C$53,$C$54,$C$55,$C107,$C$56,$M$82,$A107,$C$57,$C$58,Z$86)</f>
        <v/>
      </c>
      <c r="AA107" s="18" t="str" cm="1">
        <f t="array" aca="1" ref="AA107" ca="1">_xll.DBRW($C$47,$M$83,$M$84,$C$48,$C$49,$C$50,$C$51,$C$52,$C$53,$C$54,$C$55,$C107,$C$56,$M$82,$A107,$C$57,$C$58,AA$86)</f>
        <v/>
      </c>
      <c r="AB107" s="18" t="str" cm="1">
        <f t="array" aca="1" ref="AB107" ca="1">_xll.DBRW($C$47,$M$83,$M$84,$C$48,$C$49,$C$50,$C$51,$C$52,$C$53,$C$54,$C$55,$C107,$C$56,$M$82,$A107,$C$57,$C$58,AB$86)</f>
        <v/>
      </c>
      <c r="AC107" s="19" t="str" cm="1">
        <f t="array" aca="1" ref="AC107" ca="1">_xll.DBRW($C$47,$M$83,$M$84,$C$48,$C$49,$C$50,$C$51,$C$52,$C$53,$C$54,$C$55,$C107,$C$56,$M$82,$A107,$C$57,$C$58,AC$86)</f>
        <v/>
      </c>
    </row>
    <row r="108" spans="1:29" s="2" customFormat="1" ht="24" x14ac:dyDescent="0.15">
      <c r="J108" s="85" t="s">
        <v>70</v>
      </c>
      <c r="K108" s="77" t="s">
        <v>84</v>
      </c>
      <c r="L108" s="78"/>
      <c r="M108" s="79"/>
      <c r="N108" s="80" t="e">
        <f ca="1">N105-N106-N107</f>
        <v>#VALUE!</v>
      </c>
      <c r="O108" s="81" t="e">
        <f t="shared" ref="O108:T108" ca="1" si="29">O105-O106-O107</f>
        <v>#VALUE!</v>
      </c>
      <c r="P108" s="81" t="e">
        <f t="shared" ca="1" si="29"/>
        <v>#VALUE!</v>
      </c>
      <c r="Q108" s="81" t="e">
        <f t="shared" ca="1" si="29"/>
        <v>#VALUE!</v>
      </c>
      <c r="R108" s="81" t="e">
        <f t="shared" ca="1" si="29"/>
        <v>#VALUE!</v>
      </c>
      <c r="S108" s="82" t="e">
        <f t="shared" ca="1" si="29"/>
        <v>#VALUE!</v>
      </c>
      <c r="T108" s="83" t="e">
        <f t="shared" ca="1" si="29"/>
        <v>#VALUE!</v>
      </c>
      <c r="U108" s="83" t="e">
        <f t="shared" ref="U108:Y108" ca="1" si="30">U105-U106-U107</f>
        <v>#VALUE!</v>
      </c>
      <c r="V108" s="83" t="e">
        <f t="shared" ca="1" si="30"/>
        <v>#VALUE!</v>
      </c>
      <c r="W108" s="83" t="e">
        <f t="shared" ca="1" si="30"/>
        <v>#VALUE!</v>
      </c>
      <c r="X108" s="83" t="e">
        <f t="shared" ca="1" si="30"/>
        <v>#VALUE!</v>
      </c>
      <c r="Y108" s="83" t="e">
        <f t="shared" ca="1" si="30"/>
        <v>#VALUE!</v>
      </c>
      <c r="Z108" s="83" t="e">
        <f t="shared" ref="Z108:AC108" ca="1" si="31">Z105-Z106-Z107</f>
        <v>#VALUE!</v>
      </c>
      <c r="AA108" s="83" t="e">
        <f t="shared" ca="1" si="31"/>
        <v>#VALUE!</v>
      </c>
      <c r="AB108" s="83" t="e">
        <f t="shared" ca="1" si="31"/>
        <v>#VALUE!</v>
      </c>
      <c r="AC108" s="84" t="e">
        <f t="shared" ca="1" si="31"/>
        <v>#VALUE!</v>
      </c>
    </row>
    <row r="109" spans="1:29" ht="12" x14ac:dyDescent="0.15">
      <c r="A109" s="1" t="s">
        <v>49</v>
      </c>
      <c r="B109" s="1" t="str">
        <f ca="1">_xll.DBRA(db_name&amp;":account",A109,"description")</f>
        <v/>
      </c>
      <c r="C109" s="1" t="s">
        <v>13</v>
      </c>
      <c r="D109" s="1" t="str">
        <f ca="1">_xll.DBRA(db_name&amp;":movement account",C109,"description")</f>
        <v/>
      </c>
      <c r="J109" s="63"/>
      <c r="K109" s="64" t="str">
        <f ca="1">A109&amp;" - "&amp;B109</f>
        <v xml:space="preserve">9110000 - </v>
      </c>
      <c r="L109" s="40" t="str">
        <f ca="1">IF(C109="No_Mvt",C109,C109&amp;" - "&amp;D109)</f>
        <v>No_Mvt</v>
      </c>
      <c r="M109" s="65" t="str">
        <f ca="1">IF(LEFT(A109,4)="9000","Special Account",VLOOKUP(LEFT(A109,1)*1,$P$60:$Q$66,2,FALSE))</f>
        <v>Capital Account</v>
      </c>
      <c r="N109" s="71" t="str" cm="1">
        <f t="array" aca="1" ref="N109" ca="1">_xll.DBRW($C$47,$M$83,$M$84,$C$48,$C$49,$C$50,$C$51,$C$52,$C$53,$C$54,$C$55,$C109,$C$56,$M$82,$A109,$C$57,$C$58,N$86)</f>
        <v/>
      </c>
      <c r="O109" s="72" t="str" cm="1">
        <f t="array" aca="1" ref="O109" ca="1">_xll.DBRW($C$47,$M$83,$M$84,$C$48,$C$49,$C$50,$C$51,$C$52,$C$53,$C$54,$C$55,$C109,$C$56,$M$82,$A109,$C$57,$C$58,O$86)</f>
        <v/>
      </c>
      <c r="P109" s="72" t="str" cm="1">
        <f t="array" aca="1" ref="P109" ca="1">_xll.DBRW($C$47,$M$83,$M$84,$C$48,$C$49,$C$50,$C$51,$C$52,$C$53,$C$54,$C$55,$C109,$C$56,$M$82,$A109,$C$57,$C$58,P$86)</f>
        <v/>
      </c>
      <c r="Q109" s="72" t="str" cm="1">
        <f t="array" aca="1" ref="Q109" ca="1">_xll.DBRW($C$47,$M$83,$M$84,$C$48,$C$49,$C$50,$C$51,$C$52,$C$53,$C$54,$C$55,$C109,$C$56,$M$82,$A109,$C$57,$C$58,Q$86)</f>
        <v/>
      </c>
      <c r="R109" s="72" t="str" cm="1">
        <f t="array" aca="1" ref="R109" ca="1">_xll.DBRW($C$47,$M$83,$M$84,$C$48,$C$49,$C$50,$C$51,$C$52,$C$53,$C$54,$C$55,$C109,$C$56,$M$82,$A109,$C$57,$C$58,R$86)</f>
        <v/>
      </c>
      <c r="S109" s="73" t="str" cm="1">
        <f t="array" aca="1" ref="S109" ca="1">_xll.DBRW($C$47,$M$83,$M$84,$C$48,$C$49,$C$50,$C$51,$C$52,$C$53,$C$54,$C$55,$C109,$C$56,$M$82,$A109,$C$57,$C$58,S$86)</f>
        <v/>
      </c>
      <c r="T109" s="18" t="str" cm="1">
        <f t="array" aca="1" ref="T109" ca="1">_xll.DBRW($C$47,$M$83,$M$84,$C$48,$C$49,$C$50,$C$51,$C$52,$C$53,$C$54,$C$55,$C109,$C$56,$M$82,$A109,$C$57,$C$58,T$86)</f>
        <v/>
      </c>
      <c r="U109" s="18" t="str" cm="1">
        <f t="array" aca="1" ref="U109" ca="1">_xll.DBRW($C$47,$M$83,$M$84,$C$48,$C$49,$C$50,$C$51,$C$52,$C$53,$C$54,$C$55,$C109,$C$56,$M$82,$A109,$C$57,$C$58,U$86)</f>
        <v/>
      </c>
      <c r="V109" s="18" t="str" cm="1">
        <f t="array" aca="1" ref="V109" ca="1">_xll.DBRW($C$47,$M$83,$M$84,$C$48,$C$49,$C$50,$C$51,$C$52,$C$53,$C$54,$C$55,$C109,$C$56,$M$82,$A109,$C$57,$C$58,V$86)</f>
        <v/>
      </c>
      <c r="W109" s="18" t="str" cm="1">
        <f t="array" aca="1" ref="W109" ca="1">_xll.DBRW($C$47,$M$83,$M$84,$C$48,$C$49,$C$50,$C$51,$C$52,$C$53,$C$54,$C$55,$C109,$C$56,$M$82,$A109,$C$57,$C$58,W$86)</f>
        <v/>
      </c>
      <c r="X109" s="18" t="str" cm="1">
        <f t="array" aca="1" ref="X109" ca="1">_xll.DBRW($C$47,$M$83,$M$84,$C$48,$C$49,$C$50,$C$51,$C$52,$C$53,$C$54,$C$55,$C109,$C$56,$M$82,$A109,$C$57,$C$58,X$86)</f>
        <v/>
      </c>
      <c r="Y109" s="18" t="str" cm="1">
        <f t="array" aca="1" ref="Y109" ca="1">_xll.DBRW($C$47,$M$83,$M$84,$C$48,$C$49,$C$50,$C$51,$C$52,$C$53,$C$54,$C$55,$C109,$C$56,$M$82,$A109,$C$57,$C$58,Y$86)</f>
        <v/>
      </c>
      <c r="Z109" s="18" t="str" cm="1">
        <f t="array" aca="1" ref="Z109" ca="1">_xll.DBRW($C$47,$M$83,$M$84,$C$48,$C$49,$C$50,$C$51,$C$52,$C$53,$C$54,$C$55,$C109,$C$56,$M$82,$A109,$C$57,$C$58,Z$86)</f>
        <v/>
      </c>
      <c r="AA109" s="18" t="str" cm="1">
        <f t="array" aca="1" ref="AA109" ca="1">_xll.DBRW($C$47,$M$83,$M$84,$C$48,$C$49,$C$50,$C$51,$C$52,$C$53,$C$54,$C$55,$C109,$C$56,$M$82,$A109,$C$57,$C$58,AA$86)</f>
        <v/>
      </c>
      <c r="AB109" s="18" t="str" cm="1">
        <f t="array" aca="1" ref="AB109" ca="1">_xll.DBRW($C$47,$M$83,$M$84,$C$48,$C$49,$C$50,$C$51,$C$52,$C$53,$C$54,$C$55,$C109,$C$56,$M$82,$A109,$C$57,$C$58,AB$86)</f>
        <v/>
      </c>
      <c r="AC109" s="19" t="str" cm="1">
        <f t="array" aca="1" ref="AC109" ca="1">_xll.DBRW($C$47,$M$83,$M$84,$C$48,$C$49,$C$50,$C$51,$C$52,$C$53,$C$54,$C$55,$C109,$C$56,$M$82,$A109,$C$57,$C$58,AC$86)</f>
        <v/>
      </c>
    </row>
    <row r="110" spans="1:29" ht="12" x14ac:dyDescent="0.15">
      <c r="A110" s="1" t="s">
        <v>50</v>
      </c>
      <c r="B110" s="1" t="str">
        <f ca="1">_xll.DBRA(db_name&amp;":account",A110,"description")</f>
        <v/>
      </c>
      <c r="C110" s="1" t="s">
        <v>56</v>
      </c>
      <c r="D110" s="1" t="str">
        <f ca="1">_xll.DBRA(db_name&amp;":movement account",C110,"description")</f>
        <v/>
      </c>
      <c r="J110" s="63" t="s">
        <v>15</v>
      </c>
      <c r="K110" s="64" t="str">
        <f ca="1">A110&amp;" - "&amp;B110</f>
        <v xml:space="preserve">4100003 - </v>
      </c>
      <c r="L110" s="40" t="str">
        <f ca="1">IF(C110="No_Mvt",C110,C110&amp;" - "&amp;D110)</f>
        <v xml:space="preserve">7206 - </v>
      </c>
      <c r="M110" s="65" t="str">
        <f ca="1">IF(LEFT(A110,4)="9000","Special Account",VLOOKUP(LEFT(A110,1)*1,$P$60:$Q$66,2,FALSE))</f>
        <v>Equity Account</v>
      </c>
      <c r="N110" s="71" t="str" cm="1">
        <f t="array" aca="1" ref="N110" ca="1">_xll.DBRW($C$47,$M$83,$M$84,$C$48,$C$49,$C$50,$C$51,$C$52,$C$53,$C$54,$C$55,$C110,$C$56,$M$82,$A110,$C$57,$C$58,N$86)</f>
        <v/>
      </c>
      <c r="O110" s="72" t="str" cm="1">
        <f t="array" aca="1" ref="O110" ca="1">_xll.DBRW($C$47,$M$83,$M$84,$C$48,$C$49,$C$50,$C$51,$C$52,$C$53,$C$54,$C$55,$C110,$C$56,$M$82,$A110,$C$57,$C$58,O$86)</f>
        <v/>
      </c>
      <c r="P110" s="72" t="str" cm="1">
        <f t="array" aca="1" ref="P110" ca="1">_xll.DBRW($C$47,$M$83,$M$84,$C$48,$C$49,$C$50,$C$51,$C$52,$C$53,$C$54,$C$55,$C110,$C$56,$M$82,$A110,$C$57,$C$58,P$86)</f>
        <v/>
      </c>
      <c r="Q110" s="72" t="str" cm="1">
        <f t="array" aca="1" ref="Q110" ca="1">_xll.DBRW($C$47,$M$83,$M$84,$C$48,$C$49,$C$50,$C$51,$C$52,$C$53,$C$54,$C$55,$C110,$C$56,$M$82,$A110,$C$57,$C$58,Q$86)</f>
        <v/>
      </c>
      <c r="R110" s="72" t="str" cm="1">
        <f t="array" aca="1" ref="R110" ca="1">_xll.DBRW($C$47,$M$83,$M$84,$C$48,$C$49,$C$50,$C$51,$C$52,$C$53,$C$54,$C$55,$C110,$C$56,$M$82,$A110,$C$57,$C$58,R$86)</f>
        <v/>
      </c>
      <c r="S110" s="73" t="str" cm="1">
        <f t="array" aca="1" ref="S110" ca="1">_xll.DBRW($C$47,$M$83,$M$84,$C$48,$C$49,$C$50,$C$51,$C$52,$C$53,$C$54,$C$55,$C110,$C$56,$M$82,$A110,$C$57,$C$58,S$86)</f>
        <v/>
      </c>
      <c r="T110" s="18" t="str" cm="1">
        <f t="array" aca="1" ref="T110" ca="1">_xll.DBRW($C$47,$M$83,$M$84,$C$48,$C$49,$C$50,$C$51,$C$52,$C$53,$C$54,$C$55,$C110,$C$56,$M$82,$A110,$C$57,$C$58,T$86)</f>
        <v/>
      </c>
      <c r="U110" s="18" t="str" cm="1">
        <f t="array" aca="1" ref="U110" ca="1">_xll.DBRW($C$47,$M$83,$M$84,$C$48,$C$49,$C$50,$C$51,$C$52,$C$53,$C$54,$C$55,$C110,$C$56,$M$82,$A110,$C$57,$C$58,U$86)</f>
        <v/>
      </c>
      <c r="V110" s="18" t="str" cm="1">
        <f t="array" aca="1" ref="V110" ca="1">_xll.DBRW($C$47,$M$83,$M$84,$C$48,$C$49,$C$50,$C$51,$C$52,$C$53,$C$54,$C$55,$C110,$C$56,$M$82,$A110,$C$57,$C$58,V$86)</f>
        <v/>
      </c>
      <c r="W110" s="18" t="str" cm="1">
        <f t="array" aca="1" ref="W110" ca="1">_xll.DBRW($C$47,$M$83,$M$84,$C$48,$C$49,$C$50,$C$51,$C$52,$C$53,$C$54,$C$55,$C110,$C$56,$M$82,$A110,$C$57,$C$58,W$86)</f>
        <v/>
      </c>
      <c r="X110" s="18" t="str" cm="1">
        <f t="array" aca="1" ref="X110" ca="1">_xll.DBRW($C$47,$M$83,$M$84,$C$48,$C$49,$C$50,$C$51,$C$52,$C$53,$C$54,$C$55,$C110,$C$56,$M$82,$A110,$C$57,$C$58,X$86)</f>
        <v/>
      </c>
      <c r="Y110" s="18" t="str" cm="1">
        <f t="array" aca="1" ref="Y110" ca="1">_xll.DBRW($C$47,$M$83,$M$84,$C$48,$C$49,$C$50,$C$51,$C$52,$C$53,$C$54,$C$55,$C110,$C$56,$M$82,$A110,$C$57,$C$58,Y$86)</f>
        <v/>
      </c>
      <c r="Z110" s="18" t="str" cm="1">
        <f t="array" aca="1" ref="Z110" ca="1">_xll.DBRW($C$47,$M$83,$M$84,$C$48,$C$49,$C$50,$C$51,$C$52,$C$53,$C$54,$C$55,$C110,$C$56,$M$82,$A110,$C$57,$C$58,Z$86)</f>
        <v/>
      </c>
      <c r="AA110" s="18" t="str" cm="1">
        <f t="array" aca="1" ref="AA110" ca="1">_xll.DBRW($C$47,$M$83,$M$84,$C$48,$C$49,$C$50,$C$51,$C$52,$C$53,$C$54,$C$55,$C110,$C$56,$M$82,$A110,$C$57,$C$58,AA$86)</f>
        <v/>
      </c>
      <c r="AB110" s="18" t="str" cm="1">
        <f t="array" aca="1" ref="AB110" ca="1">_xll.DBRW($C$47,$M$83,$M$84,$C$48,$C$49,$C$50,$C$51,$C$52,$C$53,$C$54,$C$55,$C110,$C$56,$M$82,$A110,$C$57,$C$58,AB$86)</f>
        <v/>
      </c>
      <c r="AC110" s="19" t="str" cm="1">
        <f t="array" aca="1" ref="AC110" ca="1">_xll.DBRW($C$47,$M$83,$M$84,$C$48,$C$49,$C$50,$C$51,$C$52,$C$53,$C$54,$C$55,$C110,$C$56,$M$82,$A110,$C$57,$C$58,AC$86)</f>
        <v/>
      </c>
    </row>
    <row r="111" spans="1:29" s="2" customFormat="1" ht="24" x14ac:dyDescent="0.15">
      <c r="J111" s="85" t="s">
        <v>71</v>
      </c>
      <c r="K111" s="77" t="s">
        <v>85</v>
      </c>
      <c r="L111" s="78"/>
      <c r="M111" s="79"/>
      <c r="N111" s="80" t="e">
        <f ca="1">N110-N109</f>
        <v>#VALUE!</v>
      </c>
      <c r="O111" s="81" t="e">
        <f ca="1">O110-O109</f>
        <v>#VALUE!</v>
      </c>
      <c r="P111" s="81" t="e">
        <f t="shared" ref="P111" ca="1" si="32">P110-P109</f>
        <v>#VALUE!</v>
      </c>
      <c r="Q111" s="81" t="e">
        <f ca="1">Q110-Q109</f>
        <v>#VALUE!</v>
      </c>
      <c r="R111" s="81" t="e">
        <f t="shared" ref="R111" ca="1" si="33">R110-R109</f>
        <v>#VALUE!</v>
      </c>
      <c r="S111" s="82" t="e">
        <f t="shared" ref="S111" ca="1" si="34">S110-S109</f>
        <v>#VALUE!</v>
      </c>
      <c r="T111" s="83" t="e">
        <f t="shared" ref="T111" ca="1" si="35">T110-T109</f>
        <v>#VALUE!</v>
      </c>
      <c r="U111" s="83" t="e">
        <f t="shared" ref="U111:Y111" ca="1" si="36">U110-U109</f>
        <v>#VALUE!</v>
      </c>
      <c r="V111" s="83" t="e">
        <f t="shared" ca="1" si="36"/>
        <v>#VALUE!</v>
      </c>
      <c r="W111" s="83" t="e">
        <f t="shared" ca="1" si="36"/>
        <v>#VALUE!</v>
      </c>
      <c r="X111" s="83" t="e">
        <f t="shared" ca="1" si="36"/>
        <v>#VALUE!</v>
      </c>
      <c r="Y111" s="83" t="e">
        <f t="shared" ca="1" si="36"/>
        <v>#VALUE!</v>
      </c>
      <c r="Z111" s="83" t="e">
        <f t="shared" ref="Z111:AC111" ca="1" si="37">Z110-Z109</f>
        <v>#VALUE!</v>
      </c>
      <c r="AA111" s="83" t="e">
        <f t="shared" ca="1" si="37"/>
        <v>#VALUE!</v>
      </c>
      <c r="AB111" s="83" t="e">
        <f t="shared" ca="1" si="37"/>
        <v>#VALUE!</v>
      </c>
      <c r="AC111" s="84" t="e">
        <f t="shared" ca="1" si="37"/>
        <v>#VALUE!</v>
      </c>
    </row>
    <row r="112" spans="1:29" ht="12" x14ac:dyDescent="0.15">
      <c r="A112" s="1" t="s">
        <v>51</v>
      </c>
      <c r="B112" s="1" t="str">
        <f ca="1">_xll.DBRA(db_name&amp;":account",A112,"description")</f>
        <v/>
      </c>
      <c r="C112" s="1" t="s">
        <v>13</v>
      </c>
      <c r="D112" s="1" t="str">
        <f ca="1">_xll.DBRA(db_name&amp;":movement account",C112,"description")</f>
        <v/>
      </c>
      <c r="J112" s="63"/>
      <c r="K112" s="64" t="str">
        <f ca="1">A112&amp;" - "&amp;B112</f>
        <v xml:space="preserve">9170000 - </v>
      </c>
      <c r="L112" s="40" t="str">
        <f ca="1">IF(C112="No_Mvt",C112,C112&amp;" - "&amp;D112)</f>
        <v>No_Mvt</v>
      </c>
      <c r="M112" s="65" t="str">
        <f ca="1">IF(LEFT(A112,4)="9000","Special Account",VLOOKUP(LEFT(A112,1)*1,$P$60:$Q$66,2,FALSE))</f>
        <v>Capital Account</v>
      </c>
      <c r="N112" s="71" t="str" cm="1">
        <f t="array" aca="1" ref="N112" ca="1">_xll.DBRW($C$47,$M$83,$M$84,$C$48,$C$49,$C$50,$C$51,$C$52,$C$53,$C$54,$C$55,$C112,$C$56,$M$82,$A112,$C$57,$C$58,N$86)</f>
        <v/>
      </c>
      <c r="O112" s="72" t="str" cm="1">
        <f t="array" aca="1" ref="O112" ca="1">_xll.DBRW($C$47,$M$83,$M$84,$C$48,$C$49,$C$50,$C$51,$C$52,$C$53,$C$54,$C$55,$C112,$C$56,$M$82,$A112,$C$57,$C$58,O$86)</f>
        <v/>
      </c>
      <c r="P112" s="72" t="str" cm="1">
        <f t="array" aca="1" ref="P112" ca="1">_xll.DBRW($C$47,$M$83,$M$84,$C$48,$C$49,$C$50,$C$51,$C$52,$C$53,$C$54,$C$55,$C112,$C$56,$M$82,$A112,$C$57,$C$58,P$86)</f>
        <v/>
      </c>
      <c r="Q112" s="72" t="str" cm="1">
        <f t="array" aca="1" ref="Q112" ca="1">_xll.DBRW($C$47,$M$83,$M$84,$C$48,$C$49,$C$50,$C$51,$C$52,$C$53,$C$54,$C$55,$C112,$C$56,$M$82,$A112,$C$57,$C$58,Q$86)</f>
        <v/>
      </c>
      <c r="R112" s="72" t="str" cm="1">
        <f t="array" aca="1" ref="R112" ca="1">_xll.DBRW($C$47,$M$83,$M$84,$C$48,$C$49,$C$50,$C$51,$C$52,$C$53,$C$54,$C$55,$C112,$C$56,$M$82,$A112,$C$57,$C$58,R$86)</f>
        <v/>
      </c>
      <c r="S112" s="73" t="str" cm="1">
        <f t="array" aca="1" ref="S112" ca="1">_xll.DBRW($C$47,$M$83,$M$84,$C$48,$C$49,$C$50,$C$51,$C$52,$C$53,$C$54,$C$55,$C112,$C$56,$M$82,$A112,$C$57,$C$58,S$86)</f>
        <v/>
      </c>
      <c r="T112" s="18" t="str" cm="1">
        <f t="array" aca="1" ref="T112" ca="1">_xll.DBRW($C$47,$M$83,$M$84,$C$48,$C$49,$C$50,$C$51,$C$52,$C$53,$C$54,$C$55,$C112,$C$56,$M$82,$A112,$C$57,$C$58,T$86)</f>
        <v/>
      </c>
      <c r="U112" s="18" t="str" cm="1">
        <f t="array" aca="1" ref="U112" ca="1">_xll.DBRW($C$47,$M$83,$M$84,$C$48,$C$49,$C$50,$C$51,$C$52,$C$53,$C$54,$C$55,$C112,$C$56,$M$82,$A112,$C$57,$C$58,U$86)</f>
        <v/>
      </c>
      <c r="V112" s="18" t="str" cm="1">
        <f t="array" aca="1" ref="V112" ca="1">_xll.DBRW($C$47,$M$83,$M$84,$C$48,$C$49,$C$50,$C$51,$C$52,$C$53,$C$54,$C$55,$C112,$C$56,$M$82,$A112,$C$57,$C$58,V$86)</f>
        <v/>
      </c>
      <c r="W112" s="18" t="str" cm="1">
        <f t="array" aca="1" ref="W112" ca="1">_xll.DBRW($C$47,$M$83,$M$84,$C$48,$C$49,$C$50,$C$51,$C$52,$C$53,$C$54,$C$55,$C112,$C$56,$M$82,$A112,$C$57,$C$58,W$86)</f>
        <v/>
      </c>
      <c r="X112" s="18" t="str" cm="1">
        <f t="array" aca="1" ref="X112" ca="1">_xll.DBRW($C$47,$M$83,$M$84,$C$48,$C$49,$C$50,$C$51,$C$52,$C$53,$C$54,$C$55,$C112,$C$56,$M$82,$A112,$C$57,$C$58,X$86)</f>
        <v/>
      </c>
      <c r="Y112" s="18" t="str" cm="1">
        <f t="array" aca="1" ref="Y112" ca="1">_xll.DBRW($C$47,$M$83,$M$84,$C$48,$C$49,$C$50,$C$51,$C$52,$C$53,$C$54,$C$55,$C112,$C$56,$M$82,$A112,$C$57,$C$58,Y$86)</f>
        <v/>
      </c>
      <c r="Z112" s="18" t="str" cm="1">
        <f t="array" aca="1" ref="Z112" ca="1">_xll.DBRW($C$47,$M$83,$M$84,$C$48,$C$49,$C$50,$C$51,$C$52,$C$53,$C$54,$C$55,$C112,$C$56,$M$82,$A112,$C$57,$C$58,Z$86)</f>
        <v/>
      </c>
      <c r="AA112" s="18" t="str" cm="1">
        <f t="array" aca="1" ref="AA112" ca="1">_xll.DBRW($C$47,$M$83,$M$84,$C$48,$C$49,$C$50,$C$51,$C$52,$C$53,$C$54,$C$55,$C112,$C$56,$M$82,$A112,$C$57,$C$58,AA$86)</f>
        <v/>
      </c>
      <c r="AB112" s="18" t="str" cm="1">
        <f t="array" aca="1" ref="AB112" ca="1">_xll.DBRW($C$47,$M$83,$M$84,$C$48,$C$49,$C$50,$C$51,$C$52,$C$53,$C$54,$C$55,$C112,$C$56,$M$82,$A112,$C$57,$C$58,AB$86)</f>
        <v/>
      </c>
      <c r="AC112" s="19" t="str" cm="1">
        <f t="array" aca="1" ref="AC112" ca="1">_xll.DBRW($C$47,$M$83,$M$84,$C$48,$C$49,$C$50,$C$51,$C$52,$C$53,$C$54,$C$55,$C112,$C$56,$M$82,$A112,$C$57,$C$58,AC$86)</f>
        <v/>
      </c>
    </row>
    <row r="113" spans="1:29" ht="12" x14ac:dyDescent="0.15">
      <c r="A113" s="1" t="s">
        <v>50</v>
      </c>
      <c r="B113" s="1" t="str">
        <f ca="1">_xll.DBRA(db_name&amp;":account",A113,"description")</f>
        <v/>
      </c>
      <c r="C113" s="1" t="s">
        <v>57</v>
      </c>
      <c r="D113" s="1" t="str">
        <f ca="1">_xll.DBRA(db_name&amp;":movement account",C113,"description")</f>
        <v/>
      </c>
      <c r="J113" s="63" t="s">
        <v>15</v>
      </c>
      <c r="K113" s="64" t="str">
        <f ca="1">A113&amp;" - "&amp;B113</f>
        <v xml:space="preserve">4100003 - </v>
      </c>
      <c r="L113" s="40" t="str">
        <f ca="1">IF(C113="No_Mvt",C113,C113&amp;" - "&amp;D113)</f>
        <v xml:space="preserve">7209 - </v>
      </c>
      <c r="M113" s="65" t="str">
        <f ca="1">IF(LEFT(A113,4)="9000","Special Account",VLOOKUP(LEFT(A113,1)*1,$P$60:$Q$66,2,FALSE))</f>
        <v>Equity Account</v>
      </c>
      <c r="N113" s="71" t="str" cm="1">
        <f t="array" aca="1" ref="N113" ca="1">_xll.DBRW($C$47,$M$83,$M$84,$C$48,$C$49,$C$50,$C$51,$C$52,$C$53,$C$54,$C$55,$C113,$C$56,$M$82,$A113,$C$57,$C$58,N$86)</f>
        <v/>
      </c>
      <c r="O113" s="72" t="str" cm="1">
        <f t="array" aca="1" ref="O113" ca="1">_xll.DBRW($C$47,$M$83,$M$84,$C$48,$C$49,$C$50,$C$51,$C$52,$C$53,$C$54,$C$55,$C113,$C$56,$M$82,$A113,$C$57,$C$58,O$86)</f>
        <v/>
      </c>
      <c r="P113" s="72" t="str" cm="1">
        <f t="array" aca="1" ref="P113" ca="1">_xll.DBRW($C$47,$M$83,$M$84,$C$48,$C$49,$C$50,$C$51,$C$52,$C$53,$C$54,$C$55,$C113,$C$56,$M$82,$A113,$C$57,$C$58,P$86)</f>
        <v/>
      </c>
      <c r="Q113" s="72" t="str" cm="1">
        <f t="array" aca="1" ref="Q113" ca="1">_xll.DBRW($C$47,$M$83,$M$84,$C$48,$C$49,$C$50,$C$51,$C$52,$C$53,$C$54,$C$55,$C113,$C$56,$M$82,$A113,$C$57,$C$58,Q$86)</f>
        <v/>
      </c>
      <c r="R113" s="72" t="str" cm="1">
        <f t="array" aca="1" ref="R113" ca="1">_xll.DBRW($C$47,$M$83,$M$84,$C$48,$C$49,$C$50,$C$51,$C$52,$C$53,$C$54,$C$55,$C113,$C$56,$M$82,$A113,$C$57,$C$58,R$86)</f>
        <v/>
      </c>
      <c r="S113" s="73" t="str" cm="1">
        <f t="array" aca="1" ref="S113" ca="1">_xll.DBRW($C$47,$M$83,$M$84,$C$48,$C$49,$C$50,$C$51,$C$52,$C$53,$C$54,$C$55,$C113,$C$56,$M$82,$A113,$C$57,$C$58,S$86)</f>
        <v/>
      </c>
      <c r="T113" s="18" t="str" cm="1">
        <f t="array" aca="1" ref="T113" ca="1">_xll.DBRW($C$47,$M$83,$M$84,$C$48,$C$49,$C$50,$C$51,$C$52,$C$53,$C$54,$C$55,$C113,$C$56,$M$82,$A113,$C$57,$C$58,T$86)</f>
        <v/>
      </c>
      <c r="U113" s="18" t="str" cm="1">
        <f t="array" aca="1" ref="U113" ca="1">_xll.DBRW($C$47,$M$83,$M$84,$C$48,$C$49,$C$50,$C$51,$C$52,$C$53,$C$54,$C$55,$C113,$C$56,$M$82,$A113,$C$57,$C$58,U$86)</f>
        <v/>
      </c>
      <c r="V113" s="18" t="str" cm="1">
        <f t="array" aca="1" ref="V113" ca="1">_xll.DBRW($C$47,$M$83,$M$84,$C$48,$C$49,$C$50,$C$51,$C$52,$C$53,$C$54,$C$55,$C113,$C$56,$M$82,$A113,$C$57,$C$58,V$86)</f>
        <v/>
      </c>
      <c r="W113" s="18" t="str" cm="1">
        <f t="array" aca="1" ref="W113" ca="1">_xll.DBRW($C$47,$M$83,$M$84,$C$48,$C$49,$C$50,$C$51,$C$52,$C$53,$C$54,$C$55,$C113,$C$56,$M$82,$A113,$C$57,$C$58,W$86)</f>
        <v/>
      </c>
      <c r="X113" s="18" t="str" cm="1">
        <f t="array" aca="1" ref="X113" ca="1">_xll.DBRW($C$47,$M$83,$M$84,$C$48,$C$49,$C$50,$C$51,$C$52,$C$53,$C$54,$C$55,$C113,$C$56,$M$82,$A113,$C$57,$C$58,X$86)</f>
        <v/>
      </c>
      <c r="Y113" s="18" t="str" cm="1">
        <f t="array" aca="1" ref="Y113" ca="1">_xll.DBRW($C$47,$M$83,$M$84,$C$48,$C$49,$C$50,$C$51,$C$52,$C$53,$C$54,$C$55,$C113,$C$56,$M$82,$A113,$C$57,$C$58,Y$86)</f>
        <v/>
      </c>
      <c r="Z113" s="18" t="str" cm="1">
        <f t="array" aca="1" ref="Z113" ca="1">_xll.DBRW($C$47,$M$83,$M$84,$C$48,$C$49,$C$50,$C$51,$C$52,$C$53,$C$54,$C$55,$C113,$C$56,$M$82,$A113,$C$57,$C$58,Z$86)</f>
        <v/>
      </c>
      <c r="AA113" s="18" t="str" cm="1">
        <f t="array" aca="1" ref="AA113" ca="1">_xll.DBRW($C$47,$M$83,$M$84,$C$48,$C$49,$C$50,$C$51,$C$52,$C$53,$C$54,$C$55,$C113,$C$56,$M$82,$A113,$C$57,$C$58,AA$86)</f>
        <v/>
      </c>
      <c r="AB113" s="18" t="str" cm="1">
        <f t="array" aca="1" ref="AB113" ca="1">_xll.DBRW($C$47,$M$83,$M$84,$C$48,$C$49,$C$50,$C$51,$C$52,$C$53,$C$54,$C$55,$C113,$C$56,$M$82,$A113,$C$57,$C$58,AB$86)</f>
        <v/>
      </c>
      <c r="AC113" s="19" t="str" cm="1">
        <f t="array" aca="1" ref="AC113" ca="1">_xll.DBRW($C$47,$M$83,$M$84,$C$48,$C$49,$C$50,$C$51,$C$52,$C$53,$C$54,$C$55,$C113,$C$56,$M$82,$A113,$C$57,$C$58,AC$86)</f>
        <v/>
      </c>
    </row>
    <row r="114" spans="1:29" s="2" customFormat="1" ht="24" x14ac:dyDescent="0.15">
      <c r="J114" s="85" t="s">
        <v>72</v>
      </c>
      <c r="K114" s="77" t="s">
        <v>86</v>
      </c>
      <c r="L114" s="78"/>
      <c r="M114" s="79"/>
      <c r="N114" s="80" t="e">
        <f ca="1">N113-N112</f>
        <v>#VALUE!</v>
      </c>
      <c r="O114" s="81" t="e">
        <f ca="1">O113-O112</f>
        <v>#VALUE!</v>
      </c>
      <c r="P114" s="81" t="e">
        <f t="shared" ref="P114" ca="1" si="38">P113-P112</f>
        <v>#VALUE!</v>
      </c>
      <c r="Q114" s="81" t="e">
        <f t="shared" ref="Q114" ca="1" si="39">Q113-Q112</f>
        <v>#VALUE!</v>
      </c>
      <c r="R114" s="81" t="e">
        <f t="shared" ref="R114" ca="1" si="40">R113-R112</f>
        <v>#VALUE!</v>
      </c>
      <c r="S114" s="82" t="e">
        <f t="shared" ref="S114" ca="1" si="41">S113-S112</f>
        <v>#VALUE!</v>
      </c>
      <c r="T114" s="83" t="e">
        <f t="shared" ref="T114" ca="1" si="42">T113-T112</f>
        <v>#VALUE!</v>
      </c>
      <c r="U114" s="83" t="e">
        <f t="shared" ref="U114:Y114" ca="1" si="43">U113-U112</f>
        <v>#VALUE!</v>
      </c>
      <c r="V114" s="83" t="e">
        <f t="shared" ca="1" si="43"/>
        <v>#VALUE!</v>
      </c>
      <c r="W114" s="83" t="e">
        <f t="shared" ca="1" si="43"/>
        <v>#VALUE!</v>
      </c>
      <c r="X114" s="83" t="e">
        <f t="shared" ca="1" si="43"/>
        <v>#VALUE!</v>
      </c>
      <c r="Y114" s="83" t="e">
        <f t="shared" ca="1" si="43"/>
        <v>#VALUE!</v>
      </c>
      <c r="Z114" s="83" t="e">
        <f t="shared" ref="Z114:AC114" ca="1" si="44">Z113-Z112</f>
        <v>#VALUE!</v>
      </c>
      <c r="AA114" s="83" t="e">
        <f t="shared" ca="1" si="44"/>
        <v>#VALUE!</v>
      </c>
      <c r="AB114" s="83" t="e">
        <f t="shared" ca="1" si="44"/>
        <v>#VALUE!</v>
      </c>
      <c r="AC114" s="84" t="e">
        <f t="shared" ca="1" si="44"/>
        <v>#VALUE!</v>
      </c>
    </row>
    <row r="115" spans="1:29" ht="12" x14ac:dyDescent="0.15">
      <c r="J115" s="42"/>
      <c r="K115" s="43"/>
      <c r="L115" s="44"/>
      <c r="M115" s="44"/>
      <c r="N115" s="46"/>
      <c r="O115" s="47"/>
      <c r="P115" s="47"/>
      <c r="Q115" s="47"/>
      <c r="R115" s="47"/>
      <c r="S115" s="47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spans="1:29" ht="12" x14ac:dyDescent="0.15">
      <c r="J116" s="70" t="s">
        <v>19</v>
      </c>
      <c r="K116" s="64"/>
      <c r="L116" s="40"/>
      <c r="M116" s="40"/>
      <c r="N116" s="66"/>
      <c r="O116" s="67"/>
      <c r="P116" s="67"/>
      <c r="Q116" s="67"/>
      <c r="R116" s="67"/>
      <c r="S116" s="67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 spans="1:29" ht="6.75" customHeight="1" x14ac:dyDescent="0.2">
      <c r="J117" s="74"/>
      <c r="K117" s="75"/>
      <c r="L117" s="75"/>
      <c r="M117" s="75"/>
      <c r="N117" s="75"/>
      <c r="O117" s="75"/>
      <c r="P117" s="75"/>
      <c r="Q117" s="75"/>
      <c r="R117" s="75"/>
      <c r="S117" s="75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spans="1:29" ht="12" x14ac:dyDescent="0.15">
      <c r="A118" s="1" t="s">
        <v>52</v>
      </c>
      <c r="B118" s="1" t="str">
        <f ca="1">_xll.DBRA(db_name&amp;":account",A118,"description")</f>
        <v/>
      </c>
      <c r="C118" s="1" t="s">
        <v>13</v>
      </c>
      <c r="D118" s="1" t="str">
        <f ca="1">_xll.DBRA(db_name&amp;":movement account",C118,"description")</f>
        <v/>
      </c>
      <c r="J118" s="42"/>
      <c r="K118" s="43" t="str">
        <f ca="1">A118&amp;" - "&amp;B118</f>
        <v xml:space="preserve">2241002 - </v>
      </c>
      <c r="L118" s="44" t="str">
        <f ca="1">IF(C118="No_Mvt",C118,C118&amp;" - "&amp;D118)</f>
        <v>No_Mvt</v>
      </c>
      <c r="M118" s="45" t="str">
        <f ca="1">IF(LEFT(A118,4)="9000","Special Account",VLOOKUP(LEFT(A118,1)*1,$P$60:$Q$66,2,FALSE))</f>
        <v>Expense Account</v>
      </c>
      <c r="N118" s="46" t="str" cm="1">
        <f t="array" aca="1" ref="N118" ca="1">_xll.DBRW($C$47,$M$83,$M$84,$C$48,$C$49,$C$50,$C$51,$C$52,$C$53,$C$54,$C$55,$C118,$C$56,$M$82,$A118,$C$57,$C$58,N$86)</f>
        <v/>
      </c>
      <c r="O118" s="47" t="str" cm="1">
        <f t="array" aca="1" ref="O118" ca="1">_xll.DBRW($C$47,$M$83,$M$84,$C$48,$C$49,$C$50,$C$51,$C$52,$C$53,$C$54,$C$55,$C118,$C$56,$M$82,$A118,$C$57,$C$58,O$86)</f>
        <v/>
      </c>
      <c r="P118" s="47" t="str" cm="1">
        <f t="array" aca="1" ref="P118" ca="1">_xll.DBRW($C$47,$M$83,$M$84,$C$48,$C$49,$C$50,$C$51,$C$52,$C$53,$C$54,$C$55,$C118,$C$56,$M$82,$A118,$C$57,$C$58,P$86)</f>
        <v/>
      </c>
      <c r="Q118" s="47" t="str" cm="1">
        <f t="array" aca="1" ref="Q118" ca="1">_xll.DBRW($C$47,$M$83,$M$84,$C$48,$C$49,$C$50,$C$51,$C$52,$C$53,$C$54,$C$55,$C118,$C$56,$M$82,$A118,$C$57,$C$58,Q$86)</f>
        <v/>
      </c>
      <c r="R118" s="47" t="str" cm="1">
        <f t="array" aca="1" ref="R118" ca="1">_xll.DBRW($C$47,$M$83,$M$84,$C$48,$C$49,$C$50,$C$51,$C$52,$C$53,$C$54,$C$55,$C118,$C$56,$M$82,$A118,$C$57,$C$58,R$86)</f>
        <v/>
      </c>
      <c r="S118" s="48" t="str" cm="1">
        <f t="array" aca="1" ref="S118" ca="1">_xll.DBRW($C$47,$M$83,$M$84,$C$48,$C$49,$C$50,$C$51,$C$52,$C$53,$C$54,$C$55,$C118,$C$56,$M$82,$A118,$C$57,$C$58,S$86)</f>
        <v/>
      </c>
      <c r="T118" s="10" t="str" cm="1">
        <f t="array" aca="1" ref="T118" ca="1">_xll.DBRW($C$47,$M$83,$M$84,$C$48,$C$49,$C$50,$C$51,$C$52,$C$53,$C$54,$C$55,$C118,$C$56,$M$82,$A118,$C$57,$C$58,T$86)</f>
        <v/>
      </c>
      <c r="U118" s="10" t="str" cm="1">
        <f t="array" aca="1" ref="U118" ca="1">_xll.DBRW($C$47,$M$83,$M$84,$C$48,$C$49,$C$50,$C$51,$C$52,$C$53,$C$54,$C$55,$C118,$C$56,$M$82,$A118,$C$57,$C$58,U$86)</f>
        <v/>
      </c>
      <c r="V118" s="10" t="str" cm="1">
        <f t="array" aca="1" ref="V118" ca="1">_xll.DBRW($C$47,$M$83,$M$84,$C$48,$C$49,$C$50,$C$51,$C$52,$C$53,$C$54,$C$55,$C118,$C$56,$M$82,$A118,$C$57,$C$58,V$86)</f>
        <v/>
      </c>
      <c r="W118" s="10" t="str" cm="1">
        <f t="array" aca="1" ref="W118" ca="1">_xll.DBRW($C$47,$M$83,$M$84,$C$48,$C$49,$C$50,$C$51,$C$52,$C$53,$C$54,$C$55,$C118,$C$56,$M$82,$A118,$C$57,$C$58,W$86)</f>
        <v/>
      </c>
      <c r="X118" s="10" t="str" cm="1">
        <f t="array" aca="1" ref="X118" ca="1">_xll.DBRW($C$47,$M$83,$M$84,$C$48,$C$49,$C$50,$C$51,$C$52,$C$53,$C$54,$C$55,$C118,$C$56,$M$82,$A118,$C$57,$C$58,X$86)</f>
        <v/>
      </c>
      <c r="Y118" s="10" t="str" cm="1">
        <f t="array" aca="1" ref="Y118" ca="1">_xll.DBRW($C$47,$M$83,$M$84,$C$48,$C$49,$C$50,$C$51,$C$52,$C$53,$C$54,$C$55,$C118,$C$56,$M$82,$A118,$C$57,$C$58,Y$86)</f>
        <v/>
      </c>
      <c r="Z118" s="10" t="str" cm="1">
        <f t="array" aca="1" ref="Z118" ca="1">_xll.DBRW($C$47,$M$83,$M$84,$C$48,$C$49,$C$50,$C$51,$C$52,$C$53,$C$54,$C$55,$C118,$C$56,$M$82,$A118,$C$57,$C$58,Z$86)</f>
        <v/>
      </c>
      <c r="AA118" s="10" t="str" cm="1">
        <f t="array" aca="1" ref="AA118" ca="1">_xll.DBRW($C$47,$M$83,$M$84,$C$48,$C$49,$C$50,$C$51,$C$52,$C$53,$C$54,$C$55,$C118,$C$56,$M$82,$A118,$C$57,$C$58,AA$86)</f>
        <v/>
      </c>
      <c r="AB118" s="10" t="str" cm="1">
        <f t="array" aca="1" ref="AB118" ca="1">_xll.DBRW($C$47,$M$83,$M$84,$C$48,$C$49,$C$50,$C$51,$C$52,$C$53,$C$54,$C$55,$C118,$C$56,$M$82,$A118,$C$57,$C$58,AB$86)</f>
        <v/>
      </c>
      <c r="AC118" s="11" t="str" cm="1">
        <f t="array" aca="1" ref="AC118" ca="1">_xll.DBRW($C$47,$M$83,$M$84,$C$48,$C$49,$C$50,$C$51,$C$52,$C$53,$C$54,$C$55,$C118,$C$56,$M$82,$A118,$C$57,$C$58,AC$86)</f>
        <v/>
      </c>
    </row>
    <row r="119" spans="1:29" ht="12" x14ac:dyDescent="0.15">
      <c r="A119" s="1" t="s">
        <v>45</v>
      </c>
      <c r="B119" s="1" t="str">
        <f ca="1">_xll.DBRA(db_name&amp;":account",A119,"description")</f>
        <v/>
      </c>
      <c r="C119" s="88" t="s">
        <v>143</v>
      </c>
      <c r="D119" s="1" t="str">
        <f ca="1">_xll.DBRA(db_name&amp;":movement account",C119,"description")</f>
        <v/>
      </c>
      <c r="J119" s="63" t="s">
        <v>15</v>
      </c>
      <c r="K119" s="64" t="str">
        <f ca="1">A119&amp;" - "&amp;B119</f>
        <v xml:space="preserve">5311002 - </v>
      </c>
      <c r="L119" s="64" t="str">
        <f ca="1">IF(C119="No_Mvt",C119,C119&amp;" - "&amp;D119)</f>
        <v xml:space="preserve">7353 - </v>
      </c>
      <c r="M119" s="65" t="str">
        <f ca="1">IF(LEFT(A119,4)="9000","Special Account",VLOOKUP(LEFT(A119,1)*1,$P$60:$Q$66,2,FALSE))</f>
        <v>Asset Account</v>
      </c>
      <c r="N119" s="66" t="str" cm="1">
        <f t="array" aca="1" ref="N119" ca="1">_xll.DBRW($C$47,$M$83,$M$84,$C$48,$C$49,$C$50,$C$51,$C$52,$C$53,$C$54,$C$55,$C119,$C$56,$M$82,$A119,$C$57,$C$58,N$86)</f>
        <v/>
      </c>
      <c r="O119" s="67" t="str" cm="1">
        <f t="array" aca="1" ref="O119" ca="1">_xll.DBRW($C$47,$M$83,$M$84,$C$48,$C$49,$C$50,$C$51,$C$52,$C$53,$C$54,$C$55,$C119,$C$56,$M$82,$A119,$C$57,$C$58,O$86)</f>
        <v/>
      </c>
      <c r="P119" s="67" t="str" cm="1">
        <f t="array" aca="1" ref="P119" ca="1">_xll.DBRW($C$47,$M$83,$M$84,$C$48,$C$49,$C$50,$C$51,$C$52,$C$53,$C$54,$C$55,$C119,$C$56,$M$82,$A119,$C$57,$C$58,P$86)</f>
        <v/>
      </c>
      <c r="Q119" s="67" t="str" cm="1">
        <f t="array" aca="1" ref="Q119" ca="1">_xll.DBRW($C$47,$M$83,$M$84,$C$48,$C$49,$C$50,$C$51,$C$52,$C$53,$C$54,$C$55,$C119,$C$56,$M$82,$A119,$C$57,$C$58,Q$86)</f>
        <v/>
      </c>
      <c r="R119" s="67" t="str" cm="1">
        <f t="array" aca="1" ref="R119" ca="1">_xll.DBRW($C$47,$M$83,$M$84,$C$48,$C$49,$C$50,$C$51,$C$52,$C$53,$C$54,$C$55,$C119,$C$56,$M$82,$A119,$C$57,$C$58,R$86)</f>
        <v/>
      </c>
      <c r="S119" s="68" t="str" cm="1">
        <f t="array" aca="1" ref="S119" ca="1">_xll.DBRW($C$47,$M$83,$M$84,$C$48,$C$49,$C$50,$C$51,$C$52,$C$53,$C$54,$C$55,$C119,$C$56,$M$82,$A119,$C$57,$C$58,S$86)</f>
        <v/>
      </c>
      <c r="T119" s="14" t="str" cm="1">
        <f t="array" aca="1" ref="T119" ca="1">_xll.DBRW($C$47,$M$83,$M$84,$C$48,$C$49,$C$50,$C$51,$C$52,$C$53,$C$54,$C$55,$C119,$C$56,$M$82,$A119,$C$57,$C$58,T$86)</f>
        <v/>
      </c>
      <c r="U119" s="14" t="str" cm="1">
        <f t="array" aca="1" ref="U119" ca="1">_xll.DBRW($C$47,$M$83,$M$84,$C$48,$C$49,$C$50,$C$51,$C$52,$C$53,$C$54,$C$55,$C119,$C$56,$M$82,$A119,$C$57,$C$58,U$86)</f>
        <v/>
      </c>
      <c r="V119" s="14" t="str" cm="1">
        <f t="array" aca="1" ref="V119" ca="1">_xll.DBRW($C$47,$M$83,$M$84,$C$48,$C$49,$C$50,$C$51,$C$52,$C$53,$C$54,$C$55,$C119,$C$56,$M$82,$A119,$C$57,$C$58,V$86)</f>
        <v/>
      </c>
      <c r="W119" s="14" t="str" cm="1">
        <f t="array" aca="1" ref="W119" ca="1">_xll.DBRW($C$47,$M$83,$M$84,$C$48,$C$49,$C$50,$C$51,$C$52,$C$53,$C$54,$C$55,$C119,$C$56,$M$82,$A119,$C$57,$C$58,W$86)</f>
        <v/>
      </c>
      <c r="X119" s="14" t="str" cm="1">
        <f t="array" aca="1" ref="X119" ca="1">_xll.DBRW($C$47,$M$83,$M$84,$C$48,$C$49,$C$50,$C$51,$C$52,$C$53,$C$54,$C$55,$C119,$C$56,$M$82,$A119,$C$57,$C$58,X$86)</f>
        <v/>
      </c>
      <c r="Y119" s="14" t="str" cm="1">
        <f t="array" aca="1" ref="Y119" ca="1">_xll.DBRW($C$47,$M$83,$M$84,$C$48,$C$49,$C$50,$C$51,$C$52,$C$53,$C$54,$C$55,$C119,$C$56,$M$82,$A119,$C$57,$C$58,Y$86)</f>
        <v/>
      </c>
      <c r="Z119" s="14" t="str" cm="1">
        <f t="array" aca="1" ref="Z119" ca="1">_xll.DBRW($C$47,$M$83,$M$84,$C$48,$C$49,$C$50,$C$51,$C$52,$C$53,$C$54,$C$55,$C119,$C$56,$M$82,$A119,$C$57,$C$58,Z$86)</f>
        <v/>
      </c>
      <c r="AA119" s="14" t="str" cm="1">
        <f t="array" aca="1" ref="AA119" ca="1">_xll.DBRW($C$47,$M$83,$M$84,$C$48,$C$49,$C$50,$C$51,$C$52,$C$53,$C$54,$C$55,$C119,$C$56,$M$82,$A119,$C$57,$C$58,AA$86)</f>
        <v/>
      </c>
      <c r="AB119" s="14" t="str" cm="1">
        <f t="array" aca="1" ref="AB119" ca="1">_xll.DBRW($C$47,$M$83,$M$84,$C$48,$C$49,$C$50,$C$51,$C$52,$C$53,$C$54,$C$55,$C119,$C$56,$M$82,$A119,$C$57,$C$58,AB$86)</f>
        <v/>
      </c>
      <c r="AC119" s="15" t="str" cm="1">
        <f t="array" aca="1" ref="AC119" ca="1">_xll.DBRW($C$47,$M$83,$M$84,$C$48,$C$49,$C$50,$C$51,$C$52,$C$53,$C$54,$C$55,$C119,$C$56,$M$82,$A119,$C$57,$C$58,AC$86)</f>
        <v/>
      </c>
    </row>
    <row r="120" spans="1:29" ht="12" x14ac:dyDescent="0.15">
      <c r="A120" s="1" t="s">
        <v>45</v>
      </c>
      <c r="B120" s="1" t="str">
        <f ca="1">_xll.DBRA(db_name&amp;":account",A120,"description")</f>
        <v/>
      </c>
      <c r="C120" s="1" t="s">
        <v>58</v>
      </c>
      <c r="D120" s="1" t="str">
        <f ca="1">_xll.DBRA(db_name&amp;":movement account",C120,"description")</f>
        <v/>
      </c>
      <c r="J120" s="49" t="s">
        <v>16</v>
      </c>
      <c r="K120" s="50" t="str">
        <f ca="1">A120&amp;" - "&amp;B120</f>
        <v xml:space="preserve">5311002 - </v>
      </c>
      <c r="L120" s="50" t="str">
        <f ca="1">IF(C120="No_Mvt",C120,C120&amp;" - "&amp;D120)</f>
        <v xml:space="preserve">7153 - </v>
      </c>
      <c r="M120" s="65" t="str">
        <f ca="1">IF(LEFT(A120,4)="9000","Special Account",VLOOKUP(LEFT(A120,1)*1,$P$60:$Q$66,2,FALSE))</f>
        <v>Asset Account</v>
      </c>
      <c r="N120" s="66" t="str" cm="1">
        <f t="array" aca="1" ref="N120" ca="1">_xll.DBRW($C$47,$M$83,$M$84,$C$48,$C$49,$C$50,$C$51,$C$52,$C$53,$C$54,$C$55,$C120,$C$56,$M$82,$A120,$C$57,$C$58,N$86)</f>
        <v/>
      </c>
      <c r="O120" s="67" t="str" cm="1">
        <f t="array" aca="1" ref="O120" ca="1">_xll.DBRW($C$47,$M$83,$M$84,$C$48,$C$49,$C$50,$C$51,$C$52,$C$53,$C$54,$C$55,$C120,$C$56,$M$82,$A120,$C$57,$C$58,O$86)</f>
        <v/>
      </c>
      <c r="P120" s="67" t="str" cm="1">
        <f t="array" aca="1" ref="P120" ca="1">_xll.DBRW($C$47,$M$83,$M$84,$C$48,$C$49,$C$50,$C$51,$C$52,$C$53,$C$54,$C$55,$C120,$C$56,$M$82,$A120,$C$57,$C$58,P$86)</f>
        <v/>
      </c>
      <c r="Q120" s="67" t="str" cm="1">
        <f t="array" aca="1" ref="Q120" ca="1">_xll.DBRW($C$47,$M$83,$M$84,$C$48,$C$49,$C$50,$C$51,$C$52,$C$53,$C$54,$C$55,$C120,$C$56,$M$82,$A120,$C$57,$C$58,Q$86)</f>
        <v/>
      </c>
      <c r="R120" s="67" t="str" cm="1">
        <f t="array" aca="1" ref="R120" ca="1">_xll.DBRW($C$47,$M$83,$M$84,$C$48,$C$49,$C$50,$C$51,$C$52,$C$53,$C$54,$C$55,$C120,$C$56,$M$82,$A120,$C$57,$C$58,R$86)</f>
        <v/>
      </c>
      <c r="S120" s="68" t="str" cm="1">
        <f t="array" aca="1" ref="S120" ca="1">_xll.DBRW($C$47,$M$83,$M$84,$C$48,$C$49,$C$50,$C$51,$C$52,$C$53,$C$54,$C$55,$C120,$C$56,$M$82,$A120,$C$57,$C$58,S$86)</f>
        <v/>
      </c>
      <c r="T120" s="14" t="str" cm="1">
        <f t="array" aca="1" ref="T120" ca="1">_xll.DBRW($C$47,$M$83,$M$84,$C$48,$C$49,$C$50,$C$51,$C$52,$C$53,$C$54,$C$55,$C120,$C$56,$M$82,$A120,$C$57,$C$58,T$86)</f>
        <v/>
      </c>
      <c r="U120" s="14" t="str" cm="1">
        <f t="array" aca="1" ref="U120" ca="1">_xll.DBRW($C$47,$M$83,$M$84,$C$48,$C$49,$C$50,$C$51,$C$52,$C$53,$C$54,$C$55,$C120,$C$56,$M$82,$A120,$C$57,$C$58,U$86)</f>
        <v/>
      </c>
      <c r="V120" s="14" t="str" cm="1">
        <f t="array" aca="1" ref="V120" ca="1">_xll.DBRW($C$47,$M$83,$M$84,$C$48,$C$49,$C$50,$C$51,$C$52,$C$53,$C$54,$C$55,$C120,$C$56,$M$82,$A120,$C$57,$C$58,V$86)</f>
        <v/>
      </c>
      <c r="W120" s="14" t="str" cm="1">
        <f t="array" aca="1" ref="W120" ca="1">_xll.DBRW($C$47,$M$83,$M$84,$C$48,$C$49,$C$50,$C$51,$C$52,$C$53,$C$54,$C$55,$C120,$C$56,$M$82,$A120,$C$57,$C$58,W$86)</f>
        <v/>
      </c>
      <c r="X120" s="14" t="str" cm="1">
        <f t="array" aca="1" ref="X120" ca="1">_xll.DBRW($C$47,$M$83,$M$84,$C$48,$C$49,$C$50,$C$51,$C$52,$C$53,$C$54,$C$55,$C120,$C$56,$M$82,$A120,$C$57,$C$58,X$86)</f>
        <v/>
      </c>
      <c r="Y120" s="14" t="str" cm="1">
        <f t="array" aca="1" ref="Y120" ca="1">_xll.DBRW($C$47,$M$83,$M$84,$C$48,$C$49,$C$50,$C$51,$C$52,$C$53,$C$54,$C$55,$C120,$C$56,$M$82,$A120,$C$57,$C$58,Y$86)</f>
        <v/>
      </c>
      <c r="Z120" s="14" t="str" cm="1">
        <f t="array" aca="1" ref="Z120" ca="1">_xll.DBRW($C$47,$M$83,$M$84,$C$48,$C$49,$C$50,$C$51,$C$52,$C$53,$C$54,$C$55,$C120,$C$56,$M$82,$A120,$C$57,$C$58,Z$86)</f>
        <v/>
      </c>
      <c r="AA120" s="14" t="str" cm="1">
        <f t="array" aca="1" ref="AA120" ca="1">_xll.DBRW($C$47,$M$83,$M$84,$C$48,$C$49,$C$50,$C$51,$C$52,$C$53,$C$54,$C$55,$C120,$C$56,$M$82,$A120,$C$57,$C$58,AA$86)</f>
        <v/>
      </c>
      <c r="AB120" s="14" t="str" cm="1">
        <f t="array" aca="1" ref="AB120" ca="1">_xll.DBRW($C$47,$M$83,$M$84,$C$48,$C$49,$C$50,$C$51,$C$52,$C$53,$C$54,$C$55,$C120,$C$56,$M$82,$A120,$C$57,$C$58,AB$86)</f>
        <v/>
      </c>
      <c r="AC120" s="15" t="str" cm="1">
        <f t="array" aca="1" ref="AC120" ca="1">_xll.DBRW($C$47,$M$83,$M$84,$C$48,$C$49,$C$50,$C$51,$C$52,$C$53,$C$54,$C$55,$C120,$C$56,$M$82,$A120,$C$57,$C$58,AC$86)</f>
        <v/>
      </c>
    </row>
    <row r="121" spans="1:29" s="2" customFormat="1" ht="21" customHeight="1" x14ac:dyDescent="0.15">
      <c r="J121" s="85" t="s">
        <v>69</v>
      </c>
      <c r="K121" s="77" t="s">
        <v>87</v>
      </c>
      <c r="L121" s="78"/>
      <c r="M121" s="79"/>
      <c r="N121" s="80" t="e">
        <f ca="1">N120+N119-N118</f>
        <v>#VALUE!</v>
      </c>
      <c r="O121" s="81" t="e">
        <f t="shared" ref="O121:AC121" ca="1" si="45">O120+O119-O118</f>
        <v>#VALUE!</v>
      </c>
      <c r="P121" s="81" t="e">
        <f t="shared" ca="1" si="45"/>
        <v>#VALUE!</v>
      </c>
      <c r="Q121" s="81" t="e">
        <f t="shared" ca="1" si="45"/>
        <v>#VALUE!</v>
      </c>
      <c r="R121" s="81" t="e">
        <f t="shared" ca="1" si="45"/>
        <v>#VALUE!</v>
      </c>
      <c r="S121" s="82" t="e">
        <f t="shared" ca="1" si="45"/>
        <v>#VALUE!</v>
      </c>
      <c r="T121" s="83" t="e">
        <f t="shared" ca="1" si="45"/>
        <v>#VALUE!</v>
      </c>
      <c r="U121" s="83" t="e">
        <f t="shared" ca="1" si="45"/>
        <v>#VALUE!</v>
      </c>
      <c r="V121" s="83" t="e">
        <f t="shared" ca="1" si="45"/>
        <v>#VALUE!</v>
      </c>
      <c r="W121" s="83" t="e">
        <f t="shared" ca="1" si="45"/>
        <v>#VALUE!</v>
      </c>
      <c r="X121" s="83" t="e">
        <f t="shared" ca="1" si="45"/>
        <v>#VALUE!</v>
      </c>
      <c r="Y121" s="83" t="e">
        <f t="shared" ca="1" si="45"/>
        <v>#VALUE!</v>
      </c>
      <c r="Z121" s="83" t="e">
        <f t="shared" ca="1" si="45"/>
        <v>#VALUE!</v>
      </c>
      <c r="AA121" s="83" t="e">
        <f t="shared" ca="1" si="45"/>
        <v>#VALUE!</v>
      </c>
      <c r="AB121" s="83" t="e">
        <f t="shared" ca="1" si="45"/>
        <v>#VALUE!</v>
      </c>
      <c r="AC121" s="84" t="e">
        <f t="shared" ca="1" si="45"/>
        <v>#VALUE!</v>
      </c>
    </row>
    <row r="122" spans="1:29" ht="12" x14ac:dyDescent="0.15">
      <c r="A122" s="1" t="s">
        <v>53</v>
      </c>
      <c r="B122" s="1" t="str">
        <f ca="1">_xll.DBRA(db_name&amp;":account",A122,"description")</f>
        <v/>
      </c>
      <c r="C122" s="1" t="s">
        <v>13</v>
      </c>
      <c r="D122" s="1" t="str">
        <f ca="1">_xll.DBRA(db_name&amp;":movement account",C122,"description")</f>
        <v/>
      </c>
      <c r="J122" s="63"/>
      <c r="K122" s="64" t="str">
        <f ca="1">A122&amp;" - "&amp;B122</f>
        <v xml:space="preserve">2241003 - </v>
      </c>
      <c r="L122" s="40" t="str">
        <f ca="1">IF(C122="No_Mvt",C122,C122&amp;" - "&amp;D122)</f>
        <v>No_Mvt</v>
      </c>
      <c r="M122" s="65" t="str">
        <f ca="1">IF(LEFT(A122,4)="9000","Special Account",VLOOKUP(LEFT(A122,1)*1,$P$60:$Q$66,2,FALSE))</f>
        <v>Expense Account</v>
      </c>
      <c r="N122" s="71" t="str" cm="1">
        <f t="array" aca="1" ref="N122" ca="1">_xll.DBRW($C$47,$M$83,$M$84,$C$48,$C$49,$C$50,$C$51,$C$52,$C$53,$C$54,$C$55,$C122,$C$56,$M$82,$A122,$C$57,$C$58,N$86)</f>
        <v/>
      </c>
      <c r="O122" s="72" t="str" cm="1">
        <f t="array" aca="1" ref="O122" ca="1">_xll.DBRW($C$47,$M$83,$M$84,$C$48,$C$49,$C$50,$C$51,$C$52,$C$53,$C$54,$C$55,$C122,$C$56,$M$82,$A122,$C$57,$C$58,O$86)</f>
        <v/>
      </c>
      <c r="P122" s="72" t="str" cm="1">
        <f t="array" aca="1" ref="P122" ca="1">_xll.DBRW($C$47,$M$83,$M$84,$C$48,$C$49,$C$50,$C$51,$C$52,$C$53,$C$54,$C$55,$C122,$C$56,$M$82,$A122,$C$57,$C$58,P$86)</f>
        <v/>
      </c>
      <c r="Q122" s="72" t="str" cm="1">
        <f t="array" aca="1" ref="Q122" ca="1">_xll.DBRW($C$47,$M$83,$M$84,$C$48,$C$49,$C$50,$C$51,$C$52,$C$53,$C$54,$C$55,$C122,$C$56,$M$82,$A122,$C$57,$C$58,Q$86)</f>
        <v/>
      </c>
      <c r="R122" s="72" t="str" cm="1">
        <f t="array" aca="1" ref="R122" ca="1">_xll.DBRW($C$47,$M$83,$M$84,$C$48,$C$49,$C$50,$C$51,$C$52,$C$53,$C$54,$C$55,$C122,$C$56,$M$82,$A122,$C$57,$C$58,R$86)</f>
        <v/>
      </c>
      <c r="S122" s="73" t="str" cm="1">
        <f t="array" aca="1" ref="S122" ca="1">_xll.DBRW($C$47,$M$83,$M$84,$C$48,$C$49,$C$50,$C$51,$C$52,$C$53,$C$54,$C$55,$C122,$C$56,$M$82,$A122,$C$57,$C$58,S$86)</f>
        <v/>
      </c>
      <c r="T122" s="18" t="str" cm="1">
        <f t="array" aca="1" ref="T122" ca="1">_xll.DBRW($C$47,$M$83,$M$84,$C$48,$C$49,$C$50,$C$51,$C$52,$C$53,$C$54,$C$55,$C122,$C$56,$M$82,$A122,$C$57,$C$58,T$86)</f>
        <v/>
      </c>
      <c r="U122" s="18" t="str" cm="1">
        <f t="array" aca="1" ref="U122" ca="1">_xll.DBRW($C$47,$M$83,$M$84,$C$48,$C$49,$C$50,$C$51,$C$52,$C$53,$C$54,$C$55,$C122,$C$56,$M$82,$A122,$C$57,$C$58,U$86)</f>
        <v/>
      </c>
      <c r="V122" s="18" t="str" cm="1">
        <f t="array" aca="1" ref="V122" ca="1">_xll.DBRW($C$47,$M$83,$M$84,$C$48,$C$49,$C$50,$C$51,$C$52,$C$53,$C$54,$C$55,$C122,$C$56,$M$82,$A122,$C$57,$C$58,V$86)</f>
        <v/>
      </c>
      <c r="W122" s="18" t="str" cm="1">
        <f t="array" aca="1" ref="W122" ca="1">_xll.DBRW($C$47,$M$83,$M$84,$C$48,$C$49,$C$50,$C$51,$C$52,$C$53,$C$54,$C$55,$C122,$C$56,$M$82,$A122,$C$57,$C$58,W$86)</f>
        <v/>
      </c>
      <c r="X122" s="18" t="str" cm="1">
        <f t="array" aca="1" ref="X122" ca="1">_xll.DBRW($C$47,$M$83,$M$84,$C$48,$C$49,$C$50,$C$51,$C$52,$C$53,$C$54,$C$55,$C122,$C$56,$M$82,$A122,$C$57,$C$58,X$86)</f>
        <v/>
      </c>
      <c r="Y122" s="18" t="str" cm="1">
        <f t="array" aca="1" ref="Y122" ca="1">_xll.DBRW($C$47,$M$83,$M$84,$C$48,$C$49,$C$50,$C$51,$C$52,$C$53,$C$54,$C$55,$C122,$C$56,$M$82,$A122,$C$57,$C$58,Y$86)</f>
        <v/>
      </c>
      <c r="Z122" s="18" t="str" cm="1">
        <f t="array" aca="1" ref="Z122" ca="1">_xll.DBRW($C$47,$M$83,$M$84,$C$48,$C$49,$C$50,$C$51,$C$52,$C$53,$C$54,$C$55,$C122,$C$56,$M$82,$A122,$C$57,$C$58,Z$86)</f>
        <v/>
      </c>
      <c r="AA122" s="18" t="str" cm="1">
        <f t="array" aca="1" ref="AA122" ca="1">_xll.DBRW($C$47,$M$83,$M$84,$C$48,$C$49,$C$50,$C$51,$C$52,$C$53,$C$54,$C$55,$C122,$C$56,$M$82,$A122,$C$57,$C$58,AA$86)</f>
        <v/>
      </c>
      <c r="AB122" s="18" t="str" cm="1">
        <f t="array" aca="1" ref="AB122" ca="1">_xll.DBRW($C$47,$M$83,$M$84,$C$48,$C$49,$C$50,$C$51,$C$52,$C$53,$C$54,$C$55,$C122,$C$56,$M$82,$A122,$C$57,$C$58,AB$86)</f>
        <v/>
      </c>
      <c r="AC122" s="19" t="str" cm="1">
        <f t="array" aca="1" ref="AC122" ca="1">_xll.DBRW($C$47,$M$83,$M$84,$C$48,$C$49,$C$50,$C$51,$C$52,$C$53,$C$54,$C$55,$C122,$C$56,$M$82,$A122,$C$57,$C$58,AC$86)</f>
        <v/>
      </c>
    </row>
    <row r="123" spans="1:29" ht="12" x14ac:dyDescent="0.15">
      <c r="A123" s="1" t="s">
        <v>46</v>
      </c>
      <c r="B123" s="1" t="str">
        <f ca="1">_xll.DBRA(db_name&amp;":account",A123,"description")</f>
        <v/>
      </c>
      <c r="C123" s="88" t="s">
        <v>143</v>
      </c>
      <c r="D123" s="1" t="str">
        <f ca="1">_xll.DBRA(db_name&amp;":movement account",C123,"description")</f>
        <v/>
      </c>
      <c r="J123" s="63" t="s">
        <v>15</v>
      </c>
      <c r="K123" s="64" t="str">
        <f ca="1">A123&amp;" - "&amp;B123</f>
        <v xml:space="preserve">5312002 - </v>
      </c>
      <c r="L123" s="64" t="str">
        <f ca="1">IF(C123="No_Mvt",C123,C123&amp;" - "&amp;D123)</f>
        <v xml:space="preserve">7353 - </v>
      </c>
      <c r="M123" s="65" t="str">
        <f ca="1">IF(LEFT(A123,4)="9000","Special Account",VLOOKUP(LEFT(A123,1)*1,$P$60:$Q$66,2,FALSE))</f>
        <v>Asset Account</v>
      </c>
      <c r="N123" s="71" t="str" cm="1">
        <f t="array" aca="1" ref="N123" ca="1">_xll.DBRW($C$47,$M$83,$M$84,$C$48,$C$49,$C$50,$C$51,$C$52,$C$53,$C$54,$C$55,$C123,$C$56,$M$82,$A123,$C$57,$C$58,N$86)</f>
        <v/>
      </c>
      <c r="O123" s="72" t="str" cm="1">
        <f t="array" aca="1" ref="O123" ca="1">_xll.DBRW($C$47,$M$83,$M$84,$C$48,$C$49,$C$50,$C$51,$C$52,$C$53,$C$54,$C$55,$C123,$C$56,$M$82,$A123,$C$57,$C$58,O$86)</f>
        <v/>
      </c>
      <c r="P123" s="72" t="str" cm="1">
        <f t="array" aca="1" ref="P123" ca="1">_xll.DBRW($C$47,$M$83,$M$84,$C$48,$C$49,$C$50,$C$51,$C$52,$C$53,$C$54,$C$55,$C123,$C$56,$M$82,$A123,$C$57,$C$58,P$86)</f>
        <v/>
      </c>
      <c r="Q123" s="72" t="str" cm="1">
        <f t="array" aca="1" ref="Q123" ca="1">_xll.DBRW($C$47,$M$83,$M$84,$C$48,$C$49,$C$50,$C$51,$C$52,$C$53,$C$54,$C$55,$C123,$C$56,$M$82,$A123,$C$57,$C$58,Q$86)</f>
        <v/>
      </c>
      <c r="R123" s="72" t="str" cm="1">
        <f t="array" aca="1" ref="R123" ca="1">_xll.DBRW($C$47,$M$83,$M$84,$C$48,$C$49,$C$50,$C$51,$C$52,$C$53,$C$54,$C$55,$C123,$C$56,$M$82,$A123,$C$57,$C$58,R$86)</f>
        <v/>
      </c>
      <c r="S123" s="73" t="str" cm="1">
        <f t="array" aca="1" ref="S123" ca="1">_xll.DBRW($C$47,$M$83,$M$84,$C$48,$C$49,$C$50,$C$51,$C$52,$C$53,$C$54,$C$55,$C123,$C$56,$M$82,$A123,$C$57,$C$58,S$86)</f>
        <v/>
      </c>
      <c r="T123" s="18" t="str" cm="1">
        <f t="array" aca="1" ref="T123" ca="1">_xll.DBRW($C$47,$M$83,$M$84,$C$48,$C$49,$C$50,$C$51,$C$52,$C$53,$C$54,$C$55,$C123,$C$56,$M$82,$A123,$C$57,$C$58,T$86)</f>
        <v/>
      </c>
      <c r="U123" s="18" t="str" cm="1">
        <f t="array" aca="1" ref="U123" ca="1">_xll.DBRW($C$47,$M$83,$M$84,$C$48,$C$49,$C$50,$C$51,$C$52,$C$53,$C$54,$C$55,$C123,$C$56,$M$82,$A123,$C$57,$C$58,U$86)</f>
        <v/>
      </c>
      <c r="V123" s="18" t="str" cm="1">
        <f t="array" aca="1" ref="V123" ca="1">_xll.DBRW($C$47,$M$83,$M$84,$C$48,$C$49,$C$50,$C$51,$C$52,$C$53,$C$54,$C$55,$C123,$C$56,$M$82,$A123,$C$57,$C$58,V$86)</f>
        <v/>
      </c>
      <c r="W123" s="18" t="str" cm="1">
        <f t="array" aca="1" ref="W123" ca="1">_xll.DBRW($C$47,$M$83,$M$84,$C$48,$C$49,$C$50,$C$51,$C$52,$C$53,$C$54,$C$55,$C123,$C$56,$M$82,$A123,$C$57,$C$58,W$86)</f>
        <v/>
      </c>
      <c r="X123" s="18" t="str" cm="1">
        <f t="array" aca="1" ref="X123" ca="1">_xll.DBRW($C$47,$M$83,$M$84,$C$48,$C$49,$C$50,$C$51,$C$52,$C$53,$C$54,$C$55,$C123,$C$56,$M$82,$A123,$C$57,$C$58,X$86)</f>
        <v/>
      </c>
      <c r="Y123" s="18" t="str" cm="1">
        <f t="array" aca="1" ref="Y123" ca="1">_xll.DBRW($C$47,$M$83,$M$84,$C$48,$C$49,$C$50,$C$51,$C$52,$C$53,$C$54,$C$55,$C123,$C$56,$M$82,$A123,$C$57,$C$58,Y$86)</f>
        <v/>
      </c>
      <c r="Z123" s="18" t="str" cm="1">
        <f t="array" aca="1" ref="Z123" ca="1">_xll.DBRW($C$47,$M$83,$M$84,$C$48,$C$49,$C$50,$C$51,$C$52,$C$53,$C$54,$C$55,$C123,$C$56,$M$82,$A123,$C$57,$C$58,Z$86)</f>
        <v/>
      </c>
      <c r="AA123" s="18" t="str" cm="1">
        <f t="array" aca="1" ref="AA123" ca="1">_xll.DBRW($C$47,$M$83,$M$84,$C$48,$C$49,$C$50,$C$51,$C$52,$C$53,$C$54,$C$55,$C123,$C$56,$M$82,$A123,$C$57,$C$58,AA$86)</f>
        <v/>
      </c>
      <c r="AB123" s="18" t="str" cm="1">
        <f t="array" aca="1" ref="AB123" ca="1">_xll.DBRW($C$47,$M$83,$M$84,$C$48,$C$49,$C$50,$C$51,$C$52,$C$53,$C$54,$C$55,$C123,$C$56,$M$82,$A123,$C$57,$C$58,AB$86)</f>
        <v/>
      </c>
      <c r="AC123" s="19" t="str" cm="1">
        <f t="array" aca="1" ref="AC123" ca="1">_xll.DBRW($C$47,$M$83,$M$84,$C$48,$C$49,$C$50,$C$51,$C$52,$C$53,$C$54,$C$55,$C123,$C$56,$M$82,$A123,$C$57,$C$58,AC$86)</f>
        <v/>
      </c>
    </row>
    <row r="124" spans="1:29" ht="12" x14ac:dyDescent="0.15">
      <c r="A124" s="1" t="s">
        <v>46</v>
      </c>
      <c r="B124" s="1" t="str">
        <f ca="1">_xll.DBRA(db_name&amp;":account",A124,"description")</f>
        <v/>
      </c>
      <c r="C124" s="1" t="s">
        <v>58</v>
      </c>
      <c r="D124" s="1" t="str">
        <f ca="1">_xll.DBRA(db_name&amp;":movement account",C124,"description")</f>
        <v/>
      </c>
      <c r="J124" s="63" t="s">
        <v>16</v>
      </c>
      <c r="K124" s="64" t="str">
        <f ca="1">A124&amp;" - "&amp;B124</f>
        <v xml:space="preserve">5312002 - </v>
      </c>
      <c r="L124" s="64" t="str">
        <f ca="1">IF(C124="No_Mvt",C124,C124&amp;" - "&amp;D124)</f>
        <v xml:space="preserve">7153 - </v>
      </c>
      <c r="M124" s="65" t="str">
        <f ca="1">IF(LEFT(A124,4)="9000","Special Account",VLOOKUP(LEFT(A124,1)*1,$P$60:$Q$66,2,FALSE))</f>
        <v>Asset Account</v>
      </c>
      <c r="N124" s="71" t="str" cm="1">
        <f t="array" aca="1" ref="N124" ca="1">_xll.DBRW($C$47,$M$83,$M$84,$C$48,$C$49,$C$50,$C$51,$C$52,$C$53,$C$54,$C$55,$C124,$C$56,$M$82,$A124,$C$57,$C$58,N$86)</f>
        <v/>
      </c>
      <c r="O124" s="72" t="str" cm="1">
        <f t="array" aca="1" ref="O124" ca="1">_xll.DBRW($C$47,$M$83,$M$84,$C$48,$C$49,$C$50,$C$51,$C$52,$C$53,$C$54,$C$55,$C124,$C$56,$M$82,$A124,$C$57,$C$58,O$86)</f>
        <v/>
      </c>
      <c r="P124" s="72" t="str" cm="1">
        <f t="array" aca="1" ref="P124" ca="1">_xll.DBRW($C$47,$M$83,$M$84,$C$48,$C$49,$C$50,$C$51,$C$52,$C$53,$C$54,$C$55,$C124,$C$56,$M$82,$A124,$C$57,$C$58,P$86)</f>
        <v/>
      </c>
      <c r="Q124" s="72" t="str" cm="1">
        <f t="array" aca="1" ref="Q124" ca="1">_xll.DBRW($C$47,$M$83,$M$84,$C$48,$C$49,$C$50,$C$51,$C$52,$C$53,$C$54,$C$55,$C124,$C$56,$M$82,$A124,$C$57,$C$58,Q$86)</f>
        <v/>
      </c>
      <c r="R124" s="72" t="str" cm="1">
        <f t="array" aca="1" ref="R124" ca="1">_xll.DBRW($C$47,$M$83,$M$84,$C$48,$C$49,$C$50,$C$51,$C$52,$C$53,$C$54,$C$55,$C124,$C$56,$M$82,$A124,$C$57,$C$58,R$86)</f>
        <v/>
      </c>
      <c r="S124" s="73" t="str" cm="1">
        <f t="array" aca="1" ref="S124" ca="1">_xll.DBRW($C$47,$M$83,$M$84,$C$48,$C$49,$C$50,$C$51,$C$52,$C$53,$C$54,$C$55,$C124,$C$56,$M$82,$A124,$C$57,$C$58,S$86)</f>
        <v/>
      </c>
      <c r="T124" s="18" t="str" cm="1">
        <f t="array" aca="1" ref="T124" ca="1">_xll.DBRW($C$47,$M$83,$M$84,$C$48,$C$49,$C$50,$C$51,$C$52,$C$53,$C$54,$C$55,$C124,$C$56,$M$82,$A124,$C$57,$C$58,T$86)</f>
        <v/>
      </c>
      <c r="U124" s="18" t="str" cm="1">
        <f t="array" aca="1" ref="U124" ca="1">_xll.DBRW($C$47,$M$83,$M$84,$C$48,$C$49,$C$50,$C$51,$C$52,$C$53,$C$54,$C$55,$C124,$C$56,$M$82,$A124,$C$57,$C$58,U$86)</f>
        <v/>
      </c>
      <c r="V124" s="18" t="str" cm="1">
        <f t="array" aca="1" ref="V124" ca="1">_xll.DBRW($C$47,$M$83,$M$84,$C$48,$C$49,$C$50,$C$51,$C$52,$C$53,$C$54,$C$55,$C124,$C$56,$M$82,$A124,$C$57,$C$58,V$86)</f>
        <v/>
      </c>
      <c r="W124" s="18" t="str" cm="1">
        <f t="array" aca="1" ref="W124" ca="1">_xll.DBRW($C$47,$M$83,$M$84,$C$48,$C$49,$C$50,$C$51,$C$52,$C$53,$C$54,$C$55,$C124,$C$56,$M$82,$A124,$C$57,$C$58,W$86)</f>
        <v/>
      </c>
      <c r="X124" s="18" t="str" cm="1">
        <f t="array" aca="1" ref="X124" ca="1">_xll.DBRW($C$47,$M$83,$M$84,$C$48,$C$49,$C$50,$C$51,$C$52,$C$53,$C$54,$C$55,$C124,$C$56,$M$82,$A124,$C$57,$C$58,X$86)</f>
        <v/>
      </c>
      <c r="Y124" s="18" t="str" cm="1">
        <f t="array" aca="1" ref="Y124" ca="1">_xll.DBRW($C$47,$M$83,$M$84,$C$48,$C$49,$C$50,$C$51,$C$52,$C$53,$C$54,$C$55,$C124,$C$56,$M$82,$A124,$C$57,$C$58,Y$86)</f>
        <v/>
      </c>
      <c r="Z124" s="18" t="str" cm="1">
        <f t="array" aca="1" ref="Z124" ca="1">_xll.DBRW($C$47,$M$83,$M$84,$C$48,$C$49,$C$50,$C$51,$C$52,$C$53,$C$54,$C$55,$C124,$C$56,$M$82,$A124,$C$57,$C$58,Z$86)</f>
        <v/>
      </c>
      <c r="AA124" s="18" t="str" cm="1">
        <f t="array" aca="1" ref="AA124" ca="1">_xll.DBRW($C$47,$M$83,$M$84,$C$48,$C$49,$C$50,$C$51,$C$52,$C$53,$C$54,$C$55,$C124,$C$56,$M$82,$A124,$C$57,$C$58,AA$86)</f>
        <v/>
      </c>
      <c r="AB124" s="18" t="str" cm="1">
        <f t="array" aca="1" ref="AB124" ca="1">_xll.DBRW($C$47,$M$83,$M$84,$C$48,$C$49,$C$50,$C$51,$C$52,$C$53,$C$54,$C$55,$C124,$C$56,$M$82,$A124,$C$57,$C$58,AB$86)</f>
        <v/>
      </c>
      <c r="AC124" s="19" t="str" cm="1">
        <f t="array" aca="1" ref="AC124" ca="1">_xll.DBRW($C$47,$M$83,$M$84,$C$48,$C$49,$C$50,$C$51,$C$52,$C$53,$C$54,$C$55,$C124,$C$56,$M$82,$A124,$C$57,$C$58,AC$86)</f>
        <v/>
      </c>
    </row>
    <row r="125" spans="1:29" s="2" customFormat="1" ht="21" customHeight="1" x14ac:dyDescent="0.15">
      <c r="J125" s="85" t="s">
        <v>70</v>
      </c>
      <c r="K125" s="77" t="s">
        <v>87</v>
      </c>
      <c r="L125" s="78"/>
      <c r="M125" s="79"/>
      <c r="N125" s="80" t="e">
        <f ca="1">N124+N123-N122</f>
        <v>#VALUE!</v>
      </c>
      <c r="O125" s="81" t="e">
        <f t="shared" ref="O125:AC125" ca="1" si="46">O124+O123-O122</f>
        <v>#VALUE!</v>
      </c>
      <c r="P125" s="81" t="e">
        <f t="shared" ca="1" si="46"/>
        <v>#VALUE!</v>
      </c>
      <c r="Q125" s="81" t="e">
        <f t="shared" ca="1" si="46"/>
        <v>#VALUE!</v>
      </c>
      <c r="R125" s="81" t="e">
        <f t="shared" ca="1" si="46"/>
        <v>#VALUE!</v>
      </c>
      <c r="S125" s="82" t="e">
        <f t="shared" ca="1" si="46"/>
        <v>#VALUE!</v>
      </c>
      <c r="T125" s="83" t="e">
        <f t="shared" ca="1" si="46"/>
        <v>#VALUE!</v>
      </c>
      <c r="U125" s="83" t="e">
        <f t="shared" ca="1" si="46"/>
        <v>#VALUE!</v>
      </c>
      <c r="V125" s="83" t="e">
        <f t="shared" ca="1" si="46"/>
        <v>#VALUE!</v>
      </c>
      <c r="W125" s="83" t="e">
        <f t="shared" ca="1" si="46"/>
        <v>#VALUE!</v>
      </c>
      <c r="X125" s="83" t="e">
        <f t="shared" ca="1" si="46"/>
        <v>#VALUE!</v>
      </c>
      <c r="Y125" s="83" t="e">
        <f t="shared" ca="1" si="46"/>
        <v>#VALUE!</v>
      </c>
      <c r="Z125" s="83" t="e">
        <f t="shared" ca="1" si="46"/>
        <v>#VALUE!</v>
      </c>
      <c r="AA125" s="83" t="e">
        <f t="shared" ca="1" si="46"/>
        <v>#VALUE!</v>
      </c>
      <c r="AB125" s="83" t="e">
        <f t="shared" ca="1" si="46"/>
        <v>#VALUE!</v>
      </c>
      <c r="AC125" s="84" t="e">
        <f t="shared" ca="1" si="46"/>
        <v>#VALUE!</v>
      </c>
    </row>
    <row r="126" spans="1:29" ht="12" x14ac:dyDescent="0.15">
      <c r="A126" s="1" t="s">
        <v>54</v>
      </c>
      <c r="B126" s="1" t="str">
        <f ca="1">_xll.DBRA(db_name&amp;":account",A126,"description")</f>
        <v/>
      </c>
      <c r="C126" s="1" t="s">
        <v>13</v>
      </c>
      <c r="D126" s="1" t="str">
        <f ca="1">_xll.DBRA(db_name&amp;":movement account",C126,"description")</f>
        <v/>
      </c>
      <c r="J126" s="63"/>
      <c r="K126" s="64" t="str">
        <f ca="1">A126&amp;" - "&amp;B126</f>
        <v xml:space="preserve">2242002 - </v>
      </c>
      <c r="L126" s="40" t="str">
        <f ca="1">IF(C126="No_Mvt",C126,C126&amp;" - "&amp;D126)</f>
        <v>No_Mvt</v>
      </c>
      <c r="M126" s="65" t="str">
        <f ca="1">IF(LEFT(A126,4)="9000","Special Account",VLOOKUP(LEFT(A126,1)*1,$P$60:$Q$66,2,FALSE))</f>
        <v>Expense Account</v>
      </c>
      <c r="N126" s="71" t="str" cm="1">
        <f t="array" aca="1" ref="N126" ca="1">_xll.DBRW($C$47,$M$83,$M$84,$C$48,$C$49,$C$50,$C$51,$C$52,$C$53,$C$54,$C$55,$C126,$C$56,$M$82,$A126,$C$57,$C$58,N$86)</f>
        <v/>
      </c>
      <c r="O126" s="72" t="str" cm="1">
        <f t="array" aca="1" ref="O126" ca="1">_xll.DBRW($C$47,$M$83,$M$84,$C$48,$C$49,$C$50,$C$51,$C$52,$C$53,$C$54,$C$55,$C126,$C$56,$M$82,$A126,$C$57,$C$58,O$86)</f>
        <v/>
      </c>
      <c r="P126" s="72" t="str" cm="1">
        <f t="array" aca="1" ref="P126" ca="1">_xll.DBRW($C$47,$M$83,$M$84,$C$48,$C$49,$C$50,$C$51,$C$52,$C$53,$C$54,$C$55,$C126,$C$56,$M$82,$A126,$C$57,$C$58,P$86)</f>
        <v/>
      </c>
      <c r="Q126" s="72" t="str" cm="1">
        <f t="array" aca="1" ref="Q126" ca="1">_xll.DBRW($C$47,$M$83,$M$84,$C$48,$C$49,$C$50,$C$51,$C$52,$C$53,$C$54,$C$55,$C126,$C$56,$M$82,$A126,$C$57,$C$58,Q$86)</f>
        <v/>
      </c>
      <c r="R126" s="72" t="str" cm="1">
        <f t="array" aca="1" ref="R126" ca="1">_xll.DBRW($C$47,$M$83,$M$84,$C$48,$C$49,$C$50,$C$51,$C$52,$C$53,$C$54,$C$55,$C126,$C$56,$M$82,$A126,$C$57,$C$58,R$86)</f>
        <v/>
      </c>
      <c r="S126" s="73" t="str" cm="1">
        <f t="array" aca="1" ref="S126" ca="1">_xll.DBRW($C$47,$M$83,$M$84,$C$48,$C$49,$C$50,$C$51,$C$52,$C$53,$C$54,$C$55,$C126,$C$56,$M$82,$A126,$C$57,$C$58,S$86)</f>
        <v/>
      </c>
      <c r="T126" s="18" t="str" cm="1">
        <f t="array" aca="1" ref="T126" ca="1">_xll.DBRW($C$47,$M$83,$M$84,$C$48,$C$49,$C$50,$C$51,$C$52,$C$53,$C$54,$C$55,$C126,$C$56,$M$82,$A126,$C$57,$C$58,T$86)</f>
        <v/>
      </c>
      <c r="U126" s="18" t="str" cm="1">
        <f t="array" aca="1" ref="U126" ca="1">_xll.DBRW($C$47,$M$83,$M$84,$C$48,$C$49,$C$50,$C$51,$C$52,$C$53,$C$54,$C$55,$C126,$C$56,$M$82,$A126,$C$57,$C$58,U$86)</f>
        <v/>
      </c>
      <c r="V126" s="18" t="str" cm="1">
        <f t="array" aca="1" ref="V126" ca="1">_xll.DBRW($C$47,$M$83,$M$84,$C$48,$C$49,$C$50,$C$51,$C$52,$C$53,$C$54,$C$55,$C126,$C$56,$M$82,$A126,$C$57,$C$58,V$86)</f>
        <v/>
      </c>
      <c r="W126" s="18" t="str" cm="1">
        <f t="array" aca="1" ref="W126" ca="1">_xll.DBRW($C$47,$M$83,$M$84,$C$48,$C$49,$C$50,$C$51,$C$52,$C$53,$C$54,$C$55,$C126,$C$56,$M$82,$A126,$C$57,$C$58,W$86)</f>
        <v/>
      </c>
      <c r="X126" s="18" t="str" cm="1">
        <f t="array" aca="1" ref="X126" ca="1">_xll.DBRW($C$47,$M$83,$M$84,$C$48,$C$49,$C$50,$C$51,$C$52,$C$53,$C$54,$C$55,$C126,$C$56,$M$82,$A126,$C$57,$C$58,X$86)</f>
        <v/>
      </c>
      <c r="Y126" s="18" t="str" cm="1">
        <f t="array" aca="1" ref="Y126" ca="1">_xll.DBRW($C$47,$M$83,$M$84,$C$48,$C$49,$C$50,$C$51,$C$52,$C$53,$C$54,$C$55,$C126,$C$56,$M$82,$A126,$C$57,$C$58,Y$86)</f>
        <v/>
      </c>
      <c r="Z126" s="18" t="str" cm="1">
        <f t="array" aca="1" ref="Z126" ca="1">_xll.DBRW($C$47,$M$83,$M$84,$C$48,$C$49,$C$50,$C$51,$C$52,$C$53,$C$54,$C$55,$C126,$C$56,$M$82,$A126,$C$57,$C$58,Z$86)</f>
        <v/>
      </c>
      <c r="AA126" s="18" t="str" cm="1">
        <f t="array" aca="1" ref="AA126" ca="1">_xll.DBRW($C$47,$M$83,$M$84,$C$48,$C$49,$C$50,$C$51,$C$52,$C$53,$C$54,$C$55,$C126,$C$56,$M$82,$A126,$C$57,$C$58,AA$86)</f>
        <v/>
      </c>
      <c r="AB126" s="18" t="str" cm="1">
        <f t="array" aca="1" ref="AB126" ca="1">_xll.DBRW($C$47,$M$83,$M$84,$C$48,$C$49,$C$50,$C$51,$C$52,$C$53,$C$54,$C$55,$C126,$C$56,$M$82,$A126,$C$57,$C$58,AB$86)</f>
        <v/>
      </c>
      <c r="AC126" s="19" t="str" cm="1">
        <f t="array" aca="1" ref="AC126" ca="1">_xll.DBRW($C$47,$M$83,$M$84,$C$48,$C$49,$C$50,$C$51,$C$52,$C$53,$C$54,$C$55,$C126,$C$56,$M$82,$A126,$C$57,$C$58,AC$86)</f>
        <v/>
      </c>
    </row>
    <row r="127" spans="1:29" ht="12" x14ac:dyDescent="0.15">
      <c r="A127" s="1" t="s">
        <v>47</v>
      </c>
      <c r="B127" s="1" t="str">
        <f ca="1">_xll.DBRA(db_name&amp;":account",A127,"description")</f>
        <v/>
      </c>
      <c r="C127" s="88" t="s">
        <v>143</v>
      </c>
      <c r="D127" s="1" t="str">
        <f ca="1">_xll.DBRA(db_name&amp;":movement account",C127,"description")</f>
        <v/>
      </c>
      <c r="J127" s="63" t="s">
        <v>15</v>
      </c>
      <c r="K127" s="64" t="str">
        <f ca="1">A127&amp;" - "&amp;B127</f>
        <v xml:space="preserve">5313001 - </v>
      </c>
      <c r="L127" s="64" t="str">
        <f ca="1">IF(C127="No_Mvt",C127,C127&amp;" - "&amp;D127)</f>
        <v xml:space="preserve">7353 - </v>
      </c>
      <c r="M127" s="65" t="str">
        <f ca="1">IF(LEFT(A127,4)="9000","Special Account",VLOOKUP(LEFT(A127,1)*1,$P$60:$Q$66,2,FALSE))</f>
        <v>Asset Account</v>
      </c>
      <c r="N127" s="71" t="str" cm="1">
        <f t="array" aca="1" ref="N127" ca="1">_xll.DBRW($C$47,$M$83,$M$84,$C$48,$C$49,$C$50,$C$51,$C$52,$C$53,$C$54,$C$55,$C127,$C$56,$M$82,$A127,$C$57,$C$58,N$86)</f>
        <v/>
      </c>
      <c r="O127" s="72" t="str" cm="1">
        <f t="array" aca="1" ref="O127" ca="1">_xll.DBRW($C$47,$M$83,$M$84,$C$48,$C$49,$C$50,$C$51,$C$52,$C$53,$C$54,$C$55,$C127,$C$56,$M$82,$A127,$C$57,$C$58,O$86)</f>
        <v/>
      </c>
      <c r="P127" s="72" t="str" cm="1">
        <f t="array" aca="1" ref="P127" ca="1">_xll.DBRW($C$47,$M$83,$M$84,$C$48,$C$49,$C$50,$C$51,$C$52,$C$53,$C$54,$C$55,$C127,$C$56,$M$82,$A127,$C$57,$C$58,P$86)</f>
        <v/>
      </c>
      <c r="Q127" s="72" t="str" cm="1">
        <f t="array" aca="1" ref="Q127" ca="1">_xll.DBRW($C$47,$M$83,$M$84,$C$48,$C$49,$C$50,$C$51,$C$52,$C$53,$C$54,$C$55,$C127,$C$56,$M$82,$A127,$C$57,$C$58,Q$86)</f>
        <v/>
      </c>
      <c r="R127" s="72" t="str" cm="1">
        <f t="array" aca="1" ref="R127" ca="1">_xll.DBRW($C$47,$M$83,$M$84,$C$48,$C$49,$C$50,$C$51,$C$52,$C$53,$C$54,$C$55,$C127,$C$56,$M$82,$A127,$C$57,$C$58,R$86)</f>
        <v/>
      </c>
      <c r="S127" s="73" t="str" cm="1">
        <f t="array" aca="1" ref="S127" ca="1">_xll.DBRW($C$47,$M$83,$M$84,$C$48,$C$49,$C$50,$C$51,$C$52,$C$53,$C$54,$C$55,$C127,$C$56,$M$82,$A127,$C$57,$C$58,S$86)</f>
        <v/>
      </c>
      <c r="T127" s="18" t="str" cm="1">
        <f t="array" aca="1" ref="T127" ca="1">_xll.DBRW($C$47,$M$83,$M$84,$C$48,$C$49,$C$50,$C$51,$C$52,$C$53,$C$54,$C$55,$C127,$C$56,$M$82,$A127,$C$57,$C$58,T$86)</f>
        <v/>
      </c>
      <c r="U127" s="18" t="str" cm="1">
        <f t="array" aca="1" ref="U127" ca="1">_xll.DBRW($C$47,$M$83,$M$84,$C$48,$C$49,$C$50,$C$51,$C$52,$C$53,$C$54,$C$55,$C127,$C$56,$M$82,$A127,$C$57,$C$58,U$86)</f>
        <v/>
      </c>
      <c r="V127" s="18" t="str" cm="1">
        <f t="array" aca="1" ref="V127" ca="1">_xll.DBRW($C$47,$M$83,$M$84,$C$48,$C$49,$C$50,$C$51,$C$52,$C$53,$C$54,$C$55,$C127,$C$56,$M$82,$A127,$C$57,$C$58,V$86)</f>
        <v/>
      </c>
      <c r="W127" s="18" t="str" cm="1">
        <f t="array" aca="1" ref="W127" ca="1">_xll.DBRW($C$47,$M$83,$M$84,$C$48,$C$49,$C$50,$C$51,$C$52,$C$53,$C$54,$C$55,$C127,$C$56,$M$82,$A127,$C$57,$C$58,W$86)</f>
        <v/>
      </c>
      <c r="X127" s="18" t="str" cm="1">
        <f t="array" aca="1" ref="X127" ca="1">_xll.DBRW($C$47,$M$83,$M$84,$C$48,$C$49,$C$50,$C$51,$C$52,$C$53,$C$54,$C$55,$C127,$C$56,$M$82,$A127,$C$57,$C$58,X$86)</f>
        <v/>
      </c>
      <c r="Y127" s="18" t="str" cm="1">
        <f t="array" aca="1" ref="Y127" ca="1">_xll.DBRW($C$47,$M$83,$M$84,$C$48,$C$49,$C$50,$C$51,$C$52,$C$53,$C$54,$C$55,$C127,$C$56,$M$82,$A127,$C$57,$C$58,Y$86)</f>
        <v/>
      </c>
      <c r="Z127" s="18" t="str" cm="1">
        <f t="array" aca="1" ref="Z127" ca="1">_xll.DBRW($C$47,$M$83,$M$84,$C$48,$C$49,$C$50,$C$51,$C$52,$C$53,$C$54,$C$55,$C127,$C$56,$M$82,$A127,$C$57,$C$58,Z$86)</f>
        <v/>
      </c>
      <c r="AA127" s="18" t="str" cm="1">
        <f t="array" aca="1" ref="AA127" ca="1">_xll.DBRW($C$47,$M$83,$M$84,$C$48,$C$49,$C$50,$C$51,$C$52,$C$53,$C$54,$C$55,$C127,$C$56,$M$82,$A127,$C$57,$C$58,AA$86)</f>
        <v/>
      </c>
      <c r="AB127" s="18" t="str" cm="1">
        <f t="array" aca="1" ref="AB127" ca="1">_xll.DBRW($C$47,$M$83,$M$84,$C$48,$C$49,$C$50,$C$51,$C$52,$C$53,$C$54,$C$55,$C127,$C$56,$M$82,$A127,$C$57,$C$58,AB$86)</f>
        <v/>
      </c>
      <c r="AC127" s="19" t="str" cm="1">
        <f t="array" aca="1" ref="AC127" ca="1">_xll.DBRW($C$47,$M$83,$M$84,$C$48,$C$49,$C$50,$C$51,$C$52,$C$53,$C$54,$C$55,$C127,$C$56,$M$82,$A127,$C$57,$C$58,AC$86)</f>
        <v/>
      </c>
    </row>
    <row r="128" spans="1:29" ht="12" x14ac:dyDescent="0.15">
      <c r="A128" s="1" t="s">
        <v>47</v>
      </c>
      <c r="B128" s="1" t="str">
        <f ca="1">_xll.DBRA(db_name&amp;":account",A128,"description")</f>
        <v/>
      </c>
      <c r="C128" s="1" t="s">
        <v>58</v>
      </c>
      <c r="D128" s="1" t="str">
        <f ca="1">_xll.DBRA(db_name&amp;":movement account",C128,"description")</f>
        <v/>
      </c>
      <c r="J128" s="63" t="s">
        <v>16</v>
      </c>
      <c r="K128" s="64" t="str">
        <f ca="1">A128&amp;" - "&amp;B128</f>
        <v xml:space="preserve">5313001 - </v>
      </c>
      <c r="L128" s="64" t="str">
        <f ca="1">IF(C128="No_Mvt",C128,C128&amp;" - "&amp;D128)</f>
        <v xml:space="preserve">7153 - </v>
      </c>
      <c r="M128" s="65" t="str">
        <f ca="1">IF(LEFT(A128,4)="9000","Special Account",VLOOKUP(LEFT(A128,1)*1,$P$60:$Q$66,2,FALSE))</f>
        <v>Asset Account</v>
      </c>
      <c r="N128" s="71" t="str" cm="1">
        <f t="array" aca="1" ref="N128" ca="1">_xll.DBRW($C$47,$M$83,$M$84,$C$48,$C$49,$C$50,$C$51,$C$52,$C$53,$C$54,$C$55,$C128,$C$56,$M$82,$A128,$C$57,$C$58,N$86)</f>
        <v/>
      </c>
      <c r="O128" s="72" t="str" cm="1">
        <f t="array" aca="1" ref="O128" ca="1">_xll.DBRW($C$47,$M$83,$M$84,$C$48,$C$49,$C$50,$C$51,$C$52,$C$53,$C$54,$C$55,$C128,$C$56,$M$82,$A128,$C$57,$C$58,O$86)</f>
        <v/>
      </c>
      <c r="P128" s="72" t="str" cm="1">
        <f t="array" aca="1" ref="P128" ca="1">_xll.DBRW($C$47,$M$83,$M$84,$C$48,$C$49,$C$50,$C$51,$C$52,$C$53,$C$54,$C$55,$C128,$C$56,$M$82,$A128,$C$57,$C$58,P$86)</f>
        <v/>
      </c>
      <c r="Q128" s="72" t="str" cm="1">
        <f t="array" aca="1" ref="Q128" ca="1">_xll.DBRW($C$47,$M$83,$M$84,$C$48,$C$49,$C$50,$C$51,$C$52,$C$53,$C$54,$C$55,$C128,$C$56,$M$82,$A128,$C$57,$C$58,Q$86)</f>
        <v/>
      </c>
      <c r="R128" s="72" t="str" cm="1">
        <f t="array" aca="1" ref="R128" ca="1">_xll.DBRW($C$47,$M$83,$M$84,$C$48,$C$49,$C$50,$C$51,$C$52,$C$53,$C$54,$C$55,$C128,$C$56,$M$82,$A128,$C$57,$C$58,R$86)</f>
        <v/>
      </c>
      <c r="S128" s="73" t="str" cm="1">
        <f t="array" aca="1" ref="S128" ca="1">_xll.DBRW($C$47,$M$83,$M$84,$C$48,$C$49,$C$50,$C$51,$C$52,$C$53,$C$54,$C$55,$C128,$C$56,$M$82,$A128,$C$57,$C$58,S$86)</f>
        <v/>
      </c>
      <c r="T128" s="18" t="str" cm="1">
        <f t="array" aca="1" ref="T128" ca="1">_xll.DBRW($C$47,$M$83,$M$84,$C$48,$C$49,$C$50,$C$51,$C$52,$C$53,$C$54,$C$55,$C128,$C$56,$M$82,$A128,$C$57,$C$58,T$86)</f>
        <v/>
      </c>
      <c r="U128" s="18" t="str" cm="1">
        <f t="array" aca="1" ref="U128" ca="1">_xll.DBRW($C$47,$M$83,$M$84,$C$48,$C$49,$C$50,$C$51,$C$52,$C$53,$C$54,$C$55,$C128,$C$56,$M$82,$A128,$C$57,$C$58,U$86)</f>
        <v/>
      </c>
      <c r="V128" s="18" t="str" cm="1">
        <f t="array" aca="1" ref="V128" ca="1">_xll.DBRW($C$47,$M$83,$M$84,$C$48,$C$49,$C$50,$C$51,$C$52,$C$53,$C$54,$C$55,$C128,$C$56,$M$82,$A128,$C$57,$C$58,V$86)</f>
        <v/>
      </c>
      <c r="W128" s="18" t="str" cm="1">
        <f t="array" aca="1" ref="W128" ca="1">_xll.DBRW($C$47,$M$83,$M$84,$C$48,$C$49,$C$50,$C$51,$C$52,$C$53,$C$54,$C$55,$C128,$C$56,$M$82,$A128,$C$57,$C$58,W$86)</f>
        <v/>
      </c>
      <c r="X128" s="18" t="str" cm="1">
        <f t="array" aca="1" ref="X128" ca="1">_xll.DBRW($C$47,$M$83,$M$84,$C$48,$C$49,$C$50,$C$51,$C$52,$C$53,$C$54,$C$55,$C128,$C$56,$M$82,$A128,$C$57,$C$58,X$86)</f>
        <v/>
      </c>
      <c r="Y128" s="18" t="str" cm="1">
        <f t="array" aca="1" ref="Y128" ca="1">_xll.DBRW($C$47,$M$83,$M$84,$C$48,$C$49,$C$50,$C$51,$C$52,$C$53,$C$54,$C$55,$C128,$C$56,$M$82,$A128,$C$57,$C$58,Y$86)</f>
        <v/>
      </c>
      <c r="Z128" s="18" t="str" cm="1">
        <f t="array" aca="1" ref="Z128" ca="1">_xll.DBRW($C$47,$M$83,$M$84,$C$48,$C$49,$C$50,$C$51,$C$52,$C$53,$C$54,$C$55,$C128,$C$56,$M$82,$A128,$C$57,$C$58,Z$86)</f>
        <v/>
      </c>
      <c r="AA128" s="18" t="str" cm="1">
        <f t="array" aca="1" ref="AA128" ca="1">_xll.DBRW($C$47,$M$83,$M$84,$C$48,$C$49,$C$50,$C$51,$C$52,$C$53,$C$54,$C$55,$C128,$C$56,$M$82,$A128,$C$57,$C$58,AA$86)</f>
        <v/>
      </c>
      <c r="AB128" s="18" t="str" cm="1">
        <f t="array" aca="1" ref="AB128" ca="1">_xll.DBRW($C$47,$M$83,$M$84,$C$48,$C$49,$C$50,$C$51,$C$52,$C$53,$C$54,$C$55,$C128,$C$56,$M$82,$A128,$C$57,$C$58,AB$86)</f>
        <v/>
      </c>
      <c r="AC128" s="19" t="str" cm="1">
        <f t="array" aca="1" ref="AC128" ca="1">_xll.DBRW($C$47,$M$83,$M$84,$C$48,$C$49,$C$50,$C$51,$C$52,$C$53,$C$54,$C$55,$C128,$C$56,$M$82,$A128,$C$57,$C$58,AC$86)</f>
        <v/>
      </c>
    </row>
    <row r="129" spans="1:29" s="2" customFormat="1" ht="24" x14ac:dyDescent="0.15">
      <c r="A129" s="2" t="s">
        <v>22</v>
      </c>
      <c r="D129" s="2" t="str">
        <f ca="1">_xll.DBRA(db_name&amp;":movement account",C129,"description")</f>
        <v/>
      </c>
      <c r="J129" s="85" t="s">
        <v>71</v>
      </c>
      <c r="K129" s="77" t="s">
        <v>87</v>
      </c>
      <c r="L129" s="78"/>
      <c r="M129" s="79"/>
      <c r="N129" s="80" t="e">
        <f ca="1">N128+N127-N126</f>
        <v>#VALUE!</v>
      </c>
      <c r="O129" s="81" t="e">
        <f t="shared" ref="O129:AC129" ca="1" si="47">O128+O127-O126</f>
        <v>#VALUE!</v>
      </c>
      <c r="P129" s="81" t="e">
        <f t="shared" ca="1" si="47"/>
        <v>#VALUE!</v>
      </c>
      <c r="Q129" s="81" t="e">
        <f t="shared" ca="1" si="47"/>
        <v>#VALUE!</v>
      </c>
      <c r="R129" s="81" t="e">
        <f t="shared" ca="1" si="47"/>
        <v>#VALUE!</v>
      </c>
      <c r="S129" s="82" t="e">
        <f t="shared" ca="1" si="47"/>
        <v>#VALUE!</v>
      </c>
      <c r="T129" s="83" t="e">
        <f t="shared" ca="1" si="47"/>
        <v>#VALUE!</v>
      </c>
      <c r="U129" s="83" t="e">
        <f t="shared" ca="1" si="47"/>
        <v>#VALUE!</v>
      </c>
      <c r="V129" s="83" t="e">
        <f t="shared" ca="1" si="47"/>
        <v>#VALUE!</v>
      </c>
      <c r="W129" s="83" t="e">
        <f t="shared" ca="1" si="47"/>
        <v>#VALUE!</v>
      </c>
      <c r="X129" s="83" t="e">
        <f t="shared" ca="1" si="47"/>
        <v>#VALUE!</v>
      </c>
      <c r="Y129" s="83" t="e">
        <f t="shared" ca="1" si="47"/>
        <v>#VALUE!</v>
      </c>
      <c r="Z129" s="83" t="e">
        <f t="shared" ca="1" si="47"/>
        <v>#VALUE!</v>
      </c>
      <c r="AA129" s="83" t="e">
        <f t="shared" ca="1" si="47"/>
        <v>#VALUE!</v>
      </c>
      <c r="AB129" s="83" t="e">
        <f t="shared" ca="1" si="47"/>
        <v>#VALUE!</v>
      </c>
      <c r="AC129" s="84" t="e">
        <f t="shared" ca="1" si="47"/>
        <v>#VALUE!</v>
      </c>
    </row>
    <row r="130" spans="1:29" ht="12" x14ac:dyDescent="0.15">
      <c r="A130" s="1" t="s">
        <v>45</v>
      </c>
      <c r="B130" s="1" t="str">
        <f ca="1">_xll.DBRA(db_name&amp;":account",A130,"description")</f>
        <v/>
      </c>
      <c r="C130" s="88" t="s">
        <v>146</v>
      </c>
      <c r="D130" s="1" t="str">
        <f ca="1">_xll.DBRA(db_name&amp;":movement account",C130,"description")</f>
        <v/>
      </c>
      <c r="J130" s="63"/>
      <c r="K130" s="64" t="str">
        <f ca="1">A130&amp;" - "&amp;B130</f>
        <v xml:space="preserve">5311002 - </v>
      </c>
      <c r="L130" s="64" t="str">
        <f ca="1">IF(C130="No_Mvt",C130,C130&amp;" - "&amp;D130)</f>
        <v xml:space="preserve">7321 - </v>
      </c>
      <c r="M130" s="65" t="str">
        <f ca="1">IF(LEFT(A130,4)="9000","Special Account",VLOOKUP(LEFT(A130,1)*1,$P$60:$Q$66,2,FALSE))</f>
        <v>Asset Account</v>
      </c>
      <c r="N130" s="71" t="str" cm="1">
        <f t="array" aca="1" ref="N130" ca="1">_xll.DBRW($C$47,$M$83,$M$84,$C$48,$C$49,$C$50,$C$51,$C$52,$C$53,$C$54,$C$55,$C130,$C$56,$M$82,$A130,$C$57,$C$58,N$86)</f>
        <v/>
      </c>
      <c r="O130" s="72" t="str" cm="1">
        <f t="array" aca="1" ref="O130" ca="1">_xll.DBRW($C$47,$M$83,$M$84,$C$48,$C$49,$C$50,$C$51,$C$52,$C$53,$C$54,$C$55,$C130,$C$56,$M$82,$A130,$C$57,$C$58,O$86)</f>
        <v/>
      </c>
      <c r="P130" s="72" t="str" cm="1">
        <f t="array" aca="1" ref="P130" ca="1">_xll.DBRW($C$47,$M$83,$M$84,$C$48,$C$49,$C$50,$C$51,$C$52,$C$53,$C$54,$C$55,$C130,$C$56,$M$82,$A130,$C$57,$C$58,P$86)</f>
        <v/>
      </c>
      <c r="Q130" s="72" t="str" cm="1">
        <f t="array" aca="1" ref="Q130" ca="1">_xll.DBRW($C$47,$M$83,$M$84,$C$48,$C$49,$C$50,$C$51,$C$52,$C$53,$C$54,$C$55,$C130,$C$56,$M$82,$A130,$C$57,$C$58,Q$86)</f>
        <v/>
      </c>
      <c r="R130" s="72" t="str" cm="1">
        <f t="array" aca="1" ref="R130" ca="1">_xll.DBRW($C$47,$M$83,$M$84,$C$48,$C$49,$C$50,$C$51,$C$52,$C$53,$C$54,$C$55,$C130,$C$56,$M$82,$A130,$C$57,$C$58,R$86)</f>
        <v/>
      </c>
      <c r="S130" s="73" t="str" cm="1">
        <f t="array" aca="1" ref="S130" ca="1">_xll.DBRW($C$47,$M$83,$M$84,$C$48,$C$49,$C$50,$C$51,$C$52,$C$53,$C$54,$C$55,$C130,$C$56,$M$82,$A130,$C$57,$C$58,S$86)</f>
        <v/>
      </c>
      <c r="T130" s="18" t="str" cm="1">
        <f t="array" aca="1" ref="T130" ca="1">_xll.DBRW($C$47,$M$83,$M$84,$C$48,$C$49,$C$50,$C$51,$C$52,$C$53,$C$54,$C$55,$C130,$C$56,$M$82,$A130,$C$57,$C$58,T$86)</f>
        <v/>
      </c>
      <c r="U130" s="18" t="str" cm="1">
        <f t="array" aca="1" ref="U130" ca="1">_xll.DBRW($C$47,$M$83,$M$84,$C$48,$C$49,$C$50,$C$51,$C$52,$C$53,$C$54,$C$55,$C130,$C$56,$M$82,$A130,$C$57,$C$58,U$86)</f>
        <v/>
      </c>
      <c r="V130" s="18" t="str" cm="1">
        <f t="array" aca="1" ref="V130" ca="1">_xll.DBRW($C$47,$M$83,$M$84,$C$48,$C$49,$C$50,$C$51,$C$52,$C$53,$C$54,$C$55,$C130,$C$56,$M$82,$A130,$C$57,$C$58,V$86)</f>
        <v/>
      </c>
      <c r="W130" s="18" t="str" cm="1">
        <f t="array" aca="1" ref="W130" ca="1">_xll.DBRW($C$47,$M$83,$M$84,$C$48,$C$49,$C$50,$C$51,$C$52,$C$53,$C$54,$C$55,$C130,$C$56,$M$82,$A130,$C$57,$C$58,W$86)</f>
        <v/>
      </c>
      <c r="X130" s="18" t="str" cm="1">
        <f t="array" aca="1" ref="X130" ca="1">_xll.DBRW($C$47,$M$83,$M$84,$C$48,$C$49,$C$50,$C$51,$C$52,$C$53,$C$54,$C$55,$C130,$C$56,$M$82,$A130,$C$57,$C$58,X$86)</f>
        <v/>
      </c>
      <c r="Y130" s="18" t="str" cm="1">
        <f t="array" aca="1" ref="Y130" ca="1">_xll.DBRW($C$47,$M$83,$M$84,$C$48,$C$49,$C$50,$C$51,$C$52,$C$53,$C$54,$C$55,$C130,$C$56,$M$82,$A130,$C$57,$C$58,Y$86)</f>
        <v/>
      </c>
      <c r="Z130" s="18" t="str" cm="1">
        <f t="array" aca="1" ref="Z130" ca="1">_xll.DBRW($C$47,$M$83,$M$84,$C$48,$C$49,$C$50,$C$51,$C$52,$C$53,$C$54,$C$55,$C130,$C$56,$M$82,$A130,$C$57,$C$58,Z$86)</f>
        <v/>
      </c>
      <c r="AA130" s="18" t="str" cm="1">
        <f t="array" aca="1" ref="AA130" ca="1">_xll.DBRW($C$47,$M$83,$M$84,$C$48,$C$49,$C$50,$C$51,$C$52,$C$53,$C$54,$C$55,$C130,$C$56,$M$82,$A130,$C$57,$C$58,AA$86)</f>
        <v/>
      </c>
      <c r="AB130" s="18" t="str" cm="1">
        <f t="array" aca="1" ref="AB130" ca="1">_xll.DBRW($C$47,$M$83,$M$84,$C$48,$C$49,$C$50,$C$51,$C$52,$C$53,$C$54,$C$55,$C130,$C$56,$M$82,$A130,$C$57,$C$58,AB$86)</f>
        <v/>
      </c>
      <c r="AC130" s="19" t="str" cm="1">
        <f t="array" aca="1" ref="AC130" ca="1">_xll.DBRW($C$47,$M$83,$M$84,$C$48,$C$49,$C$50,$C$51,$C$52,$C$53,$C$54,$C$55,$C130,$C$56,$M$82,$A130,$C$57,$C$58,AC$86)</f>
        <v/>
      </c>
    </row>
    <row r="131" spans="1:29" ht="12" x14ac:dyDescent="0.15">
      <c r="A131" s="1" t="s">
        <v>46</v>
      </c>
      <c r="B131" s="1" t="str">
        <f ca="1">_xll.DBRA(db_name&amp;":account",A131,"description")</f>
        <v/>
      </c>
      <c r="C131" s="88" t="s">
        <v>146</v>
      </c>
      <c r="D131" s="1" t="str">
        <f ca="1">_xll.DBRA(db_name&amp;":movement account",C131,"description")</f>
        <v/>
      </c>
      <c r="J131" s="63" t="s">
        <v>16</v>
      </c>
      <c r="K131" s="64" t="str">
        <f ca="1">A131&amp;" - "&amp;B131</f>
        <v xml:space="preserve">5312002 - </v>
      </c>
      <c r="L131" s="64" t="str">
        <f ca="1">IF(C131="No_Mvt",C131,C131&amp;" - "&amp;D131)</f>
        <v xml:space="preserve">7321 - </v>
      </c>
      <c r="M131" s="65" t="str">
        <f ca="1">IF(LEFT(A131,4)="9000","Special Account",VLOOKUP(LEFT(A131,1)*1,$P$60:$Q$66,2,FALSE))</f>
        <v>Asset Account</v>
      </c>
      <c r="N131" s="71" t="str" cm="1">
        <f t="array" aca="1" ref="N131" ca="1">_xll.DBRW($C$47,$M$83,$M$84,$C$48,$C$49,$C$50,$C$51,$C$52,$C$53,$C$54,$C$55,$C131,$C$56,$M$82,$A131,$C$57,$C$58,N$86)</f>
        <v/>
      </c>
      <c r="O131" s="72" t="str" cm="1">
        <f t="array" aca="1" ref="O131" ca="1">_xll.DBRW($C$47,$M$83,$M$84,$C$48,$C$49,$C$50,$C$51,$C$52,$C$53,$C$54,$C$55,$C131,$C$56,$M$82,$A131,$C$57,$C$58,O$86)</f>
        <v/>
      </c>
      <c r="P131" s="72" t="str" cm="1">
        <f t="array" aca="1" ref="P131" ca="1">_xll.DBRW($C$47,$M$83,$M$84,$C$48,$C$49,$C$50,$C$51,$C$52,$C$53,$C$54,$C$55,$C131,$C$56,$M$82,$A131,$C$57,$C$58,P$86)</f>
        <v/>
      </c>
      <c r="Q131" s="72" t="str" cm="1">
        <f t="array" aca="1" ref="Q131" ca="1">_xll.DBRW($C$47,$M$83,$M$84,$C$48,$C$49,$C$50,$C$51,$C$52,$C$53,$C$54,$C$55,$C131,$C$56,$M$82,$A131,$C$57,$C$58,Q$86)</f>
        <v/>
      </c>
      <c r="R131" s="72" t="str" cm="1">
        <f t="array" aca="1" ref="R131" ca="1">_xll.DBRW($C$47,$M$83,$M$84,$C$48,$C$49,$C$50,$C$51,$C$52,$C$53,$C$54,$C$55,$C131,$C$56,$M$82,$A131,$C$57,$C$58,R$86)</f>
        <v/>
      </c>
      <c r="S131" s="73" t="str" cm="1">
        <f t="array" aca="1" ref="S131" ca="1">_xll.DBRW($C$47,$M$83,$M$84,$C$48,$C$49,$C$50,$C$51,$C$52,$C$53,$C$54,$C$55,$C131,$C$56,$M$82,$A131,$C$57,$C$58,S$86)</f>
        <v/>
      </c>
      <c r="T131" s="18" t="str" cm="1">
        <f t="array" aca="1" ref="T131" ca="1">_xll.DBRW($C$47,$M$83,$M$84,$C$48,$C$49,$C$50,$C$51,$C$52,$C$53,$C$54,$C$55,$C131,$C$56,$M$82,$A131,$C$57,$C$58,T$86)</f>
        <v/>
      </c>
      <c r="U131" s="18" t="str" cm="1">
        <f t="array" aca="1" ref="U131" ca="1">_xll.DBRW($C$47,$M$83,$M$84,$C$48,$C$49,$C$50,$C$51,$C$52,$C$53,$C$54,$C$55,$C131,$C$56,$M$82,$A131,$C$57,$C$58,U$86)</f>
        <v/>
      </c>
      <c r="V131" s="18" t="str" cm="1">
        <f t="array" aca="1" ref="V131" ca="1">_xll.DBRW($C$47,$M$83,$M$84,$C$48,$C$49,$C$50,$C$51,$C$52,$C$53,$C$54,$C$55,$C131,$C$56,$M$82,$A131,$C$57,$C$58,V$86)</f>
        <v/>
      </c>
      <c r="W131" s="18" t="str" cm="1">
        <f t="array" aca="1" ref="W131" ca="1">_xll.DBRW($C$47,$M$83,$M$84,$C$48,$C$49,$C$50,$C$51,$C$52,$C$53,$C$54,$C$55,$C131,$C$56,$M$82,$A131,$C$57,$C$58,W$86)</f>
        <v/>
      </c>
      <c r="X131" s="18" t="str" cm="1">
        <f t="array" aca="1" ref="X131" ca="1">_xll.DBRW($C$47,$M$83,$M$84,$C$48,$C$49,$C$50,$C$51,$C$52,$C$53,$C$54,$C$55,$C131,$C$56,$M$82,$A131,$C$57,$C$58,X$86)</f>
        <v/>
      </c>
      <c r="Y131" s="18" t="str" cm="1">
        <f t="array" aca="1" ref="Y131" ca="1">_xll.DBRW($C$47,$M$83,$M$84,$C$48,$C$49,$C$50,$C$51,$C$52,$C$53,$C$54,$C$55,$C131,$C$56,$M$82,$A131,$C$57,$C$58,Y$86)</f>
        <v/>
      </c>
      <c r="Z131" s="18" t="str" cm="1">
        <f t="array" aca="1" ref="Z131" ca="1">_xll.DBRW($C$47,$M$83,$M$84,$C$48,$C$49,$C$50,$C$51,$C$52,$C$53,$C$54,$C$55,$C131,$C$56,$M$82,$A131,$C$57,$C$58,Z$86)</f>
        <v/>
      </c>
      <c r="AA131" s="18" t="str" cm="1">
        <f t="array" aca="1" ref="AA131" ca="1">_xll.DBRW($C$47,$M$83,$M$84,$C$48,$C$49,$C$50,$C$51,$C$52,$C$53,$C$54,$C$55,$C131,$C$56,$M$82,$A131,$C$57,$C$58,AA$86)</f>
        <v/>
      </c>
      <c r="AB131" s="18" t="str" cm="1">
        <f t="array" aca="1" ref="AB131" ca="1">_xll.DBRW($C$47,$M$83,$M$84,$C$48,$C$49,$C$50,$C$51,$C$52,$C$53,$C$54,$C$55,$C131,$C$56,$M$82,$A131,$C$57,$C$58,AB$86)</f>
        <v/>
      </c>
      <c r="AC131" s="19" t="str" cm="1">
        <f t="array" aca="1" ref="AC131" ca="1">_xll.DBRW($C$47,$M$83,$M$84,$C$48,$C$49,$C$50,$C$51,$C$52,$C$53,$C$54,$C$55,$C131,$C$56,$M$82,$A131,$C$57,$C$58,AC$86)</f>
        <v/>
      </c>
    </row>
    <row r="132" spans="1:29" ht="12" x14ac:dyDescent="0.15">
      <c r="A132" s="88" t="s">
        <v>145</v>
      </c>
      <c r="B132" s="1" t="str">
        <f ca="1">_xll.DBRA(db_name&amp;":account",A132,"description")</f>
        <v/>
      </c>
      <c r="C132" s="1" t="s">
        <v>13</v>
      </c>
      <c r="D132" s="1" t="str">
        <f ca="1">_xll.DBRA(db_name&amp;":movement account",C132,"description")</f>
        <v/>
      </c>
      <c r="J132" s="63" t="s">
        <v>15</v>
      </c>
      <c r="K132" s="64" t="str">
        <f ca="1">A132&amp;" - "&amp;B132</f>
        <v xml:space="preserve">3240102 - </v>
      </c>
      <c r="L132" s="64" t="str">
        <f ca="1">IF(C132="No_Mvt",C132,C132&amp;" - "&amp;D132)</f>
        <v>No_Mvt</v>
      </c>
      <c r="M132" s="65" t="str">
        <f ca="1">IF(LEFT(A132,4)="9000","Special Account",VLOOKUP(LEFT(A132,1)*1,$P$60:$Q$66,2,FALSE))</f>
        <v>Liability Account</v>
      </c>
      <c r="N132" s="71" t="str" cm="1">
        <f t="array" aca="1" ref="N132" ca="1">_xll.DBRW($C$47,$M$83,$M$84,$C$48,$C$49,$C$50,$C$51,$C$52,$C$53,$C$54,$C$55,$C132,$C$56,$M$82,$A132,$C$57,$C$58,N$86)</f>
        <v/>
      </c>
      <c r="O132" s="72" t="str" cm="1">
        <f t="array" aca="1" ref="O132" ca="1">_xll.DBRW($C$47,$M$83,$M$84,$C$48,$C$49,$C$50,$C$51,$C$52,$C$53,$C$54,$C$55,$C132,$C$56,$M$82,$A132,$C$57,$C$58,O$86)</f>
        <v/>
      </c>
      <c r="P132" s="72" t="str" cm="1">
        <f t="array" aca="1" ref="P132" ca="1">_xll.DBRW($C$47,$M$83,$M$84,$C$48,$C$49,$C$50,$C$51,$C$52,$C$53,$C$54,$C$55,$C132,$C$56,$M$82,$A132,$C$57,$C$58,P$86)</f>
        <v/>
      </c>
      <c r="Q132" s="72" t="str" cm="1">
        <f t="array" aca="1" ref="Q132" ca="1">_xll.DBRW($C$47,$M$83,$M$84,$C$48,$C$49,$C$50,$C$51,$C$52,$C$53,$C$54,$C$55,$C132,$C$56,$M$82,$A132,$C$57,$C$58,Q$86)</f>
        <v/>
      </c>
      <c r="R132" s="72" t="str" cm="1">
        <f t="array" aca="1" ref="R132" ca="1">_xll.DBRW($C$47,$M$83,$M$84,$C$48,$C$49,$C$50,$C$51,$C$52,$C$53,$C$54,$C$55,$C132,$C$56,$M$82,$A132,$C$57,$C$58,R$86)</f>
        <v/>
      </c>
      <c r="S132" s="73" t="str" cm="1">
        <f t="array" aca="1" ref="S132" ca="1">_xll.DBRW($C$47,$M$83,$M$84,$C$48,$C$49,$C$50,$C$51,$C$52,$C$53,$C$54,$C$55,$C132,$C$56,$M$82,$A132,$C$57,$C$58,S$86)</f>
        <v/>
      </c>
      <c r="T132" s="18" t="str" cm="1">
        <f t="array" aca="1" ref="T132" ca="1">_xll.DBRW($C$47,$M$83,$M$84,$C$48,$C$49,$C$50,$C$51,$C$52,$C$53,$C$54,$C$55,$C132,$C$56,$M$82,$A132,$C$57,$C$58,T$86)</f>
        <v/>
      </c>
      <c r="U132" s="18" t="str" cm="1">
        <f t="array" aca="1" ref="U132" ca="1">_xll.DBRW($C$47,$M$83,$M$84,$C$48,$C$49,$C$50,$C$51,$C$52,$C$53,$C$54,$C$55,$C132,$C$56,$M$82,$A132,$C$57,$C$58,U$86)</f>
        <v/>
      </c>
      <c r="V132" s="18" t="str" cm="1">
        <f t="array" aca="1" ref="V132" ca="1">_xll.DBRW($C$47,$M$83,$M$84,$C$48,$C$49,$C$50,$C$51,$C$52,$C$53,$C$54,$C$55,$C132,$C$56,$M$82,$A132,$C$57,$C$58,V$86)</f>
        <v/>
      </c>
      <c r="W132" s="18" t="str" cm="1">
        <f t="array" aca="1" ref="W132" ca="1">_xll.DBRW($C$47,$M$83,$M$84,$C$48,$C$49,$C$50,$C$51,$C$52,$C$53,$C$54,$C$55,$C132,$C$56,$M$82,$A132,$C$57,$C$58,W$86)</f>
        <v/>
      </c>
      <c r="X132" s="18" t="str" cm="1">
        <f t="array" aca="1" ref="X132" ca="1">_xll.DBRW($C$47,$M$83,$M$84,$C$48,$C$49,$C$50,$C$51,$C$52,$C$53,$C$54,$C$55,$C132,$C$56,$M$82,$A132,$C$57,$C$58,X$86)</f>
        <v/>
      </c>
      <c r="Y132" s="18" t="str" cm="1">
        <f t="array" aca="1" ref="Y132" ca="1">_xll.DBRW($C$47,$M$83,$M$84,$C$48,$C$49,$C$50,$C$51,$C$52,$C$53,$C$54,$C$55,$C132,$C$56,$M$82,$A132,$C$57,$C$58,Y$86)</f>
        <v/>
      </c>
      <c r="Z132" s="18" t="str" cm="1">
        <f t="array" aca="1" ref="Z132" ca="1">_xll.DBRW($C$47,$M$83,$M$84,$C$48,$C$49,$C$50,$C$51,$C$52,$C$53,$C$54,$C$55,$C132,$C$56,$M$82,$A132,$C$57,$C$58,Z$86)</f>
        <v/>
      </c>
      <c r="AA132" s="18" t="str" cm="1">
        <f t="array" aca="1" ref="AA132" ca="1">_xll.DBRW($C$47,$M$83,$M$84,$C$48,$C$49,$C$50,$C$51,$C$52,$C$53,$C$54,$C$55,$C132,$C$56,$M$82,$A132,$C$57,$C$58,AA$86)</f>
        <v/>
      </c>
      <c r="AB132" s="18" t="str" cm="1">
        <f t="array" aca="1" ref="AB132" ca="1">_xll.DBRW($C$47,$M$83,$M$84,$C$48,$C$49,$C$50,$C$51,$C$52,$C$53,$C$54,$C$55,$C132,$C$56,$M$82,$A132,$C$57,$C$58,AB$86)</f>
        <v/>
      </c>
      <c r="AC132" s="19" t="str" cm="1">
        <f t="array" aca="1" ref="AC132" ca="1">_xll.DBRW($C$47,$M$83,$M$84,$C$48,$C$49,$C$50,$C$51,$C$52,$C$53,$C$54,$C$55,$C132,$C$56,$M$82,$A132,$C$57,$C$58,AC$86)</f>
        <v/>
      </c>
    </row>
    <row r="133" spans="1:29" s="2" customFormat="1" ht="24" x14ac:dyDescent="0.15">
      <c r="A133" s="2" t="s">
        <v>22</v>
      </c>
      <c r="D133" s="2" t="str">
        <f ca="1">_xll.DBRA(db_name&amp;":movement account",C133,"description")</f>
        <v/>
      </c>
      <c r="J133" s="89" t="s">
        <v>72</v>
      </c>
      <c r="K133" s="90" t="s">
        <v>144</v>
      </c>
      <c r="L133" s="78"/>
      <c r="M133" s="79"/>
      <c r="N133" s="80" t="e">
        <f ca="1">N130+N131-N132</f>
        <v>#VALUE!</v>
      </c>
      <c r="O133" s="81" t="e">
        <f t="shared" ref="O133:AC133" ca="1" si="48">O130+O131-O132</f>
        <v>#VALUE!</v>
      </c>
      <c r="P133" s="81" t="e">
        <f t="shared" ca="1" si="48"/>
        <v>#VALUE!</v>
      </c>
      <c r="Q133" s="81" t="e">
        <f t="shared" ca="1" si="48"/>
        <v>#VALUE!</v>
      </c>
      <c r="R133" s="81" t="e">
        <f t="shared" ca="1" si="48"/>
        <v>#VALUE!</v>
      </c>
      <c r="S133" s="82" t="e">
        <f t="shared" ca="1" si="48"/>
        <v>#VALUE!</v>
      </c>
      <c r="T133" s="83" t="e">
        <f t="shared" ca="1" si="48"/>
        <v>#VALUE!</v>
      </c>
      <c r="U133" s="83" t="e">
        <f t="shared" ca="1" si="48"/>
        <v>#VALUE!</v>
      </c>
      <c r="V133" s="83" t="e">
        <f t="shared" ca="1" si="48"/>
        <v>#VALUE!</v>
      </c>
      <c r="W133" s="83" t="e">
        <f t="shared" ca="1" si="48"/>
        <v>#VALUE!</v>
      </c>
      <c r="X133" s="83" t="e">
        <f t="shared" ca="1" si="48"/>
        <v>#VALUE!</v>
      </c>
      <c r="Y133" s="83" t="e">
        <f t="shared" ca="1" si="48"/>
        <v>#VALUE!</v>
      </c>
      <c r="Z133" s="83" t="e">
        <f t="shared" ca="1" si="48"/>
        <v>#VALUE!</v>
      </c>
      <c r="AA133" s="83" t="e">
        <f t="shared" ca="1" si="48"/>
        <v>#VALUE!</v>
      </c>
      <c r="AB133" s="83" t="e">
        <f t="shared" ca="1" si="48"/>
        <v>#VALUE!</v>
      </c>
      <c r="AC133" s="84" t="e">
        <f t="shared" ca="1" si="48"/>
        <v>#VALUE!</v>
      </c>
    </row>
    <row r="134" spans="1:29" ht="12" x14ac:dyDescent="0.15">
      <c r="J134" s="63"/>
      <c r="K134" s="64"/>
      <c r="L134" s="40"/>
      <c r="M134" s="40"/>
      <c r="N134" s="63"/>
      <c r="O134" s="63"/>
      <c r="P134" s="63"/>
      <c r="Q134" s="63"/>
      <c r="R134" s="63"/>
      <c r="S134" s="6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2" x14ac:dyDescent="0.15">
      <c r="J135" s="70" t="s">
        <v>136</v>
      </c>
      <c r="K135" s="64"/>
      <c r="L135" s="40"/>
      <c r="M135" s="40"/>
      <c r="N135" s="63"/>
      <c r="O135" s="63"/>
      <c r="P135" s="63"/>
      <c r="Q135" s="63"/>
      <c r="R135" s="63"/>
      <c r="S135" s="6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6.75" customHeight="1" x14ac:dyDescent="0.2">
      <c r="J136" s="41"/>
      <c r="K136" s="39"/>
      <c r="L136" s="39"/>
      <c r="M136" s="39"/>
      <c r="N136" s="39"/>
      <c r="O136" s="39"/>
      <c r="P136" s="39"/>
      <c r="Q136" s="39"/>
      <c r="R136" s="39"/>
      <c r="S136" s="39"/>
    </row>
    <row r="137" spans="1:29" ht="12" x14ac:dyDescent="0.15">
      <c r="A137" s="22" t="s">
        <v>27</v>
      </c>
      <c r="B137" s="1" t="str">
        <f ca="1">_xll.DBRA(db_name&amp;":account",A137,"description")</f>
        <v/>
      </c>
      <c r="C137" s="1" t="s">
        <v>13</v>
      </c>
      <c r="D137" s="1" t="str">
        <f ca="1">_xll.DBRA(db_name&amp;":movement account",C137,"description")</f>
        <v/>
      </c>
      <c r="J137" s="42"/>
      <c r="K137" s="43" t="str">
        <f ca="1">A137&amp;" - "&amp;B137</f>
        <v xml:space="preserve">9000882 - </v>
      </c>
      <c r="L137" s="44" t="str">
        <f ca="1">IF(C137="No_Mvt",C137,C137&amp;" - "&amp;D137)</f>
        <v>No_Mvt</v>
      </c>
      <c r="M137" s="45" t="str">
        <f ca="1">IF(LEFT(A137,4)="9000","Special Account",VLOOKUP(LEFT(A137,1)*1,$P$60:$Q$66,2,FALSE))</f>
        <v>Special Account</v>
      </c>
      <c r="N137" s="46" t="str" cm="1">
        <f t="array" aca="1" ref="N137" ca="1">_xll.DBRW($C$47,$M$83,$M$84,$C$48,$C$49,$C$50,$C$51,$C$52,$C$53,$C$54,$C$55,$C137,$C$56,$M$82,$A137,$C$57,$C$58,N$86)</f>
        <v/>
      </c>
      <c r="O137" s="47" t="str" cm="1">
        <f t="array" aca="1" ref="O137" ca="1">_xll.DBRW($C$47,$M$83,$M$84,$C$48,$C$49,$C$50,$C$51,$C$52,$C$53,$C$54,$C$55,$C137,$C$56,$M$82,$A137,$C$57,$C$58,O$86)</f>
        <v/>
      </c>
      <c r="P137" s="47" t="str" cm="1">
        <f t="array" aca="1" ref="P137" ca="1">_xll.DBRW($C$47,$M$83,$M$84,$C$48,$C$49,$C$50,$C$51,$C$52,$C$53,$C$54,$C$55,$C137,$C$56,$M$82,$A137,$C$57,$C$58,P$86)</f>
        <v/>
      </c>
      <c r="Q137" s="47" t="str" cm="1">
        <f t="array" aca="1" ref="Q137" ca="1">_xll.DBRW($C$47,$M$83,$M$84,$C$48,$C$49,$C$50,$C$51,$C$52,$C$53,$C$54,$C$55,$C137,$C$56,$M$82,$A137,$C$57,$C$58,Q$86)</f>
        <v/>
      </c>
      <c r="R137" s="47" t="str" cm="1">
        <f t="array" aca="1" ref="R137" ca="1">_xll.DBRW($C$47,$M$83,$M$84,$C$48,$C$49,$C$50,$C$51,$C$52,$C$53,$C$54,$C$55,$C137,$C$56,$M$82,$A137,$C$57,$C$58,R$86)</f>
        <v/>
      </c>
      <c r="S137" s="48" t="str" cm="1">
        <f t="array" aca="1" ref="S137" ca="1">_xll.DBRW($C$47,$M$83,$M$84,$C$48,$C$49,$C$50,$C$51,$C$52,$C$53,$C$54,$C$55,$C137,$C$56,$M$82,$A137,$C$57,$C$58,S$86)</f>
        <v/>
      </c>
      <c r="T137" s="10" t="str" cm="1">
        <f t="array" aca="1" ref="T137" ca="1">_xll.DBRW($C$47,$M$83,$M$84,$C$48,$C$49,$C$50,$C$51,$C$52,$C$53,$C$54,$C$55,$C137,$C$56,$M$82,$A137,$C$57,$C$58,T$86)</f>
        <v/>
      </c>
      <c r="U137" s="10" t="str" cm="1">
        <f t="array" aca="1" ref="U137" ca="1">_xll.DBRW($C$47,$M$83,$M$84,$C$48,$C$49,$C$50,$C$51,$C$52,$C$53,$C$54,$C$55,$C137,$C$56,$M$82,$A137,$C$57,$C$58,U$86)</f>
        <v/>
      </c>
      <c r="V137" s="10" t="str" cm="1">
        <f t="array" aca="1" ref="V137" ca="1">_xll.DBRW($C$47,$M$83,$M$84,$C$48,$C$49,$C$50,$C$51,$C$52,$C$53,$C$54,$C$55,$C137,$C$56,$M$82,$A137,$C$57,$C$58,V$86)</f>
        <v/>
      </c>
      <c r="W137" s="10" t="str" cm="1">
        <f t="array" aca="1" ref="W137" ca="1">_xll.DBRW($C$47,$M$83,$M$84,$C$48,$C$49,$C$50,$C$51,$C$52,$C$53,$C$54,$C$55,$C137,$C$56,$M$82,$A137,$C$57,$C$58,W$86)</f>
        <v/>
      </c>
      <c r="X137" s="10" t="str" cm="1">
        <f t="array" aca="1" ref="X137" ca="1">_xll.DBRW($C$47,$M$83,$M$84,$C$48,$C$49,$C$50,$C$51,$C$52,$C$53,$C$54,$C$55,$C137,$C$56,$M$82,$A137,$C$57,$C$58,X$86)</f>
        <v/>
      </c>
      <c r="Y137" s="10" t="str" cm="1">
        <f t="array" aca="1" ref="Y137" ca="1">_xll.DBRW($C$47,$M$83,$M$84,$C$48,$C$49,$C$50,$C$51,$C$52,$C$53,$C$54,$C$55,$C137,$C$56,$M$82,$A137,$C$57,$C$58,Y$86)</f>
        <v/>
      </c>
      <c r="Z137" s="10" t="str" cm="1">
        <f t="array" aca="1" ref="Z137" ca="1">_xll.DBRW($C$47,$M$83,$M$84,$C$48,$C$49,$C$50,$C$51,$C$52,$C$53,$C$54,$C$55,$C137,$C$56,$M$82,$A137,$C$57,$C$58,Z$86)</f>
        <v/>
      </c>
      <c r="AA137" s="10" t="str" cm="1">
        <f t="array" aca="1" ref="AA137" ca="1">_xll.DBRW($C$47,$M$83,$M$84,$C$48,$C$49,$C$50,$C$51,$C$52,$C$53,$C$54,$C$55,$C137,$C$56,$M$82,$A137,$C$57,$C$58,AA$86)</f>
        <v/>
      </c>
      <c r="AB137" s="10" t="str" cm="1">
        <f t="array" aca="1" ref="AB137" ca="1">_xll.DBRW($C$47,$M$83,$M$84,$C$48,$C$49,$C$50,$C$51,$C$52,$C$53,$C$54,$C$55,$C137,$C$56,$M$82,$A137,$C$57,$C$58,AB$86)</f>
        <v/>
      </c>
      <c r="AC137" s="11" t="str" cm="1">
        <f t="array" aca="1" ref="AC137" ca="1">_xll.DBRW($C$47,$M$83,$M$84,$C$48,$C$49,$C$50,$C$51,$C$52,$C$53,$C$54,$C$55,$C137,$C$56,$M$82,$A137,$C$57,$C$58,AC$86)</f>
        <v/>
      </c>
    </row>
    <row r="138" spans="1:29" ht="12" x14ac:dyDescent="0.15">
      <c r="A138" s="22" t="s">
        <v>24</v>
      </c>
      <c r="B138" s="1" t="str">
        <f ca="1">_xll.DBRA(db_name&amp;":account",A138,"description")</f>
        <v/>
      </c>
      <c r="C138" s="1" t="s">
        <v>13</v>
      </c>
      <c r="D138" s="1" t="str">
        <f ca="1">_xll.DBRA(db_name&amp;":movement account",C138,"description")</f>
        <v/>
      </c>
      <c r="J138" s="63" t="s">
        <v>16</v>
      </c>
      <c r="K138" s="64" t="str">
        <f ca="1">A138&amp;" - "&amp;B138</f>
        <v xml:space="preserve">9000883 - </v>
      </c>
      <c r="L138" s="40" t="str">
        <f ca="1">IF(C138="No_Mvt",C138,C138&amp;" - "&amp;D138)</f>
        <v>No_Mvt</v>
      </c>
      <c r="M138" s="65" t="str">
        <f ca="1">IF(LEFT(A138,4)="9000","Special Account",VLOOKUP(LEFT(A138,1)*1,$P$60:$Q$66,2,FALSE))</f>
        <v>Special Account</v>
      </c>
      <c r="N138" s="66" t="str" cm="1">
        <f t="array" aca="1" ref="N138" ca="1">_xll.DBRW($C$47,$M$83,$M$84,$C$48,$C$49,$C$50,$C$51,$C$52,$C$53,$C$54,$C$55,$C138,$C$56,$M$82,$A138,$C$57,$C$58,N$86)</f>
        <v/>
      </c>
      <c r="O138" s="67" t="str" cm="1">
        <f t="array" aca="1" ref="O138" ca="1">_xll.DBRW($C$47,$M$83,$M$84,$C$48,$C$49,$C$50,$C$51,$C$52,$C$53,$C$54,$C$55,$C138,$C$56,$M$82,$A138,$C$57,$C$58,O$86)</f>
        <v/>
      </c>
      <c r="P138" s="67" t="str" cm="1">
        <f t="array" aca="1" ref="P138" ca="1">_xll.DBRW($C$47,$M$83,$M$84,$C$48,$C$49,$C$50,$C$51,$C$52,$C$53,$C$54,$C$55,$C138,$C$56,$M$82,$A138,$C$57,$C$58,P$86)</f>
        <v/>
      </c>
      <c r="Q138" s="67" t="str" cm="1">
        <f t="array" aca="1" ref="Q138" ca="1">_xll.DBRW($C$47,$M$83,$M$84,$C$48,$C$49,$C$50,$C$51,$C$52,$C$53,$C$54,$C$55,$C138,$C$56,$M$82,$A138,$C$57,$C$58,Q$86)</f>
        <v/>
      </c>
      <c r="R138" s="67" t="str" cm="1">
        <f t="array" aca="1" ref="R138" ca="1">_xll.DBRW($C$47,$M$83,$M$84,$C$48,$C$49,$C$50,$C$51,$C$52,$C$53,$C$54,$C$55,$C138,$C$56,$M$82,$A138,$C$57,$C$58,R$86)</f>
        <v/>
      </c>
      <c r="S138" s="68" t="str" cm="1">
        <f t="array" aca="1" ref="S138" ca="1">_xll.DBRW($C$47,$M$83,$M$84,$C$48,$C$49,$C$50,$C$51,$C$52,$C$53,$C$54,$C$55,$C138,$C$56,$M$82,$A138,$C$57,$C$58,S$86)</f>
        <v/>
      </c>
      <c r="T138" s="14" t="str" cm="1">
        <f t="array" aca="1" ref="T138" ca="1">_xll.DBRW($C$47,$M$83,$M$84,$C$48,$C$49,$C$50,$C$51,$C$52,$C$53,$C$54,$C$55,$C138,$C$56,$M$82,$A138,$C$57,$C$58,T$86)</f>
        <v/>
      </c>
      <c r="U138" s="14" t="str" cm="1">
        <f t="array" aca="1" ref="U138" ca="1">_xll.DBRW($C$47,$M$83,$M$84,$C$48,$C$49,$C$50,$C$51,$C$52,$C$53,$C$54,$C$55,$C138,$C$56,$M$82,$A138,$C$57,$C$58,U$86)</f>
        <v/>
      </c>
      <c r="V138" s="14" t="str" cm="1">
        <f t="array" aca="1" ref="V138" ca="1">_xll.DBRW($C$47,$M$83,$M$84,$C$48,$C$49,$C$50,$C$51,$C$52,$C$53,$C$54,$C$55,$C138,$C$56,$M$82,$A138,$C$57,$C$58,V$86)</f>
        <v/>
      </c>
      <c r="W138" s="14" t="str" cm="1">
        <f t="array" aca="1" ref="W138" ca="1">_xll.DBRW($C$47,$M$83,$M$84,$C$48,$C$49,$C$50,$C$51,$C$52,$C$53,$C$54,$C$55,$C138,$C$56,$M$82,$A138,$C$57,$C$58,W$86)</f>
        <v/>
      </c>
      <c r="X138" s="14" t="str" cm="1">
        <f t="array" aca="1" ref="X138" ca="1">_xll.DBRW($C$47,$M$83,$M$84,$C$48,$C$49,$C$50,$C$51,$C$52,$C$53,$C$54,$C$55,$C138,$C$56,$M$82,$A138,$C$57,$C$58,X$86)</f>
        <v/>
      </c>
      <c r="Y138" s="14" t="str" cm="1">
        <f t="array" aca="1" ref="Y138" ca="1">_xll.DBRW($C$47,$M$83,$M$84,$C$48,$C$49,$C$50,$C$51,$C$52,$C$53,$C$54,$C$55,$C138,$C$56,$M$82,$A138,$C$57,$C$58,Y$86)</f>
        <v/>
      </c>
      <c r="Z138" s="14" t="str" cm="1">
        <f t="array" aca="1" ref="Z138" ca="1">_xll.DBRW($C$47,$M$83,$M$84,$C$48,$C$49,$C$50,$C$51,$C$52,$C$53,$C$54,$C$55,$C138,$C$56,$M$82,$A138,$C$57,$C$58,Z$86)</f>
        <v/>
      </c>
      <c r="AA138" s="14" t="str" cm="1">
        <f t="array" aca="1" ref="AA138" ca="1">_xll.DBRW($C$47,$M$83,$M$84,$C$48,$C$49,$C$50,$C$51,$C$52,$C$53,$C$54,$C$55,$C138,$C$56,$M$82,$A138,$C$57,$C$58,AA$86)</f>
        <v/>
      </c>
      <c r="AB138" s="14" t="str" cm="1">
        <f t="array" aca="1" ref="AB138" ca="1">_xll.DBRW($C$47,$M$83,$M$84,$C$48,$C$49,$C$50,$C$51,$C$52,$C$53,$C$54,$C$55,$C138,$C$56,$M$82,$A138,$C$57,$C$58,AB$86)</f>
        <v/>
      </c>
      <c r="AC138" s="15" t="str" cm="1">
        <f t="array" aca="1" ref="AC138" ca="1">_xll.DBRW($C$47,$M$83,$M$84,$C$48,$C$49,$C$50,$C$51,$C$52,$C$53,$C$54,$C$55,$C138,$C$56,$M$82,$A138,$C$57,$C$58,AC$86)</f>
        <v/>
      </c>
    </row>
    <row r="139" spans="1:29" ht="12" x14ac:dyDescent="0.15">
      <c r="A139" s="22" t="s">
        <v>28</v>
      </c>
      <c r="B139" s="1" t="str">
        <f ca="1">_xll.DBRA(db_name&amp;":account",A139,"description")</f>
        <v/>
      </c>
      <c r="C139" s="1" t="s">
        <v>13</v>
      </c>
      <c r="D139" s="1" t="str">
        <f ca="1">_xll.DBRA(db_name&amp;":movement account",C139,"description")</f>
        <v/>
      </c>
      <c r="J139" s="63" t="s">
        <v>17</v>
      </c>
      <c r="K139" s="64" t="str">
        <f ca="1">A139&amp;" - "&amp;B139</f>
        <v xml:space="preserve">5220002 - </v>
      </c>
      <c r="L139" s="40" t="str">
        <f ca="1">IF(C139="No_Mvt",C139,C139&amp;" - "&amp;D139)</f>
        <v>No_Mvt</v>
      </c>
      <c r="M139" s="65" t="str">
        <f ca="1">IF(LEFT(A139,4)="9000","Special Account",VLOOKUP(LEFT(A139,1)*1,$P$60:$Q$66,2,FALSE))</f>
        <v>Asset Account</v>
      </c>
      <c r="N139" s="66" t="str" cm="1">
        <f t="array" aca="1" ref="N139" ca="1">_xll.DBRW($C$47,$M$83,$M$84,$C$48,$C$49,$C$50,$C$51,$C$52,$C$53,$C$54,$C$55,$C139,$C$56,$M$82,$A139,$C$57,$C$58,N$86)</f>
        <v/>
      </c>
      <c r="O139" s="67" t="str" cm="1">
        <f t="array" aca="1" ref="O139" ca="1">_xll.DBRW($C$47,$M$83,$M$84,$C$48,$C$49,$C$50,$C$51,$C$52,$C$53,$C$54,$C$55,$C139,$C$56,$M$82,$A139,$C$57,$C$58,O$86)</f>
        <v/>
      </c>
      <c r="P139" s="67" t="str" cm="1">
        <f t="array" aca="1" ref="P139" ca="1">_xll.DBRW($C$47,$M$83,$M$84,$C$48,$C$49,$C$50,$C$51,$C$52,$C$53,$C$54,$C$55,$C139,$C$56,$M$82,$A139,$C$57,$C$58,P$86)</f>
        <v/>
      </c>
      <c r="Q139" s="67" t="str" cm="1">
        <f t="array" aca="1" ref="Q139" ca="1">_xll.DBRW($C$47,$M$83,$M$84,$C$48,$C$49,$C$50,$C$51,$C$52,$C$53,$C$54,$C$55,$C139,$C$56,$M$82,$A139,$C$57,$C$58,Q$86)</f>
        <v/>
      </c>
      <c r="R139" s="67" t="str" cm="1">
        <f t="array" aca="1" ref="R139" ca="1">_xll.DBRW($C$47,$M$83,$M$84,$C$48,$C$49,$C$50,$C$51,$C$52,$C$53,$C$54,$C$55,$C139,$C$56,$M$82,$A139,$C$57,$C$58,R$86)</f>
        <v/>
      </c>
      <c r="S139" s="68" t="str" cm="1">
        <f t="array" aca="1" ref="S139" ca="1">_xll.DBRW($C$47,$M$83,$M$84,$C$48,$C$49,$C$50,$C$51,$C$52,$C$53,$C$54,$C$55,$C139,$C$56,$M$82,$A139,$C$57,$C$58,S$86)</f>
        <v/>
      </c>
      <c r="T139" s="14" t="str" cm="1">
        <f t="array" aca="1" ref="T139" ca="1">_xll.DBRW($C$47,$M$83,$M$84,$C$48,$C$49,$C$50,$C$51,$C$52,$C$53,$C$54,$C$55,$C139,$C$56,$M$82,$A139,$C$57,$C$58,T$86)</f>
        <v/>
      </c>
      <c r="U139" s="14" t="str" cm="1">
        <f t="array" aca="1" ref="U139" ca="1">_xll.DBRW($C$47,$M$83,$M$84,$C$48,$C$49,$C$50,$C$51,$C$52,$C$53,$C$54,$C$55,$C139,$C$56,$M$82,$A139,$C$57,$C$58,U$86)</f>
        <v/>
      </c>
      <c r="V139" s="14" t="str" cm="1">
        <f t="array" aca="1" ref="V139" ca="1">_xll.DBRW($C$47,$M$83,$M$84,$C$48,$C$49,$C$50,$C$51,$C$52,$C$53,$C$54,$C$55,$C139,$C$56,$M$82,$A139,$C$57,$C$58,V$86)</f>
        <v/>
      </c>
      <c r="W139" s="14" t="str" cm="1">
        <f t="array" aca="1" ref="W139" ca="1">_xll.DBRW($C$47,$M$83,$M$84,$C$48,$C$49,$C$50,$C$51,$C$52,$C$53,$C$54,$C$55,$C139,$C$56,$M$82,$A139,$C$57,$C$58,W$86)</f>
        <v/>
      </c>
      <c r="X139" s="14" t="str" cm="1">
        <f t="array" aca="1" ref="X139" ca="1">_xll.DBRW($C$47,$M$83,$M$84,$C$48,$C$49,$C$50,$C$51,$C$52,$C$53,$C$54,$C$55,$C139,$C$56,$M$82,$A139,$C$57,$C$58,X$86)</f>
        <v/>
      </c>
      <c r="Y139" s="14" t="str" cm="1">
        <f t="array" aca="1" ref="Y139" ca="1">_xll.DBRW($C$47,$M$83,$M$84,$C$48,$C$49,$C$50,$C$51,$C$52,$C$53,$C$54,$C$55,$C139,$C$56,$M$82,$A139,$C$57,$C$58,Y$86)</f>
        <v/>
      </c>
      <c r="Z139" s="14" t="str" cm="1">
        <f t="array" aca="1" ref="Z139" ca="1">_xll.DBRW($C$47,$M$83,$M$84,$C$48,$C$49,$C$50,$C$51,$C$52,$C$53,$C$54,$C$55,$C139,$C$56,$M$82,$A139,$C$57,$C$58,Z$86)</f>
        <v/>
      </c>
      <c r="AA139" s="14" t="str" cm="1">
        <f t="array" aca="1" ref="AA139" ca="1">_xll.DBRW($C$47,$M$83,$M$84,$C$48,$C$49,$C$50,$C$51,$C$52,$C$53,$C$54,$C$55,$C139,$C$56,$M$82,$A139,$C$57,$C$58,AA$86)</f>
        <v/>
      </c>
      <c r="AB139" s="14" t="str" cm="1">
        <f t="array" aca="1" ref="AB139" ca="1">_xll.DBRW($C$47,$M$83,$M$84,$C$48,$C$49,$C$50,$C$51,$C$52,$C$53,$C$54,$C$55,$C139,$C$56,$M$82,$A139,$C$57,$C$58,AB$86)</f>
        <v/>
      </c>
      <c r="AC139" s="15" t="str" cm="1">
        <f t="array" aca="1" ref="AC139" ca="1">_xll.DBRW($C$47,$M$83,$M$84,$C$48,$C$49,$C$50,$C$51,$C$52,$C$53,$C$54,$C$55,$C139,$C$56,$M$82,$A139,$C$57,$C$58,AC$86)</f>
        <v/>
      </c>
    </row>
    <row r="140" spans="1:29" ht="12" x14ac:dyDescent="0.15">
      <c r="A140" s="22" t="s">
        <v>26</v>
      </c>
      <c r="B140" s="1" t="str">
        <f ca="1">_xll.DBRA(db_name&amp;":account",A140,"description")</f>
        <v/>
      </c>
      <c r="C140" s="1" t="s">
        <v>13</v>
      </c>
      <c r="D140" s="1" t="str">
        <f ca="1">_xll.DBRA(db_name&amp;":movement account",C140,"description")</f>
        <v/>
      </c>
      <c r="J140" s="76" t="s">
        <v>17</v>
      </c>
      <c r="K140" s="50" t="str">
        <f ca="1">A140&amp;" - "&amp;B140</f>
        <v xml:space="preserve">5220004 - </v>
      </c>
      <c r="L140" s="51" t="str">
        <f ca="1">IF(C140="No_Mvt",C140,C140&amp;" - "&amp;D140)</f>
        <v>No_Mvt</v>
      </c>
      <c r="M140" s="52" t="str">
        <f ca="1">IF(LEFT(A140,4)="9000","Special Account",VLOOKUP(LEFT(A140,1)*1,$P$60:$Q$66,2,FALSE))</f>
        <v>Asset Account</v>
      </c>
      <c r="N140" s="66" t="str" cm="1">
        <f t="array" aca="1" ref="N140" ca="1">_xll.DBRW($C$47,$M$83,$M$84,$C$48,$C$49,$C$50,$C$51,$C$52,$C$53,$C$54,$C$55,$C140,$C$56,$M$82,$A140,$C$57,$C$58,N$86)</f>
        <v/>
      </c>
      <c r="O140" s="67" t="str" cm="1">
        <f t="array" aca="1" ref="O140" ca="1">_xll.DBRW($C$47,$M$83,$M$84,$C$48,$C$49,$C$50,$C$51,$C$52,$C$53,$C$54,$C$55,$C140,$C$56,$M$82,$A140,$C$57,$C$58,O$86)</f>
        <v/>
      </c>
      <c r="P140" s="67" t="str" cm="1">
        <f t="array" aca="1" ref="P140" ca="1">_xll.DBRW($C$47,$M$83,$M$84,$C$48,$C$49,$C$50,$C$51,$C$52,$C$53,$C$54,$C$55,$C140,$C$56,$M$82,$A140,$C$57,$C$58,P$86)</f>
        <v/>
      </c>
      <c r="Q140" s="67" t="str" cm="1">
        <f t="array" aca="1" ref="Q140" ca="1">_xll.DBRW($C$47,$M$83,$M$84,$C$48,$C$49,$C$50,$C$51,$C$52,$C$53,$C$54,$C$55,$C140,$C$56,$M$82,$A140,$C$57,$C$58,Q$86)</f>
        <v/>
      </c>
      <c r="R140" s="67" t="str" cm="1">
        <f t="array" aca="1" ref="R140" ca="1">_xll.DBRW($C$47,$M$83,$M$84,$C$48,$C$49,$C$50,$C$51,$C$52,$C$53,$C$54,$C$55,$C140,$C$56,$M$82,$A140,$C$57,$C$58,R$86)</f>
        <v/>
      </c>
      <c r="S140" s="68" t="str" cm="1">
        <f t="array" aca="1" ref="S140" ca="1">_xll.DBRW($C$47,$M$83,$M$84,$C$48,$C$49,$C$50,$C$51,$C$52,$C$53,$C$54,$C$55,$C140,$C$56,$M$82,$A140,$C$57,$C$58,S$86)</f>
        <v/>
      </c>
      <c r="T140" s="14" t="str" cm="1">
        <f t="array" aca="1" ref="T140" ca="1">_xll.DBRW($C$47,$M$83,$M$84,$C$48,$C$49,$C$50,$C$51,$C$52,$C$53,$C$54,$C$55,$C140,$C$56,$M$82,$A140,$C$57,$C$58,T$86)</f>
        <v/>
      </c>
      <c r="U140" s="14" t="str" cm="1">
        <f t="array" aca="1" ref="U140" ca="1">_xll.DBRW($C$47,$M$83,$M$84,$C$48,$C$49,$C$50,$C$51,$C$52,$C$53,$C$54,$C$55,$C140,$C$56,$M$82,$A140,$C$57,$C$58,U$86)</f>
        <v/>
      </c>
      <c r="V140" s="14" t="str" cm="1">
        <f t="array" aca="1" ref="V140" ca="1">_xll.DBRW($C$47,$M$83,$M$84,$C$48,$C$49,$C$50,$C$51,$C$52,$C$53,$C$54,$C$55,$C140,$C$56,$M$82,$A140,$C$57,$C$58,V$86)</f>
        <v/>
      </c>
      <c r="W140" s="14" t="str" cm="1">
        <f t="array" aca="1" ref="W140" ca="1">_xll.DBRW($C$47,$M$83,$M$84,$C$48,$C$49,$C$50,$C$51,$C$52,$C$53,$C$54,$C$55,$C140,$C$56,$M$82,$A140,$C$57,$C$58,W$86)</f>
        <v/>
      </c>
      <c r="X140" s="14" t="str" cm="1">
        <f t="array" aca="1" ref="X140" ca="1">_xll.DBRW($C$47,$M$83,$M$84,$C$48,$C$49,$C$50,$C$51,$C$52,$C$53,$C$54,$C$55,$C140,$C$56,$M$82,$A140,$C$57,$C$58,X$86)</f>
        <v/>
      </c>
      <c r="Y140" s="14" t="str" cm="1">
        <f t="array" aca="1" ref="Y140" ca="1">_xll.DBRW($C$47,$M$83,$M$84,$C$48,$C$49,$C$50,$C$51,$C$52,$C$53,$C$54,$C$55,$C140,$C$56,$M$82,$A140,$C$57,$C$58,Y$86)</f>
        <v/>
      </c>
      <c r="Z140" s="14" t="str" cm="1">
        <f t="array" aca="1" ref="Z140" ca="1">_xll.DBRW($C$47,$M$83,$M$84,$C$48,$C$49,$C$50,$C$51,$C$52,$C$53,$C$54,$C$55,$C140,$C$56,$M$82,$A140,$C$57,$C$58,Z$86)</f>
        <v/>
      </c>
      <c r="AA140" s="14" t="str" cm="1">
        <f t="array" aca="1" ref="AA140" ca="1">_xll.DBRW($C$47,$M$83,$M$84,$C$48,$C$49,$C$50,$C$51,$C$52,$C$53,$C$54,$C$55,$C140,$C$56,$M$82,$A140,$C$57,$C$58,AA$86)</f>
        <v/>
      </c>
      <c r="AB140" s="14" t="str" cm="1">
        <f t="array" aca="1" ref="AB140" ca="1">_xll.DBRW($C$47,$M$83,$M$84,$C$48,$C$49,$C$50,$C$51,$C$52,$C$53,$C$54,$C$55,$C140,$C$56,$M$82,$A140,$C$57,$C$58,AB$86)</f>
        <v/>
      </c>
      <c r="AC140" s="15" t="str" cm="1">
        <f t="array" aca="1" ref="AC140" ca="1">_xll.DBRW($C$47,$M$83,$M$84,$C$48,$C$49,$C$50,$C$51,$C$52,$C$53,$C$54,$C$55,$C140,$C$56,$M$82,$A140,$C$57,$C$58,AC$86)</f>
        <v/>
      </c>
    </row>
    <row r="141" spans="1:29" s="2" customFormat="1" ht="24" x14ac:dyDescent="0.15">
      <c r="J141" s="85" t="s">
        <v>69</v>
      </c>
      <c r="K141" s="77" t="s">
        <v>95</v>
      </c>
      <c r="L141" s="78"/>
      <c r="M141" s="78"/>
      <c r="N141" s="80" t="e">
        <f t="shared" ref="N141:X141" ca="1" si="49">(N137+N138)-N139-N140</f>
        <v>#VALUE!</v>
      </c>
      <c r="O141" s="81" t="e">
        <f t="shared" ca="1" si="49"/>
        <v>#VALUE!</v>
      </c>
      <c r="P141" s="81" t="e">
        <f t="shared" ca="1" si="49"/>
        <v>#VALUE!</v>
      </c>
      <c r="Q141" s="81" t="e">
        <f t="shared" ca="1" si="49"/>
        <v>#VALUE!</v>
      </c>
      <c r="R141" s="81" t="e">
        <f t="shared" ca="1" si="49"/>
        <v>#VALUE!</v>
      </c>
      <c r="S141" s="82" t="e">
        <f t="shared" ca="1" si="49"/>
        <v>#VALUE!</v>
      </c>
      <c r="T141" s="83" t="e">
        <f t="shared" ca="1" si="49"/>
        <v>#VALUE!</v>
      </c>
      <c r="U141" s="83" t="e">
        <f t="shared" ca="1" si="49"/>
        <v>#VALUE!</v>
      </c>
      <c r="V141" s="83" t="e">
        <f t="shared" ca="1" si="49"/>
        <v>#VALUE!</v>
      </c>
      <c r="W141" s="83" t="e">
        <f t="shared" ca="1" si="49"/>
        <v>#VALUE!</v>
      </c>
      <c r="X141" s="83" t="e">
        <f t="shared" ca="1" si="49"/>
        <v>#VALUE!</v>
      </c>
      <c r="Y141" s="83" t="e">
        <f t="shared" ref="Y141" ca="1" si="50">(Y137+Y138)-Y139-Y140</f>
        <v>#VALUE!</v>
      </c>
      <c r="Z141" s="83" t="e">
        <f t="shared" ref="Z141" ca="1" si="51">(Z137+Z138)-Z139-Z140</f>
        <v>#VALUE!</v>
      </c>
      <c r="AA141" s="83" t="e">
        <f t="shared" ref="AA141" ca="1" si="52">(AA137+AA138)-AA139-AA140</f>
        <v>#VALUE!</v>
      </c>
      <c r="AB141" s="83" t="e">
        <f t="shared" ref="AB141" ca="1" si="53">(AB137+AB138)-AB139-AB140</f>
        <v>#VALUE!</v>
      </c>
      <c r="AC141" s="84" t="e">
        <f t="shared" ref="AC141" ca="1" si="54">(AC137+AC138)-AC139-AC140</f>
        <v>#VALUE!</v>
      </c>
    </row>
    <row r="142" spans="1:29" s="2" customFormat="1" ht="12" x14ac:dyDescent="0.15">
      <c r="J142" s="56"/>
      <c r="K142" s="57" t="s">
        <v>79</v>
      </c>
      <c r="L142" s="58"/>
      <c r="M142" s="59"/>
      <c r="N142" s="60"/>
      <c r="O142" s="61" t="e">
        <f t="shared" ref="O142:X142" ca="1" si="55">O141-N141</f>
        <v>#VALUE!</v>
      </c>
      <c r="P142" s="61" t="e">
        <f t="shared" ca="1" si="55"/>
        <v>#VALUE!</v>
      </c>
      <c r="Q142" s="61" t="e">
        <f t="shared" ca="1" si="55"/>
        <v>#VALUE!</v>
      </c>
      <c r="R142" s="61" t="e">
        <f t="shared" ca="1" si="55"/>
        <v>#VALUE!</v>
      </c>
      <c r="S142" s="62" t="e">
        <f t="shared" ca="1" si="55"/>
        <v>#VALUE!</v>
      </c>
      <c r="T142" s="16" t="e">
        <f t="shared" ca="1" si="55"/>
        <v>#VALUE!</v>
      </c>
      <c r="U142" s="16" t="e">
        <f t="shared" ca="1" si="55"/>
        <v>#VALUE!</v>
      </c>
      <c r="V142" s="16" t="e">
        <f t="shared" ca="1" si="55"/>
        <v>#VALUE!</v>
      </c>
      <c r="W142" s="16" t="e">
        <f t="shared" ca="1" si="55"/>
        <v>#VALUE!</v>
      </c>
      <c r="X142" s="16" t="e">
        <f t="shared" ca="1" si="55"/>
        <v>#VALUE!</v>
      </c>
      <c r="Y142" s="16" t="e">
        <f t="shared" ref="Y142" ca="1" si="56">Y141-X141</f>
        <v>#VALUE!</v>
      </c>
      <c r="Z142" s="16" t="e">
        <f t="shared" ref="Z142" ca="1" si="57">Z141-Y141</f>
        <v>#VALUE!</v>
      </c>
      <c r="AA142" s="16" t="e">
        <f t="shared" ref="AA142" ca="1" si="58">AA141-Z141</f>
        <v>#VALUE!</v>
      </c>
      <c r="AB142" s="16" t="e">
        <f t="shared" ref="AB142" ca="1" si="59">AB141-AA141</f>
        <v>#VALUE!</v>
      </c>
      <c r="AC142" s="17" t="e">
        <f t="shared" ref="AC142" ca="1" si="60">AC141-AB141</f>
        <v>#VALUE!</v>
      </c>
    </row>
    <row r="143" spans="1:29" ht="12" x14ac:dyDescent="0.15">
      <c r="A143" s="1" t="s">
        <v>27</v>
      </c>
      <c r="B143" s="1" t="str">
        <f ca="1">_xll.DBRA(db_name&amp;":account",A143,"description")</f>
        <v/>
      </c>
      <c r="C143" s="1" t="s">
        <v>13</v>
      </c>
      <c r="D143" s="1" t="str">
        <f ca="1">_xll.DBRA(db_name&amp;":movement account",C143,"description")</f>
        <v/>
      </c>
      <c r="J143" s="63"/>
      <c r="K143" s="64" t="str">
        <f ca="1">A143&amp;" - "&amp;B143</f>
        <v xml:space="preserve">9000882 - </v>
      </c>
      <c r="L143" s="40" t="str">
        <f ca="1">IF(C143="No_Mvt",C143,C143&amp;" - "&amp;D143)</f>
        <v>No_Mvt</v>
      </c>
      <c r="M143" s="65" t="str">
        <f ca="1">IF(LEFT(A143,4)="9000","Special Account",VLOOKUP(LEFT(A143,1)*1,$P$60:$Q$66,2,FALSE))</f>
        <v>Special Account</v>
      </c>
      <c r="N143" s="66" t="str" cm="1">
        <f t="array" aca="1" ref="N143" ca="1">_xll.DBRW($C$47,$M$83,$M$84,$C$48,$C$49,$C$50,$C$51,$C$52,$C$53,$C$54,$C$55,$C143,$C$56,$M$82,$A143,$C$57,$C$58,N$86)</f>
        <v/>
      </c>
      <c r="O143" s="67" t="str" cm="1">
        <f t="array" aca="1" ref="O143" ca="1">_xll.DBRW($C$47,$M$83,$M$84,$C$48,$C$49,$C$50,$C$51,$C$52,$C$53,$C$54,$C$55,$C143,$C$56,$M$82,$A143,$C$57,$C$58,O$86)</f>
        <v/>
      </c>
      <c r="P143" s="67" t="str" cm="1">
        <f t="array" aca="1" ref="P143" ca="1">_xll.DBRW($C$47,$M$83,$M$84,$C$48,$C$49,$C$50,$C$51,$C$52,$C$53,$C$54,$C$55,$C143,$C$56,$M$82,$A143,$C$57,$C$58,P$86)</f>
        <v/>
      </c>
      <c r="Q143" s="67" t="str" cm="1">
        <f t="array" aca="1" ref="Q143" ca="1">_xll.DBRW($C$47,$M$83,$M$84,$C$48,$C$49,$C$50,$C$51,$C$52,$C$53,$C$54,$C$55,$C143,$C$56,$M$82,$A143,$C$57,$C$58,Q$86)</f>
        <v/>
      </c>
      <c r="R143" s="67" t="str" cm="1">
        <f t="array" aca="1" ref="R143" ca="1">_xll.DBRW($C$47,$M$83,$M$84,$C$48,$C$49,$C$50,$C$51,$C$52,$C$53,$C$54,$C$55,$C143,$C$56,$M$82,$A143,$C$57,$C$58,R$86)</f>
        <v/>
      </c>
      <c r="S143" s="68" t="str" cm="1">
        <f t="array" aca="1" ref="S143" ca="1">_xll.DBRW($C$47,$M$83,$M$84,$C$48,$C$49,$C$50,$C$51,$C$52,$C$53,$C$54,$C$55,$C143,$C$56,$M$82,$A143,$C$57,$C$58,S$86)</f>
        <v/>
      </c>
      <c r="T143" s="14" t="str" cm="1">
        <f t="array" aca="1" ref="T143" ca="1">_xll.DBRW($C$47,$M$83,$M$84,$C$48,$C$49,$C$50,$C$51,$C$52,$C$53,$C$54,$C$55,$C143,$C$56,$M$82,$A143,$C$57,$C$58,T$86)</f>
        <v/>
      </c>
      <c r="U143" s="14" t="str" cm="1">
        <f t="array" aca="1" ref="U143" ca="1">_xll.DBRW($C$47,$M$83,$M$84,$C$48,$C$49,$C$50,$C$51,$C$52,$C$53,$C$54,$C$55,$C143,$C$56,$M$82,$A143,$C$57,$C$58,U$86)</f>
        <v/>
      </c>
      <c r="V143" s="14" t="str" cm="1">
        <f t="array" aca="1" ref="V143" ca="1">_xll.DBRW($C$47,$M$83,$M$84,$C$48,$C$49,$C$50,$C$51,$C$52,$C$53,$C$54,$C$55,$C143,$C$56,$M$82,$A143,$C$57,$C$58,V$86)</f>
        <v/>
      </c>
      <c r="W143" s="14" t="str" cm="1">
        <f t="array" aca="1" ref="W143" ca="1">_xll.DBRW($C$47,$M$83,$M$84,$C$48,$C$49,$C$50,$C$51,$C$52,$C$53,$C$54,$C$55,$C143,$C$56,$M$82,$A143,$C$57,$C$58,W$86)</f>
        <v/>
      </c>
      <c r="X143" s="14" t="str" cm="1">
        <f t="array" aca="1" ref="X143" ca="1">_xll.DBRW($C$47,$M$83,$M$84,$C$48,$C$49,$C$50,$C$51,$C$52,$C$53,$C$54,$C$55,$C143,$C$56,$M$82,$A143,$C$57,$C$58,X$86)</f>
        <v/>
      </c>
      <c r="Y143" s="14" t="str" cm="1">
        <f t="array" aca="1" ref="Y143" ca="1">_xll.DBRW($C$47,$M$83,$M$84,$C$48,$C$49,$C$50,$C$51,$C$52,$C$53,$C$54,$C$55,$C143,$C$56,$M$82,$A143,$C$57,$C$58,Y$86)</f>
        <v/>
      </c>
      <c r="Z143" s="14" t="str" cm="1">
        <f t="array" aca="1" ref="Z143" ca="1">_xll.DBRW($C$47,$M$83,$M$84,$C$48,$C$49,$C$50,$C$51,$C$52,$C$53,$C$54,$C$55,$C143,$C$56,$M$82,$A143,$C$57,$C$58,Z$86)</f>
        <v/>
      </c>
      <c r="AA143" s="14" t="str" cm="1">
        <f t="array" aca="1" ref="AA143" ca="1">_xll.DBRW($C$47,$M$83,$M$84,$C$48,$C$49,$C$50,$C$51,$C$52,$C$53,$C$54,$C$55,$C143,$C$56,$M$82,$A143,$C$57,$C$58,AA$86)</f>
        <v/>
      </c>
      <c r="AB143" s="14" t="str" cm="1">
        <f t="array" aca="1" ref="AB143" ca="1">_xll.DBRW($C$47,$M$83,$M$84,$C$48,$C$49,$C$50,$C$51,$C$52,$C$53,$C$54,$C$55,$C143,$C$56,$M$82,$A143,$C$57,$C$58,AB$86)</f>
        <v/>
      </c>
      <c r="AC143" s="15" t="str" cm="1">
        <f t="array" aca="1" ref="AC143" ca="1">_xll.DBRW($C$47,$M$83,$M$84,$C$48,$C$49,$C$50,$C$51,$C$52,$C$53,$C$54,$C$55,$C143,$C$56,$M$82,$A143,$C$57,$C$58,AC$86)</f>
        <v/>
      </c>
    </row>
    <row r="144" spans="1:29" ht="12" x14ac:dyDescent="0.15">
      <c r="A144" s="1" t="s">
        <v>28</v>
      </c>
      <c r="B144" s="1" t="str">
        <f ca="1">_xll.DBRA(db_name&amp;":account",A144,"description")</f>
        <v/>
      </c>
      <c r="C144" s="1" t="s">
        <v>13</v>
      </c>
      <c r="D144" s="1" t="str">
        <f ca="1">_xll.DBRA(db_name&amp;":movement account",C144,"description")</f>
        <v/>
      </c>
      <c r="J144" s="63" t="s">
        <v>15</v>
      </c>
      <c r="K144" s="64" t="str">
        <f ca="1">A144&amp;" - "&amp;B144</f>
        <v xml:space="preserve">5220002 - </v>
      </c>
      <c r="L144" s="40" t="str">
        <f ca="1">IF(C144="No_Mvt",C144,C144&amp;" - "&amp;D144)</f>
        <v>No_Mvt</v>
      </c>
      <c r="M144" s="65" t="str">
        <f ca="1">IF(LEFT(A144,4)="9000","Special Account",VLOOKUP(LEFT(A144,1)*1,$P$60:$Q$66,2,FALSE))</f>
        <v>Asset Account</v>
      </c>
      <c r="N144" s="66" t="str" cm="1">
        <f t="array" aca="1" ref="N144" ca="1">_xll.DBRW($C$47,$M$83,$M$84,$C$48,$C$49,$C$50,$C$51,$C$52,$C$53,$C$54,$C$55,$C144,$C$56,$M$82,$A144,$C$57,$C$58,N$86)</f>
        <v/>
      </c>
      <c r="O144" s="67" t="str" cm="1">
        <f t="array" aca="1" ref="O144" ca="1">_xll.DBRW($C$47,$M$83,$M$84,$C$48,$C$49,$C$50,$C$51,$C$52,$C$53,$C$54,$C$55,$C144,$C$56,$M$82,$A144,$C$57,$C$58,O$86)</f>
        <v/>
      </c>
      <c r="P144" s="67" t="str" cm="1">
        <f t="array" aca="1" ref="P144" ca="1">_xll.DBRW($C$47,$M$83,$M$84,$C$48,$C$49,$C$50,$C$51,$C$52,$C$53,$C$54,$C$55,$C144,$C$56,$M$82,$A144,$C$57,$C$58,P$86)</f>
        <v/>
      </c>
      <c r="Q144" s="67" t="str" cm="1">
        <f t="array" aca="1" ref="Q144" ca="1">_xll.DBRW($C$47,$M$83,$M$84,$C$48,$C$49,$C$50,$C$51,$C$52,$C$53,$C$54,$C$55,$C144,$C$56,$M$82,$A144,$C$57,$C$58,Q$86)</f>
        <v/>
      </c>
      <c r="R144" s="67" t="str" cm="1">
        <f t="array" aca="1" ref="R144" ca="1">_xll.DBRW($C$47,$M$83,$M$84,$C$48,$C$49,$C$50,$C$51,$C$52,$C$53,$C$54,$C$55,$C144,$C$56,$M$82,$A144,$C$57,$C$58,R$86)</f>
        <v/>
      </c>
      <c r="S144" s="68" t="str" cm="1">
        <f t="array" aca="1" ref="S144" ca="1">_xll.DBRW($C$47,$M$83,$M$84,$C$48,$C$49,$C$50,$C$51,$C$52,$C$53,$C$54,$C$55,$C144,$C$56,$M$82,$A144,$C$57,$C$58,S$86)</f>
        <v/>
      </c>
      <c r="T144" s="14" t="str" cm="1">
        <f t="array" aca="1" ref="T144" ca="1">_xll.DBRW($C$47,$M$83,$M$84,$C$48,$C$49,$C$50,$C$51,$C$52,$C$53,$C$54,$C$55,$C144,$C$56,$M$82,$A144,$C$57,$C$58,T$86)</f>
        <v/>
      </c>
      <c r="U144" s="14" t="str" cm="1">
        <f t="array" aca="1" ref="U144" ca="1">_xll.DBRW($C$47,$M$83,$M$84,$C$48,$C$49,$C$50,$C$51,$C$52,$C$53,$C$54,$C$55,$C144,$C$56,$M$82,$A144,$C$57,$C$58,U$86)</f>
        <v/>
      </c>
      <c r="V144" s="14" t="str" cm="1">
        <f t="array" aca="1" ref="V144" ca="1">_xll.DBRW($C$47,$M$83,$M$84,$C$48,$C$49,$C$50,$C$51,$C$52,$C$53,$C$54,$C$55,$C144,$C$56,$M$82,$A144,$C$57,$C$58,V$86)</f>
        <v/>
      </c>
      <c r="W144" s="14" t="str" cm="1">
        <f t="array" aca="1" ref="W144" ca="1">_xll.DBRW($C$47,$M$83,$M$84,$C$48,$C$49,$C$50,$C$51,$C$52,$C$53,$C$54,$C$55,$C144,$C$56,$M$82,$A144,$C$57,$C$58,W$86)</f>
        <v/>
      </c>
      <c r="X144" s="14" t="str" cm="1">
        <f t="array" aca="1" ref="X144" ca="1">_xll.DBRW($C$47,$M$83,$M$84,$C$48,$C$49,$C$50,$C$51,$C$52,$C$53,$C$54,$C$55,$C144,$C$56,$M$82,$A144,$C$57,$C$58,X$86)</f>
        <v/>
      </c>
      <c r="Y144" s="14" t="str" cm="1">
        <f t="array" aca="1" ref="Y144" ca="1">_xll.DBRW($C$47,$M$83,$M$84,$C$48,$C$49,$C$50,$C$51,$C$52,$C$53,$C$54,$C$55,$C144,$C$56,$M$82,$A144,$C$57,$C$58,Y$86)</f>
        <v/>
      </c>
      <c r="Z144" s="14" t="str" cm="1">
        <f t="array" aca="1" ref="Z144" ca="1">_xll.DBRW($C$47,$M$83,$M$84,$C$48,$C$49,$C$50,$C$51,$C$52,$C$53,$C$54,$C$55,$C144,$C$56,$M$82,$A144,$C$57,$C$58,Z$86)</f>
        <v/>
      </c>
      <c r="AA144" s="14" t="str" cm="1">
        <f t="array" aca="1" ref="AA144" ca="1">_xll.DBRW($C$47,$M$83,$M$84,$C$48,$C$49,$C$50,$C$51,$C$52,$C$53,$C$54,$C$55,$C144,$C$56,$M$82,$A144,$C$57,$C$58,AA$86)</f>
        <v/>
      </c>
      <c r="AB144" s="14" t="str" cm="1">
        <f t="array" aca="1" ref="AB144" ca="1">_xll.DBRW($C$47,$M$83,$M$84,$C$48,$C$49,$C$50,$C$51,$C$52,$C$53,$C$54,$C$55,$C144,$C$56,$M$82,$A144,$C$57,$C$58,AB$86)</f>
        <v/>
      </c>
      <c r="AC144" s="15" t="str" cm="1">
        <f t="array" aca="1" ref="AC144" ca="1">_xll.DBRW($C$47,$M$83,$M$84,$C$48,$C$49,$C$50,$C$51,$C$52,$C$53,$C$54,$C$55,$C144,$C$56,$M$82,$A144,$C$57,$C$58,AC$86)</f>
        <v/>
      </c>
    </row>
    <row r="145" spans="1:29" s="2" customFormat="1" ht="24" x14ac:dyDescent="0.15">
      <c r="J145" s="85" t="s">
        <v>70</v>
      </c>
      <c r="K145" s="77" t="s">
        <v>88</v>
      </c>
      <c r="L145" s="78"/>
      <c r="M145" s="79"/>
      <c r="N145" s="80" t="e">
        <f ca="1">N144-N143</f>
        <v>#VALUE!</v>
      </c>
      <c r="O145" s="81" t="e">
        <f ca="1">O144-O143</f>
        <v>#VALUE!</v>
      </c>
      <c r="P145" s="81" t="e">
        <f t="shared" ref="P145" ca="1" si="61">P144-P143</f>
        <v>#VALUE!</v>
      </c>
      <c r="Q145" s="81" t="e">
        <f t="shared" ref="Q145" ca="1" si="62">Q144-Q143</f>
        <v>#VALUE!</v>
      </c>
      <c r="R145" s="81" t="e">
        <f t="shared" ref="R145" ca="1" si="63">R144-R143</f>
        <v>#VALUE!</v>
      </c>
      <c r="S145" s="82" t="e">
        <f t="shared" ref="S145" ca="1" si="64">S144-S143</f>
        <v>#VALUE!</v>
      </c>
      <c r="T145" s="83" t="e">
        <f t="shared" ref="T145" ca="1" si="65">T144-T143</f>
        <v>#VALUE!</v>
      </c>
      <c r="U145" s="83" t="e">
        <f t="shared" ref="U145:Y145" ca="1" si="66">U144-U143</f>
        <v>#VALUE!</v>
      </c>
      <c r="V145" s="83" t="e">
        <f t="shared" ca="1" si="66"/>
        <v>#VALUE!</v>
      </c>
      <c r="W145" s="83" t="e">
        <f t="shared" ca="1" si="66"/>
        <v>#VALUE!</v>
      </c>
      <c r="X145" s="83" t="e">
        <f t="shared" ca="1" si="66"/>
        <v>#VALUE!</v>
      </c>
      <c r="Y145" s="83" t="e">
        <f t="shared" ca="1" si="66"/>
        <v>#VALUE!</v>
      </c>
      <c r="Z145" s="83" t="e">
        <f t="shared" ref="Z145:AC145" ca="1" si="67">Z144-Z143</f>
        <v>#VALUE!</v>
      </c>
      <c r="AA145" s="83" t="e">
        <f t="shared" ca="1" si="67"/>
        <v>#VALUE!</v>
      </c>
      <c r="AB145" s="83" t="e">
        <f t="shared" ca="1" si="67"/>
        <v>#VALUE!</v>
      </c>
      <c r="AC145" s="84" t="e">
        <f t="shared" ca="1" si="67"/>
        <v>#VALUE!</v>
      </c>
    </row>
    <row r="146" spans="1:29" ht="12" x14ac:dyDescent="0.15">
      <c r="A146" s="1" t="s">
        <v>29</v>
      </c>
      <c r="B146" s="1" t="str">
        <f ca="1">_xll.DBRA(db_name&amp;":account",A146,"description")</f>
        <v/>
      </c>
      <c r="C146" s="1" t="s">
        <v>13</v>
      </c>
      <c r="D146" s="1" t="str">
        <f ca="1">_xll.DBRA(db_name&amp;":movement account",C146,"description")</f>
        <v/>
      </c>
      <c r="J146" s="63"/>
      <c r="K146" s="64" t="str">
        <f ca="1">A146&amp;" - "&amp;B146</f>
        <v xml:space="preserve">9000863 - </v>
      </c>
      <c r="L146" s="40" t="str">
        <f ca="1">IF(C146="No_Mvt",C146,C146&amp;" - "&amp;D146)</f>
        <v>No_Mvt</v>
      </c>
      <c r="M146" s="65" t="str">
        <f ca="1">IF(LEFT(A146,4)="9000","Special Account",VLOOKUP(LEFT(A146,1)*1,$P$60:$Q$66,2,FALSE))</f>
        <v>Special Account</v>
      </c>
      <c r="N146" s="66" t="str" cm="1">
        <f t="array" aca="1" ref="N146" ca="1">_xll.DBRW($C$47,$M$83,$M$84,$C$48,$C$49,$C$50,$C$51,$C$52,$C$53,$C$54,$C$55,$C146,$C$56,$M$82,$A146,$C$57,$C$58,N$86)</f>
        <v/>
      </c>
      <c r="O146" s="67" t="str" cm="1">
        <f t="array" aca="1" ref="O146" ca="1">_xll.DBRW($C$47,$M$83,$M$84,$C$48,$C$49,$C$50,$C$51,$C$52,$C$53,$C$54,$C$55,$C146,$C$56,$M$82,$A146,$C$57,$C$58,O$86)</f>
        <v/>
      </c>
      <c r="P146" s="67" t="str" cm="1">
        <f t="array" aca="1" ref="P146" ca="1">_xll.DBRW($C$47,$M$83,$M$84,$C$48,$C$49,$C$50,$C$51,$C$52,$C$53,$C$54,$C$55,$C146,$C$56,$M$82,$A146,$C$57,$C$58,P$86)</f>
        <v/>
      </c>
      <c r="Q146" s="67" t="str" cm="1">
        <f t="array" aca="1" ref="Q146" ca="1">_xll.DBRW($C$47,$M$83,$M$84,$C$48,$C$49,$C$50,$C$51,$C$52,$C$53,$C$54,$C$55,$C146,$C$56,$M$82,$A146,$C$57,$C$58,Q$86)</f>
        <v/>
      </c>
      <c r="R146" s="67" t="str" cm="1">
        <f t="array" aca="1" ref="R146" ca="1">_xll.DBRW($C$47,$M$83,$M$84,$C$48,$C$49,$C$50,$C$51,$C$52,$C$53,$C$54,$C$55,$C146,$C$56,$M$82,$A146,$C$57,$C$58,R$86)</f>
        <v/>
      </c>
      <c r="S146" s="68" t="str" cm="1">
        <f t="array" aca="1" ref="S146" ca="1">_xll.DBRW($C$47,$M$83,$M$84,$C$48,$C$49,$C$50,$C$51,$C$52,$C$53,$C$54,$C$55,$C146,$C$56,$M$82,$A146,$C$57,$C$58,S$86)</f>
        <v/>
      </c>
      <c r="T146" s="14" t="str" cm="1">
        <f t="array" aca="1" ref="T146" ca="1">_xll.DBRW($C$47,$M$83,$M$84,$C$48,$C$49,$C$50,$C$51,$C$52,$C$53,$C$54,$C$55,$C146,$C$56,$M$82,$A146,$C$57,$C$58,T$86)</f>
        <v/>
      </c>
      <c r="U146" s="14" t="str" cm="1">
        <f t="array" aca="1" ref="U146" ca="1">_xll.DBRW($C$47,$M$83,$M$84,$C$48,$C$49,$C$50,$C$51,$C$52,$C$53,$C$54,$C$55,$C146,$C$56,$M$82,$A146,$C$57,$C$58,U$86)</f>
        <v/>
      </c>
      <c r="V146" s="14" t="str" cm="1">
        <f t="array" aca="1" ref="V146" ca="1">_xll.DBRW($C$47,$M$83,$M$84,$C$48,$C$49,$C$50,$C$51,$C$52,$C$53,$C$54,$C$55,$C146,$C$56,$M$82,$A146,$C$57,$C$58,V$86)</f>
        <v/>
      </c>
      <c r="W146" s="14" t="str" cm="1">
        <f t="array" aca="1" ref="W146" ca="1">_xll.DBRW($C$47,$M$83,$M$84,$C$48,$C$49,$C$50,$C$51,$C$52,$C$53,$C$54,$C$55,$C146,$C$56,$M$82,$A146,$C$57,$C$58,W$86)</f>
        <v/>
      </c>
      <c r="X146" s="14" t="str" cm="1">
        <f t="array" aca="1" ref="X146" ca="1">_xll.DBRW($C$47,$M$83,$M$84,$C$48,$C$49,$C$50,$C$51,$C$52,$C$53,$C$54,$C$55,$C146,$C$56,$M$82,$A146,$C$57,$C$58,X$86)</f>
        <v/>
      </c>
      <c r="Y146" s="14" t="str" cm="1">
        <f t="array" aca="1" ref="Y146" ca="1">_xll.DBRW($C$47,$M$83,$M$84,$C$48,$C$49,$C$50,$C$51,$C$52,$C$53,$C$54,$C$55,$C146,$C$56,$M$82,$A146,$C$57,$C$58,Y$86)</f>
        <v/>
      </c>
      <c r="Z146" s="14" t="str" cm="1">
        <f t="array" aca="1" ref="Z146" ca="1">_xll.DBRW($C$47,$M$83,$M$84,$C$48,$C$49,$C$50,$C$51,$C$52,$C$53,$C$54,$C$55,$C146,$C$56,$M$82,$A146,$C$57,$C$58,Z$86)</f>
        <v/>
      </c>
      <c r="AA146" s="14" t="str" cm="1">
        <f t="array" aca="1" ref="AA146" ca="1">_xll.DBRW($C$47,$M$83,$M$84,$C$48,$C$49,$C$50,$C$51,$C$52,$C$53,$C$54,$C$55,$C146,$C$56,$M$82,$A146,$C$57,$C$58,AA$86)</f>
        <v/>
      </c>
      <c r="AB146" s="14" t="str" cm="1">
        <f t="array" aca="1" ref="AB146" ca="1">_xll.DBRW($C$47,$M$83,$M$84,$C$48,$C$49,$C$50,$C$51,$C$52,$C$53,$C$54,$C$55,$C146,$C$56,$M$82,$A146,$C$57,$C$58,AB$86)</f>
        <v/>
      </c>
      <c r="AC146" s="15" t="str" cm="1">
        <f t="array" aca="1" ref="AC146" ca="1">_xll.DBRW($C$47,$M$83,$M$84,$C$48,$C$49,$C$50,$C$51,$C$52,$C$53,$C$54,$C$55,$C146,$C$56,$M$82,$A146,$C$57,$C$58,AC$86)</f>
        <v/>
      </c>
    </row>
    <row r="147" spans="1:29" ht="12" x14ac:dyDescent="0.15">
      <c r="A147" s="1" t="s">
        <v>30</v>
      </c>
      <c r="B147" s="1" t="str">
        <f ca="1">_xll.DBRA(db_name&amp;":account",A147,"description")</f>
        <v/>
      </c>
      <c r="C147" s="1" t="s">
        <v>13</v>
      </c>
      <c r="D147" s="1" t="str">
        <f ca="1">_xll.DBRA(db_name&amp;":movement account",C147,"description")</f>
        <v/>
      </c>
      <c r="J147" s="63" t="s">
        <v>15</v>
      </c>
      <c r="K147" s="64" t="str">
        <f ca="1">A147&amp;" - "&amp;B147</f>
        <v xml:space="preserve">6211006 - </v>
      </c>
      <c r="L147" s="40" t="str">
        <f ca="1">IF(C147="No_Mvt",C147,C147&amp;" - "&amp;D147)</f>
        <v>No_Mvt</v>
      </c>
      <c r="M147" s="65" t="str">
        <f ca="1">IF(LEFT(A147,4)="9000","Special Account",VLOOKUP(LEFT(A147,1)*1,$P$60:$Q$66,2,FALSE))</f>
        <v>Cash Flow Account</v>
      </c>
      <c r="N147" s="66" t="str" cm="1">
        <f t="array" aca="1" ref="N147" ca="1">_xll.DBRW($C$47,$M$83,$M$84,$C$48,$C$49,$C$50,$C$51,$C$52,$C$53,$C$54,$C$55,$C147,$C$56,$M$82,$A147,$C$57,$C$58,N$86)</f>
        <v/>
      </c>
      <c r="O147" s="67" t="str" cm="1">
        <f t="array" aca="1" ref="O147" ca="1">_xll.DBRW($C$47,$M$83,$M$84,$C$48,$C$49,$C$50,$C$51,$C$52,$C$53,$C$54,$C$55,$C147,$C$56,$M$82,$A147,$C$57,$C$58,O$86)</f>
        <v/>
      </c>
      <c r="P147" s="67" t="str" cm="1">
        <f t="array" aca="1" ref="P147" ca="1">_xll.DBRW($C$47,$M$83,$M$84,$C$48,$C$49,$C$50,$C$51,$C$52,$C$53,$C$54,$C$55,$C147,$C$56,$M$82,$A147,$C$57,$C$58,P$86)</f>
        <v/>
      </c>
      <c r="Q147" s="67" t="str" cm="1">
        <f t="array" aca="1" ref="Q147" ca="1">_xll.DBRW($C$47,$M$83,$M$84,$C$48,$C$49,$C$50,$C$51,$C$52,$C$53,$C$54,$C$55,$C147,$C$56,$M$82,$A147,$C$57,$C$58,Q$86)</f>
        <v/>
      </c>
      <c r="R147" s="67" t="str" cm="1">
        <f t="array" aca="1" ref="R147" ca="1">_xll.DBRW($C$47,$M$83,$M$84,$C$48,$C$49,$C$50,$C$51,$C$52,$C$53,$C$54,$C$55,$C147,$C$56,$M$82,$A147,$C$57,$C$58,R$86)</f>
        <v/>
      </c>
      <c r="S147" s="68" t="str" cm="1">
        <f t="array" aca="1" ref="S147" ca="1">_xll.DBRW($C$47,$M$83,$M$84,$C$48,$C$49,$C$50,$C$51,$C$52,$C$53,$C$54,$C$55,$C147,$C$56,$M$82,$A147,$C$57,$C$58,S$86)</f>
        <v/>
      </c>
      <c r="T147" s="14" t="str" cm="1">
        <f t="array" aca="1" ref="T147" ca="1">_xll.DBRW($C$47,$M$83,$M$84,$C$48,$C$49,$C$50,$C$51,$C$52,$C$53,$C$54,$C$55,$C147,$C$56,$M$82,$A147,$C$57,$C$58,T$86)</f>
        <v/>
      </c>
      <c r="U147" s="14" t="str" cm="1">
        <f t="array" aca="1" ref="U147" ca="1">_xll.DBRW($C$47,$M$83,$M$84,$C$48,$C$49,$C$50,$C$51,$C$52,$C$53,$C$54,$C$55,$C147,$C$56,$M$82,$A147,$C$57,$C$58,U$86)</f>
        <v/>
      </c>
      <c r="V147" s="14" t="str" cm="1">
        <f t="array" aca="1" ref="V147" ca="1">_xll.DBRW($C$47,$M$83,$M$84,$C$48,$C$49,$C$50,$C$51,$C$52,$C$53,$C$54,$C$55,$C147,$C$56,$M$82,$A147,$C$57,$C$58,V$86)</f>
        <v/>
      </c>
      <c r="W147" s="14" t="str" cm="1">
        <f t="array" aca="1" ref="W147" ca="1">_xll.DBRW($C$47,$M$83,$M$84,$C$48,$C$49,$C$50,$C$51,$C$52,$C$53,$C$54,$C$55,$C147,$C$56,$M$82,$A147,$C$57,$C$58,W$86)</f>
        <v/>
      </c>
      <c r="X147" s="14" t="str" cm="1">
        <f t="array" aca="1" ref="X147" ca="1">_xll.DBRW($C$47,$M$83,$M$84,$C$48,$C$49,$C$50,$C$51,$C$52,$C$53,$C$54,$C$55,$C147,$C$56,$M$82,$A147,$C$57,$C$58,X$86)</f>
        <v/>
      </c>
      <c r="Y147" s="14" t="str" cm="1">
        <f t="array" aca="1" ref="Y147" ca="1">_xll.DBRW($C$47,$M$83,$M$84,$C$48,$C$49,$C$50,$C$51,$C$52,$C$53,$C$54,$C$55,$C147,$C$56,$M$82,$A147,$C$57,$C$58,Y$86)</f>
        <v/>
      </c>
      <c r="Z147" s="14" t="str" cm="1">
        <f t="array" aca="1" ref="Z147" ca="1">_xll.DBRW($C$47,$M$83,$M$84,$C$48,$C$49,$C$50,$C$51,$C$52,$C$53,$C$54,$C$55,$C147,$C$56,$M$82,$A147,$C$57,$C$58,Z$86)</f>
        <v/>
      </c>
      <c r="AA147" s="14" t="str" cm="1">
        <f t="array" aca="1" ref="AA147" ca="1">_xll.DBRW($C$47,$M$83,$M$84,$C$48,$C$49,$C$50,$C$51,$C$52,$C$53,$C$54,$C$55,$C147,$C$56,$M$82,$A147,$C$57,$C$58,AA$86)</f>
        <v/>
      </c>
      <c r="AB147" s="14" t="str" cm="1">
        <f t="array" aca="1" ref="AB147" ca="1">_xll.DBRW($C$47,$M$83,$M$84,$C$48,$C$49,$C$50,$C$51,$C$52,$C$53,$C$54,$C$55,$C147,$C$56,$M$82,$A147,$C$57,$C$58,AB$86)</f>
        <v/>
      </c>
      <c r="AC147" s="15" t="str" cm="1">
        <f t="array" aca="1" ref="AC147" ca="1">_xll.DBRW($C$47,$M$83,$M$84,$C$48,$C$49,$C$50,$C$51,$C$52,$C$53,$C$54,$C$55,$C147,$C$56,$M$82,$A147,$C$57,$C$58,AC$86)</f>
        <v/>
      </c>
    </row>
    <row r="148" spans="1:29" ht="12" x14ac:dyDescent="0.15">
      <c r="A148" s="1" t="s">
        <v>31</v>
      </c>
      <c r="B148" s="1" t="str">
        <f ca="1">_xll.DBRA(db_name&amp;":account",A148,"description")</f>
        <v/>
      </c>
      <c r="C148" s="1" t="s">
        <v>13</v>
      </c>
      <c r="D148" s="1" t="str">
        <f ca="1">_xll.DBRA(db_name&amp;":movement account",C148,"description")</f>
        <v/>
      </c>
      <c r="J148" s="63" t="s">
        <v>16</v>
      </c>
      <c r="K148" s="64" t="str">
        <f ca="1">A148&amp;" - "&amp;B148</f>
        <v xml:space="preserve">6231010 - </v>
      </c>
      <c r="L148" s="40" t="str">
        <f ca="1">IF(C148="No_Mvt",C148,C148&amp;" - "&amp;D148)</f>
        <v>No_Mvt</v>
      </c>
      <c r="M148" s="65" t="str">
        <f ca="1">IF(LEFT(A148,4)="9000","Special Account",VLOOKUP(LEFT(A148,1)*1,$P$60:$Q$66,2,FALSE))</f>
        <v>Cash Flow Account</v>
      </c>
      <c r="N148" s="66" t="str" cm="1">
        <f t="array" aca="1" ref="N148" ca="1">_xll.DBRW($C$47,$M$83,$M$84,$C$48,$C$49,$C$50,$C$51,$C$52,$C$53,$C$54,$C$55,$C148,$C$56,$M$82,$A148,$C$57,$C$58,N$86)</f>
        <v/>
      </c>
      <c r="O148" s="67" t="str" cm="1">
        <f t="array" aca="1" ref="O148" ca="1">_xll.DBRW($C$47,$M$83,$M$84,$C$48,$C$49,$C$50,$C$51,$C$52,$C$53,$C$54,$C$55,$C148,$C$56,$M$82,$A148,$C$57,$C$58,O$86)</f>
        <v/>
      </c>
      <c r="P148" s="67" t="str" cm="1">
        <f t="array" aca="1" ref="P148" ca="1">_xll.DBRW($C$47,$M$83,$M$84,$C$48,$C$49,$C$50,$C$51,$C$52,$C$53,$C$54,$C$55,$C148,$C$56,$M$82,$A148,$C$57,$C$58,P$86)</f>
        <v/>
      </c>
      <c r="Q148" s="67" t="str" cm="1">
        <f t="array" aca="1" ref="Q148" ca="1">_xll.DBRW($C$47,$M$83,$M$84,$C$48,$C$49,$C$50,$C$51,$C$52,$C$53,$C$54,$C$55,$C148,$C$56,$M$82,$A148,$C$57,$C$58,Q$86)</f>
        <v/>
      </c>
      <c r="R148" s="67" t="str" cm="1">
        <f t="array" aca="1" ref="R148" ca="1">_xll.DBRW($C$47,$M$83,$M$84,$C$48,$C$49,$C$50,$C$51,$C$52,$C$53,$C$54,$C$55,$C148,$C$56,$M$82,$A148,$C$57,$C$58,R$86)</f>
        <v/>
      </c>
      <c r="S148" s="68" t="str" cm="1">
        <f t="array" aca="1" ref="S148" ca="1">_xll.DBRW($C$47,$M$83,$M$84,$C$48,$C$49,$C$50,$C$51,$C$52,$C$53,$C$54,$C$55,$C148,$C$56,$M$82,$A148,$C$57,$C$58,S$86)</f>
        <v/>
      </c>
      <c r="T148" s="14" t="str" cm="1">
        <f t="array" aca="1" ref="T148" ca="1">_xll.DBRW($C$47,$M$83,$M$84,$C$48,$C$49,$C$50,$C$51,$C$52,$C$53,$C$54,$C$55,$C148,$C$56,$M$82,$A148,$C$57,$C$58,T$86)</f>
        <v/>
      </c>
      <c r="U148" s="14" t="str" cm="1">
        <f t="array" aca="1" ref="U148" ca="1">_xll.DBRW($C$47,$M$83,$M$84,$C$48,$C$49,$C$50,$C$51,$C$52,$C$53,$C$54,$C$55,$C148,$C$56,$M$82,$A148,$C$57,$C$58,U$86)</f>
        <v/>
      </c>
      <c r="V148" s="14" t="str" cm="1">
        <f t="array" aca="1" ref="V148" ca="1">_xll.DBRW($C$47,$M$83,$M$84,$C$48,$C$49,$C$50,$C$51,$C$52,$C$53,$C$54,$C$55,$C148,$C$56,$M$82,$A148,$C$57,$C$58,V$86)</f>
        <v/>
      </c>
      <c r="W148" s="14" t="str" cm="1">
        <f t="array" aca="1" ref="W148" ca="1">_xll.DBRW($C$47,$M$83,$M$84,$C$48,$C$49,$C$50,$C$51,$C$52,$C$53,$C$54,$C$55,$C148,$C$56,$M$82,$A148,$C$57,$C$58,W$86)</f>
        <v/>
      </c>
      <c r="X148" s="14" t="str" cm="1">
        <f t="array" aca="1" ref="X148" ca="1">_xll.DBRW($C$47,$M$83,$M$84,$C$48,$C$49,$C$50,$C$51,$C$52,$C$53,$C$54,$C$55,$C148,$C$56,$M$82,$A148,$C$57,$C$58,X$86)</f>
        <v/>
      </c>
      <c r="Y148" s="14" t="str" cm="1">
        <f t="array" aca="1" ref="Y148" ca="1">_xll.DBRW($C$47,$M$83,$M$84,$C$48,$C$49,$C$50,$C$51,$C$52,$C$53,$C$54,$C$55,$C148,$C$56,$M$82,$A148,$C$57,$C$58,Y$86)</f>
        <v/>
      </c>
      <c r="Z148" s="14" t="str" cm="1">
        <f t="array" aca="1" ref="Z148" ca="1">_xll.DBRW($C$47,$M$83,$M$84,$C$48,$C$49,$C$50,$C$51,$C$52,$C$53,$C$54,$C$55,$C148,$C$56,$M$82,$A148,$C$57,$C$58,Z$86)</f>
        <v/>
      </c>
      <c r="AA148" s="14" t="str" cm="1">
        <f t="array" aca="1" ref="AA148" ca="1">_xll.DBRW($C$47,$M$83,$M$84,$C$48,$C$49,$C$50,$C$51,$C$52,$C$53,$C$54,$C$55,$C148,$C$56,$M$82,$A148,$C$57,$C$58,AA$86)</f>
        <v/>
      </c>
      <c r="AB148" s="14" t="str" cm="1">
        <f t="array" aca="1" ref="AB148" ca="1">_xll.DBRW($C$47,$M$83,$M$84,$C$48,$C$49,$C$50,$C$51,$C$52,$C$53,$C$54,$C$55,$C148,$C$56,$M$82,$A148,$C$57,$C$58,AB$86)</f>
        <v/>
      </c>
      <c r="AC148" s="15" t="str" cm="1">
        <f t="array" aca="1" ref="AC148" ca="1">_xll.DBRW($C$47,$M$83,$M$84,$C$48,$C$49,$C$50,$C$51,$C$52,$C$53,$C$54,$C$55,$C148,$C$56,$M$82,$A148,$C$57,$C$58,AC$86)</f>
        <v/>
      </c>
    </row>
    <row r="149" spans="1:29" s="2" customFormat="1" ht="24" x14ac:dyDescent="0.15">
      <c r="J149" s="85" t="s">
        <v>71</v>
      </c>
      <c r="K149" s="77" t="s">
        <v>89</v>
      </c>
      <c r="L149" s="78"/>
      <c r="M149" s="79"/>
      <c r="N149" s="80" t="e">
        <f ca="1">N146-N147-N148</f>
        <v>#VALUE!</v>
      </c>
      <c r="O149" s="81" t="e">
        <f t="shared" ref="O149:T149" ca="1" si="68">O146-O147-O148</f>
        <v>#VALUE!</v>
      </c>
      <c r="P149" s="81" t="e">
        <f t="shared" ca="1" si="68"/>
        <v>#VALUE!</v>
      </c>
      <c r="Q149" s="81" t="e">
        <f t="shared" ca="1" si="68"/>
        <v>#VALUE!</v>
      </c>
      <c r="R149" s="81" t="e">
        <f t="shared" ca="1" si="68"/>
        <v>#VALUE!</v>
      </c>
      <c r="S149" s="82" t="e">
        <f t="shared" ca="1" si="68"/>
        <v>#VALUE!</v>
      </c>
      <c r="T149" s="83" t="e">
        <f t="shared" ca="1" si="68"/>
        <v>#VALUE!</v>
      </c>
      <c r="U149" s="83" t="e">
        <f t="shared" ref="U149:Y149" ca="1" si="69">U146-U147-U148</f>
        <v>#VALUE!</v>
      </c>
      <c r="V149" s="83" t="e">
        <f t="shared" ca="1" si="69"/>
        <v>#VALUE!</v>
      </c>
      <c r="W149" s="83" t="e">
        <f t="shared" ca="1" si="69"/>
        <v>#VALUE!</v>
      </c>
      <c r="X149" s="83" t="e">
        <f t="shared" ca="1" si="69"/>
        <v>#VALUE!</v>
      </c>
      <c r="Y149" s="83" t="e">
        <f t="shared" ca="1" si="69"/>
        <v>#VALUE!</v>
      </c>
      <c r="Z149" s="83" t="e">
        <f t="shared" ref="Z149:AC149" ca="1" si="70">Z146-Z147-Z148</f>
        <v>#VALUE!</v>
      </c>
      <c r="AA149" s="83" t="e">
        <f t="shared" ca="1" si="70"/>
        <v>#VALUE!</v>
      </c>
      <c r="AB149" s="83" t="e">
        <f t="shared" ca="1" si="70"/>
        <v>#VALUE!</v>
      </c>
      <c r="AC149" s="84" t="e">
        <f t="shared" ca="1" si="70"/>
        <v>#VALUE!</v>
      </c>
    </row>
    <row r="150" spans="1:29" ht="12" x14ac:dyDescent="0.15">
      <c r="A150" s="1" t="s">
        <v>32</v>
      </c>
      <c r="B150" s="1" t="str">
        <f ca="1">_xll.DBRA(db_name&amp;":account",A150,"description")</f>
        <v/>
      </c>
      <c r="C150" s="1" t="s">
        <v>13</v>
      </c>
      <c r="D150" s="1" t="str">
        <f ca="1">_xll.DBRA(db_name&amp;":movement account",C150,"description")</f>
        <v/>
      </c>
      <c r="J150" s="63"/>
      <c r="K150" s="64" t="str">
        <f ca="1">A150&amp;" - "&amp;B150</f>
        <v xml:space="preserve">9000864 - </v>
      </c>
      <c r="L150" s="40" t="str">
        <f ca="1">IF(C150="No_Mvt",C150,C150&amp;" - "&amp;D150)</f>
        <v>No_Mvt</v>
      </c>
      <c r="M150" s="65" t="str">
        <f ca="1">IF(LEFT(A150,4)="9000","Special Account",VLOOKUP(LEFT(A150,1)*1,$P$60:$Q$66,2,FALSE))</f>
        <v>Special Account</v>
      </c>
      <c r="N150" s="71" t="str" cm="1">
        <f t="array" aca="1" ref="N150" ca="1">_xll.DBRW($C$47,$M$83,$M$84,$C$48,$C$49,$C$50,$C$51,$C$52,$C$53,$C$54,$C$55,$C150,$C$56,$M$82,$A150,$C$57,$C$58,N$86)</f>
        <v/>
      </c>
      <c r="O150" s="72" t="str" cm="1">
        <f t="array" aca="1" ref="O150" ca="1">_xll.DBRW($C$47,$M$83,$M$84,$C$48,$C$49,$C$50,$C$51,$C$52,$C$53,$C$54,$C$55,$C150,$C$56,$M$82,$A150,$C$57,$C$58,O$86)</f>
        <v/>
      </c>
      <c r="P150" s="72" t="str" cm="1">
        <f t="array" aca="1" ref="P150" ca="1">_xll.DBRW($C$47,$M$83,$M$84,$C$48,$C$49,$C$50,$C$51,$C$52,$C$53,$C$54,$C$55,$C150,$C$56,$M$82,$A150,$C$57,$C$58,P$86)</f>
        <v/>
      </c>
      <c r="Q150" s="72" t="str" cm="1">
        <f t="array" aca="1" ref="Q150" ca="1">_xll.DBRW($C$47,$M$83,$M$84,$C$48,$C$49,$C$50,$C$51,$C$52,$C$53,$C$54,$C$55,$C150,$C$56,$M$82,$A150,$C$57,$C$58,Q$86)</f>
        <v/>
      </c>
      <c r="R150" s="72" t="str" cm="1">
        <f t="array" aca="1" ref="R150" ca="1">_xll.DBRW($C$47,$M$83,$M$84,$C$48,$C$49,$C$50,$C$51,$C$52,$C$53,$C$54,$C$55,$C150,$C$56,$M$82,$A150,$C$57,$C$58,R$86)</f>
        <v/>
      </c>
      <c r="S150" s="73" t="str" cm="1">
        <f t="array" aca="1" ref="S150" ca="1">_xll.DBRW($C$47,$M$83,$M$84,$C$48,$C$49,$C$50,$C$51,$C$52,$C$53,$C$54,$C$55,$C150,$C$56,$M$82,$A150,$C$57,$C$58,S$86)</f>
        <v/>
      </c>
      <c r="T150" s="18" t="str" cm="1">
        <f t="array" aca="1" ref="T150" ca="1">_xll.DBRW($C$47,$M$83,$M$84,$C$48,$C$49,$C$50,$C$51,$C$52,$C$53,$C$54,$C$55,$C150,$C$56,$M$82,$A150,$C$57,$C$58,T$86)</f>
        <v/>
      </c>
      <c r="U150" s="18" t="str" cm="1">
        <f t="array" aca="1" ref="U150" ca="1">_xll.DBRW($C$47,$M$83,$M$84,$C$48,$C$49,$C$50,$C$51,$C$52,$C$53,$C$54,$C$55,$C150,$C$56,$M$82,$A150,$C$57,$C$58,U$86)</f>
        <v/>
      </c>
      <c r="V150" s="18" t="str" cm="1">
        <f t="array" aca="1" ref="V150" ca="1">_xll.DBRW($C$47,$M$83,$M$84,$C$48,$C$49,$C$50,$C$51,$C$52,$C$53,$C$54,$C$55,$C150,$C$56,$M$82,$A150,$C$57,$C$58,V$86)</f>
        <v/>
      </c>
      <c r="W150" s="18" t="str" cm="1">
        <f t="array" aca="1" ref="W150" ca="1">_xll.DBRW($C$47,$M$83,$M$84,$C$48,$C$49,$C$50,$C$51,$C$52,$C$53,$C$54,$C$55,$C150,$C$56,$M$82,$A150,$C$57,$C$58,W$86)</f>
        <v/>
      </c>
      <c r="X150" s="18" t="str" cm="1">
        <f t="array" aca="1" ref="X150" ca="1">_xll.DBRW($C$47,$M$83,$M$84,$C$48,$C$49,$C$50,$C$51,$C$52,$C$53,$C$54,$C$55,$C150,$C$56,$M$82,$A150,$C$57,$C$58,X$86)</f>
        <v/>
      </c>
      <c r="Y150" s="18" t="str" cm="1">
        <f t="array" aca="1" ref="Y150" ca="1">_xll.DBRW($C$47,$M$83,$M$84,$C$48,$C$49,$C$50,$C$51,$C$52,$C$53,$C$54,$C$55,$C150,$C$56,$M$82,$A150,$C$57,$C$58,Y$86)</f>
        <v/>
      </c>
      <c r="Z150" s="18" t="str" cm="1">
        <f t="array" aca="1" ref="Z150" ca="1">_xll.DBRW($C$47,$M$83,$M$84,$C$48,$C$49,$C$50,$C$51,$C$52,$C$53,$C$54,$C$55,$C150,$C$56,$M$82,$A150,$C$57,$C$58,Z$86)</f>
        <v/>
      </c>
      <c r="AA150" s="18" t="str" cm="1">
        <f t="array" aca="1" ref="AA150" ca="1">_xll.DBRW($C$47,$M$83,$M$84,$C$48,$C$49,$C$50,$C$51,$C$52,$C$53,$C$54,$C$55,$C150,$C$56,$M$82,$A150,$C$57,$C$58,AA$86)</f>
        <v/>
      </c>
      <c r="AB150" s="18" t="str" cm="1">
        <f t="array" aca="1" ref="AB150" ca="1">_xll.DBRW($C$47,$M$83,$M$84,$C$48,$C$49,$C$50,$C$51,$C$52,$C$53,$C$54,$C$55,$C150,$C$56,$M$82,$A150,$C$57,$C$58,AB$86)</f>
        <v/>
      </c>
      <c r="AC150" s="19" t="str" cm="1">
        <f t="array" aca="1" ref="AC150" ca="1">_xll.DBRW($C$47,$M$83,$M$84,$C$48,$C$49,$C$50,$C$51,$C$52,$C$53,$C$54,$C$55,$C150,$C$56,$M$82,$A150,$C$57,$C$58,AC$86)</f>
        <v/>
      </c>
    </row>
    <row r="151" spans="1:29" ht="12" x14ac:dyDescent="0.15">
      <c r="A151" s="1" t="s">
        <v>33</v>
      </c>
      <c r="B151" s="1" t="str">
        <f ca="1">_xll.DBRA(db_name&amp;":account",A151,"description")</f>
        <v/>
      </c>
      <c r="C151" s="1" t="s">
        <v>13</v>
      </c>
      <c r="D151" s="1" t="str">
        <f ca="1">_xll.DBRA(db_name&amp;":movement account",C151,"description")</f>
        <v/>
      </c>
      <c r="J151" s="63" t="s">
        <v>15</v>
      </c>
      <c r="K151" s="64" t="str">
        <f ca="1">A151&amp;" - "&amp;B151</f>
        <v xml:space="preserve">6211002 - </v>
      </c>
      <c r="L151" s="40" t="str">
        <f ca="1">IF(C151="No_Mvt",C151,C151&amp;" - "&amp;D151)</f>
        <v>No_Mvt</v>
      </c>
      <c r="M151" s="65" t="str">
        <f ca="1">IF(LEFT(A151,4)="9000","Special Account",VLOOKUP(LEFT(A151,1)*1,$P$60:$Q$66,2,FALSE))</f>
        <v>Cash Flow Account</v>
      </c>
      <c r="N151" s="71" t="str" cm="1">
        <f t="array" aca="1" ref="N151" ca="1">_xll.DBRW($C$47,$M$83,$M$84,$C$48,$C$49,$C$50,$C$51,$C$52,$C$53,$C$54,$C$55,$C151,$C$56,$M$82,$A151,$C$57,$C$58,N$86)</f>
        <v/>
      </c>
      <c r="O151" s="72" t="str" cm="1">
        <f t="array" aca="1" ref="O151" ca="1">_xll.DBRW($C$47,$M$83,$M$84,$C$48,$C$49,$C$50,$C$51,$C$52,$C$53,$C$54,$C$55,$C151,$C$56,$M$82,$A151,$C$57,$C$58,O$86)</f>
        <v/>
      </c>
      <c r="P151" s="72" t="str" cm="1">
        <f t="array" aca="1" ref="P151" ca="1">_xll.DBRW($C$47,$M$83,$M$84,$C$48,$C$49,$C$50,$C$51,$C$52,$C$53,$C$54,$C$55,$C151,$C$56,$M$82,$A151,$C$57,$C$58,P$86)</f>
        <v/>
      </c>
      <c r="Q151" s="72" t="str" cm="1">
        <f t="array" aca="1" ref="Q151" ca="1">_xll.DBRW($C$47,$M$83,$M$84,$C$48,$C$49,$C$50,$C$51,$C$52,$C$53,$C$54,$C$55,$C151,$C$56,$M$82,$A151,$C$57,$C$58,Q$86)</f>
        <v/>
      </c>
      <c r="R151" s="72" t="str" cm="1">
        <f t="array" aca="1" ref="R151" ca="1">_xll.DBRW($C$47,$M$83,$M$84,$C$48,$C$49,$C$50,$C$51,$C$52,$C$53,$C$54,$C$55,$C151,$C$56,$M$82,$A151,$C$57,$C$58,R$86)</f>
        <v/>
      </c>
      <c r="S151" s="73" t="str" cm="1">
        <f t="array" aca="1" ref="S151" ca="1">_xll.DBRW($C$47,$M$83,$M$84,$C$48,$C$49,$C$50,$C$51,$C$52,$C$53,$C$54,$C$55,$C151,$C$56,$M$82,$A151,$C$57,$C$58,S$86)</f>
        <v/>
      </c>
      <c r="T151" s="18" t="str" cm="1">
        <f t="array" aca="1" ref="T151" ca="1">_xll.DBRW($C$47,$M$83,$M$84,$C$48,$C$49,$C$50,$C$51,$C$52,$C$53,$C$54,$C$55,$C151,$C$56,$M$82,$A151,$C$57,$C$58,T$86)</f>
        <v/>
      </c>
      <c r="U151" s="18" t="str" cm="1">
        <f t="array" aca="1" ref="U151" ca="1">_xll.DBRW($C$47,$M$83,$M$84,$C$48,$C$49,$C$50,$C$51,$C$52,$C$53,$C$54,$C$55,$C151,$C$56,$M$82,$A151,$C$57,$C$58,U$86)</f>
        <v/>
      </c>
      <c r="V151" s="18" t="str" cm="1">
        <f t="array" aca="1" ref="V151" ca="1">_xll.DBRW($C$47,$M$83,$M$84,$C$48,$C$49,$C$50,$C$51,$C$52,$C$53,$C$54,$C$55,$C151,$C$56,$M$82,$A151,$C$57,$C$58,V$86)</f>
        <v/>
      </c>
      <c r="W151" s="18" t="str" cm="1">
        <f t="array" aca="1" ref="W151" ca="1">_xll.DBRW($C$47,$M$83,$M$84,$C$48,$C$49,$C$50,$C$51,$C$52,$C$53,$C$54,$C$55,$C151,$C$56,$M$82,$A151,$C$57,$C$58,W$86)</f>
        <v/>
      </c>
      <c r="X151" s="18" t="str" cm="1">
        <f t="array" aca="1" ref="X151" ca="1">_xll.DBRW($C$47,$M$83,$M$84,$C$48,$C$49,$C$50,$C$51,$C$52,$C$53,$C$54,$C$55,$C151,$C$56,$M$82,$A151,$C$57,$C$58,X$86)</f>
        <v/>
      </c>
      <c r="Y151" s="18" t="str" cm="1">
        <f t="array" aca="1" ref="Y151" ca="1">_xll.DBRW($C$47,$M$83,$M$84,$C$48,$C$49,$C$50,$C$51,$C$52,$C$53,$C$54,$C$55,$C151,$C$56,$M$82,$A151,$C$57,$C$58,Y$86)</f>
        <v/>
      </c>
      <c r="Z151" s="18" t="str" cm="1">
        <f t="array" aca="1" ref="Z151" ca="1">_xll.DBRW($C$47,$M$83,$M$84,$C$48,$C$49,$C$50,$C$51,$C$52,$C$53,$C$54,$C$55,$C151,$C$56,$M$82,$A151,$C$57,$C$58,Z$86)</f>
        <v/>
      </c>
      <c r="AA151" s="18" t="str" cm="1">
        <f t="array" aca="1" ref="AA151" ca="1">_xll.DBRW($C$47,$M$83,$M$84,$C$48,$C$49,$C$50,$C$51,$C$52,$C$53,$C$54,$C$55,$C151,$C$56,$M$82,$A151,$C$57,$C$58,AA$86)</f>
        <v/>
      </c>
      <c r="AB151" s="18" t="str" cm="1">
        <f t="array" aca="1" ref="AB151" ca="1">_xll.DBRW($C$47,$M$83,$M$84,$C$48,$C$49,$C$50,$C$51,$C$52,$C$53,$C$54,$C$55,$C151,$C$56,$M$82,$A151,$C$57,$C$58,AB$86)</f>
        <v/>
      </c>
      <c r="AC151" s="19" t="str" cm="1">
        <f t="array" aca="1" ref="AC151" ca="1">_xll.DBRW($C$47,$M$83,$M$84,$C$48,$C$49,$C$50,$C$51,$C$52,$C$53,$C$54,$C$55,$C151,$C$56,$M$82,$A151,$C$57,$C$58,AC$86)</f>
        <v/>
      </c>
    </row>
    <row r="152" spans="1:29" ht="12" x14ac:dyDescent="0.15">
      <c r="A152" s="1" t="s">
        <v>34</v>
      </c>
      <c r="B152" s="1" t="str">
        <f ca="1">_xll.DBRA(db_name&amp;":account",A152,"description")</f>
        <v/>
      </c>
      <c r="C152" s="1" t="s">
        <v>13</v>
      </c>
      <c r="D152" s="1" t="str">
        <f ca="1">_xll.DBRA(db_name&amp;":movement account",C152,"description")</f>
        <v/>
      </c>
      <c r="J152" s="63" t="s">
        <v>16</v>
      </c>
      <c r="K152" s="64" t="str">
        <f ca="1">A152&amp;" - "&amp;B152</f>
        <v xml:space="preserve">6211098 - </v>
      </c>
      <c r="L152" s="40" t="str">
        <f ca="1">IF(C152="No_Mvt",C152,C152&amp;" - "&amp;D152)</f>
        <v>No_Mvt</v>
      </c>
      <c r="M152" s="65" t="str">
        <f ca="1">IF(LEFT(A152,4)="9000","Special Account",VLOOKUP(LEFT(A152,1)*1,$P$60:$Q$66,2,FALSE))</f>
        <v>Cash Flow Account</v>
      </c>
      <c r="N152" s="71" t="str" cm="1">
        <f t="array" aca="1" ref="N152" ca="1">_xll.DBRW($C$47,$M$83,$M$84,$C$48,$C$49,$C$50,$C$51,$C$52,$C$53,$C$54,$C$55,$C152,$C$56,$M$82,$A152,$C$57,$C$58,N$86)</f>
        <v/>
      </c>
      <c r="O152" s="72" t="str" cm="1">
        <f t="array" aca="1" ref="O152" ca="1">_xll.DBRW($C$47,$M$83,$M$84,$C$48,$C$49,$C$50,$C$51,$C$52,$C$53,$C$54,$C$55,$C152,$C$56,$M$82,$A152,$C$57,$C$58,O$86)</f>
        <v/>
      </c>
      <c r="P152" s="72" t="str" cm="1">
        <f t="array" aca="1" ref="P152" ca="1">_xll.DBRW($C$47,$M$83,$M$84,$C$48,$C$49,$C$50,$C$51,$C$52,$C$53,$C$54,$C$55,$C152,$C$56,$M$82,$A152,$C$57,$C$58,P$86)</f>
        <v/>
      </c>
      <c r="Q152" s="72" t="str" cm="1">
        <f t="array" aca="1" ref="Q152" ca="1">_xll.DBRW($C$47,$M$83,$M$84,$C$48,$C$49,$C$50,$C$51,$C$52,$C$53,$C$54,$C$55,$C152,$C$56,$M$82,$A152,$C$57,$C$58,Q$86)</f>
        <v/>
      </c>
      <c r="R152" s="72" t="str" cm="1">
        <f t="array" aca="1" ref="R152" ca="1">_xll.DBRW($C$47,$M$83,$M$84,$C$48,$C$49,$C$50,$C$51,$C$52,$C$53,$C$54,$C$55,$C152,$C$56,$M$82,$A152,$C$57,$C$58,R$86)</f>
        <v/>
      </c>
      <c r="S152" s="73" t="str" cm="1">
        <f t="array" aca="1" ref="S152" ca="1">_xll.DBRW($C$47,$M$83,$M$84,$C$48,$C$49,$C$50,$C$51,$C$52,$C$53,$C$54,$C$55,$C152,$C$56,$M$82,$A152,$C$57,$C$58,S$86)</f>
        <v/>
      </c>
      <c r="T152" s="18" t="str" cm="1">
        <f t="array" aca="1" ref="T152" ca="1">_xll.DBRW($C$47,$M$83,$M$84,$C$48,$C$49,$C$50,$C$51,$C$52,$C$53,$C$54,$C$55,$C152,$C$56,$M$82,$A152,$C$57,$C$58,T$86)</f>
        <v/>
      </c>
      <c r="U152" s="18" t="str" cm="1">
        <f t="array" aca="1" ref="U152" ca="1">_xll.DBRW($C$47,$M$83,$M$84,$C$48,$C$49,$C$50,$C$51,$C$52,$C$53,$C$54,$C$55,$C152,$C$56,$M$82,$A152,$C$57,$C$58,U$86)</f>
        <v/>
      </c>
      <c r="V152" s="18" t="str" cm="1">
        <f t="array" aca="1" ref="V152" ca="1">_xll.DBRW($C$47,$M$83,$M$84,$C$48,$C$49,$C$50,$C$51,$C$52,$C$53,$C$54,$C$55,$C152,$C$56,$M$82,$A152,$C$57,$C$58,V$86)</f>
        <v/>
      </c>
      <c r="W152" s="18" t="str" cm="1">
        <f t="array" aca="1" ref="W152" ca="1">_xll.DBRW($C$47,$M$83,$M$84,$C$48,$C$49,$C$50,$C$51,$C$52,$C$53,$C$54,$C$55,$C152,$C$56,$M$82,$A152,$C$57,$C$58,W$86)</f>
        <v/>
      </c>
      <c r="X152" s="18" t="str" cm="1">
        <f t="array" aca="1" ref="X152" ca="1">_xll.DBRW($C$47,$M$83,$M$84,$C$48,$C$49,$C$50,$C$51,$C$52,$C$53,$C$54,$C$55,$C152,$C$56,$M$82,$A152,$C$57,$C$58,X$86)</f>
        <v/>
      </c>
      <c r="Y152" s="18" t="str" cm="1">
        <f t="array" aca="1" ref="Y152" ca="1">_xll.DBRW($C$47,$M$83,$M$84,$C$48,$C$49,$C$50,$C$51,$C$52,$C$53,$C$54,$C$55,$C152,$C$56,$M$82,$A152,$C$57,$C$58,Y$86)</f>
        <v/>
      </c>
      <c r="Z152" s="18" t="str" cm="1">
        <f t="array" aca="1" ref="Z152" ca="1">_xll.DBRW($C$47,$M$83,$M$84,$C$48,$C$49,$C$50,$C$51,$C$52,$C$53,$C$54,$C$55,$C152,$C$56,$M$82,$A152,$C$57,$C$58,Z$86)</f>
        <v/>
      </c>
      <c r="AA152" s="18" t="str" cm="1">
        <f t="array" aca="1" ref="AA152" ca="1">_xll.DBRW($C$47,$M$83,$M$84,$C$48,$C$49,$C$50,$C$51,$C$52,$C$53,$C$54,$C$55,$C152,$C$56,$M$82,$A152,$C$57,$C$58,AA$86)</f>
        <v/>
      </c>
      <c r="AB152" s="18" t="str" cm="1">
        <f t="array" aca="1" ref="AB152" ca="1">_xll.DBRW($C$47,$M$83,$M$84,$C$48,$C$49,$C$50,$C$51,$C$52,$C$53,$C$54,$C$55,$C152,$C$56,$M$82,$A152,$C$57,$C$58,AB$86)</f>
        <v/>
      </c>
      <c r="AC152" s="19" t="str" cm="1">
        <f t="array" aca="1" ref="AC152" ca="1">_xll.DBRW($C$47,$M$83,$M$84,$C$48,$C$49,$C$50,$C$51,$C$52,$C$53,$C$54,$C$55,$C152,$C$56,$M$82,$A152,$C$57,$C$58,AC$86)</f>
        <v/>
      </c>
    </row>
    <row r="153" spans="1:29" s="2" customFormat="1" ht="24" x14ac:dyDescent="0.15">
      <c r="J153" s="85" t="s">
        <v>72</v>
      </c>
      <c r="K153" s="77" t="s">
        <v>90</v>
      </c>
      <c r="L153" s="78"/>
      <c r="M153" s="79"/>
      <c r="N153" s="80" t="e">
        <f ca="1">N150-N151-N152</f>
        <v>#VALUE!</v>
      </c>
      <c r="O153" s="81" t="e">
        <f t="shared" ref="O153" ca="1" si="71">O150-O151-O152</f>
        <v>#VALUE!</v>
      </c>
      <c r="P153" s="81" t="e">
        <f t="shared" ref="P153" ca="1" si="72">P150-P151-P152</f>
        <v>#VALUE!</v>
      </c>
      <c r="Q153" s="81" t="e">
        <f t="shared" ref="Q153" ca="1" si="73">Q150-Q151-Q152</f>
        <v>#VALUE!</v>
      </c>
      <c r="R153" s="81" t="e">
        <f t="shared" ref="R153" ca="1" si="74">R150-R151-R152</f>
        <v>#VALUE!</v>
      </c>
      <c r="S153" s="82" t="e">
        <f t="shared" ref="S153" ca="1" si="75">S150-S151-S152</f>
        <v>#VALUE!</v>
      </c>
      <c r="T153" s="83" t="e">
        <f t="shared" ref="T153" ca="1" si="76">T150-T151-T152</f>
        <v>#VALUE!</v>
      </c>
      <c r="U153" s="83" t="e">
        <f t="shared" ref="U153:Y153" ca="1" si="77">U150-U151-U152</f>
        <v>#VALUE!</v>
      </c>
      <c r="V153" s="83" t="e">
        <f t="shared" ca="1" si="77"/>
        <v>#VALUE!</v>
      </c>
      <c r="W153" s="83" t="e">
        <f t="shared" ca="1" si="77"/>
        <v>#VALUE!</v>
      </c>
      <c r="X153" s="83" t="e">
        <f t="shared" ca="1" si="77"/>
        <v>#VALUE!</v>
      </c>
      <c r="Y153" s="83" t="e">
        <f t="shared" ca="1" si="77"/>
        <v>#VALUE!</v>
      </c>
      <c r="Z153" s="83" t="e">
        <f t="shared" ref="Z153:AC153" ca="1" si="78">Z150-Z151-Z152</f>
        <v>#VALUE!</v>
      </c>
      <c r="AA153" s="83" t="e">
        <f t="shared" ca="1" si="78"/>
        <v>#VALUE!</v>
      </c>
      <c r="AB153" s="83" t="e">
        <f t="shared" ca="1" si="78"/>
        <v>#VALUE!</v>
      </c>
      <c r="AC153" s="84" t="e">
        <f t="shared" ca="1" si="78"/>
        <v>#VALUE!</v>
      </c>
    </row>
    <row r="154" spans="1:29" ht="12" x14ac:dyDescent="0.15">
      <c r="A154" s="1" t="s">
        <v>35</v>
      </c>
      <c r="B154" s="1" t="str">
        <f ca="1">_xll.DBRA(db_name&amp;":account",A154,"description")</f>
        <v/>
      </c>
      <c r="C154" s="1" t="s">
        <v>13</v>
      </c>
      <c r="D154" s="1" t="str">
        <f ca="1">_xll.DBRA(db_name&amp;":movement account",C154,"description")</f>
        <v/>
      </c>
      <c r="J154" s="63"/>
      <c r="K154" s="64" t="str">
        <f ca="1">A154&amp;" - "&amp;B154</f>
        <v xml:space="preserve">9000865 - </v>
      </c>
      <c r="L154" s="40" t="str">
        <f ca="1">IF(C154="No_Mvt",C154,C154&amp;" - "&amp;D154)</f>
        <v>No_Mvt</v>
      </c>
      <c r="M154" s="65" t="str">
        <f ca="1">IF(LEFT(A154,4)="9000","Special Account",VLOOKUP(LEFT(A154,1)*1,$P$60:$Q$66,2,FALSE))</f>
        <v>Special Account</v>
      </c>
      <c r="N154" s="71" t="str" cm="1">
        <f t="array" aca="1" ref="N154" ca="1">_xll.DBRW($C$47,$M$83,$M$84,$C$48,$C$49,$C$50,$C$51,$C$52,$C$53,$C$54,$C$55,$C154,$C$56,$M$82,$A154,$C$57,$C$58,N$86)</f>
        <v/>
      </c>
      <c r="O154" s="72" t="str" cm="1">
        <f t="array" aca="1" ref="O154" ca="1">_xll.DBRW($C$47,$M$83,$M$84,$C$48,$C$49,$C$50,$C$51,$C$52,$C$53,$C$54,$C$55,$C154,$C$56,$M$82,$A154,$C$57,$C$58,O$86)</f>
        <v/>
      </c>
      <c r="P154" s="72" t="str" cm="1">
        <f t="array" aca="1" ref="P154" ca="1">_xll.DBRW($C$47,$M$83,$M$84,$C$48,$C$49,$C$50,$C$51,$C$52,$C$53,$C$54,$C$55,$C154,$C$56,$M$82,$A154,$C$57,$C$58,P$86)</f>
        <v/>
      </c>
      <c r="Q154" s="72" t="str" cm="1">
        <f t="array" aca="1" ref="Q154" ca="1">_xll.DBRW($C$47,$M$83,$M$84,$C$48,$C$49,$C$50,$C$51,$C$52,$C$53,$C$54,$C$55,$C154,$C$56,$M$82,$A154,$C$57,$C$58,Q$86)</f>
        <v/>
      </c>
      <c r="R154" s="72" t="str" cm="1">
        <f t="array" aca="1" ref="R154" ca="1">_xll.DBRW($C$47,$M$83,$M$84,$C$48,$C$49,$C$50,$C$51,$C$52,$C$53,$C$54,$C$55,$C154,$C$56,$M$82,$A154,$C$57,$C$58,R$86)</f>
        <v/>
      </c>
      <c r="S154" s="73" t="str" cm="1">
        <f t="array" aca="1" ref="S154" ca="1">_xll.DBRW($C$47,$M$83,$M$84,$C$48,$C$49,$C$50,$C$51,$C$52,$C$53,$C$54,$C$55,$C154,$C$56,$M$82,$A154,$C$57,$C$58,S$86)</f>
        <v/>
      </c>
      <c r="T154" s="18" t="str" cm="1">
        <f t="array" aca="1" ref="T154" ca="1">_xll.DBRW($C$47,$M$83,$M$84,$C$48,$C$49,$C$50,$C$51,$C$52,$C$53,$C$54,$C$55,$C154,$C$56,$M$82,$A154,$C$57,$C$58,T$86)</f>
        <v/>
      </c>
      <c r="U154" s="18" t="str" cm="1">
        <f t="array" aca="1" ref="U154" ca="1">_xll.DBRW($C$47,$M$83,$M$84,$C$48,$C$49,$C$50,$C$51,$C$52,$C$53,$C$54,$C$55,$C154,$C$56,$M$82,$A154,$C$57,$C$58,U$86)</f>
        <v/>
      </c>
      <c r="V154" s="18" t="str" cm="1">
        <f t="array" aca="1" ref="V154" ca="1">_xll.DBRW($C$47,$M$83,$M$84,$C$48,$C$49,$C$50,$C$51,$C$52,$C$53,$C$54,$C$55,$C154,$C$56,$M$82,$A154,$C$57,$C$58,V$86)</f>
        <v/>
      </c>
      <c r="W154" s="18" t="str" cm="1">
        <f t="array" aca="1" ref="W154" ca="1">_xll.DBRW($C$47,$M$83,$M$84,$C$48,$C$49,$C$50,$C$51,$C$52,$C$53,$C$54,$C$55,$C154,$C$56,$M$82,$A154,$C$57,$C$58,W$86)</f>
        <v/>
      </c>
      <c r="X154" s="18" t="str" cm="1">
        <f t="array" aca="1" ref="X154" ca="1">_xll.DBRW($C$47,$M$83,$M$84,$C$48,$C$49,$C$50,$C$51,$C$52,$C$53,$C$54,$C$55,$C154,$C$56,$M$82,$A154,$C$57,$C$58,X$86)</f>
        <v/>
      </c>
      <c r="Y154" s="18" t="str" cm="1">
        <f t="array" aca="1" ref="Y154" ca="1">_xll.DBRW($C$47,$M$83,$M$84,$C$48,$C$49,$C$50,$C$51,$C$52,$C$53,$C$54,$C$55,$C154,$C$56,$M$82,$A154,$C$57,$C$58,Y$86)</f>
        <v/>
      </c>
      <c r="Z154" s="18" t="str" cm="1">
        <f t="array" aca="1" ref="Z154" ca="1">_xll.DBRW($C$47,$M$83,$M$84,$C$48,$C$49,$C$50,$C$51,$C$52,$C$53,$C$54,$C$55,$C154,$C$56,$M$82,$A154,$C$57,$C$58,Z$86)</f>
        <v/>
      </c>
      <c r="AA154" s="18" t="str" cm="1">
        <f t="array" aca="1" ref="AA154" ca="1">_xll.DBRW($C$47,$M$83,$M$84,$C$48,$C$49,$C$50,$C$51,$C$52,$C$53,$C$54,$C$55,$C154,$C$56,$M$82,$A154,$C$57,$C$58,AA$86)</f>
        <v/>
      </c>
      <c r="AB154" s="18" t="str" cm="1">
        <f t="array" aca="1" ref="AB154" ca="1">_xll.DBRW($C$47,$M$83,$M$84,$C$48,$C$49,$C$50,$C$51,$C$52,$C$53,$C$54,$C$55,$C154,$C$56,$M$82,$A154,$C$57,$C$58,AB$86)</f>
        <v/>
      </c>
      <c r="AC154" s="19" t="str" cm="1">
        <f t="array" aca="1" ref="AC154" ca="1">_xll.DBRW($C$47,$M$83,$M$84,$C$48,$C$49,$C$50,$C$51,$C$52,$C$53,$C$54,$C$55,$C154,$C$56,$M$82,$A154,$C$57,$C$58,AC$86)</f>
        <v/>
      </c>
    </row>
    <row r="155" spans="1:29" ht="12" x14ac:dyDescent="0.15">
      <c r="A155" s="1" t="s">
        <v>36</v>
      </c>
      <c r="B155" s="1" t="str">
        <f ca="1">_xll.DBRA(db_name&amp;":account",A155,"description")</f>
        <v/>
      </c>
      <c r="C155" s="1" t="s">
        <v>13</v>
      </c>
      <c r="D155" s="1" t="str">
        <f ca="1">_xll.DBRA(db_name&amp;":movement account",C155,"description")</f>
        <v/>
      </c>
      <c r="J155" s="63" t="s">
        <v>15</v>
      </c>
      <c r="K155" s="64" t="str">
        <f ca="1">A155&amp;" - "&amp;B155</f>
        <v xml:space="preserve">6212000 - </v>
      </c>
      <c r="L155" s="40" t="str">
        <f ca="1">IF(C155="No_Mvt",C155,C155&amp;" - "&amp;D155)</f>
        <v>No_Mvt</v>
      </c>
      <c r="M155" s="65" t="str">
        <f ca="1">IF(LEFT(A155,4)="9000","Special Account",VLOOKUP(LEFT(A155,1)*1,$P$60:$Q$66,2,FALSE))</f>
        <v>Cash Flow Account</v>
      </c>
      <c r="N155" s="71" t="str" cm="1">
        <f t="array" aca="1" ref="N155" ca="1">_xll.DBRW($C$47,$M$83,$M$84,$C$48,$C$49,$C$50,$C$51,$C$52,$C$53,$C$54,$C$55,$C155,$C$56,$M$82,$A155,$C$57,$C$58,N$86)</f>
        <v/>
      </c>
      <c r="O155" s="72" t="str" cm="1">
        <f t="array" aca="1" ref="O155" ca="1">_xll.DBRW($C$47,$M$83,$M$84,$C$48,$C$49,$C$50,$C$51,$C$52,$C$53,$C$54,$C$55,$C155,$C$56,$M$82,$A155,$C$57,$C$58,O$86)</f>
        <v/>
      </c>
      <c r="P155" s="72" t="str" cm="1">
        <f t="array" aca="1" ref="P155" ca="1">_xll.DBRW($C$47,$M$83,$M$84,$C$48,$C$49,$C$50,$C$51,$C$52,$C$53,$C$54,$C$55,$C155,$C$56,$M$82,$A155,$C$57,$C$58,P$86)</f>
        <v/>
      </c>
      <c r="Q155" s="72" t="str" cm="1">
        <f t="array" aca="1" ref="Q155" ca="1">_xll.DBRW($C$47,$M$83,$M$84,$C$48,$C$49,$C$50,$C$51,$C$52,$C$53,$C$54,$C$55,$C155,$C$56,$M$82,$A155,$C$57,$C$58,Q$86)</f>
        <v/>
      </c>
      <c r="R155" s="72" t="str" cm="1">
        <f t="array" aca="1" ref="R155" ca="1">_xll.DBRW($C$47,$M$83,$M$84,$C$48,$C$49,$C$50,$C$51,$C$52,$C$53,$C$54,$C$55,$C155,$C$56,$M$82,$A155,$C$57,$C$58,R$86)</f>
        <v/>
      </c>
      <c r="S155" s="73" t="str" cm="1">
        <f t="array" aca="1" ref="S155" ca="1">_xll.DBRW($C$47,$M$83,$M$84,$C$48,$C$49,$C$50,$C$51,$C$52,$C$53,$C$54,$C$55,$C155,$C$56,$M$82,$A155,$C$57,$C$58,S$86)</f>
        <v/>
      </c>
      <c r="T155" s="18" t="str" cm="1">
        <f t="array" aca="1" ref="T155" ca="1">_xll.DBRW($C$47,$M$83,$M$84,$C$48,$C$49,$C$50,$C$51,$C$52,$C$53,$C$54,$C$55,$C155,$C$56,$M$82,$A155,$C$57,$C$58,T$86)</f>
        <v/>
      </c>
      <c r="U155" s="18" t="str" cm="1">
        <f t="array" aca="1" ref="U155" ca="1">_xll.DBRW($C$47,$M$83,$M$84,$C$48,$C$49,$C$50,$C$51,$C$52,$C$53,$C$54,$C$55,$C155,$C$56,$M$82,$A155,$C$57,$C$58,U$86)</f>
        <v/>
      </c>
      <c r="V155" s="18" t="str" cm="1">
        <f t="array" aca="1" ref="V155" ca="1">_xll.DBRW($C$47,$M$83,$M$84,$C$48,$C$49,$C$50,$C$51,$C$52,$C$53,$C$54,$C$55,$C155,$C$56,$M$82,$A155,$C$57,$C$58,V$86)</f>
        <v/>
      </c>
      <c r="W155" s="18" t="str" cm="1">
        <f t="array" aca="1" ref="W155" ca="1">_xll.DBRW($C$47,$M$83,$M$84,$C$48,$C$49,$C$50,$C$51,$C$52,$C$53,$C$54,$C$55,$C155,$C$56,$M$82,$A155,$C$57,$C$58,W$86)</f>
        <v/>
      </c>
      <c r="X155" s="18" t="str" cm="1">
        <f t="array" aca="1" ref="X155" ca="1">_xll.DBRW($C$47,$M$83,$M$84,$C$48,$C$49,$C$50,$C$51,$C$52,$C$53,$C$54,$C$55,$C155,$C$56,$M$82,$A155,$C$57,$C$58,X$86)</f>
        <v/>
      </c>
      <c r="Y155" s="18" t="str" cm="1">
        <f t="array" aca="1" ref="Y155" ca="1">_xll.DBRW($C$47,$M$83,$M$84,$C$48,$C$49,$C$50,$C$51,$C$52,$C$53,$C$54,$C$55,$C155,$C$56,$M$82,$A155,$C$57,$C$58,Y$86)</f>
        <v/>
      </c>
      <c r="Z155" s="18" t="str" cm="1">
        <f t="array" aca="1" ref="Z155" ca="1">_xll.DBRW($C$47,$M$83,$M$84,$C$48,$C$49,$C$50,$C$51,$C$52,$C$53,$C$54,$C$55,$C155,$C$56,$M$82,$A155,$C$57,$C$58,Z$86)</f>
        <v/>
      </c>
      <c r="AA155" s="18" t="str" cm="1">
        <f t="array" aca="1" ref="AA155" ca="1">_xll.DBRW($C$47,$M$83,$M$84,$C$48,$C$49,$C$50,$C$51,$C$52,$C$53,$C$54,$C$55,$C155,$C$56,$M$82,$A155,$C$57,$C$58,AA$86)</f>
        <v/>
      </c>
      <c r="AB155" s="18" t="str" cm="1">
        <f t="array" aca="1" ref="AB155" ca="1">_xll.DBRW($C$47,$M$83,$M$84,$C$48,$C$49,$C$50,$C$51,$C$52,$C$53,$C$54,$C$55,$C155,$C$56,$M$82,$A155,$C$57,$C$58,AB$86)</f>
        <v/>
      </c>
      <c r="AC155" s="19" t="str" cm="1">
        <f t="array" aca="1" ref="AC155" ca="1">_xll.DBRW($C$47,$M$83,$M$84,$C$48,$C$49,$C$50,$C$51,$C$52,$C$53,$C$54,$C$55,$C155,$C$56,$M$82,$A155,$C$57,$C$58,AC$86)</f>
        <v/>
      </c>
    </row>
    <row r="156" spans="1:29" ht="12" x14ac:dyDescent="0.15">
      <c r="A156" s="1" t="s">
        <v>25</v>
      </c>
      <c r="B156" s="1" t="str">
        <f ca="1">_xll.DBRA(db_name&amp;":account",A156,"description")</f>
        <v/>
      </c>
      <c r="C156" s="1" t="s">
        <v>13</v>
      </c>
      <c r="D156" s="1" t="str">
        <f ca="1">_xll.DBRA(db_name&amp;":movement account",C156,"description")</f>
        <v/>
      </c>
      <c r="J156" s="63" t="s">
        <v>17</v>
      </c>
      <c r="K156" s="64" t="str">
        <f ca="1">A156&amp;" - "&amp;B156</f>
        <v xml:space="preserve">6212013 - </v>
      </c>
      <c r="L156" s="40" t="str">
        <f ca="1">IF(C156="No_Mvt",C156,C156&amp;" - "&amp;D156)</f>
        <v>No_Mvt</v>
      </c>
      <c r="M156" s="65" t="str">
        <f ca="1">IF(LEFT(A156,4)="9000","Special Account",VLOOKUP(LEFT(A156,1)*1,$P$60:$Q$66,2,FALSE))</f>
        <v>Cash Flow Account</v>
      </c>
      <c r="N156" s="71" t="str" cm="1">
        <f t="array" aca="1" ref="N156" ca="1">_xll.DBRW($C$47,$M$83,$M$84,$C$48,$C$49,$C$50,$C$51,$C$52,$C$53,$C$54,$C$55,$C156,$C$56,$M$82,$A156,$C$57,$C$58,N$86)</f>
        <v/>
      </c>
      <c r="O156" s="72" t="str" cm="1">
        <f t="array" aca="1" ref="O156" ca="1">_xll.DBRW($C$47,$M$83,$M$84,$C$48,$C$49,$C$50,$C$51,$C$52,$C$53,$C$54,$C$55,$C156,$C$56,$M$82,$A156,$C$57,$C$58,O$86)</f>
        <v/>
      </c>
      <c r="P156" s="72" t="str" cm="1">
        <f t="array" aca="1" ref="P156" ca="1">_xll.DBRW($C$47,$M$83,$M$84,$C$48,$C$49,$C$50,$C$51,$C$52,$C$53,$C$54,$C$55,$C156,$C$56,$M$82,$A156,$C$57,$C$58,P$86)</f>
        <v/>
      </c>
      <c r="Q156" s="72" t="str" cm="1">
        <f t="array" aca="1" ref="Q156" ca="1">_xll.DBRW($C$47,$M$83,$M$84,$C$48,$C$49,$C$50,$C$51,$C$52,$C$53,$C$54,$C$55,$C156,$C$56,$M$82,$A156,$C$57,$C$58,Q$86)</f>
        <v/>
      </c>
      <c r="R156" s="72" t="str" cm="1">
        <f t="array" aca="1" ref="R156" ca="1">_xll.DBRW($C$47,$M$83,$M$84,$C$48,$C$49,$C$50,$C$51,$C$52,$C$53,$C$54,$C$55,$C156,$C$56,$M$82,$A156,$C$57,$C$58,R$86)</f>
        <v/>
      </c>
      <c r="S156" s="73" t="str" cm="1">
        <f t="array" aca="1" ref="S156" ca="1">_xll.DBRW($C$47,$M$83,$M$84,$C$48,$C$49,$C$50,$C$51,$C$52,$C$53,$C$54,$C$55,$C156,$C$56,$M$82,$A156,$C$57,$C$58,S$86)</f>
        <v/>
      </c>
      <c r="T156" s="18" t="str" cm="1">
        <f t="array" aca="1" ref="T156" ca="1">_xll.DBRW($C$47,$M$83,$M$84,$C$48,$C$49,$C$50,$C$51,$C$52,$C$53,$C$54,$C$55,$C156,$C$56,$M$82,$A156,$C$57,$C$58,T$86)</f>
        <v/>
      </c>
      <c r="U156" s="18" t="str" cm="1">
        <f t="array" aca="1" ref="U156" ca="1">_xll.DBRW($C$47,$M$83,$M$84,$C$48,$C$49,$C$50,$C$51,$C$52,$C$53,$C$54,$C$55,$C156,$C$56,$M$82,$A156,$C$57,$C$58,U$86)</f>
        <v/>
      </c>
      <c r="V156" s="18" t="str" cm="1">
        <f t="array" aca="1" ref="V156" ca="1">_xll.DBRW($C$47,$M$83,$M$84,$C$48,$C$49,$C$50,$C$51,$C$52,$C$53,$C$54,$C$55,$C156,$C$56,$M$82,$A156,$C$57,$C$58,V$86)</f>
        <v/>
      </c>
      <c r="W156" s="18" t="str" cm="1">
        <f t="array" aca="1" ref="W156" ca="1">_xll.DBRW($C$47,$M$83,$M$84,$C$48,$C$49,$C$50,$C$51,$C$52,$C$53,$C$54,$C$55,$C156,$C$56,$M$82,$A156,$C$57,$C$58,W$86)</f>
        <v/>
      </c>
      <c r="X156" s="18" t="str" cm="1">
        <f t="array" aca="1" ref="X156" ca="1">_xll.DBRW($C$47,$M$83,$M$84,$C$48,$C$49,$C$50,$C$51,$C$52,$C$53,$C$54,$C$55,$C156,$C$56,$M$82,$A156,$C$57,$C$58,X$86)</f>
        <v/>
      </c>
      <c r="Y156" s="18" t="str" cm="1">
        <f t="array" aca="1" ref="Y156" ca="1">_xll.DBRW($C$47,$M$83,$M$84,$C$48,$C$49,$C$50,$C$51,$C$52,$C$53,$C$54,$C$55,$C156,$C$56,$M$82,$A156,$C$57,$C$58,Y$86)</f>
        <v/>
      </c>
      <c r="Z156" s="18" t="str" cm="1">
        <f t="array" aca="1" ref="Z156" ca="1">_xll.DBRW($C$47,$M$83,$M$84,$C$48,$C$49,$C$50,$C$51,$C$52,$C$53,$C$54,$C$55,$C156,$C$56,$M$82,$A156,$C$57,$C$58,Z$86)</f>
        <v/>
      </c>
      <c r="AA156" s="18" t="str" cm="1">
        <f t="array" aca="1" ref="AA156" ca="1">_xll.DBRW($C$47,$M$83,$M$84,$C$48,$C$49,$C$50,$C$51,$C$52,$C$53,$C$54,$C$55,$C156,$C$56,$M$82,$A156,$C$57,$C$58,AA$86)</f>
        <v/>
      </c>
      <c r="AB156" s="18" t="str" cm="1">
        <f t="array" aca="1" ref="AB156" ca="1">_xll.DBRW($C$47,$M$83,$M$84,$C$48,$C$49,$C$50,$C$51,$C$52,$C$53,$C$54,$C$55,$C156,$C$56,$M$82,$A156,$C$57,$C$58,AB$86)</f>
        <v/>
      </c>
      <c r="AC156" s="19" t="str" cm="1">
        <f t="array" aca="1" ref="AC156" ca="1">_xll.DBRW($C$47,$M$83,$M$84,$C$48,$C$49,$C$50,$C$51,$C$52,$C$53,$C$54,$C$55,$C156,$C$56,$M$82,$A156,$C$57,$C$58,AC$86)</f>
        <v/>
      </c>
    </row>
    <row r="157" spans="1:29" ht="12" x14ac:dyDescent="0.15">
      <c r="A157" s="1" t="s">
        <v>37</v>
      </c>
      <c r="B157" s="1" t="str">
        <f ca="1">_xll.DBRA(db_name&amp;":account",A157,"description")</f>
        <v/>
      </c>
      <c r="C157" s="1" t="s">
        <v>13</v>
      </c>
      <c r="D157" s="1" t="str">
        <f ca="1">_xll.DBRA(db_name&amp;":movement account",C157,"description")</f>
        <v/>
      </c>
      <c r="J157" s="63" t="s">
        <v>16</v>
      </c>
      <c r="K157" s="64" t="str">
        <f ca="1">A157&amp;" - "&amp;B157</f>
        <v xml:space="preserve">6221200 - </v>
      </c>
      <c r="L157" s="40" t="str">
        <f ca="1">IF(C157="No_Mvt",C157,C157&amp;" - "&amp;D157)</f>
        <v>No_Mvt</v>
      </c>
      <c r="M157" s="65" t="str">
        <f ca="1">IF(LEFT(A157,4)="9000","Special Account",VLOOKUP(LEFT(A157,1)*1,$P$60:$Q$66,2,FALSE))</f>
        <v>Cash Flow Account</v>
      </c>
      <c r="N157" s="71" t="str" cm="1">
        <f t="array" aca="1" ref="N157" ca="1">_xll.DBRW($C$47,$M$83,$M$84,$C$48,$C$49,$C$50,$C$51,$C$52,$C$53,$C$54,$C$55,$C157,$C$56,$M$82,$A157,$C$57,$C$58,N$86)</f>
        <v/>
      </c>
      <c r="O157" s="72" t="str" cm="1">
        <f t="array" aca="1" ref="O157" ca="1">_xll.DBRW($C$47,$M$83,$M$84,$C$48,$C$49,$C$50,$C$51,$C$52,$C$53,$C$54,$C$55,$C157,$C$56,$M$82,$A157,$C$57,$C$58,O$86)</f>
        <v/>
      </c>
      <c r="P157" s="72" t="str" cm="1">
        <f t="array" aca="1" ref="P157" ca="1">_xll.DBRW($C$47,$M$83,$M$84,$C$48,$C$49,$C$50,$C$51,$C$52,$C$53,$C$54,$C$55,$C157,$C$56,$M$82,$A157,$C$57,$C$58,P$86)</f>
        <v/>
      </c>
      <c r="Q157" s="72" t="str" cm="1">
        <f t="array" aca="1" ref="Q157" ca="1">_xll.DBRW($C$47,$M$83,$M$84,$C$48,$C$49,$C$50,$C$51,$C$52,$C$53,$C$54,$C$55,$C157,$C$56,$M$82,$A157,$C$57,$C$58,Q$86)</f>
        <v/>
      </c>
      <c r="R157" s="72" t="str" cm="1">
        <f t="array" aca="1" ref="R157" ca="1">_xll.DBRW($C$47,$M$83,$M$84,$C$48,$C$49,$C$50,$C$51,$C$52,$C$53,$C$54,$C$55,$C157,$C$56,$M$82,$A157,$C$57,$C$58,R$86)</f>
        <v/>
      </c>
      <c r="S157" s="73" t="str" cm="1">
        <f t="array" aca="1" ref="S157" ca="1">_xll.DBRW($C$47,$M$83,$M$84,$C$48,$C$49,$C$50,$C$51,$C$52,$C$53,$C$54,$C$55,$C157,$C$56,$M$82,$A157,$C$57,$C$58,S$86)</f>
        <v/>
      </c>
      <c r="T157" s="18" t="str" cm="1">
        <f t="array" aca="1" ref="T157" ca="1">_xll.DBRW($C$47,$M$83,$M$84,$C$48,$C$49,$C$50,$C$51,$C$52,$C$53,$C$54,$C$55,$C157,$C$56,$M$82,$A157,$C$57,$C$58,T$86)</f>
        <v/>
      </c>
      <c r="U157" s="18" t="str" cm="1">
        <f t="array" aca="1" ref="U157" ca="1">_xll.DBRW($C$47,$M$83,$M$84,$C$48,$C$49,$C$50,$C$51,$C$52,$C$53,$C$54,$C$55,$C157,$C$56,$M$82,$A157,$C$57,$C$58,U$86)</f>
        <v/>
      </c>
      <c r="V157" s="18" t="str" cm="1">
        <f t="array" aca="1" ref="V157" ca="1">_xll.DBRW($C$47,$M$83,$M$84,$C$48,$C$49,$C$50,$C$51,$C$52,$C$53,$C$54,$C$55,$C157,$C$56,$M$82,$A157,$C$57,$C$58,V$86)</f>
        <v/>
      </c>
      <c r="W157" s="18" t="str" cm="1">
        <f t="array" aca="1" ref="W157" ca="1">_xll.DBRW($C$47,$M$83,$M$84,$C$48,$C$49,$C$50,$C$51,$C$52,$C$53,$C$54,$C$55,$C157,$C$56,$M$82,$A157,$C$57,$C$58,W$86)</f>
        <v/>
      </c>
      <c r="X157" s="18" t="str" cm="1">
        <f t="array" aca="1" ref="X157" ca="1">_xll.DBRW($C$47,$M$83,$M$84,$C$48,$C$49,$C$50,$C$51,$C$52,$C$53,$C$54,$C$55,$C157,$C$56,$M$82,$A157,$C$57,$C$58,X$86)</f>
        <v/>
      </c>
      <c r="Y157" s="18" t="str" cm="1">
        <f t="array" aca="1" ref="Y157" ca="1">_xll.DBRW($C$47,$M$83,$M$84,$C$48,$C$49,$C$50,$C$51,$C$52,$C$53,$C$54,$C$55,$C157,$C$56,$M$82,$A157,$C$57,$C$58,Y$86)</f>
        <v/>
      </c>
      <c r="Z157" s="18" t="str" cm="1">
        <f t="array" aca="1" ref="Z157" ca="1">_xll.DBRW($C$47,$M$83,$M$84,$C$48,$C$49,$C$50,$C$51,$C$52,$C$53,$C$54,$C$55,$C157,$C$56,$M$82,$A157,$C$57,$C$58,Z$86)</f>
        <v/>
      </c>
      <c r="AA157" s="18" t="str" cm="1">
        <f t="array" aca="1" ref="AA157" ca="1">_xll.DBRW($C$47,$M$83,$M$84,$C$48,$C$49,$C$50,$C$51,$C$52,$C$53,$C$54,$C$55,$C157,$C$56,$M$82,$A157,$C$57,$C$58,AA$86)</f>
        <v/>
      </c>
      <c r="AB157" s="18" t="str" cm="1">
        <f t="array" aca="1" ref="AB157" ca="1">_xll.DBRW($C$47,$M$83,$M$84,$C$48,$C$49,$C$50,$C$51,$C$52,$C$53,$C$54,$C$55,$C157,$C$56,$M$82,$A157,$C$57,$C$58,AB$86)</f>
        <v/>
      </c>
      <c r="AC157" s="19" t="str" cm="1">
        <f t="array" aca="1" ref="AC157" ca="1">_xll.DBRW($C$47,$M$83,$M$84,$C$48,$C$49,$C$50,$C$51,$C$52,$C$53,$C$54,$C$55,$C157,$C$56,$M$82,$A157,$C$57,$C$58,AC$86)</f>
        <v/>
      </c>
    </row>
    <row r="158" spans="1:29" ht="12" x14ac:dyDescent="0.15">
      <c r="A158" s="1" t="s">
        <v>38</v>
      </c>
      <c r="B158" s="1" t="str">
        <f ca="1">_xll.DBRA(db_name&amp;":account",A158,"description")</f>
        <v/>
      </c>
      <c r="C158" s="1" t="s">
        <v>13</v>
      </c>
      <c r="D158" s="1" t="str">
        <f ca="1">_xll.DBRA(db_name&amp;":movement account",C158,"description")</f>
        <v/>
      </c>
      <c r="J158" s="63" t="s">
        <v>16</v>
      </c>
      <c r="K158" s="64" t="str">
        <f ca="1">A158&amp;" - "&amp;B158</f>
        <v xml:space="preserve">6232000 - </v>
      </c>
      <c r="L158" s="40" t="str">
        <f ca="1">IF(C158="No_Mvt",C158,C158&amp;" - "&amp;D158)</f>
        <v>No_Mvt</v>
      </c>
      <c r="M158" s="65" t="str">
        <f ca="1">IF(LEFT(A158,4)="9000","Special Account",VLOOKUP(LEFT(A158,1)*1,$P$60:$Q$66,2,FALSE))</f>
        <v>Cash Flow Account</v>
      </c>
      <c r="N158" s="71" t="str" cm="1">
        <f t="array" aca="1" ref="N158" ca="1">_xll.DBRW($C$47,$M$83,$M$84,$C$48,$C$49,$C$50,$C$51,$C$52,$C$53,$C$54,$C$55,$C158,$C$56,$M$82,$A158,$C$57,$C$58,N$86)</f>
        <v/>
      </c>
      <c r="O158" s="72" t="str" cm="1">
        <f t="array" aca="1" ref="O158" ca="1">_xll.DBRW($C$47,$M$83,$M$84,$C$48,$C$49,$C$50,$C$51,$C$52,$C$53,$C$54,$C$55,$C158,$C$56,$M$82,$A158,$C$57,$C$58,O$86)</f>
        <v/>
      </c>
      <c r="P158" s="72" t="str" cm="1">
        <f t="array" aca="1" ref="P158" ca="1">_xll.DBRW($C$47,$M$83,$M$84,$C$48,$C$49,$C$50,$C$51,$C$52,$C$53,$C$54,$C$55,$C158,$C$56,$M$82,$A158,$C$57,$C$58,P$86)</f>
        <v/>
      </c>
      <c r="Q158" s="72" t="str" cm="1">
        <f t="array" aca="1" ref="Q158" ca="1">_xll.DBRW($C$47,$M$83,$M$84,$C$48,$C$49,$C$50,$C$51,$C$52,$C$53,$C$54,$C$55,$C158,$C$56,$M$82,$A158,$C$57,$C$58,Q$86)</f>
        <v/>
      </c>
      <c r="R158" s="72" t="str" cm="1">
        <f t="array" aca="1" ref="R158" ca="1">_xll.DBRW($C$47,$M$83,$M$84,$C$48,$C$49,$C$50,$C$51,$C$52,$C$53,$C$54,$C$55,$C158,$C$56,$M$82,$A158,$C$57,$C$58,R$86)</f>
        <v/>
      </c>
      <c r="S158" s="73" t="str" cm="1">
        <f t="array" aca="1" ref="S158" ca="1">_xll.DBRW($C$47,$M$83,$M$84,$C$48,$C$49,$C$50,$C$51,$C$52,$C$53,$C$54,$C$55,$C158,$C$56,$M$82,$A158,$C$57,$C$58,S$86)</f>
        <v/>
      </c>
      <c r="T158" s="18" t="str" cm="1">
        <f t="array" aca="1" ref="T158" ca="1">_xll.DBRW($C$47,$M$83,$M$84,$C$48,$C$49,$C$50,$C$51,$C$52,$C$53,$C$54,$C$55,$C158,$C$56,$M$82,$A158,$C$57,$C$58,T$86)</f>
        <v/>
      </c>
      <c r="U158" s="18" t="str" cm="1">
        <f t="array" aca="1" ref="U158" ca="1">_xll.DBRW($C$47,$M$83,$M$84,$C$48,$C$49,$C$50,$C$51,$C$52,$C$53,$C$54,$C$55,$C158,$C$56,$M$82,$A158,$C$57,$C$58,U$86)</f>
        <v/>
      </c>
      <c r="V158" s="18" t="str" cm="1">
        <f t="array" aca="1" ref="V158" ca="1">_xll.DBRW($C$47,$M$83,$M$84,$C$48,$C$49,$C$50,$C$51,$C$52,$C$53,$C$54,$C$55,$C158,$C$56,$M$82,$A158,$C$57,$C$58,V$86)</f>
        <v/>
      </c>
      <c r="W158" s="18" t="str" cm="1">
        <f t="array" aca="1" ref="W158" ca="1">_xll.DBRW($C$47,$M$83,$M$84,$C$48,$C$49,$C$50,$C$51,$C$52,$C$53,$C$54,$C$55,$C158,$C$56,$M$82,$A158,$C$57,$C$58,W$86)</f>
        <v/>
      </c>
      <c r="X158" s="18" t="str" cm="1">
        <f t="array" aca="1" ref="X158" ca="1">_xll.DBRW($C$47,$M$83,$M$84,$C$48,$C$49,$C$50,$C$51,$C$52,$C$53,$C$54,$C$55,$C158,$C$56,$M$82,$A158,$C$57,$C$58,X$86)</f>
        <v/>
      </c>
      <c r="Y158" s="18" t="str" cm="1">
        <f t="array" aca="1" ref="Y158" ca="1">_xll.DBRW($C$47,$M$83,$M$84,$C$48,$C$49,$C$50,$C$51,$C$52,$C$53,$C$54,$C$55,$C158,$C$56,$M$82,$A158,$C$57,$C$58,Y$86)</f>
        <v/>
      </c>
      <c r="Z158" s="18" t="str" cm="1">
        <f t="array" aca="1" ref="Z158" ca="1">_xll.DBRW($C$47,$M$83,$M$84,$C$48,$C$49,$C$50,$C$51,$C$52,$C$53,$C$54,$C$55,$C158,$C$56,$M$82,$A158,$C$57,$C$58,Z$86)</f>
        <v/>
      </c>
      <c r="AA158" s="18" t="str" cm="1">
        <f t="array" aca="1" ref="AA158" ca="1">_xll.DBRW($C$47,$M$83,$M$84,$C$48,$C$49,$C$50,$C$51,$C$52,$C$53,$C$54,$C$55,$C158,$C$56,$M$82,$A158,$C$57,$C$58,AA$86)</f>
        <v/>
      </c>
      <c r="AB158" s="18" t="str" cm="1">
        <f t="array" aca="1" ref="AB158" ca="1">_xll.DBRW($C$47,$M$83,$M$84,$C$48,$C$49,$C$50,$C$51,$C$52,$C$53,$C$54,$C$55,$C158,$C$56,$M$82,$A158,$C$57,$C$58,AB$86)</f>
        <v/>
      </c>
      <c r="AC158" s="19" t="str" cm="1">
        <f t="array" aca="1" ref="AC158" ca="1">_xll.DBRW($C$47,$M$83,$M$84,$C$48,$C$49,$C$50,$C$51,$C$52,$C$53,$C$54,$C$55,$C158,$C$56,$M$82,$A158,$C$57,$C$58,AC$86)</f>
        <v/>
      </c>
    </row>
    <row r="159" spans="1:29" s="2" customFormat="1" ht="24" x14ac:dyDescent="0.15">
      <c r="J159" s="85" t="s">
        <v>73</v>
      </c>
      <c r="K159" s="77" t="s">
        <v>91</v>
      </c>
      <c r="L159" s="78"/>
      <c r="M159" s="79"/>
      <c r="N159" s="80" t="e">
        <f ca="1">N154-N155+N156-N157-N158</f>
        <v>#VALUE!</v>
      </c>
      <c r="O159" s="81" t="e">
        <f t="shared" ref="O159:T159" ca="1" si="79">O154-O155+O156-O157-O158</f>
        <v>#VALUE!</v>
      </c>
      <c r="P159" s="81" t="e">
        <f t="shared" ca="1" si="79"/>
        <v>#VALUE!</v>
      </c>
      <c r="Q159" s="81" t="e">
        <f t="shared" ca="1" si="79"/>
        <v>#VALUE!</v>
      </c>
      <c r="R159" s="81" t="e">
        <f t="shared" ca="1" si="79"/>
        <v>#VALUE!</v>
      </c>
      <c r="S159" s="82" t="e">
        <f t="shared" ca="1" si="79"/>
        <v>#VALUE!</v>
      </c>
      <c r="T159" s="83" t="e">
        <f t="shared" ca="1" si="79"/>
        <v>#VALUE!</v>
      </c>
      <c r="U159" s="83" t="e">
        <f t="shared" ref="U159:Y159" ca="1" si="80">U154-U155+U156-U157-U158</f>
        <v>#VALUE!</v>
      </c>
      <c r="V159" s="83" t="e">
        <f t="shared" ca="1" si="80"/>
        <v>#VALUE!</v>
      </c>
      <c r="W159" s="83" t="e">
        <f t="shared" ca="1" si="80"/>
        <v>#VALUE!</v>
      </c>
      <c r="X159" s="83" t="e">
        <f t="shared" ca="1" si="80"/>
        <v>#VALUE!</v>
      </c>
      <c r="Y159" s="83" t="e">
        <f t="shared" ca="1" si="80"/>
        <v>#VALUE!</v>
      </c>
      <c r="Z159" s="83" t="e">
        <f t="shared" ref="Z159:AC159" ca="1" si="81">Z154-Z155+Z156-Z157-Z158</f>
        <v>#VALUE!</v>
      </c>
      <c r="AA159" s="83" t="e">
        <f t="shared" ca="1" si="81"/>
        <v>#VALUE!</v>
      </c>
      <c r="AB159" s="83" t="e">
        <f t="shared" ca="1" si="81"/>
        <v>#VALUE!</v>
      </c>
      <c r="AC159" s="84" t="e">
        <f t="shared" ca="1" si="81"/>
        <v>#VALUE!</v>
      </c>
    </row>
    <row r="160" spans="1:29" ht="12" x14ac:dyDescent="0.15">
      <c r="A160" s="1" t="s">
        <v>39</v>
      </c>
      <c r="B160" s="1" t="str">
        <f ca="1">_xll.DBRA(db_name&amp;":account",A160,"description")</f>
        <v/>
      </c>
      <c r="C160" s="1" t="s">
        <v>13</v>
      </c>
      <c r="D160" s="1" t="str">
        <f ca="1">_xll.DBRA(db_name&amp;":movement account",C160,"description")</f>
        <v/>
      </c>
      <c r="J160" s="63"/>
      <c r="K160" s="64" t="str">
        <f ca="1">A160&amp;" - "&amp;B160</f>
        <v xml:space="preserve">9000869 - </v>
      </c>
      <c r="L160" s="40" t="str">
        <f ca="1">IF(C160="No_Mvt",C160,C160&amp;" - "&amp;D160)</f>
        <v>No_Mvt</v>
      </c>
      <c r="M160" s="65" t="str">
        <f ca="1">IF(LEFT(A160,4)="9000","Special Account",VLOOKUP(LEFT(A160,1)*1,$P$60:$Q$66,2,FALSE))</f>
        <v>Special Account</v>
      </c>
      <c r="N160" s="71" t="str" cm="1">
        <f t="array" aca="1" ref="N160" ca="1">_xll.DBRW($C$47,$M$83,$M$84,$C$48,$C$49,$C$50,$C$51,$C$52,$C$53,$C$54,$C$55,$C160,$C$56,$M$82,$A160,$C$57,$C$58,N$86)</f>
        <v/>
      </c>
      <c r="O160" s="72" t="str" cm="1">
        <f t="array" aca="1" ref="O160" ca="1">_xll.DBRW($C$47,$M$83,$M$84,$C$48,$C$49,$C$50,$C$51,$C$52,$C$53,$C$54,$C$55,$C160,$C$56,$M$82,$A160,$C$57,$C$58,O$86)</f>
        <v/>
      </c>
      <c r="P160" s="72" t="str" cm="1">
        <f t="array" aca="1" ref="P160" ca="1">_xll.DBRW($C$47,$M$83,$M$84,$C$48,$C$49,$C$50,$C$51,$C$52,$C$53,$C$54,$C$55,$C160,$C$56,$M$82,$A160,$C$57,$C$58,P$86)</f>
        <v/>
      </c>
      <c r="Q160" s="72" t="str" cm="1">
        <f t="array" aca="1" ref="Q160" ca="1">_xll.DBRW($C$47,$M$83,$M$84,$C$48,$C$49,$C$50,$C$51,$C$52,$C$53,$C$54,$C$55,$C160,$C$56,$M$82,$A160,$C$57,$C$58,Q$86)</f>
        <v/>
      </c>
      <c r="R160" s="72" t="str" cm="1">
        <f t="array" aca="1" ref="R160" ca="1">_xll.DBRW($C$47,$M$83,$M$84,$C$48,$C$49,$C$50,$C$51,$C$52,$C$53,$C$54,$C$55,$C160,$C$56,$M$82,$A160,$C$57,$C$58,R$86)</f>
        <v/>
      </c>
      <c r="S160" s="73" t="str" cm="1">
        <f t="array" aca="1" ref="S160" ca="1">_xll.DBRW($C$47,$M$83,$M$84,$C$48,$C$49,$C$50,$C$51,$C$52,$C$53,$C$54,$C$55,$C160,$C$56,$M$82,$A160,$C$57,$C$58,S$86)</f>
        <v/>
      </c>
      <c r="T160" s="18" t="str" cm="1">
        <f t="array" aca="1" ref="T160" ca="1">_xll.DBRW($C$47,$M$83,$M$84,$C$48,$C$49,$C$50,$C$51,$C$52,$C$53,$C$54,$C$55,$C160,$C$56,$M$82,$A160,$C$57,$C$58,T$86)</f>
        <v/>
      </c>
      <c r="U160" s="18" t="str" cm="1">
        <f t="array" aca="1" ref="U160" ca="1">_xll.DBRW($C$47,$M$83,$M$84,$C$48,$C$49,$C$50,$C$51,$C$52,$C$53,$C$54,$C$55,$C160,$C$56,$M$82,$A160,$C$57,$C$58,U$86)</f>
        <v/>
      </c>
      <c r="V160" s="18" t="str" cm="1">
        <f t="array" aca="1" ref="V160" ca="1">_xll.DBRW($C$47,$M$83,$M$84,$C$48,$C$49,$C$50,$C$51,$C$52,$C$53,$C$54,$C$55,$C160,$C$56,$M$82,$A160,$C$57,$C$58,V$86)</f>
        <v/>
      </c>
      <c r="W160" s="18" t="str" cm="1">
        <f t="array" aca="1" ref="W160" ca="1">_xll.DBRW($C$47,$M$83,$M$84,$C$48,$C$49,$C$50,$C$51,$C$52,$C$53,$C$54,$C$55,$C160,$C$56,$M$82,$A160,$C$57,$C$58,W$86)</f>
        <v/>
      </c>
      <c r="X160" s="18" t="str" cm="1">
        <f t="array" aca="1" ref="X160" ca="1">_xll.DBRW($C$47,$M$83,$M$84,$C$48,$C$49,$C$50,$C$51,$C$52,$C$53,$C$54,$C$55,$C160,$C$56,$M$82,$A160,$C$57,$C$58,X$86)</f>
        <v/>
      </c>
      <c r="Y160" s="18" t="str" cm="1">
        <f t="array" aca="1" ref="Y160" ca="1">_xll.DBRW($C$47,$M$83,$M$84,$C$48,$C$49,$C$50,$C$51,$C$52,$C$53,$C$54,$C$55,$C160,$C$56,$M$82,$A160,$C$57,$C$58,Y$86)</f>
        <v/>
      </c>
      <c r="Z160" s="18" t="str" cm="1">
        <f t="array" aca="1" ref="Z160" ca="1">_xll.DBRW($C$47,$M$83,$M$84,$C$48,$C$49,$C$50,$C$51,$C$52,$C$53,$C$54,$C$55,$C160,$C$56,$M$82,$A160,$C$57,$C$58,Z$86)</f>
        <v/>
      </c>
      <c r="AA160" s="18" t="str" cm="1">
        <f t="array" aca="1" ref="AA160" ca="1">_xll.DBRW($C$47,$M$83,$M$84,$C$48,$C$49,$C$50,$C$51,$C$52,$C$53,$C$54,$C$55,$C160,$C$56,$M$82,$A160,$C$57,$C$58,AA$86)</f>
        <v/>
      </c>
      <c r="AB160" s="18" t="str" cm="1">
        <f t="array" aca="1" ref="AB160" ca="1">_xll.DBRW($C$47,$M$83,$M$84,$C$48,$C$49,$C$50,$C$51,$C$52,$C$53,$C$54,$C$55,$C160,$C$56,$M$82,$A160,$C$57,$C$58,AB$86)</f>
        <v/>
      </c>
      <c r="AC160" s="19" t="str" cm="1">
        <f t="array" aca="1" ref="AC160" ca="1">_xll.DBRW($C$47,$M$83,$M$84,$C$48,$C$49,$C$50,$C$51,$C$52,$C$53,$C$54,$C$55,$C160,$C$56,$M$82,$A160,$C$57,$C$58,AC$86)</f>
        <v/>
      </c>
    </row>
    <row r="161" spans="1:29" ht="12" x14ac:dyDescent="0.15">
      <c r="A161" s="1" t="s">
        <v>40</v>
      </c>
      <c r="B161" s="1" t="str">
        <f ca="1">_xll.DBRA(db_name&amp;":account",A161,"description")</f>
        <v/>
      </c>
      <c r="C161" s="1" t="s">
        <v>13</v>
      </c>
      <c r="D161" s="1" t="str">
        <f ca="1">_xll.DBRA(db_name&amp;":movement account",C161,"description")</f>
        <v/>
      </c>
      <c r="J161" s="63" t="s">
        <v>15</v>
      </c>
      <c r="K161" s="64" t="str">
        <f ca="1">A161&amp;" - "&amp;B161</f>
        <v xml:space="preserve">6211003 - </v>
      </c>
      <c r="L161" s="40" t="str">
        <f ca="1">IF(C161="No_Mvt",C161,C161&amp;" - "&amp;D161)</f>
        <v>No_Mvt</v>
      </c>
      <c r="M161" s="65" t="str">
        <f ca="1">IF(LEFT(A161,4)="9000","Special Account",VLOOKUP(LEFT(A161,1)*1,$P$60:$Q$66,2,FALSE))</f>
        <v>Cash Flow Account</v>
      </c>
      <c r="N161" s="71" t="str" cm="1">
        <f t="array" aca="1" ref="N161" ca="1">_xll.DBRW($C$47,$M$83,$M$84,$C$48,$C$49,$C$50,$C$51,$C$52,$C$53,$C$54,$C$55,$C161,$C$56,$M$82,$A161,$C$57,$C$58,N$86)</f>
        <v/>
      </c>
      <c r="O161" s="72" t="str" cm="1">
        <f t="array" aca="1" ref="O161" ca="1">_xll.DBRW($C$47,$M$83,$M$84,$C$48,$C$49,$C$50,$C$51,$C$52,$C$53,$C$54,$C$55,$C161,$C$56,$M$82,$A161,$C$57,$C$58,O$86)</f>
        <v/>
      </c>
      <c r="P161" s="72" t="str" cm="1">
        <f t="array" aca="1" ref="P161" ca="1">_xll.DBRW($C$47,$M$83,$M$84,$C$48,$C$49,$C$50,$C$51,$C$52,$C$53,$C$54,$C$55,$C161,$C$56,$M$82,$A161,$C$57,$C$58,P$86)</f>
        <v/>
      </c>
      <c r="Q161" s="72" t="str" cm="1">
        <f t="array" aca="1" ref="Q161" ca="1">_xll.DBRW($C$47,$M$83,$M$84,$C$48,$C$49,$C$50,$C$51,$C$52,$C$53,$C$54,$C$55,$C161,$C$56,$M$82,$A161,$C$57,$C$58,Q$86)</f>
        <v/>
      </c>
      <c r="R161" s="72" t="str" cm="1">
        <f t="array" aca="1" ref="R161" ca="1">_xll.DBRW($C$47,$M$83,$M$84,$C$48,$C$49,$C$50,$C$51,$C$52,$C$53,$C$54,$C$55,$C161,$C$56,$M$82,$A161,$C$57,$C$58,R$86)</f>
        <v/>
      </c>
      <c r="S161" s="73" t="str" cm="1">
        <f t="array" aca="1" ref="S161" ca="1">_xll.DBRW($C$47,$M$83,$M$84,$C$48,$C$49,$C$50,$C$51,$C$52,$C$53,$C$54,$C$55,$C161,$C$56,$M$82,$A161,$C$57,$C$58,S$86)</f>
        <v/>
      </c>
      <c r="T161" s="18" t="str" cm="1">
        <f t="array" aca="1" ref="T161" ca="1">_xll.DBRW($C$47,$M$83,$M$84,$C$48,$C$49,$C$50,$C$51,$C$52,$C$53,$C$54,$C$55,$C161,$C$56,$M$82,$A161,$C$57,$C$58,T$86)</f>
        <v/>
      </c>
      <c r="U161" s="18" t="str" cm="1">
        <f t="array" aca="1" ref="U161" ca="1">_xll.DBRW($C$47,$M$83,$M$84,$C$48,$C$49,$C$50,$C$51,$C$52,$C$53,$C$54,$C$55,$C161,$C$56,$M$82,$A161,$C$57,$C$58,U$86)</f>
        <v/>
      </c>
      <c r="V161" s="18" t="str" cm="1">
        <f t="array" aca="1" ref="V161" ca="1">_xll.DBRW($C$47,$M$83,$M$84,$C$48,$C$49,$C$50,$C$51,$C$52,$C$53,$C$54,$C$55,$C161,$C$56,$M$82,$A161,$C$57,$C$58,V$86)</f>
        <v/>
      </c>
      <c r="W161" s="18" t="str" cm="1">
        <f t="array" aca="1" ref="W161" ca="1">_xll.DBRW($C$47,$M$83,$M$84,$C$48,$C$49,$C$50,$C$51,$C$52,$C$53,$C$54,$C$55,$C161,$C$56,$M$82,$A161,$C$57,$C$58,W$86)</f>
        <v/>
      </c>
      <c r="X161" s="18" t="str" cm="1">
        <f t="array" aca="1" ref="X161" ca="1">_xll.DBRW($C$47,$M$83,$M$84,$C$48,$C$49,$C$50,$C$51,$C$52,$C$53,$C$54,$C$55,$C161,$C$56,$M$82,$A161,$C$57,$C$58,X$86)</f>
        <v/>
      </c>
      <c r="Y161" s="18" t="str" cm="1">
        <f t="array" aca="1" ref="Y161" ca="1">_xll.DBRW($C$47,$M$83,$M$84,$C$48,$C$49,$C$50,$C$51,$C$52,$C$53,$C$54,$C$55,$C161,$C$56,$M$82,$A161,$C$57,$C$58,Y$86)</f>
        <v/>
      </c>
      <c r="Z161" s="18" t="str" cm="1">
        <f t="array" aca="1" ref="Z161" ca="1">_xll.DBRW($C$47,$M$83,$M$84,$C$48,$C$49,$C$50,$C$51,$C$52,$C$53,$C$54,$C$55,$C161,$C$56,$M$82,$A161,$C$57,$C$58,Z$86)</f>
        <v/>
      </c>
      <c r="AA161" s="18" t="str" cm="1">
        <f t="array" aca="1" ref="AA161" ca="1">_xll.DBRW($C$47,$M$83,$M$84,$C$48,$C$49,$C$50,$C$51,$C$52,$C$53,$C$54,$C$55,$C161,$C$56,$M$82,$A161,$C$57,$C$58,AA$86)</f>
        <v/>
      </c>
      <c r="AB161" s="18" t="str" cm="1">
        <f t="array" aca="1" ref="AB161" ca="1">_xll.DBRW($C$47,$M$83,$M$84,$C$48,$C$49,$C$50,$C$51,$C$52,$C$53,$C$54,$C$55,$C161,$C$56,$M$82,$A161,$C$57,$C$58,AB$86)</f>
        <v/>
      </c>
      <c r="AC161" s="19" t="str" cm="1">
        <f t="array" aca="1" ref="AC161" ca="1">_xll.DBRW($C$47,$M$83,$M$84,$C$48,$C$49,$C$50,$C$51,$C$52,$C$53,$C$54,$C$55,$C161,$C$56,$M$82,$A161,$C$57,$C$58,AC$86)</f>
        <v/>
      </c>
    </row>
    <row r="162" spans="1:29" s="2" customFormat="1" ht="24" x14ac:dyDescent="0.15">
      <c r="J162" s="85" t="s">
        <v>74</v>
      </c>
      <c r="K162" s="77" t="s">
        <v>92</v>
      </c>
      <c r="L162" s="78"/>
      <c r="M162" s="79"/>
      <c r="N162" s="80" t="e">
        <f ca="1">N161-N160</f>
        <v>#VALUE!</v>
      </c>
      <c r="O162" s="81" t="e">
        <f ca="1">O161-O160</f>
        <v>#VALUE!</v>
      </c>
      <c r="P162" s="81" t="e">
        <f t="shared" ref="P162" ca="1" si="82">P161-P160</f>
        <v>#VALUE!</v>
      </c>
      <c r="Q162" s="81" t="e">
        <f t="shared" ref="Q162" ca="1" si="83">Q161-Q160</f>
        <v>#VALUE!</v>
      </c>
      <c r="R162" s="81" t="e">
        <f t="shared" ref="R162" ca="1" si="84">R161-R160</f>
        <v>#VALUE!</v>
      </c>
      <c r="S162" s="82" t="e">
        <f t="shared" ref="S162" ca="1" si="85">S161-S160</f>
        <v>#VALUE!</v>
      </c>
      <c r="T162" s="83" t="e">
        <f t="shared" ref="T162" ca="1" si="86">T161-T160</f>
        <v>#VALUE!</v>
      </c>
      <c r="U162" s="83" t="e">
        <f t="shared" ref="U162:Y162" ca="1" si="87">U161-U160</f>
        <v>#VALUE!</v>
      </c>
      <c r="V162" s="83" t="e">
        <f t="shared" ca="1" si="87"/>
        <v>#VALUE!</v>
      </c>
      <c r="W162" s="83" t="e">
        <f t="shared" ca="1" si="87"/>
        <v>#VALUE!</v>
      </c>
      <c r="X162" s="83" t="e">
        <f t="shared" ca="1" si="87"/>
        <v>#VALUE!</v>
      </c>
      <c r="Y162" s="83" t="e">
        <f t="shared" ca="1" si="87"/>
        <v>#VALUE!</v>
      </c>
      <c r="Z162" s="83" t="e">
        <f t="shared" ref="Z162:AC162" ca="1" si="88">Z161-Z160</f>
        <v>#VALUE!</v>
      </c>
      <c r="AA162" s="83" t="e">
        <f t="shared" ca="1" si="88"/>
        <v>#VALUE!</v>
      </c>
      <c r="AB162" s="83" t="e">
        <f t="shared" ca="1" si="88"/>
        <v>#VALUE!</v>
      </c>
      <c r="AC162" s="84" t="e">
        <f t="shared" ca="1" si="88"/>
        <v>#VALUE!</v>
      </c>
    </row>
    <row r="163" spans="1:29" ht="12" x14ac:dyDescent="0.15">
      <c r="A163" s="1" t="s">
        <v>41</v>
      </c>
      <c r="B163" s="1" t="str">
        <f ca="1">_xll.DBRA(db_name&amp;":account",A163,"description")</f>
        <v/>
      </c>
      <c r="C163" s="1" t="s">
        <v>13</v>
      </c>
      <c r="D163" s="1" t="str">
        <f ca="1">_xll.DBRA(db_name&amp;":movement account",C163,"description")</f>
        <v/>
      </c>
      <c r="J163" s="63"/>
      <c r="K163" s="64" t="str">
        <f ca="1">A163&amp;" - "&amp;B163</f>
        <v xml:space="preserve">5233029 - </v>
      </c>
      <c r="L163" s="40" t="str">
        <f ca="1">IF(C163="No_Mvt",C163,C163&amp;" - "&amp;D163)</f>
        <v>No_Mvt</v>
      </c>
      <c r="M163" s="65" t="str">
        <f ca="1">IF(LEFT(A163,4)="9000","Special Account",VLOOKUP(LEFT(A163,1)*1,$P$60:$Q$66,2,FALSE))</f>
        <v>Asset Account</v>
      </c>
      <c r="N163" s="71" t="str" cm="1">
        <f t="array" aca="1" ref="N163" ca="1">_xll.DBRW($C$47,$M$83,$M$84,$C$48,$C$49,$C$50,$C$51,$C$52,$C$53,$C$54,$C$55,$C163,$C$56,$M$82,$A163,$C$57,$C$58,N$86)</f>
        <v/>
      </c>
      <c r="O163" s="72" t="str" cm="1">
        <f t="array" aca="1" ref="O163" ca="1">_xll.DBRW($C$47,$M$83,$M$84,$C$48,$C$49,$C$50,$C$51,$C$52,$C$53,$C$54,$C$55,$C163,$C$56,$M$82,$A163,$C$57,$C$58,O$86)</f>
        <v/>
      </c>
      <c r="P163" s="72" t="str" cm="1">
        <f t="array" aca="1" ref="P163" ca="1">_xll.DBRW($C$47,$M$83,$M$84,$C$48,$C$49,$C$50,$C$51,$C$52,$C$53,$C$54,$C$55,$C163,$C$56,$M$82,$A163,$C$57,$C$58,P$86)</f>
        <v/>
      </c>
      <c r="Q163" s="72" t="str" cm="1">
        <f t="array" aca="1" ref="Q163" ca="1">_xll.DBRW($C$47,$M$83,$M$84,$C$48,$C$49,$C$50,$C$51,$C$52,$C$53,$C$54,$C$55,$C163,$C$56,$M$82,$A163,$C$57,$C$58,Q$86)</f>
        <v/>
      </c>
      <c r="R163" s="72" t="str" cm="1">
        <f t="array" aca="1" ref="R163" ca="1">_xll.DBRW($C$47,$M$83,$M$84,$C$48,$C$49,$C$50,$C$51,$C$52,$C$53,$C$54,$C$55,$C163,$C$56,$M$82,$A163,$C$57,$C$58,R$86)</f>
        <v/>
      </c>
      <c r="S163" s="73" t="str" cm="1">
        <f t="array" aca="1" ref="S163" ca="1">_xll.DBRW($C$47,$M$83,$M$84,$C$48,$C$49,$C$50,$C$51,$C$52,$C$53,$C$54,$C$55,$C163,$C$56,$M$82,$A163,$C$57,$C$58,S$86)</f>
        <v/>
      </c>
      <c r="T163" s="18" t="str" cm="1">
        <f t="array" aca="1" ref="T163" ca="1">_xll.DBRW($C$47,$M$83,$M$84,$C$48,$C$49,$C$50,$C$51,$C$52,$C$53,$C$54,$C$55,$C163,$C$56,$M$82,$A163,$C$57,$C$58,T$86)</f>
        <v/>
      </c>
      <c r="U163" s="18" t="str" cm="1">
        <f t="array" aca="1" ref="U163" ca="1">_xll.DBRW($C$47,$M$83,$M$84,$C$48,$C$49,$C$50,$C$51,$C$52,$C$53,$C$54,$C$55,$C163,$C$56,$M$82,$A163,$C$57,$C$58,U$86)</f>
        <v/>
      </c>
      <c r="V163" s="18" t="str" cm="1">
        <f t="array" aca="1" ref="V163" ca="1">_xll.DBRW($C$47,$M$83,$M$84,$C$48,$C$49,$C$50,$C$51,$C$52,$C$53,$C$54,$C$55,$C163,$C$56,$M$82,$A163,$C$57,$C$58,V$86)</f>
        <v/>
      </c>
      <c r="W163" s="18" t="str" cm="1">
        <f t="array" aca="1" ref="W163" ca="1">_xll.DBRW($C$47,$M$83,$M$84,$C$48,$C$49,$C$50,$C$51,$C$52,$C$53,$C$54,$C$55,$C163,$C$56,$M$82,$A163,$C$57,$C$58,W$86)</f>
        <v/>
      </c>
      <c r="X163" s="18" t="str" cm="1">
        <f t="array" aca="1" ref="X163" ca="1">_xll.DBRW($C$47,$M$83,$M$84,$C$48,$C$49,$C$50,$C$51,$C$52,$C$53,$C$54,$C$55,$C163,$C$56,$M$82,$A163,$C$57,$C$58,X$86)</f>
        <v/>
      </c>
      <c r="Y163" s="18" t="str" cm="1">
        <f t="array" aca="1" ref="Y163" ca="1">_xll.DBRW($C$47,$M$83,$M$84,$C$48,$C$49,$C$50,$C$51,$C$52,$C$53,$C$54,$C$55,$C163,$C$56,$M$82,$A163,$C$57,$C$58,Y$86)</f>
        <v/>
      </c>
      <c r="Z163" s="18" t="str" cm="1">
        <f t="array" aca="1" ref="Z163" ca="1">_xll.DBRW($C$47,$M$83,$M$84,$C$48,$C$49,$C$50,$C$51,$C$52,$C$53,$C$54,$C$55,$C163,$C$56,$M$82,$A163,$C$57,$C$58,Z$86)</f>
        <v/>
      </c>
      <c r="AA163" s="18" t="str" cm="1">
        <f t="array" aca="1" ref="AA163" ca="1">_xll.DBRW($C$47,$M$83,$M$84,$C$48,$C$49,$C$50,$C$51,$C$52,$C$53,$C$54,$C$55,$C163,$C$56,$M$82,$A163,$C$57,$C$58,AA$86)</f>
        <v/>
      </c>
      <c r="AB163" s="18" t="str" cm="1">
        <f t="array" aca="1" ref="AB163" ca="1">_xll.DBRW($C$47,$M$83,$M$84,$C$48,$C$49,$C$50,$C$51,$C$52,$C$53,$C$54,$C$55,$C163,$C$56,$M$82,$A163,$C$57,$C$58,AB$86)</f>
        <v/>
      </c>
      <c r="AC163" s="19" t="str" cm="1">
        <f t="array" aca="1" ref="AC163" ca="1">_xll.DBRW($C$47,$M$83,$M$84,$C$48,$C$49,$C$50,$C$51,$C$52,$C$53,$C$54,$C$55,$C163,$C$56,$M$82,$A163,$C$57,$C$58,AC$86)</f>
        <v/>
      </c>
    </row>
    <row r="164" spans="1:29" ht="12" x14ac:dyDescent="0.15">
      <c r="A164" s="1" t="s">
        <v>42</v>
      </c>
      <c r="B164" s="1" t="str">
        <f ca="1">_xll.DBRA(db_name&amp;":account",A164,"description")</f>
        <v/>
      </c>
      <c r="C164" s="1" t="s">
        <v>13</v>
      </c>
      <c r="D164" s="1" t="str">
        <f ca="1">_xll.DBRA(db_name&amp;":movement account",C164,"description")</f>
        <v/>
      </c>
      <c r="J164" s="63" t="s">
        <v>17</v>
      </c>
      <c r="K164" s="64" t="str">
        <f ca="1">A164&amp;" - "&amp;B164</f>
        <v xml:space="preserve">5220003 - </v>
      </c>
      <c r="L164" s="40" t="str">
        <f ca="1">IF(C164="No_Mvt",C164,C164&amp;" - "&amp;D164)</f>
        <v>No_Mvt</v>
      </c>
      <c r="M164" s="65" t="str">
        <f ca="1">IF(LEFT(A164,4)="9000","Special Account",VLOOKUP(LEFT(A164,1)*1,$P$60:$Q$66,2,FALSE))</f>
        <v>Asset Account</v>
      </c>
      <c r="N164" s="71" t="str" cm="1">
        <f t="array" aca="1" ref="N164" ca="1">_xll.DBRW($C$47,$M$83,$M$84,$C$48,$C$49,$C$50,$C$51,$C$52,$C$53,$C$54,$C$55,$C164,$C$56,$M$82,$A164,$C$57,$C$58,N$86)</f>
        <v/>
      </c>
      <c r="O164" s="72" t="str" cm="1">
        <f t="array" aca="1" ref="O164" ca="1">_xll.DBRW($C$47,$M$83,$M$84,$C$48,$C$49,$C$50,$C$51,$C$52,$C$53,$C$54,$C$55,$C164,$C$56,$M$82,$A164,$C$57,$C$58,O$86)</f>
        <v/>
      </c>
      <c r="P164" s="72" t="str" cm="1">
        <f t="array" aca="1" ref="P164" ca="1">_xll.DBRW($C$47,$M$83,$M$84,$C$48,$C$49,$C$50,$C$51,$C$52,$C$53,$C$54,$C$55,$C164,$C$56,$M$82,$A164,$C$57,$C$58,P$86)</f>
        <v/>
      </c>
      <c r="Q164" s="72" t="str" cm="1">
        <f t="array" aca="1" ref="Q164" ca="1">_xll.DBRW($C$47,$M$83,$M$84,$C$48,$C$49,$C$50,$C$51,$C$52,$C$53,$C$54,$C$55,$C164,$C$56,$M$82,$A164,$C$57,$C$58,Q$86)</f>
        <v/>
      </c>
      <c r="R164" s="72" t="str" cm="1">
        <f t="array" aca="1" ref="R164" ca="1">_xll.DBRW($C$47,$M$83,$M$84,$C$48,$C$49,$C$50,$C$51,$C$52,$C$53,$C$54,$C$55,$C164,$C$56,$M$82,$A164,$C$57,$C$58,R$86)</f>
        <v/>
      </c>
      <c r="S164" s="73" t="str" cm="1">
        <f t="array" aca="1" ref="S164" ca="1">_xll.DBRW($C$47,$M$83,$M$84,$C$48,$C$49,$C$50,$C$51,$C$52,$C$53,$C$54,$C$55,$C164,$C$56,$M$82,$A164,$C$57,$C$58,S$86)</f>
        <v/>
      </c>
      <c r="T164" s="18" t="str" cm="1">
        <f t="array" aca="1" ref="T164" ca="1">_xll.DBRW($C$47,$M$83,$M$84,$C$48,$C$49,$C$50,$C$51,$C$52,$C$53,$C$54,$C$55,$C164,$C$56,$M$82,$A164,$C$57,$C$58,T$86)</f>
        <v/>
      </c>
      <c r="U164" s="18" t="str" cm="1">
        <f t="array" aca="1" ref="U164" ca="1">_xll.DBRW($C$47,$M$83,$M$84,$C$48,$C$49,$C$50,$C$51,$C$52,$C$53,$C$54,$C$55,$C164,$C$56,$M$82,$A164,$C$57,$C$58,U$86)</f>
        <v/>
      </c>
      <c r="V164" s="18" t="str" cm="1">
        <f t="array" aca="1" ref="V164" ca="1">_xll.DBRW($C$47,$M$83,$M$84,$C$48,$C$49,$C$50,$C$51,$C$52,$C$53,$C$54,$C$55,$C164,$C$56,$M$82,$A164,$C$57,$C$58,V$86)</f>
        <v/>
      </c>
      <c r="W164" s="18" t="str" cm="1">
        <f t="array" aca="1" ref="W164" ca="1">_xll.DBRW($C$47,$M$83,$M$84,$C$48,$C$49,$C$50,$C$51,$C$52,$C$53,$C$54,$C$55,$C164,$C$56,$M$82,$A164,$C$57,$C$58,W$86)</f>
        <v/>
      </c>
      <c r="X164" s="18" t="str" cm="1">
        <f t="array" aca="1" ref="X164" ca="1">_xll.DBRW($C$47,$M$83,$M$84,$C$48,$C$49,$C$50,$C$51,$C$52,$C$53,$C$54,$C$55,$C164,$C$56,$M$82,$A164,$C$57,$C$58,X$86)</f>
        <v/>
      </c>
      <c r="Y164" s="18" t="str" cm="1">
        <f t="array" aca="1" ref="Y164" ca="1">_xll.DBRW($C$47,$M$83,$M$84,$C$48,$C$49,$C$50,$C$51,$C$52,$C$53,$C$54,$C$55,$C164,$C$56,$M$82,$A164,$C$57,$C$58,Y$86)</f>
        <v/>
      </c>
      <c r="Z164" s="18" t="str" cm="1">
        <f t="array" aca="1" ref="Z164" ca="1">_xll.DBRW($C$47,$M$83,$M$84,$C$48,$C$49,$C$50,$C$51,$C$52,$C$53,$C$54,$C$55,$C164,$C$56,$M$82,$A164,$C$57,$C$58,Z$86)</f>
        <v/>
      </c>
      <c r="AA164" s="18" t="str" cm="1">
        <f t="array" aca="1" ref="AA164" ca="1">_xll.DBRW($C$47,$M$83,$M$84,$C$48,$C$49,$C$50,$C$51,$C$52,$C$53,$C$54,$C$55,$C164,$C$56,$M$82,$A164,$C$57,$C$58,AA$86)</f>
        <v/>
      </c>
      <c r="AB164" s="18" t="str" cm="1">
        <f t="array" aca="1" ref="AB164" ca="1">_xll.DBRW($C$47,$M$83,$M$84,$C$48,$C$49,$C$50,$C$51,$C$52,$C$53,$C$54,$C$55,$C164,$C$56,$M$82,$A164,$C$57,$C$58,AB$86)</f>
        <v/>
      </c>
      <c r="AC164" s="19" t="str" cm="1">
        <f t="array" aca="1" ref="AC164" ca="1">_xll.DBRW($C$47,$M$83,$M$84,$C$48,$C$49,$C$50,$C$51,$C$52,$C$53,$C$54,$C$55,$C164,$C$56,$M$82,$A164,$C$57,$C$58,AC$86)</f>
        <v/>
      </c>
    </row>
    <row r="165" spans="1:29" ht="12" x14ac:dyDescent="0.15">
      <c r="A165" s="1" t="s">
        <v>43</v>
      </c>
      <c r="B165" s="1" t="str">
        <f ca="1">_xll.DBRA(db_name&amp;":account",A165,"description")</f>
        <v/>
      </c>
      <c r="C165" s="1" t="s">
        <v>13</v>
      </c>
      <c r="D165" s="1" t="str">
        <f ca="1">_xll.DBRA(db_name&amp;":movement account",C165,"description")</f>
        <v/>
      </c>
      <c r="J165" s="63" t="s">
        <v>17</v>
      </c>
      <c r="K165" s="64" t="str">
        <f ca="1">A165&amp;" - "&amp;B165</f>
        <v xml:space="preserve">5233028 - </v>
      </c>
      <c r="L165" s="40" t="str">
        <f ca="1">IF(C165="No_Mvt",C165,C165&amp;" - "&amp;D165)</f>
        <v>No_Mvt</v>
      </c>
      <c r="M165" s="65" t="str">
        <f ca="1">IF(LEFT(A165,4)="9000","Special Account",VLOOKUP(LEFT(A165,1)*1,$P$60:$Q$66,2,FALSE))</f>
        <v>Asset Account</v>
      </c>
      <c r="N165" s="71" t="str" cm="1">
        <f t="array" aca="1" ref="N165" ca="1">_xll.DBRW($C$47,$M$83,$M$84,$C$48,$C$49,$C$50,$C$51,$C$52,$C$53,$C$54,$C$55,$C165,$C$56,$M$82,$A165,$C$57,$C$58,N$86)</f>
        <v/>
      </c>
      <c r="O165" s="72" t="str" cm="1">
        <f t="array" aca="1" ref="O165" ca="1">_xll.DBRW($C$47,$M$83,$M$84,$C$48,$C$49,$C$50,$C$51,$C$52,$C$53,$C$54,$C$55,$C165,$C$56,$M$82,$A165,$C$57,$C$58,O$86)</f>
        <v/>
      </c>
      <c r="P165" s="72" t="str" cm="1">
        <f t="array" aca="1" ref="P165" ca="1">_xll.DBRW($C$47,$M$83,$M$84,$C$48,$C$49,$C$50,$C$51,$C$52,$C$53,$C$54,$C$55,$C165,$C$56,$M$82,$A165,$C$57,$C$58,P$86)</f>
        <v/>
      </c>
      <c r="Q165" s="72" t="str" cm="1">
        <f t="array" aca="1" ref="Q165" ca="1">_xll.DBRW($C$47,$M$83,$M$84,$C$48,$C$49,$C$50,$C$51,$C$52,$C$53,$C$54,$C$55,$C165,$C$56,$M$82,$A165,$C$57,$C$58,Q$86)</f>
        <v/>
      </c>
      <c r="R165" s="72" t="str" cm="1">
        <f t="array" aca="1" ref="R165" ca="1">_xll.DBRW($C$47,$M$83,$M$84,$C$48,$C$49,$C$50,$C$51,$C$52,$C$53,$C$54,$C$55,$C165,$C$56,$M$82,$A165,$C$57,$C$58,R$86)</f>
        <v/>
      </c>
      <c r="S165" s="73" t="str" cm="1">
        <f t="array" aca="1" ref="S165" ca="1">_xll.DBRW($C$47,$M$83,$M$84,$C$48,$C$49,$C$50,$C$51,$C$52,$C$53,$C$54,$C$55,$C165,$C$56,$M$82,$A165,$C$57,$C$58,S$86)</f>
        <v/>
      </c>
      <c r="T165" s="18" t="str" cm="1">
        <f t="array" aca="1" ref="T165" ca="1">_xll.DBRW($C$47,$M$83,$M$84,$C$48,$C$49,$C$50,$C$51,$C$52,$C$53,$C$54,$C$55,$C165,$C$56,$M$82,$A165,$C$57,$C$58,T$86)</f>
        <v/>
      </c>
      <c r="U165" s="18" t="str" cm="1">
        <f t="array" aca="1" ref="U165" ca="1">_xll.DBRW($C$47,$M$83,$M$84,$C$48,$C$49,$C$50,$C$51,$C$52,$C$53,$C$54,$C$55,$C165,$C$56,$M$82,$A165,$C$57,$C$58,U$86)</f>
        <v/>
      </c>
      <c r="V165" s="18" t="str" cm="1">
        <f t="array" aca="1" ref="V165" ca="1">_xll.DBRW($C$47,$M$83,$M$84,$C$48,$C$49,$C$50,$C$51,$C$52,$C$53,$C$54,$C$55,$C165,$C$56,$M$82,$A165,$C$57,$C$58,V$86)</f>
        <v/>
      </c>
      <c r="W165" s="18" t="str" cm="1">
        <f t="array" aca="1" ref="W165" ca="1">_xll.DBRW($C$47,$M$83,$M$84,$C$48,$C$49,$C$50,$C$51,$C$52,$C$53,$C$54,$C$55,$C165,$C$56,$M$82,$A165,$C$57,$C$58,W$86)</f>
        <v/>
      </c>
      <c r="X165" s="18" t="str" cm="1">
        <f t="array" aca="1" ref="X165" ca="1">_xll.DBRW($C$47,$M$83,$M$84,$C$48,$C$49,$C$50,$C$51,$C$52,$C$53,$C$54,$C$55,$C165,$C$56,$M$82,$A165,$C$57,$C$58,X$86)</f>
        <v/>
      </c>
      <c r="Y165" s="18" t="str" cm="1">
        <f t="array" aca="1" ref="Y165" ca="1">_xll.DBRW($C$47,$M$83,$M$84,$C$48,$C$49,$C$50,$C$51,$C$52,$C$53,$C$54,$C$55,$C165,$C$56,$M$82,$A165,$C$57,$C$58,Y$86)</f>
        <v/>
      </c>
      <c r="Z165" s="18" t="str" cm="1">
        <f t="array" aca="1" ref="Z165" ca="1">_xll.DBRW($C$47,$M$83,$M$84,$C$48,$C$49,$C$50,$C$51,$C$52,$C$53,$C$54,$C$55,$C165,$C$56,$M$82,$A165,$C$57,$C$58,Z$86)</f>
        <v/>
      </c>
      <c r="AA165" s="18" t="str" cm="1">
        <f t="array" aca="1" ref="AA165" ca="1">_xll.DBRW($C$47,$M$83,$M$84,$C$48,$C$49,$C$50,$C$51,$C$52,$C$53,$C$54,$C$55,$C165,$C$56,$M$82,$A165,$C$57,$C$58,AA$86)</f>
        <v/>
      </c>
      <c r="AB165" s="18" t="str" cm="1">
        <f t="array" aca="1" ref="AB165" ca="1">_xll.DBRW($C$47,$M$83,$M$84,$C$48,$C$49,$C$50,$C$51,$C$52,$C$53,$C$54,$C$55,$C165,$C$56,$M$82,$A165,$C$57,$C$58,AB$86)</f>
        <v/>
      </c>
      <c r="AC165" s="19" t="str" cm="1">
        <f t="array" aca="1" ref="AC165" ca="1">_xll.DBRW($C$47,$M$83,$M$84,$C$48,$C$49,$C$50,$C$51,$C$52,$C$53,$C$54,$C$55,$C165,$C$56,$M$82,$A165,$C$57,$C$58,AC$86)</f>
        <v/>
      </c>
    </row>
    <row r="166" spans="1:29" s="2" customFormat="1" ht="24" x14ac:dyDescent="0.15">
      <c r="J166" s="85" t="s">
        <v>75</v>
      </c>
      <c r="K166" s="77" t="s">
        <v>80</v>
      </c>
      <c r="L166" s="78"/>
      <c r="M166" s="79"/>
      <c r="N166" s="80" t="e">
        <f t="shared" ref="N166:T166" ca="1" si="89">N163-N164-N165</f>
        <v>#VALUE!</v>
      </c>
      <c r="O166" s="81" t="e">
        <f t="shared" ca="1" si="89"/>
        <v>#VALUE!</v>
      </c>
      <c r="P166" s="81" t="e">
        <f t="shared" ca="1" si="89"/>
        <v>#VALUE!</v>
      </c>
      <c r="Q166" s="81" t="e">
        <f t="shared" ca="1" si="89"/>
        <v>#VALUE!</v>
      </c>
      <c r="R166" s="81" t="e">
        <f t="shared" ca="1" si="89"/>
        <v>#VALUE!</v>
      </c>
      <c r="S166" s="82" t="e">
        <f t="shared" ca="1" si="89"/>
        <v>#VALUE!</v>
      </c>
      <c r="T166" s="83" t="e">
        <f t="shared" ca="1" si="89"/>
        <v>#VALUE!</v>
      </c>
      <c r="U166" s="83" t="e">
        <f t="shared" ref="U166:Y166" ca="1" si="90">U163-U164-U165</f>
        <v>#VALUE!</v>
      </c>
      <c r="V166" s="83" t="e">
        <f t="shared" ca="1" si="90"/>
        <v>#VALUE!</v>
      </c>
      <c r="W166" s="83" t="e">
        <f t="shared" ca="1" si="90"/>
        <v>#VALUE!</v>
      </c>
      <c r="X166" s="83" t="e">
        <f t="shared" ca="1" si="90"/>
        <v>#VALUE!</v>
      </c>
      <c r="Y166" s="83" t="e">
        <f t="shared" ca="1" si="90"/>
        <v>#VALUE!</v>
      </c>
      <c r="Z166" s="83" t="e">
        <f t="shared" ref="Z166:AC166" ca="1" si="91">Z163-Z164-Z165</f>
        <v>#VALUE!</v>
      </c>
      <c r="AA166" s="83" t="e">
        <f t="shared" ca="1" si="91"/>
        <v>#VALUE!</v>
      </c>
      <c r="AB166" s="83" t="e">
        <f t="shared" ca="1" si="91"/>
        <v>#VALUE!</v>
      </c>
      <c r="AC166" s="84" t="e">
        <f t="shared" ca="1" si="91"/>
        <v>#VALUE!</v>
      </c>
    </row>
    <row r="167" spans="1:29" s="2" customFormat="1" ht="12" x14ac:dyDescent="0.15">
      <c r="J167" s="56"/>
      <c r="K167" s="57" t="s">
        <v>79</v>
      </c>
      <c r="L167" s="58"/>
      <c r="M167" s="59"/>
      <c r="N167" s="60"/>
      <c r="O167" s="61" t="e">
        <f t="shared" ref="O167:T167" ca="1" si="92">O166-N166</f>
        <v>#VALUE!</v>
      </c>
      <c r="P167" s="61" t="e">
        <f t="shared" ca="1" si="92"/>
        <v>#VALUE!</v>
      </c>
      <c r="Q167" s="61" t="e">
        <f t="shared" ca="1" si="92"/>
        <v>#VALUE!</v>
      </c>
      <c r="R167" s="61" t="e">
        <f t="shared" ca="1" si="92"/>
        <v>#VALUE!</v>
      </c>
      <c r="S167" s="62" t="e">
        <f t="shared" ca="1" si="92"/>
        <v>#VALUE!</v>
      </c>
      <c r="T167" s="16" t="e">
        <f t="shared" ca="1" si="92"/>
        <v>#VALUE!</v>
      </c>
      <c r="U167" s="16" t="e">
        <f t="shared" ref="U167" ca="1" si="93">U166-T166</f>
        <v>#VALUE!</v>
      </c>
      <c r="V167" s="16" t="e">
        <f t="shared" ref="V167" ca="1" si="94">V166-U166</f>
        <v>#VALUE!</v>
      </c>
      <c r="W167" s="16" t="e">
        <f t="shared" ref="W167" ca="1" si="95">W166-V166</f>
        <v>#VALUE!</v>
      </c>
      <c r="X167" s="16" t="e">
        <f t="shared" ref="X167" ca="1" si="96">X166-W166</f>
        <v>#VALUE!</v>
      </c>
      <c r="Y167" s="16" t="e">
        <f t="shared" ref="Y167" ca="1" si="97">Y166-X166</f>
        <v>#VALUE!</v>
      </c>
      <c r="Z167" s="16" t="e">
        <f t="shared" ref="Z167" ca="1" si="98">Z166-Y166</f>
        <v>#VALUE!</v>
      </c>
      <c r="AA167" s="16" t="e">
        <f t="shared" ref="AA167" ca="1" si="99">AA166-Z166</f>
        <v>#VALUE!</v>
      </c>
      <c r="AB167" s="16" t="e">
        <f t="shared" ref="AB167" ca="1" si="100">AB166-AA166</f>
        <v>#VALUE!</v>
      </c>
      <c r="AC167" s="17" t="e">
        <f t="shared" ref="AC167" ca="1" si="101">AC166-AB166</f>
        <v>#VALUE!</v>
      </c>
    </row>
    <row r="168" spans="1:29" x14ac:dyDescent="0.15">
      <c r="J168" s="3"/>
      <c r="K168" s="9"/>
      <c r="L168" s="8"/>
      <c r="M168" s="8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spans="1:29" x14ac:dyDescent="0.15">
      <c r="K169" s="9"/>
      <c r="L169" s="8"/>
      <c r="M169" s="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x14ac:dyDescent="0.15">
      <c r="K170" s="9"/>
      <c r="L170" s="8"/>
      <c r="M170" s="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x14ac:dyDescent="0.15">
      <c r="K171" s="9"/>
      <c r="L171" s="8"/>
      <c r="M171" s="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x14ac:dyDescent="0.15">
      <c r="K172" s="9"/>
      <c r="L172" s="8"/>
      <c r="M172" s="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x14ac:dyDescent="0.15">
      <c r="K173" s="9"/>
      <c r="L173" s="8"/>
      <c r="M173" s="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x14ac:dyDescent="0.15">
      <c r="L174" s="8"/>
      <c r="M174" s="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x14ac:dyDescent="0.15">
      <c r="K175" s="9"/>
      <c r="L175" s="8"/>
      <c r="M175" s="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x14ac:dyDescent="0.15">
      <c r="K176" s="9"/>
      <c r="L176" s="8"/>
      <c r="M176" s="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1:29" x14ac:dyDescent="0.15">
      <c r="K177" s="9"/>
      <c r="L177" s="9"/>
      <c r="M177" s="3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1:29" x14ac:dyDescent="0.15">
      <c r="K178" s="8" t="s">
        <v>55</v>
      </c>
      <c r="L178" s="8"/>
      <c r="M178" s="3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1:29" x14ac:dyDescent="0.15">
      <c r="M179" s="3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1:29" x14ac:dyDescent="0.15">
      <c r="M180" s="3"/>
    </row>
  </sheetData>
  <sheetProtection sheet="1" objects="1" scenarios="1"/>
  <mergeCells count="10">
    <mergeCell ref="M82:O82"/>
    <mergeCell ref="M83:O83"/>
    <mergeCell ref="M84:O84"/>
    <mergeCell ref="B11:D11"/>
    <mergeCell ref="B19:D19"/>
    <mergeCell ref="B28:D28"/>
    <mergeCell ref="B46:D46"/>
    <mergeCell ref="J79:S79"/>
    <mergeCell ref="M81:O81"/>
    <mergeCell ref="R84:T84"/>
  </mergeCells>
  <conditionalFormatting sqref="N93:AC93 N96:AC96 N104:AC104 N108:AC108 N111:AC111 N114:AC114 N121:AC121 N125:AC125 N129:AC129 N142:AC142 N145:AC145 N149:AC149 N153:AC153 N159:AC159 N162:AC162 N167:AC167">
    <cfRule type="cellIs" dxfId="1" priority="17" operator="notEqual">
      <formula>0</formula>
    </cfRule>
  </conditionalFormatting>
  <conditionalFormatting sqref="N133:AC133">
    <cfRule type="cellIs" dxfId="0" priority="1" operator="notEqual">
      <formula>0</formula>
    </cfRule>
  </conditionalFormatting>
  <pageMargins left="0.39370078740157483" right="0.39370078740157483" top="0.39370078740157483" bottom="0.39370078740157483" header="0.19685039370078741" footer="0.19685039370078741"/>
  <pageSetup paperSize="9" scale="54" fitToHeight="0" orientation="landscape" r:id="rId1"/>
  <headerFooter>
    <oddFooter>&amp;L&amp;D &amp;T</oddFooter>
  </headerFooter>
  <drawing r:id="rId2"/>
  <legacyDrawing r:id="rId3"/>
  <controls>
    <mc:AlternateContent xmlns:mc="http://schemas.openxmlformats.org/markup-compatibility/2006">
      <mc:Choice Requires="x14">
        <control shapeId="1030" r:id="rId4" name="TIButton6">
          <controlPr defaultSize="0" print="0" autoLine="0" r:id="rId5">
            <anchor moveWithCells="1" sizeWithCells="1">
              <from>
                <xdr:col>18</xdr:col>
                <xdr:colOff>561975</xdr:colOff>
                <xdr:row>74</xdr:row>
                <xdr:rowOff>28575</xdr:rowOff>
              </from>
              <to>
                <xdr:col>18</xdr:col>
                <xdr:colOff>876300</xdr:colOff>
                <xdr:row>75</xdr:row>
                <xdr:rowOff>285750</xdr:rowOff>
              </to>
            </anchor>
          </controlPr>
        </control>
      </mc:Choice>
      <mc:Fallback>
        <control shapeId="1030" r:id="rId4" name="TIButton6"/>
      </mc:Fallback>
    </mc:AlternateContent>
    <mc:AlternateContent xmlns:mc="http://schemas.openxmlformats.org/markup-compatibility/2006">
      <mc:Choice Requires="x14">
        <control shapeId="1029" r:id="rId6" name="TIButton4">
          <controlPr defaultSize="0" print="0" autoLine="0" r:id="rId7">
            <anchor moveWithCells="1" sizeWithCells="1">
              <from>
                <xdr:col>11</xdr:col>
                <xdr:colOff>1562100</xdr:colOff>
                <xdr:row>75</xdr:row>
                <xdr:rowOff>0</xdr:rowOff>
              </from>
              <to>
                <xdr:col>11</xdr:col>
                <xdr:colOff>2343150</xdr:colOff>
                <xdr:row>75</xdr:row>
                <xdr:rowOff>247650</xdr:rowOff>
              </to>
            </anchor>
          </controlPr>
        </control>
      </mc:Choice>
      <mc:Fallback>
        <control shapeId="1029" r:id="rId6" name="TIButton4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r:id="rId9">
            <anchor moveWithCells="1" sizeWithCells="1">
              <from>
                <xdr:col>11</xdr:col>
                <xdr:colOff>38100</xdr:colOff>
                <xdr:row>75</xdr:row>
                <xdr:rowOff>0</xdr:rowOff>
              </from>
              <to>
                <xdr:col>11</xdr:col>
                <xdr:colOff>1524000</xdr:colOff>
                <xdr:row>75</xdr:row>
                <xdr:rowOff>247650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7" r:id="rId10" name="TIButton2">
          <controlPr defaultSize="0" print="0" autoLine="0" r:id="rId11">
            <anchor moveWithCells="1" sizeWithCells="1">
              <from>
                <xdr:col>10</xdr:col>
                <xdr:colOff>457200</xdr:colOff>
                <xdr:row>75</xdr:row>
                <xdr:rowOff>0</xdr:rowOff>
              </from>
              <to>
                <xdr:col>10</xdr:col>
                <xdr:colOff>1276350</xdr:colOff>
                <xdr:row>75</xdr:row>
                <xdr:rowOff>247650</xdr:rowOff>
              </to>
            </anchor>
          </controlPr>
        </control>
      </mc:Choice>
      <mc:Fallback>
        <control shapeId="1027" r:id="rId10" name="TIButton2"/>
      </mc:Fallback>
    </mc:AlternateContent>
    <mc:AlternateContent xmlns:mc="http://schemas.openxmlformats.org/markup-compatibility/2006">
      <mc:Choice Requires="x14">
        <control shapeId="1026" r:id="rId12" name="TIButton5">
          <controlPr defaultSize="0" print="0" autoLine="0" r:id="rId13">
            <anchor moveWithCells="1" sizeWithCells="1">
              <from>
                <xdr:col>9</xdr:col>
                <xdr:colOff>28575</xdr:colOff>
                <xdr:row>75</xdr:row>
                <xdr:rowOff>0</xdr:rowOff>
              </from>
              <to>
                <xdr:col>10</xdr:col>
                <xdr:colOff>419100</xdr:colOff>
                <xdr:row>75</xdr:row>
                <xdr:rowOff>247650</xdr:rowOff>
              </to>
            </anchor>
          </controlPr>
        </control>
      </mc:Choice>
      <mc:Fallback>
        <control shapeId="1026" r:id="rId12" name="TIButton5"/>
      </mc:Fallback>
    </mc:AlternateContent>
    <mc:AlternateContent xmlns:mc="http://schemas.openxmlformats.org/markup-compatibility/2006">
      <mc:Choice Requires="x14">
        <control shapeId="1031" r:id="rId14" name="TIButton1">
          <controlPr defaultSize="0" print="0" autoLine="0" r:id="rId15">
            <anchor moveWithCells="1" sizeWithCells="1">
              <from>
                <xdr:col>10</xdr:col>
                <xdr:colOff>1314450</xdr:colOff>
                <xdr:row>75</xdr:row>
                <xdr:rowOff>0</xdr:rowOff>
              </from>
              <to>
                <xdr:col>10</xdr:col>
                <xdr:colOff>2676525</xdr:colOff>
                <xdr:row>75</xdr:row>
                <xdr:rowOff>247650</xdr:rowOff>
              </to>
            </anchor>
          </controlPr>
        </control>
      </mc:Choice>
      <mc:Fallback>
        <control shapeId="1031" r:id="rId1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reco</vt:lpstr>
      <vt:lpstr>db_name</vt:lpstr>
      <vt:lpstr>reco!Print_Area</vt:lpstr>
      <vt:lpstr>reco!Print_Titles</vt:lpstr>
      <vt:lpstr>psApp</vt:lpstr>
      <vt:lpstr>psUser</vt:lpstr>
      <vt:lpstr>TM1AnalRptARTRecoCAP</vt:lpstr>
      <vt:lpstr>TM1AnalRptARTRecoWB</vt:lpstr>
      <vt:lpstr>TM1AnalRptARTRecoWS</vt:lpstr>
      <vt:lpstr>TM1AnalRptDashboardCAP</vt:lpstr>
      <vt:lpstr>TM1AnalRptDashboardWB</vt:lpstr>
      <vt:lpstr>TM1AnalRptDashboardWS</vt:lpstr>
      <vt:lpstr>TM1AnalRptExportToCSVCAP</vt:lpstr>
      <vt:lpstr>TM1AnalRptExportToCSVWB</vt:lpstr>
      <vt:lpstr>TM1AnalRptExportToCSVWS</vt:lpstr>
      <vt:lpstr>TM1AnalRptRecoCAP</vt:lpstr>
      <vt:lpstr>TM1AnalRptRecoWB</vt:lpstr>
      <vt:lpstr>TM1AnalRptRecoWS</vt:lpstr>
      <vt:lpstr>TM1AnalRptRepAdjRecoCAP</vt:lpstr>
      <vt:lpstr>TM1AnalRptRepAdjRecoWB</vt:lpstr>
      <vt:lpstr>TM1AnalRptRepAdjRecoWS</vt:lpstr>
      <vt:lpstr>TM1AnalRptRepStageMaintCAP</vt:lpstr>
      <vt:lpstr>TM1AnalRptRepStageMaintWB</vt:lpstr>
      <vt:lpstr>TM1AnalRptRepStageMaintWS</vt:lpstr>
      <vt:lpstr>TM1AnalRptTransCAP</vt:lpstr>
      <vt:lpstr>TM1AnalRptTransWB</vt:lpstr>
      <vt:lpstr>TM1AnalRptTransWS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Amjad Baig</dc:creator>
  <cp:lastModifiedBy>Xin HE</cp:lastModifiedBy>
  <cp:lastPrinted>2019-10-20T07:40:56Z</cp:lastPrinted>
  <dcterms:created xsi:type="dcterms:W3CDTF">2015-06-04T00:52:05Z</dcterms:created>
  <dcterms:modified xsi:type="dcterms:W3CDTF">2025-08-05T04:31:06Z</dcterms:modified>
</cp:coreProperties>
</file>