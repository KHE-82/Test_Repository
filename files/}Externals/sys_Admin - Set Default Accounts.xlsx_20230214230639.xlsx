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581A338F-443C-4B31-87A5-1C116CAD74B8}" xr6:coauthVersionLast="47" xr6:coauthVersionMax="47" xr10:uidLastSave="{00000000-0000-0000-0000-000000000000}"/>
  <bookViews>
    <workbookView xWindow="57480" yWindow="-1965" windowWidth="29040" windowHeight="15840" xr2:uid="{9747F4F4-68C0-43DA-A8BC-346A8859060C}"/>
  </bookViews>
  <sheets>
    <sheet name="default account" sheetId="1" r:id="rId1"/>
    <sheet name="{PL}PickLst" sheetId="2" state="hidden" r:id="rId2"/>
  </sheets>
  <definedNames>
    <definedName name="db_name">'default account'!$C$12</definedName>
    <definedName name="psApp">'default account'!$C$29</definedName>
    <definedName name="psUser">'default account'!$C$14</definedName>
    <definedName name="TM1HomeAdminCAP">'default account'!$D$34</definedName>
    <definedName name="TM1HomeAdminRDSCAP">'default account'!$D$35</definedName>
    <definedName name="TM1HomeAdminRDSWB">'default account'!$F$35</definedName>
    <definedName name="TM1HomeAdminRDSWS">'default account'!$H$35</definedName>
    <definedName name="TM1HomeAdminWB">'default account'!$F$34</definedName>
    <definedName name="TM1HomeAdminWS">'default account'!$H$34</definedName>
    <definedName name="TM1HomeAECAP">'default account'!$D$32</definedName>
    <definedName name="TM1HomeAEWB">'default account'!$F$32</definedName>
    <definedName name="TM1HomeAEWS">'default account'!$H$32</definedName>
    <definedName name="TM1HomeCAP">'default account'!$D$31</definedName>
    <definedName name="TM1HomeRepCAP">'default account'!$D$33</definedName>
    <definedName name="TM1HomeRepWB">'default account'!$F$33</definedName>
    <definedName name="TM1HomeRepWS">'default account'!$H$33</definedName>
    <definedName name="TM1HomeWB">'default account'!$F$31</definedName>
    <definedName name="TM1HomeWS">'default account'!$H$31</definedName>
    <definedName name="TM1REBUILDOPTION">1</definedName>
    <definedName name="TM1RPTDATARNG1" localSheetId="0">'default account'!$60:$60</definedName>
    <definedName name="TM1RPTFMTIDCOL" localSheetId="0">'default account'!$A$1:$A$8</definedName>
    <definedName name="TM1RPTFMTRNG" localSheetId="0">'default account'!$B$1:$L$8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1" l="1"/>
  <c r="C44" i="1" a="1"/>
  <c r="C44" i="1"/>
  <c r="L56" i="1"/>
  <c r="C43" i="1"/>
  <c r="D59" i="1"/>
  <c r="K57" i="1"/>
  <c r="C42" i="1"/>
  <c r="C60" i="1"/>
  <c r="K56" i="1"/>
  <c r="C41" i="1"/>
  <c r="B60" i="1"/>
  <c r="C40" i="1"/>
  <c r="C28" i="1"/>
  <c r="L60" i="1" a="1"/>
  <c r="L60" i="1"/>
  <c r="E60" i="1" a="1"/>
  <c r="E60" i="1"/>
  <c r="D60" i="1" a="1"/>
  <c r="D60" i="1"/>
  <c r="A60" i="1" a="1"/>
  <c r="A60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0" i="1" a="1"/>
  <c r="C20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4" i="1" a="1"/>
  <c r="C14" i="1"/>
  <c r="C16" i="1" a="1"/>
  <c r="C16" i="1"/>
  <c r="C15" i="1" a="1"/>
  <c r="C15" i="1"/>
  <c r="C17" i="1"/>
  <c r="K60" i="1"/>
  <c r="J60" i="1"/>
  <c r="K59" i="1"/>
  <c r="J59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<sst xmlns="http://schemas.openxmlformats.org/spreadsheetml/2006/main" count="55" uniqueCount="54">
  <si>
    <t>[Begin Format Range]</t>
  </si>
  <si>
    <t>D</t>
  </si>
  <si>
    <t>N</t>
  </si>
  <si>
    <t>[End Format Range]</t>
  </si>
  <si>
    <t>Show Sys_display</t>
  </si>
  <si>
    <t>Account</t>
  </si>
  <si>
    <t>Movement Account</t>
  </si>
  <si>
    <t>Flag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</si>
  <si>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</si>
  <si>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</si>
  <si>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</si>
  <si>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</si>
  <si>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</si>
  <si>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</si>
  <si>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</si>
  <si>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</si>
  <si>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</si>
  <si>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</si>
  <si>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</si>
  <si>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</si>
  <si>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</si>
  <si>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</si>
  <si>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</si>
  <si>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</si>
  <si>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</si>
  <si>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</si>
  <si>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</si>
  <si>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</si>
  <si>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</si>
  <si>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</si>
  <si>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</si>
  <si>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</si>
  <si>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</si>
  <si>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</si>
  <si>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</si>
  <si>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</si>
  <si>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</si>
  <si>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</si>
  <si>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Admin - Set Default Accounts</t>
  </si>
  <si>
    <t>sys_set default account</t>
  </si>
  <si>
    <t>Active Form</t>
  </si>
  <si>
    <t>Slice</t>
  </si>
  <si>
    <t>Account MDX</t>
  </si>
  <si>
    <t>Movement Account MDX</t>
  </si>
  <si>
    <t>Measure</t>
  </si>
  <si>
    <t>Account :</t>
  </si>
  <si>
    <t>Movement Account :</t>
  </si>
  <si>
    <t>REPORT PARAMETERS</t>
  </si>
  <si>
    <t>Administration - Set Default Accounts</t>
  </si>
  <si>
    <t>Note : This screen is used to manage the Default Accounts used in Data Entry.</t>
  </si>
  <si>
    <t>Note : Enable accounts by adding a 1 under 'flag' to be used for GEUS</t>
  </si>
  <si>
    <t>DISPLAY ALL</t>
  </si>
  <si>
    <t>Suppress Zero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</si>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</sst>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/>
    <xf numFmtId="0" fontId="0" fillId="2" borderId="0" xfId="0" applyFill="1"/>
    <xf numFmtId="0" fontId="3" fillId="2" borderId="0" xfId="0" applyFont="1" applyFill="1"/>
    <xf numFmtId="0" fontId="0" fillId="2" borderId="1" xfId="0" applyFill="1" applyBorder="1"/>
    <xf numFmtId="0" fontId="0" fillId="3" borderId="0" xfId="0" applyFill="1"/>
    <xf numFmtId="0" fontId="3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/>
    </xf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6" borderId="5" xfId="0" applyFill="1" applyBorder="1"/>
    <xf numFmtId="0" fontId="0" fillId="6" borderId="5" xfId="0" quotePrefix="1" applyFill="1" applyBorder="1"/>
    <xf numFmtId="0" fontId="1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indent="1"/>
    </xf>
    <xf numFmtId="0" fontId="1" fillId="8" borderId="5" xfId="0" applyFont="1" applyFill="1" applyBorder="1" applyAlignment="1">
      <alignment horizontal="center" wrapText="1"/>
    </xf>
    <xf numFmtId="0" fontId="5" fillId="6" borderId="5" xfId="0" applyFont="1" applyFill="1" applyBorder="1"/>
    <xf numFmtId="0" fontId="5" fillId="0" borderId="5" xfId="0" applyFont="1" applyBorder="1"/>
    <xf numFmtId="0" fontId="3" fillId="0" borderId="5" xfId="0" applyFont="1" applyBorder="1"/>
    <xf numFmtId="0" fontId="5" fillId="6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 applyProtection="1">
      <alignment horizontal="left" indent="1"/>
      <protection locked="0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right" vertical="center"/>
    </xf>
    <xf numFmtId="0" fontId="7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/>
    <xf numFmtId="0" fontId="5" fillId="0" borderId="5" xfId="0" applyFont="1" applyBorder="1" applyAlignment="1" applyProtection="1">
      <alignment horizontal="center"/>
      <protection locked="0"/>
    </xf>
    <xf numFmtId="49" fontId="0" fillId="2" borderId="1" xfId="0" applyNumberFormat="1" applyFill="1" applyBorder="1"/>
    <xf numFmtId="49" fontId="0" fillId="0" borderId="0" xfId="0" applyNumberFormat="1"/>
    <xf numFmtId="0" fontId="7" fillId="0" borderId="0" xfId="0" applyFont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BBDDE6"/>
        </patternFill>
      </fill>
    </dxf>
    <dxf>
      <font>
        <b/>
        <i val="0"/>
        <color auto="1"/>
      </font>
      <fill>
        <patternFill>
          <bgColor rgb="FFBBDDE6"/>
        </patternFill>
      </fill>
    </dxf>
  </dxfs>
  <tableStyles count="0" defaultTableStyle="TableStyleMedium2" defaultPivotStyle="PivotStyleLight16"/>
  <colors>
    <mruColors>
      <color rgb="FFBBDDE6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20"/>
  <ax:ocxPr ax:name="_ExtentY" ax:value="265"/>
  <ax:ocxPr ax:name="_StockProps" ax:value="0"/>
  <ax:ocxPr ax:name="ServerName" ax:value="=db_name"/>
  <ax:ocxPr ax:name="ProcessName" ax:value="sys_Set Default Account 02 - Update GEUS Account Subset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 Default Account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Default accounts saved"/>
  <ax:ocxPr ax:name="FailureMessage" ax:value="Process failed, please review TM1 log file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47</xdr:row>
      <xdr:rowOff>19050</xdr:rowOff>
    </xdr:from>
    <xdr:to>
      <xdr:col>9</xdr:col>
      <xdr:colOff>1807845</xdr:colOff>
      <xdr:row>47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845945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49</xdr:row>
          <xdr:rowOff>0</xdr:rowOff>
        </xdr:from>
        <xdr:to>
          <xdr:col>9</xdr:col>
          <xdr:colOff>670560</xdr:colOff>
          <xdr:row>49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49</xdr:row>
          <xdr:rowOff>0</xdr:rowOff>
        </xdr:from>
        <xdr:to>
          <xdr:col>9</xdr:col>
          <xdr:colOff>1828800</xdr:colOff>
          <xdr:row>49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5036820</xdr:colOff>
          <xdr:row>49</xdr:row>
          <xdr:rowOff>0</xdr:rowOff>
        </xdr:from>
        <xdr:to>
          <xdr:col>10</xdr:col>
          <xdr:colOff>441960</xdr:colOff>
          <xdr:row>49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1889760</xdr:colOff>
          <xdr:row>49</xdr:row>
          <xdr:rowOff>0</xdr:rowOff>
        </xdr:from>
        <xdr:to>
          <xdr:col>9</xdr:col>
          <xdr:colOff>3375660</xdr:colOff>
          <xdr:row>49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3398520</xdr:colOff>
          <xdr:row>49</xdr:row>
          <xdr:rowOff>0</xdr:rowOff>
        </xdr:from>
        <xdr:to>
          <xdr:col>9</xdr:col>
          <xdr:colOff>4991100</xdr:colOff>
          <xdr:row>49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426720</xdr:colOff>
          <xdr:row>48</xdr:row>
          <xdr:rowOff>30480</xdr:rowOff>
        </xdr:from>
        <xdr:to>
          <xdr:col>12</xdr:col>
          <xdr:colOff>22860</xdr:colOff>
          <xdr:row>49</xdr:row>
          <xdr:rowOff>289560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A8DD-2271-4269-A386-7279088C70E7}">
  <sheetPr codeName="Sheet1">
    <outlinePr showOutlineSymbols="0"/>
  </sheetPr>
  <dimension ref="A1:M60"/>
  <sheetViews>
    <sheetView showGridLines="0" showRowColHeaders="0" tabSelected="1" showOutlineSymbols="0" topLeftCell="A48" zoomScaleNormal="100" workbookViewId="0">
      <pane ySplit="12" topLeftCell="A60" activePane="bottomLeft" state="frozen"/>
      <selection activeCell="I48" sqref="I48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2" width="39.6640625" hidden="1" customWidth="1" outlineLevel="1"/>
    <col min="3" max="3" width="30.109375" hidden="1" customWidth="1" outlineLevel="1"/>
    <col min="4" max="4" width="16.88671875" hidden="1" customWidth="1" outlineLevel="1"/>
    <col min="5" max="8" width="14.33203125" hidden="1" customWidth="1" outlineLevel="1"/>
    <col min="9" max="9" width="0.88671875" customWidth="1" collapsed="1"/>
    <col min="10" max="10" width="80.6640625" customWidth="1"/>
    <col min="11" max="11" width="70.6640625" customWidth="1"/>
    <col min="12" max="12" width="11" customWidth="1"/>
    <col min="13" max="13" width="14.6640625" customWidth="1"/>
  </cols>
  <sheetData>
    <row r="1" spans="1:12" hidden="1" outlineLevel="1" x14ac:dyDescent="0.3">
      <c r="A1" t="s">
        <v>0</v>
      </c>
    </row>
    <row r="2" spans="1:12" hidden="1" outlineLevel="1" x14ac:dyDescent="0.3">
      <c r="A2">
        <f>0</f>
        <v>0</v>
      </c>
      <c r="B2" s="1"/>
      <c r="C2" s="2"/>
      <c r="D2" s="3"/>
      <c r="J2" s="19"/>
      <c r="K2" s="19"/>
      <c r="L2" s="22"/>
    </row>
    <row r="3" spans="1:12" hidden="1" outlineLevel="1" x14ac:dyDescent="0.3">
      <c r="A3">
        <f>1</f>
        <v>1</v>
      </c>
      <c r="B3" s="4"/>
      <c r="C3" s="5"/>
      <c r="D3" s="6"/>
      <c r="J3" s="20"/>
      <c r="K3" s="20"/>
      <c r="L3" s="23"/>
    </row>
    <row r="4" spans="1:12" hidden="1" outlineLevel="1" x14ac:dyDescent="0.3">
      <c r="A4">
        <f>2</f>
        <v>2</v>
      </c>
      <c r="B4" s="4"/>
      <c r="C4" s="5"/>
      <c r="D4" s="6"/>
      <c r="J4" s="20"/>
      <c r="K4" s="20"/>
      <c r="L4" s="23"/>
    </row>
    <row r="5" spans="1:12" hidden="1" outlineLevel="1" x14ac:dyDescent="0.3">
      <c r="A5">
        <f>3</f>
        <v>3</v>
      </c>
      <c r="B5" s="4"/>
      <c r="C5" s="5"/>
      <c r="D5" s="6"/>
      <c r="J5" s="20"/>
      <c r="K5" s="20"/>
      <c r="L5" s="23"/>
    </row>
    <row r="6" spans="1:12" hidden="1" outlineLevel="1" x14ac:dyDescent="0.3">
      <c r="A6" t="s">
        <v>1</v>
      </c>
      <c r="B6" s="4"/>
      <c r="C6" s="5"/>
      <c r="D6" s="6"/>
      <c r="J6" s="20"/>
      <c r="K6" s="20"/>
      <c r="L6" s="23"/>
    </row>
    <row r="7" spans="1:12" hidden="1" outlineLevel="1" x14ac:dyDescent="0.3">
      <c r="A7" t="s">
        <v>2</v>
      </c>
      <c r="B7" s="4"/>
      <c r="D7" s="7"/>
      <c r="J7" s="21"/>
      <c r="K7" s="21"/>
      <c r="L7" s="30"/>
    </row>
    <row r="8" spans="1:12" hidden="1" outlineLevel="1" x14ac:dyDescent="0.3">
      <c r="A8" t="s">
        <v>3</v>
      </c>
    </row>
    <row r="9" spans="1:12" hidden="1" outlineLevel="1" x14ac:dyDescent="0.3"/>
    <row r="10" spans="1:12" hidden="1" outlineLevel="1" x14ac:dyDescent="0.3"/>
    <row r="11" spans="1:12" hidden="1" outlineLevel="1" x14ac:dyDescent="0.3">
      <c r="B11" s="34" t="s">
        <v>8</v>
      </c>
      <c r="C11" s="35"/>
      <c r="D11" s="36"/>
    </row>
    <row r="12" spans="1:12" hidden="1" outlineLevel="1" x14ac:dyDescent="0.3">
      <c r="B12" s="9" t="s">
        <v>9</v>
      </c>
      <c r="C12" s="10" t="s">
        <v>53</v>
      </c>
      <c r="D12" s="11"/>
    </row>
    <row r="13" spans="1:12" hidden="1" outlineLevel="1" x14ac:dyDescent="0.3">
      <c r="B13" s="9" t="s">
        <v>10</v>
      </c>
      <c r="C13" s="12" t="str" cm="1">
        <f t="array" aca="1" ref="C13" ca="1">_xll.VIEW(db_name&amp;":}ElementAttributes_}Clients","!","!")</f>
        <v>dcceew_geus:}ElementAttributes_}Clients</v>
      </c>
      <c r="D13" s="11"/>
    </row>
    <row r="14" spans="1:12" hidden="1" outlineLevel="1" x14ac:dyDescent="0.3">
      <c r="B14" s="9" t="s">
        <v>11</v>
      </c>
      <c r="C14" s="10" t="str" cm="1">
        <f t="array" aca="1" ref="C14" ca="1">_xll.TM1USER(db_name)</f>
        <v/>
      </c>
      <c r="D14" s="11"/>
    </row>
    <row r="15" spans="1:12" hidden="1" outlineLevel="1" x14ac:dyDescent="0.3">
      <c r="B15" s="9" t="s">
        <v>12</v>
      </c>
      <c r="C15" s="10" t="str" cm="1">
        <f t="array" aca="1" ref="C15" ca="1">_xll.DBR($C$13,$C$14,$B15)</f>
        <v>*KEY_ERR</v>
      </c>
      <c r="D15" s="11"/>
    </row>
    <row r="16" spans="1:12" hidden="1" outlineLevel="1" x14ac:dyDescent="0.3">
      <c r="B16" s="9" t="s">
        <v>13</v>
      </c>
      <c r="C16" s="10" t="str" cm="1">
        <f t="array" aca="1" ref="C16" ca="1">_xll.DBR($C$13,$C$14,$B16)</f>
        <v>*KEY_ERR</v>
      </c>
      <c r="D16" s="11"/>
    </row>
    <row r="17" spans="2:8" hidden="1" outlineLevel="1" x14ac:dyDescent="0.3">
      <c r="B17" s="9" t="s">
        <v>14</v>
      </c>
      <c r="C17" s="10" t="str">
        <f ca="1">IF(LEFT($C$15,6)="CAM_AD",$C$16,$C$15)</f>
        <v>*KEY_ERR</v>
      </c>
      <c r="D17" s="13"/>
    </row>
    <row r="18" spans="2:8" hidden="1" outlineLevel="1" x14ac:dyDescent="0.3"/>
    <row r="19" spans="2:8" hidden="1" outlineLevel="1" x14ac:dyDescent="0.3">
      <c r="B19" s="34" t="s">
        <v>15</v>
      </c>
      <c r="C19" s="35"/>
      <c r="D19" s="36"/>
    </row>
    <row r="20" spans="2:8" hidden="1" outlineLevel="1" x14ac:dyDescent="0.3">
      <c r="B20" s="9" t="s">
        <v>16</v>
      </c>
      <c r="C20" s="13" t="str" cm="1">
        <f t="array" aca="1" ref="C20" ca="1">_xll.VIEW(db_name&amp;":}ElementAttributes_variables","!","!")</f>
        <v>dcceew_geus:}ElementAttributes_variables</v>
      </c>
      <c r="D20" s="13"/>
    </row>
    <row r="21" spans="2:8" hidden="1" outlineLevel="1" x14ac:dyDescent="0.3">
      <c r="B21" s="9" t="s">
        <v>17</v>
      </c>
      <c r="C21" s="13" t="str" cm="1">
        <f t="array" aca="1" ref="C21" ca="1">_xll.DBR($C$20,$B21,"value")</f>
        <v>*KEY_ERR</v>
      </c>
      <c r="D21" s="13"/>
    </row>
    <row r="22" spans="2:8" hidden="1" outlineLevel="1" x14ac:dyDescent="0.3">
      <c r="B22" s="9" t="s">
        <v>18</v>
      </c>
      <c r="C22" s="13" t="str" cm="1">
        <f t="array" aca="1" ref="C22" ca="1">_xll.DBR($C$20,$B22,"value")</f>
        <v>*KEY_ERR</v>
      </c>
      <c r="D22" s="13"/>
    </row>
    <row r="23" spans="2:8" hidden="1" outlineLevel="1" x14ac:dyDescent="0.3">
      <c r="B23" s="9" t="s">
        <v>19</v>
      </c>
      <c r="C23" s="13" t="str" cm="1">
        <f t="array" aca="1" ref="C23" ca="1">_xll.DBR($C$20,$B23,"value")</f>
        <v>*KEY_ERR</v>
      </c>
      <c r="D23" s="13"/>
    </row>
    <row r="24" spans="2:8" hidden="1" outlineLevel="1" x14ac:dyDescent="0.3">
      <c r="B24" s="9" t="s">
        <v>20</v>
      </c>
      <c r="C24" s="13" t="str" cm="1">
        <f t="array" aca="1" ref="C24" ca="1">_xll.DBR($C$20,$B24,"value")</f>
        <v>*KEY_ERR</v>
      </c>
      <c r="D24" s="13"/>
    </row>
    <row r="25" spans="2:8" hidden="1" outlineLevel="1" x14ac:dyDescent="0.3">
      <c r="B25" s="9" t="s">
        <v>21</v>
      </c>
      <c r="C25" s="13" t="str" cm="1">
        <f t="array" aca="1" ref="C25" ca="1">_xll.DBR($C$20,$B25,"value")</f>
        <v>*KEY_ERR</v>
      </c>
      <c r="D25" s="13"/>
    </row>
    <row r="26" spans="2:8" hidden="1" outlineLevel="1" x14ac:dyDescent="0.3"/>
    <row r="27" spans="2:8" hidden="1" outlineLevel="1" x14ac:dyDescent="0.3">
      <c r="B27" s="34" t="s">
        <v>22</v>
      </c>
      <c r="C27" s="35"/>
      <c r="D27" s="36"/>
    </row>
    <row r="28" spans="2:8" hidden="1" outlineLevel="1" x14ac:dyDescent="0.3">
      <c r="B28" s="9" t="s">
        <v>23</v>
      </c>
      <c r="C28" s="13" t="str">
        <f ca="1">_xll.VIEW(db_name&amp;":sys_application","!","!")</f>
        <v>dcceew_geus:sys_application</v>
      </c>
      <c r="D28" s="13"/>
    </row>
    <row r="29" spans="2:8" hidden="1" outlineLevel="1" x14ac:dyDescent="0.3">
      <c r="B29" s="9" t="s">
        <v>24</v>
      </c>
      <c r="C29" t="s">
        <v>38</v>
      </c>
      <c r="D29" s="13"/>
    </row>
    <row r="30" spans="2:8" hidden="1" outlineLevel="1" x14ac:dyDescent="0.3">
      <c r="B30" s="13"/>
      <c r="C30" s="9" t="s">
        <v>25</v>
      </c>
      <c r="D30" s="9" t="s">
        <v>26</v>
      </c>
      <c r="E30" s="9" t="s">
        <v>27</v>
      </c>
      <c r="F30" s="9" t="s">
        <v>28</v>
      </c>
      <c r="G30" s="9" t="s">
        <v>29</v>
      </c>
      <c r="H30" s="9" t="s">
        <v>30</v>
      </c>
    </row>
    <row r="31" spans="2:8" hidden="1" outlineLevel="1" x14ac:dyDescent="0.3">
      <c r="B31" s="13" t="s">
        <v>31</v>
      </c>
      <c r="C31" s="13" t="str" cm="1">
        <f t="array" aca="1" ref="C31" ca="1">_xll.DBR($C$28,$B31,C$30)</f>
        <v>*KEY_ERR</v>
      </c>
      <c r="D31" s="13" t="str" cm="1">
        <f t="array" aca="1" ref="D31" ca="1">_xll.DBR($C$28,$B31,D$30)</f>
        <v>*KEY_ERR</v>
      </c>
      <c r="E31" s="13" t="str" cm="1">
        <f t="array" aca="1" ref="E31" ca="1">_xll.DBR($C$28,$B31,E$30)</f>
        <v>*KEY_ERR</v>
      </c>
      <c r="F31" s="13" t="str" cm="1">
        <f t="array" aca="1" ref="F31" ca="1">_xll.DBR($C$28,$B31,F$30)</f>
        <v>*KEY_ERR</v>
      </c>
      <c r="G31" s="13" t="str" cm="1">
        <f t="array" aca="1" ref="G31" ca="1">_xll.DBR($C$28,$B31,G$30)</f>
        <v>*KEY_ERR</v>
      </c>
      <c r="H31" s="13" t="str" cm="1">
        <f t="array" aca="1" ref="H31" ca="1">_xll.DBR($C$28,$B31,H$30)</f>
        <v>*KEY_ERR</v>
      </c>
    </row>
    <row r="32" spans="2:8" hidden="1" outlineLevel="1" x14ac:dyDescent="0.3">
      <c r="B32" s="13" t="s">
        <v>32</v>
      </c>
      <c r="C32" s="13" t="str" cm="1">
        <f t="array" aca="1" ref="C32" ca="1">_xll.DBR($C$28,$B32,C$30)</f>
        <v>*KEY_ERR</v>
      </c>
      <c r="D32" s="13" t="str" cm="1">
        <f t="array" aca="1" ref="D32" ca="1">_xll.DBR($C$28,$B32,D$30)</f>
        <v>*KEY_ERR</v>
      </c>
      <c r="E32" s="13" t="str" cm="1">
        <f t="array" aca="1" ref="E32" ca="1">_xll.DBR($C$28,$B32,E$30)</f>
        <v>*KEY_ERR</v>
      </c>
      <c r="F32" s="13" t="str" cm="1">
        <f t="array" aca="1" ref="F32" ca="1">_xll.DBR($C$28,$B32,F$30)</f>
        <v>*KEY_ERR</v>
      </c>
      <c r="G32" s="13" t="str" cm="1">
        <f t="array" aca="1" ref="G32" ca="1">_xll.DBR($C$28,$B32,G$30)</f>
        <v>*KEY_ERR</v>
      </c>
      <c r="H32" s="13" t="str" cm="1">
        <f t="array" aca="1" ref="H32" ca="1">_xll.DBR($C$28,$B32,H$30)</f>
        <v>*KEY_ERR</v>
      </c>
    </row>
    <row r="33" spans="2:12" hidden="1" outlineLevel="1" x14ac:dyDescent="0.3">
      <c r="B33" s="13" t="s">
        <v>33</v>
      </c>
      <c r="C33" s="13" t="str" cm="1">
        <f t="array" aca="1" ref="C33" ca="1">_xll.DBR($C$28,$B33,C$30)</f>
        <v>*KEY_ERR</v>
      </c>
      <c r="D33" s="13" t="str" cm="1">
        <f t="array" aca="1" ref="D33" ca="1">_xll.DBR($C$28,$B33,D$30)</f>
        <v>*KEY_ERR</v>
      </c>
      <c r="E33" s="13" t="str" cm="1">
        <f t="array" aca="1" ref="E33" ca="1">_xll.DBR($C$28,$B33,E$30)</f>
        <v>*KEY_ERR</v>
      </c>
      <c r="F33" s="13" t="str" cm="1">
        <f t="array" aca="1" ref="F33" ca="1">_xll.DBR($C$28,$B33,F$30)</f>
        <v>*KEY_ERR</v>
      </c>
      <c r="G33" s="13" t="str" cm="1">
        <f t="array" aca="1" ref="G33" ca="1">_xll.DBR($C$28,$B33,G$30)</f>
        <v>*KEY_ERR</v>
      </c>
      <c r="H33" s="13" t="str" cm="1">
        <f t="array" aca="1" ref="H33" ca="1">_xll.DBR($C$28,$B33,H$30)</f>
        <v>*KEY_ERR</v>
      </c>
    </row>
    <row r="34" spans="2:12" hidden="1" outlineLevel="1" x14ac:dyDescent="0.3">
      <c r="B34" s="13" t="s">
        <v>34</v>
      </c>
      <c r="C34" s="13" t="str" cm="1">
        <f t="array" aca="1" ref="C34" ca="1">_xll.DBR($C$28,$B34,C$30)</f>
        <v>*KEY_ERR</v>
      </c>
      <c r="D34" s="13" t="str" cm="1">
        <f t="array" aca="1" ref="D34" ca="1">_xll.DBR($C$28,$B34,D$30)</f>
        <v>*KEY_ERR</v>
      </c>
      <c r="E34" s="13" t="str" cm="1">
        <f t="array" aca="1" ref="E34" ca="1">_xll.DBR($C$28,$B34,E$30)</f>
        <v>*KEY_ERR</v>
      </c>
      <c r="F34" s="13" t="str" cm="1">
        <f t="array" aca="1" ref="F34" ca="1">_xll.DBR($C$28,$B34,F$30)</f>
        <v>*KEY_ERR</v>
      </c>
      <c r="G34" s="13" t="str" cm="1">
        <f t="array" aca="1" ref="G34" ca="1">_xll.DBR($C$28,$B34,G$30)</f>
        <v>*KEY_ERR</v>
      </c>
      <c r="H34" s="13" t="str" cm="1">
        <f t="array" aca="1" ref="H34" ca="1">_xll.DBR($C$28,$B34,H$30)</f>
        <v>*KEY_ERR</v>
      </c>
    </row>
    <row r="35" spans="2:12" hidden="1" outlineLevel="1" x14ac:dyDescent="0.3">
      <c r="B35" s="13" t="s">
        <v>35</v>
      </c>
      <c r="C35" s="13" t="str" cm="1">
        <f t="array" aca="1" ref="C35" ca="1">_xll.DBR($C$28,$B35,C$30)</f>
        <v>*KEY_ERR</v>
      </c>
      <c r="D35" s="13" t="str" cm="1">
        <f t="array" aca="1" ref="D35" ca="1">_xll.DBR($C$28,$B35,D$30)</f>
        <v>*KEY_ERR</v>
      </c>
      <c r="E35" s="13" t="str" cm="1">
        <f t="array" aca="1" ref="E35" ca="1">_xll.DBR($C$28,$B35,E$30)</f>
        <v>*KEY_ERR</v>
      </c>
      <c r="F35" s="13" t="str" cm="1">
        <f t="array" aca="1" ref="F35" ca="1">_xll.DBR($C$28,$B35,F$30)</f>
        <v>*KEY_ERR</v>
      </c>
      <c r="G35" s="13" t="str" cm="1">
        <f t="array" aca="1" ref="G35" ca="1">_xll.DBR($C$28,$B35,G$30)</f>
        <v>*KEY_ERR</v>
      </c>
      <c r="H35" s="13" t="str" cm="1">
        <f t="array" aca="1" ref="H35" ca="1">_xll.DBR($C$28,$B35,H$30)</f>
        <v>*KEY_ERR</v>
      </c>
    </row>
    <row r="36" spans="2:12" hidden="1" outlineLevel="1" x14ac:dyDescent="0.3">
      <c r="B36" s="14" t="s">
        <v>36</v>
      </c>
      <c r="C36" s="15" t="s">
        <v>37</v>
      </c>
    </row>
    <row r="37" spans="2:12" hidden="1" outlineLevel="1" x14ac:dyDescent="0.3"/>
    <row r="38" spans="2:12" hidden="1" outlineLevel="1" x14ac:dyDescent="0.3">
      <c r="B38" s="34" t="s">
        <v>39</v>
      </c>
      <c r="C38" s="35"/>
      <c r="D38" s="36"/>
    </row>
    <row r="39" spans="2:12" hidden="1" outlineLevel="1" x14ac:dyDescent="0.3">
      <c r="B39" s="9" t="s">
        <v>40</v>
      </c>
      <c r="C39" s="13" t="str">
        <f ca="1">_xll.TM1RPTVIEW(db_name&amp;":sys_set default account:1", 1,TM1RPTFMTRNG,TM1RPTFMTIDCOL)</f>
        <v>dcceew_geus:sys_set default account:1</v>
      </c>
    </row>
    <row r="40" spans="2:12" hidden="1" outlineLevel="1" x14ac:dyDescent="0.3">
      <c r="B40" s="9" t="s">
        <v>41</v>
      </c>
      <c r="C40" s="13" t="str">
        <f ca="1">_xll.VIEW(db_name&amp;":sys_set default account","!","!","!")</f>
        <v>dcceew_geus:sys_set default account</v>
      </c>
    </row>
    <row r="41" spans="2:12" hidden="1" outlineLevel="1" x14ac:dyDescent="0.3">
      <c r="B41" s="13" t="s">
        <v>42</v>
      </c>
      <c r="C41" s="13" t="str">
        <f ca="1">"{TM1FILTERBYLEVEL( {TM1DRILLDOWNMEMBER( {[account].[" &amp; $K$56 &amp; "]}, ALL, RECURSIVE )}, 0)}"</f>
        <v>{TM1FILTERBYLEVEL( {TM1DRILLDOWNMEMBER( {[account].[]}, ALL, RECURSIVE )}, 0)}</v>
      </c>
    </row>
    <row r="42" spans="2:12" hidden="1" outlineLevel="1" x14ac:dyDescent="0.3">
      <c r="B42" s="13" t="s">
        <v>43</v>
      </c>
      <c r="C42" s="13" t="str">
        <f ca="1">"{TM1FILTERBYLEVEL( {TM1DRILLDOWNMEMBER( {[movement account].[" &amp; $K$57 &amp; "]}, ALL, RECURSIVE )}, 0)}"</f>
        <v>{TM1FILTERBYLEVEL( {TM1DRILLDOWNMEMBER( {[movement account].[]}, ALL, RECURSIVE )}, 0)}</v>
      </c>
    </row>
    <row r="43" spans="2:12" hidden="1" outlineLevel="1" x14ac:dyDescent="0.3">
      <c r="B43" s="13" t="s">
        <v>4</v>
      </c>
      <c r="C43" s="13" t="str">
        <f ca="1">IF($L$56="Yes","Y","")</f>
        <v/>
      </c>
    </row>
    <row r="44" spans="2:12" hidden="1" outlineLevel="1" x14ac:dyDescent="0.3">
      <c r="B44" s="13" t="s">
        <v>44</v>
      </c>
      <c r="C44" s="13" t="str" cm="1">
        <f t="array" aca="1" ref="C44" ca="1">_xll.SUBNM(db_name&amp;":sys_set default account measure","","flag")</f>
        <v/>
      </c>
    </row>
    <row r="45" spans="2:12" hidden="1" outlineLevel="1" x14ac:dyDescent="0.3">
      <c r="B45" s="29" t="s">
        <v>52</v>
      </c>
    </row>
    <row r="46" spans="2:12" hidden="1" outlineLevel="1" x14ac:dyDescent="0.3"/>
    <row r="47" spans="2:12" hidden="1" outlineLevel="1" x14ac:dyDescent="0.3"/>
    <row r="48" spans="2:12" ht="39.9" customHeight="1" collapsed="1" x14ac:dyDescent="0.3">
      <c r="I48" s="26"/>
      <c r="J48" s="26"/>
      <c r="K48" s="26"/>
      <c r="L48" s="26" t="s">
        <v>48</v>
      </c>
    </row>
    <row r="49" spans="1:13" ht="4.5" customHeight="1" x14ac:dyDescent="0.3"/>
    <row r="50" spans="1:13" ht="24" customHeight="1" x14ac:dyDescent="0.3"/>
    <row r="51" spans="1:13" ht="1.5" customHeight="1" x14ac:dyDescent="0.3">
      <c r="I51" s="25"/>
      <c r="J51" s="25"/>
      <c r="K51" s="25"/>
      <c r="L51" s="25"/>
    </row>
    <row r="52" spans="1:13" x14ac:dyDescent="0.3">
      <c r="J52" s="33" t="s">
        <v>49</v>
      </c>
      <c r="K52" s="33"/>
      <c r="L52" s="33"/>
      <c r="M52" s="27"/>
    </row>
    <row r="53" spans="1:13" x14ac:dyDescent="0.3">
      <c r="J53" s="33" t="s">
        <v>50</v>
      </c>
      <c r="K53" s="33"/>
      <c r="L53" s="33"/>
      <c r="M53" s="27"/>
    </row>
    <row r="54" spans="1:13" ht="5.0999999999999996" customHeight="1" x14ac:dyDescent="0.3"/>
    <row r="55" spans="1:13" ht="28.8" x14ac:dyDescent="0.3">
      <c r="K55" s="18" t="s">
        <v>47</v>
      </c>
      <c r="L55" s="18" t="s">
        <v>51</v>
      </c>
    </row>
    <row r="56" spans="1:13" x14ac:dyDescent="0.3">
      <c r="J56" s="17" t="s">
        <v>45</v>
      </c>
      <c r="K56" s="24" t="str">
        <f ca="1">_xll.SUBNM(db_name&amp;":Account","","9000130","code and description")</f>
        <v/>
      </c>
      <c r="L56" s="28" t="str">
        <f ca="1">_xll.SUBNM((db_name&amp;":sys_YesNo"),"","Yes")</f>
        <v/>
      </c>
    </row>
    <row r="57" spans="1:13" x14ac:dyDescent="0.3">
      <c r="J57" s="17" t="s">
        <v>46</v>
      </c>
      <c r="K57" s="24" t="str">
        <f ca="1">_xll.SUBNM(db_name&amp;":movement Account","","Total movement","code and description")</f>
        <v/>
      </c>
    </row>
    <row r="58" spans="1:13" ht="5.0999999999999996" customHeight="1" x14ac:dyDescent="0.3"/>
    <row r="59" spans="1:13" x14ac:dyDescent="0.3">
      <c r="B59" t="s">
        <v>5</v>
      </c>
      <c r="C59" t="s">
        <v>6</v>
      </c>
      <c r="D59" s="8" t="str">
        <f ca="1">IF($C$43="Y","sys_display flag","")</f>
        <v/>
      </c>
      <c r="E59" t="s">
        <v>7</v>
      </c>
      <c r="J59" s="16" t="str">
        <f ca="1">B59</f>
        <v>Account</v>
      </c>
      <c r="K59" s="16" t="str">
        <f ca="1">C59</f>
        <v>Movement Account</v>
      </c>
      <c r="L59" s="16" t="s">
        <v>7</v>
      </c>
    </row>
    <row r="60" spans="1:13" x14ac:dyDescent="0.3">
      <c r="A60" t="str" cm="1">
        <f t="array" aca="1" ref="A60" ca="1">IF(_xll.TM1RPTELISCONSOLIDATED($C$60,$C60),IF(_xll.TM1RPTELLEV($C$60,$C60)&lt;=3,_xll.TM1RPTELLEV($C$60,$C60),"D"),"N")</f>
        <v>N</v>
      </c>
      <c r="B60" s="31" t="str">
        <f ca="1">_xll.TM1RPTROW($C$39,db_name&amp;":account","",,"code and description",0,$C$41)</f>
        <v/>
      </c>
      <c r="C60" s="32" t="str">
        <f ca="1">_xll.TM1RPTROW($C$39,db_name&amp;":movement account","",,"code and description",0,$C$42)</f>
        <v/>
      </c>
      <c r="D60" s="7" t="str" cm="1">
        <f t="array" aca="1" ref="D60" ca="1">_xll.DBRW($C$39,$B60,$C60,D$59)</f>
        <v/>
      </c>
      <c r="E60" t="str" cm="1">
        <f t="array" aca="1" ref="E60" ca="1">_xll.DBRW($C$39,$B60,$C60,E$59)</f>
        <v/>
      </c>
      <c r="J60" s="21" t="str">
        <f ca="1">B60</f>
        <v/>
      </c>
      <c r="K60" s="21" t="str">
        <f ca="1">C60</f>
        <v/>
      </c>
      <c r="L60" s="30" t="str" cm="1">
        <f t="array" aca="1" ref="L60" ca="1">_xll.DBRW($C$39,$B60,$C60,C$44)</f>
        <v/>
      </c>
    </row>
  </sheetData>
  <sheetProtection sheet="1" objects="1" scenarios="1"/>
  <mergeCells count="6">
    <mergeCell ref="J53:L53"/>
    <mergeCell ref="B11:D11"/>
    <mergeCell ref="B19:D19"/>
    <mergeCell ref="B27:D27"/>
    <mergeCell ref="B38:D38"/>
    <mergeCell ref="J52:L52"/>
  </mergeCells>
  <conditionalFormatting sqref="L2:L7">
    <cfRule type="cellIs" dxfId="1" priority="68" operator="equal">
      <formula>1</formula>
    </cfRule>
  </conditionalFormatting>
  <conditionalFormatting sqref="L60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autoPict="0" r:id="rId5">
            <anchor moveWithCells="1" sizeWithCells="1">
              <from>
                <xdr:col>11</xdr:col>
                <xdr:colOff>426720</xdr:colOff>
                <xdr:row>48</xdr:row>
                <xdr:rowOff>30480</xdr:rowOff>
              </from>
              <to>
                <xdr:col>12</xdr:col>
                <xdr:colOff>22860</xdr:colOff>
                <xdr:row>49</xdr:row>
                <xdr:rowOff>289560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autoPict="0" r:id="rId7">
            <anchor moveWithCells="1" sizeWithCells="1">
              <from>
                <xdr:col>9</xdr:col>
                <xdr:colOff>30480</xdr:colOff>
                <xdr:row>49</xdr:row>
                <xdr:rowOff>0</xdr:rowOff>
              </from>
              <to>
                <xdr:col>9</xdr:col>
                <xdr:colOff>670560</xdr:colOff>
                <xdr:row>49</xdr:row>
                <xdr:rowOff>251460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9</xdr:col>
                <xdr:colOff>708660</xdr:colOff>
                <xdr:row>49</xdr:row>
                <xdr:rowOff>0</xdr:rowOff>
              </from>
              <to>
                <xdr:col>9</xdr:col>
                <xdr:colOff>1828800</xdr:colOff>
                <xdr:row>49</xdr:row>
                <xdr:rowOff>251460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autoPict="0" r:id="rId11">
            <anchor moveWithCells="1" sizeWithCells="1">
              <from>
                <xdr:col>9</xdr:col>
                <xdr:colOff>5036820</xdr:colOff>
                <xdr:row>49</xdr:row>
                <xdr:rowOff>0</xdr:rowOff>
              </from>
              <to>
                <xdr:col>10</xdr:col>
                <xdr:colOff>441960</xdr:colOff>
                <xdr:row>49</xdr:row>
                <xdr:rowOff>251460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8" r:id="rId12" name="TIButton4">
          <controlPr defaultSize="0" print="0" autoLine="0" autoPict="0" r:id="rId13">
            <anchor moveWithCells="1" sizeWithCells="1">
              <from>
                <xdr:col>9</xdr:col>
                <xdr:colOff>1889760</xdr:colOff>
                <xdr:row>49</xdr:row>
                <xdr:rowOff>0</xdr:rowOff>
              </from>
              <to>
                <xdr:col>9</xdr:col>
                <xdr:colOff>3375660</xdr:colOff>
                <xdr:row>49</xdr:row>
                <xdr:rowOff>251460</xdr:rowOff>
              </to>
            </anchor>
          </controlPr>
        </control>
      </mc:Choice>
      <mc:Fallback>
        <control shapeId="1028" r:id="rId12" name="TIButton4"/>
      </mc:Fallback>
    </mc:AlternateContent>
    <mc:AlternateContent xmlns:mc="http://schemas.openxmlformats.org/markup-compatibility/2006">
      <mc:Choice Requires="x14">
        <control shapeId="1029" r:id="rId14" name="TIButton5">
          <controlPr defaultSize="0" print="0" autoLine="0" autoPict="0" r:id="rId15">
            <anchor moveWithCells="1" sizeWithCells="1">
              <from>
                <xdr:col>9</xdr:col>
                <xdr:colOff>3398520</xdr:colOff>
                <xdr:row>49</xdr:row>
                <xdr:rowOff>0</xdr:rowOff>
              </from>
              <to>
                <xdr:col>9</xdr:col>
                <xdr:colOff>4991100</xdr:colOff>
                <xdr:row>49</xdr:row>
                <xdr:rowOff>251460</xdr:rowOff>
              </to>
            </anchor>
          </controlPr>
        </control>
      </mc:Choice>
      <mc:Fallback>
        <control shapeId="1029" r:id="rId14" name="TIButton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38F3-3575-4D46-ABEE-BEACE2F1A583}">
  <sheetPr codeName="Sheet2"/>
  <dimension ref="A1:A2"/>
  <sheetViews>
    <sheetView workbookViewId="0"/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default account</vt:lpstr>
      <vt:lpstr>{PL}PickLst</vt:lpstr>
      <vt:lpstr>db_name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'default account'!TM1RPTDATARNG1</vt:lpstr>
      <vt:lpstr>'default account'!TM1RPTFMTIDCOL</vt:lpstr>
      <vt:lpstr>'default account'!TM1RPTFMTRNG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2019-06-05T06:51:37Z</dcterms:created>
  <dcterms:modified xsi:type="dcterms:W3CDTF">2023-02-14T22:33:59Z</dcterms:modified>
</cp:coreProperties>
</file>