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63176481-5CEB-43CF-99F7-D63A448280C4}" xr6:coauthVersionLast="47" xr6:coauthVersionMax="47" xr10:uidLastSave="{00000000-0000-0000-0000-000000000000}"/>
  <bookViews>
    <workbookView xWindow="28680" yWindow="-120" windowWidth="29040" windowHeight="15840" xr2:uid="{83410147-1F76-40A2-B161-B5614181CB11}"/>
  </bookViews>
  <sheets>
    <sheet name="authorise" sheetId="1" r:id="rId1"/>
    <sheet name="{PL}PickLst" sheetId="2" state="hidden" r:id="rId2"/>
  </sheets>
  <definedNames>
    <definedName name="db_name">authorise!$B$2</definedName>
    <definedName name="psComments">authorise!$M$96</definedName>
    <definedName name="psHLYear">authorise!$B$36</definedName>
    <definedName name="psID">authorise!$B$38</definedName>
    <definedName name="psNewStatus">authorise!$O$89</definedName>
    <definedName name="psScenario">authorise!$B$37</definedName>
    <definedName name="psStatus">authorise!$B$46</definedName>
    <definedName name="psUser">authorise!$B$4</definedName>
    <definedName name="sys_ws_lookup">authorise!$A$63:$E$67</definedName>
    <definedName name="TM1AdjIDListCAP">authorise!$C$22</definedName>
    <definedName name="TM1AdjIDListWB">authorise!$E$22</definedName>
    <definedName name="TM1AdjIDListWS">authorise!$G$22</definedName>
    <definedName name="TM1AuthWB">authorise!$C$62</definedName>
    <definedName name="TM1AuthWS">authorise!$D$62</definedName>
    <definedName name="TM1CancelWB">authorise!$C$70</definedName>
    <definedName name="TM1CancelWS">authorise!$D$70</definedName>
    <definedName name="TM1HomeAECAP">authorise!$C$20</definedName>
    <definedName name="TM1HomeAEDataEntryCAP">authorise!$C$21</definedName>
    <definedName name="TM1HomeAEDataEntryWB">authorise!$E$21</definedName>
    <definedName name="TM1HomeAEDataEntryWS">authorise!$G$21</definedName>
    <definedName name="TM1HomeAEWB">authorise!$E$20</definedName>
    <definedName name="TM1HomeAEWS">authorise!$G$20</definedName>
    <definedName name="TM1HomeCAP">authorise!$C$19</definedName>
    <definedName name="TM1HomeWB">authorise!$E$19</definedName>
    <definedName name="TM1HomeWS">authorise!$G$19</definedName>
    <definedName name="TM1NewAdj02DataEntryCAP">authorise!$C$23</definedName>
    <definedName name="TM1NewAdj02DataEntryWB">authorise!$E$23</definedName>
    <definedName name="TM1NewAdj02DataEntryWS">authorise!$G$23</definedName>
    <definedName name="TM1NewAdj03AuthCAP">authorise!$C$24</definedName>
    <definedName name="TM1NewAdj03AuthWB">authorise!$E$24</definedName>
    <definedName name="TM1NewAdj03AuthWS">authorise!$G$24</definedName>
    <definedName name="TM1NewAdj99ValidCAP">authorise!$C$25</definedName>
    <definedName name="TM1NewAdj99ValidWB">authorise!$E$25</definedName>
    <definedName name="TM1NewAdj99ValidWS">authorise!$G$25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3" i="1" l="1" a="1"/>
  <c r="B33" i="1"/>
  <c r="B4" i="1" a="1"/>
  <c r="B4" i="1"/>
  <c r="M96" i="1" a="1"/>
  <c r="M96" i="1"/>
  <c r="O89" i="1" a="1"/>
  <c r="O89" i="1"/>
  <c r="B16" i="1" a="1"/>
  <c r="B16" i="1"/>
  <c r="D70" i="1" a="1"/>
  <c r="D70" i="1"/>
  <c r="C70" i="1" a="1"/>
  <c r="C70" i="1"/>
  <c r="D67" i="1" a="1"/>
  <c r="D67" i="1"/>
  <c r="C67" i="1" a="1"/>
  <c r="C67" i="1"/>
  <c r="D66" i="1" a="1"/>
  <c r="D66" i="1"/>
  <c r="C66" i="1" a="1"/>
  <c r="C66" i="1"/>
  <c r="D65" i="1" a="1"/>
  <c r="D65" i="1"/>
  <c r="C65" i="1" a="1"/>
  <c r="C65" i="1"/>
  <c r="D64" i="1" a="1"/>
  <c r="D64" i="1"/>
  <c r="C64" i="1" a="1"/>
  <c r="C64" i="1"/>
  <c r="D63" i="1" a="1"/>
  <c r="D63" i="1"/>
  <c r="C63" i="1" a="1"/>
  <c r="C63" i="1"/>
  <c r="B36" i="1" a="1"/>
  <c r="B36" i="1"/>
  <c r="B37" i="1" a="1"/>
  <c r="B37" i="1"/>
  <c r="B38" i="1" a="1"/>
  <c r="B38" i="1"/>
  <c r="B45" i="1" a="1"/>
  <c r="B45" i="1"/>
  <c r="B59" i="1" a="1"/>
  <c r="B59" i="1"/>
  <c r="B58" i="1" a="1"/>
  <c r="B58" i="1"/>
  <c r="B57" i="1" a="1"/>
  <c r="B57" i="1"/>
  <c r="B56" i="1" a="1"/>
  <c r="B56" i="1"/>
  <c r="B55" i="1" a="1"/>
  <c r="B55" i="1"/>
  <c r="B54" i="1" a="1"/>
  <c r="B54" i="1"/>
  <c r="B53" i="1" a="1"/>
  <c r="B53" i="1"/>
  <c r="B52" i="1" a="1"/>
  <c r="B52" i="1"/>
  <c r="B51" i="1" a="1"/>
  <c r="B51" i="1"/>
  <c r="B50" i="1" a="1"/>
  <c r="B50" i="1"/>
  <c r="B49" i="1" a="1"/>
  <c r="B49" i="1"/>
  <c r="B48" i="1" a="1"/>
  <c r="B48" i="1"/>
  <c r="B46" i="1" a="1"/>
  <c r="B46" i="1"/>
  <c r="B42" i="1" a="1"/>
  <c r="B42" i="1"/>
  <c r="C41" i="1" a="1"/>
  <c r="C41" i="1"/>
  <c r="B41" i="1" a="1"/>
  <c r="B41" i="1"/>
  <c r="C40" i="1" a="1"/>
  <c r="C40" i="1"/>
  <c r="B40" i="1" a="1"/>
  <c r="B40" i="1"/>
  <c r="C39" i="1" a="1"/>
  <c r="C39" i="1"/>
  <c r="B39" i="1" a="1"/>
  <c r="B39" i="1"/>
  <c r="C38" i="1" a="1"/>
  <c r="C38" i="1"/>
  <c r="C37" i="1" a="1"/>
  <c r="C37" i="1"/>
  <c r="C36" i="1" a="1"/>
  <c r="C36" i="1"/>
  <c r="B35" i="1" a="1"/>
  <c r="B35" i="1"/>
  <c r="G25" i="1" a="1"/>
  <c r="G25" i="1"/>
  <c r="F25" i="1" a="1"/>
  <c r="F25" i="1"/>
  <c r="E25" i="1" a="1"/>
  <c r="E25" i="1"/>
  <c r="D25" i="1" a="1"/>
  <c r="D25" i="1"/>
  <c r="C25" i="1" a="1"/>
  <c r="C25" i="1"/>
  <c r="B25" i="1" a="1"/>
  <c r="B25" i="1"/>
  <c r="G24" i="1" a="1"/>
  <c r="G24" i="1"/>
  <c r="F24" i="1" a="1"/>
  <c r="F24" i="1"/>
  <c r="E24" i="1" a="1"/>
  <c r="E24" i="1"/>
  <c r="D24" i="1" a="1"/>
  <c r="D24" i="1"/>
  <c r="C24" i="1" a="1"/>
  <c r="C24" i="1"/>
  <c r="B24" i="1" a="1"/>
  <c r="B24" i="1"/>
  <c r="G23" i="1" a="1"/>
  <c r="G23" i="1"/>
  <c r="F23" i="1" a="1"/>
  <c r="F23" i="1"/>
  <c r="E23" i="1" a="1"/>
  <c r="E23" i="1"/>
  <c r="D23" i="1" a="1"/>
  <c r="D23" i="1"/>
  <c r="C23" i="1" a="1"/>
  <c r="C23" i="1"/>
  <c r="B23" i="1" a="1"/>
  <c r="B23" i="1"/>
  <c r="G22" i="1" a="1"/>
  <c r="G22" i="1"/>
  <c r="F22" i="1" a="1"/>
  <c r="F22" i="1"/>
  <c r="E22" i="1" a="1"/>
  <c r="E22" i="1"/>
  <c r="D22" i="1" a="1"/>
  <c r="D22" i="1"/>
  <c r="C22" i="1" a="1"/>
  <c r="C22" i="1"/>
  <c r="B22" i="1" a="1"/>
  <c r="B22" i="1"/>
  <c r="G21" i="1" a="1"/>
  <c r="G21" i="1"/>
  <c r="F21" i="1" a="1"/>
  <c r="F21" i="1"/>
  <c r="E21" i="1" a="1"/>
  <c r="E21" i="1"/>
  <c r="D21" i="1" a="1"/>
  <c r="D21" i="1"/>
  <c r="C21" i="1" a="1"/>
  <c r="C21" i="1"/>
  <c r="B21" i="1" a="1"/>
  <c r="B21" i="1"/>
  <c r="G20" i="1" a="1"/>
  <c r="G20" i="1"/>
  <c r="F20" i="1" a="1"/>
  <c r="F20" i="1"/>
  <c r="E20" i="1" a="1"/>
  <c r="E20" i="1"/>
  <c r="D20" i="1" a="1"/>
  <c r="D20" i="1"/>
  <c r="C20" i="1" a="1"/>
  <c r="C20" i="1"/>
  <c r="B20" i="1" a="1"/>
  <c r="B20" i="1"/>
  <c r="G19" i="1" a="1"/>
  <c r="G19" i="1"/>
  <c r="F19" i="1" a="1"/>
  <c r="F19" i="1"/>
  <c r="E19" i="1" a="1"/>
  <c r="E19" i="1"/>
  <c r="D19" i="1" a="1"/>
  <c r="D19" i="1"/>
  <c r="C19" i="1" a="1"/>
  <c r="C19" i="1"/>
  <c r="B19" i="1" a="1"/>
  <c r="B19" i="1"/>
  <c r="B10" i="1" a="1"/>
  <c r="B10" i="1"/>
  <c r="B12" i="1" a="1"/>
  <c r="B12" i="1"/>
  <c r="B11" i="1" a="1"/>
  <c r="B11" i="1"/>
  <c r="B3" i="1" a="1"/>
  <c r="B3" i="1"/>
  <c r="B6" i="1" a="1"/>
  <c r="B6" i="1"/>
  <c r="B5" i="1" a="1"/>
  <c r="B5" i="1"/>
  <c r="M101" i="1"/>
  <c r="D62" i="1"/>
  <c r="C62" i="1"/>
  <c r="M89" i="1"/>
  <c r="M91" i="1"/>
  <c r="M86" i="1"/>
  <c r="M84" i="1"/>
  <c r="B47" i="1"/>
  <c r="B7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<sst xmlns="http://schemas.openxmlformats.org/spreadsheetml/2006/main" count="104" uniqueCount="88">
  <si>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</si>
  <si>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</si>
  <si>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</si>
  <si>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</si>
  <si>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</si>
  <si>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</si>
  <si>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</si>
  <si>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</si>
  <si>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</si>
  <si>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</si>
  <si>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</si>
  <si>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</si>
  <si>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</si>
  <si>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</si>
  <si>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Data Entry - New Adj 01 - Header Details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</si>
  <si>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</si>
  <si>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</si>
  <si>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</si>
  <si>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</si>
  <si>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</si>
  <si>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</si>
  <si>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</si>
  <si>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</si>
  <si>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</si>
  <si>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</si>
  <si>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</si>
  <si>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</si>
  <si>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</si>
  <si>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</si>
  <si>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</si>
  <si>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</si>
  <si>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</si>
  <si>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</si>
  <si>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</si>
  <si>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AE ID Details</t>
  </si>
  <si>
    <t>Slice</t>
  </si>
  <si>
    <t>DESCRIPTIONS</t>
  </si>
  <si>
    <t>status</t>
  </si>
  <si>
    <t>status to use</t>
  </si>
  <si>
    <t>programme code</t>
  </si>
  <si>
    <t>appropriation type</t>
  </si>
  <si>
    <t>appropriation item</t>
  </si>
  <si>
    <t>spp</t>
  </si>
  <si>
    <t>outcome</t>
  </si>
  <si>
    <t>function</t>
  </si>
  <si>
    <t>reason</t>
  </si>
  <si>
    <t>measure</t>
  </si>
  <si>
    <t>title</t>
  </si>
  <si>
    <t>description</t>
  </si>
  <si>
    <t>disagree cash flow</t>
  </si>
  <si>
    <t>sys_approval process</t>
  </si>
  <si>
    <t>adj_approver comments</t>
  </si>
  <si>
    <t>adj_editable</t>
  </si>
  <si>
    <t>SUBNM ID</t>
  </si>
  <si>
    <t>Authorise</t>
  </si>
  <si>
    <t>ID :</t>
  </si>
  <si>
    <t>Title :</t>
  </si>
  <si>
    <t>Old Comments :</t>
  </si>
  <si>
    <t>Add Comments :</t>
  </si>
  <si>
    <t>CURRENT STATUS</t>
  </si>
  <si>
    <t>SELECT NEW STATUS</t>
  </si>
  <si>
    <t>Data Entry - New Adj 03 - Authorise</t>
  </si>
  <si>
    <t>Data Entry - New Adj 99 - Validations</t>
  </si>
  <si>
    <t>Used For Worksheet</t>
  </si>
  <si>
    <t>A</t>
  </si>
  <si>
    <t>N</t>
  </si>
  <si>
    <t>V</t>
  </si>
  <si>
    <t>Y</t>
  </si>
  <si>
    <t>TO USE FOR AUTHORISE BUTTON</t>
  </si>
  <si>
    <t>sys_Application Element</t>
  </si>
  <si>
    <t>Reason</t>
  </si>
  <si>
    <t>Go to Adj List</t>
  </si>
  <si>
    <t>Go to Financials</t>
  </si>
  <si>
    <t>Stay on Authorise Screen</t>
  </si>
  <si>
    <t>Go to Validation Screen</t>
  </si>
  <si>
    <t>CANCEL BUTTON</t>
  </si>
  <si>
    <t>unauthorised</t>
  </si>
  <si>
    <t>unbalanced</t>
  </si>
  <si>
    <t>draft</t>
  </si>
  <si>
    <t>approved</t>
  </si>
  <si>
    <t>approved non-flat file</t>
  </si>
  <si>
    <t>CBMS</t>
  </si>
  <si>
    <t>submitted</t>
  </si>
  <si>
    <t>approved - unbalanced</t>
  </si>
  <si>
    <t>approver comments</t>
  </si>
  <si>
    <t>Note : Select New Status, add comment if required and click 'Authorise'.</t>
  </si>
  <si>
    <t>approved non-flat file - unbalanced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</si>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</sst>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2"/>
      <color rgb="FF9D20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0" borderId="4" xfId="0" applyFont="1" applyBorder="1" applyAlignment="1">
      <alignment horizontal="center"/>
    </xf>
    <xf numFmtId="0" fontId="0" fillId="0" borderId="7" xfId="0" applyBorder="1"/>
    <xf numFmtId="0" fontId="3" fillId="3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4" fillId="4" borderId="4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6" borderId="4" xfId="0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0" borderId="6" xfId="0" applyBorder="1"/>
    <xf numFmtId="0" fontId="2" fillId="2" borderId="4" xfId="0" applyFont="1" applyFill="1" applyBorder="1"/>
    <xf numFmtId="0" fontId="0" fillId="8" borderId="4" xfId="0" applyFill="1" applyBorder="1"/>
    <xf numFmtId="0" fontId="2" fillId="2" borderId="4" xfId="0" applyFont="1" applyFill="1" applyBorder="1" applyAlignment="1">
      <alignment horizontal="center"/>
    </xf>
    <xf numFmtId="0" fontId="0" fillId="0" borderId="4" xfId="0" quotePrefix="1" applyBorder="1"/>
    <xf numFmtId="0" fontId="9" fillId="0" borderId="0" xfId="0" applyFont="1"/>
    <xf numFmtId="0" fontId="7" fillId="7" borderId="16" xfId="0" applyFont="1" applyFill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8" fillId="0" borderId="0" xfId="0" applyFont="1" applyAlignment="1">
      <alignment horizontal="left" indent="1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horizontal="left" indent="1"/>
    </xf>
    <xf numFmtId="0" fontId="1" fillId="0" borderId="0" xfId="0" applyFont="1" applyAlignment="1">
      <alignment horizontal="center" vertical="center"/>
    </xf>
    <xf numFmtId="0" fontId="7" fillId="0" borderId="0" xfId="0" applyFont="1" applyAlignment="1" applyProtection="1">
      <alignment horizontal="center"/>
      <protection locked="0"/>
    </xf>
    <xf numFmtId="0" fontId="0" fillId="0" borderId="0" xfId="0" applyAlignment="1">
      <alignment horizontal="left" vertical="top" wrapText="1" indent="1"/>
    </xf>
    <xf numFmtId="0" fontId="8" fillId="0" borderId="0" xfId="0" applyFont="1" applyAlignment="1">
      <alignment horizontal="left" indent="1"/>
    </xf>
    <xf numFmtId="0" fontId="0" fillId="4" borderId="8" xfId="0" applyFill="1" applyBorder="1" applyAlignment="1">
      <alignment horizontal="left" vertical="top" wrapText="1" indent="1"/>
    </xf>
    <xf numFmtId="0" fontId="0" fillId="4" borderId="9" xfId="0" applyFill="1" applyBorder="1" applyAlignment="1">
      <alignment horizontal="left" vertical="top" wrapText="1" indent="1"/>
    </xf>
    <xf numFmtId="0" fontId="0" fillId="4" borderId="10" xfId="0" applyFill="1" applyBorder="1" applyAlignment="1">
      <alignment horizontal="left" vertical="top" wrapText="1" indent="1"/>
    </xf>
    <xf numFmtId="0" fontId="0" fillId="4" borderId="11" xfId="0" applyFill="1" applyBorder="1" applyAlignment="1">
      <alignment horizontal="left" vertical="top" wrapText="1" indent="1"/>
    </xf>
    <xf numFmtId="0" fontId="0" fillId="4" borderId="0" xfId="0" applyFill="1" applyAlignment="1">
      <alignment horizontal="left" vertical="top" wrapText="1" indent="1"/>
    </xf>
    <xf numFmtId="0" fontId="0" fillId="4" borderId="12" xfId="0" applyFill="1" applyBorder="1" applyAlignment="1">
      <alignment horizontal="left" vertical="top" wrapText="1" indent="1"/>
    </xf>
    <xf numFmtId="0" fontId="0" fillId="4" borderId="13" xfId="0" applyFill="1" applyBorder="1" applyAlignment="1">
      <alignment horizontal="left" vertical="top" wrapText="1" indent="1"/>
    </xf>
    <xf numFmtId="0" fontId="0" fillId="4" borderId="14" xfId="0" applyFill="1" applyBorder="1" applyAlignment="1">
      <alignment horizontal="left" vertical="top" wrapText="1" indent="1"/>
    </xf>
    <xf numFmtId="0" fontId="0" fillId="4" borderId="15" xfId="0" applyFill="1" applyBorder="1" applyAlignment="1">
      <alignment horizontal="left" vertical="top" wrapText="1" indent="1"/>
    </xf>
    <xf numFmtId="0" fontId="5" fillId="0" borderId="8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5" fillId="0" borderId="10" xfId="0" applyFont="1" applyBorder="1" applyAlignment="1" applyProtection="1">
      <alignment horizontal="left" vertical="top" wrapText="1"/>
      <protection locked="0"/>
    </xf>
    <xf numFmtId="0" fontId="5" fillId="0" borderId="11" xfId="0" applyFont="1" applyBorder="1" applyAlignment="1" applyProtection="1">
      <alignment horizontal="left" vertical="top" wrapText="1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5" fillId="0" borderId="12" xfId="0" applyFont="1" applyBorder="1" applyAlignment="1" applyProtection="1">
      <alignment horizontal="left" vertical="top" wrapText="1"/>
      <protection locked="0"/>
    </xf>
    <xf numFmtId="0" fontId="5" fillId="0" borderId="13" xfId="0" applyFont="1" applyBorder="1" applyAlignment="1" applyProtection="1">
      <alignment horizontal="left" vertical="top" wrapText="1"/>
      <protection locked="0"/>
    </xf>
    <xf numFmtId="0" fontId="5" fillId="0" borderId="14" xfId="0" applyFont="1" applyBorder="1" applyAlignment="1" applyProtection="1">
      <alignment horizontal="left" vertical="top" wrapText="1"/>
      <protection locked="0"/>
    </xf>
    <xf numFmtId="0" fontId="5" fillId="0" borderId="15" xfId="0" applyFont="1" applyBorder="1" applyAlignment="1" applyProtection="1">
      <alignment horizontal="left" vertical="top" wrapText="1"/>
      <protection locked="0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4" borderId="1" xfId="0" applyFill="1" applyBorder="1" applyAlignment="1">
      <alignment horizontal="left" indent="1"/>
    </xf>
    <xf numFmtId="0" fontId="0" fillId="4" borderId="2" xfId="0" applyFill="1" applyBorder="1" applyAlignment="1">
      <alignment horizontal="left" indent="1"/>
    </xf>
    <xf numFmtId="0" fontId="0" fillId="4" borderId="3" xfId="0" applyFill="1" applyBorder="1" applyAlignment="1">
      <alignment horizontal="left" indent="1"/>
    </xf>
  </cellXfs>
  <cellStyles count="1">
    <cellStyle name="Normal" xfId="0" builtinId="0"/>
  </cellStyles>
  <dxfs count="2"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76</xdr:row>
      <xdr:rowOff>19050</xdr:rowOff>
    </xdr:from>
    <xdr:to>
      <xdr:col>10</xdr:col>
      <xdr:colOff>1196340</xdr:colOff>
      <xdr:row>76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</xdr:colOff>
      <xdr:row>78</xdr:row>
      <xdr:rowOff>9525</xdr:rowOff>
    </xdr:from>
    <xdr:to>
      <xdr:col>10</xdr:col>
      <xdr:colOff>180975</xdr:colOff>
      <xdr:row>78</xdr:row>
      <xdr:rowOff>257175</xdr:rowOff>
    </xdr:to>
    <xdr:sp macro="Sheet1.ExecuteAction_f708c791_aa1a_47a4_bc32_f8b014780a1e" textlink="">
      <xdr:nvSpPr>
        <xdr:cNvPr id="3" name="TM1Button_f708c791_aa1a_47a4_bc32_f8b014780a1e">
          <a:extLst>
            <a:ext uri="{FF2B5EF4-FFF2-40B4-BE49-F238E27FC236}">
              <a16:creationId xmlns:a16="http://schemas.microsoft.com/office/drawing/2014/main" id="{158BA632-37FC-A562-CDEA-38B43EF89B7E}"/>
            </a:ext>
          </a:extLst>
        </xdr:cNvPr>
        <xdr:cNvSpPr txBox="1"/>
      </xdr:nvSpPr>
      <xdr:spPr>
        <a:xfrm>
          <a:off x="6667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1952625</xdr:colOff>
      <xdr:row>102</xdr:row>
      <xdr:rowOff>9525</xdr:rowOff>
    </xdr:from>
    <xdr:to>
      <xdr:col>13</xdr:col>
      <xdr:colOff>19050</xdr:colOff>
      <xdr:row>103</xdr:row>
      <xdr:rowOff>66675</xdr:rowOff>
    </xdr:to>
    <xdr:sp macro="Sheet1.ExecuteAction_91135b9e_5941_4481_b46a_6ffc519c381b" textlink="">
      <xdr:nvSpPr>
        <xdr:cNvPr id="4" name="TM1Button_91135b9e_5941_4481_b46a_6ffc519c381b">
          <a:extLst>
            <a:ext uri="{FF2B5EF4-FFF2-40B4-BE49-F238E27FC236}">
              <a16:creationId xmlns:a16="http://schemas.microsoft.com/office/drawing/2014/main" id="{1AA23996-695E-1CA1-DA31-DD38BC3F3FB1}"/>
            </a:ext>
          </a:extLst>
        </xdr:cNvPr>
        <xdr:cNvSpPr txBox="1"/>
      </xdr:nvSpPr>
      <xdr:spPr>
        <a:xfrm>
          <a:off x="4191000" y="4162425"/>
          <a:ext cx="7810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Authorise</a:t>
          </a:r>
        </a:p>
      </xdr:txBody>
    </xdr:sp>
    <xdr:clientData/>
  </xdr:twoCellAnchor>
  <xdr:twoCellAnchor editAs="oneCell">
    <xdr:from>
      <xdr:col>14</xdr:col>
      <xdr:colOff>9525</xdr:colOff>
      <xdr:row>102</xdr:row>
      <xdr:rowOff>9525</xdr:rowOff>
    </xdr:from>
    <xdr:to>
      <xdr:col>14</xdr:col>
      <xdr:colOff>790575</xdr:colOff>
      <xdr:row>103</xdr:row>
      <xdr:rowOff>66675</xdr:rowOff>
    </xdr:to>
    <xdr:sp macro="Sheet1.ExecuteAction_6d015a84_ada2_4bf1_98ce_9931569058e2" textlink="">
      <xdr:nvSpPr>
        <xdr:cNvPr id="5" name="TM1Button_6d015a84_ada2_4bf1_98ce_9931569058e2">
          <a:extLst>
            <a:ext uri="{FF2B5EF4-FFF2-40B4-BE49-F238E27FC236}">
              <a16:creationId xmlns:a16="http://schemas.microsoft.com/office/drawing/2014/main" id="{91DCE43B-AFC7-717E-30C4-B6EDE49150CE}"/>
            </a:ext>
          </a:extLst>
        </xdr:cNvPr>
        <xdr:cNvSpPr txBox="1"/>
      </xdr:nvSpPr>
      <xdr:spPr>
        <a:xfrm>
          <a:off x="5038725" y="4162425"/>
          <a:ext cx="7810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Cancel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ADA1-8F57-4B30-9DDA-F556E24C06F1}">
  <sheetPr codeName="Sheet1">
    <outlinePr showOutlineSymbols="0"/>
  </sheetPr>
  <dimension ref="A1:P101"/>
  <sheetViews>
    <sheetView showGridLines="0" showRowColHeaders="0" tabSelected="1" showOutlineSymbols="0" topLeftCell="I77" workbookViewId="0">
      <selection sqref="A1:C1"/>
    </sheetView>
  </sheetViews>
  <sheetFormatPr defaultRowHeight="15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40.7109375" customWidth="1"/>
    <col min="14" max="14" width="1.140625" customWidth="1"/>
    <col min="15" max="15" width="44.140625" customWidth="1"/>
    <col min="16" max="16" width="9.7109375" customWidth="1"/>
  </cols>
  <sheetData>
    <row r="1" spans="1:3" hidden="1" outlineLevel="1" x14ac:dyDescent="0.25">
      <c r="A1" s="50" t="s">
        <v>0</v>
      </c>
      <c r="B1" s="51"/>
      <c r="C1" s="52"/>
    </row>
    <row r="2" spans="1:3" hidden="1" outlineLevel="1" x14ac:dyDescent="0.25">
      <c r="A2" s="1" t="s">
        <v>1</v>
      </c>
      <c r="B2" s="2" t="s">
        <v>87</v>
      </c>
      <c r="C2" s="3"/>
    </row>
    <row r="3" spans="1:3" hidden="1" outlineLevel="1" x14ac:dyDescent="0.25">
      <c r="A3" s="1" t="s">
        <v>2</v>
      </c>
      <c r="B3" s="4" t="e" cm="1">
        <f t="array" aca="1" ref="B3" ca="1">_xll.VIEW(db_name&amp;":}ElementAttributes_}Clients","!","!")</f>
        <v>#NAME?</v>
      </c>
      <c r="C3" s="3"/>
    </row>
    <row r="4" spans="1:3" hidden="1" outlineLevel="1" x14ac:dyDescent="0.25">
      <c r="A4" s="1" t="s">
        <v>3</v>
      </c>
      <c r="B4" s="2" t="e" cm="1">
        <f t="array" aca="1" ref="B4" ca="1">_xll.TM1USER(db_name)</f>
        <v>#NAME?</v>
      </c>
      <c r="C4" s="3"/>
    </row>
    <row r="5" spans="1:3" hidden="1" outlineLevel="1" x14ac:dyDescent="0.25">
      <c r="A5" s="1" t="s">
        <v>4</v>
      </c>
      <c r="B5" s="2" t="e" cm="1">
        <f t="array" aca="1" ref="B5" ca="1">_xll.DBR($B$3,$B$4,$A5)</f>
        <v>#NAME?</v>
      </c>
      <c r="C5" s="3"/>
    </row>
    <row r="6" spans="1:3" hidden="1" outlineLevel="1" x14ac:dyDescent="0.25">
      <c r="A6" s="1" t="s">
        <v>5</v>
      </c>
      <c r="B6" s="2" t="e" cm="1">
        <f t="array" aca="1" ref="B6" ca="1">_xll.DBR($B$3,$B$4,$A6)</f>
        <v>#NAME?</v>
      </c>
      <c r="C6" s="3"/>
    </row>
    <row r="7" spans="1:3" hidden="1" outlineLevel="1" x14ac:dyDescent="0.25">
      <c r="A7" s="1" t="s">
        <v>6</v>
      </c>
      <c r="B7" s="2" t="e">
        <f ca="1">IF(LEFT($B$5,6)="CAM_AD",$B$6,$B$5)</f>
        <v>#NAME?</v>
      </c>
      <c r="C7" s="5"/>
    </row>
    <row r="8" spans="1:3" hidden="1" outlineLevel="1" x14ac:dyDescent="0.25"/>
    <row r="9" spans="1:3" hidden="1" outlineLevel="1" x14ac:dyDescent="0.25">
      <c r="A9" s="50" t="s">
        <v>7</v>
      </c>
      <c r="B9" s="51"/>
      <c r="C9" s="52"/>
    </row>
    <row r="10" spans="1:3" hidden="1" outlineLevel="1" x14ac:dyDescent="0.25">
      <c r="A10" s="1" t="s">
        <v>8</v>
      </c>
      <c r="B10" s="5" t="e" cm="1">
        <f t="array" aca="1" ref="B10" ca="1">_xll.VIEW(db_name&amp;":}ElementAttributes_variables","!","!")</f>
        <v>#NAME?</v>
      </c>
      <c r="C10" s="5"/>
    </row>
    <row r="11" spans="1:3" hidden="1" outlineLevel="1" x14ac:dyDescent="0.25">
      <c r="A11" s="1" t="s">
        <v>9</v>
      </c>
      <c r="B11" s="5" t="e" cm="1">
        <f t="array" aca="1" ref="B11" ca="1">_xll.DBR($B$10,$A11,"value")</f>
        <v>#NAME?</v>
      </c>
      <c r="C11" s="5"/>
    </row>
    <row r="12" spans="1:3" hidden="1" outlineLevel="1" x14ac:dyDescent="0.25">
      <c r="A12" s="1" t="s">
        <v>10</v>
      </c>
      <c r="B12" s="5" t="e" cm="1">
        <f t="array" aca="1" ref="B12" ca="1">_xll.DBR($B$10,$A12,"value")</f>
        <v>#NAME?</v>
      </c>
      <c r="C12" s="5"/>
    </row>
    <row r="13" spans="1:3" hidden="1" outlineLevel="1" x14ac:dyDescent="0.25"/>
    <row r="14" spans="1:3" hidden="1" outlineLevel="1" x14ac:dyDescent="0.25"/>
    <row r="15" spans="1:3" hidden="1" outlineLevel="1" x14ac:dyDescent="0.25">
      <c r="A15" s="50" t="s">
        <v>11</v>
      </c>
      <c r="B15" s="51"/>
      <c r="C15" s="52"/>
    </row>
    <row r="16" spans="1:3" hidden="1" outlineLevel="1" x14ac:dyDescent="0.25">
      <c r="A16" s="5" t="s">
        <v>12</v>
      </c>
      <c r="B16" s="5" t="e" cm="1">
        <f t="array" aca="1" ref="B16" ca="1">_xll.VIEW(db_name&amp;":sys_application","!","!")</f>
        <v>#NAME?</v>
      </c>
    </row>
    <row r="17" spans="1:7" hidden="1" outlineLevel="1" x14ac:dyDescent="0.25">
      <c r="A17" s="5" t="s">
        <v>13</v>
      </c>
      <c r="B17" s="5" t="s">
        <v>14</v>
      </c>
    </row>
    <row r="18" spans="1:7" hidden="1" outlineLevel="1" x14ac:dyDescent="0.25">
      <c r="A18" s="6" t="s">
        <v>15</v>
      </c>
      <c r="B18" s="7" t="s">
        <v>16</v>
      </c>
      <c r="C18" s="7" t="s">
        <v>17</v>
      </c>
      <c r="D18" s="7" t="s">
        <v>18</v>
      </c>
      <c r="E18" s="7" t="s">
        <v>19</v>
      </c>
      <c r="F18" s="7" t="s">
        <v>20</v>
      </c>
      <c r="G18" s="7" t="s">
        <v>21</v>
      </c>
    </row>
    <row r="19" spans="1:7" hidden="1" outlineLevel="1" x14ac:dyDescent="0.25">
      <c r="A19" s="5" t="s">
        <v>22</v>
      </c>
      <c r="B19" s="5" t="e" cm="1">
        <f t="array" aca="1" ref="B19" ca="1">_xll.DBR($B$16,$A19,B$18)</f>
        <v>#NAME?</v>
      </c>
      <c r="C19" s="5" t="e" cm="1">
        <f t="array" aca="1" ref="C19" ca="1">_xll.DBR($B$16,$A19,C$18)</f>
        <v>#NAME?</v>
      </c>
      <c r="D19" s="5" t="e" cm="1">
        <f t="array" aca="1" ref="D19" ca="1">_xll.DBR($B$16,$A19,D$18)</f>
        <v>#NAME?</v>
      </c>
      <c r="E19" s="5" t="e" cm="1">
        <f t="array" aca="1" ref="E19" ca="1">_xll.DBR($B$16,$A19,E$18)</f>
        <v>#NAME?</v>
      </c>
      <c r="F19" s="5" t="e" cm="1">
        <f t="array" aca="1" ref="F19" ca="1">_xll.DBR($B$16,$A19,F$18)</f>
        <v>#NAME?</v>
      </c>
      <c r="G19" s="5" t="e" cm="1">
        <f t="array" aca="1" ref="G19" ca="1">_xll.DBR($B$16,$A19,G$18)</f>
        <v>#NAME?</v>
      </c>
    </row>
    <row r="20" spans="1:7" hidden="1" outlineLevel="1" x14ac:dyDescent="0.25">
      <c r="A20" s="5" t="s">
        <v>23</v>
      </c>
      <c r="B20" s="5" t="e" cm="1">
        <f t="array" aca="1" ref="B20" ca="1">_xll.DBR($B$16,$A20,B$18)</f>
        <v>#NAME?</v>
      </c>
      <c r="C20" s="5" t="e" cm="1">
        <f t="array" aca="1" ref="C20" ca="1">_xll.DBR($B$16,$A20,C$18)</f>
        <v>#NAME?</v>
      </c>
      <c r="D20" s="5" t="e" cm="1">
        <f t="array" aca="1" ref="D20" ca="1">_xll.DBR($B$16,$A20,D$18)</f>
        <v>#NAME?</v>
      </c>
      <c r="E20" s="5" t="e" cm="1">
        <f t="array" aca="1" ref="E20" ca="1">_xll.DBR($B$16,$A20,E$18)</f>
        <v>#NAME?</v>
      </c>
      <c r="F20" s="5" t="e" cm="1">
        <f t="array" aca="1" ref="F20" ca="1">_xll.DBR($B$16,$A20,F$18)</f>
        <v>#NAME?</v>
      </c>
      <c r="G20" s="5" t="e" cm="1">
        <f t="array" aca="1" ref="G20" ca="1">_xll.DBR($B$16,$A20,G$18)</f>
        <v>#NAME?</v>
      </c>
    </row>
    <row r="21" spans="1:7" hidden="1" outlineLevel="1" x14ac:dyDescent="0.25">
      <c r="A21" s="5" t="s">
        <v>24</v>
      </c>
      <c r="B21" s="5" t="e" cm="1">
        <f t="array" aca="1" ref="B21" ca="1">_xll.DBR($B$16,$A21,B$18)</f>
        <v>#NAME?</v>
      </c>
      <c r="C21" s="5" t="e" cm="1">
        <f t="array" aca="1" ref="C21" ca="1">_xll.DBR($B$16,$A21,C$18)</f>
        <v>#NAME?</v>
      </c>
      <c r="D21" s="5" t="e" cm="1">
        <f t="array" aca="1" ref="D21" ca="1">_xll.DBR($B$16,$A21,D$18)</f>
        <v>#NAME?</v>
      </c>
      <c r="E21" s="5" t="e" cm="1">
        <f t="array" aca="1" ref="E21" ca="1">_xll.DBR($B$16,$A21,E$18)</f>
        <v>#NAME?</v>
      </c>
      <c r="F21" s="5" t="e" cm="1">
        <f t="array" aca="1" ref="F21" ca="1">_xll.DBR($B$16,$A21,F$18)</f>
        <v>#NAME?</v>
      </c>
      <c r="G21" s="5" t="e" cm="1">
        <f t="array" aca="1" ref="G21" ca="1">_xll.DBR($B$16,$A21,G$18)</f>
        <v>#NAME?</v>
      </c>
    </row>
    <row r="22" spans="1:7" hidden="1" outlineLevel="1" x14ac:dyDescent="0.25">
      <c r="A22" s="5" t="s">
        <v>25</v>
      </c>
      <c r="B22" s="5" t="e" cm="1">
        <f t="array" aca="1" ref="B22" ca="1">_xll.DBR($B$16,$A22,B$18)</f>
        <v>#NAME?</v>
      </c>
      <c r="C22" s="5" t="e" cm="1">
        <f t="array" aca="1" ref="C22" ca="1">_xll.DBR($B$16,$A22,C$18)</f>
        <v>#NAME?</v>
      </c>
      <c r="D22" s="5" t="e" cm="1">
        <f t="array" aca="1" ref="D22" ca="1">_xll.DBR($B$16,$A22,D$18)</f>
        <v>#NAME?</v>
      </c>
      <c r="E22" s="5" t="e" cm="1">
        <f t="array" aca="1" ref="E22" ca="1">_xll.DBR($B$16,$A22,E$18)</f>
        <v>#NAME?</v>
      </c>
      <c r="F22" s="5" t="e" cm="1">
        <f t="array" aca="1" ref="F22" ca="1">_xll.DBR($B$16,$A22,F$18)</f>
        <v>#NAME?</v>
      </c>
      <c r="G22" s="5" t="e" cm="1">
        <f t="array" aca="1" ref="G22" ca="1">_xll.DBR($B$16,$A22,G$18)</f>
        <v>#NAME?</v>
      </c>
    </row>
    <row r="23" spans="1:7" hidden="1" outlineLevel="1" x14ac:dyDescent="0.25">
      <c r="A23" s="5" t="s">
        <v>26</v>
      </c>
      <c r="B23" s="5" t="e" cm="1">
        <f t="array" aca="1" ref="B23" ca="1">_xll.DBR($B$16,$A23,B$18)</f>
        <v>#NAME?</v>
      </c>
      <c r="C23" s="5" t="e" cm="1">
        <f t="array" aca="1" ref="C23" ca="1">_xll.DBR($B$16,$A23,C$18)</f>
        <v>#NAME?</v>
      </c>
      <c r="D23" s="5" t="e" cm="1">
        <f t="array" aca="1" ref="D23" ca="1">_xll.DBR($B$16,$A23,D$18)</f>
        <v>#NAME?</v>
      </c>
      <c r="E23" s="5" t="e" cm="1">
        <f t="array" aca="1" ref="E23" ca="1">_xll.DBR($B$16,$A23,E$18)</f>
        <v>#NAME?</v>
      </c>
      <c r="F23" s="5" t="e" cm="1">
        <f t="array" aca="1" ref="F23" ca="1">_xll.DBR($B$16,$A23,F$18)</f>
        <v>#NAME?</v>
      </c>
      <c r="G23" s="5" t="e" cm="1">
        <f t="array" aca="1" ref="G23" ca="1">_xll.DBR($B$16,$A23,G$18)</f>
        <v>#NAME?</v>
      </c>
    </row>
    <row r="24" spans="1:7" hidden="1" outlineLevel="1" x14ac:dyDescent="0.25">
      <c r="A24" s="5" t="s">
        <v>61</v>
      </c>
      <c r="B24" s="5" t="e" cm="1">
        <f t="array" aca="1" ref="B24" ca="1">_xll.DBR($B$16,$A24,B$18)</f>
        <v>#NAME?</v>
      </c>
      <c r="C24" s="5" t="e" cm="1">
        <f t="array" aca="1" ref="C24" ca="1">_xll.DBR($B$16,$A24,C$18)</f>
        <v>#NAME?</v>
      </c>
      <c r="D24" s="5" t="e" cm="1">
        <f t="array" aca="1" ref="D24" ca="1">_xll.DBR($B$16,$A24,D$18)</f>
        <v>#NAME?</v>
      </c>
      <c r="E24" s="5" t="e" cm="1">
        <f t="array" aca="1" ref="E24" ca="1">_xll.DBR($B$16,$A24,E$18)</f>
        <v>#NAME?</v>
      </c>
      <c r="F24" s="5" t="e" cm="1">
        <f t="array" aca="1" ref="F24" ca="1">_xll.DBR($B$16,$A24,F$18)</f>
        <v>#NAME?</v>
      </c>
      <c r="G24" s="5" t="e" cm="1">
        <f t="array" aca="1" ref="G24" ca="1">_xll.DBR($B$16,$A24,G$18)</f>
        <v>#NAME?</v>
      </c>
    </row>
    <row r="25" spans="1:7" hidden="1" outlineLevel="1" x14ac:dyDescent="0.25">
      <c r="A25" s="5" t="s">
        <v>62</v>
      </c>
      <c r="B25" s="5" t="e" cm="1">
        <f t="array" aca="1" ref="B25" ca="1">_xll.DBR($B$16,$A25,B$18)</f>
        <v>#NAME?</v>
      </c>
      <c r="C25" s="5" t="e" cm="1">
        <f t="array" aca="1" ref="C25" ca="1">_xll.DBR($B$16,$A25,C$18)</f>
        <v>#NAME?</v>
      </c>
      <c r="D25" s="5" t="e" cm="1">
        <f t="array" aca="1" ref="D25" ca="1">_xll.DBR($B$16,$A25,D$18)</f>
        <v>#NAME?</v>
      </c>
      <c r="E25" s="5" t="e" cm="1">
        <f t="array" aca="1" ref="E25" ca="1">_xll.DBR($B$16,$A25,E$18)</f>
        <v>#NAME?</v>
      </c>
      <c r="F25" s="5" t="e" cm="1">
        <f t="array" aca="1" ref="F25" ca="1">_xll.DBR($B$16,$A25,F$18)</f>
        <v>#NAME?</v>
      </c>
      <c r="G25" s="5" t="e" cm="1">
        <f t="array" aca="1" ref="G25" ca="1">_xll.DBR($B$16,$A25,G$18)</f>
        <v>#NAME?</v>
      </c>
    </row>
    <row r="26" spans="1:7" hidden="1" outlineLevel="1" x14ac:dyDescent="0.25"/>
    <row r="27" spans="1:7" hidden="1" outlineLevel="1" x14ac:dyDescent="0.25"/>
    <row r="28" spans="1:7" hidden="1" outlineLevel="1" x14ac:dyDescent="0.25"/>
    <row r="29" spans="1:7" hidden="1" outlineLevel="1" x14ac:dyDescent="0.25"/>
    <row r="30" spans="1:7" hidden="1" outlineLevel="1" x14ac:dyDescent="0.25"/>
    <row r="31" spans="1:7" hidden="1" outlineLevel="1" x14ac:dyDescent="0.25"/>
    <row r="32" spans="1:7" hidden="1" outlineLevel="1" x14ac:dyDescent="0.25">
      <c r="A32" s="50" t="s">
        <v>27</v>
      </c>
      <c r="B32" s="51"/>
      <c r="C32" s="52"/>
    </row>
    <row r="33" spans="1:3" hidden="1" outlineLevel="1" x14ac:dyDescent="0.25">
      <c r="A33" s="1" t="s">
        <v>8</v>
      </c>
      <c r="B33" s="5" t="e" cm="1">
        <f t="array" aca="1" ref="B33" ca="1">_xll.VIEW(db_name&amp;":sys_client preference","!","!","!")</f>
        <v>#NAME?</v>
      </c>
      <c r="C33" s="5"/>
    </row>
    <row r="34" spans="1:3" hidden="1" outlineLevel="1" x14ac:dyDescent="0.25">
      <c r="A34" s="1"/>
      <c r="B34" s="8" t="s">
        <v>28</v>
      </c>
      <c r="C34" s="8" t="s">
        <v>29</v>
      </c>
    </row>
    <row r="35" spans="1:3" hidden="1" outlineLevel="1" x14ac:dyDescent="0.25">
      <c r="A35" s="1" t="s">
        <v>30</v>
      </c>
      <c r="B35" s="5" t="e" cm="1">
        <f t="array" aca="1" ref="B35" ca="1">_xll.SUBNM(db_name&amp;":sys_client preference measure","","value")</f>
        <v>#NAME?</v>
      </c>
      <c r="C35" s="8"/>
    </row>
    <row r="36" spans="1:3" hidden="1" outlineLevel="1" x14ac:dyDescent="0.25">
      <c r="A36" s="1" t="s">
        <v>31</v>
      </c>
      <c r="B36" s="5" t="e" cm="1">
        <f t="array" aca="1" ref="B36" ca="1">_xll.DBR($B$33,psUser,$A36,B$34)</f>
        <v>#NAME?</v>
      </c>
      <c r="C36" s="5" t="e" cm="1">
        <f t="array" aca="1" ref="C36" ca="1">_xll.DBR($B$33,psUser,$A36,C$34)</f>
        <v>#NAME?</v>
      </c>
    </row>
    <row r="37" spans="1:3" hidden="1" outlineLevel="1" x14ac:dyDescent="0.25">
      <c r="A37" s="1" t="s">
        <v>32</v>
      </c>
      <c r="B37" s="5" t="e" cm="1">
        <f t="array" aca="1" ref="B37" ca="1">_xll.DBR($B$33,psUser,$A37,B$34)</f>
        <v>#NAME?</v>
      </c>
      <c r="C37" s="5" t="e" cm="1">
        <f t="array" aca="1" ref="C37" ca="1">_xll.DBR($B$33,psUser,$A37,C$34)</f>
        <v>#NAME?</v>
      </c>
    </row>
    <row r="38" spans="1:3" hidden="1" outlineLevel="1" x14ac:dyDescent="0.25">
      <c r="A38" s="1" t="s">
        <v>33</v>
      </c>
      <c r="B38" s="5" t="e" cm="1">
        <f t="array" aca="1" ref="B38" ca="1">_xll.DBR($B$33,psUser,$A38,B$34)</f>
        <v>#NAME?</v>
      </c>
      <c r="C38" s="5" t="e" cm="1">
        <f t="array" aca="1" ref="C38" ca="1">_xll.DBR($B$33,psUser,$A38,C$34)</f>
        <v>#NAME?</v>
      </c>
    </row>
    <row r="39" spans="1:3" hidden="1" outlineLevel="1" x14ac:dyDescent="0.25">
      <c r="A39" s="1" t="s">
        <v>50</v>
      </c>
      <c r="B39" s="5" t="e" cm="1">
        <f t="array" aca="1" ref="B39" ca="1">_xll.DBR($B$33,psUser,$A39,B$34)</f>
        <v>#NAME?</v>
      </c>
      <c r="C39" s="5" t="e" cm="1">
        <f t="array" aca="1" ref="C39" ca="1">_xll.DBR($B$33,psUser,$A39,C$34)</f>
        <v>#NAME?</v>
      </c>
    </row>
    <row r="40" spans="1:3" hidden="1" outlineLevel="1" x14ac:dyDescent="0.25">
      <c r="A40" s="1" t="s">
        <v>51</v>
      </c>
      <c r="B40" s="5" t="e" cm="1">
        <f t="array" aca="1" ref="B40" ca="1">_xll.DBR($B$33,psUser,$A40,B$34)</f>
        <v>#NAME?</v>
      </c>
      <c r="C40" s="5" t="e" cm="1">
        <f t="array" aca="1" ref="C40" ca="1">_xll.DBR($B$33,psUser,$A40,C$34)</f>
        <v>#NAME?</v>
      </c>
    </row>
    <row r="41" spans="1:3" hidden="1" outlineLevel="1" x14ac:dyDescent="0.25">
      <c r="A41" s="1" t="s">
        <v>52</v>
      </c>
      <c r="B41" s="17" t="e" cm="1">
        <f t="array" aca="1" ref="B41" ca="1">_xll.DBR($B$33,psUser,$A41,B$34)</f>
        <v>#NAME?</v>
      </c>
      <c r="C41" s="5" t="e" cm="1">
        <f t="array" aca="1" ref="C41" ca="1">_xll.DBR($B$33,psUser,$A41,C$34)</f>
        <v>#NAME?</v>
      </c>
    </row>
    <row r="42" spans="1:3" ht="15.75" hidden="1" outlineLevel="1" x14ac:dyDescent="0.25">
      <c r="A42" s="1" t="s">
        <v>53</v>
      </c>
      <c r="B42" s="12" t="e" cm="1">
        <f t="array" aca="1" ref="B42" ca="1">_xll.SUBNM(db_name&amp;":id","",psID)</f>
        <v>#NAME?</v>
      </c>
    </row>
    <row r="43" spans="1:3" hidden="1" outlineLevel="1" x14ac:dyDescent="0.25"/>
    <row r="44" spans="1:3" hidden="1" outlineLevel="1" x14ac:dyDescent="0.25">
      <c r="A44" s="50" t="s">
        <v>34</v>
      </c>
      <c r="B44" s="51"/>
      <c r="C44" s="52"/>
    </row>
    <row r="45" spans="1:3" hidden="1" outlineLevel="1" x14ac:dyDescent="0.25">
      <c r="A45" s="1" t="s">
        <v>35</v>
      </c>
      <c r="B45" s="5" t="e" cm="1">
        <f t="array" aca="1" ref="B45" ca="1">_xll.VIEW(db_name&amp;":AE id details",$B$36,$B$37,$B$38,"!")</f>
        <v>#NAME?</v>
      </c>
      <c r="C45" s="1" t="s">
        <v>36</v>
      </c>
    </row>
    <row r="46" spans="1:3" hidden="1" outlineLevel="1" x14ac:dyDescent="0.25">
      <c r="A46" s="1" t="s">
        <v>37</v>
      </c>
      <c r="B46" s="5" t="e" cm="1">
        <f t="array" aca="1" ref="B46" ca="1">_xll.DBR($B$45,$B$36,$B$37,$B$38,$A46)</f>
        <v>#NAME?</v>
      </c>
      <c r="C46" s="5"/>
    </row>
    <row r="47" spans="1:3" hidden="1" outlineLevel="1" x14ac:dyDescent="0.25">
      <c r="A47" s="1" t="s">
        <v>38</v>
      </c>
      <c r="B47" s="5" t="e">
        <f ca="1">IF(OR($B$46="unauthorised",$B$46="draft",$B$46="unbalanced"),"data",$B$46)</f>
        <v>#NAME?</v>
      </c>
      <c r="C47" s="5"/>
    </row>
    <row r="48" spans="1:3" hidden="1" outlineLevel="1" x14ac:dyDescent="0.25">
      <c r="A48" s="1" t="s">
        <v>39</v>
      </c>
      <c r="B48" s="5" t="e" cm="1">
        <f t="array" aca="1" ref="B48" ca="1">_xll.DBR($B$45,$B$36,$B$37,$B$38,$A48)</f>
        <v>#NAME?</v>
      </c>
      <c r="C48" s="5"/>
    </row>
    <row r="49" spans="1:5" hidden="1" outlineLevel="1" x14ac:dyDescent="0.25">
      <c r="A49" s="1" t="s">
        <v>40</v>
      </c>
      <c r="B49" s="5" t="e" cm="1">
        <f t="array" aca="1" ref="B49" ca="1">_xll.DBR($B$45,$B$36,$B$37,$B$38,$A49)</f>
        <v>#NAME?</v>
      </c>
      <c r="C49" s="5"/>
    </row>
    <row r="50" spans="1:5" hidden="1" outlineLevel="1" x14ac:dyDescent="0.25">
      <c r="A50" s="1" t="s">
        <v>41</v>
      </c>
      <c r="B50" s="5" t="e" cm="1">
        <f t="array" aca="1" ref="B50" ca="1">_xll.DBR($B$45,$B$36,$B$37,$B$38,$A50)</f>
        <v>#NAME?</v>
      </c>
      <c r="C50" s="5"/>
    </row>
    <row r="51" spans="1:5" hidden="1" outlineLevel="1" x14ac:dyDescent="0.25">
      <c r="A51" s="1" t="s">
        <v>42</v>
      </c>
      <c r="B51" s="5" t="e" cm="1">
        <f t="array" aca="1" ref="B51" ca="1">_xll.DBR($B$45,$B$36,$B$37,$B$38,$A51)</f>
        <v>#NAME?</v>
      </c>
      <c r="C51" s="5"/>
    </row>
    <row r="52" spans="1:5" hidden="1" outlineLevel="1" x14ac:dyDescent="0.25">
      <c r="A52" s="1" t="s">
        <v>43</v>
      </c>
      <c r="B52" s="5" t="e" cm="1">
        <f t="array" aca="1" ref="B52" ca="1">_xll.DBR($B$45,$B$36,$B$37,$B$38,$A52)</f>
        <v>#NAME?</v>
      </c>
      <c r="C52" s="5"/>
    </row>
    <row r="53" spans="1:5" hidden="1" outlineLevel="1" x14ac:dyDescent="0.25">
      <c r="A53" s="1" t="s">
        <v>44</v>
      </c>
      <c r="B53" s="5" t="e" cm="1">
        <f t="array" aca="1" ref="B53" ca="1">_xll.DBR($B$45,$B$36,$B$37,$B$38,$A53)</f>
        <v>#NAME?</v>
      </c>
      <c r="C53" s="5"/>
    </row>
    <row r="54" spans="1:5" hidden="1" outlineLevel="1" x14ac:dyDescent="0.25">
      <c r="A54" s="1" t="s">
        <v>45</v>
      </c>
      <c r="B54" s="5" t="e" cm="1">
        <f t="array" aca="1" ref="B54" ca="1">_xll.DBR($B$45,$B$36,$B$37,$B$38,$A54)</f>
        <v>#NAME?</v>
      </c>
      <c r="C54" s="5"/>
    </row>
    <row r="55" spans="1:5" hidden="1" outlineLevel="1" x14ac:dyDescent="0.25">
      <c r="A55" s="1" t="s">
        <v>46</v>
      </c>
      <c r="B55" s="5" t="e" cm="1">
        <f t="array" aca="1" ref="B55" ca="1">_xll.DBR($B$45,$B$36,$B$37,$B$38,$A55)</f>
        <v>#NAME?</v>
      </c>
      <c r="C55" s="5"/>
    </row>
    <row r="56" spans="1:5" hidden="1" outlineLevel="1" x14ac:dyDescent="0.25">
      <c r="A56" s="1" t="s">
        <v>47</v>
      </c>
      <c r="B56" s="5" t="e" cm="1">
        <f t="array" aca="1" ref="B56" ca="1">_xll.DBR($B$45,$B$36,$B$37,$B$38,$A56)</f>
        <v>#NAME?</v>
      </c>
      <c r="C56" s="5"/>
    </row>
    <row r="57" spans="1:5" hidden="1" outlineLevel="1" x14ac:dyDescent="0.25">
      <c r="A57" s="1" t="s">
        <v>48</v>
      </c>
      <c r="B57" s="5" t="e" cm="1">
        <f t="array" aca="1" ref="B57" ca="1">_xll.DBR($B$45,$B$36,$B$37,$B$38,$A57)</f>
        <v>#NAME?</v>
      </c>
      <c r="C57" s="5"/>
    </row>
    <row r="58" spans="1:5" hidden="1" outlineLevel="1" x14ac:dyDescent="0.25">
      <c r="A58" s="1" t="s">
        <v>49</v>
      </c>
      <c r="B58" s="9" t="e" cm="1">
        <f t="array" aca="1" ref="B58" ca="1">_xll.DBR($B$45,$B$36,$B$37,$B$38,$A58)</f>
        <v>#NAME?</v>
      </c>
      <c r="C58" s="5"/>
    </row>
    <row r="59" spans="1:5" hidden="1" outlineLevel="1" x14ac:dyDescent="0.25">
      <c r="A59" s="1" t="s">
        <v>84</v>
      </c>
      <c r="B59" s="9" t="e" cm="1">
        <f t="array" aca="1" ref="B59" ca="1">_xll.DBR($B$45,$B$36,$B$37,$B$38,$A59)</f>
        <v>#NAME?</v>
      </c>
      <c r="C59" s="5"/>
    </row>
    <row r="60" spans="1:5" hidden="1" outlineLevel="1" x14ac:dyDescent="0.25"/>
    <row r="61" spans="1:5" hidden="1" outlineLevel="1" x14ac:dyDescent="0.25">
      <c r="A61" s="18" t="s">
        <v>63</v>
      </c>
      <c r="B61" s="18" t="s">
        <v>69</v>
      </c>
      <c r="C61" s="18" t="s">
        <v>19</v>
      </c>
      <c r="D61" s="18" t="s">
        <v>21</v>
      </c>
      <c r="E61" s="20" t="s">
        <v>70</v>
      </c>
    </row>
    <row r="62" spans="1:5" hidden="1" outlineLevel="1" x14ac:dyDescent="0.25">
      <c r="A62" s="19" t="s">
        <v>68</v>
      </c>
      <c r="B62" s="5"/>
      <c r="C62" s="5" t="e">
        <f ca="1">IF(ISERROR(VLOOKUP(TRIM($B$41),sys_ws_lookup,3,FALSE)),$C$63,VLOOKUP(TRIM($B$41),sys_ws_lookup,3,FALSE))</f>
        <v>#NAME?</v>
      </c>
      <c r="D62" s="5" t="e">
        <f ca="1">IF(ISERROR(VLOOKUP(TRIM($B$41),sys_ws_lookup,4,FALSE)),$D$63,VLOOKUP(TRIM($B$41),sys_ws_lookup,4,FALSE))</f>
        <v>#NAME?</v>
      </c>
      <c r="E62" s="5"/>
    </row>
    <row r="63" spans="1:5" hidden="1" outlineLevel="1" x14ac:dyDescent="0.25">
      <c r="A63" s="21"/>
      <c r="B63" s="5" t="s">
        <v>25</v>
      </c>
      <c r="C63" s="5" t="e" cm="1">
        <f t="array" aca="1" ref="C63" ca="1">_xll.DBR($B$16,$B63,C$61)</f>
        <v>#NAME?</v>
      </c>
      <c r="D63" s="5" t="e" cm="1">
        <f t="array" aca="1" ref="D63" ca="1">_xll.DBR($B$16,$B63,D$61)</f>
        <v>#NAME?</v>
      </c>
      <c r="E63" s="5" t="s">
        <v>71</v>
      </c>
    </row>
    <row r="64" spans="1:5" hidden="1" outlineLevel="1" x14ac:dyDescent="0.25">
      <c r="A64" s="5" t="s">
        <v>64</v>
      </c>
      <c r="B64" s="5" t="s">
        <v>26</v>
      </c>
      <c r="C64" s="5" t="e" cm="1">
        <f t="array" aca="1" ref="C64" ca="1">_xll.DBR($B$16,$B64,C$61)</f>
        <v>#NAME?</v>
      </c>
      <c r="D64" s="5" t="e" cm="1">
        <f t="array" aca="1" ref="D64" ca="1">_xll.DBR($B$16,$B64,D$61)</f>
        <v>#NAME?</v>
      </c>
      <c r="E64" s="5" t="s">
        <v>72</v>
      </c>
    </row>
    <row r="65" spans="1:16" hidden="1" outlineLevel="1" x14ac:dyDescent="0.25">
      <c r="A65" s="5" t="s">
        <v>65</v>
      </c>
      <c r="B65" s="5" t="s">
        <v>61</v>
      </c>
      <c r="C65" s="5" t="e" cm="1">
        <f t="array" aca="1" ref="C65" ca="1">_xll.DBR($B$16,$B65,C$61)</f>
        <v>#NAME?</v>
      </c>
      <c r="D65" s="5" t="e" cm="1">
        <f t="array" aca="1" ref="D65" ca="1">_xll.DBR($B$16,$B65,D$61)</f>
        <v>#NAME?</v>
      </c>
      <c r="E65" s="5" t="s">
        <v>73</v>
      </c>
    </row>
    <row r="66" spans="1:16" hidden="1" outlineLevel="1" x14ac:dyDescent="0.25">
      <c r="A66" s="5" t="s">
        <v>66</v>
      </c>
      <c r="B66" s="5" t="s">
        <v>62</v>
      </c>
      <c r="C66" s="5" t="e" cm="1">
        <f t="array" aca="1" ref="C66" ca="1">_xll.DBR($B$16,$B66,C$61)</f>
        <v>#NAME?</v>
      </c>
      <c r="D66" s="5" t="e" cm="1">
        <f t="array" aca="1" ref="D66" ca="1">_xll.DBR($B$16,$B66,D$61)</f>
        <v>#NAME?</v>
      </c>
      <c r="E66" s="5" t="s">
        <v>74</v>
      </c>
    </row>
    <row r="67" spans="1:16" hidden="1" outlineLevel="1" x14ac:dyDescent="0.25">
      <c r="A67" s="5" t="s">
        <v>67</v>
      </c>
      <c r="B67" s="5" t="s">
        <v>25</v>
      </c>
      <c r="C67" s="5" t="e" cm="1">
        <f t="array" aca="1" ref="C67" ca="1">_xll.DBR($B$16,$B67,C$61)</f>
        <v>#NAME?</v>
      </c>
      <c r="D67" s="5" t="e" cm="1">
        <f t="array" aca="1" ref="D67" ca="1">_xll.DBR($B$16,$B67,D$61)</f>
        <v>#NAME?</v>
      </c>
      <c r="E67" s="5" t="s">
        <v>71</v>
      </c>
    </row>
    <row r="68" spans="1:16" hidden="1" outlineLevel="1" x14ac:dyDescent="0.25"/>
    <row r="69" spans="1:16" hidden="1" outlineLevel="1" x14ac:dyDescent="0.25">
      <c r="A69" s="18" t="s">
        <v>63</v>
      </c>
      <c r="B69" s="18" t="s">
        <v>69</v>
      </c>
      <c r="C69" s="18" t="s">
        <v>19</v>
      </c>
      <c r="D69" s="18" t="s">
        <v>21</v>
      </c>
      <c r="E69" s="20" t="s">
        <v>70</v>
      </c>
    </row>
    <row r="70" spans="1:16" hidden="1" outlineLevel="1" x14ac:dyDescent="0.25">
      <c r="A70" s="5" t="s">
        <v>75</v>
      </c>
      <c r="B70" s="5" t="s">
        <v>26</v>
      </c>
      <c r="C70" s="5" t="e" cm="1">
        <f t="array" aca="1" ref="C70" ca="1">_xll.DBR($B$16,$B70,C$61)</f>
        <v>#NAME?</v>
      </c>
      <c r="D70" s="5" t="e" cm="1">
        <f t="array" aca="1" ref="D70" ca="1">_xll.DBR($B$16,$B70,D$61)</f>
        <v>#NAME?</v>
      </c>
      <c r="E70" s="5" t="s">
        <v>72</v>
      </c>
    </row>
    <row r="71" spans="1:16" hidden="1" outlineLevel="1" x14ac:dyDescent="0.25"/>
    <row r="72" spans="1:16" hidden="1" outlineLevel="1" x14ac:dyDescent="0.25"/>
    <row r="73" spans="1:16" hidden="1" outlineLevel="1" x14ac:dyDescent="0.25"/>
    <row r="74" spans="1:16" hidden="1" outlineLevel="1" x14ac:dyDescent="0.25"/>
    <row r="75" spans="1:16" hidden="1" outlineLevel="1" x14ac:dyDescent="0.25"/>
    <row r="76" spans="1:16" hidden="1" outlineLevel="1" x14ac:dyDescent="0.25"/>
    <row r="77" spans="1:16" ht="39.75" customHeight="1" collapsed="1" x14ac:dyDescent="0.25">
      <c r="I77" s="10"/>
      <c r="J77" s="10"/>
      <c r="K77" s="10"/>
      <c r="L77" s="10"/>
      <c r="M77" s="10"/>
      <c r="N77" s="10"/>
      <c r="O77" s="10" t="s">
        <v>54</v>
      </c>
      <c r="P77" s="26"/>
    </row>
    <row r="78" spans="1:16" ht="4.5" customHeight="1" x14ac:dyDescent="0.25"/>
    <row r="79" spans="1:16" ht="24" customHeight="1" x14ac:dyDescent="0.25"/>
    <row r="80" spans="1:16" ht="1.5" customHeight="1" x14ac:dyDescent="0.25">
      <c r="I80" s="10"/>
      <c r="J80" s="10"/>
      <c r="K80" s="10"/>
      <c r="L80" s="10"/>
      <c r="M80" s="10"/>
      <c r="N80" s="10"/>
      <c r="O80" s="10"/>
      <c r="P80" s="26"/>
    </row>
    <row r="81" spans="10:16" ht="4.5" customHeight="1" x14ac:dyDescent="0.25"/>
    <row r="82" spans="10:16" x14ac:dyDescent="0.25">
      <c r="J82" s="22" t="s">
        <v>85</v>
      </c>
    </row>
    <row r="83" spans="10:16" ht="4.5" customHeight="1" x14ac:dyDescent="0.25"/>
    <row r="84" spans="10:16" ht="15.75" x14ac:dyDescent="0.25">
      <c r="K84" s="11" t="s">
        <v>55</v>
      </c>
      <c r="M84" s="12" t="e">
        <f ca="1">psID</f>
        <v>#NAME?</v>
      </c>
    </row>
    <row r="85" spans="10:16" ht="4.5" customHeight="1" x14ac:dyDescent="0.25"/>
    <row r="86" spans="10:16" x14ac:dyDescent="0.25">
      <c r="K86" s="11" t="s">
        <v>56</v>
      </c>
      <c r="M86" s="53" t="e">
        <f ca="1">$B$56</f>
        <v>#NAME?</v>
      </c>
      <c r="N86" s="54"/>
      <c r="O86" s="55"/>
      <c r="P86" s="27"/>
    </row>
    <row r="87" spans="10:16" ht="5.0999999999999996" customHeight="1" x14ac:dyDescent="0.25"/>
    <row r="88" spans="10:16" x14ac:dyDescent="0.25">
      <c r="M88" s="13" t="s">
        <v>59</v>
      </c>
      <c r="N88" s="14"/>
      <c r="O88" s="16" t="s">
        <v>60</v>
      </c>
      <c r="P88" s="28"/>
    </row>
    <row r="89" spans="10:16" x14ac:dyDescent="0.25">
      <c r="M89" s="15" t="e">
        <f ca="1">psStatus</f>
        <v>#NAME?</v>
      </c>
      <c r="O89" s="23" t="e" cm="1">
        <f t="array" aca="1" ref="O89" ca="1">_xll.DBR($B$33,psUser,$A39,$B$34)</f>
        <v>#NAME?</v>
      </c>
      <c r="P89" s="29"/>
    </row>
    <row r="90" spans="10:16" ht="4.5" customHeight="1" x14ac:dyDescent="0.25"/>
    <row r="91" spans="10:16" x14ac:dyDescent="0.25">
      <c r="K91" s="11" t="s">
        <v>57</v>
      </c>
      <c r="M91" s="32" t="e">
        <f ca="1">$B$59</f>
        <v>#NAME?</v>
      </c>
      <c r="N91" s="33"/>
      <c r="O91" s="34"/>
      <c r="P91" s="30"/>
    </row>
    <row r="92" spans="10:16" x14ac:dyDescent="0.25">
      <c r="M92" s="35"/>
      <c r="N92" s="36"/>
      <c r="O92" s="37"/>
      <c r="P92" s="30"/>
    </row>
    <row r="93" spans="10:16" x14ac:dyDescent="0.25">
      <c r="M93" s="35"/>
      <c r="N93" s="36"/>
      <c r="O93" s="37"/>
      <c r="P93" s="30"/>
    </row>
    <row r="94" spans="10:16" x14ac:dyDescent="0.25">
      <c r="M94" s="38"/>
      <c r="N94" s="39"/>
      <c r="O94" s="40"/>
      <c r="P94" s="30"/>
    </row>
    <row r="95" spans="10:16" ht="4.5" customHeight="1" x14ac:dyDescent="0.25"/>
    <row r="96" spans="10:16" x14ac:dyDescent="0.25">
      <c r="K96" s="11" t="s">
        <v>58</v>
      </c>
      <c r="M96" s="41" t="e" cm="1">
        <f t="array" aca="1" ref="M96" ca="1">_xll.DBRW(B33,psUser,$A$40,$B$34)</f>
        <v>#NAME?</v>
      </c>
      <c r="N96" s="42"/>
      <c r="O96" s="43"/>
      <c r="P96" s="24"/>
    </row>
    <row r="97" spans="13:16" x14ac:dyDescent="0.25">
      <c r="M97" s="44"/>
      <c r="N97" s="45"/>
      <c r="O97" s="46"/>
      <c r="P97" s="24"/>
    </row>
    <row r="98" spans="13:16" x14ac:dyDescent="0.25">
      <c r="M98" s="44"/>
      <c r="N98" s="45"/>
      <c r="O98" s="46"/>
      <c r="P98" s="24"/>
    </row>
    <row r="99" spans="13:16" x14ac:dyDescent="0.25">
      <c r="M99" s="47"/>
      <c r="N99" s="48"/>
      <c r="O99" s="49"/>
      <c r="P99" s="24"/>
    </row>
    <row r="100" spans="13:16" ht="5.0999999999999996" customHeight="1" x14ac:dyDescent="0.25"/>
    <row r="101" spans="13:16" x14ac:dyDescent="0.25">
      <c r="M101" s="31" t="e">
        <f ca="1">$C$41</f>
        <v>#NAME?</v>
      </c>
      <c r="N101" s="31"/>
      <c r="O101" s="31"/>
      <c r="P101" s="25"/>
    </row>
  </sheetData>
  <sheetProtection sheet="1" objects="1" scenarios="1"/>
  <mergeCells count="9">
    <mergeCell ref="M101:O101"/>
    <mergeCell ref="M91:O94"/>
    <mergeCell ref="M96:O99"/>
    <mergeCell ref="A1:C1"/>
    <mergeCell ref="A9:C9"/>
    <mergeCell ref="A15:C15"/>
    <mergeCell ref="A32:C32"/>
    <mergeCell ref="A44:C44"/>
    <mergeCell ref="M86:O86"/>
  </mergeCells>
  <conditionalFormatting sqref="M89">
    <cfRule type="containsText" dxfId="1" priority="1" operator="containsText" text="Treasury">
      <formula>NOT(ISERROR(SEARCH("Treasury",M89)))</formula>
    </cfRule>
    <cfRule type="beginsWith" dxfId="0" priority="2" operator="beginsWith" text="un">
      <formula>LEFT(M89,LEN("un"))="un"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AA12F-8DC7-4BD1-9880-12F5990EA087}">
  <sheetPr codeName="Sheet2"/>
  <dimension ref="A1:A9"/>
  <sheetViews>
    <sheetView workbookViewId="0"/>
  </sheetViews>
  <sheetFormatPr defaultRowHeight="15" x14ac:dyDescent="0.25"/>
  <sheetData>
    <row r="1" spans="1:1" x14ac:dyDescent="0.25">
      <c r="A1" t="s">
        <v>76</v>
      </c>
    </row>
    <row r="2" spans="1:1" x14ac:dyDescent="0.25">
      <c r="A2" t="s">
        <v>77</v>
      </c>
    </row>
    <row r="3" spans="1:1" x14ac:dyDescent="0.25">
      <c r="A3" t="s">
        <v>78</v>
      </c>
    </row>
    <row r="4" spans="1:1" x14ac:dyDescent="0.25">
      <c r="A4" t="s">
        <v>82</v>
      </c>
    </row>
    <row r="5" spans="1:1" x14ac:dyDescent="0.25">
      <c r="A5" t="s">
        <v>79</v>
      </c>
    </row>
    <row r="6" spans="1:1" x14ac:dyDescent="0.25">
      <c r="A6" t="s">
        <v>80</v>
      </c>
    </row>
    <row r="7" spans="1:1" x14ac:dyDescent="0.25">
      <c r="A7" t="s">
        <v>81</v>
      </c>
    </row>
    <row r="8" spans="1:1" x14ac:dyDescent="0.25">
      <c r="A8" t="s">
        <v>83</v>
      </c>
    </row>
    <row r="9" spans="1:1" x14ac:dyDescent="0.25">
      <c r="A9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34</vt:i4>
      </vt:variant>
    </vt:vector>
  </HeadingPairs>
  <TitlesOfParts>
    <vt:vector size="36" baseType="lpstr">
      <vt:lpstr>authorise</vt:lpstr>
      <vt:lpstr>{PL}PickLst</vt:lpstr>
      <vt:lpstr>db_name</vt:lpstr>
      <vt:lpstr>psComments</vt:lpstr>
      <vt:lpstr>psHLYear</vt:lpstr>
      <vt:lpstr>psID</vt:lpstr>
      <vt:lpstr>psNewStatus</vt:lpstr>
      <vt:lpstr>psScenario</vt:lpstr>
      <vt:lpstr>psStatus</vt:lpstr>
      <vt:lpstr>psUser</vt:lpstr>
      <vt:lpstr>sys_ws_lookup</vt:lpstr>
      <vt:lpstr>TM1AdjIDListCAP</vt:lpstr>
      <vt:lpstr>TM1AdjIDListWB</vt:lpstr>
      <vt:lpstr>TM1AdjIDListWS</vt:lpstr>
      <vt:lpstr>TM1AuthWB</vt:lpstr>
      <vt:lpstr>TM1AuthWS</vt:lpstr>
      <vt:lpstr>TM1CancelWB</vt:lpstr>
      <vt:lpstr>TM1CancelWS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TM1NewAdj03AuthCAP</vt:lpstr>
      <vt:lpstr>TM1NewAdj03AuthWB</vt:lpstr>
      <vt:lpstr>TM1NewAdj03AuthWS</vt:lpstr>
      <vt:lpstr>TM1NewAdj99ValidCAP</vt:lpstr>
      <vt:lpstr>TM1NewAdj99ValidWB</vt:lpstr>
      <vt:lpstr>TM1NewAdj99ValidWS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2019-04-26T07:19:11Z</dcterms:created>
  <dcterms:modified xsi:type="dcterms:W3CDTF">2025-08-11T06:11:52Z</dcterms:modified>
</cp:coreProperties>
</file>