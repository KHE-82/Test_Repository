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CFE5EFF9-5A3C-492D-BB01-2FF3F6738602}" xr6:coauthVersionLast="47" xr6:coauthVersionMax="47" xr10:uidLastSave="{00000000-0000-0000-0000-000000000000}"/>
  <bookViews>
    <workbookView xWindow="57480" yWindow="-1965" windowWidth="29040" windowHeight="15840" xr2:uid="{96E388D1-903B-44DA-B18F-48967C74A78E}"/>
  </bookViews>
  <sheets>
    <sheet name="report" sheetId="1" r:id="rId1"/>
    <sheet name="{PL}PickLst" sheetId="7" state="hidden" r:id="rId2"/>
  </sheets>
  <externalReferences>
    <externalReference r:id="rId3"/>
  </externalReferences>
  <definedNames>
    <definedName name="Account_Disp_List">'[1]GEUS Equity Movt'!$D$18:$D$19</definedName>
    <definedName name="db_name">report!$C$12</definedName>
    <definedName name="Freeze_Here">report!$U$95</definedName>
    <definedName name="HLYear_Period_List">'[1]GEUS Equity Movt'!$J$14:$O$14</definedName>
    <definedName name="psApp">report!$C$27</definedName>
    <definedName name="psUser">report!$C$14</definedName>
    <definedName name="sys_YN_list">'[1]GEUS Equity Movt'!$D$16:$D$17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OthRprTBalDrillCAP">report!$D$34</definedName>
    <definedName name="TM1OthRprTBalDrillWB">report!$F$34</definedName>
    <definedName name="TM1OthRprTBalDrillWS">report!$H$34</definedName>
    <definedName name="TM1REBUILDOPTION">0</definedName>
    <definedName name="TM1RptAEAppropQACAP">report!$D$35</definedName>
    <definedName name="TM1RptAEAppropQAWB">report!$F$35</definedName>
    <definedName name="TM1RptAEAppropQAWS">report!$H$35</definedName>
    <definedName name="TM1RptAppropOCProgCAP">report!$D$36</definedName>
    <definedName name="TM1RptAppropOCProgWB">report!$F$36</definedName>
    <definedName name="TM1RptAppropOCProgWS">report!$H$36</definedName>
    <definedName name="TM1RPTDATARNG1" localSheetId="0">report!$111:$111</definedName>
    <definedName name="TM1RPTFMTIDCOL" localSheetId="0">report!$A$1:$A$8</definedName>
    <definedName name="TM1RPTFMTRNG" localSheetId="0">report!$J$1:$AM$8</definedName>
    <definedName name="TM1RptProgMoveCAP">report!$D$37</definedName>
    <definedName name="TM1RptProgMoveWB">report!$F$37</definedName>
    <definedName name="TM1RptProgMoveWS">report!$H$37</definedName>
    <definedName name="TM1RptReasonMoveCAP">report!$D$38</definedName>
    <definedName name="TM1RptReasonMoveWB">report!$F$38</definedName>
    <definedName name="TM1RptReasonMoveWS">report!$H$38</definedName>
    <definedName name="TM1ViewAdj01HeaderCAP">report!$D$39</definedName>
    <definedName name="TM1ViewAdj01HeaderWB">report!$F$39</definedName>
    <definedName name="TM1ViewAdj01HeaderWS">report!$H$39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8" i="1" l="1"/>
  <c r="Z107" i="1"/>
  <c r="C20" i="1"/>
  <c r="C22" i="1"/>
  <c r="T107" i="1"/>
  <c r="Z106" i="1"/>
  <c r="C21" i="1"/>
  <c r="T106" i="1"/>
  <c r="T108" i="1"/>
  <c r="C48" i="1"/>
  <c r="AF46" i="1"/>
  <c r="AI46" i="1"/>
  <c r="AI95" i="1"/>
  <c r="AI110" i="1"/>
  <c r="AH46" i="1"/>
  <c r="AH95" i="1"/>
  <c r="AH110" i="1"/>
  <c r="C26" i="1"/>
  <c r="H39" i="1"/>
  <c r="G39" i="1"/>
  <c r="F39" i="1"/>
  <c r="E39" i="1"/>
  <c r="D39" i="1"/>
  <c r="C39" i="1"/>
  <c r="Y108" i="1"/>
  <c r="Y107" i="1"/>
  <c r="Y106" i="1"/>
  <c r="AL113" i="1"/>
  <c r="AL108" i="1"/>
  <c r="C89" i="1"/>
  <c r="C49" i="1"/>
  <c r="C47" i="1"/>
  <c r="C50" i="1"/>
  <c r="C52" i="1"/>
  <c r="C53" i="1"/>
  <c r="C54" i="1"/>
  <c r="C55" i="1"/>
  <c r="C56" i="1"/>
  <c r="C63" i="1"/>
  <c r="C92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C23" i="1"/>
  <c r="C13" i="1"/>
  <c r="C14" i="1"/>
  <c r="C15" i="1"/>
  <c r="C17" i="1"/>
  <c r="C16" i="1"/>
  <c r="P111" i="1"/>
  <c r="AF111" i="1"/>
  <c r="C77" i="1"/>
  <c r="C76" i="1"/>
  <c r="O111" i="1"/>
  <c r="AE111" i="1"/>
  <c r="C72" i="1"/>
  <c r="N111" i="1"/>
  <c r="AD111" i="1"/>
  <c r="M111" i="1"/>
  <c r="AC111" i="1"/>
  <c r="J111" i="1"/>
  <c r="AB111" i="1"/>
  <c r="AA111" i="1"/>
  <c r="Z111" i="1"/>
  <c r="Y111" i="1"/>
  <c r="C68" i="1"/>
  <c r="L111" i="1"/>
  <c r="X111" i="1"/>
  <c r="C70" i="1"/>
  <c r="K111" i="1"/>
  <c r="C79" i="1"/>
  <c r="AH111" i="1"/>
  <c r="C74" i="1"/>
  <c r="AI111" i="1"/>
  <c r="C57" i="1"/>
  <c r="C59" i="1"/>
  <c r="U110" i="1"/>
  <c r="R110" i="1"/>
  <c r="C65" i="1"/>
  <c r="C62" i="1"/>
  <c r="C61" i="1"/>
  <c r="C60" i="1"/>
  <c r="C58" i="1"/>
  <c r="C51" i="1"/>
  <c r="AF95" i="1"/>
  <c r="AE95" i="1"/>
  <c r="W111" i="1"/>
  <c r="U111" i="1"/>
  <c r="AD95" i="1"/>
  <c r="AC95" i="1"/>
  <c r="W95" i="1"/>
  <c r="U95" i="1"/>
  <c r="R111" i="1"/>
  <c r="R95" i="1"/>
  <c r="T111" i="1"/>
  <c r="AM111" i="1"/>
  <c r="AL111" i="1"/>
  <c r="AK111" i="1"/>
  <c r="S111" i="1"/>
  <c r="A111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Looyen</author>
  </authors>
  <commentList>
    <comment ref="Z106" authorId="0" shapeId="0" xr:uid="{E5C6E5F9-B2E9-485F-87E5-7CB9A6595C8F}">
      <text>
        <r>
          <rPr>
            <b/>
            <sz val="9"/>
            <color indexed="81"/>
            <rFont val="Tahoma"/>
            <family val="2"/>
          </rPr>
          <t>Bill Looyen:</t>
        </r>
        <r>
          <rPr>
            <sz val="9"/>
            <color indexed="81"/>
            <rFont val="Tahoma"/>
            <family val="2"/>
          </rPr>
          <t xml:space="preserve">
 With filter = </t>
        </r>
        <r>
          <rPr>
            <b/>
            <u/>
            <sz val="9"/>
            <color indexed="81"/>
            <rFont val="Tahoma"/>
            <family val="2"/>
          </rPr>
          <t>Toptal Programmes</t>
        </r>
        <r>
          <rPr>
            <sz val="9"/>
            <color indexed="81"/>
            <rFont val="Tahoma"/>
            <family val="2"/>
          </rPr>
          <t xml:space="preserve"> - When apply = N we get both Dept and Admin. When apply = Y we only get Dept. Should still get both.
With Filter = Administered programmes and Apply = Yes we get nothing. Something wrong with this !!!!</t>
        </r>
      </text>
    </comment>
    <comment ref="Z107" authorId="0" shapeId="0" xr:uid="{554285BE-E467-4483-ADD5-8CE999C17BC1}">
      <text>
        <r>
          <rPr>
            <b/>
            <sz val="9"/>
            <color indexed="81"/>
            <rFont val="Tahoma"/>
            <family val="2"/>
          </rPr>
          <t>Bill Looyen:</t>
        </r>
        <r>
          <rPr>
            <sz val="9"/>
            <color indexed="81"/>
            <rFont val="Tahoma"/>
            <family val="2"/>
          </rPr>
          <t xml:space="preserve">
Subnm uses code only because some Approp item descriptions include multiple hyphens which causes eroor when MDX runs</t>
        </r>
      </text>
    </comment>
  </commentList>
</comments>
</file>

<file path=xl/sharedStrings.xml><?xml version="1.0" encoding="utf-8"?>
<sst xmlns="http://schemas.openxmlformats.org/spreadsheetml/2006/main" count="146" uniqueCount="130">
  <si>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</si>
  <si>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</si>
  <si>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</si>
  <si>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</si>
  <si>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</si>
  <si>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</si>
  <si>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</si>
  <si>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</si>
  <si>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</si>
  <si>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</si>
  <si>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jurisdiction</t>
  </si>
  <si>
    <t>movement account</t>
  </si>
  <si>
    <t>appropriation item</t>
  </si>
  <si>
    <t>2018-2019</t>
  </si>
  <si>
    <t>D</t>
  </si>
  <si>
    <t>N</t>
  </si>
  <si>
    <t>[Begin Format Range]</t>
  </si>
  <si>
    <t>[End Format Range]</t>
  </si>
  <si>
    <t>Account</t>
  </si>
  <si>
    <t>Programme</t>
  </si>
  <si>
    <t>ID</t>
  </si>
  <si>
    <t>programme MDX</t>
  </si>
  <si>
    <t>{TM1FILTERBYLEVEL( {TM1SUBSETALL( [programme] )}, 0)}</t>
  </si>
  <si>
    <t>id MDX</t>
  </si>
  <si>
    <t>{ EXCEPT( {TM1FILTERBYLEVEL( {TM1SUBSETALL( [id] )}, 0)}, { [id].[0000A], [id].[0000B], [id].[00FBO] }) }</t>
  </si>
  <si>
    <t>Movement Account MDX</t>
  </si>
  <si>
    <t>{TM1FILTERBYLEVEL( {TM1SUBSETALL( [movement account] )}, 0)}</t>
  </si>
  <si>
    <t>Outcome</t>
  </si>
  <si>
    <t>Outcome MDX</t>
  </si>
  <si>
    <t>{TM1FILTERBYLEVEL( {TM1SUBSETALL( [outcome] )}, 0)}</t>
  </si>
  <si>
    <t>Acc Req Approp</t>
  </si>
  <si>
    <t>sys_account requiring approp</t>
  </si>
  <si>
    <t>Movt Acc Req Approp</t>
  </si>
  <si>
    <t>sys_movement account requiring approp</t>
  </si>
  <si>
    <t>Movement Account</t>
  </si>
  <si>
    <t>programme</t>
  </si>
  <si>
    <t>account</t>
  </si>
  <si>
    <t>id</t>
  </si>
  <si>
    <t>Period</t>
  </si>
  <si>
    <t>AF Rpt View</t>
  </si>
  <si>
    <t>AE Adjustments AF MDX</t>
  </si>
  <si>
    <t>AE ID Details Cube</t>
  </si>
  <si>
    <t>AE Adjustments Cube</t>
  </si>
  <si>
    <t>Cube View</t>
  </si>
  <si>
    <t>title</t>
  </si>
  <si>
    <t>description</t>
  </si>
  <si>
    <t>reason description</t>
  </si>
  <si>
    <t>measure</t>
  </si>
  <si>
    <t>CBMS measure code</t>
  </si>
  <si>
    <t>created by</t>
  </si>
  <si>
    <t>created date</t>
  </si>
  <si>
    <t>Control type</t>
  </si>
  <si>
    <t>Programme Details Cube</t>
  </si>
  <si>
    <t>Administered</t>
  </si>
  <si>
    <t>Departmental</t>
  </si>
  <si>
    <t>Treasury</t>
  </si>
  <si>
    <t>Appropriation type</t>
  </si>
  <si>
    <t>Approp type MDX</t>
  </si>
  <si>
    <t>{TM1FILTERBYLEVEL( {TM1SUBSETALL( [appropriation type] )}, 0)}</t>
  </si>
  <si>
    <t>Approp item MDX</t>
  </si>
  <si>
    <t>{TM1FILTERBYLEVEL( {TM1SUBSETALL( [appropriation item] )}, 0)}</t>
  </si>
  <si>
    <t>Period Variables</t>
  </si>
  <si>
    <t>current</t>
  </si>
  <si>
    <t>Appropriation Item</t>
  </si>
  <si>
    <t>Appropriation
 type</t>
  </si>
  <si>
    <t>appropriation
 item</t>
  </si>
  <si>
    <t>programme MDX to use</t>
  </si>
  <si>
    <t>Programme filter MDX</t>
  </si>
  <si>
    <t>Account MDX to use</t>
  </si>
  <si>
    <t>Account Filter MDX</t>
  </si>
  <si>
    <t>Account Req Approp MDX</t>
  </si>
  <si>
    <t>Approp item Filter MDX</t>
  </si>
  <si>
    <t>Approp item MDX to use</t>
  </si>
  <si>
    <t>Title</t>
  </si>
  <si>
    <t>Description</t>
  </si>
  <si>
    <t>Program</t>
  </si>
  <si>
    <t>Reason</t>
  </si>
  <si>
    <t>Reason Description</t>
  </si>
  <si>
    <t>Measure Code</t>
  </si>
  <si>
    <t>Appropriation Type</t>
  </si>
  <si>
    <t>Status</t>
  </si>
  <si>
    <t>Created By</t>
  </si>
  <si>
    <t>Created Date</t>
  </si>
  <si>
    <t>System Parameters</t>
  </si>
  <si>
    <t>Database Name</t>
  </si>
  <si>
    <t>}Clients</t>
  </si>
  <si>
    <t>TM1 User</t>
  </si>
  <si>
    <t>}TM1_DefaultDisplayValue</t>
  </si>
  <si>
    <t>GEUS User Name</t>
  </si>
  <si>
    <t>Current User</t>
  </si>
  <si>
    <t xml:space="preserve">System Variables </t>
  </si>
  <si>
    <t>VIEW</t>
  </si>
  <si>
    <t>headline scenario</t>
  </si>
  <si>
    <t>program dimension name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</si>
  <si>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</si>
  <si>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</si>
  <si>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</si>
  <si>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</si>
  <si>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</si>
  <si>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</si>
  <si>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</si>
  <si>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</si>
  <si>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</si>
  <si>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</si>
  <si>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</si>
  <si>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</si>
  <si>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</si>
  <si>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Homepage - Reports - Analytical</t>
  </si>
  <si>
    <t>Other Reports - Trial Balance Drill</t>
  </si>
  <si>
    <t>Reports - Annual Estimates Appropriation QA Report</t>
  </si>
  <si>
    <t>Reports - Appropriation By Outcome Program Report</t>
  </si>
  <si>
    <t>Reports - Summary Movement By Program</t>
  </si>
  <si>
    <t>Reports - Summary Movement By Reason Code</t>
  </si>
  <si>
    <t>Note : Filtering is a two a step process.  Set Filter to Yes per each report dimensions and  Click Refresh</t>
  </si>
  <si>
    <t>As at</t>
  </si>
  <si>
    <t>REPORT PARAMETERS</t>
  </si>
  <si>
    <t>Headline Year :</t>
  </si>
  <si>
    <t>Scenario :</t>
  </si>
  <si>
    <t>Reason  :</t>
  </si>
  <si>
    <t>Program :</t>
  </si>
  <si>
    <t>Approrpiation Item :</t>
  </si>
  <si>
    <t>Account :</t>
  </si>
  <si>
    <t>REPORT FILTERS</t>
  </si>
  <si>
    <t>APPLY?</t>
  </si>
  <si>
    <t>FILTER TO APPLY</t>
  </si>
  <si>
    <t>Highlight here to View Adj</t>
  </si>
  <si>
    <t>Data Entry - View Adj 01 - Header Details</t>
  </si>
  <si>
    <t>Appropriations QA Report</t>
  </si>
  <si>
    <t>CBMS Measure Code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</si>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</sst>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dd\ mmmm\ yyyy\ h:mm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F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8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3" fillId="2" borderId="0" xfId="0" applyFont="1" applyFill="1" applyAlignment="1">
      <alignment vertical="top"/>
    </xf>
    <xf numFmtId="0" fontId="0" fillId="2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3" fillId="3" borderId="0" xfId="0" applyFont="1" applyFill="1" applyAlignment="1">
      <alignment vertical="top"/>
    </xf>
    <xf numFmtId="0" fontId="0" fillId="0" borderId="0" xfId="0" quotePrefix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1" fillId="5" borderId="2" xfId="0" applyFont="1" applyFill="1" applyBorder="1"/>
    <xf numFmtId="0" fontId="0" fillId="5" borderId="3" xfId="0" applyFill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6" fillId="8" borderId="0" xfId="0" applyFont="1" applyFill="1" applyAlignment="1">
      <alignment vertical="top" wrapText="1"/>
    </xf>
    <xf numFmtId="0" fontId="7" fillId="8" borderId="0" xfId="0" applyFont="1" applyFill="1" applyAlignment="1">
      <alignment horizontal="right" vertical="top"/>
    </xf>
    <xf numFmtId="0" fontId="6" fillId="8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top"/>
    </xf>
    <xf numFmtId="0" fontId="6" fillId="8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wrapText="1"/>
    </xf>
    <xf numFmtId="0" fontId="0" fillId="2" borderId="4" xfId="0" applyFill="1" applyBorder="1" applyAlignment="1">
      <alignment vertical="top"/>
    </xf>
    <xf numFmtId="0" fontId="0" fillId="0" borderId="4" xfId="0" applyBorder="1" applyAlignment="1">
      <alignment vertical="top"/>
    </xf>
    <xf numFmtId="49" fontId="0" fillId="2" borderId="4" xfId="0" applyNumberForma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5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1" fillId="0" borderId="4" xfId="0" applyFont="1" applyBorder="1"/>
    <xf numFmtId="0" fontId="0" fillId="0" borderId="4" xfId="0" applyBorder="1" applyAlignment="1">
      <alignment horizontal="left"/>
    </xf>
    <xf numFmtId="0" fontId="2" fillId="4" borderId="4" xfId="0" applyFont="1" applyFill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0" borderId="4" xfId="0" quotePrefix="1" applyBorder="1" applyAlignment="1">
      <alignment vertical="top"/>
    </xf>
    <xf numFmtId="0" fontId="0" fillId="5" borderId="4" xfId="0" quotePrefix="1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164" fontId="3" fillId="0" borderId="4" xfId="0" applyNumberFormat="1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left" vertical="top"/>
    </xf>
    <xf numFmtId="0" fontId="8" fillId="5" borderId="4" xfId="0" applyFont="1" applyFill="1" applyBorder="1" applyAlignment="1">
      <alignment horizontal="center" vertical="top" wrapText="1"/>
    </xf>
    <xf numFmtId="0" fontId="12" fillId="5" borderId="4" xfId="0" applyFont="1" applyFill="1" applyBorder="1" applyAlignment="1">
      <alignment vertical="top" wrapText="1"/>
    </xf>
    <xf numFmtId="0" fontId="12" fillId="5" borderId="4" xfId="0" applyFont="1" applyFill="1" applyBorder="1" applyAlignment="1">
      <alignment horizontal="left" vertical="top" wrapText="1"/>
    </xf>
    <xf numFmtId="0" fontId="12" fillId="5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right"/>
    </xf>
    <xf numFmtId="0" fontId="5" fillId="10" borderId="0" xfId="0" applyFont="1" applyFill="1" applyAlignment="1">
      <alignment horizontal="center" wrapText="1"/>
    </xf>
    <xf numFmtId="0" fontId="0" fillId="0" borderId="4" xfId="0" applyBorder="1" applyAlignment="1" applyProtection="1">
      <alignment horizontal="center"/>
      <protection locked="0"/>
    </xf>
    <xf numFmtId="0" fontId="1" fillId="0" borderId="0" xfId="0" applyFont="1" applyAlignment="1">
      <alignment horizontal="right" indent="1"/>
    </xf>
    <xf numFmtId="0" fontId="13" fillId="0" borderId="0" xfId="0" applyFont="1"/>
    <xf numFmtId="0" fontId="1" fillId="5" borderId="4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0" fillId="9" borderId="4" xfId="0" applyFill="1" applyBorder="1" applyAlignment="1" applyProtection="1">
      <alignment horizontal="left" indent="1"/>
      <protection locked="0"/>
    </xf>
    <xf numFmtId="0" fontId="0" fillId="0" borderId="4" xfId="0" applyBorder="1" applyAlignment="1">
      <alignment horizontal="left" indent="1"/>
    </xf>
    <xf numFmtId="165" fontId="1" fillId="0" borderId="0" xfId="0" applyNumberFormat="1" applyFont="1" applyAlignment="1">
      <alignment horizontal="left" indent="1"/>
    </xf>
    <xf numFmtId="0" fontId="5" fillId="10" borderId="0" xfId="0" applyFont="1" applyFill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5" fillId="10" borderId="11" xfId="0" applyFont="1" applyFill="1" applyBorder="1" applyAlignment="1">
      <alignment horizontal="left" wrapText="1" indent="1"/>
    </xf>
    <xf numFmtId="0" fontId="0" fillId="0" borderId="2" xfId="0" applyBorder="1" applyAlignment="1" applyProtection="1">
      <alignment horizontal="left" wrapText="1" indent="1"/>
      <protection locked="0"/>
    </xf>
    <xf numFmtId="0" fontId="0" fillId="0" borderId="3" xfId="0" applyBorder="1" applyAlignment="1" applyProtection="1">
      <alignment horizontal="left" wrapText="1" indent="1"/>
      <protection locked="0"/>
    </xf>
    <xf numFmtId="0" fontId="0" fillId="0" borderId="9" xfId="0" applyBorder="1" applyAlignment="1" applyProtection="1">
      <alignment horizontal="left" wrapText="1" indent="1"/>
      <protection locked="0"/>
    </xf>
    <xf numFmtId="0" fontId="5" fillId="10" borderId="10" xfId="0" applyFont="1" applyFill="1" applyBorder="1" applyAlignment="1">
      <alignment horizontal="center" wrapText="1"/>
    </xf>
    <xf numFmtId="0" fontId="5" fillId="10" borderId="12" xfId="0" applyFont="1" applyFill="1" applyBorder="1" applyAlignment="1">
      <alignment horizontal="center" wrapText="1"/>
    </xf>
  </cellXfs>
  <cellStyles count="2">
    <cellStyle name="Normal" xfId="0" builtinId="0"/>
    <cellStyle name="Normal 3" xfId="1" xr:uid="{32F2D705-F15B-443E-B0C3-AC677066C1D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38100</xdr:colOff>
      <xdr:row>97</xdr:row>
      <xdr:rowOff>26670</xdr:rowOff>
    </xdr:from>
    <xdr:ext cx="1853565" cy="4572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6670"/>
          <a:ext cx="185356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38100</xdr:colOff>
          <xdr:row>99</xdr:row>
          <xdr:rowOff>7620</xdr:rowOff>
        </xdr:from>
        <xdr:to>
          <xdr:col>18</xdr:col>
          <xdr:colOff>220980</xdr:colOff>
          <xdr:row>99</xdr:row>
          <xdr:rowOff>259080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342900</xdr:colOff>
          <xdr:row>99</xdr:row>
          <xdr:rowOff>7620</xdr:rowOff>
        </xdr:from>
        <xdr:to>
          <xdr:col>23</xdr:col>
          <xdr:colOff>175260</xdr:colOff>
          <xdr:row>99</xdr:row>
          <xdr:rowOff>259080</xdr:rowOff>
        </xdr:to>
        <xdr:sp macro="" textlink="">
          <xdr:nvSpPr>
            <xdr:cNvPr id="1030" name="TIButton3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259080</xdr:colOff>
          <xdr:row>99</xdr:row>
          <xdr:rowOff>7620</xdr:rowOff>
        </xdr:from>
        <xdr:to>
          <xdr:col>18</xdr:col>
          <xdr:colOff>1203960</xdr:colOff>
          <xdr:row>99</xdr:row>
          <xdr:rowOff>259080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1226820</xdr:colOff>
          <xdr:row>99</xdr:row>
          <xdr:rowOff>7620</xdr:rowOff>
        </xdr:from>
        <xdr:to>
          <xdr:col>19</xdr:col>
          <xdr:colOff>868680</xdr:colOff>
          <xdr:row>99</xdr:row>
          <xdr:rowOff>259080</xdr:rowOff>
        </xdr:to>
        <xdr:sp macro="" textlink="">
          <xdr:nvSpPr>
            <xdr:cNvPr id="1032" name="TIButton4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899160</xdr:colOff>
          <xdr:row>99</xdr:row>
          <xdr:rowOff>7620</xdr:rowOff>
        </xdr:from>
        <xdr:to>
          <xdr:col>20</xdr:col>
          <xdr:colOff>563880</xdr:colOff>
          <xdr:row>99</xdr:row>
          <xdr:rowOff>259080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563880</xdr:colOff>
          <xdr:row>98</xdr:row>
          <xdr:rowOff>30480</xdr:rowOff>
        </xdr:from>
        <xdr:to>
          <xdr:col>27</xdr:col>
          <xdr:colOff>876300</xdr:colOff>
          <xdr:row>99</xdr:row>
          <xdr:rowOff>289560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579120</xdr:colOff>
          <xdr:row>99</xdr:row>
          <xdr:rowOff>7620</xdr:rowOff>
        </xdr:from>
        <xdr:to>
          <xdr:col>22</xdr:col>
          <xdr:colOff>312420</xdr:colOff>
          <xdr:row>99</xdr:row>
          <xdr:rowOff>259080</xdr:rowOff>
        </xdr:to>
        <xdr:sp macro="" textlink="">
          <xdr:nvSpPr>
            <xdr:cNvPr id="1036" name="TIButton7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erated/Generic%20GEUS/New%20Adj%20Func/CBMS%20Report%20Templates/AE.OR.02%20GEUS%20Equity%20Mov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US Equity Movt"/>
      <sheetName val="CBMS Equity Report"/>
    </sheetNames>
    <sheetDataSet>
      <sheetData sheetId="0">
        <row r="14">
          <cell r="J14" t="str">
            <v>2016-2017</v>
          </cell>
          <cell r="K14" t="str">
            <v>2017-2018</v>
          </cell>
          <cell r="L14" t="str">
            <v>2018-2019</v>
          </cell>
          <cell r="M14" t="str">
            <v>2019-2020</v>
          </cell>
          <cell r="N14" t="str">
            <v>2020-2021</v>
          </cell>
          <cell r="O14" t="str">
            <v>2021-2022</v>
          </cell>
        </row>
        <row r="16">
          <cell r="D16" t="str">
            <v>Yes</v>
          </cell>
        </row>
        <row r="17">
          <cell r="D17" t="str">
            <v>No</v>
          </cell>
        </row>
        <row r="18">
          <cell r="D18" t="str">
            <v>Code and description</v>
          </cell>
        </row>
        <row r="19">
          <cell r="D19" t="str">
            <v>Description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48B2-8AFF-4E8D-A6B9-1C13C31508DB}">
  <sheetPr codeName="Sheet1">
    <outlinePr showOutlineSymbols="0"/>
    <pageSetUpPr fitToPage="1"/>
  </sheetPr>
  <dimension ref="A1:AM113"/>
  <sheetViews>
    <sheetView showGridLines="0" showRowColHeaders="0" tabSelected="1" showOutlineSymbols="0" topLeftCell="O98" zoomScaleNormal="100" workbookViewId="0">
      <pane ySplit="13" topLeftCell="A111" activePane="bottomLeft" state="frozen"/>
      <selection activeCell="Q98" sqref="Q98"/>
      <selection pane="bottomLeft" activeCell="U95" sqref="U95"/>
    </sheetView>
  </sheetViews>
  <sheetFormatPr defaultColWidth="8.88671875" defaultRowHeight="14.4" outlineLevelRow="1" outlineLevelCol="1" x14ac:dyDescent="0.3"/>
  <cols>
    <col min="1" max="1" width="14.33203125" style="1" hidden="1" customWidth="1" outlineLevel="1"/>
    <col min="2" max="2" width="25" style="1" hidden="1" customWidth="1" outlineLevel="1"/>
    <col min="3" max="9" width="19.6640625" style="1" hidden="1" customWidth="1" outlineLevel="1"/>
    <col min="10" max="10" width="7" style="1" hidden="1" customWidth="1" outlineLevel="1"/>
    <col min="11" max="11" width="28.33203125" style="1" hidden="1" customWidth="1" outlineLevel="1"/>
    <col min="12" max="12" width="25.109375" style="1" hidden="1" customWidth="1" outlineLevel="1"/>
    <col min="13" max="13" width="28.5546875" style="1" hidden="1" customWidth="1" outlineLevel="1"/>
    <col min="14" max="14" width="16.6640625" style="1" hidden="1" customWidth="1" outlineLevel="1"/>
    <col min="15" max="15" width="30.44140625" style="1" hidden="1" customWidth="1" outlineLevel="1"/>
    <col min="16" max="16" width="22.6640625" style="1" hidden="1" customWidth="1" outlineLevel="1"/>
    <col min="17" max="17" width="0.88671875" style="1" customWidth="1" collapsed="1"/>
    <col min="18" max="18" width="6" style="14" bestFit="1" customWidth="1"/>
    <col min="19" max="19" width="25.6640625" style="1" customWidth="1"/>
    <col min="20" max="20" width="28.33203125" style="1" customWidth="1"/>
    <col min="21" max="21" width="16.44140625" style="2" customWidth="1"/>
    <col min="22" max="22" width="0.88671875" style="2" customWidth="1"/>
    <col min="23" max="23" width="14.33203125" style="2" customWidth="1"/>
    <col min="24" max="24" width="13" style="1" bestFit="1" customWidth="1"/>
    <col min="25" max="25" width="8.88671875" style="26" customWidth="1"/>
    <col min="26" max="26" width="25.6640625" style="2" customWidth="1"/>
    <col min="27" max="27" width="10.6640625" style="14" customWidth="1"/>
    <col min="28" max="28" width="13.5546875" style="1" customWidth="1"/>
    <col min="29" max="29" width="21" style="2" customWidth="1"/>
    <col min="30" max="31" width="30.6640625" style="2" customWidth="1"/>
    <col min="32" max="32" width="12" style="14" customWidth="1"/>
    <col min="33" max="33" width="0.88671875" style="1" customWidth="1"/>
    <col min="34" max="35" width="12.6640625" style="1" customWidth="1"/>
    <col min="36" max="36" width="0.88671875" style="1" customWidth="1"/>
    <col min="37" max="37" width="10.6640625" style="1" customWidth="1"/>
    <col min="38" max="38" width="11.109375" style="1" customWidth="1"/>
    <col min="39" max="39" width="11.44140625" style="14" customWidth="1"/>
    <col min="40" max="16384" width="8.88671875" style="1"/>
  </cols>
  <sheetData>
    <row r="1" spans="1:39" hidden="1" outlineLevel="1" x14ac:dyDescent="0.3">
      <c r="A1" s="1" t="s">
        <v>16</v>
      </c>
    </row>
    <row r="2" spans="1:39" hidden="1" outlineLevel="1" x14ac:dyDescent="0.3">
      <c r="A2" s="1">
        <f>0</f>
        <v>0</v>
      </c>
      <c r="J2" s="5"/>
      <c r="K2" s="6"/>
      <c r="L2" s="7"/>
      <c r="M2" s="7"/>
      <c r="N2" s="7"/>
      <c r="O2" s="7"/>
      <c r="P2" s="7"/>
      <c r="AH2" s="8"/>
      <c r="AI2" s="8"/>
    </row>
    <row r="3" spans="1:39" hidden="1" outlineLevel="1" x14ac:dyDescent="0.3">
      <c r="A3" s="1">
        <f>1</f>
        <v>1</v>
      </c>
      <c r="J3" s="9"/>
      <c r="K3" s="7"/>
      <c r="L3" s="10"/>
      <c r="M3" s="10"/>
      <c r="N3" s="10"/>
      <c r="O3" s="10"/>
      <c r="P3" s="10"/>
      <c r="AH3" s="11"/>
      <c r="AI3" s="11"/>
    </row>
    <row r="4" spans="1:39" hidden="1" outlineLevel="1" x14ac:dyDescent="0.3">
      <c r="A4" s="1">
        <f>2</f>
        <v>2</v>
      </c>
      <c r="J4" s="9"/>
      <c r="K4" s="7"/>
      <c r="L4" s="10"/>
      <c r="M4" s="10"/>
      <c r="N4" s="10"/>
      <c r="O4" s="10"/>
      <c r="P4" s="10"/>
      <c r="AH4" s="11"/>
      <c r="AI4" s="11"/>
    </row>
    <row r="5" spans="1:39" hidden="1" outlineLevel="1" x14ac:dyDescent="0.3">
      <c r="A5" s="1">
        <f>3</f>
        <v>3</v>
      </c>
      <c r="J5" s="9"/>
      <c r="K5" s="7"/>
      <c r="L5" s="10"/>
      <c r="M5" s="10"/>
      <c r="N5" s="10"/>
      <c r="O5" s="10"/>
      <c r="P5" s="10"/>
      <c r="AH5" s="11"/>
      <c r="AI5" s="11"/>
    </row>
    <row r="6" spans="1:39" hidden="1" outlineLevel="1" x14ac:dyDescent="0.3">
      <c r="A6" s="1" t="s">
        <v>14</v>
      </c>
      <c r="J6" s="9"/>
      <c r="K6" s="7"/>
      <c r="L6" s="10"/>
      <c r="M6" s="10"/>
      <c r="N6" s="10"/>
      <c r="O6" s="10"/>
      <c r="P6" s="10"/>
      <c r="AH6" s="11"/>
      <c r="AI6" s="11"/>
    </row>
    <row r="7" spans="1:39" ht="33" hidden="1" customHeight="1" outlineLevel="1" x14ac:dyDescent="0.3">
      <c r="A7" s="1" t="s">
        <v>15</v>
      </c>
      <c r="J7" s="32"/>
      <c r="K7" s="32"/>
      <c r="L7" s="33"/>
      <c r="M7" s="33"/>
      <c r="N7" s="33"/>
      <c r="O7" s="33"/>
      <c r="P7" s="33"/>
      <c r="Q7" s="33"/>
      <c r="R7" s="48"/>
      <c r="S7" s="49"/>
      <c r="T7" s="49"/>
      <c r="U7" s="50"/>
      <c r="W7" s="50"/>
      <c r="X7" s="49"/>
      <c r="Y7" s="48"/>
      <c r="Z7" s="50"/>
      <c r="AA7" s="48"/>
      <c r="AB7" s="49"/>
      <c r="AC7" s="50"/>
      <c r="AD7" s="50"/>
      <c r="AE7" s="50"/>
      <c r="AF7" s="48"/>
      <c r="AG7" s="33"/>
      <c r="AH7" s="47"/>
      <c r="AI7" s="47"/>
      <c r="AJ7" s="33"/>
      <c r="AK7" s="48"/>
      <c r="AL7" s="48"/>
      <c r="AM7" s="48"/>
    </row>
    <row r="8" spans="1:39" hidden="1" outlineLevel="1" x14ac:dyDescent="0.3">
      <c r="A8" s="1" t="s">
        <v>17</v>
      </c>
    </row>
    <row r="9" spans="1:39" hidden="1" outlineLevel="1" x14ac:dyDescent="0.3"/>
    <row r="10" spans="1:39" ht="15" hidden="1" outlineLevel="1" thickBot="1" x14ac:dyDescent="0.35">
      <c r="AF10" s="2"/>
      <c r="AG10" s="2"/>
      <c r="AH10" s="2"/>
      <c r="AI10" s="2"/>
    </row>
    <row r="11" spans="1:39" ht="15" hidden="1" outlineLevel="1" thickBot="1" x14ac:dyDescent="0.35">
      <c r="B11" s="62" t="s">
        <v>83</v>
      </c>
      <c r="C11" s="63"/>
      <c r="AF11" s="2"/>
      <c r="AG11" s="2"/>
      <c r="AH11" s="2"/>
      <c r="AI11" s="2"/>
    </row>
    <row r="12" spans="1:39" hidden="1" outlineLevel="1" x14ac:dyDescent="0.3">
      <c r="B12" s="1" t="s">
        <v>84</v>
      </c>
      <c r="C12" s="1" t="s">
        <v>129</v>
      </c>
      <c r="AF12" s="2"/>
      <c r="AG12" s="2"/>
      <c r="AH12" s="2"/>
      <c r="AI12" s="2"/>
    </row>
    <row r="13" spans="1:39" hidden="1" outlineLevel="1" x14ac:dyDescent="0.3">
      <c r="B13" s="38" t="s">
        <v>85</v>
      </c>
      <c r="C13" s="39" t="str">
        <f ca="1">_xll.VIEW(db_name&amp;":}ElementAttributes_}Clients","!","!")</f>
        <v>dcceew_geus:}ElementAttributes_}Clients</v>
      </c>
      <c r="AF13" s="2"/>
      <c r="AG13" s="2"/>
      <c r="AH13" s="2"/>
      <c r="AI13" s="2"/>
    </row>
    <row r="14" spans="1:39" hidden="1" outlineLevel="1" x14ac:dyDescent="0.3">
      <c r="B14" s="38" t="s">
        <v>86</v>
      </c>
      <c r="C14" s="18" t="str">
        <f ca="1">_xll.TM1USER(db_name)</f>
        <v/>
      </c>
      <c r="AF14" s="2"/>
      <c r="AG14" s="2"/>
      <c r="AH14" s="2"/>
      <c r="AI14" s="2"/>
    </row>
    <row r="15" spans="1:39" hidden="1" outlineLevel="1" x14ac:dyDescent="0.3">
      <c r="B15" s="38" t="s">
        <v>87</v>
      </c>
      <c r="C15" s="18" t="str">
        <f ca="1">_xll.DBR($C$13,$C$14,$B15)</f>
        <v>*KEY_ERR</v>
      </c>
      <c r="AF15" s="2"/>
      <c r="AG15" s="2"/>
      <c r="AH15" s="2"/>
      <c r="AI15" s="2"/>
    </row>
    <row r="16" spans="1:39" hidden="1" outlineLevel="1" x14ac:dyDescent="0.3">
      <c r="B16" s="38" t="s">
        <v>88</v>
      </c>
      <c r="C16" s="18" t="str">
        <f ca="1">_xll.DBR($C$13,$C$14,$B16)</f>
        <v>*KEY_ERR</v>
      </c>
      <c r="AF16" s="2"/>
      <c r="AG16" s="2"/>
      <c r="AH16" s="2"/>
      <c r="AI16" s="2"/>
    </row>
    <row r="17" spans="2:35" hidden="1" outlineLevel="1" x14ac:dyDescent="0.3">
      <c r="B17" s="38" t="s">
        <v>89</v>
      </c>
      <c r="C17" s="18" t="str">
        <f ca="1">IF(LEFT($C$15,6)="CAM_AD",$C$16,$C$15)</f>
        <v>*KEY_ERR</v>
      </c>
      <c r="AF17" s="2"/>
      <c r="AG17" s="2"/>
      <c r="AH17" s="2"/>
      <c r="AI17" s="2"/>
    </row>
    <row r="18" spans="2:35" ht="15" hidden="1" outlineLevel="1" thickBot="1" x14ac:dyDescent="0.35">
      <c r="AF18" s="2"/>
      <c r="AG18" s="2"/>
      <c r="AH18" s="2"/>
      <c r="AI18" s="2"/>
    </row>
    <row r="19" spans="2:35" hidden="1" outlineLevel="1" x14ac:dyDescent="0.3">
      <c r="B19" s="64" t="s">
        <v>90</v>
      </c>
      <c r="C19" s="65"/>
      <c r="AF19" s="2"/>
      <c r="AG19" s="2"/>
      <c r="AH19" s="2"/>
      <c r="AI19" s="2"/>
    </row>
    <row r="20" spans="2:35" hidden="1" outlineLevel="1" x14ac:dyDescent="0.3">
      <c r="B20" s="17" t="s">
        <v>91</v>
      </c>
      <c r="C20" s="17" t="str">
        <f ca="1">_xll.VIEW(db_name&amp;":}ElementAttributes_variables","!","!")</f>
        <v>dcceew_geus:}ElementAttributes_variables</v>
      </c>
      <c r="AF20" s="2"/>
      <c r="AG20" s="2"/>
      <c r="AH20" s="2"/>
      <c r="AI20" s="2"/>
    </row>
    <row r="21" spans="2:35" hidden="1" outlineLevel="1" x14ac:dyDescent="0.3">
      <c r="B21" s="17" t="s">
        <v>0</v>
      </c>
      <c r="C21" s="17" t="str">
        <f ca="1">_xll.DBR($C$20,$B21,"value")</f>
        <v>*KEY_ERR</v>
      </c>
      <c r="AF21" s="2"/>
      <c r="AG21" s="2"/>
      <c r="AH21" s="2"/>
      <c r="AI21" s="2"/>
    </row>
    <row r="22" spans="2:35" hidden="1" outlineLevel="1" x14ac:dyDescent="0.3">
      <c r="B22" s="17" t="s">
        <v>92</v>
      </c>
      <c r="C22" s="17" t="str">
        <f ca="1">_xll.DBR($C$20,$B22,"value")</f>
        <v>*KEY_ERR</v>
      </c>
      <c r="AF22" s="2"/>
      <c r="AG22" s="2"/>
      <c r="AH22" s="2"/>
      <c r="AI22" s="2"/>
    </row>
    <row r="23" spans="2:35" hidden="1" outlineLevel="1" x14ac:dyDescent="0.3">
      <c r="B23" s="17" t="s">
        <v>93</v>
      </c>
      <c r="C23" s="17" t="str">
        <f ca="1">_xll.DBR($C$20,$B23,"value")</f>
        <v>*KEY_ERR</v>
      </c>
      <c r="AF23" s="2"/>
      <c r="AG23" s="2"/>
      <c r="AH23" s="2"/>
      <c r="AI23" s="2"/>
    </row>
    <row r="24" spans="2:35" hidden="1" outlineLevel="1" x14ac:dyDescent="0.3">
      <c r="AF24" s="2"/>
      <c r="AG24" s="2"/>
      <c r="AH24" s="2"/>
      <c r="AI24" s="2"/>
    </row>
    <row r="25" spans="2:35" hidden="1" outlineLevel="1" x14ac:dyDescent="0.3">
      <c r="B25" s="66" t="s">
        <v>94</v>
      </c>
      <c r="C25" s="67"/>
      <c r="D25" s="68"/>
      <c r="AF25" s="2"/>
      <c r="AG25" s="2"/>
      <c r="AH25" s="2"/>
      <c r="AI25" s="2"/>
    </row>
    <row r="26" spans="2:35" hidden="1" outlineLevel="1" x14ac:dyDescent="0.3">
      <c r="B26" s="38" t="s">
        <v>95</v>
      </c>
      <c r="C26" s="17" t="str">
        <f ca="1">_xll.VIEW(db_name&amp;":sys_application","!","!")</f>
        <v>dcceew_geus:sys_application</v>
      </c>
      <c r="D26" s="17"/>
      <c r="E26"/>
      <c r="F26"/>
      <c r="G26"/>
      <c r="H26"/>
      <c r="AF26" s="2"/>
      <c r="AG26" s="2"/>
      <c r="AH26" s="2"/>
      <c r="AI26" s="2"/>
    </row>
    <row r="27" spans="2:35" hidden="1" outlineLevel="1" x14ac:dyDescent="0.3">
      <c r="B27" s="38" t="s">
        <v>96</v>
      </c>
      <c r="C27" s="1" t="s">
        <v>109</v>
      </c>
      <c r="D27" s="17"/>
      <c r="E27"/>
      <c r="F27"/>
      <c r="G27"/>
      <c r="H27"/>
      <c r="AF27" s="2"/>
      <c r="AG27" s="2"/>
      <c r="AH27" s="2"/>
      <c r="AI27" s="2"/>
    </row>
    <row r="28" spans="2:35" hidden="1" outlineLevel="1" x14ac:dyDescent="0.3">
      <c r="B28" s="17"/>
      <c r="C28" s="38" t="s">
        <v>97</v>
      </c>
      <c r="D28" s="38" t="s">
        <v>98</v>
      </c>
      <c r="E28" s="38" t="s">
        <v>99</v>
      </c>
      <c r="F28" s="38" t="s">
        <v>100</v>
      </c>
      <c r="G28" s="38" t="s">
        <v>101</v>
      </c>
      <c r="H28" s="38" t="s">
        <v>102</v>
      </c>
      <c r="AF28" s="2"/>
      <c r="AG28" s="2"/>
      <c r="AH28" s="2"/>
      <c r="AI28" s="2"/>
    </row>
    <row r="29" spans="2:35" hidden="1" outlineLevel="1" x14ac:dyDescent="0.3">
      <c r="B29" s="17" t="s">
        <v>103</v>
      </c>
      <c r="C29" s="17" t="str">
        <f ca="1">_xll.DBR($C$26,$B29,C$28)</f>
        <v>*KEY_ERR</v>
      </c>
      <c r="D29" s="17" t="str">
        <f ca="1">_xll.DBR($C$26,$B29,D$28)</f>
        <v>*KEY_ERR</v>
      </c>
      <c r="E29" s="17" t="str">
        <f ca="1">_xll.DBR($C$26,$B29,E$28)</f>
        <v>*KEY_ERR</v>
      </c>
      <c r="F29" s="17" t="str">
        <f ca="1">_xll.DBR($C$26,$B29,F$28)</f>
        <v>*KEY_ERR</v>
      </c>
      <c r="G29" s="17" t="str">
        <f ca="1">_xll.DBR($C$26,$B29,G$28)</f>
        <v>*KEY_ERR</v>
      </c>
      <c r="H29" s="17" t="str">
        <f ca="1">_xll.DBR($C$26,$B29,H$28)</f>
        <v>*KEY_ERR</v>
      </c>
      <c r="AF29" s="2"/>
      <c r="AG29" s="2"/>
      <c r="AH29" s="2"/>
      <c r="AI29" s="2"/>
    </row>
    <row r="30" spans="2:35" hidden="1" outlineLevel="1" x14ac:dyDescent="0.3">
      <c r="B30" s="17" t="s">
        <v>104</v>
      </c>
      <c r="C30" s="17" t="str">
        <f ca="1">_xll.DBR($C$26,$B30,C$28)</f>
        <v>*KEY_ERR</v>
      </c>
      <c r="D30" s="17" t="str">
        <f ca="1">_xll.DBR($C$26,$B30,D$28)</f>
        <v>*KEY_ERR</v>
      </c>
      <c r="E30" s="17" t="str">
        <f ca="1">_xll.DBR($C$26,$B30,E$28)</f>
        <v>*KEY_ERR</v>
      </c>
      <c r="F30" s="17" t="str">
        <f ca="1">_xll.DBR($C$26,$B30,F$28)</f>
        <v>*KEY_ERR</v>
      </c>
      <c r="G30" s="17" t="str">
        <f ca="1">_xll.DBR($C$26,$B30,G$28)</f>
        <v>*KEY_ERR</v>
      </c>
      <c r="H30" s="17" t="str">
        <f ca="1">_xll.DBR($C$26,$B30,H$28)</f>
        <v>*KEY_ERR</v>
      </c>
      <c r="AF30" s="2"/>
      <c r="AG30" s="2"/>
      <c r="AH30" s="2"/>
      <c r="AI30" s="2"/>
    </row>
    <row r="31" spans="2:35" hidden="1" outlineLevel="1" x14ac:dyDescent="0.3">
      <c r="B31" s="17" t="s">
        <v>105</v>
      </c>
      <c r="C31" s="17" t="str">
        <f ca="1">_xll.DBR($C$26,$B31,C$28)</f>
        <v>*KEY_ERR</v>
      </c>
      <c r="D31" s="17" t="str">
        <f ca="1">_xll.DBR($C$26,$B31,D$28)</f>
        <v>*KEY_ERR</v>
      </c>
      <c r="E31" s="17" t="str">
        <f ca="1">_xll.DBR($C$26,$B31,E$28)</f>
        <v>*KEY_ERR</v>
      </c>
      <c r="F31" s="17" t="str">
        <f ca="1">_xll.DBR($C$26,$B31,F$28)</f>
        <v>*KEY_ERR</v>
      </c>
      <c r="G31" s="17" t="str">
        <f ca="1">_xll.DBR($C$26,$B31,G$28)</f>
        <v>*KEY_ERR</v>
      </c>
      <c r="H31" s="17" t="str">
        <f ca="1">_xll.DBR($C$26,$B31,H$28)</f>
        <v>*KEY_ERR</v>
      </c>
      <c r="AF31" s="2"/>
      <c r="AG31" s="2"/>
      <c r="AH31" s="2"/>
      <c r="AI31" s="2"/>
    </row>
    <row r="32" spans="2:35" hidden="1" outlineLevel="1" x14ac:dyDescent="0.3">
      <c r="B32" s="17" t="s">
        <v>106</v>
      </c>
      <c r="C32" s="17" t="str">
        <f ca="1">_xll.DBR($C$26,$B32,C$28)</f>
        <v>*KEY_ERR</v>
      </c>
      <c r="D32" s="17" t="str">
        <f ca="1">_xll.DBR($C$26,$B32,D$28)</f>
        <v>*KEY_ERR</v>
      </c>
      <c r="E32" s="17" t="str">
        <f ca="1">_xll.DBR($C$26,$B32,E$28)</f>
        <v>*KEY_ERR</v>
      </c>
      <c r="F32" s="17" t="str">
        <f ca="1">_xll.DBR($C$26,$B32,F$28)</f>
        <v>*KEY_ERR</v>
      </c>
      <c r="G32" s="17" t="str">
        <f ca="1">_xll.DBR($C$26,$B32,G$28)</f>
        <v>*KEY_ERR</v>
      </c>
      <c r="H32" s="17" t="str">
        <f ca="1">_xll.DBR($C$26,$B32,H$28)</f>
        <v>*KEY_ERR</v>
      </c>
      <c r="AF32" s="2"/>
      <c r="AG32" s="2"/>
      <c r="AH32" s="2"/>
      <c r="AI32" s="2"/>
    </row>
    <row r="33" spans="2:39" hidden="1" outlineLevel="1" x14ac:dyDescent="0.3">
      <c r="B33" s="17" t="s">
        <v>107</v>
      </c>
      <c r="C33" s="17" t="str">
        <f ca="1">_xll.DBR($C$26,$B33,C$28)</f>
        <v>*KEY_ERR</v>
      </c>
      <c r="D33" s="17" t="str">
        <f ca="1">_xll.DBR($C$26,$B33,D$28)</f>
        <v>*KEY_ERR</v>
      </c>
      <c r="E33" s="17" t="str">
        <f ca="1">_xll.DBR($C$26,$B33,E$28)</f>
        <v>*KEY_ERR</v>
      </c>
      <c r="F33" s="17" t="str">
        <f ca="1">_xll.DBR($C$26,$B33,F$28)</f>
        <v>*KEY_ERR</v>
      </c>
      <c r="G33" s="17" t="str">
        <f ca="1">_xll.DBR($C$26,$B33,G$28)</f>
        <v>*KEY_ERR</v>
      </c>
      <c r="H33" s="17" t="str">
        <f ca="1">_xll.DBR($C$26,$B33,H$28)</f>
        <v>*KEY_ERR</v>
      </c>
      <c r="AF33" s="2"/>
      <c r="AG33" s="2"/>
      <c r="AH33" s="2"/>
      <c r="AI33" s="2"/>
    </row>
    <row r="34" spans="2:39" hidden="1" outlineLevel="1" x14ac:dyDescent="0.3">
      <c r="B34" s="17" t="s">
        <v>108</v>
      </c>
      <c r="C34" s="17" t="str">
        <f ca="1">_xll.DBR($C$26,$B34,C$28)</f>
        <v>*KEY_ERR</v>
      </c>
      <c r="D34" s="17" t="str">
        <f ca="1">_xll.DBR($C$26,$B34,D$28)</f>
        <v>*KEY_ERR</v>
      </c>
      <c r="E34" s="17" t="str">
        <f ca="1">_xll.DBR($C$26,$B34,E$28)</f>
        <v>*KEY_ERR</v>
      </c>
      <c r="F34" s="17" t="str">
        <f ca="1">_xll.DBR($C$26,$B34,F$28)</f>
        <v>*KEY_ERR</v>
      </c>
      <c r="G34" s="17" t="str">
        <f ca="1">_xll.DBR($C$26,$B34,G$28)</f>
        <v>*KEY_ERR</v>
      </c>
      <c r="H34" s="17" t="str">
        <f ca="1">_xll.DBR($C$26,$B34,H$28)</f>
        <v>*KEY_ERR</v>
      </c>
      <c r="AF34" s="2"/>
      <c r="AG34" s="2"/>
      <c r="AH34" s="2"/>
      <c r="AI34" s="2"/>
    </row>
    <row r="35" spans="2:39" hidden="1" outlineLevel="1" x14ac:dyDescent="0.3">
      <c r="B35" s="33" t="s">
        <v>109</v>
      </c>
      <c r="C35" s="17" t="str">
        <f ca="1">_xll.DBR($C$26,$B35,C$28)</f>
        <v>*KEY_ERR</v>
      </c>
      <c r="D35" s="17" t="str">
        <f ca="1">_xll.DBR($C$26,$B35,D$28)</f>
        <v>*KEY_ERR</v>
      </c>
      <c r="E35" s="17" t="str">
        <f ca="1">_xll.DBR($C$26,$B35,E$28)</f>
        <v>*KEY_ERR</v>
      </c>
      <c r="F35" s="17" t="str">
        <f ca="1">_xll.DBR($C$26,$B35,F$28)</f>
        <v>*KEY_ERR</v>
      </c>
      <c r="G35" s="17" t="str">
        <f ca="1">_xll.DBR($C$26,$B35,G$28)</f>
        <v>*KEY_ERR</v>
      </c>
      <c r="H35" s="17" t="str">
        <f ca="1">_xll.DBR($C$26,$B35,H$28)</f>
        <v>*KEY_ERR</v>
      </c>
      <c r="AF35" s="2"/>
      <c r="AG35" s="2"/>
      <c r="AH35" s="2"/>
      <c r="AI35" s="2"/>
    </row>
    <row r="36" spans="2:39" hidden="1" outlineLevel="1" x14ac:dyDescent="0.3">
      <c r="B36" s="33" t="s">
        <v>110</v>
      </c>
      <c r="C36" s="17" t="str">
        <f ca="1">_xll.DBR($C$26,$B36,C$28)</f>
        <v>*KEY_ERR</v>
      </c>
      <c r="D36" s="17" t="str">
        <f ca="1">_xll.DBR($C$26,$B36,D$28)</f>
        <v>*KEY_ERR</v>
      </c>
      <c r="E36" s="17" t="str">
        <f ca="1">_xll.DBR($C$26,$B36,E$28)</f>
        <v>*KEY_ERR</v>
      </c>
      <c r="F36" s="17" t="str">
        <f ca="1">_xll.DBR($C$26,$B36,F$28)</f>
        <v>*KEY_ERR</v>
      </c>
      <c r="G36" s="17" t="str">
        <f ca="1">_xll.DBR($C$26,$B36,G$28)</f>
        <v>*KEY_ERR</v>
      </c>
      <c r="H36" s="17" t="str">
        <f ca="1">_xll.DBR($C$26,$B36,H$28)</f>
        <v>*KEY_ERR</v>
      </c>
      <c r="AF36" s="2"/>
      <c r="AG36" s="2"/>
      <c r="AH36" s="2"/>
      <c r="AI36" s="2"/>
    </row>
    <row r="37" spans="2:39" hidden="1" outlineLevel="1" x14ac:dyDescent="0.3">
      <c r="B37" s="33" t="s">
        <v>111</v>
      </c>
      <c r="C37" s="17" t="str">
        <f ca="1">_xll.DBR($C$26,$B37,C$28)</f>
        <v>*KEY_ERR</v>
      </c>
      <c r="D37" s="17" t="str">
        <f ca="1">_xll.DBR($C$26,$B37,D$28)</f>
        <v>*KEY_ERR</v>
      </c>
      <c r="E37" s="17" t="str">
        <f ca="1">_xll.DBR($C$26,$B37,E$28)</f>
        <v>*KEY_ERR</v>
      </c>
      <c r="F37" s="17" t="str">
        <f ca="1">_xll.DBR($C$26,$B37,F$28)</f>
        <v>*KEY_ERR</v>
      </c>
      <c r="G37" s="17" t="str">
        <f ca="1">_xll.DBR($C$26,$B37,G$28)</f>
        <v>*KEY_ERR</v>
      </c>
      <c r="H37" s="17" t="str">
        <f ca="1">_xll.DBR($C$26,$B37,H$28)</f>
        <v>*KEY_ERR</v>
      </c>
      <c r="AF37" s="2"/>
      <c r="AG37" s="2"/>
      <c r="AH37" s="2"/>
      <c r="AI37" s="2"/>
    </row>
    <row r="38" spans="2:39" hidden="1" outlineLevel="1" x14ac:dyDescent="0.3">
      <c r="B38" s="33" t="s">
        <v>112</v>
      </c>
      <c r="C38" s="17" t="str">
        <f ca="1">_xll.DBR($C$26,$B38,C$28)</f>
        <v>*KEY_ERR</v>
      </c>
      <c r="D38" s="17" t="str">
        <f ca="1">_xll.DBR($C$26,$B38,D$28)</f>
        <v>*KEY_ERR</v>
      </c>
      <c r="E38" s="17" t="str">
        <f ca="1">_xll.DBR($C$26,$B38,E$28)</f>
        <v>*KEY_ERR</v>
      </c>
      <c r="F38" s="17" t="str">
        <f ca="1">_xll.DBR($C$26,$B38,F$28)</f>
        <v>*KEY_ERR</v>
      </c>
      <c r="G38" s="17" t="str">
        <f ca="1">_xll.DBR($C$26,$B38,G$28)</f>
        <v>*KEY_ERR</v>
      </c>
      <c r="H38" s="17" t="str">
        <f ca="1">_xll.DBR($C$26,$B38,H$28)</f>
        <v>*KEY_ERR</v>
      </c>
      <c r="AF38" s="2"/>
      <c r="AG38" s="2"/>
      <c r="AH38" s="2"/>
      <c r="AI38" s="2"/>
    </row>
    <row r="39" spans="2:39" hidden="1" outlineLevel="1" x14ac:dyDescent="0.3">
      <c r="B39" s="17" t="s">
        <v>126</v>
      </c>
      <c r="C39" s="17" t="str">
        <f ca="1">_xll.DBR($C$26,$B39,C$28)</f>
        <v>*KEY_ERR</v>
      </c>
      <c r="D39" s="17" t="str">
        <f ca="1">_xll.DBR($C$26,$B39,D$28)</f>
        <v>*KEY_ERR</v>
      </c>
      <c r="E39" s="17" t="str">
        <f ca="1">_xll.DBR($C$26,$B39,E$28)</f>
        <v>*KEY_ERR</v>
      </c>
      <c r="F39" s="17" t="str">
        <f ca="1">_xll.DBR($C$26,$B39,F$28)</f>
        <v>*KEY_ERR</v>
      </c>
      <c r="G39" s="17" t="str">
        <f ca="1">_xll.DBR($C$26,$B39,G$28)</f>
        <v>*KEY_ERR</v>
      </c>
      <c r="H39" s="17" t="str">
        <f ca="1">_xll.DBR($C$26,$B39,H$28)</f>
        <v>*KEY_ERR</v>
      </c>
      <c r="AF39" s="2"/>
      <c r="AG39" s="2"/>
      <c r="AH39" s="2"/>
      <c r="AI39" s="2"/>
    </row>
    <row r="40" spans="2:39" hidden="1" outlineLevel="1" x14ac:dyDescent="0.3">
      <c r="AF40" s="2"/>
      <c r="AG40" s="2"/>
      <c r="AH40" s="2"/>
      <c r="AI40" s="2"/>
    </row>
    <row r="41" spans="2:39" hidden="1" outlineLevel="1" x14ac:dyDescent="0.3">
      <c r="AF41" s="2"/>
      <c r="AG41" s="2"/>
      <c r="AH41" s="2"/>
      <c r="AI41" s="2"/>
    </row>
    <row r="42" spans="2:39" hidden="1" outlineLevel="1" x14ac:dyDescent="0.3">
      <c r="AF42" s="2"/>
      <c r="AG42" s="2"/>
      <c r="AH42" s="2"/>
      <c r="AI42" s="2"/>
    </row>
    <row r="43" spans="2:39" hidden="1" outlineLevel="1" x14ac:dyDescent="0.3">
      <c r="AF43" s="2"/>
      <c r="AG43" s="2"/>
      <c r="AH43" s="2"/>
      <c r="AI43" s="2"/>
    </row>
    <row r="44" spans="2:39" hidden="1" outlineLevel="1" x14ac:dyDescent="0.3">
      <c r="AF44" s="2"/>
      <c r="AG44" s="2"/>
      <c r="AH44" s="2"/>
      <c r="AI44" s="2"/>
    </row>
    <row r="45" spans="2:39" hidden="1" outlineLevel="1" x14ac:dyDescent="0.3">
      <c r="AF45" s="15" t="s">
        <v>61</v>
      </c>
      <c r="AH45" s="16"/>
      <c r="AI45" s="16"/>
    </row>
    <row r="46" spans="2:39" hidden="1" outlineLevel="1" x14ac:dyDescent="0.3">
      <c r="B46" s="61" t="s">
        <v>42</v>
      </c>
      <c r="C46" s="61"/>
      <c r="AF46" s="17" t="str">
        <f ca="1">RIGHT($C$48,9)</f>
        <v/>
      </c>
      <c r="AH46" s="18" t="str">
        <f ca="1">_xll.DIMNM(db_name&amp;":period",_xll.DIMIX(db_name&amp;":period",$AF$46)+AH$47)</f>
        <v/>
      </c>
      <c r="AI46" s="18" t="str">
        <f ca="1">_xll.DIMNM(db_name&amp;":period",_xll.DIMIX(db_name&amp;":period",$AF$46)+AI$47)</f>
        <v/>
      </c>
    </row>
    <row r="47" spans="2:39" hidden="1" outlineLevel="1" x14ac:dyDescent="0.3">
      <c r="B47" s="33" t="s">
        <v>39</v>
      </c>
      <c r="C47" s="40" t="str">
        <f ca="1">_xll.TM1RPTVIEW(db_name&amp;":AE adjustments:1", 1, _xll.TM1RPTTITLE(db_name&amp;":headline year",$C$48), _xll.TM1RPTTITLE(db_name&amp;":scenario",$C$49), _xll.TM1RPTTITLE(db_name&amp;":status",$C$50), _xll.TM1RPTTITLE(db_name&amp;":related entity",$C$52), _xll.TM1RPTTITLE(db_name&amp;":function",$C$53), _xll.TM1RPTTITLE(db_name&amp;":reason",$C$54), _xll.TM1RPTTITLE(db_name&amp;":spp",$C$55), _xll.TM1RPTTITLE(db_name&amp;":measure code",$C$56), _xll.TM1RPTTITLE(db_name&amp;":jurisdiction",$C$63),TM1RPTFMTRNG,TM1RPTFMTIDCOL)</f>
        <v>dcceew_geus:AE adjustments:1</v>
      </c>
      <c r="E47" s="12"/>
      <c r="W47" s="19"/>
      <c r="AA47" s="2"/>
      <c r="AB47" s="2"/>
      <c r="AC47" s="1"/>
      <c r="AD47" s="14"/>
      <c r="AF47" s="17" t="s">
        <v>62</v>
      </c>
      <c r="AH47" s="18">
        <v>-1</v>
      </c>
      <c r="AI47" s="18">
        <v>0</v>
      </c>
      <c r="AK47" s="14"/>
      <c r="AM47" s="1"/>
    </row>
    <row r="48" spans="2:39" hidden="1" outlineLevel="1" x14ac:dyDescent="0.3">
      <c r="B48" s="41" t="s">
        <v>0</v>
      </c>
      <c r="C48" s="33" t="str">
        <f ca="1">+T106</f>
        <v/>
      </c>
      <c r="W48" s="19"/>
      <c r="AA48" s="2"/>
      <c r="AB48" s="2"/>
      <c r="AC48" s="1"/>
      <c r="AD48" s="14"/>
      <c r="AF48" s="1"/>
      <c r="AK48" s="14"/>
      <c r="AM48" s="1"/>
    </row>
    <row r="49" spans="2:39" hidden="1" outlineLevel="1" x14ac:dyDescent="0.3">
      <c r="B49" s="41" t="s">
        <v>1</v>
      </c>
      <c r="C49" s="33" t="str">
        <f ca="1">+T107</f>
        <v/>
      </c>
      <c r="W49" s="19"/>
      <c r="AA49" s="2"/>
      <c r="AB49" s="2"/>
      <c r="AC49" s="1"/>
      <c r="AD49" s="14"/>
      <c r="AF49" s="1"/>
      <c r="AK49" s="14"/>
      <c r="AM49" s="1"/>
    </row>
    <row r="50" spans="2:39" hidden="1" outlineLevel="1" x14ac:dyDescent="0.3">
      <c r="B50" s="41" t="s">
        <v>2</v>
      </c>
      <c r="C50" s="33" t="str">
        <f ca="1">_xll.SUBNM(db_name&amp;":status","","Total approved")</f>
        <v/>
      </c>
    </row>
    <row r="51" spans="2:39" hidden="1" outlineLevel="1" x14ac:dyDescent="0.3">
      <c r="B51" s="41" t="s">
        <v>3</v>
      </c>
      <c r="C51" s="42" t="str">
        <f ca="1">_xll.SUBNM(db_name&amp;":outcome","","Total outcomes")</f>
        <v/>
      </c>
    </row>
    <row r="52" spans="2:39" hidden="1" outlineLevel="1" x14ac:dyDescent="0.3">
      <c r="B52" s="41" t="s">
        <v>4</v>
      </c>
      <c r="C52" s="33" t="str">
        <f ca="1">_xll.SUBNM(db_name&amp;":related entity","","Total related entity")</f>
        <v/>
      </c>
    </row>
    <row r="53" spans="2:39" hidden="1" outlineLevel="1" x14ac:dyDescent="0.3">
      <c r="B53" s="41" t="s">
        <v>5</v>
      </c>
      <c r="C53" s="33" t="str">
        <f ca="1">_xll.SUBNM(db_name&amp;":function","","Total functions")</f>
        <v/>
      </c>
    </row>
    <row r="54" spans="2:39" hidden="1" outlineLevel="1" x14ac:dyDescent="0.3">
      <c r="B54" s="41" t="s">
        <v>6</v>
      </c>
      <c r="C54" s="33" t="str">
        <f ca="1">+T108</f>
        <v/>
      </c>
    </row>
    <row r="55" spans="2:39" hidden="1" outlineLevel="1" x14ac:dyDescent="0.3">
      <c r="B55" s="41" t="s">
        <v>7</v>
      </c>
      <c r="C55" s="33" t="str">
        <f ca="1">_xll.SUBNM(db_name&amp;":spp","","Total SPP")</f>
        <v/>
      </c>
    </row>
    <row r="56" spans="2:39" hidden="1" outlineLevel="1" x14ac:dyDescent="0.3">
      <c r="B56" s="41" t="s">
        <v>8</v>
      </c>
      <c r="C56" s="33" t="str">
        <f ca="1">_xll.SUBNM(db_name&amp;":measure code","","Total Measures","CBMS")</f>
        <v/>
      </c>
    </row>
    <row r="57" spans="2:39" hidden="1" outlineLevel="1" x14ac:dyDescent="0.3">
      <c r="B57" s="41" t="s">
        <v>9</v>
      </c>
      <c r="C57" s="33" t="str">
        <f ca="1">_xll.SUBNM(db_name&amp;":appropriation type","","Total approp types")</f>
        <v/>
      </c>
    </row>
    <row r="58" spans="2:39" hidden="1" outlineLevel="1" x14ac:dyDescent="0.3">
      <c r="B58" s="41" t="s">
        <v>34</v>
      </c>
      <c r="C58" s="42" t="str">
        <f ca="1">_xll.SUBNM(db_name&amp;":movement account","","Total movement")</f>
        <v/>
      </c>
    </row>
    <row r="59" spans="2:39" hidden="1" outlineLevel="1" x14ac:dyDescent="0.3">
      <c r="B59" s="41" t="s">
        <v>12</v>
      </c>
      <c r="C59" s="33" t="str">
        <f ca="1">_xll.SUBNM(db_name&amp;":appropriation item","","Total approp item")</f>
        <v/>
      </c>
    </row>
    <row r="60" spans="2:39" hidden="1" outlineLevel="1" x14ac:dyDescent="0.3">
      <c r="B60" s="41" t="s">
        <v>35</v>
      </c>
      <c r="C60" s="42" t="str">
        <f ca="1">_xll.SUBNM(db_name&amp;":programme","","Total programmes")</f>
        <v/>
      </c>
    </row>
    <row r="61" spans="2:39" hidden="1" outlineLevel="1" x14ac:dyDescent="0.3">
      <c r="B61" s="41" t="s">
        <v>36</v>
      </c>
      <c r="C61" s="42" t="str">
        <f ca="1">_xll.SUBNM(db_name&amp;":account","","9000130")</f>
        <v/>
      </c>
    </row>
    <row r="62" spans="2:39" hidden="1" outlineLevel="1" x14ac:dyDescent="0.3">
      <c r="B62" s="41" t="s">
        <v>37</v>
      </c>
      <c r="C62" s="42" t="str">
        <f ca="1">_xll.SUBNM(db_name&amp;":id","","total ids")</f>
        <v/>
      </c>
    </row>
    <row r="63" spans="2:39" hidden="1" outlineLevel="1" x14ac:dyDescent="0.3">
      <c r="B63" s="41" t="s">
        <v>10</v>
      </c>
      <c r="C63" s="33" t="str">
        <f ca="1">_xll.SUBNM(db_name&amp;":jurisdiction","","Total jurisdictions")</f>
        <v/>
      </c>
    </row>
    <row r="64" spans="2:39" hidden="1" outlineLevel="1" x14ac:dyDescent="0.3">
      <c r="B64" s="41" t="s">
        <v>38</v>
      </c>
      <c r="C64" s="42" t="s">
        <v>13</v>
      </c>
    </row>
    <row r="65" spans="2:3" hidden="1" outlineLevel="1" x14ac:dyDescent="0.3">
      <c r="B65" s="41" t="s">
        <v>11</v>
      </c>
      <c r="C65" s="33" t="str">
        <f ca="1">_xll.SUBNM(db_name&amp;":movement account","","Total movement","code and description")</f>
        <v/>
      </c>
    </row>
    <row r="66" spans="2:3" hidden="1" outlineLevel="1" x14ac:dyDescent="0.3">
      <c r="B66" s="13"/>
    </row>
    <row r="67" spans="2:3" hidden="1" outlineLevel="1" x14ac:dyDescent="0.3">
      <c r="B67" s="61" t="s">
        <v>40</v>
      </c>
      <c r="C67" s="61"/>
    </row>
    <row r="68" spans="2:3" hidden="1" outlineLevel="1" x14ac:dyDescent="0.3">
      <c r="B68" s="41" t="s">
        <v>66</v>
      </c>
      <c r="C68" s="43" t="str">
        <f ca="1">IF($Y$106="Yes",C70,C69)</f>
        <v>{TM1FILTERBYLEVEL( {TM1SUBSETALL( [programme] )}, 0)}</v>
      </c>
    </row>
    <row r="69" spans="2:3" hidden="1" outlineLevel="1" x14ac:dyDescent="0.3">
      <c r="B69" s="41" t="s">
        <v>21</v>
      </c>
      <c r="C69" s="43" t="s">
        <v>22</v>
      </c>
    </row>
    <row r="70" spans="2:3" hidden="1" outlineLevel="1" x14ac:dyDescent="0.3">
      <c r="B70" s="41" t="s">
        <v>67</v>
      </c>
      <c r="C70" s="33" t="str">
        <f ca="1">"{TM1FILTERBYLEVEL( {TM1DRILLDOWNMEMBER( {[programme].[" &amp; $Z$106 &amp; "]}, ALL, RECURSIVE )}, 0)}"</f>
        <v>{TM1FILTERBYLEVEL( {TM1DRILLDOWNMEMBER( {[programme].[]}, ALL, RECURSIVE )}, 0)}</v>
      </c>
    </row>
    <row r="71" spans="2:3" hidden="1" outlineLevel="1" x14ac:dyDescent="0.3">
      <c r="B71" s="13"/>
      <c r="C71" s="12"/>
    </row>
    <row r="72" spans="2:3" hidden="1" outlineLevel="1" x14ac:dyDescent="0.3">
      <c r="B72" s="41" t="s">
        <v>72</v>
      </c>
      <c r="C72" s="43" t="str">
        <f ca="1">IF($Y$107="Yes",C74,C73)</f>
        <v>{TM1FILTERBYLEVEL( {TM1SUBSETALL( [appropriation item] )}, 0)}</v>
      </c>
    </row>
    <row r="73" spans="2:3" hidden="1" outlineLevel="1" x14ac:dyDescent="0.3">
      <c r="B73" s="41" t="s">
        <v>59</v>
      </c>
      <c r="C73" s="43" t="s">
        <v>60</v>
      </c>
    </row>
    <row r="74" spans="2:3" hidden="1" outlineLevel="1" x14ac:dyDescent="0.3">
      <c r="B74" s="41" t="s">
        <v>71</v>
      </c>
      <c r="C74" s="33" t="str">
        <f ca="1">"{TM1FILTERBYLEVEL( {TM1DRILLDOWNMEMBER( {[appropriation item].[" &amp; $Z$107 &amp; "]}, ALL, RECURSIVE )}, 0)}"</f>
        <v>{TM1FILTERBYLEVEL( {TM1DRILLDOWNMEMBER( {[appropriation item].[]}, ALL, RECURSIVE )}, 0)}</v>
      </c>
    </row>
    <row r="75" spans="2:3" hidden="1" outlineLevel="1" x14ac:dyDescent="0.3">
      <c r="B75" s="13"/>
    </row>
    <row r="76" spans="2:3" hidden="1" outlineLevel="1" x14ac:dyDescent="0.3">
      <c r="B76" s="41" t="s">
        <v>68</v>
      </c>
      <c r="C76" s="43" t="str">
        <f ca="1">IF($Y$106="Yes",C79,C77)</f>
        <v>{TM1FILTERBYLEVEL( {TM1DRILLDOWNMEMBER( {[account].[sys_account requiring approp]}, ALL, RECURSIVE )}, 0)}</v>
      </c>
    </row>
    <row r="77" spans="2:3" hidden="1" outlineLevel="1" x14ac:dyDescent="0.3">
      <c r="B77" s="41" t="s">
        <v>70</v>
      </c>
      <c r="C77" s="33" t="str">
        <f ca="1">"{TM1FILTERBYLEVEL( {TM1DRILLDOWNMEMBER( {[account].[" &amp; $C$78 &amp; "]}, ALL, RECURSIVE )}, 0)}"</f>
        <v>{TM1FILTERBYLEVEL( {TM1DRILLDOWNMEMBER( {[account].[sys_account requiring approp]}, ALL, RECURSIVE )}, 0)}</v>
      </c>
    </row>
    <row r="78" spans="2:3" hidden="1" outlineLevel="1" x14ac:dyDescent="0.3">
      <c r="B78" s="41" t="s">
        <v>30</v>
      </c>
      <c r="C78" s="43" t="s">
        <v>31</v>
      </c>
    </row>
    <row r="79" spans="2:3" hidden="1" outlineLevel="1" x14ac:dyDescent="0.3">
      <c r="B79" s="41" t="s">
        <v>69</v>
      </c>
      <c r="C79" s="33" t="str">
        <f ca="1">"{TM1FILTERBYLEVEL( {TM1DRILLDOWNMEMBER( {[account].[" &amp; $Z$108 &amp; "]}, ALL, RECURSIVE )}, 0)}"</f>
        <v>{TM1FILTERBYLEVEL( {TM1DRILLDOWNMEMBER( {[account].[]}, ALL, RECURSIVE )}, 0)}</v>
      </c>
    </row>
    <row r="80" spans="2:3" hidden="1" outlineLevel="1" x14ac:dyDescent="0.3">
      <c r="B80" s="13"/>
    </row>
    <row r="81" spans="2:39" hidden="1" outlineLevel="1" x14ac:dyDescent="0.3">
      <c r="B81" s="41" t="s">
        <v>23</v>
      </c>
      <c r="C81" s="43" t="s">
        <v>24</v>
      </c>
    </row>
    <row r="82" spans="2:39" hidden="1" outlineLevel="1" x14ac:dyDescent="0.3">
      <c r="B82" s="41" t="s">
        <v>32</v>
      </c>
      <c r="C82" s="44" t="s">
        <v>33</v>
      </c>
    </row>
    <row r="83" spans="2:39" hidden="1" outlineLevel="1" x14ac:dyDescent="0.3">
      <c r="B83" s="41" t="s">
        <v>25</v>
      </c>
      <c r="C83" s="43" t="s">
        <v>26</v>
      </c>
      <c r="G83" s="12"/>
    </row>
    <row r="84" spans="2:39" hidden="1" outlineLevel="1" x14ac:dyDescent="0.3">
      <c r="B84" s="41" t="s">
        <v>28</v>
      </c>
      <c r="C84" s="43" t="s">
        <v>29</v>
      </c>
    </row>
    <row r="85" spans="2:39" hidden="1" outlineLevel="1" x14ac:dyDescent="0.3">
      <c r="B85" s="41" t="s">
        <v>57</v>
      </c>
      <c r="C85" s="43" t="s">
        <v>58</v>
      </c>
    </row>
    <row r="86" spans="2:39" hidden="1" outlineLevel="1" x14ac:dyDescent="0.3">
      <c r="B86" s="13"/>
      <c r="C86" s="12"/>
    </row>
    <row r="87" spans="2:39" hidden="1" outlineLevel="1" x14ac:dyDescent="0.3">
      <c r="B87" s="13"/>
      <c r="C87" s="12"/>
    </row>
    <row r="88" spans="2:39" hidden="1" outlineLevel="1" x14ac:dyDescent="0.3">
      <c r="B88" s="61" t="s">
        <v>41</v>
      </c>
      <c r="C88" s="61"/>
    </row>
    <row r="89" spans="2:39" hidden="1" outlineLevel="1" x14ac:dyDescent="0.3">
      <c r="B89" s="41" t="s">
        <v>43</v>
      </c>
      <c r="C89" s="45" t="str">
        <f ca="1">_xll.VIEW(db_name&amp;":AE id details",$T$106,$T$107,"!","!")</f>
        <v>dcceew_geus:AE id details</v>
      </c>
    </row>
    <row r="90" spans="2:39" hidden="1" outlineLevel="1" x14ac:dyDescent="0.3">
      <c r="B90" s="13"/>
    </row>
    <row r="91" spans="2:39" hidden="1" outlineLevel="1" x14ac:dyDescent="0.3">
      <c r="B91" s="61" t="s">
        <v>52</v>
      </c>
      <c r="C91" s="61"/>
    </row>
    <row r="92" spans="2:39" hidden="1" outlineLevel="1" x14ac:dyDescent="0.3">
      <c r="B92" s="41" t="s">
        <v>43</v>
      </c>
      <c r="C92" s="46" t="str">
        <f ca="1">_xll.VIEW(db_name&amp;":programme details",$T$106,$T$107,"!","!")</f>
        <v>dcceew_geus:programme details</v>
      </c>
    </row>
    <row r="93" spans="2:39" hidden="1" outlineLevel="1" x14ac:dyDescent="0.3">
      <c r="B93" s="13"/>
      <c r="C93"/>
    </row>
    <row r="94" spans="2:39" hidden="1" outlineLevel="1" x14ac:dyDescent="0.3">
      <c r="B94" s="13"/>
      <c r="AG94" s="14"/>
      <c r="AH94" s="14"/>
      <c r="AI94" s="14"/>
    </row>
    <row r="95" spans="2:39" customFormat="1" ht="28.8" hidden="1" outlineLevel="1" x14ac:dyDescent="0.3">
      <c r="C95" s="1"/>
      <c r="J95" s="3" t="s">
        <v>20</v>
      </c>
      <c r="K95" s="3" t="s">
        <v>27</v>
      </c>
      <c r="L95" s="3" t="s">
        <v>19</v>
      </c>
      <c r="M95" s="3" t="s">
        <v>56</v>
      </c>
      <c r="N95" s="3" t="s">
        <v>12</v>
      </c>
      <c r="O95" s="3" t="s">
        <v>18</v>
      </c>
      <c r="P95" s="3" t="s">
        <v>11</v>
      </c>
      <c r="Q95" s="4"/>
      <c r="R95" s="52" t="str">
        <f ca="1">J95</f>
        <v>ID</v>
      </c>
      <c r="S95" s="53" t="s">
        <v>44</v>
      </c>
      <c r="T95" s="53" t="s">
        <v>45</v>
      </c>
      <c r="U95" s="52" t="str">
        <f ca="1">K95</f>
        <v>Outcome</v>
      </c>
      <c r="V95" s="52"/>
      <c r="W95" s="52" t="str">
        <f ca="1">L95</f>
        <v>Programme</v>
      </c>
      <c r="X95" s="53" t="s">
        <v>51</v>
      </c>
      <c r="Y95" s="54" t="s">
        <v>6</v>
      </c>
      <c r="Z95" s="53" t="s">
        <v>46</v>
      </c>
      <c r="AA95" s="55" t="s">
        <v>47</v>
      </c>
      <c r="AB95" s="53" t="s">
        <v>48</v>
      </c>
      <c r="AC95" s="52" t="str">
        <f ca="1">M95</f>
        <v>Appropriation type</v>
      </c>
      <c r="AD95" s="52" t="str">
        <f ca="1">N95</f>
        <v>appropriation item</v>
      </c>
      <c r="AE95" s="52" t="str">
        <f ca="1">O95</f>
        <v>Account</v>
      </c>
      <c r="AF95" s="52" t="str">
        <f ca="1">P95</f>
        <v>movement account</v>
      </c>
      <c r="AG95" s="52"/>
      <c r="AH95" s="52" t="str">
        <f ca="1">+AH46</f>
        <v/>
      </c>
      <c r="AI95" s="52" t="str">
        <f ca="1">+AI46</f>
        <v/>
      </c>
      <c r="AJ95" s="53"/>
      <c r="AK95" s="53" t="s">
        <v>2</v>
      </c>
      <c r="AL95" s="53" t="s">
        <v>49</v>
      </c>
      <c r="AM95" s="55" t="s">
        <v>50</v>
      </c>
    </row>
    <row r="96" spans="2:39" hidden="1" outlineLevel="1" x14ac:dyDescent="0.3">
      <c r="B96" s="13"/>
    </row>
    <row r="97" spans="1:39" hidden="1" outlineLevel="1" x14ac:dyDescent="0.3">
      <c r="B97" s="13"/>
    </row>
    <row r="98" spans="1:39" ht="39.9" customHeight="1" collapsed="1" x14ac:dyDescent="0.3">
      <c r="J98" s="20"/>
      <c r="K98" s="20"/>
      <c r="L98" s="20"/>
      <c r="M98" s="20"/>
      <c r="N98" s="20"/>
      <c r="O98" s="21"/>
      <c r="P98" s="21"/>
      <c r="Q98" s="21"/>
      <c r="R98" s="22"/>
      <c r="S98" s="20"/>
      <c r="T98" s="20"/>
      <c r="U98" s="20"/>
      <c r="V98" s="20"/>
      <c r="W98" s="20"/>
      <c r="X98" s="20"/>
      <c r="Y98" s="27"/>
      <c r="Z98" s="20"/>
      <c r="AA98" s="21"/>
      <c r="AB98" s="21" t="s">
        <v>127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</row>
    <row r="99" spans="1:39" customFormat="1" ht="4.5" customHeight="1" x14ac:dyDescent="0.3">
      <c r="Y99" s="28"/>
    </row>
    <row r="100" spans="1:39" customFormat="1" ht="24" customHeight="1" x14ac:dyDescent="0.3">
      <c r="Y100" s="28"/>
    </row>
    <row r="101" spans="1:39" customFormat="1" ht="1.5" customHeight="1" x14ac:dyDescent="0.3"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</row>
    <row r="102" spans="1:39" customFormat="1" ht="4.5" customHeight="1" x14ac:dyDescent="0.3">
      <c r="Y102" s="28"/>
    </row>
    <row r="103" spans="1:39" customFormat="1" x14ac:dyDescent="0.3">
      <c r="R103" s="60" t="s">
        <v>113</v>
      </c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spans="1:39" customFormat="1" ht="4.5" customHeight="1" x14ac:dyDescent="0.3">
      <c r="Y104" s="28"/>
      <c r="AF104" s="25"/>
    </row>
    <row r="105" spans="1:39" s="30" customFormat="1" x14ac:dyDescent="0.3">
      <c r="T105" s="79" t="s">
        <v>115</v>
      </c>
      <c r="U105" s="80"/>
      <c r="V105" s="31"/>
      <c r="W105" s="72" t="s">
        <v>122</v>
      </c>
      <c r="X105" s="72"/>
      <c r="Y105" s="57" t="s">
        <v>123</v>
      </c>
      <c r="Z105" s="75" t="s">
        <v>124</v>
      </c>
      <c r="AA105" s="75"/>
      <c r="AB105" s="75"/>
      <c r="AC105" s="75"/>
      <c r="AD105" s="75"/>
      <c r="AE105" s="75"/>
      <c r="AF105" s="25"/>
    </row>
    <row r="106" spans="1:39" customFormat="1" ht="14.4" customHeight="1" x14ac:dyDescent="0.3">
      <c r="S106" s="59" t="s">
        <v>116</v>
      </c>
      <c r="T106" s="69" t="str">
        <f ca="1">_xll.SUBNM(db_name&amp;":headline year","",$C$21)</f>
        <v/>
      </c>
      <c r="U106" s="70"/>
      <c r="V106" s="25"/>
      <c r="W106" s="59"/>
      <c r="X106" s="59" t="s">
        <v>119</v>
      </c>
      <c r="Y106" s="58" t="str">
        <f ca="1">_xll.SUBNM(db_name&amp;":sys_YesNo","","No")</f>
        <v/>
      </c>
      <c r="Z106" s="76" t="str">
        <f ca="1">_xll.SUBNM(db_name&amp;":programme","","Total Programmes","code and description")</f>
        <v/>
      </c>
      <c r="AA106" s="77"/>
      <c r="AB106" s="77"/>
      <c r="AC106" s="77"/>
      <c r="AD106" s="77"/>
      <c r="AE106" s="78"/>
      <c r="AF106" s="25"/>
    </row>
    <row r="107" spans="1:39" customFormat="1" ht="14.4" customHeight="1" x14ac:dyDescent="0.3">
      <c r="S107" s="59" t="s">
        <v>117</v>
      </c>
      <c r="T107" s="69" t="str">
        <f ca="1">_xll.SUBNM(db_name&amp;":scenario","sys_BudgetRound",$C$22)</f>
        <v/>
      </c>
      <c r="U107" s="70"/>
      <c r="V107" s="25"/>
      <c r="W107" s="59"/>
      <c r="X107" s="59" t="s">
        <v>120</v>
      </c>
      <c r="Y107" s="58" t="str">
        <f ca="1">_xll.SUBNM(db_name&amp;":sys_YesNo","","No")</f>
        <v/>
      </c>
      <c r="Z107" s="76" t="str">
        <f ca="1">_xll.SUBNM(db_name&amp;":appropriation item","","Total approp item")</f>
        <v/>
      </c>
      <c r="AA107" s="77"/>
      <c r="AB107" s="77"/>
      <c r="AC107" s="77"/>
      <c r="AD107" s="77"/>
      <c r="AE107" s="78"/>
      <c r="AF107" s="25"/>
    </row>
    <row r="108" spans="1:39" customFormat="1" ht="14.4" customHeight="1" x14ac:dyDescent="0.3">
      <c r="S108" s="59" t="s">
        <v>118</v>
      </c>
      <c r="T108" s="69" t="str">
        <f ca="1">_xll.SUBNM(db_name&amp;":reason","","Total reason","CBMS code and description")</f>
        <v/>
      </c>
      <c r="U108" s="70"/>
      <c r="V108" s="25"/>
      <c r="W108" s="59"/>
      <c r="X108" s="59" t="s">
        <v>121</v>
      </c>
      <c r="Y108" s="58" t="str">
        <f ca="1">_xll.SUBNM(db_name&amp;":sys_YesNo","","No")</f>
        <v/>
      </c>
      <c r="Z108" s="76" t="str">
        <f ca="1">_xll.SUBNM(db_name&amp;":account","","1280004","code and description")</f>
        <v/>
      </c>
      <c r="AA108" s="77"/>
      <c r="AB108" s="77"/>
      <c r="AC108" s="77"/>
      <c r="AD108" s="77"/>
      <c r="AE108" s="78"/>
      <c r="AF108" s="25"/>
      <c r="AH108" s="73" t="s">
        <v>125</v>
      </c>
      <c r="AI108" s="74"/>
      <c r="AK108" s="56" t="s">
        <v>114</v>
      </c>
      <c r="AL108" s="71">
        <f ca="1">NOW()</f>
        <v>44972.398129513887</v>
      </c>
      <c r="AM108" s="71"/>
    </row>
    <row r="109" spans="1:39" ht="3" customHeight="1" x14ac:dyDescent="0.3">
      <c r="W109" s="29"/>
    </row>
    <row r="110" spans="1:39" s="2" customFormat="1" ht="28.8" x14ac:dyDescent="0.3">
      <c r="J110" s="23" t="s">
        <v>20</v>
      </c>
      <c r="K110" s="23" t="s">
        <v>27</v>
      </c>
      <c r="L110" s="23" t="s">
        <v>19</v>
      </c>
      <c r="M110" s="23" t="s">
        <v>64</v>
      </c>
      <c r="N110" s="23" t="s">
        <v>65</v>
      </c>
      <c r="O110" s="23" t="s">
        <v>18</v>
      </c>
      <c r="P110" s="23" t="s">
        <v>11</v>
      </c>
      <c r="Q110" s="13"/>
      <c r="R110" s="36" t="str">
        <f ca="1">J110</f>
        <v>ID</v>
      </c>
      <c r="S110" s="37" t="s">
        <v>73</v>
      </c>
      <c r="T110" s="37" t="s">
        <v>74</v>
      </c>
      <c r="U110" s="37" t="str">
        <f ca="1">K110</f>
        <v>Outcome</v>
      </c>
      <c r="V110" s="24"/>
      <c r="W110" s="37" t="s">
        <v>75</v>
      </c>
      <c r="X110" s="37" t="s">
        <v>51</v>
      </c>
      <c r="Y110" s="37" t="s">
        <v>76</v>
      </c>
      <c r="Z110" s="37" t="s">
        <v>77</v>
      </c>
      <c r="AA110" s="36" t="s">
        <v>78</v>
      </c>
      <c r="AB110" s="36" t="s">
        <v>128</v>
      </c>
      <c r="AC110" s="37" t="s">
        <v>79</v>
      </c>
      <c r="AD110" s="36" t="s">
        <v>63</v>
      </c>
      <c r="AE110" s="37" t="s">
        <v>18</v>
      </c>
      <c r="AF110" s="36" t="s">
        <v>34</v>
      </c>
      <c r="AG110" s="24"/>
      <c r="AH110" s="36" t="str">
        <f ca="1">AH$95</f>
        <v/>
      </c>
      <c r="AI110" s="36" t="str">
        <f t="shared" ref="AI110" ca="1" si="0">AI$95</f>
        <v/>
      </c>
      <c r="AJ110" s="24"/>
      <c r="AK110" s="36" t="s">
        <v>80</v>
      </c>
      <c r="AL110" s="36" t="s">
        <v>81</v>
      </c>
      <c r="AM110" s="36" t="s">
        <v>82</v>
      </c>
    </row>
    <row r="111" spans="1:39" ht="45" customHeight="1" x14ac:dyDescent="0.3">
      <c r="A111" s="1" t="str">
        <f ca="1">IF(_xll.TM1RPTELISCONSOLIDATED($O$111,$O111),IF(_xll.TM1RPTELLEV($O$111,$O111)&lt;=3,_xll.TM1RPTELLEV($O$111,$O111),"D"),"N")</f>
        <v>N</v>
      </c>
      <c r="J111" s="34" t="str">
        <f ca="1">_xll.TM1RPTROW($C$47,db_name&amp;":id","",,"",0,$C$81)</f>
        <v/>
      </c>
      <c r="K111" s="34" t="str">
        <f ca="1">_xll.TM1RPTROW($C$47,db_name&amp;":outcome","",,"code and description",0,$C$84)</f>
        <v/>
      </c>
      <c r="L111" s="35" t="str">
        <f ca="1">_xll.TM1RPTROW($C$47,db_name&amp;":programme","",,"code and description",0,C68)</f>
        <v/>
      </c>
      <c r="M111" s="35" t="str">
        <f ca="1">_xll.TM1RPTROW($C$47,db_name&amp;":appropriation type","",,"code and description",0,$C$85)</f>
        <v/>
      </c>
      <c r="N111" s="35" t="str">
        <f ca="1">_xll.TM1RPTROW($C$47,db_name&amp;":appropriation item","",,"code and description",0,$C$72)</f>
        <v/>
      </c>
      <c r="O111" s="35" t="str">
        <f ca="1">_xll.TM1RPTROW($C$47,db_name&amp;":account","",,"code and description",0,$C$76)</f>
        <v/>
      </c>
      <c r="P111" s="35" t="str">
        <f ca="1">_xll.TM1RPTROW($C$47,db_name&amp;":movement account","",,"code and description",0,$C$83)</f>
        <v/>
      </c>
      <c r="Q111" s="33"/>
      <c r="R111" s="48" t="str">
        <f ca="1">J111</f>
        <v/>
      </c>
      <c r="S111" s="49" t="str">
        <f ca="1">_xll.DBRW($C$89,$C$48,$C$49,$J111,S$95)</f>
        <v/>
      </c>
      <c r="T111" s="49" t="str">
        <f ca="1">_xll.DBRW($C$89,$C$48,$C$49,$J111,T$95)</f>
        <v/>
      </c>
      <c r="U111" s="50" t="str">
        <f ca="1">K111</f>
        <v/>
      </c>
      <c r="V111" s="50"/>
      <c r="W111" s="50" t="str">
        <f ca="1">L111</f>
        <v/>
      </c>
      <c r="X111" s="49" t="str">
        <f ca="1">_xll.DBR($C$92,$C$48,$C$49,$L111,X$95)</f>
        <v>*KEY_ERR</v>
      </c>
      <c r="Y111" s="51" t="str">
        <f ca="1">_xll.DBR($C$89,$C$48,$C$49,$J111,Y$95)</f>
        <v>*KEY_ERR</v>
      </c>
      <c r="Z111" s="50" t="str">
        <f ca="1">_xll.DBR($C$89,$C$48,$C$49,$J111,Z$95)</f>
        <v>*KEY_ERR</v>
      </c>
      <c r="AA111" s="48" t="str">
        <f ca="1">_xll.DBR($C$89,$C$48,$C$49,$J111,AA$95)</f>
        <v>*KEY_ERR</v>
      </c>
      <c r="AB111" s="49" t="str">
        <f ca="1">_xll.DBR($C$89,$C$48,$C$49,$J111,AB$95)</f>
        <v>*KEY_ERR</v>
      </c>
      <c r="AC111" s="50" t="str">
        <f ca="1">$M111</f>
        <v/>
      </c>
      <c r="AD111" s="50" t="str">
        <f ca="1">$N111</f>
        <v/>
      </c>
      <c r="AE111" s="50" t="str">
        <f ca="1">$O111</f>
        <v/>
      </c>
      <c r="AF111" s="48" t="str">
        <f ca="1">$P111</f>
        <v/>
      </c>
      <c r="AG111" s="33"/>
      <c r="AH111" s="47" t="str">
        <f ca="1">_xll.DBRW($C$47,$C$48,$C$49,$C$50,$K111,$C$52,$C$53,$C$54,$C$55,$C$56,$M111,$P111,$N111,$L111,$O111,$J111,$C$63,AH$95)</f>
        <v/>
      </c>
      <c r="AI111" s="47" t="str">
        <f ca="1">_xll.DBRW($C$47,$C$48,$C$49,$C$50,$K111,$C$52,$C$53,$C$54,$C$55,$C$56,$M111,$P111,$N111,$L111,$O111,$J111,$C$63,AI$95)</f>
        <v/>
      </c>
      <c r="AJ111" s="33"/>
      <c r="AK111" s="48" t="str">
        <f ca="1">_xll.DBRW($C$89,$C$48,$C$49,$J111,AK$95)</f>
        <v/>
      </c>
      <c r="AL111" s="48" t="str">
        <f ca="1">_xll.DBRW($C$89,$C$48,$C$49,$J111,AL$95)</f>
        <v/>
      </c>
      <c r="AM111" s="48" t="str">
        <f ca="1">_xll.DBRW($C$89,$C$48,$C$49,$J111,AM$95)</f>
        <v/>
      </c>
    </row>
    <row r="112" spans="1:39" ht="4.5" customHeight="1" x14ac:dyDescent="0.3"/>
    <row r="113" spans="37:39" x14ac:dyDescent="0.3">
      <c r="AK113" s="56" t="s">
        <v>114</v>
      </c>
      <c r="AL113" s="71">
        <f ca="1">NOW()</f>
        <v>44972.398129513887</v>
      </c>
      <c r="AM113" s="71"/>
    </row>
  </sheetData>
  <sheetProtection sheet="1" objects="1" scenarios="1"/>
  <mergeCells count="19">
    <mergeCell ref="T108:U108"/>
    <mergeCell ref="AL108:AM108"/>
    <mergeCell ref="AL113:AM113"/>
    <mergeCell ref="W105:X105"/>
    <mergeCell ref="AH108:AI108"/>
    <mergeCell ref="Z105:AE105"/>
    <mergeCell ref="Z106:AE106"/>
    <mergeCell ref="Z107:AE107"/>
    <mergeCell ref="Z108:AE108"/>
    <mergeCell ref="T106:U106"/>
    <mergeCell ref="T107:U107"/>
    <mergeCell ref="T105:U105"/>
    <mergeCell ref="B88:C88"/>
    <mergeCell ref="B91:C91"/>
    <mergeCell ref="B11:C11"/>
    <mergeCell ref="B19:C19"/>
    <mergeCell ref="B25:D25"/>
    <mergeCell ref="B46:C46"/>
    <mergeCell ref="B67:C67"/>
  </mergeCells>
  <pageMargins left="0.70866141732283472" right="0.70866141732283472" top="0.74803149606299213" bottom="0.74803149606299213" header="0.31496062992125984" footer="0.31496062992125984"/>
  <pageSetup paperSize="9" scale="4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6" r:id="rId4" name="TIButton7">
          <controlPr defaultSize="0" print="0" autoLine="0" r:id="rId5">
            <anchor moveWithCells="1" sizeWithCells="1">
              <from>
                <xdr:col>20</xdr:col>
                <xdr:colOff>579120</xdr:colOff>
                <xdr:row>99</xdr:row>
                <xdr:rowOff>7620</xdr:rowOff>
              </from>
              <to>
                <xdr:col>22</xdr:col>
                <xdr:colOff>312420</xdr:colOff>
                <xdr:row>99</xdr:row>
                <xdr:rowOff>259080</xdr:rowOff>
              </to>
            </anchor>
          </controlPr>
        </control>
      </mc:Choice>
      <mc:Fallback>
        <control shapeId="1036" r:id="rId4" name="TIButton7"/>
      </mc:Fallback>
    </mc:AlternateContent>
    <mc:AlternateContent xmlns:mc="http://schemas.openxmlformats.org/markup-compatibility/2006">
      <mc:Choice Requires="x14">
        <control shapeId="1034" r:id="rId6" name="TIButton6">
          <controlPr defaultSize="0" print="0" autoLine="0" r:id="rId7">
            <anchor moveWithCells="1" sizeWithCells="1">
              <from>
                <xdr:col>27</xdr:col>
                <xdr:colOff>563880</xdr:colOff>
                <xdr:row>98</xdr:row>
                <xdr:rowOff>30480</xdr:rowOff>
              </from>
              <to>
                <xdr:col>27</xdr:col>
                <xdr:colOff>876300</xdr:colOff>
                <xdr:row>99</xdr:row>
                <xdr:rowOff>289560</xdr:rowOff>
              </to>
            </anchor>
          </controlPr>
        </control>
      </mc:Choice>
      <mc:Fallback>
        <control shapeId="1034" r:id="rId6" name="TIButton6"/>
      </mc:Fallback>
    </mc:AlternateContent>
    <mc:AlternateContent xmlns:mc="http://schemas.openxmlformats.org/markup-compatibility/2006">
      <mc:Choice Requires="x14">
        <control shapeId="1033" r:id="rId8" name="TIButton5">
          <controlPr defaultSize="0" print="0" autoLine="0" r:id="rId9">
            <anchor moveWithCells="1" sizeWithCells="1">
              <from>
                <xdr:col>19</xdr:col>
                <xdr:colOff>899160</xdr:colOff>
                <xdr:row>99</xdr:row>
                <xdr:rowOff>7620</xdr:rowOff>
              </from>
              <to>
                <xdr:col>20</xdr:col>
                <xdr:colOff>563880</xdr:colOff>
                <xdr:row>99</xdr:row>
                <xdr:rowOff>259080</xdr:rowOff>
              </to>
            </anchor>
          </controlPr>
        </control>
      </mc:Choice>
      <mc:Fallback>
        <control shapeId="1033" r:id="rId8" name="TIButton5"/>
      </mc:Fallback>
    </mc:AlternateContent>
    <mc:AlternateContent xmlns:mc="http://schemas.openxmlformats.org/markup-compatibility/2006">
      <mc:Choice Requires="x14">
        <control shapeId="1032" r:id="rId10" name="TIButton4">
          <controlPr defaultSize="0" print="0" autoLine="0" r:id="rId11">
            <anchor moveWithCells="1" sizeWithCells="1">
              <from>
                <xdr:col>18</xdr:col>
                <xdr:colOff>1226820</xdr:colOff>
                <xdr:row>99</xdr:row>
                <xdr:rowOff>7620</xdr:rowOff>
              </from>
              <to>
                <xdr:col>19</xdr:col>
                <xdr:colOff>868680</xdr:colOff>
                <xdr:row>99</xdr:row>
                <xdr:rowOff>259080</xdr:rowOff>
              </to>
            </anchor>
          </controlPr>
        </control>
      </mc:Choice>
      <mc:Fallback>
        <control shapeId="1032" r:id="rId10" name="TIButton4"/>
      </mc:Fallback>
    </mc:AlternateContent>
    <mc:AlternateContent xmlns:mc="http://schemas.openxmlformats.org/markup-compatibility/2006">
      <mc:Choice Requires="x14">
        <control shapeId="1031" r:id="rId12" name="TIButton1">
          <controlPr defaultSize="0" print="0" autoLine="0" r:id="rId13">
            <anchor moveWithCells="1" sizeWithCells="1">
              <from>
                <xdr:col>18</xdr:col>
                <xdr:colOff>259080</xdr:colOff>
                <xdr:row>99</xdr:row>
                <xdr:rowOff>7620</xdr:rowOff>
              </from>
              <to>
                <xdr:col>18</xdr:col>
                <xdr:colOff>1203960</xdr:colOff>
                <xdr:row>99</xdr:row>
                <xdr:rowOff>259080</xdr:rowOff>
              </to>
            </anchor>
          </controlPr>
        </control>
      </mc:Choice>
      <mc:Fallback>
        <control shapeId="1031" r:id="rId12" name="TIButton1"/>
      </mc:Fallback>
    </mc:AlternateContent>
    <mc:AlternateContent xmlns:mc="http://schemas.openxmlformats.org/markup-compatibility/2006">
      <mc:Choice Requires="x14">
        <control shapeId="1030" r:id="rId14" name="TIButton3">
          <controlPr defaultSize="0" print="0" autoLine="0" r:id="rId15">
            <anchor moveWithCells="1" sizeWithCells="1">
              <from>
                <xdr:col>22</xdr:col>
                <xdr:colOff>342900</xdr:colOff>
                <xdr:row>99</xdr:row>
                <xdr:rowOff>7620</xdr:rowOff>
              </from>
              <to>
                <xdr:col>23</xdr:col>
                <xdr:colOff>175260</xdr:colOff>
                <xdr:row>99</xdr:row>
                <xdr:rowOff>259080</xdr:rowOff>
              </to>
            </anchor>
          </controlPr>
        </control>
      </mc:Choice>
      <mc:Fallback>
        <control shapeId="1030" r:id="rId14" name="TIButton3"/>
      </mc:Fallback>
    </mc:AlternateContent>
    <mc:AlternateContent xmlns:mc="http://schemas.openxmlformats.org/markup-compatibility/2006">
      <mc:Choice Requires="x14">
        <control shapeId="1029" r:id="rId16" name="TIButton2">
          <controlPr defaultSize="0" print="0" autoLine="0" r:id="rId17">
            <anchor moveWithCells="1" sizeWithCells="1">
              <from>
                <xdr:col>16</xdr:col>
                <xdr:colOff>38100</xdr:colOff>
                <xdr:row>99</xdr:row>
                <xdr:rowOff>7620</xdr:rowOff>
              </from>
              <to>
                <xdr:col>18</xdr:col>
                <xdr:colOff>220980</xdr:colOff>
                <xdr:row>99</xdr:row>
                <xdr:rowOff>259080</xdr:rowOff>
              </to>
            </anchor>
          </controlPr>
        </control>
      </mc:Choice>
      <mc:Fallback>
        <control shapeId="1029" r:id="rId16" name="TIButton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43AF-1AD3-49E1-976E-EB431ED38A41}">
  <sheetPr codeName="Sheet2"/>
  <dimension ref="A1:A3"/>
  <sheetViews>
    <sheetView workbookViewId="0">
      <selection activeCell="C16" sqref="C16"/>
    </sheetView>
  </sheetViews>
  <sheetFormatPr defaultRowHeight="14.4" x14ac:dyDescent="0.3"/>
  <sheetData>
    <row r="1" spans="1:1" x14ac:dyDescent="0.3">
      <c r="A1" t="s">
        <v>53</v>
      </c>
    </row>
    <row r="2" spans="1:1" x14ac:dyDescent="0.3">
      <c r="A2" t="s">
        <v>54</v>
      </c>
    </row>
    <row r="3" spans="1:1" x14ac:dyDescent="0.3">
      <c r="A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40</vt:i4>
      </vt:variant>
    </vt:vector>
  </HeadingPairs>
  <TitlesOfParts>
    <vt:vector size="42" baseType="lpstr">
      <vt:lpstr>report</vt:lpstr>
      <vt:lpstr>{PL}PickLst</vt:lpstr>
      <vt:lpstr>db_name</vt:lpstr>
      <vt:lpstr>Freeze_Here</vt:lpstr>
      <vt:lpstr>psApp</vt:lpstr>
      <vt:lpstr>psUser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TM1OthRprTBalDrillCAP</vt:lpstr>
      <vt:lpstr>TM1OthRprTBalDrillWB</vt:lpstr>
      <vt:lpstr>TM1OthRprTBalDrillWS</vt:lpstr>
      <vt:lpstr>TM1RptAEAppropQACAP</vt:lpstr>
      <vt:lpstr>TM1RptAEAppropQAWB</vt:lpstr>
      <vt:lpstr>TM1RptAEAppropQAWS</vt:lpstr>
      <vt:lpstr>TM1RptAppropOCProgCAP</vt:lpstr>
      <vt:lpstr>TM1RptAppropOCProgWB</vt:lpstr>
      <vt:lpstr>TM1RptAppropOCProgWS</vt:lpstr>
      <vt:lpstr>report!TM1RPTDATARNG1</vt:lpstr>
      <vt:lpstr>report!TM1RPTFMTIDCOL</vt:lpstr>
      <vt:lpstr>report!TM1RPTFMTRNG</vt:lpstr>
      <vt:lpstr>TM1RptProgMoveCAP</vt:lpstr>
      <vt:lpstr>TM1RptProgMoveWB</vt:lpstr>
      <vt:lpstr>TM1RptProgMoveWS</vt:lpstr>
      <vt:lpstr>TM1RptReasonMoveCAP</vt:lpstr>
      <vt:lpstr>TM1RptReasonMoveWB</vt:lpstr>
      <vt:lpstr>TM1RptReasonMoveWS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2019-04-17T01:21:26Z</dcterms:created>
  <dcterms:modified xsi:type="dcterms:W3CDTF">2023-02-14T22:33:18Z</dcterms:modified>
</cp:coreProperties>
</file>