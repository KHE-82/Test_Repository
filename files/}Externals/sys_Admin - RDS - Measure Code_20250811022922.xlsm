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B742638-0AD6-4215-AA30-CD46FD6342FD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RDS!$J$1:$T$8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H35" i="1"/>
  <c r="G35" i="1"/>
  <c r="F35" i="1"/>
  <c r="E35" i="1"/>
  <c r="D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35" i="1"/>
  <c r="L56" i="1"/>
  <c r="C43" i="1"/>
  <c r="C40" i="1"/>
  <c r="C20" i="1"/>
  <c r="C25" i="1"/>
  <c r="C24" i="1"/>
  <c r="C23" i="1"/>
  <c r="C22" i="1"/>
  <c r="C21" i="1"/>
  <c r="C13" i="1"/>
  <c r="C14" i="1"/>
  <c r="C15" i="1"/>
  <c r="C17" i="1"/>
  <c r="C16" i="1"/>
  <c r="Q60" i="1"/>
  <c r="P60" i="1"/>
  <c r="T60" i="1"/>
  <c r="S60" i="1"/>
  <c r="R60" i="1"/>
  <c r="O60" i="1"/>
  <c r="N60" i="1"/>
  <c r="M60" i="1"/>
  <c r="L60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<sst xmlns="http://schemas.openxmlformats.org/spreadsheetml/2006/main" count="70" uniqueCount="65">
  <si>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</si>
  <si>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</si>
  <si>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</si>
  <si>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</si>
  <si>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</si>
  <si>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</si>
  <si>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</si>
  <si>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</si>
  <si>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</si>
  <si>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</si>
  <si>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</si>
  <si>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</si>
  <si>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</si>
  <si>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</si>
  <si>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</si>
  <si>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</si>
  <si>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</si>
  <si>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</si>
  <si>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</si>
  <si>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</si>
  <si>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</si>
  <si>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</si>
  <si>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</si>
  <si>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</si>
  <si>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</si>
  <si>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</si>
  <si>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</si>
  <si>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</si>
  <si>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</si>
  <si>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</si>
  <si>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</si>
  <si>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</si>
  <si>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</si>
  <si>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</si>
  <si>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</si>
  <si>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</si>
  <si>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</si>
  <si>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</si>
  <si>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</si>
  <si>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</si>
  <si>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</si>
  <si>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</si>
  <si>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</si>
  <si>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}ElementAttributes_</t>
  </si>
  <si>
    <t>Measure Code</t>
  </si>
  <si>
    <t>Administration RDS - Measure Code Attributes</t>
  </si>
  <si>
    <t>Measure code  :</t>
  </si>
  <si>
    <t>{TM1SUBSETALL( [measure code] )}</t>
  </si>
  <si>
    <t>Termination Year</t>
  </si>
  <si>
    <t>CBMS code and description</t>
  </si>
  <si>
    <t>title</t>
  </si>
  <si>
    <t>Budget Round Created</t>
  </si>
  <si>
    <t>Active</t>
  </si>
  <si>
    <t>Non-Measure</t>
  </si>
  <si>
    <t>Funding Life</t>
  </si>
  <si>
    <t>CBMS</t>
  </si>
  <si>
    <t>No</t>
  </si>
  <si>
    <t>Admin RDS - Measure Code</t>
  </si>
  <si>
    <t>Title</t>
  </si>
  <si>
    <t>CBMS CODE (ALIAS)</t>
  </si>
  <si>
    <t>Note : This screen is used to manage the Measure Code attribute cube which is required for GEUS.</t>
  </si>
  <si>
    <t>Code and Description (ALIAS - RULE DRIVEN USING TITLE)</t>
  </si>
  <si>
    <t>CBMS Code and Description (ALIAS - RULE DRIVEN USING TITLE)</t>
  </si>
  <si>
    <t>This list all of the Measure Codes entered in GEUS to be used by adjustments. Greyed fields are rule driven and can not be edited.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</si>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</sst>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0" fillId="0" borderId="0" xfId="0" applyAlignment="1">
      <alignment horizontal="left"/>
    </xf>
    <xf numFmtId="0" fontId="3" fillId="2" borderId="0" xfId="0" applyFont="1" applyFill="1" applyAlignment="1">
      <alignment horizontal="left"/>
    </xf>
    <xf numFmtId="0" fontId="6" fillId="5" borderId="0" xfId="0" applyFont="1" applyFill="1" applyAlignment="1">
      <alignment horizontal="left" vertical="center"/>
    </xf>
    <xf numFmtId="0" fontId="4" fillId="0" borderId="4" xfId="0" applyFont="1" applyBorder="1"/>
    <xf numFmtId="0" fontId="5" fillId="7" borderId="4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0" fontId="5" fillId="7" borderId="4" xfId="0" applyFont="1" applyFill="1" applyBorder="1" applyProtection="1">
      <protection locked="0"/>
    </xf>
    <xf numFmtId="0" fontId="4" fillId="7" borderId="4" xfId="0" applyFont="1" applyFill="1" applyBorder="1" applyProtection="1">
      <protection locked="0"/>
    </xf>
    <xf numFmtId="0" fontId="7" fillId="0" borderId="0" xfId="0" applyFont="1"/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47</xdr:row>
      <xdr:rowOff>19050</xdr:rowOff>
    </xdr:from>
    <xdr:to>
      <xdr:col>10</xdr:col>
      <xdr:colOff>19050</xdr:colOff>
      <xdr:row>47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e59ed75d_21d0_4623_819b_25ed324b90c4" textlink="TM1HomeCAP">
      <xdr:nvSpPr>
        <xdr:cNvPr id="3" name="TM1Button_e59ed75d_21d0_4623_819b_25ed324b90c4">
          <a:extLst>
            <a:ext uri="{FF2B5EF4-FFF2-40B4-BE49-F238E27FC236}">
              <a16:creationId xmlns:a16="http://schemas.microsoft.com/office/drawing/2014/main" id="{3E848FA1-D896-6B53-9CB0-1C284D545C67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D009110-8214-4072-A6A9-10629F5F48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10</xdr:col>
      <xdr:colOff>47625</xdr:colOff>
      <xdr:row>49</xdr:row>
      <xdr:rowOff>247650</xdr:rowOff>
    </xdr:to>
    <xdr:sp macro="Sheet1.ExecuteAction_5bec26bb_f3ef_4df9_a55a_5bf854b52288" textlink="TM1HomeAdminCAP">
      <xdr:nvSpPr>
        <xdr:cNvPr id="4" name="TM1Button_5bec26bb_f3ef_4df9_a55a_5bf854b52288">
          <a:extLst>
            <a:ext uri="{FF2B5EF4-FFF2-40B4-BE49-F238E27FC236}">
              <a16:creationId xmlns:a16="http://schemas.microsoft.com/office/drawing/2014/main" id="{733D12B0-58E4-0946-184B-1ED5D10E0877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3C5EE02-058B-4514-A286-9505F3E931A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47625</xdr:colOff>
      <xdr:row>49</xdr:row>
      <xdr:rowOff>0</xdr:rowOff>
    </xdr:from>
    <xdr:to>
      <xdr:col>11</xdr:col>
      <xdr:colOff>1543050</xdr:colOff>
      <xdr:row>49</xdr:row>
      <xdr:rowOff>247650</xdr:rowOff>
    </xdr:to>
    <xdr:sp macro="Sheet1.ExecuteAction_b790c765_b922_41d4_985e_9fdef5516419" textlink="TM1HomeAdminRDSCAP">
      <xdr:nvSpPr>
        <xdr:cNvPr id="5" name="TM1Button_b790c765_b922_41d4_985e_9fdef5516419">
          <a:extLst>
            <a:ext uri="{FF2B5EF4-FFF2-40B4-BE49-F238E27FC236}">
              <a16:creationId xmlns:a16="http://schemas.microsoft.com/office/drawing/2014/main" id="{1B5E5F2E-298E-02B4-2BCF-31521B072EAC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975DD7F-CD7D-4565-9885-B410BEE4D20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723900</xdr:colOff>
      <xdr:row>48</xdr:row>
      <xdr:rowOff>19050</xdr:rowOff>
    </xdr:from>
    <xdr:to>
      <xdr:col>14</xdr:col>
      <xdr:colOff>1038225</xdr:colOff>
      <xdr:row>49</xdr:row>
      <xdr:rowOff>276225</xdr:rowOff>
    </xdr:to>
    <xdr:sp macro="Sheet1.ExecuteAction_b2e8c85f_659f_4280_93c1_bfba3911f5b0" textlink="">
      <xdr:nvSpPr>
        <xdr:cNvPr id="6" name="TM1Button_b2e8c85f_659f_4280_93c1_bfba3911f5b0">
          <a:extLst>
            <a:ext uri="{FF2B5EF4-FFF2-40B4-BE49-F238E27FC236}">
              <a16:creationId xmlns:a16="http://schemas.microsoft.com/office/drawing/2014/main" id="{4951E114-72F1-13B7-802C-06ACC79DAFC5}"/>
            </a:ext>
          </a:extLst>
        </xdr:cNvPr>
        <xdr:cNvSpPr txBox="1"/>
      </xdr:nvSpPr>
      <xdr:spPr>
        <a:xfrm>
          <a:off x="11763375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1571625</xdr:colOff>
      <xdr:row>49</xdr:row>
      <xdr:rowOff>0</xdr:rowOff>
    </xdr:from>
    <xdr:to>
      <xdr:col>11</xdr:col>
      <xdr:colOff>2352675</xdr:colOff>
      <xdr:row>49</xdr:row>
      <xdr:rowOff>247650</xdr:rowOff>
    </xdr:to>
    <xdr:sp macro="Sheet1.ExecuteAction_a0886327_b847_4d8b_912e_60ceca394c8e" textlink="">
      <xdr:nvSpPr>
        <xdr:cNvPr id="7" name="TM1Button_a0886327_b847_4d8b_912e_60ceca394c8e">
          <a:extLst>
            <a:ext uri="{FF2B5EF4-FFF2-40B4-BE49-F238E27FC236}">
              <a16:creationId xmlns:a16="http://schemas.microsoft.com/office/drawing/2014/main" id="{A6392752-343F-259B-6566-E50DCC315C48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T60"/>
  <sheetViews>
    <sheetView showGridLines="0" showRowColHeaders="0" tabSelected="1" showOutlineSymbols="0" topLeftCell="A48" workbookViewId="0">
      <pane xSplit="13" ySplit="12" topLeftCell="N60" activePane="bottomRight" state="frozen"/>
      <selection activeCell="I48" sqref="I48"/>
      <selection pane="topRight" activeCell="N48" sqref="N48"/>
      <selection pane="bottomLeft" activeCell="I60" sqref="I60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.7109375" customWidth="1"/>
    <col min="11" max="11" width="0.85546875" customWidth="1"/>
    <col min="12" max="13" width="60.7109375" customWidth="1"/>
    <col min="14" max="14" width="15.7109375" customWidth="1"/>
    <col min="15" max="15" width="60.7109375" style="24" customWidth="1"/>
    <col min="16" max="16" width="12.7109375" customWidth="1"/>
    <col min="17" max="17" width="12.42578125" customWidth="1"/>
    <col min="18" max="18" width="20.7109375" customWidth="1"/>
    <col min="19" max="19" width="13.140625" customWidth="1"/>
    <col min="20" max="20" width="20.7109375" customWidth="1"/>
  </cols>
  <sheetData>
    <row r="1" spans="1:20" hidden="1" outlineLevel="1" x14ac:dyDescent="0.25">
      <c r="A1" t="s">
        <v>3</v>
      </c>
    </row>
    <row r="2" spans="1:20" hidden="1" outlineLevel="1" x14ac:dyDescent="0.25">
      <c r="A2">
        <f>0</f>
        <v>0</v>
      </c>
      <c r="J2" s="12"/>
      <c r="L2" s="17"/>
      <c r="M2" s="30"/>
      <c r="N2" s="18"/>
      <c r="O2" s="28"/>
      <c r="P2" s="18"/>
      <c r="Q2" s="18"/>
      <c r="R2" s="18"/>
      <c r="S2" s="18"/>
      <c r="T2" s="18"/>
    </row>
    <row r="3" spans="1:20" hidden="1" outlineLevel="1" x14ac:dyDescent="0.25">
      <c r="A3">
        <f>1</f>
        <v>1</v>
      </c>
      <c r="J3" s="13"/>
      <c r="L3" s="19"/>
      <c r="M3" s="30"/>
      <c r="N3" s="20"/>
      <c r="O3" s="28"/>
      <c r="P3" s="20"/>
      <c r="Q3" s="20"/>
      <c r="R3" s="20"/>
      <c r="S3" s="20"/>
      <c r="T3" s="20"/>
    </row>
    <row r="4" spans="1:20" hidden="1" outlineLevel="1" x14ac:dyDescent="0.25">
      <c r="A4">
        <f>2</f>
        <v>2</v>
      </c>
      <c r="J4" s="13"/>
      <c r="L4" s="19"/>
      <c r="M4" s="30"/>
      <c r="N4" s="20"/>
      <c r="O4" s="28"/>
      <c r="P4" s="20"/>
      <c r="Q4" s="20"/>
      <c r="R4" s="20"/>
      <c r="S4" s="20"/>
      <c r="T4" s="20"/>
    </row>
    <row r="5" spans="1:20" hidden="1" outlineLevel="1" x14ac:dyDescent="0.25">
      <c r="A5">
        <f>3</f>
        <v>3</v>
      </c>
      <c r="J5" s="13"/>
      <c r="L5" s="19"/>
      <c r="M5" s="30"/>
      <c r="N5" s="20"/>
      <c r="O5" s="28"/>
      <c r="P5" s="20"/>
      <c r="Q5" s="20"/>
      <c r="R5" s="20"/>
      <c r="S5" s="20"/>
      <c r="T5" s="20"/>
    </row>
    <row r="6" spans="1:20" hidden="1" outlineLevel="1" x14ac:dyDescent="0.25">
      <c r="A6" t="s">
        <v>1</v>
      </c>
      <c r="J6" s="13"/>
      <c r="L6" s="19"/>
      <c r="M6" s="30"/>
      <c r="N6" s="20"/>
      <c r="O6" s="28"/>
      <c r="P6" s="20"/>
      <c r="Q6" s="20"/>
      <c r="R6" s="20"/>
      <c r="S6" s="20"/>
      <c r="T6" s="20"/>
    </row>
    <row r="7" spans="1:20" hidden="1" outlineLevel="1" x14ac:dyDescent="0.25">
      <c r="A7" t="s">
        <v>2</v>
      </c>
      <c r="J7" s="27"/>
      <c r="L7" s="21"/>
      <c r="M7" s="31"/>
      <c r="N7" s="22"/>
      <c r="O7" s="29"/>
      <c r="P7" s="22"/>
      <c r="Q7" s="22"/>
      <c r="R7" s="22"/>
      <c r="S7" s="22"/>
      <c r="T7" s="22"/>
    </row>
    <row r="8" spans="1:20" hidden="1" outlineLevel="1" x14ac:dyDescent="0.25">
      <c r="A8" t="s">
        <v>4</v>
      </c>
    </row>
    <row r="9" spans="1:20" hidden="1" outlineLevel="1" x14ac:dyDescent="0.25"/>
    <row r="10" spans="1:20" hidden="1" outlineLevel="1" x14ac:dyDescent="0.25"/>
    <row r="11" spans="1:20" hidden="1" outlineLevel="1" x14ac:dyDescent="0.25">
      <c r="B11" s="34" t="s">
        <v>5</v>
      </c>
      <c r="C11" s="35"/>
      <c r="D11" s="36"/>
    </row>
    <row r="12" spans="1:20" hidden="1" outlineLevel="1" x14ac:dyDescent="0.25">
      <c r="B12" s="3" t="s">
        <v>6</v>
      </c>
      <c r="C12" s="4" t="s">
        <v>64</v>
      </c>
      <c r="D12" s="5"/>
    </row>
    <row r="13" spans="1:20" hidden="1" outlineLevel="1" x14ac:dyDescent="0.25">
      <c r="B13" s="3" t="s">
        <v>7</v>
      </c>
      <c r="C13" s="6" t="str">
        <f>_xll.VIEW(db_name&amp;":}ElementAttributes_}Clients","!","!")</f>
        <v>finance_geus:}ElementAttributes_}Clients:1264217196-955627498</v>
      </c>
      <c r="D13" s="5"/>
    </row>
    <row r="14" spans="1:20" hidden="1" outlineLevel="1" x14ac:dyDescent="0.25">
      <c r="B14" s="3" t="s">
        <v>8</v>
      </c>
      <c r="C14" s="4" t="str">
        <f ca="1">_xll.TM1USER(db_name)</f>
        <v>RECALC_0_100_</v>
      </c>
      <c r="D14" s="5"/>
    </row>
    <row r="15" spans="1:20" hidden="1" outlineLevel="1" x14ac:dyDescent="0.25">
      <c r="B15" s="3" t="s">
        <v>9</v>
      </c>
      <c r="C15" s="4" t="str">
        <f ca="1">_xll.DBR($C$13,$C$14,$B15)</f>
        <v>RECALC_1_101_</v>
      </c>
      <c r="D15" s="5"/>
    </row>
    <row r="16" spans="1:20" hidden="1" outlineLevel="1" x14ac:dyDescent="0.25">
      <c r="B16" s="3" t="s">
        <v>10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11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34" t="s">
        <v>12</v>
      </c>
      <c r="C19" s="35"/>
      <c r="D19" s="36"/>
    </row>
    <row r="20" spans="2:8" hidden="1" outlineLevel="1" x14ac:dyDescent="0.25">
      <c r="B20" s="3" t="s">
        <v>13</v>
      </c>
      <c r="C20" s="7" t="str">
        <f>_xll.VIEW(db_name&amp;":}ElementAttributes_variables","!","!")</f>
        <v>finance_geus:}ElementAttributes_variables:1264217196-1545199843</v>
      </c>
      <c r="D20" s="7"/>
    </row>
    <row r="21" spans="2:8" hidden="1" outlineLevel="1" x14ac:dyDescent="0.25">
      <c r="B21" s="3" t="s">
        <v>14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15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16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17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18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34" t="s">
        <v>27</v>
      </c>
      <c r="C27" s="35"/>
      <c r="D27" s="36"/>
    </row>
    <row r="28" spans="2:8" hidden="1" outlineLevel="1" x14ac:dyDescent="0.25">
      <c r="B28" s="3" t="s">
        <v>28</v>
      </c>
      <c r="C28" s="7" t="str">
        <f>_xll.VIEW(db_name&amp;":sys_application","!","!")</f>
        <v>finance_geus:sys_application:1264217196-1017014576</v>
      </c>
      <c r="D28" s="7"/>
    </row>
    <row r="29" spans="2:8" hidden="1" outlineLevel="1" x14ac:dyDescent="0.25">
      <c r="B29" s="3" t="s">
        <v>29</v>
      </c>
      <c r="C29" t="s">
        <v>57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37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20" hidden="1" outlineLevel="1" x14ac:dyDescent="0.25">
      <c r="B33" s="7" t="s">
        <v>38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20" hidden="1" outlineLevel="1" x14ac:dyDescent="0.25">
      <c r="B34" s="7" t="s">
        <v>39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20" hidden="1" outlineLevel="1" x14ac:dyDescent="0.25">
      <c r="B35" s="7" t="s">
        <v>40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20" hidden="1" outlineLevel="1" x14ac:dyDescent="0.25">
      <c r="B36" s="14" t="s">
        <v>42</v>
      </c>
      <c r="C36" s="15" t="s">
        <v>41</v>
      </c>
    </row>
    <row r="37" spans="2:20" ht="17.25" hidden="1" customHeight="1" outlineLevel="1" x14ac:dyDescent="0.25"/>
    <row r="38" spans="2:20" hidden="1" outlineLevel="1" x14ac:dyDescent="0.25">
      <c r="B38" s="34" t="s">
        <v>43</v>
      </c>
      <c r="C38" s="35"/>
      <c r="D38" s="36"/>
    </row>
    <row r="39" spans="2:20" hidden="1" outlineLevel="1" x14ac:dyDescent="0.25">
      <c r="B39" s="3" t="s">
        <v>19</v>
      </c>
      <c r="C39" s="7" t="str">
        <f>_xll.TM1RPTVIEW(db_name&amp;":}ElementAttributes_measure code:1", 0,TM1RPTFMTRNG,TM1RPTFMTIDCOL)</f>
        <v>finance_geus:}ElementAttributes_measure code:1</v>
      </c>
    </row>
    <row r="40" spans="2:20" hidden="1" outlineLevel="1" x14ac:dyDescent="0.25">
      <c r="B40" s="3" t="s">
        <v>20</v>
      </c>
      <c r="C40" s="7" t="str">
        <f>_xll.VIEW(db_name&amp;":}ElementAttributes_measure code","!","!")</f>
        <v>finance_geus:}ElementAttributes_measure code:12642171961747762044</v>
      </c>
    </row>
    <row r="41" spans="2:20" hidden="1" outlineLevel="1" x14ac:dyDescent="0.25">
      <c r="B41" s="3" t="s">
        <v>21</v>
      </c>
      <c r="C41" s="7" t="str">
        <f>IF($L$57="No",$C$42,$C$43)</f>
        <v>{TM1SUBSETALL( [measure code] )}</v>
      </c>
      <c r="D41" s="5"/>
    </row>
    <row r="42" spans="2:20" hidden="1" outlineLevel="1" x14ac:dyDescent="0.25">
      <c r="B42" s="3" t="s">
        <v>24</v>
      </c>
      <c r="C42" s="7" t="s">
        <v>47</v>
      </c>
    </row>
    <row r="43" spans="2:20" hidden="1" outlineLevel="1" x14ac:dyDescent="0.25">
      <c r="B43" s="3" t="s">
        <v>25</v>
      </c>
      <c r="C43" s="7" t="str">
        <f ca="1">"{TM1DRILLDOWNMEMBER( {[measure code].[" &amp; $L$56 &amp; "]}, ALL, RECURSIVE )}"</f>
        <v>{TM1DRILLDOWNMEMBER( {[measure code].[RECALC_0_2984_]}, ALL, RECURSIVE )}</v>
      </c>
    </row>
    <row r="44" spans="2:20" hidden="1" outlineLevel="1" x14ac:dyDescent="0.25"/>
    <row r="45" spans="2:20" hidden="1" outlineLevel="1" x14ac:dyDescent="0.25">
      <c r="J45" s="1" t="s">
        <v>26</v>
      </c>
      <c r="L45" s="2" t="s">
        <v>50</v>
      </c>
      <c r="M45" s="2" t="s">
        <v>0</v>
      </c>
      <c r="N45" s="2" t="s">
        <v>55</v>
      </c>
      <c r="O45" s="25" t="s">
        <v>49</v>
      </c>
      <c r="P45" s="2" t="s">
        <v>54</v>
      </c>
      <c r="Q45" s="2" t="s">
        <v>48</v>
      </c>
      <c r="R45" s="2" t="s">
        <v>51</v>
      </c>
      <c r="S45" s="2" t="s">
        <v>52</v>
      </c>
      <c r="T45" s="2" t="s">
        <v>53</v>
      </c>
    </row>
    <row r="46" spans="2:20" hidden="1" outlineLevel="1" x14ac:dyDescent="0.25"/>
    <row r="47" spans="2:20" hidden="1" outlineLevel="1" x14ac:dyDescent="0.25"/>
    <row r="48" spans="2:20" ht="39.75" customHeight="1" collapsed="1" x14ac:dyDescent="0.25">
      <c r="I48" s="16"/>
      <c r="J48" s="16"/>
      <c r="K48" s="16"/>
      <c r="L48" s="16"/>
      <c r="M48" s="16"/>
      <c r="N48" s="26" t="s">
        <v>45</v>
      </c>
      <c r="O48" s="26"/>
      <c r="P48" s="16"/>
      <c r="Q48" s="16"/>
      <c r="R48" s="16"/>
      <c r="S48" s="16"/>
      <c r="T48" s="16"/>
    </row>
    <row r="49" spans="1:20" ht="4.5" customHeight="1" x14ac:dyDescent="0.25"/>
    <row r="50" spans="1:20" ht="24" customHeight="1" x14ac:dyDescent="0.25">
      <c r="J50" s="1"/>
    </row>
    <row r="51" spans="1:20" ht="1.5" customHeight="1" x14ac:dyDescent="0.25">
      <c r="I51" s="16"/>
      <c r="J51" s="16"/>
      <c r="K51" s="16"/>
      <c r="L51" s="16"/>
      <c r="M51" s="16"/>
      <c r="N51" s="16"/>
      <c r="O51" s="26"/>
      <c r="P51" s="16"/>
      <c r="Q51" s="16"/>
      <c r="R51" s="16"/>
      <c r="S51" s="16"/>
      <c r="T51" s="16"/>
    </row>
    <row r="52" spans="1:20" x14ac:dyDescent="0.25">
      <c r="J52" s="38" t="s">
        <v>60</v>
      </c>
      <c r="K52" s="38"/>
      <c r="L52" s="38"/>
      <c r="M52" s="38"/>
    </row>
    <row r="53" spans="1:20" x14ac:dyDescent="0.25">
      <c r="J53" s="32" t="s">
        <v>63</v>
      </c>
    </row>
    <row r="54" spans="1:20" ht="5.0999999999999996" customHeight="1" x14ac:dyDescent="0.25"/>
    <row r="55" spans="1:20" x14ac:dyDescent="0.25">
      <c r="L55" s="9" t="s">
        <v>23</v>
      </c>
    </row>
    <row r="56" spans="1:20" x14ac:dyDescent="0.25">
      <c r="J56" s="8" t="s">
        <v>46</v>
      </c>
      <c r="L56" s="37" t="str">
        <f ca="1">_xll.SUBNM(db_name&amp;":measure code","","M00001","code and description")</f>
        <v>RECALC_0_2984_</v>
      </c>
      <c r="M56" s="37"/>
    </row>
    <row r="57" spans="1:20" x14ac:dyDescent="0.25">
      <c r="J57" s="8" t="s">
        <v>22</v>
      </c>
      <c r="L57" s="23" t="s">
        <v>56</v>
      </c>
    </row>
    <row r="58" spans="1:20" ht="5.0999999999999996" customHeight="1" x14ac:dyDescent="0.25"/>
    <row r="59" spans="1:20" ht="30" x14ac:dyDescent="0.25">
      <c r="J59" s="10" t="s">
        <v>44</v>
      </c>
      <c r="L59" s="11" t="s">
        <v>58</v>
      </c>
      <c r="M59" s="11" t="s">
        <v>61</v>
      </c>
      <c r="N59" s="11" t="s">
        <v>59</v>
      </c>
      <c r="O59" s="11" t="s">
        <v>62</v>
      </c>
      <c r="P59" s="11" t="s">
        <v>54</v>
      </c>
      <c r="Q59" s="11" t="s">
        <v>48</v>
      </c>
      <c r="R59" s="11" t="s">
        <v>51</v>
      </c>
      <c r="S59" s="11" t="s">
        <v>52</v>
      </c>
      <c r="T59" s="11" t="s">
        <v>53</v>
      </c>
    </row>
    <row r="60" spans="1:20" x14ac:dyDescent="0.25">
      <c r="A60" t="e">
        <f ca="1">IF(_xll.TM1RPTELISCONSOLIDATED($J$60,$J60),IF(_xll.TM1RPTELLEV($J$60,$J60)&lt;=3,_xll.TM1RPTELLEV($J$60,$J60),"D"),"N")</f>
        <v>#VALUE!</v>
      </c>
      <c r="J60" s="33" t="str">
        <f ca="1">_xll.TM1RPTROW($C$39,db_name&amp;":measure code","","","",0,$C$41)</f>
        <v>pending__sys_Admin - RDS - Measure Code_20250811022922.xlsm:RDS:TM1RPTDATARNG:1</v>
      </c>
      <c r="L60" s="17" t="e">
        <f ca="1">_xll.DBRW($C$39,$J60,L$45)</f>
        <v>#VALUE!</v>
      </c>
      <c r="M60" s="30" t="e">
        <f ca="1">_xll.DBRW($C$39,$J60,M$45)</f>
        <v>#VALUE!</v>
      </c>
      <c r="N60" s="18" t="e">
        <f ca="1">_xll.DBRW($C$39,$J60,N$45)</f>
        <v>#VALUE!</v>
      </c>
      <c r="O60" s="28" t="e">
        <f ca="1">_xll.DBRW($C$39,$J60,O$45)</f>
        <v>#VALUE!</v>
      </c>
      <c r="P60" s="18" t="e">
        <f ca="1">_xll.DBRW($C$39,$J60,P$45)</f>
        <v>#VALUE!</v>
      </c>
      <c r="Q60" s="18" t="e">
        <f ca="1">_xll.DBRW($C$39,$J60,Q$45)</f>
        <v>#VALUE!</v>
      </c>
      <c r="R60" s="18" t="e">
        <f ca="1">_xll.DBRW($C$39,$J60,R$45)</f>
        <v>#VALUE!</v>
      </c>
      <c r="S60" s="18" t="e">
        <f ca="1">_xll.DBRW($C$39,$J60,S$45)</f>
        <v>#VALUE!</v>
      </c>
      <c r="T60" s="18" t="e">
        <f ca="1">_xll.DBRW($C$39,$J60,T$45)</f>
        <v>#VALUE!</v>
      </c>
    </row>
  </sheetData>
  <sheetProtection sheet="1" objects="1" scenarios="1"/>
  <mergeCells count="6">
    <mergeCell ref="B11:D11"/>
    <mergeCell ref="B19:D19"/>
    <mergeCell ref="B38:D38"/>
    <mergeCell ref="L56:M56"/>
    <mergeCell ref="B27:D27"/>
    <mergeCell ref="J52:M52"/>
  </mergeCells>
  <dataValidations disablePrompts="1"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2025-08-11T02:59:24Z</dcterms:modified>
</cp:coreProperties>
</file>