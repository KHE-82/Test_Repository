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3C2B18BD-70D9-4387-AD9A-65D9B9152E34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validations" sheetId="1" r:id="rId1"/>
  </sheets>
  <definedNames>
    <definedName name="db_name">validations!$C$12</definedName>
    <definedName name="psHLYear">validations!$V$68</definedName>
    <definedName name="psID">validations!$AC$68</definedName>
    <definedName name="psProg">validations!$V$70</definedName>
    <definedName name="psScenario">validations!$Y$68</definedName>
    <definedName name="psUser">validations!$C$17</definedName>
    <definedName name="sys_per_display">validations!#REF!</definedName>
    <definedName name="sys_per_displaylist">validations!$E$20:$E$21</definedName>
    <definedName name="TM1AuthWB">validations!$C$38</definedName>
    <definedName name="TM1AuthWS">validations!$D$38</definedName>
    <definedName name="TM1BackToAdjWB">validations!$C$37</definedName>
    <definedName name="TM1BackToAdjWS">validations!$D$37</definedName>
    <definedName name="TM1HomeCAP">validations!$D$31</definedName>
    <definedName name="TM1HomeWB">validations!$F$31</definedName>
    <definedName name="TM1HomeWS">validations!$H$31</definedName>
    <definedName name="TM1MEBSDataEntryCAP">validations!$D$33</definedName>
    <definedName name="TM1MEBSDataEntryWB">validations!$F$33</definedName>
    <definedName name="TM1MEBSDataEntryWS">validations!$H$33</definedName>
    <definedName name="TM1MECFDataEntryCAP">validations!$D$34</definedName>
    <definedName name="TM1MECFDataEntryWB">validations!$F$34</definedName>
    <definedName name="TM1MECFDataEntryWS">validations!$H$34</definedName>
    <definedName name="TM1MEOSDataEntryCAP">validations!$D$32</definedName>
    <definedName name="TM1MEOSDataEntryWB">validations!$F$32</definedName>
    <definedName name="TM1MEOSDataEntryWS">validations!$H$32</definedName>
    <definedName name="TM1REBUILDOPTION">0</definedName>
    <definedName name="TM1RPTDATARNG1" localSheetId="0">validations!$73:$73</definedName>
    <definedName name="TM1RPTFMTIDCOL" localSheetId="0">validations!$A$1:$A$8</definedName>
    <definedName name="TM1RPTFMTRNG" localSheetId="0">validations!$B$1:$AJ$8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0" i="1" l="1"/>
  <c r="C50" i="1" a="1"/>
  <c r="C50" i="1"/>
  <c r="H12" i="1"/>
  <c r="G13" i="1"/>
  <c r="V68" i="1"/>
  <c r="G12" i="1"/>
  <c r="G15" i="1"/>
  <c r="Y68" i="1"/>
  <c r="C41" i="1"/>
  <c r="C43" i="1" a="1"/>
  <c r="C43" i="1"/>
  <c r="C46" i="1" a="1"/>
  <c r="C46" i="1"/>
  <c r="C49" i="1" a="1"/>
  <c r="AC68" i="1"/>
  <c r="C51" i="1" a="1"/>
  <c r="AJ76" i="1"/>
  <c r="C49" i="1"/>
  <c r="C51" i="1"/>
  <c r="AI76" i="1"/>
  <c r="AH76" i="1"/>
  <c r="AG76" i="1"/>
  <c r="AF76" i="1"/>
  <c r="AE76" i="1"/>
  <c r="AD76" i="1"/>
  <c r="AC76" i="1"/>
  <c r="AB76" i="1"/>
  <c r="AA76" i="1"/>
  <c r="Z76" i="1"/>
  <c r="Y76" i="1"/>
  <c r="G54" i="1" a="1"/>
  <c r="G54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K104" i="1" a="1"/>
  <c r="K104" i="1"/>
  <c r="V104" i="1"/>
  <c r="U104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K101" i="1" a="1"/>
  <c r="K101" i="1"/>
  <c r="V101" i="1"/>
  <c r="U101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K98" i="1" a="1"/>
  <c r="K98" i="1"/>
  <c r="V98" i="1"/>
  <c r="U98" i="1"/>
  <c r="Q59" i="1"/>
  <c r="AJ90" i="1"/>
  <c r="P59" i="1"/>
  <c r="AI90" i="1"/>
  <c r="O59" i="1"/>
  <c r="AH90" i="1"/>
  <c r="N59" i="1"/>
  <c r="AG90" i="1"/>
  <c r="M59" i="1"/>
  <c r="AF90" i="1"/>
  <c r="L59" i="1"/>
  <c r="AE90" i="1"/>
  <c r="K59" i="1"/>
  <c r="AD90" i="1"/>
  <c r="J59" i="1"/>
  <c r="AC90" i="1"/>
  <c r="I59" i="1"/>
  <c r="AB90" i="1"/>
  <c r="H59" i="1"/>
  <c r="AA90" i="1"/>
  <c r="G59" i="1"/>
  <c r="Z90" i="1"/>
  <c r="F59" i="1"/>
  <c r="Y90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G48" i="1" a="1"/>
  <c r="G48" i="1"/>
  <c r="M96" i="1" a="1"/>
  <c r="M96" i="1"/>
  <c r="O96" i="1"/>
  <c r="W96" i="1"/>
  <c r="G49" i="1" a="1"/>
  <c r="G49" i="1"/>
  <c r="N96" i="1" a="1"/>
  <c r="N96" i="1"/>
  <c r="J96" i="1"/>
  <c r="M95" i="1" a="1"/>
  <c r="M95" i="1"/>
  <c r="O95" i="1"/>
  <c r="W95" i="1"/>
  <c r="N95" i="1" a="1"/>
  <c r="N95" i="1"/>
  <c r="J95" i="1"/>
  <c r="M94" i="1" a="1"/>
  <c r="M94" i="1"/>
  <c r="O94" i="1"/>
  <c r="W94" i="1"/>
  <c r="N94" i="1" a="1"/>
  <c r="N94" i="1"/>
  <c r="J94" i="1"/>
  <c r="M93" i="1" a="1"/>
  <c r="M93" i="1"/>
  <c r="O93" i="1"/>
  <c r="W93" i="1"/>
  <c r="N93" i="1" a="1"/>
  <c r="N93" i="1"/>
  <c r="J93" i="1"/>
  <c r="M92" i="1" a="1"/>
  <c r="M92" i="1"/>
  <c r="O92" i="1"/>
  <c r="W92" i="1"/>
  <c r="N92" i="1" a="1"/>
  <c r="N92" i="1"/>
  <c r="J92" i="1"/>
  <c r="K91" i="1" a="1"/>
  <c r="K91" i="1"/>
  <c r="V91" i="1"/>
  <c r="U91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K87" i="1" a="1"/>
  <c r="K87" i="1"/>
  <c r="V87" i="1"/>
  <c r="U87" i="1"/>
  <c r="C13" i="1" a="1"/>
  <c r="C13" i="1"/>
  <c r="C14" i="1" a="1"/>
  <c r="C14" i="1"/>
  <c r="C15" i="1" a="1"/>
  <c r="C15" i="1"/>
  <c r="C17" i="1"/>
  <c r="C20" i="1" a="1"/>
  <c r="C20" i="1"/>
  <c r="C21" i="1" a="1"/>
  <c r="C21" i="1"/>
  <c r="C24" i="1" a="1"/>
  <c r="C24" i="1"/>
  <c r="C55" i="1"/>
  <c r="Q72" i="1"/>
  <c r="P72" i="1"/>
  <c r="O72" i="1"/>
  <c r="N72" i="1"/>
  <c r="M72" i="1"/>
  <c r="L72" i="1"/>
  <c r="K72" i="1"/>
  <c r="J72" i="1"/>
  <c r="I72" i="1"/>
  <c r="H72" i="1"/>
  <c r="G72" i="1"/>
  <c r="F72" i="1"/>
  <c r="C54" i="1"/>
  <c r="C28" i="1" a="1"/>
  <c r="C28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B73" i="1" a="1"/>
  <c r="B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G14" i="1"/>
  <c r="AC72" i="1"/>
  <c r="AD72" i="1"/>
  <c r="AE72" i="1"/>
  <c r="AF72" i="1"/>
  <c r="AG72" i="1"/>
  <c r="AH72" i="1"/>
  <c r="AI72" i="1"/>
  <c r="AJ72" i="1"/>
  <c r="C22" i="1" a="1"/>
  <c r="C22" i="1"/>
  <c r="E58" i="1"/>
  <c r="R59" i="1"/>
  <c r="R58" i="1" a="1"/>
  <c r="R58" i="1"/>
  <c r="C23" i="1" a="1"/>
  <c r="C23" i="1"/>
  <c r="AC73" i="1"/>
  <c r="AD73" i="1"/>
  <c r="AE73" i="1"/>
  <c r="AF73" i="1"/>
  <c r="AG73" i="1"/>
  <c r="AH73" i="1"/>
  <c r="AI73" i="1"/>
  <c r="AJ73" i="1"/>
  <c r="C42" i="1" a="1"/>
  <c r="C44" i="1" a="1"/>
  <c r="C45" i="1" a="1"/>
  <c r="C47" i="1" a="1"/>
  <c r="C48" i="1" a="1"/>
  <c r="C42" i="1"/>
  <c r="C44" i="1"/>
  <c r="C45" i="1"/>
  <c r="C47" i="1"/>
  <c r="C48" i="1"/>
  <c r="G41" i="1" a="1"/>
  <c r="G41" i="1"/>
  <c r="G44" i="1" a="1"/>
  <c r="G44" i="1"/>
  <c r="D38" i="1"/>
  <c r="C38" i="1"/>
  <c r="J85" i="1"/>
  <c r="N85" i="1" a="1"/>
  <c r="N85" i="1"/>
  <c r="M85" i="1" a="1"/>
  <c r="M85" i="1"/>
  <c r="J84" i="1"/>
  <c r="N84" i="1" a="1"/>
  <c r="N84" i="1"/>
  <c r="M84" i="1" a="1"/>
  <c r="M84" i="1"/>
  <c r="J83" i="1"/>
  <c r="N83" i="1" a="1"/>
  <c r="N83" i="1"/>
  <c r="M83" i="1" a="1"/>
  <c r="M83" i="1"/>
  <c r="K82" i="1" a="1"/>
  <c r="K82" i="1"/>
  <c r="J80" i="1"/>
  <c r="N80" i="1" a="1"/>
  <c r="N80" i="1"/>
  <c r="M80" i="1" a="1"/>
  <c r="M80" i="1"/>
  <c r="J79" i="1"/>
  <c r="N79" i="1" a="1"/>
  <c r="N79" i="1"/>
  <c r="M79" i="1" a="1"/>
  <c r="M79" i="1"/>
  <c r="J78" i="1"/>
  <c r="N78" i="1" a="1"/>
  <c r="N78" i="1"/>
  <c r="M78" i="1" a="1"/>
  <c r="M78" i="1"/>
  <c r="K77" i="1" a="1"/>
  <c r="K77" i="1"/>
  <c r="D73" i="1" a="1"/>
  <c r="D73" i="1"/>
  <c r="C73" i="1" a="1"/>
  <c r="C73" i="1"/>
  <c r="A73" i="1" a="1"/>
  <c r="A73" i="1"/>
  <c r="G45" i="1" a="1"/>
  <c r="G45" i="1"/>
  <c r="G43" i="1" a="1"/>
  <c r="G43" i="1"/>
  <c r="G42" i="1" a="1"/>
  <c r="G4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16" i="1" a="1"/>
  <c r="C16" i="1"/>
  <c r="D37" i="1"/>
  <c r="C37" i="1"/>
  <c r="O85" i="1"/>
  <c r="W85" i="1"/>
  <c r="O84" i="1"/>
  <c r="W84" i="1"/>
  <c r="O83" i="1"/>
  <c r="W83" i="1"/>
  <c r="V82" i="1"/>
  <c r="U82" i="1"/>
  <c r="O78" i="1"/>
  <c r="O79" i="1"/>
  <c r="W79" i="1"/>
  <c r="O80" i="1"/>
  <c r="W80" i="1"/>
  <c r="W78" i="1"/>
  <c r="V77" i="1"/>
  <c r="U77" i="1"/>
  <c r="Z73" i="1"/>
  <c r="AA73" i="1"/>
  <c r="AB73" i="1"/>
  <c r="Y73" i="1"/>
  <c r="W73" i="1"/>
  <c r="V73" i="1"/>
  <c r="U73" i="1"/>
  <c r="AB72" i="1"/>
  <c r="AA72" i="1"/>
  <c r="Z72" i="1"/>
  <c r="Y72" i="1"/>
  <c r="C25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<sst xmlns="http://schemas.openxmlformats.org/spreadsheetml/2006/main" count="151" uniqueCount="130">
  <si>
    <t>headline year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</si>
  <si>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</si>
  <si>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</si>
  <si>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</si>
  <si>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</si>
  <si>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</si>
  <si>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</si>
  <si>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</si>
  <si>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</si>
  <si>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</si>
  <si>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</si>
  <si>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</si>
  <si>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</si>
  <si>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</si>
  <si>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</si>
  <si>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</si>
  <si>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</si>
  <si>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</si>
  <si>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</si>
  <si>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</si>
  <si>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</si>
  <si>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</si>
  <si>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</si>
  <si>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</si>
  <si>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</si>
  <si>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</si>
  <si>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Client Preference (Data Entry)</t>
  </si>
  <si>
    <t>Cube View</t>
  </si>
  <si>
    <t>sys_client preference measure</t>
  </si>
  <si>
    <t>ID TO Use</t>
  </si>
  <si>
    <t>geus hl year</t>
  </si>
  <si>
    <t>geus scenario</t>
  </si>
  <si>
    <t>geus adj</t>
  </si>
  <si>
    <t>AE ID Details</t>
  </si>
  <si>
    <t>Slice</t>
  </si>
  <si>
    <t>DESCRIPTIONS</t>
  </si>
  <si>
    <t>status</t>
  </si>
  <si>
    <t>appropriation type</t>
  </si>
  <si>
    <t>appropriation item</t>
  </si>
  <si>
    <t>spp</t>
  </si>
  <si>
    <t>outcome</t>
  </si>
  <si>
    <t>function</t>
  </si>
  <si>
    <t>reason</t>
  </si>
  <si>
    <t>title</t>
  </si>
  <si>
    <t>CUBE:</t>
  </si>
  <si>
    <t>related entity</t>
  </si>
  <si>
    <t>measure code</t>
  </si>
  <si>
    <t>jurisdiction</t>
  </si>
  <si>
    <t>AE Adjustments</t>
  </si>
  <si>
    <t>AE Validations</t>
  </si>
  <si>
    <t>Active For View</t>
  </si>
  <si>
    <t>Slice View</t>
  </si>
  <si>
    <t>Validation ID MDX</t>
  </si>
  <si>
    <t>Validation ID</t>
  </si>
  <si>
    <t>description</t>
  </si>
  <si>
    <t>Period</t>
  </si>
  <si>
    <t>TO USE</t>
  </si>
  <si>
    <t>Current</t>
  </si>
  <si>
    <t>VALIDATION ID</t>
  </si>
  <si>
    <t>VALIDATION TITLE</t>
  </si>
  <si>
    <t>VALIDATION DESCRIPTION</t>
  </si>
  <si>
    <t>calculation</t>
  </si>
  <si>
    <t>Headline Year :</t>
  </si>
  <si>
    <t>Scenario :</t>
  </si>
  <si>
    <t>ID :</t>
  </si>
  <si>
    <t>Display List</t>
  </si>
  <si>
    <t>Show All</t>
  </si>
  <si>
    <t>Validations</t>
  </si>
  <si>
    <t>VALUE CHECKS</t>
  </si>
  <si>
    <t>Status</t>
  </si>
  <si>
    <t>Account</t>
  </si>
  <si>
    <t>Movement  Account</t>
  </si>
  <si>
    <t>Account Description</t>
  </si>
  <si>
    <t>Movement Account Description</t>
  </si>
  <si>
    <t>ACCOUNT / MOVEMENT ACCOUNT</t>
  </si>
  <si>
    <t>}ElementAttributes_Cube</t>
  </si>
  <si>
    <t>Movement Account</t>
  </si>
  <si>
    <t>}ElementAttributes_validation id</t>
  </si>
  <si>
    <t>4000000</t>
  </si>
  <si>
    <t>Total movement</t>
  </si>
  <si>
    <t>Display</t>
  </si>
  <si>
    <t>5000000</t>
  </si>
  <si>
    <t>3000000</t>
  </si>
  <si>
    <t>-</t>
  </si>
  <si>
    <t>=</t>
  </si>
  <si>
    <t>2240000</t>
  </si>
  <si>
    <t>5310000</t>
  </si>
  <si>
    <t>7153</t>
  </si>
  <si>
    <t>+</t>
  </si>
  <si>
    <t>adjustment type</t>
  </si>
  <si>
    <t>WorkBook</t>
  </si>
  <si>
    <t>WorkSheet</t>
  </si>
  <si>
    <t>BACK TO ADJ NAV</t>
  </si>
  <si>
    <t>Prior Year Actual</t>
  </si>
  <si>
    <t>7353</t>
  </si>
  <si>
    <t>Group Adj Type</t>
  </si>
  <si>
    <t>AUTH Button</t>
  </si>
  <si>
    <t>program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</si>
  <si>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</si>
  <si>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</si>
  <si>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</si>
  <si>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</si>
  <si>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</si>
  <si>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</si>
  <si>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</si>
  <si>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</si>
  <si>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</si>
  <si>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</si>
  <si>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</si>
  <si>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Program :</t>
  </si>
  <si>
    <t>{FILTER( {TM1FILTERBYLEVEL( {TM1DRILLDOWNMEMBER( {[validation id].[Total ME Validation]}, ALL, RECURSIVE )}, 0)}, [validation id].[use] = "Y")}</t>
  </si>
  <si>
    <t>ME_headline year</t>
  </si>
  <si>
    <t>ID</t>
  </si>
  <si>
    <t>00001</t>
  </si>
  <si>
    <t>Year</t>
  </si>
  <si>
    <t>Jun</t>
  </si>
  <si>
    <t>ME - OS Data Entry</t>
  </si>
  <si>
    <t>ME - BS Data Entry</t>
  </si>
  <si>
    <t>ME - CF Data Entry</t>
  </si>
  <si>
    <t>M002</t>
  </si>
  <si>
    <t>M003</t>
  </si>
  <si>
    <t>M004</t>
  </si>
  <si>
    <t>M005</t>
  </si>
  <si>
    <t>M006</t>
  </si>
  <si>
    <t>M007</t>
  </si>
  <si>
    <t>M001</t>
  </si>
  <si>
    <t>Displayed and Highlighted on Data Entry Screen</t>
  </si>
  <si>
    <t>1000001</t>
  </si>
  <si>
    <t>2000000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</si>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</sst>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* \(#,##0\)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9D202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9D2022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00426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5" fillId="4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0" borderId="4" xfId="0" applyFont="1" applyBorder="1"/>
    <xf numFmtId="49" fontId="4" fillId="0" borderId="4" xfId="0" applyNumberFormat="1" applyFont="1" applyBorder="1"/>
    <xf numFmtId="0" fontId="0" fillId="2" borderId="4" xfId="0" applyFill="1" applyBorder="1"/>
    <xf numFmtId="0" fontId="0" fillId="0" borderId="0" xfId="0" applyAlignment="1">
      <alignment horizontal="right" indent="1"/>
    </xf>
    <xf numFmtId="0" fontId="2" fillId="2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7" fillId="2" borderId="4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/>
    </xf>
    <xf numFmtId="0" fontId="2" fillId="0" borderId="0" xfId="0" applyFont="1" applyAlignment="1">
      <alignment horizontal="right" indent="1"/>
    </xf>
    <xf numFmtId="0" fontId="10" fillId="0" borderId="0" xfId="0" applyFont="1" applyAlignment="1">
      <alignment horizontal="right" indent="1"/>
    </xf>
    <xf numFmtId="0" fontId="11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12" fillId="5" borderId="0" xfId="0" applyFont="1" applyFill="1" applyAlignment="1">
      <alignment horizontal="right" vertical="center"/>
    </xf>
    <xf numFmtId="0" fontId="4" fillId="0" borderId="0" xfId="0" applyFont="1"/>
    <xf numFmtId="0" fontId="4" fillId="2" borderId="4" xfId="0" applyFont="1" applyFill="1" applyBorder="1"/>
    <xf numFmtId="0" fontId="7" fillId="2" borderId="4" xfId="0" applyFont="1" applyFill="1" applyBorder="1" applyAlignment="1">
      <alignment horizontal="center"/>
    </xf>
    <xf numFmtId="0" fontId="4" fillId="0" borderId="4" xfId="0" quotePrefix="1" applyFont="1" applyBorder="1"/>
    <xf numFmtId="0" fontId="4" fillId="0" borderId="4" xfId="0" applyFont="1" applyBorder="1" applyAlignment="1">
      <alignment horizontal="right" indent="1"/>
    </xf>
    <xf numFmtId="165" fontId="4" fillId="0" borderId="4" xfId="1" applyNumberFormat="1" applyFont="1" applyBorder="1"/>
    <xf numFmtId="0" fontId="4" fillId="0" borderId="4" xfId="0" applyFont="1" applyBorder="1" applyAlignment="1">
      <alignment wrapText="1"/>
    </xf>
    <xf numFmtId="0" fontId="8" fillId="0" borderId="0" xfId="0" applyFont="1" applyAlignment="1">
      <alignment horizontal="center" vertical="top"/>
    </xf>
    <xf numFmtId="0" fontId="2" fillId="0" borderId="5" xfId="0" applyFont="1" applyBorder="1"/>
    <xf numFmtId="0" fontId="0" fillId="0" borderId="0" xfId="0" quotePrefix="1"/>
    <xf numFmtId="0" fontId="0" fillId="0" borderId="4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center"/>
      <protection locked="0"/>
    </xf>
    <xf numFmtId="0" fontId="7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 applyProtection="1">
      <alignment horizontal="left" vertical="top" indent="1"/>
      <protection locked="0"/>
    </xf>
    <xf numFmtId="0" fontId="0" fillId="0" borderId="3" xfId="0" applyBorder="1" applyAlignment="1" applyProtection="1">
      <alignment horizontal="left" vertical="top" indent="1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b/>
        <i val="0"/>
        <color theme="5" tint="-0.2499465926084170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</xdr:colOff>
      <xdr:row>62</xdr:row>
      <xdr:rowOff>28575</xdr:rowOff>
    </xdr:from>
    <xdr:to>
      <xdr:col>21</xdr:col>
      <xdr:colOff>662940</xdr:colOff>
      <xdr:row>62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1516380</xdr:colOff>
          <xdr:row>64</xdr:row>
          <xdr:rowOff>7620</xdr:rowOff>
        </xdr:from>
        <xdr:to>
          <xdr:col>21</xdr:col>
          <xdr:colOff>2293620</xdr:colOff>
          <xdr:row>64</xdr:row>
          <xdr:rowOff>259080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38100</xdr:colOff>
          <xdr:row>64</xdr:row>
          <xdr:rowOff>7620</xdr:rowOff>
        </xdr:from>
        <xdr:to>
          <xdr:col>21</xdr:col>
          <xdr:colOff>266700</xdr:colOff>
          <xdr:row>64</xdr:row>
          <xdr:rowOff>259080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297180</xdr:colOff>
          <xdr:row>64</xdr:row>
          <xdr:rowOff>7620</xdr:rowOff>
        </xdr:from>
        <xdr:to>
          <xdr:col>21</xdr:col>
          <xdr:colOff>1470660</xdr:colOff>
          <xdr:row>64</xdr:row>
          <xdr:rowOff>259080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AJ105"/>
  <sheetViews>
    <sheetView showGridLines="0" showRowColHeaders="0" tabSelected="1" showOutlineSymbols="0" topLeftCell="A63" workbookViewId="0">
      <pane xSplit="24" ySplit="10" topLeftCell="Y73" activePane="bottomRight" state="frozen"/>
      <selection activeCell="T63" sqref="T63"/>
      <selection pane="topRight" activeCell="Y63" sqref="Y63"/>
      <selection pane="bottomLeft" activeCell="T73" sqref="T73"/>
      <selection pane="bottomRight"/>
    </sheetView>
  </sheetViews>
  <sheetFormatPr defaultRowHeight="14.4" outlineLevelRow="1" outlineLevelCol="1" x14ac:dyDescent="0.3"/>
  <cols>
    <col min="1" max="1" width="2.6640625" hidden="1" customWidth="1" outlineLevel="1"/>
    <col min="2" max="2" width="23.109375" hidden="1" customWidth="1" outlineLevel="1"/>
    <col min="3" max="3" width="29.6640625" hidden="1" customWidth="1" outlineLevel="1"/>
    <col min="4" max="4" width="20.88671875" hidden="1" customWidth="1" outlineLevel="1"/>
    <col min="5" max="19" width="13.33203125" hidden="1" customWidth="1" outlineLevel="1"/>
    <col min="20" max="20" width="0.88671875" customWidth="1" collapsed="1"/>
    <col min="21" max="21" width="16.6640625" customWidth="1"/>
    <col min="22" max="22" width="35.6640625" customWidth="1"/>
    <col min="23" max="23" width="60.6640625" customWidth="1"/>
    <col min="24" max="24" width="0.88671875" customWidth="1"/>
    <col min="25" max="36" width="12.6640625" customWidth="1"/>
  </cols>
  <sheetData>
    <row r="1" spans="1:36" hidden="1" outlineLevel="1" x14ac:dyDescent="0.3">
      <c r="A1" t="s">
        <v>3</v>
      </c>
    </row>
    <row r="2" spans="1:36" hidden="1" outlineLevel="1" x14ac:dyDescent="0.3">
      <c r="A2">
        <f>0</f>
        <v>0</v>
      </c>
      <c r="B2" s="12"/>
      <c r="C2" s="12"/>
      <c r="D2" s="12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U2" s="20"/>
      <c r="V2" s="19"/>
      <c r="W2" s="19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hidden="1" outlineLevel="1" x14ac:dyDescent="0.3">
      <c r="A3">
        <f>1</f>
        <v>1</v>
      </c>
      <c r="B3" s="12"/>
      <c r="C3" s="12"/>
      <c r="D3" s="1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U3" s="20"/>
      <c r="V3" s="19"/>
      <c r="W3" s="19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hidden="1" outlineLevel="1" x14ac:dyDescent="0.3">
      <c r="A4">
        <f>2</f>
        <v>2</v>
      </c>
      <c r="B4" s="12"/>
      <c r="C4" s="12"/>
      <c r="D4" s="12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U4" s="20"/>
      <c r="V4" s="19"/>
      <c r="W4" s="19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 hidden="1" outlineLevel="1" x14ac:dyDescent="0.3">
      <c r="A5">
        <f>3</f>
        <v>3</v>
      </c>
      <c r="B5" s="12"/>
      <c r="C5" s="12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U5" s="20"/>
      <c r="V5" s="19"/>
      <c r="W5" s="19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hidden="1" outlineLevel="1" x14ac:dyDescent="0.3">
      <c r="A6" t="s">
        <v>1</v>
      </c>
      <c r="B6" s="12"/>
      <c r="C6" s="12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U6" s="20"/>
      <c r="V6" s="19"/>
      <c r="W6" s="19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</row>
    <row r="7" spans="1:36" hidden="1" outlineLevel="1" x14ac:dyDescent="0.3">
      <c r="A7" t="s">
        <v>2</v>
      </c>
      <c r="B7" s="12"/>
      <c r="C7" s="12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U7" s="20"/>
      <c r="V7" s="19"/>
      <c r="W7" s="19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</row>
    <row r="8" spans="1:36" hidden="1" outlineLevel="1" x14ac:dyDescent="0.3">
      <c r="A8" t="s">
        <v>4</v>
      </c>
    </row>
    <row r="9" spans="1:36" hidden="1" outlineLevel="1" x14ac:dyDescent="0.3"/>
    <row r="10" spans="1:36" hidden="1" outlineLevel="1" x14ac:dyDescent="0.3"/>
    <row r="11" spans="1:36" hidden="1" outlineLevel="1" x14ac:dyDescent="0.3">
      <c r="B11" s="43" t="s">
        <v>5</v>
      </c>
      <c r="C11" s="44"/>
      <c r="D11" s="45"/>
      <c r="F11" s="43" t="s">
        <v>12</v>
      </c>
      <c r="G11" s="44"/>
      <c r="H11" s="45"/>
    </row>
    <row r="12" spans="1:36" hidden="1" outlineLevel="1" x14ac:dyDescent="0.3">
      <c r="B12" s="2" t="s">
        <v>6</v>
      </c>
      <c r="C12" s="3" t="s">
        <v>129</v>
      </c>
      <c r="D12" s="4"/>
      <c r="F12" s="2" t="s">
        <v>13</v>
      </c>
      <c r="G12" s="6" t="str">
        <f ca="1">_xll.VIEW(db_name&amp;":}ElementAttributes_variables","!","!")</f>
        <v>dcceew_geus:}ElementAttributes_variables</v>
      </c>
      <c r="H12" s="6" t="str">
        <f ca="1">_xll.VIEW(db_name&amp;":sys_ME variable","!","!")</f>
        <v>dcceew_geus:sys_ME variable</v>
      </c>
    </row>
    <row r="13" spans="1:36" hidden="1" outlineLevel="1" x14ac:dyDescent="0.3">
      <c r="B13" s="2" t="s">
        <v>7</v>
      </c>
      <c r="C13" s="5" t="str" cm="1">
        <f t="array" aca="1" ref="C13" ca="1">_xll.VIEW(db_name&amp;":}ElementAttributes_}Clients","!","!")</f>
        <v>dcceew_geus:}ElementAttributes_}Clients</v>
      </c>
      <c r="D13" s="4"/>
      <c r="F13" s="2" t="s">
        <v>111</v>
      </c>
      <c r="G13" s="6" t="str">
        <f ca="1">_xll.DBR($H$12,$F13,"value")</f>
        <v>*KEY_ERR</v>
      </c>
      <c r="H13" s="6"/>
    </row>
    <row r="14" spans="1:36" hidden="1" outlineLevel="1" x14ac:dyDescent="0.3">
      <c r="B14" s="2" t="s">
        <v>8</v>
      </c>
      <c r="C14" s="3" t="str" cm="1">
        <f t="array" aca="1" ref="C14" ca="1">_xll.TM1USER(db_name)</f>
        <v/>
      </c>
      <c r="D14" s="4"/>
      <c r="F14" s="2" t="s">
        <v>0</v>
      </c>
      <c r="G14" s="6" t="str">
        <f ca="1">_xll.DBR($G$12,$F14,"value")</f>
        <v>*KEY_ERR</v>
      </c>
      <c r="H14" s="6"/>
    </row>
    <row r="15" spans="1:36" hidden="1" outlineLevel="1" x14ac:dyDescent="0.3">
      <c r="B15" s="2" t="s">
        <v>9</v>
      </c>
      <c r="C15" s="3" t="str" cm="1">
        <f t="array" aca="1" ref="C15" ca="1">_xll.DBR($C$13,$C$14,$B15)</f>
        <v>*KEY_ERR</v>
      </c>
      <c r="D15" s="4"/>
      <c r="F15" s="2" t="s">
        <v>14</v>
      </c>
      <c r="G15" s="6" t="str">
        <f ca="1">_xll.DBR($G$12,$F15,"value")</f>
        <v>*KEY_ERR</v>
      </c>
    </row>
    <row r="16" spans="1:36" hidden="1" outlineLevel="1" x14ac:dyDescent="0.3">
      <c r="B16" s="2" t="s">
        <v>10</v>
      </c>
      <c r="C16" s="3" t="str" cm="1">
        <f t="array" aca="1" ref="C16" ca="1">_xll.DBR($C$13,$C$14,$B16)</f>
        <v>*KEY_ERR</v>
      </c>
      <c r="D16" s="4"/>
      <c r="F16" s="35" t="s">
        <v>112</v>
      </c>
      <c r="G16" s="36" t="s">
        <v>113</v>
      </c>
    </row>
    <row r="17" spans="2:8" hidden="1" outlineLevel="1" x14ac:dyDescent="0.3">
      <c r="B17" s="2" t="s">
        <v>11</v>
      </c>
      <c r="C17" s="3" t="str">
        <f ca="1">IF(LEFT($C$15,6)="CAM_AD",$C$16,$C$15)</f>
        <v>*KEY_ERR</v>
      </c>
      <c r="D17" s="6"/>
    </row>
    <row r="18" spans="2:8" hidden="1" outlineLevel="1" x14ac:dyDescent="0.3"/>
    <row r="19" spans="2:8" hidden="1" outlineLevel="1" x14ac:dyDescent="0.3">
      <c r="B19" s="46" t="s">
        <v>26</v>
      </c>
      <c r="C19" s="47"/>
      <c r="E19" s="25" t="s">
        <v>65</v>
      </c>
    </row>
    <row r="20" spans="2:8" hidden="1" outlineLevel="1" x14ac:dyDescent="0.3">
      <c r="B20" s="2" t="s">
        <v>27</v>
      </c>
      <c r="C20" s="6" t="str" cm="1">
        <f t="array" aca="1" ref="C20" ca="1">_xll.VIEW(db_name&amp;":sys_client preference",psUser,"!","!")</f>
        <v>dcceew_geus:sys_client preference</v>
      </c>
      <c r="E20" s="6" t="s">
        <v>57</v>
      </c>
    </row>
    <row r="21" spans="2:8" hidden="1" outlineLevel="1" x14ac:dyDescent="0.3">
      <c r="B21" s="6" t="s">
        <v>28</v>
      </c>
      <c r="C21" s="6" t="str" cm="1">
        <f t="array" aca="1" ref="C21" ca="1">_xll.SUBNM(db_name &amp; ":sys_client preference measure","","value")</f>
        <v/>
      </c>
      <c r="E21" s="6" t="s">
        <v>66</v>
      </c>
    </row>
    <row r="22" spans="2:8" hidden="1" outlineLevel="1" x14ac:dyDescent="0.3">
      <c r="B22" s="6" t="s">
        <v>30</v>
      </c>
      <c r="C22" s="6" t="str" cm="1">
        <f t="array" aca="1" ref="C22" ca="1">_xll.DBR($C$20,$C$14,$B22,$C$21)</f>
        <v>*KEY_ERR</v>
      </c>
    </row>
    <row r="23" spans="2:8" hidden="1" outlineLevel="1" x14ac:dyDescent="0.3">
      <c r="B23" s="6" t="s">
        <v>31</v>
      </c>
      <c r="C23" s="6" t="str" cm="1">
        <f t="array" aca="1" ref="C23" ca="1">_xll.DBR($C$20,$C$14,$B23,$C$21)</f>
        <v>*KEY_ERR</v>
      </c>
    </row>
    <row r="24" spans="2:8" hidden="1" outlineLevel="1" x14ac:dyDescent="0.3">
      <c r="B24" s="6" t="s">
        <v>32</v>
      </c>
      <c r="C24" s="6" t="str" cm="1">
        <f t="array" aca="1" ref="C24" ca="1">_xll.DBR($C$20,$C$14,$B24,$C$21)</f>
        <v>*KEY_ERR</v>
      </c>
    </row>
    <row r="25" spans="2:8" ht="15.6" hidden="1" outlineLevel="1" x14ac:dyDescent="0.3">
      <c r="B25" s="6" t="s">
        <v>29</v>
      </c>
      <c r="C25" s="9" t="str">
        <f ca="1">C24</f>
        <v>*KEY_ERR</v>
      </c>
    </row>
    <row r="26" spans="2:8" hidden="1" outlineLevel="1" x14ac:dyDescent="0.3"/>
    <row r="27" spans="2:8" hidden="1" outlineLevel="1" x14ac:dyDescent="0.3">
      <c r="B27" s="43" t="s">
        <v>15</v>
      </c>
      <c r="C27" s="44"/>
      <c r="D27" s="45"/>
    </row>
    <row r="28" spans="2:8" hidden="1" outlineLevel="1" x14ac:dyDescent="0.3">
      <c r="B28" s="6" t="s">
        <v>16</v>
      </c>
      <c r="C28" s="6" t="str" cm="1">
        <f t="array" aca="1" ref="C28" ca="1">_xll.VIEW(db_name&amp;":sys_application","!","!")</f>
        <v>dcceew_geus:sys_application</v>
      </c>
      <c r="D28" s="6"/>
    </row>
    <row r="29" spans="2:8" hidden="1" outlineLevel="1" x14ac:dyDescent="0.3">
      <c r="B29" s="6" t="s">
        <v>17</v>
      </c>
      <c r="C29" s="6"/>
      <c r="D29" s="6"/>
    </row>
    <row r="30" spans="2:8" hidden="1" outlineLevel="1" x14ac:dyDescent="0.3">
      <c r="B30" s="7" t="s">
        <v>18</v>
      </c>
      <c r="C30" s="8" t="s">
        <v>19</v>
      </c>
      <c r="D30" s="8" t="s">
        <v>20</v>
      </c>
      <c r="E30" s="8" t="s">
        <v>21</v>
      </c>
      <c r="F30" s="8" t="s">
        <v>22</v>
      </c>
      <c r="G30" s="8" t="s">
        <v>23</v>
      </c>
      <c r="H30" s="8" t="s">
        <v>24</v>
      </c>
    </row>
    <row r="31" spans="2:8" hidden="1" outlineLevel="1" x14ac:dyDescent="0.3">
      <c r="B31" s="6" t="s">
        <v>25</v>
      </c>
      <c r="C31" s="6" t="str" cm="1">
        <f t="array" aca="1" ref="C31" ca="1">_xll.DBR($C$28,$B31,C$30)</f>
        <v>*KEY_ERR</v>
      </c>
      <c r="D31" s="6" t="str" cm="1">
        <f t="array" aca="1" ref="D31" ca="1">_xll.DBR($C$28,$B31,D$30)</f>
        <v>*KEY_ERR</v>
      </c>
      <c r="E31" s="6" t="str" cm="1">
        <f t="array" aca="1" ref="E31" ca="1">_xll.DBR($C$28,$B31,E$30)</f>
        <v>*KEY_ERR</v>
      </c>
      <c r="F31" s="6" t="str" cm="1">
        <f t="array" aca="1" ref="F31" ca="1">_xll.DBR($C$28,$B31,F$30)</f>
        <v>*KEY_ERR</v>
      </c>
      <c r="G31" s="6" t="str" cm="1">
        <f t="array" aca="1" ref="G31" ca="1">_xll.DBR($C$28,$B31,G$30)</f>
        <v>*KEY_ERR</v>
      </c>
      <c r="H31" s="6" t="str" cm="1">
        <f t="array" aca="1" ref="H31" ca="1">_xll.DBR($C$28,$B31,H$30)</f>
        <v>*KEY_ERR</v>
      </c>
    </row>
    <row r="32" spans="2:8" hidden="1" outlineLevel="1" x14ac:dyDescent="0.3">
      <c r="B32" s="6" t="s">
        <v>116</v>
      </c>
      <c r="C32" s="6" t="str" cm="1">
        <f t="array" aca="1" ref="C32" ca="1">_xll.DBR($C$28,$B32,C$30)</f>
        <v>*KEY_ERR</v>
      </c>
      <c r="D32" s="6" t="str" cm="1">
        <f t="array" aca="1" ref="D32" ca="1">_xll.DBR($C$28,$B32,D$30)</f>
        <v>*KEY_ERR</v>
      </c>
      <c r="E32" s="6" t="str" cm="1">
        <f t="array" aca="1" ref="E32" ca="1">_xll.DBR($C$28,$B32,E$30)</f>
        <v>*KEY_ERR</v>
      </c>
      <c r="F32" s="6" t="str" cm="1">
        <f t="array" aca="1" ref="F32" ca="1">_xll.DBR($C$28,$B32,F$30)</f>
        <v>*KEY_ERR</v>
      </c>
      <c r="G32" s="6" t="str" cm="1">
        <f t="array" aca="1" ref="G32" ca="1">_xll.DBR($C$28,$B32,G$30)</f>
        <v>*KEY_ERR</v>
      </c>
      <c r="H32" s="6" t="str" cm="1">
        <f t="array" aca="1" ref="H32" ca="1">_xll.DBR($C$28,$B32,H$30)</f>
        <v>*KEY_ERR</v>
      </c>
    </row>
    <row r="33" spans="2:8" hidden="1" outlineLevel="1" x14ac:dyDescent="0.3">
      <c r="B33" s="6" t="s">
        <v>117</v>
      </c>
      <c r="C33" s="6" t="str" cm="1">
        <f t="array" aca="1" ref="C33" ca="1">_xll.DBR($C$28,$B33,C$30)</f>
        <v>*KEY_ERR</v>
      </c>
      <c r="D33" s="6" t="str" cm="1">
        <f t="array" aca="1" ref="D33" ca="1">_xll.DBR($C$28,$B33,D$30)</f>
        <v>*KEY_ERR</v>
      </c>
      <c r="E33" s="6" t="str" cm="1">
        <f t="array" aca="1" ref="E33" ca="1">_xll.DBR($C$28,$B33,E$30)</f>
        <v>*KEY_ERR</v>
      </c>
      <c r="F33" s="6" t="str" cm="1">
        <f t="array" aca="1" ref="F33" ca="1">_xll.DBR($C$28,$B33,F$30)</f>
        <v>*KEY_ERR</v>
      </c>
      <c r="G33" s="6" t="str" cm="1">
        <f t="array" aca="1" ref="G33" ca="1">_xll.DBR($C$28,$B33,G$30)</f>
        <v>*KEY_ERR</v>
      </c>
      <c r="H33" s="6" t="str" cm="1">
        <f t="array" aca="1" ref="H33" ca="1">_xll.DBR($C$28,$B33,H$30)</f>
        <v>*KEY_ERR</v>
      </c>
    </row>
    <row r="34" spans="2:8" hidden="1" outlineLevel="1" x14ac:dyDescent="0.3">
      <c r="B34" s="6" t="s">
        <v>118</v>
      </c>
      <c r="C34" s="6" t="str" cm="1">
        <f t="array" aca="1" ref="C34" ca="1">_xll.DBR($C$28,$B34,C$30)</f>
        <v>*KEY_ERR</v>
      </c>
      <c r="D34" s="6" t="str" cm="1">
        <f t="array" aca="1" ref="D34" ca="1">_xll.DBR($C$28,$B34,D$30)</f>
        <v>*KEY_ERR</v>
      </c>
      <c r="E34" s="6" t="str" cm="1">
        <f t="array" aca="1" ref="E34" ca="1">_xll.DBR($C$28,$B34,E$30)</f>
        <v>*KEY_ERR</v>
      </c>
      <c r="F34" s="6" t="str" cm="1">
        <f t="array" aca="1" ref="F34" ca="1">_xll.DBR($C$28,$B34,F$30)</f>
        <v>*KEY_ERR</v>
      </c>
      <c r="G34" s="6" t="str" cm="1">
        <f t="array" aca="1" ref="G34" ca="1">_xll.DBR($C$28,$B34,G$30)</f>
        <v>*KEY_ERR</v>
      </c>
      <c r="H34" s="6" t="str" cm="1">
        <f t="array" aca="1" ref="H34" ca="1">_xll.DBR($C$28,$B34,H$30)</f>
        <v>*KEY_ERR</v>
      </c>
    </row>
    <row r="35" spans="2:8" hidden="1" outlineLevel="1" x14ac:dyDescent="0.3"/>
    <row r="36" spans="2:8" hidden="1" outlineLevel="1" x14ac:dyDescent="0.3">
      <c r="B36" s="6"/>
      <c r="C36" s="8" t="s">
        <v>90</v>
      </c>
      <c r="D36" s="8" t="s">
        <v>91</v>
      </c>
    </row>
    <row r="37" spans="2:8" hidden="1" outlineLevel="1" x14ac:dyDescent="0.3">
      <c r="B37" s="2" t="s">
        <v>92</v>
      </c>
      <c r="C37" s="6" t="e">
        <f ca="1">IF($G$44="Group",IF($G$45="Compliance",TM1GrpNewAdj08RecogDataEntryWB,TM1GrpNewAdj02ExpDataEntryWB),TM1NewAdj02DataEntryWB)</f>
        <v>#NAME?</v>
      </c>
      <c r="D37" s="6" t="e">
        <f ca="1">IF($G$44="Group",IF($G$45="Compliance",TM1GrpNewAdj08RecogDataEntryWS,TM1GrpNewAdj02ExpDataEntryWS),TM1NewAdj02DataEntryWS)</f>
        <v>#NAME?</v>
      </c>
    </row>
    <row r="38" spans="2:8" hidden="1" outlineLevel="1" x14ac:dyDescent="0.3">
      <c r="B38" s="2" t="s">
        <v>96</v>
      </c>
      <c r="C38" s="6" t="e">
        <f ca="1">IF($G$44="Group",TM1GrpNewAdj05AuthWB,TM1NewAdj03AuthWB)</f>
        <v>#NAME?</v>
      </c>
      <c r="D38" s="6" t="e">
        <f ca="1">IF($G$44="Group",TM1GrpNewAdj05AuthWS,TM1NewAdj03AuthWS)</f>
        <v>#NAME?</v>
      </c>
    </row>
    <row r="39" spans="2:8" hidden="1" outlineLevel="1" x14ac:dyDescent="0.3"/>
    <row r="40" spans="2:8" hidden="1" outlineLevel="1" x14ac:dyDescent="0.3">
      <c r="B40" s="43" t="s">
        <v>48</v>
      </c>
      <c r="C40" s="44"/>
      <c r="D40" s="45"/>
      <c r="F40" s="43" t="s">
        <v>33</v>
      </c>
      <c r="G40" s="44"/>
      <c r="H40" s="45"/>
    </row>
    <row r="41" spans="2:8" hidden="1" outlineLevel="1" x14ac:dyDescent="0.3">
      <c r="B41" s="6" t="s">
        <v>44</v>
      </c>
      <c r="C41" s="6" t="str">
        <f ca="1">_xll.VIEW(db_name&amp;":ME reporting",$V$68,$Y$68,"!","!","!","!","!","!","!","!","!","!")</f>
        <v>dcceew_geus:ME reporting</v>
      </c>
      <c r="D41" s="6"/>
      <c r="F41" s="2" t="s">
        <v>34</v>
      </c>
      <c r="G41" s="6" t="str" cm="1">
        <f t="array" aca="1" ref="G41" ca="1">_xll.VIEW(db_name&amp;":AE id details",$C$22,$C$23,$C$24,"!")</f>
        <v>dcceew_geus:AE id details</v>
      </c>
      <c r="H41" s="2" t="s">
        <v>35</v>
      </c>
    </row>
    <row r="42" spans="2:8" hidden="1" outlineLevel="1" x14ac:dyDescent="0.3">
      <c r="B42" s="2" t="s">
        <v>40</v>
      </c>
      <c r="C42" s="6" t="str" cm="1">
        <f t="array" aca="1" ref="C42" ca="1">_xll.SUBNM(db_name&amp;":outcome","","Total outcomes")</f>
        <v/>
      </c>
      <c r="D42" s="6"/>
      <c r="F42" s="2" t="s">
        <v>36</v>
      </c>
      <c r="G42" s="6" t="str" cm="1">
        <f t="array" aca="1" ref="G42" ca="1">_xll.DBR($G$41,$C$22,$C$23,$C$24,$F42)</f>
        <v>*KEY_ERR</v>
      </c>
      <c r="H42" s="6"/>
    </row>
    <row r="43" spans="2:8" hidden="1" outlineLevel="1" x14ac:dyDescent="0.3">
      <c r="B43" s="2" t="s">
        <v>45</v>
      </c>
      <c r="C43" s="6" t="str" cm="1">
        <f t="array" aca="1" ref="C43" ca="1">_xll.SUBNM(db_name&amp;":related entity","","Total related entity")</f>
        <v/>
      </c>
      <c r="D43" s="6"/>
      <c r="F43" s="2" t="s">
        <v>43</v>
      </c>
      <c r="G43" s="6" t="str" cm="1">
        <f t="array" aca="1" ref="G43" ca="1">_xll.DBR($G$41,$C$22,$C$23,$C$24,$F43)</f>
        <v>*KEY_ERR</v>
      </c>
      <c r="H43" s="6"/>
    </row>
    <row r="44" spans="2:8" hidden="1" outlineLevel="1" x14ac:dyDescent="0.3">
      <c r="B44" s="2" t="s">
        <v>41</v>
      </c>
      <c r="C44" s="6" t="str" cm="1">
        <f t="array" aca="1" ref="C44" ca="1">_xll.SUBNM(db_name&amp;":function","","Total functions")</f>
        <v/>
      </c>
      <c r="D44" s="6"/>
      <c r="F44" s="2" t="s">
        <v>89</v>
      </c>
      <c r="G44" s="6" t="str" cm="1">
        <f t="array" aca="1" ref="G44" ca="1">_xll.DBR($G$41,$C$22,$C$23,$C$24,$F44)</f>
        <v>*KEY_ERR</v>
      </c>
      <c r="H44" s="6"/>
    </row>
    <row r="45" spans="2:8" hidden="1" outlineLevel="1" x14ac:dyDescent="0.3">
      <c r="B45" s="2" t="s">
        <v>42</v>
      </c>
      <c r="C45" s="6" t="str" cm="1">
        <f t="array" aca="1" ref="C45" ca="1">_xll.SUBNM(db_name&amp;":reason","","Total reason")</f>
        <v/>
      </c>
      <c r="D45" s="6"/>
      <c r="F45" s="2" t="s">
        <v>95</v>
      </c>
      <c r="G45" s="6" t="str" cm="1">
        <f t="array" aca="1" ref="G45" ca="1">_xll.DBR($G$41,$C$22,$C$23,$C$24,$F45)</f>
        <v>*KEY_ERR</v>
      </c>
      <c r="H45" s="6"/>
    </row>
    <row r="46" spans="2:8" hidden="1" outlineLevel="1" x14ac:dyDescent="0.3">
      <c r="B46" s="2" t="s">
        <v>39</v>
      </c>
      <c r="C46" s="6" t="str" cm="1">
        <f t="array" aca="1" ref="C46" ca="1">_xll.SUBNM(db_name&amp;":spp","","Total SPP")</f>
        <v/>
      </c>
      <c r="D46" s="6"/>
    </row>
    <row r="47" spans="2:8" hidden="1" outlineLevel="1" x14ac:dyDescent="0.3">
      <c r="B47" s="2" t="s">
        <v>46</v>
      </c>
      <c r="C47" s="6" t="str" cm="1">
        <f t="array" aca="1" ref="C47" ca="1">_xll.SUBNM(db_name&amp;":measure code","","Total Measures","CBMS")</f>
        <v/>
      </c>
      <c r="D47" s="6"/>
      <c r="F47" s="40" t="s">
        <v>75</v>
      </c>
      <c r="G47" s="40"/>
      <c r="H47" s="40"/>
    </row>
    <row r="48" spans="2:8" hidden="1" outlineLevel="1" x14ac:dyDescent="0.3">
      <c r="B48" s="2" t="s">
        <v>37</v>
      </c>
      <c r="C48" s="6" t="str" cm="1">
        <f t="array" aca="1" ref="C48" ca="1">_xll.SUBNM(db_name&amp;":appropriation type","","Total approp types")</f>
        <v/>
      </c>
      <c r="D48" s="6"/>
      <c r="F48" s="2" t="s">
        <v>70</v>
      </c>
      <c r="G48" s="6" t="str" cm="1">
        <f t="array" aca="1" ref="G48" ca="1">_xll.VIEW(db_name&amp;":}ElementAttributes_account","!","!")</f>
        <v>dcceew_geus:}ElementAttributes_account</v>
      </c>
      <c r="H48" s="6"/>
    </row>
    <row r="49" spans="2:36" hidden="1" outlineLevel="1" x14ac:dyDescent="0.3">
      <c r="B49" s="2" t="s">
        <v>38</v>
      </c>
      <c r="C49" s="6" t="str" cm="1">
        <f t="array" aca="1" ref="C49" ca="1">_xll.SUBNM(db_name&amp;":appropriation item","","Total approp item")</f>
        <v/>
      </c>
      <c r="D49" s="6"/>
      <c r="F49" s="2" t="s">
        <v>76</v>
      </c>
      <c r="G49" s="6" t="str" cm="1">
        <f t="array" aca="1" ref="G49" ca="1">_xll.VIEW(db_name&amp;":}ElementAttributes_movement account","!","!")</f>
        <v>dcceew_geus:}ElementAttributes_movement account</v>
      </c>
    </row>
    <row r="50" spans="2:36" hidden="1" outlineLevel="1" x14ac:dyDescent="0.3">
      <c r="B50" s="2" t="s">
        <v>97</v>
      </c>
      <c r="C50" s="6" t="str">
        <f t="array" aca="1" ref="C50" ca="1">_xll.SUBNM(db_name&amp;":programme","","Total programmes","code and description")</f>
        <v/>
      </c>
      <c r="D50" s="6"/>
    </row>
    <row r="51" spans="2:36" hidden="1" outlineLevel="1" x14ac:dyDescent="0.3">
      <c r="B51" s="2" t="s">
        <v>47</v>
      </c>
      <c r="C51" s="6" t="str" cm="1">
        <f t="array" aca="1" ref="C51" ca="1">_xll.SUBNM(db_name&amp;":jurisdiction","","Total jurisdictions")</f>
        <v/>
      </c>
      <c r="D51" s="6"/>
    </row>
    <row r="52" spans="2:36" hidden="1" outlineLevel="1" x14ac:dyDescent="0.3"/>
    <row r="53" spans="2:36" hidden="1" outlineLevel="1" x14ac:dyDescent="0.3">
      <c r="B53" s="43" t="s">
        <v>49</v>
      </c>
      <c r="C53" s="44"/>
      <c r="D53" s="45"/>
      <c r="F53" s="40" t="s">
        <v>77</v>
      </c>
      <c r="G53" s="40"/>
      <c r="H53" s="40"/>
    </row>
    <row r="54" spans="2:36" hidden="1" outlineLevel="1" x14ac:dyDescent="0.3">
      <c r="B54" s="2" t="s">
        <v>50</v>
      </c>
      <c r="C54" s="6" t="str">
        <f ca="1">_xll.TM1RPTVIEW(db_name&amp;":ME validations:1", 0, _xll.TM1RPTTITLE(db_name&amp;":headline year",$V$68), _xll.TM1RPTTITLE(db_name&amp;":scenario",$Y$68), _xll.TM1RPTTITLE(db_name&amp;":id",$AC$68),TM1RPTFMTRNG,TM1RPTFMTIDCOL)</f>
        <v>dcceew_geus:ME validations:1</v>
      </c>
      <c r="D54" s="6"/>
      <c r="F54" s="2" t="s">
        <v>13</v>
      </c>
      <c r="G54" s="6" t="str" cm="1">
        <f t="array" aca="1" ref="G54" ca="1">_xll.VIEW(db_name&amp;":}ElementAttributes_validation id","!","!")</f>
        <v>dcceew_geus:}ElementAttributes_validation id</v>
      </c>
      <c r="H54" s="6"/>
    </row>
    <row r="55" spans="2:36" hidden="1" outlineLevel="1" x14ac:dyDescent="0.3">
      <c r="B55" s="2" t="s">
        <v>51</v>
      </c>
      <c r="C55" s="6" t="str">
        <f ca="1">_xll.VIEW(db_name&amp;":ME validations",$V$68,$Y$68,"!","!",$C$24,"!")</f>
        <v>dcceew_geus:ME validations</v>
      </c>
      <c r="D55" s="6"/>
    </row>
    <row r="56" spans="2:36" hidden="1" outlineLevel="1" x14ac:dyDescent="0.3">
      <c r="B56" s="2" t="s">
        <v>52</v>
      </c>
      <c r="C56" s="6" t="s">
        <v>110</v>
      </c>
      <c r="D56" s="6"/>
    </row>
    <row r="57" spans="2:36" hidden="1" outlineLevel="1" x14ac:dyDescent="0.3"/>
    <row r="58" spans="2:36" hidden="1" outlineLevel="1" x14ac:dyDescent="0.3">
      <c r="D58" s="15" t="s">
        <v>55</v>
      </c>
      <c r="E58" s="3" t="str">
        <f ca="1">RIGHT($C$22,9)</f>
        <v>*KEY_ERR</v>
      </c>
      <c r="F58" s="14" t="s">
        <v>98</v>
      </c>
      <c r="G58" s="14" t="s">
        <v>99</v>
      </c>
      <c r="H58" s="14" t="s">
        <v>100</v>
      </c>
      <c r="I58" s="14" t="s">
        <v>101</v>
      </c>
      <c r="J58" s="14" t="s">
        <v>102</v>
      </c>
      <c r="K58" s="14" t="s">
        <v>103</v>
      </c>
      <c r="L58" s="14" t="s">
        <v>104</v>
      </c>
      <c r="M58" s="14" t="s">
        <v>105</v>
      </c>
      <c r="N58" s="14" t="s">
        <v>106</v>
      </c>
      <c r="O58" s="14" t="s">
        <v>107</v>
      </c>
      <c r="P58" s="14" t="s">
        <v>108</v>
      </c>
      <c r="Q58" s="14" t="s">
        <v>115</v>
      </c>
      <c r="R58" s="14" t="e" cm="1">
        <f t="array" aca="1" ref="R58" ca="1">IF(OR(sys_per_display=$E$61,sys_per_display=$E$60),"",_xll.DIMNM(db_name&amp;":period",_xll.DIMIX(db_name&amp;":period",$E$58)+R$59))</f>
        <v>#REF!</v>
      </c>
    </row>
    <row r="59" spans="2:36" hidden="1" outlineLevel="1" x14ac:dyDescent="0.3">
      <c r="E59" s="2" t="s">
        <v>56</v>
      </c>
      <c r="F59" s="14" t="str">
        <f ca="1">F58&amp; " YTD"</f>
        <v>Jul YTD</v>
      </c>
      <c r="G59" s="14" t="str">
        <f t="shared" ref="G59:Q59" ca="1" si="0">G58&amp; " YTD"</f>
        <v>Aug YTD</v>
      </c>
      <c r="H59" s="14" t="str">
        <f t="shared" ca="1" si="0"/>
        <v>Sep YTD</v>
      </c>
      <c r="I59" s="14" t="str">
        <f t="shared" ca="1" si="0"/>
        <v>Oct YTD</v>
      </c>
      <c r="J59" s="14" t="str">
        <f t="shared" ca="1" si="0"/>
        <v>Nov YTD</v>
      </c>
      <c r="K59" s="14" t="str">
        <f t="shared" ca="1" si="0"/>
        <v>Dec YTD</v>
      </c>
      <c r="L59" s="14" t="str">
        <f t="shared" ca="1" si="0"/>
        <v>Jan YTD</v>
      </c>
      <c r="M59" s="14" t="str">
        <f t="shared" ca="1" si="0"/>
        <v>Feb YTD</v>
      </c>
      <c r="N59" s="14" t="str">
        <f t="shared" ca="1" si="0"/>
        <v>Mar YTD</v>
      </c>
      <c r="O59" s="14" t="str">
        <f t="shared" ca="1" si="0"/>
        <v>Apr YTD</v>
      </c>
      <c r="P59" s="14" t="str">
        <f t="shared" ca="1" si="0"/>
        <v>May YTD</v>
      </c>
      <c r="Q59" s="14" t="str">
        <f t="shared" ca="1" si="0"/>
        <v>Jun YTD</v>
      </c>
      <c r="R59" s="14" t="e">
        <f t="shared" ref="R59" ca="1" si="1">IF(sys_per_display=$E$60,R$60,R$61)</f>
        <v>#REF!</v>
      </c>
    </row>
    <row r="60" spans="2:36" hidden="1" outlineLevel="1" x14ac:dyDescent="0.3">
      <c r="E60" s="6" t="s">
        <v>93</v>
      </c>
      <c r="F60" s="6">
        <v>-2</v>
      </c>
      <c r="G60" s="6">
        <v>-1</v>
      </c>
      <c r="H60" s="6">
        <v>0</v>
      </c>
      <c r="I60" s="6">
        <v>1</v>
      </c>
      <c r="J60" s="6">
        <v>2</v>
      </c>
      <c r="K60" s="6">
        <v>3</v>
      </c>
      <c r="L60" s="6">
        <v>4</v>
      </c>
      <c r="M60" s="6">
        <v>5</v>
      </c>
      <c r="N60" s="6">
        <v>6</v>
      </c>
      <c r="O60" s="6">
        <v>7</v>
      </c>
      <c r="P60" s="6">
        <v>8</v>
      </c>
      <c r="Q60" s="6">
        <v>9</v>
      </c>
      <c r="R60" s="6">
        <v>10</v>
      </c>
    </row>
    <row r="61" spans="2:36" hidden="1" outlineLevel="1" x14ac:dyDescent="0.3">
      <c r="E61" s="6" t="s">
        <v>57</v>
      </c>
      <c r="F61" s="6">
        <v>-1</v>
      </c>
      <c r="G61" s="6">
        <v>0</v>
      </c>
      <c r="H61" s="6">
        <v>1</v>
      </c>
      <c r="I61" s="6">
        <v>2</v>
      </c>
      <c r="J61" s="6">
        <v>3</v>
      </c>
      <c r="K61" s="6">
        <v>4</v>
      </c>
      <c r="L61" s="6">
        <v>5</v>
      </c>
      <c r="M61" s="6">
        <v>6</v>
      </c>
      <c r="N61" s="6">
        <v>7</v>
      </c>
      <c r="O61" s="6">
        <v>8</v>
      </c>
      <c r="P61" s="6">
        <v>9</v>
      </c>
      <c r="Q61" s="6">
        <v>10</v>
      </c>
      <c r="R61" s="6">
        <v>11</v>
      </c>
    </row>
    <row r="62" spans="2:36" hidden="1" outlineLevel="1" x14ac:dyDescent="0.3"/>
    <row r="63" spans="2:36" ht="39.75" customHeight="1" collapsed="1" x14ac:dyDescent="0.3"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 t="s">
        <v>67</v>
      </c>
    </row>
    <row r="64" spans="2:36" ht="4.5" customHeight="1" x14ac:dyDescent="0.3"/>
    <row r="65" spans="1:36" ht="24" customHeight="1" x14ac:dyDescent="0.3"/>
    <row r="66" spans="1:36" ht="1.5" customHeight="1" x14ac:dyDescent="0.3"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</row>
    <row r="67" spans="1:36" ht="4.5" customHeight="1" x14ac:dyDescent="0.3"/>
    <row r="68" spans="1:36" x14ac:dyDescent="0.3">
      <c r="U68" s="22" t="s">
        <v>62</v>
      </c>
      <c r="V68" s="37" t="str">
        <f ca="1">_xll.SUBNM(db_name&amp;":headline year","sys_all-n",$G$13)</f>
        <v/>
      </c>
      <c r="W68" s="23" t="s">
        <v>63</v>
      </c>
      <c r="Y68" s="38" t="str">
        <f ca="1">_xll.SUBNM(db_name&amp;":scenario","sys_Budget Round",$G$15)</f>
        <v/>
      </c>
      <c r="AB68" s="22" t="s">
        <v>64</v>
      </c>
      <c r="AC68" s="24" t="str">
        <f ca="1">$G$16</f>
        <v>00001</v>
      </c>
      <c r="AD68" s="22"/>
      <c r="AE68" s="22"/>
      <c r="AF68" s="22"/>
      <c r="AG68" s="22"/>
      <c r="AH68" s="22"/>
      <c r="AI68" s="22"/>
    </row>
    <row r="69" spans="1:36" ht="5.0999999999999996" customHeight="1" x14ac:dyDescent="0.3"/>
    <row r="70" spans="1:36" ht="15" customHeight="1" x14ac:dyDescent="0.3">
      <c r="U70" s="22" t="s">
        <v>109</v>
      </c>
      <c r="V70" s="41" t="str">
        <f ca="1">_xll.SUBNM(db_name&amp;":programme","","Administered programmes","code and description")</f>
        <v/>
      </c>
      <c r="W70" s="42"/>
    </row>
    <row r="71" spans="1:36" ht="5.0999999999999996" customHeight="1" x14ac:dyDescent="0.3"/>
    <row r="72" spans="1:36" x14ac:dyDescent="0.3">
      <c r="B72" s="11" t="s">
        <v>53</v>
      </c>
      <c r="C72" s="11" t="s">
        <v>54</v>
      </c>
      <c r="D72" s="11" t="s">
        <v>61</v>
      </c>
      <c r="E72" s="11" t="s">
        <v>114</v>
      </c>
      <c r="F72" s="16" t="str">
        <f ca="1">F$58</f>
        <v>Jul</v>
      </c>
      <c r="G72" s="16" t="str">
        <f ca="1">G$58</f>
        <v>Aug</v>
      </c>
      <c r="H72" s="16" t="str">
        <f ca="1">H$58</f>
        <v>Sep</v>
      </c>
      <c r="I72" s="16" t="str">
        <f ca="1">I$58</f>
        <v>Oct</v>
      </c>
      <c r="J72" s="16" t="str">
        <f ca="1">J$58</f>
        <v>Nov</v>
      </c>
      <c r="K72" s="16" t="str">
        <f t="shared" ref="K72:Q72" ca="1" si="2">K$58</f>
        <v>Dec</v>
      </c>
      <c r="L72" s="16" t="str">
        <f t="shared" ca="1" si="2"/>
        <v>Jan</v>
      </c>
      <c r="M72" s="16" t="str">
        <f t="shared" ca="1" si="2"/>
        <v>Feb</v>
      </c>
      <c r="N72" s="16" t="str">
        <f t="shared" ca="1" si="2"/>
        <v>Mar</v>
      </c>
      <c r="O72" s="16" t="str">
        <f t="shared" ca="1" si="2"/>
        <v>Apr</v>
      </c>
      <c r="P72" s="16" t="str">
        <f t="shared" ca="1" si="2"/>
        <v>May</v>
      </c>
      <c r="Q72" s="16" t="str">
        <f t="shared" ca="1" si="2"/>
        <v>Jun</v>
      </c>
      <c r="R72" s="16"/>
      <c r="U72" s="18" t="s">
        <v>58</v>
      </c>
      <c r="V72" s="17" t="s">
        <v>59</v>
      </c>
      <c r="W72" s="17" t="s">
        <v>60</v>
      </c>
      <c r="X72" s="10"/>
      <c r="Y72" s="17" t="str">
        <f ca="1">F$58</f>
        <v>Jul</v>
      </c>
      <c r="Z72" s="17" t="str">
        <f ca="1">G$58</f>
        <v>Aug</v>
      </c>
      <c r="AA72" s="17" t="str">
        <f ca="1">H$58</f>
        <v>Sep</v>
      </c>
      <c r="AB72" s="17" t="str">
        <f ca="1">I$58</f>
        <v>Oct</v>
      </c>
      <c r="AC72" s="17" t="str">
        <f t="shared" ref="AC72:AJ72" ca="1" si="3">J$58</f>
        <v>Nov</v>
      </c>
      <c r="AD72" s="17" t="str">
        <f t="shared" ca="1" si="3"/>
        <v>Dec</v>
      </c>
      <c r="AE72" s="17" t="str">
        <f t="shared" ca="1" si="3"/>
        <v>Jan</v>
      </c>
      <c r="AF72" s="17" t="str">
        <f t="shared" ca="1" si="3"/>
        <v>Feb</v>
      </c>
      <c r="AG72" s="17" t="str">
        <f t="shared" ca="1" si="3"/>
        <v>Mar</v>
      </c>
      <c r="AH72" s="17" t="str">
        <f t="shared" ca="1" si="3"/>
        <v>Apr</v>
      </c>
      <c r="AI72" s="17" t="str">
        <f t="shared" ca="1" si="3"/>
        <v>May</v>
      </c>
      <c r="AJ72" s="17" t="str">
        <f t="shared" ca="1" si="3"/>
        <v>Jun</v>
      </c>
    </row>
    <row r="73" spans="1:36" ht="65.099999999999994" customHeight="1" x14ac:dyDescent="0.3">
      <c r="A73" t="str" cm="1">
        <f t="array" aca="1" ref="A73" ca="1">IF(_xll.TM1RPTELISCONSOLIDATED($B$73,$B73),IF(_xll.TM1RPTELLEV($B$73,$B73)&lt;=3,_xll.TM1RPTELLEV($B$73,$B73),"D"),"N")</f>
        <v>N</v>
      </c>
      <c r="B73" s="13" t="str" cm="1">
        <f t="array" aca="1" ref="B73" ca="1">_xll.TM1RPTROW($C$54,db_name&amp;":validation id","","","",0,$C$56)</f>
        <v/>
      </c>
      <c r="C73" s="12" t="str" cm="1">
        <f t="array" aca="1" ref="C73" ca="1">_xll.DBR($G$54,$B73,C$72)</f>
        <v>*KEY_ERR</v>
      </c>
      <c r="D73" s="12" t="str" cm="1">
        <f t="array" aca="1" ref="D73" ca="1">_xll.DBR($G$54,$B73,D$72)</f>
        <v>*KEY_ERR</v>
      </c>
      <c r="E73" s="6" t="str">
        <f ca="1">_xll.DBRW($C$54,$V$68,$Y$68,$V$70,$B73,$AC$68,E$72)</f>
        <v/>
      </c>
      <c r="F73" s="6" t="str">
        <f ca="1">_xll.DBRW($C$55,$V$68,$Y$68,$V$70,$B73,$AC$68,F$72)</f>
        <v/>
      </c>
      <c r="G73" s="6" t="str">
        <f ca="1">_xll.DBRW($C$55,$V$68,$Y$68,$V$70,$B73,$AC$68,G$72)</f>
        <v/>
      </c>
      <c r="H73" s="6" t="str">
        <f ca="1">_xll.DBRW($C$55,$V$68,$Y$68,$V$70,$B73,$AC$68,H$72)</f>
        <v/>
      </c>
      <c r="I73" s="6" t="str">
        <f ca="1">_xll.DBRW($C$55,$V$68,$Y$68,$V$70,$B73,$AC$68,I$72)</f>
        <v/>
      </c>
      <c r="J73" s="6" t="str">
        <f ca="1">_xll.DBRW($C$55,$V$68,$Y$68,$V$70,$B73,$AC$68,J$72)</f>
        <v/>
      </c>
      <c r="K73" s="6" t="str">
        <f ca="1">_xll.DBRW($C$55,$V$68,$Y$68,$V$70,$B73,$AC$68,K$72)</f>
        <v/>
      </c>
      <c r="L73" s="6" t="str">
        <f ca="1">_xll.DBRW($C$55,$V$68,$Y$68,$V$70,$B73,$AC$68,L$72)</f>
        <v/>
      </c>
      <c r="M73" s="6" t="str">
        <f ca="1">_xll.DBRW($C$55,$V$68,$Y$68,$V$70,$B73,$AC$68,M$72)</f>
        <v/>
      </c>
      <c r="N73" s="6" t="str">
        <f ca="1">_xll.DBRW($C$55,$V$68,$Y$68,$V$70,$B73,$AC$68,N$72)</f>
        <v/>
      </c>
      <c r="O73" s="6" t="str">
        <f ca="1">_xll.DBRW($C$55,$V$68,$Y$68,$V$70,$B73,$AC$68,O$72)</f>
        <v/>
      </c>
      <c r="P73" s="6" t="str">
        <f ca="1">_xll.DBRW($C$55,$V$68,$Y$68,$V$70,$B73,$AC$68,P$72)</f>
        <v/>
      </c>
      <c r="Q73" s="6" t="str">
        <f ca="1">_xll.DBRW($C$55,$V$68,$Y$68,$V$70,$B73,$AC$68,Q$72)</f>
        <v/>
      </c>
      <c r="R73" s="6"/>
      <c r="S73" s="6"/>
      <c r="U73" s="20" t="str">
        <f ca="1">$B73</f>
        <v/>
      </c>
      <c r="V73" s="19" t="str">
        <f ca="1">$C73</f>
        <v>*KEY_ERR</v>
      </c>
      <c r="W73" s="19" t="str">
        <f ca="1">$D73</f>
        <v>*KEY_ERR</v>
      </c>
      <c r="Y73" s="21" t="str">
        <f ca="1">IF(F73=1,"Fail",IF(F73=2,"Warning",IF(F73=0,"Pass","")))</f>
        <v/>
      </c>
      <c r="Z73" s="21" t="str">
        <f t="shared" ref="Z73:AB73" ca="1" si="4">IF(G73=1,"Fail",IF(G73=2,"Warning",IF(G73=0,"Pass","")))</f>
        <v/>
      </c>
      <c r="AA73" s="21" t="str">
        <f t="shared" ca="1" si="4"/>
        <v/>
      </c>
      <c r="AB73" s="21" t="str">
        <f t="shared" ca="1" si="4"/>
        <v/>
      </c>
      <c r="AC73" s="21" t="str">
        <f t="shared" ref="AC73" ca="1" si="5">IF(J73=1,"Fail",IF(J73=2,"Warning",IF(J73=0,"Pass","")))</f>
        <v/>
      </c>
      <c r="AD73" s="21" t="str">
        <f t="shared" ref="AD73" ca="1" si="6">IF(K73=1,"Fail",IF(K73=2,"Warning",IF(K73=0,"Pass","")))</f>
        <v/>
      </c>
      <c r="AE73" s="21" t="str">
        <f t="shared" ref="AE73" ca="1" si="7">IF(L73=1,"Fail",IF(L73=2,"Warning",IF(L73=0,"Pass","")))</f>
        <v/>
      </c>
      <c r="AF73" s="21" t="str">
        <f t="shared" ref="AF73" ca="1" si="8">IF(M73=1,"Fail",IF(M73=2,"Warning",IF(M73=0,"Pass","")))</f>
        <v/>
      </c>
      <c r="AG73" s="21" t="str">
        <f t="shared" ref="AG73" ca="1" si="9">IF(N73=1,"Fail",IF(N73=2,"Warning",IF(N73=0,"Pass","")))</f>
        <v/>
      </c>
      <c r="AH73" s="21" t="str">
        <f t="shared" ref="AH73" ca="1" si="10">IF(O73=1,"Fail",IF(O73=2,"Warning",IF(O73=0,"Pass","")))</f>
        <v/>
      </c>
      <c r="AI73" s="21" t="str">
        <f t="shared" ref="AI73" ca="1" si="11">IF(P73=1,"Fail",IF(P73=2,"Warning",IF(P73=0,"Pass","")))</f>
        <v/>
      </c>
      <c r="AJ73" s="21" t="str">
        <f t="shared" ref="AJ73" ca="1" si="12">IF(Q73=1,"Fail",IF(Q73=2,"Warning",IF(Q73=0,"Pass","")))</f>
        <v/>
      </c>
    </row>
    <row r="74" spans="1:36" ht="5.0999999999999996" customHeight="1" x14ac:dyDescent="0.3"/>
    <row r="75" spans="1:36" x14ac:dyDescent="0.3">
      <c r="U75" s="1" t="s">
        <v>68</v>
      </c>
      <c r="Y75" s="34"/>
    </row>
    <row r="76" spans="1:36" x14ac:dyDescent="0.3">
      <c r="J76" s="1" t="s">
        <v>69</v>
      </c>
      <c r="K76" s="1" t="s">
        <v>70</v>
      </c>
      <c r="L76" s="1" t="s">
        <v>71</v>
      </c>
      <c r="M76" s="1" t="s">
        <v>72</v>
      </c>
      <c r="N76" s="1" t="s">
        <v>73</v>
      </c>
      <c r="O76" s="1" t="s">
        <v>80</v>
      </c>
      <c r="U76" s="18" t="s">
        <v>58</v>
      </c>
      <c r="V76" s="17" t="s">
        <v>59</v>
      </c>
      <c r="W76" s="17" t="s">
        <v>74</v>
      </c>
      <c r="X76" s="10"/>
      <c r="Y76" s="17" t="str">
        <f ca="1">F$58</f>
        <v>Jul</v>
      </c>
      <c r="Z76" s="17" t="str">
        <f ca="1">G$58</f>
        <v>Aug</v>
      </c>
      <c r="AA76" s="17" t="str">
        <f ca="1">H$58</f>
        <v>Sep</v>
      </c>
      <c r="AB76" s="17" t="str">
        <f ca="1">I$58</f>
        <v>Oct</v>
      </c>
      <c r="AC76" s="17" t="str">
        <f t="shared" ref="AC76:AJ76" ca="1" si="13">J$58</f>
        <v>Nov</v>
      </c>
      <c r="AD76" s="17" t="str">
        <f t="shared" ca="1" si="13"/>
        <v>Dec</v>
      </c>
      <c r="AE76" s="17" t="str">
        <f t="shared" ca="1" si="13"/>
        <v>Jan</v>
      </c>
      <c r="AF76" s="17" t="str">
        <f t="shared" ca="1" si="13"/>
        <v>Feb</v>
      </c>
      <c r="AG76" s="17" t="str">
        <f t="shared" ca="1" si="13"/>
        <v>Mar</v>
      </c>
      <c r="AH76" s="17" t="str">
        <f t="shared" ca="1" si="13"/>
        <v>Apr</v>
      </c>
      <c r="AI76" s="17" t="str">
        <f t="shared" ca="1" si="13"/>
        <v>May</v>
      </c>
      <c r="AJ76" s="17" t="str">
        <f t="shared" ca="1" si="13"/>
        <v>Jun</v>
      </c>
    </row>
    <row r="77" spans="1:36" s="27" customFormat="1" ht="12" x14ac:dyDescent="0.25">
      <c r="J77" s="30" t="s">
        <v>125</v>
      </c>
      <c r="K77" s="12" t="str" cm="1">
        <f t="array" aca="1" ref="K77" ca="1">_xll.DBR($G$54,$J77,"description")</f>
        <v>*KEY_ERR</v>
      </c>
      <c r="L77" s="12"/>
      <c r="M77" s="12"/>
      <c r="N77" s="12"/>
      <c r="O77" s="12"/>
      <c r="U77" s="29" t="str">
        <f ca="1">$J77</f>
        <v>M001</v>
      </c>
      <c r="V77" s="39" t="str">
        <f ca="1">$K77</f>
        <v>*KEY_ERR</v>
      </c>
      <c r="W77" s="39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spans="1:36" s="27" customFormat="1" ht="12" x14ac:dyDescent="0.25">
      <c r="J78" s="12" t="str">
        <f ca="1">$G$15</f>
        <v>*KEY_ERR</v>
      </c>
      <c r="K78" s="30" t="s">
        <v>81</v>
      </c>
      <c r="L78" s="12" t="s">
        <v>79</v>
      </c>
      <c r="M78" s="12" t="str" cm="1">
        <f t="array" aca="1" ref="M78" ca="1">_xll.DBR($G$48,$K78,"code and description")</f>
        <v>*KEY_ERR</v>
      </c>
      <c r="N78" s="12" t="str" cm="1">
        <f t="array" aca="1" ref="N78" ca="1">_xll.DBR($G$49,$L78,"code and description")</f>
        <v>*KEY_ERR</v>
      </c>
      <c r="O78" s="12" t="str">
        <f ca="1">IF($L78="Total movement",$M78,$M78 &amp; " / " &amp;$N78)</f>
        <v>*KEY_ERR</v>
      </c>
      <c r="U78" s="12"/>
      <c r="V78" s="12"/>
      <c r="W78" s="12" t="str">
        <f ca="1">$O78</f>
        <v>*KEY_ERR</v>
      </c>
      <c r="Y78" s="32" t="str">
        <f ca="1">_xll.DBRW($C$41,$V$68,$Y$68,$C$43,$C$46,$L78,$V$70,$C$49,$K78,$AC$68,$C$51,Y$76,"value")</f>
        <v/>
      </c>
      <c r="Z78" s="32" t="str">
        <f ca="1">_xll.DBRW($C$41,$V$68,$Y$68,$C$43,$C$46,$L78,$V$70,$C$49,$K78,$AC$68,$C$51,Z$76,"value")</f>
        <v/>
      </c>
      <c r="AA78" s="32" t="str">
        <f ca="1">_xll.DBRW($C$41,$V$68,$Y$68,$C$43,$C$46,$L78,$V$70,$C$49,$K78,$AC$68,$C$51,AA$76,"value")</f>
        <v/>
      </c>
      <c r="AB78" s="32" t="str">
        <f ca="1">_xll.DBRW($C$41,$V$68,$Y$68,$C$43,$C$46,$L78,$V$70,$C$49,$K78,$AC$68,$C$51,AB$76,"value")</f>
        <v/>
      </c>
      <c r="AC78" s="32" t="str">
        <f ca="1">_xll.DBRW($C$41,$V$68,$Y$68,$C$43,$C$46,$L78,$V$70,$C$49,$K78,$AC$68,$C$51,AC$76,"value")</f>
        <v/>
      </c>
      <c r="AD78" s="32" t="str">
        <f ca="1">_xll.DBRW($C$41,$V$68,$Y$68,$C$43,$C$46,$L78,$V$70,$C$49,$K78,$AC$68,$C$51,AD$76,"value")</f>
        <v/>
      </c>
      <c r="AE78" s="32" t="str">
        <f ca="1">_xll.DBRW($C$41,$V$68,$Y$68,$C$43,$C$46,$L78,$V$70,$C$49,$K78,$AC$68,$C$51,AE$76,"value")</f>
        <v/>
      </c>
      <c r="AF78" s="32" t="str">
        <f ca="1">_xll.DBRW($C$41,$V$68,$Y$68,$C$43,$C$46,$L78,$V$70,$C$49,$K78,$AC$68,$C$51,AF$76,"value")</f>
        <v/>
      </c>
      <c r="AG78" s="32" t="str">
        <f ca="1">_xll.DBRW($C$41,$V$68,$Y$68,$C$43,$C$46,$L78,$V$70,$C$49,$K78,$AC$68,$C$51,AG$76,"value")</f>
        <v/>
      </c>
      <c r="AH78" s="32" t="str">
        <f ca="1">_xll.DBRW($C$41,$V$68,$Y$68,$C$43,$C$46,$L78,$V$70,$C$49,$K78,$AC$68,$C$51,AH$76,"value")</f>
        <v/>
      </c>
      <c r="AI78" s="32" t="str">
        <f ca="1">_xll.DBRW($C$41,$V$68,$Y$68,$C$43,$C$46,$L78,$V$70,$C$49,$K78,$AC$68,$C$51,AI$76,"value")</f>
        <v/>
      </c>
      <c r="AJ78" s="32" t="str">
        <f ca="1">_xll.DBRW($C$41,$V$68,$Y$68,$C$43,$C$46,$L78,$V$70,$C$49,$K78,$AC$68,$C$51,AJ$76,"value")</f>
        <v/>
      </c>
    </row>
    <row r="79" spans="1:36" s="27" customFormat="1" ht="12" x14ac:dyDescent="0.25">
      <c r="J79" s="12" t="str">
        <f t="shared" ref="J79:J80" ca="1" si="14">$G$15</f>
        <v>*KEY_ERR</v>
      </c>
      <c r="K79" s="30" t="s">
        <v>82</v>
      </c>
      <c r="L79" s="12" t="s">
        <v>79</v>
      </c>
      <c r="M79" s="12" t="str" cm="1">
        <f t="array" aca="1" ref="M79" ca="1">_xll.DBR($G$48,$K79,"code and description")</f>
        <v>*KEY_ERR</v>
      </c>
      <c r="N79" s="12" t="str" cm="1">
        <f t="array" aca="1" ref="N79" ca="1">_xll.DBR($G$49,$L79,"code and description")</f>
        <v>*KEY_ERR</v>
      </c>
      <c r="O79" s="12" t="str">
        <f t="shared" ref="O79:O80" ca="1" si="15">IF($L79="Total movement",$M79,$M79 &amp; " : " &amp;$N79)</f>
        <v>*KEY_ERR</v>
      </c>
      <c r="U79" s="12"/>
      <c r="V79" s="31" t="s">
        <v>83</v>
      </c>
      <c r="W79" s="12" t="str">
        <f t="shared" ref="W79:W80" ca="1" si="16">$O79</f>
        <v>*KEY_ERR</v>
      </c>
      <c r="Y79" s="32" t="str">
        <f ca="1">_xll.DBRW($C$41,$V$68,$Y$68,$C$43,$C$46,$L79,$V$70,$C$49,$K79,$AC$68,$C$51,Y$76,"value")</f>
        <v/>
      </c>
      <c r="Z79" s="32" t="str">
        <f ca="1">_xll.DBRW($C$41,$V$68,$Y$68,$C$43,$C$46,$L79,$V$70,$C$49,$K79,$AC$68,$C$51,Z$76,"value")</f>
        <v/>
      </c>
      <c r="AA79" s="32" t="str">
        <f ca="1">_xll.DBRW($C$41,$V$68,$Y$68,$C$43,$C$46,$L79,$V$70,$C$49,$K79,$AC$68,$C$51,AA$76,"value")</f>
        <v/>
      </c>
      <c r="AB79" s="32" t="str">
        <f ca="1">_xll.DBRW($C$41,$V$68,$Y$68,$C$43,$C$46,$L79,$V$70,$C$49,$K79,$AC$68,$C$51,AB$76,"value")</f>
        <v/>
      </c>
      <c r="AC79" s="32" t="str">
        <f ca="1">_xll.DBRW($C$41,$V$68,$Y$68,$C$43,$C$46,$L79,$V$70,$C$49,$K79,$AC$68,$C$51,AC$76,"value")</f>
        <v/>
      </c>
      <c r="AD79" s="32" t="str">
        <f ca="1">_xll.DBRW($C$41,$V$68,$Y$68,$C$43,$C$46,$L79,$V$70,$C$49,$K79,$AC$68,$C$51,AD$76,"value")</f>
        <v/>
      </c>
      <c r="AE79" s="32" t="str">
        <f ca="1">_xll.DBRW($C$41,$V$68,$Y$68,$C$43,$C$46,$L79,$V$70,$C$49,$K79,$AC$68,$C$51,AE$76,"value")</f>
        <v/>
      </c>
      <c r="AF79" s="32" t="str">
        <f ca="1">_xll.DBRW($C$41,$V$68,$Y$68,$C$43,$C$46,$L79,$V$70,$C$49,$K79,$AC$68,$C$51,AF$76,"value")</f>
        <v/>
      </c>
      <c r="AG79" s="32" t="str">
        <f ca="1">_xll.DBRW($C$41,$V$68,$Y$68,$C$43,$C$46,$L79,$V$70,$C$49,$K79,$AC$68,$C$51,AG$76,"value")</f>
        <v/>
      </c>
      <c r="AH79" s="32" t="str">
        <f ca="1">_xll.DBRW($C$41,$V$68,$Y$68,$C$43,$C$46,$L79,$V$70,$C$49,$K79,$AC$68,$C$51,AH$76,"value")</f>
        <v/>
      </c>
      <c r="AI79" s="32" t="str">
        <f ca="1">_xll.DBRW($C$41,$V$68,$Y$68,$C$43,$C$46,$L79,$V$70,$C$49,$K79,$AC$68,$C$51,AI$76,"value")</f>
        <v/>
      </c>
      <c r="AJ79" s="32" t="str">
        <f ca="1">_xll.DBRW($C$41,$V$68,$Y$68,$C$43,$C$46,$L79,$V$70,$C$49,$K79,$AC$68,$C$51,AJ$76,"value")</f>
        <v/>
      </c>
    </row>
    <row r="80" spans="1:36" s="27" customFormat="1" ht="12" x14ac:dyDescent="0.25">
      <c r="J80" s="12" t="str">
        <f t="shared" ca="1" si="14"/>
        <v>*KEY_ERR</v>
      </c>
      <c r="K80" s="30" t="s">
        <v>78</v>
      </c>
      <c r="L80" s="12" t="s">
        <v>79</v>
      </c>
      <c r="M80" s="12" t="str" cm="1">
        <f t="array" aca="1" ref="M80" ca="1">_xll.DBR($G$48,$K80,"code and description")</f>
        <v>*KEY_ERR</v>
      </c>
      <c r="N80" s="12" t="str" cm="1">
        <f t="array" aca="1" ref="N80" ca="1">_xll.DBR($G$49,$L80,"code and description")</f>
        <v>*KEY_ERR</v>
      </c>
      <c r="O80" s="12" t="str">
        <f t="shared" ca="1" si="15"/>
        <v>*KEY_ERR</v>
      </c>
      <c r="U80" s="12"/>
      <c r="V80" s="31" t="s">
        <v>84</v>
      </c>
      <c r="W80" s="12" t="str">
        <f t="shared" ca="1" si="16"/>
        <v>*KEY_ERR</v>
      </c>
      <c r="Y80" s="32" t="str">
        <f ca="1">_xll.DBRW($C$41,$V$68,$Y$68,$C$43,$C$46,$L80,$V$70,$C$49,$K80,$AC$68,$C$51,Y$76,"value")</f>
        <v/>
      </c>
      <c r="Z80" s="32" t="str">
        <f ca="1">_xll.DBRW($C$41,$V$68,$Y$68,$C$43,$C$46,$L80,$V$70,$C$49,$K80,$AC$68,$C$51,Z$76,"value")</f>
        <v/>
      </c>
      <c r="AA80" s="32" t="str">
        <f ca="1">_xll.DBRW($C$41,$V$68,$Y$68,$C$43,$C$46,$L80,$V$70,$C$49,$K80,$AC$68,$C$51,AA$76,"value")</f>
        <v/>
      </c>
      <c r="AB80" s="32" t="str">
        <f ca="1">_xll.DBRW($C$41,$V$68,$Y$68,$C$43,$C$46,$L80,$V$70,$C$49,$K80,$AC$68,$C$51,AB$76,"value")</f>
        <v/>
      </c>
      <c r="AC80" s="32" t="str">
        <f ca="1">_xll.DBRW($C$41,$V$68,$Y$68,$C$43,$C$46,$L80,$V$70,$C$49,$K80,$AC$68,$C$51,AC$76,"value")</f>
        <v/>
      </c>
      <c r="AD80" s="32" t="str">
        <f ca="1">_xll.DBRW($C$41,$V$68,$Y$68,$C$43,$C$46,$L80,$V$70,$C$49,$K80,$AC$68,$C$51,AD$76,"value")</f>
        <v/>
      </c>
      <c r="AE80" s="32" t="str">
        <f ca="1">_xll.DBRW($C$41,$V$68,$Y$68,$C$43,$C$46,$L80,$V$70,$C$49,$K80,$AC$68,$C$51,AE$76,"value")</f>
        <v/>
      </c>
      <c r="AF80" s="32" t="str">
        <f ca="1">_xll.DBRW($C$41,$V$68,$Y$68,$C$43,$C$46,$L80,$V$70,$C$49,$K80,$AC$68,$C$51,AF$76,"value")</f>
        <v/>
      </c>
      <c r="AG80" s="32" t="str">
        <f ca="1">_xll.DBRW($C$41,$V$68,$Y$68,$C$43,$C$46,$L80,$V$70,$C$49,$K80,$AC$68,$C$51,AG$76,"value")</f>
        <v/>
      </c>
      <c r="AH80" s="32" t="str">
        <f ca="1">_xll.DBRW($C$41,$V$68,$Y$68,$C$43,$C$46,$L80,$V$70,$C$49,$K80,$AC$68,$C$51,AH$76,"value")</f>
        <v/>
      </c>
      <c r="AI80" s="32" t="str">
        <f ca="1">_xll.DBRW($C$41,$V$68,$Y$68,$C$43,$C$46,$L80,$V$70,$C$49,$K80,$AC$68,$C$51,AI$76,"value")</f>
        <v/>
      </c>
      <c r="AJ80" s="32" t="str">
        <f ca="1">_xll.DBRW($C$41,$V$68,$Y$68,$C$43,$C$46,$L80,$V$70,$C$49,$K80,$AC$68,$C$51,AJ$76,"value")</f>
        <v/>
      </c>
    </row>
    <row r="81" spans="10:36" s="27" customFormat="1" ht="12" x14ac:dyDescent="0.25"/>
    <row r="82" spans="10:36" s="27" customFormat="1" ht="12" x14ac:dyDescent="0.25">
      <c r="J82" s="30" t="s">
        <v>119</v>
      </c>
      <c r="K82" s="12" t="str" cm="1">
        <f t="array" aca="1" ref="K82" ca="1">_xll.DBR($G$54,$J82,"description")</f>
        <v>*KEY_ERR</v>
      </c>
      <c r="L82" s="12"/>
      <c r="M82" s="12"/>
      <c r="N82" s="12"/>
      <c r="O82" s="12"/>
      <c r="U82" s="29" t="str">
        <f ca="1">$J82</f>
        <v>M002</v>
      </c>
      <c r="V82" s="39" t="str">
        <f ca="1">$K82</f>
        <v>*KEY_ERR</v>
      </c>
      <c r="W82" s="39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spans="10:36" s="27" customFormat="1" ht="12" x14ac:dyDescent="0.25">
      <c r="J83" s="12" t="str">
        <f ca="1">$G$15</f>
        <v>*KEY_ERR</v>
      </c>
      <c r="K83" s="30" t="s">
        <v>85</v>
      </c>
      <c r="L83" s="12" t="s">
        <v>79</v>
      </c>
      <c r="M83" s="12" t="str" cm="1">
        <f t="array" aca="1" ref="M83" ca="1">_xll.DBR($G$48,$K83,"code and description")</f>
        <v>*KEY_ERR</v>
      </c>
      <c r="N83" s="12" t="str" cm="1">
        <f t="array" aca="1" ref="N83" ca="1">_xll.DBR($G$49,$L83,"code and description")</f>
        <v>*KEY_ERR</v>
      </c>
      <c r="O83" s="12" t="str">
        <f ca="1">IF($L83="Total movement",$M83,$M83 &amp; " / " &amp;$N83)</f>
        <v>*KEY_ERR</v>
      </c>
      <c r="U83" s="12"/>
      <c r="V83" s="12"/>
      <c r="W83" s="12" t="str">
        <f ca="1">$O83</f>
        <v>*KEY_ERR</v>
      </c>
      <c r="Y83" s="32" t="str">
        <f ca="1">_xll.DBRW($C$41,$V$68,$Y$68,$C$43,$C$46,$L83,$V$70,$C$49,$K83,$AC$68,$C$51,Y$76,"value")</f>
        <v/>
      </c>
      <c r="Z83" s="32" t="str">
        <f ca="1">_xll.DBRW($C$41,$V$68,$Y$68,$C$43,$C$46,$L83,$V$70,$C$49,$K83,$AC$68,$C$51,Z$76,"value")</f>
        <v/>
      </c>
      <c r="AA83" s="32" t="str">
        <f ca="1">_xll.DBRW($C$41,$V$68,$Y$68,$C$43,$C$46,$L83,$V$70,$C$49,$K83,$AC$68,$C$51,AA$76,"value")</f>
        <v/>
      </c>
      <c r="AB83" s="32" t="str">
        <f ca="1">_xll.DBRW($C$41,$V$68,$Y$68,$C$43,$C$46,$L83,$V$70,$C$49,$K83,$AC$68,$C$51,AB$76,"value")</f>
        <v/>
      </c>
      <c r="AC83" s="32" t="str">
        <f ca="1">_xll.DBRW($C$41,$V$68,$Y$68,$C$43,$C$46,$L83,$V$70,$C$49,$K83,$AC$68,$C$51,AC$76,"value")</f>
        <v/>
      </c>
      <c r="AD83" s="32" t="str">
        <f ca="1">_xll.DBRW($C$41,$V$68,$Y$68,$C$43,$C$46,$L83,$V$70,$C$49,$K83,$AC$68,$C$51,AD$76,"value")</f>
        <v/>
      </c>
      <c r="AE83" s="32" t="str">
        <f ca="1">_xll.DBRW($C$41,$V$68,$Y$68,$C$43,$C$46,$L83,$V$70,$C$49,$K83,$AC$68,$C$51,AE$76,"value")</f>
        <v/>
      </c>
      <c r="AF83" s="32" t="str">
        <f ca="1">_xll.DBRW($C$41,$V$68,$Y$68,$C$43,$C$46,$L83,$V$70,$C$49,$K83,$AC$68,$C$51,AF$76,"value")</f>
        <v/>
      </c>
      <c r="AG83" s="32" t="str">
        <f ca="1">_xll.DBRW($C$41,$V$68,$Y$68,$C$43,$C$46,$L83,$V$70,$C$49,$K83,$AC$68,$C$51,AG$76,"value")</f>
        <v/>
      </c>
      <c r="AH83" s="32" t="str">
        <f ca="1">_xll.DBRW($C$41,$V$68,$Y$68,$C$43,$C$46,$L83,$V$70,$C$49,$K83,$AC$68,$C$51,AH$76,"value")</f>
        <v/>
      </c>
      <c r="AI83" s="32" t="str">
        <f ca="1">_xll.DBRW($C$41,$V$68,$Y$68,$C$43,$C$46,$L83,$V$70,$C$49,$K83,$AC$68,$C$51,AI$76,"value")</f>
        <v/>
      </c>
      <c r="AJ83" s="32" t="str">
        <f ca="1">_xll.DBRW($C$41,$V$68,$Y$68,$C$43,$C$46,$L83,$V$70,$C$49,$K83,$AC$68,$C$51,AJ$76,"value")</f>
        <v/>
      </c>
    </row>
    <row r="84" spans="10:36" s="27" customFormat="1" ht="24" x14ac:dyDescent="0.25">
      <c r="J84" s="12" t="str">
        <f t="shared" ref="J84:J85" ca="1" si="17">$G$15</f>
        <v>*KEY_ERR</v>
      </c>
      <c r="K84" s="30" t="s">
        <v>86</v>
      </c>
      <c r="L84" s="30" t="s">
        <v>87</v>
      </c>
      <c r="M84" s="12" t="str" cm="1">
        <f t="array" aca="1" ref="M84" ca="1">_xll.DBR($G$48,$K84,"code and description")</f>
        <v>*KEY_ERR</v>
      </c>
      <c r="N84" s="12" t="str" cm="1">
        <f t="array" aca="1" ref="N84" ca="1">_xll.DBR($G$49,$L84,"code and description")</f>
        <v>*KEY_ERR</v>
      </c>
      <c r="O84" s="12" t="str">
        <f t="shared" ref="O84:O85" ca="1" si="18">IF($L84="Total movement",$M84,$M84 &amp; " / " &amp;$N84)</f>
        <v>*KEY_ERR / *KEY_ERR</v>
      </c>
      <c r="U84" s="12"/>
      <c r="V84" s="31" t="s">
        <v>84</v>
      </c>
      <c r="W84" s="33" t="str">
        <f t="shared" ref="W84:W85" ca="1" si="19">$O84</f>
        <v>*KEY_ERR / *KEY_ERR</v>
      </c>
      <c r="Y84" s="32" t="str">
        <f ca="1">_xll.DBRW($C$41,$V$68,$Y$68,$C$43,$C$46,$L84,$V$70,$C$49,$K84,$AC$68,$C$51,Y$76,"value")</f>
        <v/>
      </c>
      <c r="Z84" s="32" t="str">
        <f ca="1">_xll.DBRW($C$41,$V$68,$Y$68,$C$43,$C$46,$L84,$V$70,$C$49,$K84,$AC$68,$C$51,Z$76,"value")</f>
        <v/>
      </c>
      <c r="AA84" s="32" t="str">
        <f ca="1">_xll.DBRW($C$41,$V$68,$Y$68,$C$43,$C$46,$L84,$V$70,$C$49,$K84,$AC$68,$C$51,AA$76,"value")</f>
        <v/>
      </c>
      <c r="AB84" s="32" t="str">
        <f ca="1">_xll.DBRW($C$41,$V$68,$Y$68,$C$43,$C$46,$L84,$V$70,$C$49,$K84,$AC$68,$C$51,AB$76,"value")</f>
        <v/>
      </c>
      <c r="AC84" s="32" t="str">
        <f ca="1">_xll.DBRW($C$41,$V$68,$Y$68,$C$43,$C$46,$L84,$V$70,$C$49,$K84,$AC$68,$C$51,AC$76,"value")</f>
        <v/>
      </c>
      <c r="AD84" s="32" t="str">
        <f ca="1">_xll.DBRW($C$41,$V$68,$Y$68,$C$43,$C$46,$L84,$V$70,$C$49,$K84,$AC$68,$C$51,AD$76,"value")</f>
        <v/>
      </c>
      <c r="AE84" s="32" t="str">
        <f ca="1">_xll.DBRW($C$41,$V$68,$Y$68,$C$43,$C$46,$L84,$V$70,$C$49,$K84,$AC$68,$C$51,AE$76,"value")</f>
        <v/>
      </c>
      <c r="AF84" s="32" t="str">
        <f ca="1">_xll.DBRW($C$41,$V$68,$Y$68,$C$43,$C$46,$L84,$V$70,$C$49,$K84,$AC$68,$C$51,AF$76,"value")</f>
        <v/>
      </c>
      <c r="AG84" s="32" t="str">
        <f ca="1">_xll.DBRW($C$41,$V$68,$Y$68,$C$43,$C$46,$L84,$V$70,$C$49,$K84,$AC$68,$C$51,AG$76,"value")</f>
        <v/>
      </c>
      <c r="AH84" s="32" t="str">
        <f ca="1">_xll.DBRW($C$41,$V$68,$Y$68,$C$43,$C$46,$L84,$V$70,$C$49,$K84,$AC$68,$C$51,AH$76,"value")</f>
        <v/>
      </c>
      <c r="AI84" s="32" t="str">
        <f ca="1">_xll.DBRW($C$41,$V$68,$Y$68,$C$43,$C$46,$L84,$V$70,$C$49,$K84,$AC$68,$C$51,AI$76,"value")</f>
        <v/>
      </c>
      <c r="AJ84" s="32" t="str">
        <f ca="1">_xll.DBRW($C$41,$V$68,$Y$68,$C$43,$C$46,$L84,$V$70,$C$49,$K84,$AC$68,$C$51,AJ$76,"value")</f>
        <v/>
      </c>
    </row>
    <row r="85" spans="10:36" s="27" customFormat="1" ht="24" x14ac:dyDescent="0.25">
      <c r="J85" s="12" t="str">
        <f t="shared" ca="1" si="17"/>
        <v>*KEY_ERR</v>
      </c>
      <c r="K85" s="30" t="s">
        <v>86</v>
      </c>
      <c r="L85" s="30" t="s">
        <v>94</v>
      </c>
      <c r="M85" s="12" t="str" cm="1">
        <f t="array" aca="1" ref="M85" ca="1">_xll.DBR($G$48,$K85,"code and description")</f>
        <v>*KEY_ERR</v>
      </c>
      <c r="N85" s="12" t="str" cm="1">
        <f t="array" aca="1" ref="N85" ca="1">_xll.DBR($G$49,$L85,"code and description")</f>
        <v>*KEY_ERR</v>
      </c>
      <c r="O85" s="12" t="str">
        <f t="shared" ca="1" si="18"/>
        <v>*KEY_ERR / *KEY_ERR</v>
      </c>
      <c r="U85" s="12"/>
      <c r="V85" s="31" t="s">
        <v>88</v>
      </c>
      <c r="W85" s="33" t="str">
        <f t="shared" ca="1" si="19"/>
        <v>*KEY_ERR / *KEY_ERR</v>
      </c>
      <c r="Y85" s="32" t="str">
        <f ca="1">_xll.DBRW($C$41,$V$68,$Y$68,$C$43,$C$46,$L85,$V$70,$C$49,$K85,$AC$68,$C$51,Y$76,"value")</f>
        <v/>
      </c>
      <c r="Z85" s="32" t="str">
        <f ca="1">_xll.DBRW($C$41,$V$68,$Y$68,$C$43,$C$46,$L85,$V$70,$C$49,$K85,$AC$68,$C$51,Z$76,"value")</f>
        <v/>
      </c>
      <c r="AA85" s="32" t="str">
        <f ca="1">_xll.DBRW($C$41,$V$68,$Y$68,$C$43,$C$46,$L85,$V$70,$C$49,$K85,$AC$68,$C$51,AA$76,"value")</f>
        <v/>
      </c>
      <c r="AB85" s="32" t="str">
        <f ca="1">_xll.DBRW($C$41,$V$68,$Y$68,$C$43,$C$46,$L85,$V$70,$C$49,$K85,$AC$68,$C$51,AB$76,"value")</f>
        <v/>
      </c>
      <c r="AC85" s="32" t="str">
        <f ca="1">_xll.DBRW($C$41,$V$68,$Y$68,$C$43,$C$46,$L85,$V$70,$C$49,$K85,$AC$68,$C$51,AC$76,"value")</f>
        <v/>
      </c>
      <c r="AD85" s="32" t="str">
        <f ca="1">_xll.DBRW($C$41,$V$68,$Y$68,$C$43,$C$46,$L85,$V$70,$C$49,$K85,$AC$68,$C$51,AD$76,"value")</f>
        <v/>
      </c>
      <c r="AE85" s="32" t="str">
        <f ca="1">_xll.DBRW($C$41,$V$68,$Y$68,$C$43,$C$46,$L85,$V$70,$C$49,$K85,$AC$68,$C$51,AE$76,"value")</f>
        <v/>
      </c>
      <c r="AF85" s="32" t="str">
        <f ca="1">_xll.DBRW($C$41,$V$68,$Y$68,$C$43,$C$46,$L85,$V$70,$C$49,$K85,$AC$68,$C$51,AF$76,"value")</f>
        <v/>
      </c>
      <c r="AG85" s="32" t="str">
        <f ca="1">_xll.DBRW($C$41,$V$68,$Y$68,$C$43,$C$46,$L85,$V$70,$C$49,$K85,$AC$68,$C$51,AG$76,"value")</f>
        <v/>
      </c>
      <c r="AH85" s="32" t="str">
        <f ca="1">_xll.DBRW($C$41,$V$68,$Y$68,$C$43,$C$46,$L85,$V$70,$C$49,$K85,$AC$68,$C$51,AH$76,"value")</f>
        <v/>
      </c>
      <c r="AI85" s="32" t="str">
        <f ca="1">_xll.DBRW($C$41,$V$68,$Y$68,$C$43,$C$46,$L85,$V$70,$C$49,$K85,$AC$68,$C$51,AI$76,"value")</f>
        <v/>
      </c>
      <c r="AJ85" s="32" t="str">
        <f ca="1">_xll.DBRW($C$41,$V$68,$Y$68,$C$43,$C$46,$L85,$V$70,$C$49,$K85,$AC$68,$C$51,AJ$76,"value")</f>
        <v/>
      </c>
    </row>
    <row r="87" spans="10:36" s="27" customFormat="1" ht="12" x14ac:dyDescent="0.25">
      <c r="J87" s="30" t="s">
        <v>120</v>
      </c>
      <c r="K87" s="12" t="str" cm="1">
        <f t="array" aca="1" ref="K87" ca="1">_xll.DBR($G$54,$J87,"description")</f>
        <v>*KEY_ERR</v>
      </c>
      <c r="L87" s="12"/>
      <c r="M87" s="12"/>
      <c r="N87" s="12"/>
      <c r="O87" s="12"/>
      <c r="U87" s="29" t="str">
        <f ca="1">$J87</f>
        <v>M003</v>
      </c>
      <c r="V87" s="39" t="str">
        <f ca="1">$K87</f>
        <v>*KEY_ERR</v>
      </c>
      <c r="W87" s="39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spans="10:36" s="27" customFormat="1" ht="12" x14ac:dyDescent="0.25">
      <c r="J88" s="12"/>
      <c r="K88" s="30"/>
      <c r="L88" s="12"/>
      <c r="M88" s="12"/>
      <c r="N88" s="12"/>
      <c r="O88" s="12"/>
      <c r="U88" s="12"/>
      <c r="V88" s="12"/>
      <c r="W88" s="12" t="s">
        <v>126</v>
      </c>
      <c r="Y88" s="32" t="str">
        <f ca="1">_xll.DBRW($C$41,$V$68,$Y$68,$C$43,$C$46,$L88,$V$70,$C$49,$K88,$AC$68,$C$51,Y$76,"value")</f>
        <v/>
      </c>
      <c r="Z88" s="32" t="str">
        <f ca="1">_xll.DBRW($C$41,$V$68,$Y$68,$C$43,$C$46,$L88,$V$70,$C$49,$K88,$AC$68,$C$51,Z$76,"value")</f>
        <v/>
      </c>
      <c r="AA88" s="32" t="str">
        <f ca="1">_xll.DBRW($C$41,$V$68,$Y$68,$C$43,$C$46,$L88,$V$70,$C$49,$K88,$AC$68,$C$51,AA$76,"value")</f>
        <v/>
      </c>
      <c r="AB88" s="32" t="str">
        <f ca="1">_xll.DBRW($C$41,$V$68,$Y$68,$C$43,$C$46,$L88,$V$70,$C$49,$K88,$AC$68,$C$51,AB$76,"value")</f>
        <v/>
      </c>
      <c r="AC88" s="32" t="str">
        <f ca="1">_xll.DBRW($C$41,$V$68,$Y$68,$C$43,$C$46,$L88,$V$70,$C$49,$K88,$AC$68,$C$51,AC$76,"value")</f>
        <v/>
      </c>
      <c r="AD88" s="32" t="str">
        <f ca="1">_xll.DBRW($C$41,$V$68,$Y$68,$C$43,$C$46,$L88,$V$70,$C$49,$K88,$AC$68,$C$51,AD$76,"value")</f>
        <v/>
      </c>
      <c r="AE88" s="32" t="str">
        <f ca="1">_xll.DBRW($C$41,$V$68,$Y$68,$C$43,$C$46,$L88,$V$70,$C$49,$K88,$AC$68,$C$51,AE$76,"value")</f>
        <v/>
      </c>
      <c r="AF88" s="32" t="str">
        <f ca="1">_xll.DBRW($C$41,$V$68,$Y$68,$C$43,$C$46,$L88,$V$70,$C$49,$K88,$AC$68,$C$51,AF$76,"value")</f>
        <v/>
      </c>
      <c r="AG88" s="32" t="str">
        <f ca="1">_xll.DBRW($C$41,$V$68,$Y$68,$C$43,$C$46,$L88,$V$70,$C$49,$K88,$AC$68,$C$51,AG$76,"value")</f>
        <v/>
      </c>
      <c r="AH88" s="32" t="str">
        <f ca="1">_xll.DBRW($C$41,$V$68,$Y$68,$C$43,$C$46,$L88,$V$70,$C$49,$K88,$AC$68,$C$51,AH$76,"value")</f>
        <v/>
      </c>
      <c r="AI88" s="32" t="str">
        <f ca="1">_xll.DBRW($C$41,$V$68,$Y$68,$C$43,$C$46,$L88,$V$70,$C$49,$K88,$AC$68,$C$51,AI$76,"value")</f>
        <v/>
      </c>
      <c r="AJ88" s="32" t="str">
        <f ca="1">_xll.DBRW($C$41,$V$68,$Y$68,$C$43,$C$46,$L88,$V$70,$C$49,$K88,$AC$68,$C$51,AJ$76,"value")</f>
        <v/>
      </c>
    </row>
    <row r="90" spans="10:36" x14ac:dyDescent="0.3">
      <c r="Y90" s="17" t="str">
        <f ca="1">F$59</f>
        <v>Jul YTD</v>
      </c>
      <c r="Z90" s="17" t="str">
        <f t="shared" ref="Z90:AJ90" ca="1" si="20">G$59</f>
        <v>Aug YTD</v>
      </c>
      <c r="AA90" s="17" t="str">
        <f t="shared" ca="1" si="20"/>
        <v>Sep YTD</v>
      </c>
      <c r="AB90" s="17" t="str">
        <f t="shared" ca="1" si="20"/>
        <v>Oct YTD</v>
      </c>
      <c r="AC90" s="17" t="str">
        <f t="shared" ca="1" si="20"/>
        <v>Nov YTD</v>
      </c>
      <c r="AD90" s="17" t="str">
        <f t="shared" ca="1" si="20"/>
        <v>Dec YTD</v>
      </c>
      <c r="AE90" s="17" t="str">
        <f t="shared" ca="1" si="20"/>
        <v>Jan YTD</v>
      </c>
      <c r="AF90" s="17" t="str">
        <f t="shared" ca="1" si="20"/>
        <v>Feb YTD</v>
      </c>
      <c r="AG90" s="17" t="str">
        <f t="shared" ca="1" si="20"/>
        <v>Mar YTD</v>
      </c>
      <c r="AH90" s="17" t="str">
        <f t="shared" ca="1" si="20"/>
        <v>Apr YTD</v>
      </c>
      <c r="AI90" s="17" t="str">
        <f t="shared" ca="1" si="20"/>
        <v>May YTD</v>
      </c>
      <c r="AJ90" s="17" t="str">
        <f t="shared" ca="1" si="20"/>
        <v>Jun YTD</v>
      </c>
    </row>
    <row r="91" spans="10:36" s="27" customFormat="1" ht="12" x14ac:dyDescent="0.25">
      <c r="J91" s="30" t="s">
        <v>121</v>
      </c>
      <c r="K91" s="12" t="str" cm="1">
        <f t="array" aca="1" ref="K91" ca="1">_xll.DBR($G$54,$J91,"description")</f>
        <v>*KEY_ERR</v>
      </c>
      <c r="L91" s="12"/>
      <c r="M91" s="12"/>
      <c r="N91" s="12"/>
      <c r="O91" s="12"/>
      <c r="U91" s="29" t="str">
        <f ca="1">$J91</f>
        <v>M004</v>
      </c>
      <c r="V91" s="39" t="str">
        <f ca="1">$K91</f>
        <v>*KEY_ERR</v>
      </c>
      <c r="W91" s="39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spans="10:36" s="27" customFormat="1" ht="12" x14ac:dyDescent="0.25">
      <c r="J92" s="12" t="str">
        <f ca="1">$G$15</f>
        <v>*KEY_ERR</v>
      </c>
      <c r="K92" s="30" t="s">
        <v>127</v>
      </c>
      <c r="L92" s="12" t="s">
        <v>79</v>
      </c>
      <c r="M92" s="12" t="str" cm="1">
        <f t="array" aca="1" ref="M92" ca="1">_xll.DBR($G$48,$K92,"code and description")</f>
        <v>*KEY_ERR</v>
      </c>
      <c r="N92" s="12" t="str" cm="1">
        <f t="array" aca="1" ref="N92" ca="1">_xll.DBR($G$49,$L92,"code and description")</f>
        <v>*KEY_ERR</v>
      </c>
      <c r="O92" s="12" t="str">
        <f ca="1">IF($L92="Total movement",$M92,$M92 &amp; " / " &amp;$N92)</f>
        <v>*KEY_ERR</v>
      </c>
      <c r="U92" s="12"/>
      <c r="V92" s="12"/>
      <c r="W92" s="12" t="str">
        <f ca="1">$O92</f>
        <v>*KEY_ERR</v>
      </c>
      <c r="Y92" s="32" t="str">
        <f ca="1">_xll.DBRW($C$41,$V$68,$Y$68,$C$43,$C$46,$L92,$V$70,$C$49,$K92,$AC$68,$C$51,F$59,"value")</f>
        <v/>
      </c>
      <c r="Z92" s="32" t="str">
        <f ca="1">_xll.DBRW($C$41,$V$68,$Y$68,$C$43,$C$46,$L92,$V$70,$C$49,$K92,$AC$68,$C$51,G$59,"value")</f>
        <v/>
      </c>
      <c r="AA92" s="32" t="str">
        <f ca="1">_xll.DBRW($C$41,$V$68,$Y$68,$C$43,$C$46,$L92,$V$70,$C$49,$K92,$AC$68,$C$51,H$59,"value")</f>
        <v/>
      </c>
      <c r="AB92" s="32" t="str">
        <f ca="1">_xll.DBRW($C$41,$V$68,$Y$68,$C$43,$C$46,$L92,$V$70,$C$49,$K92,$AC$68,$C$51,I$59,"value")</f>
        <v/>
      </c>
      <c r="AC92" s="32" t="str">
        <f ca="1">_xll.DBRW($C$41,$V$68,$Y$68,$C$43,$C$46,$L92,$V$70,$C$49,$K92,$AC$68,$C$51,J$59,"value")</f>
        <v/>
      </c>
      <c r="AD92" s="32" t="str">
        <f ca="1">_xll.DBRW($C$41,$V$68,$Y$68,$C$43,$C$46,$L92,$V$70,$C$49,$K92,$AC$68,$C$51,K$59,"value")</f>
        <v/>
      </c>
      <c r="AE92" s="32" t="str">
        <f ca="1">_xll.DBRW($C$41,$V$68,$Y$68,$C$43,$C$46,$L92,$V$70,$C$49,$K92,$AC$68,$C$51,L$59,"value")</f>
        <v/>
      </c>
      <c r="AF92" s="32" t="str">
        <f ca="1">_xll.DBRW($C$41,$V$68,$Y$68,$C$43,$C$46,$L92,$V$70,$C$49,$K92,$AC$68,$C$51,M$59,"value")</f>
        <v/>
      </c>
      <c r="AG92" s="32" t="str">
        <f ca="1">_xll.DBRW($C$41,$V$68,$Y$68,$C$43,$C$46,$L92,$V$70,$C$49,$K92,$AC$68,$C$51,N$59,"value")</f>
        <v/>
      </c>
      <c r="AH92" s="32" t="str">
        <f ca="1">_xll.DBRW($C$41,$V$68,$Y$68,$C$43,$C$46,$L92,$V$70,$C$49,$K92,$AC$68,$C$51,O$59,"value")</f>
        <v/>
      </c>
      <c r="AI92" s="32" t="str">
        <f ca="1">_xll.DBRW($C$41,$V$68,$Y$68,$C$43,$C$46,$L92,$V$70,$C$49,$K92,$AC$68,$C$51,P$59,"value")</f>
        <v/>
      </c>
      <c r="AJ92" s="32" t="str">
        <f ca="1">_xll.DBRW($C$41,$V$68,$Y$68,$C$43,$C$46,$L92,$V$70,$C$49,$K92,$AC$68,$C$51,Q$59,"value")</f>
        <v/>
      </c>
    </row>
    <row r="93" spans="10:36" s="27" customFormat="1" ht="12" x14ac:dyDescent="0.25">
      <c r="J93" s="12" t="str">
        <f t="shared" ref="J93:J96" ca="1" si="21">$G$15</f>
        <v>*KEY_ERR</v>
      </c>
      <c r="K93" s="30" t="s">
        <v>128</v>
      </c>
      <c r="L93" s="12" t="s">
        <v>79</v>
      </c>
      <c r="M93" s="12" t="str" cm="1">
        <f t="array" aca="1" ref="M93" ca="1">_xll.DBR($G$48,$K93,"code and description")</f>
        <v>*KEY_ERR</v>
      </c>
      <c r="N93" s="12" t="str" cm="1">
        <f t="array" aca="1" ref="N93" ca="1">_xll.DBR($G$49,$L93,"code and description")</f>
        <v>*KEY_ERR</v>
      </c>
      <c r="O93" s="12" t="str">
        <f t="shared" ref="O93:O96" ca="1" si="22">IF($L93="Total movement",$M93,$M93 &amp; " / " &amp;$N93)</f>
        <v>*KEY_ERR</v>
      </c>
      <c r="U93" s="12"/>
      <c r="V93" s="12"/>
      <c r="W93" s="12" t="str">
        <f t="shared" ref="W93:W96" ca="1" si="23">$O93</f>
        <v>*KEY_ERR</v>
      </c>
      <c r="Y93" s="32" t="str">
        <f ca="1">_xll.DBRW($C$41,$V$68,$Y$68,$C$43,$C$46,$L93,$V$70,$C$49,$K93,$AC$68,$C$51,F$59,"value")</f>
        <v/>
      </c>
      <c r="Z93" s="32" t="str">
        <f ca="1">_xll.DBRW($C$41,$V$68,$Y$68,$C$43,$C$46,$L93,$V$70,$C$49,$K93,$AC$68,$C$51,G$59,"value")</f>
        <v/>
      </c>
      <c r="AA93" s="32" t="str">
        <f ca="1">_xll.DBRW($C$41,$V$68,$Y$68,$C$43,$C$46,$L93,$V$70,$C$49,$K93,$AC$68,$C$51,H$59,"value")</f>
        <v/>
      </c>
      <c r="AB93" s="32" t="str">
        <f ca="1">_xll.DBRW($C$41,$V$68,$Y$68,$C$43,$C$46,$L93,$V$70,$C$49,$K93,$AC$68,$C$51,I$59,"value")</f>
        <v/>
      </c>
      <c r="AC93" s="32" t="str">
        <f ca="1">_xll.DBRW($C$41,$V$68,$Y$68,$C$43,$C$46,$L93,$V$70,$C$49,$K93,$AC$68,$C$51,J$59,"value")</f>
        <v/>
      </c>
      <c r="AD93" s="32" t="str">
        <f ca="1">_xll.DBRW($C$41,$V$68,$Y$68,$C$43,$C$46,$L93,$V$70,$C$49,$K93,$AC$68,$C$51,K$59,"value")</f>
        <v/>
      </c>
      <c r="AE93" s="32" t="str">
        <f ca="1">_xll.DBRW($C$41,$V$68,$Y$68,$C$43,$C$46,$L93,$V$70,$C$49,$K93,$AC$68,$C$51,L$59,"value")</f>
        <v/>
      </c>
      <c r="AF93" s="32" t="str">
        <f ca="1">_xll.DBRW($C$41,$V$68,$Y$68,$C$43,$C$46,$L93,$V$70,$C$49,$K93,$AC$68,$C$51,M$59,"value")</f>
        <v/>
      </c>
      <c r="AG93" s="32" t="str">
        <f ca="1">_xll.DBRW($C$41,$V$68,$Y$68,$C$43,$C$46,$L93,$V$70,$C$49,$K93,$AC$68,$C$51,N$59,"value")</f>
        <v/>
      </c>
      <c r="AH93" s="32" t="str">
        <f ca="1">_xll.DBRW($C$41,$V$68,$Y$68,$C$43,$C$46,$L93,$V$70,$C$49,$K93,$AC$68,$C$51,O$59,"value")</f>
        <v/>
      </c>
      <c r="AI93" s="32" t="str">
        <f ca="1">_xll.DBRW($C$41,$V$68,$Y$68,$C$43,$C$46,$L93,$V$70,$C$49,$K93,$AC$68,$C$51,P$59,"value")</f>
        <v/>
      </c>
      <c r="AJ93" s="32" t="str">
        <f ca="1">_xll.DBRW($C$41,$V$68,$Y$68,$C$43,$C$46,$L93,$V$70,$C$49,$K93,$AC$68,$C$51,Q$59,"value")</f>
        <v/>
      </c>
    </row>
    <row r="94" spans="10:36" s="27" customFormat="1" ht="12" x14ac:dyDescent="0.25">
      <c r="J94" s="12" t="str">
        <f t="shared" ca="1" si="21"/>
        <v>*KEY_ERR</v>
      </c>
      <c r="K94" s="30" t="s">
        <v>82</v>
      </c>
      <c r="L94" s="12" t="s">
        <v>79</v>
      </c>
      <c r="M94" s="12" t="str" cm="1">
        <f t="array" aca="1" ref="M94" ca="1">_xll.DBR($G$48,$K94,"code and description")</f>
        <v>*KEY_ERR</v>
      </c>
      <c r="N94" s="12" t="str" cm="1">
        <f t="array" aca="1" ref="N94" ca="1">_xll.DBR($G$49,$L94,"code and description")</f>
        <v>*KEY_ERR</v>
      </c>
      <c r="O94" s="12" t="str">
        <f t="shared" ca="1" si="22"/>
        <v>*KEY_ERR</v>
      </c>
      <c r="U94" s="12"/>
      <c r="V94" s="12"/>
      <c r="W94" s="12" t="str">
        <f t="shared" ca="1" si="23"/>
        <v>*KEY_ERR</v>
      </c>
      <c r="Y94" s="32" t="str">
        <f ca="1">_xll.DBRW($C$41,$V$68,$Y$68,$C$43,$C$46,$L94,$V$70,$C$49,$K94,$AC$68,$C$51,F$59,"value")</f>
        <v/>
      </c>
      <c r="Z94" s="32" t="str">
        <f ca="1">_xll.DBRW($C$41,$V$68,$Y$68,$C$43,$C$46,$L94,$V$70,$C$49,$K94,$AC$68,$C$51,G$59,"value")</f>
        <v/>
      </c>
      <c r="AA94" s="32" t="str">
        <f ca="1">_xll.DBRW($C$41,$V$68,$Y$68,$C$43,$C$46,$L94,$V$70,$C$49,$K94,$AC$68,$C$51,H$59,"value")</f>
        <v/>
      </c>
      <c r="AB94" s="32" t="str">
        <f ca="1">_xll.DBRW($C$41,$V$68,$Y$68,$C$43,$C$46,$L94,$V$70,$C$49,$K94,$AC$68,$C$51,I$59,"value")</f>
        <v/>
      </c>
      <c r="AC94" s="32" t="str">
        <f ca="1">_xll.DBRW($C$41,$V$68,$Y$68,$C$43,$C$46,$L94,$V$70,$C$49,$K94,$AC$68,$C$51,J$59,"value")</f>
        <v/>
      </c>
      <c r="AD94" s="32" t="str">
        <f ca="1">_xll.DBRW($C$41,$V$68,$Y$68,$C$43,$C$46,$L94,$V$70,$C$49,$K94,$AC$68,$C$51,K$59,"value")</f>
        <v/>
      </c>
      <c r="AE94" s="32" t="str">
        <f ca="1">_xll.DBRW($C$41,$V$68,$Y$68,$C$43,$C$46,$L94,$V$70,$C$49,$K94,$AC$68,$C$51,L$59,"value")</f>
        <v/>
      </c>
      <c r="AF94" s="32" t="str">
        <f ca="1">_xll.DBRW($C$41,$V$68,$Y$68,$C$43,$C$46,$L94,$V$70,$C$49,$K94,$AC$68,$C$51,M$59,"value")</f>
        <v/>
      </c>
      <c r="AG94" s="32" t="str">
        <f ca="1">_xll.DBRW($C$41,$V$68,$Y$68,$C$43,$C$46,$L94,$V$70,$C$49,$K94,$AC$68,$C$51,N$59,"value")</f>
        <v/>
      </c>
      <c r="AH94" s="32" t="str">
        <f ca="1">_xll.DBRW($C$41,$V$68,$Y$68,$C$43,$C$46,$L94,$V$70,$C$49,$K94,$AC$68,$C$51,O$59,"value")</f>
        <v/>
      </c>
      <c r="AI94" s="32" t="str">
        <f ca="1">_xll.DBRW($C$41,$V$68,$Y$68,$C$43,$C$46,$L94,$V$70,$C$49,$K94,$AC$68,$C$51,P$59,"value")</f>
        <v/>
      </c>
      <c r="AJ94" s="32" t="str">
        <f ca="1">_xll.DBRW($C$41,$V$68,$Y$68,$C$43,$C$46,$L94,$V$70,$C$49,$K94,$AC$68,$C$51,Q$59,"value")</f>
        <v/>
      </c>
    </row>
    <row r="95" spans="10:36" s="27" customFormat="1" ht="12" x14ac:dyDescent="0.25">
      <c r="J95" s="12" t="str">
        <f t="shared" ca="1" si="21"/>
        <v>*KEY_ERR</v>
      </c>
      <c r="K95" s="30" t="s">
        <v>78</v>
      </c>
      <c r="L95" s="12" t="s">
        <v>79</v>
      </c>
      <c r="M95" s="12" t="str" cm="1">
        <f t="array" aca="1" ref="M95" ca="1">_xll.DBR($G$48,$K95,"code and description")</f>
        <v>*KEY_ERR</v>
      </c>
      <c r="N95" s="12" t="str" cm="1">
        <f t="array" aca="1" ref="N95" ca="1">_xll.DBR($G$49,$L95,"code and description")</f>
        <v>*KEY_ERR</v>
      </c>
      <c r="O95" s="12" t="str">
        <f t="shared" ca="1" si="22"/>
        <v>*KEY_ERR</v>
      </c>
      <c r="U95" s="12"/>
      <c r="V95" s="12"/>
      <c r="W95" s="12" t="str">
        <f t="shared" ca="1" si="23"/>
        <v>*KEY_ERR</v>
      </c>
      <c r="Y95" s="32" t="str">
        <f ca="1">_xll.DBRW($C$41,$V$68,$Y$68,$C$43,$C$46,$L95,$V$70,$C$49,$K95,$AC$68,$C$51,F$59,"value")</f>
        <v/>
      </c>
      <c r="Z95" s="32" t="str">
        <f ca="1">_xll.DBRW($C$41,$V$68,$Y$68,$C$43,$C$46,$L95,$V$70,$C$49,$K95,$AC$68,$C$51,G$59,"value")</f>
        <v/>
      </c>
      <c r="AA95" s="32" t="str">
        <f ca="1">_xll.DBRW($C$41,$V$68,$Y$68,$C$43,$C$46,$L95,$V$70,$C$49,$K95,$AC$68,$C$51,H$59,"value")</f>
        <v/>
      </c>
      <c r="AB95" s="32" t="str">
        <f ca="1">_xll.DBRW($C$41,$V$68,$Y$68,$C$43,$C$46,$L95,$V$70,$C$49,$K95,$AC$68,$C$51,I$59,"value")</f>
        <v/>
      </c>
      <c r="AC95" s="32" t="str">
        <f ca="1">_xll.DBRW($C$41,$V$68,$Y$68,$C$43,$C$46,$L95,$V$70,$C$49,$K95,$AC$68,$C$51,J$59,"value")</f>
        <v/>
      </c>
      <c r="AD95" s="32" t="str">
        <f ca="1">_xll.DBRW($C$41,$V$68,$Y$68,$C$43,$C$46,$L95,$V$70,$C$49,$K95,$AC$68,$C$51,K$59,"value")</f>
        <v/>
      </c>
      <c r="AE95" s="32" t="str">
        <f ca="1">_xll.DBRW($C$41,$V$68,$Y$68,$C$43,$C$46,$L95,$V$70,$C$49,$K95,$AC$68,$C$51,L$59,"value")</f>
        <v/>
      </c>
      <c r="AF95" s="32" t="str">
        <f ca="1">_xll.DBRW($C$41,$V$68,$Y$68,$C$43,$C$46,$L95,$V$70,$C$49,$K95,$AC$68,$C$51,M$59,"value")</f>
        <v/>
      </c>
      <c r="AG95" s="32" t="str">
        <f ca="1">_xll.DBRW($C$41,$V$68,$Y$68,$C$43,$C$46,$L95,$V$70,$C$49,$K95,$AC$68,$C$51,N$59,"value")</f>
        <v/>
      </c>
      <c r="AH95" s="32" t="str">
        <f ca="1">_xll.DBRW($C$41,$V$68,$Y$68,$C$43,$C$46,$L95,$V$70,$C$49,$K95,$AC$68,$C$51,O$59,"value")</f>
        <v/>
      </c>
      <c r="AI95" s="32" t="str">
        <f ca="1">_xll.DBRW($C$41,$V$68,$Y$68,$C$43,$C$46,$L95,$V$70,$C$49,$K95,$AC$68,$C$51,P$59,"value")</f>
        <v/>
      </c>
      <c r="AJ95" s="32" t="str">
        <f ca="1">_xll.DBRW($C$41,$V$68,$Y$68,$C$43,$C$46,$L95,$V$70,$C$49,$K95,$AC$68,$C$51,Q$59,"value")</f>
        <v/>
      </c>
    </row>
    <row r="96" spans="10:36" s="27" customFormat="1" ht="12" x14ac:dyDescent="0.25">
      <c r="J96" s="12" t="str">
        <f t="shared" ca="1" si="21"/>
        <v>*KEY_ERR</v>
      </c>
      <c r="K96" s="30" t="s">
        <v>81</v>
      </c>
      <c r="L96" s="12" t="s">
        <v>79</v>
      </c>
      <c r="M96" s="12" t="str" cm="1">
        <f t="array" aca="1" ref="M96" ca="1">_xll.DBR($G$48,$K96,"code and description")</f>
        <v>*KEY_ERR</v>
      </c>
      <c r="N96" s="12" t="str" cm="1">
        <f t="array" aca="1" ref="N96" ca="1">_xll.DBR($G$49,$L96,"code and description")</f>
        <v>*KEY_ERR</v>
      </c>
      <c r="O96" s="12" t="str">
        <f t="shared" ca="1" si="22"/>
        <v>*KEY_ERR</v>
      </c>
      <c r="U96" s="12"/>
      <c r="V96" s="12"/>
      <c r="W96" s="12" t="str">
        <f t="shared" ca="1" si="23"/>
        <v>*KEY_ERR</v>
      </c>
      <c r="Y96" s="32" t="str">
        <f ca="1">_xll.DBRW($C$41,$V$68,$Y$68,$C$43,$C$46,$L96,$V$70,$C$49,$K96,$AC$68,$C$51,F$59,"value")</f>
        <v/>
      </c>
      <c r="Z96" s="32" t="str">
        <f ca="1">_xll.DBRW($C$41,$V$68,$Y$68,$C$43,$C$46,$L96,$V$70,$C$49,$K96,$AC$68,$C$51,G$59,"value")</f>
        <v/>
      </c>
      <c r="AA96" s="32" t="str">
        <f ca="1">_xll.DBRW($C$41,$V$68,$Y$68,$C$43,$C$46,$L96,$V$70,$C$49,$K96,$AC$68,$C$51,H$59,"value")</f>
        <v/>
      </c>
      <c r="AB96" s="32" t="str">
        <f ca="1">_xll.DBRW($C$41,$V$68,$Y$68,$C$43,$C$46,$L96,$V$70,$C$49,$K96,$AC$68,$C$51,I$59,"value")</f>
        <v/>
      </c>
      <c r="AC96" s="32" t="str">
        <f ca="1">_xll.DBRW($C$41,$V$68,$Y$68,$C$43,$C$46,$L96,$V$70,$C$49,$K96,$AC$68,$C$51,J$59,"value")</f>
        <v/>
      </c>
      <c r="AD96" s="32" t="str">
        <f ca="1">_xll.DBRW($C$41,$V$68,$Y$68,$C$43,$C$46,$L96,$V$70,$C$49,$K96,$AC$68,$C$51,K$59,"value")</f>
        <v/>
      </c>
      <c r="AE96" s="32" t="str">
        <f ca="1">_xll.DBRW($C$41,$V$68,$Y$68,$C$43,$C$46,$L96,$V$70,$C$49,$K96,$AC$68,$C$51,L$59,"value")</f>
        <v/>
      </c>
      <c r="AF96" s="32" t="str">
        <f ca="1">_xll.DBRW($C$41,$V$68,$Y$68,$C$43,$C$46,$L96,$V$70,$C$49,$K96,$AC$68,$C$51,M$59,"value")</f>
        <v/>
      </c>
      <c r="AG96" s="32" t="str">
        <f ca="1">_xll.DBRW($C$41,$V$68,$Y$68,$C$43,$C$46,$L96,$V$70,$C$49,$K96,$AC$68,$C$51,N$59,"value")</f>
        <v/>
      </c>
      <c r="AH96" s="32" t="str">
        <f ca="1">_xll.DBRW($C$41,$V$68,$Y$68,$C$43,$C$46,$L96,$V$70,$C$49,$K96,$AC$68,$C$51,O$59,"value")</f>
        <v/>
      </c>
      <c r="AI96" s="32" t="str">
        <f ca="1">_xll.DBRW($C$41,$V$68,$Y$68,$C$43,$C$46,$L96,$V$70,$C$49,$K96,$AC$68,$C$51,P$59,"value")</f>
        <v/>
      </c>
      <c r="AJ96" s="32" t="str">
        <f ca="1">_xll.DBRW($C$41,$V$68,$Y$68,$C$43,$C$46,$L96,$V$70,$C$49,$K96,$AC$68,$C$51,Q$59,"value")</f>
        <v/>
      </c>
    </row>
    <row r="98" spans="10:36" s="27" customFormat="1" ht="12" x14ac:dyDescent="0.25">
      <c r="J98" s="30" t="s">
        <v>122</v>
      </c>
      <c r="K98" s="12" t="str" cm="1">
        <f t="array" aca="1" ref="K98" ca="1">_xll.DBR($G$54,$J98,"description")</f>
        <v>*KEY_ERR</v>
      </c>
      <c r="L98" s="12"/>
      <c r="M98" s="12"/>
      <c r="N98" s="12"/>
      <c r="O98" s="12"/>
      <c r="U98" s="29" t="str">
        <f ca="1">$J98</f>
        <v>M005</v>
      </c>
      <c r="V98" s="39" t="str">
        <f ca="1">$K98</f>
        <v>*KEY_ERR</v>
      </c>
      <c r="W98" s="39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spans="10:36" s="27" customFormat="1" ht="12" x14ac:dyDescent="0.25">
      <c r="J99" s="12"/>
      <c r="K99" s="30"/>
      <c r="L99" s="12"/>
      <c r="M99" s="12"/>
      <c r="N99" s="12"/>
      <c r="O99" s="12"/>
      <c r="U99" s="12"/>
      <c r="V99" s="12"/>
      <c r="W99" s="12" t="s">
        <v>126</v>
      </c>
      <c r="Y99" s="32" t="str">
        <f ca="1">_xll.DBRW($C$41,$V$68,$Y$68,$C$43,$C$46,$L99,$V$70,$C$49,$K99,$AC$68,$C$51,Y$76,"value")</f>
        <v/>
      </c>
      <c r="Z99" s="32" t="str">
        <f ca="1">_xll.DBRW($C$41,$V$68,$Y$68,$C$43,$C$46,$L99,$V$70,$C$49,$K99,$AC$68,$C$51,Z$76,"value")</f>
        <v/>
      </c>
      <c r="AA99" s="32" t="str">
        <f ca="1">_xll.DBRW($C$41,$V$68,$Y$68,$C$43,$C$46,$L99,$V$70,$C$49,$K99,$AC$68,$C$51,AA$76,"value")</f>
        <v/>
      </c>
      <c r="AB99" s="32" t="str">
        <f ca="1">_xll.DBRW($C$41,$V$68,$Y$68,$C$43,$C$46,$L99,$V$70,$C$49,$K99,$AC$68,$C$51,AB$76,"value")</f>
        <v/>
      </c>
      <c r="AC99" s="32" t="str">
        <f ca="1">_xll.DBRW($C$41,$V$68,$Y$68,$C$43,$C$46,$L99,$V$70,$C$49,$K99,$AC$68,$C$51,AC$76,"value")</f>
        <v/>
      </c>
      <c r="AD99" s="32" t="str">
        <f ca="1">_xll.DBRW($C$41,$V$68,$Y$68,$C$43,$C$46,$L99,$V$70,$C$49,$K99,$AC$68,$C$51,AD$76,"value")</f>
        <v/>
      </c>
      <c r="AE99" s="32" t="str">
        <f ca="1">_xll.DBRW($C$41,$V$68,$Y$68,$C$43,$C$46,$L99,$V$70,$C$49,$K99,$AC$68,$C$51,AE$76,"value")</f>
        <v/>
      </c>
      <c r="AF99" s="32" t="str">
        <f ca="1">_xll.DBRW($C$41,$V$68,$Y$68,$C$43,$C$46,$L99,$V$70,$C$49,$K99,$AC$68,$C$51,AF$76,"value")</f>
        <v/>
      </c>
      <c r="AG99" s="32" t="str">
        <f ca="1">_xll.DBRW($C$41,$V$68,$Y$68,$C$43,$C$46,$L99,$V$70,$C$49,$K99,$AC$68,$C$51,AG$76,"value")</f>
        <v/>
      </c>
      <c r="AH99" s="32" t="str">
        <f ca="1">_xll.DBRW($C$41,$V$68,$Y$68,$C$43,$C$46,$L99,$V$70,$C$49,$K99,$AC$68,$C$51,AH$76,"value")</f>
        <v/>
      </c>
      <c r="AI99" s="32" t="str">
        <f ca="1">_xll.DBRW($C$41,$V$68,$Y$68,$C$43,$C$46,$L99,$V$70,$C$49,$K99,$AC$68,$C$51,AI$76,"value")</f>
        <v/>
      </c>
      <c r="AJ99" s="32" t="str">
        <f ca="1">_xll.DBRW($C$41,$V$68,$Y$68,$C$43,$C$46,$L99,$V$70,$C$49,$K99,$AC$68,$C$51,AJ$76,"value")</f>
        <v/>
      </c>
    </row>
    <row r="101" spans="10:36" s="27" customFormat="1" ht="12" x14ac:dyDescent="0.25">
      <c r="J101" s="30" t="s">
        <v>123</v>
      </c>
      <c r="K101" s="12" t="str" cm="1">
        <f t="array" aca="1" ref="K101" ca="1">_xll.DBR($G$54,$J101,"description")</f>
        <v>*KEY_ERR</v>
      </c>
      <c r="L101" s="12"/>
      <c r="M101" s="12"/>
      <c r="N101" s="12"/>
      <c r="O101" s="12"/>
      <c r="U101" s="29" t="str">
        <f ca="1">$J101</f>
        <v>M006</v>
      </c>
      <c r="V101" s="39" t="str">
        <f ca="1">$K101</f>
        <v>*KEY_ERR</v>
      </c>
      <c r="W101" s="39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spans="10:36" s="27" customFormat="1" ht="12" x14ac:dyDescent="0.25">
      <c r="J102" s="12"/>
      <c r="K102" s="30"/>
      <c r="L102" s="12"/>
      <c r="M102" s="12"/>
      <c r="N102" s="12"/>
      <c r="O102" s="12"/>
      <c r="U102" s="12"/>
      <c r="V102" s="12"/>
      <c r="W102" s="12" t="s">
        <v>126</v>
      </c>
      <c r="Y102" s="32" t="str">
        <f ca="1">_xll.DBRW($C$41,$V$68,$Y$68,$C$43,$C$46,$L102,$V$70,$C$49,$K102,$AC$68,$C$51,Y$76,"value")</f>
        <v/>
      </c>
      <c r="Z102" s="32" t="str">
        <f ca="1">_xll.DBRW($C$41,$V$68,$Y$68,$C$43,$C$46,$L102,$V$70,$C$49,$K102,$AC$68,$C$51,Z$76,"value")</f>
        <v/>
      </c>
      <c r="AA102" s="32" t="str">
        <f ca="1">_xll.DBRW($C$41,$V$68,$Y$68,$C$43,$C$46,$L102,$V$70,$C$49,$K102,$AC$68,$C$51,AA$76,"value")</f>
        <v/>
      </c>
      <c r="AB102" s="32" t="str">
        <f ca="1">_xll.DBRW($C$41,$V$68,$Y$68,$C$43,$C$46,$L102,$V$70,$C$49,$K102,$AC$68,$C$51,AB$76,"value")</f>
        <v/>
      </c>
      <c r="AC102" s="32" t="str">
        <f ca="1">_xll.DBRW($C$41,$V$68,$Y$68,$C$43,$C$46,$L102,$V$70,$C$49,$K102,$AC$68,$C$51,AC$76,"value")</f>
        <v/>
      </c>
      <c r="AD102" s="32" t="str">
        <f ca="1">_xll.DBRW($C$41,$V$68,$Y$68,$C$43,$C$46,$L102,$V$70,$C$49,$K102,$AC$68,$C$51,AD$76,"value")</f>
        <v/>
      </c>
      <c r="AE102" s="32" t="str">
        <f ca="1">_xll.DBRW($C$41,$V$68,$Y$68,$C$43,$C$46,$L102,$V$70,$C$49,$K102,$AC$68,$C$51,AE$76,"value")</f>
        <v/>
      </c>
      <c r="AF102" s="32" t="str">
        <f ca="1">_xll.DBRW($C$41,$V$68,$Y$68,$C$43,$C$46,$L102,$V$70,$C$49,$K102,$AC$68,$C$51,AF$76,"value")</f>
        <v/>
      </c>
      <c r="AG102" s="32" t="str">
        <f ca="1">_xll.DBRW($C$41,$V$68,$Y$68,$C$43,$C$46,$L102,$V$70,$C$49,$K102,$AC$68,$C$51,AG$76,"value")</f>
        <v/>
      </c>
      <c r="AH102" s="32" t="str">
        <f ca="1">_xll.DBRW($C$41,$V$68,$Y$68,$C$43,$C$46,$L102,$V$70,$C$49,$K102,$AC$68,$C$51,AH$76,"value")</f>
        <v/>
      </c>
      <c r="AI102" s="32" t="str">
        <f ca="1">_xll.DBRW($C$41,$V$68,$Y$68,$C$43,$C$46,$L102,$V$70,$C$49,$K102,$AC$68,$C$51,AI$76,"value")</f>
        <v/>
      </c>
      <c r="AJ102" s="32" t="str">
        <f ca="1">_xll.DBRW($C$41,$V$68,$Y$68,$C$43,$C$46,$L102,$V$70,$C$49,$K102,$AC$68,$C$51,AJ$76,"value")</f>
        <v/>
      </c>
    </row>
    <row r="104" spans="10:36" s="27" customFormat="1" ht="12" x14ac:dyDescent="0.25">
      <c r="J104" s="30" t="s">
        <v>124</v>
      </c>
      <c r="K104" s="12" t="str" cm="1">
        <f t="array" aca="1" ref="K104" ca="1">_xll.DBR($G$54,$J104,"description")</f>
        <v>*KEY_ERR</v>
      </c>
      <c r="L104" s="12"/>
      <c r="M104" s="12"/>
      <c r="N104" s="12"/>
      <c r="O104" s="12"/>
      <c r="U104" s="29" t="str">
        <f ca="1">$J104</f>
        <v>M007</v>
      </c>
      <c r="V104" s="39" t="str">
        <f ca="1">$K104</f>
        <v>*KEY_ERR</v>
      </c>
      <c r="W104" s="39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spans="10:36" s="27" customFormat="1" ht="12" x14ac:dyDescent="0.25">
      <c r="J105" s="12"/>
      <c r="K105" s="30"/>
      <c r="L105" s="12"/>
      <c r="M105" s="12"/>
      <c r="N105" s="12"/>
      <c r="O105" s="12"/>
      <c r="U105" s="12"/>
      <c r="V105" s="12"/>
      <c r="W105" s="12" t="s">
        <v>126</v>
      </c>
      <c r="Y105" s="32" t="str">
        <f ca="1">_xll.DBRW($C$41,$V$68,$Y$68,$C$43,$C$46,$L105,$V$70,$C$49,$K105,$AC$68,$C$51,Y$76,"value")</f>
        <v/>
      </c>
      <c r="Z105" s="32" t="str">
        <f ca="1">_xll.DBRW($C$41,$V$68,$Y$68,$C$43,$C$46,$L105,$V$70,$C$49,$K105,$AC$68,$C$51,Z$76,"value")</f>
        <v/>
      </c>
      <c r="AA105" s="32" t="str">
        <f ca="1">_xll.DBRW($C$41,$V$68,$Y$68,$C$43,$C$46,$L105,$V$70,$C$49,$K105,$AC$68,$C$51,AA$76,"value")</f>
        <v/>
      </c>
      <c r="AB105" s="32" t="str">
        <f ca="1">_xll.DBRW($C$41,$V$68,$Y$68,$C$43,$C$46,$L105,$V$70,$C$49,$K105,$AC$68,$C$51,AB$76,"value")</f>
        <v/>
      </c>
      <c r="AC105" s="32" t="str">
        <f ca="1">_xll.DBRW($C$41,$V$68,$Y$68,$C$43,$C$46,$L105,$V$70,$C$49,$K105,$AC$68,$C$51,AC$76,"value")</f>
        <v/>
      </c>
      <c r="AD105" s="32" t="str">
        <f ca="1">_xll.DBRW($C$41,$V$68,$Y$68,$C$43,$C$46,$L105,$V$70,$C$49,$K105,$AC$68,$C$51,AD$76,"value")</f>
        <v/>
      </c>
      <c r="AE105" s="32" t="str">
        <f ca="1">_xll.DBRW($C$41,$V$68,$Y$68,$C$43,$C$46,$L105,$V$70,$C$49,$K105,$AC$68,$C$51,AE$76,"value")</f>
        <v/>
      </c>
      <c r="AF105" s="32" t="str">
        <f ca="1">_xll.DBRW($C$41,$V$68,$Y$68,$C$43,$C$46,$L105,$V$70,$C$49,$K105,$AC$68,$C$51,AF$76,"value")</f>
        <v/>
      </c>
      <c r="AG105" s="32" t="str">
        <f ca="1">_xll.DBRW($C$41,$V$68,$Y$68,$C$43,$C$46,$L105,$V$70,$C$49,$K105,$AC$68,$C$51,AG$76,"value")</f>
        <v/>
      </c>
      <c r="AH105" s="32" t="str">
        <f ca="1">_xll.DBRW($C$41,$V$68,$Y$68,$C$43,$C$46,$L105,$V$70,$C$49,$K105,$AC$68,$C$51,AH$76,"value")</f>
        <v/>
      </c>
      <c r="AI105" s="32" t="str">
        <f ca="1">_xll.DBRW($C$41,$V$68,$Y$68,$C$43,$C$46,$L105,$V$70,$C$49,$K105,$AC$68,$C$51,AI$76,"value")</f>
        <v/>
      </c>
      <c r="AJ105" s="32" t="str">
        <f ca="1">_xll.DBRW($C$41,$V$68,$Y$68,$C$43,$C$46,$L105,$V$70,$C$49,$K105,$AC$68,$C$51,AJ$76,"value")</f>
        <v/>
      </c>
    </row>
  </sheetData>
  <sheetProtection sheet="1" objects="1" scenarios="1"/>
  <mergeCells count="17">
    <mergeCell ref="V87:W87"/>
    <mergeCell ref="V91:W91"/>
    <mergeCell ref="V98:W98"/>
    <mergeCell ref="V101:W101"/>
    <mergeCell ref="V104:W104"/>
    <mergeCell ref="B11:D11"/>
    <mergeCell ref="F11:H11"/>
    <mergeCell ref="B27:D27"/>
    <mergeCell ref="B19:C19"/>
    <mergeCell ref="F40:H40"/>
    <mergeCell ref="B40:D40"/>
    <mergeCell ref="V82:W82"/>
    <mergeCell ref="F47:H47"/>
    <mergeCell ref="V77:W77"/>
    <mergeCell ref="V70:W70"/>
    <mergeCell ref="B53:D53"/>
    <mergeCell ref="F53:H53"/>
  </mergeCells>
  <conditionalFormatting sqref="Y2:AJ7">
    <cfRule type="cellIs" dxfId="7" priority="181" operator="equal">
      <formula>"Warning"</formula>
    </cfRule>
    <cfRule type="cellIs" dxfId="6" priority="182" operator="equal">
      <formula>"Fail"</formula>
    </cfRule>
  </conditionalFormatting>
  <conditionalFormatting sqref="Y75">
    <cfRule type="cellIs" dxfId="5" priority="75" operator="equal">
      <formula>"Warning"</formula>
    </cfRule>
    <cfRule type="cellIs" dxfId="4" priority="76" operator="equal">
      <formula>"Fail"</formula>
    </cfRule>
  </conditionalFormatting>
  <conditionalFormatting sqref="Y73:AJ73">
    <cfRule type="cellIs" dxfId="3" priority="3" operator="equal">
      <formula>"Warning"</formula>
    </cfRule>
    <cfRule type="cellIs" dxfId="2" priority="4" operator="equal">
      <formula>"Fail"</formula>
    </cfRule>
  </conditionalFormatting>
  <conditionalFormatting sqref="AI92">
    <cfRule type="expression" dxfId="1" priority="2">
      <formula>$AI92&gt;$AJ92</formula>
    </cfRule>
  </conditionalFormatting>
  <conditionalFormatting sqref="AI93:AI96">
    <cfRule type="expression" dxfId="0" priority="1">
      <formula>$AI93&gt;$AJ93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3">
          <controlPr defaultSize="0" print="0" autoLine="0" autoPict="0" r:id="rId5">
            <anchor moveWithCells="1" sizeWithCells="1">
              <from>
                <xdr:col>21</xdr:col>
                <xdr:colOff>297180</xdr:colOff>
                <xdr:row>64</xdr:row>
                <xdr:rowOff>7620</xdr:rowOff>
              </from>
              <to>
                <xdr:col>21</xdr:col>
                <xdr:colOff>1470660</xdr:colOff>
                <xdr:row>64</xdr:row>
                <xdr:rowOff>259080</xdr:rowOff>
              </to>
            </anchor>
          </controlPr>
        </control>
      </mc:Choice>
      <mc:Fallback>
        <control shapeId="1027" r:id="rId4" name="TIButton3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 sizeWithCells="1">
              <from>
                <xdr:col>19</xdr:col>
                <xdr:colOff>38100</xdr:colOff>
                <xdr:row>64</xdr:row>
                <xdr:rowOff>7620</xdr:rowOff>
              </from>
              <to>
                <xdr:col>21</xdr:col>
                <xdr:colOff>266700</xdr:colOff>
                <xdr:row>64</xdr:row>
                <xdr:rowOff>259080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autoPict="0" r:id="rId9">
            <anchor moveWithCells="1" sizeWithCells="1">
              <from>
                <xdr:col>21</xdr:col>
                <xdr:colOff>1516380</xdr:colOff>
                <xdr:row>64</xdr:row>
                <xdr:rowOff>7620</xdr:rowOff>
              </from>
              <to>
                <xdr:col>21</xdr:col>
                <xdr:colOff>2293620</xdr:colOff>
                <xdr:row>64</xdr:row>
                <xdr:rowOff>259080</xdr:rowOff>
              </to>
            </anchor>
          </controlPr>
        </control>
      </mc:Choice>
      <mc:Fallback>
        <control shapeId="1025" r:id="rId8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validations</vt:lpstr>
      <vt:lpstr>db_name</vt:lpstr>
      <vt:lpstr>psHLYear</vt:lpstr>
      <vt:lpstr>psID</vt:lpstr>
      <vt:lpstr>psProg</vt:lpstr>
      <vt:lpstr>psScenario</vt:lpstr>
      <vt:lpstr>psUser</vt:lpstr>
      <vt:lpstr>sys_per_displaylist</vt:lpstr>
      <vt:lpstr>TM1AuthWB</vt:lpstr>
      <vt:lpstr>TM1AuthWS</vt:lpstr>
      <vt:lpstr>TM1BackToAdjWB</vt:lpstr>
      <vt:lpstr>TM1BackToAdjWS</vt:lpstr>
      <vt:lpstr>TM1HomeCAP</vt:lpstr>
      <vt:lpstr>TM1HomeWB</vt:lpstr>
      <vt:lpstr>TM1HomeWS</vt:lpstr>
      <vt:lpstr>TM1MEBSDataEntryCAP</vt:lpstr>
      <vt:lpstr>TM1MEBSDataEntryWB</vt:lpstr>
      <vt:lpstr>TM1MEBSDataEntryWS</vt:lpstr>
      <vt:lpstr>TM1MECFDataEntryCAP</vt:lpstr>
      <vt:lpstr>TM1MECFDataEntryWB</vt:lpstr>
      <vt:lpstr>TM1MECFDataEntryWS</vt:lpstr>
      <vt:lpstr>TM1MEOSDataEntryCAP</vt:lpstr>
      <vt:lpstr>TM1MEOSDataEntryWB</vt:lpstr>
      <vt:lpstr>TM1MEOSDataEntryWS</vt:lpstr>
      <vt:lpstr>validations!TM1RPTDATARNG1</vt:lpstr>
      <vt:lpstr>validations!TM1RPTFMTIDCOL</vt:lpstr>
      <vt:lpstr>validations!TM1RPTFMTRNG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2019-05-03T05:16:26Z</dcterms:created>
  <dcterms:modified xsi:type="dcterms:W3CDTF">2023-02-14T22:32:41Z</dcterms:modified>
</cp:coreProperties>
</file>