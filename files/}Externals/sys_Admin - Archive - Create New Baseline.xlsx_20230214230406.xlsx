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2\"/>
    </mc:Choice>
  </mc:AlternateContent>
  <bookViews>
    <workbookView xWindow="57480" yWindow="-1965" windowWidth="29040" windowHeight="15840"/>
  </bookViews>
  <sheets>
    <sheet name="archive" sheetId="1" r:id="rId1"/>
    <sheet name="{PL}PickLst" sheetId="3" state="hidden" r:id="rId2"/>
  </sheets>
  <definedNames>
    <definedName name="db_name">archive!$C$12</definedName>
    <definedName name="psApp">archive!$C$67</definedName>
    <definedName name="psArcSourceHLYear">archive!$L$95</definedName>
    <definedName name="psArcSourceScenario">archive!$L$96</definedName>
    <definedName name="psArcTargetHLYear">archive!$L$98</definedName>
    <definedName name="psArcTargetScenario">archive!$L$99</definedName>
    <definedName name="psConfirmationMessage">archive!$G$13</definedName>
    <definedName name="psCurrentRoundName">archive!$N$100</definedName>
    <definedName name="psErrorMessage">archive!$G$15</definedName>
    <definedName name="psNBSourceHLYear">archive!$N$95</definedName>
    <definedName name="psNBSourceScenario">archive!$N$96</definedName>
    <definedName name="psNBTargetHLYear">archive!$N$98</definedName>
    <definedName name="psNBTargetScenario">archive!$N$99</definedName>
    <definedName name="psRunClearFlag">archive!$G$12</definedName>
    <definedName name="psSuccessMessage">archive!$G$14</definedName>
    <definedName name="psUser">archive!$C$17</definedName>
    <definedName name="TM1HomeAdminBaseCAP">archive!$D$77</definedName>
    <definedName name="TM1HomeAdminBaseWB">archive!$F$77</definedName>
    <definedName name="TM1HomeAdminBaseWS">archive!$H$77</definedName>
    <definedName name="TM1HomeAdminCAP">archive!$D$72</definedName>
    <definedName name="TM1HomeAdminFavCAP">archive!$D$76</definedName>
    <definedName name="TM1HomeAdminFavWB">archive!$F$76</definedName>
    <definedName name="TM1HomeAdminFavWS">archive!$H$76</definedName>
    <definedName name="TM1HomeAdminGEUSCAP">archive!$D$75</definedName>
    <definedName name="TM1HomeAdminGEUSWB">archive!$F$75</definedName>
    <definedName name="TM1HomeAdminGEUSWS">archive!$H$75</definedName>
    <definedName name="TM1HomeAdminRDSCAP">archive!$D$73</definedName>
    <definedName name="TM1HomeAdminRDSMapCAP">archive!$D$74</definedName>
    <definedName name="TM1HomeAdminRDSMapWB">archive!$F$74</definedName>
    <definedName name="TM1HomeAdminRDSMapWS">archive!$H$74</definedName>
    <definedName name="TM1HomeAdminRDSWB">archive!$F$73</definedName>
    <definedName name="TM1HomeAdminRDSWS">archive!$H$73</definedName>
    <definedName name="TM1HomeAdminWB">archive!$F$72</definedName>
    <definedName name="TM1HomeAdminWS">archive!$H$72</definedName>
    <definedName name="TM1HomeAECAP">archive!$D$70</definedName>
    <definedName name="TM1HomeAEWB">archive!$F$70</definedName>
    <definedName name="TM1HomeAEWS">archive!$H$70</definedName>
    <definedName name="TM1HomeCAP">archive!$D$69</definedName>
    <definedName name="TM1HomeRepCAP">archive!$D$71</definedName>
    <definedName name="TM1HomeRepWB">archive!$F$71</definedName>
    <definedName name="TM1HomeRepWS">archive!$H$71</definedName>
    <definedName name="TM1HomeUnderCAP">archive!$D$78</definedName>
    <definedName name="TM1HomeUnderWB">archive!$F$78</definedName>
    <definedName name="TM1HomeUnderWS">archive!$H$78</definedName>
    <definedName name="TM1HomeWB">archive!$F$69</definedName>
    <definedName name="TM1HomeWS">archive!$H$69</definedName>
    <definedName name="TM1REBUILDOPTION">1</definedName>
    <definedName name="TM1RPTDATARNG1" localSheetId="0">archive!$108:$108</definedName>
    <definedName name="TM1RPTFMTIDCOL" localSheetId="0">archive!$A$1:$A$8</definedName>
    <definedName name="TM1RPTFMTRNG" localSheetId="0">archive!$K$1:$O$8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" l="1" a="1"/>
  <c r="C21" i="1"/>
  <c r="C20" i="1"/>
  <c r="K108" i="1"/>
  <c r="C66" i="1"/>
  <c r="D108" i="1" a="1"/>
  <c r="D108" i="1"/>
  <c r="G108" i="1" a="1"/>
  <c r="G108" i="1"/>
  <c r="E108" i="1" a="1"/>
  <c r="E108" i="1"/>
  <c r="H108" i="1"/>
  <c r="M108" i="1"/>
  <c r="A108" i="1" a="1"/>
  <c r="A108" i="1"/>
  <c r="L108" i="1" a="1"/>
  <c r="L108" i="1"/>
  <c r="F108" i="1" a="1"/>
  <c r="F108" i="1"/>
  <c r="C108" i="1" a="1"/>
  <c r="C108" i="1"/>
  <c r="C27" i="1" a="1"/>
  <c r="C27" i="1"/>
  <c r="C32" i="1" a="1"/>
  <c r="C32" i="1"/>
  <c r="L99" i="1" a="1"/>
  <c r="L99" i="1"/>
  <c r="N100" i="1" a="1"/>
  <c r="N100" i="1"/>
  <c r="C29" i="1" a="1"/>
  <c r="C29" i="1"/>
  <c r="N99" i="1" a="1"/>
  <c r="N99" i="1"/>
  <c r="C28" i="1" a="1"/>
  <c r="C28" i="1"/>
  <c r="L95" i="1" a="1"/>
  <c r="L95" i="1"/>
  <c r="L98" i="1" a="1"/>
  <c r="L98" i="1"/>
  <c r="N98" i="1" a="1"/>
  <c r="N98" i="1"/>
  <c r="N96" i="1" a="1"/>
  <c r="N96" i="1"/>
  <c r="L96" i="1" a="1"/>
  <c r="L96" i="1"/>
  <c r="N95" i="1" a="1"/>
  <c r="N95" i="1"/>
  <c r="H78" i="1" a="1"/>
  <c r="H78" i="1"/>
  <c r="G78" i="1" a="1"/>
  <c r="G78" i="1"/>
  <c r="F78" i="1" a="1"/>
  <c r="F78" i="1"/>
  <c r="E78" i="1" a="1"/>
  <c r="E78" i="1"/>
  <c r="D78" i="1" a="1"/>
  <c r="D78" i="1"/>
  <c r="C78" i="1" a="1"/>
  <c r="C78" i="1"/>
  <c r="H77" i="1" a="1"/>
  <c r="H77" i="1"/>
  <c r="G77" i="1" a="1"/>
  <c r="G77" i="1"/>
  <c r="F77" i="1" a="1"/>
  <c r="F77" i="1"/>
  <c r="E77" i="1" a="1"/>
  <c r="E77" i="1"/>
  <c r="D77" i="1" a="1"/>
  <c r="D77" i="1"/>
  <c r="C77" i="1" a="1"/>
  <c r="C77" i="1"/>
  <c r="H76" i="1" a="1"/>
  <c r="H76" i="1"/>
  <c r="G76" i="1" a="1"/>
  <c r="G76" i="1"/>
  <c r="F76" i="1" a="1"/>
  <c r="F76" i="1"/>
  <c r="E76" i="1" a="1"/>
  <c r="E76" i="1"/>
  <c r="D76" i="1" a="1"/>
  <c r="D76" i="1"/>
  <c r="C76" i="1" a="1"/>
  <c r="C76" i="1"/>
  <c r="H75" i="1" a="1"/>
  <c r="H75" i="1"/>
  <c r="G75" i="1" a="1"/>
  <c r="G75" i="1"/>
  <c r="F75" i="1" a="1"/>
  <c r="F75" i="1"/>
  <c r="E75" i="1" a="1"/>
  <c r="E75" i="1"/>
  <c r="D75" i="1" a="1"/>
  <c r="D75" i="1"/>
  <c r="C75" i="1" a="1"/>
  <c r="C75" i="1"/>
  <c r="H74" i="1" a="1"/>
  <c r="H74" i="1"/>
  <c r="G74" i="1" a="1"/>
  <c r="G74" i="1"/>
  <c r="F74" i="1" a="1"/>
  <c r="F74" i="1"/>
  <c r="E74" i="1" a="1"/>
  <c r="E74" i="1"/>
  <c r="D74" i="1" a="1"/>
  <c r="D74" i="1"/>
  <c r="C74" i="1" a="1"/>
  <c r="C74" i="1"/>
  <c r="H73" i="1" a="1"/>
  <c r="H73" i="1"/>
  <c r="G73" i="1" a="1"/>
  <c r="G73" i="1"/>
  <c r="F73" i="1" a="1"/>
  <c r="F73" i="1"/>
  <c r="E73" i="1" a="1"/>
  <c r="E73" i="1"/>
  <c r="D73" i="1" a="1"/>
  <c r="D73" i="1"/>
  <c r="C73" i="1" a="1"/>
  <c r="C73" i="1"/>
  <c r="H72" i="1" a="1"/>
  <c r="H72" i="1"/>
  <c r="G72" i="1" a="1"/>
  <c r="G72" i="1"/>
  <c r="F72" i="1" a="1"/>
  <c r="F72" i="1"/>
  <c r="E72" i="1" a="1"/>
  <c r="E72" i="1"/>
  <c r="D72" i="1" a="1"/>
  <c r="D72" i="1"/>
  <c r="C72" i="1" a="1"/>
  <c r="C72" i="1"/>
  <c r="H71" i="1" a="1"/>
  <c r="H71" i="1"/>
  <c r="G71" i="1" a="1"/>
  <c r="G71" i="1"/>
  <c r="F71" i="1" a="1"/>
  <c r="F71" i="1"/>
  <c r="E71" i="1" a="1"/>
  <c r="E71" i="1"/>
  <c r="D71" i="1" a="1"/>
  <c r="D71" i="1"/>
  <c r="C71" i="1" a="1"/>
  <c r="C71" i="1"/>
  <c r="H70" i="1" a="1"/>
  <c r="H70" i="1"/>
  <c r="G70" i="1" a="1"/>
  <c r="G70" i="1"/>
  <c r="F70" i="1" a="1"/>
  <c r="F70" i="1"/>
  <c r="E70" i="1" a="1"/>
  <c r="E70" i="1"/>
  <c r="D70" i="1" a="1"/>
  <c r="D70" i="1"/>
  <c r="C70" i="1" a="1"/>
  <c r="C70" i="1"/>
  <c r="H69" i="1" a="1"/>
  <c r="H69" i="1"/>
  <c r="G69" i="1" a="1"/>
  <c r="G69" i="1"/>
  <c r="F69" i="1" a="1"/>
  <c r="F69" i="1"/>
  <c r="E69" i="1" a="1"/>
  <c r="E69" i="1"/>
  <c r="D69" i="1" a="1"/>
  <c r="D69" i="1"/>
  <c r="C69" i="1" a="1"/>
  <c r="C69" i="1"/>
  <c r="C46" i="1" a="1"/>
  <c r="C46" i="1"/>
  <c r="C47" i="1" a="1"/>
  <c r="C47" i="1"/>
  <c r="C48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45" i="1" a="1"/>
  <c r="C45" i="1"/>
  <c r="C63" i="1" a="1"/>
  <c r="C63" i="1"/>
  <c r="C62" i="1" a="1"/>
  <c r="C62" i="1"/>
  <c r="C36" i="1" a="1"/>
  <c r="C36" i="1"/>
  <c r="C13" i="1" a="1"/>
  <c r="C13" i="1"/>
  <c r="C14" i="1" a="1"/>
  <c r="C14" i="1"/>
  <c r="C15" i="1" a="1"/>
  <c r="C15" i="1"/>
  <c r="C17" i="1"/>
  <c r="D42" i="1" a="1"/>
  <c r="D42" i="1"/>
  <c r="C42" i="1" a="1"/>
  <c r="C42" i="1"/>
  <c r="C41" i="1" a="1"/>
  <c r="C41" i="1"/>
  <c r="C40" i="1" a="1"/>
  <c r="C40" i="1"/>
  <c r="C39" i="1" a="1"/>
  <c r="C39" i="1"/>
  <c r="C38" i="1" a="1"/>
  <c r="C38" i="1"/>
  <c r="C31" i="1" a="1"/>
  <c r="C31" i="1"/>
  <c r="C30" i="1" a="1"/>
  <c r="C30" i="1"/>
  <c r="C16" i="1" a="1"/>
  <c r="C16" i="1"/>
  <c r="G14" i="1"/>
  <c r="G13" i="1"/>
  <c r="N108" i="1"/>
  <c r="K106" i="1"/>
  <c r="L104" i="1"/>
  <c r="L103" i="1"/>
  <c r="C33" i="1"/>
  <c r="C10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<sst xmlns="http://schemas.openxmlformats.org/spreadsheetml/2006/main" count="117" uniqueCount="112">
  <si>
    <t>archive process flag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</si>
  <si>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</si>
  <si>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</si>
  <si>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</si>
  <si>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</si>
  <si>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</si>
  <si>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</si>
  <si>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</si>
  <si>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</si>
  <si>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</si>
  <si>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</si>
  <si>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</si>
  <si>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</si>
  <si>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</si>
  <si>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</si>
  <si>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</si>
  <si>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</si>
  <si>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</si>
  <si>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</si>
  <si>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sys_application</t>
  </si>
  <si>
    <t>Slice View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</si>
  <si>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</si>
  <si>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</si>
  <si>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</si>
  <si>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</si>
  <si>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</si>
  <si>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Administration - RDS Mapping</t>
  </si>
  <si>
    <t>Homepage - Administration - GEUS Setup</t>
  </si>
  <si>
    <t>Homepage - Administration - Favourites</t>
  </si>
  <si>
    <t>Homepage - Administration - Baseline</t>
  </si>
  <si>
    <t>Homepage - Under Construction</t>
  </si>
  <si>
    <t>Caption Name</t>
  </si>
  <si>
    <t>Caption</t>
  </si>
  <si>
    <t>Workbook Name</t>
  </si>
  <si>
    <t>Workbook</t>
  </si>
  <si>
    <t>Worksheet Name</t>
  </si>
  <si>
    <t>Worksheet</t>
  </si>
  <si>
    <t>Current Workbook</t>
  </si>
  <si>
    <t>Admin Archive - Create New Baseline</t>
  </si>
  <si>
    <t>Client Preference</t>
  </si>
  <si>
    <t>geus hl year</t>
  </si>
  <si>
    <t>geus scenario</t>
  </si>
  <si>
    <t>geus adj</t>
  </si>
  <si>
    <t>geus programme</t>
  </si>
  <si>
    <t xml:space="preserve">sys_process administration </t>
  </si>
  <si>
    <t>Active Form</t>
  </si>
  <si>
    <t>}Process MDX</t>
  </si>
  <si>
    <t>Measure</t>
  </si>
  <si>
    <t>{TM1SORT( {TM1FILTERBYLEVEL( {TM1SUBSETALL( [}Processes] )}, 0)}, ASC)}</t>
  </si>
  <si>
    <t>error flag</t>
  </si>
  <si>
    <t>error description</t>
  </si>
  <si>
    <t>status flag</t>
  </si>
  <si>
    <t>Completed Flag</t>
  </si>
  <si>
    <t>STATUS</t>
  </si>
  <si>
    <t>PROCESSES</t>
  </si>
  <si>
    <t>ERROR DESCRIPTION</t>
  </si>
  <si>
    <t xml:space="preserve">Source Headline Year : </t>
  </si>
  <si>
    <t xml:space="preserve">Source Scenario : </t>
  </si>
  <si>
    <t>Active Flag Measure</t>
  </si>
  <si>
    <t>active flag</t>
  </si>
  <si>
    <t xml:space="preserve">ENABLE FLAG </t>
  </si>
  <si>
    <t>1 = enable, 0 = disable</t>
  </si>
  <si>
    <t>Archive and Create New Baseline</t>
  </si>
  <si>
    <t>PROCESS 01 : ARCHIVE PARAMETERS</t>
  </si>
  <si>
    <t>PROCESS 02 : NEW BASELINE PARAMETERS</t>
  </si>
  <si>
    <t>Process 02 : Runs the New Basline Process. Uses the Closing Balance Of the Archived Scenario and transfers to CURRENT Opening Balance (0000A)</t>
  </si>
  <si>
    <t>Process 01 : Runs the Archive Process. Transfers CURRENT scenario to a BUDGET ROUND scenario (example MYEFO, Additional Estimates, PRE-ERC, BUDGET, PEFO)</t>
  </si>
  <si>
    <t>current budget round</t>
  </si>
  <si>
    <t>Action Button Paramaeters</t>
  </si>
  <si>
    <t>psRunClearFlag</t>
  </si>
  <si>
    <t>Y</t>
  </si>
  <si>
    <t>XX</t>
  </si>
  <si>
    <t>sys_admin archive status</t>
  </si>
  <si>
    <t>value</t>
  </si>
  <si>
    <t>validate</t>
  </si>
  <si>
    <t>CUBE: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</si>
  <si>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</si>
  <si>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</si>
  <si>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</si>
  <si>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</si>
  <si>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</si>
  <si>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</si>
  <si>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</si>
  <si>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</si>
  <si>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</si>
  <si>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</si>
  <si>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</si>
  <si>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programme</t>
  </si>
  <si>
    <t>id</t>
  </si>
  <si>
    <t>jurisdiction</t>
  </si>
  <si>
    <t>AE Adjustment Slice</t>
  </si>
  <si>
    <t>1000000</t>
  </si>
  <si>
    <t>Total years</t>
  </si>
  <si>
    <t>2000000</t>
  </si>
  <si>
    <t>Check</t>
  </si>
  <si>
    <t>Total Revenue (1000000)</t>
  </si>
  <si>
    <t>Total Expenses (2000000)</t>
  </si>
  <si>
    <t>TOTAL</t>
  </si>
  <si>
    <t xml:space="preserve">Verify Any Data In Target Headline Year and Scenario </t>
  </si>
  <si>
    <t>psConfirmationMessage</t>
  </si>
  <si>
    <t>psSuccessMessage</t>
  </si>
  <si>
    <t>psErrorMessage</t>
  </si>
  <si>
    <t>Archive process has failed. Please refer to the log files or error messages below.</t>
  </si>
  <si>
    <t>Note : BEFORE proceeding, ensure a system backup has been performed and all users are logged out the system. Investigate and resolve any process errors before making the system available to users.</t>
  </si>
  <si>
    <t>Target Archive Headline Year :</t>
  </si>
  <si>
    <t>Target Archive Scenario :</t>
  </si>
  <si>
    <t>Target New Baseline Headline Year :</t>
  </si>
  <si>
    <t>Target New Baseline Scenario :</t>
  </si>
  <si>
    <t>Next CBMS Budget Round Name :</t>
  </si>
  <si>
    <t>CHECK</t>
  </si>
  <si>
    <t>dcceew_geus</t>
  </si>
  <si>
    <t xml:space="preserve">Note : This screen is used during the archive process and creating a new baseline. Both process will be executed when the 'Perform Archive/New Baseline' button is clicked.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</si>
</sst>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right" vertic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5" fillId="0" borderId="0" xfId="0" applyFont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right" indent="1"/>
    </xf>
    <xf numFmtId="0" fontId="0" fillId="2" borderId="4" xfId="0" applyFill="1" applyBorder="1" applyAlignment="1">
      <alignment horizontal="center"/>
    </xf>
    <xf numFmtId="0" fontId="6" fillId="0" borderId="0" xfId="0" applyFont="1" applyAlignment="1">
      <alignment horizontal="right" indent="1"/>
    </xf>
    <xf numFmtId="0" fontId="7" fillId="0" borderId="0" xfId="0" applyFont="1" applyAlignment="1">
      <alignment horizontal="right" indent="1"/>
    </xf>
    <xf numFmtId="0" fontId="2" fillId="0" borderId="0" xfId="0" applyFont="1" applyAlignment="1">
      <alignment horizontal="right" indent="1"/>
    </xf>
    <xf numFmtId="0" fontId="10" fillId="0" borderId="0" xfId="0" applyFont="1"/>
    <xf numFmtId="0" fontId="1" fillId="4" borderId="4" xfId="0" applyFont="1" applyFill="1" applyBorder="1" applyAlignment="1">
      <alignment horizontal="center" wrapText="1"/>
    </xf>
    <xf numFmtId="0" fontId="9" fillId="0" borderId="0" xfId="0" applyFont="1"/>
    <xf numFmtId="0" fontId="2" fillId="0" borderId="4" xfId="0" quotePrefix="1" applyFont="1" applyBorder="1"/>
    <xf numFmtId="43" fontId="0" fillId="2" borderId="4" xfId="1" applyFont="1" applyFill="1" applyBorder="1"/>
    <xf numFmtId="0" fontId="11" fillId="0" borderId="0" xfId="0" applyFont="1" applyAlignment="1">
      <alignment horizontal="right" indent="1"/>
    </xf>
    <xf numFmtId="0" fontId="5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9" fontId="2" fillId="0" borderId="4" xfId="0" applyNumberFormat="1" applyFont="1" applyBorder="1" applyAlignment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1" fillId="4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F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84</xdr:row>
      <xdr:rowOff>28575</xdr:rowOff>
    </xdr:from>
    <xdr:to>
      <xdr:col>10</xdr:col>
      <xdr:colOff>1769745</xdr:colOff>
      <xdr:row>84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86</xdr:row>
          <xdr:rowOff>9525</xdr:rowOff>
        </xdr:from>
        <xdr:to>
          <xdr:col>10</xdr:col>
          <xdr:colOff>685800</xdr:colOff>
          <xdr:row>86</xdr:row>
          <xdr:rowOff>257175</xdr:rowOff>
        </xdr:to>
        <xdr:sp macro="" textlink="">
          <xdr:nvSpPr>
            <xdr:cNvPr id="1156" name="TIButton1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86</xdr:row>
          <xdr:rowOff>9525</xdr:rowOff>
        </xdr:from>
        <xdr:to>
          <xdr:col>10</xdr:col>
          <xdr:colOff>1847850</xdr:colOff>
          <xdr:row>86</xdr:row>
          <xdr:rowOff>257175</xdr:rowOff>
        </xdr:to>
        <xdr:sp macro="" textlink="">
          <xdr:nvSpPr>
            <xdr:cNvPr id="1285" name="TIButton2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1876425</xdr:colOff>
          <xdr:row>86</xdr:row>
          <xdr:rowOff>9525</xdr:rowOff>
        </xdr:from>
        <xdr:to>
          <xdr:col>10</xdr:col>
          <xdr:colOff>3048000</xdr:colOff>
          <xdr:row>86</xdr:row>
          <xdr:rowOff>257175</xdr:rowOff>
        </xdr:to>
        <xdr:sp macro="" textlink="">
          <xdr:nvSpPr>
            <xdr:cNvPr id="1312" name="TIButton3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3076575</xdr:colOff>
          <xdr:row>86</xdr:row>
          <xdr:rowOff>9525</xdr:rowOff>
        </xdr:from>
        <xdr:to>
          <xdr:col>10</xdr:col>
          <xdr:colOff>4867275</xdr:colOff>
          <xdr:row>86</xdr:row>
          <xdr:rowOff>257175</xdr:rowOff>
        </xdr:to>
        <xdr:sp macro="" textlink="">
          <xdr:nvSpPr>
            <xdr:cNvPr id="1330" name="TIButton4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4914900</xdr:colOff>
          <xdr:row>86</xdr:row>
          <xdr:rowOff>9525</xdr:rowOff>
        </xdr:from>
        <xdr:to>
          <xdr:col>11</xdr:col>
          <xdr:colOff>314325</xdr:colOff>
          <xdr:row>86</xdr:row>
          <xdr:rowOff>257175</xdr:rowOff>
        </xdr:to>
        <xdr:sp macro="" textlink="">
          <xdr:nvSpPr>
            <xdr:cNvPr id="1333" name="TIButton5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3067050</xdr:colOff>
          <xdr:row>85</xdr:row>
          <xdr:rowOff>28575</xdr:rowOff>
        </xdr:from>
        <xdr:to>
          <xdr:col>14</xdr:col>
          <xdr:colOff>0</xdr:colOff>
          <xdr:row>86</xdr:row>
          <xdr:rowOff>285750</xdr:rowOff>
        </xdr:to>
        <xdr:sp macro="" textlink="">
          <xdr:nvSpPr>
            <xdr:cNvPr id="1370" name="TIButton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</sheetPr>
  <dimension ref="A1:N110"/>
  <sheetViews>
    <sheetView showGridLines="0" tabSelected="1" showOutlineSymbols="0" topLeftCell="J85" workbookViewId="0">
      <pane ySplit="23" topLeftCell="A108" activePane="bottomLeft" state="frozen"/>
      <selection activeCell="J85" sqref="J85"/>
      <selection pane="bottomLeft" activeCell="K85" sqref="K85"/>
    </sheetView>
  </sheetViews>
  <sheetFormatPr defaultRowHeight="15" outlineLevelRow="1" outlineLevelCol="1" x14ac:dyDescent="0.25"/>
  <cols>
    <col min="1" max="1" width="7.85546875" hidden="1" customWidth="1" outlineLevel="1"/>
    <col min="2" max="2" width="55.85546875" hidden="1" customWidth="1" outlineLevel="1"/>
    <col min="3" max="3" width="28.7109375" hidden="1" customWidth="1" outlineLevel="1"/>
    <col min="4" max="4" width="22.28515625" hidden="1" customWidth="1" outlineLevel="1"/>
    <col min="5" max="5" width="14.5703125" hidden="1" customWidth="1" outlineLevel="1"/>
    <col min="6" max="6" width="24.85546875" hidden="1" customWidth="1" outlineLevel="1"/>
    <col min="7" max="7" width="34.5703125" hidden="1" customWidth="1" outlineLevel="1"/>
    <col min="8" max="9" width="14.5703125" hidden="1" customWidth="1" outlineLevel="1"/>
    <col min="10" max="10" width="0.85546875" customWidth="1" collapsed="1"/>
    <col min="11" max="11" width="80.7109375" customWidth="1"/>
    <col min="12" max="12" width="21.7109375" customWidth="1"/>
    <col min="13" max="13" width="36.28515625" customWidth="1"/>
    <col min="14" max="14" width="50.7109375" customWidth="1"/>
    <col min="15" max="15" width="18.5703125" bestFit="1" customWidth="1"/>
  </cols>
  <sheetData>
    <row r="1" spans="1:14" hidden="1" outlineLevel="1" x14ac:dyDescent="0.25">
      <c r="A1" t="s">
        <v>3</v>
      </c>
    </row>
    <row r="2" spans="1:14" hidden="1" outlineLevel="1" x14ac:dyDescent="0.25">
      <c r="A2">
        <f>0</f>
        <v>0</v>
      </c>
      <c r="K2" s="6"/>
      <c r="L2" s="6"/>
      <c r="M2" s="6"/>
      <c r="N2" s="5"/>
    </row>
    <row r="3" spans="1:14" hidden="1" outlineLevel="1" x14ac:dyDescent="0.25">
      <c r="A3">
        <f>1</f>
        <v>1</v>
      </c>
      <c r="K3" s="6"/>
      <c r="L3" s="6"/>
      <c r="M3" s="6"/>
      <c r="N3" s="5"/>
    </row>
    <row r="4" spans="1:14" hidden="1" outlineLevel="1" x14ac:dyDescent="0.25">
      <c r="A4">
        <f>2</f>
        <v>2</v>
      </c>
      <c r="K4" s="6"/>
      <c r="L4" s="6"/>
      <c r="M4" s="6"/>
      <c r="N4" s="5"/>
    </row>
    <row r="5" spans="1:14" hidden="1" outlineLevel="1" x14ac:dyDescent="0.25">
      <c r="A5">
        <f>3</f>
        <v>3</v>
      </c>
      <c r="K5" s="6"/>
      <c r="L5" s="6"/>
      <c r="M5" s="6"/>
      <c r="N5" s="5"/>
    </row>
    <row r="6" spans="1:14" hidden="1" outlineLevel="1" x14ac:dyDescent="0.25">
      <c r="A6" t="s">
        <v>1</v>
      </c>
      <c r="K6" s="6"/>
      <c r="L6" s="6"/>
      <c r="M6" s="6"/>
      <c r="N6" s="5"/>
    </row>
    <row r="7" spans="1:14" hidden="1" outlineLevel="1" x14ac:dyDescent="0.25">
      <c r="A7" t="s">
        <v>2</v>
      </c>
      <c r="K7" s="2"/>
      <c r="L7" s="13"/>
      <c r="M7" s="8"/>
      <c r="N7" s="5"/>
    </row>
    <row r="8" spans="1:14" hidden="1" outlineLevel="1" x14ac:dyDescent="0.25">
      <c r="A8" t="s">
        <v>4</v>
      </c>
    </row>
    <row r="9" spans="1:14" hidden="1" outlineLevel="1" x14ac:dyDescent="0.25"/>
    <row r="10" spans="1:14" hidden="1" outlineLevel="1" x14ac:dyDescent="0.25"/>
    <row r="11" spans="1:14" hidden="1" outlineLevel="1" x14ac:dyDescent="0.25">
      <c r="B11" s="26" t="s">
        <v>5</v>
      </c>
      <c r="C11" s="27"/>
      <c r="D11" s="28"/>
      <c r="F11" s="29" t="s">
        <v>68</v>
      </c>
      <c r="G11" s="29"/>
    </row>
    <row r="12" spans="1:14" hidden="1" outlineLevel="1" x14ac:dyDescent="0.25">
      <c r="B12" s="2" t="s">
        <v>6</v>
      </c>
      <c r="C12" s="3" t="s">
        <v>110</v>
      </c>
      <c r="D12" s="4"/>
      <c r="F12" s="6" t="s">
        <v>69</v>
      </c>
      <c r="G12" s="3" t="s">
        <v>70</v>
      </c>
    </row>
    <row r="13" spans="1:14" hidden="1" outlineLevel="1" x14ac:dyDescent="0.25">
      <c r="B13" s="2" t="s">
        <v>7</v>
      </c>
      <c r="C13" s="5" t="str" cm="1">
        <f t="array" aca="1" ref="C13" ca="1">_xll.VIEW(db_name&amp;":}ElementAttributes_}Clients","!","!")</f>
        <v>dcceew_geus:}ElementAttributes_}Clients</v>
      </c>
      <c r="D13" s="4"/>
      <c r="F13" s="6" t="s">
        <v>99</v>
      </c>
      <c r="G13" s="6" t="str">
        <f ca="1">"Are you sure you want to archive the CURRENT scenario to " &amp; psArcTargetHLYear &amp; " " &amp; psArcTargetScenario &amp; "?"</f>
        <v>Are you sure you want to archive the CURRENT scenario to HL2023-2024 Budget?</v>
      </c>
    </row>
    <row r="14" spans="1:14" hidden="1" outlineLevel="1" x14ac:dyDescent="0.25">
      <c r="B14" s="2" t="s">
        <v>8</v>
      </c>
      <c r="C14" s="3" t="str" cm="1">
        <f t="array" aca="1" ref="C14" ca="1">_xll.TM1USER(db_name)</f>
        <v>CAMID("pans:u:kgimena@excelerated.com.au")</v>
      </c>
      <c r="D14" s="4"/>
      <c r="F14" s="6" t="s">
        <v>100</v>
      </c>
      <c r="G14" s="6" t="str">
        <f ca="1">"Successfully archived CURRENT data to " &amp;$C$30 &amp; " " &amp;$C$31 &amp; "."</f>
        <v>Successfully archived CURRENT data to HL2023-2024 MYEFO.</v>
      </c>
    </row>
    <row r="15" spans="1:14" hidden="1" outlineLevel="1" x14ac:dyDescent="0.25">
      <c r="B15" s="2" t="s">
        <v>9</v>
      </c>
      <c r="C15" s="3" t="str" cm="1">
        <f t="array" aca="1" ref="C15" ca="1">_xll.DBR($C$13,$C$14,$B15)</f>
        <v>Business Analytics/Khristian Gimena</v>
      </c>
      <c r="D15" s="4"/>
      <c r="F15" s="6" t="s">
        <v>101</v>
      </c>
      <c r="G15" s="6" t="s">
        <v>102</v>
      </c>
    </row>
    <row r="16" spans="1:14" hidden="1" outlineLevel="1" x14ac:dyDescent="0.25">
      <c r="B16" s="2" t="s">
        <v>10</v>
      </c>
      <c r="C16" s="3" t="str" cm="1">
        <f t="array" aca="1" ref="C16" ca="1">_xll.DBR($C$13,$C$14,$B16)</f>
        <v>Khristian Gimena</v>
      </c>
      <c r="D16" s="4"/>
    </row>
    <row r="17" spans="2:4" hidden="1" outlineLevel="1" x14ac:dyDescent="0.25">
      <c r="B17" s="2" t="s">
        <v>11</v>
      </c>
      <c r="C17" s="3" t="str">
        <f ca="1">IF(LEFT($C$15,6)="CAM_AD",$C$16,$C$15)</f>
        <v>Business Analytics/Khristian Gimena</v>
      </c>
      <c r="D17" s="6"/>
    </row>
    <row r="18" spans="2:4" hidden="1" outlineLevel="1" x14ac:dyDescent="0.25"/>
    <row r="19" spans="2:4" hidden="1" outlineLevel="1" x14ac:dyDescent="0.25">
      <c r="B19" s="26" t="s">
        <v>44</v>
      </c>
      <c r="C19" s="27"/>
      <c r="D19" s="28"/>
    </row>
    <row r="20" spans="2:4" hidden="1" outlineLevel="1" x14ac:dyDescent="0.25">
      <c r="B20" s="2" t="s">
        <v>45</v>
      </c>
      <c r="C20" s="6" t="str">
        <f ca="1">_xll.TM1RPTVIEW(db_name&amp;":sys_process administration:1", 1,TM1RPTFMTRNG,TM1RPTFMTIDCOL)</f>
        <v>dcceew_geus:sys_process administration:1</v>
      </c>
      <c r="D20" s="6"/>
    </row>
    <row r="21" spans="2:4" hidden="1" outlineLevel="1" x14ac:dyDescent="0.25">
      <c r="B21" s="2" t="s">
        <v>20</v>
      </c>
      <c r="C21" s="6" t="str" cm="1">
        <f t="array" aca="1" ref="C21" ca="1">_xll.VIEW(db_name&amp;":sys_process administration","!","!")</f>
        <v>dcceew_geus:sys_process administration</v>
      </c>
      <c r="D21" s="6"/>
    </row>
    <row r="22" spans="2:4" hidden="1" outlineLevel="1" x14ac:dyDescent="0.25">
      <c r="B22" s="2" t="s">
        <v>46</v>
      </c>
      <c r="C22" s="6" t="s">
        <v>48</v>
      </c>
      <c r="D22" s="6"/>
    </row>
    <row r="23" spans="2:4" hidden="1" outlineLevel="1" x14ac:dyDescent="0.25">
      <c r="B23" s="2" t="s">
        <v>47</v>
      </c>
      <c r="C23" s="3" t="s">
        <v>0</v>
      </c>
      <c r="D23" s="6"/>
    </row>
    <row r="24" spans="2:4" hidden="1" outlineLevel="1" x14ac:dyDescent="0.25">
      <c r="B24" s="2" t="s">
        <v>58</v>
      </c>
      <c r="C24" s="3" t="s">
        <v>59</v>
      </c>
      <c r="D24" s="6"/>
    </row>
    <row r="25" spans="2:4" hidden="1" outlineLevel="1" x14ac:dyDescent="0.25"/>
    <row r="26" spans="2:4" hidden="1" outlineLevel="1" x14ac:dyDescent="0.25">
      <c r="B26" s="26" t="s">
        <v>12</v>
      </c>
      <c r="C26" s="27"/>
      <c r="D26" s="28"/>
    </row>
    <row r="27" spans="2:4" hidden="1" outlineLevel="1" x14ac:dyDescent="0.25">
      <c r="B27" s="2" t="s">
        <v>13</v>
      </c>
      <c r="C27" s="6" t="str" cm="1">
        <f t="array" aca="1" ref="C27" ca="1">_xll.VIEW(db_name&amp;":}ElementAttributes_variables","!","!")</f>
        <v>dcceew_geus:}ElementAttributes_variables</v>
      </c>
      <c r="D27" s="6"/>
    </row>
    <row r="28" spans="2:4" hidden="1" outlineLevel="1" x14ac:dyDescent="0.25">
      <c r="B28" s="2" t="s">
        <v>14</v>
      </c>
      <c r="C28" s="6" t="str" cm="1">
        <f t="array" aca="1" ref="C28" ca="1">_xll.DBR($C$27,$B28,"value")</f>
        <v>HL2023-2024</v>
      </c>
      <c r="D28" s="6"/>
    </row>
    <row r="29" spans="2:4" hidden="1" outlineLevel="1" x14ac:dyDescent="0.25">
      <c r="B29" s="2" t="s">
        <v>15</v>
      </c>
      <c r="C29" s="6" t="str" cm="1">
        <f t="array" aca="1" ref="C29" ca="1">_xll.DBR($C$27,$B29,"value")</f>
        <v>current</v>
      </c>
      <c r="D29" s="6"/>
    </row>
    <row r="30" spans="2:4" hidden="1" outlineLevel="1" x14ac:dyDescent="0.25">
      <c r="B30" s="2" t="s">
        <v>16</v>
      </c>
      <c r="C30" s="6" t="str" cm="1">
        <f t="array" aca="1" ref="C30" ca="1">_xll.DBR($C$27,$B30,"value")</f>
        <v>HL2023-2024</v>
      </c>
      <c r="D30" s="6"/>
    </row>
    <row r="31" spans="2:4" hidden="1" outlineLevel="1" x14ac:dyDescent="0.25">
      <c r="B31" s="2" t="s">
        <v>17</v>
      </c>
      <c r="C31" s="6" t="str" cm="1">
        <f t="array" aca="1" ref="C31" ca="1">_xll.DBR($C$27,$B31,"value")</f>
        <v>MYEFO</v>
      </c>
      <c r="D31" s="6"/>
    </row>
    <row r="32" spans="2:4" hidden="1" outlineLevel="1" x14ac:dyDescent="0.25">
      <c r="B32" s="2" t="s">
        <v>67</v>
      </c>
      <c r="C32" s="6" t="str" cm="1">
        <f t="array" aca="1" ref="C32" ca="1">_xll.DBR($C$27,$B32,"value")</f>
        <v>Budget</v>
      </c>
      <c r="D32" s="6"/>
    </row>
    <row r="33" spans="2:4" hidden="1" outlineLevel="1" x14ac:dyDescent="0.25">
      <c r="B33" s="2" t="s">
        <v>18</v>
      </c>
      <c r="C33" s="6" t="str">
        <f ca="1">"The current scenario is """ &amp; $C$29 &amp; """ for the """ &amp; $C$28 &amp; """ Headline Year. Archive was done for """ &amp; $C$30 &amp; """ on scenario """ &amp; $C$31 &amp; """."</f>
        <v>The current scenario is "current" for the "HL2023-2024" Headline Year. Archive was done for "HL2023-2024" on scenario "MYEFO".</v>
      </c>
      <c r="D33" s="6"/>
    </row>
    <row r="34" spans="2:4" hidden="1" outlineLevel="1" x14ac:dyDescent="0.25"/>
    <row r="35" spans="2:4" hidden="1" outlineLevel="1" x14ac:dyDescent="0.25">
      <c r="B35" s="26" t="s">
        <v>39</v>
      </c>
      <c r="C35" s="27"/>
      <c r="D35" s="28"/>
    </row>
    <row r="36" spans="2:4" hidden="1" outlineLevel="1" x14ac:dyDescent="0.25">
      <c r="B36" s="2" t="s">
        <v>13</v>
      </c>
      <c r="C36" s="6" t="str" cm="1">
        <f t="array" aca="1" ref="C36" ca="1">_xll.VIEW(db_name&amp;":sys_client preference","!","!","!")</f>
        <v>dcceew_geus:sys_client preference</v>
      </c>
      <c r="D36" s="6"/>
    </row>
    <row r="37" spans="2:4" hidden="1" outlineLevel="1" x14ac:dyDescent="0.25">
      <c r="B37" s="2"/>
      <c r="C37" s="13" t="s">
        <v>73</v>
      </c>
      <c r="D37" s="13" t="s">
        <v>74</v>
      </c>
    </row>
    <row r="38" spans="2:4" hidden="1" outlineLevel="1" x14ac:dyDescent="0.25">
      <c r="B38" s="2" t="s">
        <v>40</v>
      </c>
      <c r="C38" s="6" t="str" cm="1">
        <f t="array" aca="1" ref="C38" ca="1">_xll.DBR($C$36,psUser,$B38,"value")</f>
        <v>HL2023-2024</v>
      </c>
      <c r="D38" s="6"/>
    </row>
    <row r="39" spans="2:4" hidden="1" outlineLevel="1" x14ac:dyDescent="0.25">
      <c r="B39" s="2" t="s">
        <v>41</v>
      </c>
      <c r="C39" s="6" t="str" cm="1">
        <f t="array" aca="1" ref="C39" ca="1">_xll.DBR($C$36,psUser,$B39,"value")</f>
        <v>current</v>
      </c>
      <c r="D39" s="6"/>
    </row>
    <row r="40" spans="2:4" hidden="1" outlineLevel="1" x14ac:dyDescent="0.25">
      <c r="B40" s="2" t="s">
        <v>42</v>
      </c>
      <c r="C40" s="6" t="str" cm="1">
        <f t="array" aca="1" ref="C40" ca="1">_xll.DBR($C$36,psUser,$B40,"value")</f>
        <v>00168</v>
      </c>
      <c r="D40" s="6"/>
    </row>
    <row r="41" spans="2:4" hidden="1" outlineLevel="1" x14ac:dyDescent="0.25">
      <c r="B41" s="2" t="s">
        <v>43</v>
      </c>
      <c r="C41" s="6" t="str" cm="1">
        <f t="array" aca="1" ref="C41" ca="1">_xll.DBR($C$36,psUser,$B41,"value")</f>
        <v/>
      </c>
      <c r="D41" s="6"/>
    </row>
    <row r="42" spans="2:4" hidden="1" outlineLevel="1" x14ac:dyDescent="0.25">
      <c r="B42" s="2" t="s">
        <v>72</v>
      </c>
      <c r="C42" s="6" t="str" cm="1">
        <f t="array" aca="1" ref="C42" ca="1">_xll.DBR($C$36,psUser,$B42,"value")</f>
        <v/>
      </c>
      <c r="D42" s="6" t="str" cm="1">
        <f t="array" aca="1" ref="D42" ca="1">_xll.DBR($C$36,psUser,$B42,"validate")</f>
        <v/>
      </c>
    </row>
    <row r="43" spans="2:4" hidden="1" outlineLevel="1" x14ac:dyDescent="0.25"/>
    <row r="44" spans="2:4" hidden="1" outlineLevel="1" x14ac:dyDescent="0.25">
      <c r="B44" s="26" t="s">
        <v>90</v>
      </c>
      <c r="C44" s="27"/>
      <c r="D44" s="28"/>
    </row>
    <row r="45" spans="2:4" hidden="1" outlineLevel="1" x14ac:dyDescent="0.25">
      <c r="B45" s="6" t="s">
        <v>75</v>
      </c>
      <c r="C45" s="6" t="str" cm="1">
        <f t="array" aca="1" ref="C45" ca="1">_xll.VIEW(db_name&amp;":AE adjustments",$C$46,$C$47,$C$48,$C$49,$C$50,$C$51,$C$52,$C$53,$C$54,$C$55,$C$56,$C$57,$C$58,"!",$C$59,$C$60,"!")</f>
        <v>dcceew_geus:AE adjustments</v>
      </c>
      <c r="D45" s="6"/>
    </row>
    <row r="46" spans="2:4" hidden="1" outlineLevel="1" x14ac:dyDescent="0.25">
      <c r="B46" s="2" t="s">
        <v>14</v>
      </c>
      <c r="C46" s="6" t="str" cm="1">
        <f t="array" aca="1" ref="C46" ca="1">_xll.SUBNM(db_name&amp;":headline year","",psArcTargetHLYear)</f>
        <v>HL2023-2024</v>
      </c>
      <c r="D46" s="6"/>
    </row>
    <row r="47" spans="2:4" hidden="1" outlineLevel="1" x14ac:dyDescent="0.25">
      <c r="B47" s="2" t="s">
        <v>76</v>
      </c>
      <c r="C47" s="6" t="str" cm="1">
        <f t="array" aca="1" ref="C47" ca="1">_xll.SUBNM(db_name&amp;":scenario","",psArcTargetScenario)</f>
        <v>Budget</v>
      </c>
      <c r="D47" s="6"/>
    </row>
    <row r="48" spans="2:4" hidden="1" outlineLevel="1" x14ac:dyDescent="0.25">
      <c r="B48" s="2" t="s">
        <v>77</v>
      </c>
      <c r="C48" s="6" t="str" cm="1">
        <f t="array" aca="1" ref="C48" ca="1">_xll.SUBNM(db_name&amp;":status","","Total approved")</f>
        <v>Total approved</v>
      </c>
      <c r="D48" s="6"/>
    </row>
    <row r="49" spans="2:4" hidden="1" outlineLevel="1" x14ac:dyDescent="0.25">
      <c r="B49" s="2" t="s">
        <v>78</v>
      </c>
      <c r="C49" s="6" t="str" cm="1">
        <f t="array" aca="1" ref="C49" ca="1">_xll.SUBNM(db_name&amp;":outcome","","Total outcomes")</f>
        <v>Total outcomes</v>
      </c>
      <c r="D49" s="6"/>
    </row>
    <row r="50" spans="2:4" hidden="1" outlineLevel="1" x14ac:dyDescent="0.25">
      <c r="B50" s="2" t="s">
        <v>79</v>
      </c>
      <c r="C50" s="6" t="str" cm="1">
        <f t="array" aca="1" ref="C50" ca="1">_xll.SUBNM(db_name&amp;":related entity","","Total related entity")</f>
        <v>Total related entity</v>
      </c>
      <c r="D50" s="6"/>
    </row>
    <row r="51" spans="2:4" hidden="1" outlineLevel="1" x14ac:dyDescent="0.25">
      <c r="B51" s="2" t="s">
        <v>80</v>
      </c>
      <c r="C51" s="6" t="str" cm="1">
        <f t="array" aca="1" ref="C51" ca="1">_xll.SUBNM(db_name&amp;":function","","Total functions")</f>
        <v>Total functions</v>
      </c>
      <c r="D51" s="6"/>
    </row>
    <row r="52" spans="2:4" hidden="1" outlineLevel="1" x14ac:dyDescent="0.25">
      <c r="B52" s="2" t="s">
        <v>81</v>
      </c>
      <c r="C52" s="6" t="str" cm="1">
        <f t="array" aca="1" ref="C52" ca="1">_xll.SUBNM(db_name&amp;":reason","","Total reason")</f>
        <v>Total reason</v>
      </c>
      <c r="D52" s="6"/>
    </row>
    <row r="53" spans="2:4" hidden="1" outlineLevel="1" x14ac:dyDescent="0.25">
      <c r="B53" s="2" t="s">
        <v>82</v>
      </c>
      <c r="C53" s="6" t="str" cm="1">
        <f t="array" aca="1" ref="C53" ca="1">_xll.SUBNM(db_name&amp;":spp","","Total SPP")</f>
        <v>Total SPP</v>
      </c>
      <c r="D53" s="6"/>
    </row>
    <row r="54" spans="2:4" hidden="1" outlineLevel="1" x14ac:dyDescent="0.25">
      <c r="B54" s="2" t="s">
        <v>83</v>
      </c>
      <c r="C54" s="6" t="str" cm="1">
        <f t="array" aca="1" ref="C54" ca="1">_xll.SUBNM(db_name&amp;":measure code","","Total Measures","CBMS")</f>
        <v>Total Measures</v>
      </c>
      <c r="D54" s="6"/>
    </row>
    <row r="55" spans="2:4" hidden="1" outlineLevel="1" x14ac:dyDescent="0.25">
      <c r="B55" s="2" t="s">
        <v>84</v>
      </c>
      <c r="C55" s="6" t="str" cm="1">
        <f t="array" aca="1" ref="C55" ca="1">_xll.SUBNM(db_name&amp;":appropriation type","","Total approp types")</f>
        <v>Total approp types</v>
      </c>
      <c r="D55" s="6"/>
    </row>
    <row r="56" spans="2:4" hidden="1" outlineLevel="1" x14ac:dyDescent="0.25">
      <c r="B56" s="2" t="s">
        <v>85</v>
      </c>
      <c r="C56" s="6" t="str" cm="1">
        <f t="array" aca="1" ref="C56" ca="1">_xll.SUBNM(db_name&amp;":movement account","","Total movement","code and description")</f>
        <v>Total movement</v>
      </c>
      <c r="D56" s="6"/>
    </row>
    <row r="57" spans="2:4" hidden="1" outlineLevel="1" x14ac:dyDescent="0.25">
      <c r="B57" s="2" t="s">
        <v>86</v>
      </c>
      <c r="C57" s="6" t="str" cm="1">
        <f t="array" aca="1" ref="C57" ca="1">_xll.SUBNM(db_name&amp;":appropriation item","","Total approp item")</f>
        <v>Total approp item</v>
      </c>
      <c r="D57" s="6"/>
    </row>
    <row r="58" spans="2:4" hidden="1" outlineLevel="1" x14ac:dyDescent="0.25">
      <c r="B58" s="2" t="s">
        <v>87</v>
      </c>
      <c r="C58" s="6" t="str" cm="1">
        <f t="array" aca="1" ref="C58" ca="1">_xll.SUBNM(db_name&amp;":programme","","Total Programmes","code and description")</f>
        <v>Total Programmes</v>
      </c>
      <c r="D58" s="6"/>
    </row>
    <row r="59" spans="2:4" hidden="1" outlineLevel="1" x14ac:dyDescent="0.25">
      <c r="B59" s="2" t="s">
        <v>88</v>
      </c>
      <c r="C59" s="6" t="str" cm="1">
        <f t="array" aca="1" ref="C59" ca="1">_xll.SUBNM(db_name&amp;":id","","Total IDs")</f>
        <v>Total IDs</v>
      </c>
      <c r="D59" s="6"/>
    </row>
    <row r="60" spans="2:4" hidden="1" outlineLevel="1" x14ac:dyDescent="0.25">
      <c r="B60" s="2" t="s">
        <v>89</v>
      </c>
      <c r="C60" s="6" t="str" cm="1">
        <f t="array" aca="1" ref="C60" ca="1">_xll.SUBNM(db_name&amp;":jurisdiction","","Total jurisdictions")</f>
        <v>Total jurisdictions</v>
      </c>
      <c r="D60" s="6"/>
    </row>
    <row r="61" spans="2:4" hidden="1" outlineLevel="1" x14ac:dyDescent="0.25">
      <c r="B61" s="2" t="s">
        <v>94</v>
      </c>
      <c r="C61" s="6" t="s">
        <v>92</v>
      </c>
      <c r="D61" s="6"/>
    </row>
    <row r="62" spans="2:4" hidden="1" outlineLevel="1" x14ac:dyDescent="0.25">
      <c r="B62" s="22" t="s">
        <v>91</v>
      </c>
      <c r="C62" s="6" cm="1">
        <f t="array" aca="1" ref="C62" ca="1">_xll.DBR($C$45,$C$46,$C$47,$C$48,$C$49,$C$50,$C$51,$C$52,$C$53,$C$54,$C$55,$C$56,$C$57,$C$58,$B62,$C$59,$C$60,C$61)</f>
        <v>0</v>
      </c>
      <c r="D62" s="6"/>
    </row>
    <row r="63" spans="2:4" hidden="1" outlineLevel="1" x14ac:dyDescent="0.25">
      <c r="B63" s="22" t="s">
        <v>93</v>
      </c>
      <c r="C63" s="6" cm="1">
        <f t="array" aca="1" ref="C63" ca="1">_xll.DBR($C$45,$C$46,$C$47,$C$48,$C$49,$C$50,$C$51,$C$52,$C$53,$C$54,$C$55,$C$56,$C$57,$C$58,$B63,$C$59,$C$60,C$61)</f>
        <v>0</v>
      </c>
      <c r="D63" s="6"/>
    </row>
    <row r="64" spans="2:4" hidden="1" outlineLevel="1" x14ac:dyDescent="0.25"/>
    <row r="65" spans="2:8" hidden="1" outlineLevel="1" x14ac:dyDescent="0.25">
      <c r="B65" s="26" t="s">
        <v>19</v>
      </c>
      <c r="C65" s="27"/>
      <c r="D65" s="28"/>
    </row>
    <row r="66" spans="2:8" hidden="1" outlineLevel="1" x14ac:dyDescent="0.25">
      <c r="B66" s="2" t="s">
        <v>20</v>
      </c>
      <c r="C66" s="6" t="str">
        <f ca="1">_xll.VIEW(db_name&amp;":sys_application","!","!")</f>
        <v>dcceew_geus:sys_application</v>
      </c>
      <c r="D66" s="6"/>
    </row>
    <row r="67" spans="2:8" hidden="1" outlineLevel="1" x14ac:dyDescent="0.25">
      <c r="B67" s="2" t="s">
        <v>37</v>
      </c>
      <c r="C67" t="s">
        <v>38</v>
      </c>
      <c r="D67" s="6"/>
    </row>
    <row r="68" spans="2:8" hidden="1" outlineLevel="1" x14ac:dyDescent="0.25">
      <c r="B68" s="6"/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35</v>
      </c>
      <c r="H68" s="2" t="s">
        <v>36</v>
      </c>
    </row>
    <row r="69" spans="2:8" hidden="1" outlineLevel="1" x14ac:dyDescent="0.25">
      <c r="B69" s="6" t="s">
        <v>21</v>
      </c>
      <c r="C69" s="6" t="str" cm="1">
        <f t="array" aca="1" ref="C69" ca="1">_xll.DBR($C$66,$B69,C$68)</f>
        <v>TM1HomeCAP</v>
      </c>
      <c r="D69" s="6" t="str" cm="1">
        <f t="array" aca="1" ref="D69" ca="1">_xll.DBR($C$66,$B69,D$68)</f>
        <v>Home</v>
      </c>
      <c r="E69" s="6" t="str" cm="1">
        <f t="array" aca="1" ref="E69" ca="1">_xll.DBR($C$66,$B69,E$68)</f>
        <v>TM1HomeWB</v>
      </c>
      <c r="F69" s="6" t="str" cm="1">
        <f t="array" aca="1" ref="F69" ca="1">_xll.DBR($C$66,$B69,F$68)</f>
        <v>PRIMUS\GEUS WEB\Homepage\sys_Home.xlsx</v>
      </c>
      <c r="G69" s="6" t="str" cm="1">
        <f t="array" aca="1" ref="G69" ca="1">_xll.DBR($C$66,$B69,G$68)</f>
        <v>TM1HomeWS</v>
      </c>
      <c r="H69" s="6" t="str" cm="1">
        <f t="array" aca="1" ref="H69" ca="1">_xll.DBR($C$66,$B69,H$68)</f>
        <v>home</v>
      </c>
    </row>
    <row r="70" spans="2:8" hidden="1" outlineLevel="1" x14ac:dyDescent="0.25">
      <c r="B70" s="6" t="s">
        <v>22</v>
      </c>
      <c r="C70" s="6" t="str" cm="1">
        <f t="array" aca="1" ref="C70" ca="1">_xll.DBR($C$66,$B70,C$68)</f>
        <v>TM1HomeAECAP</v>
      </c>
      <c r="D70" s="6" t="str" cm="1">
        <f t="array" aca="1" ref="D70" ca="1">_xll.DBR($C$66,$B70,D$68)</f>
        <v>Annual Estimates</v>
      </c>
      <c r="E70" s="6" t="str" cm="1">
        <f t="array" aca="1" ref="E70" ca="1">_xll.DBR($C$66,$B70,E$68)</f>
        <v>TM1HomeAEWB</v>
      </c>
      <c r="F70" s="6" t="str" cm="1">
        <f t="array" aca="1" ref="F70" ca="1">_xll.DBR($C$66,$B70,F$68)</f>
        <v>PRIMUS\GEUS WEB\Homepage\sys_Home - Annual Estimates - Data Entry.xlsx</v>
      </c>
      <c r="G70" s="6" t="str" cm="1">
        <f t="array" aca="1" ref="G70" ca="1">_xll.DBR($C$66,$B70,G$68)</f>
        <v>TM1HomeAEWS</v>
      </c>
      <c r="H70" s="6" t="str" cm="1">
        <f t="array" aca="1" ref="H70" ca="1">_xll.DBR($C$66,$B70,H$68)</f>
        <v>Menu</v>
      </c>
    </row>
    <row r="71" spans="2:8" hidden="1" outlineLevel="1" x14ac:dyDescent="0.25">
      <c r="B71" s="6" t="s">
        <v>23</v>
      </c>
      <c r="C71" s="6" t="str" cm="1">
        <f t="array" aca="1" ref="C71" ca="1">_xll.DBR($C$66,$B71,C$68)</f>
        <v>TM1HomeRepCAP</v>
      </c>
      <c r="D71" s="6" t="str" cm="1">
        <f t="array" aca="1" ref="D71" ca="1">_xll.DBR($C$66,$B71,D$68)</f>
        <v>Reports</v>
      </c>
      <c r="E71" s="6" t="str" cm="1">
        <f t="array" aca="1" ref="E71" ca="1">_xll.DBR($C$66,$B71,E$68)</f>
        <v>TM1HomeRepWB</v>
      </c>
      <c r="F71" s="6" t="str" cm="1">
        <f t="array" aca="1" ref="F71" ca="1">_xll.DBR($C$66,$B71,F$68)</f>
        <v>PRIMUS\GEUS WEB\Homepage\sys_Home - Reports - PFS.xlsx</v>
      </c>
      <c r="G71" s="6" t="str" cm="1">
        <f t="array" aca="1" ref="G71" ca="1">_xll.DBR($C$66,$B71,G$68)</f>
        <v>TM1HomeRepWS</v>
      </c>
      <c r="H71" s="6" t="str" cm="1">
        <f t="array" aca="1" ref="H71" ca="1">_xll.DBR($C$66,$B71,H$68)</f>
        <v>Menu</v>
      </c>
    </row>
    <row r="72" spans="2:8" hidden="1" outlineLevel="1" x14ac:dyDescent="0.25">
      <c r="B72" s="6" t="s">
        <v>24</v>
      </c>
      <c r="C72" s="6" t="str" cm="1">
        <f t="array" aca="1" ref="C72" ca="1">_xll.DBR($C$66,$B72,C$68)</f>
        <v>TM1HomeAdminCAP</v>
      </c>
      <c r="D72" s="6" t="str" cm="1">
        <f t="array" aca="1" ref="D72" ca="1">_xll.DBR($C$66,$B72,D$68)</f>
        <v>Administration</v>
      </c>
      <c r="E72" s="6" t="str" cm="1">
        <f t="array" aca="1" ref="E72" ca="1">_xll.DBR($C$66,$B72,E$68)</f>
        <v>TM1HomeAdminWB</v>
      </c>
      <c r="F72" s="6" t="str" cm="1">
        <f t="array" aca="1" ref="F72" ca="1">_xll.DBR($C$66,$B72,F$68)</f>
        <v>PRIMUS\GEUS WEB\Homepage\sys_Home - Administration - GEUS Setup.xlsx</v>
      </c>
      <c r="G72" s="6" t="str" cm="1">
        <f t="array" aca="1" ref="G72" ca="1">_xll.DBR($C$66,$B72,G$68)</f>
        <v>TM1HomeAdminWS</v>
      </c>
      <c r="H72" s="6" t="str" cm="1">
        <f t="array" aca="1" ref="H72" ca="1">_xll.DBR($C$66,$B72,H$68)</f>
        <v>Menu</v>
      </c>
    </row>
    <row r="73" spans="2:8" hidden="1" outlineLevel="1" x14ac:dyDescent="0.25">
      <c r="B73" s="6" t="s">
        <v>25</v>
      </c>
      <c r="C73" s="6" t="str" cm="1">
        <f t="array" aca="1" ref="C73" ca="1">_xll.DBR($C$66,$B73,C$68)</f>
        <v>TM1HomeAdminRDSCAP</v>
      </c>
      <c r="D73" s="6" t="str" cm="1">
        <f t="array" aca="1" ref="D73" ca="1">_xll.DBR($C$66,$B73,D$68)</f>
        <v>Reference Data Set Menu</v>
      </c>
      <c r="E73" s="6" t="str" cm="1">
        <f t="array" aca="1" ref="E73" ca="1">_xll.DBR($C$66,$B73,E$68)</f>
        <v>TM1HomeAdminRDSWB</v>
      </c>
      <c r="F73" s="6" t="str" cm="1">
        <f t="array" aca="1" ref="F73" ca="1">_xll.DBR($C$66,$B73,F$68)</f>
        <v>PRIMUS\GEUS WEB\Homepage\sys_Home - Administration - RDS.xlsx</v>
      </c>
      <c r="G73" s="6" t="str" cm="1">
        <f t="array" aca="1" ref="G73" ca="1">_xll.DBR($C$66,$B73,G$68)</f>
        <v>TM1HomeAdminRDSWS</v>
      </c>
      <c r="H73" s="6" t="str" cm="1">
        <f t="array" aca="1" ref="H73" ca="1">_xll.DBR($C$66,$B73,H$68)</f>
        <v>Menu</v>
      </c>
    </row>
    <row r="74" spans="2:8" hidden="1" outlineLevel="1" x14ac:dyDescent="0.25">
      <c r="B74" s="6" t="s">
        <v>26</v>
      </c>
      <c r="C74" s="6" t="str" cm="1">
        <f t="array" aca="1" ref="C74" ca="1">_xll.DBR($C$66,$B74,C$68)</f>
        <v>TM1HomeAdminRDSMapCAP</v>
      </c>
      <c r="D74" s="6" t="str" cm="1">
        <f t="array" aca="1" ref="D74" ca="1">_xll.DBR($C$66,$B74,D$68)</f>
        <v>Reference Data Set Mapping Menu</v>
      </c>
      <c r="E74" s="6" t="str" cm="1">
        <f t="array" aca="1" ref="E74" ca="1">_xll.DBR($C$66,$B74,E$68)</f>
        <v>TM1HomeAdminRDSMapWB</v>
      </c>
      <c r="F74" s="6" t="str" cm="1">
        <f t="array" aca="1" ref="F74" ca="1">_xll.DBR($C$66,$B74,F$68)</f>
        <v>PRIMUS\GEUS WEB\Homepage\sys_Home - Administration - RDS Mapping.xlsx</v>
      </c>
      <c r="G74" s="6" t="str" cm="1">
        <f t="array" aca="1" ref="G74" ca="1">_xll.DBR($C$66,$B74,G$68)</f>
        <v>TM1HomeAdminRDSMapWS</v>
      </c>
      <c r="H74" s="6" t="str" cm="1">
        <f t="array" aca="1" ref="H74" ca="1">_xll.DBR($C$66,$B74,H$68)</f>
        <v>Menu</v>
      </c>
    </row>
    <row r="75" spans="2:8" hidden="1" outlineLevel="1" x14ac:dyDescent="0.25">
      <c r="B75" s="6" t="s">
        <v>27</v>
      </c>
      <c r="C75" s="6" t="str" cm="1">
        <f t="array" aca="1" ref="C75" ca="1">_xll.DBR($C$66,$B75,C$68)</f>
        <v>TM1HomeAdminGEUSCAP</v>
      </c>
      <c r="D75" s="6" t="str" cm="1">
        <f t="array" aca="1" ref="D75" ca="1">_xll.DBR($C$66,$B75,D$68)</f>
        <v>GEUS Administration Setup</v>
      </c>
      <c r="E75" s="6" t="str" cm="1">
        <f t="array" aca="1" ref="E75" ca="1">_xll.DBR($C$66,$B75,E$68)</f>
        <v>TM1HomeAdminGEUSWB</v>
      </c>
      <c r="F75" s="6" t="str" cm="1">
        <f t="array" aca="1" ref="F75" ca="1">_xll.DBR($C$66,$B75,F$68)</f>
        <v>PRIMUS\GEUS WEB\Homepage\sys_Home - Administration - GEUS Setup.xlsx</v>
      </c>
      <c r="G75" s="6" t="str" cm="1">
        <f t="array" aca="1" ref="G75" ca="1">_xll.DBR($C$66,$B75,G$68)</f>
        <v>TM1HomeAdminGEUSWS</v>
      </c>
      <c r="H75" s="6" t="str" cm="1">
        <f t="array" aca="1" ref="H75" ca="1">_xll.DBR($C$66,$B75,H$68)</f>
        <v>Menu</v>
      </c>
    </row>
    <row r="76" spans="2:8" hidden="1" outlineLevel="1" x14ac:dyDescent="0.25">
      <c r="B76" s="6" t="s">
        <v>28</v>
      </c>
      <c r="C76" s="6" t="str" cm="1">
        <f t="array" aca="1" ref="C76" ca="1">_xll.DBR($C$66,$B76,C$68)</f>
        <v>TM1HomeAdminFavCAP</v>
      </c>
      <c r="D76" s="6" t="str" cm="1">
        <f t="array" aca="1" ref="D76" ca="1">_xll.DBR($C$66,$B76,D$68)</f>
        <v>Favourites Menu</v>
      </c>
      <c r="E76" s="6" t="str" cm="1">
        <f t="array" aca="1" ref="E76" ca="1">_xll.DBR($C$66,$B76,E$68)</f>
        <v>TM1HomeAdminFavWB</v>
      </c>
      <c r="F76" s="6" t="str" cm="1">
        <f t="array" aca="1" ref="F76" ca="1">_xll.DBR($C$66,$B76,F$68)</f>
        <v>PRIMUS\GEUS WEB\Homepage\sys_Home - Administration - Favourites.xlsx</v>
      </c>
      <c r="G76" s="6" t="str" cm="1">
        <f t="array" aca="1" ref="G76" ca="1">_xll.DBR($C$66,$B76,G$68)</f>
        <v>TM1HomeAdminFavWS</v>
      </c>
      <c r="H76" s="6" t="str" cm="1">
        <f t="array" aca="1" ref="H76" ca="1">_xll.DBR($C$66,$B76,H$68)</f>
        <v>Menu</v>
      </c>
    </row>
    <row r="77" spans="2:8" hidden="1" outlineLevel="1" x14ac:dyDescent="0.25">
      <c r="B77" s="6" t="s">
        <v>29</v>
      </c>
      <c r="C77" s="6" t="str" cm="1">
        <f t="array" aca="1" ref="C77" ca="1">_xll.DBR($C$66,$B77,C$68)</f>
        <v>TM1HomeAdminBaseCAP</v>
      </c>
      <c r="D77" s="6" t="str" cm="1">
        <f t="array" aca="1" ref="D77" ca="1">_xll.DBR($C$66,$B77,D$68)</f>
        <v>Baseline Menu</v>
      </c>
      <c r="E77" s="6" t="str" cm="1">
        <f t="array" aca="1" ref="E77" ca="1">_xll.DBR($C$66,$B77,E$68)</f>
        <v>TM1HomeAdminBaseWB</v>
      </c>
      <c r="F77" s="6" t="str" cm="1">
        <f t="array" aca="1" ref="F77" ca="1">_xll.DBR($C$66,$B77,F$68)</f>
        <v>PRIMUS\GEUS WEB\Homepage\sys_Home - Administration - Baseline.xlsx</v>
      </c>
      <c r="G77" s="6" t="str" cm="1">
        <f t="array" aca="1" ref="G77" ca="1">_xll.DBR($C$66,$B77,G$68)</f>
        <v>TM1HomeAdminBaseWS</v>
      </c>
      <c r="H77" s="6" t="str" cm="1">
        <f t="array" aca="1" ref="H77" ca="1">_xll.DBR($C$66,$B77,H$68)</f>
        <v>Menu</v>
      </c>
    </row>
    <row r="78" spans="2:8" hidden="1" outlineLevel="1" x14ac:dyDescent="0.25">
      <c r="B78" s="6" t="s">
        <v>30</v>
      </c>
      <c r="C78" s="6" t="str" cm="1">
        <f t="array" aca="1" ref="C78" ca="1">_xll.DBR($C$66,$B78,C$68)</f>
        <v>TM1HomeUnderCAP</v>
      </c>
      <c r="D78" s="6" t="str" cm="1">
        <f t="array" aca="1" ref="D78" ca="1">_xll.DBR($C$66,$B78,D$68)</f>
        <v>Under Construction</v>
      </c>
      <c r="E78" s="6" t="str" cm="1">
        <f t="array" aca="1" ref="E78" ca="1">_xll.DBR($C$66,$B78,E$68)</f>
        <v>TM1HomeUnderWB</v>
      </c>
      <c r="F78" s="6" t="str" cm="1">
        <f t="array" aca="1" ref="F78" ca="1">_xll.DBR($C$66,$B78,F$68)</f>
        <v>PRIMUS\GEUS WEB\Homepage\sys_Home - Under Construction.xlsx</v>
      </c>
      <c r="G78" s="6" t="str" cm="1">
        <f t="array" aca="1" ref="G78" ca="1">_xll.DBR($C$66,$B78,G$68)</f>
        <v>TM1HomeUnderWS</v>
      </c>
      <c r="H78" s="6" t="str" cm="1">
        <f t="array" aca="1" ref="H78" ca="1">_xll.DBR($C$66,$B78,H$68)</f>
        <v>under construction</v>
      </c>
    </row>
    <row r="79" spans="2:8" hidden="1" outlineLevel="1" x14ac:dyDescent="0.25"/>
    <row r="80" spans="2:8" hidden="1" outlineLevel="1" x14ac:dyDescent="0.25"/>
    <row r="81" spans="10:14" hidden="1" outlineLevel="1" x14ac:dyDescent="0.25"/>
    <row r="82" spans="10:14" hidden="1" outlineLevel="1" x14ac:dyDescent="0.25"/>
    <row r="83" spans="10:14" hidden="1" outlineLevel="1" x14ac:dyDescent="0.25"/>
    <row r="84" spans="10:14" hidden="1" outlineLevel="1" x14ac:dyDescent="0.25"/>
    <row r="85" spans="10:14" ht="39.75" customHeight="1" collapsed="1" x14ac:dyDescent="0.25">
      <c r="J85" s="7"/>
      <c r="K85" s="7"/>
      <c r="L85" s="7"/>
      <c r="M85" s="7"/>
      <c r="N85" s="7" t="s">
        <v>62</v>
      </c>
    </row>
    <row r="86" spans="10:14" ht="4.5" customHeight="1" x14ac:dyDescent="0.25"/>
    <row r="87" spans="10:14" ht="24.6" customHeight="1" x14ac:dyDescent="0.25"/>
    <row r="88" spans="10:14" ht="2.1" customHeight="1" x14ac:dyDescent="0.25">
      <c r="J88" s="7"/>
      <c r="K88" s="7"/>
      <c r="L88" s="7"/>
      <c r="M88" s="7"/>
      <c r="N88" s="7"/>
    </row>
    <row r="89" spans="10:14" x14ac:dyDescent="0.25">
      <c r="K89" s="25" t="s">
        <v>111</v>
      </c>
      <c r="L89" s="25"/>
      <c r="M89" s="25"/>
      <c r="N89" s="25"/>
    </row>
    <row r="90" spans="10:14" x14ac:dyDescent="0.25">
      <c r="K90" s="25" t="s">
        <v>103</v>
      </c>
      <c r="L90" s="25"/>
      <c r="M90" s="25"/>
      <c r="N90" s="25"/>
    </row>
    <row r="91" spans="10:14" x14ac:dyDescent="0.25">
      <c r="K91" s="25" t="s">
        <v>66</v>
      </c>
      <c r="L91" s="25"/>
      <c r="M91" s="25"/>
      <c r="N91" s="25"/>
    </row>
    <row r="92" spans="10:14" x14ac:dyDescent="0.25">
      <c r="K92" s="25" t="s">
        <v>65</v>
      </c>
      <c r="L92" s="25"/>
      <c r="M92" s="25"/>
      <c r="N92" s="25"/>
    </row>
    <row r="93" spans="10:14" ht="5.0999999999999996" customHeight="1" x14ac:dyDescent="0.25"/>
    <row r="94" spans="10:14" ht="30" x14ac:dyDescent="0.25">
      <c r="L94" s="20" t="s">
        <v>63</v>
      </c>
      <c r="N94" s="34" t="s">
        <v>64</v>
      </c>
    </row>
    <row r="95" spans="10:14" x14ac:dyDescent="0.25">
      <c r="K95" s="17" t="s">
        <v>56</v>
      </c>
      <c r="L95" s="15" t="str" cm="1">
        <f t="array" aca="1" ref="L95" ca="1">_xll.SUBNM(db_name&amp;":headline year","",$C$28)</f>
        <v>HL2023-2024</v>
      </c>
      <c r="M95" s="18" t="s">
        <v>56</v>
      </c>
      <c r="N95" s="15" t="str" cm="1">
        <f t="array" aca="1" ref="N95" ca="1">_xll.SUBNM(db_name&amp;":headline year","",$L$98)</f>
        <v>HL2023-2024</v>
      </c>
    </row>
    <row r="96" spans="10:14" x14ac:dyDescent="0.25">
      <c r="K96" s="17" t="s">
        <v>57</v>
      </c>
      <c r="L96" s="15" t="str" cm="1">
        <f t="array" aca="1" ref="L96" ca="1">_xll.SUBNM(db_name&amp;":scenario","sys_BudgetRound",$C$29)</f>
        <v>current</v>
      </c>
      <c r="M96" s="18" t="s">
        <v>57</v>
      </c>
      <c r="N96" s="15" t="str" cm="1">
        <f t="array" aca="1" ref="N96" ca="1">_xll.SUBNM(db_name&amp;":scenario","sys_BudgetRound",$L$99)</f>
        <v>Budget</v>
      </c>
    </row>
    <row r="97" spans="1:14" ht="5.0999999999999996" customHeight="1" thickBot="1" x14ac:dyDescent="0.3">
      <c r="K97" s="17"/>
      <c r="M97" s="14"/>
    </row>
    <row r="98" spans="1:14" ht="15.75" thickBot="1" x14ac:dyDescent="0.3">
      <c r="K98" s="17" t="s">
        <v>104</v>
      </c>
      <c r="L98" s="31" t="str" cm="1">
        <f t="array" aca="1" ref="L98" ca="1">_xll.SUBNM(db_name&amp;":headline year","",$L$95)</f>
        <v>HL2023-2024</v>
      </c>
      <c r="M98" s="16" t="s">
        <v>106</v>
      </c>
      <c r="N98" s="33" t="str" cm="1">
        <f t="array" aca="1" ref="N98" ca="1">_xll.SUBNM(db_name&amp;":headline year","",$L$98)</f>
        <v>HL2023-2024</v>
      </c>
    </row>
    <row r="99" spans="1:14" ht="15.75" thickBot="1" x14ac:dyDescent="0.3">
      <c r="K99" s="16" t="s">
        <v>105</v>
      </c>
      <c r="L99" s="33" t="str" cm="1">
        <f t="array" aca="1" ref="L99" ca="1">_xll.SUBNM(db_name&amp;":scenario","sys_BudgetRound",$C$32)</f>
        <v>Budget</v>
      </c>
      <c r="M99" s="18" t="s">
        <v>107</v>
      </c>
      <c r="N99" s="32" t="str" cm="1">
        <f t="array" aca="1" ref="N99" ca="1">_xll.SUBNM(db_name&amp;":scenario","sys_BudgetRound",$C$29)</f>
        <v>current</v>
      </c>
    </row>
    <row r="100" spans="1:14" ht="15.75" thickBot="1" x14ac:dyDescent="0.3">
      <c r="M100" s="16" t="s">
        <v>108</v>
      </c>
      <c r="N100" s="33" t="str" cm="1">
        <f t="array" aca="1" ref="N100" ca="1">_xll.SUBNM(db_name&amp;":scenario","sys_BudgetRound",$L$99)</f>
        <v>Budget</v>
      </c>
    </row>
    <row r="101" spans="1:14" ht="5.0999999999999996" customHeight="1" x14ac:dyDescent="0.25"/>
    <row r="102" spans="1:14" x14ac:dyDescent="0.25">
      <c r="K102" s="24" t="s">
        <v>98</v>
      </c>
      <c r="L102" s="20" t="s">
        <v>97</v>
      </c>
    </row>
    <row r="103" spans="1:14" x14ac:dyDescent="0.25">
      <c r="K103" s="17" t="s">
        <v>95</v>
      </c>
      <c r="L103" s="23">
        <f ca="1">$C$62</f>
        <v>0</v>
      </c>
    </row>
    <row r="104" spans="1:14" x14ac:dyDescent="0.25">
      <c r="K104" s="17" t="s">
        <v>96</v>
      </c>
      <c r="L104" s="23">
        <f ca="1">$C$63</f>
        <v>0</v>
      </c>
    </row>
    <row r="105" spans="1:14" ht="5.0999999999999996" customHeight="1" x14ac:dyDescent="0.25"/>
    <row r="106" spans="1:14" x14ac:dyDescent="0.25">
      <c r="K106" s="19" t="str">
        <f ca="1">$D$42</f>
        <v/>
      </c>
      <c r="L106" s="12" t="s">
        <v>61</v>
      </c>
    </row>
    <row r="107" spans="1:14" x14ac:dyDescent="0.25">
      <c r="C107" t="str">
        <f>$C$23</f>
        <v>archive process flag</v>
      </c>
      <c r="D107" s="1" t="s">
        <v>52</v>
      </c>
      <c r="E107" s="1" t="s">
        <v>49</v>
      </c>
      <c r="F107" s="1" t="s">
        <v>50</v>
      </c>
      <c r="G107" t="s">
        <v>51</v>
      </c>
      <c r="H107" s="1" t="s">
        <v>109</v>
      </c>
      <c r="K107" s="11" t="s">
        <v>54</v>
      </c>
      <c r="L107" s="10" t="s">
        <v>60</v>
      </c>
      <c r="M107" s="9" t="s">
        <v>53</v>
      </c>
      <c r="N107" s="9" t="s">
        <v>55</v>
      </c>
    </row>
    <row r="108" spans="1:14" x14ac:dyDescent="0.25">
      <c r="A108" t="str" cm="1">
        <f t="array" aca="1" ref="A108" ca="1">IF(_xll.TM1RPTELISCONSOLIDATED($K$108,$K108),IF(_xll.TM1RPTELLEV($K$108,$K108)&lt;=3,_xll.TM1RPTELLEV($K$108,$K108),"D"),"N")</f>
        <v>N</v>
      </c>
      <c r="C108" cm="1">
        <f t="array" aca="1" ref="C108" ca="1">_xll.DBRW($C$20,$K108,$C$23)</f>
        <v>1</v>
      </c>
      <c r="D108" cm="1">
        <f t="array" aca="1" ref="D108" ca="1">_xll.DBR($C$21,$K108,D$107)</f>
        <v>1</v>
      </c>
      <c r="E108" cm="1">
        <f t="array" aca="1" ref="E108" ca="1">_xll.DBR($C$21,$K108,E$107)</f>
        <v>0</v>
      </c>
      <c r="F108" t="str" cm="1">
        <f t="array" aca="1" ref="F108" ca="1">_xll.DBR($C$21,$K108,F$107)</f>
        <v>0</v>
      </c>
      <c r="G108" t="str" cm="1">
        <f t="array" aca="1" ref="G108" ca="1">_xll.DBR($C$21,$K108,G$107)</f>
        <v>SUCCESS</v>
      </c>
      <c r="H108" t="str">
        <f ca="1">IF(AND(D108=0,G108="FAILED",E108=0),"",$G108)</f>
        <v>SUCCESS</v>
      </c>
      <c r="K108" s="30" t="str">
        <f ca="1">_xll.TM1RPTROW($C$20,db_name&amp;":}Processes","","","",0,$C$22)</f>
        <v>sys_AE_Archive_01 - RemoveUnwanted IDS</v>
      </c>
      <c r="L108" s="13" cm="1">
        <f t="array" aca="1" ref="L108" ca="1">_xll.DBR($C$21,$K108,$C$24)</f>
        <v>1</v>
      </c>
      <c r="M108" s="8" t="str">
        <f ca="1">$H108</f>
        <v>SUCCESS</v>
      </c>
      <c r="N108" s="5" t="str">
        <f ca="1">IF($G108="SUCCESS","",IF($F108="0","Process Did Not Run",$F108))</f>
        <v/>
      </c>
    </row>
    <row r="109" spans="1:14" ht="5.0999999999999996" customHeight="1" x14ac:dyDescent="0.25"/>
    <row r="110" spans="1:14" x14ac:dyDescent="0.25">
      <c r="K110" s="21" t="s">
        <v>71</v>
      </c>
    </row>
  </sheetData>
  <mergeCells count="11">
    <mergeCell ref="K89:N89"/>
    <mergeCell ref="K91:N91"/>
    <mergeCell ref="K92:N92"/>
    <mergeCell ref="B11:D11"/>
    <mergeCell ref="B26:D26"/>
    <mergeCell ref="B65:D65"/>
    <mergeCell ref="B35:D35"/>
    <mergeCell ref="B19:D19"/>
    <mergeCell ref="F11:G11"/>
    <mergeCell ref="B44:D44"/>
    <mergeCell ref="K90:N90"/>
  </mergeCells>
  <conditionalFormatting sqref="M7">
    <cfRule type="cellIs" dxfId="3" priority="79" operator="notEqual">
      <formula>"SUCCESS"</formula>
    </cfRule>
  </conditionalFormatting>
  <conditionalFormatting sqref="M108">
    <cfRule type="cellIs" dxfId="0" priority="1" operator="notEqual">
      <formula>"SUCCESS"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370" r:id="rId4" name="TIButton6">
          <controlPr defaultSize="0" print="0" autoLine="0" r:id="rId5">
            <anchor moveWithCells="1" sizeWithCells="1">
              <from>
                <xdr:col>13</xdr:col>
                <xdr:colOff>3067050</xdr:colOff>
                <xdr:row>85</xdr:row>
                <xdr:rowOff>28575</xdr:rowOff>
              </from>
              <to>
                <xdr:col>14</xdr:col>
                <xdr:colOff>0</xdr:colOff>
                <xdr:row>86</xdr:row>
                <xdr:rowOff>285750</xdr:rowOff>
              </to>
            </anchor>
          </controlPr>
        </control>
      </mc:Choice>
      <mc:Fallback>
        <control shapeId="1370" r:id="rId4" name="TIButton6"/>
      </mc:Fallback>
    </mc:AlternateContent>
    <mc:AlternateContent xmlns:mc="http://schemas.openxmlformats.org/markup-compatibility/2006">
      <mc:Choice Requires="x14">
        <control shapeId="1333" r:id="rId6" name="TIButton5">
          <controlPr defaultSize="0" print="0" autoLine="0" r:id="rId7">
            <anchor moveWithCells="1" sizeWithCells="1">
              <from>
                <xdr:col>10</xdr:col>
                <xdr:colOff>4914900</xdr:colOff>
                <xdr:row>86</xdr:row>
                <xdr:rowOff>9525</xdr:rowOff>
              </from>
              <to>
                <xdr:col>11</xdr:col>
                <xdr:colOff>314325</xdr:colOff>
                <xdr:row>86</xdr:row>
                <xdr:rowOff>257175</xdr:rowOff>
              </to>
            </anchor>
          </controlPr>
        </control>
      </mc:Choice>
      <mc:Fallback>
        <control shapeId="1333" r:id="rId6" name="TIButton5"/>
      </mc:Fallback>
    </mc:AlternateContent>
    <mc:AlternateContent xmlns:mc="http://schemas.openxmlformats.org/markup-compatibility/2006">
      <mc:Choice Requires="x14">
        <control shapeId="1330" r:id="rId8" name="TIButton4">
          <controlPr defaultSize="0" print="0" autoLine="0" autoPict="0" r:id="rId9">
            <anchor moveWithCells="1" sizeWithCells="1">
              <from>
                <xdr:col>10</xdr:col>
                <xdr:colOff>3076575</xdr:colOff>
                <xdr:row>86</xdr:row>
                <xdr:rowOff>9525</xdr:rowOff>
              </from>
              <to>
                <xdr:col>10</xdr:col>
                <xdr:colOff>4867275</xdr:colOff>
                <xdr:row>86</xdr:row>
                <xdr:rowOff>257175</xdr:rowOff>
              </to>
            </anchor>
          </controlPr>
        </control>
      </mc:Choice>
      <mc:Fallback>
        <control shapeId="1330" r:id="rId8" name="TIButton4"/>
      </mc:Fallback>
    </mc:AlternateContent>
    <mc:AlternateContent xmlns:mc="http://schemas.openxmlformats.org/markup-compatibility/2006">
      <mc:Choice Requires="x14">
        <control shapeId="1312" r:id="rId10" name="TIButton3">
          <controlPr defaultSize="0" print="0" autoLine="0" r:id="rId11">
            <anchor moveWithCells="1" sizeWithCells="1">
              <from>
                <xdr:col>10</xdr:col>
                <xdr:colOff>1876425</xdr:colOff>
                <xdr:row>86</xdr:row>
                <xdr:rowOff>9525</xdr:rowOff>
              </from>
              <to>
                <xdr:col>10</xdr:col>
                <xdr:colOff>3048000</xdr:colOff>
                <xdr:row>86</xdr:row>
                <xdr:rowOff>257175</xdr:rowOff>
              </to>
            </anchor>
          </controlPr>
        </control>
      </mc:Choice>
      <mc:Fallback>
        <control shapeId="1312" r:id="rId10" name="TIButton3"/>
      </mc:Fallback>
    </mc:AlternateContent>
    <mc:AlternateContent xmlns:mc="http://schemas.openxmlformats.org/markup-compatibility/2006">
      <mc:Choice Requires="x14">
        <control shapeId="1285" r:id="rId12" name="TIButton2">
          <controlPr defaultSize="0" print="0" autoLine="0" autoPict="0" r:id="rId13">
            <anchor moveWithCells="1" sizeWithCells="1">
              <from>
                <xdr:col>10</xdr:col>
                <xdr:colOff>723900</xdr:colOff>
                <xdr:row>86</xdr:row>
                <xdr:rowOff>9525</xdr:rowOff>
              </from>
              <to>
                <xdr:col>10</xdr:col>
                <xdr:colOff>1847850</xdr:colOff>
                <xdr:row>86</xdr:row>
                <xdr:rowOff>257175</xdr:rowOff>
              </to>
            </anchor>
          </controlPr>
        </control>
      </mc:Choice>
      <mc:Fallback>
        <control shapeId="1285" r:id="rId12" name="TIButton2"/>
      </mc:Fallback>
    </mc:AlternateContent>
    <mc:AlternateContent xmlns:mc="http://schemas.openxmlformats.org/markup-compatibility/2006">
      <mc:Choice Requires="x14">
        <control shapeId="1156" r:id="rId14" name="TIButton1">
          <controlPr defaultSize="0" print="0" autoLine="0" r:id="rId15">
            <anchor moveWithCells="1" sizeWithCells="1">
              <from>
                <xdr:col>10</xdr:col>
                <xdr:colOff>47625</xdr:colOff>
                <xdr:row>86</xdr:row>
                <xdr:rowOff>9525</xdr:rowOff>
              </from>
              <to>
                <xdr:col>10</xdr:col>
                <xdr:colOff>685800</xdr:colOff>
                <xdr:row>86</xdr:row>
                <xdr:rowOff>257175</xdr:rowOff>
              </to>
            </anchor>
          </controlPr>
        </control>
      </mc:Choice>
      <mc:Fallback>
        <control shapeId="1156" r:id="rId1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2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49</vt:i4>
      </vt:variant>
    </vt:vector>
  </HeadingPairs>
  <TitlesOfParts>
    <vt:vector size="51" baseType="lpstr">
      <vt:lpstr>archive</vt:lpstr>
      <vt:lpstr>{PL}PickLst</vt:lpstr>
      <vt:lpstr>db_name</vt:lpstr>
      <vt:lpstr>psApp</vt:lpstr>
      <vt:lpstr>psArcSourceHLYear</vt:lpstr>
      <vt:lpstr>psArcSourceScenario</vt:lpstr>
      <vt:lpstr>psArcTargetHLYear</vt:lpstr>
      <vt:lpstr>psArcTargetScenario</vt:lpstr>
      <vt:lpstr>psConfirmationMessage</vt:lpstr>
      <vt:lpstr>psCurrentRoundName</vt:lpstr>
      <vt:lpstr>psErrorMessage</vt:lpstr>
      <vt:lpstr>psNBSourceHLYear</vt:lpstr>
      <vt:lpstr>psNBSourceScenario</vt:lpstr>
      <vt:lpstr>psNBTargetHLYear</vt:lpstr>
      <vt:lpstr>psNBTargetScenario</vt:lpstr>
      <vt:lpstr>psRunClearFlag</vt:lpstr>
      <vt:lpstr>psSuccessMessage</vt:lpstr>
      <vt:lpstr>psUser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archive!TM1RPTDATARNG1</vt:lpstr>
      <vt:lpstr>archive!TM1RPTFMTIDCOL</vt:lpstr>
      <vt:lpstr>archive!TM1RPTFMTRNG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dcterms:created xsi:type="dcterms:W3CDTF">2019-04-01T23:02:37Z</dcterms:created>
  <dcterms:modified xsi:type="dcterms:W3CDTF">2023-09-14T01:13:38Z</dcterms:modified>
</cp:coreProperties>
</file>