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6.xml" ContentType="application/vnd.ms-office.activeX+xml"/>
  <Override PartName="/xl/activeX/activeX5.bin" ContentType="application/vnd.ms-office.activeX"/>
  <Override PartName="/xl/activeX/activeX7.xml" ContentType="application/vnd.ms-office.activeX+xml"/>
  <Override PartName="/xl/activeX/activeX6.bin" ContentType="application/vnd.ms-office.activeX"/>
  <Override PartName="/xl/activeX/activeX8.xml" ContentType="application/vnd.ms-office.activeX+xml"/>
  <Override PartName="/xl/activeX/activeX7.bin" ContentType="application/vnd.ms-office.activeX"/>
  <Override PartName="/xl/activeX/activeX9.xml" ContentType="application/vnd.ms-office.activeX+xml"/>
  <Override PartName="/xl/activeX/activeX8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4BA8F3A2-1C19-4496-9867-71F23F57A558}" xr6:coauthVersionLast="47" xr6:coauthVersionMax="47" xr10:uidLastSave="{00000000-0000-0000-0000-000000000000}"/>
  <bookViews>
    <workbookView xWindow="29580" yWindow="780" windowWidth="21600" windowHeight="11385" xr2:uid="{00000000-000D-0000-FFFF-FFFF00000000}"/>
  </bookViews>
  <sheets>
    <sheet name="bulk process" sheetId="1" r:id="rId1"/>
  </sheets>
  <definedNames>
    <definedName name="db_name" localSheetId="0">'bulk process'!$C$11</definedName>
    <definedName name="Freeze_Here">'bulk process'!$A$138</definedName>
    <definedName name="IDList" localSheetId="0">OFFSET('bulk process'!$P$138,0,0,COUNTA('bulk process'!$P:$Q,1))</definedName>
    <definedName name="psApp">'bulk process'!$C$20</definedName>
    <definedName name="psBulkMDX">'bulk process'!$C$74</definedName>
    <definedName name="psBulkProcess">'bulk process'!$M$128</definedName>
    <definedName name="psFailureMessage">'bulk process'!$C$79</definedName>
    <definedName name="psFilter" localSheetId="0">'bulk process'!$Q$131</definedName>
    <definedName name="psHLYear" localSheetId="0">'bulk process'!$M$131</definedName>
    <definedName name="psScenario" localSheetId="0">'bulk process'!$M$132</definedName>
    <definedName name="psTextFilter" localSheetId="0">'bulk process'!$Q$132</definedName>
    <definedName name="psUser" localSheetId="0">'bulk process'!$C$16</definedName>
    <definedName name="SelectedHLYear" localSheetId="0">'bulk process'!$M$131</definedName>
    <definedName name="SelectedScenario" localSheetId="0">'bulk process'!$M$132</definedName>
    <definedName name="sys_bulkprocesslist">'bulk process'!$B$85:$H$107</definedName>
    <definedName name="sys_id_filterlist" localSheetId="0">'bulk process'!$B$59:$B$71</definedName>
    <definedName name="sys_idfilter_lookup" localSheetId="0">'bulk process'!$B$59:$C$71</definedName>
    <definedName name="TM1AdjIDListCAP">'bulk process'!$D$27</definedName>
    <definedName name="TM1AdjIDListWB">'bulk process'!$F$27</definedName>
    <definedName name="TM1AdjIDListWS">'bulk process'!$H$27</definedName>
    <definedName name="TM1AdjListWB">'bulk process'!$O$12</definedName>
    <definedName name="TM1BackColor">'bulk process'!$E$58</definedName>
    <definedName name="TM1BulkProcessCAP">'bulk process'!$D$26</definedName>
    <definedName name="TM1BulkProcessWB">'bulk process'!$F$26</definedName>
    <definedName name="TM1BulkProcessWS">'bulk process'!$H$26</definedName>
    <definedName name="TM1BulkWB">'bulk process'!$D$111</definedName>
    <definedName name="TM1BulkWS">'bulk process'!$E$111</definedName>
    <definedName name="TM1FFExtractCAP">'bulk process'!$D$32</definedName>
    <definedName name="TM1FFExtractWB">'bulk process'!$F$32</definedName>
    <definedName name="TM1FFExtractWS">'bulk process'!$H$32</definedName>
    <definedName name="TM1GrpNewAdj01HeaderCAP">'bulk process'!$D$31</definedName>
    <definedName name="TM1GrpNewAdj01HeaderWB">'bulk process'!$F$31</definedName>
    <definedName name="TM1GrpNewAdj01HeaderWS">'bulk process'!$H$31</definedName>
    <definedName name="TM1GrpViewAdj01HeaderCAP">'bulk process'!$D$29</definedName>
    <definedName name="TM1GrpViewAdj01HeaderWB">'bulk process'!$F$29</definedName>
    <definedName name="TM1GrpViewAdj01HeaderWS">'bulk process'!$H$29</definedName>
    <definedName name="TM1HomeAECAP">'bulk process'!$D$23</definedName>
    <definedName name="TM1HomeAEDataEntryCAP">'bulk process'!$D$24</definedName>
    <definedName name="TM1HomeAEDataEntryWB">'bulk process'!$F$24</definedName>
    <definedName name="TM1HomeAEDataEntryWS">'bulk process'!$H$24</definedName>
    <definedName name="TM1HomeAEWB">'bulk process'!$F$23</definedName>
    <definedName name="TM1HomeAEWS">'bulk process'!$H$23</definedName>
    <definedName name="TM1HomeCAP">'bulk process'!$D$22</definedName>
    <definedName name="TM1HomeRepCAP">'bulk process'!$D$25</definedName>
    <definedName name="TM1HomeRepWB">'bulk process'!$F$25</definedName>
    <definedName name="TM1HomeRepWS">'bulk process'!$H$25</definedName>
    <definedName name="TM1HomeWB">'bulk process'!$F$22</definedName>
    <definedName name="TM1HomeWS">'bulk process'!$H$22</definedName>
    <definedName name="TM1IDListWS">'bulk process'!$H$27</definedName>
    <definedName name="TM1NewAdj01HeaderCAP">'bulk process'!$D$30</definedName>
    <definedName name="TM1NewAdj01HeaderWB">'bulk process'!$F$30</definedName>
    <definedName name="TM1NewAdj01HeaderWS">'bulk process'!$H$30</definedName>
    <definedName name="TM1NewAdjWB">'bulk process'!$O$11</definedName>
    <definedName name="TM1NewAdjWS">'bulk process'!$Q$11</definedName>
    <definedName name="TM1PICKLIST">#REF!</definedName>
    <definedName name="TM1PrcConfMsg">'bulk process'!$F$84</definedName>
    <definedName name="TM1PrcErrorMsg">'bulk process'!$H$84</definedName>
    <definedName name="TM1PrcSuccessMsg">'bulk process'!$G$84</definedName>
    <definedName name="TM1REBUILDOPTION">0</definedName>
    <definedName name="TM1RPTDATARNG2" localSheetId="0">'bulk process'!$138:$138</definedName>
    <definedName name="TM1RPTFMTIDCOL" localSheetId="0">'bulk process'!$A$1:$A$8</definedName>
    <definedName name="TM1RPTFMTRNG" localSheetId="0">'bulk process'!$J$1:$V$8</definedName>
    <definedName name="TM1ViewAdj01HeaderCAP">'bulk process'!$D$28</definedName>
    <definedName name="TM1ViewAdj01HeaderWB">'bulk process'!$F$28</definedName>
    <definedName name="TM1ViewAdj01HeaderWS">'bulk process'!$H$28</definedName>
    <definedName name="TM1ViewAdjWB">'bulk process'!$O$17</definedName>
    <definedName name="TM1ViewAdjWS">'bulk process'!$Q$17</definedName>
  </definedNames>
  <calcPr calcId="181029" calcMode="manual" concurrentCalc="0"/>
</workbook>
</file>

<file path=xl/calcChain.xml><?xml version="1.0" encoding="utf-8"?>
<calcChain xmlns="http://schemas.openxmlformats.org/spreadsheetml/2006/main">
  <c r="C42" i="1" l="1" a="1"/>
  <c r="C42" i="1"/>
  <c r="C44" i="1" a="1"/>
  <c r="C44" i="1"/>
  <c r="M132" i="1"/>
  <c r="C43" i="1" a="1"/>
  <c r="C43" i="1"/>
  <c r="M131" i="1" a="1"/>
  <c r="M131" i="1"/>
  <c r="C52" i="1" a="1"/>
  <c r="C52" i="1"/>
  <c r="C13" i="1" a="1"/>
  <c r="C13" i="1"/>
  <c r="C12" i="1" a="1"/>
  <c r="C12" i="1"/>
  <c r="C15" i="1" a="1"/>
  <c r="C15" i="1"/>
  <c r="C16" i="1"/>
  <c r="C56" i="1" a="1"/>
  <c r="C56" i="1"/>
  <c r="C51" i="1" a="1"/>
  <c r="C51" i="1"/>
  <c r="C53" i="1"/>
  <c r="B138" i="1" a="1"/>
  <c r="B138" i="1"/>
  <c r="T138" i="1" a="1"/>
  <c r="T138" i="1"/>
  <c r="S138" i="1" a="1"/>
  <c r="S138" i="1"/>
  <c r="U138" i="1" a="1"/>
  <c r="U138" i="1"/>
  <c r="C35" i="1" a="1"/>
  <c r="C35" i="1"/>
  <c r="M128" i="1"/>
  <c r="C14" i="1" a="1"/>
  <c r="C14" i="1"/>
  <c r="C19" i="1" a="1"/>
  <c r="C19" i="1"/>
  <c r="G27" i="1" a="1"/>
  <c r="G27" i="1"/>
  <c r="C81" i="1" a="1"/>
  <c r="C81" i="1"/>
  <c r="C79" i="1"/>
  <c r="Q131" i="1" a="1"/>
  <c r="Q131" i="1"/>
  <c r="C73" i="1"/>
  <c r="D102" i="1"/>
  <c r="H98" i="1"/>
  <c r="H85" i="1"/>
  <c r="H84" i="1"/>
  <c r="G98" i="1"/>
  <c r="G85" i="1"/>
  <c r="G84" i="1"/>
  <c r="F98" i="1"/>
  <c r="F85" i="1"/>
  <c r="F84" i="1"/>
  <c r="F93" i="1"/>
  <c r="F92" i="1"/>
  <c r="F89" i="1"/>
  <c r="V138" i="1" a="1"/>
  <c r="V138" i="1"/>
  <c r="R138" i="1" a="1"/>
  <c r="R138" i="1"/>
  <c r="Q138" i="1" a="1"/>
  <c r="Q138" i="1"/>
  <c r="P138" i="1" a="1"/>
  <c r="P138" i="1"/>
  <c r="O138" i="1" a="1"/>
  <c r="O138" i="1"/>
  <c r="N138" i="1" a="1"/>
  <c r="N138" i="1"/>
  <c r="M138" i="1" a="1"/>
  <c r="M138" i="1"/>
  <c r="K138" i="1" a="1"/>
  <c r="K138" i="1"/>
  <c r="J138" i="1" a="1"/>
  <c r="J138" i="1"/>
  <c r="C138" i="1" a="1"/>
  <c r="C138" i="1"/>
  <c r="A138" i="1" a="1"/>
  <c r="A138" i="1"/>
  <c r="Q115" i="1"/>
  <c r="Q128" i="1" a="1"/>
  <c r="Q128" i="1"/>
  <c r="E116" i="1" a="1"/>
  <c r="E116" i="1"/>
  <c r="D116" i="1" a="1"/>
  <c r="D116" i="1"/>
  <c r="E115" i="1" a="1"/>
  <c r="E115" i="1"/>
  <c r="D115" i="1" a="1"/>
  <c r="D115" i="1"/>
  <c r="E114" i="1" a="1"/>
  <c r="E114" i="1"/>
  <c r="D114" i="1" a="1"/>
  <c r="D114" i="1"/>
  <c r="C112" i="1"/>
  <c r="C113" i="1" a="1"/>
  <c r="C113" i="1"/>
  <c r="C54" i="1" a="1"/>
  <c r="C54" i="1"/>
  <c r="C48" i="1" a="1"/>
  <c r="C48" i="1"/>
  <c r="C46" i="1" a="1"/>
  <c r="C46" i="1"/>
  <c r="C47" i="1" a="1"/>
  <c r="C47" i="1"/>
  <c r="C45" i="1" a="1"/>
  <c r="C45" i="1"/>
  <c r="E42" i="1" a="1"/>
  <c r="E42" i="1"/>
  <c r="E43" i="1" a="1"/>
  <c r="E43" i="1"/>
  <c r="C39" i="1" a="1"/>
  <c r="C39" i="1"/>
  <c r="C38" i="1" a="1"/>
  <c r="C38" i="1"/>
  <c r="C37" i="1" a="1"/>
  <c r="C37" i="1"/>
  <c r="D37" i="1" a="1"/>
  <c r="D37" i="1"/>
  <c r="C36" i="1" a="1"/>
  <c r="C36" i="1"/>
  <c r="D36" i="1" a="1"/>
  <c r="D36" i="1"/>
  <c r="H32" i="1" a="1"/>
  <c r="H32" i="1"/>
  <c r="G32" i="1" a="1"/>
  <c r="G32" i="1"/>
  <c r="F32" i="1" a="1"/>
  <c r="F32" i="1"/>
  <c r="E32" i="1" a="1"/>
  <c r="E32" i="1"/>
  <c r="D32" i="1" a="1"/>
  <c r="D32" i="1"/>
  <c r="C32" i="1" a="1"/>
  <c r="C32" i="1"/>
  <c r="H31" i="1" a="1"/>
  <c r="H31" i="1"/>
  <c r="G31" i="1" a="1"/>
  <c r="G31" i="1"/>
  <c r="F31" i="1" a="1"/>
  <c r="F31" i="1"/>
  <c r="E31" i="1" a="1"/>
  <c r="E31" i="1"/>
  <c r="D31" i="1" a="1"/>
  <c r="D31" i="1"/>
  <c r="C31" i="1" a="1"/>
  <c r="C31" i="1"/>
  <c r="H30" i="1" a="1"/>
  <c r="H30" i="1"/>
  <c r="G30" i="1" a="1"/>
  <c r="G30" i="1"/>
  <c r="F30" i="1" a="1"/>
  <c r="F30" i="1"/>
  <c r="E30" i="1" a="1"/>
  <c r="E30" i="1"/>
  <c r="D30" i="1" a="1"/>
  <c r="D30" i="1"/>
  <c r="C30" i="1" a="1"/>
  <c r="C30" i="1"/>
  <c r="H29" i="1" a="1"/>
  <c r="H29" i="1"/>
  <c r="G29" i="1" a="1"/>
  <c r="G29" i="1"/>
  <c r="F29" i="1" a="1"/>
  <c r="F29" i="1"/>
  <c r="E29" i="1" a="1"/>
  <c r="E29" i="1"/>
  <c r="D29" i="1" a="1"/>
  <c r="D29" i="1"/>
  <c r="C29" i="1" a="1"/>
  <c r="C29" i="1"/>
  <c r="H28" i="1" a="1"/>
  <c r="H28" i="1"/>
  <c r="G28" i="1" a="1"/>
  <c r="G28" i="1"/>
  <c r="F28" i="1" a="1"/>
  <c r="F28" i="1"/>
  <c r="E28" i="1" a="1"/>
  <c r="E28" i="1"/>
  <c r="D28" i="1" a="1"/>
  <c r="D28" i="1"/>
  <c r="C28" i="1" a="1"/>
  <c r="C28" i="1"/>
  <c r="H27" i="1" a="1"/>
  <c r="H27" i="1"/>
  <c r="F27" i="1" a="1"/>
  <c r="F27" i="1"/>
  <c r="E27" i="1" a="1"/>
  <c r="E27" i="1"/>
  <c r="D27" i="1" a="1"/>
  <c r="D27" i="1"/>
  <c r="C27" i="1" a="1"/>
  <c r="C27" i="1"/>
  <c r="H26" i="1" a="1"/>
  <c r="H26" i="1"/>
  <c r="G26" i="1" a="1"/>
  <c r="G26" i="1"/>
  <c r="F26" i="1" a="1"/>
  <c r="F26" i="1"/>
  <c r="E26" i="1" a="1"/>
  <c r="E26" i="1"/>
  <c r="D26" i="1" a="1"/>
  <c r="D26" i="1"/>
  <c r="C26" i="1" a="1"/>
  <c r="C26" i="1"/>
  <c r="H25" i="1" a="1"/>
  <c r="H25" i="1"/>
  <c r="G25" i="1" a="1"/>
  <c r="G25" i="1"/>
  <c r="F25" i="1" a="1"/>
  <c r="F25" i="1"/>
  <c r="E25" i="1" a="1"/>
  <c r="E25" i="1"/>
  <c r="D25" i="1" a="1"/>
  <c r="D25" i="1"/>
  <c r="C25" i="1" a="1"/>
  <c r="C25" i="1"/>
  <c r="H24" i="1" a="1"/>
  <c r="H24" i="1"/>
  <c r="G24" i="1" a="1"/>
  <c r="G24" i="1"/>
  <c r="F24" i="1" a="1"/>
  <c r="F24" i="1"/>
  <c r="E24" i="1" a="1"/>
  <c r="E24" i="1"/>
  <c r="D24" i="1" a="1"/>
  <c r="D24" i="1"/>
  <c r="C24" i="1" a="1"/>
  <c r="C24" i="1"/>
  <c r="H23" i="1" a="1"/>
  <c r="H23" i="1"/>
  <c r="G23" i="1" a="1"/>
  <c r="G23" i="1"/>
  <c r="F23" i="1" a="1"/>
  <c r="F23" i="1"/>
  <c r="E23" i="1" a="1"/>
  <c r="E23" i="1"/>
  <c r="D23" i="1" a="1"/>
  <c r="D23" i="1"/>
  <c r="C23" i="1" a="1"/>
  <c r="C23" i="1"/>
  <c r="H22" i="1" a="1"/>
  <c r="H22" i="1"/>
  <c r="G22" i="1" a="1"/>
  <c r="G22" i="1"/>
  <c r="F22" i="1" a="1"/>
  <c r="F22" i="1"/>
  <c r="E22" i="1" a="1"/>
  <c r="E22" i="1"/>
  <c r="D22" i="1" a="1"/>
  <c r="D22" i="1"/>
  <c r="C22" i="1" a="1"/>
  <c r="C22" i="1"/>
  <c r="D100" i="1"/>
  <c r="D99" i="1"/>
  <c r="D98" i="1"/>
  <c r="D101" i="1"/>
  <c r="E111" i="1"/>
  <c r="D111" i="1"/>
  <c r="M133" i="1"/>
  <c r="D107" i="1"/>
  <c r="D106" i="1"/>
  <c r="D105" i="1"/>
  <c r="D104" i="1"/>
  <c r="D103" i="1"/>
  <c r="D97" i="1"/>
  <c r="D96" i="1"/>
  <c r="D95" i="1"/>
  <c r="D94" i="1"/>
  <c r="D93" i="1"/>
  <c r="D92" i="1"/>
  <c r="D91" i="1"/>
  <c r="D90" i="1"/>
  <c r="D89" i="1"/>
  <c r="D88" i="1"/>
  <c r="D87" i="1"/>
  <c r="D86" i="1"/>
  <c r="H106" i="1"/>
  <c r="G106" i="1"/>
  <c r="F106" i="1"/>
  <c r="F103" i="1"/>
  <c r="H104" i="1"/>
  <c r="G104" i="1"/>
  <c r="F104" i="1"/>
  <c r="H103" i="1"/>
  <c r="G103" i="1"/>
  <c r="H101" i="1"/>
  <c r="H102" i="1"/>
  <c r="G102" i="1"/>
  <c r="F102" i="1"/>
  <c r="H92" i="1"/>
  <c r="G92" i="1"/>
  <c r="H91" i="1"/>
  <c r="G91" i="1"/>
  <c r="F91" i="1"/>
  <c r="H90" i="1"/>
  <c r="G90" i="1"/>
  <c r="F90" i="1"/>
  <c r="H89" i="1"/>
  <c r="G89" i="1"/>
  <c r="H88" i="1"/>
  <c r="G88" i="1"/>
  <c r="F88" i="1"/>
  <c r="H87" i="1"/>
  <c r="G87" i="1"/>
  <c r="F87" i="1"/>
  <c r="F86" i="1"/>
  <c r="D85" i="1"/>
  <c r="H107" i="1"/>
  <c r="G107" i="1"/>
  <c r="F107" i="1"/>
  <c r="H105" i="1"/>
  <c r="G105" i="1"/>
  <c r="F105" i="1"/>
  <c r="H100" i="1"/>
  <c r="H99" i="1"/>
  <c r="H97" i="1"/>
  <c r="H96" i="1"/>
  <c r="H95" i="1"/>
  <c r="H94" i="1"/>
  <c r="H93" i="1"/>
  <c r="H86" i="1"/>
  <c r="F101" i="1"/>
  <c r="G101" i="1"/>
  <c r="G95" i="1"/>
  <c r="G100" i="1"/>
  <c r="G99" i="1"/>
  <c r="G97" i="1"/>
  <c r="G96" i="1"/>
  <c r="G94" i="1"/>
  <c r="G93" i="1"/>
  <c r="G86" i="1"/>
  <c r="F95" i="1"/>
  <c r="F100" i="1"/>
  <c r="F99" i="1"/>
  <c r="F97" i="1"/>
  <c r="F96" i="1"/>
  <c r="F94" i="1"/>
  <c r="A5" i="1"/>
  <c r="A4" i="1"/>
  <c r="A3" i="1"/>
  <c r="A2" i="1"/>
  <c r="E128" i="1"/>
  <c r="K127" i="1"/>
  <c r="H133" i="1"/>
  <c r="G133" i="1"/>
  <c r="F133" i="1"/>
  <c r="O128" i="1"/>
  <c r="C74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<sst xmlns="http://schemas.openxmlformats.org/spreadsheetml/2006/main" count="223" uniqueCount="177">
  <si>
    <t>[Begin Format Range]</t>
  </si>
  <si>
    <t>D</t>
  </si>
  <si>
    <t>N</t>
  </si>
  <si>
    <t>[End Format Range]</t>
  </si>
  <si>
    <t>System Parameters</t>
  </si>
  <si>
    <t>Database Name</t>
  </si>
  <si>
    <t>Current User</t>
  </si>
  <si>
    <t>Client Details</t>
  </si>
  <si>
    <t>Cube View</t>
  </si>
  <si>
    <t xml:space="preserve">System Variable </t>
  </si>
  <si>
    <t>headline year</t>
  </si>
  <si>
    <t>headline scenario</t>
  </si>
  <si>
    <t>Filter List</t>
  </si>
  <si>
    <t>TM1 element name</t>
  </si>
  <si>
    <t>agency</t>
  </si>
  <si>
    <t>Title</t>
  </si>
  <si>
    <t>title</t>
  </si>
  <si>
    <t>AE ID Details</t>
  </si>
  <si>
    <t>Reason</t>
  </si>
  <si>
    <t>Cube View (AF)</t>
  </si>
  <si>
    <t>Status</t>
  </si>
  <si>
    <t>status</t>
  </si>
  <si>
    <t>Cube View (Slice)</t>
  </si>
  <si>
    <t>entity segment</t>
  </si>
  <si>
    <t>Subset Used</t>
  </si>
  <si>
    <t>Created By</t>
  </si>
  <si>
    <t>created by</t>
  </si>
  <si>
    <t>Approved By</t>
  </si>
  <si>
    <t>authorised by</t>
  </si>
  <si>
    <t>AE Bulk Process</t>
  </si>
  <si>
    <t>Selected Filter</t>
  </si>
  <si>
    <t>All Agencies</t>
  </si>
  <si>
    <t>Single Agency</t>
  </si>
  <si>
    <t>MDX to Use</t>
  </si>
  <si>
    <t>FILTER QUOTE</t>
  </si>
  <si>
    <t>"</t>
  </si>
  <si>
    <t>To Use</t>
  </si>
  <si>
    <t>Copy</t>
  </si>
  <si>
    <t>all</t>
  </si>
  <si>
    <t>Reverse</t>
  </si>
  <si>
    <t>Copy and Reverse</t>
  </si>
  <si>
    <t>Delete - unauthorised</t>
  </si>
  <si>
    <t>un</t>
  </si>
  <si>
    <t>Active Form TM1RPTROW</t>
  </si>
  <si>
    <t>ID</t>
  </si>
  <si>
    <t>bulk processing flag</t>
  </si>
  <si>
    <t>Note : Filters are case sensitive. Please use Capitals if required</t>
  </si>
  <si>
    <t>sys_title</t>
  </si>
  <si>
    <t xml:space="preserve">BULK PROCESS </t>
  </si>
  <si>
    <t>Headline Year :</t>
  </si>
  <si>
    <t>Scenario :</t>
  </si>
  <si>
    <t>FILTERS</t>
  </si>
  <si>
    <t>Filter :</t>
  </si>
  <si>
    <t>Enter Text Filter :</t>
  </si>
  <si>
    <t>SELECT PROCESS</t>
  </si>
  <si>
    <t>&amp;H00545353&amp;</t>
  </si>
  <si>
    <t>Black Colour</t>
  </si>
  <si>
    <t>Purple Colour</t>
  </si>
  <si>
    <t>&amp;H00873A62&amp;</t>
  </si>
  <si>
    <t>sys_Application Cube</t>
  </si>
  <si>
    <t>View</t>
  </si>
  <si>
    <t>sys_Application Element</t>
  </si>
  <si>
    <t>Homepage - Home</t>
  </si>
  <si>
    <t>Data Entry - New Adj 01 - Header Details</t>
  </si>
  <si>
    <t>Data Entry - View Adj 01 - Header Details</t>
  </si>
  <si>
    <t>Workbook</t>
  </si>
  <si>
    <t>Worksheet</t>
  </si>
  <si>
    <t>Adjustment - ID List</t>
  </si>
  <si>
    <t>sys_status</t>
  </si>
  <si>
    <t>sys_reason</t>
  </si>
  <si>
    <t>PARAMETERS</t>
  </si>
  <si>
    <t>unbalanced</t>
  </si>
  <si>
    <t>SELECT (Y)</t>
  </si>
  <si>
    <t>Client Attributes</t>
  </si>
  <si>
    <t>psSuccessMessage</t>
  </si>
  <si>
    <t>psFailureMessage</t>
  </si>
  <si>
    <t>psConfirmationMessage</t>
  </si>
  <si>
    <t>Comments</t>
  </si>
  <si>
    <t>Confirmation Message</t>
  </si>
  <si>
    <t>Success Message</t>
  </si>
  <si>
    <t>Note Messages :</t>
  </si>
  <si>
    <t>Subset Size</t>
  </si>
  <si>
    <t>Bulk Process Validation</t>
  </si>
  <si>
    <t>ID Count</t>
  </si>
  <si>
    <t>="{{TM1SORT({FILTER({FILTER( {{FILTER( {EXCEPT( {[id].[Total IDs].Children}, {[id].[00000],[id].[cash flow]} )}, INSTR( [AE id detail].([Headline Year].[" &amp; psHLYear &amp;"],[scenario].[" &amp; psScenario &amp;"],[AE id measure].[" &amp;$H$31&amp;"]), "  &amp; $C$41 &amp;  $C56 &amp; $C$41 &amp;  " ) &gt;=1) }}, INSTR( [AE id detail].([Headline Year].[" &amp; psHLYear &amp;"],[scenario].[" &amp; psScenario &amp;"],[AE id measure].[commonwealth grant]), "  &amp; $C$41 &amp;  "CW00000" &amp; $C$41 &amp;  " ) &gt;=1)}, INSTR( [AE id detail].([Headline Year].[" &amp; psHLYear &amp;"],[scenario].[" &amp; psScenario &amp;"],[AE id measure].[" &amp;$C$39&amp;"]), "  &amp; $C$41 &amp;  $R$80 &amp; $C$41 &amp;  " ) &gt;=1)}, DESC)},[id].[cash flow]}"</t>
  </si>
  <si>
    <t>Budget Stage Lookup</t>
  </si>
  <si>
    <t>stage name</t>
  </si>
  <si>
    <t>Print</t>
  </si>
  <si>
    <t>PRINT FUNCTION NAVIGATION</t>
  </si>
  <si>
    <t>Used For Worksheet</t>
  </si>
  <si>
    <t>TO USE FOR RUN PROCESS</t>
  </si>
  <si>
    <t>All Other Processes</t>
  </si>
  <si>
    <t>Adjustment - Bulk Process</t>
  </si>
  <si>
    <t>Adjustment - Bulk Process Extract</t>
  </si>
  <si>
    <t>sys_bulk process count</t>
  </si>
  <si>
    <t>Print SUBSET</t>
  </si>
  <si>
    <t>SUBSET COUNT</t>
  </si>
  <si>
    <t>Failure Message</t>
  </si>
  <si>
    <t>=IF($C$48="",IF(AND($C$75&gt;0,$C$75&lt;=20),"The bulk process for "&amp;$B67&amp;"  has completed successfully.","Bulk Printing cancelled as it exceeds maximum limit"),"Bulk Printing cancelled as it exceeds maximum limit")</t>
  </si>
  <si>
    <t>COMMENTS :</t>
  </si>
  <si>
    <t>XXXX</t>
  </si>
  <si>
    <t>FLAG COUNT</t>
  </si>
  <si>
    <t>REMAINING (FOR PRINT)</t>
  </si>
  <si>
    <t>Unbalanced to unauthorised</t>
  </si>
  <si>
    <t>TM1 User</t>
  </si>
  <si>
    <t>}TM1_DefaultDisplayValue</t>
  </si>
  <si>
    <t>GEUS User Name</t>
  </si>
  <si>
    <t>Current Workbook</t>
  </si>
  <si>
    <t>Homepage - Annual Estimates</t>
  </si>
  <si>
    <t>Homepage - Annual Estimates - Data Entry</t>
  </si>
  <si>
    <t>Homepage - Reports</t>
  </si>
  <si>
    <t>Group Data Entry - View Adj 01 - Header Details</t>
  </si>
  <si>
    <t>Group Data Entry - New Adj 01 - Header Details</t>
  </si>
  <si>
    <t>Application</t>
  </si>
  <si>
    <t>Caption Name</t>
  </si>
  <si>
    <t>Caption</t>
  </si>
  <si>
    <t>Workbook Name</t>
  </si>
  <si>
    <t>Worksheet Name</t>
  </si>
  <si>
    <t>geus hlyear</t>
  </si>
  <si>
    <t>geus scenario</t>
  </si>
  <si>
    <t>geus adj</t>
  </si>
  <si>
    <t>current budget round</t>
  </si>
  <si>
    <t>sys_CBMSR GoLive Headline year</t>
  </si>
  <si>
    <t>INDEX CBMSR</t>
  </si>
  <si>
    <t>Sel Index HLYear</t>
  </si>
  <si>
    <t>Unauthorised to draft</t>
  </si>
  <si>
    <t>draft to submitted</t>
  </si>
  <si>
    <t>draft to approved</t>
  </si>
  <si>
    <t>draft to approved non-flat file</t>
  </si>
  <si>
    <t>draft to CBMS</t>
  </si>
  <si>
    <t>submitted to approved</t>
  </si>
  <si>
    <t>submitted to approved non-flat file</t>
  </si>
  <si>
    <t>submitted to CBMS</t>
  </si>
  <si>
    <t>approved to CBMS</t>
  </si>
  <si>
    <t>Reject - submitted</t>
  </si>
  <si>
    <t>Reject - approved</t>
  </si>
  <si>
    <t>Reject - approved non-flat file</t>
  </si>
  <si>
    <t>Reject - CBMS</t>
  </si>
  <si>
    <t>Flat File Creation</t>
  </si>
  <si>
    <t>Delete - draft</t>
  </si>
  <si>
    <t>Demote draft to unauthorised</t>
  </si>
  <si>
    <t>MDX</t>
  </si>
  <si>
    <t>draft</t>
  </si>
  <si>
    <t>submitted</t>
  </si>
  <si>
    <t>approved</t>
  </si>
  <si>
    <t>approved non-flat file</t>
  </si>
  <si>
    <t>CBMS</t>
  </si>
  <si>
    <t>Unbalanced to approved</t>
  </si>
  <si>
    <t>sys_programme description</t>
  </si>
  <si>
    <t>CBMS Measure code</t>
  </si>
  <si>
    <t>sys_cbms measure code</t>
  </si>
  <si>
    <t>GEUS measure code</t>
  </si>
  <si>
    <t>sys_measure</t>
  </si>
  <si>
    <t>CBMS ID</t>
  </si>
  <si>
    <t>sys_id</t>
  </si>
  <si>
    <t>GEUS ID</t>
  </si>
  <si>
    <t>sys_programme code</t>
  </si>
  <si>
    <t>sys_CBMS measure code</t>
  </si>
  <si>
    <t>sys_control type</t>
  </si>
  <si>
    <t>sys_adjustment type</t>
  </si>
  <si>
    <t>CBMS Measure Code</t>
  </si>
  <si>
    <t>Adjustment Type</t>
  </si>
  <si>
    <t>Control Type</t>
  </si>
  <si>
    <t>Program Description</t>
  </si>
  <si>
    <t>Program Code</t>
  </si>
  <si>
    <t>M00000</t>
  </si>
  <si>
    <t xml:space="preserve">Programme </t>
  </si>
  <si>
    <t>Control type</t>
  </si>
  <si>
    <t>CBMS Current Round :</t>
  </si>
  <si>
    <t>FlatFile - Prepare Extracts</t>
  </si>
  <si>
    <t>sys_appropriation type</t>
  </si>
  <si>
    <t>sys_appropriation item</t>
  </si>
  <si>
    <t>Appropriation Type</t>
  </si>
  <si>
    <t>Appropriation Item</t>
  </si>
  <si>
    <t>Note : To view an adjustment, first select an adjustment, then click 'View Adj'. COPY/REVERSE functions can not use SELECT ALL.</t>
  </si>
  <si>
    <t>Authorised By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</si>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</sst>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indexed="62"/>
      <name val="Verdana"/>
      <family val="2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11"/>
      <color theme="3" tint="-0.249977111117893"/>
      <name val="Calibri"/>
      <family val="2"/>
    </font>
    <font>
      <b/>
      <u/>
      <sz val="11"/>
      <color theme="1"/>
      <name val="Calibri"/>
      <family val="2"/>
      <scheme val="minor"/>
    </font>
    <font>
      <sz val="8"/>
      <color rgb="FFFF0000"/>
      <name val="Verdana"/>
      <family val="2"/>
    </font>
    <font>
      <sz val="9"/>
      <name val="Verdana"/>
      <family val="2"/>
    </font>
    <font>
      <b/>
      <sz val="11"/>
      <color theme="3" tint="-0.249977111117893"/>
      <name val="Calibri"/>
      <family val="2"/>
      <scheme val="minor"/>
    </font>
    <font>
      <sz val="10"/>
      <name val="Arial"/>
      <family val="2"/>
    </font>
    <font>
      <b/>
      <sz val="9"/>
      <color rgb="FF0070C0"/>
      <name val="Calibri"/>
      <family val="2"/>
      <scheme val="minor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b/>
      <sz val="9"/>
      <color theme="3" tint="-0.249977111117893"/>
      <name val="Calibri"/>
      <family val="2"/>
      <scheme val="minor"/>
    </font>
    <font>
      <i/>
      <sz val="10"/>
      <color rgb="FFFF000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i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535354"/>
        <bgColor indexed="64"/>
      </patternFill>
    </fill>
    <fill>
      <patternFill patternType="solid">
        <fgColor rgb="FF973B8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BBDDE6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/>
      <right style="thin">
        <color indexed="64"/>
      </right>
      <top/>
      <bottom/>
      <diagonal/>
    </border>
  </borders>
  <cellStyleXfs count="27">
    <xf numFmtId="0" fontId="0" fillId="0" borderId="0"/>
    <xf numFmtId="0" fontId="1" fillId="0" borderId="0"/>
    <xf numFmtId="0" fontId="4" fillId="0" borderId="0">
      <protection locked="0"/>
    </xf>
    <xf numFmtId="164" fontId="1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4" fillId="0" borderId="0">
      <protection locked="0"/>
    </xf>
    <xf numFmtId="0" fontId="1" fillId="0" borderId="0"/>
    <xf numFmtId="0" fontId="17" fillId="0" borderId="0"/>
    <xf numFmtId="0" fontId="1" fillId="0" borderId="0"/>
    <xf numFmtId="0" fontId="1" fillId="0" borderId="0"/>
    <xf numFmtId="0" fontId="4" fillId="0" borderId="0">
      <protection locked="0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</cellStyleXfs>
  <cellXfs count="79">
    <xf numFmtId="0" fontId="0" fillId="0" borderId="0" xfId="0"/>
    <xf numFmtId="0" fontId="1" fillId="0" borderId="0" xfId="1"/>
    <xf numFmtId="0" fontId="3" fillId="0" borderId="0" xfId="1" applyFont="1"/>
    <xf numFmtId="0" fontId="2" fillId="0" borderId="0" xfId="1" applyFont="1"/>
    <xf numFmtId="0" fontId="2" fillId="0" borderId="3" xfId="0" applyFont="1" applyBorder="1"/>
    <xf numFmtId="0" fontId="0" fillId="0" borderId="3" xfId="0" applyBorder="1"/>
    <xf numFmtId="0" fontId="7" fillId="0" borderId="3" xfId="0" applyFont="1" applyBorder="1"/>
    <xf numFmtId="0" fontId="8" fillId="0" borderId="3" xfId="0" applyFont="1" applyBorder="1"/>
    <xf numFmtId="0" fontId="2" fillId="2" borderId="3" xfId="1" applyFont="1" applyFill="1" applyBorder="1"/>
    <xf numFmtId="0" fontId="1" fillId="0" borderId="3" xfId="1" applyBorder="1"/>
    <xf numFmtId="0" fontId="9" fillId="3" borderId="0" xfId="1" applyFont="1" applyFill="1"/>
    <xf numFmtId="0" fontId="10" fillId="3" borderId="0" xfId="1" applyFont="1" applyFill="1"/>
    <xf numFmtId="0" fontId="14" fillId="0" borderId="0" xfId="2" applyFont="1">
      <protection locked="0"/>
    </xf>
    <xf numFmtId="0" fontId="15" fillId="0" borderId="0" xfId="2" applyFont="1" applyAlignment="1">
      <alignment horizontal="center"/>
      <protection locked="0"/>
    </xf>
    <xf numFmtId="0" fontId="13" fillId="0" borderId="0" xfId="1" applyFont="1" applyAlignment="1">
      <alignment horizontal="right"/>
    </xf>
    <xf numFmtId="0" fontId="13" fillId="0" borderId="0" xfId="1" applyFont="1"/>
    <xf numFmtId="0" fontId="16" fillId="0" borderId="0" xfId="1" applyFont="1" applyAlignment="1">
      <alignment horizontal="right"/>
    </xf>
    <xf numFmtId="0" fontId="12" fillId="0" borderId="0" xfId="2" applyFont="1" applyProtection="1"/>
    <xf numFmtId="0" fontId="4" fillId="0" borderId="0" xfId="2" applyProtection="1"/>
    <xf numFmtId="0" fontId="20" fillId="0" borderId="0" xfId="1" applyFont="1" applyAlignment="1">
      <alignment vertical="center" wrapText="1"/>
    </xf>
    <xf numFmtId="0" fontId="19" fillId="3" borderId="0" xfId="1" applyFont="1" applyFill="1" applyAlignment="1">
      <alignment horizontal="center" vertical="center" wrapText="1"/>
    </xf>
    <xf numFmtId="0" fontId="19" fillId="4" borderId="0" xfId="1" applyFont="1" applyFill="1" applyAlignment="1">
      <alignment horizontal="center" vertical="center" wrapText="1"/>
    </xf>
    <xf numFmtId="0" fontId="19" fillId="6" borderId="0" xfId="1" applyFont="1" applyFill="1" applyAlignment="1">
      <alignment horizontal="center" vertical="center" wrapText="1"/>
    </xf>
    <xf numFmtId="0" fontId="21" fillId="0" borderId="0" xfId="1" applyFont="1" applyAlignment="1">
      <alignment horizontal="right"/>
    </xf>
    <xf numFmtId="0" fontId="22" fillId="0" borderId="0" xfId="1" applyFont="1" applyAlignment="1">
      <alignment horizontal="right"/>
    </xf>
    <xf numFmtId="0" fontId="1" fillId="0" borderId="0" xfId="1" applyAlignment="1">
      <alignment wrapText="1"/>
    </xf>
    <xf numFmtId="0" fontId="2" fillId="7" borderId="3" xfId="1" applyFont="1" applyFill="1" applyBorder="1"/>
    <xf numFmtId="0" fontId="1" fillId="8" borderId="3" xfId="1" applyFill="1" applyBorder="1"/>
    <xf numFmtId="0" fontId="1" fillId="7" borderId="3" xfId="1" applyFill="1" applyBorder="1" applyAlignment="1">
      <alignment horizontal="center"/>
    </xf>
    <xf numFmtId="0" fontId="1" fillId="0" borderId="0" xfId="1" quotePrefix="1"/>
    <xf numFmtId="0" fontId="2" fillId="7" borderId="3" xfId="0" applyFont="1" applyFill="1" applyBorder="1"/>
    <xf numFmtId="0" fontId="2" fillId="7" borderId="3" xfId="0" applyFont="1" applyFill="1" applyBorder="1" applyAlignment="1">
      <alignment horizontal="center"/>
    </xf>
    <xf numFmtId="0" fontId="1" fillId="8" borderId="0" xfId="1" applyFill="1"/>
    <xf numFmtId="0" fontId="25" fillId="0" borderId="0" xfId="1" applyFont="1"/>
    <xf numFmtId="0" fontId="2" fillId="9" borderId="3" xfId="1" applyFont="1" applyFill="1" applyBorder="1"/>
    <xf numFmtId="0" fontId="1" fillId="10" borderId="0" xfId="1" applyFill="1"/>
    <xf numFmtId="0" fontId="19" fillId="0" borderId="0" xfId="1" applyFont="1" applyAlignment="1">
      <alignment horizontal="center" vertical="center" wrapText="1"/>
    </xf>
    <xf numFmtId="0" fontId="1" fillId="0" borderId="7" xfId="1" applyBorder="1"/>
    <xf numFmtId="0" fontId="26" fillId="0" borderId="0" xfId="1" applyFont="1" applyAlignment="1">
      <alignment vertical="center"/>
    </xf>
    <xf numFmtId="0" fontId="0" fillId="0" borderId="3" xfId="0" applyBorder="1" applyAlignment="1">
      <alignment horizontal="center"/>
    </xf>
    <xf numFmtId="0" fontId="2" fillId="7" borderId="2" xfId="0" applyFont="1" applyFill="1" applyBorder="1"/>
    <xf numFmtId="0" fontId="2" fillId="7" borderId="8" xfId="0" applyFont="1" applyFill="1" applyBorder="1"/>
    <xf numFmtId="0" fontId="2" fillId="0" borderId="0" xfId="0" applyFont="1" applyAlignment="1">
      <alignment horizontal="right"/>
    </xf>
    <xf numFmtId="0" fontId="0" fillId="0" borderId="3" xfId="0" applyBorder="1" applyAlignment="1" applyProtection="1">
      <alignment horizontal="left" indent="1"/>
      <protection locked="0"/>
    </xf>
    <xf numFmtId="0" fontId="27" fillId="11" borderId="0" xfId="0" applyFont="1" applyFill="1" applyAlignment="1">
      <alignment horizontal="center" vertical="center"/>
    </xf>
    <xf numFmtId="0" fontId="27" fillId="11" borderId="0" xfId="0" applyFont="1" applyFill="1" applyAlignment="1">
      <alignment horizontal="center" vertical="center" wrapText="1"/>
    </xf>
    <xf numFmtId="0" fontId="11" fillId="11" borderId="0" xfId="0" applyFont="1" applyFill="1" applyAlignment="1">
      <alignment horizontal="right" vertical="center"/>
    </xf>
    <xf numFmtId="0" fontId="23" fillId="11" borderId="0" xfId="0" applyFont="1" applyFill="1" applyAlignment="1">
      <alignment horizontal="center" vertical="center"/>
    </xf>
    <xf numFmtId="0" fontId="0" fillId="7" borderId="3" xfId="0" applyFill="1" applyBorder="1" applyAlignment="1" applyProtection="1">
      <alignment horizontal="left" indent="1"/>
      <protection locked="0"/>
    </xf>
    <xf numFmtId="0" fontId="3" fillId="0" borderId="0" xfId="1" applyFont="1" applyAlignment="1">
      <alignment wrapText="1"/>
    </xf>
    <xf numFmtId="0" fontId="2" fillId="12" borderId="9" xfId="0" applyFont="1" applyFill="1" applyBorder="1" applyAlignment="1" applyProtection="1">
      <alignment horizontal="left" indent="1"/>
      <protection locked="0"/>
    </xf>
    <xf numFmtId="0" fontId="19" fillId="11" borderId="0" xfId="1" applyFont="1" applyFill="1" applyAlignment="1">
      <alignment horizontal="right" indent="1"/>
    </xf>
    <xf numFmtId="0" fontId="1" fillId="0" borderId="0" xfId="1" applyAlignment="1">
      <alignment vertical="top"/>
    </xf>
    <xf numFmtId="0" fontId="3" fillId="0" borderId="0" xfId="1" applyFont="1" applyAlignment="1">
      <alignment vertical="top"/>
    </xf>
    <xf numFmtId="0" fontId="5" fillId="7" borderId="1" xfId="2" applyFont="1" applyFill="1" applyBorder="1" applyAlignment="1" applyProtection="1">
      <alignment horizontal="center" vertical="top" wrapText="1"/>
    </xf>
    <xf numFmtId="0" fontId="3" fillId="12" borderId="9" xfId="0" applyFont="1" applyFill="1" applyBorder="1" applyAlignment="1" applyProtection="1">
      <alignment horizontal="center" vertical="top"/>
      <protection locked="0"/>
    </xf>
    <xf numFmtId="0" fontId="3" fillId="0" borderId="10" xfId="2" applyFont="1" applyBorder="1" applyAlignment="1" applyProtection="1">
      <alignment vertical="top" wrapText="1"/>
    </xf>
    <xf numFmtId="0" fontId="3" fillId="2" borderId="1" xfId="2" applyFont="1" applyFill="1" applyBorder="1" applyAlignment="1" applyProtection="1">
      <alignment horizontal="left" vertical="top" wrapText="1"/>
    </xf>
    <xf numFmtId="0" fontId="3" fillId="2" borderId="1" xfId="2" applyFont="1" applyFill="1" applyBorder="1" applyAlignment="1">
      <alignment horizontal="center" vertical="top" wrapText="1"/>
      <protection locked="0"/>
    </xf>
    <xf numFmtId="0" fontId="3" fillId="2" borderId="1" xfId="2" applyFont="1" applyFill="1" applyBorder="1" applyAlignment="1">
      <alignment vertical="top" wrapText="1"/>
      <protection locked="0"/>
    </xf>
    <xf numFmtId="0" fontId="6" fillId="2" borderId="3" xfId="2" applyFont="1" applyFill="1" applyBorder="1" applyAlignment="1" applyProtection="1">
      <alignment horizontal="center" vertical="top" wrapText="1"/>
    </xf>
    <xf numFmtId="0" fontId="3" fillId="2" borderId="3" xfId="2" applyFont="1" applyFill="1" applyBorder="1" applyAlignment="1" applyProtection="1">
      <alignment horizontal="left" vertical="top" wrapText="1"/>
    </xf>
    <xf numFmtId="0" fontId="18" fillId="2" borderId="4" xfId="2" applyFont="1" applyFill="1" applyBorder="1" applyAlignment="1" applyProtection="1">
      <alignment horizontal="left" vertical="top" wrapText="1"/>
    </xf>
    <xf numFmtId="0" fontId="5" fillId="2" borderId="4" xfId="2" applyFont="1" applyFill="1" applyBorder="1" applyAlignment="1" applyProtection="1">
      <alignment horizontal="center" vertical="top" wrapText="1"/>
    </xf>
    <xf numFmtId="0" fontId="3" fillId="2" borderId="4" xfId="2" applyFont="1" applyFill="1" applyBorder="1" applyAlignment="1">
      <alignment horizontal="center" vertical="top" wrapText="1"/>
      <protection locked="0"/>
    </xf>
    <xf numFmtId="49" fontId="1" fillId="0" borderId="0" xfId="1" applyNumberFormat="1" applyAlignment="1">
      <alignment horizontal="left" wrapText="1"/>
    </xf>
    <xf numFmtId="0" fontId="22" fillId="0" borderId="0" xfId="1" applyFont="1" applyAlignment="1">
      <alignment horizontal="left"/>
    </xf>
    <xf numFmtId="0" fontId="23" fillId="5" borderId="1" xfId="1" applyFont="1" applyFill="1" applyBorder="1" applyAlignment="1">
      <alignment horizontal="left"/>
    </xf>
    <xf numFmtId="0" fontId="24" fillId="5" borderId="4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2" fillId="7" borderId="3" xfId="1" applyFont="1" applyFill="1" applyBorder="1" applyAlignment="1">
      <alignment horizontal="center"/>
    </xf>
    <xf numFmtId="0" fontId="1" fillId="0" borderId="1" xfId="1" applyBorder="1" applyAlignment="1" applyProtection="1">
      <alignment horizontal="left"/>
      <protection locked="0"/>
    </xf>
    <xf numFmtId="0" fontId="1" fillId="0" borderId="5" xfId="1" applyBorder="1" applyAlignment="1" applyProtection="1">
      <alignment horizontal="left"/>
      <protection locked="0"/>
    </xf>
    <xf numFmtId="0" fontId="1" fillId="0" borderId="4" xfId="1" applyBorder="1" applyAlignment="1" applyProtection="1">
      <alignment horizontal="left"/>
      <protection locked="0"/>
    </xf>
    <xf numFmtId="0" fontId="23" fillId="5" borderId="6" xfId="0" applyFont="1" applyFill="1" applyBorder="1" applyAlignment="1">
      <alignment horizontal="left" indent="1"/>
    </xf>
    <xf numFmtId="0" fontId="23" fillId="5" borderId="0" xfId="0" applyFont="1" applyFill="1" applyAlignment="1">
      <alignment horizontal="left" indent="1"/>
    </xf>
  </cellXfs>
  <cellStyles count="27">
    <cellStyle name="Comma 2" xfId="3" xr:uid="{00000000-0005-0000-0000-000000000000}"/>
    <cellStyle name="Comma 2 2" xfId="4" xr:uid="{00000000-0005-0000-0000-000001000000}"/>
    <cellStyle name="Comma 2 3" xfId="5" xr:uid="{00000000-0005-0000-0000-000002000000}"/>
    <cellStyle name="Comma 3" xfId="6" xr:uid="{00000000-0005-0000-0000-000003000000}"/>
    <cellStyle name="Comma 3 2" xfId="7" xr:uid="{00000000-0005-0000-0000-000004000000}"/>
    <cellStyle name="Comma 4" xfId="8" xr:uid="{00000000-0005-0000-0000-000005000000}"/>
    <cellStyle name="Comma 5" xfId="9" xr:uid="{00000000-0005-0000-0000-000006000000}"/>
    <cellStyle name="Comma 6" xfId="10" xr:uid="{00000000-0005-0000-0000-000007000000}"/>
    <cellStyle name="Comma 7" xfId="11" xr:uid="{00000000-0005-0000-0000-000008000000}"/>
    <cellStyle name="Normal" xfId="0" builtinId="0"/>
    <cellStyle name="Normal 10" xfId="12" xr:uid="{00000000-0005-0000-0000-00000A000000}"/>
    <cellStyle name="Normal 11" xfId="13" xr:uid="{00000000-0005-0000-0000-00000B000000}"/>
    <cellStyle name="Normal 2" xfId="2" xr:uid="{00000000-0005-0000-0000-00000C000000}"/>
    <cellStyle name="Normal 2 2" xfId="14" xr:uid="{00000000-0005-0000-0000-00000D000000}"/>
    <cellStyle name="Normal 2 3" xfId="15" xr:uid="{00000000-0005-0000-0000-00000E000000}"/>
    <cellStyle name="Normal 3" xfId="1" xr:uid="{00000000-0005-0000-0000-00000F000000}"/>
    <cellStyle name="Normal 3 2" xfId="16" xr:uid="{00000000-0005-0000-0000-000010000000}"/>
    <cellStyle name="Normal 4" xfId="17" xr:uid="{00000000-0005-0000-0000-000011000000}"/>
    <cellStyle name="Normal 5" xfId="18" xr:uid="{00000000-0005-0000-0000-000012000000}"/>
    <cellStyle name="Normal 5 2" xfId="19" xr:uid="{00000000-0005-0000-0000-000013000000}"/>
    <cellStyle name="Normal 6" xfId="20" xr:uid="{00000000-0005-0000-0000-000014000000}"/>
    <cellStyle name="Normal 7" xfId="21" xr:uid="{00000000-0005-0000-0000-000015000000}"/>
    <cellStyle name="Normal 8" xfId="22" xr:uid="{00000000-0005-0000-0000-000016000000}"/>
    <cellStyle name="Normal 9" xfId="23" xr:uid="{00000000-0005-0000-0000-000017000000}"/>
    <cellStyle name="Percent 2" xfId="24" xr:uid="{00000000-0005-0000-0000-000018000000}"/>
    <cellStyle name="Percent 2 2" xfId="25" xr:uid="{00000000-0005-0000-0000-000019000000}"/>
    <cellStyle name="Percent 3" xfId="26" xr:uid="{00000000-0005-0000-0000-00001A000000}"/>
  </cellStyles>
  <dxfs count="20">
    <dxf>
      <font>
        <b val="0"/>
        <i val="0"/>
        <color auto="1"/>
      </font>
    </dxf>
    <dxf>
      <font>
        <b val="0"/>
        <i val="0"/>
        <color theme="1"/>
      </font>
    </dxf>
    <dxf>
      <font>
        <b val="0"/>
        <i val="0"/>
        <color auto="1"/>
      </font>
    </dxf>
    <dxf>
      <font>
        <b val="0"/>
        <i val="0"/>
        <color theme="1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b/>
        <i val="0"/>
        <color rgb="FF00B050"/>
      </font>
    </dxf>
    <dxf>
      <font>
        <b/>
        <i val="0"/>
        <color theme="7" tint="-0.499984740745262"/>
      </font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rgb="FF00B0F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/>
        <i val="0"/>
        <color rgb="FF00B050"/>
      </font>
    </dxf>
    <dxf>
      <font>
        <b/>
        <i val="0"/>
        <color theme="7" tint="-0.499984740745262"/>
      </font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rgb="FF00B0F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3" tint="0.39994506668294322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00426A"/>
      <color rgb="FF973B87"/>
      <color rgb="FFEEDEEA"/>
      <color rgb="FF623A87"/>
      <color rgb="FF5F3A87"/>
      <color rgb="FF1F7DBE"/>
      <color rgb="FF535354"/>
      <color rgb="FF452C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688"/>
  <ax:ocxPr ax:name="_ExtentY" ax:value="212"/>
  <ax:ocxPr ax:name="_StockProps" ax:value="0"/>
  <ax:ocxPr ax:name="ServerName" ax:value="=db_name"/>
  <ax:ocxPr ax:name="ProcessName" ax:value="sys_Client - Clear Validation Data"/>
  <ax:ocxPr ax:name="Name" ax:value=""/>
  <ax:ocxPr ax:name="Type" ax:value=""/>
  <ax:ocxPr ax:name="Value" ax:value="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View Adj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ViewAdj01HeaderWB"/>
  <ax:ocxPr ax:name="TargetWorksheetName" ax:value="=TM1ViewAdj01HeaderWS"/>
  <ax:ocxPr ax:name="AutoTitles" ax:value="-1"/>
  <ax:ocxPr ax:name="ReplaceWindow" ax:value="0"/>
  <ax:ocxPr ax:name="IsMappingFormula" ax:value="0"/>
  <ax:ocxPr ax:name="TargetTypes" ax:value="0"/>
  <ax:ocxPr ax:name="TargetObjects" ax:value="id"/>
  <ax:ocxPr ax:name="TargetSubsets" ax:value=""/>
  <ax:ocxPr ax:name="TargetAliases" ax:value=""/>
  <ax:ocxPr ax:name="TargetValues" ax:value=""/>
  <ax:ocxPr ax:name="SourceTypes" ax:value="1"/>
  <ax:ocxPr ax:name="SourceObjects" ax:value="id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142875</xdr:colOff>
      <xdr:row>129</xdr:row>
      <xdr:rowOff>28575</xdr:rowOff>
    </xdr:from>
    <xdr:to>
      <xdr:col>14</xdr:col>
      <xdr:colOff>2286000</xdr:colOff>
      <xdr:row>133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562725" y="1381125"/>
          <a:ext cx="3238500" cy="742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 b="1">
              <a:solidFill>
                <a:sysClr val="windowText" lastClr="000000"/>
              </a:solidFill>
            </a:rPr>
            <a:t>Step 1 : </a:t>
          </a:r>
          <a:r>
            <a:rPr lang="en-AU" sz="1100" b="0">
              <a:solidFill>
                <a:sysClr val="windowText" lastClr="000000"/>
              </a:solidFill>
            </a:rPr>
            <a:t>Click</a:t>
          </a:r>
          <a:r>
            <a:rPr lang="en-AU" sz="1100" b="0" baseline="0">
              <a:solidFill>
                <a:sysClr val="windowText" lastClr="000000"/>
              </a:solidFill>
            </a:rPr>
            <a:t> </a:t>
          </a:r>
          <a:r>
            <a:rPr lang="en-AU" sz="1100">
              <a:solidFill>
                <a:sysClr val="windowText" lastClr="000000"/>
              </a:solidFill>
            </a:rPr>
            <a:t>'Select Process'</a:t>
          </a:r>
          <a:r>
            <a:rPr lang="en-AU" sz="1100" baseline="0">
              <a:solidFill>
                <a:sysClr val="windowText" lastClr="000000"/>
              </a:solidFill>
            </a:rPr>
            <a:t> then 'Refresh'</a:t>
          </a:r>
        </a:p>
        <a:p>
          <a:r>
            <a:rPr lang="en-AU" sz="1100" b="1" baseline="0">
              <a:solidFill>
                <a:sysClr val="windowText" lastClr="000000"/>
              </a:solidFill>
            </a:rPr>
            <a:t>Step 2 : </a:t>
          </a:r>
          <a:r>
            <a:rPr lang="en-AU" sz="1100" baseline="0">
              <a:solidFill>
                <a:sysClr val="windowText" lastClr="000000"/>
              </a:solidFill>
            </a:rPr>
            <a:t>Click 'Select All' or required adjustments</a:t>
          </a:r>
        </a:p>
        <a:p>
          <a:r>
            <a:rPr lang="en-AU" sz="1100" b="1" baseline="0">
              <a:solidFill>
                <a:sysClr val="windowText" lastClr="000000"/>
              </a:solidFill>
            </a:rPr>
            <a:t>Step 3 : </a:t>
          </a:r>
          <a:r>
            <a:rPr lang="en-AU" sz="1100" baseline="0">
              <a:solidFill>
                <a:sysClr val="windowText" lastClr="000000"/>
              </a:solidFill>
            </a:rPr>
            <a:t>Click 'Run Process'</a:t>
          </a:r>
          <a:endParaRPr lang="en-AU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104775</xdr:colOff>
      <xdr:row>126</xdr:row>
      <xdr:rowOff>171450</xdr:rowOff>
    </xdr:from>
    <xdr:to>
      <xdr:col>13</xdr:col>
      <xdr:colOff>1028700</xdr:colOff>
      <xdr:row>128</xdr:row>
      <xdr:rowOff>28574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6524625" y="1066800"/>
          <a:ext cx="923925" cy="2571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 b="1" u="sng">
              <a:solidFill>
                <a:srgbClr val="FF0000"/>
              </a:solidFill>
            </a:rPr>
            <a:t>Procedure :</a:t>
          </a:r>
        </a:p>
      </xdr:txBody>
    </xdr:sp>
    <xdr:clientData/>
  </xdr:twoCellAnchor>
  <xdr:twoCellAnchor editAs="oneCell">
    <xdr:from>
      <xdr:col>9</xdr:col>
      <xdr:colOff>0</xdr:colOff>
      <xdr:row>119</xdr:row>
      <xdr:rowOff>19050</xdr:rowOff>
    </xdr:from>
    <xdr:to>
      <xdr:col>10</xdr:col>
      <xdr:colOff>891540</xdr:colOff>
      <xdr:row>120</xdr:row>
      <xdr:rowOff>19050</xdr:rowOff>
    </xdr:to>
    <xdr:pic>
      <xdr:nvPicPr>
        <xdr:cNvPr id="12" name="Picture 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1307425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120</xdr:row>
          <xdr:rowOff>47625</xdr:rowOff>
        </xdr:from>
        <xdr:to>
          <xdr:col>9</xdr:col>
          <xdr:colOff>638175</xdr:colOff>
          <xdr:row>121</xdr:row>
          <xdr:rowOff>238125</xdr:rowOff>
        </xdr:to>
        <xdr:sp macro="" textlink="">
          <xdr:nvSpPr>
            <xdr:cNvPr id="1062" name="TIButton1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695325</xdr:colOff>
          <xdr:row>120</xdr:row>
          <xdr:rowOff>47625</xdr:rowOff>
        </xdr:from>
        <xdr:to>
          <xdr:col>10</xdr:col>
          <xdr:colOff>895350</xdr:colOff>
          <xdr:row>121</xdr:row>
          <xdr:rowOff>238125</xdr:rowOff>
        </xdr:to>
        <xdr:sp macro="" textlink="">
          <xdr:nvSpPr>
            <xdr:cNvPr id="1063" name="TIButton2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3581400</xdr:colOff>
          <xdr:row>120</xdr:row>
          <xdr:rowOff>47625</xdr:rowOff>
        </xdr:from>
        <xdr:to>
          <xdr:col>13</xdr:col>
          <xdr:colOff>314325</xdr:colOff>
          <xdr:row>121</xdr:row>
          <xdr:rowOff>238125</xdr:rowOff>
        </xdr:to>
        <xdr:sp macro="" textlink="">
          <xdr:nvSpPr>
            <xdr:cNvPr id="1064" name="TIButton3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933450</xdr:colOff>
          <xdr:row>120</xdr:row>
          <xdr:rowOff>47625</xdr:rowOff>
        </xdr:from>
        <xdr:to>
          <xdr:col>12</xdr:col>
          <xdr:colOff>314325</xdr:colOff>
          <xdr:row>121</xdr:row>
          <xdr:rowOff>238125</xdr:rowOff>
        </xdr:to>
        <xdr:sp macro="" textlink="">
          <xdr:nvSpPr>
            <xdr:cNvPr id="1065" name="TIButton4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371475</xdr:colOff>
          <xdr:row>120</xdr:row>
          <xdr:rowOff>47625</xdr:rowOff>
        </xdr:from>
        <xdr:to>
          <xdr:col>12</xdr:col>
          <xdr:colOff>1104900</xdr:colOff>
          <xdr:row>121</xdr:row>
          <xdr:rowOff>238125</xdr:rowOff>
        </xdr:to>
        <xdr:sp macro="" textlink="">
          <xdr:nvSpPr>
            <xdr:cNvPr id="1066" name="TIButton5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1143000</xdr:colOff>
          <xdr:row>120</xdr:row>
          <xdr:rowOff>47625</xdr:rowOff>
        </xdr:from>
        <xdr:to>
          <xdr:col>12</xdr:col>
          <xdr:colOff>1876425</xdr:colOff>
          <xdr:row>121</xdr:row>
          <xdr:rowOff>238125</xdr:rowOff>
        </xdr:to>
        <xdr:sp macro="" textlink="">
          <xdr:nvSpPr>
            <xdr:cNvPr id="1067" name="TIButton6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1905000</xdr:colOff>
          <xdr:row>120</xdr:row>
          <xdr:rowOff>47625</xdr:rowOff>
        </xdr:from>
        <xdr:to>
          <xdr:col>12</xdr:col>
          <xdr:colOff>2638425</xdr:colOff>
          <xdr:row>121</xdr:row>
          <xdr:rowOff>238125</xdr:rowOff>
        </xdr:to>
        <xdr:sp macro="" textlink="">
          <xdr:nvSpPr>
            <xdr:cNvPr id="1068" name="TIButton7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2695575</xdr:colOff>
          <xdr:row>120</xdr:row>
          <xdr:rowOff>47625</xdr:rowOff>
        </xdr:from>
        <xdr:to>
          <xdr:col>12</xdr:col>
          <xdr:colOff>3533775</xdr:colOff>
          <xdr:row>121</xdr:row>
          <xdr:rowOff>238125</xdr:rowOff>
        </xdr:to>
        <xdr:sp macro="" textlink="">
          <xdr:nvSpPr>
            <xdr:cNvPr id="1069" name="TIButton8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21</xdr:col>
          <xdr:colOff>676275</xdr:colOff>
          <xdr:row>120</xdr:row>
          <xdr:rowOff>28575</xdr:rowOff>
        </xdr:from>
        <xdr:to>
          <xdr:col>21</xdr:col>
          <xdr:colOff>990600</xdr:colOff>
          <xdr:row>121</xdr:row>
          <xdr:rowOff>285750</xdr:rowOff>
        </xdr:to>
        <xdr:sp macro="" textlink="">
          <xdr:nvSpPr>
            <xdr:cNvPr id="1071" name="TIButton9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20" Type="http://schemas.openxmlformats.org/officeDocument/2006/relationships/control" Target="../activeX/activeX9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2">
    <outlinePr showOutlineSymbols="0"/>
    <pageSetUpPr fitToPage="1"/>
  </sheetPr>
  <dimension ref="A1:V140"/>
  <sheetViews>
    <sheetView showGridLines="0" tabSelected="1" showOutlineSymbols="0" topLeftCell="I120" workbookViewId="0">
      <pane ySplit="18" topLeftCell="A138" activePane="bottomLeft" state="frozen"/>
      <selection activeCell="I120" sqref="I120"/>
      <selection pane="bottomLeft" activeCell="K120" sqref="K120"/>
    </sheetView>
  </sheetViews>
  <sheetFormatPr defaultColWidth="9.140625" defaultRowHeight="15" outlineLevelRow="1" outlineLevelCol="1" x14ac:dyDescent="0.25"/>
  <cols>
    <col min="1" max="1" width="2.7109375" style="1" hidden="1" customWidth="1" outlineLevel="1"/>
    <col min="2" max="2" width="29" style="1" hidden="1" customWidth="1" outlineLevel="1"/>
    <col min="3" max="3" width="55.7109375" style="1" hidden="1" customWidth="1" outlineLevel="1"/>
    <col min="4" max="4" width="25.85546875" style="1" hidden="1" customWidth="1" outlineLevel="1"/>
    <col min="5" max="5" width="15" style="1" hidden="1" customWidth="1" outlineLevel="1"/>
    <col min="6" max="6" width="41.85546875" style="1" hidden="1" customWidth="1" outlineLevel="1"/>
    <col min="7" max="7" width="33.5703125" style="1" hidden="1" customWidth="1" outlineLevel="1"/>
    <col min="8" max="8" width="17.28515625" style="1" hidden="1" customWidth="1" outlineLevel="1"/>
    <col min="9" max="9" width="0.85546875" style="1" customWidth="1" collapsed="1"/>
    <col min="10" max="10" width="13.85546875" style="1" customWidth="1"/>
    <col min="11" max="11" width="20" style="1" customWidth="1"/>
    <col min="12" max="12" width="0.85546875" style="1" customWidth="1"/>
    <col min="13" max="13" width="60.7109375" style="1" customWidth="1"/>
    <col min="14" max="14" width="16.42578125" style="1" customWidth="1"/>
    <col min="15" max="15" width="35.7109375" style="1" customWidth="1"/>
    <col min="16" max="16" width="17.7109375" style="1" customWidth="1"/>
    <col min="17" max="17" width="35.7109375" style="1" customWidth="1"/>
    <col min="18" max="18" width="25.7109375" style="1" customWidth="1"/>
    <col min="19" max="20" width="16.7109375" style="1" customWidth="1"/>
    <col min="21" max="21" width="17" style="1" customWidth="1"/>
    <col min="22" max="22" width="15.7109375" style="1" customWidth="1"/>
    <col min="23" max="16384" width="9.140625" style="1"/>
  </cols>
  <sheetData>
    <row r="1" spans="1:22" hidden="1" outlineLevel="1" x14ac:dyDescent="0.25">
      <c r="A1" s="1" t="s">
        <v>0</v>
      </c>
    </row>
    <row r="2" spans="1:22" hidden="1" outlineLevel="1" x14ac:dyDescent="0.25">
      <c r="A2" s="1">
        <f>0</f>
        <v>0</v>
      </c>
      <c r="C2" s="2"/>
      <c r="O2" s="2"/>
      <c r="P2" s="2"/>
      <c r="Q2" s="2"/>
      <c r="R2" s="2"/>
      <c r="S2" s="2"/>
      <c r="T2" s="2"/>
      <c r="U2" s="2"/>
      <c r="V2" s="2"/>
    </row>
    <row r="3" spans="1:22" hidden="1" outlineLevel="1" x14ac:dyDescent="0.25">
      <c r="A3" s="1">
        <f>1</f>
        <v>1</v>
      </c>
      <c r="C3" s="2"/>
      <c r="O3" s="2"/>
      <c r="P3" s="2"/>
      <c r="Q3" s="2"/>
      <c r="R3" s="2"/>
      <c r="S3" s="2"/>
      <c r="T3" s="2"/>
      <c r="U3" s="2"/>
      <c r="V3" s="2"/>
    </row>
    <row r="4" spans="1:22" hidden="1" outlineLevel="1" x14ac:dyDescent="0.25">
      <c r="A4" s="1">
        <f>2</f>
        <v>2</v>
      </c>
      <c r="C4" s="2"/>
      <c r="O4" s="2"/>
      <c r="P4" s="2"/>
      <c r="Q4" s="2"/>
      <c r="R4" s="2"/>
      <c r="S4" s="2"/>
      <c r="T4" s="2"/>
      <c r="U4" s="2"/>
      <c r="V4" s="2"/>
    </row>
    <row r="5" spans="1:22" hidden="1" outlineLevel="1" x14ac:dyDescent="0.25">
      <c r="A5" s="1">
        <f>3</f>
        <v>3</v>
      </c>
      <c r="C5" s="2"/>
      <c r="O5" s="2"/>
      <c r="P5" s="2"/>
      <c r="Q5" s="2"/>
      <c r="R5" s="2"/>
      <c r="S5" s="2"/>
      <c r="T5" s="2"/>
      <c r="U5" s="2"/>
      <c r="V5" s="2"/>
    </row>
    <row r="6" spans="1:22" ht="15.75" hidden="1" outlineLevel="1" thickBot="1" x14ac:dyDescent="0.3">
      <c r="A6" s="1" t="s">
        <v>1</v>
      </c>
      <c r="C6" s="2"/>
      <c r="J6" s="52"/>
      <c r="K6" s="52"/>
      <c r="L6" s="52"/>
      <c r="M6" s="52"/>
      <c r="N6" s="52"/>
      <c r="O6" s="53"/>
      <c r="P6" s="53"/>
      <c r="Q6" s="53"/>
      <c r="R6" s="53"/>
      <c r="S6" s="53"/>
      <c r="T6" s="53"/>
      <c r="U6" s="53"/>
      <c r="V6" s="53"/>
    </row>
    <row r="7" spans="1:22" s="25" customFormat="1" ht="15.75" hidden="1" outlineLevel="1" thickBot="1" x14ac:dyDescent="0.3">
      <c r="A7" s="25" t="s">
        <v>2</v>
      </c>
      <c r="C7" s="49"/>
      <c r="J7" s="54"/>
      <c r="K7" s="55"/>
      <c r="L7" s="56"/>
      <c r="M7" s="57"/>
      <c r="N7" s="58"/>
      <c r="O7" s="59"/>
      <c r="P7" s="60"/>
      <c r="Q7" s="61"/>
      <c r="R7" s="62" t="s">
        <v>165</v>
      </c>
      <c r="S7" s="63"/>
      <c r="T7" s="63"/>
      <c r="U7" s="63"/>
      <c r="V7" s="64"/>
    </row>
    <row r="8" spans="1:22" hidden="1" outlineLevel="1" x14ac:dyDescent="0.25">
      <c r="A8" s="1" t="s">
        <v>3</v>
      </c>
    </row>
    <row r="9" spans="1:22" hidden="1" outlineLevel="1" x14ac:dyDescent="0.25">
      <c r="G9" s="3"/>
      <c r="H9" s="3"/>
    </row>
    <row r="10" spans="1:22" hidden="1" outlineLevel="1" x14ac:dyDescent="0.25">
      <c r="B10" s="69" t="s">
        <v>4</v>
      </c>
      <c r="C10" s="70"/>
      <c r="E10" s="3"/>
    </row>
    <row r="11" spans="1:22" hidden="1" outlineLevel="1" x14ac:dyDescent="0.25">
      <c r="B11" s="4" t="s">
        <v>5</v>
      </c>
      <c r="C11" s="5" t="s">
        <v>176</v>
      </c>
    </row>
    <row r="12" spans="1:22" hidden="1" outlineLevel="1" x14ac:dyDescent="0.25">
      <c r="B12" s="9" t="s">
        <v>73</v>
      </c>
      <c r="C12" s="5" t="e" cm="1">
        <f t="array" aca="1" ref="C12" ca="1">_xll.VIEW(db_name&amp;":}ElementAttributes_}Clients","!","!")</f>
        <v>#NAME?</v>
      </c>
    </row>
    <row r="13" spans="1:22" hidden="1" outlineLevel="1" x14ac:dyDescent="0.25">
      <c r="B13" s="4" t="s">
        <v>104</v>
      </c>
      <c r="C13" s="39" t="e" cm="1">
        <f t="array" aca="1" ref="C13" ca="1">_xll.TM1USER(db_name)</f>
        <v>#NAME?</v>
      </c>
    </row>
    <row r="14" spans="1:22" hidden="1" outlineLevel="1" x14ac:dyDescent="0.25">
      <c r="B14" s="4" t="s">
        <v>105</v>
      </c>
      <c r="C14" s="39" t="e" cm="1">
        <f t="array" aca="1" ref="C14" ca="1">_xll.DBR($C$12,$C$13,$B14)</f>
        <v>#NAME?</v>
      </c>
    </row>
    <row r="15" spans="1:22" hidden="1" outlineLevel="1" x14ac:dyDescent="0.25">
      <c r="B15" s="4" t="s">
        <v>106</v>
      </c>
      <c r="C15" s="39" t="e" cm="1">
        <f t="array" aca="1" ref="C15" ca="1">_xll.DBR($C$12,$C$13,$B15)</f>
        <v>#NAME?</v>
      </c>
    </row>
    <row r="16" spans="1:22" hidden="1" outlineLevel="1" x14ac:dyDescent="0.25">
      <c r="B16" s="5" t="s">
        <v>6</v>
      </c>
      <c r="C16" s="39" t="e">
        <f ca="1">IF(LEFT($C$13,3)="CAM",$C$15,$C$14)</f>
        <v>#NAME?</v>
      </c>
    </row>
    <row r="17" spans="2:8" hidden="1" outlineLevel="1" x14ac:dyDescent="0.25"/>
    <row r="18" spans="2:8" hidden="1" outlineLevel="1" x14ac:dyDescent="0.25">
      <c r="B18" s="69" t="s">
        <v>59</v>
      </c>
      <c r="C18" s="70"/>
    </row>
    <row r="19" spans="2:8" hidden="1" outlineLevel="1" x14ac:dyDescent="0.25">
      <c r="B19" s="5" t="s">
        <v>60</v>
      </c>
      <c r="C19" s="5" t="e" cm="1">
        <f t="array" aca="1" ref="C19" ca="1">_xll.VIEW(db_name&amp;":sys_Application","!","!")</f>
        <v>#NAME?</v>
      </c>
    </row>
    <row r="20" spans="2:8" hidden="1" outlineLevel="1" x14ac:dyDescent="0.25">
      <c r="B20" s="5" t="s">
        <v>107</v>
      </c>
      <c r="C20" s="9" t="s">
        <v>92</v>
      </c>
    </row>
    <row r="21" spans="2:8" hidden="1" outlineLevel="1" x14ac:dyDescent="0.25">
      <c r="B21" s="40" t="s">
        <v>113</v>
      </c>
      <c r="C21" s="41" t="s">
        <v>114</v>
      </c>
      <c r="D21" s="41" t="s">
        <v>115</v>
      </c>
      <c r="E21" s="41" t="s">
        <v>116</v>
      </c>
      <c r="F21" s="41" t="s">
        <v>65</v>
      </c>
      <c r="G21" s="41" t="s">
        <v>117</v>
      </c>
      <c r="H21" s="41" t="s">
        <v>66</v>
      </c>
    </row>
    <row r="22" spans="2:8" hidden="1" outlineLevel="1" x14ac:dyDescent="0.25">
      <c r="B22" s="5" t="s">
        <v>62</v>
      </c>
      <c r="C22" s="5" t="e" cm="1">
        <f t="array" aca="1" ref="C22" ca="1">_xll.DBR($C$19,$B22,C$21)</f>
        <v>#NAME?</v>
      </c>
      <c r="D22" s="5" t="e" cm="1">
        <f t="array" aca="1" ref="D22" ca="1">_xll.DBR($C$19,$B22,D$21)</f>
        <v>#NAME?</v>
      </c>
      <c r="E22" s="5" t="e" cm="1">
        <f t="array" aca="1" ref="E22" ca="1">_xll.DBR($C$19,$B22,E$21)</f>
        <v>#NAME?</v>
      </c>
      <c r="F22" s="5" t="e" cm="1">
        <f t="array" aca="1" ref="F22" ca="1">_xll.DBR($C$19,$B22,F$21)</f>
        <v>#NAME?</v>
      </c>
      <c r="G22" s="5" t="e" cm="1">
        <f t="array" aca="1" ref="G22" ca="1">_xll.DBR($C$19,$B22,G$21)</f>
        <v>#NAME?</v>
      </c>
      <c r="H22" s="5" t="e" cm="1">
        <f t="array" aca="1" ref="H22" ca="1">_xll.DBR($C$19,$B22,H$21)</f>
        <v>#NAME?</v>
      </c>
    </row>
    <row r="23" spans="2:8" hidden="1" outlineLevel="1" x14ac:dyDescent="0.25">
      <c r="B23" s="5" t="s">
        <v>108</v>
      </c>
      <c r="C23" s="5" t="e" cm="1">
        <f t="array" aca="1" ref="C23" ca="1">_xll.DBR($C$19,$B23,C$21)</f>
        <v>#NAME?</v>
      </c>
      <c r="D23" s="5" t="e" cm="1">
        <f t="array" aca="1" ref="D23" ca="1">_xll.DBR($C$19,$B23,D$21)</f>
        <v>#NAME?</v>
      </c>
      <c r="E23" s="5" t="e" cm="1">
        <f t="array" aca="1" ref="E23" ca="1">_xll.DBR($C$19,$B23,E$21)</f>
        <v>#NAME?</v>
      </c>
      <c r="F23" s="5" t="e" cm="1">
        <f t="array" aca="1" ref="F23" ca="1">_xll.DBR($C$19,$B23,F$21)</f>
        <v>#NAME?</v>
      </c>
      <c r="G23" s="5" t="e" cm="1">
        <f t="array" aca="1" ref="G23" ca="1">_xll.DBR($C$19,$B23,G$21)</f>
        <v>#NAME?</v>
      </c>
      <c r="H23" s="5" t="e" cm="1">
        <f t="array" aca="1" ref="H23" ca="1">_xll.DBR($C$19,$B23,H$21)</f>
        <v>#NAME?</v>
      </c>
    </row>
    <row r="24" spans="2:8" hidden="1" outlineLevel="1" x14ac:dyDescent="0.25">
      <c r="B24" s="5" t="s">
        <v>109</v>
      </c>
      <c r="C24" s="5" t="e" cm="1">
        <f t="array" aca="1" ref="C24" ca="1">_xll.DBR($C$19,$B24,C$21)</f>
        <v>#NAME?</v>
      </c>
      <c r="D24" s="5" t="e" cm="1">
        <f t="array" aca="1" ref="D24" ca="1">_xll.DBR($C$19,$B24,D$21)</f>
        <v>#NAME?</v>
      </c>
      <c r="E24" s="5" t="e" cm="1">
        <f t="array" aca="1" ref="E24" ca="1">_xll.DBR($C$19,$B24,E$21)</f>
        <v>#NAME?</v>
      </c>
      <c r="F24" s="5" t="e" cm="1">
        <f t="array" aca="1" ref="F24" ca="1">_xll.DBR($C$19,$B24,F$21)</f>
        <v>#NAME?</v>
      </c>
      <c r="G24" s="5" t="e" cm="1">
        <f t="array" aca="1" ref="G24" ca="1">_xll.DBR($C$19,$B24,G$21)</f>
        <v>#NAME?</v>
      </c>
      <c r="H24" s="5" t="e" cm="1">
        <f t="array" aca="1" ref="H24" ca="1">_xll.DBR($C$19,$B24,H$21)</f>
        <v>#NAME?</v>
      </c>
    </row>
    <row r="25" spans="2:8" hidden="1" outlineLevel="1" x14ac:dyDescent="0.25">
      <c r="B25" s="5" t="s">
        <v>110</v>
      </c>
      <c r="C25" s="5" t="e" cm="1">
        <f t="array" aca="1" ref="C25" ca="1">_xll.DBR($C$19,$B25,C$21)</f>
        <v>#NAME?</v>
      </c>
      <c r="D25" s="5" t="e" cm="1">
        <f t="array" aca="1" ref="D25" ca="1">_xll.DBR($C$19,$B25,D$21)</f>
        <v>#NAME?</v>
      </c>
      <c r="E25" s="5" t="e" cm="1">
        <f t="array" aca="1" ref="E25" ca="1">_xll.DBR($C$19,$B25,E$21)</f>
        <v>#NAME?</v>
      </c>
      <c r="F25" s="5" t="e" cm="1">
        <f t="array" aca="1" ref="F25" ca="1">_xll.DBR($C$19,$B25,F$21)</f>
        <v>#NAME?</v>
      </c>
      <c r="G25" s="5" t="e" cm="1">
        <f t="array" aca="1" ref="G25" ca="1">_xll.DBR($C$19,$B25,G$21)</f>
        <v>#NAME?</v>
      </c>
      <c r="H25" s="5" t="e" cm="1">
        <f t="array" aca="1" ref="H25" ca="1">_xll.DBR($C$19,$B25,H$21)</f>
        <v>#NAME?</v>
      </c>
    </row>
    <row r="26" spans="2:8" hidden="1" outlineLevel="1" x14ac:dyDescent="0.25">
      <c r="B26" s="5" t="s">
        <v>92</v>
      </c>
      <c r="C26" s="5" t="e" cm="1">
        <f t="array" aca="1" ref="C26" ca="1">_xll.DBR($C$19,$B26,C$21)</f>
        <v>#NAME?</v>
      </c>
      <c r="D26" s="5" t="e" cm="1">
        <f t="array" aca="1" ref="D26" ca="1">_xll.DBR($C$19,$B26,D$21)</f>
        <v>#NAME?</v>
      </c>
      <c r="E26" s="5" t="e" cm="1">
        <f t="array" aca="1" ref="E26" ca="1">_xll.DBR($C$19,$B26,E$21)</f>
        <v>#NAME?</v>
      </c>
      <c r="F26" s="5" t="e" cm="1">
        <f t="array" aca="1" ref="F26" ca="1">_xll.DBR($C$19,$B26,F$21)</f>
        <v>#NAME?</v>
      </c>
      <c r="G26" s="5" t="e" cm="1">
        <f t="array" aca="1" ref="G26" ca="1">_xll.DBR($C$19,$B26,G$21)</f>
        <v>#NAME?</v>
      </c>
      <c r="H26" s="5" t="e" cm="1">
        <f t="array" aca="1" ref="H26" ca="1">_xll.DBR($C$19,$B26,H$21)</f>
        <v>#NAME?</v>
      </c>
    </row>
    <row r="27" spans="2:8" hidden="1" outlineLevel="1" x14ac:dyDescent="0.25">
      <c r="B27" s="5" t="s">
        <v>67</v>
      </c>
      <c r="C27" s="5" t="e" cm="1">
        <f t="array" aca="1" ref="C27" ca="1">_xll.DBR($C$19,$B27,C$21)</f>
        <v>#NAME?</v>
      </c>
      <c r="D27" s="5" t="e" cm="1">
        <f t="array" aca="1" ref="D27" ca="1">_xll.DBR($C$19,$B27,D$21)</f>
        <v>#NAME?</v>
      </c>
      <c r="E27" s="5" t="e" cm="1">
        <f t="array" aca="1" ref="E27" ca="1">_xll.DBR($C$19,$B27,E$21)</f>
        <v>#NAME?</v>
      </c>
      <c r="F27" s="5" t="e" cm="1">
        <f t="array" aca="1" ref="F27" ca="1">_xll.DBR($C$19,$B27,F$21)</f>
        <v>#NAME?</v>
      </c>
      <c r="G27" s="5" t="e" cm="1">
        <f t="array" aca="1" ref="G27" ca="1">_xll.DBR($C$19,$B27,G$21)</f>
        <v>#NAME?</v>
      </c>
      <c r="H27" s="5" t="e" cm="1">
        <f t="array" aca="1" ref="H27" ca="1">_xll.DBR($C$19,$B27,H$21)</f>
        <v>#NAME?</v>
      </c>
    </row>
    <row r="28" spans="2:8" hidden="1" outlineLevel="1" x14ac:dyDescent="0.25">
      <c r="B28" s="5" t="s">
        <v>64</v>
      </c>
      <c r="C28" s="5" t="e" cm="1">
        <f t="array" aca="1" ref="C28" ca="1">_xll.DBR($C$19,$B28,C$21)</f>
        <v>#NAME?</v>
      </c>
      <c r="D28" s="5" t="e" cm="1">
        <f t="array" aca="1" ref="D28" ca="1">_xll.DBR($C$19,$B28,D$21)</f>
        <v>#NAME?</v>
      </c>
      <c r="E28" s="5" t="e" cm="1">
        <f t="array" aca="1" ref="E28" ca="1">_xll.DBR($C$19,$B28,E$21)</f>
        <v>#NAME?</v>
      </c>
      <c r="F28" s="5" t="e" cm="1">
        <f t="array" aca="1" ref="F28" ca="1">_xll.DBR($C$19,$B28,F$21)</f>
        <v>#NAME?</v>
      </c>
      <c r="G28" s="5" t="e" cm="1">
        <f t="array" aca="1" ref="G28" ca="1">_xll.DBR($C$19,$B28,G$21)</f>
        <v>#NAME?</v>
      </c>
      <c r="H28" s="5" t="e" cm="1">
        <f t="array" aca="1" ref="H28" ca="1">_xll.DBR($C$19,$B28,H$21)</f>
        <v>#NAME?</v>
      </c>
    </row>
    <row r="29" spans="2:8" hidden="1" outlineLevel="1" x14ac:dyDescent="0.25">
      <c r="B29" s="9" t="s">
        <v>111</v>
      </c>
      <c r="C29" s="5" t="e" cm="1">
        <f t="array" aca="1" ref="C29" ca="1">_xll.DBR($C$19,$B29,C$21)</f>
        <v>#NAME?</v>
      </c>
      <c r="D29" s="5" t="e" cm="1">
        <f t="array" aca="1" ref="D29" ca="1">_xll.DBR($C$19,$B29,D$21)</f>
        <v>#NAME?</v>
      </c>
      <c r="E29" s="5" t="e" cm="1">
        <f t="array" aca="1" ref="E29" ca="1">_xll.DBR($C$19,$B29,E$21)</f>
        <v>#NAME?</v>
      </c>
      <c r="F29" s="5" t="e" cm="1">
        <f t="array" aca="1" ref="F29" ca="1">_xll.DBR($C$19,$B29,F$21)</f>
        <v>#NAME?</v>
      </c>
      <c r="G29" s="5" t="e" cm="1">
        <f t="array" aca="1" ref="G29" ca="1">_xll.DBR($C$19,$B29,G$21)</f>
        <v>#NAME?</v>
      </c>
      <c r="H29" s="5" t="e" cm="1">
        <f t="array" aca="1" ref="H29" ca="1">_xll.DBR($C$19,$B29,H$21)</f>
        <v>#NAME?</v>
      </c>
    </row>
    <row r="30" spans="2:8" hidden="1" outlineLevel="1" x14ac:dyDescent="0.25">
      <c r="B30" s="9" t="s">
        <v>63</v>
      </c>
      <c r="C30" s="5" t="e" cm="1">
        <f t="array" aca="1" ref="C30" ca="1">_xll.DBR($C$19,$B30,C$21)</f>
        <v>#NAME?</v>
      </c>
      <c r="D30" s="5" t="e" cm="1">
        <f t="array" aca="1" ref="D30" ca="1">_xll.DBR($C$19,$B30,D$21)</f>
        <v>#NAME?</v>
      </c>
      <c r="E30" s="5" t="e" cm="1">
        <f t="array" aca="1" ref="E30" ca="1">_xll.DBR($C$19,$B30,E$21)</f>
        <v>#NAME?</v>
      </c>
      <c r="F30" s="5" t="e" cm="1">
        <f t="array" aca="1" ref="F30" ca="1">_xll.DBR($C$19,$B30,F$21)</f>
        <v>#NAME?</v>
      </c>
      <c r="G30" s="5" t="e" cm="1">
        <f t="array" aca="1" ref="G30" ca="1">_xll.DBR($C$19,$B30,G$21)</f>
        <v>#NAME?</v>
      </c>
      <c r="H30" s="5" t="e" cm="1">
        <f t="array" aca="1" ref="H30" ca="1">_xll.DBR($C$19,$B30,H$21)</f>
        <v>#NAME?</v>
      </c>
    </row>
    <row r="31" spans="2:8" hidden="1" outlineLevel="1" x14ac:dyDescent="0.25">
      <c r="B31" s="9" t="s">
        <v>112</v>
      </c>
      <c r="C31" s="5" t="e" cm="1">
        <f t="array" aca="1" ref="C31" ca="1">_xll.DBR($C$19,$B31,C$21)</f>
        <v>#NAME?</v>
      </c>
      <c r="D31" s="5" t="e" cm="1">
        <f t="array" aca="1" ref="D31" ca="1">_xll.DBR($C$19,$B31,D$21)</f>
        <v>#NAME?</v>
      </c>
      <c r="E31" s="5" t="e" cm="1">
        <f t="array" aca="1" ref="E31" ca="1">_xll.DBR($C$19,$B31,E$21)</f>
        <v>#NAME?</v>
      </c>
      <c r="F31" s="5" t="e" cm="1">
        <f t="array" aca="1" ref="F31" ca="1">_xll.DBR($C$19,$B31,F$21)</f>
        <v>#NAME?</v>
      </c>
      <c r="G31" s="5" t="e" cm="1">
        <f t="array" aca="1" ref="G31" ca="1">_xll.DBR($C$19,$B31,G$21)</f>
        <v>#NAME?</v>
      </c>
      <c r="H31" s="5" t="e" cm="1">
        <f t="array" aca="1" ref="H31" ca="1">_xll.DBR($C$19,$B31,H$21)</f>
        <v>#NAME?</v>
      </c>
    </row>
    <row r="32" spans="2:8" hidden="1" outlineLevel="1" x14ac:dyDescent="0.25">
      <c r="B32" s="9" t="s">
        <v>169</v>
      </c>
      <c r="C32" s="5" t="e" cm="1">
        <f t="array" aca="1" ref="C32" ca="1">_xll.DBR($C$19,$B32,C$21)</f>
        <v>#NAME?</v>
      </c>
      <c r="D32" s="5" t="e" cm="1">
        <f t="array" aca="1" ref="D32" ca="1">_xll.DBR($C$19,$B32,D$21)</f>
        <v>#NAME?</v>
      </c>
      <c r="E32" s="5" t="e" cm="1">
        <f t="array" aca="1" ref="E32" ca="1">_xll.DBR($C$19,$B32,E$21)</f>
        <v>#NAME?</v>
      </c>
      <c r="F32" s="5" t="e" cm="1">
        <f t="array" aca="1" ref="F32" ca="1">_xll.DBR($C$19,$B32,F$21)</f>
        <v>#NAME?</v>
      </c>
      <c r="G32" s="5" t="e" cm="1">
        <f t="array" aca="1" ref="G32" ca="1">_xll.DBR($C$19,$B32,G$21)</f>
        <v>#NAME?</v>
      </c>
      <c r="H32" s="5" t="e" cm="1">
        <f t="array" aca="1" ref="H32" ca="1">_xll.DBR($C$19,$B32,H$21)</f>
        <v>#NAME?</v>
      </c>
    </row>
    <row r="33" spans="2:5" hidden="1" outlineLevel="1" x14ac:dyDescent="0.25"/>
    <row r="34" spans="2:5" hidden="1" outlineLevel="1" x14ac:dyDescent="0.25">
      <c r="B34" s="71" t="s">
        <v>7</v>
      </c>
      <c r="C34" s="72"/>
    </row>
    <row r="35" spans="2:5" hidden="1" outlineLevel="1" x14ac:dyDescent="0.25">
      <c r="B35" s="6" t="s">
        <v>8</v>
      </c>
      <c r="C35" s="7" t="e" cm="1">
        <f t="array" aca="1" ref="C35" ca="1">_xll.VIEW(db_name&amp;":sys_client preference",$C$13,"!","!")</f>
        <v>#NAME?</v>
      </c>
    </row>
    <row r="36" spans="2:5" hidden="1" outlineLevel="1" x14ac:dyDescent="0.25">
      <c r="B36" s="9" t="s">
        <v>118</v>
      </c>
      <c r="C36" s="5" t="e" cm="1">
        <f t="array" aca="1" ref="C36" ca="1">_xll.DBR($C$35,psUser,$B36,"value")</f>
        <v>#NAME?</v>
      </c>
      <c r="D36" s="1" t="e" cm="1">
        <f t="array" aca="1" ref="D36" ca="1">IF($C36&lt;&gt;psHLYear,_xll.DBSS(psHLYear,$C$35,psUser,$B36,"value"),"")</f>
        <v>#NAME?</v>
      </c>
    </row>
    <row r="37" spans="2:5" hidden="1" outlineLevel="1" x14ac:dyDescent="0.25">
      <c r="B37" s="9" t="s">
        <v>119</v>
      </c>
      <c r="C37" s="5" t="e" cm="1">
        <f t="array" aca="1" ref="C37" ca="1">_xll.DBR($C$35,psUser,$B37,"value")</f>
        <v>#NAME?</v>
      </c>
      <c r="D37" s="1" t="e" cm="1">
        <f t="array" aca="1" ref="D37" ca="1">IF($C37&lt;&gt;psScenario,_xll.DBSS(psScenario,$C$35,psUser,$B37,"value"),"")</f>
        <v>#NAME?</v>
      </c>
    </row>
    <row r="38" spans="2:5" hidden="1" outlineLevel="1" x14ac:dyDescent="0.25">
      <c r="B38" s="9" t="s">
        <v>120</v>
      </c>
      <c r="C38" s="5" t="e" cm="1">
        <f t="array" aca="1" ref="C38" ca="1">_xll.DBR($C$35,psUser,$B38,"value")</f>
        <v>#NAME?</v>
      </c>
    </row>
    <row r="39" spans="2:5" hidden="1" outlineLevel="1" x14ac:dyDescent="0.25">
      <c r="B39" s="9" t="s">
        <v>94</v>
      </c>
      <c r="C39" s="5" t="e" cm="1">
        <f t="array" aca="1" ref="C39" ca="1">_xll.DBR($C$35,psUser,$B39,"value")</f>
        <v>#NAME?</v>
      </c>
    </row>
    <row r="40" spans="2:5" hidden="1" outlineLevel="1" x14ac:dyDescent="0.25"/>
    <row r="41" spans="2:5" hidden="1" outlineLevel="1" x14ac:dyDescent="0.25">
      <c r="B41" s="69" t="s">
        <v>9</v>
      </c>
      <c r="C41" s="70"/>
      <c r="D41" s="69" t="s">
        <v>85</v>
      </c>
      <c r="E41" s="70"/>
    </row>
    <row r="42" spans="2:5" hidden="1" outlineLevel="1" x14ac:dyDescent="0.25">
      <c r="B42" s="4" t="s">
        <v>8</v>
      </c>
      <c r="C42" s="5" t="e" cm="1">
        <f t="array" aca="1" ref="C42" ca="1">_xll.VIEW(db_name&amp;":}ElementAttributes_variables","!","!")</f>
        <v>#NAME?</v>
      </c>
      <c r="D42" s="4" t="s">
        <v>8</v>
      </c>
      <c r="E42" s="5" t="e" cm="1">
        <f t="array" aca="1" ref="E42" ca="1">_xll.VIEW(db_name&amp;":sys_budget stage lookup",psHLYear,psScenario,$E$36)</f>
        <v>#NAME?</v>
      </c>
    </row>
    <row r="43" spans="2:5" hidden="1" outlineLevel="1" x14ac:dyDescent="0.25">
      <c r="B43" s="5" t="s">
        <v>10</v>
      </c>
      <c r="C43" s="5" t="e" cm="1">
        <f t="array" aca="1" ref="C43" ca="1">_xll.DBR($C$42,$B43,"value")</f>
        <v>#NAME?</v>
      </c>
      <c r="D43" s="5" t="s">
        <v>86</v>
      </c>
      <c r="E43" s="9" t="e" cm="1">
        <f t="array" aca="1" ref="E43" ca="1">_xll.DBR($E$42,psHLYear,psScenario,$D43)</f>
        <v>#NAME?</v>
      </c>
    </row>
    <row r="44" spans="2:5" hidden="1" outlineLevel="1" x14ac:dyDescent="0.25">
      <c r="B44" s="5" t="s">
        <v>11</v>
      </c>
      <c r="C44" s="5" t="e" cm="1">
        <f t="array" aca="1" ref="C44" ca="1">_xll.DBR($C$42,$B44,"value")</f>
        <v>#NAME?</v>
      </c>
      <c r="D44" s="9"/>
      <c r="E44" s="5"/>
    </row>
    <row r="45" spans="2:5" hidden="1" outlineLevel="1" x14ac:dyDescent="0.25">
      <c r="B45" s="5" t="s">
        <v>121</v>
      </c>
      <c r="C45" s="5" t="e" cm="1">
        <f t="array" aca="1" ref="C45" ca="1">_xll.DBR($C$42,$B45,"value")</f>
        <v>#NAME?</v>
      </c>
    </row>
    <row r="46" spans="2:5" hidden="1" outlineLevel="1" x14ac:dyDescent="0.25">
      <c r="B46" s="9" t="s">
        <v>122</v>
      </c>
      <c r="C46" s="5" t="e" cm="1">
        <f t="array" aca="1" ref="C46" ca="1">_xll.DBR($C$42,$B46,"value")</f>
        <v>#NAME?</v>
      </c>
    </row>
    <row r="47" spans="2:5" hidden="1" outlineLevel="1" x14ac:dyDescent="0.25">
      <c r="B47" s="9" t="s">
        <v>123</v>
      </c>
      <c r="C47" s="9" t="e" cm="1">
        <f t="array" aca="1" ref="C47" ca="1">_xll.DIMIX(db_name&amp;":headline year",$C$46)</f>
        <v>#NAME?</v>
      </c>
    </row>
    <row r="48" spans="2:5" hidden="1" outlineLevel="1" x14ac:dyDescent="0.25">
      <c r="B48" s="9" t="s">
        <v>124</v>
      </c>
      <c r="C48" s="9" t="e" cm="1">
        <f t="array" aca="1" ref="C48" ca="1">_xll.DIMIX(db_name&amp;":headline year",psHLYear)</f>
        <v>#NAME?</v>
      </c>
    </row>
    <row r="49" spans="2:5" hidden="1" outlineLevel="1" x14ac:dyDescent="0.25"/>
    <row r="50" spans="2:5" hidden="1" outlineLevel="1" x14ac:dyDescent="0.25">
      <c r="B50" s="69" t="s">
        <v>17</v>
      </c>
      <c r="C50" s="70"/>
    </row>
    <row r="51" spans="2:5" hidden="1" outlineLevel="1" x14ac:dyDescent="0.25">
      <c r="B51" s="9" t="s">
        <v>19</v>
      </c>
      <c r="C51" s="9" t="e" cm="1">
        <f t="array" aca="1" ref="C51" ca="1">_xll.TM1RPTVIEW(db_name&amp;":AE id details:2", 1, _xll.TM1RPTTITLE(db_name&amp;":headline year",$M$131), _xll.TM1RPTTITLE(db_name&amp;":scenario",$M$132),TM1RPTFMTRNG,TM1RPTFMTIDCOL)</f>
        <v>#NAME?</v>
      </c>
    </row>
    <row r="52" spans="2:5" hidden="1" outlineLevel="1" x14ac:dyDescent="0.25">
      <c r="B52" s="9" t="s">
        <v>22</v>
      </c>
      <c r="C52" s="9" t="e" cm="1">
        <f t="array" aca="1" ref="C52" ca="1">_xll.VIEW(db_name&amp;":AE id details",$M$131,$M$132,"!","!")</f>
        <v>#NAME?</v>
      </c>
    </row>
    <row r="53" spans="2:5" hidden="1" outlineLevel="1" x14ac:dyDescent="0.25">
      <c r="B53" s="9" t="s">
        <v>24</v>
      </c>
      <c r="C53" s="9" t="e">
        <f ca="1">$C$16&amp;"_$sysBulkList"</f>
        <v>#NAME?</v>
      </c>
    </row>
    <row r="54" spans="2:5" hidden="1" outlineLevel="1" x14ac:dyDescent="0.25">
      <c r="B54" s="9" t="s">
        <v>81</v>
      </c>
      <c r="C54" s="9" t="e" cm="1">
        <f t="array" aca="1" ref="C54" ca="1">_xll.SUBSIZ(db_name&amp;":id",$C$53)-1</f>
        <v>#NAME?</v>
      </c>
    </row>
    <row r="55" spans="2:5" hidden="1" outlineLevel="1" x14ac:dyDescent="0.25">
      <c r="B55" s="69" t="s">
        <v>29</v>
      </c>
      <c r="C55" s="70"/>
    </row>
    <row r="56" spans="2:5" hidden="1" outlineLevel="1" x14ac:dyDescent="0.25">
      <c r="B56" s="9" t="s">
        <v>22</v>
      </c>
      <c r="C56" s="9" t="e" cm="1">
        <f t="array" aca="1" ref="C56" ca="1">_xll.VIEW(db_name&amp;":AE bulk processing",psUser,$M$131,$M$132,"!","!")</f>
        <v>#NAME?</v>
      </c>
    </row>
    <row r="57" spans="2:5" hidden="1" outlineLevel="1" x14ac:dyDescent="0.25"/>
    <row r="58" spans="2:5" hidden="1" outlineLevel="1" x14ac:dyDescent="0.25">
      <c r="B58" s="8" t="s">
        <v>12</v>
      </c>
      <c r="C58" s="8" t="s">
        <v>13</v>
      </c>
      <c r="D58" s="1" t="s">
        <v>36</v>
      </c>
      <c r="E58" s="1" t="s">
        <v>55</v>
      </c>
    </row>
    <row r="59" spans="2:5" hidden="1" outlineLevel="1" x14ac:dyDescent="0.25">
      <c r="B59" s="9" t="s">
        <v>166</v>
      </c>
      <c r="C59" s="9" t="s">
        <v>148</v>
      </c>
      <c r="D59" s="1" t="s">
        <v>56</v>
      </c>
      <c r="E59" s="1" t="s">
        <v>55</v>
      </c>
    </row>
    <row r="60" spans="2:5" hidden="1" outlineLevel="1" x14ac:dyDescent="0.25">
      <c r="B60" s="9" t="s">
        <v>15</v>
      </c>
      <c r="C60" s="9" t="s">
        <v>16</v>
      </c>
      <c r="D60" s="1" t="s">
        <v>57</v>
      </c>
      <c r="E60" s="1" t="s">
        <v>58</v>
      </c>
    </row>
    <row r="61" spans="2:5" hidden="1" outlineLevel="1" x14ac:dyDescent="0.25">
      <c r="B61" s="9" t="s">
        <v>18</v>
      </c>
      <c r="C61" s="9" t="s">
        <v>69</v>
      </c>
    </row>
    <row r="62" spans="2:5" hidden="1" outlineLevel="1" x14ac:dyDescent="0.25">
      <c r="B62" s="9" t="s">
        <v>149</v>
      </c>
      <c r="C62" s="9" t="s">
        <v>150</v>
      </c>
    </row>
    <row r="63" spans="2:5" hidden="1" outlineLevel="1" x14ac:dyDescent="0.25">
      <c r="B63" s="9" t="s">
        <v>151</v>
      </c>
      <c r="C63" s="9" t="s">
        <v>152</v>
      </c>
    </row>
    <row r="64" spans="2:5" hidden="1" outlineLevel="1" x14ac:dyDescent="0.25">
      <c r="B64" s="9" t="s">
        <v>20</v>
      </c>
      <c r="C64" s="9" t="s">
        <v>21</v>
      </c>
    </row>
    <row r="65" spans="2:5" hidden="1" outlineLevel="1" x14ac:dyDescent="0.25">
      <c r="B65" s="9" t="s">
        <v>153</v>
      </c>
      <c r="C65" s="9" t="s">
        <v>153</v>
      </c>
    </row>
    <row r="66" spans="2:5" hidden="1" outlineLevel="1" x14ac:dyDescent="0.25">
      <c r="B66" s="9" t="s">
        <v>167</v>
      </c>
      <c r="C66" s="9" t="s">
        <v>158</v>
      </c>
    </row>
    <row r="67" spans="2:5" hidden="1" outlineLevel="1" x14ac:dyDescent="0.25">
      <c r="B67" s="5" t="s">
        <v>172</v>
      </c>
      <c r="C67" s="9" t="s">
        <v>170</v>
      </c>
    </row>
    <row r="68" spans="2:5" hidden="1" outlineLevel="1" x14ac:dyDescent="0.25">
      <c r="B68" s="5" t="s">
        <v>173</v>
      </c>
      <c r="C68" s="9" t="s">
        <v>171</v>
      </c>
    </row>
    <row r="69" spans="2:5" hidden="1" outlineLevel="1" x14ac:dyDescent="0.25">
      <c r="B69" s="5" t="s">
        <v>161</v>
      </c>
      <c r="C69" s="9" t="s">
        <v>159</v>
      </c>
    </row>
    <row r="70" spans="2:5" hidden="1" outlineLevel="1" x14ac:dyDescent="0.25">
      <c r="B70" s="9" t="s">
        <v>25</v>
      </c>
      <c r="C70" s="9" t="s">
        <v>26</v>
      </c>
    </row>
    <row r="71" spans="2:5" hidden="1" outlineLevel="1" x14ac:dyDescent="0.25">
      <c r="B71" s="9" t="s">
        <v>27</v>
      </c>
      <c r="C71" s="9" t="s">
        <v>28</v>
      </c>
    </row>
    <row r="72" spans="2:5" hidden="1" outlineLevel="1" x14ac:dyDescent="0.25"/>
    <row r="73" spans="2:5" hidden="1" outlineLevel="1" x14ac:dyDescent="0.25">
      <c r="B73" s="26" t="s">
        <v>30</v>
      </c>
      <c r="C73" s="26" t="e">
        <f ca="1">VLOOKUP(psFilter,sys_idfilter_lookup,2,FALSE)</f>
        <v>#NAME?</v>
      </c>
      <c r="D73" s="26" t="s">
        <v>31</v>
      </c>
      <c r="E73" s="26" t="s">
        <v>32</v>
      </c>
    </row>
    <row r="74" spans="2:5" hidden="1" outlineLevel="1" x14ac:dyDescent="0.25">
      <c r="B74" s="9" t="s">
        <v>33</v>
      </c>
      <c r="C74" s="27" t="e">
        <f ca="1">IF($M$128="","",VLOOKUP($M$128,$B$85:$E$107,3,FALSE))</f>
        <v>#NAME?</v>
      </c>
      <c r="D74" s="9"/>
      <c r="E74" s="9"/>
    </row>
    <row r="75" spans="2:5" hidden="1" outlineLevel="1" x14ac:dyDescent="0.25">
      <c r="B75" s="9" t="s">
        <v>34</v>
      </c>
      <c r="C75" s="9" t="s">
        <v>35</v>
      </c>
      <c r="D75" s="9"/>
      <c r="E75" s="9"/>
    </row>
    <row r="76" spans="2:5" hidden="1" outlineLevel="1" x14ac:dyDescent="0.25"/>
    <row r="77" spans="2:5" hidden="1" outlineLevel="1" x14ac:dyDescent="0.25">
      <c r="B77" s="73" t="s">
        <v>77</v>
      </c>
      <c r="C77" s="73"/>
    </row>
    <row r="78" spans="2:5" hidden="1" outlineLevel="1" x14ac:dyDescent="0.25">
      <c r="B78" s="9" t="s">
        <v>74</v>
      </c>
      <c r="C78" s="9"/>
    </row>
    <row r="79" spans="2:5" hidden="1" outlineLevel="1" x14ac:dyDescent="0.25">
      <c r="B79" s="9" t="s">
        <v>75</v>
      </c>
      <c r="C79" s="9" t="e">
        <f ca="1">IF($C$81="","Process Failed or process is not allowed to SELECT ALL.",$C$81)</f>
        <v>#NAME?</v>
      </c>
    </row>
    <row r="80" spans="2:5" hidden="1" outlineLevel="1" x14ac:dyDescent="0.25">
      <c r="B80" s="9" t="s">
        <v>76</v>
      </c>
      <c r="C80" s="9"/>
    </row>
    <row r="81" spans="2:8" hidden="1" outlineLevel="1" x14ac:dyDescent="0.25">
      <c r="B81" s="9" t="s">
        <v>82</v>
      </c>
      <c r="C81" s="5" t="e" cm="1">
        <f t="array" aca="1" ref="C81" ca="1">_xll.DBR($C$35,$C$13,"sys_bulk process","validate")</f>
        <v>#NAME?</v>
      </c>
      <c r="D81" s="29" t="s">
        <v>84</v>
      </c>
    </row>
    <row r="82" spans="2:8" hidden="1" outlineLevel="1" x14ac:dyDescent="0.25"/>
    <row r="83" spans="2:8" hidden="1" outlineLevel="1" x14ac:dyDescent="0.25">
      <c r="B83" s="26" t="s">
        <v>36</v>
      </c>
      <c r="C83" s="26" t="s">
        <v>20</v>
      </c>
      <c r="D83" s="26" t="s">
        <v>141</v>
      </c>
      <c r="E83" s="26"/>
      <c r="F83" s="26" t="s">
        <v>78</v>
      </c>
      <c r="G83" s="26" t="s">
        <v>79</v>
      </c>
      <c r="H83" s="26" t="s">
        <v>97</v>
      </c>
    </row>
    <row r="84" spans="2:8" hidden="1" outlineLevel="1" x14ac:dyDescent="0.25">
      <c r="B84" s="34"/>
      <c r="C84" s="34"/>
      <c r="D84" s="34"/>
      <c r="E84" s="34"/>
      <c r="F84" s="34" t="str">
        <f ca="1">IF(ISERROR(VLOOKUP(psBulkProcess,sys_bulkprocesslist,5,FALSE)),"Please select a process",VLOOKUP(psBulkProcess,sys_bulkprocesslist,5,FALSE))</f>
        <v>Please select a process</v>
      </c>
      <c r="G84" s="34" t="str">
        <f ca="1">IF(ISERROR(VLOOKUP(psBulkProcess,sys_bulkprocesslist,6,FALSE)),"Please select a process",VLOOKUP(psBulkProcess,sys_bulkprocesslist,6,FALSE))</f>
        <v>Please select a process</v>
      </c>
      <c r="H84" s="34" t="str">
        <f ca="1">IF(ISERROR(VLOOKUP(psBulkProcess,sys_bulkprocesslist,7,FALSE)),"Please select a process",VLOOKUP(psBulkProcess,sys_bulkprocesslist,7,FALSE))</f>
        <v>Please select a process</v>
      </c>
    </row>
    <row r="85" spans="2:8" hidden="1" outlineLevel="1" x14ac:dyDescent="0.25">
      <c r="B85" s="9" t="s">
        <v>125</v>
      </c>
      <c r="C85" s="9" t="s">
        <v>42</v>
      </c>
      <c r="D85" s="9" t="e">
        <f t="shared" ref="D85:D97" ca="1" si="0">"{{TM1SORT({FILTER( {{FILTER( {EXCEPT( {[id].[Total IDs].Children}, {[id].[00000],[id].[cash flow]} )}, INSTR( [AE id details].([Headline Year].[" &amp; psHLYear &amp;"],[scenario].[" &amp; psScenario &amp;"],[id measure].[" &amp;$C$64&amp;"]), "  &amp; $C$75 &amp;  $C85 &amp; $C$75 &amp;  " ) &gt;=1) }}, INSTR( [AE id details].([Headline Year].[" &amp; psHLYear &amp;"],[scenario].[" &amp; psScenario &amp;"],[id measure].[" &amp;$C$73&amp;"]), "  &amp; $C$75 &amp;  $Q$132 &amp; $C$75 &amp;  " ) &gt;=1)}, DESC)},[id].[cash flow]}"</f>
        <v>#NAME?</v>
      </c>
      <c r="E85" s="9"/>
      <c r="F85" s="9" t="str">
        <f>"Are you sure you want to run the " &amp; $B85 &amp; " Process?"</f>
        <v>Are you sure you want to run the Unauthorised to draft Process?</v>
      </c>
      <c r="G85" s="9" t="str">
        <f>"The bulk process for "&amp; $B85 &amp;"  has completed successfully."</f>
        <v>The bulk process for Unauthorised to draft  has completed successfully.</v>
      </c>
      <c r="H85" s="9" t="str">
        <f>"The bulk process for " &amp; $B85 &amp; " failed. Please refresh list and try again."</f>
        <v>The bulk process for Unauthorised to draft failed. Please refresh list and try again.</v>
      </c>
    </row>
    <row r="86" spans="2:8" ht="14.25" hidden="1" customHeight="1" outlineLevel="1" x14ac:dyDescent="0.25">
      <c r="B86" s="9" t="s">
        <v>126</v>
      </c>
      <c r="C86" s="9" t="s">
        <v>142</v>
      </c>
      <c r="D86" s="9" t="e">
        <f t="shared" ca="1" si="0"/>
        <v>#NAME?</v>
      </c>
      <c r="E86" s="9"/>
      <c r="F86" s="9" t="str">
        <f>"Are you sure you want to run the " &amp; $B86 &amp; " Process?"</f>
        <v>Are you sure you want to run the draft to submitted Process?</v>
      </c>
      <c r="G86" s="9" t="str">
        <f t="shared" ref="G86:G107" si="1">"The bulk process for "&amp; $B86 &amp;"  has completed successfully."</f>
        <v>The bulk process for draft to submitted  has completed successfully.</v>
      </c>
      <c r="H86" s="9" t="str">
        <f t="shared" ref="H86:H107" si="2">"The bulk process for " &amp; $B86 &amp; " failed. Please refresh list and try again."</f>
        <v>The bulk process for draft to submitted failed. Please refresh list and try again.</v>
      </c>
    </row>
    <row r="87" spans="2:8" ht="14.25" hidden="1" customHeight="1" outlineLevel="1" x14ac:dyDescent="0.25">
      <c r="B87" s="9" t="s">
        <v>127</v>
      </c>
      <c r="C87" s="9" t="s">
        <v>142</v>
      </c>
      <c r="D87" s="9" t="e">
        <f t="shared" ca="1" si="0"/>
        <v>#NAME?</v>
      </c>
      <c r="E87" s="9"/>
      <c r="F87" s="9" t="str">
        <f t="shared" ref="F87:F91" si="3">"Are you sure you want to run the " &amp; $B87 &amp; " Process?"</f>
        <v>Are you sure you want to run the draft to approved Process?</v>
      </c>
      <c r="G87" s="9" t="str">
        <f t="shared" si="1"/>
        <v>The bulk process for draft to approved  has completed successfully.</v>
      </c>
      <c r="H87" s="9" t="str">
        <f t="shared" si="2"/>
        <v>The bulk process for draft to approved failed. Please refresh list and try again.</v>
      </c>
    </row>
    <row r="88" spans="2:8" ht="14.25" hidden="1" customHeight="1" outlineLevel="1" x14ac:dyDescent="0.25">
      <c r="B88" s="9" t="s">
        <v>128</v>
      </c>
      <c r="C88" s="9" t="s">
        <v>142</v>
      </c>
      <c r="D88" s="9" t="e">
        <f t="shared" ca="1" si="0"/>
        <v>#NAME?</v>
      </c>
      <c r="E88" s="9"/>
      <c r="F88" s="9" t="str">
        <f t="shared" si="3"/>
        <v>Are you sure you want to run the draft to approved non-flat file Process?</v>
      </c>
      <c r="G88" s="9" t="str">
        <f t="shared" si="1"/>
        <v>The bulk process for draft to approved non-flat file  has completed successfully.</v>
      </c>
      <c r="H88" s="9" t="str">
        <f t="shared" si="2"/>
        <v>The bulk process for draft to approved non-flat file failed. Please refresh list and try again.</v>
      </c>
    </row>
    <row r="89" spans="2:8" ht="14.25" hidden="1" customHeight="1" outlineLevel="1" x14ac:dyDescent="0.25">
      <c r="B89" s="9" t="s">
        <v>129</v>
      </c>
      <c r="C89" s="9" t="s">
        <v>142</v>
      </c>
      <c r="D89" s="9" t="e">
        <f t="shared" ca="1" si="0"/>
        <v>#NAME?</v>
      </c>
      <c r="E89" s="9"/>
      <c r="F89" s="9" t="str">
        <f>"NOTE: This process will not create a CBMS Flat File. Are you sure you want to run the " &amp; $B89 &amp; " Process?"</f>
        <v>NOTE: This process will not create a CBMS Flat File. Are you sure you want to run the draft to CBMS Process?</v>
      </c>
      <c r="G89" s="9" t="str">
        <f t="shared" si="1"/>
        <v>The bulk process for draft to CBMS  has completed successfully.</v>
      </c>
      <c r="H89" s="9" t="str">
        <f t="shared" si="2"/>
        <v>The bulk process for draft to CBMS failed. Please refresh list and try again.</v>
      </c>
    </row>
    <row r="90" spans="2:8" ht="14.25" hidden="1" customHeight="1" outlineLevel="1" x14ac:dyDescent="0.25">
      <c r="B90" s="9" t="s">
        <v>130</v>
      </c>
      <c r="C90" s="9" t="s">
        <v>143</v>
      </c>
      <c r="D90" s="9" t="e">
        <f t="shared" ca="1" si="0"/>
        <v>#NAME?</v>
      </c>
      <c r="E90" s="9"/>
      <c r="F90" s="9" t="str">
        <f t="shared" si="3"/>
        <v>Are you sure you want to run the submitted to approved Process?</v>
      </c>
      <c r="G90" s="9" t="str">
        <f t="shared" si="1"/>
        <v>The bulk process for submitted to approved  has completed successfully.</v>
      </c>
      <c r="H90" s="9" t="str">
        <f t="shared" si="2"/>
        <v>The bulk process for submitted to approved failed. Please refresh list and try again.</v>
      </c>
    </row>
    <row r="91" spans="2:8" ht="14.25" hidden="1" customHeight="1" outlineLevel="1" x14ac:dyDescent="0.25">
      <c r="B91" s="9" t="s">
        <v>131</v>
      </c>
      <c r="C91" s="9" t="s">
        <v>143</v>
      </c>
      <c r="D91" s="9" t="e">
        <f t="shared" ca="1" si="0"/>
        <v>#NAME?</v>
      </c>
      <c r="E91" s="9"/>
      <c r="F91" s="9" t="str">
        <f t="shared" si="3"/>
        <v>Are you sure you want to run the submitted to approved non-flat file Process?</v>
      </c>
      <c r="G91" s="9" t="str">
        <f t="shared" si="1"/>
        <v>The bulk process for submitted to approved non-flat file  has completed successfully.</v>
      </c>
      <c r="H91" s="9" t="str">
        <f t="shared" si="2"/>
        <v>The bulk process for submitted to approved non-flat file failed. Please refresh list and try again.</v>
      </c>
    </row>
    <row r="92" spans="2:8" ht="14.25" hidden="1" customHeight="1" outlineLevel="1" x14ac:dyDescent="0.25">
      <c r="B92" s="9" t="s">
        <v>132</v>
      </c>
      <c r="C92" s="9" t="s">
        <v>143</v>
      </c>
      <c r="D92" s="9" t="e">
        <f t="shared" ca="1" si="0"/>
        <v>#NAME?</v>
      </c>
      <c r="E92" s="9"/>
      <c r="F92" s="9" t="str">
        <f>"NOTE: This process will not create a CBMS Flat File. Are you sure you want to run the " &amp; $B92 &amp; " Process?"</f>
        <v>NOTE: This process will not create a CBMS Flat File. Are you sure you want to run the submitted to CBMS Process?</v>
      </c>
      <c r="G92" s="9" t="str">
        <f t="shared" si="1"/>
        <v>The bulk process for submitted to CBMS  has completed successfully.</v>
      </c>
      <c r="H92" s="9" t="str">
        <f t="shared" si="2"/>
        <v>The bulk process for submitted to CBMS failed. Please refresh list and try again.</v>
      </c>
    </row>
    <row r="93" spans="2:8" hidden="1" outlineLevel="1" x14ac:dyDescent="0.25">
      <c r="B93" s="9" t="s">
        <v>133</v>
      </c>
      <c r="C93" s="9" t="s">
        <v>144</v>
      </c>
      <c r="D93" s="9" t="e">
        <f t="shared" ca="1" si="0"/>
        <v>#NAME?</v>
      </c>
      <c r="E93" s="9"/>
      <c r="F93" s="9" t="str">
        <f>"NOTE: This process will not create a CBMS Flat File. Are you sure you want to run the " &amp; $B93 &amp; " Process?"</f>
        <v>NOTE: This process will not create a CBMS Flat File. Are you sure you want to run the approved to CBMS Process?</v>
      </c>
      <c r="G93" s="9" t="str">
        <f t="shared" si="1"/>
        <v>The bulk process for approved to CBMS  has completed successfully.</v>
      </c>
      <c r="H93" s="9" t="str">
        <f t="shared" si="2"/>
        <v>The bulk process for approved to CBMS failed. Please refresh list and try again.</v>
      </c>
    </row>
    <row r="94" spans="2:8" hidden="1" outlineLevel="1" x14ac:dyDescent="0.25">
      <c r="B94" s="9" t="s">
        <v>134</v>
      </c>
      <c r="C94" s="9" t="s">
        <v>143</v>
      </c>
      <c r="D94" s="9" t="e">
        <f t="shared" ca="1" si="0"/>
        <v>#NAME?</v>
      </c>
      <c r="E94" s="9"/>
      <c r="F94" s="9" t="str">
        <f t="shared" ref="F94:F107" si="4">"Are you sure you want to run the " &amp; $B94 &amp; " Process?"</f>
        <v>Are you sure you want to run the Reject - submitted Process?</v>
      </c>
      <c r="G94" s="9" t="str">
        <f t="shared" si="1"/>
        <v>The bulk process for Reject - submitted  has completed successfully.</v>
      </c>
      <c r="H94" s="9" t="str">
        <f t="shared" si="2"/>
        <v>The bulk process for Reject - submitted failed. Please refresh list and try again.</v>
      </c>
    </row>
    <row r="95" spans="2:8" hidden="1" outlineLevel="1" x14ac:dyDescent="0.25">
      <c r="B95" s="9" t="s">
        <v>135</v>
      </c>
      <c r="C95" s="9" t="s">
        <v>144</v>
      </c>
      <c r="D95" s="9" t="e">
        <f t="shared" ca="1" si="0"/>
        <v>#NAME?</v>
      </c>
      <c r="E95" s="9"/>
      <c r="F95" s="9" t="str">
        <f t="shared" si="4"/>
        <v>Are you sure you want to run the Reject - approved Process?</v>
      </c>
      <c r="G95" s="9" t="str">
        <f t="shared" si="1"/>
        <v>The bulk process for Reject - approved  has completed successfully.</v>
      </c>
      <c r="H95" s="9" t="str">
        <f t="shared" si="2"/>
        <v>The bulk process for Reject - approved failed. Please refresh list and try again.</v>
      </c>
    </row>
    <row r="96" spans="2:8" hidden="1" outlineLevel="1" x14ac:dyDescent="0.25">
      <c r="B96" s="9" t="s">
        <v>136</v>
      </c>
      <c r="C96" s="9" t="s">
        <v>145</v>
      </c>
      <c r="D96" s="9" t="e">
        <f t="shared" ca="1" si="0"/>
        <v>#NAME?</v>
      </c>
      <c r="E96" s="9"/>
      <c r="F96" s="9" t="str">
        <f t="shared" si="4"/>
        <v>Are you sure you want to run the Reject - approved non-flat file Process?</v>
      </c>
      <c r="G96" s="9" t="str">
        <f t="shared" si="1"/>
        <v>The bulk process for Reject - approved non-flat file  has completed successfully.</v>
      </c>
      <c r="H96" s="9" t="str">
        <f t="shared" si="2"/>
        <v>The bulk process for Reject - approved non-flat file failed. Please refresh list and try again.</v>
      </c>
    </row>
    <row r="97" spans="2:10" hidden="1" outlineLevel="1" x14ac:dyDescent="0.25">
      <c r="B97" s="9" t="s">
        <v>137</v>
      </c>
      <c r="C97" s="9" t="s">
        <v>146</v>
      </c>
      <c r="D97" s="9" t="e">
        <f t="shared" ca="1" si="0"/>
        <v>#NAME?</v>
      </c>
      <c r="E97" s="9"/>
      <c r="F97" s="9" t="str">
        <f t="shared" si="4"/>
        <v>Are you sure you want to run the Reject - CBMS Process?</v>
      </c>
      <c r="G97" s="9" t="str">
        <f t="shared" si="1"/>
        <v>The bulk process for Reject - CBMS  has completed successfully.</v>
      </c>
      <c r="H97" s="9" t="str">
        <f t="shared" si="2"/>
        <v>The bulk process for Reject - CBMS failed. Please refresh list and try again.</v>
      </c>
    </row>
    <row r="98" spans="2:10" hidden="1" outlineLevel="1" x14ac:dyDescent="0.25">
      <c r="B98" s="9" t="s">
        <v>37</v>
      </c>
      <c r="C98" s="9" t="s">
        <v>38</v>
      </c>
      <c r="D98" s="9" t="e">
        <f ca="1">"{{TM1SORT({FILTER( {EXCEPT( {[id].[Total IDs].Children}, {[id].[00000],[id].[cash flow]} )}, INSTR( [AE id details].([Headline Year].[" &amp; psHLYear &amp;"],[scenario].[" &amp; psScenario &amp;"],[id measure].[" &amp;$C$73&amp;"]), "  &amp; $C$75 &amp;  $Q$132 &amp; $C$75 &amp;  " ) &gt;=1)}, DESC)},[id].[cash flow]}"</f>
        <v>#NAME?</v>
      </c>
      <c r="E98" s="9"/>
      <c r="F98" s="9" t="str">
        <f t="shared" si="4"/>
        <v>Are you sure you want to run the Copy Process?</v>
      </c>
      <c r="G98" s="9" t="str">
        <f t="shared" si="1"/>
        <v>The bulk process for Copy  has completed successfully.</v>
      </c>
      <c r="H98" s="9" t="str">
        <f t="shared" si="2"/>
        <v>The bulk process for Copy failed. Please refresh list and try again.</v>
      </c>
    </row>
    <row r="99" spans="2:10" hidden="1" outlineLevel="1" x14ac:dyDescent="0.25">
      <c r="B99" s="9" t="s">
        <v>39</v>
      </c>
      <c r="C99" s="9" t="s">
        <v>38</v>
      </c>
      <c r="D99" s="9" t="e">
        <f ca="1">"{{TM1SORT({FILTER( {EXCEPT( {[id].[Total IDs].Children}, {[id].[00000],[id].[cash flow]} )}, INSTR( [AE id details].([Headline Year].[" &amp; psHLYear &amp;"],[scenario].[" &amp; psScenario &amp;"],[id measure].[" &amp;$C$73&amp;"]), "  &amp; $C$75 &amp;  $Q$132 &amp; $C$75 &amp;  " ) &gt;=1)}, DESC)},[id].[cash flow]}"</f>
        <v>#NAME?</v>
      </c>
      <c r="E99" s="9"/>
      <c r="F99" s="9" t="str">
        <f t="shared" si="4"/>
        <v>Are you sure you want to run the Reverse Process?</v>
      </c>
      <c r="G99" s="9" t="str">
        <f t="shared" si="1"/>
        <v>The bulk process for Reverse  has completed successfully.</v>
      </c>
      <c r="H99" s="9" t="str">
        <f t="shared" si="2"/>
        <v>The bulk process for Reverse failed. Please refresh list and try again.</v>
      </c>
    </row>
    <row r="100" spans="2:10" hidden="1" outlineLevel="1" x14ac:dyDescent="0.25">
      <c r="B100" s="9" t="s">
        <v>40</v>
      </c>
      <c r="C100" s="9" t="s">
        <v>38</v>
      </c>
      <c r="D100" s="9" t="e">
        <f ca="1">"{{TM1SORT({FILTER( {EXCEPT( {[id].[Total IDs].Children}, {[id].[00000],[id].[cash flow]} )}, INSTR( [AE id details].([Headline Year].[" &amp; psHLYear &amp;"],[scenario].[" &amp; psScenario &amp;"],[id measure].[" &amp;$C$73&amp;"]), "  &amp; $C$75 &amp;  $Q$132 &amp; $C$75 &amp;  " ) &gt;=1)}, DESC)},[id].[cash flow]}"</f>
        <v>#NAME?</v>
      </c>
      <c r="E100" s="9"/>
      <c r="F100" s="9" t="str">
        <f t="shared" si="4"/>
        <v>Are you sure you want to run the Copy and Reverse Process?</v>
      </c>
      <c r="G100" s="9" t="str">
        <f t="shared" si="1"/>
        <v>The bulk process for Copy and Reverse  has completed successfully.</v>
      </c>
      <c r="H100" s="9" t="str">
        <f t="shared" si="2"/>
        <v>The bulk process for Copy and Reverse failed. Please refresh list and try again.</v>
      </c>
    </row>
    <row r="101" spans="2:10" hidden="1" outlineLevel="1" x14ac:dyDescent="0.25">
      <c r="B101" s="9" t="s">
        <v>87</v>
      </c>
      <c r="C101" s="9" t="s">
        <v>38</v>
      </c>
      <c r="D101" s="9" t="e">
        <f ca="1">"{{TM1SORT({FILTER( {EXCEPT( {[id].[Total IDs].Children}, {[id].[00000],[id].[cash flow]} )}, INSTR( [AE id details].([Headline Year].[" &amp; psHLYear &amp;"],[scenario].[" &amp; psScenario &amp;"],[id measure].[" &amp;$C$73&amp;"]), "  &amp; $C$75 &amp;  $Q$132 &amp; $C$75 &amp;  " ) &gt;=1)}, DESC)},[id].[cash flow]}"</f>
        <v>#NAME?</v>
      </c>
      <c r="E101" s="9"/>
      <c r="F101" s="9" t="str">
        <f t="shared" si="4"/>
        <v>Are you sure you want to run the Print Process?</v>
      </c>
      <c r="G101" s="9" t="e">
        <f ca="1">IF($C$81="","The bulk process for "&amp;$B101&amp;"  has completed successfully.","Bulk Printing cancelled as it exceeds maximum limit")</f>
        <v>#NAME?</v>
      </c>
      <c r="H101" s="9" t="str">
        <f>"The bulk process for " &amp; $B85 &amp; " failed. Bulk Printing has a limit of 20 adjustments per process. Please refresh list and try again."</f>
        <v>The bulk process for Unauthorised to draft failed. Bulk Printing has a limit of 20 adjustments per process. Please refresh list and try again.</v>
      </c>
      <c r="J101" s="29" t="s">
        <v>98</v>
      </c>
    </row>
    <row r="102" spans="2:10" hidden="1" outlineLevel="1" x14ac:dyDescent="0.25">
      <c r="B102" s="9" t="s">
        <v>138</v>
      </c>
      <c r="C102" s="9" t="s">
        <v>144</v>
      </c>
      <c r="D102" s="9" t="e">
        <f ca="1">"{{TM1SORT({FILTER( {{FILTER( {EXCEPT( {[id].[Total IDs].Children}, {[id].[00000],[id].[cash flow]} )}, [AE id details].([Headline Year].[" &amp; psHLYear &amp;"],[scenario].[" &amp; psScenario &amp;"],[id measure].[" &amp;$C$64&amp;"]) = "  &amp; $C$75 &amp;  $C102 &amp; $C$75 &amp;  " )  }}, INSTR( [AE id details].([Headline Year].[" &amp; psHLYear &amp;"],[scenario].[" &amp; psScenario &amp;"],[id measure].[" &amp;$C$73&amp;"]), "  &amp; $C$75 &amp;  $Q$132 &amp; $C$75 &amp;  " ) &gt;=1)}, DESC)},[id].[cash flow]}"</f>
        <v>#NAME?</v>
      </c>
      <c r="E102" s="9"/>
      <c r="F102" s="9" t="str">
        <f t="shared" si="4"/>
        <v>Are you sure you want to run the Flat File Creation Process?</v>
      </c>
      <c r="G102" s="9" t="str">
        <f t="shared" si="1"/>
        <v>The bulk process for Flat File Creation  has completed successfully.</v>
      </c>
      <c r="H102" s="9" t="str">
        <f t="shared" si="2"/>
        <v>The bulk process for Flat File Creation failed. Please refresh list and try again.</v>
      </c>
    </row>
    <row r="103" spans="2:10" hidden="1" outlineLevel="1" x14ac:dyDescent="0.25">
      <c r="B103" s="9" t="s">
        <v>41</v>
      </c>
      <c r="C103" s="9" t="s">
        <v>42</v>
      </c>
      <c r="D103" s="9" t="e">
        <f t="shared" ref="D103:D107" ca="1" si="5">"{{TM1SORT({FILTER( {{FILTER( {EXCEPT( {[id].[Total IDs].Children}, {[id].[00000],[id].[cash flow]} )}, INSTR( [AE id details].([Headline Year].[" &amp; psHLYear &amp;"],[scenario].[" &amp; psScenario &amp;"],[id measure].[" &amp;$C$64&amp;"]), "  &amp; $C$75 &amp;  $C103 &amp; $C$75 &amp;  " ) &gt;=1) }}, INSTR( [AE id details].([Headline Year].[" &amp; psHLYear &amp;"],[scenario].[" &amp; psScenario &amp;"],[id measure].[" &amp;$C$73&amp;"]), "  &amp; $C$75 &amp;  $Q$132 &amp; $C$75 &amp;  " ) &gt;=1)}, DESC)},[id].[cash flow]}"</f>
        <v>#NAME?</v>
      </c>
      <c r="E103" s="9"/>
      <c r="F103" s="9" t="str">
        <f>"Are you sure you want to run the " &amp; $B103 &amp; " Process?"</f>
        <v>Are you sure you want to run the Delete - unauthorised Process?</v>
      </c>
      <c r="G103" s="9" t="str">
        <f t="shared" si="1"/>
        <v>The bulk process for Delete - unauthorised  has completed successfully.</v>
      </c>
      <c r="H103" s="9" t="str">
        <f t="shared" si="2"/>
        <v>The bulk process for Delete - unauthorised failed. Please refresh list and try again.</v>
      </c>
      <c r="J103" s="29"/>
    </row>
    <row r="104" spans="2:10" hidden="1" outlineLevel="1" x14ac:dyDescent="0.25">
      <c r="B104" s="9" t="s">
        <v>139</v>
      </c>
      <c r="C104" s="9" t="s">
        <v>142</v>
      </c>
      <c r="D104" s="9" t="e">
        <f t="shared" ca="1" si="5"/>
        <v>#NAME?</v>
      </c>
      <c r="E104" s="9"/>
      <c r="F104" s="9" t="str">
        <f t="shared" si="4"/>
        <v>Are you sure you want to run the Delete - draft Process?</v>
      </c>
      <c r="G104" s="9" t="str">
        <f t="shared" si="1"/>
        <v>The bulk process for Delete - draft  has completed successfully.</v>
      </c>
      <c r="H104" s="9" t="str">
        <f t="shared" si="2"/>
        <v>The bulk process for Delete - draft failed. Please refresh list and try again.</v>
      </c>
      <c r="J104" s="29"/>
    </row>
    <row r="105" spans="2:10" hidden="1" outlineLevel="1" x14ac:dyDescent="0.25">
      <c r="B105" s="9" t="s">
        <v>140</v>
      </c>
      <c r="C105" s="9" t="s">
        <v>142</v>
      </c>
      <c r="D105" s="9" t="e">
        <f t="shared" ca="1" si="5"/>
        <v>#NAME?</v>
      </c>
      <c r="E105" s="9"/>
      <c r="F105" s="9" t="str">
        <f t="shared" si="4"/>
        <v>Are you sure you want to run the Demote draft to unauthorised Process?</v>
      </c>
      <c r="G105" s="9" t="str">
        <f t="shared" si="1"/>
        <v>The bulk process for Demote draft to unauthorised  has completed successfully.</v>
      </c>
      <c r="H105" s="9" t="str">
        <f t="shared" si="2"/>
        <v>The bulk process for Demote draft to unauthorised failed. Please refresh list and try again.</v>
      </c>
      <c r="J105" s="29" t="s">
        <v>98</v>
      </c>
    </row>
    <row r="106" spans="2:10" hidden="1" outlineLevel="1" x14ac:dyDescent="0.25">
      <c r="B106" s="9" t="s">
        <v>103</v>
      </c>
      <c r="C106" s="9" t="s">
        <v>71</v>
      </c>
      <c r="D106" s="9" t="e">
        <f t="shared" ca="1" si="5"/>
        <v>#NAME?</v>
      </c>
      <c r="E106" s="9"/>
      <c r="F106" s="9" t="str">
        <f t="shared" si="4"/>
        <v>Are you sure you want to run the Unbalanced to unauthorised Process?</v>
      </c>
      <c r="G106" s="9" t="str">
        <f t="shared" si="1"/>
        <v>The bulk process for Unbalanced to unauthorised  has completed successfully.</v>
      </c>
      <c r="H106" s="9" t="str">
        <f t="shared" si="2"/>
        <v>The bulk process for Unbalanced to unauthorised failed. Please refresh list and try again.</v>
      </c>
      <c r="J106" s="29" t="s">
        <v>98</v>
      </c>
    </row>
    <row r="107" spans="2:10" hidden="1" outlineLevel="1" x14ac:dyDescent="0.25">
      <c r="B107" s="9" t="s">
        <v>147</v>
      </c>
      <c r="C107" s="9" t="s">
        <v>71</v>
      </c>
      <c r="D107" s="9" t="e">
        <f t="shared" ca="1" si="5"/>
        <v>#NAME?</v>
      </c>
      <c r="E107" s="9"/>
      <c r="F107" s="9" t="str">
        <f t="shared" si="4"/>
        <v>Are you sure you want to run the Unbalanced to approved Process?</v>
      </c>
      <c r="G107" s="9" t="str">
        <f t="shared" si="1"/>
        <v>The bulk process for Unbalanced to approved  has completed successfully.</v>
      </c>
      <c r="H107" s="9" t="str">
        <f t="shared" si="2"/>
        <v>The bulk process for Unbalanced to approved failed. Please refresh list and try again.</v>
      </c>
      <c r="J107" s="29" t="s">
        <v>98</v>
      </c>
    </row>
    <row r="108" spans="2:10" hidden="1" outlineLevel="1" x14ac:dyDescent="0.25"/>
    <row r="109" spans="2:10" hidden="1" outlineLevel="1" x14ac:dyDescent="0.25">
      <c r="B109" s="3" t="s">
        <v>88</v>
      </c>
    </row>
    <row r="110" spans="2:10" hidden="1" outlineLevel="1" x14ac:dyDescent="0.25">
      <c r="B110" s="30" t="s">
        <v>89</v>
      </c>
      <c r="C110" s="30" t="s">
        <v>61</v>
      </c>
      <c r="D110" s="30" t="s">
        <v>65</v>
      </c>
      <c r="E110" s="30" t="s">
        <v>66</v>
      </c>
      <c r="F110" s="31" t="s">
        <v>18</v>
      </c>
    </row>
    <row r="111" spans="2:10" hidden="1" outlineLevel="1" x14ac:dyDescent="0.25">
      <c r="B111" s="32" t="s">
        <v>90</v>
      </c>
      <c r="C111" s="32"/>
      <c r="D111" s="27" t="e">
        <f ca="1">IF(psBulkProcess= $B$116, $D$116,IF(psBulkProcess="Print",IF(AND($C$113&gt;0,$C$113&lt;=20),$D$115,$D$114),$D$114))</f>
        <v>#NAME?</v>
      </c>
      <c r="E111" s="27" t="e">
        <f ca="1">IF(psBulkProcess= $B$116,$E$116,IF(psBulkProcess="Print",IF(AND($C$113&gt;0,$C$113&lt;=20),$E$115,$E$114),$E$114))</f>
        <v>#NAME?</v>
      </c>
      <c r="F111" s="32"/>
    </row>
    <row r="112" spans="2:10" hidden="1" outlineLevel="1" x14ac:dyDescent="0.25">
      <c r="B112" s="32" t="s">
        <v>95</v>
      </c>
      <c r="C112" s="32" t="e">
        <f ca="1">psUser&amp;"_$sysBulkPrintList"</f>
        <v>#NAME?</v>
      </c>
      <c r="D112" s="27"/>
      <c r="E112" s="27"/>
      <c r="F112" s="32"/>
    </row>
    <row r="113" spans="1:22" hidden="1" outlineLevel="1" x14ac:dyDescent="0.25">
      <c r="B113" s="32" t="s">
        <v>96</v>
      </c>
      <c r="C113" s="32" t="e" cm="1">
        <f t="array" aca="1" ref="C113" ca="1">_xll.SUBSIZ(db_name&amp;":id",$C$112)</f>
        <v>#NAME?</v>
      </c>
      <c r="D113" s="27"/>
      <c r="E113" s="27"/>
      <c r="F113" s="32"/>
    </row>
    <row r="114" spans="1:22" hidden="1" outlineLevel="1" x14ac:dyDescent="0.25">
      <c r="B114" s="9" t="s">
        <v>91</v>
      </c>
      <c r="C114" s="9" t="s">
        <v>92</v>
      </c>
      <c r="D114" s="9" t="e" cm="1">
        <f t="array" aca="1" ref="D114" ca="1">IF($C114="","",_xll.DBR($C$19,$C114,D$110))</f>
        <v>#NAME?</v>
      </c>
      <c r="E114" s="9" t="e" cm="1">
        <f t="array" aca="1" ref="E114" ca="1">IF($C114="","",_xll.DBR($C$19,$C114,E$110))</f>
        <v>#NAME?</v>
      </c>
    </row>
    <row r="115" spans="1:22" hidden="1" outlineLevel="1" x14ac:dyDescent="0.25">
      <c r="B115" s="9" t="s">
        <v>87</v>
      </c>
      <c r="C115" s="9" t="s">
        <v>93</v>
      </c>
      <c r="D115" s="9" t="e" cm="1">
        <f t="array" aca="1" ref="D115" ca="1">IF($C115="","",_xll.DBR($C$19,$C115,D$110))</f>
        <v>#NAME?</v>
      </c>
      <c r="E115" s="9" t="e" cm="1">
        <f t="array" aca="1" ref="E115" ca="1">IF($C115="","",_xll.DBR($C$19,$C115,E$110))</f>
        <v>#NAME?</v>
      </c>
      <c r="Q115" s="35" t="e">
        <f ca="1">IF(LEFT(psBulkProcess,6)= "Reject","sys_bulk process comment","")</f>
        <v>#NAME?</v>
      </c>
    </row>
    <row r="116" spans="1:22" hidden="1" outlineLevel="1" x14ac:dyDescent="0.25">
      <c r="B116" s="9" t="s">
        <v>138</v>
      </c>
      <c r="C116" s="9" t="s">
        <v>169</v>
      </c>
      <c r="D116" s="9" t="e" cm="1">
        <f t="array" aca="1" ref="D116" ca="1">IF($C116="","",_xll.DBR($C$19,$C116,D$110))</f>
        <v>#NAME?</v>
      </c>
      <c r="E116" s="9" t="e" cm="1">
        <f t="array" aca="1" ref="E116" ca="1">IF($C116="","",_xll.DBR($C$19,$C116,E$110))</f>
        <v>#NAME?</v>
      </c>
      <c r="Q116" s="35"/>
    </row>
    <row r="117" spans="1:22" hidden="1" outlineLevel="1" x14ac:dyDescent="0.25"/>
    <row r="118" spans="1:22" ht="15" hidden="1" customHeight="1" outlineLevel="1" x14ac:dyDescent="0.25">
      <c r="B118" s="10" t="s">
        <v>43</v>
      </c>
      <c r="C118" s="10" t="s">
        <v>16</v>
      </c>
      <c r="D118" s="10"/>
      <c r="E118" s="10" t="s">
        <v>14</v>
      </c>
      <c r="F118" s="11"/>
      <c r="G118" s="11" t="s">
        <v>23</v>
      </c>
      <c r="H118" s="11"/>
      <c r="I118" s="11"/>
      <c r="J118" s="10" t="s">
        <v>154</v>
      </c>
      <c r="K118" s="10" t="s">
        <v>45</v>
      </c>
      <c r="L118" s="11"/>
      <c r="M118" s="10" t="s">
        <v>47</v>
      </c>
      <c r="N118" s="11" t="s">
        <v>156</v>
      </c>
      <c r="O118" s="11" t="s">
        <v>148</v>
      </c>
      <c r="P118" s="11" t="s">
        <v>68</v>
      </c>
      <c r="Q118" s="11" t="s">
        <v>69</v>
      </c>
      <c r="R118" s="10" t="s">
        <v>157</v>
      </c>
      <c r="S118" s="10" t="s">
        <v>26</v>
      </c>
      <c r="T118" s="10" t="s">
        <v>28</v>
      </c>
      <c r="U118" s="10" t="s">
        <v>159</v>
      </c>
      <c r="V118" s="10" t="s">
        <v>158</v>
      </c>
    </row>
    <row r="119" spans="1:22" hidden="1" outlineLevel="1" x14ac:dyDescent="0.25"/>
    <row r="120" spans="1:22" ht="36" customHeight="1" collapsed="1" x14ac:dyDescent="0.25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 t="s">
        <v>48</v>
      </c>
    </row>
    <row r="121" spans="1:22" ht="4.5" customHeight="1" x14ac:dyDescent="0.25">
      <c r="I121" s="17"/>
      <c r="J121" s="17"/>
      <c r="K121" s="17"/>
      <c r="L121" s="17"/>
      <c r="M121" s="17"/>
      <c r="N121" s="17"/>
      <c r="O121" s="18"/>
      <c r="P121" s="18"/>
      <c r="Q121" s="18"/>
      <c r="R121" s="18"/>
      <c r="S121" s="18"/>
      <c r="T121" s="18"/>
      <c r="U121" s="18"/>
      <c r="V121" s="18"/>
    </row>
    <row r="122" spans="1:22" ht="24" customHeight="1" x14ac:dyDescent="0.25">
      <c r="I122"/>
      <c r="J122"/>
      <c r="K122"/>
      <c r="M122"/>
      <c r="N122"/>
      <c r="O122"/>
      <c r="P122"/>
    </row>
    <row r="123" spans="1:22" ht="1.5" customHeight="1" x14ac:dyDescent="0.25"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</row>
    <row r="124" spans="1:22" ht="4.5" customHeight="1" x14ac:dyDescent="0.25"/>
    <row r="125" spans="1:22" x14ac:dyDescent="0.25">
      <c r="J125" s="33" t="s">
        <v>174</v>
      </c>
    </row>
    <row r="126" spans="1:22" ht="4.5" customHeight="1" x14ac:dyDescent="0.25"/>
    <row r="127" spans="1:22" ht="15.75" thickBot="1" x14ac:dyDescent="0.3">
      <c r="K127" s="33" t="e">
        <f ca="1">$E$128</f>
        <v>#NAME?</v>
      </c>
      <c r="L127" s="33"/>
      <c r="M127" s="33"/>
      <c r="N127" s="33"/>
      <c r="P127" s="13"/>
      <c r="Q127" s="13"/>
      <c r="R127" s="13"/>
      <c r="S127" s="13"/>
      <c r="T127" s="13"/>
      <c r="U127" s="13"/>
    </row>
    <row r="128" spans="1:22" ht="15.75" thickBot="1" x14ac:dyDescent="0.3">
      <c r="D128" s="3" t="s">
        <v>80</v>
      </c>
      <c r="E128" s="27" t="e">
        <f ca="1">IF(OR(psBulkProcess=$B$98,psBulkProcess=$B$99,psBulkProcess=$B$100),IF($C$81&lt;&gt;"",$C$81,"Note : This process will place you in a queue and may take a while to complete."),IF(psBulkProcess=$B$101,IF(OR($C$113=0,$C$113&gt;20),"A minimum of 1 and maximum of 20 can be printed, please amend selection to meet requirements.",""),""))</f>
        <v>#NAME?</v>
      </c>
      <c r="K128" s="47" t="s">
        <v>54</v>
      </c>
      <c r="L128" s="12"/>
      <c r="M128" s="50" t="e">
        <f ca="1">_xll.DBR($C$35,psUser,"sys_bulk process","value")</f>
        <v>#NAME?</v>
      </c>
      <c r="N128" s="33"/>
      <c r="O128" s="38" t="e">
        <f ca="1">IF(psBulkProcess="Print","Remaining IDs available to Print : " &amp;$F133,"")</f>
        <v>#NAME?</v>
      </c>
      <c r="P128" s="51" t="s">
        <v>99</v>
      </c>
      <c r="Q128" s="74" t="e" cm="1">
        <f t="array" aca="1" ref="Q128" ca="1">_xll.DBR($C$35,psUser,$Q$115,"value")</f>
        <v>#NAME?</v>
      </c>
      <c r="R128" s="75"/>
      <c r="S128" s="75"/>
      <c r="T128" s="75"/>
      <c r="U128" s="76"/>
    </row>
    <row r="129" spans="1:22" ht="5.0999999999999996" customHeight="1" x14ac:dyDescent="0.25">
      <c r="J129" s="14"/>
      <c r="K129" s="14"/>
      <c r="L129" s="15"/>
      <c r="N129" s="33"/>
      <c r="R129" s="15"/>
      <c r="S129" s="15"/>
      <c r="T129" s="15"/>
      <c r="U129" s="15"/>
    </row>
    <row r="130" spans="1:22" x14ac:dyDescent="0.25">
      <c r="K130" s="77" t="s">
        <v>70</v>
      </c>
      <c r="L130" s="78"/>
      <c r="M130" s="78"/>
      <c r="N130" s="33"/>
      <c r="P130" s="67" t="s">
        <v>51</v>
      </c>
      <c r="Q130" s="68"/>
      <c r="R130" s="15"/>
      <c r="S130" s="15"/>
      <c r="T130" s="15"/>
      <c r="U130" s="15"/>
    </row>
    <row r="131" spans="1:22" x14ac:dyDescent="0.25">
      <c r="K131" s="16" t="s">
        <v>49</v>
      </c>
      <c r="L131" s="12"/>
      <c r="M131" s="43" t="e" cm="1">
        <f t="array" aca="1" ref="M131" ca="1">_xll.SUBNM(db_name&amp;":headline year","",$C$43)</f>
        <v>#NAME?</v>
      </c>
      <c r="N131" s="33"/>
      <c r="P131" s="42" t="s">
        <v>52</v>
      </c>
      <c r="Q131" s="43" t="e" cm="1">
        <f t="array" aca="1" ref="Q131" ca="1">_xll.SUBNM(db_name&amp;":sys_id filter","sys_id filter list",3)</f>
        <v>#NAME?</v>
      </c>
      <c r="R131" s="15"/>
      <c r="S131" s="15"/>
      <c r="T131" s="15"/>
      <c r="U131" s="15"/>
    </row>
    <row r="132" spans="1:22" x14ac:dyDescent="0.25">
      <c r="F132" s="22" t="s">
        <v>102</v>
      </c>
      <c r="G132" s="22" t="s">
        <v>101</v>
      </c>
      <c r="H132" s="22" t="s">
        <v>83</v>
      </c>
      <c r="K132" s="16" t="s">
        <v>50</v>
      </c>
      <c r="L132" s="12"/>
      <c r="M132" s="43" t="e">
        <f ca="1">_xll.SUBNM(db_name&amp;":scenario","sys_BudgetRound",$C$44)</f>
        <v>#NAME?</v>
      </c>
      <c r="N132" s="33"/>
      <c r="P132" s="42" t="s">
        <v>53</v>
      </c>
      <c r="Q132" s="43"/>
      <c r="R132" s="15"/>
      <c r="S132" s="15"/>
      <c r="T132" s="15"/>
      <c r="U132" s="15"/>
    </row>
    <row r="133" spans="1:22" x14ac:dyDescent="0.25">
      <c r="F133" s="28">
        <f ca="1">20-G133</f>
        <v>20</v>
      </c>
      <c r="G133" s="28">
        <f ca="1">COUNTIF($K138:$K139,"Y")</f>
        <v>0</v>
      </c>
      <c r="H133" s="28" t="e">
        <f ca="1">$C$54</f>
        <v>#NAME?</v>
      </c>
      <c r="K133" s="16" t="s">
        <v>168</v>
      </c>
      <c r="L133" s="12"/>
      <c r="M133" s="48" t="e">
        <f ca="1">IF(psScenario="current",$C$45,psScenario)</f>
        <v>#NAME?</v>
      </c>
      <c r="N133" s="33"/>
      <c r="P133" s="66" t="s">
        <v>46</v>
      </c>
      <c r="Q133" s="66"/>
      <c r="R133" s="15"/>
      <c r="S133" s="15"/>
      <c r="T133" s="15"/>
      <c r="U133" s="15"/>
    </row>
    <row r="134" spans="1:22" ht="4.5" customHeight="1" x14ac:dyDescent="0.25">
      <c r="N134" s="33"/>
      <c r="P134" s="23"/>
      <c r="Q134" s="24"/>
      <c r="R134" s="15"/>
      <c r="S134" s="15"/>
      <c r="T134" s="15"/>
      <c r="U134" s="15"/>
    </row>
    <row r="135" spans="1:22" ht="4.5" customHeight="1" x14ac:dyDescent="0.25"/>
    <row r="136" spans="1:22" s="19" customFormat="1" ht="20.100000000000001" customHeight="1" x14ac:dyDescent="0.25">
      <c r="B136" s="20" t="s">
        <v>44</v>
      </c>
      <c r="C136" s="21" t="s">
        <v>15</v>
      </c>
      <c r="D136" s="21"/>
      <c r="E136" s="21"/>
      <c r="F136" s="21"/>
      <c r="G136" s="21"/>
      <c r="H136" s="21"/>
      <c r="J136" s="44" t="s">
        <v>155</v>
      </c>
      <c r="K136" s="44" t="s">
        <v>72</v>
      </c>
      <c r="M136" s="44" t="s">
        <v>15</v>
      </c>
      <c r="N136" s="45" t="s">
        <v>164</v>
      </c>
      <c r="O136" s="44" t="s">
        <v>163</v>
      </c>
      <c r="P136" s="44" t="s">
        <v>20</v>
      </c>
      <c r="Q136" s="44" t="s">
        <v>18</v>
      </c>
      <c r="R136" s="44" t="s">
        <v>160</v>
      </c>
      <c r="S136" s="44" t="s">
        <v>25</v>
      </c>
      <c r="T136" s="44" t="s">
        <v>175</v>
      </c>
      <c r="U136" s="44" t="s">
        <v>161</v>
      </c>
      <c r="V136" s="44" t="s">
        <v>162</v>
      </c>
    </row>
    <row r="137" spans="1:22" s="19" customFormat="1" ht="5.0999999999999996" customHeight="1" thickBot="1" x14ac:dyDescent="0.3">
      <c r="B137" s="36"/>
      <c r="C137" s="36"/>
      <c r="D137" s="36"/>
      <c r="E137" s="36"/>
      <c r="F137" s="36"/>
      <c r="G137" s="36"/>
      <c r="H137" s="36"/>
      <c r="J137" s="36"/>
      <c r="K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</row>
    <row r="138" spans="1:22" ht="24.95" customHeight="1" thickBot="1" x14ac:dyDescent="0.3">
      <c r="A138" s="25" t="e" cm="1">
        <f t="array" aca="1" ref="A138" ca="1">IF(_xll.TM1RPTELISCONSOLIDATED($B$138,$B138),IF(_xll.TM1RPTELLEV($B$138,$B138)&lt;=3,_xll.TM1RPTELLEV($B$138,$B138),"D"),"N")</f>
        <v>#NAME?</v>
      </c>
      <c r="B138" s="65" t="e" cm="1">
        <f t="array" aca="1" ref="B138" ca="1">_xll.TM1RPTROW($C$51,db_name&amp;":id",$C$53,"","",,"")</f>
        <v>#NAME?</v>
      </c>
      <c r="C138" s="49" t="e" cm="1">
        <f t="array" aca="1" ref="C138" ca="1">_xll.DBRW($C$51,$M$131,$M$132,$B138,C$118)</f>
        <v>#NAME?</v>
      </c>
      <c r="D138" s="25"/>
      <c r="E138" s="25"/>
      <c r="F138" s="25"/>
      <c r="G138" s="25"/>
      <c r="H138" s="25"/>
      <c r="I138" s="25"/>
      <c r="J138" s="54" t="e" cm="1">
        <f t="array" aca="1" ref="J138" ca="1">_xll.DBRW($C$52,$M$131,$M$132,$B138,J$118)</f>
        <v>#NAME?</v>
      </c>
      <c r="K138" s="55" t="e" cm="1">
        <f t="array" aca="1" ref="K138" ca="1">_xll.DBRW($C$56,psUser,$M$131,$M$132,$B138,K$118)</f>
        <v>#NAME?</v>
      </c>
      <c r="L138" s="56"/>
      <c r="M138" s="57" t="e" cm="1">
        <f t="array" aca="1" ref="M138" ca="1">_xll.DBRW($C$52,$M$131,$M$132,$B138,M$118)</f>
        <v>#NAME?</v>
      </c>
      <c r="N138" s="58" t="e" cm="1">
        <f t="array" aca="1" ref="N138" ca="1">_xll.DBRW($C$52,$M$131,$M$132,$B138,N$118)</f>
        <v>#NAME?</v>
      </c>
      <c r="O138" s="59" t="e" cm="1">
        <f t="array" aca="1" ref="O138" ca="1">_xll.DBRW($C$52,$M$131,$M$132,$B138,O$118)</f>
        <v>#NAME?</v>
      </c>
      <c r="P138" s="60" t="e" cm="1">
        <f t="array" aca="1" ref="P138" ca="1">_xll.DBRW($C$52,$M$131,$M$132,$B138,P$118)</f>
        <v>#NAME?</v>
      </c>
      <c r="Q138" s="61" t="e" cm="1">
        <f t="array" aca="1" ref="Q138" ca="1">_xll.DBRW($C$52,$M$131,$M$132,$B138,Q$118)</f>
        <v>#NAME?</v>
      </c>
      <c r="R138" s="62" t="e" cm="1">
        <f t="array" aca="1" ref="R138" ca="1">_xll.DBRW($C$52,$M$131,$M$132,$B138,R$118)</f>
        <v>#NAME?</v>
      </c>
      <c r="S138" s="62" t="e" cm="1">
        <f t="array" aca="1" ref="S138" ca="1">_xll.DBRW($C$52,$M$131,$M$132,$B138,S$118)</f>
        <v>#NAME?</v>
      </c>
      <c r="T138" s="62" t="e" cm="1">
        <f t="array" aca="1" ref="T138" ca="1">_xll.DBRW($C$52,$M$131,$M$132,$B138,T$118)</f>
        <v>#NAME?</v>
      </c>
      <c r="U138" s="63" t="e" cm="1">
        <f t="array" aca="1" ref="U138" ca="1">_xll.DBRW($C$52,$M$131,$M$132,$B138,U$118)</f>
        <v>#NAME?</v>
      </c>
      <c r="V138" s="64" t="e" cm="1">
        <f t="array" aca="1" ref="V138" ca="1">_xll.DBRW($C$52,$M$131,$M$132,$B138,V$118)</f>
        <v>#NAME?</v>
      </c>
    </row>
    <row r="139" spans="1:22" ht="5.0999999999999996" customHeight="1" x14ac:dyDescent="0.25">
      <c r="J139" s="37"/>
      <c r="K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</row>
    <row r="140" spans="1:22" x14ac:dyDescent="0.25">
      <c r="B140" s="1" t="s">
        <v>100</v>
      </c>
    </row>
  </sheetData>
  <sheetProtection sheet="1" objects="1" scenarios="1"/>
  <mergeCells count="12">
    <mergeCell ref="P133:Q133"/>
    <mergeCell ref="P130:Q130"/>
    <mergeCell ref="B10:C10"/>
    <mergeCell ref="B34:C34"/>
    <mergeCell ref="B41:C41"/>
    <mergeCell ref="B50:C50"/>
    <mergeCell ref="B55:C55"/>
    <mergeCell ref="B18:C18"/>
    <mergeCell ref="B77:C77"/>
    <mergeCell ref="D41:E41"/>
    <mergeCell ref="Q128:U128"/>
    <mergeCell ref="K130:M130"/>
  </mergeCells>
  <conditionalFormatting sqref="O128">
    <cfRule type="expression" dxfId="19" priority="559">
      <formula>$F$133&lt;0</formula>
    </cfRule>
  </conditionalFormatting>
  <conditionalFormatting sqref="P7">
    <cfRule type="beginsWith" dxfId="18" priority="4499" operator="beginsWith" text="Treasury approved">
      <formula>LEFT(P7,17)="Treasury approved"</formula>
    </cfRule>
    <cfRule type="containsText" dxfId="17" priority="4500" operator="containsText" text="unauthorised">
      <formula>NOT(ISERROR(SEARCH("unauthorised",P7)))</formula>
    </cfRule>
    <cfRule type="containsText" dxfId="16" priority="4501" operator="containsText" text="unbalanced">
      <formula>NOT(ISERROR(SEARCH("unbalanced",P7)))</formula>
    </cfRule>
    <cfRule type="beginsWith" dxfId="15" priority="5134" operator="beginsWith" text="Treasury review">
      <formula>LEFT(P7,15)="Treasury review"</formula>
    </cfRule>
    <cfRule type="containsText" dxfId="14" priority="5136" operator="containsText" text="submit">
      <formula>NOT(ISERROR(SEARCH("submit",P7)))</formula>
    </cfRule>
    <cfRule type="beginsWith" dxfId="13" priority="5137" operator="beginsWith" text="Agency draft">
      <formula>LEFT(P7,LEN("Agency draft"))="Agency draft"</formula>
    </cfRule>
    <cfRule type="beginsWith" dxfId="12" priority="5138" operator="beginsWith" text="Agency CFO approved">
      <formula>LEFT(P7,LEN("Agency CFO approved"))="Agency CFO approved"</formula>
    </cfRule>
  </conditionalFormatting>
  <conditionalFormatting sqref="P138">
    <cfRule type="beginsWith" dxfId="11" priority="57" operator="beginsWith" text="Treasury approved">
      <formula>LEFT(P138,17)="Treasury approved"</formula>
    </cfRule>
    <cfRule type="containsText" dxfId="10" priority="58" operator="containsText" text="unauthorised">
      <formula>NOT(ISERROR(SEARCH("unauthorised",P138)))</formula>
    </cfRule>
    <cfRule type="containsText" dxfId="9" priority="59" operator="containsText" text="unbalanced">
      <formula>NOT(ISERROR(SEARCH("unbalanced",P138)))</formula>
    </cfRule>
    <cfRule type="beginsWith" dxfId="8" priority="60" operator="beginsWith" text="Treasury review">
      <formula>LEFT(P138,15)="Treasury review"</formula>
    </cfRule>
    <cfRule type="containsText" dxfId="7" priority="61" operator="containsText" text="submit">
      <formula>NOT(ISERROR(SEARCH("submit",P138)))</formula>
    </cfRule>
    <cfRule type="beginsWith" dxfId="6" priority="62" operator="beginsWith" text="Agency draft">
      <formula>LEFT(P138,LEN("Agency draft"))="Agency draft"</formula>
    </cfRule>
    <cfRule type="beginsWith" dxfId="5" priority="63" operator="beginsWith" text="Agency CFO approved">
      <formula>LEFT(P138,LEN("Agency CFO approved"))="Agency CFO approved"</formula>
    </cfRule>
  </conditionalFormatting>
  <conditionalFormatting sqref="P128:U128">
    <cfRule type="expression" dxfId="4" priority="780">
      <formula>LEFT($M$128,6)&lt;&gt;"Reject"</formula>
    </cfRule>
  </conditionalFormatting>
  <conditionalFormatting sqref="R7">
    <cfRule type="containsText" dxfId="3" priority="4311" operator="containsText" text="No Measure">
      <formula>NOT(ISERROR(SEARCH("No Measure",R7)))</formula>
    </cfRule>
    <cfRule type="beginsWith" dxfId="2" priority="4461" operator="beginsWith" text="I000000">
      <formula>LEFT(R7,7)="I000000"</formula>
    </cfRule>
  </conditionalFormatting>
  <conditionalFormatting sqref="R138:T138">
    <cfRule type="containsText" dxfId="1" priority="55" operator="containsText" text="No Measure">
      <formula>NOT(ISERROR(SEARCH("No Measure",R138)))</formula>
    </cfRule>
    <cfRule type="beginsWith" dxfId="0" priority="56" operator="beginsWith" text="I000000">
      <formula>LEFT(R138,7)="I000000"</formula>
    </cfRule>
  </conditionalFormatting>
  <pageMargins left="0.70866141732283472" right="0.70866141732283472" top="0.74803149606299213" bottom="0.74803149606299213" header="0.31496062992125984" footer="0.31496062992125984"/>
  <pageSetup paperSize="9" scale="49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1062" r:id="rId4" name="TIButton1">
          <controlPr defaultSize="0" print="0" autoLine="0" r:id="rId5">
            <anchor moveWithCells="1" sizeWithCells="1">
              <from>
                <xdr:col>9</xdr:col>
                <xdr:colOff>0</xdr:colOff>
                <xdr:row>120</xdr:row>
                <xdr:rowOff>47625</xdr:rowOff>
              </from>
              <to>
                <xdr:col>9</xdr:col>
                <xdr:colOff>638175</xdr:colOff>
                <xdr:row>121</xdr:row>
                <xdr:rowOff>238125</xdr:rowOff>
              </to>
            </anchor>
          </controlPr>
        </control>
      </mc:Choice>
      <mc:Fallback>
        <control shapeId="1062" r:id="rId4" name="TIButton1"/>
      </mc:Fallback>
    </mc:AlternateContent>
    <mc:AlternateContent xmlns:mc="http://schemas.openxmlformats.org/markup-compatibility/2006">
      <mc:Choice Requires="x14">
        <control shapeId="1063" r:id="rId6" name="TIButton2">
          <controlPr defaultSize="0" print="0" autoLine="0" r:id="rId7">
            <anchor moveWithCells="1" sizeWithCells="1">
              <from>
                <xdr:col>9</xdr:col>
                <xdr:colOff>695325</xdr:colOff>
                <xdr:row>120</xdr:row>
                <xdr:rowOff>47625</xdr:rowOff>
              </from>
              <to>
                <xdr:col>10</xdr:col>
                <xdr:colOff>895350</xdr:colOff>
                <xdr:row>121</xdr:row>
                <xdr:rowOff>238125</xdr:rowOff>
              </to>
            </anchor>
          </controlPr>
        </control>
      </mc:Choice>
      <mc:Fallback>
        <control shapeId="1063" r:id="rId6" name="TIButton2"/>
      </mc:Fallback>
    </mc:AlternateContent>
    <mc:AlternateContent xmlns:mc="http://schemas.openxmlformats.org/markup-compatibility/2006">
      <mc:Choice Requires="x14">
        <control shapeId="1064" r:id="rId8" name="TIButton3">
          <controlPr defaultSize="0" print="0" autoLine="0" r:id="rId9">
            <anchor moveWithCells="1" sizeWithCells="1">
              <from>
                <xdr:col>12</xdr:col>
                <xdr:colOff>3581400</xdr:colOff>
                <xdr:row>120</xdr:row>
                <xdr:rowOff>47625</xdr:rowOff>
              </from>
              <to>
                <xdr:col>13</xdr:col>
                <xdr:colOff>314325</xdr:colOff>
                <xdr:row>121</xdr:row>
                <xdr:rowOff>238125</xdr:rowOff>
              </to>
            </anchor>
          </controlPr>
        </control>
      </mc:Choice>
      <mc:Fallback>
        <control shapeId="1064" r:id="rId8" name="TIButton3"/>
      </mc:Fallback>
    </mc:AlternateContent>
    <mc:AlternateContent xmlns:mc="http://schemas.openxmlformats.org/markup-compatibility/2006">
      <mc:Choice Requires="x14">
        <control shapeId="1065" r:id="rId10" name="TIButton4">
          <controlPr defaultSize="0" print="0" autoLine="0" r:id="rId11">
            <anchor moveWithCells="1" sizeWithCells="1">
              <from>
                <xdr:col>10</xdr:col>
                <xdr:colOff>933450</xdr:colOff>
                <xdr:row>120</xdr:row>
                <xdr:rowOff>47625</xdr:rowOff>
              </from>
              <to>
                <xdr:col>12</xdr:col>
                <xdr:colOff>314325</xdr:colOff>
                <xdr:row>121</xdr:row>
                <xdr:rowOff>238125</xdr:rowOff>
              </to>
            </anchor>
          </controlPr>
        </control>
      </mc:Choice>
      <mc:Fallback>
        <control shapeId="1065" r:id="rId10" name="TIButton4"/>
      </mc:Fallback>
    </mc:AlternateContent>
    <mc:AlternateContent xmlns:mc="http://schemas.openxmlformats.org/markup-compatibility/2006">
      <mc:Choice Requires="x14">
        <control shapeId="1066" r:id="rId12" name="TIButton5">
          <controlPr defaultSize="0" print="0" autoLine="0" r:id="rId13">
            <anchor moveWithCells="1" sizeWithCells="1">
              <from>
                <xdr:col>12</xdr:col>
                <xdr:colOff>371475</xdr:colOff>
                <xdr:row>120</xdr:row>
                <xdr:rowOff>47625</xdr:rowOff>
              </from>
              <to>
                <xdr:col>12</xdr:col>
                <xdr:colOff>1104900</xdr:colOff>
                <xdr:row>121</xdr:row>
                <xdr:rowOff>238125</xdr:rowOff>
              </to>
            </anchor>
          </controlPr>
        </control>
      </mc:Choice>
      <mc:Fallback>
        <control shapeId="1066" r:id="rId12" name="TIButton5"/>
      </mc:Fallback>
    </mc:AlternateContent>
    <mc:AlternateContent xmlns:mc="http://schemas.openxmlformats.org/markup-compatibility/2006">
      <mc:Choice Requires="x14">
        <control shapeId="1067" r:id="rId14" name="TIButton6">
          <controlPr defaultSize="0" print="0" autoLine="0" r:id="rId15">
            <anchor moveWithCells="1" sizeWithCells="1">
              <from>
                <xdr:col>12</xdr:col>
                <xdr:colOff>1143000</xdr:colOff>
                <xdr:row>120</xdr:row>
                <xdr:rowOff>47625</xdr:rowOff>
              </from>
              <to>
                <xdr:col>12</xdr:col>
                <xdr:colOff>1876425</xdr:colOff>
                <xdr:row>121</xdr:row>
                <xdr:rowOff>238125</xdr:rowOff>
              </to>
            </anchor>
          </controlPr>
        </control>
      </mc:Choice>
      <mc:Fallback>
        <control shapeId="1067" r:id="rId14" name="TIButton6"/>
      </mc:Fallback>
    </mc:AlternateContent>
    <mc:AlternateContent xmlns:mc="http://schemas.openxmlformats.org/markup-compatibility/2006">
      <mc:Choice Requires="x14">
        <control shapeId="1068" r:id="rId16" name="TIButton7">
          <controlPr defaultSize="0" print="0" autoLine="0" r:id="rId17">
            <anchor moveWithCells="1" sizeWithCells="1">
              <from>
                <xdr:col>12</xdr:col>
                <xdr:colOff>1905000</xdr:colOff>
                <xdr:row>120</xdr:row>
                <xdr:rowOff>47625</xdr:rowOff>
              </from>
              <to>
                <xdr:col>12</xdr:col>
                <xdr:colOff>2638425</xdr:colOff>
                <xdr:row>121</xdr:row>
                <xdr:rowOff>238125</xdr:rowOff>
              </to>
            </anchor>
          </controlPr>
        </control>
      </mc:Choice>
      <mc:Fallback>
        <control shapeId="1068" r:id="rId16" name="TIButton7"/>
      </mc:Fallback>
    </mc:AlternateContent>
    <mc:AlternateContent xmlns:mc="http://schemas.openxmlformats.org/markup-compatibility/2006">
      <mc:Choice Requires="x14">
        <control shapeId="1069" r:id="rId18" name="TIButton8">
          <controlPr defaultSize="0" print="0" autoLine="0" r:id="rId19">
            <anchor moveWithCells="1" sizeWithCells="1">
              <from>
                <xdr:col>12</xdr:col>
                <xdr:colOff>2695575</xdr:colOff>
                <xdr:row>120</xdr:row>
                <xdr:rowOff>47625</xdr:rowOff>
              </from>
              <to>
                <xdr:col>12</xdr:col>
                <xdr:colOff>3533775</xdr:colOff>
                <xdr:row>121</xdr:row>
                <xdr:rowOff>238125</xdr:rowOff>
              </to>
            </anchor>
          </controlPr>
        </control>
      </mc:Choice>
      <mc:Fallback>
        <control shapeId="1069" r:id="rId18" name="TIButton8"/>
      </mc:Fallback>
    </mc:AlternateContent>
    <mc:AlternateContent xmlns:mc="http://schemas.openxmlformats.org/markup-compatibility/2006">
      <mc:Choice Requires="x14">
        <control shapeId="1071" r:id="rId20" name="TIButton9">
          <controlPr defaultSize="0" print="0" autoLine="0" r:id="rId21">
            <anchor moveWithCells="1" sizeWithCells="1">
              <from>
                <xdr:col>21</xdr:col>
                <xdr:colOff>676275</xdr:colOff>
                <xdr:row>120</xdr:row>
                <xdr:rowOff>28575</xdr:rowOff>
              </from>
              <to>
                <xdr:col>21</xdr:col>
                <xdr:colOff>990600</xdr:colOff>
                <xdr:row>121</xdr:row>
                <xdr:rowOff>285750</xdr:rowOff>
              </to>
            </anchor>
          </controlPr>
        </control>
      </mc:Choice>
      <mc:Fallback>
        <control shapeId="1071" r:id="rId20" name="TIButton9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64</vt:i4>
      </vt:variant>
    </vt:vector>
  </HeadingPairs>
  <TitlesOfParts>
    <vt:vector size="65" baseType="lpstr">
      <vt:lpstr>bulk process</vt:lpstr>
      <vt:lpstr>'bulk process'!db_name</vt:lpstr>
      <vt:lpstr>Freeze_Here</vt:lpstr>
      <vt:lpstr>psApp</vt:lpstr>
      <vt:lpstr>psBulkMDX</vt:lpstr>
      <vt:lpstr>psBulkProcess</vt:lpstr>
      <vt:lpstr>psFailureMessage</vt:lpstr>
      <vt:lpstr>'bulk process'!psFilter</vt:lpstr>
      <vt:lpstr>'bulk process'!psHLYear</vt:lpstr>
      <vt:lpstr>'bulk process'!psScenario</vt:lpstr>
      <vt:lpstr>'bulk process'!psTextFilter</vt:lpstr>
      <vt:lpstr>'bulk process'!psUser</vt:lpstr>
      <vt:lpstr>'bulk process'!SelectedHLYear</vt:lpstr>
      <vt:lpstr>'bulk process'!SelectedScenario</vt:lpstr>
      <vt:lpstr>sys_bulkprocesslist</vt:lpstr>
      <vt:lpstr>'bulk process'!sys_id_filterlist</vt:lpstr>
      <vt:lpstr>'bulk process'!sys_idfilter_lookup</vt:lpstr>
      <vt:lpstr>TM1AdjIDListCAP</vt:lpstr>
      <vt:lpstr>TM1AdjIDListWB</vt:lpstr>
      <vt:lpstr>TM1AdjIDListWS</vt:lpstr>
      <vt:lpstr>TM1AdjListWB</vt:lpstr>
      <vt:lpstr>TM1BackColor</vt:lpstr>
      <vt:lpstr>TM1BulkProcessCAP</vt:lpstr>
      <vt:lpstr>TM1BulkProcessWB</vt:lpstr>
      <vt:lpstr>TM1BulkProcessWS</vt:lpstr>
      <vt:lpstr>TM1BulkWB</vt:lpstr>
      <vt:lpstr>TM1BulkWS</vt:lpstr>
      <vt:lpstr>TM1FFExtractCAP</vt:lpstr>
      <vt:lpstr>TM1FFExtractWB</vt:lpstr>
      <vt:lpstr>TM1FFExtractWS</vt:lpstr>
      <vt:lpstr>TM1GrpNewAdj01HeaderCAP</vt:lpstr>
      <vt:lpstr>TM1GrpNewAdj01HeaderWB</vt:lpstr>
      <vt:lpstr>TM1GrpNewAdj01HeaderWS</vt:lpstr>
      <vt:lpstr>TM1GrpViewAdj01HeaderCAP</vt:lpstr>
      <vt:lpstr>TM1GrpViewAdj01HeaderWB</vt:lpstr>
      <vt:lpstr>TM1GrpViewAdj01HeaderWS</vt:lpstr>
      <vt:lpstr>TM1HomeAECAP</vt:lpstr>
      <vt:lpstr>TM1HomeAEDataEntryCAP</vt:lpstr>
      <vt:lpstr>TM1HomeAEDataEntryWB</vt:lpstr>
      <vt:lpstr>TM1HomeAEDataEntryWS</vt:lpstr>
      <vt:lpstr>TM1HomeAEWB</vt:lpstr>
      <vt:lpstr>TM1HomeAEWS</vt:lpstr>
      <vt:lpstr>TM1HomeCAP</vt:lpstr>
      <vt:lpstr>TM1HomeRepCAP</vt:lpstr>
      <vt:lpstr>TM1HomeRepWB</vt:lpstr>
      <vt:lpstr>TM1HomeRepWS</vt:lpstr>
      <vt:lpstr>TM1HomeWB</vt:lpstr>
      <vt:lpstr>TM1HomeWS</vt:lpstr>
      <vt:lpstr>TM1IDListWS</vt:lpstr>
      <vt:lpstr>TM1NewAdj01HeaderCAP</vt:lpstr>
      <vt:lpstr>TM1NewAdj01HeaderWB</vt:lpstr>
      <vt:lpstr>TM1NewAdj01HeaderWS</vt:lpstr>
      <vt:lpstr>TM1NewAdjWB</vt:lpstr>
      <vt:lpstr>TM1NewAdjWS</vt:lpstr>
      <vt:lpstr>TM1PrcConfMsg</vt:lpstr>
      <vt:lpstr>TM1PrcErrorMsg</vt:lpstr>
      <vt:lpstr>TM1PrcSuccessMsg</vt:lpstr>
      <vt:lpstr>'bulk process'!TM1RPTDATARNG2</vt:lpstr>
      <vt:lpstr>'bulk process'!TM1RPTFMTIDCOL</vt:lpstr>
      <vt:lpstr>'bulk process'!TM1RPTFMTRNG</vt:lpstr>
      <vt:lpstr>TM1ViewAdj01HeaderCAP</vt:lpstr>
      <vt:lpstr>TM1ViewAdj01HeaderWB</vt:lpstr>
      <vt:lpstr>TM1ViewAdj01HeaderWS</vt:lpstr>
      <vt:lpstr>TM1ViewAdjWB</vt:lpstr>
      <vt:lpstr>TM1ViewAdjWS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ian0404</dc:creator>
  <cp:lastModifiedBy>Xin HE</cp:lastModifiedBy>
  <dcterms:created xsi:type="dcterms:W3CDTF">2015-10-26T03:10:46Z</dcterms:created>
  <dcterms:modified xsi:type="dcterms:W3CDTF">2025-08-05T04:27:43Z</dcterms:modified>
  <cp:category>Applications\GBMS\GBMS Lite\Adjustment\adj_bulk process.xlsx</cp:category>
</cp:coreProperties>
</file>