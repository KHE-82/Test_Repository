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deler1\AppData\Local\Temp\3\"/>
    </mc:Choice>
  </mc:AlternateContent>
  <bookViews>
    <workbookView xWindow="0" yWindow="0" windowWidth="38400" windowHeight="17700"/>
  </bookViews>
  <sheets>
    <sheet name="Menu" sheetId="1" r:id="rId1"/>
  </sheets>
  <definedNames>
    <definedName name="db_name">Menu!$C$2</definedName>
    <definedName name="Freeze_Here">Menu!$A$58</definedName>
    <definedName name="home">Menu!$G$28</definedName>
    <definedName name="Menu">Menu!$G$29</definedName>
    <definedName name="psHLYear">Menu!$C$11</definedName>
    <definedName name="psScenario">Menu!$C$12</definedName>
    <definedName name="psUser">Menu!$C$7</definedName>
    <definedName name="TM1AnalRptARTRecoCAP">Menu!$D$42</definedName>
    <definedName name="TM1AnalRptARTRecoWB">Menu!$F$42</definedName>
    <definedName name="TM1AnalRptARTRecoWS">Menu!$H$42</definedName>
    <definedName name="TM1AnalRptCSVExportRptCAP">Menu!$D$44</definedName>
    <definedName name="TM1AnalRptCSVExportRptWB">Menu!$F$44</definedName>
    <definedName name="TM1AnalRptCSVExportRptWS">Menu!$H$44</definedName>
    <definedName name="TM1AnalRptDashboardCAP">Menu!$D$41</definedName>
    <definedName name="TM1AnalRptDashboardWB">Menu!$F$41</definedName>
    <definedName name="TM1AnalRptDashboardWS">Menu!$H$41</definedName>
    <definedName name="TM1AnalRptExportToCSVCAP">Menu!$D$43</definedName>
    <definedName name="TM1AnalRptExportToCSVWB">Menu!$F$43</definedName>
    <definedName name="TM1AnalRptExportToCSVWS">Menu!$H$43</definedName>
    <definedName name="TM1AnalRptPinksCap">Menu!$D$46</definedName>
    <definedName name="TM1AnalRptPinksWB">Menu!$F$46</definedName>
    <definedName name="TM1AnalRptPinksWS">Menu!$H$46</definedName>
    <definedName name="TM1AnalRptRecoCAP">Menu!$D$40</definedName>
    <definedName name="TM1AnalRptRecoWB">Menu!$F$40</definedName>
    <definedName name="TM1AnalRptRecoWS">Menu!$H$40</definedName>
    <definedName name="TM1AnalRptRepAdjRecoCAP">Menu!$D$38</definedName>
    <definedName name="TM1AnalRptRepAdjRecoWB">Menu!$F$38</definedName>
    <definedName name="TM1AnalRptRepAdjRecoWS">Menu!$H$38</definedName>
    <definedName name="TM1AnalRptRepStageMaintCAP">Menu!$D$39</definedName>
    <definedName name="TM1AnalRptRepStageMaintWB">Menu!$F$39</definedName>
    <definedName name="TM1AnalRptRepStageMaintWS">Menu!$H$39</definedName>
    <definedName name="TM1AnalRptScenCompCAP">Menu!$D$45</definedName>
    <definedName name="TM1AnalRptScenCompWB">Menu!$F$45</definedName>
    <definedName name="TM1AnalRptScenCompWS">Menu!$H$45</definedName>
    <definedName name="TM1AnalRptTransCAP">Menu!$D$37</definedName>
    <definedName name="TM1AnalRptTransWB">Menu!$F$37</definedName>
    <definedName name="TM1AnalRptTransWS">Menu!$H$37</definedName>
    <definedName name="TM1HomeAdminCAP">Menu!$D$35</definedName>
    <definedName name="TM1HomeAdminWB">Menu!$F$35</definedName>
    <definedName name="TM1HomeAdminWS">Menu!$H$35</definedName>
    <definedName name="TM1HomeAECAP">Menu!$D$29</definedName>
    <definedName name="TM1HomeAEWB">Menu!$F$29</definedName>
    <definedName name="TM1HomeAEWS">Menu!$H$29</definedName>
    <definedName name="TM1HomeCAP">Menu!$D$28</definedName>
    <definedName name="TM1HomeRepAdditionalCAP">Menu!$D$34</definedName>
    <definedName name="TM1HomeRepAdditionalWB">Menu!$F$34</definedName>
    <definedName name="TM1HomeRepAdditionalWS">Menu!$H$34</definedName>
    <definedName name="TM1HomeRepAnalyticalCAP">Menu!$D$33</definedName>
    <definedName name="TM1HomeRepAnalyticalWB">Menu!$F$33</definedName>
    <definedName name="TM1HomeRepAnalyticalWS">Menu!$H$33</definedName>
    <definedName name="TM1HomeRepCAP">Menu!$D$30</definedName>
    <definedName name="TM1HomeRepOtherCAP">Menu!$D$32</definedName>
    <definedName name="TM1HomeRepOtherWB">Menu!$F$32</definedName>
    <definedName name="TM1HomeRepOtherWS">Menu!$H$32</definedName>
    <definedName name="TM1HomeRepPFSCAP">Menu!$D$31</definedName>
    <definedName name="TM1HomeRepPFSWB">Menu!$F$31</definedName>
    <definedName name="TM1HomeRepPFSWS">Menu!$H$31</definedName>
    <definedName name="TM1HomeRepWB">Menu!$F$30</definedName>
    <definedName name="TM1HomeRepWS">Menu!$H$30</definedName>
    <definedName name="TM1HomeUnderCAP">Menu!$D$36</definedName>
    <definedName name="TM1HomeUnderWB">Menu!$F$36</definedName>
    <definedName name="TM1HomeUnderWS">Menu!$H$36</definedName>
    <definedName name="TM1HomeWB">Menu!$F$28</definedName>
    <definedName name="TM1HomeWS">Menu!$H$28</definedName>
    <definedName name="TM1PICKLIST">#REF!</definedName>
    <definedName name="TM1REBUILDOPTION">1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 a="1"/>
  <c r="C3" i="1"/>
  <c r="C4" i="1" a="1"/>
  <c r="C4" i="1"/>
  <c r="C5" i="1" a="1"/>
  <c r="C5" i="1"/>
  <c r="W57" i="1"/>
  <c r="C26" i="1" a="1"/>
  <c r="C26" i="1"/>
  <c r="D44" i="1" a="1"/>
  <c r="D44" i="1"/>
  <c r="C44" i="1" a="1"/>
  <c r="C44" i="1"/>
  <c r="H44" i="1" a="1"/>
  <c r="H44" i="1"/>
  <c r="G44" i="1" a="1"/>
  <c r="G44" i="1"/>
  <c r="F44" i="1" a="1"/>
  <c r="F44" i="1"/>
  <c r="E44" i="1" a="1"/>
  <c r="E44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46" i="1"/>
  <c r="G46" i="1"/>
  <c r="F46" i="1"/>
  <c r="E46" i="1"/>
  <c r="C46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D46" i="1" a="1"/>
  <c r="D46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C18" i="1" a="1"/>
  <c r="C18" i="1"/>
  <c r="C7" i="1"/>
  <c r="C22" i="1" a="1"/>
  <c r="C22" i="1"/>
  <c r="C21" i="1" a="1"/>
  <c r="C21" i="1"/>
  <c r="C20" i="1" a="1"/>
  <c r="C20" i="1"/>
  <c r="C19" i="1" a="1"/>
  <c r="C19" i="1"/>
  <c r="C10" i="1" a="1"/>
  <c r="C10" i="1"/>
  <c r="C14" i="1" a="1"/>
  <c r="C14" i="1"/>
  <c r="C13" i="1" a="1"/>
  <c r="C13" i="1"/>
  <c r="C12" i="1" a="1"/>
  <c r="C12" i="1"/>
  <c r="C11" i="1" a="1"/>
  <c r="C11" i="1"/>
  <c r="C6" i="1" a="1"/>
  <c r="C6" i="1"/>
  <c r="K95" i="1"/>
  <c r="C15" i="1"/>
  <c r="K5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<sst xmlns="http://schemas.openxmlformats.org/spreadsheetml/2006/main" count="54" uniqueCount="51">
  <si>
    <t>Workbook</t>
  </si>
  <si>
    <t>Worksheet</t>
  </si>
  <si>
    <t>Slice View</t>
  </si>
  <si>
    <t>Database Variables</t>
  </si>
  <si>
    <t>Database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</si>
  <si>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</si>
  <si>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</si>
  <si>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</si>
  <si>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</si>
  <si>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</si>
  <si>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</si>
  <si>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</si>
  <si>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</si>
  <si>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</si>
  <si>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</si>
  <si>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</si>
  <si>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</si>
  <si>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</si>
  <si>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sys_application</t>
  </si>
  <si>
    <t>favapp_application</t>
  </si>
  <si>
    <t>Client Preference Measure</t>
  </si>
  <si>
    <t>TM1 User</t>
  </si>
  <si>
    <t>}Clients</t>
  </si>
  <si>
    <t>}TM1_DefaultDisplayValue</t>
  </si>
  <si>
    <t>GEUS User Name</t>
  </si>
  <si>
    <t>Homepage - Home</t>
  </si>
  <si>
    <t>Homepage - Annual Estimates</t>
  </si>
  <si>
    <t>Homepage - Reports</t>
  </si>
  <si>
    <t>Homepage - Administration</t>
  </si>
  <si>
    <t>Homepage - Under Construction</t>
  </si>
  <si>
    <t>Caption</t>
  </si>
  <si>
    <t>Workbook Name</t>
  </si>
  <si>
    <t>Worksheet Name</t>
  </si>
  <si>
    <t>Caption Name</t>
  </si>
  <si>
    <t>REPORTS</t>
  </si>
  <si>
    <t>Homepage - Reports - PFS</t>
  </si>
  <si>
    <t>Homepage - Reports - Other</t>
  </si>
  <si>
    <t>Homepage - Reports - Analytical</t>
  </si>
  <si>
    <t>ANALYTICAL REPORTS MENU</t>
  </si>
  <si>
    <t>Analytical Reports - Transaction Listing</t>
  </si>
  <si>
    <t>Analytical Reports - Reporting Cube and AE Adj Reconciliation</t>
  </si>
  <si>
    <t>Analytical Reports - Reporting Stage Maintenance</t>
  </si>
  <si>
    <t>Analytical Reports - Validations and Reconciliation</t>
  </si>
  <si>
    <t>Analytical Reports - Dashboard Reporting</t>
  </si>
  <si>
    <t>Analytical Reports - Agency Resourcing Table Reconciliation</t>
  </si>
  <si>
    <t>Analytical Reports - Export To CSV</t>
  </si>
  <si>
    <t>Analytical Reports - Scenario Comparison</t>
  </si>
  <si>
    <t>Analytical Reports - DVA Pinks Report</t>
  </si>
  <si>
    <t>Homepage - Reports - Additional</t>
  </si>
  <si>
    <t>Analytical Reports - CSV Data Extract - Report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</si>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</sst>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indexed="62"/>
      <name val="Verdana"/>
      <family val="2"/>
    </font>
    <font>
      <sz val="11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>
      <protection locked="0"/>
    </xf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2" fillId="3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5" borderId="0" xfId="1" applyFont="1" applyFill="1" applyAlignment="1" applyProtection="1">
      <alignment vertical="center"/>
    </xf>
    <xf numFmtId="0" fontId="0" fillId="6" borderId="0" xfId="0" applyFill="1"/>
    <xf numFmtId="0" fontId="0" fillId="0" borderId="1" xfId="0" applyBorder="1" applyAlignment="1">
      <alignment horizontal="left"/>
    </xf>
    <xf numFmtId="0" fontId="3" fillId="3" borderId="0" xfId="0" applyFont="1" applyFill="1" applyAlignment="1">
      <alignment horizontal="right" vertical="center" indent="1"/>
    </xf>
    <xf numFmtId="0" fontId="0" fillId="0" borderId="5" xfId="0" applyBorder="1"/>
    <xf numFmtId="0" fontId="8" fillId="0" borderId="0" xfId="0" applyFont="1"/>
    <xf numFmtId="0" fontId="6" fillId="3" borderId="0" xfId="0" applyFont="1" applyFill="1" applyAlignment="1">
      <alignment horizontal="left" vertical="center"/>
    </xf>
    <xf numFmtId="0" fontId="6" fillId="5" borderId="0" xfId="1" applyFont="1" applyFill="1" applyAlignment="1" applyProtection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4" borderId="0" xfId="0" applyFont="1" applyFill="1" applyAlignment="1">
      <alignment horizontal="left" vertical="center" indent="1"/>
    </xf>
  </cellXfs>
  <cellStyles count="2">
    <cellStyle name="Normal" xfId="0" builtinId="0"/>
    <cellStyle name="Normal 2" xfId="1"/>
  </cellStyles>
  <dxfs count="1">
    <dxf>
      <font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333F48"/>
      <color rgb="FF006C5B"/>
      <color rgb="FF4F86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jpg"/><Relationship Id="rId4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13" Type="http://schemas.openxmlformats.org/officeDocument/2006/relationships/image" Target="../media/image1.emf"/><Relationship Id="rId3" Type="http://schemas.openxmlformats.org/officeDocument/2006/relationships/image" Target="../media/image11.emf"/><Relationship Id="rId7" Type="http://schemas.openxmlformats.org/officeDocument/2006/relationships/image" Target="../media/image7.emf"/><Relationship Id="rId12" Type="http://schemas.openxmlformats.org/officeDocument/2006/relationships/image" Target="../media/image2.emf"/><Relationship Id="rId2" Type="http://schemas.openxmlformats.org/officeDocument/2006/relationships/image" Target="../media/image12.emf"/><Relationship Id="rId1" Type="http://schemas.openxmlformats.org/officeDocument/2006/relationships/image" Target="../media/image13.emf"/><Relationship Id="rId6" Type="http://schemas.openxmlformats.org/officeDocument/2006/relationships/image" Target="../media/image8.emf"/><Relationship Id="rId11" Type="http://schemas.openxmlformats.org/officeDocument/2006/relationships/image" Target="../media/image3.emf"/><Relationship Id="rId5" Type="http://schemas.openxmlformats.org/officeDocument/2006/relationships/image" Target="../media/image9.emf"/><Relationship Id="rId15" Type="http://schemas.openxmlformats.org/officeDocument/2006/relationships/image" Target="../media/image15.emf"/><Relationship Id="rId10" Type="http://schemas.openxmlformats.org/officeDocument/2006/relationships/image" Target="../media/image4.emf"/><Relationship Id="rId4" Type="http://schemas.openxmlformats.org/officeDocument/2006/relationships/image" Target="../media/image10.emf"/><Relationship Id="rId9" Type="http://schemas.openxmlformats.org/officeDocument/2006/relationships/image" Target="../media/image5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58</xdr:row>
      <xdr:rowOff>55686</xdr:rowOff>
    </xdr:from>
    <xdr:to>
      <xdr:col>22</xdr:col>
      <xdr:colOff>210100</xdr:colOff>
      <xdr:row>58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577" y="9952161"/>
          <a:ext cx="284688" cy="28468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63</xdr:row>
      <xdr:rowOff>57150</xdr:rowOff>
    </xdr:from>
    <xdr:to>
      <xdr:col>15</xdr:col>
      <xdr:colOff>307716</xdr:colOff>
      <xdr:row>63</xdr:row>
      <xdr:rowOff>243840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9550" y="10391775"/>
          <a:ext cx="241041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63</xdr:row>
      <xdr:rowOff>66675</xdr:rowOff>
    </xdr:from>
    <xdr:to>
      <xdr:col>22</xdr:col>
      <xdr:colOff>285236</xdr:colOff>
      <xdr:row>63</xdr:row>
      <xdr:rowOff>249855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4600" y="10401300"/>
          <a:ext cx="241421" cy="1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28575</xdr:rowOff>
    </xdr:from>
    <xdr:to>
      <xdr:col>12</xdr:col>
      <xdr:colOff>53340</xdr:colOff>
      <xdr:row>56</xdr:row>
      <xdr:rowOff>478155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47625</xdr:colOff>
      <xdr:row>63</xdr:row>
      <xdr:rowOff>66675</xdr:rowOff>
    </xdr:from>
    <xdr:to>
      <xdr:col>22</xdr:col>
      <xdr:colOff>285236</xdr:colOff>
      <xdr:row>63</xdr:row>
      <xdr:rowOff>249855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7675" y="1066800"/>
          <a:ext cx="241421" cy="1908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64</xdr:row>
          <xdr:rowOff>47625</xdr:rowOff>
        </xdr:from>
        <xdr:to>
          <xdr:col>14</xdr:col>
          <xdr:colOff>752475</xdr:colOff>
          <xdr:row>67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67</xdr:row>
          <xdr:rowOff>47625</xdr:rowOff>
        </xdr:from>
        <xdr:to>
          <xdr:col>14</xdr:col>
          <xdr:colOff>752475</xdr:colOff>
          <xdr:row>69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69</xdr:row>
          <xdr:rowOff>104775</xdr:rowOff>
        </xdr:from>
        <xdr:to>
          <xdr:col>14</xdr:col>
          <xdr:colOff>752475</xdr:colOff>
          <xdr:row>71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60</xdr:row>
          <xdr:rowOff>47625</xdr:rowOff>
        </xdr:from>
        <xdr:to>
          <xdr:col>13</xdr:col>
          <xdr:colOff>38100</xdr:colOff>
          <xdr:row>62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60</xdr:row>
          <xdr:rowOff>47625</xdr:rowOff>
        </xdr:from>
        <xdr:to>
          <xdr:col>15</xdr:col>
          <xdr:colOff>352425</xdr:colOff>
          <xdr:row>62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60</xdr:row>
          <xdr:rowOff>38100</xdr:rowOff>
        </xdr:from>
        <xdr:to>
          <xdr:col>19</xdr:col>
          <xdr:colOff>1104900</xdr:colOff>
          <xdr:row>62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60</xdr:row>
          <xdr:rowOff>38100</xdr:rowOff>
        </xdr:from>
        <xdr:to>
          <xdr:col>22</xdr:col>
          <xdr:colOff>114300</xdr:colOff>
          <xdr:row>62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64</xdr:row>
          <xdr:rowOff>47625</xdr:rowOff>
        </xdr:from>
        <xdr:to>
          <xdr:col>21</xdr:col>
          <xdr:colOff>1038225</xdr:colOff>
          <xdr:row>67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67</xdr:row>
          <xdr:rowOff>47625</xdr:rowOff>
        </xdr:from>
        <xdr:to>
          <xdr:col>21</xdr:col>
          <xdr:colOff>1038225</xdr:colOff>
          <xdr:row>69</xdr:row>
          <xdr:rowOff>57150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69</xdr:row>
          <xdr:rowOff>104775</xdr:rowOff>
        </xdr:from>
        <xdr:to>
          <xdr:col>21</xdr:col>
          <xdr:colOff>1038225</xdr:colOff>
          <xdr:row>71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71</xdr:row>
          <xdr:rowOff>161925</xdr:rowOff>
        </xdr:from>
        <xdr:to>
          <xdr:col>21</xdr:col>
          <xdr:colOff>1038225</xdr:colOff>
          <xdr:row>73</xdr:row>
          <xdr:rowOff>38100</xdr:rowOff>
        </xdr:to>
        <xdr:sp macro="" textlink="">
          <xdr:nvSpPr>
            <xdr:cNvPr id="1038" name="TIButton12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73</xdr:row>
          <xdr:rowOff>85725</xdr:rowOff>
        </xdr:from>
        <xdr:to>
          <xdr:col>21</xdr:col>
          <xdr:colOff>1038225</xdr:colOff>
          <xdr:row>75</xdr:row>
          <xdr:rowOff>152400</xdr:rowOff>
        </xdr:to>
        <xdr:sp macro="" textlink="">
          <xdr:nvSpPr>
            <xdr:cNvPr id="1039" name="TIButton1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76</xdr:row>
          <xdr:rowOff>9525</xdr:rowOff>
        </xdr:from>
        <xdr:to>
          <xdr:col>21</xdr:col>
          <xdr:colOff>1038225</xdr:colOff>
          <xdr:row>79</xdr:row>
          <xdr:rowOff>19050</xdr:rowOff>
        </xdr:to>
        <xdr:sp macro="" textlink="">
          <xdr:nvSpPr>
            <xdr:cNvPr id="1040" name="TIButton1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0</xdr:colOff>
      <xdr:row>0</xdr:row>
      <xdr:rowOff>0</xdr:rowOff>
    </xdr:from>
    <xdr:to>
      <xdr:col>26</xdr:col>
      <xdr:colOff>38100</xdr:colOff>
      <xdr:row>63</xdr:row>
      <xdr:rowOff>287656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0" y="0"/>
          <a:ext cx="1866900" cy="18669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361950</xdr:colOff>
          <xdr:row>71</xdr:row>
          <xdr:rowOff>180975</xdr:rowOff>
        </xdr:from>
        <xdr:to>
          <xdr:col>14</xdr:col>
          <xdr:colOff>733425</xdr:colOff>
          <xdr:row>73</xdr:row>
          <xdr:rowOff>57150</xdr:rowOff>
        </xdr:to>
        <xdr:sp macro="" textlink="">
          <xdr:nvSpPr>
            <xdr:cNvPr id="1042" name="TIButton15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79</xdr:row>
          <xdr:rowOff>66675</xdr:rowOff>
        </xdr:from>
        <xdr:to>
          <xdr:col>21</xdr:col>
          <xdr:colOff>1038225</xdr:colOff>
          <xdr:row>81</xdr:row>
          <xdr:rowOff>133350</xdr:rowOff>
        </xdr:to>
        <xdr:sp macro="" textlink="">
          <xdr:nvSpPr>
            <xdr:cNvPr id="1043" name="TIButton4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BE9BC643-8561-1855-4A04-AFE6A3C36F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8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</sheetPr>
  <dimension ref="A1:W95"/>
  <sheetViews>
    <sheetView showGridLines="0" tabSelected="1" showOutlineSymbols="0" topLeftCell="J57" workbookViewId="0">
      <pane ySplit="8" topLeftCell="A65" activePane="bottomLeft" state="frozen"/>
      <selection activeCell="J57" sqref="J57"/>
      <selection pane="bottomLeft" activeCell="O57" sqref="O57"/>
    </sheetView>
  </sheetViews>
  <sheetFormatPr defaultRowHeight="15" outlineLevelRow="1" outlineLevelCol="1" x14ac:dyDescent="0.25"/>
  <cols>
    <col min="1" max="1" width="5.7109375" hidden="1" customWidth="1" outlineLevel="1" collapsed="1"/>
    <col min="2" max="2" width="46.7109375" hidden="1" customWidth="1" outlineLevel="1"/>
    <col min="3" max="4" width="20.28515625" hidden="1" customWidth="1" outlineLevel="1"/>
    <col min="5" max="5" width="24.42578125" hidden="1" customWidth="1" outlineLevel="1"/>
    <col min="6" max="6" width="21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idden="1" outlineLevel="1" x14ac:dyDescent="0.25">
      <c r="B1" s="16" t="s">
        <v>3</v>
      </c>
      <c r="C1" s="17"/>
      <c r="D1" s="18"/>
    </row>
    <row r="2" spans="2:4" hidden="1" outlineLevel="1" x14ac:dyDescent="0.25">
      <c r="B2" s="2" t="s">
        <v>4</v>
      </c>
      <c r="C2" s="3" t="s">
        <v>50</v>
      </c>
      <c r="D2" s="4"/>
    </row>
    <row r="3" spans="2:4" hidden="1" outlineLevel="1" x14ac:dyDescent="0.25">
      <c r="B3" s="2" t="s">
        <v>22</v>
      </c>
      <c r="C3" s="10" t="str" cm="1">
        <f t="array" aca="1" ref="C3" ca="1">_xll.VIEW(db_name&amp;":}ElementAttributes_}Clients","!","!")</f>
        <v>dcceew_geus:}ElementAttributes_}Clients</v>
      </c>
      <c r="D3" s="4"/>
    </row>
    <row r="4" spans="2:4" hidden="1" outlineLevel="1" x14ac:dyDescent="0.25">
      <c r="B4" s="2" t="s">
        <v>21</v>
      </c>
      <c r="C4" s="3" t="str" cm="1">
        <f t="array" aca="1" ref="C4" ca="1">_xll.TM1USER(db_name)</f>
        <v>CAMID("pans:u:kgimena@excelerated.com.au")</v>
      </c>
      <c r="D4" s="4"/>
    </row>
    <row r="5" spans="2:4" hidden="1" outlineLevel="1" x14ac:dyDescent="0.25">
      <c r="B5" s="2" t="s">
        <v>23</v>
      </c>
      <c r="C5" s="3" t="str" cm="1">
        <f t="array" aca="1" ref="C5" ca="1">_xll.DBR($C$3,$C$4,$B5)</f>
        <v>Business Analytics/Khristian Gimena</v>
      </c>
      <c r="D5" s="4"/>
    </row>
    <row r="6" spans="2:4" hidden="1" outlineLevel="1" x14ac:dyDescent="0.25">
      <c r="B6" s="2" t="s">
        <v>24</v>
      </c>
      <c r="C6" s="3" t="str" cm="1">
        <f t="array" aca="1" ref="C6" ca="1">_xll.DBR($C$3,$C$4,$B6)</f>
        <v>Khristian Gimena</v>
      </c>
      <c r="D6" s="4"/>
    </row>
    <row r="7" spans="2:4" hidden="1" outlineLevel="1" x14ac:dyDescent="0.25">
      <c r="B7" s="2" t="s">
        <v>5</v>
      </c>
      <c r="C7" s="3" t="str">
        <f ca="1">IF(LEFT($C$4,6)="CAM_AD",$C$5,$C$4)</f>
        <v>CAMID("pans:u:kgimena@excelerated.com.au")</v>
      </c>
      <c r="D7" s="1"/>
    </row>
    <row r="8" spans="2:4" hidden="1" outlineLevel="1" x14ac:dyDescent="0.25"/>
    <row r="9" spans="2:4" hidden="1" outlineLevel="1" x14ac:dyDescent="0.25">
      <c r="B9" s="16" t="s">
        <v>6</v>
      </c>
      <c r="C9" s="17"/>
      <c r="D9" s="18"/>
    </row>
    <row r="10" spans="2:4" hidden="1" outlineLevel="1" x14ac:dyDescent="0.25">
      <c r="B10" s="2" t="s">
        <v>7</v>
      </c>
      <c r="C10" s="1" t="str" cm="1">
        <f t="array" aca="1" ref="C10" ca="1">_xll.VIEW(db_name&amp;":}ElementAttributes_variables","!","!")</f>
        <v>dcceew_geus:}ElementAttributes_variables</v>
      </c>
      <c r="D10" s="1"/>
    </row>
    <row r="11" spans="2:4" hidden="1" outlineLevel="1" x14ac:dyDescent="0.25">
      <c r="B11" s="2" t="s">
        <v>8</v>
      </c>
      <c r="C11" s="1" t="str" cm="1">
        <f t="array" aca="1" ref="C11" ca="1">_xll.DBR($C$10,$B11,"value")</f>
        <v>HL2025-2026</v>
      </c>
      <c r="D11" s="1"/>
    </row>
    <row r="12" spans="2:4" hidden="1" outlineLevel="1" x14ac:dyDescent="0.25">
      <c r="B12" s="2" t="s">
        <v>9</v>
      </c>
      <c r="C12" s="1" t="str" cm="1">
        <f t="array" aca="1" ref="C12" ca="1">_xll.DBR($C$10,$B12,"value")</f>
        <v>current</v>
      </c>
      <c r="D12" s="1"/>
    </row>
    <row r="13" spans="2:4" hidden="1" outlineLevel="1" x14ac:dyDescent="0.25">
      <c r="B13" s="2" t="s">
        <v>10</v>
      </c>
      <c r="C13" s="1" t="str" cm="1">
        <f t="array" aca="1" ref="C13" ca="1">_xll.DBR($C$10,$B13,"value")</f>
        <v>HL2024-2025</v>
      </c>
      <c r="D13" s="1"/>
    </row>
    <row r="14" spans="2:4" hidden="1" outlineLevel="1" x14ac:dyDescent="0.25">
      <c r="B14" s="2" t="s">
        <v>11</v>
      </c>
      <c r="C14" s="1" t="str" cm="1">
        <f t="array" aca="1" ref="C14" ca="1">_xll.DBR($C$10,$B14,"value")</f>
        <v>Budget</v>
      </c>
      <c r="D14" s="1"/>
    </row>
    <row r="15" spans="2:4" hidden="1" outlineLevel="1" x14ac:dyDescent="0.25">
      <c r="B15" s="2" t="s">
        <v>12</v>
      </c>
      <c r="C15" s="1" t="str">
        <f ca="1">"The current scenario is """ &amp; $C$12 &amp; """ for the """ &amp; $C$11 &amp; """ Headline Year. Archive was done for """ &amp; $C$13 &amp; """ on scenario """ &amp; $C$14 &amp; """."</f>
        <v>The current scenario is "current" for the "HL2025-2026" Headline Year. Archive was done for "HL2024-2025" on scenario "Budget".</v>
      </c>
      <c r="D15" s="1"/>
    </row>
    <row r="16" spans="2:4" hidden="1" outlineLevel="1" x14ac:dyDescent="0.25"/>
    <row r="17" spans="2:13" hidden="1" outlineLevel="1" x14ac:dyDescent="0.25">
      <c r="B17" s="16" t="s">
        <v>13</v>
      </c>
      <c r="C17" s="17"/>
      <c r="D17" s="18"/>
    </row>
    <row r="18" spans="2:13" hidden="1" outlineLevel="1" x14ac:dyDescent="0.25">
      <c r="B18" s="2" t="s">
        <v>7</v>
      </c>
      <c r="C18" s="1" t="str" cm="1">
        <f t="array" aca="1" ref="C18" ca="1">_xll.VIEW(db_name&amp;":sys_client preference","!","!","!")</f>
        <v>dcceew_geus:sys_client preference</v>
      </c>
      <c r="D18" s="1"/>
    </row>
    <row r="19" spans="2:13" hidden="1" outlineLevel="1" x14ac:dyDescent="0.25">
      <c r="B19" s="2" t="s">
        <v>14</v>
      </c>
      <c r="C19" s="1" t="str" cm="1">
        <f t="array" aca="1" ref="C19" ca="1">_xll.DBR($C$18,psUser,$B19,"value")</f>
        <v>HL2025-2026</v>
      </c>
      <c r="D19" s="1"/>
    </row>
    <row r="20" spans="2:13" hidden="1" outlineLevel="1" x14ac:dyDescent="0.25">
      <c r="B20" s="2" t="s">
        <v>15</v>
      </c>
      <c r="C20" s="1" t="str" cm="1">
        <f t="array" aca="1" ref="C20" ca="1">_xll.DBR($C$18,psUser,$B20,"value")</f>
        <v>current</v>
      </c>
      <c r="D20" s="1"/>
    </row>
    <row r="21" spans="2:13" hidden="1" outlineLevel="1" x14ac:dyDescent="0.25">
      <c r="B21" s="2" t="s">
        <v>16</v>
      </c>
      <c r="C21" s="1" t="str" cm="1">
        <f t="array" aca="1" ref="C21" ca="1">_xll.DBR($C$18,psUser,$B21,"value")</f>
        <v>00377</v>
      </c>
      <c r="D21" s="1"/>
    </row>
    <row r="22" spans="2:13" hidden="1" outlineLevel="1" x14ac:dyDescent="0.25">
      <c r="B22" s="2" t="s">
        <v>17</v>
      </c>
      <c r="C22" s="1" t="str" cm="1">
        <f t="array" aca="1" ref="C22" ca="1">_xll.DBR($C$18,psUser,$B22,"value")</f>
        <v/>
      </c>
      <c r="D22" s="1"/>
    </row>
    <row r="23" spans="2:13" hidden="1" outlineLevel="1" x14ac:dyDescent="0.25">
      <c r="B23" s="2" t="s">
        <v>20</v>
      </c>
      <c r="C23" s="1" t="s">
        <v>19</v>
      </c>
      <c r="D23" s="1"/>
    </row>
    <row r="24" spans="2:13" hidden="1" outlineLevel="1" x14ac:dyDescent="0.25"/>
    <row r="25" spans="2:13" hidden="1" outlineLevel="1" x14ac:dyDescent="0.25">
      <c r="B25" s="16" t="s">
        <v>18</v>
      </c>
      <c r="C25" s="17"/>
      <c r="D25" s="18"/>
    </row>
    <row r="26" spans="2:13" hidden="1" outlineLevel="1" x14ac:dyDescent="0.25">
      <c r="B26" s="1" t="s">
        <v>2</v>
      </c>
      <c r="C26" s="12" t="str">
        <f t="array" aca="1" ref="C26" ca="1">_xll.VIEW(db_name&amp;":sys_application","!","!")</f>
        <v>dcceew_geus:sys_application</v>
      </c>
      <c r="D26" s="12"/>
    </row>
    <row r="27" spans="2:13" hidden="1" outlineLevel="1" x14ac:dyDescent="0.25">
      <c r="C27" s="12" t="s">
        <v>33</v>
      </c>
      <c r="D27" s="12" t="s">
        <v>30</v>
      </c>
      <c r="E27" s="12" t="s">
        <v>31</v>
      </c>
      <c r="F27" s="12" t="s">
        <v>0</v>
      </c>
      <c r="G27" s="12" t="s">
        <v>32</v>
      </c>
      <c r="H27" s="12" t="s">
        <v>1</v>
      </c>
    </row>
    <row r="28" spans="2:13" hidden="1" outlineLevel="1" x14ac:dyDescent="0.25">
      <c r="B28" s="1" t="s">
        <v>25</v>
      </c>
      <c r="C28" s="1" t="str" cm="1">
        <f t="array" aca="1" ref="C28" ca="1">_xll.DBR($C$26,$B28,C$27)</f>
        <v>TM1HomeCAP</v>
      </c>
      <c r="D28" s="1" t="str" cm="1">
        <f t="array" aca="1" ref="D28" ca="1">_xll.DBR($C$26,$B28,D$27)</f>
        <v>Home</v>
      </c>
      <c r="E28" s="1" t="str" cm="1">
        <f t="array" aca="1" ref="E28" ca="1">_xll.DBR($C$26,$B28,E$27)</f>
        <v>TM1HomeWB</v>
      </c>
      <c r="F28" s="1" t="str" cm="1">
        <f t="array" aca="1" ref="F28" ca="1">_xll.DBR($C$26,$B28,F$27)</f>
        <v>PRIMUS\GEUS WEB\Homepage\sys_Home.xlsx</v>
      </c>
      <c r="G28" s="1" t="str" cm="1">
        <f t="array" aca="1" ref="G28" ca="1">_xll.DBR($C$26,$B28,G$27)</f>
        <v>TM1HomeWS</v>
      </c>
      <c r="H28" s="1" t="str" cm="1">
        <f t="array" aca="1" ref="H28" ca="1">_xll.DBR($C$26,$B28,H$27)</f>
        <v>home</v>
      </c>
      <c r="M28" t="s">
        <v>30</v>
      </c>
    </row>
    <row r="29" spans="2:13" hidden="1" outlineLevel="1" x14ac:dyDescent="0.25">
      <c r="B29" s="1" t="s">
        <v>26</v>
      </c>
      <c r="C29" s="1" t="str" cm="1">
        <f t="array" aca="1" ref="C29" ca="1">_xll.DBR($C$26,$B29,C$27)</f>
        <v>TM1HomeAECAP</v>
      </c>
      <c r="D29" s="1" t="str" cm="1">
        <f t="array" aca="1" ref="D29" ca="1">_xll.DBR($C$26,$B29,D$27)</f>
        <v>Annual Estimates</v>
      </c>
      <c r="E29" s="1" t="str" cm="1">
        <f t="array" aca="1" ref="E29" ca="1">_xll.DBR($C$26,$B29,E$27)</f>
        <v>TM1HomeAEWB</v>
      </c>
      <c r="F29" s="1" t="str" cm="1">
        <f t="array" aca="1" ref="F29" ca="1">_xll.DBR($C$26,$B29,F$27)</f>
        <v>PRIMUS\GEUS WEB\Homepage\sys_Home - Annual Estimates - Data Entry.xlsx</v>
      </c>
      <c r="G29" s="1" t="str" cm="1">
        <f t="array" aca="1" ref="G29" ca="1">_xll.DBR($C$26,$B29,G$27)</f>
        <v>TM1HomeAEWS</v>
      </c>
      <c r="H29" s="1" t="str" cm="1">
        <f t="array" aca="1" ref="H29" ca="1">_xll.DBR($C$26,$B29,H$27)</f>
        <v>Menu</v>
      </c>
      <c r="M29" t="s">
        <v>31</v>
      </c>
    </row>
    <row r="30" spans="2:13" hidden="1" outlineLevel="1" x14ac:dyDescent="0.25">
      <c r="B30" s="1" t="s">
        <v>27</v>
      </c>
      <c r="C30" s="1" t="str" cm="1">
        <f t="array" aca="1" ref="C30" ca="1">_xll.DBR($C$26,$B30,C$27)</f>
        <v>TM1HomeRepCAP</v>
      </c>
      <c r="D30" s="1" t="str" cm="1">
        <f t="array" aca="1" ref="D30" ca="1">_xll.DBR($C$26,$B30,D$27)</f>
        <v>Reports</v>
      </c>
      <c r="E30" s="1" t="str" cm="1">
        <f t="array" aca="1" ref="E30" ca="1">_xll.DBR($C$26,$B30,E$27)</f>
        <v>TM1HomeRepWB</v>
      </c>
      <c r="F30" s="1" t="str" cm="1">
        <f t="array" aca="1" ref="F30" ca="1">_xll.DBR($C$26,$B30,F$27)</f>
        <v>PRIMUS\GEUS WEB\Homepage\sys_Home - Reports - PFS.xlsx</v>
      </c>
      <c r="G30" s="1" t="str" cm="1">
        <f t="array" aca="1" ref="G30" ca="1">_xll.DBR($C$26,$B30,G$27)</f>
        <v>TM1HomeRepWS</v>
      </c>
      <c r="H30" s="1" t="str" cm="1">
        <f t="array" aca="1" ref="H30" ca="1">_xll.DBR($C$26,$B30,H$27)</f>
        <v>Menu</v>
      </c>
    </row>
    <row r="31" spans="2:13" hidden="1" outlineLevel="1" x14ac:dyDescent="0.25">
      <c r="B31" s="1" t="s">
        <v>35</v>
      </c>
      <c r="C31" s="1" t="str" cm="1">
        <f t="array" aca="1" ref="C31" ca="1">_xll.DBR($C$26,$B31,C$27)</f>
        <v>TM1HomeRepPFSCAP</v>
      </c>
      <c r="D31" s="1" t="str" cm="1">
        <f t="array" aca="1" ref="D31" ca="1">_xll.DBR($C$26,$B31,D$27)</f>
        <v>Primary Financial Statements Menu</v>
      </c>
      <c r="E31" s="1" t="str" cm="1">
        <f t="array" aca="1" ref="E31" ca="1">_xll.DBR($C$26,$B31,E$27)</f>
        <v>TM1HomeRepPFSWB</v>
      </c>
      <c r="F31" s="1" t="str" cm="1">
        <f t="array" aca="1" ref="F31" ca="1">_xll.DBR($C$26,$B31,F$27)</f>
        <v>PRIMUS\GEUS WEB\Homepage\sys_Home - Reports - PFS.xlsx</v>
      </c>
      <c r="G31" s="1" t="str" cm="1">
        <f t="array" aca="1" ref="G31" ca="1">_xll.DBR($C$26,$B31,G$27)</f>
        <v>TM1HomeRepPFSWS</v>
      </c>
      <c r="H31" s="1" t="str" cm="1">
        <f t="array" aca="1" ref="H31" ca="1">_xll.DBR($C$26,$B31,H$27)</f>
        <v>Menu</v>
      </c>
    </row>
    <row r="32" spans="2:13" hidden="1" outlineLevel="1" x14ac:dyDescent="0.25">
      <c r="B32" s="1" t="s">
        <v>36</v>
      </c>
      <c r="C32" s="1" t="str" cm="1">
        <f t="array" aca="1" ref="C32" ca="1">_xll.DBR($C$26,$B32,C$27)</f>
        <v>TM1HomeRepOtherCAP</v>
      </c>
      <c r="D32" s="1" t="str" cm="1">
        <f t="array" aca="1" ref="D32" ca="1">_xll.DBR($C$26,$B32,D$27)</f>
        <v>Other Reports Menu</v>
      </c>
      <c r="E32" s="1" t="str" cm="1">
        <f t="array" aca="1" ref="E32" ca="1">_xll.DBR($C$26,$B32,E$27)</f>
        <v>TM1HomeRepOtherWB</v>
      </c>
      <c r="F32" s="1" t="str" cm="1">
        <f t="array" aca="1" ref="F32" ca="1">_xll.DBR($C$26,$B32,F$27)</f>
        <v>PRIMUS\GEUS WEB\Homepage\sys_Home - Reports - Other.xlsx</v>
      </c>
      <c r="G32" s="1" t="str" cm="1">
        <f t="array" aca="1" ref="G32" ca="1">_xll.DBR($C$26,$B32,G$27)</f>
        <v>TM1HomeRepOtherWS</v>
      </c>
      <c r="H32" s="1" t="str" cm="1">
        <f t="array" aca="1" ref="H32" ca="1">_xll.DBR($C$26,$B32,H$27)</f>
        <v>Menu</v>
      </c>
    </row>
    <row r="33" spans="2:8" hidden="1" outlineLevel="1" x14ac:dyDescent="0.25">
      <c r="B33" s="1" t="s">
        <v>37</v>
      </c>
      <c r="C33" s="1" t="str" cm="1">
        <f t="array" aca="1" ref="C33" ca="1">_xll.DBR($C$26,$B33,C$27)</f>
        <v>TM1HomeRepAnalyticalCAP</v>
      </c>
      <c r="D33" s="1" t="str" cm="1">
        <f t="array" aca="1" ref="D33" ca="1">_xll.DBR($C$26,$B33,D$27)</f>
        <v>Analytical Reports Menu</v>
      </c>
      <c r="E33" s="1" t="str" cm="1">
        <f t="array" aca="1" ref="E33" ca="1">_xll.DBR($C$26,$B33,E$27)</f>
        <v>TM1HomeRepAnalyticalWB</v>
      </c>
      <c r="F33" s="1" t="str" cm="1">
        <f t="array" aca="1" ref="F33" ca="1">_xll.DBR($C$26,$B33,F$27)</f>
        <v>PRIMUS\GEUS WEB\Homepage\sys_Home - Reports - Analytical.xlsx</v>
      </c>
      <c r="G33" s="1" t="str" cm="1">
        <f t="array" aca="1" ref="G33" ca="1">_xll.DBR($C$26,$B33,G$27)</f>
        <v>TM1HomeRepAnalyticalWS</v>
      </c>
      <c r="H33" s="1" t="str" cm="1">
        <f t="array" aca="1" ref="H33" ca="1">_xll.DBR($C$26,$B33,H$27)</f>
        <v>Menu</v>
      </c>
    </row>
    <row r="34" spans="2:8" hidden="1" outlineLevel="1" x14ac:dyDescent="0.25">
      <c r="B34" s="1" t="s">
        <v>48</v>
      </c>
      <c r="C34" s="1" t="str" cm="1">
        <f t="array" aca="1" ref="C34" ca="1">_xll.DBR($C$26,$B34,C$27)</f>
        <v>TM1HomeRepAdditionalCAP</v>
      </c>
      <c r="D34" s="1" t="str" cm="1">
        <f t="array" aca="1" ref="D34" ca="1">_xll.DBR($C$26,$B34,D$27)</f>
        <v>Additional Reports Menu</v>
      </c>
      <c r="E34" s="1" t="str" cm="1">
        <f t="array" aca="1" ref="E34" ca="1">_xll.DBR($C$26,$B34,E$27)</f>
        <v>TM1HomeRepAdditionalWB</v>
      </c>
      <c r="F34" s="1" t="str" cm="1">
        <f t="array" aca="1" ref="F34" ca="1">_xll.DBR($C$26,$B34,F$27)</f>
        <v>PRIMUS\GEUS WEB\Homepage\sys_Home - Under Construction.xlsx</v>
      </c>
      <c r="G34" s="1" t="str" cm="1">
        <f t="array" aca="1" ref="G34" ca="1">_xll.DBR($C$26,$B34,G$27)</f>
        <v>TM1HomeRepAdditionalWS</v>
      </c>
      <c r="H34" s="1" t="str" cm="1">
        <f t="array" aca="1" ref="H34" ca="1">_xll.DBR($C$26,$B34,H$27)</f>
        <v>Menu</v>
      </c>
    </row>
    <row r="35" spans="2:8" hidden="1" outlineLevel="1" x14ac:dyDescent="0.25">
      <c r="B35" s="1" t="s">
        <v>28</v>
      </c>
      <c r="C35" s="1" t="str" cm="1">
        <f t="array" aca="1" ref="C35" ca="1">_xll.DBR($C$26,$B35,C$27)</f>
        <v>TM1HomeAdminCAP</v>
      </c>
      <c r="D35" s="1" t="str" cm="1">
        <f t="array" aca="1" ref="D35" ca="1">_xll.DBR($C$26,$B35,D$27)</f>
        <v>Administration</v>
      </c>
      <c r="E35" s="1" t="str" cm="1">
        <f t="array" aca="1" ref="E35" ca="1">_xll.DBR($C$26,$B35,E$27)</f>
        <v>TM1HomeAdminWB</v>
      </c>
      <c r="F35" s="1" t="str" cm="1">
        <f t="array" aca="1" ref="F35" ca="1">_xll.DBR($C$26,$B35,F$27)</f>
        <v>PRIMUS\GEUS WEB\Homepage\sys_Home - Administration - GEUS Setup.xlsx</v>
      </c>
      <c r="G35" s="1" t="str" cm="1">
        <f t="array" aca="1" ref="G35" ca="1">_xll.DBR($C$26,$B35,G$27)</f>
        <v>TM1HomeAdminWS</v>
      </c>
      <c r="H35" s="1" t="str" cm="1">
        <f t="array" aca="1" ref="H35" ca="1">_xll.DBR($C$26,$B35,H$27)</f>
        <v>Menu</v>
      </c>
    </row>
    <row r="36" spans="2:8" hidden="1" outlineLevel="1" x14ac:dyDescent="0.25">
      <c r="B36" s="1" t="s">
        <v>29</v>
      </c>
      <c r="C36" s="1" t="str" cm="1">
        <f t="array" aca="1" ref="C36" ca="1">_xll.DBR($C$26,$B36,C$27)</f>
        <v>TM1HomeUnderCAP</v>
      </c>
      <c r="D36" s="1" t="str" cm="1">
        <f t="array" aca="1" ref="D36" ca="1">_xll.DBR($C$26,$B36,D$27)</f>
        <v>Under Construction</v>
      </c>
      <c r="E36" s="1" t="str" cm="1">
        <f t="array" aca="1" ref="E36" ca="1">_xll.DBR($C$26,$B36,E$27)</f>
        <v>TM1HomeUnderWB</v>
      </c>
      <c r="F36" s="1" t="str" cm="1">
        <f t="array" aca="1" ref="F36" ca="1">_xll.DBR($C$26,$B36,F$27)</f>
        <v>PRIMUS\GEUS WEB\Homepage\sys_Home - Under Construction.xlsx</v>
      </c>
      <c r="G36" s="1" t="str" cm="1">
        <f t="array" aca="1" ref="G36" ca="1">_xll.DBR($C$26,$B36,G$27)</f>
        <v>TM1HomeUnderWS</v>
      </c>
      <c r="H36" s="1" t="str" cm="1">
        <f t="array" aca="1" ref="H36" ca="1">_xll.DBR($C$26,$B36,H$27)</f>
        <v>under construction</v>
      </c>
    </row>
    <row r="37" spans="2:8" hidden="1" outlineLevel="1" x14ac:dyDescent="0.25">
      <c r="B37" s="1" t="s">
        <v>39</v>
      </c>
      <c r="C37" s="1" t="str" cm="1">
        <f t="array" aca="1" ref="C37" ca="1">_xll.DBR($C$26,$B37,C$27)</f>
        <v>TM1AnalRptTransCAP</v>
      </c>
      <c r="D37" s="1" t="str" cm="1">
        <f t="array" aca="1" ref="D37" ca="1">_xll.DBR($C$26,$B37,D$27)</f>
        <v/>
      </c>
      <c r="E37" s="1" t="str" cm="1">
        <f t="array" aca="1" ref="E37" ca="1">_xll.DBR($C$26,$B37,E$27)</f>
        <v>TM1AnalRptTransWB</v>
      </c>
      <c r="F37" s="1" t="str" cm="1">
        <f t="array" aca="1" ref="F37" ca="1">_xll.DBR($C$26,$B37,F$27)</f>
        <v>PRIMUS\GEUS WEB\Reports\Analytical Reports\Analytical Reports - Transaction Listing.xlsx</v>
      </c>
      <c r="G37" s="1" t="str" cm="1">
        <f t="array" aca="1" ref="G37" ca="1">_xll.DBR($C$26,$B37,G$27)</f>
        <v>TM1AnalRptTransWS</v>
      </c>
      <c r="H37" s="1" t="str" cm="1">
        <f t="array" aca="1" ref="H37" ca="1">_xll.DBR($C$26,$B37,H$27)</f>
        <v>transaction listing</v>
      </c>
    </row>
    <row r="38" spans="2:8" hidden="1" outlineLevel="1" x14ac:dyDescent="0.25">
      <c r="B38" s="1" t="s">
        <v>40</v>
      </c>
      <c r="C38" s="1" t="str" cm="1">
        <f t="array" aca="1" ref="C38" ca="1">_xll.DBR($C$26,$B38,C$27)</f>
        <v>TM1AnalRptRepAdjRecoCAP</v>
      </c>
      <c r="D38" s="1" t="str" cm="1">
        <f t="array" aca="1" ref="D38" ca="1">_xll.DBR($C$26,$B38,D$27)</f>
        <v/>
      </c>
      <c r="E38" s="1" t="str" cm="1">
        <f t="array" aca="1" ref="E38" ca="1">_xll.DBR($C$26,$B38,E$27)</f>
        <v>TM1AnalRptRepAdjRecoWB</v>
      </c>
      <c r="F38" s="1" t="str" cm="1">
        <f t="array" aca="1" ref="F38" ca="1">_xll.DBR($C$26,$B38,F$27)</f>
        <v>PRIMUS\GEUS WEB\Reports\Analytical Reports\Analytical Reports - AE Adj and AE Reporting Reconciliation.xlsx</v>
      </c>
      <c r="G38" s="1" t="str" cm="1">
        <f t="array" aca="1" ref="G38" ca="1">_xll.DBR($C$26,$B38,G$27)</f>
        <v>TM1AnalRptRepAdjRecoWS</v>
      </c>
      <c r="H38" s="1" t="str" cm="1">
        <f t="array" aca="1" ref="H38" ca="1">_xll.DBR($C$26,$B38,H$27)</f>
        <v>reco</v>
      </c>
    </row>
    <row r="39" spans="2:8" hidden="1" outlineLevel="1" x14ac:dyDescent="0.25">
      <c r="B39" s="1" t="s">
        <v>41</v>
      </c>
      <c r="C39" s="1" t="str" cm="1">
        <f t="array" aca="1" ref="C39" ca="1">_xll.DBR($C$26,$B39,C$27)</f>
        <v>TM1AnalRptRepStageMaintCAP</v>
      </c>
      <c r="D39" s="1" t="str" cm="1">
        <f t="array" aca="1" ref="D39" ca="1">_xll.DBR($C$26,$B39,D$27)</f>
        <v/>
      </c>
      <c r="E39" s="1" t="str" cm="1">
        <f t="array" aca="1" ref="E39" ca="1">_xll.DBR($C$26,$B39,E$27)</f>
        <v>TM1AnalRptRepStageMaintWB</v>
      </c>
      <c r="F39" s="1" t="str" cm="1">
        <f t="array" aca="1" ref="F39" ca="1">_xll.DBR($C$26,$B39,F$27)</f>
        <v>PRIMUS\GEUS WEB\Reports\Analytical Reports\Analytical Reports - Reporting Stage Maintenance.xlsx</v>
      </c>
      <c r="G39" s="1" t="str" cm="1">
        <f t="array" aca="1" ref="G39" ca="1">_xll.DBR($C$26,$B39,G$27)</f>
        <v>TM1AnalRptRepStageMaintWS</v>
      </c>
      <c r="H39" s="1" t="str" cm="1">
        <f t="array" aca="1" ref="H39" ca="1">_xll.DBR($C$26,$B39,H$27)</f>
        <v>stage maintenance</v>
      </c>
    </row>
    <row r="40" spans="2:8" hidden="1" outlineLevel="1" x14ac:dyDescent="0.25">
      <c r="B40" s="1" t="s">
        <v>42</v>
      </c>
      <c r="C40" s="1" t="str" cm="1">
        <f t="array" aca="1" ref="C40" ca="1">_xll.DBR($C$26,$B40,C$27)</f>
        <v>TM1AnalRptRecoCAP</v>
      </c>
      <c r="D40" s="1" t="str" cm="1">
        <f t="array" aca="1" ref="D40" ca="1">_xll.DBR($C$26,$B40,D$27)</f>
        <v/>
      </c>
      <c r="E40" s="1" t="str" cm="1">
        <f t="array" aca="1" ref="E40" ca="1">_xll.DBR($C$26,$B40,E$27)</f>
        <v>TM1AnalRptRecoWB</v>
      </c>
      <c r="F40" s="1" t="str" cm="1">
        <f t="array" aca="1" ref="F40" ca="1">_xll.DBR($C$26,$B40,F$27)</f>
        <v>PRIMUS\GEUS WEB\Reports\Analytical Reports\Analytical Reports - Reconciliation and Validations.xlsx</v>
      </c>
      <c r="G40" s="1" t="str" cm="1">
        <f t="array" aca="1" ref="G40" ca="1">_xll.DBR($C$26,$B40,G$27)</f>
        <v>TM1AnalRptRecoWS</v>
      </c>
      <c r="H40" s="1" t="str" cm="1">
        <f t="array" aca="1" ref="H40" ca="1">_xll.DBR($C$26,$B40,H$27)</f>
        <v>reco</v>
      </c>
    </row>
    <row r="41" spans="2:8" hidden="1" outlineLevel="1" x14ac:dyDescent="0.25">
      <c r="B41" s="1" t="s">
        <v>43</v>
      </c>
      <c r="C41" s="1" t="str" cm="1">
        <f t="array" aca="1" ref="C41" ca="1">_xll.DBR($C$26,$B41,C$27)</f>
        <v>TM1AnalRptDashboardCAP</v>
      </c>
      <c r="D41" s="1" t="str" cm="1">
        <f t="array" aca="1" ref="D41" ca="1">_xll.DBR($C$26,$B41,D$27)</f>
        <v/>
      </c>
      <c r="E41" s="1" t="str" cm="1">
        <f t="array" aca="1" ref="E41" ca="1">_xll.DBR($C$26,$B41,E$27)</f>
        <v>TM1AnalRptDashboardWB</v>
      </c>
      <c r="F41" s="1" t="str" cm="1">
        <f t="array" aca="1" ref="F41" ca="1">_xll.DBR($C$26,$B41,F$27)</f>
        <v/>
      </c>
      <c r="G41" s="1" t="str" cm="1">
        <f t="array" aca="1" ref="G41" ca="1">_xll.DBR($C$26,$B41,G$27)</f>
        <v>TM1AnalRptDashboardWS</v>
      </c>
      <c r="H41" s="1" t="str" cm="1">
        <f t="array" aca="1" ref="H41" ca="1">_xll.DBR($C$26,$B41,H$27)</f>
        <v/>
      </c>
    </row>
    <row r="42" spans="2:8" hidden="1" outlineLevel="1" x14ac:dyDescent="0.25">
      <c r="B42" s="1" t="s">
        <v>44</v>
      </c>
      <c r="C42" s="1" t="str" cm="1">
        <f t="array" aca="1" ref="C42" ca="1">_xll.DBR($C$26,$B42,C$27)</f>
        <v>TM1AnalRptARTRecoCAP</v>
      </c>
      <c r="D42" s="1" t="str" cm="1">
        <f t="array" aca="1" ref="D42" ca="1">_xll.DBR($C$26,$B42,D$27)</f>
        <v/>
      </c>
      <c r="E42" s="1" t="str" cm="1">
        <f t="array" aca="1" ref="E42" ca="1">_xll.DBR($C$26,$B42,E$27)</f>
        <v>TM1AnalRptARTRecoWB</v>
      </c>
      <c r="F42" s="1" t="str" cm="1">
        <f t="array" aca="1" ref="F42" ca="1">_xll.DBR($C$26,$B42,F$27)</f>
        <v/>
      </c>
      <c r="G42" s="1" t="str" cm="1">
        <f t="array" aca="1" ref="G42" ca="1">_xll.DBR($C$26,$B42,G$27)</f>
        <v>TM1AnalRptARTRecoWS</v>
      </c>
      <c r="H42" s="1" t="str" cm="1">
        <f t="array" aca="1" ref="H42" ca="1">_xll.DBR($C$26,$B42,H$27)</f>
        <v/>
      </c>
    </row>
    <row r="43" spans="2:8" hidden="1" outlineLevel="1" x14ac:dyDescent="0.25">
      <c r="B43" s="1" t="s">
        <v>45</v>
      </c>
      <c r="C43" s="1" t="str" cm="1">
        <f t="array" aca="1" ref="C43" ca="1">_xll.DBR($C$26,$B43,C$27)</f>
        <v>TM1AnalRptExportToCSVCAP</v>
      </c>
      <c r="D43" s="1" t="str" cm="1">
        <f t="array" aca="1" ref="D43" ca="1">_xll.DBR($C$26,$B43,D$27)</f>
        <v>CSV Data Extract - Flat File</v>
      </c>
      <c r="E43" s="1" t="str" cm="1">
        <f t="array" aca="1" ref="E43" ca="1">_xll.DBR($C$26,$B43,E$27)</f>
        <v>TM1AnalRptExportToCSVWB</v>
      </c>
      <c r="F43" s="1" t="str" cm="1">
        <f t="array" aca="1" ref="F43" ca="1">_xll.DBR($C$26,$B43,F$27)</f>
        <v>PRIMUS\GEUS WEB\Reports\Analytical Reports\Analytical Reports - Data Extract To CSV.xlsx</v>
      </c>
      <c r="G43" s="1" t="str" cm="1">
        <f t="array" aca="1" ref="G43" ca="1">_xll.DBR($C$26,$B43,G$27)</f>
        <v>TM1AnalRptExportToCSVWS</v>
      </c>
      <c r="H43" s="1" t="str" cm="1">
        <f t="array" aca="1" ref="H43" ca="1">_xll.DBR($C$26,$B43,H$27)</f>
        <v>data etxract</v>
      </c>
    </row>
    <row r="44" spans="2:8" hidden="1" outlineLevel="1" x14ac:dyDescent="0.25">
      <c r="B44" s="1" t="s">
        <v>49</v>
      </c>
      <c r="C44" s="1" t="str" cm="1">
        <f t="array" aca="1" ref="C44" ca="1">_xll.DBR($C$26,$B44,C$27)</f>
        <v>TM1AnalRptCSVExportRptCAP</v>
      </c>
      <c r="D44" s="1" t="str" cm="1">
        <f t="array" aca="1" ref="D44" ca="1">_xll.DBR($C$26,$B44,D$27)</f>
        <v>CSV Data Extract - Report</v>
      </c>
      <c r="E44" s="1" t="str" cm="1">
        <f t="array" aca="1" ref="E44" ca="1">_xll.DBR($C$26,$B44,E$27)</f>
        <v>TM1AnalRptCSVExportRptWB</v>
      </c>
      <c r="F44" s="1" t="str" cm="1">
        <f t="array" aca="1" ref="F44" ca="1">_xll.DBR($C$26,$B44,F$27)</f>
        <v>PRIMUS\GEUS WEB\Reports\Analytical Reports\Analytical Reports - CSV Data Extract - Report.xlsx</v>
      </c>
      <c r="G44" s="1" t="str" cm="1">
        <f t="array" aca="1" ref="G44" ca="1">_xll.DBR($C$26,$B44,G$27)</f>
        <v>TM1AnalRptCSVExportRptWS</v>
      </c>
      <c r="H44" s="1" t="str" cm="1">
        <f t="array" aca="1" ref="H44" ca="1">_xll.DBR($C$26,$B44,H$27)</f>
        <v>data etxract</v>
      </c>
    </row>
    <row r="45" spans="2:8" hidden="1" outlineLevel="1" x14ac:dyDescent="0.25">
      <c r="B45" s="1" t="s">
        <v>46</v>
      </c>
      <c r="C45" s="1" t="str" cm="1">
        <f t="array" aca="1" ref="C45" ca="1">_xll.DBR($C$26,$B45,C$27)</f>
        <v>TM1AnalRptScenCompCAP</v>
      </c>
      <c r="D45" s="1" t="str" cm="1">
        <f t="array" aca="1" ref="D45" ca="1">_xll.DBR($C$26,$B45,D$27)</f>
        <v/>
      </c>
      <c r="E45" s="1" t="str" cm="1">
        <f t="array" aca="1" ref="E45" ca="1">_xll.DBR($C$26,$B45,E$27)</f>
        <v>TM1AnalRptScenCompWB</v>
      </c>
      <c r="F45" s="1" t="str" cm="1">
        <f t="array" aca="1" ref="F45" ca="1">_xll.DBR($C$26,$B45,F$27)</f>
        <v>PRIMUS\GEUS WEB\Reports\Analytical Reports\Analytical Reports - Scenario Comparison.xlsx</v>
      </c>
      <c r="G45" s="1" t="str" cm="1">
        <f t="array" aca="1" ref="G45" ca="1">_xll.DBR($C$26,$B45,G$27)</f>
        <v>TM1AnalRptScenCompWS</v>
      </c>
      <c r="H45" s="1" t="str" cm="1">
        <f t="array" aca="1" ref="H45" ca="1">_xll.DBR($C$26,$B45,H$27)</f>
        <v>report</v>
      </c>
    </row>
    <row r="46" spans="2:8" hidden="1" outlineLevel="1" x14ac:dyDescent="0.25">
      <c r="B46" s="1" t="s">
        <v>47</v>
      </c>
      <c r="C46" s="1" t="str">
        <f ca="1">_xll.DBR($C$26,$B46,C$27)</f>
        <v>*KEY_ERR</v>
      </c>
      <c r="D46" s="1" t="str" cm="1">
        <f t="array" aca="1" ref="D46" ca="1">_xll.DBR($C$26,$B46,D$27)</f>
        <v>*KEY_ERR</v>
      </c>
      <c r="E46" s="1" t="str">
        <f ca="1">_xll.DBR($C$26,$B46,E$27)</f>
        <v>*KEY_ERR</v>
      </c>
      <c r="F46" s="1" t="str">
        <f ca="1">_xll.DBR($C$26,$B46,F$27)</f>
        <v>*KEY_ERR</v>
      </c>
      <c r="G46" s="1" t="str">
        <f ca="1">_xll.DBR($C$26,$B46,G$27)</f>
        <v>*KEY_ERR</v>
      </c>
      <c r="H46" s="1" t="str">
        <f ca="1">_xll.DBR($C$26,$B46,H$27)</f>
        <v>*KEY_ERR</v>
      </c>
    </row>
    <row r="47" spans="2:8" hidden="1" outlineLevel="1" x14ac:dyDescent="0.25"/>
    <row r="48" spans="2:8" hidden="1" outlineLevel="1" x14ac:dyDescent="0.25"/>
    <row r="49" spans="10:23" hidden="1" outlineLevel="1" x14ac:dyDescent="0.25"/>
    <row r="50" spans="10:23" hidden="1" outlineLevel="1" x14ac:dyDescent="0.25"/>
    <row r="51" spans="10:23" hidden="1" outlineLevel="1" x14ac:dyDescent="0.25"/>
    <row r="52" spans="10:23" hidden="1" outlineLevel="1" x14ac:dyDescent="0.25"/>
    <row r="53" spans="10:23" hidden="1" outlineLevel="1" x14ac:dyDescent="0.25"/>
    <row r="54" spans="10:23" hidden="1" outlineLevel="1" x14ac:dyDescent="0.25"/>
    <row r="55" spans="10:23" hidden="1" outlineLevel="1" x14ac:dyDescent="0.25"/>
    <row r="56" spans="10:23" hidden="1" outlineLevel="1" x14ac:dyDescent="0.25"/>
    <row r="57" spans="10:23" ht="39.75" customHeight="1" collapsed="1" x14ac:dyDescent="0.25"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1" t="str">
        <f ca="1">"Welcome "&amp; $C$5</f>
        <v>Welcome Business Analytics/Khristian Gimena</v>
      </c>
    </row>
    <row r="58" spans="10:23" ht="4.5" customHeight="1" x14ac:dyDescent="0.25"/>
    <row r="59" spans="10:23" ht="30" customHeight="1" x14ac:dyDescent="0.25">
      <c r="J59" s="6"/>
      <c r="K59" s="19" t="str">
        <f ca="1">$C$15</f>
        <v>The current scenario is "current" for the "HL2025-2026" Headline Year. Archive was done for "HL2024-2025" on scenario "Budget".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6"/>
      <c r="W59" s="6"/>
    </row>
    <row r="60" spans="10:23" ht="4.5" customHeight="1" x14ac:dyDescent="0.25"/>
    <row r="64" spans="10:23" ht="24.75" customHeight="1" x14ac:dyDescent="0.25">
      <c r="J64" s="7"/>
      <c r="K64" s="7"/>
      <c r="L64" s="14" t="s">
        <v>34</v>
      </c>
      <c r="M64" s="14"/>
      <c r="N64" s="14"/>
      <c r="O64" s="14"/>
      <c r="P64" s="5"/>
      <c r="R64" s="8"/>
      <c r="S64" s="15" t="s">
        <v>38</v>
      </c>
      <c r="T64" s="15"/>
      <c r="U64" s="15"/>
      <c r="V64" s="15"/>
      <c r="W64" s="8"/>
    </row>
    <row r="65" spans="10:23" ht="4.5" customHeight="1" x14ac:dyDescent="0.25">
      <c r="J65" s="9"/>
      <c r="K65" s="9"/>
      <c r="L65" s="9"/>
      <c r="M65" s="9"/>
      <c r="N65" s="9"/>
      <c r="O65" s="9"/>
      <c r="P65" s="9"/>
      <c r="R65" s="9"/>
      <c r="S65" s="9"/>
      <c r="T65" s="9"/>
      <c r="U65" s="9"/>
      <c r="V65" s="9"/>
      <c r="W65" s="9"/>
    </row>
    <row r="66" spans="10:23" ht="19.5" customHeight="1" x14ac:dyDescent="0.25"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</row>
    <row r="67" spans="10:23" ht="4.5" customHeight="1" x14ac:dyDescent="0.25"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</row>
    <row r="68" spans="10:23" ht="19.5" customHeight="1" x14ac:dyDescent="0.25"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</row>
    <row r="69" spans="10:23" ht="4.5" customHeight="1" x14ac:dyDescent="0.25"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</row>
    <row r="70" spans="10:23" ht="19.5" customHeight="1" x14ac:dyDescent="0.25"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</row>
    <row r="71" spans="10:23" ht="4.5" customHeight="1" x14ac:dyDescent="0.25"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</row>
    <row r="72" spans="10:23" ht="19.5" customHeight="1" x14ac:dyDescent="0.25"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</row>
    <row r="73" spans="10:23" x14ac:dyDescent="0.25"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</row>
    <row r="74" spans="10:23" x14ac:dyDescent="0.25"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</row>
    <row r="75" spans="10:23" ht="4.5" customHeight="1" x14ac:dyDescent="0.25"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</row>
    <row r="76" spans="10:23" x14ac:dyDescent="0.25"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</row>
    <row r="77" spans="10:23" ht="4.5" customHeight="1" x14ac:dyDescent="0.25"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</row>
    <row r="78" spans="10:23" x14ac:dyDescent="0.25"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</row>
    <row r="79" spans="10:23" ht="4.5" customHeight="1" x14ac:dyDescent="0.25"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</row>
    <row r="80" spans="10:23" x14ac:dyDescent="0.25"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</row>
    <row r="81" spans="10:23" ht="4.5" customHeight="1" x14ac:dyDescent="0.25"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</row>
    <row r="82" spans="10:23" x14ac:dyDescent="0.25"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</row>
    <row r="83" spans="10:23" ht="4.5" customHeight="1" x14ac:dyDescent="0.25"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</row>
    <row r="84" spans="10:23" x14ac:dyDescent="0.25"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</row>
    <row r="85" spans="10:23" ht="4.5" customHeight="1" x14ac:dyDescent="0.25">
      <c r="J85" s="9"/>
      <c r="K85" s="9"/>
      <c r="L85" s="9"/>
      <c r="M85" s="9"/>
      <c r="N85" s="9"/>
      <c r="O85" s="9"/>
      <c r="P85" s="9"/>
      <c r="R85" s="9"/>
      <c r="S85" s="9"/>
      <c r="T85" s="9"/>
      <c r="U85" s="9"/>
      <c r="V85" s="9"/>
      <c r="W85" s="9"/>
    </row>
    <row r="86" spans="10:23" x14ac:dyDescent="0.25">
      <c r="J86" s="9"/>
      <c r="K86" s="9"/>
      <c r="L86" s="9"/>
      <c r="M86" s="9"/>
      <c r="N86" s="9"/>
      <c r="O86" s="9"/>
      <c r="P86" s="9"/>
      <c r="R86" s="9"/>
      <c r="S86" s="9"/>
      <c r="T86" s="9"/>
      <c r="U86" s="9"/>
      <c r="V86" s="9"/>
      <c r="W86" s="9"/>
    </row>
    <row r="87" spans="10:23" ht="4.5" customHeight="1" x14ac:dyDescent="0.25">
      <c r="J87" s="9"/>
      <c r="K87" s="9"/>
      <c r="L87" s="9"/>
      <c r="M87" s="9"/>
      <c r="N87" s="9"/>
      <c r="O87" s="9"/>
      <c r="P87" s="9"/>
      <c r="R87" s="9"/>
      <c r="S87" s="9"/>
      <c r="T87" s="9"/>
      <c r="U87" s="9"/>
      <c r="V87" s="9"/>
      <c r="W87" s="9"/>
    </row>
    <row r="88" spans="10:23" x14ac:dyDescent="0.25">
      <c r="J88" s="9"/>
      <c r="K88" s="9"/>
      <c r="L88" s="9"/>
      <c r="M88" s="9"/>
      <c r="N88" s="9"/>
      <c r="O88" s="9"/>
      <c r="P88" s="9"/>
      <c r="R88" s="9"/>
      <c r="S88" s="9"/>
      <c r="T88" s="9"/>
      <c r="U88" s="9"/>
      <c r="V88" s="9"/>
      <c r="W88" s="9"/>
    </row>
    <row r="89" spans="10:23" ht="4.5" customHeight="1" x14ac:dyDescent="0.25">
      <c r="J89" s="9"/>
      <c r="K89" s="9"/>
      <c r="L89" s="9"/>
      <c r="M89" s="9"/>
      <c r="N89" s="9"/>
      <c r="O89" s="9"/>
      <c r="P89" s="9"/>
      <c r="R89" s="9"/>
      <c r="S89" s="9"/>
      <c r="T89" s="9"/>
      <c r="U89" s="9"/>
      <c r="V89" s="9"/>
      <c r="W89" s="9"/>
    </row>
    <row r="90" spans="10:23" x14ac:dyDescent="0.25">
      <c r="J90" s="9"/>
      <c r="K90" s="9"/>
      <c r="L90" s="9"/>
      <c r="M90" s="9"/>
      <c r="N90" s="9"/>
      <c r="O90" s="9"/>
      <c r="P90" s="9"/>
      <c r="R90" s="9"/>
      <c r="S90" s="9"/>
      <c r="T90" s="9"/>
      <c r="U90" s="9"/>
      <c r="V90" s="9"/>
      <c r="W90" s="9"/>
    </row>
    <row r="91" spans="10:23" ht="4.5" customHeight="1" x14ac:dyDescent="0.25">
      <c r="J91" s="9"/>
      <c r="K91" s="9"/>
      <c r="L91" s="9"/>
      <c r="M91" s="9"/>
      <c r="N91" s="9"/>
      <c r="O91" s="9"/>
      <c r="P91" s="9"/>
      <c r="R91" s="9"/>
      <c r="S91" s="9"/>
      <c r="T91" s="9"/>
      <c r="U91" s="9"/>
      <c r="V91" s="9"/>
      <c r="W91" s="9"/>
    </row>
    <row r="92" spans="10:23" x14ac:dyDescent="0.25">
      <c r="J92" s="9"/>
      <c r="K92" s="9"/>
      <c r="L92" s="9"/>
      <c r="M92" s="9"/>
      <c r="N92" s="9"/>
      <c r="O92" s="9"/>
      <c r="P92" s="9"/>
      <c r="R92" s="9"/>
      <c r="S92" s="9"/>
      <c r="T92" s="9"/>
      <c r="U92" s="9"/>
      <c r="V92" s="9"/>
      <c r="W92" s="9"/>
    </row>
    <row r="93" spans="10:23" x14ac:dyDescent="0.25">
      <c r="J93" s="9"/>
      <c r="K93" s="9"/>
      <c r="L93" s="9"/>
      <c r="M93" s="9"/>
      <c r="N93" s="9"/>
      <c r="O93" s="9"/>
      <c r="P93" s="9"/>
      <c r="R93" s="9"/>
      <c r="S93" s="9"/>
      <c r="T93" s="9"/>
      <c r="U93" s="9"/>
      <c r="V93" s="9"/>
      <c r="W93" s="9"/>
    </row>
    <row r="94" spans="10:23" x14ac:dyDescent="0.25">
      <c r="J94" s="9"/>
      <c r="K94" s="9"/>
      <c r="L94" s="9"/>
      <c r="M94" s="9"/>
      <c r="N94" s="9"/>
      <c r="O94" s="9"/>
      <c r="P94" s="9"/>
      <c r="R94" s="9"/>
      <c r="S94" s="9"/>
      <c r="T94" s="9"/>
      <c r="U94" s="9"/>
      <c r="V94" s="9"/>
      <c r="W94" s="9"/>
    </row>
    <row r="95" spans="10:23" x14ac:dyDescent="0.25">
      <c r="K95" s="13" t="str">
        <f ca="1">"© Excelerated Consulting Pty Ltd 2001-" &amp; YEAR(NOW())</f>
        <v>© Excelerated Consulting Pty Ltd 2001-2024</v>
      </c>
    </row>
  </sheetData>
  <sheetProtection sheet="1" objects="1" scenarios="1"/>
  <mergeCells count="7">
    <mergeCell ref="L64:O64"/>
    <mergeCell ref="S64:V64"/>
    <mergeCell ref="B1:D1"/>
    <mergeCell ref="B9:D9"/>
    <mergeCell ref="B17:D17"/>
    <mergeCell ref="B25:D25"/>
    <mergeCell ref="K59:U59"/>
  </mergeCells>
  <conditionalFormatting sqref="R64:W64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0" r:id="rId4" name="TIButton14">
          <controlPr defaultSize="0" print="0" autoLine="0" autoPict="0" r:id="rId5">
            <anchor moveWithCells="1" sizeWithCells="1">
              <from>
                <xdr:col>18</xdr:col>
                <xdr:colOff>285750</xdr:colOff>
                <xdr:row>76</xdr:row>
                <xdr:rowOff>9525</xdr:rowOff>
              </from>
              <to>
                <xdr:col>21</xdr:col>
                <xdr:colOff>1038225</xdr:colOff>
                <xdr:row>79</xdr:row>
                <xdr:rowOff>19050</xdr:rowOff>
              </to>
            </anchor>
          </controlPr>
        </control>
      </mc:Choice>
      <mc:Fallback>
        <control shapeId="1040" r:id="rId4" name="TIButton14"/>
      </mc:Fallback>
    </mc:AlternateContent>
    <mc:AlternateContent xmlns:mc="http://schemas.openxmlformats.org/markup-compatibility/2006">
      <mc:Choice Requires="x14">
        <control shapeId="1039" r:id="rId6" name="TIButton13">
          <controlPr defaultSize="0" print="0" autoLine="0" autoPict="0" r:id="rId7">
            <anchor moveWithCells="1" sizeWithCells="1">
              <from>
                <xdr:col>18</xdr:col>
                <xdr:colOff>285750</xdr:colOff>
                <xdr:row>73</xdr:row>
                <xdr:rowOff>85725</xdr:rowOff>
              </from>
              <to>
                <xdr:col>21</xdr:col>
                <xdr:colOff>1038225</xdr:colOff>
                <xdr:row>75</xdr:row>
                <xdr:rowOff>152400</xdr:rowOff>
              </to>
            </anchor>
          </controlPr>
        </control>
      </mc:Choice>
      <mc:Fallback>
        <control shapeId="1039" r:id="rId6" name="TIButton13"/>
      </mc:Fallback>
    </mc:AlternateContent>
    <mc:AlternateContent xmlns:mc="http://schemas.openxmlformats.org/markup-compatibility/2006">
      <mc:Choice Requires="x14">
        <control shapeId="1038" r:id="rId8" name="TIButton12">
          <controlPr defaultSize="0" print="0" autoLine="0" autoPict="0" r:id="rId9">
            <anchor moveWithCells="1" sizeWithCells="1">
              <from>
                <xdr:col>18</xdr:col>
                <xdr:colOff>285750</xdr:colOff>
                <xdr:row>71</xdr:row>
                <xdr:rowOff>161925</xdr:rowOff>
              </from>
              <to>
                <xdr:col>21</xdr:col>
                <xdr:colOff>1038225</xdr:colOff>
                <xdr:row>73</xdr:row>
                <xdr:rowOff>38100</xdr:rowOff>
              </to>
            </anchor>
          </controlPr>
        </control>
      </mc:Choice>
      <mc:Fallback>
        <control shapeId="1038" r:id="rId8" name="TIButton12"/>
      </mc:Fallback>
    </mc:AlternateContent>
    <mc:AlternateContent xmlns:mc="http://schemas.openxmlformats.org/markup-compatibility/2006">
      <mc:Choice Requires="x14">
        <control shapeId="1037" r:id="rId10" name="TIButton11">
          <controlPr defaultSize="0" print="0" autoLine="0" autoPict="0" r:id="rId11">
            <anchor moveWithCells="1" sizeWithCells="1">
              <from>
                <xdr:col>18</xdr:col>
                <xdr:colOff>285750</xdr:colOff>
                <xdr:row>69</xdr:row>
                <xdr:rowOff>104775</xdr:rowOff>
              </from>
              <to>
                <xdr:col>21</xdr:col>
                <xdr:colOff>1038225</xdr:colOff>
                <xdr:row>71</xdr:row>
                <xdr:rowOff>114300</xdr:rowOff>
              </to>
            </anchor>
          </controlPr>
        </control>
      </mc:Choice>
      <mc:Fallback>
        <control shapeId="1037" r:id="rId10" name="TIButton11"/>
      </mc:Fallback>
    </mc:AlternateContent>
    <mc:AlternateContent xmlns:mc="http://schemas.openxmlformats.org/markup-compatibility/2006">
      <mc:Choice Requires="x14">
        <control shapeId="1036" r:id="rId12" name="TIButton10">
          <controlPr defaultSize="0" print="0" autoLine="0" autoPict="0" r:id="rId13">
            <anchor moveWithCells="1" sizeWithCells="1">
              <from>
                <xdr:col>18</xdr:col>
                <xdr:colOff>285750</xdr:colOff>
                <xdr:row>67</xdr:row>
                <xdr:rowOff>47625</xdr:rowOff>
              </from>
              <to>
                <xdr:col>21</xdr:col>
                <xdr:colOff>1038225</xdr:colOff>
                <xdr:row>69</xdr:row>
                <xdr:rowOff>57150</xdr:rowOff>
              </to>
            </anchor>
          </controlPr>
        </control>
      </mc:Choice>
      <mc:Fallback>
        <control shapeId="1036" r:id="rId12" name="TIButton10"/>
      </mc:Fallback>
    </mc:AlternateContent>
    <mc:AlternateContent xmlns:mc="http://schemas.openxmlformats.org/markup-compatibility/2006">
      <mc:Choice Requires="x14">
        <control shapeId="1035" r:id="rId14" name="TIButton9">
          <controlPr defaultSize="0" print="0" autoLine="0" autoPict="0" r:id="rId15">
            <anchor moveWithCells="1" sizeWithCells="1">
              <from>
                <xdr:col>18</xdr:col>
                <xdr:colOff>285750</xdr:colOff>
                <xdr:row>64</xdr:row>
                <xdr:rowOff>47625</xdr:rowOff>
              </from>
              <to>
                <xdr:col>21</xdr:col>
                <xdr:colOff>1038225</xdr:colOff>
                <xdr:row>67</xdr:row>
                <xdr:rowOff>0</xdr:rowOff>
              </to>
            </anchor>
          </controlPr>
        </control>
      </mc:Choice>
      <mc:Fallback>
        <control shapeId="1035" r:id="rId14" name="TIButton9"/>
      </mc:Fallback>
    </mc:AlternateContent>
    <mc:AlternateContent xmlns:mc="http://schemas.openxmlformats.org/markup-compatibility/2006">
      <mc:Choice Requires="x14">
        <control shapeId="1034" r:id="rId16" name="TIButton8">
          <controlPr defaultSize="0" print="0" autoLine="0" autoPict="0" r:id="rId17">
            <anchor moveWithCells="1" sizeWithCells="1">
              <from>
                <xdr:col>19</xdr:col>
                <xdr:colOff>1133475</xdr:colOff>
                <xdr:row>60</xdr:row>
                <xdr:rowOff>38100</xdr:rowOff>
              </from>
              <to>
                <xdr:col>22</xdr:col>
                <xdr:colOff>114300</xdr:colOff>
                <xdr:row>62</xdr:row>
                <xdr:rowOff>76200</xdr:rowOff>
              </to>
            </anchor>
          </controlPr>
        </control>
      </mc:Choice>
      <mc:Fallback>
        <control shapeId="1034" r:id="rId16" name="TIButton8"/>
      </mc:Fallback>
    </mc:AlternateContent>
    <mc:AlternateContent xmlns:mc="http://schemas.openxmlformats.org/markup-compatibility/2006">
      <mc:Choice Requires="x14">
        <control shapeId="1033" r:id="rId18" name="TIButton7">
          <controlPr defaultSize="0" print="0" autoLine="0" autoPict="0" r:id="rId19">
            <anchor moveWithCells="1" sizeWithCells="1">
              <from>
                <xdr:col>15</xdr:col>
                <xdr:colOff>371475</xdr:colOff>
                <xdr:row>60</xdr:row>
                <xdr:rowOff>38100</xdr:rowOff>
              </from>
              <to>
                <xdr:col>19</xdr:col>
                <xdr:colOff>1104900</xdr:colOff>
                <xdr:row>62</xdr:row>
                <xdr:rowOff>76200</xdr:rowOff>
              </to>
            </anchor>
          </controlPr>
        </control>
      </mc:Choice>
      <mc:Fallback>
        <control shapeId="1033" r:id="rId18" name="TIButton7"/>
      </mc:Fallback>
    </mc:AlternateContent>
    <mc:AlternateContent xmlns:mc="http://schemas.openxmlformats.org/markup-compatibility/2006">
      <mc:Choice Requires="x14">
        <control shapeId="1032" r:id="rId20" name="TIButton6">
          <controlPr defaultSize="0" print="0" autoLine="0" autoPict="0" r:id="rId21">
            <anchor moveWithCells="1" sizeWithCells="1">
              <from>
                <xdr:col>13</xdr:col>
                <xdr:colOff>57150</xdr:colOff>
                <xdr:row>60</xdr:row>
                <xdr:rowOff>47625</xdr:rowOff>
              </from>
              <to>
                <xdr:col>15</xdr:col>
                <xdr:colOff>352425</xdr:colOff>
                <xdr:row>62</xdr:row>
                <xdr:rowOff>85725</xdr:rowOff>
              </to>
            </anchor>
          </controlPr>
        </control>
      </mc:Choice>
      <mc:Fallback>
        <control shapeId="1032" r:id="rId20" name="TIButton6"/>
      </mc:Fallback>
    </mc:AlternateContent>
    <mc:AlternateContent xmlns:mc="http://schemas.openxmlformats.org/markup-compatibility/2006">
      <mc:Choice Requires="x14">
        <control shapeId="1031" r:id="rId22" name="TIButton5">
          <controlPr defaultSize="0" print="0" autoLine="0" autoPict="0" r:id="rId23">
            <anchor moveWithCells="1" sizeWithCells="1">
              <from>
                <xdr:col>10</xdr:col>
                <xdr:colOff>123825</xdr:colOff>
                <xdr:row>60</xdr:row>
                <xdr:rowOff>47625</xdr:rowOff>
              </from>
              <to>
                <xdr:col>13</xdr:col>
                <xdr:colOff>38100</xdr:colOff>
                <xdr:row>62</xdr:row>
                <xdr:rowOff>85725</xdr:rowOff>
              </to>
            </anchor>
          </controlPr>
        </control>
      </mc:Choice>
      <mc:Fallback>
        <control shapeId="1031" r:id="rId22" name="TIButton5"/>
      </mc:Fallback>
    </mc:AlternateContent>
    <mc:AlternateContent xmlns:mc="http://schemas.openxmlformats.org/markup-compatibility/2006">
      <mc:Choice Requires="x14">
        <control shapeId="1027" r:id="rId24" name="TIButton3">
          <controlPr defaultSize="0" print="0" autoLine="0" autoPict="0" r:id="rId25">
            <anchor moveWithCells="1" sizeWithCells="1">
              <from>
                <xdr:col>11</xdr:col>
                <xdr:colOff>0</xdr:colOff>
                <xdr:row>69</xdr:row>
                <xdr:rowOff>104775</xdr:rowOff>
              </from>
              <to>
                <xdr:col>14</xdr:col>
                <xdr:colOff>752475</xdr:colOff>
                <xdr:row>71</xdr:row>
                <xdr:rowOff>114300</xdr:rowOff>
              </to>
            </anchor>
          </controlPr>
        </control>
      </mc:Choice>
      <mc:Fallback>
        <control shapeId="1027" r:id="rId24" name="TIButton3"/>
      </mc:Fallback>
    </mc:AlternateContent>
    <mc:AlternateContent xmlns:mc="http://schemas.openxmlformats.org/markup-compatibility/2006">
      <mc:Choice Requires="x14">
        <control shapeId="1026" r:id="rId26" name="TIButton2">
          <controlPr defaultSize="0" print="0" autoLine="0" autoPict="0" r:id="rId27">
            <anchor moveWithCells="1" sizeWithCells="1">
              <from>
                <xdr:col>11</xdr:col>
                <xdr:colOff>0</xdr:colOff>
                <xdr:row>67</xdr:row>
                <xdr:rowOff>47625</xdr:rowOff>
              </from>
              <to>
                <xdr:col>14</xdr:col>
                <xdr:colOff>752475</xdr:colOff>
                <xdr:row>69</xdr:row>
                <xdr:rowOff>57150</xdr:rowOff>
              </to>
            </anchor>
          </controlPr>
        </control>
      </mc:Choice>
      <mc:Fallback>
        <control shapeId="1026" r:id="rId26" name="TIButton2"/>
      </mc:Fallback>
    </mc:AlternateContent>
    <mc:AlternateContent xmlns:mc="http://schemas.openxmlformats.org/markup-compatibility/2006">
      <mc:Choice Requires="x14">
        <control shapeId="1025" r:id="rId28" name="TIButton1">
          <controlPr defaultSize="0" print="0" autoLine="0" autoPict="0" r:id="rId29">
            <anchor moveWithCells="1" sizeWithCells="1">
              <from>
                <xdr:col>11</xdr:col>
                <xdr:colOff>0</xdr:colOff>
                <xdr:row>64</xdr:row>
                <xdr:rowOff>47625</xdr:rowOff>
              </from>
              <to>
                <xdr:col>14</xdr:col>
                <xdr:colOff>752475</xdr:colOff>
                <xdr:row>67</xdr:row>
                <xdr:rowOff>0</xdr:rowOff>
              </to>
            </anchor>
          </controlPr>
        </control>
      </mc:Choice>
      <mc:Fallback>
        <control shapeId="1025" r:id="rId28" name="TIButton1"/>
      </mc:Fallback>
    </mc:AlternateContent>
    <mc:AlternateContent xmlns:mc="http://schemas.openxmlformats.org/markup-compatibility/2006">
      <mc:Choice Requires="x14">
        <control shapeId="1042" r:id="rId30" name="TIButton15">
          <controlPr defaultSize="0" print="0" autoLine="0" r:id="rId31">
            <anchor moveWithCells="1" sizeWithCells="1">
              <from>
                <xdr:col>10</xdr:col>
                <xdr:colOff>361950</xdr:colOff>
                <xdr:row>71</xdr:row>
                <xdr:rowOff>180975</xdr:rowOff>
              </from>
              <to>
                <xdr:col>14</xdr:col>
                <xdr:colOff>733425</xdr:colOff>
                <xdr:row>73</xdr:row>
                <xdr:rowOff>57150</xdr:rowOff>
              </to>
            </anchor>
          </controlPr>
        </control>
      </mc:Choice>
      <mc:Fallback>
        <control shapeId="1042" r:id="rId30" name="TIButton15"/>
      </mc:Fallback>
    </mc:AlternateContent>
    <mc:AlternateContent xmlns:mc="http://schemas.openxmlformats.org/markup-compatibility/2006">
      <mc:Choice Requires="x14">
        <control shapeId="1043" r:id="rId32" name="TIButton4">
          <controlPr defaultSize="0" print="0" autoLine="0" r:id="rId33">
            <anchor moveWithCells="1" sizeWithCells="1">
              <from>
                <xdr:col>18</xdr:col>
                <xdr:colOff>285750</xdr:colOff>
                <xdr:row>79</xdr:row>
                <xdr:rowOff>66675</xdr:rowOff>
              </from>
              <to>
                <xdr:col>21</xdr:col>
                <xdr:colOff>1038225</xdr:colOff>
                <xdr:row>81</xdr:row>
                <xdr:rowOff>133350</xdr:rowOff>
              </to>
            </anchor>
          </controlPr>
        </control>
      </mc:Choice>
      <mc:Fallback>
        <control shapeId="1043" r:id="rId32" name="TIButton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64</vt:i4>
      </vt:variant>
    </vt:vector>
  </HeadingPairs>
  <TitlesOfParts>
    <vt:vector size="65" baseType="lpstr">
      <vt:lpstr>Menu</vt:lpstr>
      <vt:lpstr>db_name</vt:lpstr>
      <vt:lpstr>Freeze_Here</vt:lpstr>
      <vt:lpstr>home</vt:lpstr>
      <vt:lpstr>Menu</vt:lpstr>
      <vt:lpstr>psHLYear</vt:lpstr>
      <vt:lpstr>psScenario</vt:lpstr>
      <vt:lpstr>psUser</vt:lpstr>
      <vt:lpstr>TM1AnalRptARTRecoCAP</vt:lpstr>
      <vt:lpstr>TM1AnalRptARTRecoWB</vt:lpstr>
      <vt:lpstr>TM1AnalRptARTRecoWS</vt:lpstr>
      <vt:lpstr>TM1AnalRptCSVExportRptCAP</vt:lpstr>
      <vt:lpstr>TM1AnalRptCSVExportRptWB</vt:lpstr>
      <vt:lpstr>TM1AnalRptCSVExportRptWS</vt:lpstr>
      <vt:lpstr>TM1AnalRptDashboardCAP</vt:lpstr>
      <vt:lpstr>TM1AnalRptDashboardWB</vt:lpstr>
      <vt:lpstr>TM1AnalRptDashboardWS</vt:lpstr>
      <vt:lpstr>TM1AnalRptExportToCSVCAP</vt:lpstr>
      <vt:lpstr>TM1AnalRptExportToCSVWB</vt:lpstr>
      <vt:lpstr>TM1AnalRptExportToCSVWS</vt:lpstr>
      <vt:lpstr>TM1AnalRptPinksCap</vt:lpstr>
      <vt:lpstr>TM1AnalRptPinksWB</vt:lpstr>
      <vt:lpstr>TM1AnalRptPinksWS</vt:lpstr>
      <vt:lpstr>TM1AnalRptRecoCAP</vt:lpstr>
      <vt:lpstr>TM1AnalRptRecoWB</vt:lpstr>
      <vt:lpstr>TM1AnalRptRecoWS</vt:lpstr>
      <vt:lpstr>TM1AnalRptRepAdjRecoCAP</vt:lpstr>
      <vt:lpstr>TM1AnalRptRepAdjRecoWB</vt:lpstr>
      <vt:lpstr>TM1AnalRptRepAdjRecoWS</vt:lpstr>
      <vt:lpstr>TM1AnalRptRepStageMaintCAP</vt:lpstr>
      <vt:lpstr>TM1AnalRptRepStageMaintWB</vt:lpstr>
      <vt:lpstr>TM1AnalRptRepStageMaintWS</vt:lpstr>
      <vt:lpstr>TM1AnalRptScenCompCAP</vt:lpstr>
      <vt:lpstr>TM1AnalRptScenCompWB</vt:lpstr>
      <vt:lpstr>TM1AnalRptScenCompWS</vt:lpstr>
      <vt:lpstr>TM1AnalRptTransCAP</vt:lpstr>
      <vt:lpstr>TM1AnalRptTransWB</vt:lpstr>
      <vt:lpstr>TM1AnalRptTransWS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TM1HomeRepAdditionalCAP</vt:lpstr>
      <vt:lpstr>TM1HomeRepAdditionalWB</vt:lpstr>
      <vt:lpstr>TM1HomeRepAdditionalWS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TM1HomeRepPFSCAP</vt:lpstr>
      <vt:lpstr>TM1HomeRepPFSWB</vt:lpstr>
      <vt:lpstr>TM1HomeRepPFSWS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modeler1</cp:lastModifiedBy>
  <dcterms:created xsi:type="dcterms:W3CDTF">2018-10-30T00:46:04Z</dcterms:created>
  <dcterms:modified xsi:type="dcterms:W3CDTF">2024-11-08T05:27:31Z</dcterms:modified>
</cp:coreProperties>
</file>