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3.xml" ContentType="application/vnd.ms-office.activeX+xml"/>
  <Override PartName="/xl/activeX/activeX2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3.bin" ContentType="application/vnd.ms-office.activeX"/>
  <Override PartName="/xl/activeX/activeX6.xml" ContentType="application/vnd.ms-office.activeX+xml"/>
  <Override PartName="/xl/activeX/activeX4.bin" ContentType="application/vnd.ms-office.activeX"/>
  <Override PartName="/xl/activeX/activeX7.xml" ContentType="application/vnd.ms-office.activeX+xml"/>
  <Override PartName="/xl/activeX/activeX5.bin" ContentType="application/vnd.ms-office.activeX"/>
  <Override PartName="/xl/activeX/activeX8.xml" ContentType="application/vnd.ms-office.activeX+xml"/>
  <Override PartName="/xl/activeX/activeX6.bin" ContentType="application/vnd.ms-office.activeX"/>
  <Override PartName="/xl/activeX/activeX9.xml" ContentType="application/vnd.ms-office.activeX+xml"/>
  <Override PartName="/xl/activeX/activeX7.bin" ContentType="application/vnd.ms-office.activeX"/>
  <Override PartName="/xl/activeX/activeX10.xml" ContentType="application/vnd.ms-office.activeX+xml"/>
  <Override PartName="/xl/activeX/activeX8.bin" ContentType="application/vnd.ms-office.activeX"/>
  <Override PartName="/xl/activeX/activeX11.xml" ContentType="application/vnd.ms-office.activeX+xml"/>
  <Override PartName="/xl/activeX/activeX9.bin" ContentType="application/vnd.ms-office.activeX"/>
  <Override PartName="/xl/activeX/activeX12.xml" ContentType="application/vnd.ms-office.activeX+xml"/>
  <Override PartName="/xl/activeX/activeX10.bin" ContentType="application/vnd.ms-office.activeX"/>
  <Override PartName="/xl/activeX/activeX13.xml" ContentType="application/vnd.ms-office.activeX+xml"/>
  <Override PartName="/xl/activeX/activeX11.bin" ContentType="application/vnd.ms-office.activeX"/>
  <Override PartName="/xl/activeX/activeX14.xml" ContentType="application/vnd.ms-office.activeX+xml"/>
  <Override PartName="/xl/activeX/activeX12.bin" ContentType="application/vnd.ms-office.activeX"/>
  <Override PartName="/xl/activeX/activeX15.xml" ContentType="application/vnd.ms-office.activeX+xml"/>
  <Override PartName="/xl/activeX/activeX13.bin" ContentType="application/vnd.ms-office.activeX"/>
  <Override PartName="/xl/activeX/activeX16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JAN 2025 - Reco Reports\"/>
    </mc:Choice>
  </mc:AlternateContent>
  <xr:revisionPtr revIDLastSave="0" documentId="8_{58650E2C-EC52-44F6-8949-60E34BB320D8}" xr6:coauthVersionLast="47" xr6:coauthVersionMax="47" xr10:uidLastSave="{00000000-0000-0000-0000-000000000000}"/>
  <bookViews>
    <workbookView xWindow="-4635" yWindow="-21720" windowWidth="38640" windowHeight="21240" xr2:uid="{BC266C2D-0680-4645-9C80-2C341E2575D0}"/>
  </bookViews>
  <sheets>
    <sheet name="Menu" sheetId="1" r:id="rId1"/>
  </sheets>
  <definedNames>
    <definedName name="db_name">Menu!$C$2</definedName>
    <definedName name="home">Menu!$G$29</definedName>
    <definedName name="ID" localSheetId="0" hidden="1">"48ee26c1-01b5-4167-916d-230d19f48d37"</definedName>
    <definedName name="Menu">Menu!$G$30</definedName>
    <definedName name="psApp">Menu!$C$27</definedName>
    <definedName name="psUser">Menu!$C$7</definedName>
    <definedName name="rng_Start">Menu!#REF!</definedName>
    <definedName name="TM1AdminArcCBMSRecoAppropCAP">Menu!$D$45</definedName>
    <definedName name="TM1AdminArcCBMSRecoAppropWB">Menu!$F$45</definedName>
    <definedName name="TM1AdminArcCBMSRecoAppropWS">Menu!$H$45</definedName>
    <definedName name="TM1AdminArcCBMSRecoCAP">Menu!$D$39</definedName>
    <definedName name="TM1AdminArcCBMSRecoProgDetCAP">Menu!$D$44</definedName>
    <definedName name="TM1AdminArcCBMSRecoProgDetWB">Menu!$F$44</definedName>
    <definedName name="TM1AdminArcCBMSRecoProgDetWS">Menu!$H$44</definedName>
    <definedName name="TM1AdminArcCBMSRecoRepCAP">Menu!$D$40</definedName>
    <definedName name="TM1AdminArcCBMSRecoRepDetCAP">Menu!$D$41</definedName>
    <definedName name="TM1AdminArcCBMSRecoRepDetWB">Menu!$F$41</definedName>
    <definedName name="TM1AdminArcCBMSRecoRepDetWS">Menu!$H$41</definedName>
    <definedName name="TM1AdminArcCBMSRecoRepWB">Menu!$F$40</definedName>
    <definedName name="TM1AdminArcCBMSRecoRepWS">Menu!$H$40</definedName>
    <definedName name="TM1AdminArcCBMSRecoWB">Menu!$F$39</definedName>
    <definedName name="TM1AdminArcCBMSRecoWS">Menu!$H$39</definedName>
    <definedName name="TM1AdminArcNewBaseCAP">Menu!$D$42</definedName>
    <definedName name="TM1AdminArcNewBaseWB">Menu!$F$42</definedName>
    <definedName name="TM1AdminArcNewBaseWS">Menu!$H$42</definedName>
    <definedName name="TM1AdminArcRecoverBaseCAP">Menu!$D$43</definedName>
    <definedName name="TM1AdminArcRecoverBaseWB">Menu!$F$43</definedName>
    <definedName name="TM1AdminArcRecoverBaseWS">Menu!$H$43</definedName>
    <definedName name="TM1HomeAdminBaseCAP">Menu!$D$37</definedName>
    <definedName name="TM1HomeAdminBaseWB">Menu!$F$37</definedName>
    <definedName name="TM1HomeAdminBaseWS">Menu!$H$37</definedName>
    <definedName name="TM1HomeAdminCAP">Menu!$D$32</definedName>
    <definedName name="TM1HomeAdminFavCAP">Menu!$D$36</definedName>
    <definedName name="TM1HomeAdminFavWB">Menu!$F$36</definedName>
    <definedName name="TM1HomeAdminFavWS">Menu!$H$36</definedName>
    <definedName name="TM1HomeAdminGEUSCAP">Menu!$D$35</definedName>
    <definedName name="TM1HomeAdminGEUSWB">Menu!$F$35</definedName>
    <definedName name="TM1HomeAdminGEUSWS">Menu!$H$35</definedName>
    <definedName name="TM1HomeAdminRDSCAP">Menu!$D$33</definedName>
    <definedName name="TM1HomeAdminRDSMapCAP">Menu!$D$34</definedName>
    <definedName name="TM1HomeAdminRDSMapWB">Menu!$F$34</definedName>
    <definedName name="TM1HomeAdminRDSMapWS">Menu!$H$34</definedName>
    <definedName name="TM1HomeAdminRDSWB">Menu!$F$33</definedName>
    <definedName name="TM1HomeAdminRDSWS">Menu!$H$33</definedName>
    <definedName name="TM1HomeAdminWB">Menu!$F$32</definedName>
    <definedName name="TM1HomeAdminWS">Menu!$H$32</definedName>
    <definedName name="TM1HomeAECAP">Menu!$D$30</definedName>
    <definedName name="TM1HomeAEWB">Menu!$F$30</definedName>
    <definedName name="TM1HomeAEWS">Menu!$H$30</definedName>
    <definedName name="TM1HomeCAP">Menu!$D$29</definedName>
    <definedName name="TM1HomeRepAnalyticalCAP">Menu!#REF!</definedName>
    <definedName name="TM1HomeRepAnalyticalWB">Menu!#REF!</definedName>
    <definedName name="TM1HomeRepAnalyticalWS">Menu!#REF!</definedName>
    <definedName name="TM1HomeRepCAP">Menu!$D$31</definedName>
    <definedName name="TM1HomeRepOtherCAP">Menu!#REF!</definedName>
    <definedName name="TM1HomeRepOtherWB">Menu!#REF!</definedName>
    <definedName name="TM1HomeRepOtherWS">Menu!#REF!</definedName>
    <definedName name="TM1HomeRepPFSCAP">Menu!#REF!</definedName>
    <definedName name="TM1HomeRepPFSWB">Menu!#REF!</definedName>
    <definedName name="TM1HomeRepPFSWS">Menu!#REF!</definedName>
    <definedName name="TM1HomeRepWB">Menu!$F$31</definedName>
    <definedName name="TM1HomeRepWS">Menu!$H$31</definedName>
    <definedName name="TM1HomeUnderCAP">Menu!$D$38</definedName>
    <definedName name="TM1HomeUnderWB">Menu!$F$38</definedName>
    <definedName name="TM1HomeUnderWS">Menu!$H$38</definedName>
    <definedName name="TM1HomeWB">Menu!$F$29</definedName>
    <definedName name="TM1HomeWS">Menu!$H$29</definedName>
    <definedName name="TM1REBUILDOPTION">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6" i="1" l="1"/>
  <c r="C18" i="1" a="1"/>
  <c r="C18" i="1" s="1"/>
  <c r="C10" i="1" a="1"/>
  <c r="C10" i="1" s="1"/>
  <c r="C3" i="1" a="1"/>
  <c r="C3" i="1" s="1"/>
  <c r="K90" i="1"/>
  <c r="F34" i="1" a="1"/>
  <c r="F30" i="1" a="1"/>
  <c r="D29" i="1" a="1"/>
  <c r="H45" i="1" a="1"/>
  <c r="D45" i="1" a="1"/>
  <c r="F44" i="1" a="1"/>
  <c r="H43" i="1" a="1"/>
  <c r="D43" i="1" a="1"/>
  <c r="F42" i="1" a="1"/>
  <c r="H41" i="1" a="1"/>
  <c r="D41" i="1" a="1"/>
  <c r="F40" i="1" a="1"/>
  <c r="H39" i="1" a="1"/>
  <c r="D39" i="1" a="1"/>
  <c r="F38" i="1" a="1"/>
  <c r="H37" i="1" a="1"/>
  <c r="D37" i="1" a="1"/>
  <c r="F36" i="1" a="1"/>
  <c r="D35" i="1" a="1"/>
  <c r="H33" i="1" a="1"/>
  <c r="F32" i="1" a="1"/>
  <c r="H29" i="1" a="1"/>
  <c r="C11" i="1" a="1"/>
  <c r="G45" i="1" a="1"/>
  <c r="C45" i="1" a="1"/>
  <c r="E44" i="1" a="1"/>
  <c r="G43" i="1" a="1"/>
  <c r="C43" i="1" a="1"/>
  <c r="E42" i="1" a="1"/>
  <c r="G41" i="1" a="1"/>
  <c r="C41" i="1" a="1"/>
  <c r="E40" i="1" a="1"/>
  <c r="G39" i="1" a="1"/>
  <c r="C39" i="1" a="1"/>
  <c r="E38" i="1" a="1"/>
  <c r="G37" i="1" a="1"/>
  <c r="C37" i="1" a="1"/>
  <c r="E36" i="1" a="1"/>
  <c r="G35" i="1" a="1"/>
  <c r="C35" i="1" a="1"/>
  <c r="E34" i="1" a="1"/>
  <c r="G33" i="1" a="1"/>
  <c r="C33" i="1" a="1"/>
  <c r="E32" i="1" a="1"/>
  <c r="G31" i="1" a="1"/>
  <c r="C31" i="1" a="1"/>
  <c r="E30" i="1" a="1"/>
  <c r="G29" i="1" a="1"/>
  <c r="C29" i="1" a="1"/>
  <c r="H32" i="1" a="1"/>
  <c r="F31" i="1" a="1"/>
  <c r="H30" i="1" a="1"/>
  <c r="D30" i="1" a="1"/>
  <c r="F29" i="1" a="1"/>
  <c r="C14" i="1" a="1"/>
  <c r="F45" i="1" a="1"/>
  <c r="H44" i="1" a="1"/>
  <c r="D44" i="1" a="1"/>
  <c r="F43" i="1" a="1"/>
  <c r="H42" i="1" a="1"/>
  <c r="D42" i="1" a="1"/>
  <c r="F41" i="1" a="1"/>
  <c r="H40" i="1" a="1"/>
  <c r="D40" i="1" a="1"/>
  <c r="F39" i="1" a="1"/>
  <c r="H38" i="1" a="1"/>
  <c r="D38" i="1" a="1"/>
  <c r="F37" i="1" a="1"/>
  <c r="H36" i="1" a="1"/>
  <c r="D36" i="1" a="1"/>
  <c r="F35" i="1" a="1"/>
  <c r="H34" i="1" a="1"/>
  <c r="D34" i="1" a="1"/>
  <c r="F33" i="1" a="1"/>
  <c r="D32" i="1" a="1"/>
  <c r="C13" i="1" a="1"/>
  <c r="E45" i="1" a="1"/>
  <c r="G44" i="1" a="1"/>
  <c r="C44" i="1" a="1"/>
  <c r="E43" i="1" a="1"/>
  <c r="G42" i="1" a="1"/>
  <c r="C42" i="1" a="1"/>
  <c r="E41" i="1" a="1"/>
  <c r="G40" i="1" a="1"/>
  <c r="C40" i="1" a="1"/>
  <c r="E39" i="1" a="1"/>
  <c r="G38" i="1" a="1"/>
  <c r="C38" i="1" a="1"/>
  <c r="E37" i="1" a="1"/>
  <c r="G36" i="1" a="1"/>
  <c r="C36" i="1" a="1"/>
  <c r="E35" i="1" a="1"/>
  <c r="G34" i="1" a="1"/>
  <c r="C34" i="1" a="1"/>
  <c r="E33" i="1" a="1"/>
  <c r="G32" i="1" a="1"/>
  <c r="C32" i="1" a="1"/>
  <c r="E31" i="1" a="1"/>
  <c r="G30" i="1" a="1"/>
  <c r="C30" i="1" a="1"/>
  <c r="E29" i="1" a="1"/>
  <c r="C4" i="1" a="1"/>
  <c r="C12" i="1" a="1"/>
  <c r="H35" i="1" a="1"/>
  <c r="D33" i="1" a="1"/>
  <c r="H31" i="1" a="1"/>
  <c r="D31" i="1" a="1"/>
  <c r="D31" i="1" l="1"/>
  <c r="H31" i="1"/>
  <c r="D33" i="1"/>
  <c r="H35" i="1"/>
  <c r="C12" i="1"/>
  <c r="C4" i="1"/>
  <c r="E29" i="1"/>
  <c r="C30" i="1"/>
  <c r="G30" i="1"/>
  <c r="E31" i="1"/>
  <c r="C32" i="1"/>
  <c r="G32" i="1"/>
  <c r="E33" i="1"/>
  <c r="C34" i="1"/>
  <c r="G34" i="1"/>
  <c r="E35" i="1"/>
  <c r="C36" i="1"/>
  <c r="G36" i="1"/>
  <c r="E37" i="1"/>
  <c r="C38" i="1"/>
  <c r="G38" i="1"/>
  <c r="E39" i="1"/>
  <c r="C40" i="1"/>
  <c r="G40" i="1"/>
  <c r="E41" i="1"/>
  <c r="C42" i="1"/>
  <c r="G42" i="1"/>
  <c r="E43" i="1"/>
  <c r="C44" i="1"/>
  <c r="G44" i="1"/>
  <c r="E45" i="1"/>
  <c r="C13" i="1"/>
  <c r="D32" i="1"/>
  <c r="F33" i="1"/>
  <c r="D34" i="1"/>
  <c r="H34" i="1"/>
  <c r="F35" i="1"/>
  <c r="D36" i="1"/>
  <c r="H36" i="1"/>
  <c r="F37" i="1"/>
  <c r="D38" i="1"/>
  <c r="H38" i="1"/>
  <c r="F39" i="1"/>
  <c r="D40" i="1"/>
  <c r="H40" i="1"/>
  <c r="F41" i="1"/>
  <c r="D42" i="1"/>
  <c r="H42" i="1"/>
  <c r="F43" i="1"/>
  <c r="D44" i="1"/>
  <c r="H44" i="1"/>
  <c r="F45" i="1"/>
  <c r="C14" i="1"/>
  <c r="F29" i="1"/>
  <c r="D30" i="1"/>
  <c r="H30" i="1"/>
  <c r="F31" i="1"/>
  <c r="H32" i="1"/>
  <c r="C29" i="1"/>
  <c r="G29" i="1"/>
  <c r="E30" i="1"/>
  <c r="C31" i="1"/>
  <c r="G31" i="1"/>
  <c r="E32" i="1"/>
  <c r="C33" i="1"/>
  <c r="G33" i="1"/>
  <c r="E34" i="1"/>
  <c r="C35" i="1"/>
  <c r="G35" i="1"/>
  <c r="E36" i="1"/>
  <c r="C37" i="1"/>
  <c r="G37" i="1"/>
  <c r="E38" i="1"/>
  <c r="C39" i="1"/>
  <c r="G39" i="1"/>
  <c r="E40" i="1"/>
  <c r="C41" i="1"/>
  <c r="G41" i="1"/>
  <c r="E42" i="1"/>
  <c r="C43" i="1"/>
  <c r="G43" i="1"/>
  <c r="E44" i="1"/>
  <c r="C45" i="1"/>
  <c r="G45" i="1"/>
  <c r="C11" i="1"/>
  <c r="H29" i="1"/>
  <c r="F32" i="1"/>
  <c r="H33" i="1"/>
  <c r="D35" i="1"/>
  <c r="F36" i="1"/>
  <c r="D37" i="1"/>
  <c r="H37" i="1"/>
  <c r="F38" i="1"/>
  <c r="D39" i="1"/>
  <c r="H39" i="1"/>
  <c r="F40" i="1"/>
  <c r="D41" i="1"/>
  <c r="H41" i="1"/>
  <c r="F42" i="1"/>
  <c r="D43" i="1"/>
  <c r="H43" i="1"/>
  <c r="F44" i="1"/>
  <c r="D45" i="1"/>
  <c r="H45" i="1"/>
  <c r="D29" i="1"/>
  <c r="F30" i="1"/>
  <c r="F34" i="1"/>
  <c r="C6" i="1" a="1"/>
  <c r="C5" i="1" a="1"/>
  <c r="C5" i="1" l="1"/>
  <c r="C6" i="1"/>
  <c r="C7" i="1"/>
  <c r="C15" i="1"/>
  <c r="K50" i="1" s="1"/>
  <c r="C19" i="1" a="1"/>
  <c r="C20" i="1" a="1"/>
  <c r="C21" i="1" a="1"/>
  <c r="C22" i="1" a="1"/>
  <c r="C22" i="1" l="1"/>
  <c r="C21" i="1"/>
  <c r="C20" i="1"/>
  <c r="C19" i="1"/>
  <c r="W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<sst xmlns="http://schemas.openxmlformats.org/spreadsheetml/2006/main" count="53" uniqueCount="51">
  <si>
    <t>Workbook</t>
  </si>
  <si>
    <t>Worksheet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</si>
  <si>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</si>
  <si>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</si>
  <si>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</si>
  <si>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</si>
  <si>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</si>
  <si>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</si>
  <si>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</si>
  <si>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</si>
  <si>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</si>
  <si>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</si>
  <si>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</si>
  <si>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</si>
  <si>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</si>
  <si>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</si>
  <si>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</si>
  <si>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</si>
  <si>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</si>
  <si>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</si>
  <si>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</si>
  <si>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</si>
  <si>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</si>
  <si>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</si>
  <si>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</si>
  <si>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</si>
  <si>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</si>
  <si>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</si>
  <si>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</si>
  <si>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</si>
  <si>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</si>
  <si>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</si>
  <si>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</si>
  <si>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</si>
  <si>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Homepage - Administration - RDS</t>
  </si>
  <si>
    <t>Homepage - Administration - GEUS Setup</t>
  </si>
  <si>
    <t>Homepage - Administration - Favourites</t>
  </si>
  <si>
    <t>Homepage - Administration - Baseline</t>
  </si>
  <si>
    <t>ADMINISTRATION</t>
  </si>
  <si>
    <t>Homepage - Administration - RDS Mapping</t>
  </si>
  <si>
    <t>BASELINE MENU</t>
  </si>
  <si>
    <t>Admin Archive - CBMS GEUS Reconciliation</t>
  </si>
  <si>
    <t>Admin Archive - Create New Baseline</t>
  </si>
  <si>
    <t>Admin Archive - Recover Baseline</t>
  </si>
  <si>
    <t>Current Workbook</t>
  </si>
  <si>
    <t>Admin Archive - CBMS GEUS Reconciliation Summary Report</t>
  </si>
  <si>
    <t>Admin Archive - CBMS GEUS Reconciliation Detail Report</t>
  </si>
  <si>
    <t>`</t>
  </si>
  <si>
    <t>Admin Archive - CBMS GEUS Reconciliation Program Detail Report</t>
  </si>
  <si>
    <t>Admin Archive - CBMS GEUS Reconciliation Approp Report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</si>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</sst>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 xr:uid="{A2B67CD9-5582-4426-A06D-CD56C372B898}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044"/>
  <ax:ocxPr ax:name="_ExtentY" ax:value="873"/>
  <ax:ocxPr ax:name="_StockProps" ax:value="0"/>
  <ax:ocxPr ax:name="ServerName" ax:value="=db_name"/>
  <ax:ocxPr ax:name="ProcessName" ax:value="sys_Nav - Home To Archive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rchive Current Scenario And Create New Baselin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-1"/>
  <ax:ocxPr ax:name="TargetWorkbookName" ax:value="=TM1AdminArcNewBaseWB"/>
  <ax:ocxPr ax:name="TargetWorksheetName" ax:value="=TM1AdminArcNewBas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-1"/>
  <ax:ocxPr ax:name="CaptionNotEval" ax:value="=TM1AdminArcNewBaseCAP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324"/>
  <ax:ocxPr ax:name="_ExtentY" ax:value="741"/>
  <ax:ocxPr ax:name="_StockProps" ax:value="0"/>
  <ax:ocxPr ax:name="ServerName" ax:value="=db_name"/>
  <ax:ocxPr ax:name="ProcessName" ax:value="sys_Nav - Home To Archive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nciliation Program Detail Repor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-1"/>
  <ax:ocxPr ax:name="TargetWorkbookName" ax:value="=TM1AdminArcCBMSRecoProgDetWB"/>
  <ax:ocxPr ax:name="TargetWorksheetName" ax:value="=TM1AdminArcCBMSRecoProgDe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-1"/>
  <ax:ocxPr ax:name="CaptionNotEval" ax:value="=TM1AdminArcCBMSRecoProgDet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4.emf"/><Relationship Id="rId3" Type="http://schemas.openxmlformats.org/officeDocument/2006/relationships/image" Target="../media/image14.emf"/><Relationship Id="rId7" Type="http://schemas.openxmlformats.org/officeDocument/2006/relationships/image" Target="../media/image10.emf"/><Relationship Id="rId12" Type="http://schemas.openxmlformats.org/officeDocument/2006/relationships/image" Target="../media/image5.emf"/><Relationship Id="rId2" Type="http://schemas.openxmlformats.org/officeDocument/2006/relationships/image" Target="../media/image15.emf"/><Relationship Id="rId16" Type="http://schemas.openxmlformats.org/officeDocument/2006/relationships/image" Target="../media/image1.emf"/><Relationship Id="rId1" Type="http://schemas.openxmlformats.org/officeDocument/2006/relationships/image" Target="../media/image16.emf"/><Relationship Id="rId6" Type="http://schemas.openxmlformats.org/officeDocument/2006/relationships/image" Target="../media/image11.emf"/><Relationship Id="rId11" Type="http://schemas.openxmlformats.org/officeDocument/2006/relationships/image" Target="../media/image6.emf"/><Relationship Id="rId5" Type="http://schemas.openxmlformats.org/officeDocument/2006/relationships/image" Target="../media/image12.emf"/><Relationship Id="rId15" Type="http://schemas.openxmlformats.org/officeDocument/2006/relationships/image" Target="../media/image2.emf"/><Relationship Id="rId10" Type="http://schemas.openxmlformats.org/officeDocument/2006/relationships/image" Target="../media/image7.emf"/><Relationship Id="rId4" Type="http://schemas.openxmlformats.org/officeDocument/2006/relationships/image" Target="../media/image13.emf"/><Relationship Id="rId9" Type="http://schemas.openxmlformats.org/officeDocument/2006/relationships/image" Target="../media/image8.emf"/><Relationship Id="rId1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49</xdr:row>
      <xdr:rowOff>55686</xdr:rowOff>
    </xdr:from>
    <xdr:to>
      <xdr:col>22</xdr:col>
      <xdr:colOff>206290</xdr:colOff>
      <xdr:row>49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54</xdr:row>
      <xdr:rowOff>57150</xdr:rowOff>
    </xdr:from>
    <xdr:to>
      <xdr:col>15</xdr:col>
      <xdr:colOff>307716</xdr:colOff>
      <xdr:row>54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54</xdr:row>
      <xdr:rowOff>66675</xdr:rowOff>
    </xdr:from>
    <xdr:to>
      <xdr:col>22</xdr:col>
      <xdr:colOff>289046</xdr:colOff>
      <xdr:row>54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28575</xdr:rowOff>
    </xdr:from>
    <xdr:to>
      <xdr:col>12</xdr:col>
      <xdr:colOff>57150</xdr:colOff>
      <xdr:row>47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54</xdr:row>
      <xdr:rowOff>66675</xdr:rowOff>
    </xdr:from>
    <xdr:to>
      <xdr:col>22</xdr:col>
      <xdr:colOff>289046</xdr:colOff>
      <xdr:row>54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55</xdr:row>
          <xdr:rowOff>47625</xdr:rowOff>
        </xdr:from>
        <xdr:to>
          <xdr:col>14</xdr:col>
          <xdr:colOff>752475</xdr:colOff>
          <xdr:row>58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58</xdr:row>
          <xdr:rowOff>47625</xdr:rowOff>
        </xdr:from>
        <xdr:to>
          <xdr:col>14</xdr:col>
          <xdr:colOff>752475</xdr:colOff>
          <xdr:row>60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60</xdr:row>
          <xdr:rowOff>104775</xdr:rowOff>
        </xdr:from>
        <xdr:to>
          <xdr:col>14</xdr:col>
          <xdr:colOff>752475</xdr:colOff>
          <xdr:row>62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51</xdr:row>
          <xdr:rowOff>47625</xdr:rowOff>
        </xdr:from>
        <xdr:to>
          <xdr:col>13</xdr:col>
          <xdr:colOff>38100</xdr:colOff>
          <xdr:row>53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51</xdr:row>
          <xdr:rowOff>47625</xdr:rowOff>
        </xdr:from>
        <xdr:to>
          <xdr:col>15</xdr:col>
          <xdr:colOff>352425</xdr:colOff>
          <xdr:row>53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51</xdr:row>
          <xdr:rowOff>38100</xdr:rowOff>
        </xdr:from>
        <xdr:to>
          <xdr:col>19</xdr:col>
          <xdr:colOff>1104900</xdr:colOff>
          <xdr:row>53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51</xdr:row>
          <xdr:rowOff>38100</xdr:rowOff>
        </xdr:from>
        <xdr:to>
          <xdr:col>22</xdr:col>
          <xdr:colOff>114300</xdr:colOff>
          <xdr:row>53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55</xdr:row>
          <xdr:rowOff>47625</xdr:rowOff>
        </xdr:from>
        <xdr:to>
          <xdr:col>21</xdr:col>
          <xdr:colOff>1038225</xdr:colOff>
          <xdr:row>58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58</xdr:row>
          <xdr:rowOff>47625</xdr:rowOff>
        </xdr:from>
        <xdr:to>
          <xdr:col>21</xdr:col>
          <xdr:colOff>1038225</xdr:colOff>
          <xdr:row>60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60</xdr:row>
          <xdr:rowOff>104775</xdr:rowOff>
        </xdr:from>
        <xdr:to>
          <xdr:col>21</xdr:col>
          <xdr:colOff>1038225</xdr:colOff>
          <xdr:row>62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62</xdr:row>
          <xdr:rowOff>161925</xdr:rowOff>
        </xdr:from>
        <xdr:to>
          <xdr:col>14</xdr:col>
          <xdr:colOff>752475</xdr:colOff>
          <xdr:row>64</xdr:row>
          <xdr:rowOff>38100</xdr:rowOff>
        </xdr:to>
        <xdr:sp macro="" textlink="">
          <xdr:nvSpPr>
            <xdr:cNvPr id="1045" name="TIButton1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64</xdr:row>
          <xdr:rowOff>85725</xdr:rowOff>
        </xdr:from>
        <xdr:to>
          <xdr:col>14</xdr:col>
          <xdr:colOff>752475</xdr:colOff>
          <xdr:row>66</xdr:row>
          <xdr:rowOff>152400</xdr:rowOff>
        </xdr:to>
        <xdr:sp macro="" textlink="">
          <xdr:nvSpPr>
            <xdr:cNvPr id="1048" name="TIButton2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0</xdr:colOff>
      <xdr:row>0</xdr:row>
      <xdr:rowOff>0</xdr:rowOff>
    </xdr:from>
    <xdr:to>
      <xdr:col>26</xdr:col>
      <xdr:colOff>57150</xdr:colOff>
      <xdr:row>55</xdr:row>
      <xdr:rowOff>15240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0"/>
          <a:ext cx="1885950" cy="18859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62</xdr:row>
          <xdr:rowOff>161925</xdr:rowOff>
        </xdr:from>
        <xdr:to>
          <xdr:col>21</xdr:col>
          <xdr:colOff>1038225</xdr:colOff>
          <xdr:row>64</xdr:row>
          <xdr:rowOff>38100</xdr:rowOff>
        </xdr:to>
        <xdr:sp macro="" textlink="">
          <xdr:nvSpPr>
            <xdr:cNvPr id="1049" name="TIButton4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64</xdr:row>
          <xdr:rowOff>85725</xdr:rowOff>
        </xdr:from>
        <xdr:to>
          <xdr:col>21</xdr:col>
          <xdr:colOff>1038225</xdr:colOff>
          <xdr:row>66</xdr:row>
          <xdr:rowOff>152400</xdr:rowOff>
        </xdr:to>
        <xdr:sp macro="" textlink="">
          <xdr:nvSpPr>
            <xdr:cNvPr id="1050" name="TIButton12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67</xdr:row>
          <xdr:rowOff>28575</xdr:rowOff>
        </xdr:from>
        <xdr:to>
          <xdr:col>21</xdr:col>
          <xdr:colOff>1038225</xdr:colOff>
          <xdr:row>70</xdr:row>
          <xdr:rowOff>38100</xdr:rowOff>
        </xdr:to>
        <xdr:sp macro="" textlink="">
          <xdr:nvSpPr>
            <xdr:cNvPr id="1051" name="TIButton13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70</xdr:row>
          <xdr:rowOff>85725</xdr:rowOff>
        </xdr:from>
        <xdr:to>
          <xdr:col>21</xdr:col>
          <xdr:colOff>1038225</xdr:colOff>
          <xdr:row>72</xdr:row>
          <xdr:rowOff>152400</xdr:rowOff>
        </xdr:to>
        <xdr:sp macro="" textlink="">
          <xdr:nvSpPr>
            <xdr:cNvPr id="1052" name="TIButton14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8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>
    <outlinePr showOutlineSymbols="0"/>
  </sheetPr>
  <dimension ref="A1:W90"/>
  <sheetViews>
    <sheetView showGridLines="0" tabSelected="1" showOutlineSymbols="0" topLeftCell="J48" workbookViewId="0">
      <pane ySplit="43" topLeftCell="A91" activePane="bottomLeft" state="frozen"/>
      <selection activeCell="J48" sqref="J48"/>
      <selection pane="bottomLeft"/>
    </sheetView>
  </sheetViews>
  <sheetFormatPr defaultRowHeight="15" outlineLevelRow="1" outlineLevelCol="1" x14ac:dyDescent="0.25"/>
  <cols>
    <col min="1" max="1" width="5.7109375" hidden="1" customWidth="1" outlineLevel="1"/>
    <col min="2" max="2" width="27.8554687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idden="1" outlineLevel="1" x14ac:dyDescent="0.25">
      <c r="B1" s="16" t="s">
        <v>3</v>
      </c>
      <c r="C1" s="17"/>
      <c r="D1" s="18"/>
    </row>
    <row r="2" spans="2:4" hidden="1" outlineLevel="1" x14ac:dyDescent="0.25">
      <c r="B2" s="2" t="s">
        <v>4</v>
      </c>
      <c r="C2" s="3" t="s">
        <v>50</v>
      </c>
      <c r="D2" s="4"/>
    </row>
    <row r="3" spans="2:4" hidden="1" outlineLevel="1" x14ac:dyDescent="0.25">
      <c r="B3" s="2" t="s">
        <v>22</v>
      </c>
      <c r="C3" s="10" t="str" cm="1">
        <f t="array" ref="C3">_xll.VIEW(db_name&amp;":}ElementAttributes_}Clients","!","!")</f>
        <v>dcceew_geus:}ElementAttributes_}Clients</v>
      </c>
      <c r="D3" s="4"/>
    </row>
    <row r="4" spans="2:4" hidden="1" outlineLevel="1" x14ac:dyDescent="0.25">
      <c r="B4" s="2" t="s">
        <v>21</v>
      </c>
      <c r="C4" s="3" t="str" cm="1">
        <f t="array" ref="C4">_xll.TM1USER(db_name)</f>
        <v>CAMID("pans:u:kgimena@excelerated.com.au")</v>
      </c>
      <c r="D4" s="4"/>
    </row>
    <row r="5" spans="2:4" hidden="1" outlineLevel="1" x14ac:dyDescent="0.25">
      <c r="B5" s="2" t="s">
        <v>23</v>
      </c>
      <c r="C5" s="3" t="str" cm="1">
        <f t="array" ref="C5">_xll.DBR($C$3,$C$4,$B5)</f>
        <v>Business Analytics/Khristian Gimena</v>
      </c>
      <c r="D5" s="4"/>
    </row>
    <row r="6" spans="2:4" hidden="1" outlineLevel="1" x14ac:dyDescent="0.25">
      <c r="B6" s="2" t="s">
        <v>24</v>
      </c>
      <c r="C6" s="3" t="str" cm="1">
        <f t="array" ref="C6">_xll.DBR($C$3,$C$4,$B6)</f>
        <v>Khristian Gimena</v>
      </c>
      <c r="D6" s="4"/>
    </row>
    <row r="7" spans="2:4" hidden="1" outlineLevel="1" x14ac:dyDescent="0.25">
      <c r="B7" s="2" t="s">
        <v>5</v>
      </c>
      <c r="C7" s="3" t="str">
        <f>IF(LEFT($C$4,6)="CAM_AD",$C$5,$C$4)</f>
        <v>CAMID("pans:u:kgimena@excelerated.com.au")</v>
      </c>
      <c r="D7" s="1"/>
    </row>
    <row r="8" spans="2:4" hidden="1" outlineLevel="1" x14ac:dyDescent="0.25"/>
    <row r="9" spans="2:4" hidden="1" outlineLevel="1" x14ac:dyDescent="0.25">
      <c r="B9" s="16" t="s">
        <v>6</v>
      </c>
      <c r="C9" s="17"/>
      <c r="D9" s="18"/>
    </row>
    <row r="10" spans="2:4" hidden="1" outlineLevel="1" x14ac:dyDescent="0.25">
      <c r="B10" s="2" t="s">
        <v>7</v>
      </c>
      <c r="C10" s="1" t="str" cm="1">
        <f t="array" ref="C10">_xll.VIEW(db_name&amp;":}ElementAttributes_variables","!","!")</f>
        <v>dcceew_geus:}ElementAttributes_variables</v>
      </c>
      <c r="D10" s="1"/>
    </row>
    <row r="11" spans="2:4" hidden="1" outlineLevel="1" x14ac:dyDescent="0.25">
      <c r="B11" s="2" t="s">
        <v>8</v>
      </c>
      <c r="C11" s="1" t="str" cm="1">
        <f t="array" ref="C11">_xll.DBR($C$10,$B11,"value")</f>
        <v>HL2025-2026</v>
      </c>
      <c r="D11" s="1"/>
    </row>
    <row r="12" spans="2:4" hidden="1" outlineLevel="1" x14ac:dyDescent="0.25">
      <c r="B12" s="2" t="s">
        <v>9</v>
      </c>
      <c r="C12" s="1" t="str" cm="1">
        <f t="array" ref="C12">_xll.DBR($C$10,$B12,"value")</f>
        <v>current</v>
      </c>
      <c r="D12" s="1"/>
    </row>
    <row r="13" spans="2:4" hidden="1" outlineLevel="1" x14ac:dyDescent="0.25">
      <c r="B13" s="2" t="s">
        <v>10</v>
      </c>
      <c r="C13" s="1" t="str" cm="1">
        <f t="array" ref="C13">_xll.DBR($C$10,$B13,"value")</f>
        <v>HL2024-2025</v>
      </c>
      <c r="D13" s="1"/>
    </row>
    <row r="14" spans="2:4" hidden="1" outlineLevel="1" x14ac:dyDescent="0.25">
      <c r="B14" s="2" t="s">
        <v>11</v>
      </c>
      <c r="C14" s="1" t="str" cm="1">
        <f t="array" ref="C14">_xll.DBR($C$10,$B14,"value")</f>
        <v>Budget</v>
      </c>
      <c r="D14" s="1"/>
    </row>
    <row r="15" spans="2:4" hidden="1" outlineLevel="1" x14ac:dyDescent="0.25">
      <c r="B15" s="2" t="s">
        <v>12</v>
      </c>
      <c r="C15" s="1" t="str">
        <f>"The current scenario is """ &amp; $C$12 &amp; """ for the """ &amp; $C$11 &amp; """ Headline Year. Archive was done for """ &amp; $C$13 &amp; """ on scenario """ &amp; $C$14 &amp; """."</f>
        <v>The current scenario is "current" for the "HL2025-2026" Headline Year. Archive was done for "HL2024-2025" on scenario "Budget".</v>
      </c>
      <c r="D15" s="1"/>
    </row>
    <row r="16" spans="2:4" hidden="1" outlineLevel="1" x14ac:dyDescent="0.25"/>
    <row r="17" spans="2:8" hidden="1" outlineLevel="1" x14ac:dyDescent="0.25">
      <c r="B17" s="16" t="s">
        <v>13</v>
      </c>
      <c r="C17" s="17"/>
      <c r="D17" s="18"/>
    </row>
    <row r="18" spans="2:8" hidden="1" outlineLevel="1" x14ac:dyDescent="0.25">
      <c r="B18" s="2" t="s">
        <v>7</v>
      </c>
      <c r="C18" s="1" t="str" cm="1">
        <f t="array" ref="C18">_xll.VIEW(db_name&amp;":sys_client preference","!","!","!")</f>
        <v>dcceew_geus:sys_client preference</v>
      </c>
      <c r="D18" s="1"/>
    </row>
    <row r="19" spans="2:8" hidden="1" outlineLevel="1" x14ac:dyDescent="0.25">
      <c r="B19" s="2" t="s">
        <v>14</v>
      </c>
      <c r="C19" s="1" t="str" cm="1">
        <f t="array" ref="C19">_xll.DBR($C$18,psUser,$B19,"value")</f>
        <v>HL2025-2026</v>
      </c>
      <c r="D19" s="1"/>
    </row>
    <row r="20" spans="2:8" hidden="1" outlineLevel="1" x14ac:dyDescent="0.25">
      <c r="B20" s="2" t="s">
        <v>15</v>
      </c>
      <c r="C20" s="1" t="str" cm="1">
        <f t="array" ref="C20">_xll.DBR($C$18,psUser,$B20,"value")</f>
        <v>current</v>
      </c>
      <c r="D20" s="1"/>
    </row>
    <row r="21" spans="2:8" hidden="1" outlineLevel="1" x14ac:dyDescent="0.25">
      <c r="B21" s="2" t="s">
        <v>16</v>
      </c>
      <c r="C21" s="1" t="str" cm="1">
        <f t="array" ref="C21">_xll.DBR($C$18,psUser,$B21,"value")</f>
        <v>00192</v>
      </c>
      <c r="D21" s="1"/>
    </row>
    <row r="22" spans="2:8" hidden="1" outlineLevel="1" x14ac:dyDescent="0.25">
      <c r="B22" s="2" t="s">
        <v>17</v>
      </c>
      <c r="C22" s="1" t="str" cm="1">
        <f t="array" ref="C22">_xll.DBR($C$18,psUser,$B22,"value")</f>
        <v/>
      </c>
      <c r="D22" s="1"/>
    </row>
    <row r="23" spans="2:8" hidden="1" outlineLevel="1" x14ac:dyDescent="0.25">
      <c r="B23" s="2" t="s">
        <v>20</v>
      </c>
      <c r="C23" s="1" t="s">
        <v>19</v>
      </c>
      <c r="D23" s="1"/>
    </row>
    <row r="24" spans="2:8" hidden="1" outlineLevel="1" x14ac:dyDescent="0.25"/>
    <row r="25" spans="2:8" hidden="1" outlineLevel="1" x14ac:dyDescent="0.25">
      <c r="B25" s="16" t="s">
        <v>18</v>
      </c>
      <c r="C25" s="17"/>
      <c r="D25" s="18"/>
    </row>
    <row r="26" spans="2:8" hidden="1" outlineLevel="1" x14ac:dyDescent="0.25">
      <c r="B26" s="1" t="s">
        <v>2</v>
      </c>
      <c r="C26" s="12" t="str">
        <f>_xll.VIEW(db_name&amp;":sys_application","!","!")</f>
        <v>dcceew_geus:sys_application</v>
      </c>
      <c r="D26" s="12"/>
    </row>
    <row r="27" spans="2:8" hidden="1" outlineLevel="1" x14ac:dyDescent="0.25">
      <c r="B27" t="s">
        <v>44</v>
      </c>
      <c r="C27" s="12" t="s">
        <v>37</v>
      </c>
      <c r="D27" s="12"/>
    </row>
    <row r="28" spans="2:8" hidden="1" outlineLevel="1" x14ac:dyDescent="0.25">
      <c r="C28" s="12" t="s">
        <v>33</v>
      </c>
      <c r="D28" s="12" t="s">
        <v>30</v>
      </c>
      <c r="E28" s="12" t="s">
        <v>31</v>
      </c>
      <c r="F28" s="12" t="s">
        <v>0</v>
      </c>
      <c r="G28" s="12" t="s">
        <v>32</v>
      </c>
      <c r="H28" s="12" t="s">
        <v>1</v>
      </c>
    </row>
    <row r="29" spans="2:8" hidden="1" outlineLevel="1" x14ac:dyDescent="0.25">
      <c r="B29" s="1" t="s">
        <v>25</v>
      </c>
      <c r="C29" s="1" t="str" cm="1">
        <f t="array" ref="C29">_xll.DBR($C$26,$B29,C$28)</f>
        <v>TM1HomeCAP</v>
      </c>
      <c r="D29" s="1" t="str" cm="1">
        <f t="array" ref="D29">_xll.DBR($C$26,$B29,D$28)</f>
        <v>Home</v>
      </c>
      <c r="E29" s="1" t="str" cm="1">
        <f t="array" ref="E29">_xll.DBR($C$26,$B29,E$28)</f>
        <v>TM1HomeWB</v>
      </c>
      <c r="F29" s="1" t="str" cm="1">
        <f t="array" ref="F29">_xll.DBR($C$26,$B29,F$28)</f>
        <v>PRIMUS\GEUS WEB\Homepage\sys_Home.xlsx</v>
      </c>
      <c r="G29" s="1" t="str" cm="1">
        <f t="array" ref="G29">_xll.DBR($C$26,$B29,G$28)</f>
        <v>TM1HomeWS</v>
      </c>
      <c r="H29" s="1" t="str" cm="1">
        <f t="array" ref="H29">_xll.DBR($C$26,$B29,H$28)</f>
        <v>home</v>
      </c>
    </row>
    <row r="30" spans="2:8" hidden="1" outlineLevel="1" x14ac:dyDescent="0.25">
      <c r="B30" s="1" t="s">
        <v>26</v>
      </c>
      <c r="C30" s="1" t="str" cm="1">
        <f t="array" ref="C30">_xll.DBR($C$26,$B30,C$28)</f>
        <v>TM1HomeAECAP</v>
      </c>
      <c r="D30" s="1" t="str" cm="1">
        <f t="array" ref="D30">_xll.DBR($C$26,$B30,D$28)</f>
        <v>Annual Estimates</v>
      </c>
      <c r="E30" s="1" t="str" cm="1">
        <f t="array" ref="E30">_xll.DBR($C$26,$B30,E$28)</f>
        <v>TM1HomeAEWB</v>
      </c>
      <c r="F30" s="1" t="str" cm="1">
        <f t="array" ref="F30">_xll.DBR($C$26,$B30,F$28)</f>
        <v>PRIMUS\GEUS WEB\Homepage\sys_Home - Annual Estimates - Data Entry.xlsx</v>
      </c>
      <c r="G30" s="1" t="str" cm="1">
        <f t="array" ref="G30">_xll.DBR($C$26,$B30,G$28)</f>
        <v>TM1HomeAEWS</v>
      </c>
      <c r="H30" s="1" t="str" cm="1">
        <f t="array" ref="H30">_xll.DBR($C$26,$B30,H$28)</f>
        <v>Menu</v>
      </c>
    </row>
    <row r="31" spans="2:8" hidden="1" outlineLevel="1" x14ac:dyDescent="0.25">
      <c r="B31" s="1" t="s">
        <v>27</v>
      </c>
      <c r="C31" s="1" t="str" cm="1">
        <f t="array" ref="C31">_xll.DBR($C$26,$B31,C$28)</f>
        <v>TM1HomeRepCAP</v>
      </c>
      <c r="D31" s="1" t="str" cm="1">
        <f t="array" ref="D31">_xll.DBR($C$26,$B31,D$28)</f>
        <v>Reports</v>
      </c>
      <c r="E31" s="1" t="str" cm="1">
        <f t="array" ref="E31">_xll.DBR($C$26,$B31,E$28)</f>
        <v>TM1HomeRepWB</v>
      </c>
      <c r="F31" s="1" t="str" cm="1">
        <f t="array" ref="F31">_xll.DBR($C$26,$B31,F$28)</f>
        <v>PRIMUS\GEUS WEB\Homepage\sys_Home - Reports - PFS.xlsx</v>
      </c>
      <c r="G31" s="1" t="str" cm="1">
        <f t="array" ref="G31">_xll.DBR($C$26,$B31,G$28)</f>
        <v>TM1HomeRepWS</v>
      </c>
      <c r="H31" s="1" t="str" cm="1">
        <f t="array" ref="H31">_xll.DBR($C$26,$B31,H$28)</f>
        <v>Menu</v>
      </c>
    </row>
    <row r="32" spans="2:8" hidden="1" outlineLevel="1" x14ac:dyDescent="0.25">
      <c r="B32" s="1" t="s">
        <v>28</v>
      </c>
      <c r="C32" s="1" t="str" cm="1">
        <f t="array" ref="C32">_xll.DBR($C$26,$B32,C$28)</f>
        <v>TM1HomeAdminCAP</v>
      </c>
      <c r="D32" s="1" t="str" cm="1">
        <f t="array" ref="D32">_xll.DBR($C$26,$B32,D$28)</f>
        <v>Administration</v>
      </c>
      <c r="E32" s="1" t="str" cm="1">
        <f t="array" ref="E32">_xll.DBR($C$26,$B32,E$28)</f>
        <v>TM1HomeAdminWB</v>
      </c>
      <c r="F32" s="1" t="str" cm="1">
        <f t="array" ref="F32">_xll.DBR($C$26,$B32,F$28)</f>
        <v>PRIMUS\GEUS WEB\Homepage\sys_Home - Administration - GEUS Setup.xlsx</v>
      </c>
      <c r="G32" s="1" t="str" cm="1">
        <f t="array" ref="G32">_xll.DBR($C$26,$B32,G$28)</f>
        <v>TM1HomeAdminWS</v>
      </c>
      <c r="H32" s="1" t="str" cm="1">
        <f t="array" ref="H32">_xll.DBR($C$26,$B32,H$28)</f>
        <v>Menu</v>
      </c>
    </row>
    <row r="33" spans="2:23" hidden="1" outlineLevel="1" x14ac:dyDescent="0.25">
      <c r="B33" s="1" t="s">
        <v>34</v>
      </c>
      <c r="C33" s="1" t="str" cm="1">
        <f t="array" ref="C33">_xll.DBR($C$26,$B33,C$28)</f>
        <v>TM1HomeAdminRDSCAP</v>
      </c>
      <c r="D33" s="1" t="str" cm="1">
        <f t="array" ref="D33">_xll.DBR($C$26,$B33,D$28)</f>
        <v>Reference Data Set Menu</v>
      </c>
      <c r="E33" s="1" t="str" cm="1">
        <f t="array" ref="E33">_xll.DBR($C$26,$B33,E$28)</f>
        <v>TM1HomeAdminRDSWB</v>
      </c>
      <c r="F33" s="1" t="str" cm="1">
        <f t="array" ref="F33">_xll.DBR($C$26,$B33,F$28)</f>
        <v>PRIMUS\GEUS WEB\Homepage\sys_Home - Administration - RDS.xlsx</v>
      </c>
      <c r="G33" s="1" t="str" cm="1">
        <f t="array" ref="G33">_xll.DBR($C$26,$B33,G$28)</f>
        <v>TM1HomeAdminRDSWS</v>
      </c>
      <c r="H33" s="1" t="str" cm="1">
        <f t="array" ref="H33">_xll.DBR($C$26,$B33,H$28)</f>
        <v>Menu</v>
      </c>
    </row>
    <row r="34" spans="2:23" hidden="1" outlineLevel="1" x14ac:dyDescent="0.25">
      <c r="B34" s="1" t="s">
        <v>39</v>
      </c>
      <c r="C34" s="1" t="str" cm="1">
        <f t="array" ref="C34">_xll.DBR($C$26,$B34,C$28)</f>
        <v>TM1HomeAdminRDSMapCAP</v>
      </c>
      <c r="D34" s="1" t="str" cm="1">
        <f t="array" ref="D34">_xll.DBR($C$26,$B34,D$28)</f>
        <v>Reference Data Set Mapping Menu</v>
      </c>
      <c r="E34" s="1" t="str" cm="1">
        <f t="array" ref="E34">_xll.DBR($C$26,$B34,E$28)</f>
        <v>TM1HomeAdminRDSMapWB</v>
      </c>
      <c r="F34" s="1" t="str" cm="1">
        <f t="array" ref="F34">_xll.DBR($C$26,$B34,F$28)</f>
        <v>PRIMUS\GEUS WEB\Homepage\sys_Home - Administration - RDS Mapping.xlsx</v>
      </c>
      <c r="G34" s="1" t="str" cm="1">
        <f t="array" ref="G34">_xll.DBR($C$26,$B34,G$28)</f>
        <v>TM1HomeAdminRDSMapWS</v>
      </c>
      <c r="H34" s="1" t="str" cm="1">
        <f t="array" ref="H34">_xll.DBR($C$26,$B34,H$28)</f>
        <v>Menu</v>
      </c>
    </row>
    <row r="35" spans="2:23" hidden="1" outlineLevel="1" x14ac:dyDescent="0.25">
      <c r="B35" s="1" t="s">
        <v>35</v>
      </c>
      <c r="C35" s="1" t="str" cm="1">
        <f t="array" ref="C35">_xll.DBR($C$26,$B35,C$28)</f>
        <v>TM1HomeAdminGEUSCAP</v>
      </c>
      <c r="D35" s="1" t="str" cm="1">
        <f t="array" ref="D35">_xll.DBR($C$26,$B35,D$28)</f>
        <v>GEUS Administration Setup</v>
      </c>
      <c r="E35" s="1" t="str" cm="1">
        <f t="array" ref="E35">_xll.DBR($C$26,$B35,E$28)</f>
        <v>TM1HomeAdminGEUSWB</v>
      </c>
      <c r="F35" s="1" t="str" cm="1">
        <f t="array" ref="F35">_xll.DBR($C$26,$B35,F$28)</f>
        <v>PRIMUS\GEUS WEB\Homepage\sys_Home - Administration - GEUS Setup.xlsx</v>
      </c>
      <c r="G35" s="1" t="str" cm="1">
        <f t="array" ref="G35">_xll.DBR($C$26,$B35,G$28)</f>
        <v>TM1HomeAdminGEUSWS</v>
      </c>
      <c r="H35" s="1" t="str" cm="1">
        <f t="array" ref="H35">_xll.DBR($C$26,$B35,H$28)</f>
        <v>Menu</v>
      </c>
    </row>
    <row r="36" spans="2:23" hidden="1" outlineLevel="1" x14ac:dyDescent="0.25">
      <c r="B36" s="1" t="s">
        <v>36</v>
      </c>
      <c r="C36" s="1" t="str" cm="1">
        <f t="array" ref="C36">_xll.DBR($C$26,$B36,C$28)</f>
        <v>TM1HomeAdminFavCAP</v>
      </c>
      <c r="D36" s="1" t="str" cm="1">
        <f t="array" ref="D36">_xll.DBR($C$26,$B36,D$28)</f>
        <v>Favourites Menu</v>
      </c>
      <c r="E36" s="1" t="str" cm="1">
        <f t="array" ref="E36">_xll.DBR($C$26,$B36,E$28)</f>
        <v>TM1HomeAdminFavWB</v>
      </c>
      <c r="F36" s="1" t="str" cm="1">
        <f t="array" ref="F36">_xll.DBR($C$26,$B36,F$28)</f>
        <v>PRIMUS\GEUS WEB\Homepage\sys_Home - Administration - Favourites.xlsx</v>
      </c>
      <c r="G36" s="1" t="str" cm="1">
        <f t="array" ref="G36">_xll.DBR($C$26,$B36,G$28)</f>
        <v>TM1HomeAdminFavWS</v>
      </c>
      <c r="H36" s="1" t="str" cm="1">
        <f t="array" ref="H36">_xll.DBR($C$26,$B36,H$28)</f>
        <v>Menu</v>
      </c>
      <c r="L36" t="s">
        <v>47</v>
      </c>
    </row>
    <row r="37" spans="2:23" hidden="1" outlineLevel="1" x14ac:dyDescent="0.25">
      <c r="B37" s="1" t="s">
        <v>37</v>
      </c>
      <c r="C37" s="1" t="str" cm="1">
        <f t="array" ref="C37">_xll.DBR($C$26,$B37,C$28)</f>
        <v>TM1HomeAdminBaseCAP</v>
      </c>
      <c r="D37" s="1" t="str" cm="1">
        <f t="array" ref="D37">_xll.DBR($C$26,$B37,D$28)</f>
        <v>Baseline Menu</v>
      </c>
      <c r="E37" s="1" t="str" cm="1">
        <f t="array" ref="E37">_xll.DBR($C$26,$B37,E$28)</f>
        <v>TM1HomeAdminBaseWB</v>
      </c>
      <c r="F37" s="1" t="str" cm="1">
        <f t="array" ref="F37">_xll.DBR($C$26,$B37,F$28)</f>
        <v>PRIMUS\GEUS WEB\Homepage\sys_Home - Administration - Baseline.xlsx</v>
      </c>
      <c r="G37" s="1" t="str" cm="1">
        <f t="array" ref="G37">_xll.DBR($C$26,$B37,G$28)</f>
        <v>TM1HomeAdminBaseWS</v>
      </c>
      <c r="H37" s="1" t="str" cm="1">
        <f t="array" ref="H37">_xll.DBR($C$26,$B37,H$28)</f>
        <v>Menu</v>
      </c>
    </row>
    <row r="38" spans="2:23" hidden="1" outlineLevel="1" x14ac:dyDescent="0.25">
      <c r="B38" s="1" t="s">
        <v>29</v>
      </c>
      <c r="C38" s="1" t="str" cm="1">
        <f t="array" ref="C38">_xll.DBR($C$26,$B38,C$28)</f>
        <v>TM1HomeUnderCAP</v>
      </c>
      <c r="D38" s="1" t="str" cm="1">
        <f t="array" ref="D38">_xll.DBR($C$26,$B38,D$28)</f>
        <v>Under Construction</v>
      </c>
      <c r="E38" s="1" t="str" cm="1">
        <f t="array" ref="E38">_xll.DBR($C$26,$B38,E$28)</f>
        <v>TM1HomeUnderWB</v>
      </c>
      <c r="F38" s="1" t="str" cm="1">
        <f t="array" ref="F38">_xll.DBR($C$26,$B38,F$28)</f>
        <v>PRIMUS\GEUS WEB\Homepage\sys_Home - Under Construction.xlsx</v>
      </c>
      <c r="G38" s="1" t="str" cm="1">
        <f t="array" ref="G38">_xll.DBR($C$26,$B38,G$28)</f>
        <v>TM1HomeUnderWS</v>
      </c>
      <c r="H38" s="1" t="str" cm="1">
        <f t="array" ref="H38">_xll.DBR($C$26,$B38,H$28)</f>
        <v>under construction</v>
      </c>
    </row>
    <row r="39" spans="2:23" hidden="1" outlineLevel="1" x14ac:dyDescent="0.25">
      <c r="B39" s="1" t="s">
        <v>41</v>
      </c>
      <c r="C39" s="1" t="str" cm="1">
        <f t="array" ref="C39">_xll.DBR($C$26,$B39,C$28)</f>
        <v>TM1AdminArcCBMSRecoCAP</v>
      </c>
      <c r="D39" s="1" t="str" cm="1">
        <f t="array" ref="D39">_xll.DBR($C$26,$B39,D$28)</f>
        <v>Perform GEUS - CBMS Reconciliation</v>
      </c>
      <c r="E39" s="1" t="str" cm="1">
        <f t="array" ref="E39">_xll.DBR($C$26,$B39,E$28)</f>
        <v>TM1AdminArcCBMSRecoWB</v>
      </c>
      <c r="F39" s="1" t="str" cm="1">
        <f t="array" ref="F39">_xll.DBR($C$26,$B39,F$28)</f>
        <v>PRIMUS\GEUS WEB\Administration\Archive\sys_Admin - Archive - CBMS GEUS Reconciliation Upload.xlsx</v>
      </c>
      <c r="G39" s="1" t="str" cm="1">
        <f t="array" ref="G39">_xll.DBR($C$26,$B39,G$28)</f>
        <v>TM1AdminArcCBMSRecoRep</v>
      </c>
      <c r="H39" s="1" t="str" cm="1">
        <f t="array" ref="H39">_xll.DBR($C$26,$B39,H$28)</f>
        <v>reco</v>
      </c>
    </row>
    <row r="40" spans="2:23" hidden="1" outlineLevel="1" x14ac:dyDescent="0.25">
      <c r="B40" s="1" t="s">
        <v>45</v>
      </c>
      <c r="C40" s="1" t="str" cm="1">
        <f t="array" ref="C40">_xll.DBR($C$26,$B40,C$28)</f>
        <v>TM1AdminArcCBMSRecoRepCAP</v>
      </c>
      <c r="D40" s="1" t="str" cm="1">
        <f t="array" ref="D40">_xll.DBR($C$26,$B40,D$28)</f>
        <v>CBMS Reconciliation Summary Report</v>
      </c>
      <c r="E40" s="1" t="str" cm="1">
        <f t="array" ref="E40">_xll.DBR($C$26,$B40,E$28)</f>
        <v>TM1AdminArcCBMSRecoRepWB</v>
      </c>
      <c r="F40" s="1" t="str" cm="1">
        <f t="array" ref="F40">_xll.DBR($C$26,$B40,F$28)</f>
        <v>PRIMUS\GEUS WEB\Administration\Archive\sys_Admin - Archive - CBMS GEUS Reconciliation Summary.xlsx</v>
      </c>
      <c r="G40" s="1" t="str" cm="1">
        <f t="array" ref="G40">_xll.DBR($C$26,$B40,G$28)</f>
        <v>TM1AdminArcCBMSRecoRepWS</v>
      </c>
      <c r="H40" s="1" t="str" cm="1">
        <f t="array" ref="H40">_xll.DBR($C$26,$B40,H$28)</f>
        <v>reco</v>
      </c>
    </row>
    <row r="41" spans="2:23" hidden="1" outlineLevel="1" x14ac:dyDescent="0.25">
      <c r="B41" s="1" t="s">
        <v>46</v>
      </c>
      <c r="C41" s="1" t="str" cm="1">
        <f t="array" ref="C41">_xll.DBR($C$26,$B41,C$28)</f>
        <v>TM1AdminArcCBMSRecoRepDetCAP</v>
      </c>
      <c r="D41" s="1" t="str" cm="1">
        <f t="array" ref="D41">_xll.DBR($C$26,$B41,D$28)</f>
        <v>CBMS Reconciliation Detail Report</v>
      </c>
      <c r="E41" s="1" t="str" cm="1">
        <f t="array" ref="E41">_xll.DBR($C$26,$B41,E$28)</f>
        <v>TM1AdminArcCBMSRecoRepDetWB</v>
      </c>
      <c r="F41" s="1" t="str" cm="1">
        <f t="array" ref="F41">_xll.DBR($C$26,$B41,F$28)</f>
        <v>PRIMUS\GEUS WEB\Administration\Archive\sys_Admin - Archive - CBMS GEUS Reconciliation Detail.xlsx</v>
      </c>
      <c r="G41" s="1" t="str" cm="1">
        <f t="array" ref="G41">_xll.DBR($C$26,$B41,G$28)</f>
        <v>TM1AdminArcCBMSRecoRepDetWS</v>
      </c>
      <c r="H41" s="1" t="str" cm="1">
        <f t="array" ref="H41">_xll.DBR($C$26,$B41,H$28)</f>
        <v>reco</v>
      </c>
    </row>
    <row r="42" spans="2:23" hidden="1" outlineLevel="1" x14ac:dyDescent="0.25">
      <c r="B42" s="1" t="s">
        <v>42</v>
      </c>
      <c r="C42" s="1" t="str" cm="1">
        <f t="array" ref="C42">_xll.DBR($C$26,$B42,C$28)</f>
        <v>TM1AdminArcNewBaseCAP</v>
      </c>
      <c r="D42" s="1" t="str" cm="1">
        <f t="array" ref="D42">_xll.DBR($C$26,$B42,D$28)</f>
        <v>Archive Current Scenario And Create New Baseline</v>
      </c>
      <c r="E42" s="1" t="str" cm="1">
        <f t="array" ref="E42">_xll.DBR($C$26,$B42,E$28)</f>
        <v>TM1AdminArcNewBaseWB</v>
      </c>
      <c r="F42" s="1" t="str" cm="1">
        <f t="array" ref="F42">_xll.DBR($C$26,$B42,F$28)</f>
        <v>PRIMUS\GEUS WEB\Administration\Archive\sys_Admin - Archive - Create New Baseline.xlsx</v>
      </c>
      <c r="G42" s="1" t="str" cm="1">
        <f t="array" ref="G42">_xll.DBR($C$26,$B42,G$28)</f>
        <v>TM1AdminArcNewBaseWS</v>
      </c>
      <c r="H42" s="1" t="str" cm="1">
        <f t="array" ref="H42">_xll.DBR($C$26,$B42,H$28)</f>
        <v>archive</v>
      </c>
    </row>
    <row r="43" spans="2:23" hidden="1" outlineLevel="1" x14ac:dyDescent="0.25">
      <c r="B43" s="1" t="s">
        <v>43</v>
      </c>
      <c r="C43" s="1" t="str" cm="1">
        <f t="array" ref="C43">_xll.DBR($C$26,$B43,C$28)</f>
        <v>TM1AdminArcRecoverBaseCAP</v>
      </c>
      <c r="D43" s="1" t="str" cm="1">
        <f t="array" ref="D43">_xll.DBR($C$26,$B43,D$28)</f>
        <v>Restore Baseline From Previous Archive</v>
      </c>
      <c r="E43" s="1" t="str" cm="1">
        <f t="array" ref="E43">_xll.DBR($C$26,$B43,E$28)</f>
        <v>TM1AdminArcRecoverBaseWB</v>
      </c>
      <c r="F43" s="1" t="str" cm="1">
        <f t="array" ref="F43">_xll.DBR($C$26,$B43,F$28)</f>
        <v>PRIMUS\GEUS WEB\Administration\Archive\sys_Admin - Archive - Restore Baseline.xlsx</v>
      </c>
      <c r="G43" s="1" t="str" cm="1">
        <f t="array" ref="G43">_xll.DBR($C$26,$B43,G$28)</f>
        <v>TM1AdminArcRecoverBaseWS</v>
      </c>
      <c r="H43" s="1" t="str" cm="1">
        <f t="array" ref="H43">_xll.DBR($C$26,$B43,H$28)</f>
        <v>recover</v>
      </c>
    </row>
    <row r="44" spans="2:23" hidden="1" outlineLevel="1" x14ac:dyDescent="0.25">
      <c r="B44" s="1" t="s">
        <v>48</v>
      </c>
      <c r="C44" s="1" t="str" cm="1">
        <f t="array" ref="C44">_xll.DBR($C$26,$B44,C$28)</f>
        <v>TM1AdminArcCBMSRecoProgDetCAP</v>
      </c>
      <c r="D44" s="1" t="str" cm="1">
        <f t="array" ref="D44">_xll.DBR($C$26,$B44,D$28)</f>
        <v>CBMS Reconciliation Program Detail Report</v>
      </c>
      <c r="E44" s="1" t="str" cm="1">
        <f t="array" ref="E44">_xll.DBR($C$26,$B44,E$28)</f>
        <v>TM1AdminArcCBMSRecoProgDetWB</v>
      </c>
      <c r="F44" s="1" t="str" cm="1">
        <f t="array" ref="F44">_xll.DBR($C$26,$B44,F$28)</f>
        <v>PRIMUS\GEUS WEB\Administration\Archive\sys_Admin - Archive - CBMS GEUS Reconciliation Program Detail.xlsx</v>
      </c>
      <c r="G44" s="1" t="str" cm="1">
        <f t="array" ref="G44">_xll.DBR($C$26,$B44,G$28)</f>
        <v>TM1AdminArcCBMSRecoProgDetWS</v>
      </c>
      <c r="H44" s="1" t="str" cm="1">
        <f t="array" ref="H44">_xll.DBR($C$26,$B44,H$28)</f>
        <v>reco</v>
      </c>
    </row>
    <row r="45" spans="2:23" hidden="1" outlineLevel="1" x14ac:dyDescent="0.25">
      <c r="B45" s="1" t="s">
        <v>49</v>
      </c>
      <c r="C45" s="1" t="str" cm="1">
        <f t="array" ref="C45">_xll.DBR($C$26,$B45,C$28)</f>
        <v>TM1AdminArcCBMSRecoAppropCAP</v>
      </c>
      <c r="D45" s="1" t="str" cm="1">
        <f t="array" ref="D45">_xll.DBR($C$26,$B45,D$28)</f>
        <v>CBMS Reconciliation Appropriaton Report</v>
      </c>
      <c r="E45" s="1" t="str" cm="1">
        <f t="array" ref="E45">_xll.DBR($C$26,$B45,E$28)</f>
        <v>TM1AdminArcCBMSRecoAppropWB</v>
      </c>
      <c r="F45" s="1" t="str" cm="1">
        <f t="array" ref="F45">_xll.DBR($C$26,$B45,F$28)</f>
        <v>PRIMUS\GEUS WEB\Administration\Archive\sys_Admin - Archive - CBMS GEUS Reconciliation Appropriation.xlsx</v>
      </c>
      <c r="G45" s="1" t="str" cm="1">
        <f t="array" ref="G45">_xll.DBR($C$26,$B45,G$28)</f>
        <v>TM1AdminArcCBMSRecoAppropWS</v>
      </c>
      <c r="H45" s="1" t="str" cm="1">
        <f t="array" ref="H45">_xll.DBR($C$26,$B45,H$28)</f>
        <v>reco</v>
      </c>
    </row>
    <row r="46" spans="2:23" hidden="1" outlineLevel="1" x14ac:dyDescent="0.25"/>
    <row r="47" spans="2:23" hidden="1" outlineLevel="1" x14ac:dyDescent="0.25"/>
    <row r="48" spans="2:23" ht="39.75" customHeight="1" collapsed="1" x14ac:dyDescent="0.25"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11" t="str">
        <f>"Welcome "&amp; psUser</f>
        <v>Welcome CAMID("pans:u:kgimena@excelerated.com.au")</v>
      </c>
    </row>
    <row r="49" spans="10:23" ht="4.5" customHeight="1" x14ac:dyDescent="0.25"/>
    <row r="50" spans="10:23" ht="30" customHeight="1" x14ac:dyDescent="0.25">
      <c r="J50" s="6"/>
      <c r="K50" s="19" t="str">
        <f>$C$15</f>
        <v>The current scenario is "current" for the "HL2025-2026" Headline Year. Archive was done for "HL2024-2025" on scenario "Budget".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6"/>
      <c r="W50" s="6"/>
    </row>
    <row r="51" spans="10:23" ht="4.5" customHeight="1" x14ac:dyDescent="0.25"/>
    <row r="55" spans="10:23" ht="24.75" customHeight="1" x14ac:dyDescent="0.25">
      <c r="J55" s="7"/>
      <c r="K55" s="7"/>
      <c r="L55" s="14" t="s">
        <v>38</v>
      </c>
      <c r="M55" s="14"/>
      <c r="N55" s="14"/>
      <c r="O55" s="14"/>
      <c r="P55" s="5"/>
      <c r="R55" s="8"/>
      <c r="S55" s="15" t="s">
        <v>40</v>
      </c>
      <c r="T55" s="15"/>
      <c r="U55" s="15"/>
      <c r="V55" s="15"/>
      <c r="W55" s="8"/>
    </row>
    <row r="56" spans="10:23" ht="4.5" customHeight="1" x14ac:dyDescent="0.25">
      <c r="J56" s="9"/>
      <c r="K56" s="9"/>
      <c r="L56" s="9"/>
      <c r="M56" s="9"/>
      <c r="N56" s="9"/>
      <c r="O56" s="9"/>
      <c r="P56" s="9"/>
      <c r="R56" s="9"/>
      <c r="S56" s="9"/>
      <c r="T56" s="9"/>
      <c r="U56" s="9"/>
      <c r="V56" s="9"/>
      <c r="W56" s="9"/>
    </row>
    <row r="57" spans="10:23" ht="19.5" customHeight="1" x14ac:dyDescent="0.25">
      <c r="J57" s="9"/>
      <c r="K57" s="9"/>
      <c r="L57" s="9"/>
      <c r="M57" s="9"/>
      <c r="N57" s="9"/>
      <c r="O57" s="9"/>
      <c r="P57" s="9"/>
      <c r="R57" s="9"/>
      <c r="S57" s="9"/>
      <c r="T57" s="9"/>
      <c r="U57" s="9"/>
      <c r="V57" s="9"/>
      <c r="W57" s="9"/>
    </row>
    <row r="58" spans="10:23" ht="4.5" customHeight="1" x14ac:dyDescent="0.25">
      <c r="J58" s="9"/>
      <c r="K58" s="9"/>
      <c r="L58" s="9"/>
      <c r="M58" s="9"/>
      <c r="N58" s="9"/>
      <c r="O58" s="9"/>
      <c r="P58" s="9"/>
      <c r="R58" s="9"/>
      <c r="S58" s="9"/>
      <c r="T58" s="9"/>
      <c r="U58" s="9"/>
      <c r="V58" s="9"/>
      <c r="W58" s="9"/>
    </row>
    <row r="59" spans="10:23" ht="19.5" customHeight="1" x14ac:dyDescent="0.25">
      <c r="J59" s="9"/>
      <c r="K59" s="9"/>
      <c r="L59" s="9"/>
      <c r="M59" s="9"/>
      <c r="N59" s="9"/>
      <c r="O59" s="9"/>
      <c r="P59" s="9"/>
      <c r="R59" s="9"/>
      <c r="S59" s="9"/>
      <c r="T59" s="9"/>
      <c r="U59" s="9"/>
      <c r="V59" s="9"/>
      <c r="W59" s="9"/>
    </row>
    <row r="60" spans="10:23" ht="4.5" customHeight="1" x14ac:dyDescent="0.25"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</row>
    <row r="61" spans="10:23" ht="19.5" customHeight="1" x14ac:dyDescent="0.25"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</row>
    <row r="62" spans="10:23" ht="4.5" customHeight="1" x14ac:dyDescent="0.25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10:23" ht="19.5" customHeight="1" x14ac:dyDescent="0.25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10:23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4.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4.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4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4.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ht="4.5" customHeight="1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x14ac:dyDescent="0.25">
      <c r="K90" s="13" t="str">
        <f ca="1">"© Excelerated Consulting Pty Ltd 2001-" &amp; YEAR(NOW())</f>
        <v>© Excelerated Consulting Pty Ltd 2001-2025</v>
      </c>
    </row>
  </sheetData>
  <sheetProtection sheet="1" objects="1" scenarios="1"/>
  <mergeCells count="7">
    <mergeCell ref="L55:O55"/>
    <mergeCell ref="S55:V55"/>
    <mergeCell ref="B1:D1"/>
    <mergeCell ref="B9:D9"/>
    <mergeCell ref="B17:D17"/>
    <mergeCell ref="B25:D25"/>
    <mergeCell ref="K50:U50"/>
  </mergeCells>
  <conditionalFormatting sqref="R55:W55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52" r:id="rId4" name="TIButton14">
          <controlPr defaultSize="0" print="0" autoLine="0" r:id="rId5">
            <anchor moveWithCells="1" sizeWithCells="1">
              <from>
                <xdr:col>18</xdr:col>
                <xdr:colOff>285750</xdr:colOff>
                <xdr:row>70</xdr:row>
                <xdr:rowOff>85725</xdr:rowOff>
              </from>
              <to>
                <xdr:col>21</xdr:col>
                <xdr:colOff>1038225</xdr:colOff>
                <xdr:row>72</xdr:row>
                <xdr:rowOff>152400</xdr:rowOff>
              </to>
            </anchor>
          </controlPr>
        </control>
      </mc:Choice>
      <mc:Fallback>
        <control shapeId="1052" r:id="rId4" name="TIButton14"/>
      </mc:Fallback>
    </mc:AlternateContent>
    <mc:AlternateContent xmlns:mc="http://schemas.openxmlformats.org/markup-compatibility/2006">
      <mc:Choice Requires="x14">
        <control shapeId="1051" r:id="rId6" name="TIButton13">
          <controlPr defaultSize="0" print="0" autoLine="0" r:id="rId7">
            <anchor moveWithCells="1" sizeWithCells="1">
              <from>
                <xdr:col>18</xdr:col>
                <xdr:colOff>285750</xdr:colOff>
                <xdr:row>67</xdr:row>
                <xdr:rowOff>28575</xdr:rowOff>
              </from>
              <to>
                <xdr:col>21</xdr:col>
                <xdr:colOff>1038225</xdr:colOff>
                <xdr:row>70</xdr:row>
                <xdr:rowOff>38100</xdr:rowOff>
              </to>
            </anchor>
          </controlPr>
        </control>
      </mc:Choice>
      <mc:Fallback>
        <control shapeId="1051" r:id="rId6" name="TIButton13"/>
      </mc:Fallback>
    </mc:AlternateContent>
    <mc:AlternateContent xmlns:mc="http://schemas.openxmlformats.org/markup-compatibility/2006">
      <mc:Choice Requires="x14">
        <control shapeId="1050" r:id="rId8" name="TIButton12">
          <controlPr defaultSize="0" print="0" autoLine="0" r:id="rId9">
            <anchor moveWithCells="1" sizeWithCells="1">
              <from>
                <xdr:col>18</xdr:col>
                <xdr:colOff>285750</xdr:colOff>
                <xdr:row>64</xdr:row>
                <xdr:rowOff>85725</xdr:rowOff>
              </from>
              <to>
                <xdr:col>21</xdr:col>
                <xdr:colOff>1038225</xdr:colOff>
                <xdr:row>66</xdr:row>
                <xdr:rowOff>152400</xdr:rowOff>
              </to>
            </anchor>
          </controlPr>
        </control>
      </mc:Choice>
      <mc:Fallback>
        <control shapeId="1050" r:id="rId8" name="TIButton12"/>
      </mc:Fallback>
    </mc:AlternateContent>
    <mc:AlternateContent xmlns:mc="http://schemas.openxmlformats.org/markup-compatibility/2006">
      <mc:Choice Requires="x14">
        <control shapeId="1049" r:id="rId10" name="TIButton4">
          <controlPr defaultSize="0" print="0" autoLine="0" r:id="rId11">
            <anchor moveWithCells="1" sizeWithCells="1">
              <from>
                <xdr:col>18</xdr:col>
                <xdr:colOff>285750</xdr:colOff>
                <xdr:row>62</xdr:row>
                <xdr:rowOff>161925</xdr:rowOff>
              </from>
              <to>
                <xdr:col>21</xdr:col>
                <xdr:colOff>1038225</xdr:colOff>
                <xdr:row>64</xdr:row>
                <xdr:rowOff>38100</xdr:rowOff>
              </to>
            </anchor>
          </controlPr>
        </control>
      </mc:Choice>
      <mc:Fallback>
        <control shapeId="1049" r:id="rId10" name="TIButton4"/>
      </mc:Fallback>
    </mc:AlternateContent>
    <mc:AlternateContent xmlns:mc="http://schemas.openxmlformats.org/markup-compatibility/2006">
      <mc:Choice Requires="x14">
        <control shapeId="1048" r:id="rId12" name="TIButton21">
          <controlPr defaultSize="0" print="0" autoLine="0" r:id="rId13">
            <anchor moveWithCells="1" sizeWithCells="1">
              <from>
                <xdr:col>11</xdr:col>
                <xdr:colOff>0</xdr:colOff>
                <xdr:row>64</xdr:row>
                <xdr:rowOff>85725</xdr:rowOff>
              </from>
              <to>
                <xdr:col>14</xdr:col>
                <xdr:colOff>752475</xdr:colOff>
                <xdr:row>66</xdr:row>
                <xdr:rowOff>152400</xdr:rowOff>
              </to>
            </anchor>
          </controlPr>
        </control>
      </mc:Choice>
      <mc:Fallback>
        <control shapeId="1048" r:id="rId12" name="TIButton21"/>
      </mc:Fallback>
    </mc:AlternateContent>
    <mc:AlternateContent xmlns:mc="http://schemas.openxmlformats.org/markup-compatibility/2006">
      <mc:Choice Requires="x14">
        <control shapeId="1045" r:id="rId14" name="TIButton18">
          <controlPr defaultSize="0" print="0" autoLine="0" r:id="rId15">
            <anchor moveWithCells="1" sizeWithCells="1">
              <from>
                <xdr:col>11</xdr:col>
                <xdr:colOff>0</xdr:colOff>
                <xdr:row>62</xdr:row>
                <xdr:rowOff>161925</xdr:rowOff>
              </from>
              <to>
                <xdr:col>14</xdr:col>
                <xdr:colOff>752475</xdr:colOff>
                <xdr:row>64</xdr:row>
                <xdr:rowOff>38100</xdr:rowOff>
              </to>
            </anchor>
          </controlPr>
        </control>
      </mc:Choice>
      <mc:Fallback>
        <control shapeId="1045" r:id="rId14" name="TIButton18"/>
      </mc:Fallback>
    </mc:AlternateContent>
    <mc:AlternateContent xmlns:mc="http://schemas.openxmlformats.org/markup-compatibility/2006">
      <mc:Choice Requires="x14">
        <control shapeId="1037" r:id="rId16" name="TIButton11">
          <controlPr defaultSize="0" print="0" autoLine="0" r:id="rId17">
            <anchor moveWithCells="1" sizeWithCells="1">
              <from>
                <xdr:col>18</xdr:col>
                <xdr:colOff>285750</xdr:colOff>
                <xdr:row>60</xdr:row>
                <xdr:rowOff>104775</xdr:rowOff>
              </from>
              <to>
                <xdr:col>21</xdr:col>
                <xdr:colOff>1038225</xdr:colOff>
                <xdr:row>62</xdr:row>
                <xdr:rowOff>114300</xdr:rowOff>
              </to>
            </anchor>
          </controlPr>
        </control>
      </mc:Choice>
      <mc:Fallback>
        <control shapeId="1037" r:id="rId16" name="TIButton11"/>
      </mc:Fallback>
    </mc:AlternateContent>
    <mc:AlternateContent xmlns:mc="http://schemas.openxmlformats.org/markup-compatibility/2006">
      <mc:Choice Requires="x14">
        <control shapeId="1036" r:id="rId18" name="TIButton10">
          <controlPr defaultSize="0" print="0" autoLine="0" r:id="rId19">
            <anchor moveWithCells="1" sizeWithCells="1">
              <from>
                <xdr:col>18</xdr:col>
                <xdr:colOff>285750</xdr:colOff>
                <xdr:row>58</xdr:row>
                <xdr:rowOff>47625</xdr:rowOff>
              </from>
              <to>
                <xdr:col>21</xdr:col>
                <xdr:colOff>1038225</xdr:colOff>
                <xdr:row>60</xdr:row>
                <xdr:rowOff>57150</xdr:rowOff>
              </to>
            </anchor>
          </controlPr>
        </control>
      </mc:Choice>
      <mc:Fallback>
        <control shapeId="1036" r:id="rId18" name="TIButton10"/>
      </mc:Fallback>
    </mc:AlternateContent>
    <mc:AlternateContent xmlns:mc="http://schemas.openxmlformats.org/markup-compatibility/2006">
      <mc:Choice Requires="x14">
        <control shapeId="1035" r:id="rId20" name="TIButton9">
          <controlPr defaultSize="0" print="0" autoLine="0" r:id="rId21">
            <anchor moveWithCells="1" sizeWithCells="1">
              <from>
                <xdr:col>18</xdr:col>
                <xdr:colOff>285750</xdr:colOff>
                <xdr:row>55</xdr:row>
                <xdr:rowOff>47625</xdr:rowOff>
              </from>
              <to>
                <xdr:col>21</xdr:col>
                <xdr:colOff>1038225</xdr:colOff>
                <xdr:row>58</xdr:row>
                <xdr:rowOff>0</xdr:rowOff>
              </to>
            </anchor>
          </controlPr>
        </control>
      </mc:Choice>
      <mc:Fallback>
        <control shapeId="1035" r:id="rId20" name="TIButton9"/>
      </mc:Fallback>
    </mc:AlternateContent>
    <mc:AlternateContent xmlns:mc="http://schemas.openxmlformats.org/markup-compatibility/2006">
      <mc:Choice Requires="x14">
        <control shapeId="1034" r:id="rId22" name="TIButton8">
          <controlPr defaultSize="0" print="0" autoLine="0" r:id="rId23">
            <anchor moveWithCells="1" sizeWithCells="1">
              <from>
                <xdr:col>19</xdr:col>
                <xdr:colOff>1133475</xdr:colOff>
                <xdr:row>51</xdr:row>
                <xdr:rowOff>38100</xdr:rowOff>
              </from>
              <to>
                <xdr:col>22</xdr:col>
                <xdr:colOff>114300</xdr:colOff>
                <xdr:row>53</xdr:row>
                <xdr:rowOff>76200</xdr:rowOff>
              </to>
            </anchor>
          </controlPr>
        </control>
      </mc:Choice>
      <mc:Fallback>
        <control shapeId="1034" r:id="rId22" name="TIButton8"/>
      </mc:Fallback>
    </mc:AlternateContent>
    <mc:AlternateContent xmlns:mc="http://schemas.openxmlformats.org/markup-compatibility/2006">
      <mc:Choice Requires="x14">
        <control shapeId="1033" r:id="rId24" name="TIButton7">
          <controlPr defaultSize="0" print="0" autoLine="0" r:id="rId25">
            <anchor moveWithCells="1" sizeWithCells="1">
              <from>
                <xdr:col>15</xdr:col>
                <xdr:colOff>371475</xdr:colOff>
                <xdr:row>51</xdr:row>
                <xdr:rowOff>38100</xdr:rowOff>
              </from>
              <to>
                <xdr:col>19</xdr:col>
                <xdr:colOff>1104900</xdr:colOff>
                <xdr:row>53</xdr:row>
                <xdr:rowOff>76200</xdr:rowOff>
              </to>
            </anchor>
          </controlPr>
        </control>
      </mc:Choice>
      <mc:Fallback>
        <control shapeId="1033" r:id="rId24" name="TIButton7"/>
      </mc:Fallback>
    </mc:AlternateContent>
    <mc:AlternateContent xmlns:mc="http://schemas.openxmlformats.org/markup-compatibility/2006">
      <mc:Choice Requires="x14">
        <control shapeId="1032" r:id="rId26" name="TIButton6">
          <controlPr defaultSize="0" print="0" autoLine="0" r:id="rId27">
            <anchor moveWithCells="1" sizeWithCells="1">
              <from>
                <xdr:col>13</xdr:col>
                <xdr:colOff>57150</xdr:colOff>
                <xdr:row>51</xdr:row>
                <xdr:rowOff>47625</xdr:rowOff>
              </from>
              <to>
                <xdr:col>15</xdr:col>
                <xdr:colOff>352425</xdr:colOff>
                <xdr:row>53</xdr:row>
                <xdr:rowOff>85725</xdr:rowOff>
              </to>
            </anchor>
          </controlPr>
        </control>
      </mc:Choice>
      <mc:Fallback>
        <control shapeId="1032" r:id="rId26" name="TIButton6"/>
      </mc:Fallback>
    </mc:AlternateContent>
    <mc:AlternateContent xmlns:mc="http://schemas.openxmlformats.org/markup-compatibility/2006">
      <mc:Choice Requires="x14">
        <control shapeId="1031" r:id="rId28" name="TIButton5">
          <controlPr defaultSize="0" print="0" autoLine="0" r:id="rId29">
            <anchor moveWithCells="1" sizeWithCells="1">
              <from>
                <xdr:col>10</xdr:col>
                <xdr:colOff>123825</xdr:colOff>
                <xdr:row>51</xdr:row>
                <xdr:rowOff>47625</xdr:rowOff>
              </from>
              <to>
                <xdr:col>13</xdr:col>
                <xdr:colOff>38100</xdr:colOff>
                <xdr:row>53</xdr:row>
                <xdr:rowOff>85725</xdr:rowOff>
              </to>
            </anchor>
          </controlPr>
        </control>
      </mc:Choice>
      <mc:Fallback>
        <control shapeId="1031" r:id="rId28" name="TIButton5"/>
      </mc:Fallback>
    </mc:AlternateContent>
    <mc:AlternateContent xmlns:mc="http://schemas.openxmlformats.org/markup-compatibility/2006">
      <mc:Choice Requires="x14">
        <control shapeId="1027" r:id="rId30" name="TIButton3">
          <controlPr defaultSize="0" print="0" autoLine="0" r:id="rId31">
            <anchor moveWithCells="1" sizeWithCells="1">
              <from>
                <xdr:col>11</xdr:col>
                <xdr:colOff>0</xdr:colOff>
                <xdr:row>60</xdr:row>
                <xdr:rowOff>104775</xdr:rowOff>
              </from>
              <to>
                <xdr:col>14</xdr:col>
                <xdr:colOff>752475</xdr:colOff>
                <xdr:row>62</xdr:row>
                <xdr:rowOff>114300</xdr:rowOff>
              </to>
            </anchor>
          </controlPr>
        </control>
      </mc:Choice>
      <mc:Fallback>
        <control shapeId="1027" r:id="rId30" name="TIButton3"/>
      </mc:Fallback>
    </mc:AlternateContent>
    <mc:AlternateContent xmlns:mc="http://schemas.openxmlformats.org/markup-compatibility/2006">
      <mc:Choice Requires="x14">
        <control shapeId="1026" r:id="rId32" name="TIButton2">
          <controlPr defaultSize="0" print="0" autoLine="0" r:id="rId33">
            <anchor moveWithCells="1" sizeWithCells="1">
              <from>
                <xdr:col>11</xdr:col>
                <xdr:colOff>0</xdr:colOff>
                <xdr:row>58</xdr:row>
                <xdr:rowOff>47625</xdr:rowOff>
              </from>
              <to>
                <xdr:col>14</xdr:col>
                <xdr:colOff>752475</xdr:colOff>
                <xdr:row>60</xdr:row>
                <xdr:rowOff>57150</xdr:rowOff>
              </to>
            </anchor>
          </controlPr>
        </control>
      </mc:Choice>
      <mc:Fallback>
        <control shapeId="1026" r:id="rId32" name="TIButton2"/>
      </mc:Fallback>
    </mc:AlternateContent>
    <mc:AlternateContent xmlns:mc="http://schemas.openxmlformats.org/markup-compatibility/2006">
      <mc:Choice Requires="x14">
        <control shapeId="1025" r:id="rId34" name="TIButton1">
          <controlPr defaultSize="0" print="0" autoLine="0" r:id="rId35">
            <anchor moveWithCells="1" sizeWithCells="1">
              <from>
                <xdr:col>11</xdr:col>
                <xdr:colOff>0</xdr:colOff>
                <xdr:row>55</xdr:row>
                <xdr:rowOff>47625</xdr:rowOff>
              </from>
              <to>
                <xdr:col>14</xdr:col>
                <xdr:colOff>752475</xdr:colOff>
                <xdr:row>58</xdr:row>
                <xdr:rowOff>0</xdr:rowOff>
              </to>
            </anchor>
          </controlPr>
        </control>
      </mc:Choice>
      <mc:Fallback>
        <control shapeId="1025" r:id="rId3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Menu</vt:lpstr>
      <vt:lpstr>db_name</vt:lpstr>
      <vt:lpstr>home</vt:lpstr>
      <vt:lpstr>Menu</vt:lpstr>
      <vt:lpstr>psApp</vt:lpstr>
      <vt:lpstr>psUser</vt:lpstr>
      <vt:lpstr>TM1AdminArcCBMSRecoAppropCAP</vt:lpstr>
      <vt:lpstr>TM1AdminArcCBMSRecoAppropWB</vt:lpstr>
      <vt:lpstr>TM1AdminArcCBMSRecoAppropWS</vt:lpstr>
      <vt:lpstr>TM1AdminArcCBMSRecoCAP</vt:lpstr>
      <vt:lpstr>TM1AdminArcCBMSRecoProgDetCAP</vt:lpstr>
      <vt:lpstr>TM1AdminArcCBMSRecoProgDetWB</vt:lpstr>
      <vt:lpstr>TM1AdminArcCBMSRecoProgDetWS</vt:lpstr>
      <vt:lpstr>TM1AdminArcCBMSRecoRepCAP</vt:lpstr>
      <vt:lpstr>TM1AdminArcCBMSRecoRepDetCAP</vt:lpstr>
      <vt:lpstr>TM1AdminArcCBMSRecoRepDetWB</vt:lpstr>
      <vt:lpstr>TM1AdminArcCBMSRecoRepDetWS</vt:lpstr>
      <vt:lpstr>TM1AdminArcCBMSRecoRepWB</vt:lpstr>
      <vt:lpstr>TM1AdminArcCBMSRecoRepWS</vt:lpstr>
      <vt:lpstr>TM1AdminArcCBMSRecoWB</vt:lpstr>
      <vt:lpstr>TM1AdminArcCBMSRecoWS</vt:lpstr>
      <vt:lpstr>TM1AdminArcNewBaseCAP</vt:lpstr>
      <vt:lpstr>TM1AdminArcNewBaseWB</vt:lpstr>
      <vt:lpstr>TM1AdminArcNewBaseWS</vt:lpstr>
      <vt:lpstr>TM1AdminArcRecoverBaseCAP</vt:lpstr>
      <vt:lpstr>TM1AdminArcRecoverBaseWB</vt:lpstr>
      <vt:lpstr>TM1AdminArcRecoverBaseWS</vt:lpstr>
      <vt:lpstr>TM1HomeAdminBaseCAP</vt:lpstr>
      <vt:lpstr>TM1HomeAdminBaseWB</vt:lpstr>
      <vt:lpstr>TM1HomeAdminBaseWS</vt:lpstr>
      <vt:lpstr>TM1HomeAdminCAP</vt:lpstr>
      <vt:lpstr>TM1HomeAdminFavCAP</vt:lpstr>
      <vt:lpstr>TM1HomeAdminFavWB</vt:lpstr>
      <vt:lpstr>TM1HomeAdminFavWS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Khristian Gimena</cp:lastModifiedBy>
  <dcterms:created xsi:type="dcterms:W3CDTF">2018-10-30T00:46:04Z</dcterms:created>
  <dcterms:modified xsi:type="dcterms:W3CDTF">2025-01-05T23:23:21Z</dcterms:modified>
</cp:coreProperties>
</file>