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"/>
    </mc:Choice>
  </mc:AlternateContent>
  <xr:revisionPtr revIDLastSave="0" documentId="8_{874F211D-7D00-44C7-A50A-D7B0EB7EA329}" xr6:coauthVersionLast="47" xr6:coauthVersionMax="47" xr10:uidLastSave="{00000000-0000-0000-0000-000000000000}"/>
  <bookViews>
    <workbookView xWindow="57480" yWindow="-1965" windowWidth="29040" windowHeight="15840" xr2:uid="{2AD59D12-9B76-4AB9-9ECD-453B74BA5258}"/>
  </bookViews>
  <sheets>
    <sheet name="application favourite" sheetId="1" r:id="rId1"/>
    <sheet name="{PL}PickLst" sheetId="2" state="hidden" r:id="rId2"/>
  </sheets>
  <definedNames>
    <definedName name="db_name">'application favourite'!$C$12</definedName>
    <definedName name="psApp">'application favourite'!$C$21</definedName>
    <definedName name="psUser">'application favourite'!$C$14</definedName>
    <definedName name="TM1HomeAdminCAP">'application favourite'!$D$26</definedName>
    <definedName name="TM1HomeAdminFavCAP">'application favourite'!$D$28</definedName>
    <definedName name="TM1HomeAdminFavWB">'application favourite'!$F$28</definedName>
    <definedName name="TM1HomeAdminFavWS">'application favourite'!$H$28</definedName>
    <definedName name="TM1HomeAdminRDSCAP">'application favourite'!$D$27</definedName>
    <definedName name="TM1HomeAdminRDSWB">'application favourite'!$F$27</definedName>
    <definedName name="TM1HomeAdminRDSWS">'application favourite'!$H$27</definedName>
    <definedName name="TM1HomeAdminWB">'application favourite'!$F$26</definedName>
    <definedName name="TM1HomeAdminWS">'application favourite'!$H$26</definedName>
    <definedName name="TM1HomeAECAP">'application favourite'!$D$24</definedName>
    <definedName name="TM1HomeAEWB">'application favourite'!$F$24</definedName>
    <definedName name="TM1HomeAEWS">'application favourite'!$H$24</definedName>
    <definedName name="TM1HomeCAP">'application favourite'!$D$23</definedName>
    <definedName name="TM1HomeRepCAP">'application favourite'!$D$25</definedName>
    <definedName name="TM1HomeRepWB">'application favourite'!$F$25</definedName>
    <definedName name="TM1HomeRepWS">'application favourite'!$H$25</definedName>
    <definedName name="TM1HomeWB">'application favourite'!$F$23</definedName>
    <definedName name="TM1HomeWS">'application favourite'!$H$23</definedName>
    <definedName name="TM1PICKLIST">'{PL}PickLst'!$A$1:$A$2</definedName>
    <definedName name="TM1REBUILDOPTION">1</definedName>
    <definedName name="TM1RPTDATARNG1" localSheetId="0">'application favourite'!$46:$46</definedName>
    <definedName name="TM1RPTFMTIDCOL" localSheetId="0">'application favourite'!$A$1:$A$8</definedName>
    <definedName name="TM1RPTFMTRNG" localSheetId="0">'application favourite'!$J$1:$M$8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1" i="1" l="1" a="1"/>
  <c r="C31" i="1"/>
  <c r="C14" i="1" a="1"/>
  <c r="C14" i="1"/>
  <c r="C34" i="1" a="1"/>
  <c r="C34" i="1"/>
  <c r="C20" i="1" a="1"/>
  <c r="C20" i="1"/>
  <c r="E46" i="1" a="1"/>
  <c r="E46" i="1"/>
  <c r="A46" i="1" a="1"/>
  <c r="A46" i="1"/>
  <c r="M46" i="1" a="1"/>
  <c r="M46" i="1"/>
  <c r="F46" i="1" a="1"/>
  <c r="F46" i="1"/>
  <c r="C32" i="1" a="1"/>
  <c r="C32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H27" i="1" a="1"/>
  <c r="H27" i="1"/>
  <c r="G27" i="1" a="1"/>
  <c r="G27" i="1"/>
  <c r="F27" i="1" a="1"/>
  <c r="F27" i="1"/>
  <c r="E27" i="1" a="1"/>
  <c r="E27" i="1"/>
  <c r="D27" i="1" a="1"/>
  <c r="D27" i="1"/>
  <c r="C27" i="1" a="1"/>
  <c r="C27" i="1"/>
  <c r="H26" i="1" a="1"/>
  <c r="H26" i="1"/>
  <c r="G26" i="1" a="1"/>
  <c r="G26" i="1"/>
  <c r="F26" i="1" a="1"/>
  <c r="F26" i="1"/>
  <c r="E26" i="1" a="1"/>
  <c r="E26" i="1"/>
  <c r="D26" i="1" a="1"/>
  <c r="D26" i="1"/>
  <c r="C26" i="1" a="1"/>
  <c r="C26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H24" i="1" a="1"/>
  <c r="H24" i="1"/>
  <c r="G24" i="1" a="1"/>
  <c r="G24" i="1"/>
  <c r="F24" i="1" a="1"/>
  <c r="F24" i="1"/>
  <c r="E24" i="1" a="1"/>
  <c r="E24" i="1"/>
  <c r="D24" i="1" a="1"/>
  <c r="D24" i="1"/>
  <c r="C24" i="1" a="1"/>
  <c r="C24" i="1"/>
  <c r="H23" i="1" a="1"/>
  <c r="H23" i="1"/>
  <c r="G23" i="1" a="1"/>
  <c r="G23" i="1"/>
  <c r="F23" i="1" a="1"/>
  <c r="F23" i="1"/>
  <c r="E23" i="1" a="1"/>
  <c r="E23" i="1"/>
  <c r="D23" i="1" a="1"/>
  <c r="D23" i="1"/>
  <c r="C23" i="1" a="1"/>
  <c r="C23" i="1"/>
  <c r="C13" i="1" a="1"/>
  <c r="C13" i="1"/>
  <c r="C16" i="1" a="1"/>
  <c r="C16" i="1"/>
  <c r="C15" i="1" a="1"/>
  <c r="C15" i="1"/>
  <c r="K46" i="1"/>
  <c r="J46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<sst xmlns="http://schemas.openxmlformats.org/spreadsheetml/2006/main" count="45" uniqueCount="43">
  <si>
    <t>}Clients</t>
  </si>
  <si>
    <t>Homepage - Home</t>
  </si>
  <si>
    <t>Homepage - Annual Estimates</t>
  </si>
  <si>
    <t>Homepage - Reports</t>
  </si>
  <si>
    <t>Homepage - Administration</t>
  </si>
  <si>
    <t>Homepage - Administration - RDS</t>
  </si>
  <si>
    <t>Admin Favourite - Set Application Favourites</t>
  </si>
  <si>
    <t>D</t>
  </si>
  <si>
    <t>N</t>
  </si>
  <si>
    <t>[Begin Format Range]</t>
  </si>
  <si>
    <t>[End Format Range]</t>
  </si>
  <si>
    <t>Database Variables</t>
  </si>
  <si>
    <t>Database Name</t>
  </si>
  <si>
    <t>TM1 User</t>
  </si>
  <si>
    <t>}TM1_DefaultDisplayValue</t>
  </si>
  <si>
    <t>GEUS User Name</t>
  </si>
  <si>
    <t>Current User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</si>
  <si>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</si>
  <si>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</si>
  <si>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</si>
  <si>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</si>
  <si>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</si>
  <si>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</si>
  <si>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</si>
  <si>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</si>
  <si>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</si>
  <si>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sys_client favourite applications</t>
  </si>
  <si>
    <t>Active Form View</t>
  </si>
  <si>
    <t>Application MDX</t>
  </si>
  <si>
    <t>{TM1FILTERBYLEVEL( {TM1SUBSETALL( [sys_application] )}, 0)}</t>
  </si>
  <si>
    <t>Application</t>
  </si>
  <si>
    <t>Worksheet Description</t>
  </si>
  <si>
    <t>Application Description</t>
  </si>
  <si>
    <t>Administration - Set Application Favourites</t>
  </si>
  <si>
    <t>Measure</t>
  </si>
  <si>
    <t>Flag</t>
  </si>
  <si>
    <t>Note : 1 = enable, 0 = to disable</t>
  </si>
  <si>
    <t>{TM1DRILLDOWNMEMBER( {[sys_application].[GEUS Annual Estimates]}, ALL, RECURSIVE )}</t>
  </si>
  <si>
    <t>{TM1FILTERBYLEVEL( {TM1DRILLDOWNMEMBER( {[sys_application].[GEUS Annual Estimates]}, ALL, RECURSIVE )}, 0)}</t>
  </si>
  <si>
    <t>Homepage - Administration - Favourites</t>
  </si>
  <si>
    <t>Note : This screen can be used to delete existing favoutites for the current user. It cannot be used to add favourites.</t>
  </si>
  <si>
    <t>Note : To add a new favourite navigate to the required screen/report and click the Add favourites icon located on the far right of the screen.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</si>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</sst>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26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4" fillId="4" borderId="4" xfId="0" applyFont="1" applyFill="1" applyBorder="1"/>
    <xf numFmtId="0" fontId="3" fillId="0" borderId="4" xfId="0" applyFont="1" applyBorder="1"/>
    <xf numFmtId="0" fontId="0" fillId="2" borderId="4" xfId="0" applyFill="1" applyBorder="1"/>
    <xf numFmtId="0" fontId="5" fillId="5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36</xdr:row>
      <xdr:rowOff>19050</xdr:rowOff>
    </xdr:from>
    <xdr:to>
      <xdr:col>9</xdr:col>
      <xdr:colOff>1767840</xdr:colOff>
      <xdr:row>36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805940" cy="45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38</xdr:row>
          <xdr:rowOff>7620</xdr:rowOff>
        </xdr:from>
        <xdr:to>
          <xdr:col>9</xdr:col>
          <xdr:colOff>670560</xdr:colOff>
          <xdr:row>38</xdr:row>
          <xdr:rowOff>259080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693420</xdr:colOff>
          <xdr:row>38</xdr:row>
          <xdr:rowOff>7620</xdr:rowOff>
        </xdr:from>
        <xdr:to>
          <xdr:col>9</xdr:col>
          <xdr:colOff>1821180</xdr:colOff>
          <xdr:row>38</xdr:row>
          <xdr:rowOff>259080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1866900</xdr:colOff>
          <xdr:row>38</xdr:row>
          <xdr:rowOff>7620</xdr:rowOff>
        </xdr:from>
        <xdr:to>
          <xdr:col>9</xdr:col>
          <xdr:colOff>3360420</xdr:colOff>
          <xdr:row>38</xdr:row>
          <xdr:rowOff>259080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403860</xdr:colOff>
          <xdr:row>37</xdr:row>
          <xdr:rowOff>38100</xdr:rowOff>
        </xdr:from>
        <xdr:to>
          <xdr:col>13</xdr:col>
          <xdr:colOff>0</xdr:colOff>
          <xdr:row>38</xdr:row>
          <xdr:rowOff>297180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3390900</xdr:colOff>
          <xdr:row>38</xdr:row>
          <xdr:rowOff>7620</xdr:rowOff>
        </xdr:from>
        <xdr:to>
          <xdr:col>10</xdr:col>
          <xdr:colOff>121920</xdr:colOff>
          <xdr:row>38</xdr:row>
          <xdr:rowOff>259080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0493-485D-4BA7-8660-4A2552A32159}">
  <sheetPr codeName="Sheet1">
    <outlinePr showOutlineSymbols="0"/>
    <pageSetUpPr fitToPage="1"/>
  </sheetPr>
  <dimension ref="A1:M46"/>
  <sheetViews>
    <sheetView showGridLines="0" showRowColHeaders="0" tabSelected="1" showOutlineSymbols="0" topLeftCell="I37" workbookViewId="0">
      <selection activeCell="M46" sqref="M46"/>
    </sheetView>
  </sheetViews>
  <sheetFormatPr defaultRowHeight="14.4" outlineLevelRow="1" outlineLevelCol="1" x14ac:dyDescent="0.3"/>
  <cols>
    <col min="1" max="1" width="2.6640625" hidden="1" customWidth="1" outlineLevel="1"/>
    <col min="2" max="4" width="20.44140625" hidden="1" customWidth="1" outlineLevel="1"/>
    <col min="5" max="5" width="29.88671875" hidden="1" customWidth="1" outlineLevel="1"/>
    <col min="6" max="8" width="20.44140625" hidden="1" customWidth="1" outlineLevel="1"/>
    <col min="9" max="9" width="0.88671875" customWidth="1" collapsed="1"/>
    <col min="10" max="10" width="60.6640625" customWidth="1"/>
    <col min="11" max="11" width="80.6640625" customWidth="1"/>
    <col min="12" max="12" width="0.88671875" customWidth="1"/>
    <col min="13" max="13" width="10.6640625" customWidth="1"/>
  </cols>
  <sheetData>
    <row r="1" spans="1:13" hidden="1" outlineLevel="1" x14ac:dyDescent="0.3">
      <c r="A1" t="s">
        <v>9</v>
      </c>
    </row>
    <row r="2" spans="1:13" hidden="1" outlineLevel="1" x14ac:dyDescent="0.3">
      <c r="A2">
        <f>0</f>
        <v>0</v>
      </c>
      <c r="J2" s="7"/>
      <c r="K2" s="9"/>
      <c r="M2" s="12"/>
    </row>
    <row r="3" spans="1:13" hidden="1" outlineLevel="1" x14ac:dyDescent="0.3">
      <c r="A3">
        <f>1</f>
        <v>1</v>
      </c>
      <c r="J3" s="7"/>
      <c r="K3" s="6"/>
      <c r="M3" s="13"/>
    </row>
    <row r="4" spans="1:13" hidden="1" outlineLevel="1" x14ac:dyDescent="0.3">
      <c r="A4">
        <f>2</f>
        <v>2</v>
      </c>
      <c r="J4" s="7"/>
      <c r="K4" s="6"/>
      <c r="M4" s="13"/>
    </row>
    <row r="5" spans="1:13" hidden="1" outlineLevel="1" x14ac:dyDescent="0.3">
      <c r="A5">
        <f>3</f>
        <v>3</v>
      </c>
      <c r="J5" s="7"/>
      <c r="K5" s="6"/>
      <c r="M5" s="13"/>
    </row>
    <row r="6" spans="1:13" hidden="1" outlineLevel="1" x14ac:dyDescent="0.3">
      <c r="A6" t="s">
        <v>7</v>
      </c>
      <c r="J6" s="7"/>
      <c r="K6" s="6"/>
      <c r="M6" s="13"/>
    </row>
    <row r="7" spans="1:13" hidden="1" outlineLevel="1" x14ac:dyDescent="0.3">
      <c r="A7" t="s">
        <v>8</v>
      </c>
      <c r="J7" s="7"/>
      <c r="K7" s="8"/>
      <c r="M7" s="13"/>
    </row>
    <row r="8" spans="1:13" hidden="1" outlineLevel="1" x14ac:dyDescent="0.3">
      <c r="A8" t="s">
        <v>10</v>
      </c>
    </row>
    <row r="9" spans="1:13" hidden="1" outlineLevel="1" x14ac:dyDescent="0.3"/>
    <row r="10" spans="1:13" hidden="1" outlineLevel="1" x14ac:dyDescent="0.3"/>
    <row r="11" spans="1:13" hidden="1" outlineLevel="1" x14ac:dyDescent="0.3">
      <c r="B11" s="14" t="s">
        <v>11</v>
      </c>
      <c r="C11" s="15"/>
      <c r="D11" s="16"/>
    </row>
    <row r="12" spans="1:13" hidden="1" outlineLevel="1" x14ac:dyDescent="0.3">
      <c r="B12" s="2" t="s">
        <v>12</v>
      </c>
      <c r="C12" s="3" t="s">
        <v>42</v>
      </c>
      <c r="D12" s="4"/>
    </row>
    <row r="13" spans="1:13" hidden="1" outlineLevel="1" x14ac:dyDescent="0.3">
      <c r="B13" s="2" t="s">
        <v>0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13" hidden="1" outlineLevel="1" x14ac:dyDescent="0.3">
      <c r="B14" s="2" t="s">
        <v>13</v>
      </c>
      <c r="C14" s="3" t="str" cm="1">
        <f t="array" aca="1" ref="C14" ca="1">_xll.TM1USER(db_name)</f>
        <v>Admin</v>
      </c>
      <c r="D14" s="4"/>
    </row>
    <row r="15" spans="1:13" hidden="1" outlineLevel="1" x14ac:dyDescent="0.3">
      <c r="B15" s="2" t="s">
        <v>14</v>
      </c>
      <c r="C15" s="3" t="str" cm="1">
        <f t="array" aca="1" ref="C15" ca="1">_xll.DBR($C$13,$C$14,$B15)</f>
        <v>Admin</v>
      </c>
      <c r="D15" s="4"/>
    </row>
    <row r="16" spans="1:13" hidden="1" outlineLevel="1" x14ac:dyDescent="0.3">
      <c r="B16" s="2" t="s">
        <v>15</v>
      </c>
      <c r="C16" s="3" t="str" cm="1">
        <f t="array" aca="1" ref="C16" ca="1">_xll.DBR($C$13,$C$14,$B16)</f>
        <v>Admin</v>
      </c>
      <c r="D16" s="4"/>
    </row>
    <row r="17" spans="2:8" hidden="1" outlineLevel="1" x14ac:dyDescent="0.3">
      <c r="B17" s="2" t="s">
        <v>16</v>
      </c>
      <c r="C17" s="3" t="str">
        <f ca="1">IF(LEFT($C$15,6)="CAM_AD",$C$16,$C$15)</f>
        <v>Admin</v>
      </c>
      <c r="D17" s="6"/>
    </row>
    <row r="18" spans="2:8" hidden="1" outlineLevel="1" x14ac:dyDescent="0.3"/>
    <row r="19" spans="2:8" hidden="1" outlineLevel="1" x14ac:dyDescent="0.3">
      <c r="B19" s="14" t="s">
        <v>17</v>
      </c>
      <c r="C19" s="15"/>
      <c r="D19" s="16"/>
    </row>
    <row r="20" spans="2:8" hidden="1" outlineLevel="1" x14ac:dyDescent="0.3">
      <c r="B20" s="2" t="s">
        <v>18</v>
      </c>
      <c r="C20" s="6" t="str" cm="1">
        <f t="array" aca="1" ref="C20" ca="1">_xll.VIEW(db_name&amp;":sys_application","!","!")</f>
        <v>dcceew_geus:sys_application</v>
      </c>
      <c r="D20" s="6"/>
    </row>
    <row r="21" spans="2:8" hidden="1" outlineLevel="1" x14ac:dyDescent="0.3">
      <c r="B21" s="2" t="s">
        <v>19</v>
      </c>
      <c r="C21" t="s">
        <v>6</v>
      </c>
      <c r="D21" s="6"/>
    </row>
    <row r="22" spans="2:8" hidden="1" outlineLevel="1" x14ac:dyDescent="0.3">
      <c r="B22" s="6"/>
      <c r="C22" s="2" t="s">
        <v>20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25</v>
      </c>
    </row>
    <row r="23" spans="2:8" hidden="1" outlineLevel="1" x14ac:dyDescent="0.3">
      <c r="B23" s="6" t="s">
        <v>1</v>
      </c>
      <c r="C23" s="6" t="str" cm="1">
        <f t="array" aca="1" ref="C23" ca="1">_xll.DBR($C$20,$B23,C$22)</f>
        <v>TM1HomeCAP</v>
      </c>
      <c r="D23" s="6" t="str" cm="1">
        <f t="array" aca="1" ref="D23" ca="1">_xll.DBR($C$20,$B23,D$22)</f>
        <v>Home</v>
      </c>
      <c r="E23" s="6" t="str" cm="1">
        <f t="array" aca="1" ref="E23" ca="1">_xll.DBR($C$20,$B23,E$22)</f>
        <v>TM1HomeWB</v>
      </c>
      <c r="F23" s="6" t="str" cm="1">
        <f t="array" aca="1" ref="F23" ca="1">_xll.DBR($C$20,$B23,F$22)</f>
        <v>PRIMUS\GEUS WEB\Homepage\sys_Home</v>
      </c>
      <c r="G23" s="6" t="str" cm="1">
        <f t="array" aca="1" ref="G23" ca="1">_xll.DBR($C$20,$B23,G$22)</f>
        <v>TM1HomeWS</v>
      </c>
      <c r="H23" s="6" t="str" cm="1">
        <f t="array" aca="1" ref="H23" ca="1">_xll.DBR($C$20,$B23,H$22)</f>
        <v>home</v>
      </c>
    </row>
    <row r="24" spans="2:8" hidden="1" outlineLevel="1" x14ac:dyDescent="0.3">
      <c r="B24" s="6" t="s">
        <v>2</v>
      </c>
      <c r="C24" s="6" t="str" cm="1">
        <f t="array" aca="1" ref="C24" ca="1">_xll.DBR($C$20,$B24,C$22)</f>
        <v>TM1HomeAECAP</v>
      </c>
      <c r="D24" s="6" t="str" cm="1">
        <f t="array" aca="1" ref="D24" ca="1">_xll.DBR($C$20,$B24,D$22)</f>
        <v>Annual Estimates</v>
      </c>
      <c r="E24" s="6" t="str" cm="1">
        <f t="array" aca="1" ref="E24" ca="1">_xll.DBR($C$20,$B24,E$22)</f>
        <v>TM1HomeAEWB</v>
      </c>
      <c r="F24" s="6" t="str" cm="1">
        <f t="array" aca="1" ref="F24" ca="1">_xll.DBR($C$20,$B24,F$22)</f>
        <v>PRIMUS\GEUS WEB\Homepage\sys_Home - Annual Estimates - Data Entry</v>
      </c>
      <c r="G24" s="6" t="str" cm="1">
        <f t="array" aca="1" ref="G24" ca="1">_xll.DBR($C$20,$B24,G$22)</f>
        <v>TM1HomeAEWS</v>
      </c>
      <c r="H24" s="6" t="str" cm="1">
        <f t="array" aca="1" ref="H24" ca="1">_xll.DBR($C$20,$B24,H$22)</f>
        <v>Menu</v>
      </c>
    </row>
    <row r="25" spans="2:8" hidden="1" outlineLevel="1" x14ac:dyDescent="0.3">
      <c r="B25" s="6" t="s">
        <v>3</v>
      </c>
      <c r="C25" s="6" t="str" cm="1">
        <f t="array" aca="1" ref="C25" ca="1">_xll.DBR($C$20,$B25,C$22)</f>
        <v>TM1HomeRepCAP</v>
      </c>
      <c r="D25" s="6" t="str" cm="1">
        <f t="array" aca="1" ref="D25" ca="1">_xll.DBR($C$20,$B25,D$22)</f>
        <v>Reports</v>
      </c>
      <c r="E25" s="6" t="str" cm="1">
        <f t="array" aca="1" ref="E25" ca="1">_xll.DBR($C$20,$B25,E$22)</f>
        <v>TM1HomeRepWB</v>
      </c>
      <c r="F25" s="6" t="str" cm="1">
        <f t="array" aca="1" ref="F25" ca="1">_xll.DBR($C$20,$B25,F$22)</f>
        <v>PRIMUS\GEUS WEB\Homepage\sys_Home - Reports - PFS</v>
      </c>
      <c r="G25" s="6" t="str" cm="1">
        <f t="array" aca="1" ref="G25" ca="1">_xll.DBR($C$20,$B25,G$22)</f>
        <v>TM1HomeRepWS</v>
      </c>
      <c r="H25" s="6" t="str" cm="1">
        <f t="array" aca="1" ref="H25" ca="1">_xll.DBR($C$20,$B25,H$22)</f>
        <v>Menu</v>
      </c>
    </row>
    <row r="26" spans="2:8" hidden="1" outlineLevel="1" x14ac:dyDescent="0.3">
      <c r="B26" s="6" t="s">
        <v>4</v>
      </c>
      <c r="C26" s="6" t="str" cm="1">
        <f t="array" aca="1" ref="C26" ca="1">_xll.DBR($C$20,$B26,C$22)</f>
        <v>TM1HomeAdminCAP</v>
      </c>
      <c r="D26" s="6" t="str" cm="1">
        <f t="array" aca="1" ref="D26" ca="1">_xll.DBR($C$20,$B26,D$22)</f>
        <v>Administration</v>
      </c>
      <c r="E26" s="6" t="str" cm="1">
        <f t="array" aca="1" ref="E26" ca="1">_xll.DBR($C$20,$B26,E$22)</f>
        <v>TM1HomeAdminWB</v>
      </c>
      <c r="F26" s="6" t="str" cm="1">
        <f t="array" aca="1" ref="F26" ca="1">_xll.DBR($C$20,$B26,F$22)</f>
        <v>PRIMUS\GEUS WEB\Homepage\sys_Home - Administration - GEUS Setup</v>
      </c>
      <c r="G26" s="6" t="str" cm="1">
        <f t="array" aca="1" ref="G26" ca="1">_xll.DBR($C$20,$B26,G$22)</f>
        <v>TM1HomeAdminWS</v>
      </c>
      <c r="H26" s="6" t="str" cm="1">
        <f t="array" aca="1" ref="H26" ca="1">_xll.DBR($C$20,$B26,H$22)</f>
        <v>Menu</v>
      </c>
    </row>
    <row r="27" spans="2:8" hidden="1" outlineLevel="1" x14ac:dyDescent="0.3">
      <c r="B27" s="6" t="s">
        <v>5</v>
      </c>
      <c r="C27" s="6" t="str" cm="1">
        <f t="array" aca="1" ref="C27" ca="1">_xll.DBR($C$20,$B27,C$22)</f>
        <v>TM1HomeAdminRDSCAP</v>
      </c>
      <c r="D27" s="6" t="str" cm="1">
        <f t="array" aca="1" ref="D27" ca="1">_xll.DBR($C$20,$B27,D$22)</f>
        <v>Reference Data Set Menu</v>
      </c>
      <c r="E27" s="6" t="str" cm="1">
        <f t="array" aca="1" ref="E27" ca="1">_xll.DBR($C$20,$B27,E$22)</f>
        <v>TM1HomeAdminRDSWB</v>
      </c>
      <c r="F27" s="6" t="str" cm="1">
        <f t="array" aca="1" ref="F27" ca="1">_xll.DBR($C$20,$B27,F$22)</f>
        <v>PRIMUS\GEUS WEB\Homepage\sys_Home - Administration - RDS</v>
      </c>
      <c r="G27" s="6" t="str" cm="1">
        <f t="array" aca="1" ref="G27" ca="1">_xll.DBR($C$20,$B27,G$22)</f>
        <v>TM1HomeAdminRDSWS</v>
      </c>
      <c r="H27" s="6" t="str" cm="1">
        <f t="array" aca="1" ref="H27" ca="1">_xll.DBR($C$20,$B27,H$22)</f>
        <v>Menu</v>
      </c>
    </row>
    <row r="28" spans="2:8" hidden="1" outlineLevel="1" x14ac:dyDescent="0.3">
      <c r="B28" s="6" t="s">
        <v>39</v>
      </c>
      <c r="C28" s="6" t="str" cm="1">
        <f t="array" aca="1" ref="C28" ca="1">_xll.DBR($C$20,$B28,C$22)</f>
        <v>TM1HomeAdminFavCAP</v>
      </c>
      <c r="D28" s="6" t="str" cm="1">
        <f t="array" aca="1" ref="D28" ca="1">_xll.DBR($C$20,$B28,D$22)</f>
        <v>Favourites Menu</v>
      </c>
      <c r="E28" s="6" t="str" cm="1">
        <f t="array" aca="1" ref="E28" ca="1">_xll.DBR($C$20,$B28,E$22)</f>
        <v>TM1HomeAdminFavWB</v>
      </c>
      <c r="F28" s="6" t="str" cm="1">
        <f t="array" aca="1" ref="F28" ca="1">_xll.DBR($C$20,$B28,F$22)</f>
        <v>PRIMUS\GEUS WEB\Homepage\sys_Home - Administration - Favourites</v>
      </c>
      <c r="G28" s="6" t="str" cm="1">
        <f t="array" aca="1" ref="G28" ca="1">_xll.DBR($C$20,$B28,G$22)</f>
        <v>TM1HomeAdminFavWS</v>
      </c>
      <c r="H28" s="6" t="str" cm="1">
        <f t="array" aca="1" ref="H28" ca="1">_xll.DBR($C$20,$B28,H$22)</f>
        <v>Menu</v>
      </c>
    </row>
    <row r="29" spans="2:8" hidden="1" outlineLevel="1" x14ac:dyDescent="0.3"/>
    <row r="30" spans="2:8" hidden="1" outlineLevel="1" x14ac:dyDescent="0.3">
      <c r="B30" s="14" t="s">
        <v>26</v>
      </c>
      <c r="C30" s="15"/>
      <c r="D30" s="16"/>
    </row>
    <row r="31" spans="2:8" hidden="1" outlineLevel="1" x14ac:dyDescent="0.3">
      <c r="B31" s="6" t="s">
        <v>27</v>
      </c>
      <c r="C31" s="6" t="str" cm="1">
        <f t="array" aca="1" ref="C31" ca="1">_xll.TM1RPTVIEW(db_name&amp;":sys_client favourite application:1", 1, _xll.TM1RPTTITLE(db_name&amp;":}Clients",psUser),TM1RPTFMTRNG,TM1RPTFMTIDCOL)</f>
        <v>dcceew_geus:sys_client favourite application:1</v>
      </c>
    </row>
    <row r="32" spans="2:8" hidden="1" outlineLevel="1" x14ac:dyDescent="0.3">
      <c r="B32" s="6" t="s">
        <v>18</v>
      </c>
      <c r="C32" s="6" t="str" cm="1">
        <f t="array" aca="1" ref="C32" ca="1">_xll.VIEW(db_name&amp;":sys_client favourite application",psUser,"!","!")</f>
        <v>dcceew_geus:sys_client favourite application</v>
      </c>
    </row>
    <row r="33" spans="1:13" hidden="1" outlineLevel="1" x14ac:dyDescent="0.3">
      <c r="B33" s="6" t="s">
        <v>28</v>
      </c>
      <c r="C33" s="6" t="s">
        <v>38</v>
      </c>
      <c r="D33" t="s">
        <v>37</v>
      </c>
      <c r="E33" s="6" t="s">
        <v>29</v>
      </c>
    </row>
    <row r="34" spans="1:13" hidden="1" outlineLevel="1" x14ac:dyDescent="0.3">
      <c r="B34" t="s">
        <v>34</v>
      </c>
      <c r="C34" t="str" cm="1">
        <f t="array" aca="1" ref="C34" ca="1">_xll.SUBNM(db_name&amp;":sys_client favourite application measure","","flag")</f>
        <v>flag</v>
      </c>
    </row>
    <row r="35" spans="1:13" hidden="1" outlineLevel="1" x14ac:dyDescent="0.3"/>
    <row r="36" spans="1:13" hidden="1" outlineLevel="1" x14ac:dyDescent="0.3"/>
    <row r="37" spans="1:13" ht="39.75" customHeight="1" collapsed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33</v>
      </c>
    </row>
    <row r="38" spans="1:13" ht="4.5" customHeight="1" x14ac:dyDescent="0.3"/>
    <row r="39" spans="1:13" ht="24" customHeight="1" x14ac:dyDescent="0.3"/>
    <row r="40" spans="1:13" ht="1.5" customHeight="1" x14ac:dyDescent="0.3">
      <c r="I40" s="10"/>
      <c r="J40" s="10"/>
      <c r="K40" s="10"/>
      <c r="L40" s="10"/>
      <c r="M40" s="10"/>
    </row>
    <row r="41" spans="1:13" x14ac:dyDescent="0.3">
      <c r="J41" s="17" t="s">
        <v>40</v>
      </c>
      <c r="K41" s="17"/>
      <c r="L41" s="17"/>
      <c r="M41" s="17"/>
    </row>
    <row r="42" spans="1:13" x14ac:dyDescent="0.3">
      <c r="J42" s="17" t="s">
        <v>41</v>
      </c>
      <c r="K42" s="17"/>
      <c r="L42" s="17"/>
      <c r="M42" s="17"/>
    </row>
    <row r="43" spans="1:13" x14ac:dyDescent="0.3">
      <c r="J43" s="17" t="s">
        <v>36</v>
      </c>
      <c r="K43" s="17"/>
      <c r="L43" s="17"/>
      <c r="M43" s="17"/>
    </row>
    <row r="44" spans="1:13" ht="4.5" customHeight="1" x14ac:dyDescent="0.3"/>
    <row r="45" spans="1:13" x14ac:dyDescent="0.3">
      <c r="E45" s="1" t="s">
        <v>30</v>
      </c>
      <c r="F45" s="1" t="s">
        <v>31</v>
      </c>
      <c r="J45" s="11" t="s">
        <v>30</v>
      </c>
      <c r="K45" s="11" t="s">
        <v>32</v>
      </c>
      <c r="M45" s="11" t="s">
        <v>35</v>
      </c>
    </row>
    <row r="46" spans="1:13" x14ac:dyDescent="0.3">
      <c r="A46" t="str" cm="1">
        <f t="array" aca="1" ref="A46" ca="1">IF(_xll.TM1RPTELISCONSOLIDATED($E$46,$E46),IF(_xll.TM1RPTELLEV($E$46,$E46)&lt;=3,_xll.TM1RPTELLEV($E$46,$E46),"D"),"N")</f>
        <v>N</v>
      </c>
      <c r="E46" s="18" t="str" cm="1">
        <f t="array" aca="1" ref="E46" ca="1">_xll.TM1RPTROW($C$31,db_name&amp;":sys_application","","","",0,$C$33)</f>
        <v>Adjustment - ID List</v>
      </c>
      <c r="F46" t="str" cm="1">
        <f t="array" aca="1" ref="F46" ca="1">_xll.DBR($C$20,$E46,F$45)</f>
        <v>View the adjustment list</v>
      </c>
      <c r="J46" s="7" t="str">
        <f ca="1">$E46</f>
        <v>Adjustment - ID List</v>
      </c>
      <c r="K46" s="8" t="str">
        <f ca="1">$F46</f>
        <v>View the adjustment list</v>
      </c>
      <c r="M46" s="13" cm="1">
        <f t="array" aca="1" ref="M46" ca="1">_xll.DBRW($C$31,psUser,$E46,C$34)</f>
        <v>1</v>
      </c>
    </row>
  </sheetData>
  <sheetProtection sheet="1" objects="1" scenarios="1"/>
  <mergeCells count="6">
    <mergeCell ref="B11:D11"/>
    <mergeCell ref="B19:D19"/>
    <mergeCell ref="B30:D30"/>
    <mergeCell ref="J41:M41"/>
    <mergeCell ref="J43:M43"/>
    <mergeCell ref="J42:M42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r:id="rId5">
            <anchor moveWithCells="1" sizeWithCells="1">
              <from>
                <xdr:col>9</xdr:col>
                <xdr:colOff>3390900</xdr:colOff>
                <xdr:row>38</xdr:row>
                <xdr:rowOff>7620</xdr:rowOff>
              </from>
              <to>
                <xdr:col>10</xdr:col>
                <xdr:colOff>121920</xdr:colOff>
                <xdr:row>38</xdr:row>
                <xdr:rowOff>259080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8" r:id="rId6" name="TIButton4">
          <controlPr defaultSize="0" print="0" autoLine="0" r:id="rId7">
            <anchor moveWithCells="1" sizeWithCells="1">
              <from>
                <xdr:col>12</xdr:col>
                <xdr:colOff>403860</xdr:colOff>
                <xdr:row>37</xdr:row>
                <xdr:rowOff>38100</xdr:rowOff>
              </from>
              <to>
                <xdr:col>13</xdr:col>
                <xdr:colOff>0</xdr:colOff>
                <xdr:row>38</xdr:row>
                <xdr:rowOff>297180</xdr:rowOff>
              </to>
            </anchor>
          </controlPr>
        </control>
      </mc:Choice>
      <mc:Fallback>
        <control shapeId="1028" r:id="rId6" name="TIButton4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9</xdr:col>
                <xdr:colOff>1866900</xdr:colOff>
                <xdr:row>38</xdr:row>
                <xdr:rowOff>7620</xdr:rowOff>
              </from>
              <to>
                <xdr:col>9</xdr:col>
                <xdr:colOff>3360420</xdr:colOff>
                <xdr:row>38</xdr:row>
                <xdr:rowOff>259080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9</xdr:col>
                <xdr:colOff>693420</xdr:colOff>
                <xdr:row>38</xdr:row>
                <xdr:rowOff>7620</xdr:rowOff>
              </from>
              <to>
                <xdr:col>9</xdr:col>
                <xdr:colOff>1821180</xdr:colOff>
                <xdr:row>38</xdr:row>
                <xdr:rowOff>259080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9</xdr:col>
                <xdr:colOff>30480</xdr:colOff>
                <xdr:row>38</xdr:row>
                <xdr:rowOff>7620</xdr:rowOff>
              </from>
              <to>
                <xdr:col>9</xdr:col>
                <xdr:colOff>670560</xdr:colOff>
                <xdr:row>38</xdr:row>
                <xdr:rowOff>259080</xdr:rowOff>
              </to>
            </anchor>
          </controlPr>
        </control>
      </mc:Choice>
      <mc:Fallback>
        <control shapeId="1025" r:id="rId12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7AE2-49AA-4308-8705-F110B081BC1A}">
  <dimension ref="A1:A2"/>
  <sheetViews>
    <sheetView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25</vt:i4>
      </vt:variant>
    </vt:vector>
  </HeadingPairs>
  <TitlesOfParts>
    <vt:vector size="27" baseType="lpstr">
      <vt:lpstr>application favourite</vt:lpstr>
      <vt:lpstr>{PL}PickLst</vt:lpstr>
      <vt:lpstr>db_name</vt:lpstr>
      <vt:lpstr>psApp</vt:lpstr>
      <vt:lpstr>psUser</vt:lpstr>
      <vt:lpstr>TM1HomeAdminCAP</vt:lpstr>
      <vt:lpstr>TM1HomeAdminFavCAP</vt:lpstr>
      <vt:lpstr>TM1HomeAdminFavWB</vt:lpstr>
      <vt:lpstr>TM1HomeAdminFavWS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TM1PICKLIST</vt:lpstr>
      <vt:lpstr>'application favourite'!TM1RPTDATARNG1</vt:lpstr>
      <vt:lpstr>'application favourite'!TM1RPTFMTIDCOL</vt:lpstr>
      <vt:lpstr>'application favourite'!TM1RPTFMTRNG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2019-06-06T05:21:37Z</dcterms:created>
  <dcterms:modified xsi:type="dcterms:W3CDTF">2023-02-15T23:35:18Z</dcterms:modified>
</cp:coreProperties>
</file>