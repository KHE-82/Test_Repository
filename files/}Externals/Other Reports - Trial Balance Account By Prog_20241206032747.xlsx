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TM1_Common\finance_geus\}Externals\"/>
    </mc:Choice>
  </mc:AlternateContent>
  <xr:revisionPtr revIDLastSave="0" documentId="13_ncr:1_{8C64C3AB-857C-4C47-AB62-4306E74C044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BAL" sheetId="1" r:id="rId1"/>
  </sheets>
  <definedNames>
    <definedName name="db_name">TBAL!$C$12</definedName>
    <definedName name="psApp">TBAL!$C$29</definedName>
    <definedName name="psHLYear">TBAL!$M$68</definedName>
    <definedName name="psScenario">TBAL!$M$69</definedName>
    <definedName name="psUser">TBAL!$C$14</definedName>
    <definedName name="TM1HomeAdminCAP">TBAL!$D$34</definedName>
    <definedName name="TM1HomeAdminWB">TBAL!$F$34</definedName>
    <definedName name="TM1HomeAdminWS">TBAL!$H$34</definedName>
    <definedName name="TM1HomeAECAP">TBAL!$D$32</definedName>
    <definedName name="TM1HomeAEWB">TBAL!$F$32</definedName>
    <definedName name="TM1HomeAEWS">TBAL!$H$32</definedName>
    <definedName name="TM1HomeCAP">TBAL!$D$31</definedName>
    <definedName name="TM1HomeRepAnalyticalCAP">TBAL!$D$36</definedName>
    <definedName name="TM1HomeRepAnalyticalWB">TBAL!$F$36</definedName>
    <definedName name="TM1HomeRepAnalyticalWS">TBAL!$H$36</definedName>
    <definedName name="TM1HomeRepCAP">TBAL!$D$33</definedName>
    <definedName name="TM1HomeRepOtherCAP">TBAL!$D$35</definedName>
    <definedName name="TM1HomeRepOtherWB">TBAL!$F$35</definedName>
    <definedName name="TM1HomeRepOtherWS">TBAL!$H$35</definedName>
    <definedName name="TM1HomeRepWB">TBAL!$F$33</definedName>
    <definedName name="TM1HomeRepWS">TBAL!$H$33</definedName>
    <definedName name="TM1HomeWB">TBAL!$F$31</definedName>
    <definedName name="TM1HomeWS">TBAL!$H$31</definedName>
    <definedName name="TM1OthRprTBalAccCAP">TBAL!$D$38</definedName>
    <definedName name="TM1OthRprTBalAccWB">TBAL!$F$38</definedName>
    <definedName name="TM1OthRprTBalAccWS">TBAL!$H$38</definedName>
    <definedName name="TM1OthRprTBalCAP">TBAL!$D$37</definedName>
    <definedName name="TM1OthRprTBalDetailCAP">TBAL!$D$39</definedName>
    <definedName name="TM1OthRprTBalDetailWB">TBAL!$F$39</definedName>
    <definedName name="TM1OthRprTBalDetailWS">TBAL!$H$39</definedName>
    <definedName name="TM1OthRprTBalDrillCAP">TBAL!$D$40</definedName>
    <definedName name="TM1OthRprTBalDrillWB">TBAL!$F$40</definedName>
    <definedName name="TM1OthRprTBalDrillWS">TBAL!$H$40</definedName>
    <definedName name="TM1OthRprTBalWB">TBAL!$F$37</definedName>
    <definedName name="TM1OthRprTBalWS">TBAL!$H$37</definedName>
    <definedName name="TM1REBUILDOPTION">0</definedName>
    <definedName name="TM1RPTDATARNG6" localSheetId="0">TBAL!$82:$82</definedName>
    <definedName name="TM1RPTFMTIDCOL" localSheetId="0">TBAL!$A$1:$A$8</definedName>
    <definedName name="TM1RPTFMTRNG" localSheetId="0">TBAL!$B$1:$Q$8</definedName>
  </definedNames>
  <calcPr calcId="181029" calcMode="manual" calcCompleted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5" i="1" l="1" a="1"/>
  <c r="C45" i="1"/>
  <c r="C20" i="1" a="1"/>
  <c r="C20" i="1"/>
  <c r="C21" i="1" a="1"/>
  <c r="C21" i="1"/>
  <c r="M68" i="1" a="1"/>
  <c r="M68" i="1"/>
  <c r="C22" i="1" a="1"/>
  <c r="C22" i="1"/>
  <c r="M69" i="1" a="1"/>
  <c r="M70" i="1" a="1"/>
  <c r="M72" i="1" a="1"/>
  <c r="C56" i="1" a="1"/>
  <c r="M75" i="1" a="1"/>
  <c r="C57" i="1" a="1"/>
  <c r="M76" i="1" a="1"/>
  <c r="M77" i="1" a="1"/>
  <c r="C59" i="1" a="1"/>
  <c r="L54" i="1"/>
  <c r="Q56" i="1" a="1"/>
  <c r="Q56" i="1"/>
  <c r="Q81" i="1"/>
  <c r="Q68" i="1" a="1"/>
  <c r="Q68" i="1"/>
  <c r="M78" i="1" a="1"/>
  <c r="M78" i="1"/>
  <c r="D52" i="1"/>
  <c r="E52" i="1"/>
  <c r="C52" i="1"/>
  <c r="F82" i="1" a="1"/>
  <c r="F82" i="1"/>
  <c r="C51" i="1"/>
  <c r="E82" i="1" a="1"/>
  <c r="E82" i="1"/>
  <c r="M74" i="1" a="1"/>
  <c r="M74" i="1"/>
  <c r="D50" i="1"/>
  <c r="E50" i="1"/>
  <c r="C50" i="1"/>
  <c r="D82" i="1" a="1"/>
  <c r="D82" i="1"/>
  <c r="M73" i="1" a="1"/>
  <c r="M73" i="1"/>
  <c r="D49" i="1"/>
  <c r="E49" i="1"/>
  <c r="C49" i="1"/>
  <c r="C82" i="1" a="1"/>
  <c r="C82" i="1"/>
  <c r="M71" i="1" a="1"/>
  <c r="M71" i="1"/>
  <c r="D48" i="1"/>
  <c r="E48" i="1"/>
  <c r="C48" i="1"/>
  <c r="B82" i="1" a="1"/>
  <c r="B82" i="1"/>
  <c r="M77" i="1"/>
  <c r="M76" i="1"/>
  <c r="M75" i="1"/>
  <c r="M72" i="1"/>
  <c r="M70" i="1"/>
  <c r="M69" i="1"/>
  <c r="C59" i="1"/>
  <c r="C57" i="1"/>
  <c r="C56" i="1"/>
  <c r="C55" i="1" a="1"/>
  <c r="C55" i="1"/>
  <c r="C28" i="1" a="1"/>
  <c r="C28" i="1"/>
  <c r="P56" i="1" a="1"/>
  <c r="P56" i="1"/>
  <c r="P81" i="1"/>
  <c r="O56" i="1" a="1"/>
  <c r="O56" i="1"/>
  <c r="O81" i="1"/>
  <c r="N56" i="1" a="1"/>
  <c r="N56" i="1"/>
  <c r="N81" i="1"/>
  <c r="M56" i="1" a="1"/>
  <c r="M56" i="1"/>
  <c r="M81" i="1"/>
  <c r="C46" i="1" a="1"/>
  <c r="C46" i="1"/>
  <c r="Q82" i="1" a="1"/>
  <c r="Q82" i="1"/>
  <c r="P82" i="1" a="1"/>
  <c r="P82" i="1"/>
  <c r="O82" i="1" a="1"/>
  <c r="O82" i="1"/>
  <c r="N82" i="1" a="1"/>
  <c r="N82" i="1"/>
  <c r="M82" i="1" a="1"/>
  <c r="M82" i="1"/>
  <c r="A82" i="1" a="1"/>
  <c r="A82" i="1"/>
  <c r="H40" i="1" a="1"/>
  <c r="H40" i="1"/>
  <c r="G40" i="1" a="1"/>
  <c r="G40" i="1"/>
  <c r="F40" i="1" a="1"/>
  <c r="F40" i="1"/>
  <c r="E40" i="1" a="1"/>
  <c r="E40" i="1"/>
  <c r="D40" i="1" a="1"/>
  <c r="D40" i="1"/>
  <c r="C40" i="1" a="1"/>
  <c r="C40" i="1"/>
  <c r="H39" i="1" a="1"/>
  <c r="H39" i="1"/>
  <c r="G39" i="1" a="1"/>
  <c r="G39" i="1"/>
  <c r="F39" i="1" a="1"/>
  <c r="F39" i="1"/>
  <c r="E39" i="1" a="1"/>
  <c r="E39" i="1"/>
  <c r="D39" i="1" a="1"/>
  <c r="D39" i="1"/>
  <c r="C39" i="1" a="1"/>
  <c r="C39" i="1"/>
  <c r="H38" i="1" a="1"/>
  <c r="H38" i="1"/>
  <c r="G38" i="1" a="1"/>
  <c r="G38" i="1"/>
  <c r="F38" i="1" a="1"/>
  <c r="F38" i="1"/>
  <c r="E38" i="1" a="1"/>
  <c r="E38" i="1"/>
  <c r="D38" i="1" a="1"/>
  <c r="D38" i="1"/>
  <c r="C38" i="1" a="1"/>
  <c r="C38" i="1"/>
  <c r="H37" i="1" a="1"/>
  <c r="H37" i="1"/>
  <c r="G37" i="1" a="1"/>
  <c r="G37" i="1"/>
  <c r="F37" i="1" a="1"/>
  <c r="F37" i="1"/>
  <c r="E37" i="1" a="1"/>
  <c r="E37" i="1"/>
  <c r="D37" i="1" a="1"/>
  <c r="D37" i="1"/>
  <c r="C37" i="1" a="1"/>
  <c r="C37" i="1"/>
  <c r="H36" i="1" a="1"/>
  <c r="H36" i="1"/>
  <c r="G36" i="1" a="1"/>
  <c r="G36" i="1"/>
  <c r="F36" i="1" a="1"/>
  <c r="F36" i="1"/>
  <c r="E36" i="1" a="1"/>
  <c r="E36" i="1"/>
  <c r="D36" i="1" a="1"/>
  <c r="D36" i="1"/>
  <c r="C36" i="1" a="1"/>
  <c r="C36" i="1"/>
  <c r="H35" i="1" a="1"/>
  <c r="H35" i="1"/>
  <c r="G35" i="1" a="1"/>
  <c r="G35" i="1"/>
  <c r="F35" i="1" a="1"/>
  <c r="F35" i="1"/>
  <c r="E35" i="1" a="1"/>
  <c r="E35" i="1"/>
  <c r="D35" i="1" a="1"/>
  <c r="D35" i="1"/>
  <c r="C35" i="1" a="1"/>
  <c r="C35" i="1"/>
  <c r="H34" i="1" a="1"/>
  <c r="H34" i="1"/>
  <c r="G34" i="1" a="1"/>
  <c r="G34" i="1"/>
  <c r="F34" i="1" a="1"/>
  <c r="F34" i="1"/>
  <c r="E34" i="1" a="1"/>
  <c r="E34" i="1"/>
  <c r="D34" i="1" a="1"/>
  <c r="D34" i="1"/>
  <c r="C34" i="1" a="1"/>
  <c r="C34" i="1"/>
  <c r="H33" i="1" a="1"/>
  <c r="H33" i="1"/>
  <c r="G33" i="1" a="1"/>
  <c r="G33" i="1"/>
  <c r="F33" i="1" a="1"/>
  <c r="F33" i="1"/>
  <c r="E33" i="1" a="1"/>
  <c r="E33" i="1"/>
  <c r="D33" i="1" a="1"/>
  <c r="D33" i="1"/>
  <c r="C33" i="1" a="1"/>
  <c r="C33" i="1"/>
  <c r="H32" i="1" a="1"/>
  <c r="H32" i="1"/>
  <c r="G32" i="1" a="1"/>
  <c r="G32" i="1"/>
  <c r="F32" i="1" a="1"/>
  <c r="F32" i="1"/>
  <c r="E32" i="1" a="1"/>
  <c r="E32" i="1"/>
  <c r="D32" i="1" a="1"/>
  <c r="D32" i="1"/>
  <c r="C32" i="1" a="1"/>
  <c r="C32" i="1"/>
  <c r="H31" i="1" a="1"/>
  <c r="H31" i="1"/>
  <c r="G31" i="1" a="1"/>
  <c r="G31" i="1"/>
  <c r="F31" i="1" a="1"/>
  <c r="F31" i="1"/>
  <c r="E31" i="1" a="1"/>
  <c r="E31" i="1"/>
  <c r="D31" i="1" a="1"/>
  <c r="D31" i="1"/>
  <c r="C31" i="1" a="1"/>
  <c r="C31" i="1"/>
  <c r="C25" i="1" a="1"/>
  <c r="C25" i="1"/>
  <c r="C24" i="1" a="1"/>
  <c r="C24" i="1"/>
  <c r="C23" i="1" a="1"/>
  <c r="C23" i="1"/>
  <c r="C13" i="1" a="1"/>
  <c r="C13" i="1"/>
  <c r="C14" i="1" a="1"/>
  <c r="C14" i="1"/>
  <c r="C16" i="1" a="1"/>
  <c r="C16" i="1"/>
  <c r="C15" i="1" a="1"/>
  <c r="C15" i="1"/>
  <c r="F50" i="1"/>
  <c r="J82" i="1"/>
  <c r="K82" i="1"/>
  <c r="Q78" i="1"/>
  <c r="L82" i="1"/>
  <c r="C17" i="1"/>
  <c r="A5" i="1"/>
  <c r="A4" i="1"/>
  <c r="A3" i="1"/>
  <c r="A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<sst xmlns="http://schemas.openxmlformats.org/spreadsheetml/2006/main" count="89" uniqueCount="84">
  <si>
    <t>headline year</t>
  </si>
  <si>
    <t>related entity</t>
  </si>
  <si>
    <t>function</t>
  </si>
  <si>
    <t>spp</t>
  </si>
  <si>
    <t>id</t>
  </si>
  <si>
    <t>jurisdiction</t>
  </si>
  <si>
    <t>D</t>
  </si>
  <si>
    <t>N</t>
  </si>
  <si>
    <t>[Begin Format Range]</t>
  </si>
  <si>
    <t>[End Format Range]</t>
  </si>
  <si>
    <t>Programme</t>
  </si>
  <si>
    <t>Account</t>
  </si>
  <si>
    <t>Movement Account</t>
  </si>
  <si>
    <t>Measure Code</t>
  </si>
  <si>
    <t>Database Variables</t>
  </si>
  <si>
    <t>Database Name</t>
  </si>
  <si>
    <t>}Clients</t>
  </si>
  <si>
    <t>TM1 User</t>
  </si>
  <si>
    <t>}TM1_DefaultDisplayValue</t>
  </si>
  <si>
    <t>GEUS User Name</t>
  </si>
  <si>
    <t>Current User</t>
  </si>
  <si>
    <t>System Variables</t>
  </si>
  <si>
    <t>View</t>
  </si>
  <si>
    <t>headline scenario</t>
  </si>
  <si>
    <t>archive year</t>
  </si>
  <si>
    <t>archive scenario</t>
  </si>
  <si>
    <t>current budget round</t>
  </si>
  <si>
    <t>sys_application</t>
  </si>
  <si>
    <t>Slice View</t>
  </si>
  <si>
    <t>Current Workbook</t>
  </si>
  <si>
    <t>Caption Name</t>
  </si>
  <si>
    <t>Caption</t>
  </si>
  <si>
    <t>Workbook Name</t>
  </si>
  <si>
    <t>Workbook</t>
  </si>
  <si>
    <t>Worksheet Name</t>
  </si>
  <si>
    <t>Worksheet</t>
  </si>
  <si>
    <t>Homepage - Home</t>
  </si>
  <si>
    <t>Homepage - Annual Estimates</t>
  </si>
  <si>
    <t>Homepage - Reports</t>
  </si>
  <si>
    <t>Homepage - Administration</t>
  </si>
  <si>
    <t>Application Formula (DO NOT DELETE)</t>
  </si>
  <si>
    <t>=DBR($C$28,$B35,C$30)</t>
  </si>
  <si>
    <t>Active Form</t>
  </si>
  <si>
    <t>Slice</t>
  </si>
  <si>
    <t>Programme  MDX</t>
  </si>
  <si>
    <t>Account MDX</t>
  </si>
  <si>
    <t>Movement Account MDX</t>
  </si>
  <si>
    <t>Measure Code MDX</t>
  </si>
  <si>
    <t>To Use</t>
  </si>
  <si>
    <t>Collapse</t>
  </si>
  <si>
    <t>Expand</t>
  </si>
  <si>
    <t>Headline Year :</t>
  </si>
  <si>
    <t>Scenario :</t>
  </si>
  <si>
    <t>Status :</t>
  </si>
  <si>
    <t>Outcome :</t>
  </si>
  <si>
    <t>Reason :</t>
  </si>
  <si>
    <t>Appropriation Type :</t>
  </si>
  <si>
    <t>Appropriation Item :</t>
  </si>
  <si>
    <t>Measure Code :</t>
  </si>
  <si>
    <t>Program :</t>
  </si>
  <si>
    <t>AE Adjustments</t>
  </si>
  <si>
    <t>AE Adjustments - Header Titles</t>
  </si>
  <si>
    <t>Related Entity</t>
  </si>
  <si>
    <t>{[related entity].[Total related entity]}</t>
  </si>
  <si>
    <t>REPORT PARAMETERS</t>
  </si>
  <si>
    <t xml:space="preserve"> DISPLAY SETTINGS</t>
  </si>
  <si>
    <t>Report Display :</t>
  </si>
  <si>
    <t>Index Change</t>
  </si>
  <si>
    <t>Homepage - Reports - Other</t>
  </si>
  <si>
    <t>Other Reports - Trial Balance</t>
  </si>
  <si>
    <t>Other Reports - Trial Balance Detail</t>
  </si>
  <si>
    <t>Other Reports - Trial Balance Drill</t>
  </si>
  <si>
    <t>Note : Click along these columns to drill</t>
  </si>
  <si>
    <t>As at</t>
  </si>
  <si>
    <t>Account :</t>
  </si>
  <si>
    <t>Movement Account :</t>
  </si>
  <si>
    <t>Program</t>
  </si>
  <si>
    <t>Trial Balance Report - Account By Program</t>
  </si>
  <si>
    <t>Other Reports - Trial Balance Acc By Prog</t>
  </si>
  <si>
    <t>Period</t>
  </si>
  <si>
    <t>Homepage - Reports - Analytical</t>
  </si>
  <si>
    <t>Total IDs</t>
  </si>
  <si>
    <t>=SUBNM(db_name&amp;":id","","Total IDs")</t>
  </si>
  <si>
    <t>finance_geus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</si>
</sst>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+ &quot;@"/>
    <numFmt numFmtId="165" formatCode="_(* #,##0_);[Red]_(* \(#,##0\);_(* &quot;-&quot;??_);_(@_)"/>
    <numFmt numFmtId="166" formatCode="dd\ mmmm\ yyyy\ h:mm"/>
  </numFmts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28"/>
      <color theme="0"/>
      <name val="Calibri"/>
      <family val="2"/>
      <scheme val="minor"/>
    </font>
    <font>
      <i/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426A"/>
        <bgColor indexed="64"/>
      </patternFill>
    </fill>
    <fill>
      <patternFill patternType="solid">
        <fgColor rgb="FF333F48"/>
        <bgColor indexed="64"/>
      </patternFill>
    </fill>
    <fill>
      <patternFill patternType="solid">
        <fgColor rgb="FFBBDDE6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0" xfId="0" applyFont="1"/>
    <xf numFmtId="0" fontId="2" fillId="0" borderId="5" xfId="0" applyFont="1" applyBorder="1"/>
    <xf numFmtId="0" fontId="0" fillId="0" borderId="5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left"/>
    </xf>
    <xf numFmtId="0" fontId="0" fillId="0" borderId="5" xfId="0" applyBorder="1"/>
    <xf numFmtId="0" fontId="0" fillId="3" borderId="5" xfId="0" applyFill="1" applyBorder="1"/>
    <xf numFmtId="0" fontId="0" fillId="3" borderId="5" xfId="0" quotePrefix="1" applyFill="1" applyBorder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right" indent="1"/>
    </xf>
    <xf numFmtId="0" fontId="2" fillId="4" borderId="5" xfId="0" applyFont="1" applyFill="1" applyBorder="1" applyAlignment="1">
      <alignment horizontal="center"/>
    </xf>
    <xf numFmtId="165" fontId="3" fillId="0" borderId="5" xfId="0" applyNumberFormat="1" applyFont="1" applyBorder="1"/>
    <xf numFmtId="0" fontId="3" fillId="0" borderId="5" xfId="0" applyFont="1" applyBorder="1"/>
    <xf numFmtId="0" fontId="2" fillId="0" borderId="1" xfId="0" applyFont="1" applyBorder="1"/>
    <xf numFmtId="0" fontId="0" fillId="0" borderId="1" xfId="0" applyBorder="1"/>
    <xf numFmtId="164" fontId="0" fillId="0" borderId="0" xfId="0" applyNumberFormat="1"/>
    <xf numFmtId="0" fontId="1" fillId="5" borderId="0" xfId="0" applyFont="1" applyFill="1" applyAlignment="1">
      <alignment horizontal="center" vertical="center"/>
    </xf>
    <xf numFmtId="0" fontId="0" fillId="7" borderId="8" xfId="0" applyFill="1" applyBorder="1" applyAlignment="1" applyProtection="1">
      <alignment horizontal="center" vertical="center"/>
      <protection locked="0"/>
    </xf>
    <xf numFmtId="0" fontId="5" fillId="5" borderId="0" xfId="0" applyFont="1" applyFill="1" applyAlignment="1">
      <alignment horizontal="right" vertical="center"/>
    </xf>
    <xf numFmtId="0" fontId="0" fillId="0" borderId="0" xfId="0" quotePrefix="1"/>
    <xf numFmtId="0" fontId="0" fillId="2" borderId="2" xfId="0" applyFill="1" applyBorder="1" applyAlignment="1" applyProtection="1">
      <alignment horizontal="left"/>
      <protection locked="0"/>
    </xf>
    <xf numFmtId="0" fontId="0" fillId="2" borderId="4" xfId="0" applyFill="1" applyBorder="1" applyAlignment="1" applyProtection="1">
      <alignment horizontal="left"/>
      <protection locked="0"/>
    </xf>
    <xf numFmtId="49" fontId="0" fillId="0" borderId="1" xfId="0" applyNumberFormat="1" applyBorder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0" fillId="0" borderId="2" xfId="0" applyBorder="1" applyAlignment="1" applyProtection="1">
      <alignment horizontal="left"/>
      <protection locked="0"/>
    </xf>
    <xf numFmtId="0" fontId="0" fillId="0" borderId="4" xfId="0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left"/>
      <protection locked="0"/>
    </xf>
    <xf numFmtId="0" fontId="4" fillId="0" borderId="4" xfId="0" applyFont="1" applyBorder="1" applyAlignment="1" applyProtection="1">
      <alignment horizontal="left"/>
      <protection locked="0"/>
    </xf>
    <xf numFmtId="0" fontId="1" fillId="6" borderId="6" xfId="0" applyFont="1" applyFill="1" applyBorder="1" applyAlignment="1">
      <alignment horizontal="center"/>
    </xf>
    <xf numFmtId="0" fontId="1" fillId="6" borderId="7" xfId="0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166" fontId="2" fillId="0" borderId="0" xfId="0" applyNumberFormat="1" applyFont="1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1.emf"/><Relationship Id="rId3" Type="http://schemas.openxmlformats.org/officeDocument/2006/relationships/image" Target="../media/image5.emf"/><Relationship Id="rId7" Type="http://schemas.openxmlformats.org/officeDocument/2006/relationships/image" Target="../media/image8.emf"/><Relationship Id="rId2" Type="http://schemas.openxmlformats.org/officeDocument/2006/relationships/image" Target="../media/image6.emf"/><Relationship Id="rId1" Type="http://schemas.openxmlformats.org/officeDocument/2006/relationships/image" Target="../media/image7.emf"/><Relationship Id="rId6" Type="http://schemas.openxmlformats.org/officeDocument/2006/relationships/image" Target="../media/image2.emf"/><Relationship Id="rId5" Type="http://schemas.openxmlformats.org/officeDocument/2006/relationships/image" Target="../media/image3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28575</xdr:colOff>
      <xdr:row>61</xdr:row>
      <xdr:rowOff>19050</xdr:rowOff>
    </xdr:from>
    <xdr:to>
      <xdr:col>9</xdr:col>
      <xdr:colOff>1781175</xdr:colOff>
      <xdr:row>61</xdr:row>
      <xdr:rowOff>476250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19050"/>
          <a:ext cx="180975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28575</xdr:colOff>
          <xdr:row>62</xdr:row>
          <xdr:rowOff>47625</xdr:rowOff>
        </xdr:from>
        <xdr:to>
          <xdr:col>9</xdr:col>
          <xdr:colOff>666750</xdr:colOff>
          <xdr:row>63</xdr:row>
          <xdr:rowOff>238125</xdr:rowOff>
        </xdr:to>
        <xdr:sp macro="" textlink="">
          <xdr:nvSpPr>
            <xdr:cNvPr id="1025" name="TIButton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704850</xdr:colOff>
          <xdr:row>62</xdr:row>
          <xdr:rowOff>47625</xdr:rowOff>
        </xdr:from>
        <xdr:to>
          <xdr:col>9</xdr:col>
          <xdr:colOff>1524000</xdr:colOff>
          <xdr:row>63</xdr:row>
          <xdr:rowOff>238125</xdr:rowOff>
        </xdr:to>
        <xdr:sp macro="" textlink="">
          <xdr:nvSpPr>
            <xdr:cNvPr id="1026" name="TIButton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1562100</xdr:colOff>
          <xdr:row>62</xdr:row>
          <xdr:rowOff>47625</xdr:rowOff>
        </xdr:from>
        <xdr:to>
          <xdr:col>9</xdr:col>
          <xdr:colOff>2914650</xdr:colOff>
          <xdr:row>63</xdr:row>
          <xdr:rowOff>238125</xdr:rowOff>
        </xdr:to>
        <xdr:sp macro="" textlink="">
          <xdr:nvSpPr>
            <xdr:cNvPr id="1027" name="TIButton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2657475</xdr:colOff>
          <xdr:row>62</xdr:row>
          <xdr:rowOff>47625</xdr:rowOff>
        </xdr:from>
        <xdr:to>
          <xdr:col>11</xdr:col>
          <xdr:colOff>257175</xdr:colOff>
          <xdr:row>63</xdr:row>
          <xdr:rowOff>238125</xdr:rowOff>
        </xdr:to>
        <xdr:sp macro="" textlink="">
          <xdr:nvSpPr>
            <xdr:cNvPr id="1028" name="TIButton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1562100</xdr:colOff>
          <xdr:row>62</xdr:row>
          <xdr:rowOff>47625</xdr:rowOff>
        </xdr:from>
        <xdr:to>
          <xdr:col>10</xdr:col>
          <xdr:colOff>2609850</xdr:colOff>
          <xdr:row>63</xdr:row>
          <xdr:rowOff>238125</xdr:rowOff>
        </xdr:to>
        <xdr:sp macro="" textlink="">
          <xdr:nvSpPr>
            <xdr:cNvPr id="1030" name="TIButton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533400</xdr:colOff>
          <xdr:row>62</xdr:row>
          <xdr:rowOff>19050</xdr:rowOff>
        </xdr:from>
        <xdr:to>
          <xdr:col>16</xdr:col>
          <xdr:colOff>847725</xdr:colOff>
          <xdr:row>63</xdr:row>
          <xdr:rowOff>276225</xdr:rowOff>
        </xdr:to>
        <xdr:sp macro="" textlink="">
          <xdr:nvSpPr>
            <xdr:cNvPr id="1031" name="TIButton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466725</xdr:colOff>
          <xdr:row>62</xdr:row>
          <xdr:rowOff>47625</xdr:rowOff>
        </xdr:from>
        <xdr:to>
          <xdr:col>10</xdr:col>
          <xdr:colOff>1514475</xdr:colOff>
          <xdr:row>63</xdr:row>
          <xdr:rowOff>238125</xdr:rowOff>
        </xdr:to>
        <xdr:sp macro="" textlink="">
          <xdr:nvSpPr>
            <xdr:cNvPr id="1032" name="TIButton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2943225</xdr:colOff>
          <xdr:row>62</xdr:row>
          <xdr:rowOff>47625</xdr:rowOff>
        </xdr:from>
        <xdr:to>
          <xdr:col>10</xdr:col>
          <xdr:colOff>447675</xdr:colOff>
          <xdr:row>63</xdr:row>
          <xdr:rowOff>238125</xdr:rowOff>
        </xdr:to>
        <xdr:sp macro="" textlink="">
          <xdr:nvSpPr>
            <xdr:cNvPr id="1033" name="TIButton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18" Type="http://schemas.openxmlformats.org/officeDocument/2006/relationships/control" Target="../activeX/activeX8.xml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17" Type="http://schemas.openxmlformats.org/officeDocument/2006/relationships/image" Target="../media/image7.emf"/><Relationship Id="rId2" Type="http://schemas.openxmlformats.org/officeDocument/2006/relationships/drawing" Target="../drawings/drawing1.xml"/><Relationship Id="rId16" Type="http://schemas.openxmlformats.org/officeDocument/2006/relationships/control" Target="../activeX/activeX7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10" Type="http://schemas.openxmlformats.org/officeDocument/2006/relationships/control" Target="../activeX/activeX4.xml"/><Relationship Id="rId19" Type="http://schemas.openxmlformats.org/officeDocument/2006/relationships/image" Target="../media/image8.emf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ntrol" Target="../activeX/activeX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howOutlineSymbols="0"/>
    <pageSetUpPr fitToPage="1"/>
  </sheetPr>
  <dimension ref="A1:R82"/>
  <sheetViews>
    <sheetView showGridLines="0" tabSelected="1" showOutlineSymbols="0" topLeftCell="I62" workbookViewId="0">
      <pane ySplit="20" topLeftCell="A82" activePane="bottomLeft" state="frozen"/>
      <selection activeCell="I62" sqref="I62"/>
      <selection pane="bottomLeft"/>
    </sheetView>
  </sheetViews>
  <sheetFormatPr defaultRowHeight="15" outlineLevelRow="1" outlineLevelCol="1" x14ac:dyDescent="0.25"/>
  <cols>
    <col min="1" max="1" width="2.7109375" hidden="1" customWidth="1" outlineLevel="1"/>
    <col min="2" max="2" width="29.140625" hidden="1" customWidth="1" outlineLevel="1"/>
    <col min="3" max="3" width="24.5703125" hidden="1" customWidth="1" outlineLevel="1"/>
    <col min="4" max="4" width="17.28515625" hidden="1" customWidth="1" outlineLevel="1"/>
    <col min="5" max="8" width="16" hidden="1" customWidth="1" outlineLevel="1"/>
    <col min="9" max="9" width="0.85546875" customWidth="1" collapsed="1"/>
    <col min="10" max="10" width="60.7109375" customWidth="1"/>
    <col min="11" max="11" width="47.7109375" customWidth="1"/>
    <col min="12" max="12" width="40.7109375" customWidth="1"/>
    <col min="13" max="17" width="13.28515625" customWidth="1"/>
    <col min="18" max="18" width="17.5703125" customWidth="1"/>
  </cols>
  <sheetData>
    <row r="1" spans="1:17" hidden="1" outlineLevel="1" x14ac:dyDescent="0.25">
      <c r="A1" t="s">
        <v>8</v>
      </c>
    </row>
    <row r="2" spans="1:17" hidden="1" outlineLevel="1" x14ac:dyDescent="0.25">
      <c r="A2">
        <f>0</f>
        <v>0</v>
      </c>
      <c r="B2" s="14"/>
      <c r="J2" s="13"/>
      <c r="K2" s="13"/>
      <c r="L2" s="13"/>
      <c r="M2" s="12"/>
      <c r="N2" s="12"/>
      <c r="O2" s="12"/>
      <c r="P2" s="12"/>
      <c r="Q2" s="12"/>
    </row>
    <row r="3" spans="1:17" hidden="1" outlineLevel="1" x14ac:dyDescent="0.25">
      <c r="A3">
        <f>1</f>
        <v>1</v>
      </c>
      <c r="B3" s="15"/>
      <c r="J3" s="13"/>
      <c r="K3" s="13"/>
      <c r="L3" s="13"/>
      <c r="M3" s="12"/>
      <c r="N3" s="12"/>
      <c r="O3" s="12"/>
      <c r="P3" s="12"/>
      <c r="Q3" s="12"/>
    </row>
    <row r="4" spans="1:17" hidden="1" outlineLevel="1" x14ac:dyDescent="0.25">
      <c r="A4">
        <f>2</f>
        <v>2</v>
      </c>
      <c r="B4" s="15"/>
      <c r="J4" s="13"/>
      <c r="K4" s="13"/>
      <c r="L4" s="13"/>
      <c r="M4" s="12"/>
      <c r="N4" s="12"/>
      <c r="O4" s="12"/>
      <c r="P4" s="12"/>
      <c r="Q4" s="12"/>
    </row>
    <row r="5" spans="1:17" hidden="1" outlineLevel="1" x14ac:dyDescent="0.25">
      <c r="A5">
        <f>3</f>
        <v>3</v>
      </c>
      <c r="B5" s="15"/>
      <c r="J5" s="13"/>
      <c r="K5" s="13"/>
      <c r="L5" s="13"/>
      <c r="M5" s="12"/>
      <c r="N5" s="12"/>
      <c r="O5" s="12"/>
      <c r="P5" s="12"/>
      <c r="Q5" s="12"/>
    </row>
    <row r="6" spans="1:17" hidden="1" outlineLevel="1" x14ac:dyDescent="0.25">
      <c r="A6" t="s">
        <v>6</v>
      </c>
      <c r="B6" s="15"/>
      <c r="J6" s="13"/>
      <c r="K6" s="13"/>
      <c r="L6" s="13"/>
      <c r="M6" s="12"/>
      <c r="N6" s="12"/>
      <c r="O6" s="12"/>
      <c r="P6" s="12"/>
      <c r="Q6" s="12"/>
    </row>
    <row r="7" spans="1:17" hidden="1" outlineLevel="1" x14ac:dyDescent="0.25">
      <c r="A7" t="s">
        <v>7</v>
      </c>
      <c r="B7" s="15"/>
      <c r="J7" s="13"/>
      <c r="K7" s="13"/>
      <c r="L7" s="13"/>
      <c r="M7" s="12"/>
      <c r="N7" s="12"/>
      <c r="O7" s="12"/>
      <c r="P7" s="12"/>
      <c r="Q7" s="12"/>
    </row>
    <row r="8" spans="1:17" hidden="1" outlineLevel="1" x14ac:dyDescent="0.25">
      <c r="A8" t="s">
        <v>9</v>
      </c>
    </row>
    <row r="9" spans="1:17" hidden="1" outlineLevel="1" x14ac:dyDescent="0.25"/>
    <row r="10" spans="1:17" hidden="1" outlineLevel="1" x14ac:dyDescent="0.25"/>
    <row r="11" spans="1:17" hidden="1" outlineLevel="1" x14ac:dyDescent="0.25">
      <c r="B11" s="24" t="s">
        <v>14</v>
      </c>
      <c r="C11" s="25"/>
      <c r="D11" s="26"/>
    </row>
    <row r="12" spans="1:17" hidden="1" outlineLevel="1" x14ac:dyDescent="0.25">
      <c r="B12" s="2" t="s">
        <v>15</v>
      </c>
      <c r="C12" s="3" t="s">
        <v>83</v>
      </c>
      <c r="D12" s="4"/>
    </row>
    <row r="13" spans="1:17" hidden="1" outlineLevel="1" x14ac:dyDescent="0.25">
      <c r="B13" s="2" t="s">
        <v>16</v>
      </c>
      <c r="C13" s="5" t="str" cm="1">
        <f t="array" aca="1" ref="C13" ca="1">_xll.VIEW(db_name&amp;":}ElementAttributes_}Clients","!","!")</f>
        <v>dva_geus:}ElementAttributes_}Clients</v>
      </c>
      <c r="D13" s="4"/>
    </row>
    <row r="14" spans="1:17" hidden="1" outlineLevel="1" x14ac:dyDescent="0.25">
      <c r="B14" s="2" t="s">
        <v>17</v>
      </c>
      <c r="C14" s="3" t="str" cm="1">
        <f t="array" aca="1" ref="C14" ca="1">_xll.TM1USER(db_name)</f>
        <v/>
      </c>
      <c r="D14" s="4"/>
    </row>
    <row r="15" spans="1:17" hidden="1" outlineLevel="1" x14ac:dyDescent="0.25">
      <c r="B15" s="2" t="s">
        <v>18</v>
      </c>
      <c r="C15" s="3" t="str" cm="1">
        <f t="array" aca="1" ref="C15" ca="1">_xll.DBR($C$13,$C$14,$B15)</f>
        <v>*KEY_ERR</v>
      </c>
      <c r="D15" s="4"/>
    </row>
    <row r="16" spans="1:17" hidden="1" outlineLevel="1" x14ac:dyDescent="0.25">
      <c r="B16" s="2" t="s">
        <v>19</v>
      </c>
      <c r="C16" s="3" t="str" cm="1">
        <f t="array" aca="1" ref="C16" ca="1">_xll.DBR($C$13,$C$14,$B16)</f>
        <v>*KEY_ERR</v>
      </c>
      <c r="D16" s="4"/>
    </row>
    <row r="17" spans="2:8" hidden="1" outlineLevel="1" x14ac:dyDescent="0.25">
      <c r="B17" s="2" t="s">
        <v>20</v>
      </c>
      <c r="C17" s="3" t="str">
        <f ca="1">IF(LEFT($C$15,6)="CAM_AD",$C$16,$C$15)</f>
        <v>*KEY_ERR</v>
      </c>
      <c r="D17" s="6"/>
    </row>
    <row r="18" spans="2:8" hidden="1" outlineLevel="1" x14ac:dyDescent="0.25"/>
    <row r="19" spans="2:8" hidden="1" outlineLevel="1" x14ac:dyDescent="0.25">
      <c r="B19" s="24" t="s">
        <v>21</v>
      </c>
      <c r="C19" s="25"/>
      <c r="D19" s="26"/>
    </row>
    <row r="20" spans="2:8" hidden="1" outlineLevel="1" x14ac:dyDescent="0.25">
      <c r="B20" s="2" t="s">
        <v>22</v>
      </c>
      <c r="C20" s="6" t="str" cm="1">
        <f t="array" aca="1" ref="C20" ca="1">_xll.VIEW(db_name&amp;":}ElementAttributes_variables","!","!")</f>
        <v>dva_geus:}ElementAttributes_variables</v>
      </c>
      <c r="D20" s="6"/>
    </row>
    <row r="21" spans="2:8" hidden="1" outlineLevel="1" x14ac:dyDescent="0.25">
      <c r="B21" s="2" t="s">
        <v>0</v>
      </c>
      <c r="C21" s="6" t="str" cm="1">
        <f t="array" aca="1" ref="C21" ca="1">_xll.DBR($C$20,$B21,"value")</f>
        <v>*KEY_ERR</v>
      </c>
      <c r="D21" s="6"/>
    </row>
    <row r="22" spans="2:8" hidden="1" outlineLevel="1" x14ac:dyDescent="0.25">
      <c r="B22" s="2" t="s">
        <v>23</v>
      </c>
      <c r="C22" s="6" t="str" cm="1">
        <f t="array" aca="1" ref="C22" ca="1">_xll.DBR($C$20,$B22,"value")</f>
        <v>*KEY_ERR</v>
      </c>
      <c r="D22" s="6"/>
    </row>
    <row r="23" spans="2:8" hidden="1" outlineLevel="1" x14ac:dyDescent="0.25">
      <c r="B23" s="2" t="s">
        <v>24</v>
      </c>
      <c r="C23" s="6" t="str" cm="1">
        <f t="array" aca="1" ref="C23" ca="1">_xll.DBR($C$20,$B23,"value")</f>
        <v>*KEY_ERR</v>
      </c>
      <c r="D23" s="6"/>
    </row>
    <row r="24" spans="2:8" hidden="1" outlineLevel="1" x14ac:dyDescent="0.25">
      <c r="B24" s="2" t="s">
        <v>25</v>
      </c>
      <c r="C24" s="6" t="str" cm="1">
        <f t="array" aca="1" ref="C24" ca="1">_xll.DBR($C$20,$B24,"value")</f>
        <v>*KEY_ERR</v>
      </c>
      <c r="D24" s="6"/>
    </row>
    <row r="25" spans="2:8" hidden="1" outlineLevel="1" x14ac:dyDescent="0.25">
      <c r="B25" s="2" t="s">
        <v>26</v>
      </c>
      <c r="C25" s="6" t="str" cm="1">
        <f t="array" aca="1" ref="C25" ca="1">_xll.DBR($C$20,$B25,"value")</f>
        <v>*KEY_ERR</v>
      </c>
      <c r="D25" s="6"/>
    </row>
    <row r="26" spans="2:8" hidden="1" outlineLevel="1" x14ac:dyDescent="0.25"/>
    <row r="27" spans="2:8" hidden="1" outlineLevel="1" x14ac:dyDescent="0.25">
      <c r="B27" s="24" t="s">
        <v>27</v>
      </c>
      <c r="C27" s="25"/>
      <c r="D27" s="26"/>
    </row>
    <row r="28" spans="2:8" hidden="1" outlineLevel="1" x14ac:dyDescent="0.25">
      <c r="B28" s="2" t="s">
        <v>28</v>
      </c>
      <c r="C28" s="6" t="str">
        <f t="array" aca="1" ref="C28" ca="1">_xll.VIEW(db_name&amp;":sys_application","!","!")</f>
        <v>dva_geus:sys_application</v>
      </c>
      <c r="D28" s="6"/>
    </row>
    <row r="29" spans="2:8" hidden="1" outlineLevel="1" x14ac:dyDescent="0.25">
      <c r="B29" s="2" t="s">
        <v>29</v>
      </c>
      <c r="C29" t="s">
        <v>69</v>
      </c>
      <c r="D29" s="6"/>
    </row>
    <row r="30" spans="2:8" hidden="1" outlineLevel="1" x14ac:dyDescent="0.25">
      <c r="B30" s="6"/>
      <c r="C30" s="2" t="s">
        <v>30</v>
      </c>
      <c r="D30" s="2" t="s">
        <v>31</v>
      </c>
      <c r="E30" s="2" t="s">
        <v>32</v>
      </c>
      <c r="F30" s="2" t="s">
        <v>33</v>
      </c>
      <c r="G30" s="2" t="s">
        <v>34</v>
      </c>
      <c r="H30" s="2" t="s">
        <v>35</v>
      </c>
    </row>
    <row r="31" spans="2:8" hidden="1" outlineLevel="1" x14ac:dyDescent="0.25">
      <c r="B31" s="6" t="s">
        <v>36</v>
      </c>
      <c r="C31" s="6" t="str" cm="1">
        <f t="array" aca="1" ref="C31" ca="1">_xll.DBR($C$28,$B31,C$30)</f>
        <v>*KEY_ERR</v>
      </c>
      <c r="D31" s="6" t="str" cm="1">
        <f t="array" aca="1" ref="D31" ca="1">_xll.DBR($C$28,$B31,D$30)</f>
        <v>*KEY_ERR</v>
      </c>
      <c r="E31" s="6" t="str" cm="1">
        <f t="array" aca="1" ref="E31" ca="1">_xll.DBR($C$28,$B31,E$30)</f>
        <v>*KEY_ERR</v>
      </c>
      <c r="F31" s="6" t="str" cm="1">
        <f t="array" aca="1" ref="F31" ca="1">_xll.DBR($C$28,$B31,F$30)</f>
        <v>*KEY_ERR</v>
      </c>
      <c r="G31" s="6" t="str" cm="1">
        <f t="array" aca="1" ref="G31" ca="1">_xll.DBR($C$28,$B31,G$30)</f>
        <v>*KEY_ERR</v>
      </c>
      <c r="H31" s="6" t="str" cm="1">
        <f t="array" aca="1" ref="H31" ca="1">_xll.DBR($C$28,$B31,H$30)</f>
        <v>*KEY_ERR</v>
      </c>
    </row>
    <row r="32" spans="2:8" hidden="1" outlineLevel="1" x14ac:dyDescent="0.25">
      <c r="B32" s="6" t="s">
        <v>37</v>
      </c>
      <c r="C32" s="6" t="str" cm="1">
        <f t="array" aca="1" ref="C32" ca="1">_xll.DBR($C$28,$B32,C$30)</f>
        <v>*KEY_ERR</v>
      </c>
      <c r="D32" s="6" t="str" cm="1">
        <f t="array" aca="1" ref="D32" ca="1">_xll.DBR($C$28,$B32,D$30)</f>
        <v>*KEY_ERR</v>
      </c>
      <c r="E32" s="6" t="str" cm="1">
        <f t="array" aca="1" ref="E32" ca="1">_xll.DBR($C$28,$B32,E$30)</f>
        <v>*KEY_ERR</v>
      </c>
      <c r="F32" s="6" t="str" cm="1">
        <f t="array" aca="1" ref="F32" ca="1">_xll.DBR($C$28,$B32,F$30)</f>
        <v>*KEY_ERR</v>
      </c>
      <c r="G32" s="6" t="str" cm="1">
        <f t="array" aca="1" ref="G32" ca="1">_xll.DBR($C$28,$B32,G$30)</f>
        <v>*KEY_ERR</v>
      </c>
      <c r="H32" s="6" t="str" cm="1">
        <f t="array" aca="1" ref="H32" ca="1">_xll.DBR($C$28,$B32,H$30)</f>
        <v>*KEY_ERR</v>
      </c>
    </row>
    <row r="33" spans="2:8" hidden="1" outlineLevel="1" x14ac:dyDescent="0.25">
      <c r="B33" s="6" t="s">
        <v>38</v>
      </c>
      <c r="C33" s="6" t="str" cm="1">
        <f t="array" aca="1" ref="C33" ca="1">_xll.DBR($C$28,$B33,C$30)</f>
        <v>*KEY_ERR</v>
      </c>
      <c r="D33" s="6" t="str" cm="1">
        <f t="array" aca="1" ref="D33" ca="1">_xll.DBR($C$28,$B33,D$30)</f>
        <v>*KEY_ERR</v>
      </c>
      <c r="E33" s="6" t="str" cm="1">
        <f t="array" aca="1" ref="E33" ca="1">_xll.DBR($C$28,$B33,E$30)</f>
        <v>*KEY_ERR</v>
      </c>
      <c r="F33" s="6" t="str" cm="1">
        <f t="array" aca="1" ref="F33" ca="1">_xll.DBR($C$28,$B33,F$30)</f>
        <v>*KEY_ERR</v>
      </c>
      <c r="G33" s="6" t="str" cm="1">
        <f t="array" aca="1" ref="G33" ca="1">_xll.DBR($C$28,$B33,G$30)</f>
        <v>*KEY_ERR</v>
      </c>
      <c r="H33" s="6" t="str" cm="1">
        <f t="array" aca="1" ref="H33" ca="1">_xll.DBR($C$28,$B33,H$30)</f>
        <v>*KEY_ERR</v>
      </c>
    </row>
    <row r="34" spans="2:8" hidden="1" outlineLevel="1" x14ac:dyDescent="0.25">
      <c r="B34" s="6" t="s">
        <v>39</v>
      </c>
      <c r="C34" s="6" t="str" cm="1">
        <f t="array" aca="1" ref="C34" ca="1">_xll.DBR($C$28,$B34,C$30)</f>
        <v>*KEY_ERR</v>
      </c>
      <c r="D34" s="6" t="str" cm="1">
        <f t="array" aca="1" ref="D34" ca="1">_xll.DBR($C$28,$B34,D$30)</f>
        <v>*KEY_ERR</v>
      </c>
      <c r="E34" s="6" t="str" cm="1">
        <f t="array" aca="1" ref="E34" ca="1">_xll.DBR($C$28,$B34,E$30)</f>
        <v>*KEY_ERR</v>
      </c>
      <c r="F34" s="6" t="str" cm="1">
        <f t="array" aca="1" ref="F34" ca="1">_xll.DBR($C$28,$B34,F$30)</f>
        <v>*KEY_ERR</v>
      </c>
      <c r="G34" s="6" t="str" cm="1">
        <f t="array" aca="1" ref="G34" ca="1">_xll.DBR($C$28,$B34,G$30)</f>
        <v>*KEY_ERR</v>
      </c>
      <c r="H34" s="6" t="str" cm="1">
        <f t="array" aca="1" ref="H34" ca="1">_xll.DBR($C$28,$B34,H$30)</f>
        <v>*KEY_ERR</v>
      </c>
    </row>
    <row r="35" spans="2:8" hidden="1" outlineLevel="1" x14ac:dyDescent="0.25">
      <c r="B35" s="6" t="s">
        <v>68</v>
      </c>
      <c r="C35" s="6" t="str" cm="1">
        <f t="array" aca="1" ref="C35" ca="1">_xll.DBR($C$28,$B35,C$30)</f>
        <v>*KEY_ERR</v>
      </c>
      <c r="D35" s="6" t="str" cm="1">
        <f t="array" aca="1" ref="D35" ca="1">_xll.DBR($C$28,$B35,D$30)</f>
        <v>*KEY_ERR</v>
      </c>
      <c r="E35" s="6" t="str" cm="1">
        <f t="array" aca="1" ref="E35" ca="1">_xll.DBR($C$28,$B35,E$30)</f>
        <v>*KEY_ERR</v>
      </c>
      <c r="F35" s="6" t="str" cm="1">
        <f t="array" aca="1" ref="F35" ca="1">_xll.DBR($C$28,$B35,F$30)</f>
        <v>*KEY_ERR</v>
      </c>
      <c r="G35" s="6" t="str" cm="1">
        <f t="array" aca="1" ref="G35" ca="1">_xll.DBR($C$28,$B35,G$30)</f>
        <v>*KEY_ERR</v>
      </c>
      <c r="H35" s="6" t="str" cm="1">
        <f t="array" aca="1" ref="H35" ca="1">_xll.DBR($C$28,$B35,H$30)</f>
        <v>*KEY_ERR</v>
      </c>
    </row>
    <row r="36" spans="2:8" hidden="1" outlineLevel="1" x14ac:dyDescent="0.25">
      <c r="B36" s="6" t="s">
        <v>80</v>
      </c>
      <c r="C36" s="6" t="str" cm="1">
        <f t="array" aca="1" ref="C36" ca="1">_xll.DBR($C$28,$B36,C$30)</f>
        <v>*KEY_ERR</v>
      </c>
      <c r="D36" s="6" t="str" cm="1">
        <f t="array" aca="1" ref="D36" ca="1">_xll.DBR($C$28,$B36,D$30)</f>
        <v>*KEY_ERR</v>
      </c>
      <c r="E36" s="6" t="str" cm="1">
        <f t="array" aca="1" ref="E36" ca="1">_xll.DBR($C$28,$B36,E$30)</f>
        <v>*KEY_ERR</v>
      </c>
      <c r="F36" s="6" t="str" cm="1">
        <f t="array" aca="1" ref="F36" ca="1">_xll.DBR($C$28,$B36,F$30)</f>
        <v>*KEY_ERR</v>
      </c>
      <c r="G36" s="6" t="str" cm="1">
        <f t="array" aca="1" ref="G36" ca="1">_xll.DBR($C$28,$B36,G$30)</f>
        <v>*KEY_ERR</v>
      </c>
      <c r="H36" s="6" t="str" cm="1">
        <f t="array" aca="1" ref="H36" ca="1">_xll.DBR($C$28,$B36,H$30)</f>
        <v>*KEY_ERR</v>
      </c>
    </row>
    <row r="37" spans="2:8" hidden="1" outlineLevel="1" x14ac:dyDescent="0.25">
      <c r="B37" s="6" t="s">
        <v>69</v>
      </c>
      <c r="C37" s="6" t="str" cm="1">
        <f t="array" aca="1" ref="C37" ca="1">_xll.DBR($C$28,$B37,C$30)</f>
        <v>*KEY_ERR</v>
      </c>
      <c r="D37" s="6" t="str" cm="1">
        <f t="array" aca="1" ref="D37" ca="1">_xll.DBR($C$28,$B37,D$30)</f>
        <v>*KEY_ERR</v>
      </c>
      <c r="E37" s="6" t="str" cm="1">
        <f t="array" aca="1" ref="E37" ca="1">_xll.DBR($C$28,$B37,E$30)</f>
        <v>*KEY_ERR</v>
      </c>
      <c r="F37" s="6" t="str" cm="1">
        <f t="array" aca="1" ref="F37" ca="1">_xll.DBR($C$28,$B37,F$30)</f>
        <v>*KEY_ERR</v>
      </c>
      <c r="G37" s="6" t="str" cm="1">
        <f t="array" aca="1" ref="G37" ca="1">_xll.DBR($C$28,$B37,G$30)</f>
        <v>*KEY_ERR</v>
      </c>
      <c r="H37" s="6" t="str" cm="1">
        <f t="array" aca="1" ref="H37" ca="1">_xll.DBR($C$28,$B37,H$30)</f>
        <v>*KEY_ERR</v>
      </c>
    </row>
    <row r="38" spans="2:8" hidden="1" outlineLevel="1" x14ac:dyDescent="0.25">
      <c r="B38" s="6" t="s">
        <v>78</v>
      </c>
      <c r="C38" s="6" t="str" cm="1">
        <f t="array" aca="1" ref="C38" ca="1">_xll.DBR($C$28,$B38,C$30)</f>
        <v>*KEY_ERR</v>
      </c>
      <c r="D38" s="6" t="str" cm="1">
        <f t="array" aca="1" ref="D38" ca="1">_xll.DBR($C$28,$B38,D$30)</f>
        <v>*KEY_ERR</v>
      </c>
      <c r="E38" s="6" t="str" cm="1">
        <f t="array" aca="1" ref="E38" ca="1">_xll.DBR($C$28,$B38,E$30)</f>
        <v>*KEY_ERR</v>
      </c>
      <c r="F38" s="6" t="str" cm="1">
        <f t="array" aca="1" ref="F38" ca="1">_xll.DBR($C$28,$B38,F$30)</f>
        <v>*KEY_ERR</v>
      </c>
      <c r="G38" s="6" t="str" cm="1">
        <f t="array" aca="1" ref="G38" ca="1">_xll.DBR($C$28,$B38,G$30)</f>
        <v>*KEY_ERR</v>
      </c>
      <c r="H38" s="6" t="str" cm="1">
        <f t="array" aca="1" ref="H38" ca="1">_xll.DBR($C$28,$B38,H$30)</f>
        <v>*KEY_ERR</v>
      </c>
    </row>
    <row r="39" spans="2:8" hidden="1" outlineLevel="1" x14ac:dyDescent="0.25">
      <c r="B39" s="6" t="s">
        <v>70</v>
      </c>
      <c r="C39" s="6" t="str" cm="1">
        <f t="array" aca="1" ref="C39" ca="1">_xll.DBR($C$28,$B39,C$30)</f>
        <v>*KEY_ERR</v>
      </c>
      <c r="D39" s="6" t="str" cm="1">
        <f t="array" aca="1" ref="D39" ca="1">_xll.DBR($C$28,$B39,D$30)</f>
        <v>*KEY_ERR</v>
      </c>
      <c r="E39" s="6" t="str" cm="1">
        <f t="array" aca="1" ref="E39" ca="1">_xll.DBR($C$28,$B39,E$30)</f>
        <v>*KEY_ERR</v>
      </c>
      <c r="F39" s="6" t="str" cm="1">
        <f t="array" aca="1" ref="F39" ca="1">_xll.DBR($C$28,$B39,F$30)</f>
        <v>*KEY_ERR</v>
      </c>
      <c r="G39" s="6" t="str" cm="1">
        <f t="array" aca="1" ref="G39" ca="1">_xll.DBR($C$28,$B39,G$30)</f>
        <v>*KEY_ERR</v>
      </c>
      <c r="H39" s="6" t="str" cm="1">
        <f t="array" aca="1" ref="H39" ca="1">_xll.DBR($C$28,$B39,H$30)</f>
        <v>*KEY_ERR</v>
      </c>
    </row>
    <row r="40" spans="2:8" hidden="1" outlineLevel="1" x14ac:dyDescent="0.25">
      <c r="B40" s="6" t="s">
        <v>71</v>
      </c>
      <c r="C40" s="6" t="str" cm="1">
        <f t="array" aca="1" ref="C40" ca="1">_xll.DBR($C$28,$B40,C$30)</f>
        <v>*KEY_ERR</v>
      </c>
      <c r="D40" s="6" t="str" cm="1">
        <f t="array" aca="1" ref="D40" ca="1">_xll.DBR($C$28,$B40,D$30)</f>
        <v>*KEY_ERR</v>
      </c>
      <c r="E40" s="6" t="str" cm="1">
        <f t="array" aca="1" ref="E40" ca="1">_xll.DBR($C$28,$B40,E$30)</f>
        <v>*KEY_ERR</v>
      </c>
      <c r="F40" s="6" t="str" cm="1">
        <f t="array" aca="1" ref="F40" ca="1">_xll.DBR($C$28,$B40,F$30)</f>
        <v>*KEY_ERR</v>
      </c>
      <c r="G40" s="6" t="str" cm="1">
        <f t="array" aca="1" ref="G40" ca="1">_xll.DBR($C$28,$B40,G$30)</f>
        <v>*KEY_ERR</v>
      </c>
      <c r="H40" s="6" t="str" cm="1">
        <f t="array" aca="1" ref="H40" ca="1">_xll.DBR($C$28,$B40,H$30)</f>
        <v>*KEY_ERR</v>
      </c>
    </row>
    <row r="41" spans="2:8" hidden="1" outlineLevel="1" x14ac:dyDescent="0.25">
      <c r="B41" s="6"/>
      <c r="C41" s="6"/>
      <c r="D41" s="6"/>
      <c r="E41" s="6"/>
      <c r="F41" s="6"/>
      <c r="G41" s="6"/>
      <c r="H41" s="6"/>
    </row>
    <row r="42" spans="2:8" hidden="1" outlineLevel="1" x14ac:dyDescent="0.25">
      <c r="B42" s="7" t="s">
        <v>40</v>
      </c>
      <c r="C42" s="8" t="s">
        <v>41</v>
      </c>
    </row>
    <row r="43" spans="2:8" hidden="1" outlineLevel="1" x14ac:dyDescent="0.25"/>
    <row r="44" spans="2:8" hidden="1" outlineLevel="1" x14ac:dyDescent="0.25">
      <c r="B44" s="24" t="s">
        <v>60</v>
      </c>
      <c r="C44" s="25"/>
      <c r="D44" s="26"/>
    </row>
    <row r="45" spans="2:8" hidden="1" outlineLevel="1" x14ac:dyDescent="0.25">
      <c r="B45" s="6" t="s">
        <v>42</v>
      </c>
      <c r="C45" s="6" t="str">
        <f t="array" aca="1" ref="C45" ca="1">_xll.TM1RPTVIEW(db_name&amp;":AE adjustments:6", 1, _xll.TM1RPTTITLE(db_name&amp;":headline year",$M$68), _xll.TM1RPTTITLE(db_name&amp;":scenario",$M$69), _xll.TM1RPTTITLE(db_name&amp;":status",$M$70), _xll.TM1RPTTITLE(db_name&amp;":outcome",$M$72), _xll.TM1RPTTITLE(db_name&amp;":function",$C$56), _xll.TM1RPTTITLE(db_name&amp;":reason",$M$75), _xll.TM1RPTTITLE(db_name&amp;":spp",$C$57), _xll.TM1RPTTITLE(db_name&amp;":appropriation type",$M$76), _xll.TM1RPTTITLE(db_name&amp;":appropriation item",$M$77), _xll.TM1RPTTITLE(db_name&amp;":id",$C$58), _xll.TM1RPTTITLE(db_name&amp;":jurisdiction",$C$59),TM1RPTFMTRNG,TM1RPTFMTIDCOL)</f>
        <v>dva_geus:AE adjustments:6</v>
      </c>
      <c r="D45" s="6"/>
    </row>
    <row r="46" spans="2:8" hidden="1" outlineLevel="1" x14ac:dyDescent="0.25">
      <c r="B46" s="6" t="s">
        <v>43</v>
      </c>
      <c r="C46" s="6" t="str" cm="1">
        <f t="array" aca="1" ref="C46" ca="1">_xll.VIEW(db_name&amp;":AE adjustments",$M$68,$M$69,$M$70,$M$72,$C$55,"!",$M$75,$C$57,"!",$M$76,"!",$M$77,"!","!",$C$58,$C$59,"!")</f>
        <v>dva_geus:AE adjustments</v>
      </c>
      <c r="D46" s="6"/>
    </row>
    <row r="47" spans="2:8" hidden="1" outlineLevel="1" x14ac:dyDescent="0.25">
      <c r="B47" s="6"/>
      <c r="C47" s="11" t="s">
        <v>48</v>
      </c>
      <c r="D47" s="11" t="s">
        <v>49</v>
      </c>
      <c r="E47" s="11" t="s">
        <v>50</v>
      </c>
    </row>
    <row r="48" spans="2:8" hidden="1" outlineLevel="1" x14ac:dyDescent="0.25">
      <c r="B48" s="6" t="s">
        <v>44</v>
      </c>
      <c r="C48" s="6" t="str">
        <f ca="1">IF($Q$68="Collapse",$D48,$E48)</f>
        <v>{TM1FILTERBYLEVEL( {TM1DRILLDOWNMEMBER( {[programme].[]}, ALL, RECURSIVE )}, 0)}</v>
      </c>
      <c r="D48" s="6" t="str">
        <f ca="1">"{TM1FILTERBYLEVEL( {TM1DRILLDOWNMEMBER( {[programme].["&amp;$M$71&amp;"]}, ALL, RECURSIVE )}, 0)}"</f>
        <v>{TM1FILTERBYLEVEL( {TM1DRILLDOWNMEMBER( {[programme].[]}, ALL, RECURSIVE )}, 0)}</v>
      </c>
      <c r="E48" s="6" t="str">
        <f ca="1">"{TM1FILTERBYLEVEL( {TM1DRILLDOWNMEMBER( {[programme].["&amp;$M$71&amp;"]}, ALL, RECURSIVE )}, 0)}"</f>
        <v>{TM1FILTERBYLEVEL( {TM1DRILLDOWNMEMBER( {[programme].[]}, ALL, RECURSIVE )}, 0)}</v>
      </c>
    </row>
    <row r="49" spans="2:17" hidden="1" outlineLevel="1" x14ac:dyDescent="0.25">
      <c r="B49" s="6" t="s">
        <v>45</v>
      </c>
      <c r="C49" s="6" t="str">
        <f ca="1">IF($Q$68="Collapse",$D49,$E49)</f>
        <v>{TM1FILTERBYLEVEL( {TM1DRILLDOWNMEMBER( {[account].[]}, ALL, RECURSIVE )}, 0)}</v>
      </c>
      <c r="D49" s="6" t="str">
        <f ca="1">"{[account].["&amp;$M$73&amp;"]}"</f>
        <v>{[account].[]}</v>
      </c>
      <c r="E49" s="6" t="str">
        <f ca="1">"{TM1FILTERBYLEVEL( {TM1DRILLDOWNMEMBER( {[account].["&amp;$M$73&amp;"]}, ALL, RECURSIVE )}, 0)}"</f>
        <v>{TM1FILTERBYLEVEL( {TM1DRILLDOWNMEMBER( {[account].[]}, ALL, RECURSIVE )}, 0)}</v>
      </c>
    </row>
    <row r="50" spans="2:17" hidden="1" outlineLevel="1" x14ac:dyDescent="0.25">
      <c r="B50" s="6" t="s">
        <v>46</v>
      </c>
      <c r="C50" s="6" t="str">
        <f ca="1">IF($Q$68="Collapse",$D50,$E50)</f>
        <v>{[movement account].[]}</v>
      </c>
      <c r="D50" s="6" t="str">
        <f ca="1">"{[movement account].["&amp;$M$74&amp;"]}"</f>
        <v>{[movement account].[]}</v>
      </c>
      <c r="E50" s="6" t="str">
        <f ca="1">"{[movement account].["&amp;$M$74&amp;"]}"</f>
        <v>{[movement account].[]}</v>
      </c>
      <c r="F50" s="6" t="str">
        <f ca="1">"{TM1FILTERBYLEVEL( {TM1DRILLDOWNMEMBER( {[movement account].["&amp;$M$74&amp;"]}, ALL, RECURSIVE )}, 0)}"</f>
        <v>{TM1FILTERBYLEVEL( {TM1DRILLDOWNMEMBER( {[movement account].[]}, ALL, RECURSIVE )}, 0)}</v>
      </c>
    </row>
    <row r="51" spans="2:17" hidden="1" outlineLevel="1" x14ac:dyDescent="0.25">
      <c r="B51" s="6" t="s">
        <v>62</v>
      </c>
      <c r="C51" s="6" t="str">
        <f ca="1">IF($Q$68="Collapse",$D51,$E51)</f>
        <v>{[related entity].[Total related entity]}</v>
      </c>
      <c r="D51" s="6" t="s">
        <v>63</v>
      </c>
      <c r="E51" s="6" t="s">
        <v>63</v>
      </c>
    </row>
    <row r="52" spans="2:17" hidden="1" outlineLevel="1" x14ac:dyDescent="0.25">
      <c r="B52" s="6" t="s">
        <v>47</v>
      </c>
      <c r="C52" s="6" t="str">
        <f ca="1">IF($Q$68="Collapse",$D52,$E52)</f>
        <v>{TM1FILTERBYLEVEL( {TM1DRILLDOWNMEMBER( {[measure code].[]}, ALL, RECURSIVE )}, 0)}</v>
      </c>
      <c r="D52" s="6" t="str">
        <f ca="1">"{[measure code].[" &amp; $M$78 &amp; "]}"</f>
        <v>{[measure code].[]}</v>
      </c>
      <c r="E52" s="6" t="str">
        <f ca="1">"{TM1FILTERBYLEVEL( {TM1DRILLDOWNMEMBER( {[measure code].[" &amp; $M$78 &amp; "]}, ALL, RECURSIVE )}, 0)}"</f>
        <v>{TM1FILTERBYLEVEL( {TM1DRILLDOWNMEMBER( {[measure code].[]}, ALL, RECURSIVE )}, 0)}</v>
      </c>
    </row>
    <row r="53" spans="2:17" hidden="1" outlineLevel="1" x14ac:dyDescent="0.25"/>
    <row r="54" spans="2:17" hidden="1" outlineLevel="1" x14ac:dyDescent="0.25">
      <c r="B54" s="24" t="s">
        <v>61</v>
      </c>
      <c r="C54" s="25"/>
      <c r="D54" s="26"/>
      <c r="L54" s="6" t="str">
        <f ca="1">RIGHT(psHLYear,9)</f>
        <v/>
      </c>
    </row>
    <row r="55" spans="2:17" hidden="1" outlineLevel="1" x14ac:dyDescent="0.25">
      <c r="B55" s="2" t="s">
        <v>1</v>
      </c>
      <c r="C55" s="6" t="str">
        <f t="array" aca="1" ref="C55" ca="1">_xll.SUBNM(db_name&amp;":related entity","","Total related entity")</f>
        <v/>
      </c>
      <c r="L55" s="6" t="s">
        <v>67</v>
      </c>
      <c r="M55" s="6">
        <v>-1</v>
      </c>
      <c r="N55" s="6">
        <v>0</v>
      </c>
      <c r="O55" s="6">
        <v>1</v>
      </c>
      <c r="P55" s="6">
        <v>2</v>
      </c>
      <c r="Q55" s="6">
        <v>3</v>
      </c>
    </row>
    <row r="56" spans="2:17" hidden="1" outlineLevel="1" x14ac:dyDescent="0.25">
      <c r="B56" s="2" t="s">
        <v>2</v>
      </c>
      <c r="C56" s="6" t="str">
        <f t="array" aca="1" ref="C56" ca="1">_xll.SUBNM(db_name&amp;":function","","Total functions")</f>
        <v/>
      </c>
      <c r="L56" t="s">
        <v>79</v>
      </c>
      <c r="M56" s="6" t="str" cm="1">
        <f t="array" aca="1" ref="M56" ca="1">_xll.DIMNM(db_name&amp;":period",_xll.DIMIX(db_name&amp;":period",$L$54)+M55)</f>
        <v/>
      </c>
      <c r="N56" s="6" t="str" cm="1">
        <f t="array" aca="1" ref="N56" ca="1">_xll.DIMNM(db_name&amp;":period",_xll.DIMIX(db_name&amp;":period",$L$54)+N55)</f>
        <v/>
      </c>
      <c r="O56" s="6" t="str" cm="1">
        <f t="array" aca="1" ref="O56" ca="1">_xll.DIMNM(db_name&amp;":period",_xll.DIMIX(db_name&amp;":period",$L$54)+O55)</f>
        <v/>
      </c>
      <c r="P56" s="6" t="str" cm="1">
        <f t="array" aca="1" ref="P56" ca="1">_xll.DIMNM(db_name&amp;":period",_xll.DIMIX(db_name&amp;":period",$L$54)+P55)</f>
        <v/>
      </c>
      <c r="Q56" s="6" t="str" cm="1">
        <f t="array" aca="1" ref="Q56" ca="1">_xll.DIMNM(db_name&amp;":period",_xll.DIMIX(db_name&amp;":period",$L$54)+Q55)</f>
        <v/>
      </c>
    </row>
    <row r="57" spans="2:17" hidden="1" outlineLevel="1" x14ac:dyDescent="0.25">
      <c r="B57" s="2" t="s">
        <v>3</v>
      </c>
      <c r="C57" s="6" t="str">
        <f t="array" aca="1" ref="C57" ca="1">_xll.SUBNM(db_name&amp;":spp","","Total SPP")</f>
        <v/>
      </c>
    </row>
    <row r="58" spans="2:17" hidden="1" outlineLevel="1" x14ac:dyDescent="0.25">
      <c r="B58" s="2" t="s">
        <v>4</v>
      </c>
      <c r="C58" s="6" t="s">
        <v>81</v>
      </c>
      <c r="D58" s="20" t="s">
        <v>82</v>
      </c>
    </row>
    <row r="59" spans="2:17" hidden="1" outlineLevel="1" x14ac:dyDescent="0.25">
      <c r="B59" s="2" t="s">
        <v>5</v>
      </c>
      <c r="C59" s="6" t="str">
        <f t="array" aca="1" ref="C59" ca="1">_xll.SUBNM(db_name&amp;":jurisdiction","","Total jurisdictions")</f>
        <v/>
      </c>
    </row>
    <row r="60" spans="2:17" hidden="1" outlineLevel="1" x14ac:dyDescent="0.25"/>
    <row r="61" spans="2:17" hidden="1" outlineLevel="1" x14ac:dyDescent="0.25"/>
    <row r="62" spans="2:17" ht="39.75" customHeight="1" collapsed="1" x14ac:dyDescent="0.25">
      <c r="I62" s="19"/>
      <c r="J62" s="19"/>
      <c r="K62" s="19"/>
      <c r="L62" s="19"/>
      <c r="M62" s="19"/>
      <c r="N62" s="19"/>
      <c r="O62" s="19"/>
      <c r="P62" s="19"/>
      <c r="Q62" s="19" t="s">
        <v>77</v>
      </c>
    </row>
    <row r="63" spans="2:17" ht="4.5" customHeight="1" x14ac:dyDescent="0.25"/>
    <row r="64" spans="2:17" ht="24" customHeight="1" x14ac:dyDescent="0.25"/>
    <row r="65" spans="9:18" ht="1.5" customHeight="1" x14ac:dyDescent="0.25">
      <c r="I65" s="19"/>
      <c r="J65" s="19"/>
      <c r="K65" s="19"/>
      <c r="L65" s="19"/>
      <c r="M65" s="19"/>
      <c r="N65" s="19"/>
      <c r="O65" s="19"/>
      <c r="P65" s="19"/>
      <c r="Q65" s="19"/>
    </row>
    <row r="66" spans="9:18" ht="4.5" customHeight="1" x14ac:dyDescent="0.25"/>
    <row r="67" spans="9:18" ht="15.75" thickBot="1" x14ac:dyDescent="0.3">
      <c r="M67" s="31" t="s">
        <v>64</v>
      </c>
      <c r="N67" s="32"/>
      <c r="P67" s="31" t="s">
        <v>65</v>
      </c>
      <c r="Q67" s="32"/>
    </row>
    <row r="68" spans="9:18" ht="15.75" thickBot="1" x14ac:dyDescent="0.3">
      <c r="L68" s="10" t="s">
        <v>51</v>
      </c>
      <c r="M68" s="27" t="str">
        <f t="array" aca="1" ref="M68" ca="1">_xll.SUBNM(db_name&amp;":headline year","",$C$21)</f>
        <v/>
      </c>
      <c r="N68" s="28"/>
      <c r="P68" s="10" t="s">
        <v>66</v>
      </c>
      <c r="Q68" s="18" t="str" cm="1">
        <f t="array" aca="1" ref="Q68" ca="1">_xll.SUBNM(db_name&amp;":sys_report display","","Collapse")</f>
        <v/>
      </c>
    </row>
    <row r="69" spans="9:18" x14ac:dyDescent="0.25">
      <c r="L69" s="10" t="s">
        <v>52</v>
      </c>
      <c r="M69" s="27" t="str">
        <f t="array" aca="1" ref="M69" ca="1">_xll.SUBNM(db_name&amp;":scenario","sys_BudgetRound",$C$22)</f>
        <v/>
      </c>
      <c r="N69" s="28"/>
    </row>
    <row r="70" spans="9:18" x14ac:dyDescent="0.25">
      <c r="L70" s="10" t="s">
        <v>53</v>
      </c>
      <c r="M70" s="27" t="str">
        <f t="array" aca="1" ref="M70" ca="1">_xll.SUBNM(db_name&amp;":status","","Total approved")</f>
        <v/>
      </c>
      <c r="N70" s="28"/>
    </row>
    <row r="71" spans="9:18" x14ac:dyDescent="0.25">
      <c r="L71" s="10" t="s">
        <v>59</v>
      </c>
      <c r="M71" s="29" t="str">
        <f t="array" aca="1" ref="M71" ca="1">_xll.SUBNM(db_name&amp;":programme","","Total Programmes","code and description")</f>
        <v/>
      </c>
      <c r="N71" s="30"/>
    </row>
    <row r="72" spans="9:18" x14ac:dyDescent="0.25">
      <c r="L72" s="10" t="s">
        <v>54</v>
      </c>
      <c r="M72" s="27" t="str">
        <f t="array" aca="1" ref="M72" ca="1">_xll.SUBNM(db_name&amp;":outcome","","Total outcomes","code and description")</f>
        <v/>
      </c>
      <c r="N72" s="28"/>
    </row>
    <row r="73" spans="9:18" x14ac:dyDescent="0.25">
      <c r="L73" s="10" t="s">
        <v>74</v>
      </c>
      <c r="M73" s="27" t="str">
        <f t="array" aca="1" ref="M73" ca="1">_xll.SUBNM(db_name&amp;":account","","2000000","code and description")</f>
        <v/>
      </c>
      <c r="N73" s="28"/>
    </row>
    <row r="74" spans="9:18" x14ac:dyDescent="0.25">
      <c r="L74" s="10" t="s">
        <v>75</v>
      </c>
      <c r="M74" s="21" t="str">
        <f t="array" aca="1" ref="M74" ca="1">_xll.SUBNM(db_name&amp;":movement account","","Total movement","code and description")</f>
        <v/>
      </c>
      <c r="N74" s="22"/>
    </row>
    <row r="75" spans="9:18" x14ac:dyDescent="0.25">
      <c r="L75" s="10" t="s">
        <v>55</v>
      </c>
      <c r="M75" s="27" t="str">
        <f t="array" aca="1" ref="M75" ca="1">_xll.SUBNM(db_name&amp;":reason","","Total reason","CBMS code and description")</f>
        <v/>
      </c>
      <c r="N75" s="28"/>
    </row>
    <row r="76" spans="9:18" x14ac:dyDescent="0.25">
      <c r="L76" s="10" t="s">
        <v>56</v>
      </c>
      <c r="M76" s="27" t="str">
        <f t="array" aca="1" ref="M76" ca="1">_xll.SUBNM(db_name&amp;":appropriation type","","Total approp types","code and description")</f>
        <v/>
      </c>
      <c r="N76" s="28"/>
    </row>
    <row r="77" spans="9:18" x14ac:dyDescent="0.25">
      <c r="L77" s="10" t="s">
        <v>57</v>
      </c>
      <c r="M77" s="27" t="str">
        <f t="array" aca="1" ref="M77" ca="1">_xll.SUBNM(db_name&amp;":appropriation item","","Total approp item","code and description")</f>
        <v/>
      </c>
      <c r="N77" s="28"/>
    </row>
    <row r="78" spans="9:18" x14ac:dyDescent="0.25">
      <c r="L78" s="10" t="s">
        <v>58</v>
      </c>
      <c r="M78" s="29" t="str">
        <f t="array" aca="1" ref="M78" ca="1">_xll.SUBNM(db_name&amp;":measure code","","Total Measures","CBMS code and description")</f>
        <v/>
      </c>
      <c r="N78" s="30"/>
      <c r="P78" s="9" t="s">
        <v>73</v>
      </c>
      <c r="Q78" s="36">
        <f ca="1">NOW()</f>
        <v>44061.358740972224</v>
      </c>
      <c r="R78" s="36"/>
    </row>
    <row r="79" spans="9:18" ht="4.5" customHeight="1" x14ac:dyDescent="0.25"/>
    <row r="80" spans="9:18" x14ac:dyDescent="0.25">
      <c r="M80" s="33" t="s">
        <v>72</v>
      </c>
      <c r="N80" s="34"/>
      <c r="O80" s="34"/>
      <c r="P80" s="34"/>
      <c r="Q80" s="35"/>
    </row>
    <row r="81" spans="1:17" x14ac:dyDescent="0.25">
      <c r="B81" s="1" t="s">
        <v>10</v>
      </c>
      <c r="C81" t="s">
        <v>11</v>
      </c>
      <c r="D81" t="s">
        <v>12</v>
      </c>
      <c r="E81" t="s">
        <v>62</v>
      </c>
      <c r="F81" t="s">
        <v>13</v>
      </c>
      <c r="J81" s="17" t="s">
        <v>76</v>
      </c>
      <c r="K81" s="17" t="s">
        <v>11</v>
      </c>
      <c r="L81" s="17" t="s">
        <v>13</v>
      </c>
      <c r="M81" s="17" t="str">
        <f ca="1">M$56</f>
        <v/>
      </c>
      <c r="N81" s="17" t="str">
        <f t="shared" ref="N81:Q81" ca="1" si="0">N$56</f>
        <v/>
      </c>
      <c r="O81" s="17" t="str">
        <f t="shared" ca="1" si="0"/>
        <v/>
      </c>
      <c r="P81" s="17" t="str">
        <f t="shared" ca="1" si="0"/>
        <v/>
      </c>
      <c r="Q81" s="17" t="str">
        <f t="shared" ca="1" si="0"/>
        <v/>
      </c>
    </row>
    <row r="82" spans="1:17" x14ac:dyDescent="0.25">
      <c r="A82" t="str" cm="1">
        <f t="array" aca="1" ref="A82" ca="1">IF(_xll.TM1RPTELISCONSOLIDATED($C$82,$C82),IF(_xll.TM1RPTELLEV($C$82,$C82)&lt;=3,_xll.TM1RPTELLEV($C$82,$C82),"D"),"N")</f>
        <v>N</v>
      </c>
      <c r="B82" s="23" t="str">
        <f t="array" aca="1" ref="B82" ca="1">_xll.TM1RPTROW($C$45,db_name&amp;":programme","","","code and description",0,$C$48)</f>
        <v/>
      </c>
      <c r="C82" s="16" t="str">
        <f t="array" aca="1" ref="C82" ca="1">_xll.TM1RPTROW($C$45,db_name&amp;":account","","","code and description",0,$C$49)</f>
        <v/>
      </c>
      <c r="D82" s="16" t="str">
        <f t="array" aca="1" ref="D82" ca="1">_xll.TM1RPTROW($C$45,db_name&amp;":movement account","","","code and description",0,$C$50)</f>
        <v/>
      </c>
      <c r="E82" s="16" t="str">
        <f t="array" aca="1" ref="E82" ca="1">_xll.TM1RPTROW($C$45,db_name&amp;":related entity","","","code and description",0,$C$51)</f>
        <v/>
      </c>
      <c r="F82" s="16" t="str">
        <f t="array" aca="1" ref="F82" ca="1">_xll.TM1RPTROW($C$45,db_name&amp;":measure code","","","CBMS code and description",0,$C$52)</f>
        <v/>
      </c>
      <c r="J82" s="13" t="str">
        <f ca="1">$B82</f>
        <v/>
      </c>
      <c r="K82" s="13" t="str">
        <f ca="1">$C82</f>
        <v/>
      </c>
      <c r="L82" s="13" t="str">
        <f ca="1">$F82</f>
        <v/>
      </c>
      <c r="M82" s="12" t="str" cm="1">
        <f t="array" aca="1" ref="M82" ca="1">_xll.DBRW($C$45,$M$68,$M$69,$M$70,$M$72,$E82,$C$56,$M$75,$C$57,$F82,$M$76,$D82,$M$77,$B82,$C82,$C$58,$C$59,M$81)</f>
        <v/>
      </c>
      <c r="N82" s="12" t="str" cm="1">
        <f t="array" aca="1" ref="N82" ca="1">_xll.DBRW($C$45,$M$68,$M$69,$M$70,$M$72,$E82,$C$56,$M$75,$C$57,$F82,$M$76,$D82,$M$77,$B82,$C82,$C$58,$C$59,N$81)</f>
        <v/>
      </c>
      <c r="O82" s="12" t="str" cm="1">
        <f t="array" aca="1" ref="O82" ca="1">_xll.DBRW($C$45,$M$68,$M$69,$M$70,$M$72,$E82,$C$56,$M$75,$C$57,$F82,$M$76,$D82,$M$77,$B82,$C82,$C$58,$C$59,O$81)</f>
        <v/>
      </c>
      <c r="P82" s="12" t="str" cm="1">
        <f t="array" aca="1" ref="P82" ca="1">_xll.DBRW($C$45,$M$68,$M$69,$M$70,$M$72,$E82,$C$56,$M$75,$C$57,$F82,$M$76,$D82,$M$77,$B82,$C82,$C$58,$C$59,P$81)</f>
        <v/>
      </c>
      <c r="Q82" s="12" t="str" cm="1">
        <f t="array" aca="1" ref="Q82" ca="1">_xll.DBRW($C$45,$M$68,$M$69,$M$70,$M$72,$E82,$C$56,$M$75,$C$57,$F82,$M$76,$D82,$M$77,$B82,$C82,$C$58,$C$59,Q$81)</f>
        <v/>
      </c>
    </row>
  </sheetData>
  <sheetProtection sheet="1" objects="1" scenarios="1"/>
  <mergeCells count="19">
    <mergeCell ref="M77:N77"/>
    <mergeCell ref="M78:N78"/>
    <mergeCell ref="M67:N67"/>
    <mergeCell ref="P67:Q67"/>
    <mergeCell ref="M80:Q80"/>
    <mergeCell ref="Q78:R78"/>
    <mergeCell ref="M69:N69"/>
    <mergeCell ref="M70:N70"/>
    <mergeCell ref="M71:N71"/>
    <mergeCell ref="M72:N72"/>
    <mergeCell ref="M75:N75"/>
    <mergeCell ref="M76:N76"/>
    <mergeCell ref="M68:N68"/>
    <mergeCell ref="M73:N73"/>
    <mergeCell ref="B11:D11"/>
    <mergeCell ref="B19:D19"/>
    <mergeCell ref="B27:D27"/>
    <mergeCell ref="B44:D44"/>
    <mergeCell ref="B54:D54"/>
  </mergeCells>
  <pageMargins left="0.70866141732283472" right="0.70866141732283472" top="0.74803149606299213" bottom="0.74803149606299213" header="0.31496062992125984" footer="0.31496062992125984"/>
  <pageSetup paperSize="9" scale="40" fitToHeight="0" orientation="portrait" horizontalDpi="0" verticalDpi="0" r:id="rId1"/>
  <drawing r:id="rId2"/>
  <legacyDrawing r:id="rId3"/>
  <controls>
    <mc:AlternateContent xmlns:mc="http://schemas.openxmlformats.org/markup-compatibility/2006">
      <mc:Choice Requires="x14">
        <control shapeId="1033" r:id="rId4" name="TIButton9">
          <controlPr defaultSize="0" print="0" autoLine="0" r:id="rId5">
            <anchor moveWithCells="1" sizeWithCells="1">
              <from>
                <xdr:col>9</xdr:col>
                <xdr:colOff>2943225</xdr:colOff>
                <xdr:row>62</xdr:row>
                <xdr:rowOff>47625</xdr:rowOff>
              </from>
              <to>
                <xdr:col>10</xdr:col>
                <xdr:colOff>447675</xdr:colOff>
                <xdr:row>63</xdr:row>
                <xdr:rowOff>238125</xdr:rowOff>
              </to>
            </anchor>
          </controlPr>
        </control>
      </mc:Choice>
      <mc:Fallback>
        <control shapeId="1033" r:id="rId4" name="TIButton9"/>
      </mc:Fallback>
    </mc:AlternateContent>
    <mc:AlternateContent xmlns:mc="http://schemas.openxmlformats.org/markup-compatibility/2006">
      <mc:Choice Requires="x14">
        <control shapeId="1031" r:id="rId6" name="TIButton7">
          <controlPr defaultSize="0" print="0" autoLine="0" r:id="rId7">
            <anchor moveWithCells="1" sizeWithCells="1">
              <from>
                <xdr:col>16</xdr:col>
                <xdr:colOff>533400</xdr:colOff>
                <xdr:row>62</xdr:row>
                <xdr:rowOff>19050</xdr:rowOff>
              </from>
              <to>
                <xdr:col>16</xdr:col>
                <xdr:colOff>847725</xdr:colOff>
                <xdr:row>63</xdr:row>
                <xdr:rowOff>276225</xdr:rowOff>
              </to>
            </anchor>
          </controlPr>
        </control>
      </mc:Choice>
      <mc:Fallback>
        <control shapeId="1031" r:id="rId6" name="TIButton7"/>
      </mc:Fallback>
    </mc:AlternateContent>
    <mc:AlternateContent xmlns:mc="http://schemas.openxmlformats.org/markup-compatibility/2006">
      <mc:Choice Requires="x14">
        <control shapeId="1030" r:id="rId8" name="TIButton6">
          <controlPr defaultSize="0" print="0" autoLine="0" r:id="rId9">
            <anchor moveWithCells="1" sizeWithCells="1">
              <from>
                <xdr:col>10</xdr:col>
                <xdr:colOff>1562100</xdr:colOff>
                <xdr:row>62</xdr:row>
                <xdr:rowOff>47625</xdr:rowOff>
              </from>
              <to>
                <xdr:col>10</xdr:col>
                <xdr:colOff>2609850</xdr:colOff>
                <xdr:row>63</xdr:row>
                <xdr:rowOff>238125</xdr:rowOff>
              </to>
            </anchor>
          </controlPr>
        </control>
      </mc:Choice>
      <mc:Fallback>
        <control shapeId="1030" r:id="rId8" name="TIButton6"/>
      </mc:Fallback>
    </mc:AlternateContent>
    <mc:AlternateContent xmlns:mc="http://schemas.openxmlformats.org/markup-compatibility/2006">
      <mc:Choice Requires="x14">
        <control shapeId="1028" r:id="rId10" name="TIButton4">
          <controlPr defaultSize="0" print="0" autoLine="0" r:id="rId11">
            <anchor moveWithCells="1" sizeWithCells="1">
              <from>
                <xdr:col>10</xdr:col>
                <xdr:colOff>2657475</xdr:colOff>
                <xdr:row>62</xdr:row>
                <xdr:rowOff>47625</xdr:rowOff>
              </from>
              <to>
                <xdr:col>11</xdr:col>
                <xdr:colOff>257175</xdr:colOff>
                <xdr:row>63</xdr:row>
                <xdr:rowOff>238125</xdr:rowOff>
              </to>
            </anchor>
          </controlPr>
        </control>
      </mc:Choice>
      <mc:Fallback>
        <control shapeId="1028" r:id="rId10" name="TIButton4"/>
      </mc:Fallback>
    </mc:AlternateContent>
    <mc:AlternateContent xmlns:mc="http://schemas.openxmlformats.org/markup-compatibility/2006">
      <mc:Choice Requires="x14">
        <control shapeId="1027" r:id="rId12" name="TIButton3">
          <controlPr defaultSize="0" print="0" autoLine="0" r:id="rId13">
            <anchor moveWithCells="1" sizeWithCells="1">
              <from>
                <xdr:col>9</xdr:col>
                <xdr:colOff>1562100</xdr:colOff>
                <xdr:row>62</xdr:row>
                <xdr:rowOff>47625</xdr:rowOff>
              </from>
              <to>
                <xdr:col>9</xdr:col>
                <xdr:colOff>2914650</xdr:colOff>
                <xdr:row>63</xdr:row>
                <xdr:rowOff>238125</xdr:rowOff>
              </to>
            </anchor>
          </controlPr>
        </control>
      </mc:Choice>
      <mc:Fallback>
        <control shapeId="1027" r:id="rId12" name="TIButton3"/>
      </mc:Fallback>
    </mc:AlternateContent>
    <mc:AlternateContent xmlns:mc="http://schemas.openxmlformats.org/markup-compatibility/2006">
      <mc:Choice Requires="x14">
        <control shapeId="1026" r:id="rId14" name="TIButton2">
          <controlPr defaultSize="0" print="0" autoLine="0" r:id="rId15">
            <anchor moveWithCells="1" sizeWithCells="1">
              <from>
                <xdr:col>9</xdr:col>
                <xdr:colOff>704850</xdr:colOff>
                <xdr:row>62</xdr:row>
                <xdr:rowOff>47625</xdr:rowOff>
              </from>
              <to>
                <xdr:col>9</xdr:col>
                <xdr:colOff>1524000</xdr:colOff>
                <xdr:row>63</xdr:row>
                <xdr:rowOff>238125</xdr:rowOff>
              </to>
            </anchor>
          </controlPr>
        </control>
      </mc:Choice>
      <mc:Fallback>
        <control shapeId="1026" r:id="rId14" name="TIButton2"/>
      </mc:Fallback>
    </mc:AlternateContent>
    <mc:AlternateContent xmlns:mc="http://schemas.openxmlformats.org/markup-compatibility/2006">
      <mc:Choice Requires="x14">
        <control shapeId="1025" r:id="rId16" name="TIButton1">
          <controlPr defaultSize="0" print="0" autoLine="0" r:id="rId17">
            <anchor moveWithCells="1" sizeWithCells="1">
              <from>
                <xdr:col>9</xdr:col>
                <xdr:colOff>28575</xdr:colOff>
                <xdr:row>62</xdr:row>
                <xdr:rowOff>47625</xdr:rowOff>
              </from>
              <to>
                <xdr:col>9</xdr:col>
                <xdr:colOff>666750</xdr:colOff>
                <xdr:row>63</xdr:row>
                <xdr:rowOff>238125</xdr:rowOff>
              </to>
            </anchor>
          </controlPr>
        </control>
      </mc:Choice>
      <mc:Fallback>
        <control shapeId="1025" r:id="rId16" name="TIButton1"/>
      </mc:Fallback>
    </mc:AlternateContent>
    <mc:AlternateContent xmlns:mc="http://schemas.openxmlformats.org/markup-compatibility/2006">
      <mc:Choice Requires="x14">
        <control shapeId="1032" r:id="rId18" name="TIButton8">
          <controlPr defaultSize="0" print="0" autoLine="0" r:id="rId19">
            <anchor moveWithCells="1" sizeWithCells="1">
              <from>
                <xdr:col>10</xdr:col>
                <xdr:colOff>466725</xdr:colOff>
                <xdr:row>62</xdr:row>
                <xdr:rowOff>47625</xdr:rowOff>
              </from>
              <to>
                <xdr:col>10</xdr:col>
                <xdr:colOff>1514475</xdr:colOff>
                <xdr:row>63</xdr:row>
                <xdr:rowOff>238125</xdr:rowOff>
              </to>
            </anchor>
          </controlPr>
        </control>
      </mc:Choice>
      <mc:Fallback>
        <control shapeId="1032" r:id="rId18" name="TIButton8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38</vt:i4>
      </vt:variant>
    </vt:vector>
  </HeadingPairs>
  <TitlesOfParts>
    <vt:vector size="39" baseType="lpstr">
      <vt:lpstr>TBAL</vt:lpstr>
      <vt:lpstr>db_name</vt:lpstr>
      <vt:lpstr>psApp</vt:lpstr>
      <vt:lpstr>psHLYear</vt:lpstr>
      <vt:lpstr>psScenario</vt:lpstr>
      <vt:lpstr>psUser</vt:lpstr>
      <vt:lpstr>TM1HomeAdminCAP</vt:lpstr>
      <vt:lpstr>TM1HomeAdminWB</vt:lpstr>
      <vt:lpstr>TM1HomeAdminWS</vt:lpstr>
      <vt:lpstr>TM1HomeAECAP</vt:lpstr>
      <vt:lpstr>TM1HomeAEWB</vt:lpstr>
      <vt:lpstr>TM1HomeAEWS</vt:lpstr>
      <vt:lpstr>TM1HomeCAP</vt:lpstr>
      <vt:lpstr>TM1HomeRepAnalyticalCAP</vt:lpstr>
      <vt:lpstr>TM1HomeRepAnalyticalWB</vt:lpstr>
      <vt:lpstr>TM1HomeRepAnalyticalWS</vt:lpstr>
      <vt:lpstr>TM1HomeRepCAP</vt:lpstr>
      <vt:lpstr>TM1HomeRepOtherCAP</vt:lpstr>
      <vt:lpstr>TM1HomeRepOtherWB</vt:lpstr>
      <vt:lpstr>TM1HomeRepOtherWS</vt:lpstr>
      <vt:lpstr>TM1HomeRepWB</vt:lpstr>
      <vt:lpstr>TM1HomeRepWS</vt:lpstr>
      <vt:lpstr>TM1HomeWB</vt:lpstr>
      <vt:lpstr>TM1HomeWS</vt:lpstr>
      <vt:lpstr>TM1OthRprTBalAccCAP</vt:lpstr>
      <vt:lpstr>TM1OthRprTBalAccWB</vt:lpstr>
      <vt:lpstr>TM1OthRprTBalAccWS</vt:lpstr>
      <vt:lpstr>TM1OthRprTBalCAP</vt:lpstr>
      <vt:lpstr>TM1OthRprTBalDetailCAP</vt:lpstr>
      <vt:lpstr>TM1OthRprTBalDetailWB</vt:lpstr>
      <vt:lpstr>TM1OthRprTBalDetailWS</vt:lpstr>
      <vt:lpstr>TM1OthRprTBalDrillCAP</vt:lpstr>
      <vt:lpstr>TM1OthRprTBalDrillWB</vt:lpstr>
      <vt:lpstr>TM1OthRprTBalDrillWS</vt:lpstr>
      <vt:lpstr>TM1OthRprTBalWB</vt:lpstr>
      <vt:lpstr>TM1OthRprTBalWS</vt:lpstr>
      <vt:lpstr>TBAL!TM1RPTDATARNG6</vt:lpstr>
      <vt:lpstr>TBAL!TM1RPTFMTIDCOL</vt:lpstr>
      <vt:lpstr>TBAL!TM1RPTFMTRNG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Khristian Gimena</dc:creator>
  <cp:lastModifiedBy>Kevin He</cp:lastModifiedBy>
  <cp:lastPrinted>2019-06-10T08:12:13Z</cp:lastPrinted>
  <dcterms:created xsi:type="dcterms:W3CDTF">2019-06-10T07:32:40Z</dcterms:created>
  <dcterms:modified xsi:type="dcterms:W3CDTF">2025-08-06T02:12:48Z</dcterms:modified>
</cp:coreProperties>
</file>