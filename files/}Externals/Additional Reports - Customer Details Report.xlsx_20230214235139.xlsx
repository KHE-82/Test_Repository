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Excelerated\DCCEEW\1 DCCEEW TECHNICAL\GEUS 2023 TEMPLATES\All 2023 Generic_geus templates\"/>
    </mc:Choice>
  </mc:AlternateContent>
  <xr:revisionPtr revIDLastSave="0" documentId="13_ncr:1_{B43EB339-5E40-4B44-9F13-18D71A764AB7}" xr6:coauthVersionLast="47" xr6:coauthVersionMax="47" xr10:uidLastSave="{00000000-0000-0000-0000-000000000000}"/>
  <bookViews>
    <workbookView xWindow="57480" yWindow="-1965" windowWidth="29040" windowHeight="15840" xr2:uid="{681D75F1-09EE-444A-837D-7487F6E499C3}"/>
  </bookViews>
  <sheets>
    <sheet name="CustNo Details" sheetId="1" r:id="rId1"/>
  </sheets>
  <definedNames>
    <definedName name="db_name">'CustNo Details'!$C$12</definedName>
    <definedName name="TM1GrpViewAdj01HeaderCAP">'CustNo Details'!$D$49</definedName>
    <definedName name="TM1GrpViewAdj01HeaderWB">'CustNo Details'!$F$49</definedName>
    <definedName name="TM1GrpViewAdj01HeaderWS">'CustNo Details'!$H$49</definedName>
    <definedName name="TM1HomeAdminCAP">'CustNo Details'!$D$42</definedName>
    <definedName name="TM1HomeAdminWB">'CustNo Details'!$F$42</definedName>
    <definedName name="TM1HomeAdminWS">'CustNo Details'!$H$42</definedName>
    <definedName name="TM1HomeAECAP">'CustNo Details'!$D$40</definedName>
    <definedName name="TM1HomeAEWB">'CustNo Details'!$F$40</definedName>
    <definedName name="TM1HomeAEWS">'CustNo Details'!$H$40</definedName>
    <definedName name="TM1HomeCAP">'CustNo Details'!$D$39</definedName>
    <definedName name="TM1HomeRepAdditionalCAP">'CustNo Details'!$D$44</definedName>
    <definedName name="TM1HomeRepAdditionalWB">'CustNo Details'!$F$44</definedName>
    <definedName name="TM1HomeRepAdditionalWS">'CustNo Details'!$H$44</definedName>
    <definedName name="TM1HomeRepAnalyticalCAP">'CustNo Details'!$D$45</definedName>
    <definedName name="TM1HomeRepAnalyticalWB">'CustNo Details'!$F$45</definedName>
    <definedName name="TM1HomeRepAnalyticalWS">'CustNo Details'!$H$45</definedName>
    <definedName name="TM1HomeRepCAP">'CustNo Details'!$D$41</definedName>
    <definedName name="TM1HomeRepOtherCAP">'CustNo Details'!$D$43</definedName>
    <definedName name="TM1HomeRepOtherWB">'CustNo Details'!$F$43</definedName>
    <definedName name="TM1HomeRepOtherWS">'CustNo Details'!$H$43</definedName>
    <definedName name="TM1HomeRepWB">'CustNo Details'!$F$41</definedName>
    <definedName name="TM1HomeRepWS">'CustNo Details'!$H$41</definedName>
    <definedName name="TM1HomeWB">'CustNo Details'!$F$39</definedName>
    <definedName name="TM1HomeWS">'CustNo Details'!$H$39</definedName>
    <definedName name="TM1OthRprTBalCAP">'CustNo Details'!$D$46</definedName>
    <definedName name="TM1OthRprTBalWB">'CustNo Details'!$F$46</definedName>
    <definedName name="TM1OthRprTBalWS">'CustNo Details'!$H$46</definedName>
    <definedName name="TM1OthRprTxnByReasonCAP">'CustNo Details'!$D$47</definedName>
    <definedName name="TM1OthRprTxnByReasonWB">'CustNo Details'!$F$47</definedName>
    <definedName name="TM1OthRprTxnByReasonWS">'CustNo Details'!$H$47</definedName>
    <definedName name="TM1REBUILDOPTION">0</definedName>
    <definedName name="TM1RPTDATARNGCUSTNO" localSheetId="0">'CustNo Details'!$74:$74</definedName>
    <definedName name="TM1RPTFMTIDCOL" localSheetId="0">'CustNo Details'!$A$1:$A$8</definedName>
    <definedName name="TM1RPTFMTRNG" localSheetId="0">'CustNo Details'!$J$1:$R$8</definedName>
    <definedName name="TM1ViewAdj01HeaderCAP">'CustNo Details'!$D$48</definedName>
    <definedName name="TM1ViewAdj01HeaderWB">'CustNo Details'!$F$48</definedName>
    <definedName name="TM1ViewAdj01HeaderWS">'CustNo Details'!$H$48</definedName>
  </definedNames>
  <calcPr calcId="19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9" i="1" l="1" a="1"/>
  <c r="C19" i="1"/>
  <c r="H44" i="1" a="1"/>
  <c r="H44" i="1"/>
  <c r="G44" i="1" a="1"/>
  <c r="G44" i="1"/>
  <c r="F44" i="1" a="1"/>
  <c r="F44" i="1"/>
  <c r="E44" i="1" a="1"/>
  <c r="E44" i="1"/>
  <c r="D44" i="1" a="1"/>
  <c r="D44" i="1"/>
  <c r="C44" i="1" a="1"/>
  <c r="C44" i="1"/>
  <c r="M57" i="1" a="1"/>
  <c r="M57" i="1"/>
  <c r="M58" i="1" a="1"/>
  <c r="M58" i="1"/>
  <c r="M59" i="1" a="1"/>
  <c r="M64" i="1" a="1"/>
  <c r="M61" i="1" a="1"/>
  <c r="M63" i="1" a="1"/>
  <c r="M65" i="1" a="1"/>
  <c r="M59" i="1"/>
  <c r="M64" i="1"/>
  <c r="M61" i="1"/>
  <c r="M63" i="1"/>
  <c r="M65" i="1"/>
  <c r="C17" i="1" a="1"/>
  <c r="C17" i="1"/>
  <c r="M60" i="1" a="1"/>
  <c r="L47" i="1"/>
  <c r="R47" i="1" a="1"/>
  <c r="R47" i="1"/>
  <c r="R68" i="1"/>
  <c r="M62" i="1" a="1"/>
  <c r="M60" i="1"/>
  <c r="M62" i="1"/>
  <c r="R76" i="1" a="1"/>
  <c r="R76" i="1"/>
  <c r="Q47" i="1" a="1"/>
  <c r="Q47" i="1"/>
  <c r="Q68" i="1"/>
  <c r="Q76" i="1" a="1"/>
  <c r="Q76" i="1"/>
  <c r="P47" i="1" a="1"/>
  <c r="P47" i="1"/>
  <c r="P68" i="1"/>
  <c r="P76" i="1" a="1"/>
  <c r="P76" i="1"/>
  <c r="O47" i="1" a="1"/>
  <c r="O47" i="1"/>
  <c r="O68" i="1"/>
  <c r="O76" i="1" a="1"/>
  <c r="O76" i="1"/>
  <c r="N47" i="1" a="1"/>
  <c r="N47" i="1"/>
  <c r="N68" i="1"/>
  <c r="N76" i="1" a="1"/>
  <c r="N76" i="1"/>
  <c r="M47" i="1" a="1"/>
  <c r="M47" i="1"/>
  <c r="M68" i="1"/>
  <c r="M76" i="1" a="1"/>
  <c r="M76" i="1"/>
  <c r="C28" i="1"/>
  <c r="C16" i="1" a="1"/>
  <c r="C16" i="1"/>
  <c r="H74" i="1" a="1"/>
  <c r="H74" i="1"/>
  <c r="C23" i="1"/>
  <c r="F74" i="1" a="1"/>
  <c r="G74" i="1" a="1"/>
  <c r="F74" i="1"/>
  <c r="G74" i="1"/>
  <c r="R74" i="1" a="1"/>
  <c r="R74" i="1"/>
  <c r="Q74" i="1" a="1"/>
  <c r="Q74" i="1"/>
  <c r="P74" i="1" a="1"/>
  <c r="P74" i="1"/>
  <c r="O74" i="1" a="1"/>
  <c r="O74" i="1"/>
  <c r="N74" i="1" a="1"/>
  <c r="N74" i="1"/>
  <c r="M74" i="1" a="1"/>
  <c r="M74" i="1"/>
  <c r="C18" i="1" a="1"/>
  <c r="C18" i="1"/>
  <c r="K74" i="1" a="1"/>
  <c r="K74" i="1"/>
  <c r="J74" i="1"/>
  <c r="E74" i="1" a="1"/>
  <c r="E74" i="1"/>
  <c r="R71" i="1" a="1"/>
  <c r="R71" i="1"/>
  <c r="Q71" i="1" a="1"/>
  <c r="Q71" i="1"/>
  <c r="P71" i="1" a="1"/>
  <c r="P71" i="1"/>
  <c r="O71" i="1" a="1"/>
  <c r="O71" i="1"/>
  <c r="N71" i="1" a="1"/>
  <c r="N71" i="1"/>
  <c r="M71" i="1" a="1"/>
  <c r="M71" i="1"/>
  <c r="R70" i="1" a="1"/>
  <c r="R70" i="1"/>
  <c r="Q70" i="1" a="1"/>
  <c r="Q70" i="1"/>
  <c r="P70" i="1" a="1"/>
  <c r="P70" i="1"/>
  <c r="O70" i="1" a="1"/>
  <c r="O70" i="1"/>
  <c r="N70" i="1" a="1"/>
  <c r="N70" i="1"/>
  <c r="M70" i="1" a="1"/>
  <c r="M70" i="1"/>
  <c r="H49" i="1" a="1"/>
  <c r="H49" i="1"/>
  <c r="G49" i="1" a="1"/>
  <c r="G49" i="1"/>
  <c r="F49" i="1" a="1"/>
  <c r="F49" i="1"/>
  <c r="E49" i="1" a="1"/>
  <c r="E49" i="1"/>
  <c r="D49" i="1" a="1"/>
  <c r="D49" i="1"/>
  <c r="C49" i="1" a="1"/>
  <c r="C49" i="1"/>
  <c r="H48" i="1" a="1"/>
  <c r="H48" i="1"/>
  <c r="G48" i="1" a="1"/>
  <c r="G48" i="1"/>
  <c r="F48" i="1" a="1"/>
  <c r="F48" i="1"/>
  <c r="E48" i="1" a="1"/>
  <c r="E48" i="1"/>
  <c r="D48" i="1" a="1"/>
  <c r="D48" i="1"/>
  <c r="C48" i="1" a="1"/>
  <c r="C48" i="1"/>
  <c r="H47" i="1" a="1"/>
  <c r="H47" i="1"/>
  <c r="G47" i="1" a="1"/>
  <c r="G47" i="1"/>
  <c r="F47" i="1" a="1"/>
  <c r="F47" i="1"/>
  <c r="E47" i="1" a="1"/>
  <c r="E47" i="1"/>
  <c r="D47" i="1" a="1"/>
  <c r="D47" i="1"/>
  <c r="C47" i="1" a="1"/>
  <c r="C47" i="1"/>
  <c r="H46" i="1" a="1"/>
  <c r="H46" i="1"/>
  <c r="G46" i="1" a="1"/>
  <c r="G46" i="1"/>
  <c r="F46" i="1" a="1"/>
  <c r="F46" i="1"/>
  <c r="E46" i="1" a="1"/>
  <c r="E46" i="1"/>
  <c r="D46" i="1" a="1"/>
  <c r="D46" i="1"/>
  <c r="C46" i="1" a="1"/>
  <c r="C46" i="1"/>
  <c r="H45" i="1" a="1"/>
  <c r="H45" i="1"/>
  <c r="G45" i="1" a="1"/>
  <c r="G45" i="1"/>
  <c r="F45" i="1" a="1"/>
  <c r="F45" i="1"/>
  <c r="E45" i="1" a="1"/>
  <c r="E45" i="1"/>
  <c r="D45" i="1" a="1"/>
  <c r="D45" i="1"/>
  <c r="C45" i="1" a="1"/>
  <c r="C45" i="1"/>
  <c r="H43" i="1" a="1"/>
  <c r="H43" i="1"/>
  <c r="G43" i="1" a="1"/>
  <c r="G43" i="1"/>
  <c r="F43" i="1" a="1"/>
  <c r="F43" i="1"/>
  <c r="E43" i="1" a="1"/>
  <c r="E43" i="1"/>
  <c r="D43" i="1" a="1"/>
  <c r="D43" i="1"/>
  <c r="C43" i="1" a="1"/>
  <c r="C43" i="1"/>
  <c r="H42" i="1" a="1"/>
  <c r="H42" i="1"/>
  <c r="G42" i="1" a="1"/>
  <c r="G42" i="1"/>
  <c r="F42" i="1" a="1"/>
  <c r="F42" i="1"/>
  <c r="E42" i="1" a="1"/>
  <c r="E42" i="1"/>
  <c r="D42" i="1" a="1"/>
  <c r="D42" i="1"/>
  <c r="C42" i="1" a="1"/>
  <c r="C42" i="1"/>
  <c r="H41" i="1" a="1"/>
  <c r="H41" i="1"/>
  <c r="G41" i="1" a="1"/>
  <c r="G41" i="1"/>
  <c r="F41" i="1" a="1"/>
  <c r="F41" i="1"/>
  <c r="E41" i="1" a="1"/>
  <c r="E41" i="1"/>
  <c r="D41" i="1" a="1"/>
  <c r="D41" i="1"/>
  <c r="C41" i="1" a="1"/>
  <c r="C41" i="1"/>
  <c r="H40" i="1" a="1"/>
  <c r="H40" i="1"/>
  <c r="G40" i="1" a="1"/>
  <c r="G40" i="1"/>
  <c r="F40" i="1" a="1"/>
  <c r="F40" i="1"/>
  <c r="E40" i="1" a="1"/>
  <c r="E40" i="1"/>
  <c r="D40" i="1" a="1"/>
  <c r="D40" i="1"/>
  <c r="C40" i="1" a="1"/>
  <c r="C40" i="1"/>
  <c r="H39" i="1" a="1"/>
  <c r="H39" i="1"/>
  <c r="G39" i="1" a="1"/>
  <c r="G39" i="1"/>
  <c r="F39" i="1" a="1"/>
  <c r="F39" i="1"/>
  <c r="E39" i="1" a="1"/>
  <c r="E39" i="1"/>
  <c r="D39" i="1" a="1"/>
  <c r="D39" i="1"/>
  <c r="C39" i="1" a="1"/>
  <c r="C39" i="1"/>
  <c r="C34" i="1" a="1"/>
  <c r="C34" i="1"/>
  <c r="C33" i="1" a="1"/>
  <c r="C33" i="1"/>
  <c r="C32" i="1" a="1"/>
  <c r="C32" i="1"/>
  <c r="C25" i="1"/>
  <c r="L74" i="1"/>
  <c r="A5" i="1"/>
  <c r="A4" i="1"/>
  <c r="A3" i="1"/>
  <c r="A2" i="1"/>
  <c r="L76" i="1"/>
  <c r="A74" i="1"/>
  <c r="R72" i="1"/>
  <c r="Q72" i="1"/>
  <c r="P72" i="1"/>
  <c r="O72" i="1"/>
  <c r="N72" i="1"/>
  <c r="M7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<sst xmlns="http://schemas.openxmlformats.org/spreadsheetml/2006/main" count="73" uniqueCount="68">
  <si>
    <t>[Begin Format Range]</t>
  </si>
  <si>
    <t>N</t>
  </si>
  <si>
    <t>[End Format Range]</t>
  </si>
  <si>
    <t>Active Form View</t>
  </si>
  <si>
    <t>Slice View</t>
  </si>
  <si>
    <t>ID Details Slice</t>
  </si>
  <si>
    <t>Programme MDX</t>
  </si>
  <si>
    <t>Measure Code MDX</t>
  </si>
  <si>
    <t>{[measure code].[Total Measures]}</t>
  </si>
  <si>
    <t>ID MDX</t>
  </si>
  <si>
    <t>Suppress Zero Flag</t>
  </si>
  <si>
    <t>Other Parameters</t>
  </si>
  <si>
    <t>id</t>
  </si>
  <si>
    <t>Detail Customer Numbers</t>
  </si>
  <si>
    <t>description</t>
  </si>
  <si>
    <t>Yes</t>
  </si>
  <si>
    <t>Programme</t>
  </si>
  <si>
    <t>ID</t>
  </si>
  <si>
    <t>Title</t>
  </si>
  <si>
    <t>Measure</t>
  </si>
  <si>
    <t>0000A</t>
  </si>
  <si>
    <t>Total Measures</t>
  </si>
  <si>
    <t>Opening Balance</t>
  </si>
  <si>
    <t>00FBO</t>
  </si>
  <si>
    <t>Adjustments</t>
  </si>
  <si>
    <t>Total Ids</t>
  </si>
  <si>
    <t>Database Variables</t>
  </si>
  <si>
    <t>Database Name</t>
  </si>
  <si>
    <t>Views</t>
  </si>
  <si>
    <t>sys_application</t>
  </si>
  <si>
    <t>MDX</t>
  </si>
  <si>
    <t>Other Variables</t>
  </si>
  <si>
    <t>D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</si>
  <si>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</si>
  <si>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</si>
  <si>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</si>
  <si>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</si>
  <si>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</si>
  <si>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</si>
  <si>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</si>
  <si>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</si>
  <si>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Reports</t>
  </si>
  <si>
    <t>Homepage - Administration</t>
  </si>
  <si>
    <t>Homepage - Reports - Other</t>
  </si>
  <si>
    <t>Homepage - Reports - Analytical</t>
  </si>
  <si>
    <t>Other Reports - Trial Balance</t>
  </si>
  <si>
    <t>Other Reports - Transactions By Reason</t>
  </si>
  <si>
    <t>Data Entry - View Adj 01 - Header Details</t>
  </si>
  <si>
    <t>Group Data Entry - View Adj 01 - Header Details</t>
  </si>
  <si>
    <t>Index Change</t>
  </si>
  <si>
    <t>REPORT PARAMETERS</t>
  </si>
  <si>
    <t xml:space="preserve"> DISPLAY SETTINGS</t>
  </si>
  <si>
    <t xml:space="preserve">Headline Year : </t>
  </si>
  <si>
    <t xml:space="preserve">Prog Display : </t>
  </si>
  <si>
    <t xml:space="preserve">Suppress Zero : </t>
  </si>
  <si>
    <t xml:space="preserve">Scenario : </t>
  </si>
  <si>
    <t xml:space="preserve">Status : </t>
  </si>
  <si>
    <t xml:space="preserve">Programme : </t>
  </si>
  <si>
    <t xml:space="preserve">Account Type : </t>
  </si>
  <si>
    <t xml:space="preserve">Jurisdiction : </t>
  </si>
  <si>
    <t xml:space="preserve">Group Adjustment Measure : </t>
  </si>
  <si>
    <t xml:space="preserve">Account Template : </t>
  </si>
  <si>
    <t xml:space="preserve">ID : </t>
  </si>
  <si>
    <t xml:space="preserve">Measure Code : </t>
  </si>
  <si>
    <t xml:space="preserve">Related Entity : </t>
  </si>
  <si>
    <t>Measure Code</t>
  </si>
  <si>
    <t>Homepage - Reports - Additional</t>
  </si>
  <si>
    <t>dcceew_geus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</si>
</sst>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&quot;+ &quot;@"/>
    <numFmt numFmtId="167" formatCode="_(* #,##0_);[Red]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3" tint="-0.249977111117893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indexed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333F48"/>
        <bgColor indexed="64"/>
      </patternFill>
    </fill>
    <fill>
      <patternFill patternType="solid">
        <fgColor rgb="FFBBDDE6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 style="medium">
        <color theme="4" tint="-0.499984740745262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37">
    <xf numFmtId="0" fontId="0" fillId="0" borderId="0" xfId="0"/>
    <xf numFmtId="0" fontId="2" fillId="0" borderId="0" xfId="0" applyFont="1"/>
    <xf numFmtId="0" fontId="5" fillId="0" borderId="1" xfId="0" applyFont="1" applyBorder="1"/>
    <xf numFmtId="165" fontId="6" fillId="0" borderId="1" xfId="1" applyNumberFormat="1" applyFont="1" applyFill="1" applyBorder="1"/>
    <xf numFmtId="0" fontId="6" fillId="0" borderId="1" xfId="0" applyFont="1" applyBorder="1"/>
    <xf numFmtId="0" fontId="7" fillId="0" borderId="0" xfId="2" applyFont="1" applyAlignment="1">
      <alignment horizontal="right" indent="1"/>
    </xf>
    <xf numFmtId="0" fontId="6" fillId="0" borderId="0" xfId="0" applyFont="1" applyAlignment="1">
      <alignment horizontal="center"/>
    </xf>
    <xf numFmtId="0" fontId="0" fillId="0" borderId="0" xfId="0" quotePrefix="1"/>
    <xf numFmtId="165" fontId="4" fillId="0" borderId="3" xfId="1" applyNumberFormat="1" applyFont="1" applyFill="1" applyBorder="1"/>
    <xf numFmtId="0" fontId="2" fillId="0" borderId="1" xfId="0" applyFont="1" applyBorder="1"/>
    <xf numFmtId="0" fontId="0" fillId="0" borderId="4" xfId="0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0" fontId="8" fillId="3" borderId="0" xfId="0" applyFont="1" applyFill="1" applyAlignment="1">
      <alignment horizontal="right" vertical="center"/>
    </xf>
    <xf numFmtId="167" fontId="4" fillId="4" borderId="1" xfId="0" applyNumberFormat="1" applyFont="1" applyFill="1" applyBorder="1"/>
    <xf numFmtId="167" fontId="6" fillId="0" borderId="1" xfId="0" applyNumberFormat="1" applyFont="1" applyBorder="1"/>
    <xf numFmtId="0" fontId="4" fillId="4" borderId="1" xfId="0" applyFont="1" applyFill="1" applyBorder="1"/>
    <xf numFmtId="0" fontId="0" fillId="0" borderId="0" xfId="0" applyAlignment="1" applyProtection="1">
      <alignment horizontal="left" indent="1"/>
      <protection locked="0"/>
    </xf>
    <xf numFmtId="0" fontId="0" fillId="6" borderId="5" xfId="0" applyFill="1" applyBorder="1" applyAlignment="1" applyProtection="1">
      <alignment horizontal="left" vertical="center" indent="1"/>
      <protection locked="0"/>
    </xf>
    <xf numFmtId="0" fontId="0" fillId="6" borderId="6" xfId="0" applyFill="1" applyBorder="1" applyAlignment="1" applyProtection="1">
      <alignment horizontal="left" vertical="center" indent="1"/>
      <protection locked="0"/>
    </xf>
    <xf numFmtId="0" fontId="9" fillId="3" borderId="0" xfId="0" applyFont="1" applyFill="1" applyAlignment="1">
      <alignment horizontal="center" vertical="center"/>
    </xf>
    <xf numFmtId="0" fontId="10" fillId="0" borderId="0" xfId="0" applyFont="1" applyAlignment="1">
      <alignment horizontal="center"/>
    </xf>
    <xf numFmtId="167" fontId="4" fillId="0" borderId="7" xfId="0" applyNumberFormat="1" applyFont="1" applyBorder="1"/>
    <xf numFmtId="0" fontId="2" fillId="0" borderId="0" xfId="0" applyFont="1" applyAlignment="1">
      <alignment horizontal="right" indent="1"/>
    </xf>
    <xf numFmtId="0" fontId="0" fillId="0" borderId="3" xfId="0" applyBorder="1" applyAlignment="1" applyProtection="1">
      <alignment horizontal="left" indent="1"/>
      <protection locked="0"/>
    </xf>
    <xf numFmtId="166" fontId="3" fillId="0" borderId="1" xfId="0" applyNumberFormat="1" applyFont="1" applyBorder="1"/>
    <xf numFmtId="49" fontId="3" fillId="0" borderId="0" xfId="0" applyNumberFormat="1" applyFont="1"/>
    <xf numFmtId="0" fontId="9" fillId="5" borderId="2" xfId="0" applyFont="1" applyFill="1" applyBorder="1" applyAlignment="1">
      <alignment horizontal="center"/>
    </xf>
    <xf numFmtId="0" fontId="9" fillId="5" borderId="4" xfId="0" applyFont="1" applyFill="1" applyBorder="1" applyAlignment="1">
      <alignment horizontal="center"/>
    </xf>
    <xf numFmtId="0" fontId="0" fillId="0" borderId="2" xfId="0" applyBorder="1" applyAlignment="1" applyProtection="1">
      <alignment horizontal="left" indent="1"/>
      <protection locked="0"/>
    </xf>
    <xf numFmtId="0" fontId="0" fillId="0" borderId="4" xfId="0" applyBorder="1" applyAlignment="1" applyProtection="1">
      <alignment horizontal="left" indent="1"/>
      <protection locked="0"/>
    </xf>
    <xf numFmtId="0" fontId="9" fillId="5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Normal 3" xfId="2" xr:uid="{B6A280C1-570F-4641-B420-D5B08B1F4527}"/>
  </cellStyles>
  <dxfs count="14">
    <dxf>
      <font>
        <b/>
        <i val="0"/>
      </font>
    </dxf>
    <dxf>
      <font>
        <b/>
        <i val="0"/>
        <color auto="1"/>
      </font>
    </dxf>
    <dxf>
      <font>
        <b/>
        <i val="0"/>
      </font>
    </dxf>
    <dxf>
      <font>
        <b/>
        <i val="0"/>
        <color auto="1"/>
      </font>
    </dxf>
    <dxf>
      <font>
        <b/>
        <i val="0"/>
      </font>
    </dxf>
    <dxf>
      <font>
        <b/>
        <i val="0"/>
        <color auto="1"/>
      </font>
    </dxf>
    <dxf>
      <font>
        <b/>
        <i val="0"/>
      </font>
    </dxf>
    <dxf>
      <font>
        <b/>
        <i val="0"/>
        <color auto="1"/>
      </font>
    </dxf>
    <dxf>
      <font>
        <b/>
        <i val="0"/>
      </font>
    </dxf>
    <dxf>
      <font>
        <b/>
        <i val="0"/>
        <color auto="1"/>
      </font>
    </dxf>
    <dxf>
      <font>
        <b/>
        <i val="0"/>
      </font>
    </dxf>
    <dxf>
      <font>
        <b/>
        <i val="0"/>
        <color auto="1"/>
      </font>
    </dxf>
    <dxf>
      <font>
        <b/>
        <i val="0"/>
      </font>
    </dxf>
    <dxf>
      <font>
        <b/>
        <i val="0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7" Type="http://schemas.openxmlformats.org/officeDocument/2006/relationships/image" Target="../media/image1.emf"/><Relationship Id="rId2" Type="http://schemas.openxmlformats.org/officeDocument/2006/relationships/image" Target="../media/image6.emf"/><Relationship Id="rId1" Type="http://schemas.openxmlformats.org/officeDocument/2006/relationships/image" Target="../media/image7.emf"/><Relationship Id="rId6" Type="http://schemas.openxmlformats.org/officeDocument/2006/relationships/image" Target="../media/image2.emf"/><Relationship Id="rId5" Type="http://schemas.openxmlformats.org/officeDocument/2006/relationships/image" Target="../media/image3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22860</xdr:colOff>
          <xdr:row>52</xdr:row>
          <xdr:rowOff>22860</xdr:rowOff>
        </xdr:from>
        <xdr:to>
          <xdr:col>9</xdr:col>
          <xdr:colOff>670560</xdr:colOff>
          <xdr:row>52</xdr:row>
          <xdr:rowOff>266700</xdr:rowOff>
        </xdr:to>
        <xdr:sp macro="" textlink="">
          <xdr:nvSpPr>
            <xdr:cNvPr id="1071" name="TIButton1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708660</xdr:colOff>
          <xdr:row>52</xdr:row>
          <xdr:rowOff>22860</xdr:rowOff>
        </xdr:from>
        <xdr:to>
          <xdr:col>10</xdr:col>
          <xdr:colOff>556260</xdr:colOff>
          <xdr:row>52</xdr:row>
          <xdr:rowOff>266700</xdr:rowOff>
        </xdr:to>
        <xdr:sp macro="" textlink="">
          <xdr:nvSpPr>
            <xdr:cNvPr id="1072" name="TIButton2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579120</xdr:colOff>
          <xdr:row>52</xdr:row>
          <xdr:rowOff>22860</xdr:rowOff>
        </xdr:from>
        <xdr:to>
          <xdr:col>10</xdr:col>
          <xdr:colOff>1935480</xdr:colOff>
          <xdr:row>52</xdr:row>
          <xdr:rowOff>266700</xdr:rowOff>
        </xdr:to>
        <xdr:sp macro="" textlink="">
          <xdr:nvSpPr>
            <xdr:cNvPr id="1073" name="TIButton3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480060</xdr:colOff>
          <xdr:row>52</xdr:row>
          <xdr:rowOff>22860</xdr:rowOff>
        </xdr:from>
        <xdr:to>
          <xdr:col>14</xdr:col>
          <xdr:colOff>236220</xdr:colOff>
          <xdr:row>52</xdr:row>
          <xdr:rowOff>266700</xdr:rowOff>
        </xdr:to>
        <xdr:sp macro="" textlink="">
          <xdr:nvSpPr>
            <xdr:cNvPr id="1074" name="TIButton4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693420</xdr:colOff>
          <xdr:row>52</xdr:row>
          <xdr:rowOff>22860</xdr:rowOff>
        </xdr:from>
        <xdr:to>
          <xdr:col>13</xdr:col>
          <xdr:colOff>449580</xdr:colOff>
          <xdr:row>52</xdr:row>
          <xdr:rowOff>266700</xdr:rowOff>
        </xdr:to>
        <xdr:sp macro="" textlink="">
          <xdr:nvSpPr>
            <xdr:cNvPr id="1075" name="TIButton5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1950720</xdr:colOff>
          <xdr:row>52</xdr:row>
          <xdr:rowOff>22860</xdr:rowOff>
        </xdr:from>
        <xdr:to>
          <xdr:col>11</xdr:col>
          <xdr:colOff>449580</xdr:colOff>
          <xdr:row>52</xdr:row>
          <xdr:rowOff>266700</xdr:rowOff>
        </xdr:to>
        <xdr:sp macro="" textlink="">
          <xdr:nvSpPr>
            <xdr:cNvPr id="1076" name="TIButton6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8</xdr:col>
      <xdr:colOff>46802</xdr:colOff>
      <xdr:row>50</xdr:row>
      <xdr:rowOff>0</xdr:rowOff>
    </xdr:from>
    <xdr:to>
      <xdr:col>10</xdr:col>
      <xdr:colOff>841731</xdr:colOff>
      <xdr:row>50</xdr:row>
      <xdr:rowOff>457200</xdr:rowOff>
    </xdr:to>
    <xdr:pic>
      <xdr:nvPicPr>
        <xdr:cNvPr id="12" name="Picture 3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02" y="10363200"/>
          <a:ext cx="1861729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495300</xdr:colOff>
          <xdr:row>52</xdr:row>
          <xdr:rowOff>22860</xdr:rowOff>
        </xdr:from>
        <xdr:to>
          <xdr:col>12</xdr:col>
          <xdr:colOff>655320</xdr:colOff>
          <xdr:row>52</xdr:row>
          <xdr:rowOff>266700</xdr:rowOff>
        </xdr:to>
        <xdr:sp macro="" textlink="">
          <xdr:nvSpPr>
            <xdr:cNvPr id="1077" name="TIButton7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B3CEB-D25D-4C9B-A719-EDE548FB3D5E}">
  <sheetPr codeName="Sheet1">
    <outlinePr showOutlineSymbols="0"/>
    <pageSetUpPr fitToPage="1"/>
  </sheetPr>
  <dimension ref="A1:R102"/>
  <sheetViews>
    <sheetView showGridLines="0" showRowColHeaders="0" tabSelected="1" showOutlineSymbols="0" topLeftCell="A51" zoomScaleNormal="100" workbookViewId="0">
      <pane ySplit="21" topLeftCell="A72" activePane="bottomLeft" state="frozen"/>
      <selection activeCell="I51" sqref="I51"/>
      <selection pane="bottomLeft"/>
    </sheetView>
  </sheetViews>
  <sheetFormatPr defaultRowHeight="14.4" outlineLevelRow="1" outlineLevelCol="1" x14ac:dyDescent="0.3"/>
  <cols>
    <col min="1" max="1" width="2.6640625" hidden="1" customWidth="1" outlineLevel="1"/>
    <col min="2" max="7" width="19.44140625" hidden="1" customWidth="1" outlineLevel="1"/>
    <col min="8" max="8" width="13.5546875" hidden="1" customWidth="1" outlineLevel="1"/>
    <col min="9" max="9" width="0.88671875" customWidth="1" collapsed="1"/>
    <col min="10" max="10" width="14.6640625" customWidth="1"/>
    <col min="11" max="11" width="45.6640625" customWidth="1"/>
    <col min="12" max="12" width="20.6640625" customWidth="1"/>
    <col min="13" max="18" width="14.6640625" customWidth="1"/>
  </cols>
  <sheetData>
    <row r="1" spans="1:18" hidden="1" outlineLevel="1" x14ac:dyDescent="0.3">
      <c r="A1" t="s">
        <v>0</v>
      </c>
    </row>
    <row r="2" spans="1:18" s="1" customFormat="1" hidden="1" outlineLevel="1" x14ac:dyDescent="0.3">
      <c r="A2">
        <f>0</f>
        <v>0</v>
      </c>
      <c r="B2"/>
      <c r="J2" s="18"/>
      <c r="K2" s="18"/>
      <c r="L2" s="18"/>
      <c r="M2" s="16"/>
      <c r="N2" s="16"/>
      <c r="O2" s="16"/>
      <c r="P2" s="16"/>
      <c r="Q2" s="16"/>
      <c r="R2" s="16"/>
    </row>
    <row r="3" spans="1:18" s="1" customFormat="1" hidden="1" outlineLevel="1" x14ac:dyDescent="0.3">
      <c r="A3">
        <f>1</f>
        <v>1</v>
      </c>
      <c r="B3"/>
      <c r="J3" s="4"/>
      <c r="K3" s="4"/>
      <c r="L3" s="4"/>
      <c r="M3" s="17"/>
      <c r="N3" s="17"/>
      <c r="O3" s="17"/>
      <c r="P3" s="17"/>
      <c r="Q3" s="17"/>
      <c r="R3" s="17"/>
    </row>
    <row r="4" spans="1:18" s="1" customFormat="1" hidden="1" outlineLevel="1" x14ac:dyDescent="0.3">
      <c r="A4">
        <f>2</f>
        <v>2</v>
      </c>
      <c r="B4"/>
      <c r="J4" s="4"/>
      <c r="K4" s="4"/>
      <c r="L4" s="4"/>
      <c r="M4" s="17"/>
      <c r="N4" s="17"/>
      <c r="O4" s="17"/>
      <c r="P4" s="17"/>
      <c r="Q4" s="17"/>
      <c r="R4" s="17"/>
    </row>
    <row r="5" spans="1:18" s="1" customFormat="1" hidden="1" outlineLevel="1" x14ac:dyDescent="0.3">
      <c r="A5">
        <f>3</f>
        <v>3</v>
      </c>
      <c r="B5"/>
      <c r="J5" s="4"/>
      <c r="K5" s="4"/>
      <c r="L5" s="4"/>
      <c r="M5" s="17"/>
      <c r="N5" s="17"/>
      <c r="O5" s="17"/>
      <c r="P5" s="17"/>
      <c r="Q5" s="17"/>
      <c r="R5" s="17"/>
    </row>
    <row r="6" spans="1:18" s="1" customFormat="1" hidden="1" outlineLevel="1" x14ac:dyDescent="0.3">
      <c r="A6" t="s">
        <v>32</v>
      </c>
      <c r="B6"/>
      <c r="J6" s="4"/>
      <c r="K6" s="4"/>
      <c r="L6" s="4"/>
      <c r="M6" s="17"/>
      <c r="N6" s="17"/>
      <c r="O6" s="17"/>
      <c r="P6" s="17"/>
      <c r="Q6" s="17"/>
      <c r="R6" s="17"/>
    </row>
    <row r="7" spans="1:18" hidden="1" outlineLevel="1" x14ac:dyDescent="0.3">
      <c r="A7" t="s">
        <v>1</v>
      </c>
      <c r="J7" s="4"/>
      <c r="K7" s="4"/>
      <c r="L7" s="4"/>
      <c r="M7" s="17"/>
      <c r="N7" s="17"/>
      <c r="O7" s="17"/>
      <c r="P7" s="17"/>
      <c r="Q7" s="17"/>
      <c r="R7" s="17"/>
    </row>
    <row r="8" spans="1:18" hidden="1" outlineLevel="1" x14ac:dyDescent="0.3">
      <c r="A8" t="s">
        <v>2</v>
      </c>
    </row>
    <row r="9" spans="1:18" hidden="1" outlineLevel="1" x14ac:dyDescent="0.3"/>
    <row r="10" spans="1:18" hidden="1" outlineLevel="1" x14ac:dyDescent="0.3"/>
    <row r="11" spans="1:18" hidden="1" outlineLevel="1" x14ac:dyDescent="0.3">
      <c r="B11" s="34" t="s">
        <v>26</v>
      </c>
      <c r="C11" s="35"/>
      <c r="D11" s="36"/>
    </row>
    <row r="12" spans="1:18" hidden="1" outlineLevel="1" x14ac:dyDescent="0.3">
      <c r="B12" s="9" t="s">
        <v>27</v>
      </c>
      <c r="C12" s="4" t="s">
        <v>67</v>
      </c>
      <c r="D12" s="10"/>
    </row>
    <row r="13" spans="1:18" hidden="1" outlineLevel="1" x14ac:dyDescent="0.3">
      <c r="B13" s="9"/>
      <c r="C13" s="11"/>
      <c r="D13" s="10"/>
    </row>
    <row r="14" spans="1:18" hidden="1" outlineLevel="1" x14ac:dyDescent="0.3"/>
    <row r="15" spans="1:18" hidden="1" outlineLevel="1" x14ac:dyDescent="0.3">
      <c r="B15" s="34" t="s">
        <v>28</v>
      </c>
      <c r="C15" s="35"/>
      <c r="D15" s="36"/>
    </row>
    <row r="16" spans="1:18" hidden="1" outlineLevel="1" x14ac:dyDescent="0.3">
      <c r="B16" s="4" t="s">
        <v>3</v>
      </c>
      <c r="C16" s="4" t="str" cm="1">
        <f t="array" aca="1" ref="C16" ca="1">_xll.TM1RPTVIEW(db_name&amp;":AE group adjustment entry:CUSTNO", $C$28, _xll.TM1RPTTITLE(db_name&amp;":headline year",$M$57), _xll.TM1RPTTITLE(db_name&amp;":scenario",$M$58), _xll.TM1RPTTITLE(db_name&amp;":status",$M$59), _xll.TM1RPTTITLE(db_name&amp;":related entity",$M$64), _xll.TM1RPTTITLE(db_name&amp;":account type",$M$61), _xll.TM1RPTTITLE(db_name&amp;":account template",$M$63), _xll.TM1RPTTITLE(db_name&amp;":jurisdiction",$M$65), _xll.TM1RPTTITLE(db_name&amp;":group adjustment measure",$M$62),TM1RPTFMTRNG,TM1RPTFMTIDCOL)</f>
        <v>dcceew_geus:AE group adjustment entry:CUSTNO</v>
      </c>
      <c r="D16" s="10"/>
    </row>
    <row r="17" spans="2:4" hidden="1" outlineLevel="1" x14ac:dyDescent="0.3">
      <c r="B17" s="4" t="s">
        <v>4</v>
      </c>
      <c r="C17" s="4" t="str" cm="1">
        <f t="array" aca="1" ref="C17" ca="1">_xll.VIEW(db_name&amp;":AE group adjustment entry",$M$57,$M$58,$M$59,$M$64,"!","!",$M$61,$M$63,"!",$M$65,"!")</f>
        <v>dcceew_geus:AE group adjustment entry</v>
      </c>
      <c r="D17" s="10"/>
    </row>
    <row r="18" spans="2:4" hidden="1" outlineLevel="1" x14ac:dyDescent="0.3">
      <c r="B18" s="4" t="s">
        <v>5</v>
      </c>
      <c r="C18" s="4" t="str" cm="1">
        <f t="array" aca="1" ref="C18" ca="1">_xll.VIEW(db_name&amp;":AE id details",$M$57,$M$58,"!","!")</f>
        <v>dcceew_geus:AE id details</v>
      </c>
      <c r="D18" s="10"/>
    </row>
    <row r="19" spans="2:4" hidden="1" outlineLevel="1" x14ac:dyDescent="0.3">
      <c r="B19" s="12" t="s">
        <v>29</v>
      </c>
      <c r="C19" s="4" t="str" cm="1">
        <f t="array" aca="1" ref="C19" ca="1">_xll.VIEW(db_name&amp;":sys_application","!","!")</f>
        <v>dcceew_geus:sys_application</v>
      </c>
      <c r="D19" s="10"/>
    </row>
    <row r="20" spans="2:4" hidden="1" outlineLevel="1" x14ac:dyDescent="0.3">
      <c r="B20" s="9"/>
      <c r="C20" s="13"/>
      <c r="D20" s="10"/>
    </row>
    <row r="21" spans="2:4" hidden="1" outlineLevel="1" x14ac:dyDescent="0.3"/>
    <row r="22" spans="2:4" hidden="1" outlineLevel="1" x14ac:dyDescent="0.3">
      <c r="B22" s="34" t="s">
        <v>30</v>
      </c>
      <c r="C22" s="35"/>
      <c r="D22" s="36"/>
    </row>
    <row r="23" spans="2:4" hidden="1" outlineLevel="1" x14ac:dyDescent="0.3">
      <c r="B23" s="4" t="s">
        <v>6</v>
      </c>
      <c r="C23" s="4" t="str">
        <f ca="1">"{{TM1FILTERBYLEVEL( {TM1DRILLDOWNMEMBER( {[programme].["&amp;$M$60&amp;"]}, ALL, RECURSIVE )}, 0)}}"</f>
        <v>{{TM1FILTERBYLEVEL( {TM1DRILLDOWNMEMBER( {[programme].[]}, ALL, RECURSIVE )}, 0)}}</v>
      </c>
      <c r="D23" s="10"/>
    </row>
    <row r="24" spans="2:4" hidden="1" outlineLevel="1" x14ac:dyDescent="0.3">
      <c r="B24" s="4" t="s">
        <v>7</v>
      </c>
      <c r="C24" s="4" t="s">
        <v>8</v>
      </c>
      <c r="D24" s="10"/>
    </row>
    <row r="25" spans="2:4" hidden="1" outlineLevel="1" x14ac:dyDescent="0.3">
      <c r="B25" s="4" t="s">
        <v>9</v>
      </c>
      <c r="C25" s="4" t="str">
        <f>"{{TM1FILTERBYLEVEL( {TM1DRILLDOWNMEMBER( {[id].[New Adjustments]}, ALL, RECURSIVE )}, 0)},[id].[New Adjustments]}"</f>
        <v>{{TM1FILTERBYLEVEL( {TM1DRILLDOWNMEMBER( {[id].[New Adjustments]}, ALL, RECURSIVE )}, 0)},[id].[New Adjustments]}</v>
      </c>
      <c r="D25" s="10"/>
    </row>
    <row r="26" spans="2:4" hidden="1" outlineLevel="1" x14ac:dyDescent="0.3"/>
    <row r="27" spans="2:4" hidden="1" outlineLevel="1" x14ac:dyDescent="0.3">
      <c r="B27" s="34" t="s">
        <v>31</v>
      </c>
      <c r="C27" s="35"/>
      <c r="D27" s="36"/>
    </row>
    <row r="28" spans="2:4" hidden="1" outlineLevel="1" x14ac:dyDescent="0.3">
      <c r="B28" s="12" t="s">
        <v>10</v>
      </c>
      <c r="C28" s="10">
        <f ca="1">IF($Q$58="Yes",1,0)</f>
        <v>1</v>
      </c>
      <c r="D28" s="10"/>
    </row>
    <row r="29" spans="2:4" hidden="1" outlineLevel="1" x14ac:dyDescent="0.3">
      <c r="B29" s="12"/>
      <c r="C29" s="10"/>
      <c r="D29" s="10"/>
    </row>
    <row r="30" spans="2:4" hidden="1" outlineLevel="1" x14ac:dyDescent="0.3"/>
    <row r="31" spans="2:4" hidden="1" outlineLevel="1" x14ac:dyDescent="0.3">
      <c r="B31" s="34" t="s">
        <v>11</v>
      </c>
      <c r="C31" s="35"/>
      <c r="D31" s="36"/>
    </row>
    <row r="32" spans="2:4" hidden="1" outlineLevel="1" x14ac:dyDescent="0.3">
      <c r="B32" s="12" t="s">
        <v>12</v>
      </c>
      <c r="C32" s="10" t="str" cm="1">
        <f t="array" aca="1" ref="C32" ca="1">_xll.SUBNM(db_name&amp;":id","","New Adjustments")</f>
        <v/>
      </c>
      <c r="D32" s="10"/>
    </row>
    <row r="33" spans="2:18" hidden="1" outlineLevel="1" x14ac:dyDescent="0.3">
      <c r="B33" s="12" t="s">
        <v>62</v>
      </c>
      <c r="C33" s="10" t="str" cm="1">
        <f t="array" aca="1" ref="C33" ca="1">_xll.SUBNM(db_name&amp;":id","","New Adjustments")</f>
        <v/>
      </c>
      <c r="D33" s="10"/>
    </row>
    <row r="34" spans="2:18" hidden="1" outlineLevel="1" x14ac:dyDescent="0.3">
      <c r="B34" s="12" t="s">
        <v>63</v>
      </c>
      <c r="C34" s="10" t="str" cm="1">
        <f t="array" aca="1" ref="C34" ca="1">_xll.SUBNM(db_name&amp;":measure code","","Total Measures")</f>
        <v/>
      </c>
      <c r="D34" s="10"/>
    </row>
    <row r="35" spans="2:18" hidden="1" outlineLevel="1" x14ac:dyDescent="0.3">
      <c r="B35" s="12"/>
      <c r="C35" s="10"/>
      <c r="D35" s="10"/>
    </row>
    <row r="36" spans="2:18" hidden="1" outlineLevel="1" x14ac:dyDescent="0.3">
      <c r="B36" s="25"/>
      <c r="C36" s="26"/>
      <c r="D36" s="26"/>
    </row>
    <row r="37" spans="2:18" hidden="1" outlineLevel="1" x14ac:dyDescent="0.3">
      <c r="B37" s="34" t="s">
        <v>29</v>
      </c>
      <c r="C37" s="35"/>
      <c r="D37" s="35"/>
      <c r="E37" s="35"/>
      <c r="F37" s="35"/>
      <c r="G37" s="35"/>
      <c r="H37" s="36"/>
    </row>
    <row r="38" spans="2:18" hidden="1" outlineLevel="1" x14ac:dyDescent="0.3">
      <c r="B38" s="12"/>
      <c r="C38" s="9" t="s">
        <v>33</v>
      </c>
      <c r="D38" s="9" t="s">
        <v>34</v>
      </c>
      <c r="E38" s="9" t="s">
        <v>35</v>
      </c>
      <c r="F38" s="9" t="s">
        <v>36</v>
      </c>
      <c r="G38" s="9" t="s">
        <v>37</v>
      </c>
      <c r="H38" s="9" t="s">
        <v>38</v>
      </c>
    </row>
    <row r="39" spans="2:18" hidden="1" outlineLevel="1" x14ac:dyDescent="0.3">
      <c r="B39" s="12" t="s">
        <v>39</v>
      </c>
      <c r="C39" s="12" t="str" cm="1">
        <f t="array" aca="1" ref="C39" ca="1">_xll.DBR($C$19,$B39,C$38)</f>
        <v>*KEY_ERR</v>
      </c>
      <c r="D39" s="12" t="str" cm="1">
        <f t="array" aca="1" ref="D39" ca="1">_xll.DBR($C$19,$B39,D$38)</f>
        <v>*KEY_ERR</v>
      </c>
      <c r="E39" s="12" t="str" cm="1">
        <f t="array" aca="1" ref="E39" ca="1">_xll.DBR($C$19,$B39,E$38)</f>
        <v>*KEY_ERR</v>
      </c>
      <c r="F39" s="12" t="str" cm="1">
        <f t="array" aca="1" ref="F39" ca="1">_xll.DBR($C$19,$B39,F$38)</f>
        <v>*KEY_ERR</v>
      </c>
      <c r="G39" s="12" t="str" cm="1">
        <f t="array" aca="1" ref="G39" ca="1">_xll.DBR($C$19,$B39,G$38)</f>
        <v>*KEY_ERR</v>
      </c>
      <c r="H39" s="12" t="str" cm="1">
        <f t="array" aca="1" ref="H39" ca="1">_xll.DBR($C$19,$B39,H$38)</f>
        <v>*KEY_ERR</v>
      </c>
    </row>
    <row r="40" spans="2:18" hidden="1" outlineLevel="1" x14ac:dyDescent="0.3">
      <c r="B40" s="12" t="s">
        <v>40</v>
      </c>
      <c r="C40" s="12" t="str" cm="1">
        <f t="array" aca="1" ref="C40" ca="1">_xll.DBR($C$19,$B40,C$38)</f>
        <v>*KEY_ERR</v>
      </c>
      <c r="D40" s="12" t="str" cm="1">
        <f t="array" aca="1" ref="D40" ca="1">_xll.DBR($C$19,$B40,D$38)</f>
        <v>*KEY_ERR</v>
      </c>
      <c r="E40" s="12" t="str" cm="1">
        <f t="array" aca="1" ref="E40" ca="1">_xll.DBR($C$19,$B40,E$38)</f>
        <v>*KEY_ERR</v>
      </c>
      <c r="F40" s="12" t="str" cm="1">
        <f t="array" aca="1" ref="F40" ca="1">_xll.DBR($C$19,$B40,F$38)</f>
        <v>*KEY_ERR</v>
      </c>
      <c r="G40" s="12" t="str" cm="1">
        <f t="array" aca="1" ref="G40" ca="1">_xll.DBR($C$19,$B40,G$38)</f>
        <v>*KEY_ERR</v>
      </c>
      <c r="H40" s="12" t="str" cm="1">
        <f t="array" aca="1" ref="H40" ca="1">_xll.DBR($C$19,$B40,H$38)</f>
        <v>*KEY_ERR</v>
      </c>
    </row>
    <row r="41" spans="2:18" hidden="1" outlineLevel="1" x14ac:dyDescent="0.3">
      <c r="B41" s="12" t="s">
        <v>41</v>
      </c>
      <c r="C41" s="12" t="str" cm="1">
        <f t="array" aca="1" ref="C41" ca="1">_xll.DBR($C$19,$B41,C$38)</f>
        <v>*KEY_ERR</v>
      </c>
      <c r="D41" s="12" t="str" cm="1">
        <f t="array" aca="1" ref="D41" ca="1">_xll.DBR($C$19,$B41,D$38)</f>
        <v>*KEY_ERR</v>
      </c>
      <c r="E41" s="12" t="str" cm="1">
        <f t="array" aca="1" ref="E41" ca="1">_xll.DBR($C$19,$B41,E$38)</f>
        <v>*KEY_ERR</v>
      </c>
      <c r="F41" s="12" t="str" cm="1">
        <f t="array" aca="1" ref="F41" ca="1">_xll.DBR($C$19,$B41,F$38)</f>
        <v>*KEY_ERR</v>
      </c>
      <c r="G41" s="12" t="str" cm="1">
        <f t="array" aca="1" ref="G41" ca="1">_xll.DBR($C$19,$B41,G$38)</f>
        <v>*KEY_ERR</v>
      </c>
      <c r="H41" s="12" t="str" cm="1">
        <f t="array" aca="1" ref="H41" ca="1">_xll.DBR($C$19,$B41,H$38)</f>
        <v>*KEY_ERR</v>
      </c>
    </row>
    <row r="42" spans="2:18" hidden="1" outlineLevel="1" x14ac:dyDescent="0.3">
      <c r="B42" s="12" t="s">
        <v>42</v>
      </c>
      <c r="C42" s="12" t="str" cm="1">
        <f t="array" aca="1" ref="C42" ca="1">_xll.DBR($C$19,$B42,C$38)</f>
        <v>*KEY_ERR</v>
      </c>
      <c r="D42" s="12" t="str" cm="1">
        <f t="array" aca="1" ref="D42" ca="1">_xll.DBR($C$19,$B42,D$38)</f>
        <v>*KEY_ERR</v>
      </c>
      <c r="E42" s="12" t="str" cm="1">
        <f t="array" aca="1" ref="E42" ca="1">_xll.DBR($C$19,$B42,E$38)</f>
        <v>*KEY_ERR</v>
      </c>
      <c r="F42" s="12" t="str" cm="1">
        <f t="array" aca="1" ref="F42" ca="1">_xll.DBR($C$19,$B42,F$38)</f>
        <v>*KEY_ERR</v>
      </c>
      <c r="G42" s="12" t="str" cm="1">
        <f t="array" aca="1" ref="G42" ca="1">_xll.DBR($C$19,$B42,G$38)</f>
        <v>*KEY_ERR</v>
      </c>
      <c r="H42" s="12" t="str" cm="1">
        <f t="array" aca="1" ref="H42" ca="1">_xll.DBR($C$19,$B42,H$38)</f>
        <v>*KEY_ERR</v>
      </c>
    </row>
    <row r="43" spans="2:18" hidden="1" outlineLevel="1" x14ac:dyDescent="0.3">
      <c r="B43" s="12" t="s">
        <v>43</v>
      </c>
      <c r="C43" s="12" t="str" cm="1">
        <f t="array" aca="1" ref="C43" ca="1">_xll.DBR($C$19,$B43,C$38)</f>
        <v>*KEY_ERR</v>
      </c>
      <c r="D43" s="12" t="str" cm="1">
        <f t="array" aca="1" ref="D43" ca="1">_xll.DBR($C$19,$B43,D$38)</f>
        <v>*KEY_ERR</v>
      </c>
      <c r="E43" s="12" t="str" cm="1">
        <f t="array" aca="1" ref="E43" ca="1">_xll.DBR($C$19,$B43,E$38)</f>
        <v>*KEY_ERR</v>
      </c>
      <c r="F43" s="12" t="str" cm="1">
        <f t="array" aca="1" ref="F43" ca="1">_xll.DBR($C$19,$B43,F$38)</f>
        <v>*KEY_ERR</v>
      </c>
      <c r="G43" s="12" t="str" cm="1">
        <f t="array" aca="1" ref="G43" ca="1">_xll.DBR($C$19,$B43,G$38)</f>
        <v>*KEY_ERR</v>
      </c>
      <c r="H43" s="12" t="str" cm="1">
        <f t="array" aca="1" ref="H43" ca="1">_xll.DBR($C$19,$B43,H$38)</f>
        <v>*KEY_ERR</v>
      </c>
    </row>
    <row r="44" spans="2:18" hidden="1" outlineLevel="1" x14ac:dyDescent="0.3">
      <c r="B44" s="12" t="s">
        <v>66</v>
      </c>
      <c r="C44" s="12" t="str" cm="1">
        <f t="array" aca="1" ref="C44" ca="1">_xll.DBR($C$19,$B44,C$38)</f>
        <v>*KEY_ERR</v>
      </c>
      <c r="D44" s="12" t="str" cm="1">
        <f t="array" aca="1" ref="D44" ca="1">_xll.DBR($C$19,$B44,D$38)</f>
        <v>*KEY_ERR</v>
      </c>
      <c r="E44" s="12" t="str" cm="1">
        <f t="array" aca="1" ref="E44" ca="1">_xll.DBR($C$19,$B44,E$38)</f>
        <v>*KEY_ERR</v>
      </c>
      <c r="F44" s="12" t="str" cm="1">
        <f t="array" aca="1" ref="F44" ca="1">_xll.DBR($C$19,$B44,F$38)</f>
        <v>*KEY_ERR</v>
      </c>
      <c r="G44" s="12" t="str" cm="1">
        <f t="array" aca="1" ref="G44" ca="1">_xll.DBR($C$19,$B44,G$38)</f>
        <v>*KEY_ERR</v>
      </c>
      <c r="H44" s="12" t="str" cm="1">
        <f t="array" aca="1" ref="H44" ca="1">_xll.DBR($C$19,$B44,H$38)</f>
        <v>*KEY_ERR</v>
      </c>
    </row>
    <row r="45" spans="2:18" hidden="1" outlineLevel="1" x14ac:dyDescent="0.3">
      <c r="B45" s="12" t="s">
        <v>44</v>
      </c>
      <c r="C45" s="12" t="str" cm="1">
        <f t="array" aca="1" ref="C45" ca="1">_xll.DBR($C$19,$B45,C$38)</f>
        <v>*KEY_ERR</v>
      </c>
      <c r="D45" s="12" t="str" cm="1">
        <f t="array" aca="1" ref="D45" ca="1">_xll.DBR($C$19,$B45,D$38)</f>
        <v>*KEY_ERR</v>
      </c>
      <c r="E45" s="12" t="str" cm="1">
        <f t="array" aca="1" ref="E45" ca="1">_xll.DBR($C$19,$B45,E$38)</f>
        <v>*KEY_ERR</v>
      </c>
      <c r="F45" s="12" t="str" cm="1">
        <f t="array" aca="1" ref="F45" ca="1">_xll.DBR($C$19,$B45,F$38)</f>
        <v>*KEY_ERR</v>
      </c>
      <c r="G45" s="12" t="str" cm="1">
        <f t="array" aca="1" ref="G45" ca="1">_xll.DBR($C$19,$B45,G$38)</f>
        <v>*KEY_ERR</v>
      </c>
      <c r="H45" s="12" t="str" cm="1">
        <f t="array" aca="1" ref="H45" ca="1">_xll.DBR($C$19,$B45,H$38)</f>
        <v>*KEY_ERR</v>
      </c>
    </row>
    <row r="46" spans="2:18" hidden="1" outlineLevel="1" x14ac:dyDescent="0.3">
      <c r="B46" s="12" t="s">
        <v>45</v>
      </c>
      <c r="C46" s="12" t="str" cm="1">
        <f t="array" aca="1" ref="C46" ca="1">_xll.DBR($C$19,$B46,C$38)</f>
        <v>*KEY_ERR</v>
      </c>
      <c r="D46" s="12" t="str" cm="1">
        <f t="array" aca="1" ref="D46" ca="1">_xll.DBR($C$19,$B46,D$38)</f>
        <v>*KEY_ERR</v>
      </c>
      <c r="E46" s="12" t="str" cm="1">
        <f t="array" aca="1" ref="E46" ca="1">_xll.DBR($C$19,$B46,E$38)</f>
        <v>*KEY_ERR</v>
      </c>
      <c r="F46" s="12" t="str" cm="1">
        <f t="array" aca="1" ref="F46" ca="1">_xll.DBR($C$19,$B46,F$38)</f>
        <v>*KEY_ERR</v>
      </c>
      <c r="G46" s="12" t="str" cm="1">
        <f t="array" aca="1" ref="G46" ca="1">_xll.DBR($C$19,$B46,G$38)</f>
        <v>*KEY_ERR</v>
      </c>
      <c r="H46" s="12" t="str" cm="1">
        <f t="array" aca="1" ref="H46" ca="1">_xll.DBR($C$19,$B46,H$38)</f>
        <v>*KEY_ERR</v>
      </c>
    </row>
    <row r="47" spans="2:18" hidden="1" outlineLevel="1" x14ac:dyDescent="0.3">
      <c r="B47" s="12" t="s">
        <v>46</v>
      </c>
      <c r="C47" s="12" t="str" cm="1">
        <f t="array" aca="1" ref="C47" ca="1">_xll.DBR($C$19,$B47,C$38)</f>
        <v>*KEY_ERR</v>
      </c>
      <c r="D47" s="12" t="str" cm="1">
        <f t="array" aca="1" ref="D47" ca="1">_xll.DBR($C$19,$B47,D$38)</f>
        <v>*KEY_ERR</v>
      </c>
      <c r="E47" s="12" t="str" cm="1">
        <f t="array" aca="1" ref="E47" ca="1">_xll.DBR($C$19,$B47,E$38)</f>
        <v>*KEY_ERR</v>
      </c>
      <c r="F47" s="12" t="str" cm="1">
        <f t="array" aca="1" ref="F47" ca="1">_xll.DBR($C$19,$B47,F$38)</f>
        <v>*KEY_ERR</v>
      </c>
      <c r="G47" s="12" t="str" cm="1">
        <f t="array" aca="1" ref="G47" ca="1">_xll.DBR($C$19,$B47,G$38)</f>
        <v>*KEY_ERR</v>
      </c>
      <c r="H47" s="12" t="str" cm="1">
        <f t="array" aca="1" ref="H47" ca="1">_xll.DBR($C$19,$B47,H$38)</f>
        <v>*KEY_ERR</v>
      </c>
      <c r="L47" s="14" t="str">
        <f ca="1">RIGHT($M$57,9)</f>
        <v/>
      </c>
      <c r="M47" s="12" t="str" cm="1">
        <f t="array" aca="1" ref="M47" ca="1">_xll.DIMNM($C$12&amp;":period",_xll.DIMIX($C$12&amp;":period",$L$47)+M48)</f>
        <v/>
      </c>
      <c r="N47" s="12" t="str" cm="1">
        <f t="array" aca="1" ref="N47" ca="1">_xll.DIMNM($C$12&amp;":period",_xll.DIMIX($C$12&amp;":period",$L$47)+N48)</f>
        <v/>
      </c>
      <c r="O47" s="12" t="str" cm="1">
        <f t="array" aca="1" ref="O47" ca="1">_xll.DIMNM($C$12&amp;":period",_xll.DIMIX($C$12&amp;":period",$L$47)+O48)</f>
        <v/>
      </c>
      <c r="P47" s="12" t="str" cm="1">
        <f t="array" aca="1" ref="P47" ca="1">_xll.DIMNM($C$12&amp;":period",_xll.DIMIX($C$12&amp;":period",$L$47)+P48)</f>
        <v/>
      </c>
      <c r="Q47" s="12" t="str" cm="1">
        <f t="array" aca="1" ref="Q47" ca="1">_xll.DIMNM($C$12&amp;":period",_xll.DIMIX($C$12&amp;":period",$L$47)+Q48)</f>
        <v/>
      </c>
      <c r="R47" s="12" t="str" cm="1">
        <f t="array" aca="1" ref="R47" ca="1">_xll.DIMNM($C$12&amp;":period",_xll.DIMIX($C$12&amp;":period",$L$47)+R48)</f>
        <v/>
      </c>
    </row>
    <row r="48" spans="2:18" hidden="1" outlineLevel="1" x14ac:dyDescent="0.3">
      <c r="B48" s="12" t="s">
        <v>47</v>
      </c>
      <c r="C48" s="12" t="str" cm="1">
        <f t="array" aca="1" ref="C48" ca="1">_xll.DBR($C$19,$B48,C$38)</f>
        <v>*KEY_ERR</v>
      </c>
      <c r="D48" s="12" t="str" cm="1">
        <f t="array" aca="1" ref="D48" ca="1">_xll.DBR($C$19,$B48,D$38)</f>
        <v>*KEY_ERR</v>
      </c>
      <c r="E48" s="12" t="str" cm="1">
        <f t="array" aca="1" ref="E48" ca="1">_xll.DBR($C$19,$B48,E$38)</f>
        <v>*KEY_ERR</v>
      </c>
      <c r="F48" s="12" t="str" cm="1">
        <f t="array" aca="1" ref="F48" ca="1">_xll.DBR($C$19,$B48,F$38)</f>
        <v>*KEY_ERR</v>
      </c>
      <c r="G48" s="12" t="str" cm="1">
        <f t="array" aca="1" ref="G48" ca="1">_xll.DBR($C$19,$B48,G$38)</f>
        <v>*KEY_ERR</v>
      </c>
      <c r="H48" s="12" t="str" cm="1">
        <f t="array" aca="1" ref="H48" ca="1">_xll.DBR($C$19,$B48,H$38)</f>
        <v>*KEY_ERR</v>
      </c>
      <c r="L48" s="14" t="s">
        <v>49</v>
      </c>
      <c r="M48" s="12">
        <v>-1</v>
      </c>
      <c r="N48" s="12">
        <v>0</v>
      </c>
      <c r="O48" s="12">
        <v>1</v>
      </c>
      <c r="P48" s="12">
        <v>2</v>
      </c>
      <c r="Q48" s="12">
        <v>3</v>
      </c>
      <c r="R48" s="12">
        <v>4</v>
      </c>
    </row>
    <row r="49" spans="1:18" hidden="1" outlineLevel="1" x14ac:dyDescent="0.3">
      <c r="B49" s="12" t="s">
        <v>48</v>
      </c>
      <c r="C49" s="12" t="str" cm="1">
        <f t="array" aca="1" ref="C49" ca="1">_xll.DBR($C$19,$B49,C$38)</f>
        <v>*KEY_ERR</v>
      </c>
      <c r="D49" s="12" t="str" cm="1">
        <f t="array" aca="1" ref="D49" ca="1">_xll.DBR($C$19,$B49,D$38)</f>
        <v>*KEY_ERR</v>
      </c>
      <c r="E49" s="12" t="str" cm="1">
        <f t="array" aca="1" ref="E49" ca="1">_xll.DBR($C$19,$B49,E$38)</f>
        <v>*KEY_ERR</v>
      </c>
      <c r="F49" s="12" t="str" cm="1">
        <f t="array" aca="1" ref="F49" ca="1">_xll.DBR($C$19,$B49,F$38)</f>
        <v>*KEY_ERR</v>
      </c>
      <c r="G49" s="12" t="str" cm="1">
        <f t="array" aca="1" ref="G49" ca="1">_xll.DBR($C$19,$B49,G$38)</f>
        <v>*KEY_ERR</v>
      </c>
      <c r="H49" s="12" t="str" cm="1">
        <f t="array" aca="1" ref="H49" ca="1">_xll.DBR($C$19,$B49,H$38)</f>
        <v>*KEY_ERR</v>
      </c>
    </row>
    <row r="50" spans="1:18" hidden="1" outlineLevel="1" x14ac:dyDescent="0.3"/>
    <row r="51" spans="1:18" ht="39.75" customHeight="1" collapsed="1" x14ac:dyDescent="0.3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 t="s">
        <v>13</v>
      </c>
    </row>
    <row r="52" spans="1:18" ht="4.2" customHeight="1" x14ac:dyDescent="0.3"/>
    <row r="53" spans="1:18" ht="24" customHeight="1" x14ac:dyDescent="0.3"/>
    <row r="54" spans="1:18" ht="1.5" customHeight="1" x14ac:dyDescent="0.3">
      <c r="I54" s="15"/>
      <c r="J54" s="15"/>
      <c r="K54" s="15"/>
      <c r="L54" s="15"/>
      <c r="M54" s="15"/>
      <c r="N54" s="15"/>
      <c r="O54" s="15"/>
      <c r="P54" s="15"/>
      <c r="Q54" s="15"/>
      <c r="R54" s="15"/>
    </row>
    <row r="56" spans="1:18" x14ac:dyDescent="0.3">
      <c r="M56" s="29" t="s">
        <v>50</v>
      </c>
      <c r="N56" s="30"/>
      <c r="P56" s="33" t="s">
        <v>51</v>
      </c>
      <c r="Q56" s="33"/>
    </row>
    <row r="57" spans="1:18" ht="15" thickBot="1" x14ac:dyDescent="0.35">
      <c r="J57" s="5"/>
      <c r="K57" s="5"/>
      <c r="L57" s="25" t="s">
        <v>52</v>
      </c>
      <c r="M57" s="31" t="str" cm="1">
        <f t="array" aca="1" ref="M57" ca="1">_xll.SUBNM(db_name&amp;":headline year","current",1,"")</f>
        <v/>
      </c>
      <c r="N57" s="32"/>
      <c r="P57" s="5" t="s">
        <v>53</v>
      </c>
      <c r="Q57" s="21" t="s">
        <v>14</v>
      </c>
    </row>
    <row r="58" spans="1:18" ht="15" thickBot="1" x14ac:dyDescent="0.35">
      <c r="J58" s="5"/>
      <c r="K58" s="5"/>
      <c r="L58" s="25" t="s">
        <v>55</v>
      </c>
      <c r="M58" s="31" t="str" cm="1">
        <f t="array" aca="1" ref="M58" ca="1">_xll.SUBNM(db_name&amp;":scenario","","current","")</f>
        <v/>
      </c>
      <c r="N58" s="32"/>
      <c r="P58" s="5" t="s">
        <v>54</v>
      </c>
      <c r="Q58" s="20" t="s">
        <v>15</v>
      </c>
    </row>
    <row r="59" spans="1:18" x14ac:dyDescent="0.3">
      <c r="J59" s="5"/>
      <c r="K59" s="5"/>
      <c r="L59" s="25" t="s">
        <v>56</v>
      </c>
      <c r="M59" s="31" t="str" cm="1">
        <f t="array" aca="1" ref="M59" ca="1">_xll.SUBNM(db_name&amp;":status","","Total approved","")</f>
        <v/>
      </c>
      <c r="N59" s="32"/>
      <c r="P59" s="6"/>
      <c r="Q59" s="6"/>
    </row>
    <row r="60" spans="1:18" x14ac:dyDescent="0.3">
      <c r="J60" s="5"/>
      <c r="K60" s="5"/>
      <c r="L60" s="25" t="s">
        <v>57</v>
      </c>
      <c r="M60" s="31" t="str" cm="1">
        <f t="array" aca="1" ref="M60" ca="1">_xll.SUBNM(db_name&amp;":programme","","Administered Programmes","code and description")</f>
        <v/>
      </c>
      <c r="N60" s="32"/>
      <c r="O60" s="5"/>
    </row>
    <row r="61" spans="1:18" x14ac:dyDescent="0.3">
      <c r="J61" s="5"/>
      <c r="K61" s="5"/>
      <c r="L61" s="25" t="s">
        <v>58</v>
      </c>
      <c r="M61" s="31" t="str" cm="1">
        <f t="array" aca="1" ref="M61" ca="1">_xll.SUBNM(db_name&amp;":account type","","Customer Numbers")</f>
        <v/>
      </c>
      <c r="N61" s="32"/>
      <c r="O61" s="5"/>
    </row>
    <row r="62" spans="1:18" x14ac:dyDescent="0.3">
      <c r="J62" s="5"/>
      <c r="K62" s="5"/>
      <c r="L62" s="25" t="s">
        <v>60</v>
      </c>
      <c r="M62" s="31" t="str" cm="1">
        <f t="array" aca="1" ref="M62" ca="1">_xll.SUBNM(db_name&amp;":group adjustment measure","","value")</f>
        <v/>
      </c>
      <c r="N62" s="32"/>
      <c r="O62" s="5"/>
    </row>
    <row r="63" spans="1:18" x14ac:dyDescent="0.3">
      <c r="J63" s="5"/>
      <c r="K63" s="5"/>
      <c r="L63" s="25" t="s">
        <v>61</v>
      </c>
      <c r="M63" s="31" t="str" cm="1">
        <f t="array" aca="1" ref="M63" ca="1">_xll.SUBNM(db_name&amp;":account template","","Total account templates","title")</f>
        <v/>
      </c>
      <c r="N63" s="32"/>
      <c r="O63" s="5"/>
    </row>
    <row r="64" spans="1:18" x14ac:dyDescent="0.3">
      <c r="J64" s="5"/>
      <c r="K64" s="5"/>
      <c r="L64" s="25" t="s">
        <v>64</v>
      </c>
      <c r="M64" s="31" t="str" cm="1">
        <f t="array" aca="1" ref="M64" ca="1">_xll.SUBNM(db_name&amp;":related entity","","Total related entity")</f>
        <v/>
      </c>
      <c r="N64" s="32"/>
      <c r="O64" s="5"/>
    </row>
    <row r="65" spans="1:18" x14ac:dyDescent="0.3">
      <c r="J65" s="5"/>
      <c r="K65" s="5"/>
      <c r="L65" s="25" t="s">
        <v>59</v>
      </c>
      <c r="M65" s="31" t="str" cm="1">
        <f t="array" aca="1" ref="M65" ca="1">_xll.SUBNM(db_name&amp;":jurisdiction","","Total jurisdictions")</f>
        <v/>
      </c>
      <c r="N65" s="32"/>
      <c r="O65" s="5"/>
    </row>
    <row r="66" spans="1:18" ht="4.5" customHeight="1" x14ac:dyDescent="0.3">
      <c r="J66" s="5"/>
      <c r="K66" s="5"/>
      <c r="L66" s="5"/>
      <c r="M66" s="19"/>
      <c r="N66" s="19"/>
      <c r="O66" s="5"/>
    </row>
    <row r="67" spans="1:18" ht="9.9" customHeight="1" x14ac:dyDescent="0.3"/>
    <row r="68" spans="1:18" x14ac:dyDescent="0.3">
      <c r="F68" s="22" t="s">
        <v>16</v>
      </c>
      <c r="G68" s="22" t="s">
        <v>17</v>
      </c>
      <c r="H68" s="22" t="s">
        <v>65</v>
      </c>
      <c r="J68" s="22" t="s">
        <v>17</v>
      </c>
      <c r="K68" s="22" t="s">
        <v>18</v>
      </c>
      <c r="L68" s="22" t="s">
        <v>19</v>
      </c>
      <c r="M68" s="22" t="str">
        <f ca="1">M$47</f>
        <v/>
      </c>
      <c r="N68" s="22" t="str">
        <f ca="1">N$47</f>
        <v/>
      </c>
      <c r="O68" s="22" t="str">
        <f ca="1">O$47</f>
        <v/>
      </c>
      <c r="P68" s="22" t="str">
        <f ca="1">P$47</f>
        <v/>
      </c>
      <c r="Q68" s="22" t="str">
        <f ca="1">Q$47</f>
        <v/>
      </c>
      <c r="R68" s="22" t="str">
        <f ca="1">R47</f>
        <v/>
      </c>
    </row>
    <row r="69" spans="1:18" ht="4.5" customHeight="1" x14ac:dyDescent="0.3">
      <c r="E69" s="23"/>
      <c r="F69" s="23"/>
      <c r="G69" s="23"/>
      <c r="H69" s="23"/>
    </row>
    <row r="70" spans="1:18" ht="15" hidden="1" outlineLevel="1" thickBot="1" x14ac:dyDescent="0.35">
      <c r="C70" s="7" t="s">
        <v>20</v>
      </c>
      <c r="D70" t="s">
        <v>21</v>
      </c>
      <c r="L70" s="25" t="s">
        <v>22</v>
      </c>
      <c r="M70" s="24" t="str" cm="1">
        <f t="array" aca="1" ref="M70" ca="1">_xll.DBRW($C$17,$M$57,$M$58,$M$59,$M$64,$D70,$M$60,$M$61,$M$63,$C70,$M$65,M$68,$M$62)</f>
        <v/>
      </c>
      <c r="N70" s="24" t="str" cm="1">
        <f t="array" aca="1" ref="N70" ca="1">_xll.DBRW($C$17,$M$57,$M$58,$M$59,$M$64,$D70,$M$60,$M$61,$M$63,$C70,$M$65,N$68,$M$62)</f>
        <v/>
      </c>
      <c r="O70" s="24" t="str" cm="1">
        <f t="array" aca="1" ref="O70" ca="1">_xll.DBRW($C$17,$M$57,$M$58,$M$59,$M$64,$D70,$M$60,$M$61,$M$63,$C70,$M$65,O$68,$M$62)</f>
        <v/>
      </c>
      <c r="P70" s="24" t="str" cm="1">
        <f t="array" aca="1" ref="P70" ca="1">_xll.DBRW($C$17,$M$57,$M$58,$M$59,$M$64,$D70,$M$60,$M$61,$M$63,$C70,$M$65,P$68,$M$62)</f>
        <v/>
      </c>
      <c r="Q70" s="24" t="str" cm="1">
        <f t="array" aca="1" ref="Q70" ca="1">_xll.DBRW($C$17,$M$57,$M$58,$M$59,$M$64,$D70,$M$60,$M$61,$M$63,$C70,$M$65,Q$68,$M$62)</f>
        <v/>
      </c>
      <c r="R70" s="24" t="str" cm="1">
        <f t="array" aca="1" ref="R70" ca="1">_xll.DBRW($C$17,$M$57,$M$58,$M$59,$M$64,$D70,$M$60,$M$61,$M$63,$C70,$M$65,R$68,$M$62)</f>
        <v/>
      </c>
    </row>
    <row r="71" spans="1:18" ht="15" hidden="1" outlineLevel="1" thickTop="1" x14ac:dyDescent="0.3">
      <c r="C71" s="7" t="s">
        <v>23</v>
      </c>
      <c r="D71" t="s">
        <v>21</v>
      </c>
      <c r="L71" s="25" t="s">
        <v>24</v>
      </c>
      <c r="M71" s="8" t="str" cm="1">
        <f t="array" aca="1" ref="M71" ca="1">_xll.DBRW($C$17,$M$57,$M$58,$M$59,$M$64,$D71,$M$60,$M$61,$M$63,$C71,$M$65,M$68,$M$62)</f>
        <v/>
      </c>
      <c r="N71" s="8" t="str" cm="1">
        <f t="array" aca="1" ref="N71" ca="1">_xll.DBRW($C$17,$M$57,$M$58,$M$59,$M$64,$D71,$M$60,$M$61,$M$63,$C71,$M$65,N$68,$M$62)</f>
        <v/>
      </c>
      <c r="O71" s="8" t="str" cm="1">
        <f t="array" aca="1" ref="O71" ca="1">_xll.DBRW($C$17,$M$57,$M$58,$M$59,$M$64,$D71,$M$60,$M$61,$M$63,$C71,$M$65,O$68,$M$62)</f>
        <v/>
      </c>
      <c r="P71" s="8" t="str" cm="1">
        <f t="array" aca="1" ref="P71" ca="1">_xll.DBRW($C$17,$M$57,$M$58,$M$59,$M$64,$D71,$M$60,$M$61,$M$63,$C71,$M$65,P$68,$M$62)</f>
        <v/>
      </c>
      <c r="Q71" s="8" t="str" cm="1">
        <f t="array" aca="1" ref="Q71" ca="1">_xll.DBRW($C$17,$M$57,$M$58,$M$59,$M$64,$D71,$M$60,$M$61,$M$63,$C71,$M$65,Q$68,$M$62)</f>
        <v/>
      </c>
      <c r="R71" s="8" t="str" cm="1">
        <f t="array" aca="1" ref="R71" ca="1">_xll.DBRW($C$17,$M$57,$M$58,$M$59,$M$64,$D71,$M$60,$M$61,$M$63,$C71,$M$65,R$68,$M$62)</f>
        <v/>
      </c>
    </row>
    <row r="72" spans="1:18" ht="15" collapsed="1" thickBot="1" x14ac:dyDescent="0.35">
      <c r="C72" s="7"/>
      <c r="L72" s="25" t="s">
        <v>22</v>
      </c>
      <c r="M72" s="24">
        <f ca="1">SUM(M70:M71)</f>
        <v>0</v>
      </c>
      <c r="N72" s="24">
        <f t="shared" ref="N72:R72" ca="1" si="0">SUM(N70:N71)</f>
        <v>0</v>
      </c>
      <c r="O72" s="24">
        <f t="shared" ca="1" si="0"/>
        <v>0</v>
      </c>
      <c r="P72" s="24">
        <f t="shared" ca="1" si="0"/>
        <v>0</v>
      </c>
      <c r="Q72" s="24">
        <f t="shared" ca="1" si="0"/>
        <v>0</v>
      </c>
      <c r="R72" s="24">
        <f t="shared" ca="1" si="0"/>
        <v>0</v>
      </c>
    </row>
    <row r="73" spans="1:18" ht="4.5" customHeight="1" thickTop="1" x14ac:dyDescent="0.3">
      <c r="E73" s="23"/>
      <c r="F73" s="23"/>
      <c r="G73" s="23"/>
      <c r="H73" s="23"/>
    </row>
    <row r="74" spans="1:18" x14ac:dyDescent="0.3">
      <c r="A74" t="str">
        <f ca="1">IF($F74&lt;&gt;OFFSET($F74,1,0),"C","N")</f>
        <v>N</v>
      </c>
      <c r="E74" t="str" cm="1">
        <f t="array" aca="1" ref="E74" ca="1">_xll.DBRA(db_name&amp;":measure code",_xll.DBRW($C$18,$M$57,$M$58,$J74,"measure"),"CBMS code and Description")</f>
        <v/>
      </c>
      <c r="F74" s="27" t="str" cm="1">
        <f t="array" aca="1" ref="F74" ca="1">_xll.TM1RPTROW($C$16,db_name&amp;":programme","","",$Q$57,0,$C$23)</f>
        <v/>
      </c>
      <c r="G74" s="28" t="str" cm="1">
        <f t="array" aca="1" ref="G74" ca="1">_xll.TM1RPTROW($C$16,db_name&amp;":id","","","",0,$C$25,,$C$29)</f>
        <v/>
      </c>
      <c r="H74" s="28" t="str" cm="1">
        <f t="array" aca="1" ref="H74" ca="1">_xll.TM1RPTROW($C$16,db_name&amp;":measure code","","","CBMS Code and Description",0,$C$24,,$C$29)</f>
        <v/>
      </c>
      <c r="J74" s="2" t="str">
        <f ca="1">IF($F74&lt;&gt;OFFSET($F74,1,0),$F74,$G74)</f>
        <v/>
      </c>
      <c r="K74" s="2" t="str" cm="1">
        <f t="array" aca="1" ref="K74" ca="1">_xll.DBRW($C$18,$M$57,$M$58,$G74,"title")</f>
        <v/>
      </c>
      <c r="L74" s="2" t="str">
        <f ca="1">E74</f>
        <v/>
      </c>
      <c r="M74" s="3" t="str" cm="1">
        <f t="array" aca="1" ref="M74" ca="1">_xll.DBRW($C$16,$M$57,$M$58,$M$59,$M$64,$H74,$F74,$M$61,$M$63,$G74,$M$65,M$68,$M$62)</f>
        <v/>
      </c>
      <c r="N74" s="3" t="str" cm="1">
        <f t="array" aca="1" ref="N74" ca="1">_xll.DBRW($C$16,$M$57,$M$58,$M$59,$M$64,$H74,$F74,$M$61,$M$63,$G74,$M$65,N$68,$M$62)</f>
        <v/>
      </c>
      <c r="O74" s="3" t="str" cm="1">
        <f t="array" aca="1" ref="O74" ca="1">_xll.DBRW($C$16,$M$57,$M$58,$M$59,$M$64,$H74,$F74,$M$61,$M$63,$G74,$M$65,O$68,$M$62)</f>
        <v/>
      </c>
      <c r="P74" s="3" t="str" cm="1">
        <f t="array" aca="1" ref="P74" ca="1">_xll.DBRW($C$16,$M$57,$M$58,$M$59,$M$64,$H74,$F74,$M$61,$M$63,$G74,$M$65,P$68,$M$62)</f>
        <v/>
      </c>
      <c r="Q74" s="3" t="str" cm="1">
        <f t="array" aca="1" ref="Q74" ca="1">_xll.DBRW($C$16,$M$57,$M$58,$M$59,$M$64,$H74,$F74,$M$61,$M$63,$G74,$M$65,Q$68,$M$62)</f>
        <v/>
      </c>
      <c r="R74" s="3" t="str" cm="1">
        <f t="array" aca="1" ref="R74" ca="1">_xll.DBRW($C$16,$M$57,$M$58,$M$59,$M$64,$H74,$F74,$M$61,$M$63,$G74,$M$65,R$68,$M$62)</f>
        <v/>
      </c>
    </row>
    <row r="75" spans="1:18" ht="4.5" customHeight="1" x14ac:dyDescent="0.3"/>
    <row r="76" spans="1:18" ht="15" thickBot="1" x14ac:dyDescent="0.35">
      <c r="C76" t="s">
        <v>25</v>
      </c>
      <c r="D76" t="s">
        <v>21</v>
      </c>
      <c r="L76" s="25" t="str">
        <f ca="1">"Total " &amp;$M$60</f>
        <v xml:space="preserve">Total </v>
      </c>
      <c r="M76" s="24" t="str" cm="1">
        <f t="array" aca="1" ref="M76" ca="1">_xll.DBRW($C$17,$M$57,$M$58,$M$59,$M$64,$D76,$M$60,$M$61,$M$63,$C76,$M$65,M$68,$M$62)</f>
        <v/>
      </c>
      <c r="N76" s="24" t="str" cm="1">
        <f t="array" aca="1" ref="N76" ca="1">_xll.DBRW($C$17,$M$57,$M$58,$M$59,$M$64,$D76,$M$60,$M$61,$M$63,$C76,$M$65,N$68,$M$62)</f>
        <v/>
      </c>
      <c r="O76" s="24" t="str" cm="1">
        <f t="array" aca="1" ref="O76" ca="1">_xll.DBRW($C$17,$M$57,$M$58,$M$59,$M$64,$D76,$M$60,$M$61,$M$63,$C76,$M$65,O$68,$M$62)</f>
        <v/>
      </c>
      <c r="P76" s="24" t="str" cm="1">
        <f t="array" aca="1" ref="P76" ca="1">_xll.DBRW($C$17,$M$57,$M$58,$M$59,$M$64,$D76,$M$60,$M$61,$M$63,$C76,$M$65,P$68,$M$62)</f>
        <v/>
      </c>
      <c r="Q76" s="24" t="str" cm="1">
        <f t="array" aca="1" ref="Q76" ca="1">_xll.DBRW($C$17,$M$57,$M$58,$M$59,$M$64,$D76,$M$60,$M$61,$M$63,$C76,$M$65,Q$68,$M$62)</f>
        <v/>
      </c>
      <c r="R76" s="24" t="str" cm="1">
        <f t="array" aca="1" ref="R76" ca="1">_xll.DBRW($C$17,$M$57,$M$58,$M$59,$M$64,$D76,$M$60,$M$61,$M$63,$C76,$M$65,R$68,$M$62)</f>
        <v/>
      </c>
    </row>
    <row r="77" spans="1:18" ht="15" thickTop="1" x14ac:dyDescent="0.3"/>
    <row r="102" spans="18:18" x14ac:dyDescent="0.3">
      <c r="R102" s="5"/>
    </row>
  </sheetData>
  <sheetProtection sheet="1" objects="1" scenarios="1"/>
  <mergeCells count="17">
    <mergeCell ref="M65:N65"/>
    <mergeCell ref="M61:N61"/>
    <mergeCell ref="M62:N62"/>
    <mergeCell ref="M63:N63"/>
    <mergeCell ref="M58:N58"/>
    <mergeCell ref="M59:N59"/>
    <mergeCell ref="M60:N60"/>
    <mergeCell ref="M56:N56"/>
    <mergeCell ref="M64:N64"/>
    <mergeCell ref="P56:Q56"/>
    <mergeCell ref="M57:N57"/>
    <mergeCell ref="B11:D11"/>
    <mergeCell ref="B15:D15"/>
    <mergeCell ref="B22:D22"/>
    <mergeCell ref="B27:D27"/>
    <mergeCell ref="B31:D31"/>
    <mergeCell ref="B37:H37"/>
  </mergeCells>
  <conditionalFormatting sqref="M76:R76">
    <cfRule type="expression" dxfId="13" priority="13">
      <formula>#REF!="Total Ids"</formula>
    </cfRule>
    <cfRule type="expression" dxfId="12" priority="14">
      <formula>#REF!="0000A"</formula>
    </cfRule>
  </conditionalFormatting>
  <conditionalFormatting sqref="R76">
    <cfRule type="expression" dxfId="11" priority="11">
      <formula>#REF!="Total Ids"</formula>
    </cfRule>
    <cfRule type="expression" dxfId="10" priority="12">
      <formula>#REF!="0000A"</formula>
    </cfRule>
  </conditionalFormatting>
  <conditionalFormatting sqref="M72:R72">
    <cfRule type="expression" dxfId="9" priority="9">
      <formula>#REF!="Total Ids"</formula>
    </cfRule>
    <cfRule type="expression" dxfId="8" priority="10">
      <formula>#REF!="0000A"</formula>
    </cfRule>
  </conditionalFormatting>
  <conditionalFormatting sqref="R72">
    <cfRule type="expression" dxfId="7" priority="7">
      <formula>#REF!="Total Ids"</formula>
    </cfRule>
    <cfRule type="expression" dxfId="6" priority="8">
      <formula>#REF!="0000A"</formula>
    </cfRule>
  </conditionalFormatting>
  <conditionalFormatting sqref="M70:R70">
    <cfRule type="expression" dxfId="5" priority="5">
      <formula>#REF!="Total Ids"</formula>
    </cfRule>
    <cfRule type="expression" dxfId="4" priority="6">
      <formula>#REF!="0000A"</formula>
    </cfRule>
  </conditionalFormatting>
  <conditionalFormatting sqref="R70">
    <cfRule type="expression" dxfId="3" priority="3">
      <formula>#REF!="Total Ids"</formula>
    </cfRule>
    <cfRule type="expression" dxfId="2" priority="4">
      <formula>#REF!="0000A"</formula>
    </cfRule>
  </conditionalFormatting>
  <conditionalFormatting sqref="M71:R71 J74:R74">
    <cfRule type="expression" dxfId="1" priority="41">
      <formula>$G71="Total Ids"</formula>
    </cfRule>
    <cfRule type="expression" dxfId="0" priority="42">
      <formula>$G71="0000A"</formula>
    </cfRule>
  </conditionalFormatting>
  <dataValidations disablePrompts="1" count="1">
    <dataValidation type="list" allowBlank="1" showInputMessage="1" showErrorMessage="1" sqref="Q57" xr:uid="{ECFC0550-71DE-405B-B3D5-9B013B7DECF5}">
      <formula1>"code and description,description"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portrait" r:id="rId1"/>
  <drawing r:id="rId2"/>
  <legacyDrawing r:id="rId3"/>
  <controls>
    <mc:AlternateContent xmlns:mc="http://schemas.openxmlformats.org/markup-compatibility/2006">
      <mc:Choice Requires="x14">
        <control shapeId="1077" r:id="rId4" name="TIButton7">
          <controlPr defaultSize="0" print="0" autoLine="0" r:id="rId5">
            <anchor moveWithCells="1" sizeWithCells="1">
              <from>
                <xdr:col>11</xdr:col>
                <xdr:colOff>495300</xdr:colOff>
                <xdr:row>52</xdr:row>
                <xdr:rowOff>22860</xdr:rowOff>
              </from>
              <to>
                <xdr:col>12</xdr:col>
                <xdr:colOff>655320</xdr:colOff>
                <xdr:row>52</xdr:row>
                <xdr:rowOff>266700</xdr:rowOff>
              </to>
            </anchor>
          </controlPr>
        </control>
      </mc:Choice>
      <mc:Fallback>
        <control shapeId="1077" r:id="rId4" name="TIButton7"/>
      </mc:Fallback>
    </mc:AlternateContent>
    <mc:AlternateContent xmlns:mc="http://schemas.openxmlformats.org/markup-compatibility/2006">
      <mc:Choice Requires="x14">
        <control shapeId="1076" r:id="rId6" name="TIButton6">
          <controlPr defaultSize="0" print="0" autoLine="0" r:id="rId7">
            <anchor moveWithCells="1" sizeWithCells="1">
              <from>
                <xdr:col>10</xdr:col>
                <xdr:colOff>1950720</xdr:colOff>
                <xdr:row>52</xdr:row>
                <xdr:rowOff>22860</xdr:rowOff>
              </from>
              <to>
                <xdr:col>11</xdr:col>
                <xdr:colOff>449580</xdr:colOff>
                <xdr:row>52</xdr:row>
                <xdr:rowOff>266700</xdr:rowOff>
              </to>
            </anchor>
          </controlPr>
        </control>
      </mc:Choice>
      <mc:Fallback>
        <control shapeId="1076" r:id="rId6" name="TIButton6"/>
      </mc:Fallback>
    </mc:AlternateContent>
    <mc:AlternateContent xmlns:mc="http://schemas.openxmlformats.org/markup-compatibility/2006">
      <mc:Choice Requires="x14">
        <control shapeId="1075" r:id="rId8" name="TIButton5">
          <controlPr defaultSize="0" print="0" autoLine="0" r:id="rId9">
            <anchor moveWithCells="1" sizeWithCells="1">
              <from>
                <xdr:col>12</xdr:col>
                <xdr:colOff>693420</xdr:colOff>
                <xdr:row>52</xdr:row>
                <xdr:rowOff>22860</xdr:rowOff>
              </from>
              <to>
                <xdr:col>13</xdr:col>
                <xdr:colOff>449580</xdr:colOff>
                <xdr:row>52</xdr:row>
                <xdr:rowOff>266700</xdr:rowOff>
              </to>
            </anchor>
          </controlPr>
        </control>
      </mc:Choice>
      <mc:Fallback>
        <control shapeId="1075" r:id="rId8" name="TIButton5"/>
      </mc:Fallback>
    </mc:AlternateContent>
    <mc:AlternateContent xmlns:mc="http://schemas.openxmlformats.org/markup-compatibility/2006">
      <mc:Choice Requires="x14">
        <control shapeId="1074" r:id="rId10" name="TIButton4">
          <controlPr defaultSize="0" print="0" autoLine="0" r:id="rId11">
            <anchor moveWithCells="1" sizeWithCells="1">
              <from>
                <xdr:col>13</xdr:col>
                <xdr:colOff>480060</xdr:colOff>
                <xdr:row>52</xdr:row>
                <xdr:rowOff>22860</xdr:rowOff>
              </from>
              <to>
                <xdr:col>14</xdr:col>
                <xdr:colOff>236220</xdr:colOff>
                <xdr:row>52</xdr:row>
                <xdr:rowOff>266700</xdr:rowOff>
              </to>
            </anchor>
          </controlPr>
        </control>
      </mc:Choice>
      <mc:Fallback>
        <control shapeId="1074" r:id="rId10" name="TIButton4"/>
      </mc:Fallback>
    </mc:AlternateContent>
    <mc:AlternateContent xmlns:mc="http://schemas.openxmlformats.org/markup-compatibility/2006">
      <mc:Choice Requires="x14">
        <control shapeId="1073" r:id="rId12" name="TIButton3">
          <controlPr defaultSize="0" print="0" autoLine="0" r:id="rId13">
            <anchor moveWithCells="1" sizeWithCells="1">
              <from>
                <xdr:col>10</xdr:col>
                <xdr:colOff>579120</xdr:colOff>
                <xdr:row>52</xdr:row>
                <xdr:rowOff>22860</xdr:rowOff>
              </from>
              <to>
                <xdr:col>10</xdr:col>
                <xdr:colOff>1935480</xdr:colOff>
                <xdr:row>52</xdr:row>
                <xdr:rowOff>266700</xdr:rowOff>
              </to>
            </anchor>
          </controlPr>
        </control>
      </mc:Choice>
      <mc:Fallback>
        <control shapeId="1073" r:id="rId12" name="TIButton3"/>
      </mc:Fallback>
    </mc:AlternateContent>
    <mc:AlternateContent xmlns:mc="http://schemas.openxmlformats.org/markup-compatibility/2006">
      <mc:Choice Requires="x14">
        <control shapeId="1072" r:id="rId14" name="TIButton2">
          <controlPr defaultSize="0" print="0" autoLine="0" r:id="rId15">
            <anchor moveWithCells="1" sizeWithCells="1">
              <from>
                <xdr:col>9</xdr:col>
                <xdr:colOff>708660</xdr:colOff>
                <xdr:row>52</xdr:row>
                <xdr:rowOff>22860</xdr:rowOff>
              </from>
              <to>
                <xdr:col>10</xdr:col>
                <xdr:colOff>556260</xdr:colOff>
                <xdr:row>52</xdr:row>
                <xdr:rowOff>266700</xdr:rowOff>
              </to>
            </anchor>
          </controlPr>
        </control>
      </mc:Choice>
      <mc:Fallback>
        <control shapeId="1072" r:id="rId14" name="TIButton2"/>
      </mc:Fallback>
    </mc:AlternateContent>
    <mc:AlternateContent xmlns:mc="http://schemas.openxmlformats.org/markup-compatibility/2006">
      <mc:Choice Requires="x14">
        <control shapeId="1071" r:id="rId16" name="TIButton1">
          <controlPr defaultSize="0" print="0" autoLine="0" r:id="rId17">
            <anchor moveWithCells="1" sizeWithCells="1">
              <from>
                <xdr:col>9</xdr:col>
                <xdr:colOff>22860</xdr:colOff>
                <xdr:row>52</xdr:row>
                <xdr:rowOff>22860</xdr:rowOff>
              </from>
              <to>
                <xdr:col>9</xdr:col>
                <xdr:colOff>670560</xdr:colOff>
                <xdr:row>52</xdr:row>
                <xdr:rowOff>266700</xdr:rowOff>
              </to>
            </anchor>
          </controlPr>
        </control>
      </mc:Choice>
      <mc:Fallback>
        <control shapeId="1071" r:id="rId16" name="TI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CustNo Details</vt:lpstr>
      <vt:lpstr>db_name</vt:lpstr>
      <vt:lpstr>TM1GrpViewAdj01HeaderCAP</vt:lpstr>
      <vt:lpstr>TM1GrpViewAdj01HeaderWB</vt:lpstr>
      <vt:lpstr>TM1GrpViewAdj01HeaderWS</vt:lpstr>
      <vt:lpstr>TM1HomeAdminCAP</vt:lpstr>
      <vt:lpstr>TM1HomeAdminWB</vt:lpstr>
      <vt:lpstr>TM1HomeAdminWS</vt:lpstr>
      <vt:lpstr>TM1HomeAECAP</vt:lpstr>
      <vt:lpstr>TM1HomeAEWB</vt:lpstr>
      <vt:lpstr>TM1HomeAEWS</vt:lpstr>
      <vt:lpstr>TM1HomeCAP</vt:lpstr>
      <vt:lpstr>TM1HomeRepAdditionalCAP</vt:lpstr>
      <vt:lpstr>TM1HomeRepAdditionalWB</vt:lpstr>
      <vt:lpstr>TM1HomeRepAdditionalWS</vt:lpstr>
      <vt:lpstr>TM1HomeRepAnalyticalCAP</vt:lpstr>
      <vt:lpstr>TM1HomeRepAnalyticalWB</vt:lpstr>
      <vt:lpstr>TM1HomeRepAnalyticalWS</vt:lpstr>
      <vt:lpstr>TM1HomeRepCAP</vt:lpstr>
      <vt:lpstr>TM1HomeRepOtherCAP</vt:lpstr>
      <vt:lpstr>TM1HomeRepOtherWB</vt:lpstr>
      <vt:lpstr>TM1HomeRepOtherWS</vt:lpstr>
      <vt:lpstr>TM1HomeRepWB</vt:lpstr>
      <vt:lpstr>TM1HomeRepWS</vt:lpstr>
      <vt:lpstr>TM1HomeWB</vt:lpstr>
      <vt:lpstr>TM1HomeWS</vt:lpstr>
      <vt:lpstr>TM1OthRprTBalCAP</vt:lpstr>
      <vt:lpstr>TM1OthRprTBalWB</vt:lpstr>
      <vt:lpstr>TM1OthRprTBalWS</vt:lpstr>
      <vt:lpstr>TM1OthRprTxnByReasonCAP</vt:lpstr>
      <vt:lpstr>TM1OthRprTxnByReasonWB</vt:lpstr>
      <vt:lpstr>TM1OthRprTxnByReasonWS</vt:lpstr>
      <vt:lpstr>'CustNo Details'!TM1RPTDATARNGCUSTNO</vt:lpstr>
      <vt:lpstr>'CustNo Details'!TM1RPTFMTIDCOL</vt:lpstr>
      <vt:lpstr>'CustNo Details'!TM1RPTFMTRNG</vt:lpstr>
      <vt:lpstr>TM1ViewAdj01HeaderCAP</vt:lpstr>
      <vt:lpstr>TM1ViewAdj01HeaderWB</vt:lpstr>
      <vt:lpstr>TM1ViewAdj01HeaderWS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 Kashmari</dc:creator>
  <cp:lastModifiedBy>blooyen</cp:lastModifiedBy>
  <dcterms:created xsi:type="dcterms:W3CDTF">2020-05-25T00:36:54Z</dcterms:created>
  <dcterms:modified xsi:type="dcterms:W3CDTF">2023-02-14T22:31:51Z</dcterms:modified>
</cp:coreProperties>
</file>