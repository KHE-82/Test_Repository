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9.xml" ContentType="application/vnd.ms-office.activeX+xml"/>
  <Override PartName="/xl/activeX/activeX8.bin" ContentType="application/vnd.ms-office.activeX"/>
  <Override PartName="/xl/activeX/activeX10.xml" ContentType="application/vnd.ms-office.activeX+xml"/>
  <Override PartName="/xl/activeX/activeX9.bin" ContentType="application/vnd.ms-office.activeX"/>
  <Override PartName="/xl/activeX/activeX11.xml" ContentType="application/vnd.ms-office.activeX+xml"/>
  <Override PartName="/xl/activeX/activeX10.bin" ContentType="application/vnd.ms-office.activeX"/>
  <Override PartName="/xl/activeX/activeX12.xml" ContentType="application/vnd.ms-office.activeX+xml"/>
  <Override PartName="/xl/activeX/activeX11.bin" ContentType="application/vnd.ms-office.activeX"/>
  <Override PartName="/xl/activeX/activeX13.xml" ContentType="application/vnd.ms-office.activeX+xml"/>
  <Override PartName="/xl/activeX/activeX1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15550A10-1D74-4840-8454-CC6C8B88811B}" xr6:coauthVersionLast="47" xr6:coauthVersionMax="47" xr10:uidLastSave="{00000000-0000-0000-0000-000000000000}"/>
  <bookViews>
    <workbookView xWindow="29580" yWindow="780" windowWidth="21600" windowHeight="11385" xr2:uid="{A5D06079-B4A0-4AF0-8F6E-CC76C458C682}"/>
  </bookViews>
  <sheets>
    <sheet name="ED" sheetId="1" r:id="rId1"/>
    <sheet name="{PL}PickLst" sheetId="2" state="hidden" r:id="rId2"/>
  </sheets>
  <definedNames>
    <definedName name="db_name">ED!$C$12</definedName>
    <definedName name="Freeze_here">ED!$A$91</definedName>
    <definedName name="psAdjType">ED!$C$26</definedName>
    <definedName name="psApp">ED!$C$30</definedName>
    <definedName name="psCreateAdjByMeasures">ED!$R$82</definedName>
    <definedName name="psFE2Year">ED!$T$59</definedName>
    <definedName name="psFE3Year">ED!$T$60</definedName>
    <definedName name="psHLYear">ED!$C$21</definedName>
    <definedName name="psProg">ED!$L$82</definedName>
    <definedName name="psScenario">ED!$C$22</definedName>
    <definedName name="psUser">ED!$C$14</definedName>
    <definedName name="TM1AdjIDListCAP">ED!$D$35</definedName>
    <definedName name="TM1AdjIDListWB">ED!$F$35</definedName>
    <definedName name="TM1AdjIDListWS">ED!$J$35</definedName>
    <definedName name="TM1EDCAP">ED!$D$40</definedName>
    <definedName name="TM1EDWB">ED!$F$40</definedName>
    <definedName name="TM1EDWS">ED!$H$40</definedName>
    <definedName name="TM1FE3CAP">ED!$D$39</definedName>
    <definedName name="TM1FE3WB">ED!$F$39</definedName>
    <definedName name="TM1FE3WS">ED!$H$39</definedName>
    <definedName name="TM1HomeAECAP">ED!$D$33</definedName>
    <definedName name="TM1HomeAEDataEntryCAP">ED!$D$34</definedName>
    <definedName name="TM1HomeAEDataEntryWB">ED!$F$34</definedName>
    <definedName name="TM1HomeAEDataEntryWS">ED!$H$34</definedName>
    <definedName name="TM1HomeAEWB">ED!$F$33</definedName>
    <definedName name="TM1HomeAEWS">ED!$H$33</definedName>
    <definedName name="TM1HomeCAP">ED!$D$32</definedName>
    <definedName name="TM1HomeWB">ED!$F$32</definedName>
    <definedName name="TM1HomeWS">ED!$H$32</definedName>
    <definedName name="TM1IDListWS">ED!$H$35</definedName>
    <definedName name="TM1IndexCAP">ED!$D$41</definedName>
    <definedName name="TM1IndexFE3MapCAP">ED!$D$44</definedName>
    <definedName name="TM1IndexFE3MapWB">ED!$F$44</definedName>
    <definedName name="TM1IndexFE3MapWS">ED!$H$44</definedName>
    <definedName name="TM1IndexFinCAP">ED!$D$42</definedName>
    <definedName name="TM1IndexFinDCBCAP">ED!$D$43</definedName>
    <definedName name="TM1IndexFinDCBWB">ED!$F$43</definedName>
    <definedName name="TM1IndexFinDCBWS">ED!$H$43</definedName>
    <definedName name="TM1IndexFinSubsetCAP">ED!$D$45</definedName>
    <definedName name="TM1IndexFinSubsetWB">ED!$F$45</definedName>
    <definedName name="TM1IndexFinSubsetWS">ED!$H$45</definedName>
    <definedName name="TM1IndexFinWB">ED!$F$42</definedName>
    <definedName name="TM1IndexFinWS">ED!$H$42</definedName>
    <definedName name="TM1IndexRatesCAP">ED!$D$37</definedName>
    <definedName name="TM1IndexRatesWB">ED!$F$37</definedName>
    <definedName name="TM1IndexRatesWS">ED!$H$37</definedName>
    <definedName name="TM1IndexRecoCAP">ED!$D$36</definedName>
    <definedName name="TM1IndexRecoWB">ED!$F$36</definedName>
    <definedName name="TM1IndexRecoWS">ED!$H$36</definedName>
    <definedName name="TM1IndexWB">ED!$F$41</definedName>
    <definedName name="TM1IndexWS">ED!$H$41</definedName>
    <definedName name="TM1REBUILDOPTION">1</definedName>
    <definedName name="TM1RPTDATARNG1" localSheetId="0">ED!$91:$91</definedName>
    <definedName name="TM1RPTFMTIDCOL" localSheetId="0">ED!$A$1:$A$8</definedName>
    <definedName name="TM1RPTFMTRNG" localSheetId="0">ED!$B$1:$AY$8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 a="1"/>
  <c r="C20" i="1"/>
  <c r="C21" i="1" a="1"/>
  <c r="C21" i="1"/>
  <c r="C22" i="1" a="1"/>
  <c r="C22" i="1"/>
  <c r="C61" i="1"/>
  <c r="C62" i="1"/>
  <c r="C56" i="1"/>
  <c r="C63" i="1"/>
  <c r="C25" i="1" a="1"/>
  <c r="C25" i="1"/>
  <c r="C64" i="1"/>
  <c r="C55" i="1"/>
  <c r="L85" i="1"/>
  <c r="C65" i="1"/>
  <c r="C58" i="1"/>
  <c r="L83" i="1"/>
  <c r="C57" i="1"/>
  <c r="C71" i="1" a="1"/>
  <c r="C71" i="1"/>
  <c r="AR50" i="1" a="1"/>
  <c r="AR50" i="1"/>
  <c r="K48" i="1"/>
  <c r="AR48" i="1" a="1"/>
  <c r="AR48" i="1"/>
  <c r="AR51" i="1"/>
  <c r="C48" i="1"/>
  <c r="C59" i="1"/>
  <c r="AL48" i="1" a="1"/>
  <c r="AL48" i="1"/>
  <c r="AL51" i="1"/>
  <c r="AQ50" i="1" a="1"/>
  <c r="AQ50" i="1"/>
  <c r="AQ48" i="1" a="1"/>
  <c r="AQ48" i="1"/>
  <c r="AQ51" i="1"/>
  <c r="AK48" i="1" a="1"/>
  <c r="AK48" i="1"/>
  <c r="AK51" i="1"/>
  <c r="AP50" i="1" a="1"/>
  <c r="AP50" i="1"/>
  <c r="AP48" i="1" a="1"/>
  <c r="AP48" i="1"/>
  <c r="AP51" i="1"/>
  <c r="AJ48" i="1" a="1"/>
  <c r="AJ48" i="1"/>
  <c r="AJ51" i="1"/>
  <c r="AO50" i="1" a="1"/>
  <c r="AO50" i="1"/>
  <c r="AO48" i="1" a="1"/>
  <c r="AO48" i="1"/>
  <c r="AO51" i="1"/>
  <c r="AI48" i="1" a="1"/>
  <c r="AI48" i="1"/>
  <c r="AI51" i="1"/>
  <c r="AN50" i="1" a="1"/>
  <c r="AN50" i="1"/>
  <c r="AN48" i="1" a="1"/>
  <c r="AN48" i="1"/>
  <c r="AN51" i="1"/>
  <c r="AH48" i="1" a="1"/>
  <c r="AH48" i="1"/>
  <c r="AH51" i="1"/>
  <c r="AG48" i="1" a="1"/>
  <c r="AG48" i="1"/>
  <c r="AG51" i="1"/>
  <c r="AF48" i="1" a="1"/>
  <c r="AF48" i="1"/>
  <c r="AF51" i="1"/>
  <c r="AE48" i="1" a="1"/>
  <c r="AE48" i="1"/>
  <c r="AE51" i="1"/>
  <c r="AC48" i="1" a="1"/>
  <c r="AC48" i="1"/>
  <c r="AC51" i="1"/>
  <c r="AB48" i="1" a="1"/>
  <c r="AB48" i="1"/>
  <c r="AB51" i="1"/>
  <c r="C69" i="1"/>
  <c r="C70" i="1" a="1"/>
  <c r="C70" i="1"/>
  <c r="Z48" i="1" a="1"/>
  <c r="Z48" i="1"/>
  <c r="Z51" i="1"/>
  <c r="Y48" i="1" a="1"/>
  <c r="Y48" i="1"/>
  <c r="Y51" i="1"/>
  <c r="X48" i="1" a="1"/>
  <c r="X48" i="1"/>
  <c r="X51" i="1"/>
  <c r="W48" i="1" a="1"/>
  <c r="W48" i="1"/>
  <c r="W51" i="1"/>
  <c r="V48" i="1" a="1"/>
  <c r="V48" i="1"/>
  <c r="V51" i="1"/>
  <c r="T48" i="1" a="1"/>
  <c r="T48" i="1"/>
  <c r="T51" i="1"/>
  <c r="C23" i="1" a="1"/>
  <c r="C23" i="1"/>
  <c r="T50" i="1"/>
  <c r="S48" i="1" a="1"/>
  <c r="S48" i="1"/>
  <c r="S51" i="1"/>
  <c r="R48" i="1" a="1"/>
  <c r="R48" i="1"/>
  <c r="R51" i="1"/>
  <c r="Q48" i="1" a="1"/>
  <c r="Q48" i="1"/>
  <c r="Q51" i="1"/>
  <c r="P48" i="1" a="1"/>
  <c r="P48" i="1"/>
  <c r="P51" i="1"/>
  <c r="T32" i="1" a="1"/>
  <c r="T32" i="1"/>
  <c r="L84" i="1"/>
  <c r="E53" i="1"/>
  <c r="C53" i="1"/>
  <c r="D91" i="1" a="1"/>
  <c r="D91" i="1"/>
  <c r="E52" i="1"/>
  <c r="C52" i="1"/>
  <c r="C91" i="1" a="1"/>
  <c r="C91" i="1"/>
  <c r="L82" i="1"/>
  <c r="E51" i="1"/>
  <c r="C51" i="1"/>
  <c r="B91" i="1" a="1"/>
  <c r="B91" i="1"/>
  <c r="C14" i="1" a="1"/>
  <c r="C14" i="1"/>
  <c r="C54" i="1"/>
  <c r="C49" i="1"/>
  <c r="C29" i="1"/>
  <c r="L87" i="1"/>
  <c r="AR91" i="1" a="1"/>
  <c r="AR91" i="1"/>
  <c r="AQ91" i="1" a="1"/>
  <c r="AQ91" i="1"/>
  <c r="AP91" i="1" a="1"/>
  <c r="AP91" i="1"/>
  <c r="AO91" i="1" a="1"/>
  <c r="AO91" i="1"/>
  <c r="AN91" i="1" a="1"/>
  <c r="AN91" i="1"/>
  <c r="AL91" i="1" a="1"/>
  <c r="AL91" i="1"/>
  <c r="AK91" i="1" a="1"/>
  <c r="AK91" i="1"/>
  <c r="AJ91" i="1" a="1"/>
  <c r="AJ91" i="1"/>
  <c r="AI91" i="1" a="1"/>
  <c r="AI91" i="1"/>
  <c r="AH91" i="1" a="1"/>
  <c r="AH91" i="1"/>
  <c r="AG91" i="1" a="1"/>
  <c r="AG91" i="1"/>
  <c r="AF91" i="1" a="1"/>
  <c r="AF91" i="1"/>
  <c r="AE91" i="1" a="1"/>
  <c r="AE91" i="1"/>
  <c r="AC91" i="1" a="1"/>
  <c r="AC91" i="1"/>
  <c r="AB91" i="1" a="1"/>
  <c r="AB91" i="1"/>
  <c r="K91" i="1" a="1"/>
  <c r="K91" i="1"/>
  <c r="Z91" i="1" a="1"/>
  <c r="Z91" i="1"/>
  <c r="Y91" i="1" a="1"/>
  <c r="Y91" i="1"/>
  <c r="X91" i="1" a="1"/>
  <c r="X91" i="1"/>
  <c r="W91" i="1" a="1"/>
  <c r="W91" i="1"/>
  <c r="V91" i="1" a="1"/>
  <c r="V91" i="1"/>
  <c r="T91" i="1" a="1"/>
  <c r="T91" i="1"/>
  <c r="S91" i="1" a="1"/>
  <c r="S91" i="1"/>
  <c r="R91" i="1" a="1"/>
  <c r="R91" i="1"/>
  <c r="Q91" i="1" a="1"/>
  <c r="Q91" i="1"/>
  <c r="P91" i="1" a="1"/>
  <c r="P91" i="1"/>
  <c r="N91" i="1" a="1"/>
  <c r="N91" i="1"/>
  <c r="M91" i="1" a="1"/>
  <c r="M91" i="1"/>
  <c r="L91" i="1" a="1"/>
  <c r="L91" i="1"/>
  <c r="A91" i="1" a="1"/>
  <c r="A91" i="1"/>
  <c r="R82" i="1" a="1"/>
  <c r="R82" i="1"/>
  <c r="C68" i="1" a="1"/>
  <c r="C68" i="1"/>
  <c r="T60" i="1" a="1"/>
  <c r="T60" i="1"/>
  <c r="T59" i="1" a="1"/>
  <c r="T59" i="1"/>
  <c r="T56" i="1" a="1"/>
  <c r="T56" i="1"/>
  <c r="T55" i="1" a="1"/>
  <c r="T55" i="1"/>
  <c r="AX48" i="1" a="1"/>
  <c r="AX48" i="1"/>
  <c r="AW48" i="1" a="1"/>
  <c r="AW48" i="1"/>
  <c r="AV48" i="1" a="1"/>
  <c r="AV48" i="1"/>
  <c r="AU48" i="1" a="1"/>
  <c r="AU48" i="1"/>
  <c r="AT48" i="1" a="1"/>
  <c r="AT48" i="1"/>
  <c r="AG47" i="1" a="1"/>
  <c r="AG47" i="1"/>
  <c r="AF47" i="1" a="1"/>
  <c r="AF47" i="1"/>
  <c r="AE47" i="1" a="1"/>
  <c r="AE47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C24" i="1" a="1"/>
  <c r="C24" i="1"/>
  <c r="C13" i="1" a="1"/>
  <c r="C13" i="1"/>
  <c r="C16" i="1" a="1"/>
  <c r="C16" i="1"/>
  <c r="C15" i="1" a="1"/>
  <c r="C15" i="1"/>
  <c r="AX91" i="1"/>
  <c r="AW91" i="1"/>
  <c r="AV91" i="1"/>
  <c r="AU91" i="1"/>
  <c r="AT91" i="1"/>
  <c r="AX51" i="1"/>
  <c r="AW51" i="1"/>
  <c r="AV51" i="1"/>
  <c r="AU51" i="1"/>
  <c r="AT51" i="1"/>
  <c r="AR90" i="1"/>
  <c r="AQ90" i="1"/>
  <c r="AP90" i="1"/>
  <c r="AO90" i="1"/>
  <c r="AN90" i="1"/>
  <c r="AC90" i="1"/>
  <c r="AB90" i="1"/>
  <c r="AG88" i="1"/>
  <c r="AF88" i="1"/>
  <c r="AE88" i="1"/>
  <c r="AG90" i="1"/>
  <c r="AF90" i="1"/>
  <c r="AE90" i="1"/>
  <c r="T57" i="1"/>
  <c r="V83" i="1"/>
  <c r="D51" i="1"/>
  <c r="AX90" i="1"/>
  <c r="AW90" i="1"/>
  <c r="AV90" i="1"/>
  <c r="AU90" i="1"/>
  <c r="AT90" i="1"/>
  <c r="AL90" i="1"/>
  <c r="AK90" i="1"/>
  <c r="AJ90" i="1"/>
  <c r="AI90" i="1"/>
  <c r="AH90" i="1"/>
  <c r="Z90" i="1"/>
  <c r="Y90" i="1"/>
  <c r="X90" i="1"/>
  <c r="W90" i="1"/>
  <c r="V90" i="1"/>
  <c r="T90" i="1"/>
  <c r="S90" i="1"/>
  <c r="R90" i="1"/>
  <c r="Q90" i="1"/>
  <c r="P90" i="1"/>
  <c r="J91" i="1"/>
  <c r="D52" i="1"/>
  <c r="D53" i="1"/>
  <c r="C1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<sst xmlns="http://schemas.openxmlformats.org/spreadsheetml/2006/main" count="176" uniqueCount="132">
  <si>
    <t>}Clients</t>
  </si>
  <si>
    <t>spp</t>
  </si>
  <si>
    <t>related entity</t>
  </si>
  <si>
    <t>jurisdiction</t>
  </si>
  <si>
    <t>appropriation item</t>
  </si>
  <si>
    <t>id</t>
  </si>
  <si>
    <t>Total efficiency dividend adjustment value</t>
  </si>
  <si>
    <t>D</t>
  </si>
  <si>
    <t>N</t>
  </si>
  <si>
    <t>[Begin Format Range]</t>
  </si>
  <si>
    <t>[End Format Range]</t>
  </si>
  <si>
    <t>Database Variables</t>
  </si>
  <si>
    <t>Database Name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</si>
  <si>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</si>
  <si>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</si>
  <si>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</si>
  <si>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</si>
  <si>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</si>
  <si>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</si>
  <si>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</si>
  <si>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</si>
  <si>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AE Parameters and FE3 Calculation</t>
  </si>
  <si>
    <t>Active Form View</t>
  </si>
  <si>
    <t>Slice View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</si>
  <si>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</si>
  <si>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</si>
  <si>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</si>
  <si>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</si>
  <si>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</si>
  <si>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</si>
  <si>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</si>
  <si>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</si>
  <si>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</si>
  <si>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</si>
  <si>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</si>
  <si>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</si>
  <si>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</si>
  <si>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</si>
  <si>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Period</t>
  </si>
  <si>
    <t>To Use</t>
  </si>
  <si>
    <t>Index</t>
  </si>
  <si>
    <t>Programme MDX</t>
  </si>
  <si>
    <t>Account MDX</t>
  </si>
  <si>
    <t>Movement Account MDX</t>
  </si>
  <si>
    <t>REPORT PARAMETERS</t>
  </si>
  <si>
    <t xml:space="preserve">Account : </t>
  </si>
  <si>
    <t xml:space="preserve">Movement Account : </t>
  </si>
  <si>
    <t xml:space="preserve">Program : </t>
  </si>
  <si>
    <t xml:space="preserve"> DISPLAY SETTINGS</t>
  </si>
  <si>
    <t>Report Display :</t>
  </si>
  <si>
    <t>Collapse</t>
  </si>
  <si>
    <t>Expand</t>
  </si>
  <si>
    <t>original value</t>
  </si>
  <si>
    <t>A</t>
  </si>
  <si>
    <t>B</t>
  </si>
  <si>
    <t>C</t>
  </si>
  <si>
    <t>E</t>
  </si>
  <si>
    <t>F</t>
  </si>
  <si>
    <t>Program</t>
  </si>
  <si>
    <t xml:space="preserve">Measure Code : </t>
  </si>
  <si>
    <t>FE2 Period :</t>
  </si>
  <si>
    <t>FE3 Period :</t>
  </si>
  <si>
    <t>FE3 PARAMETERS</t>
  </si>
  <si>
    <t>FE2 Period Index</t>
  </si>
  <si>
    <t>FE3 Period Index</t>
  </si>
  <si>
    <t>step 1 value</t>
  </si>
  <si>
    <t>step 2 value</t>
  </si>
  <si>
    <t>step 3 value</t>
  </si>
  <si>
    <t>RB</t>
  </si>
  <si>
    <t>FE1</t>
  </si>
  <si>
    <t>FE2</t>
  </si>
  <si>
    <t>FE3</t>
  </si>
  <si>
    <t>NB</t>
  </si>
  <si>
    <t>STEP 1</t>
  </si>
  <si>
    <t>STEP 2</t>
  </si>
  <si>
    <t>STEP 3</t>
  </si>
  <si>
    <t>FE3 Calculation value</t>
  </si>
  <si>
    <t>Updated Base Data Including Parameters and ED Used For FE3 Calculation</t>
  </si>
  <si>
    <t>CALCULATED FE3</t>
  </si>
  <si>
    <t>Cube Views</t>
  </si>
  <si>
    <t>}Element Attributes Measure Code View</t>
  </si>
  <si>
    <t>Programme Details View</t>
  </si>
  <si>
    <t>parameters</t>
  </si>
  <si>
    <t>efficiency dividend</t>
  </si>
  <si>
    <t>OBSI</t>
  </si>
  <si>
    <t>WCI1</t>
  </si>
  <si>
    <t>WCI2</t>
  </si>
  <si>
    <t>WCI3</t>
  </si>
  <si>
    <t>WCI4</t>
  </si>
  <si>
    <t>WCI5</t>
  </si>
  <si>
    <t>WCI6</t>
  </si>
  <si>
    <t>WCI7</t>
  </si>
  <si>
    <t>WCI8</t>
  </si>
  <si>
    <t>WCI9</t>
  </si>
  <si>
    <t>manual</t>
  </si>
  <si>
    <t>Y</t>
  </si>
  <si>
    <t>adjustment factor</t>
  </si>
  <si>
    <t>AE Adjustments</t>
  </si>
  <si>
    <t>status</t>
  </si>
  <si>
    <t>outcome</t>
  </si>
  <si>
    <t>function</t>
  </si>
  <si>
    <t>reason</t>
  </si>
  <si>
    <t>appropration type</t>
  </si>
  <si>
    <t>GEUS Adjustment Created (B)</t>
  </si>
  <si>
    <t>Variance (B- A)</t>
  </si>
  <si>
    <t>Current Annual Estimates Data (Excluding Parameters)</t>
  </si>
  <si>
    <t>Adjustment - Indexation Reconciliation</t>
  </si>
  <si>
    <t>Adjustment - Indexation Rates</t>
  </si>
  <si>
    <t>Admin - Indexation Setup</t>
  </si>
  <si>
    <t>Efficiency Dividend Summary Calculation</t>
  </si>
  <si>
    <t>Generate ED</t>
  </si>
  <si>
    <t>ED Generated By</t>
  </si>
  <si>
    <t>ED Generated Date</t>
  </si>
  <si>
    <t>Efficiciency Dividend (Adjustment Factor)</t>
  </si>
  <si>
    <t>Efficiency Dividend Calculation (System Generated) (A)</t>
  </si>
  <si>
    <t>Adjustment - Generate ED</t>
  </si>
  <si>
    <t>Apply ED? (Y)</t>
  </si>
  <si>
    <t>parameter reason code</t>
  </si>
  <si>
    <t>efficiency dividend reason code</t>
  </si>
  <si>
    <t>adjustment type</t>
  </si>
  <si>
    <t>Adjustment - Generate FE3</t>
  </si>
  <si>
    <t>Adjustment - Generate Indexation</t>
  </si>
  <si>
    <t>ADJ PARAMETERS</t>
  </si>
  <si>
    <t>Create Adj By Measures? :</t>
  </si>
  <si>
    <t>Adjustment - Indexation Finance Workbook</t>
  </si>
  <si>
    <t>Adjustment - Indexation Finance DCB Workbook</t>
  </si>
  <si>
    <t>Adjustment - Indexation and FE3 Navigational Map</t>
  </si>
  <si>
    <t>Adjustment - Indexation Generate Subset</t>
  </si>
  <si>
    <t>current budget round</t>
  </si>
  <si>
    <t xml:space="preserve">CBMS Round : </t>
  </si>
  <si>
    <t>Note : During the CBMS Round : MYEFO, the FE3 amount would be the 'Indexed FE2 amount'. Refer to FE3 workbook for calculation.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</si>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</sst>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+ &quot;@"/>
    <numFmt numFmtId="165" formatCode="&quot;- &quot;@"/>
    <numFmt numFmtId="166" formatCode="_(* #,##0_);[Red]_(* \(#,##0\);_(* &quot;-&quot;??_);_(@_)"/>
    <numFmt numFmtId="167" formatCode="_(* #,##0.00000_);[Red]_(* \(#,##0.000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C5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426A"/>
      </left>
      <right style="medium">
        <color rgb="FF00426A"/>
      </right>
      <top style="medium">
        <color rgb="FF00426A"/>
      </top>
      <bottom style="medium">
        <color rgb="FF00426A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2" fillId="2" borderId="1" xfId="0" applyFont="1" applyFill="1" applyBorder="1"/>
    <xf numFmtId="0" fontId="2" fillId="2" borderId="6" xfId="0" applyFont="1" applyFill="1" applyBorder="1"/>
    <xf numFmtId="0" fontId="4" fillId="3" borderId="0" xfId="0" applyFont="1" applyFill="1" applyAlignment="1">
      <alignment horizontal="center"/>
    </xf>
    <xf numFmtId="0" fontId="0" fillId="2" borderId="5" xfId="0" applyFill="1" applyBorder="1"/>
    <xf numFmtId="0" fontId="2" fillId="0" borderId="0" xfId="0" applyFont="1" applyAlignment="1">
      <alignment horizontal="right" indent="1"/>
    </xf>
    <xf numFmtId="0" fontId="1" fillId="4" borderId="7" xfId="0" applyFont="1" applyFill="1" applyBorder="1"/>
    <xf numFmtId="0" fontId="0" fillId="5" borderId="8" xfId="0" applyFill="1" applyBorder="1" applyAlignment="1" applyProtection="1">
      <alignment horizontal="center" vertical="center"/>
      <protection locked="0"/>
    </xf>
    <xf numFmtId="0" fontId="0" fillId="2" borderId="0" xfId="0" applyFill="1"/>
    <xf numFmtId="166" fontId="3" fillId="0" borderId="5" xfId="0" applyNumberFormat="1" applyFont="1" applyBorder="1"/>
    <xf numFmtId="0" fontId="1" fillId="6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left" indent="3"/>
    </xf>
    <xf numFmtId="166" fontId="3" fillId="7" borderId="5" xfId="0" applyNumberFormat="1" applyFont="1" applyFill="1" applyBorder="1"/>
    <xf numFmtId="0" fontId="2" fillId="3" borderId="6" xfId="0" applyFont="1" applyFill="1" applyBorder="1" applyAlignment="1">
      <alignment horizontal="center"/>
    </xf>
    <xf numFmtId="166" fontId="5" fillId="7" borderId="5" xfId="0" applyNumberFormat="1" applyFont="1" applyFill="1" applyBorder="1"/>
    <xf numFmtId="0" fontId="6" fillId="6" borderId="0" xfId="0" applyFont="1" applyFill="1" applyAlignment="1">
      <alignment horizontal="right" vertical="center"/>
    </xf>
    <xf numFmtId="0" fontId="5" fillId="7" borderId="5" xfId="0" applyFont="1" applyFill="1" applyBorder="1"/>
    <xf numFmtId="0" fontId="5" fillId="7" borderId="5" xfId="0" applyFont="1" applyFill="1" applyBorder="1" applyAlignment="1">
      <alignment horizontal="left" indent="1"/>
    </xf>
    <xf numFmtId="0" fontId="5" fillId="7" borderId="5" xfId="0" applyFont="1" applyFill="1" applyBorder="1" applyAlignment="1">
      <alignment horizontal="left" indent="2"/>
    </xf>
    <xf numFmtId="0" fontId="5" fillId="7" borderId="5" xfId="0" applyFont="1" applyFill="1" applyBorder="1" applyAlignment="1">
      <alignment horizontal="left" indent="3"/>
    </xf>
    <xf numFmtId="0" fontId="0" fillId="0" borderId="5" xfId="0" applyBorder="1" applyAlignment="1">
      <alignment horizontal="left" indent="1"/>
    </xf>
    <xf numFmtId="0" fontId="8" fillId="0" borderId="0" xfId="0" applyFont="1"/>
    <xf numFmtId="0" fontId="9" fillId="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5" fillId="7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7" fillId="0" borderId="0" xfId="0" applyFont="1"/>
    <xf numFmtId="167" fontId="5" fillId="7" borderId="5" xfId="0" applyNumberFormat="1" applyFont="1" applyFill="1" applyBorder="1"/>
    <xf numFmtId="167" fontId="3" fillId="0" borderId="5" xfId="0" applyNumberFormat="1" applyFont="1" applyBorder="1"/>
    <xf numFmtId="0" fontId="1" fillId="6" borderId="5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/>
      <protection locked="0"/>
    </xf>
    <xf numFmtId="0" fontId="5" fillId="7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12" borderId="15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5" fillId="12" borderId="15" xfId="0" applyFont="1" applyFill="1" applyBorder="1" applyAlignment="1" applyProtection="1">
      <alignment horizontal="center"/>
      <protection locked="0"/>
    </xf>
    <xf numFmtId="165" fontId="2" fillId="0" borderId="5" xfId="0" applyNumberFormat="1" applyFont="1" applyBorder="1"/>
    <xf numFmtId="49" fontId="0" fillId="0" borderId="5" xfId="0" applyNumberFormat="1" applyBorder="1"/>
    <xf numFmtId="164" fontId="0" fillId="0" borderId="5" xfId="0" applyNumberFormat="1" applyBorder="1"/>
    <xf numFmtId="0" fontId="1" fillId="8" borderId="5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5" xfId="0" applyBorder="1" applyAlignment="1" applyProtection="1">
      <alignment horizontal="left" indent="1"/>
      <protection locked="0"/>
    </xf>
    <xf numFmtId="0" fontId="0" fillId="2" borderId="5" xfId="0" applyFill="1" applyBorder="1" applyAlignment="1" applyProtection="1">
      <alignment horizontal="left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FFFF99"/>
      <color rgb="FF006C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44"/>
  <ax:ocxPr ax:name="_ExtentY" ax:value="397"/>
  <ax:ocxPr ax:name="_StockProps" ax:value="0"/>
  <ax:ocxPr ax:name="ServerName" ax:value="=db_name"/>
  <ax:ocxPr ax:name="ProcessName" ax:value="sys_AE Generate ParameterAndED Adj 99 - Clear Flags"/>
  <ax:ocxPr ax:name="Name" ax:value="psAdjType"/>
  <ax:ocxPr ax:name="Type" ax:value="0"/>
  <ax:ocxPr ax:name="Value" ax:value="=psAdjType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lear Flag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e-calculate Parameters and FE3?"/>
  <ax:ocxPr ax:name="SuccessMessage" ax:value="Flags have been cleared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1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1.emf"/><Relationship Id="rId3" Type="http://schemas.openxmlformats.org/officeDocument/2006/relationships/image" Target="../media/image3.emf"/><Relationship Id="rId7" Type="http://schemas.openxmlformats.org/officeDocument/2006/relationships/image" Target="../media/image8.emf"/><Relationship Id="rId12" Type="http://schemas.openxmlformats.org/officeDocument/2006/relationships/image" Target="../media/image13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7.emf"/><Relationship Id="rId11" Type="http://schemas.openxmlformats.org/officeDocument/2006/relationships/image" Target="../media/image12.emf"/><Relationship Id="rId5" Type="http://schemas.openxmlformats.org/officeDocument/2006/relationships/image" Target="../media/image6.emf"/><Relationship Id="rId10" Type="http://schemas.openxmlformats.org/officeDocument/2006/relationships/image" Target="../media/image11.emf"/><Relationship Id="rId4" Type="http://schemas.openxmlformats.org/officeDocument/2006/relationships/image" Target="../media/image2.emf"/><Relationship Id="rId9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75</xdr:row>
      <xdr:rowOff>9525</xdr:rowOff>
    </xdr:from>
    <xdr:to>
      <xdr:col>9</xdr:col>
      <xdr:colOff>1773555</xdr:colOff>
      <xdr:row>75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47625</xdr:colOff>
          <xdr:row>77</xdr:row>
          <xdr:rowOff>9525</xdr:rowOff>
        </xdr:from>
        <xdr:to>
          <xdr:col>9</xdr:col>
          <xdr:colOff>628650</xdr:colOff>
          <xdr:row>77</xdr:row>
          <xdr:rowOff>257175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1743075</xdr:colOff>
          <xdr:row>77</xdr:row>
          <xdr:rowOff>9525</xdr:rowOff>
        </xdr:from>
        <xdr:to>
          <xdr:col>9</xdr:col>
          <xdr:colOff>2419350</xdr:colOff>
          <xdr:row>77</xdr:row>
          <xdr:rowOff>257175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514350</xdr:colOff>
          <xdr:row>76</xdr:row>
          <xdr:rowOff>28575</xdr:rowOff>
        </xdr:from>
        <xdr:to>
          <xdr:col>25</xdr:col>
          <xdr:colOff>828675</xdr:colOff>
          <xdr:row>77</xdr:row>
          <xdr:rowOff>285750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2447925</xdr:colOff>
          <xdr:row>77</xdr:row>
          <xdr:rowOff>9525</xdr:rowOff>
        </xdr:from>
        <xdr:to>
          <xdr:col>9</xdr:col>
          <xdr:colOff>3495675</xdr:colOff>
          <xdr:row>77</xdr:row>
          <xdr:rowOff>257175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495300</xdr:colOff>
          <xdr:row>77</xdr:row>
          <xdr:rowOff>9525</xdr:rowOff>
        </xdr:from>
        <xdr:to>
          <xdr:col>13</xdr:col>
          <xdr:colOff>533400</xdr:colOff>
          <xdr:row>77</xdr:row>
          <xdr:rowOff>257175</xdr:rowOff>
        </xdr:to>
        <xdr:sp macro="" textlink="">
          <xdr:nvSpPr>
            <xdr:cNvPr id="1034" name="TIButton7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333375</xdr:colOff>
          <xdr:row>77</xdr:row>
          <xdr:rowOff>9525</xdr:rowOff>
        </xdr:from>
        <xdr:to>
          <xdr:col>11</xdr:col>
          <xdr:colOff>504825</xdr:colOff>
          <xdr:row>77</xdr:row>
          <xdr:rowOff>257175</xdr:rowOff>
        </xdr:to>
        <xdr:sp macro="" textlink="">
          <xdr:nvSpPr>
            <xdr:cNvPr id="1035" name="TIButton8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533400</xdr:colOff>
          <xdr:row>77</xdr:row>
          <xdr:rowOff>9525</xdr:rowOff>
        </xdr:from>
        <xdr:to>
          <xdr:col>12</xdr:col>
          <xdr:colOff>457200</xdr:colOff>
          <xdr:row>77</xdr:row>
          <xdr:rowOff>257175</xdr:rowOff>
        </xdr:to>
        <xdr:sp macro="" textlink="">
          <xdr:nvSpPr>
            <xdr:cNvPr id="1036" name="TIButton9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762000</xdr:colOff>
          <xdr:row>77</xdr:row>
          <xdr:rowOff>9525</xdr:rowOff>
        </xdr:from>
        <xdr:to>
          <xdr:col>19</xdr:col>
          <xdr:colOff>628650</xdr:colOff>
          <xdr:row>77</xdr:row>
          <xdr:rowOff>257175</xdr:rowOff>
        </xdr:to>
        <xdr:sp macro="" textlink="">
          <xdr:nvSpPr>
            <xdr:cNvPr id="1037" name="TIButton2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38100</xdr:colOff>
          <xdr:row>77</xdr:row>
          <xdr:rowOff>9525</xdr:rowOff>
        </xdr:from>
        <xdr:to>
          <xdr:col>16</xdr:col>
          <xdr:colOff>419100</xdr:colOff>
          <xdr:row>77</xdr:row>
          <xdr:rowOff>257175</xdr:rowOff>
        </xdr:to>
        <xdr:sp macro="" textlink="">
          <xdr:nvSpPr>
            <xdr:cNvPr id="1038" name="TIButton10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457200</xdr:colOff>
          <xdr:row>77</xdr:row>
          <xdr:rowOff>9525</xdr:rowOff>
        </xdr:from>
        <xdr:to>
          <xdr:col>17</xdr:col>
          <xdr:colOff>495300</xdr:colOff>
          <xdr:row>77</xdr:row>
          <xdr:rowOff>257175</xdr:rowOff>
        </xdr:to>
        <xdr:sp macro="" textlink="">
          <xdr:nvSpPr>
            <xdr:cNvPr id="1039" name="TIButton11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542925</xdr:colOff>
          <xdr:row>77</xdr:row>
          <xdr:rowOff>9525</xdr:rowOff>
        </xdr:from>
        <xdr:to>
          <xdr:col>18</xdr:col>
          <xdr:colOff>733425</xdr:colOff>
          <xdr:row>77</xdr:row>
          <xdr:rowOff>257175</xdr:rowOff>
        </xdr:to>
        <xdr:sp macro="" textlink="">
          <xdr:nvSpPr>
            <xdr:cNvPr id="1040" name="TIButton12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657225</xdr:colOff>
          <xdr:row>77</xdr:row>
          <xdr:rowOff>9525</xdr:rowOff>
        </xdr:from>
        <xdr:to>
          <xdr:col>9</xdr:col>
          <xdr:colOff>1724025</xdr:colOff>
          <xdr:row>77</xdr:row>
          <xdr:rowOff>257175</xdr:rowOff>
        </xdr:to>
        <xdr:sp macro="" textlink="">
          <xdr:nvSpPr>
            <xdr:cNvPr id="1041" name="TIButton1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3524250</xdr:colOff>
          <xdr:row>77</xdr:row>
          <xdr:rowOff>9525</xdr:rowOff>
        </xdr:from>
        <xdr:to>
          <xdr:col>10</xdr:col>
          <xdr:colOff>304800</xdr:colOff>
          <xdr:row>77</xdr:row>
          <xdr:rowOff>257175</xdr:rowOff>
        </xdr:to>
        <xdr:sp macro="" textlink="">
          <xdr:nvSpPr>
            <xdr:cNvPr id="1043" name="TIButton4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>
    <xdr:from>
      <xdr:col>8</xdr:col>
      <xdr:colOff>28575</xdr:colOff>
      <xdr:row>79</xdr:row>
      <xdr:rowOff>38100</xdr:rowOff>
    </xdr:from>
    <xdr:to>
      <xdr:col>9</xdr:col>
      <xdr:colOff>3876675</xdr:colOff>
      <xdr:row>88</xdr:row>
      <xdr:rowOff>142875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8575" y="923925"/>
          <a:ext cx="3905250" cy="1590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0" i="1">
              <a:solidFill>
                <a:srgbClr val="FF0000"/>
              </a:solidFill>
            </a:rPr>
            <a:t>Note  : Click 'ED Guidelines'</a:t>
          </a:r>
          <a:r>
            <a:rPr lang="en-AU" sz="1000" b="0" i="1" baseline="0">
              <a:solidFill>
                <a:srgbClr val="FF0000"/>
              </a:solidFill>
            </a:rPr>
            <a:t> for additional help &amp; to update calculation.</a:t>
          </a:r>
        </a:p>
        <a:p>
          <a:endParaRPr lang="en-AU" sz="1000" b="0" i="1">
            <a:solidFill>
              <a:srgbClr val="FF0000"/>
            </a:solidFill>
          </a:endParaRPr>
        </a:p>
        <a:p>
          <a:r>
            <a:rPr lang="en-AU" sz="1000" b="0" i="1">
              <a:solidFill>
                <a:srgbClr val="FF0000"/>
              </a:solidFill>
            </a:rPr>
            <a:t>STEP</a:t>
          </a:r>
          <a:r>
            <a:rPr lang="en-AU" sz="1000" b="0" i="1" baseline="0">
              <a:solidFill>
                <a:srgbClr val="FF0000"/>
              </a:solidFill>
            </a:rPr>
            <a:t> 1  :  Click 'Indexation Rates' to update rates for ED.</a:t>
          </a:r>
        </a:p>
        <a:p>
          <a:r>
            <a:rPr lang="en-AU" sz="1000" b="0" i="1" baseline="0">
              <a:solidFill>
                <a:srgbClr val="FF0000"/>
              </a:solidFill>
            </a:rPr>
            <a:t>STEP 2 : Flag Program to flag or (POPULATE FLAGS) for ED Generation.</a:t>
          </a:r>
        </a:p>
        <a:p>
          <a:r>
            <a:rPr lang="en-AU" sz="1000" b="0" i="1" baseline="0">
              <a:solidFill>
                <a:srgbClr val="FF0000"/>
              </a:solidFill>
            </a:rPr>
            <a:t>STEP 3 : Click 'Generate ED Adj' to generate ED adjustments.</a:t>
          </a:r>
        </a:p>
        <a:p>
          <a:r>
            <a:rPr lang="en-AU" sz="1000" b="0" i="1" baseline="0">
              <a:solidFill>
                <a:srgbClr val="FF0000"/>
              </a:solidFill>
            </a:rPr>
            <a:t>STEP 4 : Will need to do the same for Parameters and/or FE3.</a:t>
          </a:r>
        </a:p>
        <a:p>
          <a:r>
            <a:rPr lang="en-AU" sz="1000" b="0" i="1" baseline="0">
              <a:solidFill>
                <a:srgbClr val="FF0000"/>
              </a:solidFill>
            </a:rPr>
            <a:t>STEP 5 : Click 'Parameters Reco' to view Dept of Finance worksheet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C13C-DDE9-4108-B9E8-A5E2E63807AA}">
  <sheetPr codeName="Sheet1">
    <outlinePr showOutlineSymbols="0"/>
    <pageSetUpPr fitToPage="1"/>
  </sheetPr>
  <dimension ref="A1:AY91"/>
  <sheetViews>
    <sheetView showGridLines="0" showRowColHeaders="0" tabSelected="1" showOutlineSymbols="0" topLeftCell="A76" workbookViewId="0">
      <pane ySplit="15" topLeftCell="A91" activePane="bottomLeft" state="frozen"/>
      <selection activeCell="I76" sqref="I76"/>
      <selection pane="bottomLeft" activeCell="A91" sqref="A91"/>
    </sheetView>
  </sheetViews>
  <sheetFormatPr defaultRowHeight="15" outlineLevelRow="1" outlineLevelCol="1" x14ac:dyDescent="0.25"/>
  <cols>
    <col min="1" max="1" width="2.7109375" hidden="1" customWidth="1" outlineLevel="1"/>
    <col min="2" max="2" width="46" hidden="1" customWidth="1" outlineLevel="1"/>
    <col min="3" max="3" width="18.28515625" hidden="1" customWidth="1" outlineLevel="1"/>
    <col min="4" max="8" width="17.28515625" hidden="1" customWidth="1" outlineLevel="1"/>
    <col min="9" max="9" width="0.85546875" customWidth="1" collapsed="1"/>
    <col min="10" max="10" width="66.7109375" customWidth="1"/>
    <col min="11" max="11" width="11.7109375" customWidth="1"/>
    <col min="12" max="12" width="12.7109375" customWidth="1"/>
    <col min="13" max="14" width="15.7109375" customWidth="1"/>
    <col min="15" max="15" width="0.85546875" customWidth="1"/>
    <col min="16" max="20" width="13.7109375" customWidth="1"/>
    <col min="21" max="21" width="0.85546875" customWidth="1"/>
    <col min="22" max="26" width="13.7109375" customWidth="1"/>
    <col min="27" max="27" width="0.85546875" customWidth="1"/>
    <col min="28" max="29" width="13.7109375" hidden="1" customWidth="1"/>
    <col min="30" max="30" width="0.85546875" hidden="1" customWidth="1"/>
    <col min="31" max="33" width="13.7109375" hidden="1" customWidth="1"/>
    <col min="34" max="37" width="13.7109375" customWidth="1"/>
    <col min="38" max="38" width="13.85546875" customWidth="1"/>
    <col min="39" max="39" width="0.85546875" customWidth="1"/>
    <col min="40" max="44" width="13.7109375" customWidth="1"/>
    <col min="45" max="45" width="0.85546875" customWidth="1"/>
    <col min="46" max="50" width="13.7109375" customWidth="1"/>
    <col min="51" max="51" width="0.85546875" customWidth="1"/>
  </cols>
  <sheetData>
    <row r="1" spans="1:50" ht="15.75" hidden="1" outlineLevel="1" thickBot="1" x14ac:dyDescent="0.3">
      <c r="A1" t="s">
        <v>9</v>
      </c>
    </row>
    <row r="2" spans="1:50" ht="15.75" hidden="1" outlineLevel="1" thickBot="1" x14ac:dyDescent="0.3">
      <c r="A2">
        <f>0</f>
        <v>0</v>
      </c>
      <c r="B2" s="2"/>
      <c r="C2" s="6"/>
      <c r="D2" s="6"/>
      <c r="E2" s="6"/>
      <c r="F2" s="6"/>
      <c r="G2" s="6"/>
      <c r="H2" s="6"/>
      <c r="J2" s="22" t="s">
        <v>53</v>
      </c>
      <c r="K2" s="41"/>
      <c r="L2" s="47"/>
      <c r="M2" s="43"/>
      <c r="N2" s="33"/>
      <c r="P2" s="20"/>
      <c r="Q2" s="20"/>
      <c r="R2" s="20"/>
      <c r="S2" s="20"/>
      <c r="T2" s="20"/>
      <c r="V2" s="37"/>
      <c r="W2" s="37"/>
      <c r="X2" s="37"/>
      <c r="Y2" s="37"/>
      <c r="Z2" s="37"/>
      <c r="AA2" s="1"/>
      <c r="AB2" s="20"/>
      <c r="AC2" s="20"/>
      <c r="AD2" s="1"/>
      <c r="AE2" s="20"/>
      <c r="AF2" s="20"/>
      <c r="AG2" s="20"/>
      <c r="AH2" s="20"/>
      <c r="AI2" s="20"/>
      <c r="AJ2" s="20"/>
      <c r="AK2" s="20"/>
      <c r="AL2" s="20"/>
      <c r="AM2" s="1"/>
      <c r="AN2" s="20"/>
      <c r="AO2" s="20"/>
      <c r="AP2" s="20"/>
      <c r="AQ2" s="20"/>
      <c r="AR2" s="20"/>
      <c r="AS2" s="1"/>
      <c r="AT2" s="20"/>
      <c r="AU2" s="20"/>
      <c r="AV2" s="20"/>
      <c r="AW2" s="20"/>
      <c r="AX2" s="20"/>
    </row>
    <row r="3" spans="1:50" ht="15.75" hidden="1" outlineLevel="1" thickBot="1" x14ac:dyDescent="0.3">
      <c r="A3">
        <f>1</f>
        <v>1</v>
      </c>
      <c r="B3" s="6"/>
      <c r="C3" s="6"/>
      <c r="D3" s="6"/>
      <c r="E3" s="6"/>
      <c r="F3" s="6"/>
      <c r="G3" s="6"/>
      <c r="H3" s="6"/>
      <c r="J3" s="23" t="s">
        <v>54</v>
      </c>
      <c r="K3" s="41"/>
      <c r="L3" s="47"/>
      <c r="M3" s="43"/>
      <c r="N3" s="33"/>
      <c r="P3" s="20"/>
      <c r="Q3" s="20"/>
      <c r="R3" s="20"/>
      <c r="S3" s="20"/>
      <c r="T3" s="20"/>
      <c r="V3" s="37"/>
      <c r="W3" s="37"/>
      <c r="X3" s="37"/>
      <c r="Y3" s="37"/>
      <c r="Z3" s="37"/>
      <c r="AA3" s="1"/>
      <c r="AB3" s="20"/>
      <c r="AC3" s="20"/>
      <c r="AD3" s="1"/>
      <c r="AE3" s="20"/>
      <c r="AF3" s="20"/>
      <c r="AG3" s="20"/>
      <c r="AH3" s="20"/>
      <c r="AI3" s="20"/>
      <c r="AJ3" s="20"/>
      <c r="AK3" s="20"/>
      <c r="AL3" s="20"/>
      <c r="AM3" s="1"/>
      <c r="AN3" s="20"/>
      <c r="AO3" s="20"/>
      <c r="AP3" s="20"/>
      <c r="AQ3" s="20"/>
      <c r="AR3" s="20"/>
      <c r="AS3" s="1"/>
      <c r="AT3" s="20"/>
      <c r="AU3" s="20"/>
      <c r="AV3" s="20"/>
      <c r="AW3" s="20"/>
      <c r="AX3" s="20"/>
    </row>
    <row r="4" spans="1:50" ht="15.75" hidden="1" outlineLevel="1" thickBot="1" x14ac:dyDescent="0.3">
      <c r="A4">
        <f>2</f>
        <v>2</v>
      </c>
      <c r="B4" s="6"/>
      <c r="C4" s="6"/>
      <c r="D4" s="6"/>
      <c r="E4" s="6"/>
      <c r="F4" s="6"/>
      <c r="G4" s="6"/>
      <c r="H4" s="6"/>
      <c r="J4" s="24" t="s">
        <v>55</v>
      </c>
      <c r="K4" s="41"/>
      <c r="L4" s="47"/>
      <c r="M4" s="43"/>
      <c r="N4" s="33"/>
      <c r="P4" s="20"/>
      <c r="Q4" s="20"/>
      <c r="R4" s="20"/>
      <c r="S4" s="20"/>
      <c r="T4" s="20"/>
      <c r="V4" s="37"/>
      <c r="W4" s="37"/>
      <c r="X4" s="37"/>
      <c r="Y4" s="37"/>
      <c r="Z4" s="37"/>
      <c r="AA4" s="1"/>
      <c r="AB4" s="20"/>
      <c r="AC4" s="20"/>
      <c r="AD4" s="1"/>
      <c r="AE4" s="20"/>
      <c r="AF4" s="20"/>
      <c r="AG4" s="20"/>
      <c r="AH4" s="20"/>
      <c r="AI4" s="20"/>
      <c r="AJ4" s="20"/>
      <c r="AK4" s="20"/>
      <c r="AL4" s="20"/>
      <c r="AM4" s="1"/>
      <c r="AN4" s="20"/>
      <c r="AO4" s="20"/>
      <c r="AP4" s="20"/>
      <c r="AQ4" s="20"/>
      <c r="AR4" s="20"/>
      <c r="AS4" s="1"/>
      <c r="AT4" s="20"/>
      <c r="AU4" s="20"/>
      <c r="AV4" s="20"/>
      <c r="AW4" s="20"/>
      <c r="AX4" s="20"/>
    </row>
    <row r="5" spans="1:50" ht="15.75" hidden="1" outlineLevel="1" thickBot="1" x14ac:dyDescent="0.3">
      <c r="A5">
        <f>3</f>
        <v>3</v>
      </c>
      <c r="B5" s="6"/>
      <c r="C5" s="6"/>
      <c r="D5" s="6"/>
      <c r="E5" s="6"/>
      <c r="F5" s="6"/>
      <c r="G5" s="6"/>
      <c r="H5" s="6"/>
      <c r="J5" s="25" t="s">
        <v>7</v>
      </c>
      <c r="K5" s="41"/>
      <c r="L5" s="47"/>
      <c r="M5" s="43"/>
      <c r="N5" s="33"/>
      <c r="P5" s="20"/>
      <c r="Q5" s="20"/>
      <c r="R5" s="20"/>
      <c r="S5" s="20"/>
      <c r="T5" s="20"/>
      <c r="V5" s="37"/>
      <c r="W5" s="37"/>
      <c r="X5" s="37"/>
      <c r="Y5" s="37"/>
      <c r="Z5" s="37"/>
      <c r="AA5" s="1"/>
      <c r="AB5" s="20"/>
      <c r="AC5" s="20"/>
      <c r="AD5" s="1"/>
      <c r="AE5" s="20"/>
      <c r="AF5" s="20"/>
      <c r="AG5" s="20"/>
      <c r="AH5" s="20"/>
      <c r="AI5" s="20"/>
      <c r="AJ5" s="20"/>
      <c r="AK5" s="20"/>
      <c r="AL5" s="20"/>
      <c r="AM5" s="1"/>
      <c r="AN5" s="20"/>
      <c r="AO5" s="20"/>
      <c r="AP5" s="20"/>
      <c r="AQ5" s="20"/>
      <c r="AR5" s="20"/>
      <c r="AS5" s="1"/>
      <c r="AT5" s="20"/>
      <c r="AU5" s="20"/>
      <c r="AV5" s="20"/>
      <c r="AW5" s="20"/>
      <c r="AX5" s="20"/>
    </row>
    <row r="6" spans="1:50" ht="15.75" hidden="1" outlineLevel="1" thickBot="1" x14ac:dyDescent="0.3">
      <c r="A6" t="s">
        <v>7</v>
      </c>
      <c r="B6" s="6"/>
      <c r="C6" s="6"/>
      <c r="D6" s="6"/>
      <c r="E6" s="6"/>
      <c r="F6" s="6"/>
      <c r="G6" s="6"/>
      <c r="H6" s="6"/>
      <c r="J6" s="25" t="s">
        <v>56</v>
      </c>
      <c r="K6" s="41"/>
      <c r="L6" s="47"/>
      <c r="M6" s="43"/>
      <c r="N6" s="33"/>
      <c r="P6" s="20"/>
      <c r="Q6" s="20"/>
      <c r="R6" s="20"/>
      <c r="S6" s="20"/>
      <c r="T6" s="20"/>
      <c r="V6" s="37"/>
      <c r="W6" s="37"/>
      <c r="X6" s="37"/>
      <c r="Y6" s="37"/>
      <c r="Z6" s="37"/>
      <c r="AA6" s="1"/>
      <c r="AB6" s="20"/>
      <c r="AC6" s="20"/>
      <c r="AD6" s="1"/>
      <c r="AE6" s="20"/>
      <c r="AF6" s="20"/>
      <c r="AG6" s="20"/>
      <c r="AH6" s="20"/>
      <c r="AI6" s="20"/>
      <c r="AJ6" s="20"/>
      <c r="AK6" s="20"/>
      <c r="AL6" s="20"/>
      <c r="AM6" s="1"/>
      <c r="AN6" s="20"/>
      <c r="AO6" s="20"/>
      <c r="AP6" s="20"/>
      <c r="AQ6" s="20"/>
      <c r="AR6" s="20"/>
      <c r="AS6" s="1"/>
      <c r="AT6" s="20"/>
      <c r="AU6" s="20"/>
      <c r="AV6" s="20"/>
      <c r="AW6" s="20"/>
      <c r="AX6" s="20"/>
    </row>
    <row r="7" spans="1:50" ht="15.75" hidden="1" outlineLevel="1" thickBot="1" x14ac:dyDescent="0.3">
      <c r="A7" t="s">
        <v>8</v>
      </c>
      <c r="B7" s="6"/>
      <c r="C7" s="6"/>
      <c r="D7" s="6"/>
      <c r="E7" s="6"/>
      <c r="F7" s="6"/>
      <c r="G7" s="6"/>
      <c r="H7" s="6"/>
      <c r="J7" s="17" t="s">
        <v>57</v>
      </c>
      <c r="K7" s="42"/>
      <c r="L7" s="45"/>
      <c r="M7" s="44"/>
      <c r="N7" s="34"/>
      <c r="P7" s="15"/>
      <c r="Q7" s="15"/>
      <c r="R7" s="15"/>
      <c r="S7" s="15"/>
      <c r="T7" s="15"/>
      <c r="V7" s="38"/>
      <c r="W7" s="38"/>
      <c r="X7" s="38"/>
      <c r="Y7" s="38"/>
      <c r="Z7" s="38"/>
      <c r="AB7" s="18"/>
      <c r="AC7" s="18"/>
      <c r="AE7" s="15"/>
      <c r="AF7" s="15"/>
      <c r="AG7" s="15"/>
      <c r="AH7" s="18"/>
      <c r="AI7" s="18"/>
      <c r="AJ7" s="18"/>
      <c r="AK7" s="18"/>
      <c r="AL7" s="18"/>
      <c r="AN7" s="18"/>
      <c r="AO7" s="18"/>
      <c r="AP7" s="18"/>
      <c r="AQ7" s="18"/>
      <c r="AR7" s="18"/>
      <c r="AT7" s="18"/>
      <c r="AU7" s="18"/>
      <c r="AV7" s="18"/>
      <c r="AW7" s="18"/>
      <c r="AX7" s="18"/>
    </row>
    <row r="8" spans="1:50" hidden="1" outlineLevel="1" x14ac:dyDescent="0.25">
      <c r="A8" t="s">
        <v>10</v>
      </c>
    </row>
    <row r="9" spans="1:50" hidden="1" outlineLevel="1" x14ac:dyDescent="0.25"/>
    <row r="10" spans="1:50" hidden="1" outlineLevel="1" x14ac:dyDescent="0.25"/>
    <row r="11" spans="1:50" hidden="1" outlineLevel="1" x14ac:dyDescent="0.25">
      <c r="B11" s="65" t="s">
        <v>11</v>
      </c>
      <c r="C11" s="66"/>
      <c r="D11" s="67"/>
    </row>
    <row r="12" spans="1:50" hidden="1" outlineLevel="1" x14ac:dyDescent="0.25">
      <c r="B12" s="2" t="s">
        <v>12</v>
      </c>
      <c r="C12" s="3" t="s">
        <v>131</v>
      </c>
      <c r="D12" s="4"/>
    </row>
    <row r="13" spans="1:50" hidden="1" outlineLevel="1" x14ac:dyDescent="0.25">
      <c r="B13" s="2" t="s">
        <v>0</v>
      </c>
      <c r="C13" s="5" t="str" cm="1">
        <f t="array" aca="1" ref="C13" ca="1">_xll.VIEW(db_name&amp;":}ElementAttributes_}Clients","!","!")</f>
        <v>dcceew_geus:}ElementAttributes_}Clients</v>
      </c>
      <c r="D13" s="4"/>
    </row>
    <row r="14" spans="1:50" hidden="1" outlineLevel="1" x14ac:dyDescent="0.25">
      <c r="B14" s="2" t="s">
        <v>13</v>
      </c>
      <c r="C14" s="3" t="str" cm="1">
        <f t="array" aca="1" ref="C14" ca="1">_xll.TM1USER(db_name)</f>
        <v/>
      </c>
      <c r="D14" s="4"/>
    </row>
    <row r="15" spans="1:50" hidden="1" outlineLevel="1" x14ac:dyDescent="0.25">
      <c r="B15" s="2" t="s">
        <v>14</v>
      </c>
      <c r="C15" s="3" t="str" cm="1">
        <f t="array" aca="1" ref="C15" ca="1">_xll.DBR($C$13,$C$14,$B15)</f>
        <v>*KEY_ERR</v>
      </c>
      <c r="D15" s="4"/>
    </row>
    <row r="16" spans="1:50" hidden="1" outlineLevel="1" x14ac:dyDescent="0.25">
      <c r="B16" s="2" t="s">
        <v>15</v>
      </c>
      <c r="C16" s="3" t="str" cm="1">
        <f t="array" aca="1" ref="C16" ca="1">_xll.DBR($C$13,$C$14,$B16)</f>
        <v>*KEY_ERR</v>
      </c>
      <c r="D16" s="4"/>
    </row>
    <row r="17" spans="2:20" hidden="1" outlineLevel="1" x14ac:dyDescent="0.25">
      <c r="B17" s="2" t="s">
        <v>16</v>
      </c>
      <c r="C17" s="3" t="str">
        <f ca="1">IF(LEFT($C$15,6)="CAM_AD",$C$16,$C$15)</f>
        <v>*KEY_ERR</v>
      </c>
      <c r="D17" s="6"/>
    </row>
    <row r="18" spans="2:20" hidden="1" outlineLevel="1" x14ac:dyDescent="0.25"/>
    <row r="19" spans="2:20" hidden="1" outlineLevel="1" x14ac:dyDescent="0.25">
      <c r="B19" s="65" t="s">
        <v>17</v>
      </c>
      <c r="C19" s="66"/>
      <c r="D19" s="67"/>
    </row>
    <row r="20" spans="2:20" hidden="1" outlineLevel="1" x14ac:dyDescent="0.25">
      <c r="B20" s="2" t="s">
        <v>18</v>
      </c>
      <c r="C20" s="6" t="str" cm="1">
        <f t="array" aca="1" ref="C20" ca="1">_xll.VIEW(db_name&amp;":}ElementAttributes_variables","!","!")</f>
        <v>dcceew_geus:}ElementAttributes_variables</v>
      </c>
      <c r="D20" s="6"/>
    </row>
    <row r="21" spans="2:20" hidden="1" outlineLevel="1" x14ac:dyDescent="0.25">
      <c r="B21" s="2" t="s">
        <v>19</v>
      </c>
      <c r="C21" s="6" t="str" cm="1">
        <f t="array" aca="1" ref="C21" ca="1">_xll.DBR($C$20,$B21,"value")</f>
        <v>*KEY_ERR</v>
      </c>
      <c r="D21" s="6"/>
    </row>
    <row r="22" spans="2:20" hidden="1" outlineLevel="1" x14ac:dyDescent="0.25">
      <c r="B22" s="2" t="s">
        <v>20</v>
      </c>
      <c r="C22" s="6" t="str" cm="1">
        <f t="array" aca="1" ref="C22" ca="1">_xll.DBR($C$20,$B22,"value")</f>
        <v>*KEY_ERR</v>
      </c>
      <c r="D22" s="6"/>
    </row>
    <row r="23" spans="2:20" hidden="1" outlineLevel="1" x14ac:dyDescent="0.25">
      <c r="B23" s="2" t="s">
        <v>128</v>
      </c>
      <c r="C23" s="6" t="str" cm="1">
        <f t="array" aca="1" ref="C23" ca="1">_xll.DBR($C$20,$B23,"value")</f>
        <v>*KEY_ERR</v>
      </c>
      <c r="D23" s="6"/>
    </row>
    <row r="24" spans="2:20" hidden="1" outlineLevel="1" x14ac:dyDescent="0.25">
      <c r="B24" s="2" t="s">
        <v>117</v>
      </c>
      <c r="C24" s="6" t="str" cm="1">
        <f t="array" aca="1" ref="C24" ca="1">_xll.DBR($C$20,$B24,"value")</f>
        <v>*KEY_ERR</v>
      </c>
      <c r="D24" s="6"/>
    </row>
    <row r="25" spans="2:20" hidden="1" outlineLevel="1" x14ac:dyDescent="0.25">
      <c r="B25" s="2" t="s">
        <v>118</v>
      </c>
      <c r="C25" s="6" t="str" cm="1">
        <f t="array" aca="1" ref="C25" ca="1">_xll.DBR($C$20,$B25,"value")</f>
        <v>*KEY_ERR</v>
      </c>
      <c r="D25" s="6"/>
    </row>
    <row r="26" spans="2:20" hidden="1" outlineLevel="1" x14ac:dyDescent="0.25">
      <c r="B26" s="2" t="s">
        <v>119</v>
      </c>
      <c r="C26" s="6" t="s">
        <v>83</v>
      </c>
      <c r="D26" s="6"/>
    </row>
    <row r="27" spans="2:20" hidden="1" outlineLevel="1" x14ac:dyDescent="0.25"/>
    <row r="28" spans="2:20" hidden="1" outlineLevel="1" x14ac:dyDescent="0.25">
      <c r="B28" s="65" t="s">
        <v>24</v>
      </c>
      <c r="C28" s="66"/>
      <c r="D28" s="67"/>
    </row>
    <row r="29" spans="2:20" hidden="1" outlineLevel="1" x14ac:dyDescent="0.25">
      <c r="B29" s="6" t="s">
        <v>25</v>
      </c>
      <c r="C29" s="6" t="str">
        <f ca="1">_xll.VIEW(db_name&amp;":sys_application","!","!")</f>
        <v>dcceew_geus:sys_application</v>
      </c>
    </row>
    <row r="30" spans="2:20" hidden="1" outlineLevel="1" x14ac:dyDescent="0.25">
      <c r="B30" s="6" t="s">
        <v>26</v>
      </c>
      <c r="C30" s="6" t="s">
        <v>115</v>
      </c>
    </row>
    <row r="31" spans="2:20" ht="15.75" hidden="1" outlineLevel="1" thickBot="1" x14ac:dyDescent="0.3">
      <c r="B31" s="7" t="s">
        <v>27</v>
      </c>
      <c r="C31" s="8" t="s">
        <v>28</v>
      </c>
      <c r="D31" s="8" t="s">
        <v>29</v>
      </c>
      <c r="E31" s="8" t="s">
        <v>30</v>
      </c>
      <c r="F31" s="8" t="s">
        <v>31</v>
      </c>
      <c r="G31" s="8" t="s">
        <v>32</v>
      </c>
      <c r="H31" s="8" t="s">
        <v>33</v>
      </c>
      <c r="T31" s="12" t="s">
        <v>48</v>
      </c>
    </row>
    <row r="32" spans="2:20" ht="15.75" hidden="1" outlineLevel="1" thickBot="1" x14ac:dyDescent="0.3">
      <c r="B32" s="6" t="s">
        <v>34</v>
      </c>
      <c r="C32" s="6" t="str" cm="1">
        <f t="array" aca="1" ref="C32" ca="1">_xll.DBR($C$29,$B32,C$31)</f>
        <v>*KEY_ERR</v>
      </c>
      <c r="D32" s="6" t="str" cm="1">
        <f t="array" aca="1" ref="D32" ca="1">_xll.DBR($C$29,$B32,D$31)</f>
        <v>*KEY_ERR</v>
      </c>
      <c r="E32" s="6" t="str" cm="1">
        <f t="array" aca="1" ref="E32" ca="1">_xll.DBR($C$29,$B32,E$31)</f>
        <v>*KEY_ERR</v>
      </c>
      <c r="F32" s="6" t="str" cm="1">
        <f t="array" aca="1" ref="F32" ca="1">_xll.DBR($C$29,$B32,F$31)</f>
        <v>*KEY_ERR</v>
      </c>
      <c r="G32" s="6" t="str" cm="1">
        <f t="array" aca="1" ref="G32" ca="1">_xll.DBR($C$29,$B32,G$31)</f>
        <v>*KEY_ERR</v>
      </c>
      <c r="H32" s="6" t="str" cm="1">
        <f t="array" aca="1" ref="H32" ca="1">_xll.DBR($C$29,$B32,H$31)</f>
        <v>*KEY_ERR</v>
      </c>
      <c r="S32" s="11" t="s">
        <v>49</v>
      </c>
      <c r="T32" s="13" t="str" cm="1">
        <f t="array" aca="1" ref="T32" ca="1">_xll.SUBNM(db_name&amp;":sys_report display","","Expand")</f>
        <v/>
      </c>
    </row>
    <row r="33" spans="2:50" hidden="1" outlineLevel="1" x14ac:dyDescent="0.25">
      <c r="B33" s="6" t="s">
        <v>35</v>
      </c>
      <c r="C33" s="6" t="str" cm="1">
        <f t="array" aca="1" ref="C33" ca="1">_xll.DBR($C$29,$B33,C$31)</f>
        <v>*KEY_ERR</v>
      </c>
      <c r="D33" s="6" t="str" cm="1">
        <f t="array" aca="1" ref="D33" ca="1">_xll.DBR($C$29,$B33,D$31)</f>
        <v>*KEY_ERR</v>
      </c>
      <c r="E33" s="6" t="str" cm="1">
        <f t="array" aca="1" ref="E33" ca="1">_xll.DBR($C$29,$B33,E$31)</f>
        <v>*KEY_ERR</v>
      </c>
      <c r="F33" s="6" t="str" cm="1">
        <f t="array" aca="1" ref="F33" ca="1">_xll.DBR($C$29,$B33,F$31)</f>
        <v>*KEY_ERR</v>
      </c>
      <c r="G33" s="6" t="str" cm="1">
        <f t="array" aca="1" ref="G33" ca="1">_xll.DBR($C$29,$B33,G$31)</f>
        <v>*KEY_ERR</v>
      </c>
      <c r="H33" s="6" t="str" cm="1">
        <f t="array" aca="1" ref="H33" ca="1">_xll.DBR($C$29,$B33,H$31)</f>
        <v>*KEY_ERR</v>
      </c>
    </row>
    <row r="34" spans="2:50" hidden="1" outlineLevel="1" x14ac:dyDescent="0.25">
      <c r="B34" s="6" t="s">
        <v>36</v>
      </c>
      <c r="C34" s="6" t="str" cm="1">
        <f t="array" aca="1" ref="C34" ca="1">_xll.DBR($C$29,$B34,C$31)</f>
        <v>*KEY_ERR</v>
      </c>
      <c r="D34" s="6" t="str" cm="1">
        <f t="array" aca="1" ref="D34" ca="1">_xll.DBR($C$29,$B34,D$31)</f>
        <v>*KEY_ERR</v>
      </c>
      <c r="E34" s="6" t="str" cm="1">
        <f t="array" aca="1" ref="E34" ca="1">_xll.DBR($C$29,$B34,E$31)</f>
        <v>*KEY_ERR</v>
      </c>
      <c r="F34" s="6" t="str" cm="1">
        <f t="array" aca="1" ref="F34" ca="1">_xll.DBR($C$29,$B34,F$31)</f>
        <v>*KEY_ERR</v>
      </c>
      <c r="G34" s="6" t="str" cm="1">
        <f t="array" aca="1" ref="G34" ca="1">_xll.DBR($C$29,$B34,G$31)</f>
        <v>*KEY_ERR</v>
      </c>
      <c r="H34" s="6" t="str" cm="1">
        <f t="array" aca="1" ref="H34" ca="1">_xll.DBR($C$29,$B34,H$31)</f>
        <v>*KEY_ERR</v>
      </c>
    </row>
    <row r="35" spans="2:50" hidden="1" outlineLevel="1" x14ac:dyDescent="0.25">
      <c r="B35" s="6" t="s">
        <v>37</v>
      </c>
      <c r="C35" s="6" t="str" cm="1">
        <f t="array" aca="1" ref="C35" ca="1">_xll.DBR($C$29,$B35,C$31)</f>
        <v>*KEY_ERR</v>
      </c>
      <c r="D35" s="6" t="str" cm="1">
        <f t="array" aca="1" ref="D35" ca="1">_xll.DBR($C$29,$B35,D$31)</f>
        <v>*KEY_ERR</v>
      </c>
      <c r="E35" s="6" t="str" cm="1">
        <f t="array" aca="1" ref="E35" ca="1">_xll.DBR($C$29,$B35,E$31)</f>
        <v>*KEY_ERR</v>
      </c>
      <c r="F35" s="6" t="str" cm="1">
        <f t="array" aca="1" ref="F35" ca="1">_xll.DBR($C$29,$B35,F$31)</f>
        <v>*KEY_ERR</v>
      </c>
      <c r="G35" s="6" t="str" cm="1">
        <f t="array" aca="1" ref="G35" ca="1">_xll.DBR($C$29,$B35,G$31)</f>
        <v>*KEY_ERR</v>
      </c>
      <c r="H35" s="6" t="str" cm="1">
        <f t="array" aca="1" ref="H35" ca="1">_xll.DBR($C$29,$B35,H$31)</f>
        <v>*KEY_ERR</v>
      </c>
    </row>
    <row r="36" spans="2:50" hidden="1" outlineLevel="1" x14ac:dyDescent="0.25">
      <c r="B36" s="6" t="s">
        <v>106</v>
      </c>
      <c r="C36" s="6" t="str" cm="1">
        <f t="array" aca="1" ref="C36" ca="1">_xll.DBR($C$29,$B36,C$31)</f>
        <v>*KEY_ERR</v>
      </c>
      <c r="D36" s="6" t="str" cm="1">
        <f t="array" aca="1" ref="D36" ca="1">_xll.DBR($C$29,$B36,D$31)</f>
        <v>*KEY_ERR</v>
      </c>
      <c r="E36" s="6" t="str" cm="1">
        <f t="array" aca="1" ref="E36" ca="1">_xll.DBR($C$29,$B36,E$31)</f>
        <v>*KEY_ERR</v>
      </c>
      <c r="F36" s="6" t="str" cm="1">
        <f t="array" aca="1" ref="F36" ca="1">_xll.DBR($C$29,$B36,F$31)</f>
        <v>*KEY_ERR</v>
      </c>
      <c r="G36" s="6" t="str" cm="1">
        <f t="array" aca="1" ref="G36" ca="1">_xll.DBR($C$29,$B36,G$31)</f>
        <v>*KEY_ERR</v>
      </c>
      <c r="H36" s="6" t="str" cm="1">
        <f t="array" aca="1" ref="H36" ca="1">_xll.DBR($C$29,$B36,H$31)</f>
        <v>*KEY_ERR</v>
      </c>
    </row>
    <row r="37" spans="2:50" hidden="1" outlineLevel="1" x14ac:dyDescent="0.25">
      <c r="B37" s="6" t="s">
        <v>107</v>
      </c>
      <c r="C37" s="6" t="str" cm="1">
        <f t="array" aca="1" ref="C37" ca="1">_xll.DBR($C$29,$B37,C$31)</f>
        <v>*KEY_ERR</v>
      </c>
      <c r="D37" s="6" t="str" cm="1">
        <f t="array" aca="1" ref="D37" ca="1">_xll.DBR($C$29,$B37,D$31)</f>
        <v>*KEY_ERR</v>
      </c>
      <c r="E37" s="6" t="str" cm="1">
        <f t="array" aca="1" ref="E37" ca="1">_xll.DBR($C$29,$B37,E$31)</f>
        <v>*KEY_ERR</v>
      </c>
      <c r="F37" s="6" t="str" cm="1">
        <f t="array" aca="1" ref="F37" ca="1">_xll.DBR($C$29,$B37,F$31)</f>
        <v>*KEY_ERR</v>
      </c>
      <c r="G37" s="6" t="str" cm="1">
        <f t="array" aca="1" ref="G37" ca="1">_xll.DBR($C$29,$B37,G$31)</f>
        <v>*KEY_ERR</v>
      </c>
      <c r="H37" s="6" t="str" cm="1">
        <f t="array" aca="1" ref="H37" ca="1">_xll.DBR($C$29,$B37,H$31)</f>
        <v>*KEY_ERR</v>
      </c>
    </row>
    <row r="38" spans="2:50" hidden="1" outlineLevel="1" x14ac:dyDescent="0.25">
      <c r="B38" s="6" t="s">
        <v>108</v>
      </c>
      <c r="C38" s="6" t="str" cm="1">
        <f t="array" aca="1" ref="C38" ca="1">_xll.DBR($C$29,$B38,C$31)</f>
        <v>*KEY_ERR</v>
      </c>
      <c r="D38" s="6" t="str" cm="1">
        <f t="array" aca="1" ref="D38" ca="1">_xll.DBR($C$29,$B38,D$31)</f>
        <v>*KEY_ERR</v>
      </c>
      <c r="E38" s="6" t="str" cm="1">
        <f t="array" aca="1" ref="E38" ca="1">_xll.DBR($C$29,$B38,E$31)</f>
        <v>*KEY_ERR</v>
      </c>
      <c r="F38" s="6" t="str" cm="1">
        <f t="array" aca="1" ref="F38" ca="1">_xll.DBR($C$29,$B38,F$31)</f>
        <v>*KEY_ERR</v>
      </c>
      <c r="G38" s="6" t="str" cm="1">
        <f t="array" aca="1" ref="G38" ca="1">_xll.DBR($C$29,$B38,G$31)</f>
        <v>*KEY_ERR</v>
      </c>
      <c r="H38" s="6" t="str" cm="1">
        <f t="array" aca="1" ref="H38" ca="1">_xll.DBR($C$29,$B38,H$31)</f>
        <v>*KEY_ERR</v>
      </c>
    </row>
    <row r="39" spans="2:50" hidden="1" outlineLevel="1" x14ac:dyDescent="0.25">
      <c r="B39" s="6" t="s">
        <v>120</v>
      </c>
      <c r="C39" s="6" t="str" cm="1">
        <f t="array" aca="1" ref="C39" ca="1">_xll.DBR($C$29,$B39,C$31)</f>
        <v>*KEY_ERR</v>
      </c>
      <c r="D39" s="6" t="str" cm="1">
        <f t="array" aca="1" ref="D39" ca="1">_xll.DBR($C$29,$B39,D$31)</f>
        <v>*KEY_ERR</v>
      </c>
      <c r="E39" s="6" t="str" cm="1">
        <f t="array" aca="1" ref="E39" ca="1">_xll.DBR($C$29,$B39,E$31)</f>
        <v>*KEY_ERR</v>
      </c>
      <c r="F39" s="6" t="str" cm="1">
        <f t="array" aca="1" ref="F39" ca="1">_xll.DBR($C$29,$B39,F$31)</f>
        <v>*KEY_ERR</v>
      </c>
      <c r="G39" s="6" t="str" cm="1">
        <f t="array" aca="1" ref="G39" ca="1">_xll.DBR($C$29,$B39,G$31)</f>
        <v>*KEY_ERR</v>
      </c>
      <c r="H39" s="6" t="str" cm="1">
        <f t="array" aca="1" ref="H39" ca="1">_xll.DBR($C$29,$B39,H$31)</f>
        <v>*KEY_ERR</v>
      </c>
    </row>
    <row r="40" spans="2:50" hidden="1" outlineLevel="1" x14ac:dyDescent="0.25">
      <c r="B40" s="6" t="s">
        <v>115</v>
      </c>
      <c r="C40" s="6" t="str" cm="1">
        <f t="array" aca="1" ref="C40" ca="1">_xll.DBR($C$29,$B40,C$31)</f>
        <v>*KEY_ERR</v>
      </c>
      <c r="D40" s="6" t="str" cm="1">
        <f t="array" aca="1" ref="D40" ca="1">_xll.DBR($C$29,$B40,D$31)</f>
        <v>*KEY_ERR</v>
      </c>
      <c r="E40" s="6" t="str" cm="1">
        <f t="array" aca="1" ref="E40" ca="1">_xll.DBR($C$29,$B40,E$31)</f>
        <v>*KEY_ERR</v>
      </c>
      <c r="F40" s="6" t="str" cm="1">
        <f t="array" aca="1" ref="F40" ca="1">_xll.DBR($C$29,$B40,F$31)</f>
        <v>*KEY_ERR</v>
      </c>
      <c r="G40" s="6" t="str" cm="1">
        <f t="array" aca="1" ref="G40" ca="1">_xll.DBR($C$29,$B40,G$31)</f>
        <v>*KEY_ERR</v>
      </c>
      <c r="H40" s="6" t="str" cm="1">
        <f t="array" aca="1" ref="H40" ca="1">_xll.DBR($C$29,$B40,H$31)</f>
        <v>*KEY_ERR</v>
      </c>
    </row>
    <row r="41" spans="2:50" hidden="1" outlineLevel="1" x14ac:dyDescent="0.25">
      <c r="B41" s="6" t="s">
        <v>121</v>
      </c>
      <c r="C41" s="6" t="str" cm="1">
        <f t="array" aca="1" ref="C41" ca="1">_xll.DBR($C$29,$B41,C$31)</f>
        <v>*KEY_ERR</v>
      </c>
      <c r="D41" s="6" t="str" cm="1">
        <f t="array" aca="1" ref="D41" ca="1">_xll.DBR($C$29,$B41,D$31)</f>
        <v>*KEY_ERR</v>
      </c>
      <c r="E41" s="6" t="str" cm="1">
        <f t="array" aca="1" ref="E41" ca="1">_xll.DBR($C$29,$B41,E$31)</f>
        <v>*KEY_ERR</v>
      </c>
      <c r="F41" s="6" t="str" cm="1">
        <f t="array" aca="1" ref="F41" ca="1">_xll.DBR($C$29,$B41,F$31)</f>
        <v>*KEY_ERR</v>
      </c>
      <c r="G41" s="6" t="str" cm="1">
        <f t="array" aca="1" ref="G41" ca="1">_xll.DBR($C$29,$B41,G$31)</f>
        <v>*KEY_ERR</v>
      </c>
      <c r="H41" s="6" t="str" cm="1">
        <f t="array" aca="1" ref="H41" ca="1">_xll.DBR($C$29,$B41,H$31)</f>
        <v>*KEY_ERR</v>
      </c>
    </row>
    <row r="42" spans="2:50" hidden="1" outlineLevel="1" x14ac:dyDescent="0.25">
      <c r="B42" s="6" t="s">
        <v>124</v>
      </c>
      <c r="C42" s="6" t="str" cm="1">
        <f t="array" aca="1" ref="C42" ca="1">_xll.DBR($C$29,$B42,C$31)</f>
        <v>*KEY_ERR</v>
      </c>
      <c r="D42" s="6" t="str" cm="1">
        <f t="array" aca="1" ref="D42" ca="1">_xll.DBR($C$29,$B42,D$31)</f>
        <v>*KEY_ERR</v>
      </c>
      <c r="E42" s="6" t="str" cm="1">
        <f t="array" aca="1" ref="E42" ca="1">_xll.DBR($C$29,$B42,E$31)</f>
        <v>*KEY_ERR</v>
      </c>
      <c r="F42" s="6" t="str" cm="1">
        <f t="array" aca="1" ref="F42" ca="1">_xll.DBR($C$29,$B42,F$31)</f>
        <v>*KEY_ERR</v>
      </c>
      <c r="G42" s="6" t="str" cm="1">
        <f t="array" aca="1" ref="G42" ca="1">_xll.DBR($C$29,$B42,G$31)</f>
        <v>*KEY_ERR</v>
      </c>
      <c r="H42" s="6" t="str" cm="1">
        <f t="array" aca="1" ref="H42" ca="1">_xll.DBR($C$29,$B42,H$31)</f>
        <v>*KEY_ERR</v>
      </c>
    </row>
    <row r="43" spans="2:50" hidden="1" outlineLevel="1" x14ac:dyDescent="0.25">
      <c r="B43" s="6" t="s">
        <v>125</v>
      </c>
      <c r="C43" s="6" t="str" cm="1">
        <f t="array" aca="1" ref="C43" ca="1">_xll.DBR($C$29,$B43,C$31)</f>
        <v>*KEY_ERR</v>
      </c>
      <c r="D43" s="6" t="str" cm="1">
        <f t="array" aca="1" ref="D43" ca="1">_xll.DBR($C$29,$B43,D$31)</f>
        <v>*KEY_ERR</v>
      </c>
      <c r="E43" s="6" t="str" cm="1">
        <f t="array" aca="1" ref="E43" ca="1">_xll.DBR($C$29,$B43,E$31)</f>
        <v>*KEY_ERR</v>
      </c>
      <c r="F43" s="6" t="str" cm="1">
        <f t="array" aca="1" ref="F43" ca="1">_xll.DBR($C$29,$B43,F$31)</f>
        <v>*KEY_ERR</v>
      </c>
      <c r="G43" s="6" t="str" cm="1">
        <f t="array" aca="1" ref="G43" ca="1">_xll.DBR($C$29,$B43,G$31)</f>
        <v>*KEY_ERR</v>
      </c>
      <c r="H43" s="6" t="str" cm="1">
        <f t="array" aca="1" ref="H43" ca="1">_xll.DBR($C$29,$B43,H$31)</f>
        <v>*KEY_ERR</v>
      </c>
    </row>
    <row r="44" spans="2:50" hidden="1" outlineLevel="1" x14ac:dyDescent="0.25">
      <c r="B44" s="6" t="s">
        <v>126</v>
      </c>
      <c r="C44" s="6" t="str" cm="1">
        <f t="array" aca="1" ref="C44" ca="1">_xll.DBR($C$29,$B44,C$31)</f>
        <v>*KEY_ERR</v>
      </c>
      <c r="D44" s="6" t="str" cm="1">
        <f t="array" aca="1" ref="D44" ca="1">_xll.DBR($C$29,$B44,D$31)</f>
        <v>*KEY_ERR</v>
      </c>
      <c r="E44" s="6" t="str" cm="1">
        <f t="array" aca="1" ref="E44" ca="1">_xll.DBR($C$29,$B44,E$31)</f>
        <v>*KEY_ERR</v>
      </c>
      <c r="F44" s="6" t="str" cm="1">
        <f t="array" aca="1" ref="F44" ca="1">_xll.DBR($C$29,$B44,F$31)</f>
        <v>*KEY_ERR</v>
      </c>
      <c r="G44" s="6" t="str" cm="1">
        <f t="array" aca="1" ref="G44" ca="1">_xll.DBR($C$29,$B44,G$31)</f>
        <v>*KEY_ERR</v>
      </c>
      <c r="H44" s="6" t="str" cm="1">
        <f t="array" aca="1" ref="H44" ca="1">_xll.DBR($C$29,$B44,H$31)</f>
        <v>*KEY_ERR</v>
      </c>
    </row>
    <row r="45" spans="2:50" hidden="1" outlineLevel="1" x14ac:dyDescent="0.25">
      <c r="B45" s="6" t="s">
        <v>127</v>
      </c>
      <c r="C45" s="6" t="str" cm="1">
        <f t="array" aca="1" ref="C45" ca="1">_xll.DBR($C$29,$B45,C$31)</f>
        <v>*KEY_ERR</v>
      </c>
      <c r="D45" s="6" t="str" cm="1">
        <f t="array" aca="1" ref="D45" ca="1">_xll.DBR($C$29,$B45,D$31)</f>
        <v>*KEY_ERR</v>
      </c>
      <c r="E45" s="6" t="str" cm="1">
        <f t="array" aca="1" ref="E45" ca="1">_xll.DBR($C$29,$B45,E$31)</f>
        <v>*KEY_ERR</v>
      </c>
      <c r="F45" s="6" t="str" cm="1">
        <f t="array" aca="1" ref="F45" ca="1">_xll.DBR($C$29,$B45,F$31)</f>
        <v>*KEY_ERR</v>
      </c>
      <c r="G45" s="6" t="str" cm="1">
        <f t="array" aca="1" ref="G45" ca="1">_xll.DBR($C$29,$B45,G$31)</f>
        <v>*KEY_ERR</v>
      </c>
      <c r="H45" s="6" t="str" cm="1">
        <f t="array" aca="1" ref="H45" ca="1">_xll.DBR($C$29,$B45,H$31)</f>
        <v>*KEY_ERR</v>
      </c>
    </row>
    <row r="46" spans="2:50" hidden="1" outlineLevel="1" x14ac:dyDescent="0.25"/>
    <row r="47" spans="2:50" hidden="1" outlineLevel="1" x14ac:dyDescent="0.25">
      <c r="B47" s="65" t="s">
        <v>21</v>
      </c>
      <c r="C47" s="66"/>
      <c r="D47" s="67"/>
      <c r="K47" s="9" t="s">
        <v>38</v>
      </c>
      <c r="L47" s="9"/>
      <c r="M47" s="9"/>
      <c r="N47" s="9"/>
      <c r="P47" s="9"/>
      <c r="Q47" s="9"/>
      <c r="R47" s="9"/>
      <c r="S47" s="9"/>
      <c r="T47" s="9"/>
      <c r="U47" s="9"/>
      <c r="AE47" s="27" t="str" cm="1">
        <f t="array" aca="1" ref="AE47" ca="1">_xll.DBRW(db_name&amp;":}ElementAttributes_AE parameters and FE3 calculation measure",AE$50,"Desc")</f>
        <v>*KEY_ERR</v>
      </c>
      <c r="AF47" s="27" t="str" cm="1">
        <f t="array" aca="1" ref="AF47" ca="1">_xll.DBRW(db_name&amp;":}ElementAttributes_AE parameters and FE3 calculation measure",AF$50,"Desc")</f>
        <v>*KEY_ERR</v>
      </c>
      <c r="AG47" s="27" t="str" cm="1">
        <f t="array" aca="1" ref="AG47" ca="1">_xll.DBRW(db_name&amp;":}ElementAttributes_AE parameters and FE3 calculation measure",AG$50,"Desc")</f>
        <v>*KEY_ERR</v>
      </c>
    </row>
    <row r="48" spans="2:50" hidden="1" outlineLevel="1" x14ac:dyDescent="0.25">
      <c r="B48" s="2" t="s">
        <v>22</v>
      </c>
      <c r="C48" s="6" t="str">
        <f ca="1">_xll.TM1RPTVIEW(db_name&amp;":AE parameters and FE3 calculation:1", 1,_xll.TM1RPTTITLE(db_name&amp;":spp",$C$55), _xll.TM1RPTTITLE(db_name&amp;":related entity",$C$56), _xll.TM1RPTTITLE(db_name&amp;":jurisdiction",$C$57), _xll.TM1RPTTITLE(db_name&amp;":appropriation item",$C$58), _xll.TM1RPTTITLE(db_name&amp;":measure code",$L$85), _xll.TM1RPTTITLE(db_name&amp;":id",$C$59),TM1RPTFMTRNG,TM1RPTFMTIDCOL)</f>
        <v>dcceew_geus:AE parameters and FE3 calculation:1</v>
      </c>
      <c r="D48" s="6"/>
      <c r="K48" s="10" t="str">
        <f ca="1">RIGHT(psHLYear,9)</f>
        <v>*KEY_ERR</v>
      </c>
      <c r="L48" s="14"/>
      <c r="M48" s="14"/>
      <c r="N48" s="14"/>
      <c r="P48" t="str" cm="1">
        <f t="array" aca="1" ref="P48" ca="1">_xll.DIMNM(db_name&amp;":period",_xll.DIMIX(db_name&amp;":period",$K$48)+P$49)</f>
        <v/>
      </c>
      <c r="Q48" t="str" cm="1">
        <f t="array" aca="1" ref="Q48" ca="1">_xll.DIMNM(db_name&amp;":period",_xll.DIMIX(db_name&amp;":period",$K$48)+Q$49)</f>
        <v/>
      </c>
      <c r="R48" t="str" cm="1">
        <f t="array" aca="1" ref="R48" ca="1">_xll.DIMNM(db_name&amp;":period",_xll.DIMIX(db_name&amp;":period",$K$48)+R$49)</f>
        <v/>
      </c>
      <c r="S48" t="str" cm="1">
        <f t="array" aca="1" ref="S48" ca="1">_xll.DIMNM(db_name&amp;":period",_xll.DIMIX(db_name&amp;":period",$K$48)+S$49)</f>
        <v/>
      </c>
      <c r="T48" t="str" cm="1">
        <f t="array" aca="1" ref="T48" ca="1">_xll.DIMNM(db_name&amp;":period",_xll.DIMIX(db_name&amp;":period",$K$48)+T$49)</f>
        <v/>
      </c>
      <c r="U48" s="14"/>
      <c r="V48" t="str" cm="1">
        <f t="array" aca="1" ref="V48" ca="1">_xll.DIMNM(db_name&amp;":period",_xll.DIMIX(db_name&amp;":period",$K$48)+V$49)</f>
        <v/>
      </c>
      <c r="W48" t="str" cm="1">
        <f t="array" aca="1" ref="W48" ca="1">_xll.DIMNM(db_name&amp;":period",_xll.DIMIX(db_name&amp;":period",$K$48)+W$49)</f>
        <v/>
      </c>
      <c r="X48" t="str" cm="1">
        <f t="array" aca="1" ref="X48" ca="1">_xll.DIMNM(db_name&amp;":period",_xll.DIMIX(db_name&amp;":period",$K$48)+X$49)</f>
        <v/>
      </c>
      <c r="Y48" t="str" cm="1">
        <f t="array" aca="1" ref="Y48" ca="1">_xll.DIMNM(db_name&amp;":period",_xll.DIMIX(db_name&amp;":period",$K$48)+Y$49)</f>
        <v/>
      </c>
      <c r="Z48" t="str" cm="1">
        <f t="array" aca="1" ref="Z48" ca="1">_xll.DIMNM(db_name&amp;":period",_xll.DIMIX(db_name&amp;":period",$K$48)+Z$49)</f>
        <v/>
      </c>
      <c r="AB48" t="str" cm="1">
        <f t="array" aca="1" ref="AB48" ca="1">_xll.DIMNM(db_name&amp;":period",_xll.DIMIX(db_name&amp;":period",$K$48)+AB$49)</f>
        <v/>
      </c>
      <c r="AC48" t="str" cm="1">
        <f t="array" aca="1" ref="AC48" ca="1">_xll.DIMNM(db_name&amp;":period",_xll.DIMIX(db_name&amp;":period",$K$48)+AC$49)</f>
        <v/>
      </c>
      <c r="AE48" t="str" cm="1">
        <f t="array" aca="1" ref="AE48" ca="1">_xll.DIMNM(db_name&amp;":period",_xll.DIMIX(db_name&amp;":period",$K$48)+AE$49)</f>
        <v/>
      </c>
      <c r="AF48" t="str" cm="1">
        <f t="array" aca="1" ref="AF48" ca="1">_xll.DIMNM(db_name&amp;":period",_xll.DIMIX(db_name&amp;":period",$K$48)+AF$49)</f>
        <v/>
      </c>
      <c r="AG48" t="str" cm="1">
        <f t="array" aca="1" ref="AG48" ca="1">_xll.DIMNM(db_name&amp;":period",_xll.DIMIX(db_name&amp;":period",$K$48)+AG$49)</f>
        <v/>
      </c>
      <c r="AH48" t="str" cm="1">
        <f t="array" aca="1" ref="AH48" ca="1">_xll.DIMNM(db_name&amp;":period",_xll.DIMIX(db_name&amp;":period",$K$48)+AH$49)</f>
        <v/>
      </c>
      <c r="AI48" t="str" cm="1">
        <f t="array" aca="1" ref="AI48" ca="1">_xll.DIMNM(db_name&amp;":period",_xll.DIMIX(db_name&amp;":period",$K$48)+AI$49)</f>
        <v/>
      </c>
      <c r="AJ48" t="str" cm="1">
        <f t="array" aca="1" ref="AJ48" ca="1">_xll.DIMNM(db_name&amp;":period",_xll.DIMIX(db_name&amp;":period",$K$48)+AJ$49)</f>
        <v/>
      </c>
      <c r="AK48" t="str" cm="1">
        <f t="array" aca="1" ref="AK48" ca="1">_xll.DIMNM(db_name&amp;":period",_xll.DIMIX(db_name&amp;":period",$K$48)+AK$49)</f>
        <v/>
      </c>
      <c r="AL48" t="str" cm="1">
        <f t="array" aca="1" ref="AL48" ca="1">_xll.DIMNM(db_name&amp;":period",_xll.DIMIX(db_name&amp;":period",$K$48)+AL$49)</f>
        <v/>
      </c>
      <c r="AN48" t="str" cm="1">
        <f t="array" aca="1" ref="AN48" ca="1">_xll.DIMNM(db_name&amp;":period",_xll.DIMIX(db_name&amp;":period",$K$48)+AN$49)</f>
        <v/>
      </c>
      <c r="AO48" t="str" cm="1">
        <f t="array" aca="1" ref="AO48" ca="1">_xll.DIMNM(db_name&amp;":period",_xll.DIMIX(db_name&amp;":period",$K$48)+AO$49)</f>
        <v/>
      </c>
      <c r="AP48" t="str" cm="1">
        <f t="array" aca="1" ref="AP48" ca="1">_xll.DIMNM(db_name&amp;":period",_xll.DIMIX(db_name&amp;":period",$K$48)+AP$49)</f>
        <v/>
      </c>
      <c r="AQ48" t="str" cm="1">
        <f t="array" aca="1" ref="AQ48" ca="1">_xll.DIMNM(db_name&amp;":period",_xll.DIMIX(db_name&amp;":period",$K$48)+AQ$49)</f>
        <v/>
      </c>
      <c r="AR48" t="str" cm="1">
        <f t="array" aca="1" ref="AR48" ca="1">_xll.DIMNM(db_name&amp;":period",_xll.DIMIX(db_name&amp;":period",$K$48)+AR$49)</f>
        <v/>
      </c>
      <c r="AT48" t="str" cm="1">
        <f t="array" aca="1" ref="AT48" ca="1">_xll.DIMNM(db_name&amp;":period",_xll.DIMIX(db_name&amp;":period",$K$48)+AT$49)</f>
        <v/>
      </c>
      <c r="AU48" t="str" cm="1">
        <f t="array" aca="1" ref="AU48" ca="1">_xll.DIMNM(db_name&amp;":period",_xll.DIMIX(db_name&amp;":period",$K$48)+AU$49)</f>
        <v/>
      </c>
      <c r="AV48" t="str" cm="1">
        <f t="array" aca="1" ref="AV48" ca="1">_xll.DIMNM(db_name&amp;":period",_xll.DIMIX(db_name&amp;":period",$K$48)+AV$49)</f>
        <v/>
      </c>
      <c r="AW48" t="str" cm="1">
        <f t="array" aca="1" ref="AW48" ca="1">_xll.DIMNM(db_name&amp;":period",_xll.DIMIX(db_name&amp;":period",$K$48)+AW$49)</f>
        <v/>
      </c>
      <c r="AX48" t="str" cm="1">
        <f t="array" aca="1" ref="AX48" ca="1">_xll.DIMNM(db_name&amp;":period",_xll.DIMIX(db_name&amp;":period",$K$48)+AX$49)</f>
        <v/>
      </c>
    </row>
    <row r="49" spans="2:50" hidden="1" outlineLevel="1" x14ac:dyDescent="0.25">
      <c r="B49" s="2" t="s">
        <v>23</v>
      </c>
      <c r="C49" s="6" t="str">
        <f ca="1">_xll.VIEW(db_name&amp;":AE parameters and FE3 calculation","!",$C$55,"!","!",$C$56,$C$57,$C$58,$L$85,$C$59,"!","!")</f>
        <v>dcceew_geus:AE parameters and FE3 calculation</v>
      </c>
      <c r="D49" s="6"/>
      <c r="K49" s="10" t="s">
        <v>40</v>
      </c>
      <c r="L49" s="14"/>
      <c r="M49" s="14"/>
      <c r="N49" s="14"/>
      <c r="P49">
        <v>-1</v>
      </c>
      <c r="Q49">
        <v>0</v>
      </c>
      <c r="R49">
        <v>1</v>
      </c>
      <c r="S49">
        <v>2</v>
      </c>
      <c r="T49">
        <v>3</v>
      </c>
      <c r="U49" s="14"/>
      <c r="V49">
        <v>-1</v>
      </c>
      <c r="W49">
        <v>0</v>
      </c>
      <c r="X49">
        <v>1</v>
      </c>
      <c r="Y49">
        <v>2</v>
      </c>
      <c r="Z49">
        <v>3</v>
      </c>
      <c r="AB49">
        <v>2</v>
      </c>
      <c r="AC49">
        <v>3</v>
      </c>
      <c r="AE49">
        <v>3</v>
      </c>
      <c r="AF49">
        <v>3</v>
      </c>
      <c r="AG49">
        <v>3</v>
      </c>
      <c r="AH49">
        <v>-1</v>
      </c>
      <c r="AI49">
        <v>0</v>
      </c>
      <c r="AJ49">
        <v>1</v>
      </c>
      <c r="AK49">
        <v>2</v>
      </c>
      <c r="AL49">
        <v>3</v>
      </c>
      <c r="AN49">
        <v>-1</v>
      </c>
      <c r="AO49">
        <v>0</v>
      </c>
      <c r="AP49">
        <v>1</v>
      </c>
      <c r="AQ49">
        <v>2</v>
      </c>
      <c r="AR49">
        <v>3</v>
      </c>
      <c r="AT49">
        <v>-1</v>
      </c>
      <c r="AU49">
        <v>0</v>
      </c>
      <c r="AV49">
        <v>1</v>
      </c>
      <c r="AW49">
        <v>2</v>
      </c>
      <c r="AX49">
        <v>3</v>
      </c>
    </row>
    <row r="50" spans="2:50" hidden="1" outlineLevel="1" x14ac:dyDescent="0.25">
      <c r="B50" s="1">
        <v>2</v>
      </c>
      <c r="C50" s="19" t="s">
        <v>39</v>
      </c>
      <c r="D50" s="19" t="s">
        <v>50</v>
      </c>
      <c r="E50" s="19" t="s">
        <v>51</v>
      </c>
      <c r="K50" t="s">
        <v>83</v>
      </c>
      <c r="L50" t="s">
        <v>110</v>
      </c>
      <c r="M50" t="s">
        <v>111</v>
      </c>
      <c r="N50" t="s">
        <v>112</v>
      </c>
      <c r="O50" s="14"/>
      <c r="P50" s="16" t="s">
        <v>52</v>
      </c>
      <c r="Q50" s="16" t="s">
        <v>52</v>
      </c>
      <c r="R50" s="16" t="s">
        <v>52</v>
      </c>
      <c r="S50" s="16" t="s">
        <v>52</v>
      </c>
      <c r="T50" s="16" t="str">
        <f ca="1">IF($C$23="MYEFO","Total FE3 adjustment value","original value")</f>
        <v>original value</v>
      </c>
      <c r="V50" s="16" t="s">
        <v>96</v>
      </c>
      <c r="W50" s="16" t="s">
        <v>96</v>
      </c>
      <c r="X50" s="16" t="s">
        <v>96</v>
      </c>
      <c r="Y50" s="16" t="s">
        <v>96</v>
      </c>
      <c r="Z50" s="16" t="s">
        <v>96</v>
      </c>
      <c r="AB50" s="16" t="s">
        <v>76</v>
      </c>
      <c r="AC50" s="16" t="s">
        <v>76</v>
      </c>
      <c r="AE50" s="16" t="s">
        <v>65</v>
      </c>
      <c r="AF50" s="16" t="s">
        <v>66</v>
      </c>
      <c r="AG50" s="16" t="s">
        <v>67</v>
      </c>
      <c r="AH50" s="16" t="s">
        <v>6</v>
      </c>
      <c r="AI50" s="16" t="s">
        <v>6</v>
      </c>
      <c r="AJ50" s="16" t="s">
        <v>6</v>
      </c>
      <c r="AK50" s="16" t="s">
        <v>6</v>
      </c>
      <c r="AL50" s="16" t="s">
        <v>6</v>
      </c>
      <c r="AN50" s="16" t="str" cm="1">
        <f t="array" aca="1" ref="AN50" ca="1">_xll.SUBNM(db_name&amp;":id","","New Adjustments")</f>
        <v/>
      </c>
      <c r="AO50" s="16" t="str" cm="1">
        <f t="array" aca="1" ref="AO50" ca="1">_xll.SUBNM(db_name&amp;":id","","New Adjustments")</f>
        <v/>
      </c>
      <c r="AP50" s="16" t="str" cm="1">
        <f t="array" aca="1" ref="AP50" ca="1">_xll.SUBNM(db_name&amp;":id","","New Adjustments")</f>
        <v/>
      </c>
      <c r="AQ50" s="16" t="str" cm="1">
        <f t="array" aca="1" ref="AQ50" ca="1">_xll.SUBNM(db_name&amp;":id","","New Adjustments")</f>
        <v/>
      </c>
      <c r="AR50" s="16" t="str" cm="1">
        <f t="array" aca="1" ref="AR50" ca="1">_xll.SUBNM(db_name&amp;":id","","New Adjustments")</f>
        <v/>
      </c>
      <c r="AT50" s="16"/>
      <c r="AU50" s="16"/>
      <c r="AV50" s="16"/>
      <c r="AW50" s="16"/>
      <c r="AX50" s="16"/>
    </row>
    <row r="51" spans="2:50" hidden="1" outlineLevel="1" x14ac:dyDescent="0.25">
      <c r="B51" s="6" t="s">
        <v>41</v>
      </c>
      <c r="C51" s="6" t="str">
        <f ca="1">IF($T$32="Collapse",$D51,$E51)</f>
        <v>{TM1DRILLDOWNMEMBER( {[programme].[]}, ALL, RECURSIVE )}</v>
      </c>
      <c r="D51" s="6" t="str">
        <f ca="1">"{TM1DRILLDOWNMEMBER( {[programme].[" &amp; $L$82 &amp; "]}, ALL, RECURSIVE )}"</f>
        <v>{TM1DRILLDOWNMEMBER( {[programme].[]}, ALL, RECURSIVE )}</v>
      </c>
      <c r="E51" s="6" t="str">
        <f ca="1">"{TM1DRILLDOWNMEMBER( {[programme].[" &amp; $L$82 &amp; "]}, ALL, RECURSIVE )}"</f>
        <v>{TM1DRILLDOWNMEMBER( {[programme].[]}, ALL, RECURSIVE )}</v>
      </c>
      <c r="P51" s="16" t="str">
        <f ca="1">P$48</f>
        <v/>
      </c>
      <c r="Q51" s="16" t="str">
        <f t="shared" ref="Q51:T51" ca="1" si="0">Q$48</f>
        <v/>
      </c>
      <c r="R51" s="16" t="str">
        <f t="shared" ca="1" si="0"/>
        <v/>
      </c>
      <c r="S51" s="16" t="str">
        <f t="shared" ca="1" si="0"/>
        <v/>
      </c>
      <c r="T51" s="16" t="str">
        <f t="shared" ca="1" si="0"/>
        <v/>
      </c>
      <c r="V51" s="16" t="str">
        <f ca="1">V$48</f>
        <v/>
      </c>
      <c r="W51" s="16" t="str">
        <f t="shared" ref="W51:AG51" ca="1" si="1">W$48</f>
        <v/>
      </c>
      <c r="X51" s="16" t="str">
        <f t="shared" ca="1" si="1"/>
        <v/>
      </c>
      <c r="Y51" s="16" t="str">
        <f t="shared" ca="1" si="1"/>
        <v/>
      </c>
      <c r="Z51" s="16" t="str">
        <f t="shared" ca="1" si="1"/>
        <v/>
      </c>
      <c r="AB51" s="16" t="str">
        <f t="shared" ca="1" si="1"/>
        <v/>
      </c>
      <c r="AC51" s="16" t="str">
        <f t="shared" ca="1" si="1"/>
        <v/>
      </c>
      <c r="AE51" s="16" t="str">
        <f t="shared" ca="1" si="1"/>
        <v/>
      </c>
      <c r="AF51" s="16" t="str">
        <f t="shared" ca="1" si="1"/>
        <v/>
      </c>
      <c r="AG51" s="16" t="str">
        <f t="shared" ca="1" si="1"/>
        <v/>
      </c>
      <c r="AH51" s="16" t="str">
        <f ca="1">AH$48</f>
        <v/>
      </c>
      <c r="AI51" s="16" t="str">
        <f t="shared" ref="AI51:AL51" ca="1" si="2">AI$48</f>
        <v/>
      </c>
      <c r="AJ51" s="16" t="str">
        <f t="shared" ca="1" si="2"/>
        <v/>
      </c>
      <c r="AK51" s="16" t="str">
        <f t="shared" ca="1" si="2"/>
        <v/>
      </c>
      <c r="AL51" s="16" t="str">
        <f t="shared" ca="1" si="2"/>
        <v/>
      </c>
      <c r="AN51" s="16" t="str">
        <f ca="1">AN$48</f>
        <v/>
      </c>
      <c r="AO51" s="16" t="str">
        <f t="shared" ref="AO51:AR51" ca="1" si="3">AO$48</f>
        <v/>
      </c>
      <c r="AP51" s="16" t="str">
        <f t="shared" ca="1" si="3"/>
        <v/>
      </c>
      <c r="AQ51" s="16" t="str">
        <f t="shared" ca="1" si="3"/>
        <v/>
      </c>
      <c r="AR51" s="16" t="str">
        <f t="shared" ca="1" si="3"/>
        <v/>
      </c>
      <c r="AT51" s="16" t="str">
        <f ca="1">AT$48</f>
        <v/>
      </c>
      <c r="AU51" s="16" t="str">
        <f t="shared" ref="AU51:AX51" ca="1" si="4">AU$48</f>
        <v/>
      </c>
      <c r="AV51" s="16" t="str">
        <f t="shared" ca="1" si="4"/>
        <v/>
      </c>
      <c r="AW51" s="16" t="str">
        <f t="shared" ca="1" si="4"/>
        <v/>
      </c>
      <c r="AX51" s="16" t="str">
        <f t="shared" ca="1" si="4"/>
        <v/>
      </c>
    </row>
    <row r="52" spans="2:50" hidden="1" outlineLevel="1" x14ac:dyDescent="0.25">
      <c r="B52" s="6" t="s">
        <v>42</v>
      </c>
      <c r="C52" s="6" t="str">
        <f ca="1">IF($T$32="Collapse",$D52,$E52)</f>
        <v>{[account].[]}</v>
      </c>
      <c r="D52" s="6" t="str">
        <f ca="1">"{[account].[" &amp; $L$83 &amp; "]}"</f>
        <v>{[account].[]}</v>
      </c>
      <c r="E52" s="6" t="str">
        <f ca="1">"{[account].[" &amp; $L$83 &amp; "]}"</f>
        <v>{[account].[]}</v>
      </c>
    </row>
    <row r="53" spans="2:50" hidden="1" outlineLevel="1" x14ac:dyDescent="0.25">
      <c r="B53" s="6" t="s">
        <v>43</v>
      </c>
      <c r="C53" s="6" t="str">
        <f ca="1">IF($T$32="Collapse",$D53,$E53)</f>
        <v>{[movement account].[]}</v>
      </c>
      <c r="D53" s="6" t="str">
        <f ca="1">"{[movement account].[" &amp; $L$84 &amp; "]}"</f>
        <v>{[movement account].[]}</v>
      </c>
      <c r="E53" s="6" t="str">
        <f ca="1">"{[movement account].[" &amp; $L$84 &amp; "]}"</f>
        <v>{[movement account].[]}</v>
      </c>
    </row>
    <row r="54" spans="2:50" hidden="1" outlineLevel="1" x14ac:dyDescent="0.25">
      <c r="B54" s="2" t="s">
        <v>0</v>
      </c>
      <c r="C54" s="6" t="str">
        <f ca="1">_xll.SUBNM(db_name&amp;":}Clients","",psUser)</f>
        <v/>
      </c>
    </row>
    <row r="55" spans="2:50" hidden="1" outlineLevel="1" x14ac:dyDescent="0.25">
      <c r="B55" s="2" t="s">
        <v>1</v>
      </c>
      <c r="C55" s="6" t="str">
        <f ca="1">_xll.SUBNM(db_name&amp;":spp","","Total SPP")</f>
        <v/>
      </c>
      <c r="S55" t="s">
        <v>63</v>
      </c>
      <c r="T55" cm="1">
        <f t="array" aca="1" ref="T55" ca="1">_xll.DIMIX(db_name&amp;":period",psFE2Year)</f>
        <v>0</v>
      </c>
    </row>
    <row r="56" spans="2:50" hidden="1" outlineLevel="1" x14ac:dyDescent="0.25">
      <c r="B56" s="2" t="s">
        <v>2</v>
      </c>
      <c r="C56" s="6" t="str">
        <f ca="1">_xll.SUBNM(db_name&amp;":related entity","","Total related entity")</f>
        <v/>
      </c>
      <c r="S56" t="s">
        <v>64</v>
      </c>
      <c r="T56" cm="1">
        <f t="array" aca="1" ref="T56" ca="1">_xll.DIMIX(db_name&amp;":period",psFE3Year)</f>
        <v>0</v>
      </c>
    </row>
    <row r="57" spans="2:50" hidden="1" outlineLevel="1" x14ac:dyDescent="0.25">
      <c r="B57" s="2" t="s">
        <v>3</v>
      </c>
      <c r="C57" s="6" t="str">
        <f ca="1">_xll.SUBNM(db_name&amp;":jurisdiction","","Total jurisdictions")</f>
        <v/>
      </c>
      <c r="T57" t="str">
        <f ca="1">IF(T56&gt;T55,"","Please select a valid FE3 period")</f>
        <v>Please select a valid FE3 period</v>
      </c>
    </row>
    <row r="58" spans="2:50" hidden="1" outlineLevel="1" x14ac:dyDescent="0.25">
      <c r="B58" s="2" t="s">
        <v>4</v>
      </c>
      <c r="C58" s="6" t="str">
        <f ca="1">_xll.SUBNM(db_name&amp;":appropriation item","","Total approp item")</f>
        <v/>
      </c>
      <c r="S58" s="69" t="s">
        <v>62</v>
      </c>
      <c r="T58" s="70"/>
    </row>
    <row r="59" spans="2:50" hidden="1" outlineLevel="1" x14ac:dyDescent="0.25">
      <c r="B59" s="2" t="s">
        <v>5</v>
      </c>
      <c r="C59" s="6" t="str">
        <f ca="1">_xll.SUBNM(db_name&amp;":id","","Total IDs")</f>
        <v/>
      </c>
      <c r="S59" s="11" t="s">
        <v>60</v>
      </c>
      <c r="T59" s="26" t="str" cm="1">
        <f t="array" aca="1" ref="T59" ca="1">_xll.SUBNM(db_name&amp;":period","",$S$51,)</f>
        <v/>
      </c>
    </row>
    <row r="60" spans="2:50" hidden="1" outlineLevel="1" x14ac:dyDescent="0.25">
      <c r="S60" s="11" t="s">
        <v>61</v>
      </c>
      <c r="T60" s="26" t="str" cm="1">
        <f t="array" aca="1" ref="T60" ca="1">_xll.SUBNM(db_name&amp;":period","",$T$51,)</f>
        <v/>
      </c>
    </row>
    <row r="61" spans="2:50" hidden="1" outlineLevel="1" x14ac:dyDescent="0.25">
      <c r="B61" s="2" t="s">
        <v>98</v>
      </c>
      <c r="C61" s="6" t="str">
        <f ca="1">_xll.SUBNM(db_name&amp;":status","","data")</f>
        <v/>
      </c>
    </row>
    <row r="62" spans="2:50" hidden="1" outlineLevel="1" x14ac:dyDescent="0.25">
      <c r="B62" s="2" t="s">
        <v>99</v>
      </c>
      <c r="C62" s="6" t="str">
        <f ca="1">_xll.SUBNM(db_name&amp;":outcome","","Total outcomes")</f>
        <v/>
      </c>
    </row>
    <row r="63" spans="2:50" hidden="1" outlineLevel="1" x14ac:dyDescent="0.25">
      <c r="B63" s="2" t="s">
        <v>100</v>
      </c>
      <c r="C63" s="6" t="str">
        <f ca="1">_xll.SUBNM(db_name&amp;":function","","Total functions")</f>
        <v/>
      </c>
    </row>
    <row r="64" spans="2:50" hidden="1" outlineLevel="1" x14ac:dyDescent="0.25">
      <c r="B64" s="2" t="s">
        <v>101</v>
      </c>
      <c r="C64" s="6" t="str">
        <f ca="1">_xll.SUBNM(db_name&amp;":reason","",$C$25,"CBMS code and description")</f>
        <v/>
      </c>
    </row>
    <row r="65" spans="2:51" hidden="1" outlineLevel="1" x14ac:dyDescent="0.25">
      <c r="B65" s="2" t="s">
        <v>102</v>
      </c>
      <c r="C65" s="6" t="str">
        <f ca="1">_xll.SUBNM(db_name&amp;":appropriation type","","Total approp types")</f>
        <v/>
      </c>
    </row>
    <row r="66" spans="2:51" hidden="1" outlineLevel="1" x14ac:dyDescent="0.25"/>
    <row r="67" spans="2:51" hidden="1" outlineLevel="1" x14ac:dyDescent="0.25">
      <c r="B67" s="65" t="s">
        <v>79</v>
      </c>
      <c r="C67" s="66"/>
      <c r="D67" s="67"/>
    </row>
    <row r="68" spans="2:51" hidden="1" outlineLevel="1" x14ac:dyDescent="0.25">
      <c r="B68" s="2" t="s">
        <v>80</v>
      </c>
      <c r="C68" s="6" t="str" cm="1">
        <f t="array" aca="1" ref="C68" ca="1">_xll.VIEW(db_name&amp;":}ElementAttributes_measure code","!","!")</f>
        <v>dcceew_geus:}ElementAttributes_measure code</v>
      </c>
      <c r="D68" s="6"/>
    </row>
    <row r="69" spans="2:51" hidden="1" outlineLevel="1" x14ac:dyDescent="0.25">
      <c r="B69" s="2" t="s">
        <v>81</v>
      </c>
      <c r="C69" s="6" t="str">
        <f ca="1">_xll.VIEW(db_name&amp;":programme details",psHLYear, psScenario,"!","!")</f>
        <v>dcceew_geus:programme details</v>
      </c>
    </row>
    <row r="70" spans="2:51" hidden="1" outlineLevel="1" x14ac:dyDescent="0.25">
      <c r="B70" s="2" t="s">
        <v>40</v>
      </c>
      <c r="C70" s="6" t="str" cm="1">
        <f t="array" aca="1" ref="C70" ca="1">_xll.VIEW(db_name&amp;":index",psHLYear, psScenario,"!","!","!")</f>
        <v>dcceew_geus:index</v>
      </c>
    </row>
    <row r="71" spans="2:51" hidden="1" outlineLevel="1" x14ac:dyDescent="0.25">
      <c r="B71" s="2" t="s">
        <v>97</v>
      </c>
      <c r="C71" s="6" t="str" cm="1">
        <f t="array" aca="1" ref="C71" ca="1">_xll.VIEW(db_name&amp;":AE adjustments",psHLYear, psScenario,$C$61,$C$62,$C$56,$C$63,$C$64,$C$55,$L$85,$C$65,"!",$C$58,"!",$L$83,"!",$C$57,"!")</f>
        <v>dcceew_geus:AE adjustments</v>
      </c>
    </row>
    <row r="72" spans="2:51" hidden="1" outlineLevel="1" x14ac:dyDescent="0.25"/>
    <row r="73" spans="2:51" hidden="1" outlineLevel="1" x14ac:dyDescent="0.25"/>
    <row r="74" spans="2:51" hidden="1" outlineLevel="1" x14ac:dyDescent="0.25"/>
    <row r="75" spans="2:51" hidden="1" outlineLevel="1" x14ac:dyDescent="0.25"/>
    <row r="76" spans="2:51" ht="39.75" customHeight="1" collapsed="1" x14ac:dyDescent="0.25"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 t="s">
        <v>109</v>
      </c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</row>
    <row r="77" spans="2:51" ht="4.5" customHeight="1" x14ac:dyDescent="0.25">
      <c r="R77" s="11"/>
      <c r="U77" s="11"/>
    </row>
    <row r="78" spans="2:51" ht="24" customHeight="1" x14ac:dyDescent="0.25">
      <c r="R78" s="11"/>
      <c r="U78" s="11"/>
    </row>
    <row r="79" spans="2:51" ht="1.5" customHeight="1" x14ac:dyDescent="0.25"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</row>
    <row r="80" spans="2:51" ht="4.5" customHeight="1" x14ac:dyDescent="0.25">
      <c r="R80" s="11"/>
      <c r="U80" s="11"/>
    </row>
    <row r="81" spans="1:50" x14ac:dyDescent="0.25">
      <c r="L81" s="69" t="s">
        <v>44</v>
      </c>
      <c r="M81" s="70"/>
      <c r="Q81" s="69" t="s">
        <v>122</v>
      </c>
      <c r="R81" s="70"/>
      <c r="U81" s="11"/>
    </row>
    <row r="82" spans="1:50" x14ac:dyDescent="0.25">
      <c r="K82" s="32" t="s">
        <v>47</v>
      </c>
      <c r="L82" s="71" t="str">
        <f ca="1">_xll.SUBNM(db_name&amp;":programme","","Departmental Programmes","code and description")</f>
        <v/>
      </c>
      <c r="M82" s="71"/>
      <c r="N82" s="32"/>
      <c r="O82" s="11"/>
      <c r="Q82" s="11" t="s">
        <v>123</v>
      </c>
      <c r="R82" s="46" t="str" cm="1">
        <f t="array" aca="1" ref="R82" ca="1">_xll.SUBNM(db_name&amp;":sys_YesNo","","Yes",)</f>
        <v/>
      </c>
      <c r="U82" s="11"/>
    </row>
    <row r="83" spans="1:50" x14ac:dyDescent="0.25">
      <c r="K83" s="32" t="s">
        <v>45</v>
      </c>
      <c r="L83" s="71" t="str">
        <f ca="1">_xll.SUBNM(db_name&amp;":account","sys_FE3IndexationAcc","1280004 - Price of Outputs - Agreed (Dept Only)","code and description")</f>
        <v/>
      </c>
      <c r="M83" s="71"/>
      <c r="N83" s="32"/>
      <c r="O83" s="11"/>
      <c r="V83" s="68" t="str">
        <f ca="1">$T$57</f>
        <v>Please select a valid FE3 period</v>
      </c>
      <c r="W83" s="68"/>
    </row>
    <row r="84" spans="1:50" x14ac:dyDescent="0.25">
      <c r="K84" s="32" t="s">
        <v>46</v>
      </c>
      <c r="L84" s="71" t="str">
        <f ca="1">_xll.SUBNM(db_name&amp;":movement account","","Total movement","code and description")</f>
        <v/>
      </c>
      <c r="M84" s="71"/>
      <c r="N84" s="32"/>
      <c r="O84" s="11"/>
    </row>
    <row r="85" spans="1:50" x14ac:dyDescent="0.25">
      <c r="K85" s="32" t="s">
        <v>59</v>
      </c>
      <c r="L85" s="71" t="str">
        <f ca="1">_xll.SUBNM(db_name&amp;":measure code","","Total Measures")</f>
        <v/>
      </c>
      <c r="M85" s="71"/>
      <c r="N85" s="32"/>
      <c r="O85" s="11"/>
      <c r="P85" s="36" t="s">
        <v>130</v>
      </c>
    </row>
    <row r="86" spans="1:50" ht="4.5" customHeight="1" x14ac:dyDescent="0.25"/>
    <row r="87" spans="1:50" x14ac:dyDescent="0.25">
      <c r="J87" s="36"/>
      <c r="K87" s="32" t="s">
        <v>129</v>
      </c>
      <c r="L87" s="72" t="str">
        <f ca="1">$C$23</f>
        <v>*KEY_ERR</v>
      </c>
      <c r="M87" s="72"/>
      <c r="P87" s="64" t="s">
        <v>105</v>
      </c>
      <c r="Q87" s="64"/>
      <c r="R87" s="64"/>
      <c r="S87" s="64"/>
      <c r="T87" s="64"/>
      <c r="V87" s="59" t="s">
        <v>113</v>
      </c>
      <c r="W87" s="59"/>
      <c r="X87" s="59"/>
      <c r="Y87" s="59"/>
      <c r="Z87" s="59"/>
      <c r="AB87" s="60" t="s">
        <v>77</v>
      </c>
      <c r="AC87" s="61"/>
      <c r="AE87" s="51" t="s">
        <v>78</v>
      </c>
      <c r="AF87" s="51"/>
      <c r="AG87" s="51"/>
      <c r="AH87" s="52" t="s">
        <v>114</v>
      </c>
      <c r="AI87" s="53"/>
      <c r="AJ87" s="53"/>
      <c r="AK87" s="53"/>
      <c r="AL87" s="54"/>
      <c r="AN87" s="64" t="s">
        <v>103</v>
      </c>
      <c r="AO87" s="64"/>
      <c r="AP87" s="64"/>
      <c r="AQ87" s="64"/>
      <c r="AR87" s="64"/>
      <c r="AT87" s="58" t="s">
        <v>104</v>
      </c>
      <c r="AU87" s="58"/>
      <c r="AV87" s="58"/>
      <c r="AW87" s="58"/>
      <c r="AX87" s="58"/>
    </row>
    <row r="88" spans="1:50" ht="18" customHeight="1" x14ac:dyDescent="0.25">
      <c r="J88" s="36"/>
      <c r="P88" s="64"/>
      <c r="Q88" s="64"/>
      <c r="R88" s="64"/>
      <c r="S88" s="64"/>
      <c r="T88" s="64"/>
      <c r="V88" s="59"/>
      <c r="W88" s="59"/>
      <c r="X88" s="59"/>
      <c r="Y88" s="59"/>
      <c r="Z88" s="59"/>
      <c r="AB88" s="62"/>
      <c r="AC88" s="63"/>
      <c r="AE88" s="28" t="str">
        <f ca="1">AE$47</f>
        <v>*KEY_ERR</v>
      </c>
      <c r="AF88" s="28" t="str">
        <f t="shared" ref="AF88:AG88" ca="1" si="5">AF$47</f>
        <v>*KEY_ERR</v>
      </c>
      <c r="AG88" s="28" t="str">
        <f t="shared" ca="1" si="5"/>
        <v>*KEY_ERR</v>
      </c>
      <c r="AH88" s="55"/>
      <c r="AI88" s="56"/>
      <c r="AJ88" s="56"/>
      <c r="AK88" s="56"/>
      <c r="AL88" s="57"/>
      <c r="AN88" s="64"/>
      <c r="AO88" s="64"/>
      <c r="AP88" s="64"/>
      <c r="AQ88" s="64"/>
      <c r="AR88" s="64"/>
      <c r="AT88" s="58"/>
      <c r="AU88" s="58"/>
      <c r="AV88" s="58"/>
      <c r="AW88" s="58"/>
      <c r="AX88" s="58"/>
    </row>
    <row r="89" spans="1:50" x14ac:dyDescent="0.25">
      <c r="J89" s="36"/>
      <c r="P89" s="39" t="s">
        <v>68</v>
      </c>
      <c r="Q89" s="39" t="s">
        <v>72</v>
      </c>
      <c r="R89" s="39" t="s">
        <v>69</v>
      </c>
      <c r="S89" s="39" t="s">
        <v>70</v>
      </c>
      <c r="T89" s="39" t="s">
        <v>71</v>
      </c>
      <c r="V89" s="40" t="s">
        <v>68</v>
      </c>
      <c r="W89" s="40" t="s">
        <v>72</v>
      </c>
      <c r="X89" s="40" t="s">
        <v>69</v>
      </c>
      <c r="Y89" s="40" t="s">
        <v>70</v>
      </c>
      <c r="Z89" s="40" t="s">
        <v>71</v>
      </c>
      <c r="AB89" s="29" t="s">
        <v>70</v>
      </c>
      <c r="AC89" s="29" t="s">
        <v>71</v>
      </c>
      <c r="AE89" s="29" t="s">
        <v>73</v>
      </c>
      <c r="AF89" s="29" t="s">
        <v>74</v>
      </c>
      <c r="AG89" s="29" t="s">
        <v>75</v>
      </c>
      <c r="AH89" s="30" t="s">
        <v>68</v>
      </c>
      <c r="AI89" s="30" t="s">
        <v>72</v>
      </c>
      <c r="AJ89" s="30" t="s">
        <v>69</v>
      </c>
      <c r="AK89" s="30" t="s">
        <v>70</v>
      </c>
      <c r="AL89" s="30" t="s">
        <v>71</v>
      </c>
      <c r="AN89" s="39" t="s">
        <v>68</v>
      </c>
      <c r="AO89" s="39" t="s">
        <v>72</v>
      </c>
      <c r="AP89" s="39" t="s">
        <v>69</v>
      </c>
      <c r="AQ89" s="39" t="s">
        <v>70</v>
      </c>
      <c r="AR89" s="39" t="s">
        <v>71</v>
      </c>
      <c r="AT89" s="31" t="s">
        <v>68</v>
      </c>
      <c r="AU89" s="31" t="s">
        <v>72</v>
      </c>
      <c r="AV89" s="31" t="s">
        <v>69</v>
      </c>
      <c r="AW89" s="31" t="s">
        <v>70</v>
      </c>
      <c r="AX89" s="31" t="s">
        <v>71</v>
      </c>
    </row>
    <row r="90" spans="1:50" ht="30.75" thickBot="1" x14ac:dyDescent="0.3">
      <c r="F90" t="s">
        <v>82</v>
      </c>
      <c r="J90" s="16" t="s">
        <v>58</v>
      </c>
      <c r="K90" s="35" t="s">
        <v>116</v>
      </c>
      <c r="L90" s="35" t="s">
        <v>110</v>
      </c>
      <c r="M90" s="35" t="s">
        <v>111</v>
      </c>
      <c r="N90" s="35" t="s">
        <v>112</v>
      </c>
      <c r="P90" s="39" t="str">
        <f ca="1">P$51</f>
        <v/>
      </c>
      <c r="Q90" s="39" t="str">
        <f t="shared" ref="Q90:T90" ca="1" si="6">Q$51</f>
        <v/>
      </c>
      <c r="R90" s="39" t="str">
        <f t="shared" ca="1" si="6"/>
        <v/>
      </c>
      <c r="S90" s="39" t="str">
        <f t="shared" ca="1" si="6"/>
        <v/>
      </c>
      <c r="T90" s="39" t="str">
        <f t="shared" ca="1" si="6"/>
        <v/>
      </c>
      <c r="V90" s="40" t="str">
        <f ca="1">V$51</f>
        <v/>
      </c>
      <c r="W90" s="40" t="str">
        <f t="shared" ref="W90:Z90" ca="1" si="7">W$51</f>
        <v/>
      </c>
      <c r="X90" s="40" t="str">
        <f t="shared" ca="1" si="7"/>
        <v/>
      </c>
      <c r="Y90" s="40" t="str">
        <f t="shared" ca="1" si="7"/>
        <v/>
      </c>
      <c r="Z90" s="40" t="str">
        <f t="shared" ca="1" si="7"/>
        <v/>
      </c>
      <c r="AB90" s="29" t="str">
        <f t="shared" ref="AB90:AC90" ca="1" si="8">AB$51</f>
        <v/>
      </c>
      <c r="AC90" s="29" t="str">
        <f t="shared" ca="1" si="8"/>
        <v/>
      </c>
      <c r="AE90" s="29" t="str">
        <f ca="1">AE$51</f>
        <v/>
      </c>
      <c r="AF90" s="29" t="str">
        <f t="shared" ref="AF90:AG90" ca="1" si="9">AF$51</f>
        <v/>
      </c>
      <c r="AG90" s="29" t="str">
        <f t="shared" ca="1" si="9"/>
        <v/>
      </c>
      <c r="AH90" s="30" t="str">
        <f ca="1">AH$51</f>
        <v/>
      </c>
      <c r="AI90" s="30" t="str">
        <f t="shared" ref="AI90:AL90" ca="1" si="10">AI$51</f>
        <v/>
      </c>
      <c r="AJ90" s="30" t="str">
        <f t="shared" ca="1" si="10"/>
        <v/>
      </c>
      <c r="AK90" s="30" t="str">
        <f t="shared" ca="1" si="10"/>
        <v/>
      </c>
      <c r="AL90" s="30" t="str">
        <f t="shared" ca="1" si="10"/>
        <v/>
      </c>
      <c r="AN90" s="39" t="str">
        <f ca="1">AN$51</f>
        <v/>
      </c>
      <c r="AO90" s="39" t="str">
        <f t="shared" ref="AO90:AR90" ca="1" si="11">AO$51</f>
        <v/>
      </c>
      <c r="AP90" s="39" t="str">
        <f t="shared" ca="1" si="11"/>
        <v/>
      </c>
      <c r="AQ90" s="39" t="str">
        <f t="shared" ca="1" si="11"/>
        <v/>
      </c>
      <c r="AR90" s="39" t="str">
        <f t="shared" ca="1" si="11"/>
        <v/>
      </c>
      <c r="AT90" s="31" t="str">
        <f ca="1">AT$51</f>
        <v/>
      </c>
      <c r="AU90" s="31" t="str">
        <f t="shared" ref="AU90:AX90" ca="1" si="12">AU$51</f>
        <v/>
      </c>
      <c r="AV90" s="31" t="str">
        <f t="shared" ca="1" si="12"/>
        <v/>
      </c>
      <c r="AW90" s="31" t="str">
        <f t="shared" ca="1" si="12"/>
        <v/>
      </c>
      <c r="AX90" s="31" t="str">
        <f t="shared" ca="1" si="12"/>
        <v/>
      </c>
    </row>
    <row r="91" spans="1:50" ht="15.75" thickBot="1" x14ac:dyDescent="0.3">
      <c r="A91" t="str" cm="1">
        <f t="array" aca="1" ref="A91" ca="1">IF(_xll.TM1RPTELISCONSOLIDATED($B$91,$B91),IF(_xll.TM1RPTELLEV($B$91,$B91)&lt;=3,_xll.TM1RPTELLEV($B$91,$B91),"D"),"N")</f>
        <v>N</v>
      </c>
      <c r="B91" s="48" t="str" cm="1">
        <f t="array" aca="1" ref="B91" ca="1">_xll.TM1RPTROW($C$48,db_name&amp;":programme","","","code and description",0,$C$51)</f>
        <v/>
      </c>
      <c r="C91" s="49" t="str" cm="1">
        <f t="array" aca="1" ref="C91" ca="1">_xll.TM1RPTROW($C$48,db_name&amp;":account","","","",0,$C$52)</f>
        <v/>
      </c>
      <c r="D91" s="50" t="str" cm="1">
        <f t="array" aca="1" ref="D91" ca="1">_xll.TM1RPTROW($C$48,db_name&amp;":movement account","","","",0,$C$53)</f>
        <v/>
      </c>
      <c r="E91" s="6"/>
      <c r="F91" s="6"/>
      <c r="G91" s="6"/>
      <c r="H91" s="6"/>
      <c r="J91" s="22" t="str">
        <f ca="1">$B91</f>
        <v/>
      </c>
      <c r="K91" s="41" t="str" cm="1">
        <f t="array" aca="1" ref="K91" ca="1">_xll.DBR($C$69,psHLYear,psScenario,$B91,K$50)</f>
        <v>*KEY_ERR</v>
      </c>
      <c r="L91" s="47" t="str" cm="1">
        <f t="array" aca="1" ref="L91" ca="1">_xll.DBR($C$69,psHLYear,psScenario,$B91,L$50)</f>
        <v>*KEY_ERR</v>
      </c>
      <c r="M91" s="43" t="str" cm="1">
        <f t="array" aca="1" ref="M91" ca="1">_xll.DBR($C$69,psHLYear,psScenario,$B91,M$50)</f>
        <v>*KEY_ERR</v>
      </c>
      <c r="N91" s="33" t="str" cm="1">
        <f t="array" aca="1" ref="N91" ca="1">_xll.DBR($C$69,psHLYear,psScenario,$B91,N$50)</f>
        <v>*KEY_ERR</v>
      </c>
      <c r="P91" s="20" t="str" cm="1">
        <f t="array" aca="1" ref="P91" ca="1">_xll.DBRW($C$48,$B91,$C$55,$C91,$D91,$C$56,$C$57,$C$58,$L$85,$C$59,P$51,P$50)</f>
        <v/>
      </c>
      <c r="Q91" s="20" t="str" cm="1">
        <f t="array" aca="1" ref="Q91" ca="1">_xll.DBRW($C$48,$B91,$C$55,$C91,$D91,$C$56,$C$57,$C$58,$L$85,$C$59,Q$51,Q$50)</f>
        <v/>
      </c>
      <c r="R91" s="20" t="str" cm="1">
        <f t="array" aca="1" ref="R91" ca="1">_xll.DBRW($C$48,$B91,$C$55,$C91,$D91,$C$56,$C$57,$C$58,$L$85,$C$59,R$51,R$50)</f>
        <v/>
      </c>
      <c r="S91" s="20" t="str" cm="1">
        <f t="array" aca="1" ref="S91" ca="1">_xll.DBRW($C$48,$B91,$C$55,$C91,$D91,$C$56,$C$57,$C$58,$L$85,$C$59,S$51,S$50)</f>
        <v/>
      </c>
      <c r="T91" s="20" t="str" cm="1">
        <f t="array" aca="1" ref="T91" ca="1">_xll.DBRW($C$48,$B91,$C$55,$C91,$D91,$C$56,$C$57,$C$58,$L$85,$C$59,T$51,T$50)</f>
        <v/>
      </c>
      <c r="V91" s="37" cm="1">
        <f t="array" aca="1" ref="V91" ca="1">IF($K91&lt;&gt;"Y",0,_xll.DBR($C$70,psHLYear,psScenario,$K$50,V$50,V$51))</f>
        <v>0</v>
      </c>
      <c r="W91" s="37" cm="1">
        <f t="array" aca="1" ref="W91" ca="1">IF($K91&lt;&gt;"Y",0,_xll.DBR($C$70,psHLYear,psScenario,$K$50,W$50,W$51))</f>
        <v>0</v>
      </c>
      <c r="X91" s="37" cm="1">
        <f t="array" aca="1" ref="X91" ca="1">IF($K91&lt;&gt;"Y",0,_xll.DBR($C$70,psHLYear,psScenario,$K$50,X$50,X$51))</f>
        <v>0</v>
      </c>
      <c r="Y91" s="37" cm="1">
        <f t="array" aca="1" ref="Y91" ca="1">IF($K91&lt;&gt;"Y",0,_xll.DBR($C$70,psHLYear,psScenario,$K$50,Y$50,Y$51))</f>
        <v>0</v>
      </c>
      <c r="Z91" s="37" cm="1">
        <f t="array" aca="1" ref="Z91" ca="1">IF($K91&lt;&gt;"Y",0,_xll.DBR($C$70,psHLYear,psScenario,$K$50,Z$50,Z$51))</f>
        <v>0</v>
      </c>
      <c r="AA91" s="1"/>
      <c r="AB91" s="20" t="str" cm="1">
        <f t="array" aca="1" ref="AB91" ca="1">_xll.DBRW($C$48,$B91,$C$55,$C91,$D91,$C$56,$C$57,$C$58,$L$85,$C$59,AB$51,AB$50)</f>
        <v/>
      </c>
      <c r="AC91" s="20" t="str" cm="1">
        <f t="array" aca="1" ref="AC91" ca="1">_xll.DBRW($C$48,$B91,$C$55,$C91,$D91,$C$56,$C$57,$C$58,$L$85,$C$59,AC$51,AC$50)</f>
        <v/>
      </c>
      <c r="AD91" s="1"/>
      <c r="AE91" s="20" t="str" cm="1">
        <f t="array" aca="1" ref="AE91" ca="1">_xll.DBRW($C$48,$B91,$C$55,$C91,$D91,$C$56,$C$57,$C$58,$L$85,$C$59,AE$51,AE$50)</f>
        <v/>
      </c>
      <c r="AF91" s="20" t="str" cm="1">
        <f t="array" aca="1" ref="AF91" ca="1">_xll.DBRW($C$48,$B91,$C$55,$C91,$D91,$C$56,$C$57,$C$58,$L$85,$C$59,AF$51,AF$50)</f>
        <v/>
      </c>
      <c r="AG91" s="20" t="str" cm="1">
        <f t="array" aca="1" ref="AG91" ca="1">_xll.DBRW($C$48,$B91,$C$55,$C91,$D91,$C$56,$C$57,$C$58,$L$85,$C$59,AG$51,AG$50)</f>
        <v/>
      </c>
      <c r="AH91" s="20" t="str" cm="1">
        <f t="array" aca="1" ref="AH91" ca="1">_xll.DBRW($C$48,$B91,$C$55,$C91,$D91,$C$56,$C$57,$C$58,$L$85,$C$59,AH$51,AH$50)</f>
        <v/>
      </c>
      <c r="AI91" s="20" t="str" cm="1">
        <f t="array" aca="1" ref="AI91" ca="1">_xll.DBRW($C$48,$B91,$C$55,$C91,$D91,$C$56,$C$57,$C$58,$L$85,$C$59,AI$51,AI$50)</f>
        <v/>
      </c>
      <c r="AJ91" s="20" t="str" cm="1">
        <f t="array" aca="1" ref="AJ91" ca="1">_xll.DBRW($C$48,$B91,$C$55,$C91,$D91,$C$56,$C$57,$C$58,$L$85,$C$59,AJ$51,AJ$50)</f>
        <v/>
      </c>
      <c r="AK91" s="20" t="str" cm="1">
        <f t="array" aca="1" ref="AK91" ca="1">_xll.DBRW($C$48,$B91,$C$55,$C91,$D91,$C$56,$C$57,$C$58,$L$85,$C$59,AK$51,AK$50)</f>
        <v/>
      </c>
      <c r="AL91" s="20" t="str" cm="1">
        <f t="array" aca="1" ref="AL91" ca="1">_xll.DBRW($C$48,$B91,$C$55,$C91,$D91,$C$56,$C$57,$C$58,$L$85,$C$59,AL$51,AL$50)</f>
        <v/>
      </c>
      <c r="AM91" s="1"/>
      <c r="AN91" s="20" t="str" cm="1">
        <f t="array" aca="1" ref="AN91" ca="1">_xll.DBR($C$71,psHLYear, psScenario,$C$61,$C$62,$C$56,$C$63,$C$64,$C$55,$L$85,$C$65,$D91,$C$58,$B91,$L$83,AN$50,$C$57,AN$51)</f>
        <v>*KEY_ERR</v>
      </c>
      <c r="AO91" s="20" t="str" cm="1">
        <f t="array" aca="1" ref="AO91" ca="1">_xll.DBR($C$71,psHLYear, psScenario,$C$61,$C$62,$C$56,$C$63,$C$64,$C$55,$L$85,$C$65,$D91,$C$58,$B91,$L$83,AO$50,$C$57,AO$51)</f>
        <v>*KEY_ERR</v>
      </c>
      <c r="AP91" s="20" t="str" cm="1">
        <f t="array" aca="1" ref="AP91" ca="1">_xll.DBR($C$71,psHLYear, psScenario,$C$61,$C$62,$C$56,$C$63,$C$64,$C$55,$L$85,$C$65,$D91,$C$58,$B91,$L$83,AP$50,$C$57,AP$51)</f>
        <v>*KEY_ERR</v>
      </c>
      <c r="AQ91" s="20" t="str" cm="1">
        <f t="array" aca="1" ref="AQ91" ca="1">_xll.DBR($C$71,psHLYear, psScenario,$C$61,$C$62,$C$56,$C$63,$C$64,$C$55,$L$85,$C$65,$D91,$C$58,$B91,$L$83,AQ$50,$C$57,AQ$51)</f>
        <v>*KEY_ERR</v>
      </c>
      <c r="AR91" s="20" t="str" cm="1">
        <f t="array" aca="1" ref="AR91" ca="1">_xll.DBR($C$71,psHLYear, psScenario,$C$61,$C$62,$C$56,$C$63,$C$64,$C$55,$L$85,$C$65,$D91,$C$58,$B91,$L$83,AR$50,$C$57,AR$51)</f>
        <v>*KEY_ERR</v>
      </c>
      <c r="AS91" s="1"/>
      <c r="AT91" s="20" t="e">
        <f ca="1">AN91-AH91</f>
        <v>#VALUE!</v>
      </c>
      <c r="AU91" s="20" t="e">
        <f t="shared" ref="AU91:AX91" ca="1" si="13">AO91-AI91</f>
        <v>#VALUE!</v>
      </c>
      <c r="AV91" s="20" t="e">
        <f t="shared" ca="1" si="13"/>
        <v>#VALUE!</v>
      </c>
      <c r="AW91" s="20" t="e">
        <f t="shared" ca="1" si="13"/>
        <v>#VALUE!</v>
      </c>
      <c r="AX91" s="20" t="e">
        <f t="shared" ca="1" si="13"/>
        <v>#VALUE!</v>
      </c>
    </row>
  </sheetData>
  <sheetProtection sheet="1" objects="1" scenarios="1"/>
  <mergeCells count="21">
    <mergeCell ref="B11:D11"/>
    <mergeCell ref="B19:D19"/>
    <mergeCell ref="B47:D47"/>
    <mergeCell ref="B28:D28"/>
    <mergeCell ref="S58:T58"/>
    <mergeCell ref="P87:T88"/>
    <mergeCell ref="B67:D67"/>
    <mergeCell ref="V83:W83"/>
    <mergeCell ref="L81:M81"/>
    <mergeCell ref="L82:M82"/>
    <mergeCell ref="L83:M83"/>
    <mergeCell ref="L84:M84"/>
    <mergeCell ref="L85:M85"/>
    <mergeCell ref="Q81:R81"/>
    <mergeCell ref="L87:M87"/>
    <mergeCell ref="AE87:AG87"/>
    <mergeCell ref="AH87:AL88"/>
    <mergeCell ref="AT87:AX88"/>
    <mergeCell ref="V87:Z88"/>
    <mergeCell ref="AB87:AC88"/>
    <mergeCell ref="AN87:AR88"/>
  </mergeCells>
  <pageMargins left="0.70866141732283472" right="0.70866141732283472" top="0.74803149606299213" bottom="0.74803149606299213" header="0.31496062992125984" footer="0.31496062992125984"/>
  <pageSetup paperSize="9" scale="28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43" r:id="rId4" name="TIButton4">
          <controlPr defaultSize="0" print="0" autoLine="0" r:id="rId5">
            <anchor moveWithCells="1" sizeWithCells="1">
              <from>
                <xdr:col>9</xdr:col>
                <xdr:colOff>3524250</xdr:colOff>
                <xdr:row>77</xdr:row>
                <xdr:rowOff>9525</xdr:rowOff>
              </from>
              <to>
                <xdr:col>10</xdr:col>
                <xdr:colOff>304800</xdr:colOff>
                <xdr:row>77</xdr:row>
                <xdr:rowOff>257175</xdr:rowOff>
              </to>
            </anchor>
          </controlPr>
        </control>
      </mc:Choice>
      <mc:Fallback>
        <control shapeId="1043" r:id="rId4" name="TIButton4"/>
      </mc:Fallback>
    </mc:AlternateContent>
    <mc:AlternateContent xmlns:mc="http://schemas.openxmlformats.org/markup-compatibility/2006">
      <mc:Choice Requires="x14">
        <control shapeId="1032" r:id="rId6" name="TIButton6">
          <controlPr defaultSize="0" print="0" autoLine="0" r:id="rId7">
            <anchor moveWithCells="1" sizeWithCells="1">
              <from>
                <xdr:col>9</xdr:col>
                <xdr:colOff>2447925</xdr:colOff>
                <xdr:row>77</xdr:row>
                <xdr:rowOff>9525</xdr:rowOff>
              </from>
              <to>
                <xdr:col>9</xdr:col>
                <xdr:colOff>3495675</xdr:colOff>
                <xdr:row>77</xdr:row>
                <xdr:rowOff>257175</xdr:rowOff>
              </to>
            </anchor>
          </controlPr>
        </control>
      </mc:Choice>
      <mc:Fallback>
        <control shapeId="1032" r:id="rId6" name="TIButton6"/>
      </mc:Fallback>
    </mc:AlternateContent>
    <mc:AlternateContent xmlns:mc="http://schemas.openxmlformats.org/markup-compatibility/2006">
      <mc:Choice Requires="x14">
        <control shapeId="1029" r:id="rId8" name="TIButton5">
          <controlPr defaultSize="0" print="0" autoLine="0" r:id="rId9">
            <anchor moveWithCells="1" sizeWithCells="1">
              <from>
                <xdr:col>25</xdr:col>
                <xdr:colOff>514350</xdr:colOff>
                <xdr:row>76</xdr:row>
                <xdr:rowOff>28575</xdr:rowOff>
              </from>
              <to>
                <xdr:col>25</xdr:col>
                <xdr:colOff>828675</xdr:colOff>
                <xdr:row>77</xdr:row>
                <xdr:rowOff>285750</xdr:rowOff>
              </to>
            </anchor>
          </controlPr>
        </control>
      </mc:Choice>
      <mc:Fallback>
        <control shapeId="1029" r:id="rId8" name="TIButton5"/>
      </mc:Fallback>
    </mc:AlternateContent>
    <mc:AlternateContent xmlns:mc="http://schemas.openxmlformats.org/markup-compatibility/2006">
      <mc:Choice Requires="x14">
        <control shapeId="1025" r:id="rId10" name="TIButton1">
          <controlPr defaultSize="0" print="0" autoLine="0" r:id="rId11">
            <anchor moveWithCells="1" sizeWithCells="1">
              <from>
                <xdr:col>8</xdr:col>
                <xdr:colOff>47625</xdr:colOff>
                <xdr:row>77</xdr:row>
                <xdr:rowOff>9525</xdr:rowOff>
              </from>
              <to>
                <xdr:col>9</xdr:col>
                <xdr:colOff>628650</xdr:colOff>
                <xdr:row>77</xdr:row>
                <xdr:rowOff>257175</xdr:rowOff>
              </to>
            </anchor>
          </controlPr>
        </control>
      </mc:Choice>
      <mc:Fallback>
        <control shapeId="1025" r:id="rId10" name="TIButton1"/>
      </mc:Fallback>
    </mc:AlternateContent>
    <mc:AlternateContent xmlns:mc="http://schemas.openxmlformats.org/markup-compatibility/2006">
      <mc:Choice Requires="x14">
        <control shapeId="1027" r:id="rId12" name="TIButton3">
          <controlPr defaultSize="0" print="0" autoLine="0" r:id="rId13">
            <anchor moveWithCells="1" sizeWithCells="1">
              <from>
                <xdr:col>9</xdr:col>
                <xdr:colOff>1743075</xdr:colOff>
                <xdr:row>77</xdr:row>
                <xdr:rowOff>9525</xdr:rowOff>
              </from>
              <to>
                <xdr:col>9</xdr:col>
                <xdr:colOff>2419350</xdr:colOff>
                <xdr:row>77</xdr:row>
                <xdr:rowOff>257175</xdr:rowOff>
              </to>
            </anchor>
          </controlPr>
        </control>
      </mc:Choice>
      <mc:Fallback>
        <control shapeId="1027" r:id="rId12" name="TIButton3"/>
      </mc:Fallback>
    </mc:AlternateContent>
    <mc:AlternateContent xmlns:mc="http://schemas.openxmlformats.org/markup-compatibility/2006">
      <mc:Choice Requires="x14">
        <control shapeId="1034" r:id="rId14" name="TIButton7">
          <controlPr defaultSize="0" print="0" autoLine="0" r:id="rId15">
            <anchor moveWithCells="1" sizeWithCells="1">
              <from>
                <xdr:col>12</xdr:col>
                <xdr:colOff>495300</xdr:colOff>
                <xdr:row>77</xdr:row>
                <xdr:rowOff>9525</xdr:rowOff>
              </from>
              <to>
                <xdr:col>13</xdr:col>
                <xdr:colOff>533400</xdr:colOff>
                <xdr:row>77</xdr:row>
                <xdr:rowOff>257175</xdr:rowOff>
              </to>
            </anchor>
          </controlPr>
        </control>
      </mc:Choice>
      <mc:Fallback>
        <control shapeId="1034" r:id="rId14" name="TIButton7"/>
      </mc:Fallback>
    </mc:AlternateContent>
    <mc:AlternateContent xmlns:mc="http://schemas.openxmlformats.org/markup-compatibility/2006">
      <mc:Choice Requires="x14">
        <control shapeId="1035" r:id="rId16" name="TIButton8">
          <controlPr defaultSize="0" print="0" autoLine="0" r:id="rId17">
            <anchor moveWithCells="1" sizeWithCells="1">
              <from>
                <xdr:col>10</xdr:col>
                <xdr:colOff>333375</xdr:colOff>
                <xdr:row>77</xdr:row>
                <xdr:rowOff>9525</xdr:rowOff>
              </from>
              <to>
                <xdr:col>11</xdr:col>
                <xdr:colOff>504825</xdr:colOff>
                <xdr:row>77</xdr:row>
                <xdr:rowOff>257175</xdr:rowOff>
              </to>
            </anchor>
          </controlPr>
        </control>
      </mc:Choice>
      <mc:Fallback>
        <control shapeId="1035" r:id="rId16" name="TIButton8"/>
      </mc:Fallback>
    </mc:AlternateContent>
    <mc:AlternateContent xmlns:mc="http://schemas.openxmlformats.org/markup-compatibility/2006">
      <mc:Choice Requires="x14">
        <control shapeId="1036" r:id="rId18" name="TIButton9">
          <controlPr defaultSize="0" print="0" autoLine="0" r:id="rId19">
            <anchor moveWithCells="1" sizeWithCells="1">
              <from>
                <xdr:col>11</xdr:col>
                <xdr:colOff>533400</xdr:colOff>
                <xdr:row>77</xdr:row>
                <xdr:rowOff>9525</xdr:rowOff>
              </from>
              <to>
                <xdr:col>12</xdr:col>
                <xdr:colOff>457200</xdr:colOff>
                <xdr:row>77</xdr:row>
                <xdr:rowOff>257175</xdr:rowOff>
              </to>
            </anchor>
          </controlPr>
        </control>
      </mc:Choice>
      <mc:Fallback>
        <control shapeId="1036" r:id="rId18" name="TIButton9"/>
      </mc:Fallback>
    </mc:AlternateContent>
    <mc:AlternateContent xmlns:mc="http://schemas.openxmlformats.org/markup-compatibility/2006">
      <mc:Choice Requires="x14">
        <control shapeId="1037" r:id="rId20" name="TIButton2">
          <controlPr defaultSize="0" print="0" autoLine="0" r:id="rId21">
            <anchor moveWithCells="1" sizeWithCells="1">
              <from>
                <xdr:col>18</xdr:col>
                <xdr:colOff>762000</xdr:colOff>
                <xdr:row>77</xdr:row>
                <xdr:rowOff>9525</xdr:rowOff>
              </from>
              <to>
                <xdr:col>19</xdr:col>
                <xdr:colOff>628650</xdr:colOff>
                <xdr:row>77</xdr:row>
                <xdr:rowOff>257175</xdr:rowOff>
              </to>
            </anchor>
          </controlPr>
        </control>
      </mc:Choice>
      <mc:Fallback>
        <control shapeId="1037" r:id="rId20" name="TIButton2"/>
      </mc:Fallback>
    </mc:AlternateContent>
    <mc:AlternateContent xmlns:mc="http://schemas.openxmlformats.org/markup-compatibility/2006">
      <mc:Choice Requires="x14">
        <control shapeId="1038" r:id="rId22" name="TIButton10">
          <controlPr defaultSize="0" print="0" autoLine="0" r:id="rId23">
            <anchor moveWithCells="1" sizeWithCells="1">
              <from>
                <xdr:col>15</xdr:col>
                <xdr:colOff>38100</xdr:colOff>
                <xdr:row>77</xdr:row>
                <xdr:rowOff>9525</xdr:rowOff>
              </from>
              <to>
                <xdr:col>16</xdr:col>
                <xdr:colOff>419100</xdr:colOff>
                <xdr:row>77</xdr:row>
                <xdr:rowOff>257175</xdr:rowOff>
              </to>
            </anchor>
          </controlPr>
        </control>
      </mc:Choice>
      <mc:Fallback>
        <control shapeId="1038" r:id="rId22" name="TIButton10"/>
      </mc:Fallback>
    </mc:AlternateContent>
    <mc:AlternateContent xmlns:mc="http://schemas.openxmlformats.org/markup-compatibility/2006">
      <mc:Choice Requires="x14">
        <control shapeId="1039" r:id="rId24" name="TIButton11">
          <controlPr defaultSize="0" print="0" autoLine="0" r:id="rId25">
            <anchor moveWithCells="1" sizeWithCells="1">
              <from>
                <xdr:col>16</xdr:col>
                <xdr:colOff>457200</xdr:colOff>
                <xdr:row>77</xdr:row>
                <xdr:rowOff>9525</xdr:rowOff>
              </from>
              <to>
                <xdr:col>17</xdr:col>
                <xdr:colOff>495300</xdr:colOff>
                <xdr:row>77</xdr:row>
                <xdr:rowOff>257175</xdr:rowOff>
              </to>
            </anchor>
          </controlPr>
        </control>
      </mc:Choice>
      <mc:Fallback>
        <control shapeId="1039" r:id="rId24" name="TIButton11"/>
      </mc:Fallback>
    </mc:AlternateContent>
    <mc:AlternateContent xmlns:mc="http://schemas.openxmlformats.org/markup-compatibility/2006">
      <mc:Choice Requires="x14">
        <control shapeId="1040" r:id="rId26" name="TIButton12">
          <controlPr defaultSize="0" print="0" autoLine="0" r:id="rId27">
            <anchor moveWithCells="1" sizeWithCells="1">
              <from>
                <xdr:col>17</xdr:col>
                <xdr:colOff>542925</xdr:colOff>
                <xdr:row>77</xdr:row>
                <xdr:rowOff>9525</xdr:rowOff>
              </from>
              <to>
                <xdr:col>18</xdr:col>
                <xdr:colOff>733425</xdr:colOff>
                <xdr:row>77</xdr:row>
                <xdr:rowOff>257175</xdr:rowOff>
              </to>
            </anchor>
          </controlPr>
        </control>
      </mc:Choice>
      <mc:Fallback>
        <control shapeId="1040" r:id="rId26" name="TIButton12"/>
      </mc:Fallback>
    </mc:AlternateContent>
    <mc:AlternateContent xmlns:mc="http://schemas.openxmlformats.org/markup-compatibility/2006">
      <mc:Choice Requires="x14">
        <control shapeId="1041" r:id="rId28" name="TIButton13">
          <controlPr defaultSize="0" print="0" autoLine="0" autoPict="0" r:id="rId29">
            <anchor moveWithCells="1" sizeWithCells="1">
              <from>
                <xdr:col>9</xdr:col>
                <xdr:colOff>657225</xdr:colOff>
                <xdr:row>77</xdr:row>
                <xdr:rowOff>9525</xdr:rowOff>
              </from>
              <to>
                <xdr:col>9</xdr:col>
                <xdr:colOff>1724025</xdr:colOff>
                <xdr:row>77</xdr:row>
                <xdr:rowOff>257175</xdr:rowOff>
              </to>
            </anchor>
          </controlPr>
        </control>
      </mc:Choice>
      <mc:Fallback>
        <control shapeId="1041" r:id="rId28" name="TIButton1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7E0F-378D-41EB-981A-8A812A363767}">
  <sheetPr codeName="Sheet2"/>
  <dimension ref="A1:A1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95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  <row r="6" spans="1:1" x14ac:dyDescent="0.25">
      <c r="A6" t="s">
        <v>87</v>
      </c>
    </row>
    <row r="7" spans="1:1" x14ac:dyDescent="0.25">
      <c r="A7" t="s">
        <v>88</v>
      </c>
    </row>
    <row r="8" spans="1:1" x14ac:dyDescent="0.25">
      <c r="A8" t="s">
        <v>89</v>
      </c>
    </row>
    <row r="9" spans="1:1" x14ac:dyDescent="0.25">
      <c r="A9" t="s">
        <v>90</v>
      </c>
    </row>
    <row r="10" spans="1:1" x14ac:dyDescent="0.25">
      <c r="A10" t="s">
        <v>91</v>
      </c>
    </row>
    <row r="11" spans="1:1" x14ac:dyDescent="0.25">
      <c r="A11" t="s">
        <v>92</v>
      </c>
    </row>
    <row r="12" spans="1:1" x14ac:dyDescent="0.25">
      <c r="A12" t="s">
        <v>93</v>
      </c>
    </row>
    <row r="13" spans="1:1" x14ac:dyDescent="0.25">
      <c r="A13" t="s">
        <v>83</v>
      </c>
    </row>
    <row r="14" spans="1:1" x14ac:dyDescent="0.25">
      <c r="A1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54</vt:i4>
      </vt:variant>
    </vt:vector>
  </HeadingPairs>
  <TitlesOfParts>
    <vt:vector size="56" baseType="lpstr">
      <vt:lpstr>ED</vt:lpstr>
      <vt:lpstr>{PL}PickLst</vt:lpstr>
      <vt:lpstr>db_name</vt:lpstr>
      <vt:lpstr>Freeze_here</vt:lpstr>
      <vt:lpstr>psAdjType</vt:lpstr>
      <vt:lpstr>psApp</vt:lpstr>
      <vt:lpstr>psCreateAdjByMeasures</vt:lpstr>
      <vt:lpstr>psFE2Year</vt:lpstr>
      <vt:lpstr>psFE3Year</vt:lpstr>
      <vt:lpstr>psHLYear</vt:lpstr>
      <vt:lpstr>psProg</vt:lpstr>
      <vt:lpstr>psScenario</vt:lpstr>
      <vt:lpstr>psUser</vt:lpstr>
      <vt:lpstr>TM1AdjIDListCAP</vt:lpstr>
      <vt:lpstr>TM1AdjIDListWB</vt:lpstr>
      <vt:lpstr>TM1AdjIDListWS</vt:lpstr>
      <vt:lpstr>TM1EDCAP</vt:lpstr>
      <vt:lpstr>TM1EDWB</vt:lpstr>
      <vt:lpstr>TM1EDWS</vt:lpstr>
      <vt:lpstr>TM1FE3CAP</vt:lpstr>
      <vt:lpstr>TM1FE3WB</vt:lpstr>
      <vt:lpstr>TM1FE3WS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TM1IndexCAP</vt:lpstr>
      <vt:lpstr>TM1IndexFE3MapCAP</vt:lpstr>
      <vt:lpstr>TM1IndexFE3MapWB</vt:lpstr>
      <vt:lpstr>TM1IndexFE3MapWS</vt:lpstr>
      <vt:lpstr>TM1IndexFinCAP</vt:lpstr>
      <vt:lpstr>TM1IndexFinDCBCAP</vt:lpstr>
      <vt:lpstr>TM1IndexFinDCBWB</vt:lpstr>
      <vt:lpstr>TM1IndexFinDCBWS</vt:lpstr>
      <vt:lpstr>TM1IndexFinSubsetCAP</vt:lpstr>
      <vt:lpstr>TM1IndexFinSubsetWB</vt:lpstr>
      <vt:lpstr>TM1IndexFinSubsetWS</vt:lpstr>
      <vt:lpstr>TM1IndexFinWB</vt:lpstr>
      <vt:lpstr>TM1IndexFinWS</vt:lpstr>
      <vt:lpstr>TM1IndexRatesCAP</vt:lpstr>
      <vt:lpstr>TM1IndexRatesWB</vt:lpstr>
      <vt:lpstr>TM1IndexRatesWS</vt:lpstr>
      <vt:lpstr>TM1IndexRecoCAP</vt:lpstr>
      <vt:lpstr>TM1IndexRecoWB</vt:lpstr>
      <vt:lpstr>TM1IndexRecoWS</vt:lpstr>
      <vt:lpstr>TM1IndexWB</vt:lpstr>
      <vt:lpstr>TM1IndexWS</vt:lpstr>
      <vt:lpstr>ED!TM1RPTDATARNG1</vt:lpstr>
      <vt:lpstr>ED!TM1RPTFMTIDCOL</vt:lpstr>
      <vt:lpstr>ED!TM1RPTFMTRNG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2019-08-19T05:28:01Z</cp:lastPrinted>
  <dcterms:created xsi:type="dcterms:W3CDTF">2019-08-12T04:26:51Z</dcterms:created>
  <dcterms:modified xsi:type="dcterms:W3CDTF">2025-08-05T04:27:55Z</dcterms:modified>
</cp:coreProperties>
</file>