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4.bin" ContentType="application/vnd.ms-office.activeX"/>
  <Override PartName="/xl/activeX/activeX7.xml" ContentType="application/vnd.ms-office.activeX+xml"/>
  <Override PartName="/xl/activeX/activeX5.bin" ContentType="application/vnd.ms-office.activeX"/>
  <Override PartName="/xl/activeX/activeX8.xml" ContentType="application/vnd.ms-office.activeX+xml"/>
  <Override PartName="/xl/activeX/activeX9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8291CA1A-4586-4244-8238-ED35CBE828AA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adj list" sheetId="1" r:id="rId1"/>
  </sheets>
  <definedNames>
    <definedName name="db_name">'adj list'!$C$12</definedName>
    <definedName name="Freeze_Here">'adj list'!$A$115</definedName>
    <definedName name="IDList" localSheetId="0">OFFSET(#REF!,0,0,COUNTA('adj list'!$P:$P,1))</definedName>
    <definedName name="psApp">'adj list'!$C$21</definedName>
    <definedName name="psFilter">'adj list'!$M$110</definedName>
    <definedName name="psHLYear">'adj list'!$M$105</definedName>
    <definedName name="psScenario">'adj list'!$M$106</definedName>
    <definedName name="psTextFilter">'adj list'!$M$111</definedName>
    <definedName name="psUser">'adj list'!$C$17</definedName>
    <definedName name="sys_id_filterlist">'adj list'!$B$48:$B$60</definedName>
    <definedName name="sys_idfilter_lookup">'adj list'!$B$48:$C$60</definedName>
    <definedName name="TM1BulkProcessCAP">'adj list'!$D$27</definedName>
    <definedName name="TM1BulkProcessWB">'adj list'!$F$27</definedName>
    <definedName name="TM1BulkProcessWS">'adj list'!$H$27</definedName>
    <definedName name="TM1GrpNewAdj01HeaderCAP">'adj list'!$D$31</definedName>
    <definedName name="TM1GrpNewAdj01HeaderWB">'adj list'!$F$31</definedName>
    <definedName name="TM1GrpNewAdj01HeaderWS">'adj list'!$H$31</definedName>
    <definedName name="TM1GrpViewAdj01HeaderCAP">'adj list'!$D$29</definedName>
    <definedName name="TM1GrpViewAdj01HeaderWB">'adj list'!$F$29</definedName>
    <definedName name="TM1GrpViewAdj01HeaderWS">'adj list'!$H$29</definedName>
    <definedName name="TM1HomeAECAP">'adj list'!$D$24</definedName>
    <definedName name="TM1HomeAEDataEntryCAP">'adj list'!$D$25</definedName>
    <definedName name="TM1HomeAEDataEntryWB">'adj list'!$F$25</definedName>
    <definedName name="TM1HomeAEDataEntryWS">'adj list'!$H$25</definedName>
    <definedName name="TM1HomeAEWB">'adj list'!$F$24</definedName>
    <definedName name="TM1HomeAEWS">'adj list'!$H$24</definedName>
    <definedName name="TM1HomeCAP">'adj list'!$D$23</definedName>
    <definedName name="TM1HomeRepCAP">'adj list'!$D$26</definedName>
    <definedName name="TM1HomeRepWB">'adj list'!$F$26</definedName>
    <definedName name="TM1HomeRepWS">'adj list'!$H$26</definedName>
    <definedName name="TM1HomeWB">'adj list'!$F$23</definedName>
    <definedName name="TM1HomeWS">'adj list'!$H$23</definedName>
    <definedName name="TM1NewAdj01HeaderCAP">'adj list'!$D$30</definedName>
    <definedName name="TM1NewAdj01HeaderWB">'adj list'!$F$30</definedName>
    <definedName name="TM1NewAdj01HeaderWS">'adj list'!$H$30</definedName>
    <definedName name="TM1REBUILDOPTION">0</definedName>
    <definedName name="TM1RPTDATARNG2" localSheetId="0">'adj list'!$115:$115</definedName>
    <definedName name="TM1RPTFMTIDCOL" localSheetId="0">'adj list'!$A$1:$A$8</definedName>
    <definedName name="TM1RPTFMTRNG" localSheetId="0">'adj list'!$J$1:$Y$8</definedName>
    <definedName name="TM1ViewAdj01HeaderCAP">'adj list'!$D$28</definedName>
    <definedName name="TM1ViewAdj01HeaderWB">'adj list'!$F$28</definedName>
    <definedName name="TM1ViewAdj01HeaderWS">'adj list'!$H$28</definedName>
  </definedNames>
  <calcPr calcId="181029" calcMode="manual" concurrentCalc="0"/>
</workbook>
</file>

<file path=xl/calcChain.xml><?xml version="1.0" encoding="utf-8"?>
<calcChain xmlns="http://schemas.openxmlformats.org/spreadsheetml/2006/main">
  <c r="C34" i="1" l="1"/>
  <c r="C36" i="1"/>
  <c r="M106" i="1"/>
  <c r="C35" i="1"/>
  <c r="M105" i="1"/>
  <c r="C44" i="1"/>
  <c r="C43" i="1"/>
  <c r="C69" i="1"/>
  <c r="C13" i="1"/>
  <c r="C14" i="1"/>
  <c r="C15" i="1"/>
  <c r="C17" i="1"/>
  <c r="M111" i="1"/>
  <c r="D64" i="1"/>
  <c r="C64" i="1"/>
  <c r="M110" i="1"/>
  <c r="C63" i="1"/>
  <c r="B115" i="1"/>
  <c r="Y115" i="1"/>
  <c r="X115" i="1"/>
  <c r="W115" i="1"/>
  <c r="V115" i="1"/>
  <c r="U115" i="1"/>
  <c r="T115" i="1"/>
  <c r="C40" i="1"/>
  <c r="C38" i="1"/>
  <c r="C39" i="1"/>
  <c r="S95" i="1"/>
  <c r="S115" i="1"/>
  <c r="R115" i="1"/>
  <c r="Q115" i="1"/>
  <c r="P115" i="1"/>
  <c r="O115" i="1"/>
  <c r="N115" i="1"/>
  <c r="M115" i="1"/>
  <c r="L115" i="1"/>
  <c r="J115" i="1"/>
  <c r="C115" i="1"/>
  <c r="A115" i="1"/>
  <c r="P105" i="1"/>
  <c r="P106" i="1"/>
  <c r="P107" i="1"/>
  <c r="P108" i="1"/>
  <c r="P109" i="1"/>
  <c r="P110" i="1"/>
  <c r="P111" i="1"/>
  <c r="P112" i="1"/>
  <c r="C37" i="1"/>
  <c r="M107" i="1"/>
  <c r="C82" i="1"/>
  <c r="C72" i="1"/>
  <c r="D82" i="1"/>
  <c r="C81" i="1"/>
  <c r="C71" i="1"/>
  <c r="D81" i="1"/>
  <c r="C77" i="1"/>
  <c r="C76" i="1"/>
  <c r="C75" i="1"/>
  <c r="C74" i="1"/>
  <c r="C73" i="1"/>
  <c r="C70" i="1"/>
  <c r="C62" i="1"/>
  <c r="D65" i="1"/>
  <c r="C65" i="1"/>
  <c r="C45" i="1"/>
  <c r="C20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C16" i="1"/>
  <c r="A5" i="1"/>
  <c r="A4" i="1"/>
  <c r="A3" i="1"/>
  <c r="A2" i="1"/>
</calcChain>
</file>

<file path=xl/sharedStrings.xml><?xml version="1.0" encoding="utf-8"?>
<sst xmlns="http://schemas.openxmlformats.org/spreadsheetml/2006/main" count="150" uniqueCount="134">
  <si>
    <t>Approved Date</t>
  </si>
  <si>
    <t>Created date</t>
  </si>
  <si>
    <t>Appropriation</t>
  </si>
  <si>
    <t>CBMS Measure Code</t>
  </si>
  <si>
    <t>Program Description</t>
  </si>
  <si>
    <t>Program Code</t>
  </si>
  <si>
    <t>GEUS ID</t>
  </si>
  <si>
    <t>Reason Code</t>
  </si>
  <si>
    <t>ID</t>
  </si>
  <si>
    <t>Total</t>
  </si>
  <si>
    <t>Note : Filters are case sensitive. Please use Capitals if required</t>
  </si>
  <si>
    <t>CBMS</t>
  </si>
  <si>
    <t xml:space="preserve">Enter Text Filter : </t>
  </si>
  <si>
    <t>approved non-flat file</t>
  </si>
  <si>
    <t xml:space="preserve">Filter : </t>
  </si>
  <si>
    <t>approved</t>
  </si>
  <si>
    <t xml:space="preserve"> FILTERS</t>
  </si>
  <si>
    <t>submitted</t>
  </si>
  <si>
    <t>draft</t>
  </si>
  <si>
    <t xml:space="preserve">CBMS Round : </t>
  </si>
  <si>
    <t>unbalanced</t>
  </si>
  <si>
    <t xml:space="preserve">Scenario : </t>
  </si>
  <si>
    <t>unauthorised</t>
  </si>
  <si>
    <t xml:space="preserve">Headline Year : </t>
  </si>
  <si>
    <t>STATUS COUNT</t>
  </si>
  <si>
    <t>REPORT PARAMETERS</t>
  </si>
  <si>
    <t>Note : To VIEW an adjustment, first select an adjustment, then click 'View Adj'.</t>
  </si>
  <si>
    <t>Adjustment List</t>
  </si>
  <si>
    <t>authorised date</t>
  </si>
  <si>
    <t>created date</t>
  </si>
  <si>
    <t>sys_control type</t>
  </si>
  <si>
    <t>sys_CBMS measure code</t>
  </si>
  <si>
    <t>sys_status</t>
  </si>
  <si>
    <t>Created By</t>
  </si>
  <si>
    <t>sys_title</t>
  </si>
  <si>
    <t>sys_programme code</t>
  </si>
  <si>
    <t>sys_ID</t>
  </si>
  <si>
    <t>entity segment</t>
  </si>
  <si>
    <t>agency</t>
  </si>
  <si>
    <t>reason</t>
  </si>
  <si>
    <t>Active Form TM1RPTROW</t>
  </si>
  <si>
    <t>Scenario</t>
  </si>
  <si>
    <t>Headline Year</t>
  </si>
  <si>
    <t>Value To Send</t>
  </si>
  <si>
    <t>Value</t>
  </si>
  <si>
    <t>Dimension</t>
  </si>
  <si>
    <t>Filter Checks</t>
  </si>
  <si>
    <t>Programme</t>
  </si>
  <si>
    <t>Current User</t>
  </si>
  <si>
    <t>geus adj</t>
  </si>
  <si>
    <t>}TM1_DefaultDisplayValue</t>
  </si>
  <si>
    <t>Subset Used</t>
  </si>
  <si>
    <t>geus scenario</t>
  </si>
  <si>
    <t>geus hlyear</t>
  </si>
  <si>
    <t>idlist_textfilter</t>
  </si>
  <si>
    <t>idlist_filter</t>
  </si>
  <si>
    <t>GEUS User Name</t>
  </si>
  <si>
    <t>idlist_scenario</t>
  </si>
  <si>
    <t>Database Name</t>
  </si>
  <si>
    <t>idlist_hlyear</t>
  </si>
  <si>
    <t>idlist_agency</t>
  </si>
  <si>
    <t>sys_Client Preference (used for filters)</t>
  </si>
  <si>
    <t>"</t>
  </si>
  <si>
    <t>FILTER QUOTE</t>
  </si>
  <si>
    <t>System Parameters</t>
  </si>
  <si>
    <t>ID Details</t>
  </si>
  <si>
    <t>Client Attributes</t>
  </si>
  <si>
    <t>[End Format Range]</t>
  </si>
  <si>
    <t>Sel Index HLYear</t>
  </si>
  <si>
    <t>D</t>
  </si>
  <si>
    <t>sys_CBMSR GoLive Headline year</t>
  </si>
  <si>
    <t>MDX Filter</t>
  </si>
  <si>
    <t>MDX ALL</t>
  </si>
  <si>
    <t>MDX to Use</t>
  </si>
  <si>
    <t>Single Agency</t>
  </si>
  <si>
    <t>All Agencies</t>
  </si>
  <si>
    <t>Selected Filter</t>
  </si>
  <si>
    <t>authorised by</t>
  </si>
  <si>
    <t>Approved By</t>
  </si>
  <si>
    <t>created by</t>
  </si>
  <si>
    <t>CBMS ID</t>
  </si>
  <si>
    <t>sys_adjustment type</t>
  </si>
  <si>
    <t>Adjustment Type</t>
  </si>
  <si>
    <t>sys_appropriation item</t>
  </si>
  <si>
    <t>Appropriation Item</t>
  </si>
  <si>
    <t>sys_appropriation type</t>
  </si>
  <si>
    <t>Appropriation Type</t>
  </si>
  <si>
    <t>sys_Control type</t>
  </si>
  <si>
    <t>Control Type</t>
  </si>
  <si>
    <t>status</t>
  </si>
  <si>
    <t>Status</t>
  </si>
  <si>
    <t>sys_measure</t>
  </si>
  <si>
    <t>GEUS measure code</t>
  </si>
  <si>
    <t>sys_cbms measure code</t>
  </si>
  <si>
    <t>CBMS Measure code</t>
  </si>
  <si>
    <t>sys_reason</t>
  </si>
  <si>
    <t>Reason</t>
  </si>
  <si>
    <t>title</t>
  </si>
  <si>
    <t>Title</t>
  </si>
  <si>
    <t>sys_programme description</t>
  </si>
  <si>
    <t>TM1 element name</t>
  </si>
  <si>
    <t>Filter List</t>
  </si>
  <si>
    <t>Cube View (Slice)</t>
  </si>
  <si>
    <t>Cube View (AF)</t>
  </si>
  <si>
    <t>INDEX CBMSR</t>
  </si>
  <si>
    <t>current budget round</t>
  </si>
  <si>
    <t>headline scenario</t>
  </si>
  <si>
    <t>headline year</t>
  </si>
  <si>
    <t>Cube View</t>
  </si>
  <si>
    <t xml:space="preserve">System Variable </t>
  </si>
  <si>
    <t>Group Data Entry - New Adj 01 - Header Details</t>
  </si>
  <si>
    <t>Data Entry - New Adj 01 - Header Details</t>
  </si>
  <si>
    <t>Group Data Entry - View Adj 01 - Header Details</t>
  </si>
  <si>
    <t>Data Entry - View Adj 01 - Header Details</t>
  </si>
  <si>
    <t>Adjustment - Bulk Process</t>
  </si>
  <si>
    <t>Homepage - Reports</t>
  </si>
  <si>
    <t>Homepage - Annual Estimates - Data Entry</t>
  </si>
  <si>
    <t>Homepage - Annual Estimates</t>
  </si>
  <si>
    <t>Homepage - Home</t>
  </si>
  <si>
    <t>Worksheet</t>
  </si>
  <si>
    <t>Worksheet Name</t>
  </si>
  <si>
    <t>Workbook</t>
  </si>
  <si>
    <t>Workbook Name</t>
  </si>
  <si>
    <t>Caption</t>
  </si>
  <si>
    <t>Caption Name</t>
  </si>
  <si>
    <t>Application</t>
  </si>
  <si>
    <t>Adjustment - ID List</t>
  </si>
  <si>
    <t>Current Workbook</t>
  </si>
  <si>
    <t>View</t>
  </si>
  <si>
    <t>sys_Application Cube</t>
  </si>
  <si>
    <t>TM1 User</t>
  </si>
  <si>
    <t>N</t>
  </si>
  <si>
    <t>[Begin Format Range]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</si>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</sst>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33399"/>
      <name val="Verdana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theme="3" tint="-0.24991607409894101"/>
      <name val="Calibri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Verdana"/>
      <family val="2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3499252296517838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2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0" fillId="0" borderId="0"/>
    <xf numFmtId="0" fontId="4" fillId="0" borderId="0">
      <protection locked="0"/>
    </xf>
    <xf numFmtId="167" fontId="20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4" fillId="0" borderId="0">
      <protection locked="0"/>
    </xf>
    <xf numFmtId="0" fontId="20" fillId="0" borderId="0"/>
    <xf numFmtId="0" fontId="15" fillId="0" borderId="0"/>
    <xf numFmtId="0" fontId="20" fillId="0" borderId="0"/>
    <xf numFmtId="0" fontId="20" fillId="0" borderId="0"/>
    <xf numFmtId="0" fontId="4" fillId="0" borderId="0">
      <protection locked="0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67">
    <xf numFmtId="0" fontId="0" fillId="0" borderId="0" xfId="0"/>
    <xf numFmtId="0" fontId="20" fillId="0" borderId="0" xfId="6"/>
    <xf numFmtId="0" fontId="2" fillId="0" borderId="0" xfId="6" applyFont="1"/>
    <xf numFmtId="0" fontId="20" fillId="0" borderId="3" xfId="6" applyBorder="1"/>
    <xf numFmtId="168" fontId="2" fillId="0" borderId="3" xfId="8" applyNumberFormat="1" applyFont="1" applyBorder="1" applyAlignment="1">
      <alignment horizontal="center"/>
    </xf>
    <xf numFmtId="0" fontId="10" fillId="0" borderId="0" xfId="7" applyFont="1">
      <protection locked="0"/>
    </xf>
    <xf numFmtId="0" fontId="11" fillId="0" borderId="0" xfId="6" applyFont="1"/>
    <xf numFmtId="0" fontId="11" fillId="0" borderId="0" xfId="6" applyFont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13" fillId="0" borderId="0" xfId="6" applyFont="1" applyAlignment="1">
      <alignment horizontal="right"/>
    </xf>
    <xf numFmtId="0" fontId="16" fillId="5" borderId="0" xfId="6" applyFont="1" applyFill="1"/>
    <xf numFmtId="0" fontId="17" fillId="5" borderId="0" xfId="6" applyFont="1" applyFill="1"/>
    <xf numFmtId="0" fontId="2" fillId="2" borderId="3" xfId="6" applyFont="1" applyFill="1" applyBorder="1"/>
    <xf numFmtId="0" fontId="20" fillId="6" borderId="3" xfId="6" applyFill="1" applyBorder="1"/>
    <xf numFmtId="0" fontId="2" fillId="2" borderId="4" xfId="6" applyFont="1" applyFill="1" applyBorder="1" applyAlignment="1">
      <alignment horizontal="center"/>
    </xf>
    <xf numFmtId="0" fontId="2" fillId="2" borderId="3" xfId="6" applyFont="1" applyFill="1" applyBorder="1" applyAlignment="1">
      <alignment horizontal="center"/>
    </xf>
    <xf numFmtId="0" fontId="8" fillId="0" borderId="0" xfId="7" applyFont="1" applyProtection="1"/>
    <xf numFmtId="0" fontId="4" fillId="0" borderId="0" xfId="7" applyProtection="1"/>
    <xf numFmtId="0" fontId="1" fillId="0" borderId="0" xfId="6" applyFont="1" applyAlignment="1">
      <alignment vertical="center" wrapText="1"/>
    </xf>
    <xf numFmtId="0" fontId="18" fillId="5" borderId="0" xfId="6" applyFont="1" applyFill="1" applyAlignment="1">
      <alignment horizontal="center" vertical="center" wrapText="1"/>
    </xf>
    <xf numFmtId="0" fontId="18" fillId="7" borderId="0" xfId="6" applyFont="1" applyFill="1" applyAlignment="1">
      <alignment horizontal="center" vertical="center" wrapText="1"/>
    </xf>
    <xf numFmtId="0" fontId="20" fillId="0" borderId="0" xfId="6" applyAlignment="1">
      <alignment wrapText="1"/>
    </xf>
    <xf numFmtId="0" fontId="3" fillId="0" borderId="0" xfId="6" applyFont="1" applyAlignment="1">
      <alignment wrapText="1"/>
    </xf>
    <xf numFmtId="168" fontId="2" fillId="0" borderId="0" xfId="8" applyNumberFormat="1" applyFont="1" applyBorder="1" applyAlignment="1">
      <alignment horizontal="center"/>
    </xf>
    <xf numFmtId="0" fontId="2" fillId="0" borderId="0" xfId="6" applyFont="1" applyAlignment="1">
      <alignment horizontal="left" indent="1"/>
    </xf>
    <xf numFmtId="0" fontId="2" fillId="0" borderId="3" xfId="6" applyFont="1" applyBorder="1" applyAlignment="1">
      <alignment horizontal="left" indent="1"/>
    </xf>
    <xf numFmtId="0" fontId="14" fillId="0" borderId="3" xfId="6" applyFont="1" applyBorder="1" applyAlignment="1">
      <alignment horizontal="left" indent="1"/>
    </xf>
    <xf numFmtId="0" fontId="0" fillId="0" borderId="3" xfId="0" applyBorder="1" applyAlignment="1">
      <alignment horizontal="center"/>
    </xf>
    <xf numFmtId="0" fontId="7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3" xfId="0" applyBorder="1" applyAlignment="1" applyProtection="1">
      <alignment horizontal="left" indent="1"/>
      <protection locked="0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2" fillId="8" borderId="5" xfId="0" applyFont="1" applyFill="1" applyBorder="1"/>
    <xf numFmtId="0" fontId="2" fillId="8" borderId="6" xfId="0" applyFont="1" applyFill="1" applyBorder="1"/>
    <xf numFmtId="0" fontId="9" fillId="0" borderId="3" xfId="6" applyFont="1" applyBorder="1" applyAlignment="1">
      <alignment horizontal="left" indent="1"/>
    </xf>
    <xf numFmtId="0" fontId="12" fillId="0" borderId="3" xfId="6" applyFont="1" applyBorder="1" applyAlignment="1">
      <alignment horizontal="left" indent="1"/>
    </xf>
    <xf numFmtId="0" fontId="18" fillId="3" borderId="7" xfId="0" applyFont="1" applyFill="1" applyBorder="1"/>
    <xf numFmtId="0" fontId="18" fillId="3" borderId="7" xfId="0" applyFont="1" applyFill="1" applyBorder="1" applyAlignment="1">
      <alignment horizontal="center"/>
    </xf>
    <xf numFmtId="0" fontId="0" fillId="8" borderId="3" xfId="0" applyFill="1" applyBorder="1" applyAlignment="1" applyProtection="1">
      <alignment horizontal="left" indent="1"/>
      <protection locked="0"/>
    </xf>
    <xf numFmtId="0" fontId="20" fillId="0" borderId="0" xfId="6" applyAlignment="1">
      <alignment vertical="top" wrapText="1"/>
    </xf>
    <xf numFmtId="0" fontId="5" fillId="8" borderId="2" xfId="7" applyFont="1" applyFill="1" applyBorder="1" applyAlignment="1" applyProtection="1">
      <alignment horizontal="center" vertical="top" wrapText="1"/>
    </xf>
    <xf numFmtId="0" fontId="3" fillId="0" borderId="5" xfId="7" applyFont="1" applyBorder="1" applyAlignment="1" applyProtection="1">
      <alignment vertical="top" wrapText="1"/>
    </xf>
    <xf numFmtId="0" fontId="3" fillId="0" borderId="2" xfId="7" applyFont="1" applyBorder="1" applyAlignment="1" applyProtection="1">
      <alignment horizontal="center" vertical="top" wrapText="1"/>
    </xf>
    <xf numFmtId="0" fontId="3" fillId="0" borderId="2" xfId="7" applyFont="1" applyBorder="1" applyAlignment="1" applyProtection="1">
      <alignment horizontal="left" vertical="top" wrapText="1"/>
    </xf>
    <xf numFmtId="0" fontId="6" fillId="0" borderId="3" xfId="7" applyFont="1" applyBorder="1" applyAlignment="1" applyProtection="1">
      <alignment horizontal="center" vertical="top" wrapText="1"/>
    </xf>
    <xf numFmtId="0" fontId="3" fillId="0" borderId="3" xfId="7" applyFont="1" applyBorder="1" applyAlignment="1" applyProtection="1">
      <alignment horizontal="left" vertical="top" wrapText="1"/>
    </xf>
    <xf numFmtId="0" fontId="3" fillId="0" borderId="1" xfId="7" applyFont="1" applyBorder="1" applyAlignment="1" applyProtection="1">
      <alignment horizontal="left" vertical="top" wrapText="1"/>
    </xf>
    <xf numFmtId="0" fontId="3" fillId="9" borderId="1" xfId="7" applyFont="1" applyFill="1" applyBorder="1" applyAlignment="1">
      <alignment horizontal="center" vertical="top" wrapText="1"/>
      <protection locked="0"/>
    </xf>
    <xf numFmtId="0" fontId="3" fillId="0" borderId="1" xfId="7" applyFont="1" applyBorder="1" applyAlignment="1">
      <alignment horizontal="left" vertical="top"/>
      <protection locked="0"/>
    </xf>
    <xf numFmtId="0" fontId="3" fillId="0" borderId="1" xfId="7" applyFont="1" applyBorder="1" applyAlignment="1">
      <alignment horizontal="center" vertical="top" wrapText="1"/>
      <protection locked="0"/>
    </xf>
    <xf numFmtId="0" fontId="3" fillId="0" borderId="1" xfId="7" applyFont="1" applyBorder="1" applyAlignment="1" applyProtection="1">
      <alignment horizontal="center" vertical="top" wrapText="1"/>
    </xf>
    <xf numFmtId="0" fontId="13" fillId="0" borderId="0" xfId="6" applyFont="1"/>
    <xf numFmtId="0" fontId="20" fillId="0" borderId="8" xfId="6" applyBorder="1" applyAlignment="1">
      <alignment vertical="top" wrapText="1"/>
    </xf>
    <xf numFmtId="0" fontId="20" fillId="0" borderId="0" xfId="6" applyAlignment="1">
      <alignment horizontal="left" vertical="top" wrapText="1"/>
    </xf>
    <xf numFmtId="0" fontId="20" fillId="0" borderId="9" xfId="6" applyBorder="1" applyAlignment="1">
      <alignment vertical="top" wrapText="1"/>
    </xf>
    <xf numFmtId="0" fontId="5" fillId="8" borderId="3" xfId="7" applyFont="1" applyFill="1" applyBorder="1" applyAlignment="1" applyProtection="1">
      <alignment horizontal="center" vertical="top" wrapText="1"/>
    </xf>
    <xf numFmtId="0" fontId="3" fillId="0" borderId="3" xfId="7" applyFont="1" applyBorder="1" applyAlignment="1" applyProtection="1">
      <alignment horizontal="center" vertical="top" wrapText="1"/>
    </xf>
    <xf numFmtId="0" fontId="3" fillId="9" borderId="3" xfId="7" applyFont="1" applyFill="1" applyBorder="1" applyAlignment="1">
      <alignment horizontal="center" vertical="top" wrapText="1"/>
      <protection locked="0"/>
    </xf>
    <xf numFmtId="0" fontId="3" fillId="0" borderId="3" xfId="7" applyFont="1" applyBorder="1" applyAlignment="1">
      <alignment horizontal="left" vertical="top"/>
      <protection locked="0"/>
    </xf>
    <xf numFmtId="0" fontId="3" fillId="0" borderId="3" xfId="7" applyFont="1" applyBorder="1" applyAlignment="1">
      <alignment horizontal="center" vertical="top" wrapText="1"/>
      <protection locked="0"/>
    </xf>
    <xf numFmtId="0" fontId="7" fillId="4" borderId="0" xfId="0" applyFont="1" applyFill="1" applyAlignment="1">
      <alignment horizontal="right" vertical="center"/>
    </xf>
    <xf numFmtId="0" fontId="2" fillId="2" borderId="3" xfId="6" applyFont="1" applyFill="1" applyBorder="1" applyAlignment="1">
      <alignment horizontal="center"/>
    </xf>
    <xf numFmtId="0" fontId="18" fillId="3" borderId="0" xfId="0" applyFont="1" applyFill="1" applyAlignment="1">
      <alignment horizontal="left" inden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2">
    <cellStyle name="Comma" xfId="4" xr:uid="{00000000-0005-0000-0000-000000000000}"/>
    <cellStyle name="Comma [0]" xfId="5" xr:uid="{00000000-0005-0000-0000-000001000000}"/>
    <cellStyle name="Comma 2" xfId="8" xr:uid="{00000000-0005-0000-0000-000002000000}"/>
    <cellStyle name="Comma 2 2" xfId="9" xr:uid="{00000000-0005-0000-0000-000003000000}"/>
    <cellStyle name="Comma 2 3" xfId="10" xr:uid="{00000000-0005-0000-0000-000004000000}"/>
    <cellStyle name="Comma 3" xfId="11" xr:uid="{00000000-0005-0000-0000-000005000000}"/>
    <cellStyle name="Comma 3 2" xfId="12" xr:uid="{00000000-0005-0000-0000-000006000000}"/>
    <cellStyle name="Comma 4" xfId="13" xr:uid="{00000000-0005-0000-0000-000007000000}"/>
    <cellStyle name="Comma 5" xfId="14" xr:uid="{00000000-0005-0000-0000-000008000000}"/>
    <cellStyle name="Comma 6" xfId="15" xr:uid="{00000000-0005-0000-0000-000009000000}"/>
    <cellStyle name="Comma 7" xfId="16" xr:uid="{00000000-0005-0000-0000-00000A000000}"/>
    <cellStyle name="Currency" xfId="2" xr:uid="{00000000-0005-0000-0000-00000B000000}"/>
    <cellStyle name="Currency [0]" xfId="3" xr:uid="{00000000-0005-0000-0000-00000C000000}"/>
    <cellStyle name="Normal" xfId="0" builtinId="0"/>
    <cellStyle name="Normal 10" xfId="17" xr:uid="{00000000-0005-0000-0000-00000E000000}"/>
    <cellStyle name="Normal 11" xfId="18" xr:uid="{00000000-0005-0000-0000-00000F000000}"/>
    <cellStyle name="Normal 2" xfId="7" xr:uid="{00000000-0005-0000-0000-000010000000}"/>
    <cellStyle name="Normal 2 2" xfId="19" xr:uid="{00000000-0005-0000-0000-000011000000}"/>
    <cellStyle name="Normal 2 3" xfId="20" xr:uid="{00000000-0005-0000-0000-000012000000}"/>
    <cellStyle name="Normal 3" xfId="6" xr:uid="{00000000-0005-0000-0000-000013000000}"/>
    <cellStyle name="Normal 3 2" xfId="21" xr:uid="{00000000-0005-0000-0000-000014000000}"/>
    <cellStyle name="Normal 4" xfId="22" xr:uid="{00000000-0005-0000-0000-000015000000}"/>
    <cellStyle name="Normal 5" xfId="23" xr:uid="{00000000-0005-0000-0000-000016000000}"/>
    <cellStyle name="Normal 5 2" xfId="24" xr:uid="{00000000-0005-0000-0000-000017000000}"/>
    <cellStyle name="Normal 6" xfId="25" xr:uid="{00000000-0005-0000-0000-000018000000}"/>
    <cellStyle name="Normal 7" xfId="26" xr:uid="{00000000-0005-0000-0000-000019000000}"/>
    <cellStyle name="Normal 8" xfId="27" xr:uid="{00000000-0005-0000-0000-00001A000000}"/>
    <cellStyle name="Normal 9" xfId="28" xr:uid="{00000000-0005-0000-0000-00001B000000}"/>
    <cellStyle name="Percent" xfId="1" xr:uid="{00000000-0005-0000-0000-00001C000000}"/>
    <cellStyle name="Percent 2" xfId="29" xr:uid="{00000000-0005-0000-0000-00001D000000}"/>
    <cellStyle name="Percent 2 2" xfId="30" xr:uid="{00000000-0005-0000-0000-00001E000000}"/>
    <cellStyle name="Percent 3" xfId="31" xr:uid="{00000000-0005-0000-0000-00001F000000}"/>
  </cellStyles>
  <dxfs count="6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00B050"/>
      </font>
    </dxf>
    <dxf>
      <font>
        <b/>
        <i val="0"/>
        <color theme="7" tint="-0.499923703726310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397"/>
  <ax:ocxPr ax:name="_StockProps" ax:value="0"/>
  <ax:ocxPr ax:name="ServerName" ax:value="=db_name"/>
  <ax:ocxPr ax:name="ProcessName" ax:value="AE_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New Manual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NewAdj01HeaderWB"/>
  <ax:ocxPr ax:name="TargetWorksheetName" ax:value="=TM1NewAdj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397"/>
  <ax:ocxPr ax:name="_StockProps" ax:value="0"/>
  <ax:ocxPr ax:name="ServerName" ax:value="=db_name"/>
  <ax:ocxPr ax:name="ProcessName" ax:value="AE_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New Group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GrpNewAdj01HeaderWB"/>
  <ax:ocxPr ax:name="TargetWorksheetName" ax:value="=TM1GrpNewAdj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91"/>
  <ax:ocxPr ax:name="_ExtentY" ax:value="397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Adj01HeaderWB"/>
  <ax:ocxPr ax:name="TargetWorksheetName" ax:value="=TM1ViewAdj01HeaderWS"/>
  <ax:ocxPr ax:name="AutoTitles" ax:value="-1"/>
  <ax:ocxPr ax:name="ReplaceWindow" ax:value="0"/>
  <ax:ocxPr ax:name="IsMappingFormula" ax:value="0"/>
  <ax:ocxPr ax:name="TargetTypes" ax:value="0"/>
  <ax:ocxPr ax:name="TargetObjects" ax:value="id"/>
  <ax:ocxPr ax:name="TargetSubsets" ax:value=""/>
  <ax:ocxPr ax:name="TargetAliases" ax:value=""/>
  <ax:ocxPr ax:name="TargetValues" ax:value=""/>
  <ax:ocxPr ax:name="SourceTypes" ax:value="1"/>
  <ax:ocxPr ax:name="SourceObjects" ax:value="id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98</xdr:row>
          <xdr:rowOff>0</xdr:rowOff>
        </xdr:from>
        <xdr:to>
          <xdr:col>10</xdr:col>
          <xdr:colOff>0</xdr:colOff>
          <xdr:row>98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98</xdr:row>
          <xdr:rowOff>0</xdr:rowOff>
        </xdr:from>
        <xdr:to>
          <xdr:col>12</xdr:col>
          <xdr:colOff>57150</xdr:colOff>
          <xdr:row>98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2314575</xdr:colOff>
          <xdr:row>98</xdr:row>
          <xdr:rowOff>0</xdr:rowOff>
        </xdr:from>
        <xdr:to>
          <xdr:col>13</xdr:col>
          <xdr:colOff>3095625</xdr:colOff>
          <xdr:row>98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96</xdr:row>
      <xdr:rowOff>19050</xdr:rowOff>
    </xdr:from>
    <xdr:to>
      <xdr:col>11</xdr:col>
      <xdr:colOff>1066800</xdr:colOff>
      <xdr:row>97</xdr:row>
      <xdr:rowOff>19050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809750" cy="457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98</xdr:row>
          <xdr:rowOff>0</xdr:rowOff>
        </xdr:from>
        <xdr:to>
          <xdr:col>12</xdr:col>
          <xdr:colOff>1266825</xdr:colOff>
          <xdr:row>98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1295400</xdr:colOff>
          <xdr:row>98</xdr:row>
          <xdr:rowOff>0</xdr:rowOff>
        </xdr:from>
        <xdr:to>
          <xdr:col>12</xdr:col>
          <xdr:colOff>2419350</xdr:colOff>
          <xdr:row>98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495300</xdr:colOff>
          <xdr:row>98</xdr:row>
          <xdr:rowOff>0</xdr:rowOff>
        </xdr:from>
        <xdr:to>
          <xdr:col>13</xdr:col>
          <xdr:colOff>1390650</xdr:colOff>
          <xdr:row>98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1428750</xdr:colOff>
          <xdr:row>98</xdr:row>
          <xdr:rowOff>0</xdr:rowOff>
        </xdr:from>
        <xdr:to>
          <xdr:col>13</xdr:col>
          <xdr:colOff>2286000</xdr:colOff>
          <xdr:row>98</xdr:row>
          <xdr:rowOff>247650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2447925</xdr:colOff>
          <xdr:row>98</xdr:row>
          <xdr:rowOff>0</xdr:rowOff>
        </xdr:from>
        <xdr:to>
          <xdr:col>13</xdr:col>
          <xdr:colOff>466725</xdr:colOff>
          <xdr:row>98</xdr:row>
          <xdr:rowOff>247650</xdr:rowOff>
        </xdr:to>
        <xdr:sp macro="" textlink="">
          <xdr:nvSpPr>
            <xdr:cNvPr id="1032" name="TIButton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1695450</xdr:colOff>
          <xdr:row>97</xdr:row>
          <xdr:rowOff>38100</xdr:rowOff>
        </xdr:from>
        <xdr:to>
          <xdr:col>16</xdr:col>
          <xdr:colOff>2009775</xdr:colOff>
          <xdr:row>99</xdr:row>
          <xdr:rowOff>0</xdr:rowOff>
        </xdr:to>
        <xdr:sp macro="" textlink="">
          <xdr:nvSpPr>
            <xdr:cNvPr id="1033" name="TIButton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howOutlineSymbols="0"/>
    <pageSetUpPr fitToPage="1"/>
  </sheetPr>
  <dimension ref="A1:Z115"/>
  <sheetViews>
    <sheetView showGridLines="0" showRowColHeaders="0" tabSelected="1" showOutlineSymbols="0" topLeftCell="A97" workbookViewId="0">
      <pane ySplit="18" topLeftCell="A115" activePane="bottomLeft" state="frozen"/>
      <selection activeCell="I97" sqref="I97"/>
      <selection pane="bottomLeft" activeCell="M97" sqref="M97"/>
    </sheetView>
  </sheetViews>
  <sheetFormatPr defaultColWidth="9.140625" defaultRowHeight="15" customHeight="1" outlineLevelRow="1" outlineLevelCol="1" x14ac:dyDescent="0.25"/>
  <cols>
    <col min="1" max="1" width="2.7109375" style="1" hidden="1" customWidth="1" outlineLevel="1"/>
    <col min="2" max="2" width="35.28515625" style="1" hidden="1" customWidth="1" outlineLevel="1"/>
    <col min="3" max="3" width="29.85546875" style="1" hidden="1" customWidth="1" outlineLevel="1"/>
    <col min="4" max="4" width="24.140625" style="1" hidden="1" customWidth="1" outlineLevel="1"/>
    <col min="5" max="5" width="15" style="1" hidden="1" customWidth="1" outlineLevel="1"/>
    <col min="6" max="6" width="38" style="1" hidden="1" customWidth="1" outlineLevel="1"/>
    <col min="7" max="7" width="14.5703125" style="1" hidden="1" customWidth="1" outlineLevel="1"/>
    <col min="8" max="8" width="17.28515625" style="1" hidden="1" customWidth="1" outlineLevel="1"/>
    <col min="9" max="9" width="0.85546875" style="1" customWidth="1" collapsed="1"/>
    <col min="10" max="10" width="9.7109375" style="1" customWidth="1"/>
    <col min="11" max="11" width="0.85546875" style="1" customWidth="1"/>
    <col min="12" max="12" width="16.5703125" style="1" customWidth="1"/>
    <col min="13" max="13" width="40.7109375" style="1" customWidth="1"/>
    <col min="14" max="14" width="50.7109375" style="1" customWidth="1"/>
    <col min="15" max="15" width="15.7109375" style="1" customWidth="1"/>
    <col min="16" max="16" width="40.7109375" style="1" customWidth="1"/>
    <col min="17" max="17" width="30.7109375" style="1" customWidth="1"/>
    <col min="18" max="18" width="15.7109375" style="1" customWidth="1"/>
    <col min="19" max="19" width="45.7109375" style="1" customWidth="1"/>
    <col min="20" max="23" width="15.7109375" style="1" customWidth="1"/>
    <col min="24" max="24" width="17.7109375" style="1" customWidth="1"/>
    <col min="25" max="25" width="15.7109375" style="1" customWidth="1"/>
    <col min="26" max="16384" width="9.140625" style="1"/>
  </cols>
  <sheetData>
    <row r="1" spans="1:25" ht="15" hidden="1" customHeight="1" outlineLevel="1" x14ac:dyDescent="0.25">
      <c r="A1" s="1" t="s">
        <v>132</v>
      </c>
    </row>
    <row r="2" spans="1:25" s="22" customFormat="1" ht="15" hidden="1" customHeight="1" outlineLevel="1" x14ac:dyDescent="0.25">
      <c r="A2" s="22">
        <f>0</f>
        <v>0</v>
      </c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s="22" customFormat="1" ht="15" hidden="1" customHeight="1" outlineLevel="1" x14ac:dyDescent="0.25">
      <c r="A3" s="22">
        <f>1</f>
        <v>1</v>
      </c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s="22" customFormat="1" ht="15" hidden="1" customHeight="1" outlineLevel="1" x14ac:dyDescent="0.25">
      <c r="A4" s="22">
        <f>2</f>
        <v>2</v>
      </c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s="22" customFormat="1" ht="15" hidden="1" customHeight="1" outlineLevel="1" x14ac:dyDescent="0.25">
      <c r="A5" s="22">
        <f>3</f>
        <v>3</v>
      </c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s="22" customFormat="1" ht="15" hidden="1" customHeight="1" outlineLevel="1" x14ac:dyDescent="0.25">
      <c r="A6" s="22" t="s">
        <v>69</v>
      </c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s="41" customFormat="1" ht="15" hidden="1" customHeight="1" outlineLevel="1" x14ac:dyDescent="0.25">
      <c r="A7" s="41" t="s">
        <v>131</v>
      </c>
      <c r="J7" s="42"/>
      <c r="K7" s="43"/>
      <c r="L7" s="44"/>
      <c r="M7" s="45"/>
      <c r="N7" s="45"/>
      <c r="O7" s="46"/>
      <c r="P7" s="47"/>
      <c r="Q7" s="48"/>
      <c r="R7" s="49"/>
      <c r="S7" s="50"/>
      <c r="T7" s="51"/>
      <c r="U7" s="51"/>
      <c r="V7" s="52"/>
      <c r="W7" s="52"/>
      <c r="X7" s="52"/>
      <c r="Y7" s="52"/>
    </row>
    <row r="8" spans="1:25" ht="15" hidden="1" customHeight="1" outlineLevel="1" x14ac:dyDescent="0.25">
      <c r="A8" s="1" t="s">
        <v>67</v>
      </c>
    </row>
    <row r="9" spans="1:25" ht="15" hidden="1" customHeight="1" outlineLevel="1" x14ac:dyDescent="0.25">
      <c r="G9" s="2"/>
      <c r="H9" s="2"/>
    </row>
    <row r="10" spans="1:25" ht="15" hidden="1" customHeight="1" outlineLevel="1" x14ac:dyDescent="0.25">
      <c r="G10" s="2"/>
      <c r="H10" s="2"/>
    </row>
    <row r="11" spans="1:25" ht="15" hidden="1" customHeight="1" outlineLevel="1" x14ac:dyDescent="0.25">
      <c r="B11" s="65" t="s">
        <v>64</v>
      </c>
      <c r="C11" s="66"/>
    </row>
    <row r="12" spans="1:25" ht="15" hidden="1" customHeight="1" outlineLevel="1" x14ac:dyDescent="0.25">
      <c r="B12" s="8" t="s">
        <v>58</v>
      </c>
      <c r="C12" s="9" t="s">
        <v>133</v>
      </c>
    </row>
    <row r="13" spans="1:25" ht="15" hidden="1" customHeight="1" outlineLevel="1" x14ac:dyDescent="0.25">
      <c r="B13" s="3" t="s">
        <v>66</v>
      </c>
      <c r="C13" s="9" t="e">
        <f ca="1">_xll.VIEW((db_name&amp;":}ElementAttributes_}Clients"),"!","!")</f>
        <v>#NAME?</v>
      </c>
    </row>
    <row r="14" spans="1:25" ht="15" hidden="1" customHeight="1" outlineLevel="1" x14ac:dyDescent="0.25">
      <c r="B14" s="8" t="s">
        <v>130</v>
      </c>
      <c r="C14" s="28" t="e">
        <f ca="1">_xll.TM1USER(db_name)</f>
        <v>#NAME?</v>
      </c>
    </row>
    <row r="15" spans="1:25" ht="15" hidden="1" customHeight="1" outlineLevel="1" x14ac:dyDescent="0.25">
      <c r="B15" s="8" t="s">
        <v>50</v>
      </c>
      <c r="C15" s="28" t="e">
        <f ca="1">_xll.DBR($C$13,$C$14,$B15)</f>
        <v>#NAME?</v>
      </c>
    </row>
    <row r="16" spans="1:25" ht="15" hidden="1" customHeight="1" outlineLevel="1" x14ac:dyDescent="0.25">
      <c r="B16" s="8" t="s">
        <v>56</v>
      </c>
      <c r="C16" s="28" t="e">
        <f ca="1">_xll.DBR($C$13,$C$14,$B16)</f>
        <v>#NAME?</v>
      </c>
    </row>
    <row r="17" spans="2:8" ht="15" hidden="1" customHeight="1" outlineLevel="1" x14ac:dyDescent="0.25">
      <c r="B17" s="8" t="s">
        <v>48</v>
      </c>
      <c r="C17" s="28" t="e">
        <f ca="1">IF((LEFT($C$15,6)="CAM_AD"),$C$16,$C$15)</f>
        <v>#NAME?</v>
      </c>
    </row>
    <row r="18" spans="2:8" ht="15" hidden="1" customHeight="1" outlineLevel="1" x14ac:dyDescent="0.25"/>
    <row r="19" spans="2:8" ht="15" hidden="1" customHeight="1" outlineLevel="1" x14ac:dyDescent="0.25">
      <c r="B19" s="65" t="s">
        <v>129</v>
      </c>
      <c r="C19" s="66"/>
    </row>
    <row r="20" spans="2:8" ht="15" hidden="1" customHeight="1" outlineLevel="1" x14ac:dyDescent="0.25">
      <c r="B20" s="9" t="s">
        <v>128</v>
      </c>
      <c r="C20" s="9" t="e">
        <f ca="1">_xll.VIEW((db_name&amp;":sys_Application"),"!","!")</f>
        <v>#NAME?</v>
      </c>
    </row>
    <row r="21" spans="2:8" ht="15" hidden="1" customHeight="1" outlineLevel="1" x14ac:dyDescent="0.25">
      <c r="B21" s="9" t="s">
        <v>127</v>
      </c>
      <c r="C21" s="3" t="s">
        <v>126</v>
      </c>
    </row>
    <row r="22" spans="2:8" ht="15" hidden="1" customHeight="1" outlineLevel="1" x14ac:dyDescent="0.25">
      <c r="B22" s="34" t="s">
        <v>125</v>
      </c>
      <c r="C22" s="35" t="s">
        <v>124</v>
      </c>
      <c r="D22" s="35" t="s">
        <v>123</v>
      </c>
      <c r="E22" s="35" t="s">
        <v>122</v>
      </c>
      <c r="F22" s="35" t="s">
        <v>121</v>
      </c>
      <c r="G22" s="35" t="s">
        <v>120</v>
      </c>
      <c r="H22" s="35" t="s">
        <v>119</v>
      </c>
    </row>
    <row r="23" spans="2:8" ht="15" hidden="1" customHeight="1" outlineLevel="1" x14ac:dyDescent="0.25">
      <c r="B23" s="9" t="s">
        <v>118</v>
      </c>
      <c r="C23" s="9" t="e">
        <f ca="1">_xll.DBR($C$20,$B23,C$22)</f>
        <v>#NAME?</v>
      </c>
      <c r="D23" s="9" t="e">
        <f ca="1">_xll.DBR($C$20,$B23,D$22)</f>
        <v>#NAME?</v>
      </c>
      <c r="E23" s="9" t="e">
        <f ca="1">_xll.DBR($C$20,$B23,E$22)</f>
        <v>#NAME?</v>
      </c>
      <c r="F23" s="9" t="e">
        <f ca="1">_xll.DBR($C$20,$B23,F$22)</f>
        <v>#NAME?</v>
      </c>
      <c r="G23" s="9" t="e">
        <f ca="1">_xll.DBR($C$20,$B23,G$22)</f>
        <v>#NAME?</v>
      </c>
      <c r="H23" s="9" t="e">
        <f ca="1">_xll.DBR($C$20,$B23,H$22)</f>
        <v>#NAME?</v>
      </c>
    </row>
    <row r="24" spans="2:8" ht="15" hidden="1" customHeight="1" outlineLevel="1" x14ac:dyDescent="0.25">
      <c r="B24" s="9" t="s">
        <v>117</v>
      </c>
      <c r="C24" s="9" t="e">
        <f ca="1">_xll.DBR($C$20,$B24,C$22)</f>
        <v>#NAME?</v>
      </c>
      <c r="D24" s="9" t="e">
        <f ca="1">_xll.DBR($C$20,$B24,D$22)</f>
        <v>#NAME?</v>
      </c>
      <c r="E24" s="9" t="e">
        <f ca="1">_xll.DBR($C$20,$B24,E$22)</f>
        <v>#NAME?</v>
      </c>
      <c r="F24" s="9" t="e">
        <f ca="1">_xll.DBR($C$20,$B24,F$22)</f>
        <v>#NAME?</v>
      </c>
      <c r="G24" s="9" t="e">
        <f ca="1">_xll.DBR($C$20,$B24,G$22)</f>
        <v>#NAME?</v>
      </c>
      <c r="H24" s="9" t="e">
        <f ca="1">_xll.DBR($C$20,$B24,H$22)</f>
        <v>#NAME?</v>
      </c>
    </row>
    <row r="25" spans="2:8" ht="15" hidden="1" customHeight="1" outlineLevel="1" x14ac:dyDescent="0.25">
      <c r="B25" s="9" t="s">
        <v>116</v>
      </c>
      <c r="C25" s="9" t="e">
        <f ca="1">_xll.DBR($C$20,$B25,C$22)</f>
        <v>#NAME?</v>
      </c>
      <c r="D25" s="9" t="e">
        <f ca="1">_xll.DBR($C$20,$B25,D$22)</f>
        <v>#NAME?</v>
      </c>
      <c r="E25" s="9" t="e">
        <f ca="1">_xll.DBR($C$20,$B25,E$22)</f>
        <v>#NAME?</v>
      </c>
      <c r="F25" s="9" t="e">
        <f ca="1">_xll.DBR($C$20,$B25,F$22)</f>
        <v>#NAME?</v>
      </c>
      <c r="G25" s="9" t="e">
        <f ca="1">_xll.DBR($C$20,$B25,G$22)</f>
        <v>#NAME?</v>
      </c>
      <c r="H25" s="9" t="e">
        <f ca="1">_xll.DBR($C$20,$B25,H$22)</f>
        <v>#NAME?</v>
      </c>
    </row>
    <row r="26" spans="2:8" ht="15" hidden="1" customHeight="1" outlineLevel="1" x14ac:dyDescent="0.25">
      <c r="B26" s="9" t="s">
        <v>115</v>
      </c>
      <c r="C26" s="9" t="e">
        <f ca="1">_xll.DBR($C$20,$B26,C$22)</f>
        <v>#NAME?</v>
      </c>
      <c r="D26" s="9" t="e">
        <f ca="1">_xll.DBR($C$20,$B26,D$22)</f>
        <v>#NAME?</v>
      </c>
      <c r="E26" s="9" t="e">
        <f ca="1">_xll.DBR($C$20,$B26,E$22)</f>
        <v>#NAME?</v>
      </c>
      <c r="F26" s="9" t="e">
        <f ca="1">_xll.DBR($C$20,$B26,F$22)</f>
        <v>#NAME?</v>
      </c>
      <c r="G26" s="9" t="e">
        <f ca="1">_xll.DBR($C$20,$B26,G$22)</f>
        <v>#NAME?</v>
      </c>
      <c r="H26" s="9" t="e">
        <f ca="1">_xll.DBR($C$20,$B26,H$22)</f>
        <v>#NAME?</v>
      </c>
    </row>
    <row r="27" spans="2:8" ht="15" hidden="1" customHeight="1" outlineLevel="1" x14ac:dyDescent="0.25">
      <c r="B27" s="9" t="s">
        <v>114</v>
      </c>
      <c r="C27" s="9" t="e">
        <f ca="1">_xll.DBR($C$20,$B27,C$22)</f>
        <v>#NAME?</v>
      </c>
      <c r="D27" s="9" t="e">
        <f ca="1">_xll.DBR($C$20,$B27,D$22)</f>
        <v>#NAME?</v>
      </c>
      <c r="E27" s="9" t="e">
        <f ca="1">_xll.DBR($C$20,$B27,E$22)</f>
        <v>#NAME?</v>
      </c>
      <c r="F27" s="9" t="e">
        <f ca="1">_xll.DBR($C$20,$B27,F$22)</f>
        <v>#NAME?</v>
      </c>
      <c r="G27" s="9" t="e">
        <f ca="1">_xll.DBR($C$20,$B27,G$22)</f>
        <v>#NAME?</v>
      </c>
      <c r="H27" s="9" t="e">
        <f ca="1">_xll.DBR($C$20,$B27,H$22)</f>
        <v>#NAME?</v>
      </c>
    </row>
    <row r="28" spans="2:8" ht="15" hidden="1" customHeight="1" outlineLevel="1" x14ac:dyDescent="0.25">
      <c r="B28" s="9" t="s">
        <v>113</v>
      </c>
      <c r="C28" s="9" t="e">
        <f ca="1">_xll.DBR($C$20,$B28,C$22)</f>
        <v>#NAME?</v>
      </c>
      <c r="D28" s="9" t="e">
        <f ca="1">_xll.DBR($C$20,$B28,D$22)</f>
        <v>#NAME?</v>
      </c>
      <c r="E28" s="9" t="e">
        <f ca="1">_xll.DBR($C$20,$B28,E$22)</f>
        <v>#NAME?</v>
      </c>
      <c r="F28" s="9" t="e">
        <f ca="1">_xll.DBR($C$20,$B28,F$22)</f>
        <v>#NAME?</v>
      </c>
      <c r="G28" s="9" t="e">
        <f ca="1">_xll.DBR($C$20,$B28,G$22)</f>
        <v>#NAME?</v>
      </c>
      <c r="H28" s="9" t="e">
        <f ca="1">_xll.DBR($C$20,$B28,H$22)</f>
        <v>#NAME?</v>
      </c>
    </row>
    <row r="29" spans="2:8" ht="15" hidden="1" customHeight="1" outlineLevel="1" x14ac:dyDescent="0.25">
      <c r="B29" s="3" t="s">
        <v>112</v>
      </c>
      <c r="C29" s="9" t="e">
        <f ca="1">_xll.DBR($C$20,$B29,C$22)</f>
        <v>#NAME?</v>
      </c>
      <c r="D29" s="9" t="e">
        <f ca="1">_xll.DBR($C$20,$B29,D$22)</f>
        <v>#NAME?</v>
      </c>
      <c r="E29" s="9" t="e">
        <f ca="1">_xll.DBR($C$20,$B29,E$22)</f>
        <v>#NAME?</v>
      </c>
      <c r="F29" s="9" t="e">
        <f ca="1">_xll.DBR($C$20,$B29,F$22)</f>
        <v>#NAME?</v>
      </c>
      <c r="G29" s="9" t="e">
        <f ca="1">_xll.DBR($C$20,$B29,G$22)</f>
        <v>#NAME?</v>
      </c>
      <c r="H29" s="9" t="e">
        <f ca="1">_xll.DBR($C$20,$B29,H$22)</f>
        <v>#NAME?</v>
      </c>
    </row>
    <row r="30" spans="2:8" ht="15" hidden="1" customHeight="1" outlineLevel="1" x14ac:dyDescent="0.25">
      <c r="B30" s="3" t="s">
        <v>111</v>
      </c>
      <c r="C30" s="9" t="e">
        <f ca="1">_xll.DBR($C$20,$B30,C$22)</f>
        <v>#NAME?</v>
      </c>
      <c r="D30" s="9" t="e">
        <f ca="1">_xll.DBR($C$20,$B30,D$22)</f>
        <v>#NAME?</v>
      </c>
      <c r="E30" s="9" t="e">
        <f ca="1">_xll.DBR($C$20,$B30,E$22)</f>
        <v>#NAME?</v>
      </c>
      <c r="F30" s="9" t="e">
        <f ca="1">_xll.DBR($C$20,$B30,F$22)</f>
        <v>#NAME?</v>
      </c>
      <c r="G30" s="9" t="e">
        <f ca="1">_xll.DBR($C$20,$B30,G$22)</f>
        <v>#NAME?</v>
      </c>
      <c r="H30" s="9" t="e">
        <f ca="1">_xll.DBR($C$20,$B30,H$22)</f>
        <v>#NAME?</v>
      </c>
    </row>
    <row r="31" spans="2:8" ht="15" hidden="1" customHeight="1" outlineLevel="1" x14ac:dyDescent="0.25">
      <c r="B31" s="3" t="s">
        <v>110</v>
      </c>
      <c r="C31" s="9" t="e">
        <f ca="1">_xll.DBR($C$20,$B31,C$22)</f>
        <v>#NAME?</v>
      </c>
      <c r="D31" s="9" t="e">
        <f ca="1">_xll.DBR($C$20,$B31,D$22)</f>
        <v>#NAME?</v>
      </c>
      <c r="E31" s="9" t="e">
        <f ca="1">_xll.DBR($C$20,$B31,E$22)</f>
        <v>#NAME?</v>
      </c>
      <c r="F31" s="9" t="e">
        <f ca="1">_xll.DBR($C$20,$B31,F$22)</f>
        <v>#NAME?</v>
      </c>
      <c r="G31" s="9" t="e">
        <f ca="1">_xll.DBR($C$20,$B31,G$22)</f>
        <v>#NAME?</v>
      </c>
      <c r="H31" s="9" t="e">
        <f ca="1">_xll.DBR($C$20,$B31,H$22)</f>
        <v>#NAME?</v>
      </c>
    </row>
    <row r="32" spans="2:8" ht="15" hidden="1" customHeight="1" outlineLevel="1" x14ac:dyDescent="0.25"/>
    <row r="33" spans="2:3" ht="15" hidden="1" customHeight="1" outlineLevel="1" x14ac:dyDescent="0.25">
      <c r="B33" s="65" t="s">
        <v>109</v>
      </c>
      <c r="C33" s="66"/>
    </row>
    <row r="34" spans="2:3" ht="15" hidden="1" customHeight="1" outlineLevel="1" x14ac:dyDescent="0.25">
      <c r="B34" s="8" t="s">
        <v>108</v>
      </c>
      <c r="C34" s="9" t="e">
        <f ca="1">_xll.VIEW((db_name&amp;":}ElementAttributes_variables"),"!","!")</f>
        <v>#NAME?</v>
      </c>
    </row>
    <row r="35" spans="2:3" ht="15" hidden="1" customHeight="1" outlineLevel="1" x14ac:dyDescent="0.25">
      <c r="B35" s="9" t="s">
        <v>107</v>
      </c>
      <c r="C35" s="9" t="e">
        <f ca="1">_xll.DBR($C$34,$B35,"value")</f>
        <v>#NAME?</v>
      </c>
    </row>
    <row r="36" spans="2:3" ht="15" hidden="1" customHeight="1" outlineLevel="1" x14ac:dyDescent="0.25">
      <c r="B36" s="9" t="s">
        <v>106</v>
      </c>
      <c r="C36" s="9" t="e">
        <f ca="1">_xll.DBR($C$34,$B36,"value")</f>
        <v>#NAME?</v>
      </c>
    </row>
    <row r="37" spans="2:3" ht="15" hidden="1" customHeight="1" outlineLevel="1" x14ac:dyDescent="0.25">
      <c r="B37" s="9" t="s">
        <v>105</v>
      </c>
      <c r="C37" s="9" t="e">
        <f ca="1">_xll.DBR($C$34,$B37,"value")</f>
        <v>#NAME?</v>
      </c>
    </row>
    <row r="38" spans="2:3" ht="15" hidden="1" customHeight="1" outlineLevel="1" x14ac:dyDescent="0.25">
      <c r="B38" s="3" t="s">
        <v>70</v>
      </c>
      <c r="C38" s="9" t="e">
        <f ca="1">_xll.DBR($C$34,$B38,"value")</f>
        <v>#NAME?</v>
      </c>
    </row>
    <row r="39" spans="2:3" ht="15" hidden="1" customHeight="1" outlineLevel="1" x14ac:dyDescent="0.25">
      <c r="B39" s="3" t="s">
        <v>104</v>
      </c>
      <c r="C39" s="3" t="e">
        <f ca="1">_xll.DIMIX((db_name&amp;":headline year"),$C$38)</f>
        <v>#NAME?</v>
      </c>
    </row>
    <row r="40" spans="2:3" ht="15" hidden="1" customHeight="1" outlineLevel="1" x14ac:dyDescent="0.25">
      <c r="B40" s="3" t="s">
        <v>68</v>
      </c>
      <c r="C40" s="3" t="e">
        <f ca="1">_xll.DIMIX((db_name&amp;":headline year"),psHLYear)</f>
        <v>#NAME?</v>
      </c>
    </row>
    <row r="41" spans="2:3" ht="15" hidden="1" customHeight="1" outlineLevel="1" x14ac:dyDescent="0.25"/>
    <row r="42" spans="2:3" ht="15" hidden="1" customHeight="1" outlineLevel="1" x14ac:dyDescent="0.25">
      <c r="B42" s="65" t="s">
        <v>65</v>
      </c>
      <c r="C42" s="66"/>
    </row>
    <row r="43" spans="2:3" ht="15" hidden="1" customHeight="1" outlineLevel="1" x14ac:dyDescent="0.25">
      <c r="B43" s="3" t="s">
        <v>103</v>
      </c>
      <c r="C43" s="3" t="e">
        <f ca="1">_xll.TM1RPTVIEW((db_name&amp;":AE id details:2"),1,_xll.TM1RPTTITLE((db_name&amp;":headline year"),$M$105),_xll.TM1RPTTITLE((db_name&amp;":scenario"),$M$106),TM1RPTFMTRNG,TM1RPTFMTIDCOL)</f>
        <v>#NAME?</v>
      </c>
    </row>
    <row r="44" spans="2:3" ht="15" hidden="1" customHeight="1" outlineLevel="1" x14ac:dyDescent="0.25">
      <c r="B44" s="3" t="s">
        <v>102</v>
      </c>
      <c r="C44" s="3" t="e">
        <f ca="1">_xll.VIEW((db_name&amp;":AE id details"),$M$105,$M$106,"!","!")</f>
        <v>#NAME?</v>
      </c>
    </row>
    <row r="45" spans="2:3" ht="15" hidden="1" customHeight="1" outlineLevel="1" x14ac:dyDescent="0.25">
      <c r="B45" s="3" t="s">
        <v>51</v>
      </c>
      <c r="C45" s="3" t="e">
        <f ca="1">($C$17&amp;"_sys_id_list")</f>
        <v>#NAME?</v>
      </c>
    </row>
    <row r="46" spans="2:3" ht="15" hidden="1" customHeight="1" outlineLevel="1" x14ac:dyDescent="0.25"/>
    <row r="47" spans="2:3" ht="15" hidden="1" customHeight="1" outlineLevel="1" x14ac:dyDescent="0.25">
      <c r="B47" s="13" t="s">
        <v>101</v>
      </c>
      <c r="C47" s="13" t="s">
        <v>100</v>
      </c>
    </row>
    <row r="48" spans="2:3" ht="15" hidden="1" customHeight="1" outlineLevel="1" x14ac:dyDescent="0.25">
      <c r="B48" s="3" t="s">
        <v>47</v>
      </c>
      <c r="C48" s="3" t="s">
        <v>99</v>
      </c>
    </row>
    <row r="49" spans="2:5" ht="15" hidden="1" customHeight="1" outlineLevel="1" x14ac:dyDescent="0.25">
      <c r="B49" s="3" t="s">
        <v>98</v>
      </c>
      <c r="C49" s="3" t="s">
        <v>97</v>
      </c>
    </row>
    <row r="50" spans="2:5" ht="15" hidden="1" customHeight="1" outlineLevel="1" x14ac:dyDescent="0.25">
      <c r="B50" s="3" t="s">
        <v>96</v>
      </c>
      <c r="C50" s="3" t="s">
        <v>95</v>
      </c>
    </row>
    <row r="51" spans="2:5" ht="15" hidden="1" customHeight="1" outlineLevel="1" x14ac:dyDescent="0.25">
      <c r="B51" s="3" t="s">
        <v>94</v>
      </c>
      <c r="C51" s="3" t="s">
        <v>93</v>
      </c>
    </row>
    <row r="52" spans="2:5" ht="15" hidden="1" customHeight="1" outlineLevel="1" x14ac:dyDescent="0.25">
      <c r="B52" s="3" t="s">
        <v>92</v>
      </c>
      <c r="C52" s="3" t="s">
        <v>91</v>
      </c>
    </row>
    <row r="53" spans="2:5" ht="15" hidden="1" customHeight="1" outlineLevel="1" x14ac:dyDescent="0.25">
      <c r="B53" s="3" t="s">
        <v>90</v>
      </c>
      <c r="C53" s="3" t="s">
        <v>89</v>
      </c>
    </row>
    <row r="54" spans="2:5" ht="15" hidden="1" customHeight="1" outlineLevel="1" x14ac:dyDescent="0.25">
      <c r="B54" s="3" t="s">
        <v>88</v>
      </c>
      <c r="C54" s="3" t="s">
        <v>87</v>
      </c>
    </row>
    <row r="55" spans="2:5" ht="15" hidden="1" customHeight="1" outlineLevel="1" x14ac:dyDescent="0.25">
      <c r="B55" s="3" t="s">
        <v>86</v>
      </c>
      <c r="C55" s="3" t="s">
        <v>85</v>
      </c>
    </row>
    <row r="56" spans="2:5" ht="15" hidden="1" customHeight="1" outlineLevel="1" x14ac:dyDescent="0.25">
      <c r="B56" s="3" t="s">
        <v>84</v>
      </c>
      <c r="C56" s="3" t="s">
        <v>83</v>
      </c>
    </row>
    <row r="57" spans="2:5" ht="15" hidden="1" customHeight="1" outlineLevel="1" x14ac:dyDescent="0.25">
      <c r="B57" s="3" t="s">
        <v>82</v>
      </c>
      <c r="C57" s="3" t="s">
        <v>81</v>
      </c>
    </row>
    <row r="58" spans="2:5" ht="15" hidden="1" customHeight="1" outlineLevel="1" x14ac:dyDescent="0.25">
      <c r="B58" s="3" t="s">
        <v>80</v>
      </c>
      <c r="C58" s="3" t="s">
        <v>80</v>
      </c>
    </row>
    <row r="59" spans="2:5" ht="15" hidden="1" customHeight="1" outlineLevel="1" x14ac:dyDescent="0.25">
      <c r="B59" s="3" t="s">
        <v>33</v>
      </c>
      <c r="C59" s="3" t="s">
        <v>79</v>
      </c>
    </row>
    <row r="60" spans="2:5" ht="15" hidden="1" customHeight="1" outlineLevel="1" x14ac:dyDescent="0.25">
      <c r="B60" s="3" t="s">
        <v>78</v>
      </c>
      <c r="C60" s="3" t="s">
        <v>77</v>
      </c>
    </row>
    <row r="61" spans="2:5" ht="15" hidden="1" customHeight="1" outlineLevel="1" x14ac:dyDescent="0.25"/>
    <row r="62" spans="2:5" ht="15" hidden="1" customHeight="1" outlineLevel="1" x14ac:dyDescent="0.25">
      <c r="B62" s="13" t="s">
        <v>76</v>
      </c>
      <c r="C62" s="13" t="e">
        <f ca="1">VLOOKUP(psFilter,sys_idfilter_lookup,2,FALSE)</f>
        <v>#NAME?</v>
      </c>
      <c r="D62" s="13" t="s">
        <v>75</v>
      </c>
      <c r="E62" s="13" t="s">
        <v>74</v>
      </c>
    </row>
    <row r="63" spans="2:5" ht="15" hidden="1" customHeight="1" outlineLevel="1" x14ac:dyDescent="0.25">
      <c r="B63" s="14" t="s">
        <v>73</v>
      </c>
      <c r="C63" s="14" t="e">
        <f ca="1">IF((psTextFilter=""),$C$64,IF((psFilter=""),$C$64,$C$65))</f>
        <v>#NAME?</v>
      </c>
      <c r="D63" s="14"/>
      <c r="E63" s="14"/>
    </row>
    <row r="64" spans="2:5" ht="15" hidden="1" customHeight="1" outlineLevel="1" x14ac:dyDescent="0.25">
      <c r="B64" s="3" t="s">
        <v>72</v>
      </c>
      <c r="C64" s="3" t="str">
        <f>D64</f>
        <v>{TM1SORT({EXCEPT( {[id].[Total IDs].Children}, {[id].[00000],[id].[cash flow]} )},DESC)}</v>
      </c>
      <c r="D64" s="3" t="str">
        <f>"{TM1SORT({EXCEPT( {[id].[Total IDs].Children}, {[id].[00000],[id].[cash flow]} )},DESC)}"</f>
        <v>{TM1SORT({EXCEPT( {[id].[Total IDs].Children}, {[id].[00000],[id].[cash flow]} )},DESC)}</v>
      </c>
      <c r="E64" s="3"/>
    </row>
    <row r="65" spans="2:5" ht="15" hidden="1" customHeight="1" outlineLevel="1" x14ac:dyDescent="0.25">
      <c r="B65" s="3" t="s">
        <v>71</v>
      </c>
      <c r="C65" s="3" t="e">
        <f ca="1">D65</f>
        <v>#NAME?</v>
      </c>
      <c r="D65" s="3" t="e">
        <f ca="1">("{{TM1SORT({FILTER({EXCEPT( {[id].[Total IDs].Children}, {[id].[00000],[id].[cash flow]} )}, INSTR( [AE id details].([Headline Year].["&amp;(psHLYear&amp;("],[scenario].["&amp;(psScenario&amp;("],[id measure].["&amp;($C$62&amp;("]), "&amp;($C$66&amp;($M$111&amp;($C$66&amp;" ) &gt;=1)}, DESC)},[id].[cash flow]}"))))))))))</f>
        <v>#NAME?</v>
      </c>
      <c r="E65" s="3"/>
    </row>
    <row r="66" spans="2:5" ht="15" hidden="1" customHeight="1" outlineLevel="1" x14ac:dyDescent="0.25">
      <c r="B66" s="3" t="s">
        <v>63</v>
      </c>
      <c r="C66" s="3" t="s">
        <v>62</v>
      </c>
      <c r="D66" s="3"/>
      <c r="E66" s="3"/>
    </row>
    <row r="67" spans="2:5" ht="15" hidden="1" customHeight="1" outlineLevel="1" x14ac:dyDescent="0.25"/>
    <row r="68" spans="2:5" ht="15" hidden="1" customHeight="1" outlineLevel="1" x14ac:dyDescent="0.25">
      <c r="B68" s="65" t="s">
        <v>61</v>
      </c>
      <c r="C68" s="66"/>
    </row>
    <row r="69" spans="2:5" ht="15" hidden="1" customHeight="1" outlineLevel="1" x14ac:dyDescent="0.25">
      <c r="B69" s="8" t="s">
        <v>108</v>
      </c>
      <c r="C69" s="9" t="e">
        <f ca="1">_xll.VIEW((db_name&amp;":sys_client preference"),"!","!")</f>
        <v>#NAME?</v>
      </c>
    </row>
    <row r="70" spans="2:5" ht="15" hidden="1" customHeight="1" outlineLevel="1" x14ac:dyDescent="0.25">
      <c r="B70" s="9" t="s">
        <v>60</v>
      </c>
      <c r="C70" s="9" t="e">
        <f ca="1">_xll.DBR($C$69,psUser,$B70,"value")</f>
        <v>#NAME?</v>
      </c>
    </row>
    <row r="71" spans="2:5" ht="15" hidden="1" customHeight="1" outlineLevel="1" x14ac:dyDescent="0.25">
      <c r="B71" s="3" t="s">
        <v>59</v>
      </c>
      <c r="C71" s="9" t="e">
        <f ca="1">_xll.DBR($C$69,psUser,$B71,"value")</f>
        <v>#NAME?</v>
      </c>
    </row>
    <row r="72" spans="2:5" ht="15" hidden="1" customHeight="1" outlineLevel="1" x14ac:dyDescent="0.25">
      <c r="B72" s="3" t="s">
        <v>57</v>
      </c>
      <c r="C72" s="9" t="e">
        <f ca="1">_xll.DBR($C$69,psUser,$B72,"value")</f>
        <v>#NAME?</v>
      </c>
    </row>
    <row r="73" spans="2:5" ht="15" hidden="1" customHeight="1" outlineLevel="1" x14ac:dyDescent="0.25">
      <c r="B73" s="3" t="s">
        <v>55</v>
      </c>
      <c r="C73" s="9" t="e">
        <f ca="1">_xll.DBR($C$69,psUser,$B73,"value")</f>
        <v>#NAME?</v>
      </c>
    </row>
    <row r="74" spans="2:5" ht="15" hidden="1" customHeight="1" outlineLevel="1" x14ac:dyDescent="0.25">
      <c r="B74" s="3" t="s">
        <v>54</v>
      </c>
      <c r="C74" s="9" t="e">
        <f ca="1">_xll.DBR($C$69,psUser,$B74,"value")</f>
        <v>#NAME?</v>
      </c>
    </row>
    <row r="75" spans="2:5" ht="15" hidden="1" customHeight="1" outlineLevel="1" x14ac:dyDescent="0.25">
      <c r="B75" s="3" t="s">
        <v>53</v>
      </c>
      <c r="C75" s="9" t="e">
        <f ca="1">_xll.DBR($C$69,psUser,$B75,"value")</f>
        <v>#NAME?</v>
      </c>
    </row>
    <row r="76" spans="2:5" ht="15" hidden="1" customHeight="1" outlineLevel="1" x14ac:dyDescent="0.25">
      <c r="B76" s="3" t="s">
        <v>52</v>
      </c>
      <c r="C76" s="9" t="e">
        <f ca="1">_xll.DBR($C$69,psUser,$B76,"value")</f>
        <v>#NAME?</v>
      </c>
    </row>
    <row r="77" spans="2:5" ht="15" hidden="1" customHeight="1" outlineLevel="1" x14ac:dyDescent="0.25">
      <c r="B77" s="3" t="s">
        <v>49</v>
      </c>
      <c r="C77" s="9" t="e">
        <f ca="1">_xll.DBR($C$69,psUser,$B77,"value")</f>
        <v>#NAME?</v>
      </c>
    </row>
    <row r="78" spans="2:5" ht="15" hidden="1" customHeight="1" outlineLevel="1" x14ac:dyDescent="0.25">
      <c r="C78"/>
    </row>
    <row r="79" spans="2:5" ht="15" hidden="1" customHeight="1" outlineLevel="1" x14ac:dyDescent="0.25">
      <c r="B79" s="63" t="s">
        <v>46</v>
      </c>
      <c r="C79" s="63"/>
      <c r="D79" s="63"/>
    </row>
    <row r="80" spans="2:5" ht="15" hidden="1" customHeight="1" outlineLevel="1" x14ac:dyDescent="0.25">
      <c r="B80" s="15" t="s">
        <v>45</v>
      </c>
      <c r="C80" s="16" t="s">
        <v>44</v>
      </c>
      <c r="D80" s="16" t="s">
        <v>43</v>
      </c>
    </row>
    <row r="81" spans="2:25" ht="15" hidden="1" customHeight="1" outlineLevel="1" x14ac:dyDescent="0.25">
      <c r="B81" s="3" t="s">
        <v>42</v>
      </c>
      <c r="C81" s="3" t="e">
        <f ca="1">$C$35</f>
        <v>#NAME?</v>
      </c>
      <c r="D81" s="3" t="e">
        <f ca="1">IF(($C$81=$C$71),"",_xll.DBSS($C$81,$C$69,psUser,$B71,"value"))</f>
        <v>#NAME?</v>
      </c>
    </row>
    <row r="82" spans="2:25" ht="15" hidden="1" customHeight="1" outlineLevel="1" x14ac:dyDescent="0.25">
      <c r="B82" s="3" t="s">
        <v>41</v>
      </c>
      <c r="C82" s="3" t="e">
        <f ca="1">$C$36</f>
        <v>#NAME?</v>
      </c>
      <c r="D82" s="3" t="e">
        <f ca="1">IF(($C$82=$C$72),"",_xll.DBSS($C$82,$C$69,psUser,$B72,"value"))</f>
        <v>#NAME?</v>
      </c>
    </row>
    <row r="83" spans="2:25" ht="15" hidden="1" customHeight="1" outlineLevel="1" x14ac:dyDescent="0.25"/>
    <row r="84" spans="2:25" ht="15" hidden="1" customHeight="1" outlineLevel="1" x14ac:dyDescent="0.25"/>
    <row r="85" spans="2:25" ht="15" hidden="1" customHeight="1" outlineLevel="1" x14ac:dyDescent="0.25"/>
    <row r="86" spans="2:25" ht="15" hidden="1" customHeight="1" outlineLevel="1" x14ac:dyDescent="0.25"/>
    <row r="87" spans="2:25" ht="15" hidden="1" customHeight="1" outlineLevel="1" x14ac:dyDescent="0.25"/>
    <row r="88" spans="2:25" ht="15" hidden="1" customHeight="1" outlineLevel="1" x14ac:dyDescent="0.25"/>
    <row r="89" spans="2:25" ht="15" hidden="1" customHeight="1" outlineLevel="1" x14ac:dyDescent="0.25"/>
    <row r="90" spans="2:25" ht="15" hidden="1" customHeight="1" outlineLevel="1" x14ac:dyDescent="0.25"/>
    <row r="91" spans="2:25" ht="15" hidden="1" customHeight="1" outlineLevel="1" x14ac:dyDescent="0.25"/>
    <row r="92" spans="2:25" ht="15" hidden="1" customHeight="1" outlineLevel="1" x14ac:dyDescent="0.25"/>
    <row r="93" spans="2:25" ht="15" hidden="1" customHeight="1" outlineLevel="1" x14ac:dyDescent="0.25"/>
    <row r="94" spans="2:25" ht="15" hidden="1" customHeight="1" outlineLevel="1" x14ac:dyDescent="0.25"/>
    <row r="95" spans="2:25" ht="15" hidden="1" customHeight="1" outlineLevel="1" x14ac:dyDescent="0.25">
      <c r="B95" s="12" t="s">
        <v>40</v>
      </c>
      <c r="C95" s="12" t="s">
        <v>39</v>
      </c>
      <c r="D95" s="12"/>
      <c r="E95" s="12" t="s">
        <v>38</v>
      </c>
      <c r="F95" s="11"/>
      <c r="G95" s="11" t="s">
        <v>37</v>
      </c>
      <c r="H95" s="11"/>
      <c r="I95" s="11"/>
      <c r="J95" s="12" t="s">
        <v>36</v>
      </c>
      <c r="K95" s="11"/>
      <c r="L95" s="11" t="s">
        <v>35</v>
      </c>
      <c r="M95" s="11" t="s">
        <v>99</v>
      </c>
      <c r="N95" s="12" t="s">
        <v>34</v>
      </c>
      <c r="O95" s="12" t="s">
        <v>32</v>
      </c>
      <c r="P95" s="12" t="s">
        <v>95</v>
      </c>
      <c r="Q95" s="12" t="s">
        <v>31</v>
      </c>
      <c r="R95" s="12" t="s">
        <v>80</v>
      </c>
      <c r="S95" s="12" t="e">
        <f ca="1">IF(($C$40&lt;$C$39),"sys_appropriation type","appropriation item description")</f>
        <v>#NAME?</v>
      </c>
      <c r="T95" s="12" t="s">
        <v>30</v>
      </c>
      <c r="U95" s="12" t="s">
        <v>81</v>
      </c>
      <c r="V95" s="12" t="s">
        <v>79</v>
      </c>
      <c r="W95" s="12" t="s">
        <v>29</v>
      </c>
      <c r="X95" s="12" t="s">
        <v>77</v>
      </c>
      <c r="Y95" s="12" t="s">
        <v>28</v>
      </c>
    </row>
    <row r="96" spans="2:25" ht="15" hidden="1" customHeight="1" outlineLevel="1" x14ac:dyDescent="0.25"/>
    <row r="97" spans="1:25" ht="36" customHeight="1" collapsed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62" t="s">
        <v>27</v>
      </c>
      <c r="Q97" s="62"/>
      <c r="R97" s="29"/>
      <c r="S97" s="29"/>
      <c r="T97" s="29"/>
      <c r="U97" s="29"/>
      <c r="V97" s="29"/>
      <c r="W97" s="29"/>
      <c r="X97" s="29"/>
      <c r="Y97" s="29"/>
    </row>
    <row r="98" spans="1:25" ht="4.5" customHeight="1" x14ac:dyDescent="0.25">
      <c r="I98" s="17"/>
      <c r="J98" s="17"/>
      <c r="K98" s="17"/>
      <c r="L98" s="17"/>
      <c r="M98" s="17"/>
      <c r="N98" s="17"/>
      <c r="O98" s="17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4" customHeight="1" x14ac:dyDescent="0.25">
      <c r="I99" s="17"/>
      <c r="J99" s="17"/>
      <c r="K99" s="17"/>
      <c r="L99" s="17"/>
      <c r="M99" s="17"/>
      <c r="N99"/>
      <c r="O99" s="17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.5" customHeight="1" x14ac:dyDescent="0.25"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4.5" customHeight="1" x14ac:dyDescent="0.25">
      <c r="I101"/>
      <c r="J101"/>
      <c r="N101"/>
      <c r="O101"/>
    </row>
    <row r="102" spans="1:25" ht="15" customHeight="1" x14ac:dyDescent="0.25">
      <c r="I102"/>
      <c r="J102"/>
      <c r="L102" s="53" t="s">
        <v>26</v>
      </c>
      <c r="N102"/>
      <c r="O102"/>
    </row>
    <row r="103" spans="1:25" ht="4.5" customHeight="1" x14ac:dyDescent="0.25">
      <c r="I103"/>
      <c r="J103"/>
      <c r="N103"/>
      <c r="O103"/>
    </row>
    <row r="104" spans="1:25" ht="15" customHeight="1" x14ac:dyDescent="0.25">
      <c r="L104" s="64" t="s">
        <v>25</v>
      </c>
      <c r="M104" s="64"/>
      <c r="P104" s="39" t="s">
        <v>24</v>
      </c>
      <c r="Q104" s="38"/>
    </row>
    <row r="105" spans="1:25" ht="15" customHeight="1" x14ac:dyDescent="0.25">
      <c r="K105" s="5"/>
      <c r="L105" s="30" t="s">
        <v>23</v>
      </c>
      <c r="M105" s="31" t="e">
        <f ca="1">_xll.SUBNM((db_name&amp;":headline year"),"",$C$35)</f>
        <v>#NAME?</v>
      </c>
      <c r="N105" s="5"/>
      <c r="P105" s="4">
        <f t="shared" ref="P105:P111" ca="1" si="0">COUNTIF($O:$O,$Q105)</f>
        <v>0</v>
      </c>
      <c r="Q105" s="36" t="s">
        <v>22</v>
      </c>
    </row>
    <row r="106" spans="1:25" ht="15" customHeight="1" x14ac:dyDescent="0.25">
      <c r="J106" s="7"/>
      <c r="K106" s="6"/>
      <c r="L106" s="30" t="s">
        <v>21</v>
      </c>
      <c r="M106" s="31" t="e">
        <f ca="1">_xll.SUBNM((db_name&amp;":scenario"),"sys_BudgetRound",$C$36)</f>
        <v>#NAME?</v>
      </c>
      <c r="P106" s="4">
        <f t="shared" ca="1" si="0"/>
        <v>0</v>
      </c>
      <c r="Q106" s="36" t="s">
        <v>20</v>
      </c>
    </row>
    <row r="107" spans="1:25" ht="15" customHeight="1" x14ac:dyDescent="0.25">
      <c r="J107" s="7"/>
      <c r="K107" s="6"/>
      <c r="L107" s="30" t="s">
        <v>19</v>
      </c>
      <c r="M107" s="40" t="e">
        <f ca="1">IF((psScenario="current"),$C$37,psScenario)</f>
        <v>#NAME?</v>
      </c>
      <c r="P107" s="4">
        <f t="shared" ca="1" si="0"/>
        <v>0</v>
      </c>
      <c r="Q107" s="26" t="s">
        <v>18</v>
      </c>
    </row>
    <row r="108" spans="1:25" ht="15" customHeight="1" x14ac:dyDescent="0.25">
      <c r="P108" s="4">
        <f t="shared" ca="1" si="0"/>
        <v>0</v>
      </c>
      <c r="Q108" s="26" t="s">
        <v>17</v>
      </c>
    </row>
    <row r="109" spans="1:25" ht="15" customHeight="1" x14ac:dyDescent="0.25">
      <c r="L109" s="64" t="s">
        <v>16</v>
      </c>
      <c r="M109" s="64"/>
      <c r="P109" s="4">
        <f t="shared" ca="1" si="0"/>
        <v>0</v>
      </c>
      <c r="Q109" s="37" t="s">
        <v>15</v>
      </c>
    </row>
    <row r="110" spans="1:25" ht="15" customHeight="1" x14ac:dyDescent="0.25">
      <c r="L110" s="30" t="s">
        <v>14</v>
      </c>
      <c r="M110" s="31" t="e">
        <f ca="1">_xll.SUBNM((db_name&amp;":sys_id filter"),"sys_id filter list",2)</f>
        <v>#NAME?</v>
      </c>
      <c r="P110" s="4">
        <f t="shared" ca="1" si="0"/>
        <v>0</v>
      </c>
      <c r="Q110" s="37" t="s">
        <v>13</v>
      </c>
    </row>
    <row r="111" spans="1:25" ht="15" customHeight="1" x14ac:dyDescent="0.25">
      <c r="L111" s="30" t="s">
        <v>12</v>
      </c>
      <c r="M111" s="31" t="e">
        <f ca="1">_xll.DBR($C$69,psUser,$B74,"value")</f>
        <v>#NAME?</v>
      </c>
      <c r="P111" s="4">
        <f t="shared" ca="1" si="0"/>
        <v>0</v>
      </c>
      <c r="Q111" s="27" t="s">
        <v>11</v>
      </c>
    </row>
    <row r="112" spans="1:25" ht="15" customHeight="1" x14ac:dyDescent="0.25">
      <c r="M112" s="10" t="s">
        <v>10</v>
      </c>
      <c r="P112" s="4">
        <f ca="1">SUM(P105:P111)</f>
        <v>0</v>
      </c>
      <c r="Q112" s="26" t="s">
        <v>9</v>
      </c>
      <c r="R112" s="24"/>
      <c r="S112" s="25"/>
      <c r="T112" s="25"/>
      <c r="U112" s="25"/>
      <c r="V112" s="25"/>
      <c r="X112" s="6"/>
    </row>
    <row r="113" spans="1:26" ht="4.5" customHeight="1" x14ac:dyDescent="0.25"/>
    <row r="114" spans="1:26" s="19" customFormat="1" ht="15" customHeight="1" x14ac:dyDescent="0.25">
      <c r="B114" s="20" t="s">
        <v>8</v>
      </c>
      <c r="C114" s="21" t="s">
        <v>7</v>
      </c>
      <c r="D114" s="21"/>
      <c r="E114" s="21"/>
      <c r="F114" s="21"/>
      <c r="G114" s="21"/>
      <c r="H114" s="21"/>
      <c r="J114" s="32" t="s">
        <v>6</v>
      </c>
      <c r="L114" s="33" t="s">
        <v>5</v>
      </c>
      <c r="M114" s="32" t="s">
        <v>4</v>
      </c>
      <c r="N114" s="32" t="s">
        <v>98</v>
      </c>
      <c r="O114" s="32" t="s">
        <v>90</v>
      </c>
      <c r="P114" s="32" t="s">
        <v>96</v>
      </c>
      <c r="Q114" s="32" t="s">
        <v>3</v>
      </c>
      <c r="R114" s="33" t="s">
        <v>80</v>
      </c>
      <c r="S114" s="32" t="s">
        <v>2</v>
      </c>
      <c r="T114" s="32" t="s">
        <v>88</v>
      </c>
      <c r="U114" s="32" t="s">
        <v>82</v>
      </c>
      <c r="V114" s="32" t="s">
        <v>33</v>
      </c>
      <c r="W114" s="32" t="s">
        <v>1</v>
      </c>
      <c r="X114" s="32" t="s">
        <v>78</v>
      </c>
      <c r="Y114" s="32" t="s">
        <v>0</v>
      </c>
    </row>
    <row r="115" spans="1:26" ht="20.100000000000001" customHeight="1" x14ac:dyDescent="0.25">
      <c r="A115" s="41" t="e">
        <f ca="1">IF(_xll.TM1RPTELISCONSOLIDATED($B$115,$B115),IF((_xll.TM1RPTELLEV($B$115,$B115)&lt;=3),_xll.TM1RPTELLEV($B$115,$B115),"D"),"N")</f>
        <v>#NAME?</v>
      </c>
      <c r="B115" s="55" t="e">
        <f ca="1">_xll.TM1RPTROW($C$43,(db_name&amp;":id"),"","","",,$C$63)</f>
        <v>#NAME?</v>
      </c>
      <c r="C115" s="41" t="e">
        <f ca="1">_xll.DBRW($C$43,$M$105,$M$106,$B115,C$95)</f>
        <v>#NAME?</v>
      </c>
      <c r="D115" s="41"/>
      <c r="E115" s="41"/>
      <c r="F115" s="41"/>
      <c r="G115" s="41"/>
      <c r="H115" s="41"/>
      <c r="I115" s="56"/>
      <c r="J115" s="57" t="e">
        <f ca="1">_xll.DBRW($C$44,$M$105,$M$106,$B115,J$95)</f>
        <v>#NAME?</v>
      </c>
      <c r="K115" s="43"/>
      <c r="L115" s="58" t="e">
        <f ca="1">_xll.DBRW($C$44,$M$105,$M$106,$B115,L$95)</f>
        <v>#NAME?</v>
      </c>
      <c r="M115" s="47" t="e">
        <f ca="1">_xll.DBRW($C$44,$M$105,$M$106,$B115,M$95)</f>
        <v>#NAME?</v>
      </c>
      <c r="N115" s="47" t="e">
        <f ca="1">_xll.DBRW($C$44,$M$105,$M$106,$B115,N$95)</f>
        <v>#NAME?</v>
      </c>
      <c r="O115" s="46" t="e">
        <f ca="1">_xll.DBRW($C$44,$M$105,$M$106,$B115,O$95)</f>
        <v>#NAME?</v>
      </c>
      <c r="P115" s="47" t="e">
        <f ca="1">_xll.DBRW($C$44,$M$105,$M$106,$B115,P$95)</f>
        <v>#NAME?</v>
      </c>
      <c r="Q115" s="47" t="e">
        <f ca="1">_xll.DBRW($C$44,$M$105,$M$106,$B115,Q$95)</f>
        <v>#NAME?</v>
      </c>
      <c r="R115" s="59" t="e">
        <f ca="1">_xll.DBRW($C$44,$M$105,$M$106,$B115,R$95)</f>
        <v>#NAME?</v>
      </c>
      <c r="S115" s="60" t="e">
        <f ca="1">_xll.DBRW($C$44,$M$105,$M$106,$B115,S$95)</f>
        <v>#NAME?</v>
      </c>
      <c r="T115" s="61" t="e">
        <f ca="1">_xll.DBRW($C$44,$M$105,$M$106,$B115,T$95)</f>
        <v>#NAME?</v>
      </c>
      <c r="U115" s="61" t="e">
        <f ca="1">_xll.DBRW($C$44,$M$105,$M$106,$B115,U$95)</f>
        <v>#NAME?</v>
      </c>
      <c r="V115" s="58" t="e">
        <f ca="1">_xll.DBRW($C$44,$M$105,$M$106,$B115,V$95)</f>
        <v>#NAME?</v>
      </c>
      <c r="W115" s="58" t="e">
        <f ca="1">_xll.DBRW($C$44,$M$105,$M$106,$B115,W$95)</f>
        <v>#NAME?</v>
      </c>
      <c r="X115" s="58" t="e">
        <f ca="1">_xll.DBRW($C$44,$M$105,$M$106,$B115,X$95)</f>
        <v>#NAME?</v>
      </c>
      <c r="Y115" s="58" t="e">
        <f ca="1">_xll.DBRW($C$44,$M$105,$M$106,$B115,Y$95)</f>
        <v>#NAME?</v>
      </c>
      <c r="Z115" s="54"/>
    </row>
  </sheetData>
  <sheetProtection sheet="1" objects="1" scenarios="1"/>
  <mergeCells count="9">
    <mergeCell ref="P97:Q97"/>
    <mergeCell ref="B79:D79"/>
    <mergeCell ref="L104:M104"/>
    <mergeCell ref="L109:M109"/>
    <mergeCell ref="B11:C11"/>
    <mergeCell ref="B33:C33"/>
    <mergeCell ref="B42:C42"/>
    <mergeCell ref="B19:C19"/>
    <mergeCell ref="B68:C68"/>
  </mergeCells>
  <conditionalFormatting sqref="O7 O115">
    <cfRule type="beginsWith" dxfId="5" priority="2177" operator="beginsWith" text="draft">
      <formula>LEFT(O7,LEN("draft"))="draft"</formula>
    </cfRule>
    <cfRule type="containsText" dxfId="4" priority="2178" operator="containsText" text="approve">
      <formula>NOT(ISERROR(SEARCH("approve",O7)))</formula>
    </cfRule>
    <cfRule type="beginsWith" dxfId="3" priority="2179" operator="beginsWith" text="CBMS">
      <formula>LEFT(O7,LEN("CBMS"))="CBMS"</formula>
    </cfRule>
    <cfRule type="containsText" dxfId="2" priority="2180" operator="containsText" text="unauthorised">
      <formula>NOT(ISERROR(SEARCH("unauthorised",O7)))</formula>
    </cfRule>
    <cfRule type="containsText" dxfId="1" priority="2181" operator="containsText" text="unbalanced">
      <formula>NOT(ISERROR(SEARCH("unbalanced",O7)))</formula>
    </cfRule>
  </conditionalFormatting>
  <conditionalFormatting sqref="Q7 Q115">
    <cfRule type="cellIs" dxfId="0" priority="125" operator="equal">
      <formula>"No Measure"</formula>
    </cfRule>
  </conditionalFormatting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9</xdr:col>
                <xdr:colOff>9525</xdr:colOff>
                <xdr:row>98</xdr:row>
                <xdr:rowOff>0</xdr:rowOff>
              </from>
              <to>
                <xdr:col>10</xdr:col>
                <xdr:colOff>0</xdr:colOff>
                <xdr:row>98</xdr:row>
                <xdr:rowOff>247650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11</xdr:col>
                <xdr:colOff>38100</xdr:colOff>
                <xdr:row>98</xdr:row>
                <xdr:rowOff>0</xdr:rowOff>
              </from>
              <to>
                <xdr:col>12</xdr:col>
                <xdr:colOff>57150</xdr:colOff>
                <xdr:row>98</xdr:row>
                <xdr:rowOff>247650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13</xdr:col>
                <xdr:colOff>2314575</xdr:colOff>
                <xdr:row>98</xdr:row>
                <xdr:rowOff>0</xdr:rowOff>
              </from>
              <to>
                <xdr:col>13</xdr:col>
                <xdr:colOff>3095625</xdr:colOff>
                <xdr:row>98</xdr:row>
                <xdr:rowOff>247650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12</xdr:col>
                <xdr:colOff>142875</xdr:colOff>
                <xdr:row>98</xdr:row>
                <xdr:rowOff>0</xdr:rowOff>
              </from>
              <to>
                <xdr:col>12</xdr:col>
                <xdr:colOff>1266825</xdr:colOff>
                <xdr:row>98</xdr:row>
                <xdr:rowOff>247650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12</xdr:col>
                <xdr:colOff>1295400</xdr:colOff>
                <xdr:row>98</xdr:row>
                <xdr:rowOff>0</xdr:rowOff>
              </from>
              <to>
                <xdr:col>12</xdr:col>
                <xdr:colOff>2419350</xdr:colOff>
                <xdr:row>98</xdr:row>
                <xdr:rowOff>247650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0" r:id="rId14" name="TIButton6">
          <controlPr defaultSize="0" print="0" autoLine="0" r:id="rId15">
            <anchor moveWithCells="1" sizeWithCells="1">
              <from>
                <xdr:col>13</xdr:col>
                <xdr:colOff>495300</xdr:colOff>
                <xdr:row>98</xdr:row>
                <xdr:rowOff>0</xdr:rowOff>
              </from>
              <to>
                <xdr:col>13</xdr:col>
                <xdr:colOff>1390650</xdr:colOff>
                <xdr:row>98</xdr:row>
                <xdr:rowOff>247650</xdr:rowOff>
              </to>
            </anchor>
          </controlPr>
        </control>
      </mc:Choice>
      <mc:Fallback>
        <control shapeId="1030" r:id="rId14" name="TIButton6"/>
      </mc:Fallback>
    </mc:AlternateContent>
    <mc:AlternateContent xmlns:mc="http://schemas.openxmlformats.org/markup-compatibility/2006">
      <mc:Choice Requires="x14">
        <control shapeId="1031" r:id="rId16" name="TIButton7">
          <controlPr defaultSize="0" print="0" autoLine="0" r:id="rId17">
            <anchor moveWithCells="1" sizeWithCells="1">
              <from>
                <xdr:col>13</xdr:col>
                <xdr:colOff>1428750</xdr:colOff>
                <xdr:row>98</xdr:row>
                <xdr:rowOff>0</xdr:rowOff>
              </from>
              <to>
                <xdr:col>13</xdr:col>
                <xdr:colOff>2286000</xdr:colOff>
                <xdr:row>98</xdr:row>
                <xdr:rowOff>247650</xdr:rowOff>
              </to>
            </anchor>
          </controlPr>
        </control>
      </mc:Choice>
      <mc:Fallback>
        <control shapeId="1031" r:id="rId16" name="TIButton7"/>
      </mc:Fallback>
    </mc:AlternateContent>
    <mc:AlternateContent xmlns:mc="http://schemas.openxmlformats.org/markup-compatibility/2006">
      <mc:Choice Requires="x14">
        <control shapeId="1032" r:id="rId18" name="TIButton8">
          <controlPr defaultSize="0" print="0" autoLine="0" r:id="rId19">
            <anchor moveWithCells="1" sizeWithCells="1">
              <from>
                <xdr:col>12</xdr:col>
                <xdr:colOff>2447925</xdr:colOff>
                <xdr:row>98</xdr:row>
                <xdr:rowOff>0</xdr:rowOff>
              </from>
              <to>
                <xdr:col>13</xdr:col>
                <xdr:colOff>466725</xdr:colOff>
                <xdr:row>98</xdr:row>
                <xdr:rowOff>247650</xdr:rowOff>
              </to>
            </anchor>
          </controlPr>
        </control>
      </mc:Choice>
      <mc:Fallback>
        <control shapeId="1032" r:id="rId18" name="TIButton8"/>
      </mc:Fallback>
    </mc:AlternateContent>
    <mc:AlternateContent xmlns:mc="http://schemas.openxmlformats.org/markup-compatibility/2006">
      <mc:Choice Requires="x14">
        <control shapeId="1033" r:id="rId20" name="TIButton9">
          <controlPr defaultSize="0" print="0" autoLine="0" r:id="rId21">
            <anchor moveWithCells="1" sizeWithCells="1">
              <from>
                <xdr:col>16</xdr:col>
                <xdr:colOff>1695450</xdr:colOff>
                <xdr:row>97</xdr:row>
                <xdr:rowOff>38100</xdr:rowOff>
              </from>
              <to>
                <xdr:col>16</xdr:col>
                <xdr:colOff>2009775</xdr:colOff>
                <xdr:row>99</xdr:row>
                <xdr:rowOff>0</xdr:rowOff>
              </to>
            </anchor>
          </controlPr>
        </control>
      </mc:Choice>
      <mc:Fallback>
        <control shapeId="1033" r:id="rId20" name="TIButton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adj list</vt:lpstr>
      <vt:lpstr>db_name</vt:lpstr>
      <vt:lpstr>Freeze_Here</vt:lpstr>
      <vt:lpstr>psApp</vt:lpstr>
      <vt:lpstr>psFilter</vt:lpstr>
      <vt:lpstr>psHLYear</vt:lpstr>
      <vt:lpstr>psScenario</vt:lpstr>
      <vt:lpstr>psTextFilter</vt:lpstr>
      <vt:lpstr>psUser</vt:lpstr>
      <vt:lpstr>sys_id_filterlist</vt:lpstr>
      <vt:lpstr>sys_idfilter_lookup</vt:lpstr>
      <vt:lpstr>TM1BulkProcessCAP</vt:lpstr>
      <vt:lpstr>TM1BulkProcessWB</vt:lpstr>
      <vt:lpstr>TM1BulkProcessWS</vt:lpstr>
      <vt:lpstr>TM1GrpNewAdj01HeaderCAP</vt:lpstr>
      <vt:lpstr>TM1GrpNewAdj01HeaderWB</vt:lpstr>
      <vt:lpstr>TM1GrpNewAdj01HeaderWS</vt:lpstr>
      <vt:lpstr>TM1GrpViewAdj01HeaderCAP</vt:lpstr>
      <vt:lpstr>TM1GrpViewAdj01HeaderWB</vt:lpstr>
      <vt:lpstr>TM1GrpViewAdj01HeaderWS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TM1NewAdj01HeaderCAP</vt:lpstr>
      <vt:lpstr>TM1NewAdj01HeaderWB</vt:lpstr>
      <vt:lpstr>TM1NewAdj01HeaderWS</vt:lpstr>
      <vt:lpstr>'adj list'!TM1RPTDATARNG2</vt:lpstr>
      <vt:lpstr>'adj list'!TM1RPTFMTIDCOL</vt:lpstr>
      <vt:lpstr>'adj list'!TM1RPTFMTRNG</vt:lpstr>
      <vt:lpstr>TM1ViewAdj01HeaderCAP</vt:lpstr>
      <vt:lpstr>TM1ViewAdj01HeaderWB</vt:lpstr>
      <vt:lpstr>TM1ViewAdj01HeaderWS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Looyen</dc:creator>
  <cp:keywords/>
  <dc:description/>
  <cp:lastModifiedBy>Xin HE</cp:lastModifiedBy>
  <dcterms:created xsi:type="dcterms:W3CDTF">2021-02-02T02:44:05Z</dcterms:created>
  <dcterms:modified xsi:type="dcterms:W3CDTF">2025-08-05T04:28:40Z</dcterms:modified>
  <cp:category/>
  <cp:contentStatus/>
</cp:coreProperties>
</file>