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he\Test_Repository\files\}Externals\"/>
    </mc:Choice>
  </mc:AlternateContent>
  <xr:revisionPtr revIDLastSave="0" documentId="8_{42D241E7-0B98-4132-A67A-DC3BED54A282}" xr6:coauthVersionLast="47" xr6:coauthVersionMax="47" xr10:uidLastSave="{00000000-0000-0000-0000-000000000000}"/>
  <bookViews>
    <workbookView xWindow="29580" yWindow="780" windowWidth="21600" windowHeight="11385" xr2:uid="{5D2CBBA5-DD65-4DCD-90FB-42C9E3F1CD1C}"/>
  </bookViews>
  <sheets>
    <sheet name="CustNo" sheetId="1" r:id="rId1"/>
  </sheets>
  <definedNames>
    <definedName name="db_name">CustNo!$C$12</definedName>
    <definedName name="TM1GrpViewAdj01HeaderCAP">CustNo!$D$47</definedName>
    <definedName name="TM1GrpViewAdj01HeaderWB">CustNo!$F$47</definedName>
    <definedName name="TM1GrpViewAdj01HeaderWS">CustNo!$H$47</definedName>
    <definedName name="TM1HomeAdminCAP">CustNo!$D$40</definedName>
    <definedName name="TM1HomeAdminWB">CustNo!$F$40</definedName>
    <definedName name="TM1HomeAdminWS">CustNo!$H$40</definedName>
    <definedName name="TM1HomeAECAP">CustNo!$D$38</definedName>
    <definedName name="TM1HomeAEWB">CustNo!$F$38</definedName>
    <definedName name="TM1HomeAEWS">CustNo!$H$38</definedName>
    <definedName name="TM1HomeCAP">CustNo!$D$37</definedName>
    <definedName name="TM1HomeRepAdditionalCAP">CustNo!$D$41</definedName>
    <definedName name="TM1HomeRepAdditionalWB">CustNo!$F$41</definedName>
    <definedName name="TM1HomeRepAdditionalWS">CustNo!$H$41</definedName>
    <definedName name="TM1HomeRepAnalyticalCAP">CustNo!$D$43</definedName>
    <definedName name="TM1HomeRepAnalyticalWB">CustNo!$F$43</definedName>
    <definedName name="TM1HomeRepAnalyticalWS">CustNo!$H$43</definedName>
    <definedName name="TM1HomeRepCAP">CustNo!$D$39</definedName>
    <definedName name="TM1HomeRepOtherCAP">CustNo!$D$42</definedName>
    <definedName name="TM1HomeRepOtherWB">CustNo!$F$42</definedName>
    <definedName name="TM1HomeRepOtherWS">CustNo!$H$42</definedName>
    <definedName name="TM1HomeRepWB">CustNo!$F$39</definedName>
    <definedName name="TM1HomeRepWS">CustNo!$H$39</definedName>
    <definedName name="TM1HomeWB">CustNo!$F$37</definedName>
    <definedName name="TM1HomeWS">CustNo!$H$37</definedName>
    <definedName name="TM1OthRprTBalCAP">CustNo!$D$44</definedName>
    <definedName name="TM1OthRprTBalWB">CustNo!$F$44</definedName>
    <definedName name="TM1OthRprTBalWS">CustNo!$H$44</definedName>
    <definedName name="TM1OthRprTxnByReasonCAP">CustNo!$D$45</definedName>
    <definedName name="TM1OthRprTxnByReasonWB">CustNo!$F$45</definedName>
    <definedName name="TM1OthRprTxnByReasonWS">CustNo!$H$45</definedName>
    <definedName name="TM1REBUILDOPTION">0</definedName>
    <definedName name="TM1RPTDATARNG3" localSheetId="0">CustNo!$74:$74</definedName>
    <definedName name="TM1RPTFMTIDCOL" localSheetId="0">CustNo!$A$1:$A$8</definedName>
    <definedName name="TM1RPTFMTRNG" localSheetId="0">CustNo!$J$1:$P$8</definedName>
    <definedName name="TM1ViewAdj01HeaderCAP">CustNo!$D$46</definedName>
    <definedName name="TM1ViewAdj01HeaderWB">CustNo!$F$46</definedName>
    <definedName name="TM1ViewAdj01HeaderWS">CustNo!$H$46</definedName>
  </definedNames>
  <calcPr calcId="181029" calcMode="manual" calcCompleted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8" i="1" l="1" a="1"/>
  <c r="C18" i="1"/>
  <c r="H41" i="1" a="1"/>
  <c r="H41" i="1"/>
  <c r="G41" i="1" a="1"/>
  <c r="G41" i="1"/>
  <c r="F41" i="1" a="1"/>
  <c r="F41" i="1"/>
  <c r="E41" i="1" a="1"/>
  <c r="E41" i="1"/>
  <c r="D41" i="1" a="1"/>
  <c r="D41" i="1"/>
  <c r="C41" i="1" a="1"/>
  <c r="C41" i="1"/>
  <c r="K58" i="1" a="1"/>
  <c r="K58" i="1"/>
  <c r="K59" i="1" a="1"/>
  <c r="K59" i="1"/>
  <c r="K60" i="1" a="1"/>
  <c r="K66" i="1" a="1"/>
  <c r="K65" i="1" a="1"/>
  <c r="K62" i="1" a="1"/>
  <c r="K64" i="1" a="1"/>
  <c r="K67" i="1" a="1"/>
  <c r="K60" i="1"/>
  <c r="K66" i="1"/>
  <c r="K65" i="1"/>
  <c r="K62" i="1"/>
  <c r="K64" i="1"/>
  <c r="K67" i="1"/>
  <c r="C17" i="1" a="1"/>
  <c r="C17" i="1"/>
  <c r="K61" i="1" a="1"/>
  <c r="J49" i="1"/>
  <c r="P49" i="1" a="1"/>
  <c r="P49" i="1"/>
  <c r="P70" i="1"/>
  <c r="K63" i="1" a="1"/>
  <c r="K61" i="1"/>
  <c r="K63" i="1"/>
  <c r="P76" i="1" a="1"/>
  <c r="P76" i="1"/>
  <c r="O49" i="1" a="1"/>
  <c r="O49" i="1"/>
  <c r="O70" i="1"/>
  <c r="O76" i="1" a="1"/>
  <c r="O76" i="1"/>
  <c r="N49" i="1" a="1"/>
  <c r="N49" i="1"/>
  <c r="N70" i="1"/>
  <c r="N76" i="1" a="1"/>
  <c r="N76" i="1"/>
  <c r="M49" i="1" a="1"/>
  <c r="M49" i="1"/>
  <c r="M70" i="1"/>
  <c r="M76" i="1" a="1"/>
  <c r="M76" i="1"/>
  <c r="L49" i="1" a="1"/>
  <c r="L49" i="1"/>
  <c r="L70" i="1"/>
  <c r="L76" i="1" a="1"/>
  <c r="L76" i="1"/>
  <c r="K49" i="1" a="1"/>
  <c r="K49" i="1"/>
  <c r="K70" i="1"/>
  <c r="K76" i="1" a="1"/>
  <c r="K76" i="1"/>
  <c r="C27" i="1"/>
  <c r="C16" i="1" a="1"/>
  <c r="C16" i="1"/>
  <c r="C23" i="1"/>
  <c r="C24" i="1"/>
  <c r="C28" i="1"/>
  <c r="J74" i="1" a="1"/>
  <c r="J74" i="1"/>
  <c r="D32" i="1"/>
  <c r="C32" i="1" a="1"/>
  <c r="C32" i="1"/>
  <c r="P74" i="1" a="1"/>
  <c r="P74" i="1"/>
  <c r="O74" i="1" a="1"/>
  <c r="O74" i="1"/>
  <c r="N74" i="1" a="1"/>
  <c r="N74" i="1"/>
  <c r="M74" i="1" a="1"/>
  <c r="M74" i="1"/>
  <c r="L74" i="1" a="1"/>
  <c r="L74" i="1"/>
  <c r="K74" i="1" a="1"/>
  <c r="K74" i="1"/>
  <c r="A74" i="1" a="1"/>
  <c r="A74" i="1"/>
  <c r="P72" i="1" a="1"/>
  <c r="P72" i="1"/>
  <c r="O72" i="1" a="1"/>
  <c r="O72" i="1"/>
  <c r="N72" i="1" a="1"/>
  <c r="N72" i="1"/>
  <c r="M72" i="1" a="1"/>
  <c r="M72" i="1"/>
  <c r="L72" i="1" a="1"/>
  <c r="L72" i="1"/>
  <c r="K72" i="1" a="1"/>
  <c r="K72" i="1"/>
  <c r="H47" i="1" a="1"/>
  <c r="H47" i="1"/>
  <c r="G47" i="1" a="1"/>
  <c r="G47" i="1"/>
  <c r="F47" i="1" a="1"/>
  <c r="F47" i="1"/>
  <c r="E47" i="1" a="1"/>
  <c r="E47" i="1"/>
  <c r="D47" i="1" a="1"/>
  <c r="D47" i="1"/>
  <c r="C47" i="1" a="1"/>
  <c r="C47" i="1"/>
  <c r="H46" i="1" a="1"/>
  <c r="H46" i="1"/>
  <c r="G46" i="1" a="1"/>
  <c r="G46" i="1"/>
  <c r="F46" i="1" a="1"/>
  <c r="F46" i="1"/>
  <c r="E46" i="1" a="1"/>
  <c r="E46" i="1"/>
  <c r="D46" i="1" a="1"/>
  <c r="D46" i="1"/>
  <c r="C46" i="1" a="1"/>
  <c r="C46" i="1"/>
  <c r="H45" i="1" a="1"/>
  <c r="H45" i="1"/>
  <c r="G45" i="1" a="1"/>
  <c r="G45" i="1"/>
  <c r="F45" i="1" a="1"/>
  <c r="F45" i="1"/>
  <c r="E45" i="1" a="1"/>
  <c r="E45" i="1"/>
  <c r="D45" i="1" a="1"/>
  <c r="D45" i="1"/>
  <c r="C45" i="1" a="1"/>
  <c r="C45" i="1"/>
  <c r="H44" i="1" a="1"/>
  <c r="H44" i="1"/>
  <c r="G44" i="1" a="1"/>
  <c r="G44" i="1"/>
  <c r="F44" i="1" a="1"/>
  <c r="F44" i="1"/>
  <c r="E44" i="1" a="1"/>
  <c r="E44" i="1"/>
  <c r="D44" i="1" a="1"/>
  <c r="D44" i="1"/>
  <c r="C44" i="1" a="1"/>
  <c r="C44" i="1"/>
  <c r="H43" i="1" a="1"/>
  <c r="H43" i="1"/>
  <c r="G43" i="1" a="1"/>
  <c r="G43" i="1"/>
  <c r="F43" i="1" a="1"/>
  <c r="F43" i="1"/>
  <c r="E43" i="1" a="1"/>
  <c r="E43" i="1"/>
  <c r="D43" i="1" a="1"/>
  <c r="D43" i="1"/>
  <c r="C43" i="1" a="1"/>
  <c r="C43" i="1"/>
  <c r="H42" i="1" a="1"/>
  <c r="H42" i="1"/>
  <c r="G42" i="1" a="1"/>
  <c r="G42" i="1"/>
  <c r="F42" i="1" a="1"/>
  <c r="F42" i="1"/>
  <c r="E42" i="1" a="1"/>
  <c r="E42" i="1"/>
  <c r="D42" i="1" a="1"/>
  <c r="D42" i="1"/>
  <c r="C42" i="1" a="1"/>
  <c r="C42" i="1"/>
  <c r="H40" i="1" a="1"/>
  <c r="H40" i="1"/>
  <c r="G40" i="1" a="1"/>
  <c r="G40" i="1"/>
  <c r="F40" i="1" a="1"/>
  <c r="F40" i="1"/>
  <c r="E40" i="1" a="1"/>
  <c r="E40" i="1"/>
  <c r="D40" i="1" a="1"/>
  <c r="D40" i="1"/>
  <c r="C40" i="1" a="1"/>
  <c r="C40" i="1"/>
  <c r="H39" i="1" a="1"/>
  <c r="H39" i="1"/>
  <c r="G39" i="1" a="1"/>
  <c r="G39" i="1"/>
  <c r="F39" i="1" a="1"/>
  <c r="F39" i="1"/>
  <c r="E39" i="1" a="1"/>
  <c r="E39" i="1"/>
  <c r="D39" i="1" a="1"/>
  <c r="D39" i="1"/>
  <c r="C39" i="1" a="1"/>
  <c r="C39" i="1"/>
  <c r="H38" i="1" a="1"/>
  <c r="H38" i="1"/>
  <c r="G38" i="1" a="1"/>
  <c r="G38" i="1"/>
  <c r="F38" i="1" a="1"/>
  <c r="F38" i="1"/>
  <c r="E38" i="1" a="1"/>
  <c r="E38" i="1"/>
  <c r="D38" i="1" a="1"/>
  <c r="D38" i="1"/>
  <c r="C38" i="1" a="1"/>
  <c r="C38" i="1"/>
  <c r="H37" i="1" a="1"/>
  <c r="H37" i="1"/>
  <c r="G37" i="1" a="1"/>
  <c r="G37" i="1"/>
  <c r="F37" i="1" a="1"/>
  <c r="F37" i="1"/>
  <c r="E37" i="1" a="1"/>
  <c r="E37" i="1"/>
  <c r="D37" i="1" a="1"/>
  <c r="D37" i="1"/>
  <c r="C37" i="1" a="1"/>
  <c r="C37" i="1"/>
  <c r="C22" i="1"/>
  <c r="A5" i="1"/>
  <c r="A4" i="1"/>
  <c r="A3" i="1"/>
  <c r="A2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<sst xmlns="http://schemas.openxmlformats.org/spreadsheetml/2006/main" count="66" uniqueCount="63">
  <si>
    <t>[Begin Format Range]</t>
  </si>
  <si>
    <t>D</t>
  </si>
  <si>
    <t>N</t>
  </si>
  <si>
    <t>[End Format Range]</t>
  </si>
  <si>
    <t>Active Form View</t>
  </si>
  <si>
    <t>Slice View</t>
  </si>
  <si>
    <t>Programme MDX</t>
  </si>
  <si>
    <t>Summary</t>
  </si>
  <si>
    <t>Detail</t>
  </si>
  <si>
    <t>Suppress Zero Flag</t>
  </si>
  <si>
    <t>Drill Function</t>
  </si>
  <si>
    <t>Other Parameters</t>
  </si>
  <si>
    <t>id</t>
  </si>
  <si>
    <t>Total Customer Numbers</t>
  </si>
  <si>
    <t>description</t>
  </si>
  <si>
    <t>Yes</t>
  </si>
  <si>
    <t>Total</t>
  </si>
  <si>
    <t>0000A</t>
  </si>
  <si>
    <t>Opening Baseline</t>
  </si>
  <si>
    <t>Total Ids</t>
  </si>
  <si>
    <t>Database Variables</t>
  </si>
  <si>
    <t>Database Name</t>
  </si>
  <si>
    <t>Views</t>
  </si>
  <si>
    <t>MDX</t>
  </si>
  <si>
    <t>Other Variables</t>
  </si>
  <si>
    <t>Index Change</t>
  </si>
  <si>
    <t>sys_application</t>
  </si>
  <si>
    <t>Caption Name</t>
  </si>
  <si>
    <t>Caption</t>
  </si>
  <si>
    <t>Workbook Name</t>
  </si>
  <si>
    <t>Workbook</t>
  </si>
  <si>
    <t>Worksheet Name</t>
  </si>
  <si>
    <t>Worksheet</t>
  </si>
  <si>
    <t>Homepage - Home</t>
  </si>
  <si>
    <t>Homepage - Annual Estimates</t>
  </si>
  <si>
    <t>Homepage - Reports</t>
  </si>
  <si>
    <t>Homepage - Administration</t>
  </si>
  <si>
    <t>Homepage - Reports - Other</t>
  </si>
  <si>
    <t>Homepage - Reports - Analytical</t>
  </si>
  <si>
    <t>Other Reports - Trial Balance</t>
  </si>
  <si>
    <t>Other Reports - Transactions By Reason</t>
  </si>
  <si>
    <t>Data Entry - View Adj 01 - Header Details</t>
  </si>
  <si>
    <t>Group Data Entry - View Adj 01 - Header Details</t>
  </si>
  <si>
    <t xml:space="preserve">  </t>
  </si>
  <si>
    <t>REPORT PARAMETERS</t>
  </si>
  <si>
    <t xml:space="preserve">Headline Year : </t>
  </si>
  <si>
    <t xml:space="preserve">Scenario : </t>
  </si>
  <si>
    <t xml:space="preserve">Status : </t>
  </si>
  <si>
    <t xml:space="preserve">Programme : </t>
  </si>
  <si>
    <t xml:space="preserve">Measure Code : </t>
  </si>
  <si>
    <t xml:space="preserve">Related Entity : </t>
  </si>
  <si>
    <t xml:space="preserve">Jurisdiction : </t>
  </si>
  <si>
    <t xml:space="preserve">Account Template : </t>
  </si>
  <si>
    <t xml:space="preserve">Group Adjustment Measure : </t>
  </si>
  <si>
    <t xml:space="preserve">Account Type : </t>
  </si>
  <si>
    <t xml:space="preserve">Prog Display : </t>
  </si>
  <si>
    <t xml:space="preserve">Report Display : </t>
  </si>
  <si>
    <t xml:space="preserve">Suppress Zero : </t>
  </si>
  <si>
    <t xml:space="preserve">ID Show : </t>
  </si>
  <si>
    <t xml:space="preserve"> DISPLAY SETTINGS</t>
  </si>
  <si>
    <t>Homepage - Reports - Additional</t>
  </si>
  <si>
    <t>Program</t>
  </si>
  <si>
    <t>finance_geus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</si>
</sst>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[Red]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3" tint="-0.249977111117893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indexed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426A"/>
        <bgColor indexed="64"/>
      </patternFill>
    </fill>
    <fill>
      <patternFill patternType="solid">
        <fgColor rgb="FF333F48"/>
        <bgColor indexed="64"/>
      </patternFill>
    </fill>
    <fill>
      <patternFill patternType="solid">
        <fgColor rgb="FFBBDDE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/>
    <xf numFmtId="0" fontId="4" fillId="0" borderId="1" xfId="0" applyFont="1" applyBorder="1"/>
    <xf numFmtId="0" fontId="5" fillId="0" borderId="0" xfId="1" applyFont="1" applyAlignment="1">
      <alignment horizontal="right" indent="1"/>
    </xf>
    <xf numFmtId="164" fontId="3" fillId="3" borderId="1" xfId="0" applyNumberFormat="1" applyFont="1" applyFill="1" applyBorder="1"/>
    <xf numFmtId="164" fontId="4" fillId="0" borderId="1" xfId="0" applyNumberFormat="1" applyFont="1" applyBorder="1"/>
    <xf numFmtId="0" fontId="3" fillId="3" borderId="1" xfId="0" applyFont="1" applyFill="1" applyBorder="1"/>
    <xf numFmtId="0" fontId="2" fillId="0" borderId="1" xfId="0" applyFont="1" applyBorder="1"/>
    <xf numFmtId="0" fontId="0" fillId="0" borderId="1" xfId="0" applyBorder="1" applyAlignment="1">
      <alignment horizontal="center"/>
    </xf>
    <xf numFmtId="0" fontId="0" fillId="0" borderId="4" xfId="0" applyBorder="1"/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right"/>
    </xf>
    <xf numFmtId="0" fontId="6" fillId="4" borderId="0" xfId="0" applyFont="1" applyFill="1" applyAlignment="1">
      <alignment horizontal="right" vertical="center"/>
    </xf>
    <xf numFmtId="0" fontId="2" fillId="0" borderId="0" xfId="0" applyFont="1" applyAlignment="1">
      <alignment horizontal="right" indent="1"/>
    </xf>
    <xf numFmtId="0" fontId="4" fillId="0" borderId="0" xfId="0" applyFont="1" applyAlignment="1">
      <alignment horizontal="left" indent="1"/>
    </xf>
    <xf numFmtId="0" fontId="0" fillId="0" borderId="0" xfId="0" applyAlignment="1">
      <alignment horizontal="right"/>
    </xf>
    <xf numFmtId="0" fontId="0" fillId="6" borderId="5" xfId="0" applyFill="1" applyBorder="1" applyAlignment="1" applyProtection="1">
      <alignment horizontal="left" vertical="center" indent="1"/>
      <protection locked="0"/>
    </xf>
    <xf numFmtId="0" fontId="7" fillId="4" borderId="0" xfId="0" applyFont="1" applyFill="1" applyAlignment="1">
      <alignment horizontal="center" vertical="center"/>
    </xf>
    <xf numFmtId="164" fontId="3" fillId="0" borderId="6" xfId="0" applyNumberFormat="1" applyFont="1" applyBorder="1"/>
    <xf numFmtId="0" fontId="8" fillId="0" borderId="0" xfId="0" applyFont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/>
    </xf>
    <xf numFmtId="0" fontId="7" fillId="5" borderId="0" xfId="0" applyFont="1" applyFill="1" applyAlignment="1">
      <alignment horizontal="center"/>
    </xf>
    <xf numFmtId="0" fontId="0" fillId="0" borderId="3" xfId="0" applyBorder="1" applyAlignment="1" applyProtection="1">
      <alignment horizontal="left" indent="1"/>
      <protection locked="0"/>
    </xf>
    <xf numFmtId="0" fontId="0" fillId="0" borderId="4" xfId="0" applyBorder="1" applyAlignment="1" applyProtection="1">
      <alignment horizontal="left" indent="1"/>
      <protection locked="0"/>
    </xf>
  </cellXfs>
  <cellStyles count="2">
    <cellStyle name="Normal" xfId="0" builtinId="0"/>
    <cellStyle name="Normal 3" xfId="1" xr:uid="{3222445F-7CD9-4098-B879-FBBEC54777C9}"/>
  </cellStyles>
  <dxfs count="4">
    <dxf>
      <font>
        <b/>
        <i val="0"/>
      </font>
    </dxf>
    <dxf>
      <font>
        <b/>
        <i val="0"/>
        <color auto="1"/>
      </font>
    </dxf>
    <dxf>
      <font>
        <b/>
        <i val="0"/>
      </font>
    </dxf>
    <dxf>
      <font>
        <b/>
        <i val="0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4.emf"/><Relationship Id="rId1" Type="http://schemas.openxmlformats.org/officeDocument/2006/relationships/image" Target="../media/image5.emf"/><Relationship Id="rId6" Type="http://schemas.openxmlformats.org/officeDocument/2006/relationships/image" Target="../media/image6.emf"/><Relationship Id="rId5" Type="http://schemas.openxmlformats.org/officeDocument/2006/relationships/image" Target="../media/image1.emf"/><Relationship Id="rId4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1019175</xdr:colOff>
      <xdr:row>52</xdr:row>
      <xdr:rowOff>0</xdr:rowOff>
    </xdr:from>
    <xdr:to>
      <xdr:col>9</xdr:col>
      <xdr:colOff>1019175</xdr:colOff>
      <xdr:row>52</xdr:row>
      <xdr:rowOff>0</xdr:rowOff>
    </xdr:to>
    <xdr:sp macro="[0]!Refresh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4486275" y="6593205"/>
          <a:ext cx="0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AU" sz="1000" b="1">
              <a:solidFill>
                <a:schemeClr val="tx1"/>
              </a:solidFill>
            </a:rPr>
            <a:t>Refresh </a:t>
          </a:r>
          <a:r>
            <a:rPr lang="en-AU" sz="1000" b="1" baseline="0">
              <a:solidFill>
                <a:schemeClr val="tx1"/>
              </a:solidFill>
            </a:rPr>
            <a:t>|</a:t>
          </a:r>
          <a:endParaRPr lang="en-AU" sz="10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9</xdr:col>
      <xdr:colOff>476250</xdr:colOff>
      <xdr:row>52</xdr:row>
      <xdr:rowOff>0</xdr:rowOff>
    </xdr:from>
    <xdr:to>
      <xdr:col>9</xdr:col>
      <xdr:colOff>476250</xdr:colOff>
      <xdr:row>52</xdr:row>
      <xdr:rowOff>0</xdr:rowOff>
    </xdr:to>
    <xdr:sp macro="[0]!GoHomeReports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3943350" y="6593205"/>
          <a:ext cx="0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AU" sz="1000" b="1" baseline="0">
              <a:solidFill>
                <a:sysClr val="windowText" lastClr="000000"/>
              </a:solidFill>
            </a:rPr>
            <a:t>Menu |</a:t>
          </a:r>
          <a:endParaRPr lang="en-AU" sz="1000" b="1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9</xdr:col>
      <xdr:colOff>0</xdr:colOff>
      <xdr:row>52</xdr:row>
      <xdr:rowOff>0</xdr:rowOff>
    </xdr:from>
    <xdr:to>
      <xdr:col>9</xdr:col>
      <xdr:colOff>57150</xdr:colOff>
      <xdr:row>52</xdr:row>
      <xdr:rowOff>0</xdr:rowOff>
    </xdr:to>
    <xdr:sp macro="[0]!GoHome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3467100" y="6593205"/>
          <a:ext cx="57150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AU" sz="1000" b="1" baseline="0">
              <a:solidFill>
                <a:sysClr val="windowText" lastClr="000000"/>
              </a:solidFill>
            </a:rPr>
            <a:t>Home |</a:t>
          </a:r>
          <a:endParaRPr lang="en-AU" sz="1000" b="1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9</xdr:col>
      <xdr:colOff>1028700</xdr:colOff>
      <xdr:row>52</xdr:row>
      <xdr:rowOff>0</xdr:rowOff>
    </xdr:from>
    <xdr:to>
      <xdr:col>9</xdr:col>
      <xdr:colOff>1028700</xdr:colOff>
      <xdr:row>52</xdr:row>
      <xdr:rowOff>0</xdr:rowOff>
    </xdr:to>
    <xdr:sp macro="[0]!Refresh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4495800" y="6593205"/>
          <a:ext cx="0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AU" sz="1000" b="1">
              <a:solidFill>
                <a:schemeClr val="tx1"/>
              </a:solidFill>
            </a:rPr>
            <a:t>Refresh </a:t>
          </a:r>
          <a:r>
            <a:rPr lang="en-AU" sz="1000" b="1" baseline="0">
              <a:solidFill>
                <a:schemeClr val="tx1"/>
              </a:solidFill>
            </a:rPr>
            <a:t>|</a:t>
          </a:r>
          <a:endParaRPr lang="en-AU" sz="10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9</xdr:col>
      <xdr:colOff>485775</xdr:colOff>
      <xdr:row>52</xdr:row>
      <xdr:rowOff>0</xdr:rowOff>
    </xdr:from>
    <xdr:to>
      <xdr:col>9</xdr:col>
      <xdr:colOff>485775</xdr:colOff>
      <xdr:row>52</xdr:row>
      <xdr:rowOff>0</xdr:rowOff>
    </xdr:to>
    <xdr:sp macro="[0]!GoHomeReports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3952875" y="6593205"/>
          <a:ext cx="0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AU" sz="1000" b="1" baseline="0">
              <a:solidFill>
                <a:sysClr val="windowText" lastClr="000000"/>
              </a:solidFill>
            </a:rPr>
            <a:t>Menu |</a:t>
          </a:r>
          <a:endParaRPr lang="en-AU" sz="1000" b="1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8</xdr:col>
      <xdr:colOff>1019175</xdr:colOff>
      <xdr:row>52</xdr:row>
      <xdr:rowOff>0</xdr:rowOff>
    </xdr:from>
    <xdr:ext cx="0" cy="0"/>
    <xdr:sp macro="[0]!Refresh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3465195" y="6593205"/>
          <a:ext cx="0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AU" sz="1000" b="1">
              <a:solidFill>
                <a:schemeClr val="tx1"/>
              </a:solidFill>
            </a:rPr>
            <a:t>Refresh </a:t>
          </a:r>
          <a:r>
            <a:rPr lang="en-AU" sz="1000" b="1" baseline="0">
              <a:solidFill>
                <a:schemeClr val="tx1"/>
              </a:solidFill>
            </a:rPr>
            <a:t>|</a:t>
          </a:r>
          <a:endParaRPr lang="en-AU" sz="1000" b="1">
            <a:solidFill>
              <a:schemeClr val="tx1"/>
            </a:solidFill>
          </a:endParaRPr>
        </a:p>
      </xdr:txBody>
    </xdr:sp>
    <xdr:clientData/>
  </xdr:oneCellAnchor>
  <xdr:oneCellAnchor>
    <xdr:from>
      <xdr:col>8</xdr:col>
      <xdr:colOff>476250</xdr:colOff>
      <xdr:row>52</xdr:row>
      <xdr:rowOff>0</xdr:rowOff>
    </xdr:from>
    <xdr:ext cx="0" cy="0"/>
    <xdr:sp macro="[0]!GoHomeReports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3463290" y="6593205"/>
          <a:ext cx="0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AU" sz="1000" b="1" baseline="0">
              <a:solidFill>
                <a:sysClr val="windowText" lastClr="000000"/>
              </a:solidFill>
            </a:rPr>
            <a:t>Menu |</a:t>
          </a:r>
          <a:endParaRPr lang="en-AU" sz="1000" b="1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8</xdr:col>
      <xdr:colOff>0</xdr:colOff>
      <xdr:row>52</xdr:row>
      <xdr:rowOff>0</xdr:rowOff>
    </xdr:from>
    <xdr:ext cx="57150" cy="0"/>
    <xdr:sp macro="[0]!GoHome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3406140" y="6593205"/>
          <a:ext cx="57150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AU" sz="1000" b="1" baseline="0">
              <a:solidFill>
                <a:sysClr val="windowText" lastClr="000000"/>
              </a:solidFill>
            </a:rPr>
            <a:t>Home |</a:t>
          </a:r>
          <a:endParaRPr lang="en-AU" sz="1000" b="1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8</xdr:col>
      <xdr:colOff>1028700</xdr:colOff>
      <xdr:row>52</xdr:row>
      <xdr:rowOff>0</xdr:rowOff>
    </xdr:from>
    <xdr:ext cx="0" cy="0"/>
    <xdr:sp macro="[0]!Refresh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3467100" y="6593205"/>
          <a:ext cx="0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AU" sz="1000" b="1">
              <a:solidFill>
                <a:schemeClr val="tx1"/>
              </a:solidFill>
            </a:rPr>
            <a:t>Refresh </a:t>
          </a:r>
          <a:r>
            <a:rPr lang="en-AU" sz="1000" b="1" baseline="0">
              <a:solidFill>
                <a:schemeClr val="tx1"/>
              </a:solidFill>
            </a:rPr>
            <a:t>|</a:t>
          </a:r>
          <a:endParaRPr lang="en-AU" sz="1000" b="1">
            <a:solidFill>
              <a:schemeClr val="tx1"/>
            </a:solidFill>
          </a:endParaRPr>
        </a:p>
      </xdr:txBody>
    </xdr:sp>
    <xdr:clientData/>
  </xdr:oneCellAnchor>
  <xdr:oneCellAnchor>
    <xdr:from>
      <xdr:col>8</xdr:col>
      <xdr:colOff>485775</xdr:colOff>
      <xdr:row>52</xdr:row>
      <xdr:rowOff>0</xdr:rowOff>
    </xdr:from>
    <xdr:ext cx="0" cy="0"/>
    <xdr:sp macro="[0]!GoHomeReports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3465195" y="6593205"/>
          <a:ext cx="0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AU" sz="1000" b="1" baseline="0">
              <a:solidFill>
                <a:sysClr val="windowText" lastClr="000000"/>
              </a:solidFill>
            </a:rPr>
            <a:t>Menu |</a:t>
          </a:r>
          <a:endParaRPr lang="en-AU" sz="1000" b="1">
            <a:solidFill>
              <a:sysClr val="windowText" lastClr="000000"/>
            </a:solidFill>
          </a:endParaRPr>
        </a:p>
      </xdr:txBody>
    </xdr:sp>
    <xdr:clientData/>
  </xdr:oneCellAnchor>
  <xdr:twoCellAnchor editAs="oneCell">
    <xdr:from>
      <xdr:col>9</xdr:col>
      <xdr:colOff>0</xdr:colOff>
      <xdr:row>51</xdr:row>
      <xdr:rowOff>22860</xdr:rowOff>
    </xdr:from>
    <xdr:to>
      <xdr:col>9</xdr:col>
      <xdr:colOff>1849755</xdr:colOff>
      <xdr:row>51</xdr:row>
      <xdr:rowOff>472440</xdr:rowOff>
    </xdr:to>
    <xdr:pic>
      <xdr:nvPicPr>
        <xdr:cNvPr id="15" name="Picture 3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55780" y="9532620"/>
          <a:ext cx="1849755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66675</xdr:colOff>
          <xdr:row>53</xdr:row>
          <xdr:rowOff>9525</xdr:rowOff>
        </xdr:from>
        <xdr:to>
          <xdr:col>9</xdr:col>
          <xdr:colOff>704850</xdr:colOff>
          <xdr:row>53</xdr:row>
          <xdr:rowOff>257175</xdr:rowOff>
        </xdr:to>
        <xdr:sp macro="" textlink="">
          <xdr:nvSpPr>
            <xdr:cNvPr id="2874" name="TIButton1" hidden="1">
              <a:extLst>
                <a:ext uri="{63B3BB69-23CF-44E3-9099-C40C66FF867C}">
                  <a14:compatExt spid="_x0000_s2874"/>
                </a:ext>
                <a:ext uri="{FF2B5EF4-FFF2-40B4-BE49-F238E27FC236}">
                  <a16:creationId xmlns:a16="http://schemas.microsoft.com/office/drawing/2014/main" id="{00000000-0008-0000-0000-00003A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742950</xdr:colOff>
          <xdr:row>53</xdr:row>
          <xdr:rowOff>9525</xdr:rowOff>
        </xdr:from>
        <xdr:to>
          <xdr:col>9</xdr:col>
          <xdr:colOff>1600200</xdr:colOff>
          <xdr:row>53</xdr:row>
          <xdr:rowOff>257175</xdr:rowOff>
        </xdr:to>
        <xdr:sp macro="" textlink="">
          <xdr:nvSpPr>
            <xdr:cNvPr id="2875" name="TIButton2" hidden="1">
              <a:extLst>
                <a:ext uri="{63B3BB69-23CF-44E3-9099-C40C66FF867C}">
                  <a14:compatExt spid="_x0000_s2875"/>
                </a:ext>
                <a:ext uri="{FF2B5EF4-FFF2-40B4-BE49-F238E27FC236}">
                  <a16:creationId xmlns:a16="http://schemas.microsoft.com/office/drawing/2014/main" id="{00000000-0008-0000-0000-00003B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1628775</xdr:colOff>
          <xdr:row>53</xdr:row>
          <xdr:rowOff>9525</xdr:rowOff>
        </xdr:from>
        <xdr:to>
          <xdr:col>9</xdr:col>
          <xdr:colOff>2990850</xdr:colOff>
          <xdr:row>53</xdr:row>
          <xdr:rowOff>257175</xdr:rowOff>
        </xdr:to>
        <xdr:sp macro="" textlink="">
          <xdr:nvSpPr>
            <xdr:cNvPr id="2876" name="TIButton3" hidden="1">
              <a:extLst>
                <a:ext uri="{63B3BB69-23CF-44E3-9099-C40C66FF867C}">
                  <a14:compatExt spid="_x0000_s2876"/>
                </a:ext>
                <a:ext uri="{FF2B5EF4-FFF2-40B4-BE49-F238E27FC236}">
                  <a16:creationId xmlns:a16="http://schemas.microsoft.com/office/drawing/2014/main" id="{00000000-0008-0000-0000-00003C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428625</xdr:colOff>
          <xdr:row>53</xdr:row>
          <xdr:rowOff>9525</xdr:rowOff>
        </xdr:from>
        <xdr:to>
          <xdr:col>13</xdr:col>
          <xdr:colOff>352425</xdr:colOff>
          <xdr:row>53</xdr:row>
          <xdr:rowOff>257175</xdr:rowOff>
        </xdr:to>
        <xdr:sp macro="" textlink="">
          <xdr:nvSpPr>
            <xdr:cNvPr id="2877" name="TIButton4" hidden="1">
              <a:extLst>
                <a:ext uri="{63B3BB69-23CF-44E3-9099-C40C66FF867C}">
                  <a14:compatExt spid="_x0000_s2877"/>
                </a:ext>
                <a:ext uri="{FF2B5EF4-FFF2-40B4-BE49-F238E27FC236}">
                  <a16:creationId xmlns:a16="http://schemas.microsoft.com/office/drawing/2014/main" id="{00000000-0008-0000-0000-00003D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3000375</xdr:colOff>
          <xdr:row>53</xdr:row>
          <xdr:rowOff>9525</xdr:rowOff>
        </xdr:from>
        <xdr:to>
          <xdr:col>10</xdr:col>
          <xdr:colOff>476250</xdr:colOff>
          <xdr:row>53</xdr:row>
          <xdr:rowOff>257175</xdr:rowOff>
        </xdr:to>
        <xdr:sp macro="" textlink="">
          <xdr:nvSpPr>
            <xdr:cNvPr id="2879" name="TIButton6" hidden="1">
              <a:extLst>
                <a:ext uri="{63B3BB69-23CF-44E3-9099-C40C66FF867C}">
                  <a14:compatExt spid="_x0000_s2879"/>
                </a:ext>
                <a:ext uri="{FF2B5EF4-FFF2-40B4-BE49-F238E27FC236}">
                  <a16:creationId xmlns:a16="http://schemas.microsoft.com/office/drawing/2014/main" id="{00000000-0008-0000-0000-00003F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514350</xdr:colOff>
          <xdr:row>53</xdr:row>
          <xdr:rowOff>9525</xdr:rowOff>
        </xdr:from>
        <xdr:to>
          <xdr:col>12</xdr:col>
          <xdr:colOff>381000</xdr:colOff>
          <xdr:row>53</xdr:row>
          <xdr:rowOff>257175</xdr:rowOff>
        </xdr:to>
        <xdr:sp macro="" textlink="">
          <xdr:nvSpPr>
            <xdr:cNvPr id="2880" name="TIButton5" hidden="1">
              <a:extLst>
                <a:ext uri="{63B3BB69-23CF-44E3-9099-C40C66FF867C}">
                  <a14:compatExt spid="_x0000_s2880"/>
                </a:ext>
                <a:ext uri="{FF2B5EF4-FFF2-40B4-BE49-F238E27FC236}">
                  <a16:creationId xmlns:a16="http://schemas.microsoft.com/office/drawing/2014/main" id="{00000000-0008-0000-0000-000040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control" Target="../activeX/activeX4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E61F0-E214-493B-B313-582DBA9949DB}">
  <sheetPr codeName="Sheet1">
    <outlinePr showOutlineSymbols="0"/>
    <pageSetUpPr fitToPage="1"/>
  </sheetPr>
  <dimension ref="A1:P102"/>
  <sheetViews>
    <sheetView showGridLines="0" showRowColHeaders="0" tabSelected="1" showOutlineSymbols="0" topLeftCell="A52" zoomScaleNormal="100" workbookViewId="0">
      <pane ySplit="20" topLeftCell="A72" activePane="bottomLeft" state="frozen"/>
      <selection activeCell="I52" sqref="I52"/>
      <selection pane="bottomLeft"/>
    </sheetView>
  </sheetViews>
  <sheetFormatPr defaultRowHeight="15" outlineLevelRow="1" outlineLevelCol="1" x14ac:dyDescent="0.25"/>
  <cols>
    <col min="1" max="1" width="2.7109375" hidden="1" customWidth="1" outlineLevel="1"/>
    <col min="2" max="8" width="17.5703125" hidden="1" customWidth="1" outlineLevel="1"/>
    <col min="9" max="9" width="0.85546875" customWidth="1" collapsed="1"/>
    <col min="10" max="10" width="60.7109375" customWidth="1"/>
    <col min="11" max="16" width="12.5703125" customWidth="1"/>
  </cols>
  <sheetData>
    <row r="1" spans="1:16" hidden="1" outlineLevel="1" x14ac:dyDescent="0.25">
      <c r="A1" t="s">
        <v>0</v>
      </c>
    </row>
    <row r="2" spans="1:16" hidden="1" outlineLevel="1" x14ac:dyDescent="0.25">
      <c r="A2">
        <f>0</f>
        <v>0</v>
      </c>
      <c r="J2" s="5"/>
      <c r="K2" s="3"/>
      <c r="L2" s="3"/>
      <c r="M2" s="3"/>
      <c r="N2" s="3"/>
      <c r="O2" s="3"/>
      <c r="P2" s="3"/>
    </row>
    <row r="3" spans="1:16" hidden="1" outlineLevel="1" x14ac:dyDescent="0.25">
      <c r="A3">
        <f>1</f>
        <v>1</v>
      </c>
      <c r="J3" s="1"/>
      <c r="K3" s="4"/>
      <c r="L3" s="4"/>
      <c r="M3" s="4"/>
      <c r="N3" s="4"/>
      <c r="O3" s="4"/>
      <c r="P3" s="4"/>
    </row>
    <row r="4" spans="1:16" hidden="1" outlineLevel="1" x14ac:dyDescent="0.25">
      <c r="A4">
        <f>2</f>
        <v>2</v>
      </c>
      <c r="J4" s="1"/>
      <c r="K4" s="4"/>
      <c r="L4" s="4"/>
      <c r="M4" s="4"/>
      <c r="N4" s="4"/>
      <c r="O4" s="4"/>
      <c r="P4" s="4"/>
    </row>
    <row r="5" spans="1:16" hidden="1" outlineLevel="1" x14ac:dyDescent="0.25">
      <c r="A5">
        <f>3</f>
        <v>3</v>
      </c>
      <c r="J5" s="1"/>
      <c r="K5" s="4"/>
      <c r="L5" s="4"/>
      <c r="M5" s="4"/>
      <c r="N5" s="4"/>
      <c r="O5" s="4"/>
      <c r="P5" s="4"/>
    </row>
    <row r="6" spans="1:16" hidden="1" outlineLevel="1" x14ac:dyDescent="0.25">
      <c r="A6" t="s">
        <v>1</v>
      </c>
      <c r="J6" s="1"/>
      <c r="K6" s="4"/>
      <c r="L6" s="4"/>
      <c r="M6" s="4"/>
      <c r="N6" s="4"/>
      <c r="O6" s="4"/>
      <c r="P6" s="4"/>
    </row>
    <row r="7" spans="1:16" hidden="1" outlineLevel="1" x14ac:dyDescent="0.25">
      <c r="A7" t="s">
        <v>2</v>
      </c>
      <c r="J7" s="1"/>
      <c r="K7" s="4"/>
      <c r="L7" s="4"/>
      <c r="M7" s="4"/>
      <c r="N7" s="4"/>
      <c r="O7" s="4"/>
      <c r="P7" s="4"/>
    </row>
    <row r="8" spans="1:16" hidden="1" outlineLevel="1" x14ac:dyDescent="0.25">
      <c r="A8" t="s">
        <v>3</v>
      </c>
    </row>
    <row r="9" spans="1:16" hidden="1" outlineLevel="1" x14ac:dyDescent="0.25"/>
    <row r="10" spans="1:16" hidden="1" outlineLevel="1" x14ac:dyDescent="0.25"/>
    <row r="11" spans="1:16" hidden="1" outlineLevel="1" x14ac:dyDescent="0.25">
      <c r="B11" s="20" t="s">
        <v>20</v>
      </c>
      <c r="C11" s="21"/>
      <c r="D11" s="22"/>
    </row>
    <row r="12" spans="1:16" hidden="1" outlineLevel="1" x14ac:dyDescent="0.25">
      <c r="B12" s="6" t="s">
        <v>21</v>
      </c>
      <c r="C12" s="1" t="s">
        <v>62</v>
      </c>
      <c r="D12" s="8"/>
    </row>
    <row r="13" spans="1:16" hidden="1" outlineLevel="1" x14ac:dyDescent="0.25">
      <c r="B13" s="6"/>
      <c r="C13" s="9"/>
      <c r="D13" s="8"/>
    </row>
    <row r="14" spans="1:16" hidden="1" outlineLevel="1" x14ac:dyDescent="0.25"/>
    <row r="15" spans="1:16" hidden="1" outlineLevel="1" x14ac:dyDescent="0.25">
      <c r="B15" s="20" t="s">
        <v>22</v>
      </c>
      <c r="C15" s="21"/>
      <c r="D15" s="22"/>
    </row>
    <row r="16" spans="1:16" hidden="1" outlineLevel="1" x14ac:dyDescent="0.25">
      <c r="B16" s="1" t="s">
        <v>4</v>
      </c>
      <c r="C16" s="1" t="str" cm="1">
        <f t="array" aca="1" ref="C16" ca="1">_xll.TM1RPTVIEW(db_name&amp;":AE group adjustment entry:3", $C$27, _xll.TM1RPTTITLE(db_name&amp;":headline year",$K$58), _xll.TM1RPTTITLE(db_name&amp;":scenario",$K$59), _xll.TM1RPTTITLE(db_name&amp;":status",$K$60), _xll.TM1RPTTITLE(db_name&amp;":related entity",$K$66), _xll.TM1RPTTITLE(db_name&amp;":measure code",$K$65), _xll.TM1RPTTITLE(db_name&amp;":account type",$K$62), _xll.TM1RPTTITLE(db_name&amp;":account template",$K$64), _xll.TM1RPTTITLE(db_name&amp;":id",$C$32), _xll.TM1RPTTITLE(db_name&amp;":jurisdiction",$K$67), _xll.TM1RPTTITLE(db_name&amp;":group adjustment measure",$K$63),TM1RPTFMTRNG,TM1RPTFMTIDCOL)</f>
        <v>dcceew_geus:AE group adjustment entry:3</v>
      </c>
      <c r="D16" s="8"/>
    </row>
    <row r="17" spans="2:10" hidden="1" outlineLevel="1" x14ac:dyDescent="0.25">
      <c r="B17" s="1" t="s">
        <v>5</v>
      </c>
      <c r="C17" s="1" t="str" cm="1">
        <f t="array" aca="1" ref="C17" ca="1">_xll.VIEW(db_name&amp;":AE group adjustment entry",$K$58,$K$59,$K$60,$K$66,$K$65,"!",$K$62,$K$64,"!",$K$67,"!")</f>
        <v>dcceew_geus:AE group adjustment entry</v>
      </c>
      <c r="D17" s="8"/>
    </row>
    <row r="18" spans="2:10" hidden="1" outlineLevel="1" x14ac:dyDescent="0.25">
      <c r="B18" s="10" t="s">
        <v>26</v>
      </c>
      <c r="C18" s="1" t="str" cm="1">
        <f t="array" aca="1" ref="C18" ca="1">_xll.VIEW(db_name&amp;":sys_application","!","!")</f>
        <v>dcceew_geus:sys_application</v>
      </c>
      <c r="D18" s="8"/>
    </row>
    <row r="19" spans="2:10" hidden="1" outlineLevel="1" x14ac:dyDescent="0.25">
      <c r="B19" s="6"/>
      <c r="C19" s="7"/>
      <c r="D19" s="8"/>
    </row>
    <row r="20" spans="2:10" hidden="1" outlineLevel="1" x14ac:dyDescent="0.25"/>
    <row r="21" spans="2:10" hidden="1" outlineLevel="1" x14ac:dyDescent="0.25">
      <c r="B21" s="20" t="s">
        <v>23</v>
      </c>
      <c r="C21" s="21"/>
      <c r="D21" s="22"/>
    </row>
    <row r="22" spans="2:10" hidden="1" outlineLevel="1" x14ac:dyDescent="0.25">
      <c r="B22" s="1" t="s">
        <v>7</v>
      </c>
      <c r="C22" s="1" t="str">
        <f ca="1">"{DESCENDANTS ([programme].["&amp;$K$61&amp;"],2,SELF_AND_BEFORE)}"</f>
        <v>{DESCENDANTS ([programme].[],2,SELF_AND_BEFORE)}</v>
      </c>
      <c r="D22" s="8"/>
    </row>
    <row r="23" spans="2:10" hidden="1" outlineLevel="1" x14ac:dyDescent="0.25">
      <c r="B23" s="1" t="s">
        <v>8</v>
      </c>
      <c r="C23" s="1" t="str">
        <f ca="1">"{{TM1FILTERBYLEVEL( {TM1DRILLDOWNMEMBER( {[programme].["&amp;$K$61&amp;"]}, ALL, RECURSIVE )}, 0)}}"</f>
        <v>{{TM1FILTERBYLEVEL( {TM1DRILLDOWNMEMBER( {[programme].[]}, ALL, RECURSIVE )}, 0)}}</v>
      </c>
      <c r="D23" s="8"/>
    </row>
    <row r="24" spans="2:10" hidden="1" outlineLevel="1" x14ac:dyDescent="0.25">
      <c r="B24" s="1" t="s">
        <v>6</v>
      </c>
      <c r="C24" s="1" t="str">
        <f ca="1">VLOOKUP($O$59,$B$22:$C$23,2,FALSE)</f>
        <v>{{TM1FILTERBYLEVEL( {TM1DRILLDOWNMEMBER( {[programme].[]}, ALL, RECURSIVE )}, 0)}}</v>
      </c>
      <c r="D24" s="8"/>
    </row>
    <row r="25" spans="2:10" hidden="1" outlineLevel="1" x14ac:dyDescent="0.25"/>
    <row r="26" spans="2:10" hidden="1" outlineLevel="1" x14ac:dyDescent="0.25">
      <c r="B26" s="20" t="s">
        <v>24</v>
      </c>
      <c r="C26" s="21"/>
      <c r="D26" s="22"/>
    </row>
    <row r="27" spans="2:10" hidden="1" outlineLevel="1" x14ac:dyDescent="0.25">
      <c r="B27" s="10" t="s">
        <v>9</v>
      </c>
      <c r="C27" s="8">
        <f ca="1">IF($O$60="Yes",1,0)</f>
        <v>1</v>
      </c>
      <c r="D27" s="8"/>
    </row>
    <row r="28" spans="2:10" hidden="1" outlineLevel="1" x14ac:dyDescent="0.25">
      <c r="B28" s="10" t="s">
        <v>10</v>
      </c>
      <c r="C28" s="8">
        <f ca="1">IF($O$59="Detail",0,1)</f>
        <v>0</v>
      </c>
      <c r="D28" s="8"/>
    </row>
    <row r="29" spans="2:10" hidden="1" outlineLevel="1" x14ac:dyDescent="0.25">
      <c r="B29" s="10"/>
      <c r="C29" s="8"/>
      <c r="D29" s="8"/>
    </row>
    <row r="30" spans="2:10" hidden="1" outlineLevel="1" x14ac:dyDescent="0.25">
      <c r="J30" s="15"/>
    </row>
    <row r="31" spans="2:10" hidden="1" outlineLevel="1" x14ac:dyDescent="0.25">
      <c r="B31" s="20" t="s">
        <v>11</v>
      </c>
      <c r="C31" s="21"/>
      <c r="D31" s="22"/>
      <c r="J31" s="15"/>
    </row>
    <row r="32" spans="2:10" hidden="1" outlineLevel="1" x14ac:dyDescent="0.25">
      <c r="B32" s="10" t="s">
        <v>12</v>
      </c>
      <c r="C32" s="8" t="str" cm="1">
        <f t="array" aca="1" ref="C32" ca="1">_xll.SUBNM(db_name&amp;":id","",$D$32)</f>
        <v/>
      </c>
      <c r="D32" s="8" t="str">
        <f ca="1">IF($O$61="Total","Total IDs","New Adjustments")</f>
        <v>Total IDs</v>
      </c>
    </row>
    <row r="33" spans="2:8" hidden="1" outlineLevel="1" x14ac:dyDescent="0.25">
      <c r="B33" s="10"/>
      <c r="C33" s="8"/>
      <c r="D33" s="8"/>
    </row>
    <row r="34" spans="2:8" hidden="1" outlineLevel="1" x14ac:dyDescent="0.25"/>
    <row r="35" spans="2:8" hidden="1" outlineLevel="1" x14ac:dyDescent="0.25">
      <c r="B35" s="20" t="s">
        <v>26</v>
      </c>
      <c r="C35" s="21"/>
      <c r="D35" s="21"/>
      <c r="E35" s="21"/>
      <c r="F35" s="21"/>
      <c r="G35" s="21"/>
      <c r="H35" s="22"/>
    </row>
    <row r="36" spans="2:8" hidden="1" outlineLevel="1" x14ac:dyDescent="0.25">
      <c r="B36" s="10"/>
      <c r="C36" s="6" t="s">
        <v>27</v>
      </c>
      <c r="D36" s="6" t="s">
        <v>28</v>
      </c>
      <c r="E36" s="6" t="s">
        <v>29</v>
      </c>
      <c r="F36" s="6" t="s">
        <v>30</v>
      </c>
      <c r="G36" s="6" t="s">
        <v>31</v>
      </c>
      <c r="H36" s="6" t="s">
        <v>32</v>
      </c>
    </row>
    <row r="37" spans="2:8" hidden="1" outlineLevel="1" x14ac:dyDescent="0.25">
      <c r="B37" s="10" t="s">
        <v>33</v>
      </c>
      <c r="C37" s="10" t="str" cm="1">
        <f t="array" aca="1" ref="C37" ca="1">_xll.DBR($C$18,$B37,C$36)</f>
        <v>*KEY_ERR</v>
      </c>
      <c r="D37" s="10" t="str" cm="1">
        <f t="array" aca="1" ref="D37" ca="1">_xll.DBR($C$18,$B37,D$36)</f>
        <v>*KEY_ERR</v>
      </c>
      <c r="E37" s="10" t="str" cm="1">
        <f t="array" aca="1" ref="E37" ca="1">_xll.DBR($C$18,$B37,E$36)</f>
        <v>*KEY_ERR</v>
      </c>
      <c r="F37" s="10" t="str" cm="1">
        <f t="array" aca="1" ref="F37" ca="1">_xll.DBR($C$18,$B37,F$36)</f>
        <v>*KEY_ERR</v>
      </c>
      <c r="G37" s="10" t="str" cm="1">
        <f t="array" aca="1" ref="G37" ca="1">_xll.DBR($C$18,$B37,G$36)</f>
        <v>*KEY_ERR</v>
      </c>
      <c r="H37" s="10" t="str" cm="1">
        <f t="array" aca="1" ref="H37" ca="1">_xll.DBR($C$18,$B37,H$36)</f>
        <v>*KEY_ERR</v>
      </c>
    </row>
    <row r="38" spans="2:8" hidden="1" outlineLevel="1" x14ac:dyDescent="0.25">
      <c r="B38" s="10" t="s">
        <v>34</v>
      </c>
      <c r="C38" s="10" t="str" cm="1">
        <f t="array" aca="1" ref="C38" ca="1">_xll.DBR($C$18,$B38,C$36)</f>
        <v>*KEY_ERR</v>
      </c>
      <c r="D38" s="10" t="str" cm="1">
        <f t="array" aca="1" ref="D38" ca="1">_xll.DBR($C$18,$B38,D$36)</f>
        <v>*KEY_ERR</v>
      </c>
      <c r="E38" s="10" t="str" cm="1">
        <f t="array" aca="1" ref="E38" ca="1">_xll.DBR($C$18,$B38,E$36)</f>
        <v>*KEY_ERR</v>
      </c>
      <c r="F38" s="10" t="str" cm="1">
        <f t="array" aca="1" ref="F38" ca="1">_xll.DBR($C$18,$B38,F$36)</f>
        <v>*KEY_ERR</v>
      </c>
      <c r="G38" s="10" t="str" cm="1">
        <f t="array" aca="1" ref="G38" ca="1">_xll.DBR($C$18,$B38,G$36)</f>
        <v>*KEY_ERR</v>
      </c>
      <c r="H38" s="10" t="str" cm="1">
        <f t="array" aca="1" ref="H38" ca="1">_xll.DBR($C$18,$B38,H$36)</f>
        <v>*KEY_ERR</v>
      </c>
    </row>
    <row r="39" spans="2:8" hidden="1" outlineLevel="1" x14ac:dyDescent="0.25">
      <c r="B39" s="10" t="s">
        <v>35</v>
      </c>
      <c r="C39" s="10" t="str" cm="1">
        <f t="array" aca="1" ref="C39" ca="1">_xll.DBR($C$18,$B39,C$36)</f>
        <v>*KEY_ERR</v>
      </c>
      <c r="D39" s="10" t="str" cm="1">
        <f t="array" aca="1" ref="D39" ca="1">_xll.DBR($C$18,$B39,D$36)</f>
        <v>*KEY_ERR</v>
      </c>
      <c r="E39" s="10" t="str" cm="1">
        <f t="array" aca="1" ref="E39" ca="1">_xll.DBR($C$18,$B39,E$36)</f>
        <v>*KEY_ERR</v>
      </c>
      <c r="F39" s="10" t="str" cm="1">
        <f t="array" aca="1" ref="F39" ca="1">_xll.DBR($C$18,$B39,F$36)</f>
        <v>*KEY_ERR</v>
      </c>
      <c r="G39" s="10" t="str" cm="1">
        <f t="array" aca="1" ref="G39" ca="1">_xll.DBR($C$18,$B39,G$36)</f>
        <v>*KEY_ERR</v>
      </c>
      <c r="H39" s="10" t="str" cm="1">
        <f t="array" aca="1" ref="H39" ca="1">_xll.DBR($C$18,$B39,H$36)</f>
        <v>*KEY_ERR</v>
      </c>
    </row>
    <row r="40" spans="2:8" hidden="1" outlineLevel="1" x14ac:dyDescent="0.25">
      <c r="B40" s="10" t="s">
        <v>36</v>
      </c>
      <c r="C40" s="10" t="str" cm="1">
        <f t="array" aca="1" ref="C40" ca="1">_xll.DBR($C$18,$B40,C$36)</f>
        <v>*KEY_ERR</v>
      </c>
      <c r="D40" s="10" t="str" cm="1">
        <f t="array" aca="1" ref="D40" ca="1">_xll.DBR($C$18,$B40,D$36)</f>
        <v>*KEY_ERR</v>
      </c>
      <c r="E40" s="10" t="str" cm="1">
        <f t="array" aca="1" ref="E40" ca="1">_xll.DBR($C$18,$B40,E$36)</f>
        <v>*KEY_ERR</v>
      </c>
      <c r="F40" s="10" t="str" cm="1">
        <f t="array" aca="1" ref="F40" ca="1">_xll.DBR($C$18,$B40,F$36)</f>
        <v>*KEY_ERR</v>
      </c>
      <c r="G40" s="10" t="str" cm="1">
        <f t="array" aca="1" ref="G40" ca="1">_xll.DBR($C$18,$B40,G$36)</f>
        <v>*KEY_ERR</v>
      </c>
      <c r="H40" s="10" t="str" cm="1">
        <f t="array" aca="1" ref="H40" ca="1">_xll.DBR($C$18,$B40,H$36)</f>
        <v>*KEY_ERR</v>
      </c>
    </row>
    <row r="41" spans="2:8" hidden="1" outlineLevel="1" x14ac:dyDescent="0.25">
      <c r="B41" s="10" t="s">
        <v>60</v>
      </c>
      <c r="C41" s="10" t="str" cm="1">
        <f t="array" aca="1" ref="C41" ca="1">_xll.DBR($C$18,$B41,C$36)</f>
        <v>*KEY_ERR</v>
      </c>
      <c r="D41" s="10" t="str" cm="1">
        <f t="array" aca="1" ref="D41" ca="1">_xll.DBR($C$18,$B41,D$36)</f>
        <v>*KEY_ERR</v>
      </c>
      <c r="E41" s="10" t="str" cm="1">
        <f t="array" aca="1" ref="E41" ca="1">_xll.DBR($C$18,$B41,E$36)</f>
        <v>*KEY_ERR</v>
      </c>
      <c r="F41" s="10" t="str" cm="1">
        <f t="array" aca="1" ref="F41" ca="1">_xll.DBR($C$18,$B41,F$36)</f>
        <v>*KEY_ERR</v>
      </c>
      <c r="G41" s="10" t="str" cm="1">
        <f t="array" aca="1" ref="G41" ca="1">_xll.DBR($C$18,$B41,G$36)</f>
        <v>*KEY_ERR</v>
      </c>
      <c r="H41" s="10" t="str" cm="1">
        <f t="array" aca="1" ref="H41" ca="1">_xll.DBR($C$18,$B41,H$36)</f>
        <v>*KEY_ERR</v>
      </c>
    </row>
    <row r="42" spans="2:8" hidden="1" outlineLevel="1" x14ac:dyDescent="0.25">
      <c r="B42" s="10" t="s">
        <v>37</v>
      </c>
      <c r="C42" s="10" t="str" cm="1">
        <f t="array" aca="1" ref="C42" ca="1">_xll.DBR($C$18,$B42,C$36)</f>
        <v>*KEY_ERR</v>
      </c>
      <c r="D42" s="10" t="str" cm="1">
        <f t="array" aca="1" ref="D42" ca="1">_xll.DBR($C$18,$B42,D$36)</f>
        <v>*KEY_ERR</v>
      </c>
      <c r="E42" s="10" t="str" cm="1">
        <f t="array" aca="1" ref="E42" ca="1">_xll.DBR($C$18,$B42,E$36)</f>
        <v>*KEY_ERR</v>
      </c>
      <c r="F42" s="10" t="str" cm="1">
        <f t="array" aca="1" ref="F42" ca="1">_xll.DBR($C$18,$B42,F$36)</f>
        <v>*KEY_ERR</v>
      </c>
      <c r="G42" s="10" t="str" cm="1">
        <f t="array" aca="1" ref="G42" ca="1">_xll.DBR($C$18,$B42,G$36)</f>
        <v>*KEY_ERR</v>
      </c>
      <c r="H42" s="10" t="str" cm="1">
        <f t="array" aca="1" ref="H42" ca="1">_xll.DBR($C$18,$B42,H$36)</f>
        <v>*KEY_ERR</v>
      </c>
    </row>
    <row r="43" spans="2:8" hidden="1" outlineLevel="1" x14ac:dyDescent="0.25">
      <c r="B43" s="10" t="s">
        <v>38</v>
      </c>
      <c r="C43" s="10" t="str" cm="1">
        <f t="array" aca="1" ref="C43" ca="1">_xll.DBR($C$18,$B43,C$36)</f>
        <v>*KEY_ERR</v>
      </c>
      <c r="D43" s="10" t="str" cm="1">
        <f t="array" aca="1" ref="D43" ca="1">_xll.DBR($C$18,$B43,D$36)</f>
        <v>*KEY_ERR</v>
      </c>
      <c r="E43" s="10" t="str" cm="1">
        <f t="array" aca="1" ref="E43" ca="1">_xll.DBR($C$18,$B43,E$36)</f>
        <v>*KEY_ERR</v>
      </c>
      <c r="F43" s="10" t="str" cm="1">
        <f t="array" aca="1" ref="F43" ca="1">_xll.DBR($C$18,$B43,F$36)</f>
        <v>*KEY_ERR</v>
      </c>
      <c r="G43" s="10" t="str" cm="1">
        <f t="array" aca="1" ref="G43" ca="1">_xll.DBR($C$18,$B43,G$36)</f>
        <v>*KEY_ERR</v>
      </c>
      <c r="H43" s="10" t="str" cm="1">
        <f t="array" aca="1" ref="H43" ca="1">_xll.DBR($C$18,$B43,H$36)</f>
        <v>*KEY_ERR</v>
      </c>
    </row>
    <row r="44" spans="2:8" hidden="1" outlineLevel="1" x14ac:dyDescent="0.25">
      <c r="B44" s="10" t="s">
        <v>39</v>
      </c>
      <c r="C44" s="10" t="str" cm="1">
        <f t="array" aca="1" ref="C44" ca="1">_xll.DBR($C$18,$B44,C$36)</f>
        <v>*KEY_ERR</v>
      </c>
      <c r="D44" s="10" t="str" cm="1">
        <f t="array" aca="1" ref="D44" ca="1">_xll.DBR($C$18,$B44,D$36)</f>
        <v>*KEY_ERR</v>
      </c>
      <c r="E44" s="10" t="str" cm="1">
        <f t="array" aca="1" ref="E44" ca="1">_xll.DBR($C$18,$B44,E$36)</f>
        <v>*KEY_ERR</v>
      </c>
      <c r="F44" s="10" t="str" cm="1">
        <f t="array" aca="1" ref="F44" ca="1">_xll.DBR($C$18,$B44,F$36)</f>
        <v>*KEY_ERR</v>
      </c>
      <c r="G44" s="10" t="str" cm="1">
        <f t="array" aca="1" ref="G44" ca="1">_xll.DBR($C$18,$B44,G$36)</f>
        <v>*KEY_ERR</v>
      </c>
      <c r="H44" s="10" t="str" cm="1">
        <f t="array" aca="1" ref="H44" ca="1">_xll.DBR($C$18,$B44,H$36)</f>
        <v>*KEY_ERR</v>
      </c>
    </row>
    <row r="45" spans="2:8" hidden="1" outlineLevel="1" x14ac:dyDescent="0.25">
      <c r="B45" s="10" t="s">
        <v>40</v>
      </c>
      <c r="C45" s="10" t="str" cm="1">
        <f t="array" aca="1" ref="C45" ca="1">_xll.DBR($C$18,$B45,C$36)</f>
        <v>*KEY_ERR</v>
      </c>
      <c r="D45" s="10" t="str" cm="1">
        <f t="array" aca="1" ref="D45" ca="1">_xll.DBR($C$18,$B45,D$36)</f>
        <v>*KEY_ERR</v>
      </c>
      <c r="E45" s="10" t="str" cm="1">
        <f t="array" aca="1" ref="E45" ca="1">_xll.DBR($C$18,$B45,E$36)</f>
        <v>*KEY_ERR</v>
      </c>
      <c r="F45" s="10" t="str" cm="1">
        <f t="array" aca="1" ref="F45" ca="1">_xll.DBR($C$18,$B45,F$36)</f>
        <v>*KEY_ERR</v>
      </c>
      <c r="G45" s="10" t="str" cm="1">
        <f t="array" aca="1" ref="G45" ca="1">_xll.DBR($C$18,$B45,G$36)</f>
        <v>*KEY_ERR</v>
      </c>
      <c r="H45" s="10" t="str" cm="1">
        <f t="array" aca="1" ref="H45" ca="1">_xll.DBR($C$18,$B45,H$36)</f>
        <v>*KEY_ERR</v>
      </c>
    </row>
    <row r="46" spans="2:8" hidden="1" outlineLevel="1" x14ac:dyDescent="0.25">
      <c r="B46" s="10" t="s">
        <v>41</v>
      </c>
      <c r="C46" s="10" t="str" cm="1">
        <f t="array" aca="1" ref="C46" ca="1">_xll.DBR($C$18,$B46,C$36)</f>
        <v>*KEY_ERR</v>
      </c>
      <c r="D46" s="10" t="str" cm="1">
        <f t="array" aca="1" ref="D46" ca="1">_xll.DBR($C$18,$B46,D$36)</f>
        <v>*KEY_ERR</v>
      </c>
      <c r="E46" s="10" t="str" cm="1">
        <f t="array" aca="1" ref="E46" ca="1">_xll.DBR($C$18,$B46,E$36)</f>
        <v>*KEY_ERR</v>
      </c>
      <c r="F46" s="10" t="str" cm="1">
        <f t="array" aca="1" ref="F46" ca="1">_xll.DBR($C$18,$B46,F$36)</f>
        <v>*KEY_ERR</v>
      </c>
      <c r="G46" s="10" t="str" cm="1">
        <f t="array" aca="1" ref="G46" ca="1">_xll.DBR($C$18,$B46,G$36)</f>
        <v>*KEY_ERR</v>
      </c>
      <c r="H46" s="10" t="str" cm="1">
        <f t="array" aca="1" ref="H46" ca="1">_xll.DBR($C$18,$B46,H$36)</f>
        <v>*KEY_ERR</v>
      </c>
    </row>
    <row r="47" spans="2:8" hidden="1" outlineLevel="1" x14ac:dyDescent="0.25">
      <c r="B47" s="10" t="s">
        <v>42</v>
      </c>
      <c r="C47" s="10" t="str" cm="1">
        <f t="array" aca="1" ref="C47" ca="1">_xll.DBR($C$18,$B47,C$36)</f>
        <v>*KEY_ERR</v>
      </c>
      <c r="D47" s="10" t="str" cm="1">
        <f t="array" aca="1" ref="D47" ca="1">_xll.DBR($C$18,$B47,D$36)</f>
        <v>*KEY_ERR</v>
      </c>
      <c r="E47" s="10" t="str" cm="1">
        <f t="array" aca="1" ref="E47" ca="1">_xll.DBR($C$18,$B47,E$36)</f>
        <v>*KEY_ERR</v>
      </c>
      <c r="F47" s="10" t="str" cm="1">
        <f t="array" aca="1" ref="F47" ca="1">_xll.DBR($C$18,$B47,F$36)</f>
        <v>*KEY_ERR</v>
      </c>
      <c r="G47" s="10" t="str" cm="1">
        <f t="array" aca="1" ref="G47" ca="1">_xll.DBR($C$18,$B47,G$36)</f>
        <v>*KEY_ERR</v>
      </c>
      <c r="H47" s="10" t="str" cm="1">
        <f t="array" aca="1" ref="H47" ca="1">_xll.DBR($C$18,$B47,H$36)</f>
        <v>*KEY_ERR</v>
      </c>
    </row>
    <row r="48" spans="2:8" hidden="1" outlineLevel="1" x14ac:dyDescent="0.25"/>
    <row r="49" spans="1:16" hidden="1" outlineLevel="1" x14ac:dyDescent="0.25">
      <c r="J49" s="11" t="str">
        <f ca="1">RIGHT($K$58,9)</f>
        <v/>
      </c>
      <c r="K49" s="10" t="str" cm="1">
        <f t="array" aca="1" ref="K49" ca="1">_xll.DIMNM($C$12&amp;":period",_xll.DIMIX($C$12&amp;":period",$J$49)+K50)</f>
        <v/>
      </c>
      <c r="L49" s="10" t="str" cm="1">
        <f t="array" aca="1" ref="L49" ca="1">_xll.DIMNM($C$12&amp;":period",_xll.DIMIX($C$12&amp;":period",$J$49)+L50)</f>
        <v/>
      </c>
      <c r="M49" s="10" t="str" cm="1">
        <f t="array" aca="1" ref="M49" ca="1">_xll.DIMNM($C$12&amp;":period",_xll.DIMIX($C$12&amp;":period",$J$49)+M50)</f>
        <v/>
      </c>
      <c r="N49" s="10" t="str" cm="1">
        <f t="array" aca="1" ref="N49" ca="1">_xll.DIMNM($C$12&amp;":period",_xll.DIMIX($C$12&amp;":period",$J$49)+N50)</f>
        <v/>
      </c>
      <c r="O49" s="10" t="str" cm="1">
        <f t="array" aca="1" ref="O49" ca="1">_xll.DIMNM($C$12&amp;":period",_xll.DIMIX($C$12&amp;":period",$J$49)+O50)</f>
        <v/>
      </c>
      <c r="P49" s="10" t="str" cm="1">
        <f t="array" aca="1" ref="P49" ca="1">_xll.DIMNM($C$12&amp;":period",_xll.DIMIX($C$12&amp;":period",$J$49)+P50)</f>
        <v/>
      </c>
    </row>
    <row r="50" spans="1:16" hidden="1" outlineLevel="1" x14ac:dyDescent="0.25">
      <c r="J50" s="11" t="s">
        <v>25</v>
      </c>
      <c r="K50" s="10">
        <v>-1</v>
      </c>
      <c r="L50" s="10">
        <v>0</v>
      </c>
      <c r="M50" s="10">
        <v>1</v>
      </c>
      <c r="N50" s="10">
        <v>2</v>
      </c>
      <c r="O50" s="10">
        <v>3</v>
      </c>
      <c r="P50" s="10">
        <v>4</v>
      </c>
    </row>
    <row r="51" spans="1:16" hidden="1" outlineLevel="1" x14ac:dyDescent="0.25"/>
    <row r="52" spans="1:16" ht="39.75" customHeight="1" collapsed="1" x14ac:dyDescent="0.2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 t="s">
        <v>13</v>
      </c>
    </row>
    <row r="53" spans="1:16" ht="4.1500000000000004" customHeight="1" x14ac:dyDescent="0.25"/>
    <row r="54" spans="1:16" ht="24" customHeight="1" x14ac:dyDescent="0.25"/>
    <row r="55" spans="1:16" ht="1.5" customHeight="1" x14ac:dyDescent="0.25">
      <c r="G55" t="s">
        <v>43</v>
      </c>
      <c r="I55" s="12"/>
      <c r="J55" s="12"/>
      <c r="K55" s="12"/>
      <c r="L55" s="12"/>
      <c r="M55" s="12"/>
      <c r="N55" s="12"/>
      <c r="O55" s="12"/>
      <c r="P55" s="12"/>
    </row>
    <row r="56" spans="1:16" ht="14.45" customHeight="1" x14ac:dyDescent="0.25"/>
    <row r="57" spans="1:16" ht="15.75" thickBot="1" x14ac:dyDescent="0.3">
      <c r="K57" s="23" t="s">
        <v>44</v>
      </c>
      <c r="L57" s="24"/>
      <c r="N57" s="25" t="s">
        <v>59</v>
      </c>
      <c r="O57" s="25"/>
    </row>
    <row r="58" spans="1:16" ht="15.75" thickBot="1" x14ac:dyDescent="0.3">
      <c r="J58" s="13" t="s">
        <v>45</v>
      </c>
      <c r="K58" s="26" t="str" cm="1">
        <f t="array" aca="1" ref="K58" ca="1">_xll.SUBNM(db_name&amp;":headline year","current",1,"")</f>
        <v/>
      </c>
      <c r="L58" s="27"/>
      <c r="N58" s="2" t="s">
        <v>55</v>
      </c>
      <c r="O58" s="16" t="s">
        <v>14</v>
      </c>
    </row>
    <row r="59" spans="1:16" ht="15.75" thickBot="1" x14ac:dyDescent="0.3">
      <c r="J59" s="13" t="s">
        <v>46</v>
      </c>
      <c r="K59" s="26" t="str" cm="1">
        <f t="array" aca="1" ref="K59" ca="1">_xll.SUBNM(db_name&amp;":scenario","","current","")</f>
        <v/>
      </c>
      <c r="L59" s="27"/>
      <c r="N59" s="2" t="s">
        <v>56</v>
      </c>
      <c r="O59" s="16" t="s">
        <v>8</v>
      </c>
    </row>
    <row r="60" spans="1:16" ht="15.75" thickBot="1" x14ac:dyDescent="0.3">
      <c r="J60" s="13" t="s">
        <v>47</v>
      </c>
      <c r="K60" s="26" t="str" cm="1">
        <f t="array" aca="1" ref="K60" ca="1">_xll.SUBNM(db_name&amp;":status","","Total approved","")</f>
        <v/>
      </c>
      <c r="L60" s="27"/>
      <c r="N60" s="2" t="s">
        <v>57</v>
      </c>
      <c r="O60" s="16" t="s">
        <v>15</v>
      </c>
    </row>
    <row r="61" spans="1:16" ht="15.75" thickBot="1" x14ac:dyDescent="0.3">
      <c r="J61" s="13" t="s">
        <v>48</v>
      </c>
      <c r="K61" s="26" t="str" cm="1">
        <f t="array" aca="1" ref="K61" ca="1">_xll.SUBNM(db_name&amp;":programme","","Administered Programmes","code and description")</f>
        <v/>
      </c>
      <c r="L61" s="27"/>
      <c r="N61" s="2" t="s">
        <v>58</v>
      </c>
      <c r="O61" s="16" t="s">
        <v>16</v>
      </c>
    </row>
    <row r="62" spans="1:16" x14ac:dyDescent="0.25">
      <c r="J62" s="13" t="s">
        <v>54</v>
      </c>
      <c r="K62" s="26" t="str" cm="1">
        <f t="array" aca="1" ref="K62" ca="1">_xll.SUBNM(db_name&amp;":account type","","Customer Numbers")</f>
        <v/>
      </c>
      <c r="L62" s="27"/>
      <c r="M62" s="2"/>
      <c r="N62" s="14"/>
      <c r="O62" s="14"/>
      <c r="P62" s="14"/>
    </row>
    <row r="63" spans="1:16" x14ac:dyDescent="0.25">
      <c r="J63" s="13" t="s">
        <v>53</v>
      </c>
      <c r="K63" s="26" t="str" cm="1">
        <f t="array" aca="1" ref="K63" ca="1">_xll.SUBNM(db_name&amp;":group adjustment measure","","value")</f>
        <v/>
      </c>
      <c r="L63" s="27"/>
      <c r="M63" s="14"/>
      <c r="N63" s="14"/>
      <c r="O63" s="14"/>
      <c r="P63" s="14"/>
    </row>
    <row r="64" spans="1:16" x14ac:dyDescent="0.25">
      <c r="J64" s="13" t="s">
        <v>52</v>
      </c>
      <c r="K64" s="26" t="str" cm="1">
        <f t="array" aca="1" ref="K64" ca="1">_xll.SUBNM(db_name&amp;":account template","","Total account templates","title")</f>
        <v/>
      </c>
      <c r="L64" s="27"/>
      <c r="M64" s="14"/>
      <c r="N64" s="14"/>
      <c r="O64" s="14"/>
      <c r="P64" s="14"/>
    </row>
    <row r="65" spans="1:16" x14ac:dyDescent="0.25">
      <c r="J65" s="13" t="s">
        <v>49</v>
      </c>
      <c r="K65" s="26" t="str" cm="1">
        <f t="array" aca="1" ref="K65" ca="1">_xll.SUBNM(db_name&amp;":measure code","","Total Measures")</f>
        <v/>
      </c>
      <c r="L65" s="27"/>
      <c r="M65" s="14"/>
      <c r="N65" s="14"/>
      <c r="O65" s="14"/>
      <c r="P65" s="14"/>
    </row>
    <row r="66" spans="1:16" x14ac:dyDescent="0.25">
      <c r="J66" s="13" t="s">
        <v>50</v>
      </c>
      <c r="K66" s="26" t="str" cm="1">
        <f t="array" aca="1" ref="K66" ca="1">_xll.SUBNM(db_name&amp;":related entity","","Total related entity")</f>
        <v/>
      </c>
      <c r="L66" s="27"/>
      <c r="M66" s="14"/>
      <c r="N66" s="14"/>
      <c r="O66" s="14"/>
      <c r="P66" s="14"/>
    </row>
    <row r="67" spans="1:16" x14ac:dyDescent="0.25">
      <c r="J67" s="13" t="s">
        <v>51</v>
      </c>
      <c r="K67" s="26" t="str" cm="1">
        <f t="array" aca="1" ref="K67" ca="1">_xll.SUBNM(db_name&amp;":jurisdiction","","Total jurisdictions")</f>
        <v/>
      </c>
      <c r="L67" s="27"/>
      <c r="M67" s="14"/>
      <c r="N67" s="14"/>
      <c r="O67" s="14"/>
      <c r="P67" s="14"/>
    </row>
    <row r="68" spans="1:16" ht="4.5" customHeight="1" x14ac:dyDescent="0.25">
      <c r="J68" s="2"/>
      <c r="K68" s="14"/>
      <c r="L68" s="14"/>
      <c r="M68" s="14"/>
      <c r="N68" s="14"/>
      <c r="O68" s="14"/>
      <c r="P68" s="14"/>
    </row>
    <row r="69" spans="1:16" ht="9.9499999999999993" customHeight="1" x14ac:dyDescent="0.25"/>
    <row r="70" spans="1:16" x14ac:dyDescent="0.25">
      <c r="J70" s="17" t="s">
        <v>61</v>
      </c>
      <c r="K70" s="17" t="str">
        <f t="shared" ref="K70:P70" ca="1" si="0">K$49</f>
        <v/>
      </c>
      <c r="L70" s="17" t="str">
        <f t="shared" ca="1" si="0"/>
        <v/>
      </c>
      <c r="M70" s="17" t="str">
        <f t="shared" ca="1" si="0"/>
        <v/>
      </c>
      <c r="N70" s="17" t="str">
        <f t="shared" ca="1" si="0"/>
        <v/>
      </c>
      <c r="O70" s="17" t="str">
        <f t="shared" ca="1" si="0"/>
        <v/>
      </c>
      <c r="P70" s="17" t="str">
        <f t="shared" ca="1" si="0"/>
        <v/>
      </c>
    </row>
    <row r="71" spans="1:16" ht="4.5" customHeight="1" x14ac:dyDescent="0.25">
      <c r="K71" s="19"/>
      <c r="L71" s="19"/>
      <c r="M71" s="19"/>
      <c r="N71" s="19"/>
      <c r="O71" s="19"/>
      <c r="P71" s="19"/>
    </row>
    <row r="72" spans="1:16" ht="12" customHeight="1" thickBot="1" x14ac:dyDescent="0.3">
      <c r="H72" t="s">
        <v>17</v>
      </c>
      <c r="J72" s="13" t="s">
        <v>18</v>
      </c>
      <c r="K72" s="18" t="str" cm="1">
        <f t="array" aca="1" ref="K72" ca="1">_xll.DBRW($C$17,$K$58,$K$59,$K$60,$K$66,$K$65,$K$61,$K$62,$K$64,$H$72,$K$67,K$70,$K$63)</f>
        <v/>
      </c>
      <c r="L72" s="18" t="str" cm="1">
        <f t="array" aca="1" ref="L72" ca="1">_xll.DBRW($C$17,$K$58,$K$59,$K$60,$K$66,$K$65,$K$61,$K$62,$K$64,$H$72,$K$67,L$70,$K$63)</f>
        <v/>
      </c>
      <c r="M72" s="18" t="str" cm="1">
        <f t="array" aca="1" ref="M72" ca="1">_xll.DBRW($C$17,$K$58,$K$59,$K$60,$K$66,$K$65,$K$61,$K$62,$K$64,$H$72,$K$67,M$70,$K$63)</f>
        <v/>
      </c>
      <c r="N72" s="18" t="str" cm="1">
        <f t="array" aca="1" ref="N72" ca="1">_xll.DBRW($C$17,$K$58,$K$59,$K$60,$K$66,$K$65,$K$61,$K$62,$K$64,$H$72,$K$67,N$70,$K$63)</f>
        <v/>
      </c>
      <c r="O72" s="18" t="str" cm="1">
        <f t="array" aca="1" ref="O72" ca="1">_xll.DBRW($C$17,$K$58,$K$59,$K$60,$K$66,$K$65,$K$61,$K$62,$K$64,$H$72,$K$67,O$70,$K$63)</f>
        <v/>
      </c>
      <c r="P72" s="18" t="str" cm="1">
        <f t="array" aca="1" ref="P72" ca="1">_xll.DBRW($C$17,$K$58,$K$59,$K$60,$K$66,$K$65,$K$61,$K$62,$K$64,$H$72,$K$67,P$70,$K$63)</f>
        <v/>
      </c>
    </row>
    <row r="73" spans="1:16" ht="4.5" customHeight="1" thickTop="1" x14ac:dyDescent="0.25"/>
    <row r="74" spans="1:16" x14ac:dyDescent="0.25">
      <c r="A74" t="str" cm="1">
        <f t="array" aca="1" ref="A74" ca="1">IF(_xll.TM1RPTELISCONSOLIDATED($J$74,$J74),IF(_xll.TM1RPTELLEV($J$74,$J74)&lt;=3,_xll.TM1RPTELLEV($J$74,$J74),"D"),"N")</f>
        <v>N</v>
      </c>
      <c r="J74" s="1" t="str" cm="1">
        <f t="array" aca="1" ref="J74" ca="1">_xll.TM1RPTROW($C$16,db_name&amp;":programme","","",$O$58,0,$C$24,,$C$28)</f>
        <v/>
      </c>
      <c r="K74" s="4" t="str" cm="1">
        <f t="array" aca="1" ref="K74" ca="1">_xll.DBRW($C$16,$K$58,$K$59,$K$60,$K$66,$K$65,$J74,$K$62,$K$64,$C$32,$K$67,K$70,$K$63)</f>
        <v/>
      </c>
      <c r="L74" s="4" t="str" cm="1">
        <f t="array" aca="1" ref="L74" ca="1">_xll.DBRW($C$16,$K$58,$K$59,$K$60,$K$66,$K$65,$J74,$K$62,$K$64,$C$32,$K$67,L$70,$K$63)</f>
        <v/>
      </c>
      <c r="M74" s="4" t="str" cm="1">
        <f t="array" aca="1" ref="M74" ca="1">_xll.DBRW($C$16,$K$58,$K$59,$K$60,$K$66,$K$65,$J74,$K$62,$K$64,$C$32,$K$67,M$70,$K$63)</f>
        <v/>
      </c>
      <c r="N74" s="4" t="str" cm="1">
        <f t="array" aca="1" ref="N74" ca="1">_xll.DBRW($C$16,$K$58,$K$59,$K$60,$K$66,$K$65,$J74,$K$62,$K$64,$C$32,$K$67,N$70,$K$63)</f>
        <v/>
      </c>
      <c r="O74" s="4" t="str" cm="1">
        <f t="array" aca="1" ref="O74" ca="1">_xll.DBRW($C$16,$K$58,$K$59,$K$60,$K$66,$K$65,$J74,$K$62,$K$64,$C$32,$K$67,O$70,$K$63)</f>
        <v/>
      </c>
      <c r="P74" s="4" t="str" cm="1">
        <f t="array" aca="1" ref="P74" ca="1">_xll.DBRW($C$16,$K$58,$K$59,$K$60,$K$66,$K$65,$J74,$K$62,$K$64,$C$32,$K$67,P$70,$K$63)</f>
        <v/>
      </c>
    </row>
    <row r="75" spans="1:16" ht="4.5" customHeight="1" x14ac:dyDescent="0.25"/>
    <row r="76" spans="1:16" ht="15.75" thickBot="1" x14ac:dyDescent="0.3">
      <c r="H76" t="s">
        <v>19</v>
      </c>
      <c r="J76" s="13" t="s">
        <v>16</v>
      </c>
      <c r="K76" s="18" t="str" cm="1">
        <f t="array" aca="1" ref="K76" ca="1">_xll.DBRW($C$17,$K$58,$K$59,$K$60,$K$66,$K$65,$K$61,$K$62,$K$64,$H$76,$K$67,K$70,$K$63)</f>
        <v/>
      </c>
      <c r="L76" s="18" t="str" cm="1">
        <f t="array" aca="1" ref="L76" ca="1">_xll.DBRW($C$17,$K$58,$K$59,$K$60,$K$66,$K$65,$K$61,$K$62,$K$64,$H$76,$K$67,L$70,$K$63)</f>
        <v/>
      </c>
      <c r="M76" s="18" t="str" cm="1">
        <f t="array" aca="1" ref="M76" ca="1">_xll.DBRW($C$17,$K$58,$K$59,$K$60,$K$66,$K$65,$K$61,$K$62,$K$64,$H$76,$K$67,M$70,$K$63)</f>
        <v/>
      </c>
      <c r="N76" s="18" t="str" cm="1">
        <f t="array" aca="1" ref="N76" ca="1">_xll.DBRW($C$17,$K$58,$K$59,$K$60,$K$66,$K$65,$K$61,$K$62,$K$64,$H$76,$K$67,N$70,$K$63)</f>
        <v/>
      </c>
      <c r="O76" s="18" t="str" cm="1">
        <f t="array" aca="1" ref="O76" ca="1">_xll.DBRW($C$17,$K$58,$K$59,$K$60,$K$66,$K$65,$K$61,$K$62,$K$64,$H$76,$K$67,O$70,$K$63)</f>
        <v/>
      </c>
      <c r="P76" s="18" t="str" cm="1">
        <f t="array" aca="1" ref="P76" ca="1">_xll.DBRW($C$17,$K$58,$K$59,$K$60,$K$66,$K$65,$K$61,$K$62,$K$64,$H$76,$K$67,P$70,$K$63)</f>
        <v/>
      </c>
    </row>
    <row r="77" spans="1:16" ht="15.75" thickTop="1" x14ac:dyDescent="0.25"/>
    <row r="102" spans="16:16" x14ac:dyDescent="0.25">
      <c r="P102" s="2"/>
    </row>
  </sheetData>
  <sheetProtection sheet="1" objects="1" scenarios="1"/>
  <mergeCells count="18">
    <mergeCell ref="K67:L67"/>
    <mergeCell ref="K62:L62"/>
    <mergeCell ref="K63:L63"/>
    <mergeCell ref="K64:L64"/>
    <mergeCell ref="K65:L65"/>
    <mergeCell ref="K66:L66"/>
    <mergeCell ref="N57:O57"/>
    <mergeCell ref="K58:L58"/>
    <mergeCell ref="K59:L59"/>
    <mergeCell ref="K60:L60"/>
    <mergeCell ref="K61:L61"/>
    <mergeCell ref="B35:H35"/>
    <mergeCell ref="K57:L57"/>
    <mergeCell ref="B31:D31"/>
    <mergeCell ref="B11:D11"/>
    <mergeCell ref="B15:D15"/>
    <mergeCell ref="B21:D21"/>
    <mergeCell ref="B26:D26"/>
  </mergeCells>
  <conditionalFormatting sqref="K72:P72">
    <cfRule type="expression" dxfId="3" priority="1">
      <formula>#REF!="Total Ids"</formula>
    </cfRule>
    <cfRule type="expression" dxfId="2" priority="2">
      <formula>#REF!="0000A"</formula>
    </cfRule>
  </conditionalFormatting>
  <conditionalFormatting sqref="K76:P76">
    <cfRule type="expression" dxfId="1" priority="8">
      <formula>#REF!="Total Ids"</formula>
    </cfRule>
    <cfRule type="expression" dxfId="0" priority="9">
      <formula>#REF!="0000A"</formula>
    </cfRule>
  </conditionalFormatting>
  <dataValidations disablePrompts="1" count="2">
    <dataValidation type="list" allowBlank="1" showInputMessage="1" showErrorMessage="1" sqref="O58" xr:uid="{43B3C4EF-5294-4CFD-998B-49BFB406F0B0}">
      <formula1>"code and description,description"</formula1>
    </dataValidation>
    <dataValidation type="list" allowBlank="1" showInputMessage="1" showErrorMessage="1" sqref="O61 N62" xr:uid="{88ABBDE2-96B8-4548-8F46-A968C0FD5972}">
      <formula1>"Total,Movements"</formula1>
    </dataValidation>
  </dataValidations>
  <pageMargins left="0.70866141732283472" right="0.70866141732283472" top="0.74803149606299213" bottom="0.74803149606299213" header="0.31496062992125984" footer="0.31496062992125984"/>
  <pageSetup paperSize="9" scale="64" fitToHeight="0" orientation="portrait" r:id="rId1"/>
  <drawing r:id="rId2"/>
  <legacyDrawing r:id="rId3"/>
  <controls>
    <mc:AlternateContent xmlns:mc="http://schemas.openxmlformats.org/markup-compatibility/2006">
      <mc:Choice Requires="x14">
        <control shapeId="2879" r:id="rId4" name="TIButton6">
          <controlPr defaultSize="0" print="0" autoLine="0" r:id="rId5">
            <anchor moveWithCells="1" sizeWithCells="1">
              <from>
                <xdr:col>9</xdr:col>
                <xdr:colOff>3000375</xdr:colOff>
                <xdr:row>53</xdr:row>
                <xdr:rowOff>9525</xdr:rowOff>
              </from>
              <to>
                <xdr:col>10</xdr:col>
                <xdr:colOff>476250</xdr:colOff>
                <xdr:row>53</xdr:row>
                <xdr:rowOff>257175</xdr:rowOff>
              </to>
            </anchor>
          </controlPr>
        </control>
      </mc:Choice>
      <mc:Fallback>
        <control shapeId="2879" r:id="rId4" name="TIButton6"/>
      </mc:Fallback>
    </mc:AlternateContent>
    <mc:AlternateContent xmlns:mc="http://schemas.openxmlformats.org/markup-compatibility/2006">
      <mc:Choice Requires="x14">
        <control shapeId="2877" r:id="rId6" name="TIButton4">
          <controlPr defaultSize="0" print="0" autoLine="0" r:id="rId7">
            <anchor moveWithCells="1" sizeWithCells="1">
              <from>
                <xdr:col>12</xdr:col>
                <xdr:colOff>428625</xdr:colOff>
                <xdr:row>53</xdr:row>
                <xdr:rowOff>9525</xdr:rowOff>
              </from>
              <to>
                <xdr:col>13</xdr:col>
                <xdr:colOff>352425</xdr:colOff>
                <xdr:row>53</xdr:row>
                <xdr:rowOff>257175</xdr:rowOff>
              </to>
            </anchor>
          </controlPr>
        </control>
      </mc:Choice>
      <mc:Fallback>
        <control shapeId="2877" r:id="rId6" name="TIButton4"/>
      </mc:Fallback>
    </mc:AlternateContent>
    <mc:AlternateContent xmlns:mc="http://schemas.openxmlformats.org/markup-compatibility/2006">
      <mc:Choice Requires="x14">
        <control shapeId="2876" r:id="rId8" name="TIButton3">
          <controlPr defaultSize="0" print="0" autoLine="0" r:id="rId9">
            <anchor moveWithCells="1" sizeWithCells="1">
              <from>
                <xdr:col>9</xdr:col>
                <xdr:colOff>1628775</xdr:colOff>
                <xdr:row>53</xdr:row>
                <xdr:rowOff>9525</xdr:rowOff>
              </from>
              <to>
                <xdr:col>9</xdr:col>
                <xdr:colOff>2990850</xdr:colOff>
                <xdr:row>53</xdr:row>
                <xdr:rowOff>257175</xdr:rowOff>
              </to>
            </anchor>
          </controlPr>
        </control>
      </mc:Choice>
      <mc:Fallback>
        <control shapeId="2876" r:id="rId8" name="TIButton3"/>
      </mc:Fallback>
    </mc:AlternateContent>
    <mc:AlternateContent xmlns:mc="http://schemas.openxmlformats.org/markup-compatibility/2006">
      <mc:Choice Requires="x14">
        <control shapeId="2875" r:id="rId10" name="TIButton2">
          <controlPr defaultSize="0" print="0" autoLine="0" r:id="rId11">
            <anchor moveWithCells="1" sizeWithCells="1">
              <from>
                <xdr:col>9</xdr:col>
                <xdr:colOff>742950</xdr:colOff>
                <xdr:row>53</xdr:row>
                <xdr:rowOff>9525</xdr:rowOff>
              </from>
              <to>
                <xdr:col>9</xdr:col>
                <xdr:colOff>1600200</xdr:colOff>
                <xdr:row>53</xdr:row>
                <xdr:rowOff>257175</xdr:rowOff>
              </to>
            </anchor>
          </controlPr>
        </control>
      </mc:Choice>
      <mc:Fallback>
        <control shapeId="2875" r:id="rId10" name="TIButton2"/>
      </mc:Fallback>
    </mc:AlternateContent>
    <mc:AlternateContent xmlns:mc="http://schemas.openxmlformats.org/markup-compatibility/2006">
      <mc:Choice Requires="x14">
        <control shapeId="2874" r:id="rId12" name="TIButton1">
          <controlPr defaultSize="0" print="0" autoLine="0" r:id="rId13">
            <anchor moveWithCells="1" sizeWithCells="1">
              <from>
                <xdr:col>9</xdr:col>
                <xdr:colOff>66675</xdr:colOff>
                <xdr:row>53</xdr:row>
                <xdr:rowOff>9525</xdr:rowOff>
              </from>
              <to>
                <xdr:col>9</xdr:col>
                <xdr:colOff>704850</xdr:colOff>
                <xdr:row>53</xdr:row>
                <xdr:rowOff>257175</xdr:rowOff>
              </to>
            </anchor>
          </controlPr>
        </control>
      </mc:Choice>
      <mc:Fallback>
        <control shapeId="2874" r:id="rId12" name="TIButton1"/>
      </mc:Fallback>
    </mc:AlternateContent>
    <mc:AlternateContent xmlns:mc="http://schemas.openxmlformats.org/markup-compatibility/2006">
      <mc:Choice Requires="x14">
        <control shapeId="2880" r:id="rId14" name="TIButton5">
          <controlPr defaultSize="0" print="0" autoLine="0" r:id="rId15">
            <anchor moveWithCells="1" sizeWithCells="1">
              <from>
                <xdr:col>10</xdr:col>
                <xdr:colOff>514350</xdr:colOff>
                <xdr:row>53</xdr:row>
                <xdr:rowOff>9525</xdr:rowOff>
              </from>
              <to>
                <xdr:col>12</xdr:col>
                <xdr:colOff>381000</xdr:colOff>
                <xdr:row>53</xdr:row>
                <xdr:rowOff>257175</xdr:rowOff>
              </to>
            </anchor>
          </controlPr>
        </control>
      </mc:Choice>
      <mc:Fallback>
        <control shapeId="2880" r:id="rId14" name="TIButton5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CustNo</vt:lpstr>
      <vt:lpstr>db_name</vt:lpstr>
      <vt:lpstr>TM1GrpViewAdj01HeaderCAP</vt:lpstr>
      <vt:lpstr>TM1GrpViewAdj01HeaderWB</vt:lpstr>
      <vt:lpstr>TM1GrpViewAdj01HeaderWS</vt:lpstr>
      <vt:lpstr>TM1HomeAdminCAP</vt:lpstr>
      <vt:lpstr>TM1HomeAdminWB</vt:lpstr>
      <vt:lpstr>TM1HomeAdminWS</vt:lpstr>
      <vt:lpstr>TM1HomeAECAP</vt:lpstr>
      <vt:lpstr>TM1HomeAEWB</vt:lpstr>
      <vt:lpstr>TM1HomeAEWS</vt:lpstr>
      <vt:lpstr>TM1HomeCAP</vt:lpstr>
      <vt:lpstr>TM1HomeRepAdditionalCAP</vt:lpstr>
      <vt:lpstr>TM1HomeRepAdditionalWB</vt:lpstr>
      <vt:lpstr>TM1HomeRepAdditionalWS</vt:lpstr>
      <vt:lpstr>TM1HomeRepAnalyticalCAP</vt:lpstr>
      <vt:lpstr>TM1HomeRepAnalyticalWB</vt:lpstr>
      <vt:lpstr>TM1HomeRepAnalyticalWS</vt:lpstr>
      <vt:lpstr>TM1HomeRepCAP</vt:lpstr>
      <vt:lpstr>TM1HomeRepOtherCAP</vt:lpstr>
      <vt:lpstr>TM1HomeRepOtherWB</vt:lpstr>
      <vt:lpstr>TM1HomeRepOtherWS</vt:lpstr>
      <vt:lpstr>TM1HomeRepWB</vt:lpstr>
      <vt:lpstr>TM1HomeRepWS</vt:lpstr>
      <vt:lpstr>TM1HomeWB</vt:lpstr>
      <vt:lpstr>TM1HomeWS</vt:lpstr>
      <vt:lpstr>TM1OthRprTBalCAP</vt:lpstr>
      <vt:lpstr>TM1OthRprTBalWB</vt:lpstr>
      <vt:lpstr>TM1OthRprTBalWS</vt:lpstr>
      <vt:lpstr>TM1OthRprTxnByReasonCAP</vt:lpstr>
      <vt:lpstr>TM1OthRprTxnByReasonWB</vt:lpstr>
      <vt:lpstr>TM1OthRprTxnByReasonWS</vt:lpstr>
      <vt:lpstr>CustNo!TM1RPTDATARNG3</vt:lpstr>
      <vt:lpstr>CustNo!TM1RPTFMTIDCOL</vt:lpstr>
      <vt:lpstr>CustNo!TM1RPTFMTRNG</vt:lpstr>
      <vt:lpstr>TM1ViewAdj01HeaderCAP</vt:lpstr>
      <vt:lpstr>TM1ViewAdj01HeaderWB</vt:lpstr>
      <vt:lpstr>TM1ViewAdj01HeaderWS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Mustafa Kashmari</dc:creator>
  <cp:lastModifiedBy>Xin HE</cp:lastModifiedBy>
  <dcterms:created xsi:type="dcterms:W3CDTF">2020-05-24T10:10:00Z</dcterms:created>
  <dcterms:modified xsi:type="dcterms:W3CDTF">2025-08-05T04:27:21Z</dcterms:modified>
</cp:coreProperties>
</file>