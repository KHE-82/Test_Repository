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F301FDA7-604B-474A-9B94-8FA3BE83C811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Menu" sheetId="1" r:id="rId1"/>
  </sheets>
  <definedNames>
    <definedName name="db_name">Menu!$C$2</definedName>
    <definedName name="home">Menu!$G$28</definedName>
    <definedName name="Menu">Menu!$G$29</definedName>
    <definedName name="psUser">Menu!$C$7</definedName>
    <definedName name="TM1AdminRDSAccountCAP">Menu!$D$42</definedName>
    <definedName name="TM1AdminRDSAccountWB">Menu!$F$42</definedName>
    <definedName name="TM1AdminRDSAccountWS">Menu!$H$42</definedName>
    <definedName name="TM1AdminRDSAppropItemCAP">Menu!$D$41</definedName>
    <definedName name="TM1AdminRDSAppropItemWB">Menu!$F$41</definedName>
    <definedName name="TM1AdminRDSAppropItemWS">Menu!$H$41</definedName>
    <definedName name="TM1AdminRDSAppropTypeCAP">Menu!$D$48</definedName>
    <definedName name="TM1AdminRDSAppropTypeWB">Menu!$F$48</definedName>
    <definedName name="TM1AdminRDSAppropTypeWS">Menu!$H$48</definedName>
    <definedName name="TM1AdminRDSFuncCAP">Menu!$D$46</definedName>
    <definedName name="TM1AdminRDSFuncWB">Menu!$F$46</definedName>
    <definedName name="TM1AdminRDSFuncWS">Menu!$H$46</definedName>
    <definedName name="TM1AdminRDSJurCAP">Menu!$D$49</definedName>
    <definedName name="TM1AdminRDSJurWB">Menu!$F$49</definedName>
    <definedName name="TM1AdminRDSJurWS">Menu!$H$49</definedName>
    <definedName name="TM1AdminRDSMACAP">Menu!$D$43</definedName>
    <definedName name="TM1AdminRDSMAWB">Menu!$F$43</definedName>
    <definedName name="TM1AdminRDSMAWS">Menu!$H$43</definedName>
    <definedName name="TM1AdminRDSMeasCodeCAP">Menu!$D$39</definedName>
    <definedName name="TM1AdminRDSMeasCodeWB">Menu!$F$39</definedName>
    <definedName name="TM1AdminRDSMeasCodeWS">Menu!$H$39</definedName>
    <definedName name="TM1AdminRDSOutcomeCAP">Menu!$D$47</definedName>
    <definedName name="TM1AdminRDSOutcomeWB">Menu!$F$47</definedName>
    <definedName name="TM1AdminRDSOutcomeWS">Menu!$H$47</definedName>
    <definedName name="TM1AdminRDSProgCAP">Menu!$D$38</definedName>
    <definedName name="TM1AdminRDSProgWB">Menu!$F$38</definedName>
    <definedName name="TM1AdminRDSProgWS">Menu!$H$38</definedName>
    <definedName name="TM1AdminRDSReasonCAP">Menu!$D$40</definedName>
    <definedName name="TM1AdminRDSReasonWB">Menu!$F$40</definedName>
    <definedName name="TM1AdminRDSReasonWS">Menu!$H$40</definedName>
    <definedName name="TM1AdminRDSRECAP">Menu!$D$44</definedName>
    <definedName name="TM1AdminRDSREWB">Menu!$F$44</definedName>
    <definedName name="TM1AdminRDSREWS">Menu!$H$44</definedName>
    <definedName name="TM1AdminRDSSPPCAP">Menu!$D$45</definedName>
    <definedName name="TM1AdminRDSSPPWB">Menu!$F$45</definedName>
    <definedName name="TM1AdminRDSSPPWS">Menu!$H$45</definedName>
    <definedName name="TM1HomeAdminBaseCAP">Menu!$D$36</definedName>
    <definedName name="TM1HomeAdminBaseWB">Menu!$F$36</definedName>
    <definedName name="TM1HomeAdminBaseWS">Menu!$H$36</definedName>
    <definedName name="TM1HomeAdminCAP">Menu!$D$31</definedName>
    <definedName name="TM1HomeAdminFavCAP">Menu!$D$35</definedName>
    <definedName name="TM1HomeAdminFavWB">Menu!$F$35</definedName>
    <definedName name="TM1HomeAdminFavWS">Menu!$H$35</definedName>
    <definedName name="TM1HomeAdminGEUSCAP">Menu!$D$34</definedName>
    <definedName name="TM1HomeAdminGEUSWB">Menu!$F$34</definedName>
    <definedName name="TM1HomeAdminGEUSWS">Menu!$H$34</definedName>
    <definedName name="TM1HomeAdminRDSCAP">Menu!$D$32</definedName>
    <definedName name="TM1HomeAdminRDSMapCAP">Menu!$D$33</definedName>
    <definedName name="TM1HomeAdminRDSMapWB">Menu!$F$33</definedName>
    <definedName name="TM1HomeAdminRDSMapWS">Menu!$H$33</definedName>
    <definedName name="TM1HomeAdminRDSWB">Menu!$F$32</definedName>
    <definedName name="TM1HomeAdminRDSWS">Menu!$H$32</definedName>
    <definedName name="TM1HomeAdminWB">Menu!$F$31</definedName>
    <definedName name="TM1HomeAdminWS">Menu!$H$31</definedName>
    <definedName name="TM1HomeAECAP">Menu!$D$29</definedName>
    <definedName name="TM1HomeAEWB">Menu!$F$29</definedName>
    <definedName name="TM1HomeAEWS">Menu!$H$29</definedName>
    <definedName name="TM1HomeCAP">Menu!$D$28</definedName>
    <definedName name="TM1HomeRepCAP">Menu!$D$30</definedName>
    <definedName name="TM1HomeRepWB">Menu!$F$30</definedName>
    <definedName name="TM1HomeRepWS">Menu!$H$30</definedName>
    <definedName name="TM1HomeUnderCAP">Menu!$D$37</definedName>
    <definedName name="TM1HomeUnderWB">Menu!$F$37</definedName>
    <definedName name="TM1HomeUnderWS">Menu!$H$37</definedName>
    <definedName name="TM1HomeWB">Menu!$F$28</definedName>
    <definedName name="TM1HomeWS">Menu!$H$28</definedName>
    <definedName name="TM1REBUILDOPTION">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C6" i="1"/>
  <c r="C5" i="1"/>
  <c r="C7" i="1"/>
  <c r="C26" i="1"/>
  <c r="C38" i="1"/>
  <c r="D38" i="1"/>
  <c r="E38" i="1"/>
  <c r="F38" i="1"/>
  <c r="G38" i="1"/>
  <c r="H38" i="1"/>
  <c r="C39" i="1"/>
  <c r="D39" i="1"/>
  <c r="E39" i="1"/>
  <c r="F39" i="1"/>
  <c r="G39" i="1"/>
  <c r="H39" i="1"/>
  <c r="C40" i="1"/>
  <c r="D40" i="1"/>
  <c r="E40" i="1"/>
  <c r="F40" i="1"/>
  <c r="G40" i="1"/>
  <c r="H40" i="1"/>
  <c r="C41" i="1"/>
  <c r="D41" i="1"/>
  <c r="E41" i="1"/>
  <c r="F41" i="1"/>
  <c r="G41" i="1"/>
  <c r="H41" i="1"/>
  <c r="C42" i="1"/>
  <c r="D42" i="1"/>
  <c r="E42" i="1"/>
  <c r="F42" i="1"/>
  <c r="G42" i="1"/>
  <c r="H42" i="1"/>
  <c r="C43" i="1"/>
  <c r="D43" i="1"/>
  <c r="E43" i="1"/>
  <c r="F43" i="1"/>
  <c r="G43" i="1"/>
  <c r="H43" i="1"/>
  <c r="C44" i="1"/>
  <c r="D44" i="1"/>
  <c r="E44" i="1"/>
  <c r="F44" i="1"/>
  <c r="G44" i="1"/>
  <c r="H44" i="1"/>
  <c r="C45" i="1"/>
  <c r="D45" i="1"/>
  <c r="E45" i="1"/>
  <c r="F45" i="1"/>
  <c r="G45" i="1"/>
  <c r="H45" i="1"/>
  <c r="C46" i="1"/>
  <c r="D46" i="1"/>
  <c r="E46" i="1"/>
  <c r="F46" i="1"/>
  <c r="G46" i="1"/>
  <c r="H46" i="1"/>
  <c r="C47" i="1"/>
  <c r="D47" i="1"/>
  <c r="E47" i="1"/>
  <c r="F47" i="1"/>
  <c r="G47" i="1"/>
  <c r="H47" i="1"/>
  <c r="C48" i="1"/>
  <c r="D48" i="1"/>
  <c r="E48" i="1"/>
  <c r="F48" i="1"/>
  <c r="G48" i="1"/>
  <c r="H48" i="1"/>
  <c r="C49" i="1"/>
  <c r="D49" i="1"/>
  <c r="E49" i="1"/>
  <c r="F49" i="1"/>
  <c r="G49" i="1"/>
  <c r="H49" i="1"/>
  <c r="H33" i="1"/>
  <c r="G33" i="1"/>
  <c r="F33" i="1"/>
  <c r="E33" i="1"/>
  <c r="D33" i="1"/>
  <c r="C33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2" i="1"/>
  <c r="G32" i="1"/>
  <c r="F32" i="1"/>
  <c r="E32" i="1"/>
  <c r="D32" i="1"/>
  <c r="C32" i="1"/>
  <c r="K94" i="1"/>
  <c r="H37" i="1"/>
  <c r="H31" i="1"/>
  <c r="H30" i="1"/>
  <c r="H29" i="1"/>
  <c r="H28" i="1"/>
  <c r="G37" i="1"/>
  <c r="F37" i="1"/>
  <c r="E37" i="1"/>
  <c r="D37" i="1"/>
  <c r="C37" i="1"/>
  <c r="G31" i="1"/>
  <c r="F31" i="1"/>
  <c r="E31" i="1"/>
  <c r="D31" i="1"/>
  <c r="C31" i="1"/>
  <c r="G30" i="1"/>
  <c r="F30" i="1"/>
  <c r="E30" i="1"/>
  <c r="D30" i="1"/>
  <c r="C30" i="1"/>
  <c r="G29" i="1"/>
  <c r="F29" i="1"/>
  <c r="E29" i="1"/>
  <c r="D29" i="1"/>
  <c r="C29" i="1"/>
  <c r="G28" i="1"/>
  <c r="F28" i="1"/>
  <c r="E28" i="1"/>
  <c r="D28" i="1"/>
  <c r="C28" i="1"/>
  <c r="C18" i="1"/>
  <c r="C10" i="1"/>
  <c r="C12" i="1"/>
  <c r="C11" i="1"/>
  <c r="C13" i="1"/>
  <c r="C14" i="1"/>
  <c r="C15" i="1"/>
  <c r="K54" i="1"/>
  <c r="W52" i="1"/>
  <c r="C22" i="1"/>
  <c r="C21" i="1"/>
  <c r="C20" i="1"/>
  <c r="C19" i="1"/>
</calcChain>
</file>

<file path=xl/sharedStrings.xml><?xml version="1.0" encoding="utf-8"?>
<sst xmlns="http://schemas.openxmlformats.org/spreadsheetml/2006/main" count="55" uniqueCount="54">
  <si>
    <t>Workbook</t>
  </si>
  <si>
    <t>Worksheet</t>
  </si>
  <si>
    <t>Slice View</t>
  </si>
  <si>
    <t>Database Variables</t>
  </si>
  <si>
    <t>Database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</si>
  <si>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</si>
  <si>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</si>
  <si>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</si>
  <si>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</si>
  <si>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</si>
  <si>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</si>
  <si>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</si>
  <si>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Message</t>
  </si>
  <si>
    <t>Client Preference</t>
  </si>
  <si>
    <t>geus hl year</t>
  </si>
  <si>
    <t>geus scenario</t>
  </si>
  <si>
    <t>geus adj</t>
  </si>
  <si>
    <t>geus programme</t>
  </si>
  <si>
    <t>sys_application</t>
  </si>
  <si>
    <t>favapp_application</t>
  </si>
  <si>
    <t>Client Preference Measure</t>
  </si>
  <si>
    <t>TM1 User</t>
  </si>
  <si>
    <t>}Clients</t>
  </si>
  <si>
    <t>}TM1_DefaultDisplayValue</t>
  </si>
  <si>
    <t>GEUS User Name</t>
  </si>
  <si>
    <t>Homepage - Home</t>
  </si>
  <si>
    <t>Homepage - Annual Estimates</t>
  </si>
  <si>
    <t>Homepage - Reports</t>
  </si>
  <si>
    <t>Homepage - Administration</t>
  </si>
  <si>
    <t>Homepage - Under Construction</t>
  </si>
  <si>
    <t>Caption</t>
  </si>
  <si>
    <t>Workbook Name</t>
  </si>
  <si>
    <t>Worksheet Name</t>
  </si>
  <si>
    <t>Caption Name</t>
  </si>
  <si>
    <t>Homepage - Administration - RDS</t>
  </si>
  <si>
    <t>Homepage - Administration - GEUS Setup</t>
  </si>
  <si>
    <t>Homepage - Administration - Favourites</t>
  </si>
  <si>
    <t>Homepage - Administration - Baseline</t>
  </si>
  <si>
    <t>ADMINISTRATION</t>
  </si>
  <si>
    <t>Homepage - Administration - RDS Mapping</t>
  </si>
  <si>
    <t>Admin RDS - Programme</t>
  </si>
  <si>
    <t>Admin RDS - Measure Code</t>
  </si>
  <si>
    <t>Admin RDS - Reason Code</t>
  </si>
  <si>
    <t>Admin RDS - Appropriation Item</t>
  </si>
  <si>
    <t>Admin RDS - Account</t>
  </si>
  <si>
    <t>Admin RDS - Movement Account</t>
  </si>
  <si>
    <t>Admin RDS - Related Entity</t>
  </si>
  <si>
    <t>Admin RDS - SPP</t>
  </si>
  <si>
    <t>Admin RDS - Function</t>
  </si>
  <si>
    <t>Admin RDS - Outcome</t>
  </si>
  <si>
    <t>Admin RDS - Appropriation Type</t>
  </si>
  <si>
    <t>Admin RDS - Jurisdiction</t>
  </si>
  <si>
    <t>REFERENCE DATA SET ATTRIBUTES MENU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</si>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</sst>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1"/>
      <color theme="0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"/>
      <family val="2"/>
    </font>
    <font>
      <sz val="8"/>
      <color indexed="62"/>
      <name val="Verdana"/>
      <family val="2"/>
    </font>
    <font>
      <sz val="11"/>
      <color theme="8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1F7DBE"/>
        <bgColor indexed="64"/>
      </patternFill>
    </fill>
    <fill>
      <patternFill patternType="solid">
        <fgColor rgb="FF535354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7" fillId="0" borderId="0">
      <protection locked="0"/>
    </xf>
  </cellStyleXfs>
  <cellXfs count="2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2" fillId="3" borderId="0" xfId="0" applyFont="1" applyFill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5" fillId="3" borderId="0" xfId="0" applyFont="1" applyFill="1" applyAlignment="1">
      <alignment horizontal="right" vertical="center"/>
    </xf>
    <xf numFmtId="0" fontId="6" fillId="5" borderId="0" xfId="1" applyFont="1" applyFill="1" applyAlignment="1" applyProtection="1">
      <alignment vertical="center"/>
    </xf>
    <xf numFmtId="0" fontId="0" fillId="6" borderId="0" xfId="0" applyFill="1"/>
    <xf numFmtId="0" fontId="0" fillId="0" borderId="1" xfId="0" applyBorder="1" applyAlignment="1">
      <alignment horizontal="left"/>
    </xf>
    <xf numFmtId="0" fontId="3" fillId="3" borderId="0" xfId="0" applyFont="1" applyFill="1" applyAlignment="1">
      <alignment horizontal="right" vertical="center" indent="1"/>
    </xf>
    <xf numFmtId="0" fontId="0" fillId="0" borderId="5" xfId="0" applyBorder="1"/>
    <xf numFmtId="0" fontId="8" fillId="0" borderId="0" xfId="0" applyFont="1"/>
    <xf numFmtId="0" fontId="6" fillId="3" borderId="0" xfId="0" applyFont="1" applyFill="1" applyAlignment="1">
      <alignment horizontal="left" vertical="center"/>
    </xf>
    <xf numFmtId="0" fontId="6" fillId="5" borderId="0" xfId="1" applyFont="1" applyFill="1" applyAlignment="1" applyProtection="1">
      <alignment horizontal="left" vertic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4" fillId="4" borderId="0" xfId="0" applyFont="1" applyFill="1" applyAlignment="1">
      <alignment horizontal="left" vertical="center" indent="1"/>
    </xf>
  </cellXfs>
  <cellStyles count="2">
    <cellStyle name="Normal" xfId="0" builtinId="0"/>
    <cellStyle name="Normal 2" xfId="1" xr:uid="{00000000-0005-0000-0000-000001000000}"/>
  </cellStyles>
  <dxfs count="1">
    <dxf>
      <font>
        <color theme="0"/>
      </font>
      <fill>
        <patternFill>
          <bgColor theme="9" tint="-0.49998474074526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333F48"/>
      <color rgb="FF006C5B"/>
      <color rgb="FF4F86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1236052</xdr:colOff>
      <xdr:row>53</xdr:row>
      <xdr:rowOff>55686</xdr:rowOff>
    </xdr:from>
    <xdr:to>
      <xdr:col>22</xdr:col>
      <xdr:colOff>210100</xdr:colOff>
      <xdr:row>53</xdr:row>
      <xdr:rowOff>340374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577" y="9952161"/>
          <a:ext cx="284688" cy="284688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58</xdr:row>
      <xdr:rowOff>57150</xdr:rowOff>
    </xdr:from>
    <xdr:to>
      <xdr:col>15</xdr:col>
      <xdr:colOff>307716</xdr:colOff>
      <xdr:row>58</xdr:row>
      <xdr:rowOff>243840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449550" y="10391775"/>
          <a:ext cx="241041" cy="1905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285236</xdr:colOff>
      <xdr:row>58</xdr:row>
      <xdr:rowOff>249855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64600" y="104013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28575</xdr:rowOff>
    </xdr:from>
    <xdr:to>
      <xdr:col>12</xdr:col>
      <xdr:colOff>53340</xdr:colOff>
      <xdr:row>51</xdr:row>
      <xdr:rowOff>478155</xdr:rowOff>
    </xdr:to>
    <xdr:pic>
      <xdr:nvPicPr>
        <xdr:cNvPr id="21" name="Picture 3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47625</xdr:colOff>
      <xdr:row>58</xdr:row>
      <xdr:rowOff>66675</xdr:rowOff>
    </xdr:from>
    <xdr:to>
      <xdr:col>22</xdr:col>
      <xdr:colOff>285236</xdr:colOff>
      <xdr:row>58</xdr:row>
      <xdr:rowOff>249855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1066800"/>
          <a:ext cx="241421" cy="190800"/>
        </a:xfrm>
        <a:prstGeom prst="rect">
          <a:avLst/>
        </a:prstGeom>
      </xdr:spPr>
    </xdr:pic>
    <xdr:clientData/>
  </xdr:twoCellAnchor>
  <xdr:twoCellAnchor editAs="oneCell">
    <xdr:from>
      <xdr:col>23</xdr:col>
      <xdr:colOff>19050</xdr:colOff>
      <xdr:row>0</xdr:row>
      <xdr:rowOff>0</xdr:rowOff>
    </xdr:from>
    <xdr:to>
      <xdr:col>26</xdr:col>
      <xdr:colOff>76200</xdr:colOff>
      <xdr:row>59</xdr:row>
      <xdr:rowOff>19050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30100" y="0"/>
          <a:ext cx="1885950" cy="18859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59</xdr:row>
      <xdr:rowOff>47625</xdr:rowOff>
    </xdr:from>
    <xdr:to>
      <xdr:col>14</xdr:col>
      <xdr:colOff>752475</xdr:colOff>
      <xdr:row>62</xdr:row>
      <xdr:rowOff>0</xdr:rowOff>
    </xdr:to>
    <xdr:sp macro="Sheet1.ExecuteAction_e638ead6_0913_48f2_8ed6_734a73b4b93b" textlink="TM1HomeAdminGEUSCAP">
      <xdr:nvSpPr>
        <xdr:cNvPr id="2" name="TM1Button_e638ead6_0913_48f2_8ed6_734a73b4b93b">
          <a:extLst>
            <a:ext uri="{FF2B5EF4-FFF2-40B4-BE49-F238E27FC236}">
              <a16:creationId xmlns:a16="http://schemas.microsoft.com/office/drawing/2014/main" id="{C062A875-A1C3-36D4-83F1-6D3434C95653}"/>
            </a:ext>
          </a:extLst>
        </xdr:cNvPr>
        <xdr:cNvSpPr txBox="1"/>
      </xdr:nvSpPr>
      <xdr:spPr>
        <a:xfrm>
          <a:off x="438150" y="19335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DDE30BA-6762-4748-B75B-EAD166E0BB9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62</xdr:row>
      <xdr:rowOff>47625</xdr:rowOff>
    </xdr:from>
    <xdr:to>
      <xdr:col>21</xdr:col>
      <xdr:colOff>1038225</xdr:colOff>
      <xdr:row>64</xdr:row>
      <xdr:rowOff>57150</xdr:rowOff>
    </xdr:to>
    <xdr:sp macro="Sheet1.ExecuteAction_18387daa_6102_4453_9585_a893686d66e1" textlink="TM1AdminRDSMeasCodeCAP">
      <xdr:nvSpPr>
        <xdr:cNvPr id="3" name="TM1Button_18387daa_6102_4453_9585_a893686d66e1">
          <a:extLst>
            <a:ext uri="{FF2B5EF4-FFF2-40B4-BE49-F238E27FC236}">
              <a16:creationId xmlns:a16="http://schemas.microsoft.com/office/drawing/2014/main" id="{B312D8B7-53B7-AC0F-3619-502C1AD851A3}"/>
            </a:ext>
          </a:extLst>
        </xdr:cNvPr>
        <xdr:cNvSpPr txBox="1"/>
      </xdr:nvSpPr>
      <xdr:spPr>
        <a:xfrm>
          <a:off x="6858000" y="22955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3529FB2-4964-40FB-AE25-F8211EDE548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64</xdr:row>
      <xdr:rowOff>104775</xdr:rowOff>
    </xdr:from>
    <xdr:to>
      <xdr:col>21</xdr:col>
      <xdr:colOff>1038225</xdr:colOff>
      <xdr:row>66</xdr:row>
      <xdr:rowOff>114300</xdr:rowOff>
    </xdr:to>
    <xdr:sp macro="Sheet1.ExecuteAction_24e0e1fc_f8ad_41ac_b45f_987b2273fc28" textlink="TM1AdminRDSReasonCAP">
      <xdr:nvSpPr>
        <xdr:cNvPr id="4" name="TM1Button_24e0e1fc_f8ad_41ac_b45f_987b2273fc28">
          <a:extLst>
            <a:ext uri="{FF2B5EF4-FFF2-40B4-BE49-F238E27FC236}">
              <a16:creationId xmlns:a16="http://schemas.microsoft.com/office/drawing/2014/main" id="{07A3BFA5-2F0C-BAEE-0738-ABDAC506713D}"/>
            </a:ext>
          </a:extLst>
        </xdr:cNvPr>
        <xdr:cNvSpPr txBox="1"/>
      </xdr:nvSpPr>
      <xdr:spPr>
        <a:xfrm>
          <a:off x="6858000" y="26574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D9701E-D621-49CD-971E-DB65DBE2624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66</xdr:row>
      <xdr:rowOff>161925</xdr:rowOff>
    </xdr:from>
    <xdr:to>
      <xdr:col>21</xdr:col>
      <xdr:colOff>1038225</xdr:colOff>
      <xdr:row>68</xdr:row>
      <xdr:rowOff>38100</xdr:rowOff>
    </xdr:to>
    <xdr:sp macro="Sheet1.ExecuteAction_b0149406_2b91_48c0_897b_eef0988d6f43" textlink="TM1AdminRDSAppropItemCAP">
      <xdr:nvSpPr>
        <xdr:cNvPr id="5" name="TM1Button_b0149406_2b91_48c0_897b_eef0988d6f43">
          <a:extLst>
            <a:ext uri="{FF2B5EF4-FFF2-40B4-BE49-F238E27FC236}">
              <a16:creationId xmlns:a16="http://schemas.microsoft.com/office/drawing/2014/main" id="{92C98273-092D-4842-B338-94A54433E07F}"/>
            </a:ext>
          </a:extLst>
        </xdr:cNvPr>
        <xdr:cNvSpPr txBox="1"/>
      </xdr:nvSpPr>
      <xdr:spPr>
        <a:xfrm>
          <a:off x="6858000" y="30194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E8EF0BA-6544-4784-8231-B143C091213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68</xdr:row>
      <xdr:rowOff>85725</xdr:rowOff>
    </xdr:from>
    <xdr:to>
      <xdr:col>21</xdr:col>
      <xdr:colOff>1038225</xdr:colOff>
      <xdr:row>70</xdr:row>
      <xdr:rowOff>152400</xdr:rowOff>
    </xdr:to>
    <xdr:sp macro="Sheet1.ExecuteAction_f2751539_ce7f_4489_b55f_ac1087534940" textlink="TM1AdminRDSAccountCAP">
      <xdr:nvSpPr>
        <xdr:cNvPr id="6" name="TM1Button_f2751539_ce7f_4489_b55f_ac1087534940">
          <a:extLst>
            <a:ext uri="{FF2B5EF4-FFF2-40B4-BE49-F238E27FC236}">
              <a16:creationId xmlns:a16="http://schemas.microsoft.com/office/drawing/2014/main" id="{2A7A537D-A8EF-3106-9B08-A72D58334D5D}"/>
            </a:ext>
          </a:extLst>
        </xdr:cNvPr>
        <xdr:cNvSpPr txBox="1"/>
      </xdr:nvSpPr>
      <xdr:spPr>
        <a:xfrm>
          <a:off x="6858000" y="33813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33241F-1716-4A24-8010-42B086BC7A9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71</xdr:row>
      <xdr:rowOff>9525</xdr:rowOff>
    </xdr:from>
    <xdr:to>
      <xdr:col>21</xdr:col>
      <xdr:colOff>1038225</xdr:colOff>
      <xdr:row>74</xdr:row>
      <xdr:rowOff>19050</xdr:rowOff>
    </xdr:to>
    <xdr:sp macro="Sheet1.ExecuteAction_9ae8ecc1_73d3_4a0e_8144_6422ebceef16" textlink="TM1AdminRDSMACAP">
      <xdr:nvSpPr>
        <xdr:cNvPr id="7" name="TM1Button_9ae8ecc1_73d3_4a0e_8144_6422ebceef16">
          <a:extLst>
            <a:ext uri="{FF2B5EF4-FFF2-40B4-BE49-F238E27FC236}">
              <a16:creationId xmlns:a16="http://schemas.microsoft.com/office/drawing/2014/main" id="{2CDF9173-495A-7070-18E6-B633EF90AB1E}"/>
            </a:ext>
          </a:extLst>
        </xdr:cNvPr>
        <xdr:cNvSpPr txBox="1"/>
      </xdr:nvSpPr>
      <xdr:spPr>
        <a:xfrm>
          <a:off x="6858000" y="37433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3561035-D562-4EDA-B940-49C46C0CA77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74</xdr:row>
      <xdr:rowOff>66675</xdr:rowOff>
    </xdr:from>
    <xdr:to>
      <xdr:col>21</xdr:col>
      <xdr:colOff>1038225</xdr:colOff>
      <xdr:row>76</xdr:row>
      <xdr:rowOff>133350</xdr:rowOff>
    </xdr:to>
    <xdr:sp macro="Sheet1.ExecuteAction_f84a597e_efa2_41ce_a5ee_25743dad3f6e" textlink="TM1AdminRDSRECAP">
      <xdr:nvSpPr>
        <xdr:cNvPr id="8" name="TM1Button_f84a597e_efa2_41ce_a5ee_25743dad3f6e">
          <a:extLst>
            <a:ext uri="{FF2B5EF4-FFF2-40B4-BE49-F238E27FC236}">
              <a16:creationId xmlns:a16="http://schemas.microsoft.com/office/drawing/2014/main" id="{8F94CD22-BD8F-8004-AAA4-8FF67F78BD4C}"/>
            </a:ext>
          </a:extLst>
        </xdr:cNvPr>
        <xdr:cNvSpPr txBox="1"/>
      </xdr:nvSpPr>
      <xdr:spPr>
        <a:xfrm>
          <a:off x="6858000" y="41052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CCBF3E-DD41-46D3-B339-6B60B2347CC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80</xdr:row>
      <xdr:rowOff>47625</xdr:rowOff>
    </xdr:from>
    <xdr:to>
      <xdr:col>21</xdr:col>
      <xdr:colOff>1038225</xdr:colOff>
      <xdr:row>82</xdr:row>
      <xdr:rowOff>114300</xdr:rowOff>
    </xdr:to>
    <xdr:sp macro="Sheet1.ExecuteAction_97336f57_dd14_4026_bdbc_93a3d384ecdb" textlink="TM1AdminRDSFuncCAP">
      <xdr:nvSpPr>
        <xdr:cNvPr id="10" name="TM1Button_97336f57_dd14_4026_bdbc_93a3d384ecdb">
          <a:extLst>
            <a:ext uri="{FF2B5EF4-FFF2-40B4-BE49-F238E27FC236}">
              <a16:creationId xmlns:a16="http://schemas.microsoft.com/office/drawing/2014/main" id="{AEC7E36A-CC06-4BA3-3A69-84AE8E6202B2}"/>
            </a:ext>
          </a:extLst>
        </xdr:cNvPr>
        <xdr:cNvSpPr txBox="1"/>
      </xdr:nvSpPr>
      <xdr:spPr>
        <a:xfrm>
          <a:off x="6858000" y="48291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83A5919-C910-4291-8E22-4FC4ADB636C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82</xdr:row>
      <xdr:rowOff>161925</xdr:rowOff>
    </xdr:from>
    <xdr:to>
      <xdr:col>21</xdr:col>
      <xdr:colOff>1038225</xdr:colOff>
      <xdr:row>85</xdr:row>
      <xdr:rowOff>38100</xdr:rowOff>
    </xdr:to>
    <xdr:sp macro="Sheet1.ExecuteAction_059bfabd_013b_46aa_9586_13a5f75f72d7" textlink="TM1AdminRDSOutcomeCAP">
      <xdr:nvSpPr>
        <xdr:cNvPr id="13" name="TM1Button_059bfabd_013b_46aa_9586_13a5f75f72d7">
          <a:extLst>
            <a:ext uri="{FF2B5EF4-FFF2-40B4-BE49-F238E27FC236}">
              <a16:creationId xmlns:a16="http://schemas.microsoft.com/office/drawing/2014/main" id="{CEF0E73B-0B0D-04E5-0499-C25A7E25CEEB}"/>
            </a:ext>
          </a:extLst>
        </xdr:cNvPr>
        <xdr:cNvSpPr txBox="1"/>
      </xdr:nvSpPr>
      <xdr:spPr>
        <a:xfrm>
          <a:off x="6858000" y="51911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179512F-390B-4B66-9C43-4C9F35C18367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66</xdr:row>
      <xdr:rowOff>161925</xdr:rowOff>
    </xdr:from>
    <xdr:to>
      <xdr:col>14</xdr:col>
      <xdr:colOff>752475</xdr:colOff>
      <xdr:row>68</xdr:row>
      <xdr:rowOff>38100</xdr:rowOff>
    </xdr:to>
    <xdr:sp macro="Sheet1.ExecuteAction_8af5302a_9ef3_44fb_afbc_f370c390d92b" textlink="TM1HomeAdminBaseCAP">
      <xdr:nvSpPr>
        <xdr:cNvPr id="14" name="TM1Button_8af5302a_9ef3_44fb_afbc_f370c390d92b">
          <a:extLst>
            <a:ext uri="{FF2B5EF4-FFF2-40B4-BE49-F238E27FC236}">
              <a16:creationId xmlns:a16="http://schemas.microsoft.com/office/drawing/2014/main" id="{C6D1CE46-E50B-BA3A-739A-007888862769}"/>
            </a:ext>
          </a:extLst>
        </xdr:cNvPr>
        <xdr:cNvSpPr txBox="1"/>
      </xdr:nvSpPr>
      <xdr:spPr>
        <a:xfrm>
          <a:off x="438150" y="301942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047261D-2E6A-447F-9416-CC110EAF20C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86</xdr:row>
      <xdr:rowOff>28575</xdr:rowOff>
    </xdr:from>
    <xdr:to>
      <xdr:col>21</xdr:col>
      <xdr:colOff>1038225</xdr:colOff>
      <xdr:row>88</xdr:row>
      <xdr:rowOff>95250</xdr:rowOff>
    </xdr:to>
    <xdr:sp macro="Sheet1.ExecuteAction_d254042a_4def_4fcd_9ac3_770025e0988e" textlink="TM1AdminRDSAppropTypeCAP">
      <xdr:nvSpPr>
        <xdr:cNvPr id="15" name="TM1Button_d254042a_4def_4fcd_9ac3_770025e0988e">
          <a:extLst>
            <a:ext uri="{FF2B5EF4-FFF2-40B4-BE49-F238E27FC236}">
              <a16:creationId xmlns:a16="http://schemas.microsoft.com/office/drawing/2014/main" id="{1A0E0D61-7C13-0C94-C8C0-C25FB7984323}"/>
            </a:ext>
          </a:extLst>
        </xdr:cNvPr>
        <xdr:cNvSpPr txBox="1"/>
      </xdr:nvSpPr>
      <xdr:spPr>
        <a:xfrm>
          <a:off x="6858000" y="55530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5897F5-CE8E-4384-9AE1-85B5299AC08C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62</xdr:row>
      <xdr:rowOff>47625</xdr:rowOff>
    </xdr:from>
    <xdr:to>
      <xdr:col>14</xdr:col>
      <xdr:colOff>752475</xdr:colOff>
      <xdr:row>64</xdr:row>
      <xdr:rowOff>57150</xdr:rowOff>
    </xdr:to>
    <xdr:sp macro="Sheet1.ExecuteAction_e8a963a1_e24c_4cd7_8b1d_6a4696ffbc61" textlink="TM1HomeAdminRDSCAP">
      <xdr:nvSpPr>
        <xdr:cNvPr id="16" name="TM1Button_e8a963a1_e24c_4cd7_8b1d_6a4696ffbc61">
          <a:extLst>
            <a:ext uri="{FF2B5EF4-FFF2-40B4-BE49-F238E27FC236}">
              <a16:creationId xmlns:a16="http://schemas.microsoft.com/office/drawing/2014/main" id="{6A91520A-EFAB-AD78-F25B-F017E266421C}"/>
            </a:ext>
          </a:extLst>
        </xdr:cNvPr>
        <xdr:cNvSpPr txBox="1"/>
      </xdr:nvSpPr>
      <xdr:spPr>
        <a:xfrm>
          <a:off x="438150" y="2295525"/>
          <a:ext cx="4695825" cy="314325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DF7F190-4275-48AA-BB53-219E62FD13D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88</xdr:row>
      <xdr:rowOff>142875</xdr:rowOff>
    </xdr:from>
    <xdr:to>
      <xdr:col>21</xdr:col>
      <xdr:colOff>1038225</xdr:colOff>
      <xdr:row>91</xdr:row>
      <xdr:rowOff>19050</xdr:rowOff>
    </xdr:to>
    <xdr:sp macro="Sheet1.ExecuteAction_31e43906_d2f1_4855_bc19_98f07d658961" textlink="TM1AdminRDSJurCAP">
      <xdr:nvSpPr>
        <xdr:cNvPr id="17" name="TM1Button_31e43906_d2f1_4855_bc19_98f07d658961">
          <a:extLst>
            <a:ext uri="{FF2B5EF4-FFF2-40B4-BE49-F238E27FC236}">
              <a16:creationId xmlns:a16="http://schemas.microsoft.com/office/drawing/2014/main" id="{7E9D3D1B-541B-8B79-ABA7-045692223832}"/>
            </a:ext>
          </a:extLst>
        </xdr:cNvPr>
        <xdr:cNvSpPr txBox="1"/>
      </xdr:nvSpPr>
      <xdr:spPr>
        <a:xfrm>
          <a:off x="6858000" y="59150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588A90D-A4AA-42DE-9497-DD0919E606E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68</xdr:row>
      <xdr:rowOff>85725</xdr:rowOff>
    </xdr:from>
    <xdr:to>
      <xdr:col>14</xdr:col>
      <xdr:colOff>752475</xdr:colOff>
      <xdr:row>70</xdr:row>
      <xdr:rowOff>152400</xdr:rowOff>
    </xdr:to>
    <xdr:sp macro="Sheet1.ExecuteAction_6fbb6602_6112_45ed_b65a_bee1259e43d2" textlink="TM1HomeAdminFavCAP">
      <xdr:nvSpPr>
        <xdr:cNvPr id="18" name="TM1Button_6fbb6602_6112_45ed_b65a_bee1259e43d2">
          <a:extLst>
            <a:ext uri="{FF2B5EF4-FFF2-40B4-BE49-F238E27FC236}">
              <a16:creationId xmlns:a16="http://schemas.microsoft.com/office/drawing/2014/main" id="{357B01E4-E54E-BCAA-BF8F-714E4D5DEF84}"/>
            </a:ext>
          </a:extLst>
        </xdr:cNvPr>
        <xdr:cNvSpPr txBox="1"/>
      </xdr:nvSpPr>
      <xdr:spPr>
        <a:xfrm>
          <a:off x="438150" y="33813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E791BD3-E4EE-4597-A1D8-6DF0EDC92859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0</xdr:colOff>
      <xdr:row>64</xdr:row>
      <xdr:rowOff>104775</xdr:rowOff>
    </xdr:from>
    <xdr:to>
      <xdr:col>14</xdr:col>
      <xdr:colOff>752475</xdr:colOff>
      <xdr:row>66</xdr:row>
      <xdr:rowOff>114300</xdr:rowOff>
    </xdr:to>
    <xdr:sp macro="Sheet1.ExecuteAction_6142f0c8_6d64_45e9_9658_29c79f86fdd5" textlink="TM1HomeAdminRDSMapCAP">
      <xdr:nvSpPr>
        <xdr:cNvPr id="20" name="TM1Button_6142f0c8_6d64_45e9_9658_29c79f86fdd5">
          <a:extLst>
            <a:ext uri="{FF2B5EF4-FFF2-40B4-BE49-F238E27FC236}">
              <a16:creationId xmlns:a16="http://schemas.microsoft.com/office/drawing/2014/main" id="{713DB6C6-52BF-9908-FEDB-0F1CF5C61D56}"/>
            </a:ext>
          </a:extLst>
        </xdr:cNvPr>
        <xdr:cNvSpPr txBox="1"/>
      </xdr:nvSpPr>
      <xdr:spPr>
        <a:xfrm>
          <a:off x="438150" y="2657475"/>
          <a:ext cx="4695825" cy="314325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0A36AEC-7D60-4040-B078-3B0EEC95848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76</xdr:row>
      <xdr:rowOff>180975</xdr:rowOff>
    </xdr:from>
    <xdr:to>
      <xdr:col>21</xdr:col>
      <xdr:colOff>1038225</xdr:colOff>
      <xdr:row>80</xdr:row>
      <xdr:rowOff>0</xdr:rowOff>
    </xdr:to>
    <xdr:sp macro="Sheet1.ExecuteAction_11f19298_a48b_42b6_b074_f113531f86fc" textlink="TM1AdminRDSSPPCAP">
      <xdr:nvSpPr>
        <xdr:cNvPr id="22" name="TM1Button_11f19298_a48b_42b6_b074_f113531f86fc">
          <a:extLst>
            <a:ext uri="{FF2B5EF4-FFF2-40B4-BE49-F238E27FC236}">
              <a16:creationId xmlns:a16="http://schemas.microsoft.com/office/drawing/2014/main" id="{3A25C6F6-F6BC-EB1E-2906-AD78428DB15E}"/>
            </a:ext>
          </a:extLst>
        </xdr:cNvPr>
        <xdr:cNvSpPr txBox="1"/>
      </xdr:nvSpPr>
      <xdr:spPr>
        <a:xfrm>
          <a:off x="6858000" y="446722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6AB8B50-BE5E-4DED-823C-AA41DF80C9FB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123825</xdr:colOff>
      <xdr:row>55</xdr:row>
      <xdr:rowOff>47625</xdr:rowOff>
    </xdr:from>
    <xdr:to>
      <xdr:col>13</xdr:col>
      <xdr:colOff>38100</xdr:colOff>
      <xdr:row>57</xdr:row>
      <xdr:rowOff>85725</xdr:rowOff>
    </xdr:to>
    <xdr:sp macro="Sheet1.ExecuteAction_ab34d3ce_db1d_4a6f_8ada_0f194d110f71" textlink="TM1HomeCAP">
      <xdr:nvSpPr>
        <xdr:cNvPr id="23" name="TM1Button_ab34d3ce_db1d_4a6f_8ada_0f194d110f71">
          <a:extLst>
            <a:ext uri="{FF2B5EF4-FFF2-40B4-BE49-F238E27FC236}">
              <a16:creationId xmlns:a16="http://schemas.microsoft.com/office/drawing/2014/main" id="{8A052851-ADD4-5D2C-029E-A4C2E6FF488F}"/>
            </a:ext>
          </a:extLst>
        </xdr:cNvPr>
        <xdr:cNvSpPr txBox="1"/>
      </xdr:nvSpPr>
      <xdr:spPr>
        <a:xfrm>
          <a:off x="180975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27D7A1A-23D8-414D-9995-15620D8C10E0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57150</xdr:colOff>
      <xdr:row>55</xdr:row>
      <xdr:rowOff>47625</xdr:rowOff>
    </xdr:from>
    <xdr:to>
      <xdr:col>15</xdr:col>
      <xdr:colOff>352425</xdr:colOff>
      <xdr:row>57</xdr:row>
      <xdr:rowOff>85725</xdr:rowOff>
    </xdr:to>
    <xdr:sp macro="Sheet1.ExecuteAction_a857a270_c3b5_4301_87d9_e6b0e2287daa" textlink="TM1HomeAECAP">
      <xdr:nvSpPr>
        <xdr:cNvPr id="24" name="TM1Button_a857a270_c3b5_4301_87d9_e6b0e2287daa">
          <a:extLst>
            <a:ext uri="{FF2B5EF4-FFF2-40B4-BE49-F238E27FC236}">
              <a16:creationId xmlns:a16="http://schemas.microsoft.com/office/drawing/2014/main" id="{8F8CFB2A-0BA7-5B01-1BF8-A6268FC3746C}"/>
            </a:ext>
          </a:extLst>
        </xdr:cNvPr>
        <xdr:cNvSpPr txBox="1"/>
      </xdr:nvSpPr>
      <xdr:spPr>
        <a:xfrm>
          <a:off x="3124200" y="1047750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07E88AB-8C2D-4FFB-B421-2D98C5A08D1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371475</xdr:colOff>
      <xdr:row>55</xdr:row>
      <xdr:rowOff>38100</xdr:rowOff>
    </xdr:from>
    <xdr:to>
      <xdr:col>19</xdr:col>
      <xdr:colOff>1104900</xdr:colOff>
      <xdr:row>57</xdr:row>
      <xdr:rowOff>76200</xdr:rowOff>
    </xdr:to>
    <xdr:sp macro="Sheet1.ExecuteAction_09c92da9_441c_40e0_820e_20e9f365de78" textlink="TM1HomeRepCAP">
      <xdr:nvSpPr>
        <xdr:cNvPr id="25" name="TM1Button_09c92da9_441c_40e0_820e_20e9f365de78">
          <a:extLst>
            <a:ext uri="{FF2B5EF4-FFF2-40B4-BE49-F238E27FC236}">
              <a16:creationId xmlns:a16="http://schemas.microsoft.com/office/drawing/2014/main" id="{AB101B3F-C6B7-D8A3-F0B9-3EC62712F74E}"/>
            </a:ext>
          </a:extLst>
        </xdr:cNvPr>
        <xdr:cNvSpPr txBox="1"/>
      </xdr:nvSpPr>
      <xdr:spPr>
        <a:xfrm>
          <a:off x="6067425" y="1038225"/>
          <a:ext cx="2924175" cy="4191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582E423-0FFF-4496-9DD8-C349EF2CC575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1133475</xdr:colOff>
      <xdr:row>55</xdr:row>
      <xdr:rowOff>38100</xdr:rowOff>
    </xdr:from>
    <xdr:to>
      <xdr:col>22</xdr:col>
      <xdr:colOff>114300</xdr:colOff>
      <xdr:row>57</xdr:row>
      <xdr:rowOff>76200</xdr:rowOff>
    </xdr:to>
    <xdr:sp macro="Sheet1.ExecuteAction_87bf68ab_769a_4d10_a86e_9babd9ba6438" textlink="TM1HomeAdminCAP">
      <xdr:nvSpPr>
        <xdr:cNvPr id="26" name="TM1Button_87bf68ab_769a_4d10_a86e_9babd9ba6438">
          <a:extLst>
            <a:ext uri="{FF2B5EF4-FFF2-40B4-BE49-F238E27FC236}">
              <a16:creationId xmlns:a16="http://schemas.microsoft.com/office/drawing/2014/main" id="{2E27345A-C1A9-E812-C611-94CCE838DCDF}"/>
            </a:ext>
          </a:extLst>
        </xdr:cNvPr>
        <xdr:cNvSpPr txBox="1"/>
      </xdr:nvSpPr>
      <xdr:spPr>
        <a:xfrm>
          <a:off x="9020175" y="1038225"/>
          <a:ext cx="2924175" cy="419100"/>
        </a:xfrm>
        <a:prstGeom prst="rect">
          <a:avLst/>
        </a:prstGeom>
        <a:solidFill>
          <a:srgbClr val="4F868E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862DFB-A45B-4B6E-805A-FCEA646A39F3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285750</xdr:colOff>
      <xdr:row>59</xdr:row>
      <xdr:rowOff>47625</xdr:rowOff>
    </xdr:from>
    <xdr:to>
      <xdr:col>21</xdr:col>
      <xdr:colOff>1038225</xdr:colOff>
      <xdr:row>62</xdr:row>
      <xdr:rowOff>0</xdr:rowOff>
    </xdr:to>
    <xdr:sp macro="Sheet1.ExecuteAction_ceb2a144_9a79_409d_9d08_8365d1f9d1dc" textlink="TM1AdminRDSProgCAP">
      <xdr:nvSpPr>
        <xdr:cNvPr id="27" name="TM1Button_ceb2a144_9a79_409d_9d08_8365d1f9d1dc">
          <a:extLst>
            <a:ext uri="{FF2B5EF4-FFF2-40B4-BE49-F238E27FC236}">
              <a16:creationId xmlns:a16="http://schemas.microsoft.com/office/drawing/2014/main" id="{A80945B8-450C-BA4E-E989-8F29D759AD71}"/>
            </a:ext>
          </a:extLst>
        </xdr:cNvPr>
        <xdr:cNvSpPr txBox="1"/>
      </xdr:nvSpPr>
      <xdr:spPr>
        <a:xfrm>
          <a:off x="6858000" y="1933575"/>
          <a:ext cx="4695825" cy="31432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F9DA9F-43AD-42EF-9684-64370D33448E}" type="TxLink">
            <a:rPr lang="en-US" sz="120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120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W94"/>
  <sheetViews>
    <sheetView showGridLines="0" showRowColHeaders="0" tabSelected="1" showOutlineSymbols="0" topLeftCell="J52" workbookViewId="0"/>
  </sheetViews>
  <sheetFormatPr defaultRowHeight="15" outlineLevelRow="1" outlineLevelCol="1" x14ac:dyDescent="0.25"/>
  <cols>
    <col min="1" max="1" width="5.7109375" hidden="1" customWidth="1" outlineLevel="1"/>
    <col min="2" max="2" width="46.85546875" hidden="1" customWidth="1" outlineLevel="1"/>
    <col min="3" max="4" width="20.28515625" hidden="1" customWidth="1" outlineLevel="1"/>
    <col min="5" max="5" width="24.42578125" hidden="1" customWidth="1" outlineLevel="1"/>
    <col min="6" max="6" width="21.7109375" hidden="1" customWidth="1" outlineLevel="1"/>
    <col min="7" max="7" width="20.140625" hidden="1" customWidth="1" outlineLevel="1"/>
    <col min="8" max="8" width="13.42578125" hidden="1" customWidth="1" outlineLevel="1"/>
    <col min="9" max="9" width="12.42578125" hidden="1" customWidth="1" outlineLevel="1"/>
    <col min="10" max="10" width="0.85546875" customWidth="1" collapsed="1"/>
    <col min="11" max="11" width="5.7109375" customWidth="1"/>
    <col min="12" max="15" width="19.7109375" customWidth="1"/>
    <col min="16" max="16" width="5.7109375" customWidth="1"/>
    <col min="17" max="17" width="1.7109375" customWidth="1"/>
    <col min="18" max="18" width="5.7109375" customWidth="1"/>
    <col min="19" max="22" width="19.7109375" customWidth="1"/>
    <col min="23" max="23" width="5.7109375" customWidth="1"/>
  </cols>
  <sheetData>
    <row r="1" spans="2:4" hidden="1" outlineLevel="1" x14ac:dyDescent="0.25">
      <c r="B1" s="16" t="s">
        <v>3</v>
      </c>
      <c r="C1" s="17"/>
      <c r="D1" s="18"/>
    </row>
    <row r="2" spans="2:4" hidden="1" outlineLevel="1" x14ac:dyDescent="0.25">
      <c r="B2" s="2" t="s">
        <v>4</v>
      </c>
      <c r="C2" s="3" t="s">
        <v>53</v>
      </c>
      <c r="D2" s="4"/>
    </row>
    <row r="3" spans="2:4" hidden="1" outlineLevel="1" x14ac:dyDescent="0.25">
      <c r="B3" s="2" t="s">
        <v>22</v>
      </c>
      <c r="C3" s="10" t="e">
        <f ca="1">_xll.VIEW(db_name&amp;":}ElementAttributes_}Clients","!","!")</f>
        <v>#NAME?</v>
      </c>
      <c r="D3" s="4"/>
    </row>
    <row r="4" spans="2:4" hidden="1" outlineLevel="1" x14ac:dyDescent="0.25">
      <c r="B4" s="2" t="s">
        <v>21</v>
      </c>
      <c r="C4" s="3" t="e">
        <f ca="1">_xll.TM1USER(db_name)</f>
        <v>#NAME?</v>
      </c>
      <c r="D4" s="4"/>
    </row>
    <row r="5" spans="2:4" hidden="1" outlineLevel="1" x14ac:dyDescent="0.25">
      <c r="B5" s="2" t="s">
        <v>23</v>
      </c>
      <c r="C5" s="3" t="e">
        <f ca="1">_xll.DBR($C$3,$C$4,$B5)</f>
        <v>#NAME?</v>
      </c>
      <c r="D5" s="4"/>
    </row>
    <row r="6" spans="2:4" hidden="1" outlineLevel="1" x14ac:dyDescent="0.25">
      <c r="B6" s="2" t="s">
        <v>24</v>
      </c>
      <c r="C6" s="3" t="e">
        <f ca="1">_xll.DBR($C$3,$C$4,$B6)</f>
        <v>#NAME?</v>
      </c>
      <c r="D6" s="4"/>
    </row>
    <row r="7" spans="2:4" hidden="1" outlineLevel="1" x14ac:dyDescent="0.25">
      <c r="B7" s="2" t="s">
        <v>5</v>
      </c>
      <c r="C7" s="3" t="e">
        <f ca="1">IF(LEFT($C$4,3)="CAM",$C$6,$C$5)</f>
        <v>#NAME?</v>
      </c>
      <c r="D7" s="1"/>
    </row>
    <row r="8" spans="2:4" hidden="1" outlineLevel="1" x14ac:dyDescent="0.25"/>
    <row r="9" spans="2:4" hidden="1" outlineLevel="1" x14ac:dyDescent="0.25">
      <c r="B9" s="16" t="s">
        <v>6</v>
      </c>
      <c r="C9" s="17"/>
      <c r="D9" s="18"/>
    </row>
    <row r="10" spans="2:4" hidden="1" outlineLevel="1" x14ac:dyDescent="0.25">
      <c r="B10" s="2" t="s">
        <v>7</v>
      </c>
      <c r="C10" s="1" t="e">
        <f ca="1">_xll.VIEW(db_name&amp;":}ElementAttributes_variables","!","!")</f>
        <v>#NAME?</v>
      </c>
      <c r="D10" s="1"/>
    </row>
    <row r="11" spans="2:4" hidden="1" outlineLevel="1" x14ac:dyDescent="0.25">
      <c r="B11" s="2" t="s">
        <v>8</v>
      </c>
      <c r="C11" s="1" t="e">
        <f ca="1">_xll.DBR($C$10,$B11,"value")</f>
        <v>#NAME?</v>
      </c>
      <c r="D11" s="1"/>
    </row>
    <row r="12" spans="2:4" hidden="1" outlineLevel="1" x14ac:dyDescent="0.25">
      <c r="B12" s="2" t="s">
        <v>9</v>
      </c>
      <c r="C12" s="1" t="e">
        <f ca="1">_xll.DBR($C$10,$B12,"value")</f>
        <v>#NAME?</v>
      </c>
      <c r="D12" s="1"/>
    </row>
    <row r="13" spans="2:4" hidden="1" outlineLevel="1" x14ac:dyDescent="0.25">
      <c r="B13" s="2" t="s">
        <v>10</v>
      </c>
      <c r="C13" s="1" t="e">
        <f ca="1">_xll.DBR($C$10,$B13,"value")</f>
        <v>#NAME?</v>
      </c>
      <c r="D13" s="1"/>
    </row>
    <row r="14" spans="2:4" hidden="1" outlineLevel="1" x14ac:dyDescent="0.25">
      <c r="B14" s="2" t="s">
        <v>11</v>
      </c>
      <c r="C14" s="1" t="e">
        <f ca="1">_xll.DBR($C$10,$B14,"value")</f>
        <v>#NAME?</v>
      </c>
      <c r="D14" s="1"/>
    </row>
    <row r="15" spans="2:4" hidden="1" outlineLevel="1" x14ac:dyDescent="0.25">
      <c r="B15" s="2" t="s">
        <v>12</v>
      </c>
      <c r="C15" s="1" t="e">
        <f ca="1">"The current scenario is """ &amp; $C$12 &amp; """ for the """ &amp; $C$11 &amp; """ Headline Year. Archive was done for """ &amp; $C$13 &amp; """ on scenario """ &amp; $C$14 &amp; """."</f>
        <v>#NAME?</v>
      </c>
      <c r="D15" s="1"/>
    </row>
    <row r="16" spans="2:4" hidden="1" outlineLevel="1" x14ac:dyDescent="0.25"/>
    <row r="17" spans="2:8" hidden="1" outlineLevel="1" x14ac:dyDescent="0.25">
      <c r="B17" s="16" t="s">
        <v>13</v>
      </c>
      <c r="C17" s="17"/>
      <c r="D17" s="18"/>
    </row>
    <row r="18" spans="2:8" hidden="1" outlineLevel="1" x14ac:dyDescent="0.25">
      <c r="B18" s="2" t="s">
        <v>7</v>
      </c>
      <c r="C18" s="1" t="e">
        <f ca="1">_xll.VIEW(db_name&amp;":sys_client preference","!","!","!")</f>
        <v>#NAME?</v>
      </c>
      <c r="D18" s="1"/>
    </row>
    <row r="19" spans="2:8" hidden="1" outlineLevel="1" x14ac:dyDescent="0.25">
      <c r="B19" s="2" t="s">
        <v>14</v>
      </c>
      <c r="C19" s="1" t="e">
        <f ca="1">_xll.DBR($C$18,psUser,$B19,"value")</f>
        <v>#NAME?</v>
      </c>
      <c r="D19" s="1"/>
    </row>
    <row r="20" spans="2:8" hidden="1" outlineLevel="1" x14ac:dyDescent="0.25">
      <c r="B20" s="2" t="s">
        <v>15</v>
      </c>
      <c r="C20" s="1" t="e">
        <f ca="1">_xll.DBR($C$18,psUser,$B20,"value")</f>
        <v>#NAME?</v>
      </c>
      <c r="D20" s="1"/>
    </row>
    <row r="21" spans="2:8" hidden="1" outlineLevel="1" x14ac:dyDescent="0.25">
      <c r="B21" s="2" t="s">
        <v>16</v>
      </c>
      <c r="C21" s="1" t="e">
        <f ca="1">_xll.DBR($C$18,psUser,$B21,"value")</f>
        <v>#NAME?</v>
      </c>
      <c r="D21" s="1"/>
    </row>
    <row r="22" spans="2:8" hidden="1" outlineLevel="1" x14ac:dyDescent="0.25">
      <c r="B22" s="2" t="s">
        <v>17</v>
      </c>
      <c r="C22" s="1" t="e">
        <f ca="1">_xll.DBR($C$18,psUser,$B22,"value")</f>
        <v>#NAME?</v>
      </c>
      <c r="D22" s="1"/>
    </row>
    <row r="23" spans="2:8" hidden="1" outlineLevel="1" x14ac:dyDescent="0.25">
      <c r="B23" s="2" t="s">
        <v>20</v>
      </c>
      <c r="C23" s="1" t="s">
        <v>19</v>
      </c>
      <c r="D23" s="1"/>
    </row>
    <row r="24" spans="2:8" hidden="1" outlineLevel="1" x14ac:dyDescent="0.25"/>
    <row r="25" spans="2:8" hidden="1" outlineLevel="1" x14ac:dyDescent="0.25">
      <c r="B25" s="16" t="s">
        <v>18</v>
      </c>
      <c r="C25" s="17"/>
      <c r="D25" s="18"/>
    </row>
    <row r="26" spans="2:8" hidden="1" outlineLevel="1" x14ac:dyDescent="0.25">
      <c r="B26" s="1" t="s">
        <v>2</v>
      </c>
      <c r="C26" s="12" t="e">
        <f ca="1">_xll.VIEW(db_name&amp;":sys_application","!","!")</f>
        <v>#NAME?</v>
      </c>
      <c r="D26" s="12"/>
    </row>
    <row r="27" spans="2:8" hidden="1" outlineLevel="1" x14ac:dyDescent="0.25">
      <c r="C27" s="12" t="s">
        <v>33</v>
      </c>
      <c r="D27" s="12" t="s">
        <v>30</v>
      </c>
      <c r="E27" s="12" t="s">
        <v>31</v>
      </c>
      <c r="F27" s="12" t="s">
        <v>0</v>
      </c>
      <c r="G27" s="12" t="s">
        <v>32</v>
      </c>
      <c r="H27" s="12" t="s">
        <v>1</v>
      </c>
    </row>
    <row r="28" spans="2:8" hidden="1" outlineLevel="1" x14ac:dyDescent="0.25">
      <c r="B28" s="1" t="s">
        <v>25</v>
      </c>
      <c r="C28" s="1" t="e">
        <f ca="1">_xll.DBR($C$26,$B28,C$27)</f>
        <v>#NAME?</v>
      </c>
      <c r="D28" s="1" t="e">
        <f ca="1">_xll.DBR($C$26,$B28,D$27)</f>
        <v>#NAME?</v>
      </c>
      <c r="E28" s="1" t="e">
        <f ca="1">_xll.DBR($C$26,$B28,E$27)</f>
        <v>#NAME?</v>
      </c>
      <c r="F28" s="1" t="e">
        <f ca="1">_xll.DBR($C$26,$B28,F$27)</f>
        <v>#NAME?</v>
      </c>
      <c r="G28" s="1" t="e">
        <f ca="1">_xll.DBR($C$26,$B28,G$27)</f>
        <v>#NAME?</v>
      </c>
      <c r="H28" s="1" t="e">
        <f ca="1">_xll.DBR($C$26,$B28,H$27)</f>
        <v>#NAME?</v>
      </c>
    </row>
    <row r="29" spans="2:8" hidden="1" outlineLevel="1" x14ac:dyDescent="0.25">
      <c r="B29" s="1" t="s">
        <v>26</v>
      </c>
      <c r="C29" s="1" t="e">
        <f ca="1">_xll.DBR($C$26,$B29,C$27)</f>
        <v>#NAME?</v>
      </c>
      <c r="D29" s="1" t="e">
        <f ca="1">_xll.DBR($C$26,$B29,D$27)</f>
        <v>#NAME?</v>
      </c>
      <c r="E29" s="1" t="e">
        <f ca="1">_xll.DBR($C$26,$B29,E$27)</f>
        <v>#NAME?</v>
      </c>
      <c r="F29" s="1" t="e">
        <f ca="1">_xll.DBR($C$26,$B29,F$27)</f>
        <v>#NAME?</v>
      </c>
      <c r="G29" s="1" t="e">
        <f ca="1">_xll.DBR($C$26,$B29,G$27)</f>
        <v>#NAME?</v>
      </c>
      <c r="H29" s="1" t="e">
        <f ca="1">_xll.DBR($C$26,$B29,H$27)</f>
        <v>#NAME?</v>
      </c>
    </row>
    <row r="30" spans="2:8" hidden="1" outlineLevel="1" x14ac:dyDescent="0.25">
      <c r="B30" s="1" t="s">
        <v>27</v>
      </c>
      <c r="C30" s="1" t="e">
        <f ca="1">_xll.DBR($C$26,$B30,C$27)</f>
        <v>#NAME?</v>
      </c>
      <c r="D30" s="1" t="e">
        <f ca="1">_xll.DBR($C$26,$B30,D$27)</f>
        <v>#NAME?</v>
      </c>
      <c r="E30" s="1" t="e">
        <f ca="1">_xll.DBR($C$26,$B30,E$27)</f>
        <v>#NAME?</v>
      </c>
      <c r="F30" s="1" t="e">
        <f ca="1">_xll.DBR($C$26,$B30,F$27)</f>
        <v>#NAME?</v>
      </c>
      <c r="G30" s="1" t="e">
        <f ca="1">_xll.DBR($C$26,$B30,G$27)</f>
        <v>#NAME?</v>
      </c>
      <c r="H30" s="1" t="e">
        <f ca="1">_xll.DBR($C$26,$B30,H$27)</f>
        <v>#NAME?</v>
      </c>
    </row>
    <row r="31" spans="2:8" hidden="1" outlineLevel="1" x14ac:dyDescent="0.25">
      <c r="B31" s="1" t="s">
        <v>28</v>
      </c>
      <c r="C31" s="1" t="e">
        <f ca="1">_xll.DBR($C$26,$B31,C$27)</f>
        <v>#NAME?</v>
      </c>
      <c r="D31" s="1" t="e">
        <f ca="1">_xll.DBR($C$26,$B31,D$27)</f>
        <v>#NAME?</v>
      </c>
      <c r="E31" s="1" t="e">
        <f ca="1">_xll.DBR($C$26,$B31,E$27)</f>
        <v>#NAME?</v>
      </c>
      <c r="F31" s="1" t="e">
        <f ca="1">_xll.DBR($C$26,$B31,F$27)</f>
        <v>#NAME?</v>
      </c>
      <c r="G31" s="1" t="e">
        <f ca="1">_xll.DBR($C$26,$B31,G$27)</f>
        <v>#NAME?</v>
      </c>
      <c r="H31" s="1" t="e">
        <f ca="1">_xll.DBR($C$26,$B31,H$27)</f>
        <v>#NAME?</v>
      </c>
    </row>
    <row r="32" spans="2:8" hidden="1" outlineLevel="1" x14ac:dyDescent="0.25">
      <c r="B32" s="1" t="s">
        <v>34</v>
      </c>
      <c r="C32" s="1" t="e">
        <f ca="1">_xll.DBR($C$26,$B32,C$27)</f>
        <v>#NAME?</v>
      </c>
      <c r="D32" s="1" t="e">
        <f ca="1">_xll.DBR($C$26,$B32,D$27)</f>
        <v>#NAME?</v>
      </c>
      <c r="E32" s="1" t="e">
        <f ca="1">_xll.DBR($C$26,$B32,E$27)</f>
        <v>#NAME?</v>
      </c>
      <c r="F32" s="1" t="e">
        <f ca="1">_xll.DBR($C$26,$B32,F$27)</f>
        <v>#NAME?</v>
      </c>
      <c r="G32" s="1" t="e">
        <f ca="1">_xll.DBR($C$26,$B32,G$27)</f>
        <v>#NAME?</v>
      </c>
      <c r="H32" s="1" t="e">
        <f ca="1">_xll.DBR($C$26,$B32,H$27)</f>
        <v>#NAME?</v>
      </c>
    </row>
    <row r="33" spans="2:8" hidden="1" outlineLevel="1" x14ac:dyDescent="0.25">
      <c r="B33" s="1" t="s">
        <v>39</v>
      </c>
      <c r="C33" s="1" t="e">
        <f ca="1">_xll.DBR($C$26,$B33,C$27)</f>
        <v>#NAME?</v>
      </c>
      <c r="D33" s="1" t="e">
        <f ca="1">_xll.DBR($C$26,$B33,D$27)</f>
        <v>#NAME?</v>
      </c>
      <c r="E33" s="1" t="e">
        <f ca="1">_xll.DBR($C$26,$B33,E$27)</f>
        <v>#NAME?</v>
      </c>
      <c r="F33" s="1" t="e">
        <f ca="1">_xll.DBR($C$26,$B33,F$27)</f>
        <v>#NAME?</v>
      </c>
      <c r="G33" s="1" t="e">
        <f ca="1">_xll.DBR($C$26,$B33,G$27)</f>
        <v>#NAME?</v>
      </c>
      <c r="H33" s="1" t="e">
        <f ca="1">_xll.DBR($C$26,$B33,H$27)</f>
        <v>#NAME?</v>
      </c>
    </row>
    <row r="34" spans="2:8" hidden="1" outlineLevel="1" x14ac:dyDescent="0.25">
      <c r="B34" s="1" t="s">
        <v>35</v>
      </c>
      <c r="C34" s="1" t="e">
        <f ca="1">_xll.DBR($C$26,$B34,C$27)</f>
        <v>#NAME?</v>
      </c>
      <c r="D34" s="1" t="e">
        <f ca="1">_xll.DBR($C$26,$B34,D$27)</f>
        <v>#NAME?</v>
      </c>
      <c r="E34" s="1" t="e">
        <f ca="1">_xll.DBR($C$26,$B34,E$27)</f>
        <v>#NAME?</v>
      </c>
      <c r="F34" s="1" t="e">
        <f ca="1">_xll.DBR($C$26,$B34,F$27)</f>
        <v>#NAME?</v>
      </c>
      <c r="G34" s="1" t="e">
        <f ca="1">_xll.DBR($C$26,$B34,G$27)</f>
        <v>#NAME?</v>
      </c>
      <c r="H34" s="1" t="e">
        <f ca="1">_xll.DBR($C$26,$B34,H$27)</f>
        <v>#NAME?</v>
      </c>
    </row>
    <row r="35" spans="2:8" hidden="1" outlineLevel="1" x14ac:dyDescent="0.25">
      <c r="B35" s="1" t="s">
        <v>36</v>
      </c>
      <c r="C35" s="1" t="e">
        <f ca="1">_xll.DBR($C$26,$B35,C$27)</f>
        <v>#NAME?</v>
      </c>
      <c r="D35" s="1" t="e">
        <f ca="1">_xll.DBR($C$26,$B35,D$27)</f>
        <v>#NAME?</v>
      </c>
      <c r="E35" s="1" t="e">
        <f ca="1">_xll.DBR($C$26,$B35,E$27)</f>
        <v>#NAME?</v>
      </c>
      <c r="F35" s="1" t="e">
        <f ca="1">_xll.DBR($C$26,$B35,F$27)</f>
        <v>#NAME?</v>
      </c>
      <c r="G35" s="1" t="e">
        <f ca="1">_xll.DBR($C$26,$B35,G$27)</f>
        <v>#NAME?</v>
      </c>
      <c r="H35" s="1" t="e">
        <f ca="1">_xll.DBR($C$26,$B35,H$27)</f>
        <v>#NAME?</v>
      </c>
    </row>
    <row r="36" spans="2:8" hidden="1" outlineLevel="1" x14ac:dyDescent="0.25">
      <c r="B36" s="1" t="s">
        <v>37</v>
      </c>
      <c r="C36" s="1" t="e">
        <f ca="1">_xll.DBR($C$26,$B36,C$27)</f>
        <v>#NAME?</v>
      </c>
      <c r="D36" s="1" t="e">
        <f ca="1">_xll.DBR($C$26,$B36,D$27)</f>
        <v>#NAME?</v>
      </c>
      <c r="E36" s="1" t="e">
        <f ca="1">_xll.DBR($C$26,$B36,E$27)</f>
        <v>#NAME?</v>
      </c>
      <c r="F36" s="1" t="e">
        <f ca="1">_xll.DBR($C$26,$B36,F$27)</f>
        <v>#NAME?</v>
      </c>
      <c r="G36" s="1" t="e">
        <f ca="1">_xll.DBR($C$26,$B36,G$27)</f>
        <v>#NAME?</v>
      </c>
      <c r="H36" s="1" t="e">
        <f ca="1">_xll.DBR($C$26,$B36,H$27)</f>
        <v>#NAME?</v>
      </c>
    </row>
    <row r="37" spans="2:8" hidden="1" outlineLevel="1" x14ac:dyDescent="0.25">
      <c r="B37" s="1" t="s">
        <v>29</v>
      </c>
      <c r="C37" s="1" t="e">
        <f ca="1">_xll.DBR($C$26,$B37,C$27)</f>
        <v>#NAME?</v>
      </c>
      <c r="D37" s="1" t="e">
        <f ca="1">_xll.DBR($C$26,$B37,D$27)</f>
        <v>#NAME?</v>
      </c>
      <c r="E37" s="1" t="e">
        <f ca="1">_xll.DBR($C$26,$B37,E$27)</f>
        <v>#NAME?</v>
      </c>
      <c r="F37" s="1" t="e">
        <f ca="1">_xll.DBR($C$26,$B37,F$27)</f>
        <v>#NAME?</v>
      </c>
      <c r="G37" s="1" t="e">
        <f ca="1">_xll.DBR($C$26,$B37,G$27)</f>
        <v>#NAME?</v>
      </c>
      <c r="H37" s="1" t="e">
        <f ca="1">_xll.DBR($C$26,$B37,H$27)</f>
        <v>#NAME?</v>
      </c>
    </row>
    <row r="38" spans="2:8" hidden="1" outlineLevel="1" x14ac:dyDescent="0.25">
      <c r="B38" s="1" t="s">
        <v>40</v>
      </c>
      <c r="C38" s="1" t="e">
        <f ca="1">_xll.DBR($C$26,$B38,C$27)</f>
        <v>#NAME?</v>
      </c>
      <c r="D38" s="1" t="e">
        <f ca="1">_xll.DBR($C$26,$B38,D$27)</f>
        <v>#NAME?</v>
      </c>
      <c r="E38" s="1" t="e">
        <f ca="1">_xll.DBR($C$26,$B38,E$27)</f>
        <v>#NAME?</v>
      </c>
      <c r="F38" s="1" t="e">
        <f ca="1">_xll.DBR($C$26,$B38,F$27)</f>
        <v>#NAME?</v>
      </c>
      <c r="G38" s="1" t="e">
        <f ca="1">_xll.DBR($C$26,$B38,G$27)</f>
        <v>#NAME?</v>
      </c>
      <c r="H38" s="1" t="e">
        <f ca="1">_xll.DBR($C$26,$B38,H$27)</f>
        <v>#NAME?</v>
      </c>
    </row>
    <row r="39" spans="2:8" hidden="1" outlineLevel="1" x14ac:dyDescent="0.25">
      <c r="B39" s="1" t="s">
        <v>41</v>
      </c>
      <c r="C39" s="1" t="e">
        <f ca="1">_xll.DBR($C$26,$B39,C$27)</f>
        <v>#NAME?</v>
      </c>
      <c r="D39" s="1" t="e">
        <f ca="1">_xll.DBR($C$26,$B39,D$27)</f>
        <v>#NAME?</v>
      </c>
      <c r="E39" s="1" t="e">
        <f ca="1">_xll.DBR($C$26,$B39,E$27)</f>
        <v>#NAME?</v>
      </c>
      <c r="F39" s="1" t="e">
        <f ca="1">_xll.DBR($C$26,$B39,F$27)</f>
        <v>#NAME?</v>
      </c>
      <c r="G39" s="1" t="e">
        <f ca="1">_xll.DBR($C$26,$B39,G$27)</f>
        <v>#NAME?</v>
      </c>
      <c r="H39" s="1" t="e">
        <f ca="1">_xll.DBR($C$26,$B39,H$27)</f>
        <v>#NAME?</v>
      </c>
    </row>
    <row r="40" spans="2:8" hidden="1" outlineLevel="1" x14ac:dyDescent="0.25">
      <c r="B40" s="1" t="s">
        <v>42</v>
      </c>
      <c r="C40" s="1" t="e">
        <f ca="1">_xll.DBR($C$26,$B40,C$27)</f>
        <v>#NAME?</v>
      </c>
      <c r="D40" s="1" t="e">
        <f ca="1">_xll.DBR($C$26,$B40,D$27)</f>
        <v>#NAME?</v>
      </c>
      <c r="E40" s="1" t="e">
        <f ca="1">_xll.DBR($C$26,$B40,E$27)</f>
        <v>#NAME?</v>
      </c>
      <c r="F40" s="1" t="e">
        <f ca="1">_xll.DBR($C$26,$B40,F$27)</f>
        <v>#NAME?</v>
      </c>
      <c r="G40" s="1" t="e">
        <f ca="1">_xll.DBR($C$26,$B40,G$27)</f>
        <v>#NAME?</v>
      </c>
      <c r="H40" s="1" t="e">
        <f ca="1">_xll.DBR($C$26,$B40,H$27)</f>
        <v>#NAME?</v>
      </c>
    </row>
    <row r="41" spans="2:8" hidden="1" outlineLevel="1" x14ac:dyDescent="0.25">
      <c r="B41" s="1" t="s">
        <v>43</v>
      </c>
      <c r="C41" s="1" t="e">
        <f ca="1">_xll.DBR($C$26,$B41,C$27)</f>
        <v>#NAME?</v>
      </c>
      <c r="D41" s="1" t="e">
        <f ca="1">_xll.DBR($C$26,$B41,D$27)</f>
        <v>#NAME?</v>
      </c>
      <c r="E41" s="1" t="e">
        <f ca="1">_xll.DBR($C$26,$B41,E$27)</f>
        <v>#NAME?</v>
      </c>
      <c r="F41" s="1" t="e">
        <f ca="1">_xll.DBR($C$26,$B41,F$27)</f>
        <v>#NAME?</v>
      </c>
      <c r="G41" s="1" t="e">
        <f ca="1">_xll.DBR($C$26,$B41,G$27)</f>
        <v>#NAME?</v>
      </c>
      <c r="H41" s="1" t="e">
        <f ca="1">_xll.DBR($C$26,$B41,H$27)</f>
        <v>#NAME?</v>
      </c>
    </row>
    <row r="42" spans="2:8" hidden="1" outlineLevel="1" x14ac:dyDescent="0.25">
      <c r="B42" s="1" t="s">
        <v>44</v>
      </c>
      <c r="C42" s="1" t="e">
        <f ca="1">_xll.DBR($C$26,$B42,C$27)</f>
        <v>#NAME?</v>
      </c>
      <c r="D42" s="1" t="e">
        <f ca="1">_xll.DBR($C$26,$B42,D$27)</f>
        <v>#NAME?</v>
      </c>
      <c r="E42" s="1" t="e">
        <f ca="1">_xll.DBR($C$26,$B42,E$27)</f>
        <v>#NAME?</v>
      </c>
      <c r="F42" s="1" t="e">
        <f ca="1">_xll.DBR($C$26,$B42,F$27)</f>
        <v>#NAME?</v>
      </c>
      <c r="G42" s="1" t="e">
        <f ca="1">_xll.DBR($C$26,$B42,G$27)</f>
        <v>#NAME?</v>
      </c>
      <c r="H42" s="1" t="e">
        <f ca="1">_xll.DBR($C$26,$B42,H$27)</f>
        <v>#NAME?</v>
      </c>
    </row>
    <row r="43" spans="2:8" hidden="1" outlineLevel="1" x14ac:dyDescent="0.25">
      <c r="B43" s="1" t="s">
        <v>45</v>
      </c>
      <c r="C43" s="1" t="e">
        <f ca="1">_xll.DBR($C$26,$B43,C$27)</f>
        <v>#NAME?</v>
      </c>
      <c r="D43" s="1" t="e">
        <f ca="1">_xll.DBR($C$26,$B43,D$27)</f>
        <v>#NAME?</v>
      </c>
      <c r="E43" s="1" t="e">
        <f ca="1">_xll.DBR($C$26,$B43,E$27)</f>
        <v>#NAME?</v>
      </c>
      <c r="F43" s="1" t="e">
        <f ca="1">_xll.DBR($C$26,$B43,F$27)</f>
        <v>#NAME?</v>
      </c>
      <c r="G43" s="1" t="e">
        <f ca="1">_xll.DBR($C$26,$B43,G$27)</f>
        <v>#NAME?</v>
      </c>
      <c r="H43" s="1" t="e">
        <f ca="1">_xll.DBR($C$26,$B43,H$27)</f>
        <v>#NAME?</v>
      </c>
    </row>
    <row r="44" spans="2:8" hidden="1" outlineLevel="1" x14ac:dyDescent="0.25">
      <c r="B44" s="1" t="s">
        <v>46</v>
      </c>
      <c r="C44" s="1" t="e">
        <f ca="1">_xll.DBR($C$26,$B44,C$27)</f>
        <v>#NAME?</v>
      </c>
      <c r="D44" s="1" t="e">
        <f ca="1">_xll.DBR($C$26,$B44,D$27)</f>
        <v>#NAME?</v>
      </c>
      <c r="E44" s="1" t="e">
        <f ca="1">_xll.DBR($C$26,$B44,E$27)</f>
        <v>#NAME?</v>
      </c>
      <c r="F44" s="1" t="e">
        <f ca="1">_xll.DBR($C$26,$B44,F$27)</f>
        <v>#NAME?</v>
      </c>
      <c r="G44" s="1" t="e">
        <f ca="1">_xll.DBR($C$26,$B44,G$27)</f>
        <v>#NAME?</v>
      </c>
      <c r="H44" s="1" t="e">
        <f ca="1">_xll.DBR($C$26,$B44,H$27)</f>
        <v>#NAME?</v>
      </c>
    </row>
    <row r="45" spans="2:8" hidden="1" outlineLevel="1" x14ac:dyDescent="0.25">
      <c r="B45" s="1" t="s">
        <v>47</v>
      </c>
      <c r="C45" s="1" t="e">
        <f ca="1">_xll.DBR($C$26,$B45,C$27)</f>
        <v>#NAME?</v>
      </c>
      <c r="D45" s="1" t="e">
        <f ca="1">_xll.DBR($C$26,$B45,D$27)</f>
        <v>#NAME?</v>
      </c>
      <c r="E45" s="1" t="e">
        <f ca="1">_xll.DBR($C$26,$B45,E$27)</f>
        <v>#NAME?</v>
      </c>
      <c r="F45" s="1" t="e">
        <f ca="1">_xll.DBR($C$26,$B45,F$27)</f>
        <v>#NAME?</v>
      </c>
      <c r="G45" s="1" t="e">
        <f ca="1">_xll.DBR($C$26,$B45,G$27)</f>
        <v>#NAME?</v>
      </c>
      <c r="H45" s="1" t="e">
        <f ca="1">_xll.DBR($C$26,$B45,H$27)</f>
        <v>#NAME?</v>
      </c>
    </row>
    <row r="46" spans="2:8" hidden="1" outlineLevel="1" x14ac:dyDescent="0.25">
      <c r="B46" s="1" t="s">
        <v>48</v>
      </c>
      <c r="C46" s="1" t="e">
        <f ca="1">_xll.DBR($C$26,$B46,C$27)</f>
        <v>#NAME?</v>
      </c>
      <c r="D46" s="1" t="e">
        <f ca="1">_xll.DBR($C$26,$B46,D$27)</f>
        <v>#NAME?</v>
      </c>
      <c r="E46" s="1" t="e">
        <f ca="1">_xll.DBR($C$26,$B46,E$27)</f>
        <v>#NAME?</v>
      </c>
      <c r="F46" s="1" t="e">
        <f ca="1">_xll.DBR($C$26,$B46,F$27)</f>
        <v>#NAME?</v>
      </c>
      <c r="G46" s="1" t="e">
        <f ca="1">_xll.DBR($C$26,$B46,G$27)</f>
        <v>#NAME?</v>
      </c>
      <c r="H46" s="1" t="e">
        <f ca="1">_xll.DBR($C$26,$B46,H$27)</f>
        <v>#NAME?</v>
      </c>
    </row>
    <row r="47" spans="2:8" hidden="1" outlineLevel="1" x14ac:dyDescent="0.25">
      <c r="B47" s="1" t="s">
        <v>49</v>
      </c>
      <c r="C47" s="1" t="e">
        <f ca="1">_xll.DBR($C$26,$B47,C$27)</f>
        <v>#NAME?</v>
      </c>
      <c r="D47" s="1" t="e">
        <f ca="1">_xll.DBR($C$26,$B47,D$27)</f>
        <v>#NAME?</v>
      </c>
      <c r="E47" s="1" t="e">
        <f ca="1">_xll.DBR($C$26,$B47,E$27)</f>
        <v>#NAME?</v>
      </c>
      <c r="F47" s="1" t="e">
        <f ca="1">_xll.DBR($C$26,$B47,F$27)</f>
        <v>#NAME?</v>
      </c>
      <c r="G47" s="1" t="e">
        <f ca="1">_xll.DBR($C$26,$B47,G$27)</f>
        <v>#NAME?</v>
      </c>
      <c r="H47" s="1" t="e">
        <f ca="1">_xll.DBR($C$26,$B47,H$27)</f>
        <v>#NAME?</v>
      </c>
    </row>
    <row r="48" spans="2:8" hidden="1" outlineLevel="1" x14ac:dyDescent="0.25">
      <c r="B48" s="1" t="s">
        <v>50</v>
      </c>
      <c r="C48" s="1" t="e">
        <f ca="1">_xll.DBR($C$26,$B48,C$27)</f>
        <v>#NAME?</v>
      </c>
      <c r="D48" s="1" t="e">
        <f ca="1">_xll.DBR($C$26,$B48,D$27)</f>
        <v>#NAME?</v>
      </c>
      <c r="E48" s="1" t="e">
        <f ca="1">_xll.DBR($C$26,$B48,E$27)</f>
        <v>#NAME?</v>
      </c>
      <c r="F48" s="1" t="e">
        <f ca="1">_xll.DBR($C$26,$B48,F$27)</f>
        <v>#NAME?</v>
      </c>
      <c r="G48" s="1" t="e">
        <f ca="1">_xll.DBR($C$26,$B48,G$27)</f>
        <v>#NAME?</v>
      </c>
      <c r="H48" s="1" t="e">
        <f ca="1">_xll.DBR($C$26,$B48,H$27)</f>
        <v>#NAME?</v>
      </c>
    </row>
    <row r="49" spans="2:23" hidden="1" outlineLevel="1" x14ac:dyDescent="0.25">
      <c r="B49" s="1" t="s">
        <v>51</v>
      </c>
      <c r="C49" s="1" t="e">
        <f ca="1">_xll.DBR($C$26,$B49,C$27)</f>
        <v>#NAME?</v>
      </c>
      <c r="D49" s="1" t="e">
        <f ca="1">_xll.DBR($C$26,$B49,D$27)</f>
        <v>#NAME?</v>
      </c>
      <c r="E49" s="1" t="e">
        <f ca="1">_xll.DBR($C$26,$B49,E$27)</f>
        <v>#NAME?</v>
      </c>
      <c r="F49" s="1" t="e">
        <f ca="1">_xll.DBR($C$26,$B49,F$27)</f>
        <v>#NAME?</v>
      </c>
      <c r="G49" s="1" t="e">
        <f ca="1">_xll.DBR($C$26,$B49,G$27)</f>
        <v>#NAME?</v>
      </c>
      <c r="H49" s="1" t="e">
        <f ca="1">_xll.DBR($C$26,$B49,H$27)</f>
        <v>#NAME?</v>
      </c>
    </row>
    <row r="50" spans="2:23" hidden="1" outlineLevel="1" x14ac:dyDescent="0.25"/>
    <row r="51" spans="2:23" hidden="1" outlineLevel="1" x14ac:dyDescent="0.25"/>
    <row r="52" spans="2:23" ht="39.75" customHeight="1" collapsed="1" x14ac:dyDescent="0.25"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11" t="e">
        <f ca="1">"Welcome "&amp; psUser</f>
        <v>#NAME?</v>
      </c>
    </row>
    <row r="53" spans="2:23" ht="4.5" customHeight="1" x14ac:dyDescent="0.25"/>
    <row r="54" spans="2:23" ht="30" customHeight="1" x14ac:dyDescent="0.25">
      <c r="J54" s="6"/>
      <c r="K54" s="19" t="e">
        <f ca="1">$C$15</f>
        <v>#NAME?</v>
      </c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6"/>
      <c r="W54" s="6"/>
    </row>
    <row r="55" spans="2:23" ht="4.5" customHeight="1" x14ac:dyDescent="0.25"/>
    <row r="59" spans="2:23" ht="24.75" customHeight="1" x14ac:dyDescent="0.25">
      <c r="J59" s="7"/>
      <c r="K59" s="7"/>
      <c r="L59" s="14" t="s">
        <v>38</v>
      </c>
      <c r="M59" s="14"/>
      <c r="N59" s="14"/>
      <c r="O59" s="14"/>
      <c r="P59" s="5"/>
      <c r="R59" s="8"/>
      <c r="S59" s="15" t="s">
        <v>52</v>
      </c>
      <c r="T59" s="15"/>
      <c r="U59" s="15"/>
      <c r="V59" s="15"/>
      <c r="W59" s="8"/>
    </row>
    <row r="60" spans="2:23" ht="4.5" customHeight="1" x14ac:dyDescent="0.25">
      <c r="J60" s="9"/>
      <c r="K60" s="9"/>
      <c r="L60" s="9"/>
      <c r="M60" s="9"/>
      <c r="N60" s="9"/>
      <c r="O60" s="9"/>
      <c r="P60" s="9"/>
      <c r="R60" s="9"/>
      <c r="S60" s="9"/>
      <c r="T60" s="9"/>
      <c r="U60" s="9"/>
      <c r="V60" s="9"/>
      <c r="W60" s="9"/>
    </row>
    <row r="61" spans="2:23" ht="19.5" customHeight="1" x14ac:dyDescent="0.25">
      <c r="J61" s="9"/>
      <c r="K61" s="9"/>
      <c r="L61" s="9"/>
      <c r="M61" s="9"/>
      <c r="N61" s="9"/>
      <c r="O61" s="9"/>
      <c r="P61" s="9"/>
      <c r="R61" s="9"/>
      <c r="S61" s="9"/>
      <c r="T61" s="9"/>
      <c r="U61" s="9"/>
      <c r="V61" s="9"/>
      <c r="W61" s="9"/>
    </row>
    <row r="62" spans="2:23" ht="4.5" customHeight="1" x14ac:dyDescent="0.25">
      <c r="J62" s="9"/>
      <c r="K62" s="9"/>
      <c r="L62" s="9"/>
      <c r="M62" s="9"/>
      <c r="N62" s="9"/>
      <c r="O62" s="9"/>
      <c r="P62" s="9"/>
      <c r="R62" s="9"/>
      <c r="S62" s="9"/>
      <c r="T62" s="9"/>
      <c r="U62" s="9"/>
      <c r="V62" s="9"/>
      <c r="W62" s="9"/>
    </row>
    <row r="63" spans="2:23" ht="19.5" customHeight="1" x14ac:dyDescent="0.25">
      <c r="J63" s="9"/>
      <c r="K63" s="9"/>
      <c r="L63" s="9"/>
      <c r="M63" s="9"/>
      <c r="N63" s="9"/>
      <c r="O63" s="9"/>
      <c r="P63" s="9"/>
      <c r="R63" s="9"/>
      <c r="S63" s="9"/>
      <c r="T63" s="9"/>
      <c r="U63" s="9"/>
      <c r="V63" s="9"/>
      <c r="W63" s="9"/>
    </row>
    <row r="64" spans="2:23" ht="4.5" customHeight="1" x14ac:dyDescent="0.25">
      <c r="J64" s="9"/>
      <c r="K64" s="9"/>
      <c r="L64" s="9"/>
      <c r="M64" s="9"/>
      <c r="N64" s="9"/>
      <c r="O64" s="9"/>
      <c r="P64" s="9"/>
      <c r="R64" s="9"/>
      <c r="S64" s="9"/>
      <c r="T64" s="9"/>
      <c r="U64" s="9"/>
      <c r="V64" s="9"/>
      <c r="W64" s="9"/>
    </row>
    <row r="65" spans="10:23" ht="19.5" customHeight="1" x14ac:dyDescent="0.25">
      <c r="J65" s="9"/>
      <c r="K65" s="9"/>
      <c r="L65" s="9"/>
      <c r="M65" s="9"/>
      <c r="N65" s="9"/>
      <c r="O65" s="9"/>
      <c r="P65" s="9"/>
      <c r="R65" s="9"/>
      <c r="S65" s="9"/>
      <c r="T65" s="9"/>
      <c r="U65" s="9"/>
      <c r="V65" s="9"/>
      <c r="W65" s="9"/>
    </row>
    <row r="66" spans="10:23" ht="4.5" customHeight="1" x14ac:dyDescent="0.25">
      <c r="J66" s="9"/>
      <c r="K66" s="9"/>
      <c r="L66" s="9"/>
      <c r="M66" s="9"/>
      <c r="N66" s="9"/>
      <c r="O66" s="9"/>
      <c r="P66" s="9"/>
      <c r="R66" s="9"/>
      <c r="S66" s="9"/>
      <c r="T66" s="9"/>
      <c r="U66" s="9"/>
      <c r="V66" s="9"/>
      <c r="W66" s="9"/>
    </row>
    <row r="67" spans="10:23" ht="19.5" customHeight="1" x14ac:dyDescent="0.25">
      <c r="J67" s="9"/>
      <c r="K67" s="9"/>
      <c r="L67" s="9"/>
      <c r="M67" s="9"/>
      <c r="N67" s="9"/>
      <c r="O67" s="9"/>
      <c r="P67" s="9"/>
      <c r="R67" s="9"/>
      <c r="S67" s="9"/>
      <c r="T67" s="9"/>
      <c r="U67" s="9"/>
      <c r="V67" s="9"/>
      <c r="W67" s="9"/>
    </row>
    <row r="68" spans="10:23" x14ac:dyDescent="0.25">
      <c r="J68" s="9"/>
      <c r="K68" s="9"/>
      <c r="L68" s="9"/>
      <c r="M68" s="9"/>
      <c r="N68" s="9"/>
      <c r="O68" s="9"/>
      <c r="P68" s="9"/>
      <c r="R68" s="9"/>
      <c r="S68" s="9"/>
      <c r="T68" s="9"/>
      <c r="U68" s="9"/>
      <c r="V68" s="9"/>
      <c r="W68" s="9"/>
    </row>
    <row r="69" spans="10:23" x14ac:dyDescent="0.25">
      <c r="J69" s="9"/>
      <c r="K69" s="9"/>
      <c r="L69" s="9"/>
      <c r="M69" s="9"/>
      <c r="N69" s="9"/>
      <c r="O69" s="9"/>
      <c r="P69" s="9"/>
      <c r="R69" s="9"/>
      <c r="S69" s="9"/>
      <c r="T69" s="9"/>
      <c r="U69" s="9"/>
      <c r="V69" s="9"/>
      <c r="W69" s="9"/>
    </row>
    <row r="70" spans="10:23" ht="4.5" customHeight="1" x14ac:dyDescent="0.25">
      <c r="J70" s="9"/>
      <c r="K70" s="9"/>
      <c r="L70" s="9"/>
      <c r="M70" s="9"/>
      <c r="N70" s="9"/>
      <c r="O70" s="9"/>
      <c r="P70" s="9"/>
      <c r="R70" s="9"/>
      <c r="S70" s="9"/>
      <c r="T70" s="9"/>
      <c r="U70" s="9"/>
      <c r="V70" s="9"/>
      <c r="W70" s="9"/>
    </row>
    <row r="71" spans="10:23" x14ac:dyDescent="0.25">
      <c r="J71" s="9"/>
      <c r="K71" s="9"/>
      <c r="L71" s="9"/>
      <c r="M71" s="9"/>
      <c r="N71" s="9"/>
      <c r="O71" s="9"/>
      <c r="P71" s="9"/>
      <c r="R71" s="9"/>
      <c r="S71" s="9"/>
      <c r="T71" s="9"/>
      <c r="U71" s="9"/>
      <c r="V71" s="9"/>
      <c r="W71" s="9"/>
    </row>
    <row r="72" spans="10:23" ht="4.5" customHeight="1" x14ac:dyDescent="0.25">
      <c r="J72" s="9"/>
      <c r="K72" s="9"/>
      <c r="L72" s="9"/>
      <c r="M72" s="9"/>
      <c r="N72" s="9"/>
      <c r="O72" s="9"/>
      <c r="P72" s="9"/>
      <c r="R72" s="9"/>
      <c r="S72" s="9"/>
      <c r="T72" s="9"/>
      <c r="U72" s="9"/>
      <c r="V72" s="9"/>
      <c r="W72" s="9"/>
    </row>
    <row r="73" spans="10:23" x14ac:dyDescent="0.25">
      <c r="J73" s="9"/>
      <c r="K73" s="9"/>
      <c r="L73" s="9"/>
      <c r="M73" s="9"/>
      <c r="N73" s="9"/>
      <c r="O73" s="9"/>
      <c r="P73" s="9"/>
      <c r="R73" s="9"/>
      <c r="S73" s="9"/>
      <c r="T73" s="9"/>
      <c r="U73" s="9"/>
      <c r="V73" s="9"/>
      <c r="W73" s="9"/>
    </row>
    <row r="74" spans="10:23" ht="4.5" customHeight="1" x14ac:dyDescent="0.25">
      <c r="J74" s="9"/>
      <c r="K74" s="9"/>
      <c r="L74" s="9"/>
      <c r="M74" s="9"/>
      <c r="N74" s="9"/>
      <c r="O74" s="9"/>
      <c r="P74" s="9"/>
      <c r="R74" s="9"/>
      <c r="S74" s="9"/>
      <c r="T74" s="9"/>
      <c r="U74" s="9"/>
      <c r="V74" s="9"/>
      <c r="W74" s="9"/>
    </row>
    <row r="75" spans="10:23" x14ac:dyDescent="0.25">
      <c r="J75" s="9"/>
      <c r="K75" s="9"/>
      <c r="L75" s="9"/>
      <c r="M75" s="9"/>
      <c r="N75" s="9"/>
      <c r="O75" s="9"/>
      <c r="P75" s="9"/>
      <c r="R75" s="9"/>
      <c r="S75" s="9"/>
      <c r="T75" s="9"/>
      <c r="U75" s="9"/>
      <c r="V75" s="9"/>
      <c r="W75" s="9"/>
    </row>
    <row r="76" spans="10:23" ht="4.5" customHeight="1" x14ac:dyDescent="0.25">
      <c r="J76" s="9"/>
      <c r="K76" s="9"/>
      <c r="L76" s="9"/>
      <c r="M76" s="9"/>
      <c r="N76" s="9"/>
      <c r="O76" s="9"/>
      <c r="P76" s="9"/>
      <c r="R76" s="9"/>
      <c r="S76" s="9"/>
      <c r="T76" s="9"/>
      <c r="U76" s="9"/>
      <c r="V76" s="9"/>
      <c r="W76" s="9"/>
    </row>
    <row r="77" spans="10:23" x14ac:dyDescent="0.25">
      <c r="J77" s="9"/>
      <c r="K77" s="9"/>
      <c r="L77" s="9"/>
      <c r="M77" s="9"/>
      <c r="N77" s="9"/>
      <c r="O77" s="9"/>
      <c r="P77" s="9"/>
      <c r="R77" s="9"/>
      <c r="S77" s="9"/>
      <c r="T77" s="9"/>
      <c r="U77" s="9"/>
      <c r="V77" s="9"/>
      <c r="W77" s="9"/>
    </row>
    <row r="78" spans="10:23" ht="4.5" customHeight="1" x14ac:dyDescent="0.25">
      <c r="J78" s="9"/>
      <c r="K78" s="9"/>
      <c r="L78" s="9"/>
      <c r="M78" s="9"/>
      <c r="N78" s="9"/>
      <c r="O78" s="9"/>
      <c r="P78" s="9"/>
      <c r="R78" s="9"/>
      <c r="S78" s="9"/>
      <c r="T78" s="9"/>
      <c r="U78" s="9"/>
      <c r="V78" s="9"/>
      <c r="W78" s="9"/>
    </row>
    <row r="79" spans="10:23" x14ac:dyDescent="0.25">
      <c r="J79" s="9"/>
      <c r="K79" s="9"/>
      <c r="L79" s="9"/>
      <c r="M79" s="9"/>
      <c r="N79" s="9"/>
      <c r="O79" s="9"/>
      <c r="P79" s="9"/>
      <c r="R79" s="9"/>
      <c r="S79" s="9"/>
      <c r="T79" s="9"/>
      <c r="U79" s="9"/>
      <c r="V79" s="9"/>
      <c r="W79" s="9"/>
    </row>
    <row r="80" spans="10:23" ht="4.5" customHeight="1" x14ac:dyDescent="0.25">
      <c r="J80" s="9"/>
      <c r="K80" s="9"/>
      <c r="L80" s="9"/>
      <c r="M80" s="9"/>
      <c r="N80" s="9"/>
      <c r="O80" s="9"/>
      <c r="P80" s="9"/>
      <c r="R80" s="9"/>
      <c r="S80" s="9"/>
      <c r="T80" s="9"/>
      <c r="U80" s="9"/>
      <c r="V80" s="9"/>
      <c r="W80" s="9"/>
    </row>
    <row r="81" spans="10:23" x14ac:dyDescent="0.25">
      <c r="J81" s="9"/>
      <c r="K81" s="9"/>
      <c r="L81" s="9"/>
      <c r="M81" s="9"/>
      <c r="N81" s="9"/>
      <c r="O81" s="9"/>
      <c r="P81" s="9"/>
      <c r="R81" s="9"/>
      <c r="S81" s="9"/>
      <c r="T81" s="9"/>
      <c r="U81" s="9"/>
      <c r="V81" s="9"/>
      <c r="W81" s="9"/>
    </row>
    <row r="82" spans="10:23" ht="4.5" customHeight="1" x14ac:dyDescent="0.25">
      <c r="J82" s="9"/>
      <c r="K82" s="9"/>
      <c r="L82" s="9"/>
      <c r="M82" s="9"/>
      <c r="N82" s="9"/>
      <c r="O82" s="9"/>
      <c r="P82" s="9"/>
      <c r="R82" s="9"/>
      <c r="S82" s="9"/>
      <c r="T82" s="9"/>
      <c r="U82" s="9"/>
      <c r="V82" s="9"/>
      <c r="W82" s="9"/>
    </row>
    <row r="83" spans="10:23" x14ac:dyDescent="0.25">
      <c r="J83" s="9"/>
      <c r="K83" s="9"/>
      <c r="L83" s="9"/>
      <c r="M83" s="9"/>
      <c r="N83" s="9"/>
      <c r="O83" s="9"/>
      <c r="P83" s="9"/>
      <c r="R83" s="9"/>
      <c r="S83" s="9"/>
      <c r="T83" s="9"/>
      <c r="U83" s="9"/>
      <c r="V83" s="9"/>
      <c r="W83" s="9"/>
    </row>
    <row r="84" spans="10:23" ht="4.5" customHeight="1" x14ac:dyDescent="0.25">
      <c r="J84" s="9"/>
      <c r="K84" s="9"/>
      <c r="L84" s="9"/>
      <c r="M84" s="9"/>
      <c r="N84" s="9"/>
      <c r="O84" s="9"/>
      <c r="P84" s="9"/>
      <c r="R84" s="9"/>
      <c r="S84" s="9"/>
      <c r="T84" s="9"/>
      <c r="U84" s="9"/>
      <c r="V84" s="9"/>
      <c r="W84" s="9"/>
    </row>
    <row r="85" spans="10:23" x14ac:dyDescent="0.25">
      <c r="J85" s="9"/>
      <c r="K85" s="9"/>
      <c r="L85" s="9"/>
      <c r="M85" s="9"/>
      <c r="N85" s="9"/>
      <c r="O85" s="9"/>
      <c r="P85" s="9"/>
      <c r="R85" s="9"/>
      <c r="S85" s="9"/>
      <c r="T85" s="9"/>
      <c r="U85" s="9"/>
      <c r="V85" s="9"/>
      <c r="W85" s="9"/>
    </row>
    <row r="86" spans="10:23" ht="4.5" customHeight="1" x14ac:dyDescent="0.25">
      <c r="J86" s="9"/>
      <c r="K86" s="9"/>
      <c r="L86" s="9"/>
      <c r="M86" s="9"/>
      <c r="N86" s="9"/>
      <c r="O86" s="9"/>
      <c r="P86" s="9"/>
      <c r="R86" s="9"/>
      <c r="S86" s="9"/>
      <c r="T86" s="9"/>
      <c r="U86" s="9"/>
      <c r="V86" s="9"/>
      <c r="W86" s="9"/>
    </row>
    <row r="87" spans="10:23" x14ac:dyDescent="0.25">
      <c r="J87" s="9"/>
      <c r="K87" s="9"/>
      <c r="L87" s="9"/>
      <c r="M87" s="9"/>
      <c r="N87" s="9"/>
      <c r="O87" s="9"/>
      <c r="P87" s="9"/>
      <c r="R87" s="9"/>
      <c r="S87" s="9"/>
      <c r="T87" s="9"/>
      <c r="U87" s="9"/>
      <c r="V87" s="9"/>
      <c r="W87" s="9"/>
    </row>
    <row r="88" spans="10:23" ht="4.5" customHeight="1" x14ac:dyDescent="0.25">
      <c r="J88" s="9"/>
      <c r="K88" s="9"/>
      <c r="L88" s="9"/>
      <c r="M88" s="9"/>
      <c r="N88" s="9"/>
      <c r="O88" s="9"/>
      <c r="P88" s="9"/>
      <c r="R88" s="9"/>
      <c r="S88" s="9"/>
      <c r="T88" s="9"/>
      <c r="U88" s="9"/>
      <c r="V88" s="9"/>
      <c r="W88" s="9"/>
    </row>
    <row r="89" spans="10:23" x14ac:dyDescent="0.25">
      <c r="J89" s="9"/>
      <c r="K89" s="9"/>
      <c r="L89" s="9"/>
      <c r="M89" s="9"/>
      <c r="N89" s="9"/>
      <c r="O89" s="9"/>
      <c r="P89" s="9"/>
      <c r="R89" s="9"/>
      <c r="S89" s="9"/>
      <c r="T89" s="9"/>
      <c r="U89" s="9"/>
      <c r="V89" s="9"/>
      <c r="W89" s="9"/>
    </row>
    <row r="90" spans="10:23" ht="4.5" customHeight="1" x14ac:dyDescent="0.25">
      <c r="J90" s="9"/>
      <c r="K90" s="9"/>
      <c r="L90" s="9"/>
      <c r="M90" s="9"/>
      <c r="N90" s="9"/>
      <c r="O90" s="9"/>
      <c r="P90" s="9"/>
      <c r="R90" s="9"/>
      <c r="S90" s="9"/>
      <c r="T90" s="9"/>
      <c r="U90" s="9"/>
      <c r="V90" s="9"/>
      <c r="W90" s="9"/>
    </row>
    <row r="91" spans="10:23" x14ac:dyDescent="0.25">
      <c r="J91" s="9"/>
      <c r="K91" s="9"/>
      <c r="L91" s="9"/>
      <c r="M91" s="9"/>
      <c r="N91" s="9"/>
      <c r="O91" s="9"/>
      <c r="P91" s="9"/>
      <c r="R91" s="9"/>
      <c r="S91" s="9"/>
      <c r="T91" s="9"/>
      <c r="U91" s="9"/>
      <c r="V91" s="9"/>
      <c r="W91" s="9"/>
    </row>
    <row r="92" spans="10:23" ht="4.5" customHeight="1" x14ac:dyDescent="0.25">
      <c r="J92" s="9"/>
      <c r="K92" s="9"/>
      <c r="L92" s="9"/>
      <c r="M92" s="9"/>
      <c r="N92" s="9"/>
      <c r="O92" s="9"/>
      <c r="P92" s="9"/>
      <c r="R92" s="9"/>
      <c r="S92" s="9"/>
      <c r="T92" s="9"/>
      <c r="U92" s="9"/>
      <c r="V92" s="9"/>
      <c r="W92" s="9"/>
    </row>
    <row r="93" spans="10:23" x14ac:dyDescent="0.25">
      <c r="J93" s="9"/>
      <c r="K93" s="9"/>
      <c r="L93" s="9"/>
      <c r="M93" s="9"/>
      <c r="N93" s="9"/>
      <c r="O93" s="9"/>
      <c r="P93" s="9"/>
      <c r="R93" s="9"/>
      <c r="S93" s="9"/>
      <c r="T93" s="9"/>
      <c r="U93" s="9"/>
      <c r="V93" s="9"/>
      <c r="W93" s="9"/>
    </row>
    <row r="94" spans="10:23" x14ac:dyDescent="0.25">
      <c r="K94" s="13" t="str">
        <f ca="1">"© Excelerated Consulting Pty Ltd 2001-" &amp; YEAR(NOW())</f>
        <v>© Excelerated Consulting Pty Ltd 2001-2025</v>
      </c>
    </row>
  </sheetData>
  <sheetProtection sheet="1" objects="1" scenarios="1"/>
  <mergeCells count="7">
    <mergeCell ref="L59:O59"/>
    <mergeCell ref="S59:V59"/>
    <mergeCell ref="B1:D1"/>
    <mergeCell ref="B9:D9"/>
    <mergeCell ref="B17:D17"/>
    <mergeCell ref="B25:D25"/>
    <mergeCell ref="K54:U54"/>
  </mergeCells>
  <conditionalFormatting sqref="R59:W59">
    <cfRule type="expression" dxfId="0" priority="1">
      <formula>$C$25="gbms-reporting"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70</vt:i4>
      </vt:variant>
    </vt:vector>
  </HeadingPairs>
  <TitlesOfParts>
    <vt:vector size="71" baseType="lpstr">
      <vt:lpstr>Menu</vt:lpstr>
      <vt:lpstr>db_name</vt:lpstr>
      <vt:lpstr>home</vt:lpstr>
      <vt:lpstr>Menu</vt:lpstr>
      <vt:lpstr>psUser</vt:lpstr>
      <vt:lpstr>TM1AdminRDSAccountCAP</vt:lpstr>
      <vt:lpstr>TM1AdminRDSAccountWB</vt:lpstr>
      <vt:lpstr>TM1AdminRDSAccountWS</vt:lpstr>
      <vt:lpstr>TM1AdminRDSAppropItemCAP</vt:lpstr>
      <vt:lpstr>TM1AdminRDSAppropItemWB</vt:lpstr>
      <vt:lpstr>TM1AdminRDSAppropItemWS</vt:lpstr>
      <vt:lpstr>TM1AdminRDSAppropTypeCAP</vt:lpstr>
      <vt:lpstr>TM1AdminRDSAppropTypeWB</vt:lpstr>
      <vt:lpstr>TM1AdminRDSAppropTypeWS</vt:lpstr>
      <vt:lpstr>TM1AdminRDSFuncCAP</vt:lpstr>
      <vt:lpstr>TM1AdminRDSFuncWB</vt:lpstr>
      <vt:lpstr>TM1AdminRDSFuncWS</vt:lpstr>
      <vt:lpstr>TM1AdminRDSJurCAP</vt:lpstr>
      <vt:lpstr>TM1AdminRDSJurWB</vt:lpstr>
      <vt:lpstr>TM1AdminRDSJurWS</vt:lpstr>
      <vt:lpstr>TM1AdminRDSMACAP</vt:lpstr>
      <vt:lpstr>TM1AdminRDSMAWB</vt:lpstr>
      <vt:lpstr>TM1AdminRDSMAWS</vt:lpstr>
      <vt:lpstr>TM1AdminRDSMeasCodeCAP</vt:lpstr>
      <vt:lpstr>TM1AdminRDSMeasCodeWB</vt:lpstr>
      <vt:lpstr>TM1AdminRDSMeasCodeWS</vt:lpstr>
      <vt:lpstr>TM1AdminRDSOutcomeCAP</vt:lpstr>
      <vt:lpstr>TM1AdminRDSOutcomeWB</vt:lpstr>
      <vt:lpstr>TM1AdminRDSOutcomeWS</vt:lpstr>
      <vt:lpstr>TM1AdminRDSProgCAP</vt:lpstr>
      <vt:lpstr>TM1AdminRDSProgWB</vt:lpstr>
      <vt:lpstr>TM1AdminRDSProgWS</vt:lpstr>
      <vt:lpstr>TM1AdminRDSReasonCAP</vt:lpstr>
      <vt:lpstr>TM1AdminRDSReasonWB</vt:lpstr>
      <vt:lpstr>TM1AdminRDSReasonWS</vt:lpstr>
      <vt:lpstr>TM1AdminRDSRECAP</vt:lpstr>
      <vt:lpstr>TM1AdminRDSREWB</vt:lpstr>
      <vt:lpstr>TM1AdminRDSREWS</vt:lpstr>
      <vt:lpstr>TM1AdminRDSSPPCAP</vt:lpstr>
      <vt:lpstr>TM1AdminRDSSPPWB</vt:lpstr>
      <vt:lpstr>TM1AdminRDSSPPWS</vt:lpstr>
      <vt:lpstr>TM1HomeAdminBaseCAP</vt:lpstr>
      <vt:lpstr>TM1HomeAdminBaseWB</vt:lpstr>
      <vt:lpstr>TM1HomeAdminBaseWS</vt:lpstr>
      <vt:lpstr>TM1HomeAdminCAP</vt:lpstr>
      <vt:lpstr>TM1HomeAdminFavCAP</vt:lpstr>
      <vt:lpstr>TM1HomeAdminFavWB</vt:lpstr>
      <vt:lpstr>TM1HomeAdminFavWS</vt:lpstr>
      <vt:lpstr>TM1HomeAdminGEUSCAP</vt:lpstr>
      <vt:lpstr>TM1HomeAdminGEUSWB</vt:lpstr>
      <vt:lpstr>TM1HomeAdminGEUSWS</vt:lpstr>
      <vt:lpstr>TM1HomeAdminRDSCAP</vt:lpstr>
      <vt:lpstr>TM1HomeAdminRDSMapCAP</vt:lpstr>
      <vt:lpstr>TM1HomeAdminRDSMapWB</vt:lpstr>
      <vt:lpstr>TM1HomeAdminRDSMapWS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TM1HomeUnderCAP</vt:lpstr>
      <vt:lpstr>TM1HomeUnderWB</vt:lpstr>
      <vt:lpstr>TM1HomeUnderWS</vt:lpstr>
      <vt:lpstr>TM1HomeWB</vt:lpstr>
      <vt:lpstr>TM1HomeWS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Xin HE</cp:lastModifiedBy>
  <dcterms:created xsi:type="dcterms:W3CDTF">2018-10-30T00:46:04Z</dcterms:created>
  <dcterms:modified xsi:type="dcterms:W3CDTF">2025-08-11T06:20:02Z</dcterms:modified>
</cp:coreProperties>
</file>