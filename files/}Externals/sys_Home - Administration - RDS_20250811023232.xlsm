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6DF6FED-35E8-42E8-AEA9-F349CE855F8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minRDSAccountCAP">Menu!$D$42</definedName>
    <definedName name="TM1AdminRDSAccountWB">Menu!$F$42</definedName>
    <definedName name="TM1AdminRDSAccountWS">Menu!$H$42</definedName>
    <definedName name="TM1AdminRDSAppropItemCAP">Menu!$D$41</definedName>
    <definedName name="TM1AdminRDSAppropItemWB">Menu!$F$41</definedName>
    <definedName name="TM1AdminRDSAppropItemWS">Menu!$H$41</definedName>
    <definedName name="TM1AdminRDSAppropTypeCAP">Menu!$D$48</definedName>
    <definedName name="TM1AdminRDSAppropTypeWB">Menu!$F$48</definedName>
    <definedName name="TM1AdminRDSAppropTypeWS">Menu!$H$48</definedName>
    <definedName name="TM1AdminRDSFuncCAP">Menu!$D$46</definedName>
    <definedName name="TM1AdminRDSFuncWB">Menu!$F$46</definedName>
    <definedName name="TM1AdminRDSFuncWS">Menu!$H$46</definedName>
    <definedName name="TM1AdminRDSJurCAP">Menu!$D$49</definedName>
    <definedName name="TM1AdminRDSJurWB">Menu!$F$49</definedName>
    <definedName name="TM1AdminRDSJurWS">Menu!$H$49</definedName>
    <definedName name="TM1AdminRDSMACAP">Menu!$D$43</definedName>
    <definedName name="TM1AdminRDSMAWB">Menu!$F$43</definedName>
    <definedName name="TM1AdminRDSMAWS">Menu!$H$43</definedName>
    <definedName name="TM1AdminRDSMeasCodeCAP">Menu!$D$39</definedName>
    <definedName name="TM1AdminRDSMeasCodeWB">Menu!$F$39</definedName>
    <definedName name="TM1AdminRDSMeasCodeWS">Menu!$H$39</definedName>
    <definedName name="TM1AdminRDSOutcomeCAP">Menu!$D$47</definedName>
    <definedName name="TM1AdminRDSOutcomeWB">Menu!$F$47</definedName>
    <definedName name="TM1AdminRDSOutcomeWS">Menu!$H$47</definedName>
    <definedName name="TM1AdminRDSProgCAP">Menu!$D$38</definedName>
    <definedName name="TM1AdminRDSProgWB">Menu!$F$38</definedName>
    <definedName name="TM1AdminRDSProgWS">Menu!$H$38</definedName>
    <definedName name="TM1AdminRDSReasonCAP">Menu!$D$40</definedName>
    <definedName name="TM1AdminRDSReasonWB">Menu!$F$40</definedName>
    <definedName name="TM1AdminRDSReasonWS">Menu!$H$40</definedName>
    <definedName name="TM1AdminRDSRECAP">Menu!$D$44</definedName>
    <definedName name="TM1AdminRDSREWB">Menu!$F$44</definedName>
    <definedName name="TM1AdminRDSREWS">Menu!$H$44</definedName>
    <definedName name="TM1AdminRDSSPPCAP">Menu!$D$45</definedName>
    <definedName name="TM1AdminRDSSPPWB">Menu!$F$45</definedName>
    <definedName name="TM1AdminRDSSPPWS">Menu!$H$45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CAP">Menu!$D$30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3" i="1"/>
  <c r="C6" i="1"/>
  <c r="C5" i="1"/>
  <c r="C7" i="1"/>
  <c r="C26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H33" i="1"/>
  <c r="G33" i="1"/>
  <c r="F33" i="1"/>
  <c r="E33" i="1"/>
  <c r="D33" i="1"/>
  <c r="C33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2" i="1"/>
  <c r="G32" i="1"/>
  <c r="F32" i="1"/>
  <c r="E32" i="1"/>
  <c r="D32" i="1"/>
  <c r="C32" i="1"/>
  <c r="K94" i="1"/>
  <c r="H37" i="1"/>
  <c r="H31" i="1"/>
  <c r="H30" i="1"/>
  <c r="H29" i="1"/>
  <c r="H28" i="1"/>
  <c r="G37" i="1"/>
  <c r="F37" i="1"/>
  <c r="E37" i="1"/>
  <c r="D37" i="1"/>
  <c r="C37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C18" i="1"/>
  <c r="C10" i="1"/>
  <c r="C12" i="1"/>
  <c r="C11" i="1"/>
  <c r="C13" i="1"/>
  <c r="C14" i="1"/>
  <c r="C15" i="1"/>
  <c r="K54" i="1"/>
  <c r="W52" i="1"/>
  <c r="C22" i="1"/>
  <c r="C21" i="1"/>
  <c r="C20" i="1"/>
  <c r="C19" i="1"/>
</calcChain>
</file>

<file path=xl/sharedStrings.xml><?xml version="1.0" encoding="utf-8"?>
<sst xmlns="http://schemas.openxmlformats.org/spreadsheetml/2006/main" count="55" uniqueCount="54">
  <si>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</si>
  <si>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</si>
  <si>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</si>
  <si>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</si>
  <si>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</si>
  <si>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</si>
  <si>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</si>
  <si>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</si>
  <si>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</si>
  <si>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</si>
  <si>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</si>
  <si>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</si>
  <si>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</si>
  <si>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</si>
  <si>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</si>
  <si>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</si>
  <si>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</si>
  <si>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</si>
  <si>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</si>
  <si>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</si>
  <si>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</si>
  <si>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</si>
  <si>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</si>
  <si>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</si>
  <si>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</si>
  <si>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</si>
  <si>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</si>
  <si>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</si>
  <si>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</si>
  <si>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</si>
  <si>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</si>
  <si>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</si>
  <si>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</si>
  <si>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</si>
  <si>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</si>
  <si>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</si>
  <si>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</si>
  <si>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</si>
  <si>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</si>
  <si>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</si>
  <si>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Admin RDS - Programme</t>
  </si>
  <si>
    <t>Admin RDS - Measure Code</t>
  </si>
  <si>
    <t>Admin RDS - Reason Code</t>
  </si>
  <si>
    <t>Admin RDS - Appropriation Item</t>
  </si>
  <si>
    <t>Admin RDS - Account</t>
  </si>
  <si>
    <t>Admin RDS - Movement Account</t>
  </si>
  <si>
    <t>Admin RDS - Related Entity</t>
  </si>
  <si>
    <t>Admin RDS - SPP</t>
  </si>
  <si>
    <t>Admin RDS - Function</t>
  </si>
  <si>
    <t>Admin RDS - Outcome</t>
  </si>
  <si>
    <t>Admin RDS - Appropriation Type</t>
  </si>
  <si>
    <t>Admin RDS - Jurisdiction</t>
  </si>
  <si>
    <t>REFERENCE DATA SET ATTRIBUTES MENU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</si>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</sst>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53</xdr:row>
      <xdr:rowOff>55686</xdr:rowOff>
    </xdr:from>
    <xdr:to>
      <xdr:col>22</xdr:col>
      <xdr:colOff>210100</xdr:colOff>
      <xdr:row>53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58</xdr:row>
      <xdr:rowOff>57150</xdr:rowOff>
    </xdr:from>
    <xdr:to>
      <xdr:col>15</xdr:col>
      <xdr:colOff>307716</xdr:colOff>
      <xdr:row>58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285236</xdr:colOff>
      <xdr:row>58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28575</xdr:rowOff>
    </xdr:from>
    <xdr:to>
      <xdr:col>12</xdr:col>
      <xdr:colOff>53340</xdr:colOff>
      <xdr:row>51</xdr:row>
      <xdr:rowOff>478155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285236</xdr:colOff>
      <xdr:row>58</xdr:row>
      <xdr:rowOff>249855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0</xdr:row>
      <xdr:rowOff>0</xdr:rowOff>
    </xdr:from>
    <xdr:to>
      <xdr:col>26</xdr:col>
      <xdr:colOff>76200</xdr:colOff>
      <xdr:row>59</xdr:row>
      <xdr:rowOff>19050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59</xdr:row>
      <xdr:rowOff>47625</xdr:rowOff>
    </xdr:from>
    <xdr:to>
      <xdr:col>14</xdr:col>
      <xdr:colOff>752475</xdr:colOff>
      <xdr:row>62</xdr:row>
      <xdr:rowOff>0</xdr:rowOff>
    </xdr:to>
    <xdr:sp macro="Sheet1.ExecuteAction_e638ead6_0913_48f2_8ed6_734a73b4b93b" textlink="TM1HomeAdminGEUSCAP">
      <xdr:nvSpPr>
        <xdr:cNvPr id="2" name="TM1Button_e638ead6_0913_48f2_8ed6_734a73b4b93b">
          <a:extLst>
            <a:ext uri="{FF2B5EF4-FFF2-40B4-BE49-F238E27FC236}">
              <a16:creationId xmlns:a16="http://schemas.microsoft.com/office/drawing/2014/main" id="{C062A875-A1C3-36D4-83F1-6D3434C95653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DE30BA-6762-4748-B75B-EAD166E0BB9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62</xdr:row>
      <xdr:rowOff>47625</xdr:rowOff>
    </xdr:from>
    <xdr:to>
      <xdr:col>21</xdr:col>
      <xdr:colOff>1038225</xdr:colOff>
      <xdr:row>64</xdr:row>
      <xdr:rowOff>57150</xdr:rowOff>
    </xdr:to>
    <xdr:sp macro="Sheet1.ExecuteAction_18387daa_6102_4453_9585_a893686d66e1" textlink="TM1AdminRDSMeasCodeCAP">
      <xdr:nvSpPr>
        <xdr:cNvPr id="3" name="TM1Button_18387daa_6102_4453_9585_a893686d66e1">
          <a:extLst>
            <a:ext uri="{FF2B5EF4-FFF2-40B4-BE49-F238E27FC236}">
              <a16:creationId xmlns:a16="http://schemas.microsoft.com/office/drawing/2014/main" id="{B312D8B7-53B7-AC0F-3619-502C1AD851A3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529FB2-4964-40FB-AE25-F8211EDE548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RECALC_0_3215_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104775</xdr:rowOff>
    </xdr:from>
    <xdr:to>
      <xdr:col>21</xdr:col>
      <xdr:colOff>1038225</xdr:colOff>
      <xdr:row>66</xdr:row>
      <xdr:rowOff>114300</xdr:rowOff>
    </xdr:to>
    <xdr:sp macro="Sheet1.ExecuteAction_24e0e1fc_f8ad_41ac_b45f_987b2273fc28" textlink="TM1AdminRDSReasonCAP">
      <xdr:nvSpPr>
        <xdr:cNvPr id="4" name="TM1Button_24e0e1fc_f8ad_41ac_b45f_987b2273fc28">
          <a:extLst>
            <a:ext uri="{FF2B5EF4-FFF2-40B4-BE49-F238E27FC236}">
              <a16:creationId xmlns:a16="http://schemas.microsoft.com/office/drawing/2014/main" id="{07A3BFA5-2F0C-BAEE-0738-ABDAC506713D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D9701E-D621-49CD-971E-DB65DBE262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RECALC_0_3221_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161925</xdr:rowOff>
    </xdr:from>
    <xdr:to>
      <xdr:col>21</xdr:col>
      <xdr:colOff>1038225</xdr:colOff>
      <xdr:row>68</xdr:row>
      <xdr:rowOff>38100</xdr:rowOff>
    </xdr:to>
    <xdr:sp macro="Sheet1.ExecuteAction_b0149406_2b91_48c0_897b_eef0988d6f43" textlink="TM1AdminRDSAppropItemCAP">
      <xdr:nvSpPr>
        <xdr:cNvPr id="5" name="TM1Button_b0149406_2b91_48c0_897b_eef0988d6f43">
          <a:extLst>
            <a:ext uri="{FF2B5EF4-FFF2-40B4-BE49-F238E27FC236}">
              <a16:creationId xmlns:a16="http://schemas.microsoft.com/office/drawing/2014/main" id="{92C98273-092D-4842-B338-94A54433E07F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E8EF0BA-6544-4784-8231-B143C091213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RECALC_0_3227_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68</xdr:row>
      <xdr:rowOff>85725</xdr:rowOff>
    </xdr:from>
    <xdr:to>
      <xdr:col>21</xdr:col>
      <xdr:colOff>1038225</xdr:colOff>
      <xdr:row>70</xdr:row>
      <xdr:rowOff>152400</xdr:rowOff>
    </xdr:to>
    <xdr:sp macro="Sheet1.ExecuteAction_f2751539_ce7f_4489_b55f_ac1087534940" textlink="TM1AdminRDSAccountCAP">
      <xdr:nvSpPr>
        <xdr:cNvPr id="6" name="TM1Button_f2751539_ce7f_4489_b55f_ac1087534940">
          <a:extLst>
            <a:ext uri="{FF2B5EF4-FFF2-40B4-BE49-F238E27FC236}">
              <a16:creationId xmlns:a16="http://schemas.microsoft.com/office/drawing/2014/main" id="{2A7A537D-A8EF-3106-9B08-A72D58334D5D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33241F-1716-4A24-8010-42B086BC7A9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RECALC_0_3037_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71</xdr:row>
      <xdr:rowOff>9525</xdr:rowOff>
    </xdr:from>
    <xdr:to>
      <xdr:col>21</xdr:col>
      <xdr:colOff>1038225</xdr:colOff>
      <xdr:row>74</xdr:row>
      <xdr:rowOff>19050</xdr:rowOff>
    </xdr:to>
    <xdr:sp macro="Sheet1.ExecuteAction_9ae8ecc1_73d3_4a0e_8144_6422ebceef16" textlink="TM1AdminRDSMACAP">
      <xdr:nvSpPr>
        <xdr:cNvPr id="7" name="TM1Button_9ae8ecc1_73d3_4a0e_8144_6422ebceef16">
          <a:extLst>
            <a:ext uri="{FF2B5EF4-FFF2-40B4-BE49-F238E27FC236}">
              <a16:creationId xmlns:a16="http://schemas.microsoft.com/office/drawing/2014/main" id="{2CDF9173-495A-7070-18E6-B633EF90AB1E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3561035-D562-4EDA-B940-49C46C0CA77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RECALC_0_3031_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74</xdr:row>
      <xdr:rowOff>66675</xdr:rowOff>
    </xdr:from>
    <xdr:to>
      <xdr:col>21</xdr:col>
      <xdr:colOff>1038225</xdr:colOff>
      <xdr:row>76</xdr:row>
      <xdr:rowOff>133350</xdr:rowOff>
    </xdr:to>
    <xdr:sp macro="Sheet1.ExecuteAction_f84a597e_efa2_41ce_a5ee_25743dad3f6e" textlink="TM1AdminRDSRECAP">
      <xdr:nvSpPr>
        <xdr:cNvPr id="8" name="TM1Button_f84a597e_efa2_41ce_a5ee_25743dad3f6e">
          <a:extLst>
            <a:ext uri="{FF2B5EF4-FFF2-40B4-BE49-F238E27FC236}">
              <a16:creationId xmlns:a16="http://schemas.microsoft.com/office/drawing/2014/main" id="{8F94CD22-BD8F-8004-AAA4-8FF67F78BD4C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CCBF3E-DD41-46D3-B339-6B60B2347CC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RECALC_0_3233_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80</xdr:row>
      <xdr:rowOff>47625</xdr:rowOff>
    </xdr:from>
    <xdr:to>
      <xdr:col>21</xdr:col>
      <xdr:colOff>1038225</xdr:colOff>
      <xdr:row>82</xdr:row>
      <xdr:rowOff>114300</xdr:rowOff>
    </xdr:to>
    <xdr:sp macro="Sheet1.ExecuteAction_97336f57_dd14_4026_bdbc_93a3d384ecdb" textlink="TM1AdminRDSFuncCAP">
      <xdr:nvSpPr>
        <xdr:cNvPr id="10" name="TM1Button_97336f57_dd14_4026_bdbc_93a3d384ecdb">
          <a:extLst>
            <a:ext uri="{FF2B5EF4-FFF2-40B4-BE49-F238E27FC236}">
              <a16:creationId xmlns:a16="http://schemas.microsoft.com/office/drawing/2014/main" id="{AEC7E36A-CC06-4BA3-3A69-84AE8E6202B2}"/>
            </a:ext>
          </a:extLst>
        </xdr:cNvPr>
        <xdr:cNvSpPr txBox="1"/>
      </xdr:nvSpPr>
      <xdr:spPr>
        <a:xfrm>
          <a:off x="6858000" y="48291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3A5919-C910-4291-8E22-4FC4ADB636C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RECALC_0_3245_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82</xdr:row>
      <xdr:rowOff>161925</xdr:rowOff>
    </xdr:from>
    <xdr:to>
      <xdr:col>21</xdr:col>
      <xdr:colOff>1038225</xdr:colOff>
      <xdr:row>85</xdr:row>
      <xdr:rowOff>38100</xdr:rowOff>
    </xdr:to>
    <xdr:sp macro="Sheet1.ExecuteAction_059bfabd_013b_46aa_9586_13a5f75f72d7" textlink="TM1AdminRDSOutcomeCAP">
      <xdr:nvSpPr>
        <xdr:cNvPr id="13" name="TM1Button_059bfabd_013b_46aa_9586_13a5f75f72d7">
          <a:extLst>
            <a:ext uri="{FF2B5EF4-FFF2-40B4-BE49-F238E27FC236}">
              <a16:creationId xmlns:a16="http://schemas.microsoft.com/office/drawing/2014/main" id="{CEF0E73B-0B0D-04E5-0499-C25A7E25CEEB}"/>
            </a:ext>
          </a:extLst>
        </xdr:cNvPr>
        <xdr:cNvSpPr txBox="1"/>
      </xdr:nvSpPr>
      <xdr:spPr>
        <a:xfrm>
          <a:off x="6858000" y="51911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179512F-390B-4B66-9C43-4C9F35C1836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161925</xdr:rowOff>
    </xdr:from>
    <xdr:to>
      <xdr:col>14</xdr:col>
      <xdr:colOff>752475</xdr:colOff>
      <xdr:row>68</xdr:row>
      <xdr:rowOff>38100</xdr:rowOff>
    </xdr:to>
    <xdr:sp macro="Sheet1.ExecuteAction_8af5302a_9ef3_44fb_afbc_f370c390d92b" textlink="TM1HomeAdminBaseCAP">
      <xdr:nvSpPr>
        <xdr:cNvPr id="14" name="TM1Button_8af5302a_9ef3_44fb_afbc_f370c390d92b">
          <a:extLst>
            <a:ext uri="{FF2B5EF4-FFF2-40B4-BE49-F238E27FC236}">
              <a16:creationId xmlns:a16="http://schemas.microsoft.com/office/drawing/2014/main" id="{C6D1CE46-E50B-BA3A-739A-007888862769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47261D-2E6A-447F-9416-CC110EAF20C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86</xdr:row>
      <xdr:rowOff>28575</xdr:rowOff>
    </xdr:from>
    <xdr:to>
      <xdr:col>21</xdr:col>
      <xdr:colOff>1038225</xdr:colOff>
      <xdr:row>88</xdr:row>
      <xdr:rowOff>95250</xdr:rowOff>
    </xdr:to>
    <xdr:sp macro="Sheet1.ExecuteAction_d254042a_4def_4fcd_9ac3_770025e0988e" textlink="TM1AdminRDSAppropTypeCAP">
      <xdr:nvSpPr>
        <xdr:cNvPr id="15" name="TM1Button_d254042a_4def_4fcd_9ac3_770025e0988e">
          <a:extLst>
            <a:ext uri="{FF2B5EF4-FFF2-40B4-BE49-F238E27FC236}">
              <a16:creationId xmlns:a16="http://schemas.microsoft.com/office/drawing/2014/main" id="{1A0E0D61-7C13-0C94-C8C0-C25FB7984323}"/>
            </a:ext>
          </a:extLst>
        </xdr:cNvPr>
        <xdr:cNvSpPr txBox="1"/>
      </xdr:nvSpPr>
      <xdr:spPr>
        <a:xfrm>
          <a:off x="6858000" y="55530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5897F5-CE8E-4384-9AE1-85B5299AC08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47625</xdr:rowOff>
    </xdr:from>
    <xdr:to>
      <xdr:col>14</xdr:col>
      <xdr:colOff>752475</xdr:colOff>
      <xdr:row>64</xdr:row>
      <xdr:rowOff>57150</xdr:rowOff>
    </xdr:to>
    <xdr:sp macro="Sheet1.ExecuteAction_e8a963a1_e24c_4cd7_8b1d_6a4696ffbc61" textlink="TM1HomeAdminRDSCAP">
      <xdr:nvSpPr>
        <xdr:cNvPr id="16" name="TM1Button_e8a963a1_e24c_4cd7_8b1d_6a4696ffbc61">
          <a:extLst>
            <a:ext uri="{FF2B5EF4-FFF2-40B4-BE49-F238E27FC236}">
              <a16:creationId xmlns:a16="http://schemas.microsoft.com/office/drawing/2014/main" id="{6A91520A-EFAB-AD78-F25B-F017E266421C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DF7F190-4275-48AA-BB53-219E62FD13D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88</xdr:row>
      <xdr:rowOff>142875</xdr:rowOff>
    </xdr:from>
    <xdr:to>
      <xdr:col>21</xdr:col>
      <xdr:colOff>1038225</xdr:colOff>
      <xdr:row>91</xdr:row>
      <xdr:rowOff>19050</xdr:rowOff>
    </xdr:to>
    <xdr:sp macro="Sheet1.ExecuteAction_31e43906_d2f1_4855_bc19_98f07d658961" textlink="TM1AdminRDSJurCAP">
      <xdr:nvSpPr>
        <xdr:cNvPr id="17" name="TM1Button_31e43906_d2f1_4855_bc19_98f07d658961">
          <a:extLst>
            <a:ext uri="{FF2B5EF4-FFF2-40B4-BE49-F238E27FC236}">
              <a16:creationId xmlns:a16="http://schemas.microsoft.com/office/drawing/2014/main" id="{7E9D3D1B-541B-8B79-ABA7-045692223832}"/>
            </a:ext>
          </a:extLst>
        </xdr:cNvPr>
        <xdr:cNvSpPr txBox="1"/>
      </xdr:nvSpPr>
      <xdr:spPr>
        <a:xfrm>
          <a:off x="6858000" y="59150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588A90D-A4AA-42DE-9497-DD0919E606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RECALC_0_3263_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85725</xdr:rowOff>
    </xdr:from>
    <xdr:to>
      <xdr:col>14</xdr:col>
      <xdr:colOff>752475</xdr:colOff>
      <xdr:row>70</xdr:row>
      <xdr:rowOff>152400</xdr:rowOff>
    </xdr:to>
    <xdr:sp macro="Sheet1.ExecuteAction_6fbb6602_6112_45ed_b65a_bee1259e43d2" textlink="TM1HomeAdminFavCAP">
      <xdr:nvSpPr>
        <xdr:cNvPr id="18" name="TM1Button_6fbb6602_6112_45ed_b65a_bee1259e43d2">
          <a:extLst>
            <a:ext uri="{FF2B5EF4-FFF2-40B4-BE49-F238E27FC236}">
              <a16:creationId xmlns:a16="http://schemas.microsoft.com/office/drawing/2014/main" id="{357B01E4-E54E-BCAA-BF8F-714E4D5DEF84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E791BD3-E4EE-4597-A1D8-6DF0EDC9285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104775</xdr:rowOff>
    </xdr:from>
    <xdr:to>
      <xdr:col>14</xdr:col>
      <xdr:colOff>752475</xdr:colOff>
      <xdr:row>66</xdr:row>
      <xdr:rowOff>114300</xdr:rowOff>
    </xdr:to>
    <xdr:sp macro="Sheet1.ExecuteAction_6142f0c8_6d64_45e9_9658_29c79f86fdd5" textlink="TM1HomeAdminRDSMapCAP">
      <xdr:nvSpPr>
        <xdr:cNvPr id="20" name="TM1Button_6142f0c8_6d64_45e9_9658_29c79f86fdd5">
          <a:extLst>
            <a:ext uri="{FF2B5EF4-FFF2-40B4-BE49-F238E27FC236}">
              <a16:creationId xmlns:a16="http://schemas.microsoft.com/office/drawing/2014/main" id="{713DB6C6-52BF-9908-FEDB-0F1CF5C61D56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0A36AEC-7D60-4040-B078-3B0EEC95848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RECALC_0_2833_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76</xdr:row>
      <xdr:rowOff>180975</xdr:rowOff>
    </xdr:from>
    <xdr:to>
      <xdr:col>21</xdr:col>
      <xdr:colOff>1038225</xdr:colOff>
      <xdr:row>80</xdr:row>
      <xdr:rowOff>0</xdr:rowOff>
    </xdr:to>
    <xdr:sp macro="Sheet1.ExecuteAction_11f19298_a48b_42b6_b074_f113531f86fc" textlink="TM1AdminRDSSPPCAP">
      <xdr:nvSpPr>
        <xdr:cNvPr id="22" name="TM1Button_11f19298_a48b_42b6_b074_f113531f86fc">
          <a:extLst>
            <a:ext uri="{FF2B5EF4-FFF2-40B4-BE49-F238E27FC236}">
              <a16:creationId xmlns:a16="http://schemas.microsoft.com/office/drawing/2014/main" id="{3A25C6F6-F6BC-EB1E-2906-AD78428DB15E}"/>
            </a:ext>
          </a:extLst>
        </xdr:cNvPr>
        <xdr:cNvSpPr txBox="1"/>
      </xdr:nvSpPr>
      <xdr:spPr>
        <a:xfrm>
          <a:off x="6858000" y="44672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6AB8B50-BE5E-4DED-823C-AA41DF80C9F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RECALC_0_3239_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55</xdr:row>
      <xdr:rowOff>47625</xdr:rowOff>
    </xdr:from>
    <xdr:to>
      <xdr:col>13</xdr:col>
      <xdr:colOff>38100</xdr:colOff>
      <xdr:row>57</xdr:row>
      <xdr:rowOff>85725</xdr:rowOff>
    </xdr:to>
    <xdr:sp macro="Sheet1.ExecuteAction_ab34d3ce_db1d_4a6f_8ada_0f194d110f71" textlink="TM1HomeCAP">
      <xdr:nvSpPr>
        <xdr:cNvPr id="23" name="TM1Button_ab34d3ce_db1d_4a6f_8ada_0f194d110f71">
          <a:extLst>
            <a:ext uri="{FF2B5EF4-FFF2-40B4-BE49-F238E27FC236}">
              <a16:creationId xmlns:a16="http://schemas.microsoft.com/office/drawing/2014/main" id="{8A052851-ADD4-5D2C-029E-A4C2E6FF488F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7D7A1A-23D8-414D-9995-15620D8C10E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55</xdr:row>
      <xdr:rowOff>47625</xdr:rowOff>
    </xdr:from>
    <xdr:to>
      <xdr:col>15</xdr:col>
      <xdr:colOff>352425</xdr:colOff>
      <xdr:row>57</xdr:row>
      <xdr:rowOff>85725</xdr:rowOff>
    </xdr:to>
    <xdr:sp macro="Sheet1.ExecuteAction_a857a270_c3b5_4301_87d9_e6b0e2287daa" textlink="TM1HomeAECAP">
      <xdr:nvSpPr>
        <xdr:cNvPr id="24" name="TM1Button_a857a270_c3b5_4301_87d9_e6b0e2287daa">
          <a:extLst>
            <a:ext uri="{FF2B5EF4-FFF2-40B4-BE49-F238E27FC236}">
              <a16:creationId xmlns:a16="http://schemas.microsoft.com/office/drawing/2014/main" id="{8F8CFB2A-0BA7-5B01-1BF8-A6268FC3746C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07E88AB-8C2D-4FFB-B421-2D98C5A08D1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55</xdr:row>
      <xdr:rowOff>38100</xdr:rowOff>
    </xdr:from>
    <xdr:to>
      <xdr:col>19</xdr:col>
      <xdr:colOff>1104900</xdr:colOff>
      <xdr:row>57</xdr:row>
      <xdr:rowOff>76200</xdr:rowOff>
    </xdr:to>
    <xdr:sp macro="Sheet1.ExecuteAction_09c92da9_441c_40e0_820e_20e9f365de78" textlink="TM1HomeRepCAP">
      <xdr:nvSpPr>
        <xdr:cNvPr id="25" name="TM1Button_09c92da9_441c_40e0_820e_20e9f365de78">
          <a:extLst>
            <a:ext uri="{FF2B5EF4-FFF2-40B4-BE49-F238E27FC236}">
              <a16:creationId xmlns:a16="http://schemas.microsoft.com/office/drawing/2014/main" id="{AB101B3F-C6B7-D8A3-F0B9-3EC62712F74E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582E423-0FFF-4496-9DD8-C349EF2CC57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55</xdr:row>
      <xdr:rowOff>38100</xdr:rowOff>
    </xdr:from>
    <xdr:to>
      <xdr:col>22</xdr:col>
      <xdr:colOff>114300</xdr:colOff>
      <xdr:row>57</xdr:row>
      <xdr:rowOff>76200</xdr:rowOff>
    </xdr:to>
    <xdr:sp macro="Sheet1.ExecuteAction_87bf68ab_769a_4d10_a86e_9babd9ba6438" textlink="TM1HomeAdminCAP">
      <xdr:nvSpPr>
        <xdr:cNvPr id="26" name="TM1Button_87bf68ab_769a_4d10_a86e_9babd9ba6438">
          <a:extLst>
            <a:ext uri="{FF2B5EF4-FFF2-40B4-BE49-F238E27FC236}">
              <a16:creationId xmlns:a16="http://schemas.microsoft.com/office/drawing/2014/main" id="{2E27345A-C1A9-E812-C611-94CCE838DCDF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862DFB-A45B-4B6E-805A-FCEA646A39F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59</xdr:row>
      <xdr:rowOff>47625</xdr:rowOff>
    </xdr:from>
    <xdr:to>
      <xdr:col>21</xdr:col>
      <xdr:colOff>1038225</xdr:colOff>
      <xdr:row>62</xdr:row>
      <xdr:rowOff>0</xdr:rowOff>
    </xdr:to>
    <xdr:sp macro="Sheet1.ExecuteAction_ceb2a144_9a79_409d_9d08_8365d1f9d1dc" textlink="TM1AdminRDSProgCAP">
      <xdr:nvSpPr>
        <xdr:cNvPr id="27" name="TM1Button_ceb2a144_9a79_409d_9d08_8365d1f9d1dc">
          <a:extLst>
            <a:ext uri="{FF2B5EF4-FFF2-40B4-BE49-F238E27FC236}">
              <a16:creationId xmlns:a16="http://schemas.microsoft.com/office/drawing/2014/main" id="{A80945B8-450C-BA4E-E989-8F29D759AD71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F9DA9F-43AD-42EF-9684-64370D33448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RECALC_0_2874_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94"/>
  <sheetViews>
    <sheetView showGridLines="0" showRowColHeaders="0" tabSelected="1" showOutlineSymbols="0" topLeftCell="J52" workbookViewId="0"/>
  </sheetViews>
  <sheetFormatPr defaultRowHeight="15" outlineLevelRow="1" outlineLevelCol="1" x14ac:dyDescent="0.25"/>
  <cols>
    <col min="1" max="1" width="5.7109375" hidden="1" customWidth="1" outlineLevel="1"/>
    <col min="2" max="2" width="46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53</v>
      </c>
      <c r="D2" s="4"/>
    </row>
    <row r="3" spans="2:4" hidden="1" outlineLevel="1" x14ac:dyDescent="0.25">
      <c r="B3" s="2" t="s">
        <v>22</v>
      </c>
      <c r="C3" s="10" t="str">
        <f>_xll.VIEW(db_name&amp;":}ElementAttributes_}Clients","!","!")</f>
        <v>finance_geus:}ElementAttributes_}Clients:1264217196-1587476081</v>
      </c>
      <c r="D3" s="4"/>
    </row>
    <row r="4" spans="2:4" hidden="1" outlineLevel="1" x14ac:dyDescent="0.25">
      <c r="B4" s="2" t="s">
        <v>21</v>
      </c>
      <c r="C4" s="3" t="str">
        <f ca="1">_xll.TM1USER(db_name)</f>
        <v>RECALC_0_100_</v>
      </c>
      <c r="D4" s="4"/>
    </row>
    <row r="5" spans="2:4" hidden="1" outlineLevel="1" x14ac:dyDescent="0.25">
      <c r="B5" s="2" t="s">
        <v>23</v>
      </c>
      <c r="C5" s="3" t="str">
        <f ca="1">_xll.DBR($C$3,$C$4,$B5)</f>
        <v>RECALC_1_101_</v>
      </c>
      <c r="D5" s="4"/>
    </row>
    <row r="6" spans="2:4" hidden="1" outlineLevel="1" x14ac:dyDescent="0.25">
      <c r="B6" s="2" t="s">
        <v>24</v>
      </c>
      <c r="C6" s="3" t="str">
        <f ca="1">_xll.DBR($C$3,$C$4,$B6)</f>
        <v>RECALC_1_232_</v>
      </c>
      <c r="D6" s="4"/>
    </row>
    <row r="7" spans="2:4" hidden="1" outlineLevel="1" x14ac:dyDescent="0.25">
      <c r="B7" s="2" t="s">
        <v>5</v>
      </c>
      <c r="C7" s="3" t="str">
        <f ca="1">IF(LEFT($C$4,3)="CAM",$C$6,$C$5)</f>
        <v>RECALC_1_101_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str">
        <f>_xll.VIEW(db_name&amp;":}ElementAttributes_variables","!","!")</f>
        <v>finance_geus:}ElementAttributes_variables:1264217196-1448735092</v>
      </c>
      <c r="D10" s="1"/>
    </row>
    <row r="11" spans="2:4" hidden="1" outlineLevel="1" x14ac:dyDescent="0.25">
      <c r="B11" s="2" t="s">
        <v>8</v>
      </c>
      <c r="C11" s="1" t="str">
        <f ca="1">_xll.DBR($C$10,$B11,"value")</f>
        <v>RECALC_0_231_</v>
      </c>
      <c r="D11" s="1"/>
    </row>
    <row r="12" spans="2:4" hidden="1" outlineLevel="1" x14ac:dyDescent="0.25">
      <c r="B12" s="2" t="s">
        <v>9</v>
      </c>
      <c r="C12" s="1" t="str">
        <f ca="1">_xll.DBR($C$10,$B12,"value")</f>
        <v>RECALC_0_230_</v>
      </c>
      <c r="D12" s="1"/>
    </row>
    <row r="13" spans="2:4" hidden="1" outlineLevel="1" x14ac:dyDescent="0.25">
      <c r="B13" s="2" t="s">
        <v>10</v>
      </c>
      <c r="C13" s="1" t="str">
        <f ca="1">_xll.DBR($C$10,$B13,"value")</f>
        <v>RECALC_0_484_</v>
      </c>
      <c r="D13" s="1"/>
    </row>
    <row r="14" spans="2:4" hidden="1" outlineLevel="1" x14ac:dyDescent="0.25">
      <c r="B14" s="2" t="s">
        <v>11</v>
      </c>
      <c r="C14" s="1" t="str">
        <f ca="1">_xll.DBR($C$10,$B14,"value")</f>
        <v>RECALC_0_483_</v>
      </c>
      <c r="D14" s="1"/>
    </row>
    <row r="15" spans="2:4" hidden="1" outlineLevel="1" x14ac:dyDescent="0.25">
      <c r="B15" s="2" t="s">
        <v>12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str">
        <f>_xll.VIEW(db_name&amp;":sys_client preference","!","!","!")</f>
        <v>finance_geus:sys_client preference:1264217196-1711484736</v>
      </c>
      <c r="D18" s="1"/>
    </row>
    <row r="19" spans="2:8" hidden="1" outlineLevel="1" x14ac:dyDescent="0.25">
      <c r="B19" s="2" t="s">
        <v>14</v>
      </c>
      <c r="C19" s="1" t="str">
        <f ca="1">_xll.DBR($C$18,psUser,$B19,"value")</f>
        <v>RECALC_2_103_</v>
      </c>
      <c r="D19" s="1"/>
    </row>
    <row r="20" spans="2:8" hidden="1" outlineLevel="1" x14ac:dyDescent="0.25">
      <c r="B20" s="2" t="s">
        <v>15</v>
      </c>
      <c r="C20" s="1" t="str">
        <f ca="1">_xll.DBR($C$18,psUser,$B20,"value")</f>
        <v>RECALC_2_104_</v>
      </c>
      <c r="D20" s="1"/>
    </row>
    <row r="21" spans="2:8" hidden="1" outlineLevel="1" x14ac:dyDescent="0.25">
      <c r="B21" s="2" t="s">
        <v>16</v>
      </c>
      <c r="C21" s="1" t="str">
        <f ca="1">_xll.DBR($C$18,psUser,$B21,"value")</f>
        <v>RECALC_2_105_</v>
      </c>
      <c r="D21" s="1"/>
    </row>
    <row r="22" spans="2:8" hidden="1" outlineLevel="1" x14ac:dyDescent="0.25">
      <c r="B22" s="2" t="s">
        <v>17</v>
      </c>
      <c r="C22" s="1" t="str">
        <f ca="1">_xll.DBR($C$18,psUser,$B22,"value")</f>
        <v>RECALC_2_188_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str">
        <f>_xll.VIEW(db_name&amp;":sys_application","!","!")</f>
        <v>finance_geus:sys_application:1264217196-657192373</v>
      </c>
      <c r="D26" s="12"/>
    </row>
    <row r="27" spans="2:8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8" hidden="1" outlineLevel="1" x14ac:dyDescent="0.25">
      <c r="B28" s="1" t="s">
        <v>25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</row>
    <row r="29" spans="2:8" hidden="1" outlineLevel="1" x14ac:dyDescent="0.25">
      <c r="B29" s="1" t="s">
        <v>26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</row>
    <row r="30" spans="2:8" hidden="1" outlineLevel="1" x14ac:dyDescent="0.25">
      <c r="B30" s="1" t="s">
        <v>27</v>
      </c>
      <c r="C30" s="1" t="str">
        <f ca="1">_xll.DBR($C$26,$B30,C$27)</f>
        <v>RECALC_0_71_</v>
      </c>
      <c r="D30" s="1" t="str">
        <f ca="1">_xll.DBR($C$26,$B30,D$27)</f>
        <v>RECALC_0_70_</v>
      </c>
      <c r="E30" s="1" t="str">
        <f ca="1">_xll.DBR($C$26,$B30,E$27)</f>
        <v>RECALC_0_69_</v>
      </c>
      <c r="F30" s="1" t="str">
        <f ca="1">_xll.DBR($C$26,$B30,F$27)</f>
        <v>RECALC_0_68_</v>
      </c>
      <c r="G30" s="1" t="str">
        <f ca="1">_xll.DBR($C$26,$B30,G$27)</f>
        <v>RECALC_0_67_</v>
      </c>
      <c r="H30" s="1" t="str">
        <f ca="1">_xll.DBR($C$26,$B30,H$27)</f>
        <v>RECALC_0_66_</v>
      </c>
    </row>
    <row r="31" spans="2:8" hidden="1" outlineLevel="1" x14ac:dyDescent="0.25">
      <c r="B31" s="1" t="s">
        <v>28</v>
      </c>
      <c r="C31" s="1" t="str">
        <f ca="1">_xll.DBR($C$26,$B31,C$27)</f>
        <v>RECALC_0_65_</v>
      </c>
      <c r="D31" s="1" t="str">
        <f ca="1">_xll.DBR($C$26,$B31,D$27)</f>
        <v>RECALC_0_64_</v>
      </c>
      <c r="E31" s="1" t="str">
        <f ca="1">_xll.DBR($C$26,$B31,E$27)</f>
        <v>RECALC_0_63_</v>
      </c>
      <c r="F31" s="1" t="str">
        <f ca="1">_xll.DBR($C$26,$B31,F$27)</f>
        <v>RECALC_0_62_</v>
      </c>
      <c r="G31" s="1" t="str">
        <f ca="1">_xll.DBR($C$26,$B31,G$27)</f>
        <v>RECALC_0_61_</v>
      </c>
      <c r="H31" s="1" t="str">
        <f ca="1">_xll.DBR($C$26,$B31,H$27)</f>
        <v>RECALC_0_60_</v>
      </c>
    </row>
    <row r="32" spans="2:8" hidden="1" outlineLevel="1" x14ac:dyDescent="0.25">
      <c r="B32" s="1" t="s">
        <v>34</v>
      </c>
      <c r="C32" s="1" t="str">
        <f ca="1">_xll.DBR($C$26,$B32,C$27)</f>
        <v>RECALC_0_482_</v>
      </c>
      <c r="D32" s="1" t="str">
        <f ca="1">_xll.DBR($C$26,$B32,D$27)</f>
        <v>RECALC_0_481_</v>
      </c>
      <c r="E32" s="1" t="str">
        <f ca="1">_xll.DBR($C$26,$B32,E$27)</f>
        <v>RECALC_0_480_</v>
      </c>
      <c r="F32" s="1" t="str">
        <f ca="1">_xll.DBR($C$26,$B32,F$27)</f>
        <v>RECALC_0_479_</v>
      </c>
      <c r="G32" s="1" t="str">
        <f ca="1">_xll.DBR($C$26,$B32,G$27)</f>
        <v>RECALC_0_478_</v>
      </c>
      <c r="H32" s="1" t="str">
        <f ca="1">_xll.DBR($C$26,$B32,H$27)</f>
        <v>RECALC_0_477_</v>
      </c>
    </row>
    <row r="33" spans="2:8" hidden="1" outlineLevel="1" x14ac:dyDescent="0.25">
      <c r="B33" s="1" t="s">
        <v>39</v>
      </c>
      <c r="C33" s="1" t="str">
        <f ca="1">_xll.DBR($C$26,$B33,C$27)</f>
        <v>RECALC_0_2834_</v>
      </c>
      <c r="D33" s="1" t="str">
        <f ca="1">_xll.DBR($C$26,$B33,D$27)</f>
        <v>RECALC_0_2833_</v>
      </c>
      <c r="E33" s="1" t="str">
        <f ca="1">_xll.DBR($C$26,$B33,E$27)</f>
        <v>RECALC_0_2832_</v>
      </c>
      <c r="F33" s="1" t="str">
        <f ca="1">_xll.DBR($C$26,$B33,F$27)</f>
        <v>RECALC_0_2831_</v>
      </c>
      <c r="G33" s="1" t="str">
        <f ca="1">_xll.DBR($C$26,$B33,G$27)</f>
        <v>RECALC_0_2830_</v>
      </c>
      <c r="H33" s="1" t="str">
        <f ca="1">_xll.DBR($C$26,$B33,H$27)</f>
        <v>RECALC_0_2829_</v>
      </c>
    </row>
    <row r="34" spans="2:8" hidden="1" outlineLevel="1" x14ac:dyDescent="0.25">
      <c r="B34" s="1" t="s">
        <v>35</v>
      </c>
      <c r="C34" s="1" t="str">
        <f ca="1">_xll.DBR($C$26,$B34,C$27)</f>
        <v>RECALC_0_2727_</v>
      </c>
      <c r="D34" s="1" t="str">
        <f ca="1">_xll.DBR($C$26,$B34,D$27)</f>
        <v>RECALC_0_2726_</v>
      </c>
      <c r="E34" s="1" t="str">
        <f ca="1">_xll.DBR($C$26,$B34,E$27)</f>
        <v>RECALC_0_2725_</v>
      </c>
      <c r="F34" s="1" t="str">
        <f ca="1">_xll.DBR($C$26,$B34,F$27)</f>
        <v>RECALC_0_2724_</v>
      </c>
      <c r="G34" s="1" t="str">
        <f ca="1">_xll.DBR($C$26,$B34,G$27)</f>
        <v>RECALC_0_2723_</v>
      </c>
      <c r="H34" s="1" t="str">
        <f ca="1">_xll.DBR($C$26,$B34,H$27)</f>
        <v>RECALC_0_2722_</v>
      </c>
    </row>
    <row r="35" spans="2:8" hidden="1" outlineLevel="1" x14ac:dyDescent="0.25">
      <c r="B35" s="1" t="s">
        <v>36</v>
      </c>
      <c r="C35" s="1" t="str">
        <f ca="1">_xll.DBR($C$26,$B35,C$27)</f>
        <v>RECALC_0_2828_</v>
      </c>
      <c r="D35" s="1" t="str">
        <f ca="1">_xll.DBR($C$26,$B35,D$27)</f>
        <v>RECALC_0_2827_</v>
      </c>
      <c r="E35" s="1" t="str">
        <f ca="1">_xll.DBR($C$26,$B35,E$27)</f>
        <v>RECALC_0_2826_</v>
      </c>
      <c r="F35" s="1" t="str">
        <f ca="1">_xll.DBR($C$26,$B35,F$27)</f>
        <v>RECALC_0_2825_</v>
      </c>
      <c r="G35" s="1" t="str">
        <f ca="1">_xll.DBR($C$26,$B35,G$27)</f>
        <v>RECALC_0_2824_</v>
      </c>
      <c r="H35" s="1" t="str">
        <f ca="1">_xll.DBR($C$26,$B35,H$27)</f>
        <v>RECALC_0_2823_</v>
      </c>
    </row>
    <row r="36" spans="2:8" hidden="1" outlineLevel="1" x14ac:dyDescent="0.25">
      <c r="B36" s="1" t="s">
        <v>37</v>
      </c>
      <c r="C36" s="1" t="str">
        <f ca="1">_xll.DBR($C$26,$B36,C$27)</f>
        <v>RECALC_0_737_</v>
      </c>
      <c r="D36" s="1" t="str">
        <f ca="1">_xll.DBR($C$26,$B36,D$27)</f>
        <v>RECALC_0_736_</v>
      </c>
      <c r="E36" s="1" t="str">
        <f ca="1">_xll.DBR($C$26,$B36,E$27)</f>
        <v>RECALC_0_735_</v>
      </c>
      <c r="F36" s="1" t="str">
        <f ca="1">_xll.DBR($C$26,$B36,F$27)</f>
        <v>RECALC_0_734_</v>
      </c>
      <c r="G36" s="1" t="str">
        <f ca="1">_xll.DBR($C$26,$B36,G$27)</f>
        <v>RECALC_0_733_</v>
      </c>
      <c r="H36" s="1" t="str">
        <f ca="1">_xll.DBR($C$26,$B36,H$27)</f>
        <v>RECALC_0_732_</v>
      </c>
    </row>
    <row r="37" spans="2:8" hidden="1" outlineLevel="1" x14ac:dyDescent="0.25">
      <c r="B37" s="1" t="s">
        <v>29</v>
      </c>
      <c r="C37" s="1" t="str">
        <f ca="1">_xll.DBR($C$26,$B37,C$27)</f>
        <v>RECALC_0_540_</v>
      </c>
      <c r="D37" s="1" t="str">
        <f ca="1">_xll.DBR($C$26,$B37,D$27)</f>
        <v>RECALC_0_539_</v>
      </c>
      <c r="E37" s="1" t="str">
        <f ca="1">_xll.DBR($C$26,$B37,E$27)</f>
        <v>RECALC_0_538_</v>
      </c>
      <c r="F37" s="1" t="str">
        <f ca="1">_xll.DBR($C$26,$B37,F$27)</f>
        <v>RECALC_0_537_</v>
      </c>
      <c r="G37" s="1" t="str">
        <f ca="1">_xll.DBR($C$26,$B37,G$27)</f>
        <v>RECALC_0_536_</v>
      </c>
      <c r="H37" s="1" t="str">
        <f ca="1">_xll.DBR($C$26,$B37,H$27)</f>
        <v>RECALC_0_535_</v>
      </c>
    </row>
    <row r="38" spans="2:8" hidden="1" outlineLevel="1" x14ac:dyDescent="0.25">
      <c r="B38" s="1" t="s">
        <v>40</v>
      </c>
      <c r="C38" s="1" t="str">
        <f ca="1">_xll.DBR($C$26,$B38,C$27)</f>
        <v>RECALC_0_2875_</v>
      </c>
      <c r="D38" s="1" t="str">
        <f ca="1">_xll.DBR($C$26,$B38,D$27)</f>
        <v>RECALC_0_2874_</v>
      </c>
      <c r="E38" s="1" t="str">
        <f ca="1">_xll.DBR($C$26,$B38,E$27)</f>
        <v>RECALC_0_2873_</v>
      </c>
      <c r="F38" s="1" t="str">
        <f ca="1">_xll.DBR($C$26,$B38,F$27)</f>
        <v>RECALC_0_2872_</v>
      </c>
      <c r="G38" s="1" t="str">
        <f ca="1">_xll.DBR($C$26,$B38,G$27)</f>
        <v>RECALC_0_2871_</v>
      </c>
      <c r="H38" s="1" t="str">
        <f ca="1">_xll.DBR($C$26,$B38,H$27)</f>
        <v>RECALC_0_2870_</v>
      </c>
    </row>
    <row r="39" spans="2:8" hidden="1" outlineLevel="1" x14ac:dyDescent="0.25">
      <c r="B39" s="1" t="s">
        <v>41</v>
      </c>
      <c r="C39" s="1" t="str">
        <f ca="1">_xll.DBR($C$26,$B39,C$27)</f>
        <v>RECALC_0_3214_</v>
      </c>
      <c r="D39" s="1" t="str">
        <f ca="1">_xll.DBR($C$26,$B39,D$27)</f>
        <v>RECALC_0_3215_</v>
      </c>
      <c r="E39" s="1" t="str">
        <f ca="1">_xll.DBR($C$26,$B39,E$27)</f>
        <v>RECALC_0_3216_</v>
      </c>
      <c r="F39" s="1" t="str">
        <f ca="1">_xll.DBR($C$26,$B39,F$27)</f>
        <v>RECALC_0_3217_</v>
      </c>
      <c r="G39" s="1" t="str">
        <f ca="1">_xll.DBR($C$26,$B39,G$27)</f>
        <v>RECALC_0_3218_</v>
      </c>
      <c r="H39" s="1" t="str">
        <f ca="1">_xll.DBR($C$26,$B39,H$27)</f>
        <v>RECALC_0_3219_</v>
      </c>
    </row>
    <row r="40" spans="2:8" hidden="1" outlineLevel="1" x14ac:dyDescent="0.25">
      <c r="B40" s="1" t="s">
        <v>42</v>
      </c>
      <c r="C40" s="1" t="str">
        <f ca="1">_xll.DBR($C$26,$B40,C$27)</f>
        <v>RECALC_0_3220_</v>
      </c>
      <c r="D40" s="1" t="str">
        <f ca="1">_xll.DBR($C$26,$B40,D$27)</f>
        <v>RECALC_0_3221_</v>
      </c>
      <c r="E40" s="1" t="str">
        <f ca="1">_xll.DBR($C$26,$B40,E$27)</f>
        <v>RECALC_0_3222_</v>
      </c>
      <c r="F40" s="1" t="str">
        <f ca="1">_xll.DBR($C$26,$B40,F$27)</f>
        <v>RECALC_0_3223_</v>
      </c>
      <c r="G40" s="1" t="str">
        <f ca="1">_xll.DBR($C$26,$B40,G$27)</f>
        <v>RECALC_0_3224_</v>
      </c>
      <c r="H40" s="1" t="str">
        <f ca="1">_xll.DBR($C$26,$B40,H$27)</f>
        <v>RECALC_0_3225_</v>
      </c>
    </row>
    <row r="41" spans="2:8" hidden="1" outlineLevel="1" x14ac:dyDescent="0.25">
      <c r="B41" s="1" t="s">
        <v>43</v>
      </c>
      <c r="C41" s="1" t="str">
        <f ca="1">_xll.DBR($C$26,$B41,C$27)</f>
        <v>RECALC_0_3226_</v>
      </c>
      <c r="D41" s="1" t="str">
        <f ca="1">_xll.DBR($C$26,$B41,D$27)</f>
        <v>RECALC_0_3227_</v>
      </c>
      <c r="E41" s="1" t="str">
        <f ca="1">_xll.DBR($C$26,$B41,E$27)</f>
        <v>RECALC_0_3228_</v>
      </c>
      <c r="F41" s="1" t="str">
        <f ca="1">_xll.DBR($C$26,$B41,F$27)</f>
        <v>RECALC_0_3229_</v>
      </c>
      <c r="G41" s="1" t="str">
        <f ca="1">_xll.DBR($C$26,$B41,G$27)</f>
        <v>RECALC_0_3230_</v>
      </c>
      <c r="H41" s="1" t="str">
        <f ca="1">_xll.DBR($C$26,$B41,H$27)</f>
        <v>RECALC_0_3231_</v>
      </c>
    </row>
    <row r="42" spans="2:8" hidden="1" outlineLevel="1" x14ac:dyDescent="0.25">
      <c r="B42" s="1" t="s">
        <v>44</v>
      </c>
      <c r="C42" s="1" t="str">
        <f ca="1">_xll.DBR($C$26,$B42,C$27)</f>
        <v>RECALC_0_3038_</v>
      </c>
      <c r="D42" s="1" t="str">
        <f ca="1">_xll.DBR($C$26,$B42,D$27)</f>
        <v>RECALC_0_3037_</v>
      </c>
      <c r="E42" s="1" t="str">
        <f ca="1">_xll.DBR($C$26,$B42,E$27)</f>
        <v>RECALC_0_3036_</v>
      </c>
      <c r="F42" s="1" t="str">
        <f ca="1">_xll.DBR($C$26,$B42,F$27)</f>
        <v>RECALC_0_3035_</v>
      </c>
      <c r="G42" s="1" t="str">
        <f ca="1">_xll.DBR($C$26,$B42,G$27)</f>
        <v>RECALC_0_3034_</v>
      </c>
      <c r="H42" s="1" t="str">
        <f ca="1">_xll.DBR($C$26,$B42,H$27)</f>
        <v>RECALC_0_3033_</v>
      </c>
    </row>
    <row r="43" spans="2:8" hidden="1" outlineLevel="1" x14ac:dyDescent="0.25">
      <c r="B43" s="1" t="s">
        <v>45</v>
      </c>
      <c r="C43" s="1" t="str">
        <f ca="1">_xll.DBR($C$26,$B43,C$27)</f>
        <v>RECALC_0_3032_</v>
      </c>
      <c r="D43" s="1" t="str">
        <f ca="1">_xll.DBR($C$26,$B43,D$27)</f>
        <v>RECALC_0_3031_</v>
      </c>
      <c r="E43" s="1" t="str">
        <f ca="1">_xll.DBR($C$26,$B43,E$27)</f>
        <v>RECALC_0_3030_</v>
      </c>
      <c r="F43" s="1" t="str">
        <f ca="1">_xll.DBR($C$26,$B43,F$27)</f>
        <v>RECALC_0_3029_</v>
      </c>
      <c r="G43" s="1" t="str">
        <f ca="1">_xll.DBR($C$26,$B43,G$27)</f>
        <v>RECALC_0_3028_</v>
      </c>
      <c r="H43" s="1" t="str">
        <f ca="1">_xll.DBR($C$26,$B43,H$27)</f>
        <v>RECALC_0_3027_</v>
      </c>
    </row>
    <row r="44" spans="2:8" hidden="1" outlineLevel="1" x14ac:dyDescent="0.25">
      <c r="B44" s="1" t="s">
        <v>46</v>
      </c>
      <c r="C44" s="1" t="str">
        <f ca="1">_xll.DBR($C$26,$B44,C$27)</f>
        <v>RECALC_0_3232_</v>
      </c>
      <c r="D44" s="1" t="str">
        <f ca="1">_xll.DBR($C$26,$B44,D$27)</f>
        <v>RECALC_0_3233_</v>
      </c>
      <c r="E44" s="1" t="str">
        <f ca="1">_xll.DBR($C$26,$B44,E$27)</f>
        <v>RECALC_0_3234_</v>
      </c>
      <c r="F44" s="1" t="str">
        <f ca="1">_xll.DBR($C$26,$B44,F$27)</f>
        <v>RECALC_0_3235_</v>
      </c>
      <c r="G44" s="1" t="str">
        <f ca="1">_xll.DBR($C$26,$B44,G$27)</f>
        <v>RECALC_0_3236_</v>
      </c>
      <c r="H44" s="1" t="str">
        <f ca="1">_xll.DBR($C$26,$B44,H$27)</f>
        <v>RECALC_0_3237_</v>
      </c>
    </row>
    <row r="45" spans="2:8" hidden="1" outlineLevel="1" x14ac:dyDescent="0.25">
      <c r="B45" s="1" t="s">
        <v>47</v>
      </c>
      <c r="C45" s="1" t="str">
        <f ca="1">_xll.DBR($C$26,$B45,C$27)</f>
        <v>RECALC_0_3238_</v>
      </c>
      <c r="D45" s="1" t="str">
        <f ca="1">_xll.DBR($C$26,$B45,D$27)</f>
        <v>RECALC_0_3239_</v>
      </c>
      <c r="E45" s="1" t="str">
        <f ca="1">_xll.DBR($C$26,$B45,E$27)</f>
        <v>RECALC_0_3240_</v>
      </c>
      <c r="F45" s="1" t="str">
        <f ca="1">_xll.DBR($C$26,$B45,F$27)</f>
        <v>RECALC_0_3241_</v>
      </c>
      <c r="G45" s="1" t="str">
        <f ca="1">_xll.DBR($C$26,$B45,G$27)</f>
        <v>RECALC_0_3242_</v>
      </c>
      <c r="H45" s="1" t="str">
        <f ca="1">_xll.DBR($C$26,$B45,H$27)</f>
        <v>RECALC_0_3243_</v>
      </c>
    </row>
    <row r="46" spans="2:8" hidden="1" outlineLevel="1" x14ac:dyDescent="0.25">
      <c r="B46" s="1" t="s">
        <v>48</v>
      </c>
      <c r="C46" s="1" t="str">
        <f ca="1">_xll.DBR($C$26,$B46,C$27)</f>
        <v>RECALC_0_3244_</v>
      </c>
      <c r="D46" s="1" t="str">
        <f ca="1">_xll.DBR($C$26,$B46,D$27)</f>
        <v>RECALC_0_3245_</v>
      </c>
      <c r="E46" s="1" t="str">
        <f ca="1">_xll.DBR($C$26,$B46,E$27)</f>
        <v>RECALC_0_3246_</v>
      </c>
      <c r="F46" s="1" t="str">
        <f ca="1">_xll.DBR($C$26,$B46,F$27)</f>
        <v>RECALC_0_3247_</v>
      </c>
      <c r="G46" s="1" t="str">
        <f ca="1">_xll.DBR($C$26,$B46,G$27)</f>
        <v>RECALC_0_3248_</v>
      </c>
      <c r="H46" s="1" t="str">
        <f ca="1">_xll.DBR($C$26,$B46,H$27)</f>
        <v>RECALC_0_3249_</v>
      </c>
    </row>
    <row r="47" spans="2:8" hidden="1" outlineLevel="1" x14ac:dyDescent="0.25">
      <c r="B47" s="1" t="s">
        <v>49</v>
      </c>
      <c r="C47" s="1" t="str">
        <f ca="1">_xll.DBR($C$26,$B47,C$27)</f>
        <v>RECALC_0_3250_</v>
      </c>
      <c r="D47" s="1" t="str">
        <f ca="1">_xll.DBR($C$26,$B47,D$27)</f>
        <v>RECALC_0_3251_</v>
      </c>
      <c r="E47" s="1" t="str">
        <f ca="1">_xll.DBR($C$26,$B47,E$27)</f>
        <v>RECALC_0_3252_</v>
      </c>
      <c r="F47" s="1" t="str">
        <f ca="1">_xll.DBR($C$26,$B47,F$27)</f>
        <v>RECALC_0_3253_</v>
      </c>
      <c r="G47" s="1" t="str">
        <f ca="1">_xll.DBR($C$26,$B47,G$27)</f>
        <v>RECALC_0_3254_</v>
      </c>
      <c r="H47" s="1" t="str">
        <f ca="1">_xll.DBR($C$26,$B47,H$27)</f>
        <v>RECALC_0_3255_</v>
      </c>
    </row>
    <row r="48" spans="2:8" hidden="1" outlineLevel="1" x14ac:dyDescent="0.25">
      <c r="B48" s="1" t="s">
        <v>50</v>
      </c>
      <c r="C48" s="1" t="str">
        <f ca="1">_xll.DBR($C$26,$B48,C$27)</f>
        <v>RECALC_0_3256_</v>
      </c>
      <c r="D48" s="1" t="str">
        <f ca="1">_xll.DBR($C$26,$B48,D$27)</f>
        <v>RECALC_0_3257_</v>
      </c>
      <c r="E48" s="1" t="str">
        <f ca="1">_xll.DBR($C$26,$B48,E$27)</f>
        <v>RECALC_0_3258_</v>
      </c>
      <c r="F48" s="1" t="str">
        <f ca="1">_xll.DBR($C$26,$B48,F$27)</f>
        <v>RECALC_0_3259_</v>
      </c>
      <c r="G48" s="1" t="str">
        <f ca="1">_xll.DBR($C$26,$B48,G$27)</f>
        <v>RECALC_0_3260_</v>
      </c>
      <c r="H48" s="1" t="str">
        <f ca="1">_xll.DBR($C$26,$B48,H$27)</f>
        <v>RECALC_0_3261_</v>
      </c>
    </row>
    <row r="49" spans="2:23" hidden="1" outlineLevel="1" x14ac:dyDescent="0.25">
      <c r="B49" s="1" t="s">
        <v>51</v>
      </c>
      <c r="C49" s="1" t="str">
        <f ca="1">_xll.DBR($C$26,$B49,C$27)</f>
        <v>RECALC_0_3262_</v>
      </c>
      <c r="D49" s="1" t="str">
        <f ca="1">_xll.DBR($C$26,$B49,D$27)</f>
        <v>RECALC_0_3263_</v>
      </c>
      <c r="E49" s="1" t="str">
        <f ca="1">_xll.DBR($C$26,$B49,E$27)</f>
        <v>RECALC_0_3264_</v>
      </c>
      <c r="F49" s="1" t="str">
        <f ca="1">_xll.DBR($C$26,$B49,F$27)</f>
        <v>RECALC_0_3265_</v>
      </c>
      <c r="G49" s="1" t="str">
        <f ca="1">_xll.DBR($C$26,$B49,G$27)</f>
        <v>RECALC_0_3266_</v>
      </c>
      <c r="H49" s="1" t="str">
        <f ca="1">_xll.DBR($C$26,$B49,H$27)</f>
        <v>RECALC_0_3267_</v>
      </c>
    </row>
    <row r="50" spans="2:23" hidden="1" outlineLevel="1" x14ac:dyDescent="0.25"/>
    <row r="51" spans="2:23" hidden="1" outlineLevel="1" x14ac:dyDescent="0.25"/>
    <row r="52" spans="2:23" ht="39.75" customHeight="1" collapsed="1" x14ac:dyDescent="0.25"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11" t="str">
        <f ca="1">"Welcome "&amp; psUser</f>
        <v>Welcome RECALC_1_101_</v>
      </c>
    </row>
    <row r="53" spans="2:23" ht="4.5" customHeight="1" x14ac:dyDescent="0.25"/>
    <row r="54" spans="2:23" ht="30" customHeight="1" x14ac:dyDescent="0.25">
      <c r="J54" s="6"/>
      <c r="K54" s="19" t="str">
        <f ca="1">$C$15</f>
        <v>The current scenario is "RECALC_0_230_" for the "RECALC_0_231_" Headline Year. Archive was done for "RECALC_0_484_" on scenario "RECALC_0_483_".</v>
      </c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6"/>
      <c r="W54" s="6"/>
    </row>
    <row r="55" spans="2:23" ht="4.5" customHeight="1" x14ac:dyDescent="0.25"/>
    <row r="59" spans="2:23" ht="24.75" customHeight="1" x14ac:dyDescent="0.25">
      <c r="J59" s="7"/>
      <c r="K59" s="7"/>
      <c r="L59" s="14" t="s">
        <v>38</v>
      </c>
      <c r="M59" s="14"/>
      <c r="N59" s="14"/>
      <c r="O59" s="14"/>
      <c r="P59" s="5"/>
      <c r="R59" s="8"/>
      <c r="S59" s="15" t="s">
        <v>52</v>
      </c>
      <c r="T59" s="15"/>
      <c r="U59" s="15"/>
      <c r="V59" s="15"/>
      <c r="W59" s="8"/>
    </row>
    <row r="60" spans="2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2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2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2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2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x14ac:dyDescent="0.25">
      <c r="K94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9:O59"/>
    <mergeCell ref="S59:V59"/>
    <mergeCell ref="B1:D1"/>
    <mergeCell ref="B9:D9"/>
    <mergeCell ref="B17:D17"/>
    <mergeCell ref="B25:D25"/>
    <mergeCell ref="K54:U54"/>
  </mergeCells>
  <conditionalFormatting sqref="R59:W59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70</vt:i4>
      </vt:variant>
    </vt:vector>
  </HeadingPairs>
  <TitlesOfParts>
    <vt:vector size="71" baseType="lpstr">
      <vt:lpstr>Menu</vt:lpstr>
      <vt:lpstr>db_name</vt:lpstr>
      <vt:lpstr>home</vt:lpstr>
      <vt:lpstr>Menu</vt:lpstr>
      <vt:lpstr>psUser</vt:lpstr>
      <vt:lpstr>TM1AdminRDSAccountCAP</vt:lpstr>
      <vt:lpstr>TM1AdminRDSAccountWB</vt:lpstr>
      <vt:lpstr>TM1AdminRDSAccountWS</vt:lpstr>
      <vt:lpstr>TM1AdminRDSAppropItemCAP</vt:lpstr>
      <vt:lpstr>TM1AdminRDSAppropItemWB</vt:lpstr>
      <vt:lpstr>TM1AdminRDSAppropItemWS</vt:lpstr>
      <vt:lpstr>TM1AdminRDSAppropTypeCAP</vt:lpstr>
      <vt:lpstr>TM1AdminRDSAppropTypeWB</vt:lpstr>
      <vt:lpstr>TM1AdminRDSAppropTypeWS</vt:lpstr>
      <vt:lpstr>TM1AdminRDSFuncCAP</vt:lpstr>
      <vt:lpstr>TM1AdminRDSFuncWB</vt:lpstr>
      <vt:lpstr>TM1AdminRDSFuncWS</vt:lpstr>
      <vt:lpstr>TM1AdminRDSJurCAP</vt:lpstr>
      <vt:lpstr>TM1AdminRDSJurWB</vt:lpstr>
      <vt:lpstr>TM1AdminRDSJurWS</vt:lpstr>
      <vt:lpstr>TM1AdminRDSMACAP</vt:lpstr>
      <vt:lpstr>TM1AdminRDSMAWB</vt:lpstr>
      <vt:lpstr>TM1AdminRDSMAWS</vt:lpstr>
      <vt:lpstr>TM1AdminRDSMeasCodeCAP</vt:lpstr>
      <vt:lpstr>TM1AdminRDSMeasCodeWB</vt:lpstr>
      <vt:lpstr>TM1AdminRDSMeasCodeWS</vt:lpstr>
      <vt:lpstr>TM1AdminRDSOutcomeCAP</vt:lpstr>
      <vt:lpstr>TM1AdminRDSOutcomeWB</vt:lpstr>
      <vt:lpstr>TM1AdminRDSOutcomeWS</vt:lpstr>
      <vt:lpstr>TM1AdminRDSProgCAP</vt:lpstr>
      <vt:lpstr>TM1AdminRDSProgWB</vt:lpstr>
      <vt:lpstr>TM1AdminRDSProgWS</vt:lpstr>
      <vt:lpstr>TM1AdminRDSReasonCAP</vt:lpstr>
      <vt:lpstr>TM1AdminRDSReasonWB</vt:lpstr>
      <vt:lpstr>TM1AdminRDSReasonWS</vt:lpstr>
      <vt:lpstr>TM1AdminRDSRECAP</vt:lpstr>
      <vt:lpstr>TM1AdminRDSREWB</vt:lpstr>
      <vt:lpstr>TM1AdminRDSREWS</vt:lpstr>
      <vt:lpstr>TM1AdminRDSSPPCAP</vt:lpstr>
      <vt:lpstr>TM1AdminRDSSPPWB</vt:lpstr>
      <vt:lpstr>TM1AdminRDSSPPWS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2025-08-11T02:59:38Z</dcterms:modified>
</cp:coreProperties>
</file>