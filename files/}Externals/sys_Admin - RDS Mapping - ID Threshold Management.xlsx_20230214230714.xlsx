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3AB60B22-46C7-4CDB-9E16-42EA0516F9B0}" xr6:coauthVersionLast="47" xr6:coauthVersionMax="47" xr10:uidLastSave="{00000000-0000-0000-0000-000000000000}"/>
  <bookViews>
    <workbookView xWindow="57480" yWindow="-1965" windowWidth="29040" windowHeight="15840" xr2:uid="{6BA47A3A-8083-4887-8B32-0841550876EA}"/>
  </bookViews>
  <sheets>
    <sheet name="RDSMap" sheetId="1" r:id="rId1"/>
  </sheets>
  <definedNames>
    <definedName name="db_name">RDSMap!$C$2</definedName>
    <definedName name="Menu">RDSMap!$H$37:$H$39</definedName>
    <definedName name="psApp">RDSMap!$C$29</definedName>
    <definedName name="psUser">RDSMap!$C$4</definedName>
    <definedName name="TM1HomeAdminCAP">RDSMap!$D$36</definedName>
    <definedName name="TM1HomeAdminGEUSCAP">RDSMap!$D$37</definedName>
    <definedName name="TM1HomeAdminGEUSWB">RDSMap!$F$37</definedName>
    <definedName name="TM1HomeAdminGEUSWS">RDSMap!$H$37</definedName>
    <definedName name="TM1HomeAdminRDSCAP">RDSMap!$D$38</definedName>
    <definedName name="TM1HomeAdminRDSMapCAP">RDSMap!$D$39</definedName>
    <definedName name="TM1HomeAdminRDSMapWB">RDSMap!$F$39</definedName>
    <definedName name="TM1HomeAdminRDSMapWS">RDSMap!$H$39</definedName>
    <definedName name="TM1HomeAdminRDSWB">RDSMap!$F$38</definedName>
    <definedName name="TM1HomeAdminRDSWS">RDSMap!$H$38</definedName>
    <definedName name="TM1HomeAdminWB">RDSMap!$F$36</definedName>
    <definedName name="TM1HomeAdminWS">RDSMap!$H$36</definedName>
    <definedName name="TM1HomeAEAccVarCAP">RDSMap!$D$34</definedName>
    <definedName name="TM1HomeAEAccVarWB">RDSMap!$F$34</definedName>
    <definedName name="TM1HomeAEAccVarWS">RDSMap!$H$34</definedName>
    <definedName name="TM1HomeAECAP">RDSMap!$D$32</definedName>
    <definedName name="TM1HomeAEFFCAP">RDSMap!$D$33</definedName>
    <definedName name="TM1HomeAEFFWB">RDSMap!$F$33</definedName>
    <definedName name="TM1HomeAEFFWS">RDSMap!$H$33</definedName>
    <definedName name="TM1HomeAEWB">RDSMap!$F$32</definedName>
    <definedName name="TM1HomeAEWS">RDSMap!$H$32</definedName>
    <definedName name="TM1HomeCAP">RDSMap!$D$31</definedName>
    <definedName name="TM1HomeRepCAP">RDSMap!$D$35</definedName>
    <definedName name="TM1HomeRepWB">RDSMap!$F$35</definedName>
    <definedName name="TM1HomeRepWS">RDSMap!$H$35</definedName>
    <definedName name="TM1HomeUnderCAP">RDSMap!$D$40</definedName>
    <definedName name="TM1HomeUnderWB">RDSMap!$F$40</definedName>
    <definedName name="TM1HomeUnderWS">RDSMap!$H$40</definedName>
    <definedName name="TM1HomeWB">RDSMap!$F$31</definedName>
    <definedName name="TM1HomeWS">RDSMap!$H$31</definedName>
    <definedName name="TM1REBUILDOPTION">1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8" i="1" l="1"/>
  <c r="C10" i="1" a="1"/>
  <c r="C10" i="1"/>
  <c r="C13" i="1" a="1"/>
  <c r="C13" i="1"/>
  <c r="L71" i="1" a="1"/>
  <c r="L71" i="1"/>
  <c r="C12" i="1" a="1"/>
  <c r="C12" i="1"/>
  <c r="L70" i="1" a="1"/>
  <c r="L70" i="1"/>
  <c r="C51" i="1" a="1"/>
  <c r="C51" i="1"/>
  <c r="C47" i="1" a="1"/>
  <c r="C47" i="1"/>
  <c r="C48" i="1" a="1"/>
  <c r="C48" i="1"/>
  <c r="C49" i="1" a="1"/>
  <c r="C49" i="1"/>
  <c r="C50" i="1" a="1"/>
  <c r="C50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20" i="1" a="1"/>
  <c r="C20" i="1"/>
  <c r="C4" i="1" a="1"/>
  <c r="C4" i="1"/>
  <c r="C24" i="1" a="1"/>
  <c r="C24" i="1"/>
  <c r="C23" i="1" a="1"/>
  <c r="C23" i="1"/>
  <c r="C22" i="1" a="1"/>
  <c r="C22" i="1"/>
  <c r="C21" i="1" a="1"/>
  <c r="C21" i="1"/>
  <c r="C17" i="1" a="1"/>
  <c r="C17" i="1"/>
  <c r="C16" i="1" a="1"/>
  <c r="C16" i="1"/>
  <c r="C15" i="1" a="1"/>
  <c r="C15" i="1"/>
  <c r="C14" i="1" a="1"/>
  <c r="C14" i="1"/>
  <c r="C3" i="1" a="1"/>
  <c r="C3" i="1"/>
  <c r="C6" i="1" a="1"/>
  <c r="C6" i="1"/>
  <c r="C5" i="1" a="1"/>
  <c r="C5" i="1"/>
  <c r="L73" i="1"/>
  <c r="L74" i="1"/>
  <c r="L75" i="1"/>
  <c r="F75" i="1"/>
  <c r="O75" i="1"/>
  <c r="N75" i="1"/>
  <c r="C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<sst xmlns="http://schemas.openxmlformats.org/spreadsheetml/2006/main" count="63" uniqueCount="60">
  <si>
    <t>value</t>
  </si>
  <si>
    <t>save location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</si>
  <si>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</si>
  <si>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</si>
  <si>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</si>
  <si>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</si>
  <si>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</si>
  <si>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</si>
  <si>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</si>
  <si>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</si>
  <si>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</si>
  <si>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</si>
  <si>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</si>
  <si>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</si>
  <si>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</si>
  <si>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</si>
  <si>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</si>
  <si>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</si>
  <si>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</si>
  <si>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</si>
  <si>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</si>
  <si>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</si>
  <si>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</si>
  <si>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</si>
  <si>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</si>
  <si>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</si>
  <si>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</si>
  <si>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</si>
  <si>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</si>
  <si>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</si>
  <si>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</si>
  <si>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</si>
  <si>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</si>
  <si>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Flatfile Creation</t>
  </si>
  <si>
    <t>Homepage - Annual Estimates - Account Variation</t>
  </si>
  <si>
    <t>Homepage - Reports</t>
  </si>
  <si>
    <t>Homepage - Administration</t>
  </si>
  <si>
    <t>Homepage - Under Construction</t>
  </si>
  <si>
    <t>Current Workbook</t>
  </si>
  <si>
    <t>validate</t>
  </si>
  <si>
    <t xml:space="preserve">Note : The location must be where the server is able to access. </t>
  </si>
  <si>
    <t>Note : Just enter over the current location and ensure it is the FULL Directory Listing</t>
  </si>
  <si>
    <t>This function maintains the available Ids in GBMS. If available Ids are less than 10%, new ajdustments ID elements should be created via the Dimension Worksheet</t>
  </si>
  <si>
    <t>AE ID DETAIL PARAMETER</t>
  </si>
  <si>
    <t>Headline Year :</t>
  </si>
  <si>
    <t>Scenario :</t>
  </si>
  <si>
    <t>ID</t>
  </si>
  <si>
    <t>AE id measure</t>
  </si>
  <si>
    <t>Calculate</t>
  </si>
  <si>
    <t>Total ID Index</t>
  </si>
  <si>
    <t>Total ID Elements :</t>
  </si>
  <si>
    <t>Total Used IDs :</t>
  </si>
  <si>
    <t>Remaining IDs :</t>
  </si>
  <si>
    <t>&lt;= Note that these Total ID Elements include consolidations.</t>
  </si>
  <si>
    <t>Admin RDS Mapping - ID Threshold</t>
  </si>
  <si>
    <t>Homepage - Administration - RDS Mapping</t>
  </si>
  <si>
    <t>Homepage - Administration - GEUS Setup</t>
  </si>
  <si>
    <t>Homepage - Administration - RDS</t>
  </si>
  <si>
    <t>RDS Mapping - ID Management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</si>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</sst>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3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top"/>
    </xf>
    <xf numFmtId="0" fontId="0" fillId="0" borderId="0" xfId="0" applyAlignment="1">
      <alignment vertical="top"/>
    </xf>
    <xf numFmtId="0" fontId="1" fillId="4" borderId="6" xfId="0" applyFont="1" applyFill="1" applyBorder="1" applyAlignment="1">
      <alignment horizontal="center"/>
    </xf>
    <xf numFmtId="0" fontId="7" fillId="0" borderId="4" xfId="0" applyFont="1" applyBorder="1" applyAlignment="1">
      <alignment horizontal="left"/>
    </xf>
    <xf numFmtId="10" fontId="8" fillId="0" borderId="4" xfId="1" applyNumberFormat="1" applyFont="1" applyBorder="1"/>
    <xf numFmtId="0" fontId="8" fillId="0" borderId="0" xfId="0" applyFont="1" applyAlignment="1">
      <alignment horizontal="left" indent="1"/>
    </xf>
    <xf numFmtId="0" fontId="0" fillId="0" borderId="4" xfId="0" applyBorder="1" applyAlignment="1" applyProtection="1">
      <alignment horizontal="left" vertical="top" indent="1"/>
      <protection locked="0"/>
    </xf>
    <xf numFmtId="0" fontId="2" fillId="5" borderId="4" xfId="0" applyFont="1" applyFill="1" applyBorder="1" applyAlignment="1">
      <alignment horizontal="left" vertical="top" indent="1"/>
    </xf>
    <xf numFmtId="0" fontId="0" fillId="5" borderId="4" xfId="0" applyFill="1" applyBorder="1" applyAlignment="1">
      <alignment horizontal="left" vertical="top" indent="1"/>
    </xf>
    <xf numFmtId="0" fontId="9" fillId="5" borderId="4" xfId="0" applyFont="1" applyFill="1" applyBorder="1" applyAlignment="1">
      <alignment horizontal="left" vertical="top" inden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0" borderId="0" xfId="0" applyFont="1" applyAlignment="1">
      <alignment horizontal="left" indent="1"/>
    </xf>
    <xf numFmtId="0" fontId="4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2">
    <dxf>
      <font>
        <b/>
        <i val="0"/>
        <color rgb="FF00B05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59</xdr:row>
      <xdr:rowOff>38100</xdr:rowOff>
    </xdr:from>
    <xdr:to>
      <xdr:col>9</xdr:col>
      <xdr:colOff>1769745</xdr:colOff>
      <xdr:row>59</xdr:row>
      <xdr:rowOff>495300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3810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60960</xdr:colOff>
          <xdr:row>61</xdr:row>
          <xdr:rowOff>30480</xdr:rowOff>
        </xdr:from>
        <xdr:to>
          <xdr:col>9</xdr:col>
          <xdr:colOff>693420</xdr:colOff>
          <xdr:row>61</xdr:row>
          <xdr:rowOff>289560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731520</xdr:colOff>
          <xdr:row>61</xdr:row>
          <xdr:rowOff>30480</xdr:rowOff>
        </xdr:from>
        <xdr:to>
          <xdr:col>11</xdr:col>
          <xdr:colOff>38100</xdr:colOff>
          <xdr:row>61</xdr:row>
          <xdr:rowOff>289560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3032760</xdr:colOff>
          <xdr:row>61</xdr:row>
          <xdr:rowOff>30480</xdr:rowOff>
        </xdr:from>
        <xdr:to>
          <xdr:col>11</xdr:col>
          <xdr:colOff>3810000</xdr:colOff>
          <xdr:row>61</xdr:row>
          <xdr:rowOff>289560</xdr:rowOff>
        </xdr:to>
        <xdr:sp macro="" textlink="">
          <xdr:nvSpPr>
            <xdr:cNvPr id="1027" name="TIButton4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76200</xdr:colOff>
          <xdr:row>61</xdr:row>
          <xdr:rowOff>30480</xdr:rowOff>
        </xdr:from>
        <xdr:to>
          <xdr:col>11</xdr:col>
          <xdr:colOff>1661160</xdr:colOff>
          <xdr:row>61</xdr:row>
          <xdr:rowOff>289560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1699260</xdr:colOff>
          <xdr:row>61</xdr:row>
          <xdr:rowOff>30480</xdr:rowOff>
        </xdr:from>
        <xdr:to>
          <xdr:col>11</xdr:col>
          <xdr:colOff>3009900</xdr:colOff>
          <xdr:row>61</xdr:row>
          <xdr:rowOff>289560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2735580</xdr:colOff>
          <xdr:row>60</xdr:row>
          <xdr:rowOff>30480</xdr:rowOff>
        </xdr:from>
        <xdr:to>
          <xdr:col>15</xdr:col>
          <xdr:colOff>0</xdr:colOff>
          <xdr:row>61</xdr:row>
          <xdr:rowOff>289560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A0CC-13F3-4AE9-A0C8-BF4CCDBFB8D5}">
  <sheetPr codeName="Sheet1">
    <outlinePr showOutlineSymbols="0"/>
  </sheetPr>
  <dimension ref="A1:O75"/>
  <sheetViews>
    <sheetView showGridLines="0" showRowColHeaders="0" tabSelected="1" showOutlineSymbols="0" topLeftCell="I60" workbookViewId="0"/>
  </sheetViews>
  <sheetFormatPr defaultRowHeight="14.4" outlineLevelRow="1" outlineLevelCol="1" x14ac:dyDescent="0.3"/>
  <cols>
    <col min="1" max="1" width="9.109375" hidden="1" customWidth="1" outlineLevel="1"/>
    <col min="2" max="2" width="24.33203125" hidden="1" customWidth="1" outlineLevel="1"/>
    <col min="3" max="3" width="16.109375" hidden="1" customWidth="1" outlineLevel="1"/>
    <col min="4" max="4" width="19.5546875" hidden="1" customWidth="1" outlineLevel="1"/>
    <col min="5" max="5" width="24.33203125" hidden="1" customWidth="1" outlineLevel="1"/>
    <col min="6" max="6" width="33.33203125" hidden="1" customWidth="1" outlineLevel="1"/>
    <col min="7" max="7" width="24.109375" hidden="1" customWidth="1" outlineLevel="1"/>
    <col min="8" max="8" width="18" hidden="1" customWidth="1" outlineLevel="1"/>
    <col min="9" max="9" width="0.88671875" customWidth="1" collapsed="1"/>
    <col min="10" max="10" width="35.6640625" customWidth="1"/>
    <col min="11" max="11" width="0.88671875" customWidth="1"/>
    <col min="12" max="12" width="60.6640625" customWidth="1"/>
    <col min="13" max="13" width="0.88671875" customWidth="1"/>
    <col min="14" max="14" width="15.6640625" customWidth="1"/>
    <col min="15" max="15" width="45.6640625" customWidth="1"/>
  </cols>
  <sheetData>
    <row r="1" spans="2:4" hidden="1" outlineLevel="1" x14ac:dyDescent="0.3">
      <c r="B1" s="18" t="s">
        <v>2</v>
      </c>
      <c r="C1" s="19"/>
      <c r="D1" s="20"/>
    </row>
    <row r="2" spans="2:4" hidden="1" outlineLevel="1" x14ac:dyDescent="0.3">
      <c r="B2" s="1" t="s">
        <v>3</v>
      </c>
      <c r="C2" s="2" t="s">
        <v>59</v>
      </c>
      <c r="D2" s="3"/>
    </row>
    <row r="3" spans="2:4" hidden="1" outlineLevel="1" x14ac:dyDescent="0.3">
      <c r="B3" s="1" t="s">
        <v>4</v>
      </c>
      <c r="C3" s="4" t="str" cm="1">
        <f t="array" aca="1" ref="C3" ca="1">_xll.VIEW(db_name&amp;":}ElementAttributes_}Clients","!","!")</f>
        <v>dcceew_geus:}ElementAttributes_}Clients</v>
      </c>
      <c r="D3" s="3"/>
    </row>
    <row r="4" spans="2:4" hidden="1" outlineLevel="1" x14ac:dyDescent="0.3">
      <c r="B4" s="1" t="s">
        <v>5</v>
      </c>
      <c r="C4" s="2" t="str" cm="1">
        <f t="array" aca="1" ref="C4" ca="1">_xll.TM1USER(db_name)</f>
        <v/>
      </c>
      <c r="D4" s="3"/>
    </row>
    <row r="5" spans="2:4" hidden="1" outlineLevel="1" x14ac:dyDescent="0.3">
      <c r="B5" s="1" t="s">
        <v>6</v>
      </c>
      <c r="C5" s="2" t="str" cm="1">
        <f t="array" aca="1" ref="C5" ca="1">_xll.DBR($C$3,$C$4,$B5)</f>
        <v>*KEY_ERR</v>
      </c>
      <c r="D5" s="3"/>
    </row>
    <row r="6" spans="2:4" hidden="1" outlineLevel="1" x14ac:dyDescent="0.3">
      <c r="B6" s="1" t="s">
        <v>7</v>
      </c>
      <c r="C6" s="2" t="str" cm="1">
        <f t="array" aca="1" ref="C6" ca="1">_xll.DBR($C$3,$C$4,$B6)</f>
        <v>*KEY_ERR</v>
      </c>
      <c r="D6" s="3"/>
    </row>
    <row r="7" spans="2:4" hidden="1" outlineLevel="1" x14ac:dyDescent="0.3">
      <c r="B7" s="1" t="s">
        <v>8</v>
      </c>
      <c r="C7" s="2" t="str">
        <f ca="1">IF(LEFT($C$4,6)="CAM_AD",$C$5,$C$4)</f>
        <v/>
      </c>
      <c r="D7" s="5"/>
    </row>
    <row r="8" spans="2:4" hidden="1" outlineLevel="1" x14ac:dyDescent="0.3"/>
    <row r="9" spans="2:4" hidden="1" outlineLevel="1" x14ac:dyDescent="0.3">
      <c r="B9" s="18" t="s">
        <v>9</v>
      </c>
      <c r="C9" s="19"/>
      <c r="D9" s="20"/>
    </row>
    <row r="10" spans="2:4" hidden="1" outlineLevel="1" x14ac:dyDescent="0.3">
      <c r="B10" s="1" t="s">
        <v>10</v>
      </c>
      <c r="C10" s="5" t="str" cm="1">
        <f t="array" aca="1" ref="C10" ca="1">_xll.VIEW(db_name&amp;":}ElementAttributes_variables","!","!")</f>
        <v>dcceew_geus:}ElementAttributes_variables</v>
      </c>
      <c r="D10" s="5"/>
    </row>
    <row r="11" spans="2:4" hidden="1" outlineLevel="1" x14ac:dyDescent="0.3">
      <c r="B11" s="1"/>
      <c r="C11" s="5" t="s">
        <v>0</v>
      </c>
      <c r="D11" s="5" t="s">
        <v>39</v>
      </c>
    </row>
    <row r="12" spans="2:4" hidden="1" outlineLevel="1" x14ac:dyDescent="0.3">
      <c r="B12" s="1" t="s">
        <v>11</v>
      </c>
      <c r="C12" s="5" t="str" cm="1">
        <f t="array" aca="1" ref="C12" ca="1">_xll.DBR($C$10,$B12,C$11)</f>
        <v>*KEY_ERR</v>
      </c>
      <c r="D12" s="5"/>
    </row>
    <row r="13" spans="2:4" hidden="1" outlineLevel="1" x14ac:dyDescent="0.3">
      <c r="B13" s="1" t="s">
        <v>12</v>
      </c>
      <c r="C13" s="5" t="str" cm="1">
        <f t="array" aca="1" ref="C13" ca="1">_xll.DBR($C$10,$B13,C$11)</f>
        <v>*KEY_ERR</v>
      </c>
      <c r="D13" s="5"/>
    </row>
    <row r="14" spans="2:4" hidden="1" outlineLevel="1" x14ac:dyDescent="0.3">
      <c r="B14" s="1" t="s">
        <v>13</v>
      </c>
      <c r="C14" s="5" t="str" cm="1">
        <f t="array" aca="1" ref="C14" ca="1">_xll.DBR($C$10,$B14,C$11)</f>
        <v>*KEY_ERR</v>
      </c>
      <c r="D14" s="5"/>
    </row>
    <row r="15" spans="2:4" hidden="1" outlineLevel="1" x14ac:dyDescent="0.3">
      <c r="B15" s="1" t="s">
        <v>14</v>
      </c>
      <c r="C15" s="5" t="str" cm="1">
        <f t="array" aca="1" ref="C15" ca="1">_xll.DBR($C$10,$B15,C$11)</f>
        <v>*KEY_ERR</v>
      </c>
      <c r="D15" s="5"/>
    </row>
    <row r="16" spans="2:4" hidden="1" outlineLevel="1" x14ac:dyDescent="0.3">
      <c r="B16" s="1" t="s">
        <v>15</v>
      </c>
      <c r="C16" s="5" t="str" cm="1">
        <f t="array" aca="1" ref="C16" ca="1">_xll.DBR($C$10,$B16,C$11)</f>
        <v>*KEY_ERR</v>
      </c>
      <c r="D16" s="5"/>
    </row>
    <row r="17" spans="2:8" hidden="1" outlineLevel="1" x14ac:dyDescent="0.3">
      <c r="B17" s="5" t="s">
        <v>1</v>
      </c>
      <c r="C17" s="5" t="str" cm="1">
        <f t="array" aca="1" ref="C17" ca="1">_xll.DBR($C$10,$B17,C$11)</f>
        <v>*KEY_ERR</v>
      </c>
      <c r="D17" s="5"/>
    </row>
    <row r="18" spans="2:8" hidden="1" outlineLevel="1" x14ac:dyDescent="0.3"/>
    <row r="19" spans="2:8" hidden="1" outlineLevel="1" x14ac:dyDescent="0.3">
      <c r="B19" s="18" t="s">
        <v>16</v>
      </c>
      <c r="C19" s="19"/>
      <c r="D19" s="20"/>
    </row>
    <row r="20" spans="2:8" hidden="1" outlineLevel="1" x14ac:dyDescent="0.3">
      <c r="B20" s="1" t="s">
        <v>10</v>
      </c>
      <c r="C20" s="5" t="str" cm="1">
        <f t="array" aca="1" ref="C20" ca="1">_xll.VIEW(db_name&amp;":sys_client preference","!","!","!")</f>
        <v>dcceew_geus:sys_client preference</v>
      </c>
      <c r="D20" s="5"/>
    </row>
    <row r="21" spans="2:8" hidden="1" outlineLevel="1" x14ac:dyDescent="0.3">
      <c r="B21" s="1" t="s">
        <v>17</v>
      </c>
      <c r="C21" s="5" t="str" cm="1">
        <f t="array" aca="1" ref="C21" ca="1">_xll.DBR($C$20,psUser,$B21,"value")</f>
        <v>*KEY_ERR</v>
      </c>
      <c r="D21" s="5"/>
    </row>
    <row r="22" spans="2:8" hidden="1" outlineLevel="1" x14ac:dyDescent="0.3">
      <c r="B22" s="1" t="s">
        <v>18</v>
      </c>
      <c r="C22" s="5" t="str" cm="1">
        <f t="array" aca="1" ref="C22" ca="1">_xll.DBR($C$20,psUser,$B22,"value")</f>
        <v>*KEY_ERR</v>
      </c>
      <c r="D22" s="5"/>
    </row>
    <row r="23" spans="2:8" hidden="1" outlineLevel="1" x14ac:dyDescent="0.3">
      <c r="B23" s="1" t="s">
        <v>19</v>
      </c>
      <c r="C23" s="5" t="str" cm="1">
        <f t="array" aca="1" ref="C23" ca="1">_xll.DBR($C$20,psUser,$B23,"value")</f>
        <v>*KEY_ERR</v>
      </c>
      <c r="D23" s="5"/>
    </row>
    <row r="24" spans="2:8" hidden="1" outlineLevel="1" x14ac:dyDescent="0.3">
      <c r="B24" s="1" t="s">
        <v>20</v>
      </c>
      <c r="C24" s="5" t="str" cm="1">
        <f t="array" aca="1" ref="C24" ca="1">_xll.DBR($C$20,psUser,$B24,"value")</f>
        <v>*KEY_ERR</v>
      </c>
      <c r="D24" s="5"/>
    </row>
    <row r="25" spans="2:8" hidden="1" outlineLevel="1" x14ac:dyDescent="0.3">
      <c r="B25" s="1" t="s">
        <v>21</v>
      </c>
      <c r="C25" s="5" t="s">
        <v>22</v>
      </c>
      <c r="D25" s="5"/>
    </row>
    <row r="26" spans="2:8" hidden="1" outlineLevel="1" x14ac:dyDescent="0.3"/>
    <row r="27" spans="2:8" hidden="1" outlineLevel="1" x14ac:dyDescent="0.3">
      <c r="B27" s="18" t="s">
        <v>23</v>
      </c>
      <c r="C27" s="19"/>
      <c r="D27" s="20"/>
    </row>
    <row r="28" spans="2:8" hidden="1" outlineLevel="1" x14ac:dyDescent="0.3">
      <c r="B28" s="5" t="s">
        <v>24</v>
      </c>
      <c r="C28" s="6" t="str">
        <f ca="1">_xll.VIEW(db_name&amp;":sys_application","!","!")</f>
        <v>dcceew_geus:sys_application</v>
      </c>
      <c r="D28" s="6"/>
    </row>
    <row r="29" spans="2:8" hidden="1" outlineLevel="1" x14ac:dyDescent="0.3">
      <c r="B29" s="1" t="s">
        <v>38</v>
      </c>
      <c r="C29" t="s">
        <v>54</v>
      </c>
      <c r="D29" s="6"/>
    </row>
    <row r="30" spans="2:8" hidden="1" outlineLevel="1" x14ac:dyDescent="0.3">
      <c r="C30" s="6" t="s">
        <v>25</v>
      </c>
      <c r="D30" s="6" t="s">
        <v>26</v>
      </c>
      <c r="E30" s="6" t="s">
        <v>27</v>
      </c>
      <c r="F30" s="6" t="s">
        <v>28</v>
      </c>
      <c r="G30" s="6" t="s">
        <v>29</v>
      </c>
      <c r="H30" s="6" t="s">
        <v>30</v>
      </c>
    </row>
    <row r="31" spans="2:8" hidden="1" outlineLevel="1" x14ac:dyDescent="0.3">
      <c r="B31" s="5" t="s">
        <v>31</v>
      </c>
      <c r="C31" s="5" t="str" cm="1">
        <f t="array" aca="1" ref="C31" ca="1">_xll.DBR($C$28,$B31,C$30)</f>
        <v>*KEY_ERR</v>
      </c>
      <c r="D31" s="5" t="str" cm="1">
        <f t="array" aca="1" ref="D31" ca="1">_xll.DBR($C$28,$B31,D$30)</f>
        <v>*KEY_ERR</v>
      </c>
      <c r="E31" s="5" t="str" cm="1">
        <f t="array" aca="1" ref="E31" ca="1">_xll.DBR($C$28,$B31,E$30)</f>
        <v>*KEY_ERR</v>
      </c>
      <c r="F31" s="5" t="str" cm="1">
        <f t="array" aca="1" ref="F31" ca="1">_xll.DBR($C$28,$B31,F$30)</f>
        <v>*KEY_ERR</v>
      </c>
      <c r="G31" s="5" t="str" cm="1">
        <f t="array" aca="1" ref="G31" ca="1">_xll.DBR($C$28,$B31,G$30)</f>
        <v>*KEY_ERR</v>
      </c>
      <c r="H31" s="5" t="str" cm="1">
        <f t="array" aca="1" ref="H31" ca="1">_xll.DBR($C$28,$B31,H$30)</f>
        <v>*KEY_ERR</v>
      </c>
    </row>
    <row r="32" spans="2:8" hidden="1" outlineLevel="1" x14ac:dyDescent="0.3">
      <c r="B32" s="5" t="s">
        <v>32</v>
      </c>
      <c r="C32" s="5" t="str" cm="1">
        <f t="array" aca="1" ref="C32" ca="1">_xll.DBR($C$28,$B32,C$30)</f>
        <v>*KEY_ERR</v>
      </c>
      <c r="D32" s="5" t="str" cm="1">
        <f t="array" aca="1" ref="D32" ca="1">_xll.DBR($C$28,$B32,D$30)</f>
        <v>*KEY_ERR</v>
      </c>
      <c r="E32" s="5" t="str" cm="1">
        <f t="array" aca="1" ref="E32" ca="1">_xll.DBR($C$28,$B32,E$30)</f>
        <v>*KEY_ERR</v>
      </c>
      <c r="F32" s="5" t="str" cm="1">
        <f t="array" aca="1" ref="F32" ca="1">_xll.DBR($C$28,$B32,F$30)</f>
        <v>*KEY_ERR</v>
      </c>
      <c r="G32" s="5" t="str" cm="1">
        <f t="array" aca="1" ref="G32" ca="1">_xll.DBR($C$28,$B32,G$30)</f>
        <v>*KEY_ERR</v>
      </c>
      <c r="H32" s="5" t="str" cm="1">
        <f t="array" aca="1" ref="H32" ca="1">_xll.DBR($C$28,$B32,H$30)</f>
        <v>*KEY_ERR</v>
      </c>
    </row>
    <row r="33" spans="2:8" hidden="1" outlineLevel="1" x14ac:dyDescent="0.3">
      <c r="B33" s="5" t="s">
        <v>33</v>
      </c>
      <c r="C33" s="5" t="str" cm="1">
        <f t="array" aca="1" ref="C33" ca="1">_xll.DBR($C$28,$B33,C$30)</f>
        <v>*KEY_ERR</v>
      </c>
      <c r="D33" s="5" t="str" cm="1">
        <f t="array" aca="1" ref="D33" ca="1">_xll.DBR($C$28,$B33,D$30)</f>
        <v>*KEY_ERR</v>
      </c>
      <c r="E33" s="5" t="str" cm="1">
        <f t="array" aca="1" ref="E33" ca="1">_xll.DBR($C$28,$B33,E$30)</f>
        <v>*KEY_ERR</v>
      </c>
      <c r="F33" s="5" t="str" cm="1">
        <f t="array" aca="1" ref="F33" ca="1">_xll.DBR($C$28,$B33,F$30)</f>
        <v>*KEY_ERR</v>
      </c>
      <c r="G33" s="5" t="str" cm="1">
        <f t="array" aca="1" ref="G33" ca="1">_xll.DBR($C$28,$B33,G$30)</f>
        <v>*KEY_ERR</v>
      </c>
      <c r="H33" s="5" t="str" cm="1">
        <f t="array" aca="1" ref="H33" ca="1">_xll.DBR($C$28,$B33,H$30)</f>
        <v>*KEY_ERR</v>
      </c>
    </row>
    <row r="34" spans="2:8" hidden="1" outlineLevel="1" x14ac:dyDescent="0.3">
      <c r="B34" s="5" t="s">
        <v>34</v>
      </c>
      <c r="C34" s="5" t="str" cm="1">
        <f t="array" aca="1" ref="C34" ca="1">_xll.DBR($C$28,$B34,C$30)</f>
        <v>*KEY_ERR</v>
      </c>
      <c r="D34" s="5" t="str" cm="1">
        <f t="array" aca="1" ref="D34" ca="1">_xll.DBR($C$28,$B34,D$30)</f>
        <v>*KEY_ERR</v>
      </c>
      <c r="E34" s="5" t="str" cm="1">
        <f t="array" aca="1" ref="E34" ca="1">_xll.DBR($C$28,$B34,E$30)</f>
        <v>*KEY_ERR</v>
      </c>
      <c r="F34" s="5" t="str" cm="1">
        <f t="array" aca="1" ref="F34" ca="1">_xll.DBR($C$28,$B34,F$30)</f>
        <v>*KEY_ERR</v>
      </c>
      <c r="G34" s="5" t="str" cm="1">
        <f t="array" aca="1" ref="G34" ca="1">_xll.DBR($C$28,$B34,G$30)</f>
        <v>*KEY_ERR</v>
      </c>
      <c r="H34" s="5" t="str" cm="1">
        <f t="array" aca="1" ref="H34" ca="1">_xll.DBR($C$28,$B34,H$30)</f>
        <v>*KEY_ERR</v>
      </c>
    </row>
    <row r="35" spans="2:8" hidden="1" outlineLevel="1" x14ac:dyDescent="0.3">
      <c r="B35" s="5" t="s">
        <v>35</v>
      </c>
      <c r="C35" s="5" t="str" cm="1">
        <f t="array" aca="1" ref="C35" ca="1">_xll.DBR($C$28,$B35,C$30)</f>
        <v>*KEY_ERR</v>
      </c>
      <c r="D35" s="5" t="str" cm="1">
        <f t="array" aca="1" ref="D35" ca="1">_xll.DBR($C$28,$B35,D$30)</f>
        <v>*KEY_ERR</v>
      </c>
      <c r="E35" s="5" t="str" cm="1">
        <f t="array" aca="1" ref="E35" ca="1">_xll.DBR($C$28,$B35,E$30)</f>
        <v>*KEY_ERR</v>
      </c>
      <c r="F35" s="5" t="str" cm="1">
        <f t="array" aca="1" ref="F35" ca="1">_xll.DBR($C$28,$B35,F$30)</f>
        <v>*KEY_ERR</v>
      </c>
      <c r="G35" s="5" t="str" cm="1">
        <f t="array" aca="1" ref="G35" ca="1">_xll.DBR($C$28,$B35,G$30)</f>
        <v>*KEY_ERR</v>
      </c>
      <c r="H35" s="5" t="str" cm="1">
        <f t="array" aca="1" ref="H35" ca="1">_xll.DBR($C$28,$B35,H$30)</f>
        <v>*KEY_ERR</v>
      </c>
    </row>
    <row r="36" spans="2:8" hidden="1" outlineLevel="1" x14ac:dyDescent="0.3">
      <c r="B36" s="5" t="s">
        <v>36</v>
      </c>
      <c r="C36" s="5" t="str" cm="1">
        <f t="array" aca="1" ref="C36" ca="1">_xll.DBR($C$28,$B36,C$30)</f>
        <v>*KEY_ERR</v>
      </c>
      <c r="D36" s="5" t="str" cm="1">
        <f t="array" aca="1" ref="D36" ca="1">_xll.DBR($C$28,$B36,D$30)</f>
        <v>*KEY_ERR</v>
      </c>
      <c r="E36" s="5" t="str" cm="1">
        <f t="array" aca="1" ref="E36" ca="1">_xll.DBR($C$28,$B36,E$30)</f>
        <v>*KEY_ERR</v>
      </c>
      <c r="F36" s="5" t="str" cm="1">
        <f t="array" aca="1" ref="F36" ca="1">_xll.DBR($C$28,$B36,F$30)</f>
        <v>*KEY_ERR</v>
      </c>
      <c r="G36" s="5" t="str" cm="1">
        <f t="array" aca="1" ref="G36" ca="1">_xll.DBR($C$28,$B36,G$30)</f>
        <v>*KEY_ERR</v>
      </c>
      <c r="H36" s="5" t="str" cm="1">
        <f t="array" aca="1" ref="H36" ca="1">_xll.DBR($C$28,$B36,H$30)</f>
        <v>*KEY_ERR</v>
      </c>
    </row>
    <row r="37" spans="2:8" hidden="1" outlineLevel="1" x14ac:dyDescent="0.3">
      <c r="B37" s="5" t="s">
        <v>56</v>
      </c>
      <c r="C37" s="5" t="str" cm="1">
        <f t="array" aca="1" ref="C37" ca="1">_xll.DBR($C$28,$B37,C$30)</f>
        <v>*KEY_ERR</v>
      </c>
      <c r="D37" s="5" t="str" cm="1">
        <f t="array" aca="1" ref="D37" ca="1">_xll.DBR($C$28,$B37,D$30)</f>
        <v>*KEY_ERR</v>
      </c>
      <c r="E37" s="5" t="str" cm="1">
        <f t="array" aca="1" ref="E37" ca="1">_xll.DBR($C$28,$B37,E$30)</f>
        <v>*KEY_ERR</v>
      </c>
      <c r="F37" s="5" t="str" cm="1">
        <f t="array" aca="1" ref="F37" ca="1">_xll.DBR($C$28,$B37,F$30)</f>
        <v>*KEY_ERR</v>
      </c>
      <c r="G37" s="5" t="str" cm="1">
        <f t="array" aca="1" ref="G37" ca="1">_xll.DBR($C$28,$B37,G$30)</f>
        <v>*KEY_ERR</v>
      </c>
      <c r="H37" s="5" t="str" cm="1">
        <f t="array" aca="1" ref="H37" ca="1">_xll.DBR($C$28,$B37,H$30)</f>
        <v>*KEY_ERR</v>
      </c>
    </row>
    <row r="38" spans="2:8" hidden="1" outlineLevel="1" x14ac:dyDescent="0.3">
      <c r="B38" s="5" t="s">
        <v>57</v>
      </c>
      <c r="C38" s="5" t="str" cm="1">
        <f t="array" aca="1" ref="C38" ca="1">_xll.DBR($C$28,$B38,C$30)</f>
        <v>*KEY_ERR</v>
      </c>
      <c r="D38" s="5" t="str" cm="1">
        <f t="array" aca="1" ref="D38" ca="1">_xll.DBR($C$28,$B38,D$30)</f>
        <v>*KEY_ERR</v>
      </c>
      <c r="E38" s="5" t="str" cm="1">
        <f t="array" aca="1" ref="E38" ca="1">_xll.DBR($C$28,$B38,E$30)</f>
        <v>*KEY_ERR</v>
      </c>
      <c r="F38" s="5" t="str" cm="1">
        <f t="array" aca="1" ref="F38" ca="1">_xll.DBR($C$28,$B38,F$30)</f>
        <v>*KEY_ERR</v>
      </c>
      <c r="G38" s="5" t="str" cm="1">
        <f t="array" aca="1" ref="G38" ca="1">_xll.DBR($C$28,$B38,G$30)</f>
        <v>*KEY_ERR</v>
      </c>
      <c r="H38" s="5" t="str" cm="1">
        <f t="array" aca="1" ref="H38" ca="1">_xll.DBR($C$28,$B38,H$30)</f>
        <v>*KEY_ERR</v>
      </c>
    </row>
    <row r="39" spans="2:8" hidden="1" outlineLevel="1" x14ac:dyDescent="0.3">
      <c r="B39" s="5" t="s">
        <v>55</v>
      </c>
      <c r="C39" s="5" t="str" cm="1">
        <f t="array" aca="1" ref="C39" ca="1">_xll.DBR($C$28,$B39,C$30)</f>
        <v>*KEY_ERR</v>
      </c>
      <c r="D39" s="5" t="str" cm="1">
        <f t="array" aca="1" ref="D39" ca="1">_xll.DBR($C$28,$B39,D$30)</f>
        <v>*KEY_ERR</v>
      </c>
      <c r="E39" s="5" t="str" cm="1">
        <f t="array" aca="1" ref="E39" ca="1">_xll.DBR($C$28,$B39,E$30)</f>
        <v>*KEY_ERR</v>
      </c>
      <c r="F39" s="5" t="str" cm="1">
        <f t="array" aca="1" ref="F39" ca="1">_xll.DBR($C$28,$B39,F$30)</f>
        <v>*KEY_ERR</v>
      </c>
      <c r="G39" s="5" t="str" cm="1">
        <f t="array" aca="1" ref="G39" ca="1">_xll.DBR($C$28,$B39,G$30)</f>
        <v>*KEY_ERR</v>
      </c>
      <c r="H39" s="5" t="str" cm="1">
        <f t="array" aca="1" ref="H39" ca="1">_xll.DBR($C$28,$B39,H$30)</f>
        <v>*KEY_ERR</v>
      </c>
    </row>
    <row r="40" spans="2:8" hidden="1" outlineLevel="1" x14ac:dyDescent="0.3">
      <c r="B40" s="5" t="s">
        <v>37</v>
      </c>
      <c r="C40" s="5" t="str" cm="1">
        <f t="array" aca="1" ref="C40" ca="1">_xll.DBR($C$28,$B40,C$30)</f>
        <v>*KEY_ERR</v>
      </c>
      <c r="D40" s="5" t="str" cm="1">
        <f t="array" aca="1" ref="D40" ca="1">_xll.DBR($C$28,$B40,D$30)</f>
        <v>*KEY_ERR</v>
      </c>
      <c r="E40" s="5" t="str" cm="1">
        <f t="array" aca="1" ref="E40" ca="1">_xll.DBR($C$28,$B40,E$30)</f>
        <v>*KEY_ERR</v>
      </c>
      <c r="F40" s="5" t="str" cm="1">
        <f t="array" aca="1" ref="F40" ca="1">_xll.DBR($C$28,$B40,F$30)</f>
        <v>*KEY_ERR</v>
      </c>
      <c r="G40" s="5" t="str" cm="1">
        <f t="array" aca="1" ref="G40" ca="1">_xll.DBR($C$28,$B40,G$30)</f>
        <v>*KEY_ERR</v>
      </c>
      <c r="H40" s="5" t="str" cm="1">
        <f t="array" aca="1" ref="H40" ca="1">_xll.DBR($C$28,$B40,H$30)</f>
        <v>*KEY_ERR</v>
      </c>
    </row>
    <row r="41" spans="2:8" hidden="1" outlineLevel="1" x14ac:dyDescent="0.3"/>
    <row r="42" spans="2:8" hidden="1" outlineLevel="1" x14ac:dyDescent="0.3"/>
    <row r="43" spans="2:8" hidden="1" outlineLevel="1" x14ac:dyDescent="0.3"/>
    <row r="44" spans="2:8" hidden="1" outlineLevel="1" x14ac:dyDescent="0.3"/>
    <row r="45" spans="2:8" hidden="1" outlineLevel="1" x14ac:dyDescent="0.3"/>
    <row r="46" spans="2:8" hidden="1" outlineLevel="1" x14ac:dyDescent="0.3">
      <c r="B46" s="18" t="s">
        <v>9</v>
      </c>
      <c r="C46" s="19"/>
      <c r="D46" s="20"/>
    </row>
    <row r="47" spans="2:8" hidden="1" outlineLevel="1" x14ac:dyDescent="0.3">
      <c r="B47" s="1" t="s">
        <v>10</v>
      </c>
      <c r="C47" s="5" t="str" cm="1">
        <f t="array" aca="1" ref="C47" ca="1">_xll.VIEW(db_name&amp;":AE ID Details",$L$70,$L$71,"!","!")</f>
        <v>dcceew_geus:AE ID Details</v>
      </c>
      <c r="D47" s="5"/>
    </row>
    <row r="48" spans="2:8" hidden="1" outlineLevel="1" x14ac:dyDescent="0.3">
      <c r="B48" s="11" t="s">
        <v>46</v>
      </c>
      <c r="C48" s="11" t="str" cm="1">
        <f t="array" aca="1" ref="C48" ca="1">_xll.SUBNM(db_name&amp;":id","","Total IDs")</f>
        <v/>
      </c>
    </row>
    <row r="49" spans="2:15" hidden="1" outlineLevel="1" x14ac:dyDescent="0.3">
      <c r="B49" s="11" t="s">
        <v>47</v>
      </c>
      <c r="C49" s="11" t="str" cm="1">
        <f t="array" aca="1" ref="C49" ca="1">_xll.SUBNM(db_name&amp;":id measure","","used")</f>
        <v/>
      </c>
    </row>
    <row r="50" spans="2:15" hidden="1" outlineLevel="1" x14ac:dyDescent="0.3">
      <c r="B50" s="11" t="s">
        <v>48</v>
      </c>
      <c r="C50" t="str" cm="1">
        <f t="array" aca="1" ref="C50" ca="1">_xll.DBR($C$47,$L$70,$L$71,$C$48,$C$49)</f>
        <v>*KEY_ERR</v>
      </c>
    </row>
    <row r="51" spans="2:15" hidden="1" outlineLevel="1" x14ac:dyDescent="0.3">
      <c r="B51" s="11" t="s">
        <v>49</v>
      </c>
      <c r="C51" cm="1">
        <f t="array" aca="1" ref="C51" ca="1">_xll.DIMSIZ(db_name&amp;":id")</f>
        <v>0</v>
      </c>
    </row>
    <row r="52" spans="2:15" hidden="1" outlineLevel="1" x14ac:dyDescent="0.3"/>
    <row r="53" spans="2:15" hidden="1" outlineLevel="1" x14ac:dyDescent="0.3"/>
    <row r="54" spans="2:15" hidden="1" outlineLevel="1" x14ac:dyDescent="0.3"/>
    <row r="55" spans="2:15" hidden="1" outlineLevel="1" x14ac:dyDescent="0.3"/>
    <row r="56" spans="2:15" hidden="1" outlineLevel="1" x14ac:dyDescent="0.3"/>
    <row r="57" spans="2:15" hidden="1" outlineLevel="1" x14ac:dyDescent="0.3"/>
    <row r="58" spans="2:15" hidden="1" outlineLevel="1" x14ac:dyDescent="0.3"/>
    <row r="59" spans="2:15" hidden="1" outlineLevel="1" x14ac:dyDescent="0.3"/>
    <row r="60" spans="2:15" ht="39.9" customHeight="1" collapsed="1" x14ac:dyDescent="0.3">
      <c r="I60" s="7"/>
      <c r="J60" s="7"/>
      <c r="K60" s="7"/>
      <c r="L60" s="7"/>
      <c r="M60" s="7"/>
      <c r="N60" s="7"/>
      <c r="O60" s="7" t="s">
        <v>58</v>
      </c>
    </row>
    <row r="61" spans="2:15" ht="4.5" customHeight="1" x14ac:dyDescent="0.3"/>
    <row r="62" spans="2:15" ht="24" customHeight="1" x14ac:dyDescent="0.3"/>
    <row r="63" spans="2:15" ht="1.5" customHeight="1" x14ac:dyDescent="0.3">
      <c r="I63" s="7"/>
      <c r="J63" s="7"/>
      <c r="K63" s="7"/>
      <c r="L63" s="7"/>
      <c r="M63" s="7"/>
      <c r="N63" s="7"/>
      <c r="O63" s="7"/>
    </row>
    <row r="64" spans="2:15" ht="4.5" customHeight="1" x14ac:dyDescent="0.3"/>
    <row r="65" spans="6:15" x14ac:dyDescent="0.3">
      <c r="J65" s="22" t="s">
        <v>42</v>
      </c>
      <c r="K65" s="22"/>
      <c r="L65" s="22"/>
    </row>
    <row r="66" spans="6:15" x14ac:dyDescent="0.3">
      <c r="J66" s="22" t="s">
        <v>40</v>
      </c>
      <c r="K66" s="22"/>
      <c r="L66" s="22"/>
    </row>
    <row r="67" spans="6:15" x14ac:dyDescent="0.3">
      <c r="J67" s="22" t="s">
        <v>41</v>
      </c>
      <c r="K67" s="22"/>
      <c r="L67" s="22"/>
    </row>
    <row r="68" spans="6:15" ht="4.5" customHeight="1" x14ac:dyDescent="0.3"/>
    <row r="69" spans="6:15" x14ac:dyDescent="0.3">
      <c r="L69" s="10" t="s">
        <v>43</v>
      </c>
    </row>
    <row r="70" spans="6:15" x14ac:dyDescent="0.3">
      <c r="J70" s="8" t="s">
        <v>44</v>
      </c>
      <c r="K70" s="9"/>
      <c r="L70" s="14" t="str" cm="1">
        <f t="array" aca="1" ref="L70" ca="1">_xll.SUBNM(db_name&amp;":headline year","",$C$12)</f>
        <v/>
      </c>
    </row>
    <row r="71" spans="6:15" x14ac:dyDescent="0.3">
      <c r="J71" s="8" t="s">
        <v>45</v>
      </c>
      <c r="K71" s="9"/>
      <c r="L71" s="14" t="str" cm="1">
        <f t="array" aca="1" ref="L71" ca="1">_xll.SUBNM(db_name&amp;":scenario","sys_BudgetRound",$C$13)</f>
        <v/>
      </c>
    </row>
    <row r="73" spans="6:15" x14ac:dyDescent="0.3">
      <c r="J73" s="8" t="s">
        <v>50</v>
      </c>
      <c r="L73" s="15">
        <f ca="1">$C$51</f>
        <v>0</v>
      </c>
      <c r="N73" s="21" t="s">
        <v>53</v>
      </c>
      <c r="O73" s="21"/>
    </row>
    <row r="74" spans="6:15" x14ac:dyDescent="0.3">
      <c r="J74" s="8" t="s">
        <v>51</v>
      </c>
      <c r="L74" s="16" t="str">
        <f ca="1">$C$50</f>
        <v>*KEY_ERR</v>
      </c>
    </row>
    <row r="75" spans="6:15" x14ac:dyDescent="0.3">
      <c r="F75" t="e">
        <f ca="1">IF(L75/L73&gt;10%,"Acceptable levels for available IDs in GEUS","Number of available IDs are running low, create new ones via ID dimension worksheet")</f>
        <v>#VALUE!</v>
      </c>
      <c r="J75" s="8" t="s">
        <v>52</v>
      </c>
      <c r="L75" s="17" t="e">
        <f ca="1">L73-L74</f>
        <v>#VALUE!</v>
      </c>
      <c r="N75" s="12" t="e">
        <f ca="1">L75/L73</f>
        <v>#VALUE!</v>
      </c>
      <c r="O75" s="13" t="e">
        <f ca="1">F75</f>
        <v>#VALUE!</v>
      </c>
    </row>
  </sheetData>
  <sheetProtection sheet="1" objects="1" scenarios="1"/>
  <mergeCells count="9">
    <mergeCell ref="B46:D46"/>
    <mergeCell ref="N73:O73"/>
    <mergeCell ref="J66:L66"/>
    <mergeCell ref="J67:L67"/>
    <mergeCell ref="B1:D1"/>
    <mergeCell ref="B9:D9"/>
    <mergeCell ref="B19:D19"/>
    <mergeCell ref="B27:D27"/>
    <mergeCell ref="J65:L65"/>
  </mergeCells>
  <conditionalFormatting sqref="N75">
    <cfRule type="cellIs" dxfId="1" priority="2" operator="greaterThanOrEqual">
      <formula>0.1</formula>
    </cfRule>
  </conditionalFormatting>
  <conditionalFormatting sqref="O75">
    <cfRule type="expression" dxfId="0" priority="1">
      <formula>$N$75&gt;10%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29" r:id="rId4" name="TIButton5">
          <controlPr defaultSize="0" print="0" autoLine="0" autoPict="0" r:id="rId5">
            <anchor moveWithCells="1" sizeWithCells="1">
              <from>
                <xdr:col>11</xdr:col>
                <xdr:colOff>1699260</xdr:colOff>
                <xdr:row>61</xdr:row>
                <xdr:rowOff>30480</xdr:rowOff>
              </from>
              <to>
                <xdr:col>11</xdr:col>
                <xdr:colOff>3009900</xdr:colOff>
                <xdr:row>61</xdr:row>
                <xdr:rowOff>289560</xdr:rowOff>
              </to>
            </anchor>
          </controlPr>
        </control>
      </mc:Choice>
      <mc:Fallback>
        <control shapeId="1029" r:id="rId4" name="TIButton5"/>
      </mc:Fallback>
    </mc:AlternateContent>
    <mc:AlternateContent xmlns:mc="http://schemas.openxmlformats.org/markup-compatibility/2006">
      <mc:Choice Requires="x14">
        <control shapeId="1025" r:id="rId6" name="TIButton1">
          <controlPr defaultSize="0" print="0" autoLine="0" autoPict="0" r:id="rId7">
            <anchor moveWithCells="1" sizeWithCells="1">
              <from>
                <xdr:col>9</xdr:col>
                <xdr:colOff>60960</xdr:colOff>
                <xdr:row>61</xdr:row>
                <xdr:rowOff>30480</xdr:rowOff>
              </from>
              <to>
                <xdr:col>9</xdr:col>
                <xdr:colOff>693420</xdr:colOff>
                <xdr:row>61</xdr:row>
                <xdr:rowOff>289560</xdr:rowOff>
              </to>
            </anchor>
          </controlPr>
        </control>
      </mc:Choice>
      <mc:Fallback>
        <control shapeId="1025" r:id="rId6" name="TIButton1"/>
      </mc:Fallback>
    </mc:AlternateContent>
    <mc:AlternateContent xmlns:mc="http://schemas.openxmlformats.org/markup-compatibility/2006">
      <mc:Choice Requires="x14">
        <control shapeId="1026" r:id="rId8" name="TIButton2">
          <controlPr defaultSize="0" print="0" autoLine="0" autoPict="0" r:id="rId9">
            <anchor moveWithCells="1" sizeWithCells="1">
              <from>
                <xdr:col>9</xdr:col>
                <xdr:colOff>731520</xdr:colOff>
                <xdr:row>61</xdr:row>
                <xdr:rowOff>30480</xdr:rowOff>
              </from>
              <to>
                <xdr:col>11</xdr:col>
                <xdr:colOff>38100</xdr:colOff>
                <xdr:row>61</xdr:row>
                <xdr:rowOff>289560</xdr:rowOff>
              </to>
            </anchor>
          </controlPr>
        </control>
      </mc:Choice>
      <mc:Fallback>
        <control shapeId="1026" r:id="rId8" name="TIButton2"/>
      </mc:Fallback>
    </mc:AlternateContent>
    <mc:AlternateContent xmlns:mc="http://schemas.openxmlformats.org/markup-compatibility/2006">
      <mc:Choice Requires="x14">
        <control shapeId="1027" r:id="rId10" name="TIButton4">
          <controlPr defaultSize="0" print="0" autoLine="0" autoPict="0" r:id="rId11">
            <anchor moveWithCells="1" sizeWithCells="1">
              <from>
                <xdr:col>11</xdr:col>
                <xdr:colOff>3032760</xdr:colOff>
                <xdr:row>61</xdr:row>
                <xdr:rowOff>30480</xdr:rowOff>
              </from>
              <to>
                <xdr:col>11</xdr:col>
                <xdr:colOff>3810000</xdr:colOff>
                <xdr:row>61</xdr:row>
                <xdr:rowOff>289560</xdr:rowOff>
              </to>
            </anchor>
          </controlPr>
        </control>
      </mc:Choice>
      <mc:Fallback>
        <control shapeId="1027" r:id="rId10" name="TIButton4"/>
      </mc:Fallback>
    </mc:AlternateContent>
    <mc:AlternateContent xmlns:mc="http://schemas.openxmlformats.org/markup-compatibility/2006">
      <mc:Choice Requires="x14">
        <control shapeId="1028" r:id="rId12" name="TIButton3">
          <controlPr defaultSize="0" print="0" autoLine="0" autoPict="0" r:id="rId13">
            <anchor moveWithCells="1" sizeWithCells="1">
              <from>
                <xdr:col>11</xdr:col>
                <xdr:colOff>76200</xdr:colOff>
                <xdr:row>61</xdr:row>
                <xdr:rowOff>30480</xdr:rowOff>
              </from>
              <to>
                <xdr:col>11</xdr:col>
                <xdr:colOff>1661160</xdr:colOff>
                <xdr:row>61</xdr:row>
                <xdr:rowOff>289560</xdr:rowOff>
              </to>
            </anchor>
          </controlPr>
        </control>
      </mc:Choice>
      <mc:Fallback>
        <control shapeId="1028" r:id="rId12" name="TIButton3"/>
      </mc:Fallback>
    </mc:AlternateContent>
    <mc:AlternateContent xmlns:mc="http://schemas.openxmlformats.org/markup-compatibility/2006">
      <mc:Choice Requires="x14">
        <control shapeId="1030" r:id="rId14" name="TIButton6">
          <controlPr defaultSize="0" print="0" autoLine="0" autoPict="0" r:id="rId15">
            <anchor moveWithCells="1" sizeWithCells="1">
              <from>
                <xdr:col>14</xdr:col>
                <xdr:colOff>2735580</xdr:colOff>
                <xdr:row>60</xdr:row>
                <xdr:rowOff>30480</xdr:rowOff>
              </from>
              <to>
                <xdr:col>15</xdr:col>
                <xdr:colOff>0</xdr:colOff>
                <xdr:row>61</xdr:row>
                <xdr:rowOff>289560</xdr:rowOff>
              </to>
            </anchor>
          </controlPr>
        </control>
      </mc:Choice>
      <mc:Fallback>
        <control shapeId="1030" r:id="rId14" name="TIButton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34</vt:i4>
      </vt:variant>
    </vt:vector>
  </HeadingPairs>
  <TitlesOfParts>
    <vt:vector size="35" baseType="lpstr">
      <vt:lpstr>RDSMap</vt:lpstr>
      <vt:lpstr>db_name</vt:lpstr>
      <vt:lpstr>Menu</vt:lpstr>
      <vt:lpstr>psApp</vt:lpstr>
      <vt:lpstr>psUser</vt:lpstr>
      <vt:lpstr>TM1HomeAdminCAP</vt:lpstr>
      <vt:lpstr>TM1HomeAdminGEUSCAP</vt:lpstr>
      <vt:lpstr>TM1HomeAdminGEUSWB</vt:lpstr>
      <vt:lpstr>TM1HomeAdminGEUSWS</vt:lpstr>
      <vt:lpstr>TM1HomeAdminRDSCAP</vt:lpstr>
      <vt:lpstr>TM1HomeAdminRDSMapCAP</vt:lpstr>
      <vt:lpstr>TM1HomeAdminRDSMapWB</vt:lpstr>
      <vt:lpstr>TM1HomeAdminRDSMapWS</vt:lpstr>
      <vt:lpstr>TM1HomeAdminRDSWB</vt:lpstr>
      <vt:lpstr>TM1HomeAdminRDSWS</vt:lpstr>
      <vt:lpstr>TM1HomeAdminWB</vt:lpstr>
      <vt:lpstr>TM1HomeAdminWS</vt:lpstr>
      <vt:lpstr>TM1HomeAEAccVarCAP</vt:lpstr>
      <vt:lpstr>TM1HomeAEAccVarWB</vt:lpstr>
      <vt:lpstr>TM1HomeAEAccVarWS</vt:lpstr>
      <vt:lpstr>TM1HomeAECAP</vt:lpstr>
      <vt:lpstr>TM1HomeAEFFCAP</vt:lpstr>
      <vt:lpstr>TM1HomeAEFFWB</vt:lpstr>
      <vt:lpstr>TM1HomeAEFFWS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2019-08-29T08:51:24Z</dcterms:created>
  <dcterms:modified xsi:type="dcterms:W3CDTF">2023-02-14T22:33:55Z</dcterms:modified>
</cp:coreProperties>
</file>