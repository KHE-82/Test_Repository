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Users\khe\Test_Repository\files\}Externals\"/>
    </mc:Choice>
  </mc:AlternateContent>
  <xr:revisionPtr revIDLastSave="0" documentId="8_{1306B9C7-9C8E-4F7D-A855-203662C972D3}" xr6:coauthVersionLast="47" xr6:coauthVersionMax="47" xr10:uidLastSave="{00000000-0000-0000-0000-000000000000}"/>
  <bookViews>
    <workbookView xWindow="29580" yWindow="780" windowWidth="21600" windowHeight="11385" xr2:uid="{00000000-000D-0000-FFFF-FFFF00000000}"/>
  </bookViews>
  <sheets>
    <sheet name="TBAL" sheetId="1" r:id="rId1"/>
  </sheets>
  <definedNames>
    <definedName name="db_name">TBAL!$C$12</definedName>
    <definedName name="psApp">TBAL!$C$29</definedName>
    <definedName name="psHLYear">TBAL!$M$75</definedName>
    <definedName name="psScenario">TBAL!$M$64</definedName>
    <definedName name="psUser">TBAL!$C$14</definedName>
    <definedName name="sFBOYear">TBAL!$M$76</definedName>
    <definedName name="sSubAcc">TBAL!$D$56</definedName>
    <definedName name="TM1FBOCAP">TBAL!$D$41</definedName>
    <definedName name="TM1FBORptCAP">TBAL!$D$42</definedName>
    <definedName name="TM1FBORptWB">TBAL!$F$42</definedName>
    <definedName name="TM1FBORptWS">TBAL!$H$42</definedName>
    <definedName name="TM1FBOWB">TBAL!$F$41</definedName>
    <definedName name="TM1FBOWS">TBAL!$H$41</definedName>
    <definedName name="TM1HomeAdminCAP">TBAL!$D$34</definedName>
    <definedName name="TM1HomeAdminWB">TBAL!$F$34</definedName>
    <definedName name="TM1HomeAdminWS">TBAL!$H$34</definedName>
    <definedName name="TM1HomeAECAP">TBAL!$D$32</definedName>
    <definedName name="TM1HomeAEWB">TBAL!$F$32</definedName>
    <definedName name="TM1HomeAEWS">TBAL!$H$32</definedName>
    <definedName name="TM1HomeCAP">TBAL!$D$31</definedName>
    <definedName name="TM1HomeRepAnalyticalCAP">TBAL!$D$36</definedName>
    <definedName name="TM1HomeRepAnalyticalWB">TBAL!$F$36</definedName>
    <definedName name="TM1HomeRepAnalyticalWS">TBAL!$H$36</definedName>
    <definedName name="TM1HomeRepCAP">TBAL!$D$33</definedName>
    <definedName name="TM1HomeRepOtherCAP">TBAL!$D$35</definedName>
    <definedName name="TM1HomeRepOtherWB">TBAL!$F$35</definedName>
    <definedName name="TM1HomeRepOtherWS">TBAL!$H$35</definedName>
    <definedName name="TM1HomeRepWB">TBAL!$F$33</definedName>
    <definedName name="TM1HomeRepWS">TBAL!$H$33</definedName>
    <definedName name="TM1HomeWB">TBAL!$F$31</definedName>
    <definedName name="TM1HomeWS">TBAL!$H$31</definedName>
    <definedName name="TM1OthRprTBalAccCAP">TBAL!$D$38</definedName>
    <definedName name="TM1OthRprTBalAccWB">TBAL!$F$38</definedName>
    <definedName name="TM1OthRprTBalAccWS">TBAL!$H$38</definedName>
    <definedName name="TM1OthRprTBalCAP">TBAL!$D$37</definedName>
    <definedName name="TM1OthRprTBalDetailCAP">TBAL!$D$39</definedName>
    <definedName name="TM1OthRprTBalDetailWB">TBAL!$F$39</definedName>
    <definedName name="TM1OthRprTBalDetailWS">TBAL!$H$39</definedName>
    <definedName name="TM1OthRprTBalDrillCAP">TBAL!$D$40</definedName>
    <definedName name="TM1OthRprTBalDrillWB">TBAL!$F$40</definedName>
    <definedName name="TM1OthRprTBalDrillWS">TBAL!$H$40</definedName>
    <definedName name="TM1OthRprTBalWB">TBAL!$F$37</definedName>
    <definedName name="TM1OthRprTBalWS">TBAL!$H$37</definedName>
    <definedName name="TM1REBUILDOPTION">0</definedName>
    <definedName name="TM1RPTDATARNG6" localSheetId="0">TBAL!$87:$87</definedName>
    <definedName name="TM1RPTFMTIDCOL" localSheetId="0">TBAL!$A$1:$A$8</definedName>
    <definedName name="TM1RPTFMTRNG" localSheetId="0">TBAL!$B$1:$P$8</definedName>
  </definedNames>
  <calcPr calcId="181029" calcMode="manual"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82" i="1" l="1"/>
  <c r="C46" i="1" a="1"/>
  <c r="C46" i="1"/>
  <c r="C20" i="1" a="1"/>
  <c r="C20" i="1"/>
  <c r="C21" i="1" a="1"/>
  <c r="C21" i="1"/>
  <c r="M75" i="1" a="1"/>
  <c r="M75" i="1"/>
  <c r="M65" i="1" a="1"/>
  <c r="M77" i="1" a="1"/>
  <c r="C60" i="1" a="1"/>
  <c r="C61" i="1" a="1"/>
  <c r="P79" i="1" a="1"/>
  <c r="C62" i="1" a="1"/>
  <c r="P78" i="1" a="1"/>
  <c r="P76" i="1" a="1"/>
  <c r="P75" i="1" a="1"/>
  <c r="P77" i="1" a="1"/>
  <c r="C64" i="1" a="1"/>
  <c r="K59" i="1"/>
  <c r="L61" i="1" a="1"/>
  <c r="L61" i="1"/>
  <c r="M76" i="1" a="1"/>
  <c r="M76" i="1"/>
  <c r="S86" i="1"/>
  <c r="M65" i="1"/>
  <c r="M77" i="1"/>
  <c r="C60" i="1"/>
  <c r="C61" i="1"/>
  <c r="P79" i="1"/>
  <c r="C62" i="1"/>
  <c r="P78" i="1"/>
  <c r="P76" i="1"/>
  <c r="P75" i="1"/>
  <c r="P77" i="1"/>
  <c r="C64" i="1"/>
  <c r="R86" i="1"/>
  <c r="P86" i="1"/>
  <c r="O86" i="1"/>
  <c r="N86" i="1"/>
  <c r="M86" i="1"/>
  <c r="M78" i="1"/>
  <c r="E49" i="1"/>
  <c r="D49" i="1"/>
  <c r="M79" i="1" a="1"/>
  <c r="M79" i="1"/>
  <c r="C49" i="1"/>
  <c r="J87" i="1"/>
  <c r="M81" i="1" a="1"/>
  <c r="M81" i="1"/>
  <c r="C57" i="1"/>
  <c r="C56" i="1"/>
  <c r="M80" i="1" a="1"/>
  <c r="M80" i="1"/>
  <c r="E57" i="1"/>
  <c r="K87" i="1"/>
  <c r="Q64" i="1" a="1"/>
  <c r="Q64" i="1"/>
  <c r="N87" i="1" a="1"/>
  <c r="N87" i="1"/>
  <c r="S87" i="1" a="1"/>
  <c r="S87" i="1"/>
  <c r="R87" i="1" a="1"/>
  <c r="R87" i="1"/>
  <c r="M61" i="1" a="1"/>
  <c r="M61" i="1"/>
  <c r="N61" i="1" a="1"/>
  <c r="N61" i="1"/>
  <c r="P87" i="1" a="1"/>
  <c r="P87" i="1"/>
  <c r="O87" i="1" a="1"/>
  <c r="O87" i="1"/>
  <c r="M87" i="1" a="1"/>
  <c r="M87" i="1"/>
  <c r="C22" i="1" a="1"/>
  <c r="C22" i="1"/>
  <c r="M64" i="1" a="1"/>
  <c r="M64" i="1"/>
  <c r="M63" i="1" a="1"/>
  <c r="M63" i="1"/>
  <c r="C28" i="1" a="1"/>
  <c r="C28" i="1"/>
  <c r="D41" i="1" a="1"/>
  <c r="D41" i="1"/>
  <c r="Q67" i="1"/>
  <c r="H42" i="1" a="1"/>
  <c r="H42" i="1"/>
  <c r="G42" i="1" a="1"/>
  <c r="G42" i="1"/>
  <c r="F42" i="1" a="1"/>
  <c r="F42" i="1"/>
  <c r="E42" i="1" a="1"/>
  <c r="E42" i="1"/>
  <c r="D42" i="1" a="1"/>
  <c r="D42" i="1"/>
  <c r="C42" i="1" a="1"/>
  <c r="C42" i="1"/>
  <c r="H41" i="1" a="1"/>
  <c r="H41" i="1"/>
  <c r="G41" i="1" a="1"/>
  <c r="G41" i="1"/>
  <c r="F41" i="1" a="1"/>
  <c r="F41" i="1"/>
  <c r="E41" i="1" a="1"/>
  <c r="E41" i="1"/>
  <c r="C41" i="1" a="1"/>
  <c r="C41" i="1"/>
  <c r="O85" i="1"/>
  <c r="M85" i="1"/>
  <c r="P85" i="1"/>
  <c r="Q61" i="1" a="1"/>
  <c r="Q61" i="1"/>
  <c r="P61" i="1" a="1"/>
  <c r="P61" i="1"/>
  <c r="O61" i="1" a="1"/>
  <c r="O61" i="1"/>
  <c r="E53" i="1"/>
  <c r="D53" i="1"/>
  <c r="C53" i="1"/>
  <c r="C52" i="1"/>
  <c r="E51" i="1"/>
  <c r="D51" i="1"/>
  <c r="C51" i="1"/>
  <c r="E50" i="1"/>
  <c r="D50" i="1"/>
  <c r="C50" i="1"/>
  <c r="A87" i="1" a="1"/>
  <c r="A87" i="1"/>
  <c r="H40" i="1" a="1"/>
  <c r="H40" i="1"/>
  <c r="G40" i="1" a="1"/>
  <c r="G40" i="1"/>
  <c r="F40" i="1" a="1"/>
  <c r="F40" i="1"/>
  <c r="E40" i="1" a="1"/>
  <c r="E40" i="1"/>
  <c r="D40" i="1" a="1"/>
  <c r="D40" i="1"/>
  <c r="C40" i="1" a="1"/>
  <c r="C40" i="1"/>
  <c r="H39" i="1" a="1"/>
  <c r="H39" i="1"/>
  <c r="G39" i="1" a="1"/>
  <c r="G39" i="1"/>
  <c r="F39" i="1" a="1"/>
  <c r="F39" i="1"/>
  <c r="E39" i="1" a="1"/>
  <c r="E39" i="1"/>
  <c r="D39" i="1" a="1"/>
  <c r="D39" i="1"/>
  <c r="C39" i="1" a="1"/>
  <c r="C39" i="1"/>
  <c r="H38" i="1" a="1"/>
  <c r="H38" i="1"/>
  <c r="G38" i="1" a="1"/>
  <c r="G38" i="1"/>
  <c r="F38" i="1" a="1"/>
  <c r="F38" i="1"/>
  <c r="E38" i="1" a="1"/>
  <c r="E38" i="1"/>
  <c r="D38" i="1" a="1"/>
  <c r="D38" i="1"/>
  <c r="C38" i="1" a="1"/>
  <c r="C38" i="1"/>
  <c r="H37" i="1" a="1"/>
  <c r="H37" i="1"/>
  <c r="G37" i="1" a="1"/>
  <c r="G37" i="1"/>
  <c r="F37" i="1" a="1"/>
  <c r="F37" i="1"/>
  <c r="E37" i="1" a="1"/>
  <c r="E37" i="1"/>
  <c r="D37" i="1" a="1"/>
  <c r="D37" i="1"/>
  <c r="C37" i="1" a="1"/>
  <c r="C37" i="1"/>
  <c r="H36" i="1" a="1"/>
  <c r="H36" i="1"/>
  <c r="G36" i="1" a="1"/>
  <c r="G36" i="1"/>
  <c r="F36" i="1" a="1"/>
  <c r="F36" i="1"/>
  <c r="E36" i="1" a="1"/>
  <c r="E36" i="1"/>
  <c r="D36" i="1" a="1"/>
  <c r="D36" i="1"/>
  <c r="C36" i="1" a="1"/>
  <c r="C36" i="1"/>
  <c r="H35" i="1" a="1"/>
  <c r="H35" i="1"/>
  <c r="G35" i="1" a="1"/>
  <c r="G35" i="1"/>
  <c r="F35" i="1" a="1"/>
  <c r="F35" i="1"/>
  <c r="E35" i="1" a="1"/>
  <c r="E35" i="1"/>
  <c r="D35" i="1" a="1"/>
  <c r="D35" i="1"/>
  <c r="C35" i="1" a="1"/>
  <c r="C35" i="1"/>
  <c r="H34" i="1" a="1"/>
  <c r="H34" i="1"/>
  <c r="G34" i="1" a="1"/>
  <c r="G34" i="1"/>
  <c r="F34" i="1" a="1"/>
  <c r="F34" i="1"/>
  <c r="E34" i="1" a="1"/>
  <c r="E34" i="1"/>
  <c r="D34" i="1" a="1"/>
  <c r="D34" i="1"/>
  <c r="C34" i="1" a="1"/>
  <c r="C34" i="1"/>
  <c r="H33" i="1" a="1"/>
  <c r="H33" i="1"/>
  <c r="G33" i="1" a="1"/>
  <c r="G33" i="1"/>
  <c r="F33" i="1" a="1"/>
  <c r="F33" i="1"/>
  <c r="E33" i="1" a="1"/>
  <c r="E33" i="1"/>
  <c r="D33" i="1" a="1"/>
  <c r="D33" i="1"/>
  <c r="C33" i="1" a="1"/>
  <c r="C33" i="1"/>
  <c r="H32" i="1" a="1"/>
  <c r="H32" i="1"/>
  <c r="G32" i="1" a="1"/>
  <c r="G32" i="1"/>
  <c r="F32" i="1" a="1"/>
  <c r="F32" i="1"/>
  <c r="E32" i="1" a="1"/>
  <c r="E32" i="1"/>
  <c r="D32" i="1" a="1"/>
  <c r="D32" i="1"/>
  <c r="C32" i="1" a="1"/>
  <c r="C32" i="1"/>
  <c r="H31" i="1" a="1"/>
  <c r="H31" i="1"/>
  <c r="G31" i="1" a="1"/>
  <c r="G31" i="1"/>
  <c r="F31" i="1" a="1"/>
  <c r="F31" i="1"/>
  <c r="E31" i="1" a="1"/>
  <c r="E31" i="1"/>
  <c r="D31" i="1" a="1"/>
  <c r="D31" i="1"/>
  <c r="C31" i="1" a="1"/>
  <c r="C31" i="1"/>
  <c r="C25" i="1" a="1"/>
  <c r="C25" i="1"/>
  <c r="C24" i="1" a="1"/>
  <c r="C24" i="1"/>
  <c r="C23" i="1" a="1"/>
  <c r="C23" i="1"/>
  <c r="C13" i="1" a="1"/>
  <c r="C13" i="1"/>
  <c r="C14" i="1" a="1"/>
  <c r="C14" i="1"/>
  <c r="C16" i="1" a="1"/>
  <c r="C16" i="1"/>
  <c r="C15" i="1" a="1"/>
  <c r="C15" i="1"/>
  <c r="P80" i="1"/>
  <c r="C17" i="1"/>
  <c r="A5" i="1"/>
  <c r="A4" i="1"/>
  <c r="A3" i="1"/>
  <c r="A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<sst xmlns="http://schemas.openxmlformats.org/spreadsheetml/2006/main" count="111" uniqueCount="104">
  <si>
    <t>headline year</t>
  </si>
  <si>
    <t>related entity</t>
  </si>
  <si>
    <t>function</t>
  </si>
  <si>
    <t>spp</t>
  </si>
  <si>
    <t>id</t>
  </si>
  <si>
    <t>jurisdiction</t>
  </si>
  <si>
    <t>D</t>
  </si>
  <si>
    <t>N</t>
  </si>
  <si>
    <t>[Begin Format Range]</t>
  </si>
  <si>
    <t>[End Format Range]</t>
  </si>
  <si>
    <t>Programme</t>
  </si>
  <si>
    <t>Account</t>
  </si>
  <si>
    <t>Movement Account</t>
  </si>
  <si>
    <t>Measure Code</t>
  </si>
  <si>
    <t>Database Variables</t>
  </si>
  <si>
    <t>Database Name</t>
  </si>
  <si>
    <t>}Clients</t>
  </si>
  <si>
    <t>TM1 User</t>
  </si>
  <si>
    <t>}TM1_DefaultDisplayValue</t>
  </si>
  <si>
    <t>GEUS User Name</t>
  </si>
  <si>
    <t>Current User</t>
  </si>
  <si>
    <t>System Variables</t>
  </si>
  <si>
    <t>View</t>
  </si>
  <si>
    <t>headline scenario</t>
  </si>
  <si>
    <t>archive year</t>
  </si>
  <si>
    <t>archive scenario</t>
  </si>
  <si>
    <t>current budget round</t>
  </si>
  <si>
    <t>sys_application</t>
  </si>
  <si>
    <t>Slice View</t>
  </si>
  <si>
    <t>Current Workbook</t>
  </si>
  <si>
    <t>Caption Name</t>
  </si>
  <si>
    <t>Caption</t>
  </si>
  <si>
    <t>Workbook Name</t>
  </si>
  <si>
    <t>Workbook</t>
  </si>
  <si>
    <t>Worksheet Name</t>
  </si>
  <si>
    <t>Worksheet</t>
  </si>
  <si>
    <t>Homepage - Home</t>
  </si>
  <si>
    <t>Homepage - Annual Estimates</t>
  </si>
  <si>
    <t>Homepage - Reports</t>
  </si>
  <si>
    <t>Homepage - Administration</t>
  </si>
  <si>
    <t>Application Formula (DO NOT DELETE)</t>
  </si>
  <si>
    <t>=DBR($C$28,$B35,C$30)</t>
  </si>
  <si>
    <t>Active Form</t>
  </si>
  <si>
    <t>Slice</t>
  </si>
  <si>
    <t>Programme  MDX</t>
  </si>
  <si>
    <t>Account MDX</t>
  </si>
  <si>
    <t>Movement Account MDX</t>
  </si>
  <si>
    <t>Measure Code MDX</t>
  </si>
  <si>
    <t>To Use</t>
  </si>
  <si>
    <t>Collapse</t>
  </si>
  <si>
    <t>Expand</t>
  </si>
  <si>
    <t>Headline Year :</t>
  </si>
  <si>
    <t>Scenario :</t>
  </si>
  <si>
    <t>Status :</t>
  </si>
  <si>
    <t>Outcome :</t>
  </si>
  <si>
    <t>Reason :</t>
  </si>
  <si>
    <t>Appropriation Type :</t>
  </si>
  <si>
    <t>Appropriation Item :</t>
  </si>
  <si>
    <t>Measure Code :</t>
  </si>
  <si>
    <t>Program :</t>
  </si>
  <si>
    <t>AE Adjustments</t>
  </si>
  <si>
    <t>AE Adjustments - Header Titles</t>
  </si>
  <si>
    <t>Related Entity</t>
  </si>
  <si>
    <t>{[related entity].[Total related entity]}</t>
  </si>
  <si>
    <t>REPORT PARAMETERS</t>
  </si>
  <si>
    <t xml:space="preserve"> DISPLAY SETTINGS</t>
  </si>
  <si>
    <t>Report Display :</t>
  </si>
  <si>
    <t>Index Change</t>
  </si>
  <si>
    <t>Homepage - Reports - Other</t>
  </si>
  <si>
    <t>Other Reports - Trial Balance</t>
  </si>
  <si>
    <t>Other Reports - Trial Balance Detail</t>
  </si>
  <si>
    <t>Other Reports - Trial Balance Drill</t>
  </si>
  <si>
    <t>As at</t>
  </si>
  <si>
    <t>Account :</t>
  </si>
  <si>
    <t>Movement Account :</t>
  </si>
  <si>
    <t>Program</t>
  </si>
  <si>
    <t>Other Reports - Trial Balance Acc By Prog</t>
  </si>
  <si>
    <t>Period</t>
  </si>
  <si>
    <t>Homepage - Reports - Analytical</t>
  </si>
  <si>
    <t>Subset</t>
  </si>
  <si>
    <t>Financial Statements</t>
  </si>
  <si>
    <t>FBO Year :</t>
  </si>
  <si>
    <t>CBMSR FBO Variance</t>
  </si>
  <si>
    <t>CBMS-R FBO</t>
  </si>
  <si>
    <t>CBMS-R FBO Adj</t>
  </si>
  <si>
    <t>Current</t>
  </si>
  <si>
    <t>(b)</t>
  </si>
  <si>
    <t>Adjustment - FBO Upload</t>
  </si>
  <si>
    <t>Other Reports - FBO Report</t>
  </si>
  <si>
    <t xml:space="preserve">Note : This reports shows the CBMS Data loads for FBO and the variance required. Note that this includes ALL adjustments (including unauthorised) to show the full variance as soon as the adjustment has been created. </t>
  </si>
  <si>
    <t>Data Load ONLY</t>
  </si>
  <si>
    <t>CBMS-R FBO CBMS</t>
  </si>
  <si>
    <t>CBMS-R FBO BARS</t>
  </si>
  <si>
    <t>Total IDs</t>
  </si>
  <si>
    <t>Show CBMS Program Level :</t>
  </si>
  <si>
    <t>Filter On Selected Accounts :</t>
  </si>
  <si>
    <t>SELF_AND BEFORE</t>
  </si>
  <si>
    <t>Account Subset To Use</t>
  </si>
  <si>
    <t>Account MDX To Use</t>
  </si>
  <si>
    <t>Yes</t>
  </si>
  <si>
    <t>No</t>
  </si>
  <si>
    <t/>
  </si>
  <si>
    <t xml:space="preserve">IDs : </t>
  </si>
  <si>
    <t>finance_geus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</si>
</sst>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Red]_(* \(#,##0\);_(* &quot;-&quot;??_);_(@_)"/>
    <numFmt numFmtId="165" formatCode="dd\ mmmm\ yyyy\ h:mm"/>
    <numFmt numFmtId="166" formatCode="&quot;- &quot;@"/>
    <numFmt numFmtId="167" formatCode="&quot;+ &quot;@"/>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sz val="28"/>
      <color theme="0"/>
      <name val="Calibri"/>
      <family val="2"/>
      <scheme val="minor"/>
    </font>
    <font>
      <i/>
      <sz val="11"/>
      <color rgb="FFFF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00426A"/>
        <bgColor indexed="64"/>
      </patternFill>
    </fill>
    <fill>
      <patternFill patternType="solid">
        <fgColor rgb="FF333F48"/>
        <bgColor indexed="64"/>
      </patternFill>
    </fill>
    <fill>
      <patternFill patternType="solid">
        <fgColor rgb="FFBBDDE6"/>
        <bgColor indexed="64"/>
      </patternFill>
    </fill>
  </fills>
  <borders count="18">
    <border>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right style="thin">
        <color theme="0"/>
      </right>
      <top/>
      <bottom/>
      <diagonal/>
    </border>
    <border>
      <left style="thin">
        <color theme="0"/>
      </left>
      <right/>
      <top/>
      <bottom/>
      <diagonal/>
    </border>
    <border>
      <left/>
      <right style="thin">
        <color theme="0"/>
      </right>
      <top/>
      <bottom style="thin">
        <color indexed="64"/>
      </bottom>
      <diagonal/>
    </border>
    <border>
      <left style="thin">
        <color theme="0"/>
      </left>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s>
  <cellStyleXfs count="1">
    <xf numFmtId="0" fontId="0" fillId="0" borderId="0"/>
  </cellStyleXfs>
  <cellXfs count="51">
    <xf numFmtId="0" fontId="0" fillId="0" borderId="0" xfId="0"/>
    <xf numFmtId="0" fontId="2" fillId="0" borderId="0" xfId="0" applyFont="1"/>
    <xf numFmtId="0" fontId="2" fillId="0" borderId="5" xfId="0" applyFont="1" applyBorder="1"/>
    <xf numFmtId="0" fontId="0" fillId="0" borderId="5" xfId="0" applyBorder="1" applyAlignment="1">
      <alignment horizontal="center"/>
    </xf>
    <xf numFmtId="0" fontId="0" fillId="0" borderId="4" xfId="0" applyBorder="1"/>
    <xf numFmtId="0" fontId="0" fillId="0" borderId="5" xfId="0" applyBorder="1" applyAlignment="1">
      <alignment horizontal="left"/>
    </xf>
    <xf numFmtId="0" fontId="0" fillId="0" borderId="5" xfId="0" applyBorder="1"/>
    <xf numFmtId="0" fontId="0" fillId="3" borderId="5" xfId="0" applyFill="1" applyBorder="1"/>
    <xf numFmtId="0" fontId="0" fillId="3" borderId="5" xfId="0" quotePrefix="1" applyFill="1" applyBorder="1"/>
    <xf numFmtId="0" fontId="2" fillId="0" borderId="0" xfId="0" applyFont="1" applyAlignment="1">
      <alignment horizontal="right"/>
    </xf>
    <xf numFmtId="0" fontId="2" fillId="0" borderId="0" xfId="0" applyFont="1" applyAlignment="1">
      <alignment horizontal="right" indent="1"/>
    </xf>
    <xf numFmtId="0" fontId="2" fillId="4" borderId="5" xfId="0" applyFont="1" applyFill="1" applyBorder="1" applyAlignment="1">
      <alignment horizontal="center"/>
    </xf>
    <xf numFmtId="164" fontId="3" fillId="0" borderId="5" xfId="0" applyNumberFormat="1" applyFont="1" applyBorder="1"/>
    <xf numFmtId="0" fontId="3" fillId="0" borderId="5" xfId="0" applyFont="1" applyBorder="1"/>
    <xf numFmtId="0" fontId="2" fillId="0" borderId="1" xfId="0" applyFont="1" applyBorder="1"/>
    <xf numFmtId="0" fontId="0" fillId="0" borderId="1" xfId="0" applyBorder="1"/>
    <xf numFmtId="0" fontId="1" fillId="5" borderId="0" xfId="0" applyFont="1" applyFill="1" applyAlignment="1">
      <alignment horizontal="center" vertical="center"/>
    </xf>
    <xf numFmtId="0" fontId="0" fillId="7" borderId="8" xfId="0" applyFill="1" applyBorder="1" applyAlignment="1" applyProtection="1">
      <alignment horizontal="center" vertical="center"/>
      <protection locked="0"/>
    </xf>
    <xf numFmtId="0" fontId="4" fillId="5" borderId="0" xfId="0" applyFont="1" applyFill="1" applyAlignment="1">
      <alignment horizontal="right" vertical="center"/>
    </xf>
    <xf numFmtId="0" fontId="0" fillId="0" borderId="0" xfId="0" quotePrefix="1"/>
    <xf numFmtId="0" fontId="5" fillId="0" borderId="0" xfId="0" applyFont="1" applyAlignment="1">
      <alignment horizontal="center"/>
    </xf>
    <xf numFmtId="0" fontId="0" fillId="0" borderId="5" xfId="0" quotePrefix="1" applyBorder="1"/>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15" xfId="0" applyFont="1" applyFill="1" applyBorder="1" applyAlignment="1">
      <alignment horizontal="center" vertical="center"/>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5" fillId="0" borderId="0" xfId="0" applyFont="1"/>
    <xf numFmtId="167" fontId="3" fillId="0" borderId="5" xfId="0" applyNumberFormat="1" applyFont="1" applyBorder="1"/>
    <xf numFmtId="0" fontId="2" fillId="4" borderId="1" xfId="0" applyFont="1" applyFill="1" applyBorder="1" applyAlignment="1">
      <alignment horizontal="center"/>
    </xf>
    <xf numFmtId="0" fontId="3" fillId="0" borderId="2" xfId="0" applyFont="1" applyBorder="1" applyAlignment="1">
      <alignment horizontal="left" indent="1"/>
    </xf>
    <xf numFmtId="0" fontId="3" fillId="0" borderId="4" xfId="0" applyFont="1" applyBorder="1" applyAlignment="1">
      <alignment horizontal="left" inden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6" borderId="6" xfId="0" applyFont="1" applyFill="1" applyBorder="1" applyAlignment="1">
      <alignment horizontal="center"/>
    </xf>
    <xf numFmtId="0" fontId="1" fillId="6" borderId="7" xfId="0" applyFont="1" applyFill="1" applyBorder="1" applyAlignment="1">
      <alignment horizontal="center"/>
    </xf>
    <xf numFmtId="165" fontId="2" fillId="0" borderId="0" xfId="0" applyNumberFormat="1" applyFont="1" applyAlignment="1">
      <alignment horizontal="left" indent="1"/>
    </xf>
    <xf numFmtId="0" fontId="0" fillId="0" borderId="5" xfId="0" applyBorder="1" applyAlignment="1" applyProtection="1">
      <alignment horizontal="left" indent="1"/>
      <protection locked="0"/>
    </xf>
    <xf numFmtId="0" fontId="0" fillId="0" borderId="2" xfId="0" applyBorder="1" applyAlignment="1" applyProtection="1">
      <alignment horizontal="left" indent="1"/>
      <protection locked="0"/>
    </xf>
    <xf numFmtId="0" fontId="0" fillId="0" borderId="4" xfId="0" applyBorder="1" applyAlignment="1" applyProtection="1">
      <alignment horizontal="left" indent="1"/>
      <protection locked="0"/>
    </xf>
    <xf numFmtId="0" fontId="2" fillId="0" borderId="2" xfId="0" applyFont="1" applyBorder="1" applyAlignment="1">
      <alignment horizontal="center"/>
    </xf>
    <xf numFmtId="0" fontId="2" fillId="0" borderId="4" xfId="0" applyFont="1" applyBorder="1" applyAlignment="1">
      <alignment horizontal="center"/>
    </xf>
    <xf numFmtId="166" fontId="3" fillId="0" borderId="2" xfId="0" applyNumberFormat="1" applyFont="1" applyBorder="1" applyAlignment="1">
      <alignment horizontal="left"/>
    </xf>
    <xf numFmtId="166" fontId="3" fillId="0" borderId="4" xfId="0" applyNumberFormat="1" applyFont="1" applyBorder="1" applyAlignment="1">
      <alignment horizontal="left"/>
    </xf>
    <xf numFmtId="0" fontId="0" fillId="0" borderId="2" xfId="0" quotePrefix="1" applyBorder="1" applyAlignment="1">
      <alignment horizontal="left" indent="1"/>
    </xf>
    <xf numFmtId="0" fontId="0" fillId="0" borderId="4" xfId="0" quotePrefix="1" applyBorder="1" applyAlignment="1">
      <alignment horizontal="left" inden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CF3B4A6E-56A4-403F-8D4F-F4B0F022BF01}" ax:persistence="persistStreamInit" r:id="rId1"/>
</file>

<file path=xl/activeX/activeX2.xml><?xml version="1.0" encoding="utf-8"?>
<ax:ocx xmlns:ax="http://schemas.microsoft.com/office/2006/activeX" xmlns:r="http://schemas.openxmlformats.org/officeDocument/2006/relationships" ax:classid="{CF3B4A6E-56A4-403F-8D4F-F4B0F022BF01}" ax:persistence="persistStreamInit" r:id="rId1"/>
</file>

<file path=xl/activeX/activeX3.xml><?xml version="1.0" encoding="utf-8"?>
<ax:ocx xmlns:ax="http://schemas.microsoft.com/office/2006/activeX" xmlns:r="http://schemas.openxmlformats.org/officeDocument/2006/relationships" ax:classid="{CF3B4A6E-56A4-403F-8D4F-F4B0F022BF01}" ax:persistence="persistStreamInit" r:id="rId1"/>
</file>

<file path=xl/activeX/activeX4.xml><?xml version="1.0" encoding="utf-8"?>
<ax:ocx xmlns:ax="http://schemas.microsoft.com/office/2006/activeX" xmlns:r="http://schemas.openxmlformats.org/officeDocument/2006/relationships" ax:classid="{CF3B4A6E-56A4-403F-8D4F-F4B0F022BF01}" ax:persistence="persistStreamInit" r:id="rId1"/>
</file>

<file path=xl/activeX/activeX5.xml><?xml version="1.0" encoding="utf-8"?>
<ax:ocx xmlns:ax="http://schemas.microsoft.com/office/2006/activeX" xmlns:r="http://schemas.openxmlformats.org/officeDocument/2006/relationships" ax:classid="{CF3B4A6E-56A4-403F-8D4F-F4B0F022BF01}" ax:persistence="persistStreamInit" r:id="rId1"/>
</file>

<file path=xl/activeX/activeX6.xml><?xml version="1.0" encoding="utf-8"?>
<ax:ocx xmlns:ax="http://schemas.microsoft.com/office/2006/activeX" xmlns:r="http://schemas.openxmlformats.org/officeDocument/2006/relationships" ax:classid="{CF3B4A6E-56A4-403F-8D4F-F4B0F022BF01}"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6" Type="http://schemas.openxmlformats.org/officeDocument/2006/relationships/image" Target="../media/image1.emf"/><Relationship Id="rId5" Type="http://schemas.openxmlformats.org/officeDocument/2006/relationships/image" Target="../media/image2.emf"/><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8</xdr:col>
      <xdr:colOff>28575</xdr:colOff>
      <xdr:row>66</xdr:row>
      <xdr:rowOff>19050</xdr:rowOff>
    </xdr:from>
    <xdr:to>
      <xdr:col>9</xdr:col>
      <xdr:colOff>1773554</xdr:colOff>
      <xdr:row>66</xdr:row>
      <xdr:rowOff>472440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clrChange>
            <a:clrFrom>
              <a:srgbClr val="000000"/>
            </a:clrFrom>
            <a:clrTo>
              <a:srgbClr val="000000">
                <a:alpha val="0"/>
              </a:srgbClr>
            </a:clrTo>
          </a:clrChange>
          <a:extLst>
            <a:ext uri="{28A0092B-C50C-407E-A947-70E740481C1C}">
              <a14:useLocalDpi xmlns:a14="http://schemas.microsoft.com/office/drawing/2010/main" val="0"/>
            </a:ext>
          </a:extLst>
        </a:blip>
        <a:srcRect/>
        <a:stretch>
          <a:fillRect/>
        </a:stretch>
      </xdr:blipFill>
      <xdr:spPr bwMode="auto">
        <a:xfrm>
          <a:off x="28575" y="19050"/>
          <a:ext cx="18097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9</xdr:col>
          <xdr:colOff>28575</xdr:colOff>
          <xdr:row>67</xdr:row>
          <xdr:rowOff>47625</xdr:rowOff>
        </xdr:from>
        <xdr:to>
          <xdr:col>9</xdr:col>
          <xdr:colOff>666750</xdr:colOff>
          <xdr:row>68</xdr:row>
          <xdr:rowOff>238125</xdr:rowOff>
        </xdr:to>
        <xdr:sp macro="" textlink="">
          <xdr:nvSpPr>
            <xdr:cNvPr id="1025" name="TIButton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704850</xdr:colOff>
          <xdr:row>67</xdr:row>
          <xdr:rowOff>47625</xdr:rowOff>
        </xdr:from>
        <xdr:to>
          <xdr:col>9</xdr:col>
          <xdr:colOff>1524000</xdr:colOff>
          <xdr:row>68</xdr:row>
          <xdr:rowOff>238125</xdr:rowOff>
        </xdr:to>
        <xdr:sp macro="" textlink="">
          <xdr:nvSpPr>
            <xdr:cNvPr id="1026" name="TIButton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1562100</xdr:colOff>
          <xdr:row>67</xdr:row>
          <xdr:rowOff>47625</xdr:rowOff>
        </xdr:from>
        <xdr:to>
          <xdr:col>9</xdr:col>
          <xdr:colOff>2914650</xdr:colOff>
          <xdr:row>68</xdr:row>
          <xdr:rowOff>238125</xdr:rowOff>
        </xdr:to>
        <xdr:sp macro="" textlink="">
          <xdr:nvSpPr>
            <xdr:cNvPr id="1027" name="TIButton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3943350</xdr:colOff>
          <xdr:row>67</xdr:row>
          <xdr:rowOff>47625</xdr:rowOff>
        </xdr:from>
        <xdr:to>
          <xdr:col>10</xdr:col>
          <xdr:colOff>676275</xdr:colOff>
          <xdr:row>68</xdr:row>
          <xdr:rowOff>238125</xdr:rowOff>
        </xdr:to>
        <xdr:sp macro="" textlink="">
          <xdr:nvSpPr>
            <xdr:cNvPr id="1028" name="TIButton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16</xdr:col>
          <xdr:colOff>533400</xdr:colOff>
          <xdr:row>67</xdr:row>
          <xdr:rowOff>19050</xdr:rowOff>
        </xdr:from>
        <xdr:to>
          <xdr:col>16</xdr:col>
          <xdr:colOff>847725</xdr:colOff>
          <xdr:row>68</xdr:row>
          <xdr:rowOff>276225</xdr:rowOff>
        </xdr:to>
        <xdr:sp macro="" textlink="">
          <xdr:nvSpPr>
            <xdr:cNvPr id="1031" name="TIButton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2943225</xdr:colOff>
          <xdr:row>67</xdr:row>
          <xdr:rowOff>47625</xdr:rowOff>
        </xdr:from>
        <xdr:to>
          <xdr:col>9</xdr:col>
          <xdr:colOff>3895725</xdr:colOff>
          <xdr:row>68</xdr:row>
          <xdr:rowOff>238125</xdr:rowOff>
        </xdr:to>
        <xdr:sp macro="" textlink="">
          <xdr:nvSpPr>
            <xdr:cNvPr id="1033" name="TIButton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S87"/>
  <sheetViews>
    <sheetView showGridLines="0" tabSelected="1" showOutlineSymbols="0" topLeftCell="I67" zoomScaleNormal="100" workbookViewId="0">
      <pane ySplit="20" topLeftCell="A87" activePane="bottomLeft" state="frozen"/>
      <selection activeCell="I67" sqref="I67"/>
      <selection pane="bottomLeft" activeCell="K67" sqref="K67"/>
    </sheetView>
  </sheetViews>
  <sheetFormatPr defaultRowHeight="15" outlineLevelRow="1" outlineLevelCol="1" x14ac:dyDescent="0.25"/>
  <cols>
    <col min="1" max="1" width="2.7109375" hidden="1" customWidth="1" outlineLevel="1"/>
    <col min="2" max="2" width="29.140625" hidden="1" customWidth="1" outlineLevel="1"/>
    <col min="3" max="3" width="24.5703125" hidden="1" customWidth="1" outlineLevel="1"/>
    <col min="4" max="4" width="17.28515625" hidden="1" customWidth="1" outlineLevel="1"/>
    <col min="5" max="8" width="16" hidden="1" customWidth="1" outlineLevel="1"/>
    <col min="9" max="9" width="0.85546875" customWidth="1" collapsed="1"/>
    <col min="10" max="10" width="60.7109375" customWidth="1"/>
    <col min="11" max="11" width="47.7109375" customWidth="1"/>
    <col min="12" max="12" width="5.42578125" customWidth="1"/>
    <col min="13" max="16" width="20.5703125" customWidth="1"/>
    <col min="17" max="17" width="13.28515625" customWidth="1"/>
    <col min="18" max="19" width="17.7109375" customWidth="1"/>
  </cols>
  <sheetData>
    <row r="1" spans="1:19" hidden="1" outlineLevel="1" x14ac:dyDescent="0.25">
      <c r="A1" t="s">
        <v>8</v>
      </c>
    </row>
    <row r="2" spans="1:19" hidden="1" outlineLevel="1" x14ac:dyDescent="0.25">
      <c r="A2">
        <f>0</f>
        <v>0</v>
      </c>
      <c r="B2" s="14"/>
      <c r="J2" s="13"/>
      <c r="K2" s="34"/>
      <c r="L2" s="35"/>
      <c r="M2" s="12"/>
      <c r="N2" s="12"/>
      <c r="O2" s="12"/>
      <c r="P2" s="12"/>
      <c r="R2" s="12"/>
      <c r="S2" s="12"/>
    </row>
    <row r="3" spans="1:19" hidden="1" outlineLevel="1" x14ac:dyDescent="0.25">
      <c r="A3">
        <f>1</f>
        <v>1</v>
      </c>
      <c r="B3" s="15"/>
      <c r="J3" s="13"/>
      <c r="K3" s="34"/>
      <c r="L3" s="35"/>
      <c r="M3" s="12"/>
      <c r="N3" s="12"/>
      <c r="O3" s="12"/>
      <c r="P3" s="12"/>
      <c r="R3" s="12"/>
      <c r="S3" s="12"/>
    </row>
    <row r="4" spans="1:19" hidden="1" outlineLevel="1" x14ac:dyDescent="0.25">
      <c r="A4">
        <f>2</f>
        <v>2</v>
      </c>
      <c r="B4" s="15"/>
      <c r="J4" s="13"/>
      <c r="K4" s="34"/>
      <c r="L4" s="35"/>
      <c r="M4" s="12"/>
      <c r="N4" s="12"/>
      <c r="O4" s="12"/>
      <c r="P4" s="12"/>
      <c r="R4" s="12"/>
      <c r="S4" s="12"/>
    </row>
    <row r="5" spans="1:19" hidden="1" outlineLevel="1" x14ac:dyDescent="0.25">
      <c r="A5">
        <f>3</f>
        <v>3</v>
      </c>
      <c r="B5" s="15"/>
      <c r="J5" s="13"/>
      <c r="K5" s="34"/>
      <c r="L5" s="35"/>
      <c r="M5" s="12"/>
      <c r="N5" s="12"/>
      <c r="O5" s="12"/>
      <c r="P5" s="12"/>
      <c r="R5" s="12"/>
      <c r="S5" s="12"/>
    </row>
    <row r="6" spans="1:19" hidden="1" outlineLevel="1" x14ac:dyDescent="0.25">
      <c r="A6" t="s">
        <v>6</v>
      </c>
      <c r="B6" s="15"/>
      <c r="J6" s="13"/>
      <c r="K6" s="34"/>
      <c r="L6" s="35"/>
      <c r="M6" s="12"/>
      <c r="N6" s="12"/>
      <c r="O6" s="12"/>
      <c r="P6" s="12"/>
      <c r="R6" s="12"/>
      <c r="S6" s="12"/>
    </row>
    <row r="7" spans="1:19" hidden="1" outlineLevel="1" x14ac:dyDescent="0.25">
      <c r="A7" t="s">
        <v>7</v>
      </c>
      <c r="B7" s="15"/>
      <c r="J7" s="13"/>
      <c r="K7" s="34"/>
      <c r="L7" s="35"/>
      <c r="M7" s="12"/>
      <c r="N7" s="12"/>
      <c r="O7" s="12"/>
      <c r="P7" s="12"/>
      <c r="R7" s="12"/>
      <c r="S7" s="12"/>
    </row>
    <row r="8" spans="1:19" hidden="1" outlineLevel="1" x14ac:dyDescent="0.25">
      <c r="A8" t="s">
        <v>9</v>
      </c>
    </row>
    <row r="9" spans="1:19" hidden="1" outlineLevel="1" x14ac:dyDescent="0.25"/>
    <row r="10" spans="1:19" hidden="1" outlineLevel="1" x14ac:dyDescent="0.25"/>
    <row r="11" spans="1:19" hidden="1" outlineLevel="1" x14ac:dyDescent="0.25">
      <c r="B11" s="36" t="s">
        <v>14</v>
      </c>
      <c r="C11" s="37"/>
      <c r="D11" s="38"/>
    </row>
    <row r="12" spans="1:19" hidden="1" outlineLevel="1" x14ac:dyDescent="0.25">
      <c r="B12" s="2" t="s">
        <v>15</v>
      </c>
      <c r="C12" s="3" t="s">
        <v>103</v>
      </c>
      <c r="D12" s="4"/>
    </row>
    <row r="13" spans="1:19" hidden="1" outlineLevel="1" x14ac:dyDescent="0.25">
      <c r="B13" s="2" t="s">
        <v>16</v>
      </c>
      <c r="C13" s="5" t="e" cm="1">
        <f t="array" aca="1" ref="C13" ca="1">_xll.VIEW(db_name&amp;":}ElementAttributes_}Clients","!","!")</f>
        <v>#NAME?</v>
      </c>
      <c r="D13" s="4"/>
    </row>
    <row r="14" spans="1:19" hidden="1" outlineLevel="1" x14ac:dyDescent="0.25">
      <c r="B14" s="2" t="s">
        <v>17</v>
      </c>
      <c r="C14" s="3" t="e" cm="1">
        <f t="array" aca="1" ref="C14" ca="1">_xll.TM1USER(db_name)</f>
        <v>#NAME?</v>
      </c>
      <c r="D14" s="4"/>
    </row>
    <row r="15" spans="1:19" hidden="1" outlineLevel="1" x14ac:dyDescent="0.25">
      <c r="B15" s="2" t="s">
        <v>18</v>
      </c>
      <c r="C15" s="3" t="e" cm="1">
        <f t="array" aca="1" ref="C15" ca="1">_xll.DBR($C$13,$C$14,$B15)</f>
        <v>#NAME?</v>
      </c>
      <c r="D15" s="4"/>
    </row>
    <row r="16" spans="1:19" hidden="1" outlineLevel="1" x14ac:dyDescent="0.25">
      <c r="B16" s="2" t="s">
        <v>19</v>
      </c>
      <c r="C16" s="3" t="e" cm="1">
        <f t="array" aca="1" ref="C16" ca="1">_xll.DBR($C$13,$C$14,$B16)</f>
        <v>#NAME?</v>
      </c>
      <c r="D16" s="4"/>
    </row>
    <row r="17" spans="2:8" hidden="1" outlineLevel="1" x14ac:dyDescent="0.25">
      <c r="B17" s="2" t="s">
        <v>20</v>
      </c>
      <c r="C17" s="3" t="e">
        <f ca="1">IF(LEFT($C$15,6)="CAM_AD",$C$16,$C$15)</f>
        <v>#NAME?</v>
      </c>
      <c r="D17" s="6"/>
    </row>
    <row r="18" spans="2:8" hidden="1" outlineLevel="1" x14ac:dyDescent="0.25"/>
    <row r="19" spans="2:8" hidden="1" outlineLevel="1" x14ac:dyDescent="0.25">
      <c r="B19" s="36" t="s">
        <v>21</v>
      </c>
      <c r="C19" s="37"/>
      <c r="D19" s="38"/>
    </row>
    <row r="20" spans="2:8" hidden="1" outlineLevel="1" x14ac:dyDescent="0.25">
      <c r="B20" s="2" t="s">
        <v>22</v>
      </c>
      <c r="C20" s="6" t="e" cm="1">
        <f t="array" aca="1" ref="C20" ca="1">_xll.VIEW(db_name&amp;":}ElementAttributes_variables","!","!")</f>
        <v>#NAME?</v>
      </c>
      <c r="D20" s="6"/>
    </row>
    <row r="21" spans="2:8" hidden="1" outlineLevel="1" x14ac:dyDescent="0.25">
      <c r="B21" s="2" t="s">
        <v>0</v>
      </c>
      <c r="C21" s="6" t="e" cm="1">
        <f t="array" aca="1" ref="C21" ca="1">_xll.DBR($C$20,$B21,"value")</f>
        <v>#NAME?</v>
      </c>
      <c r="D21" s="6"/>
    </row>
    <row r="22" spans="2:8" hidden="1" outlineLevel="1" x14ac:dyDescent="0.25">
      <c r="B22" s="2" t="s">
        <v>23</v>
      </c>
      <c r="C22" s="6" t="e" cm="1">
        <f t="array" aca="1" ref="C22" ca="1">_xll.DBR($C$20,$B22,"value")</f>
        <v>#NAME?</v>
      </c>
      <c r="D22" s="6"/>
    </row>
    <row r="23" spans="2:8" hidden="1" outlineLevel="1" x14ac:dyDescent="0.25">
      <c r="B23" s="2" t="s">
        <v>24</v>
      </c>
      <c r="C23" s="6" t="e" cm="1">
        <f t="array" aca="1" ref="C23" ca="1">_xll.DBR($C$20,$B23,"value")</f>
        <v>#NAME?</v>
      </c>
      <c r="D23" s="6"/>
    </row>
    <row r="24" spans="2:8" hidden="1" outlineLevel="1" x14ac:dyDescent="0.25">
      <c r="B24" s="2" t="s">
        <v>25</v>
      </c>
      <c r="C24" s="6" t="e" cm="1">
        <f t="array" aca="1" ref="C24" ca="1">_xll.DBR($C$20,$B24,"value")</f>
        <v>#NAME?</v>
      </c>
      <c r="D24" s="6"/>
    </row>
    <row r="25" spans="2:8" hidden="1" outlineLevel="1" x14ac:dyDescent="0.25">
      <c r="B25" s="2" t="s">
        <v>26</v>
      </c>
      <c r="C25" s="6" t="e" cm="1">
        <f t="array" aca="1" ref="C25" ca="1">_xll.DBR($C$20,$B25,"value")</f>
        <v>#NAME?</v>
      </c>
      <c r="D25" s="6"/>
    </row>
    <row r="26" spans="2:8" hidden="1" outlineLevel="1" x14ac:dyDescent="0.25"/>
    <row r="27" spans="2:8" hidden="1" outlineLevel="1" x14ac:dyDescent="0.25">
      <c r="B27" s="36" t="s">
        <v>27</v>
      </c>
      <c r="C27" s="37"/>
      <c r="D27" s="38"/>
    </row>
    <row r="28" spans="2:8" hidden="1" outlineLevel="1" x14ac:dyDescent="0.25">
      <c r="B28" s="2" t="s">
        <v>28</v>
      </c>
      <c r="C28" s="6" t="e" cm="1">
        <f t="array" aca="1" ref="C28" ca="1">_xll.VIEW(db_name&amp;":sys_application","!","!")</f>
        <v>#NAME?</v>
      </c>
      <c r="D28" s="6"/>
    </row>
    <row r="29" spans="2:8" hidden="1" outlineLevel="1" x14ac:dyDescent="0.25">
      <c r="B29" s="2" t="s">
        <v>29</v>
      </c>
      <c r="C29" s="6" t="s">
        <v>88</v>
      </c>
      <c r="D29" s="6"/>
    </row>
    <row r="30" spans="2:8" hidden="1" outlineLevel="1" x14ac:dyDescent="0.25">
      <c r="B30" s="6"/>
      <c r="C30" s="2" t="s">
        <v>30</v>
      </c>
      <c r="D30" s="2" t="s">
        <v>31</v>
      </c>
      <c r="E30" s="2" t="s">
        <v>32</v>
      </c>
      <c r="F30" s="2" t="s">
        <v>33</v>
      </c>
      <c r="G30" s="2" t="s">
        <v>34</v>
      </c>
      <c r="H30" s="2" t="s">
        <v>35</v>
      </c>
    </row>
    <row r="31" spans="2:8" hidden="1" outlineLevel="1" x14ac:dyDescent="0.25">
      <c r="B31" s="6" t="s">
        <v>36</v>
      </c>
      <c r="C31" s="6" t="e" cm="1">
        <f t="array" aca="1" ref="C31" ca="1">_xll.DBR($C$28,$B31,C$30)</f>
        <v>#NAME?</v>
      </c>
      <c r="D31" s="6" t="e" cm="1">
        <f t="array" aca="1" ref="D31" ca="1">_xll.DBR($C$28,$B31,D$30)</f>
        <v>#NAME?</v>
      </c>
      <c r="E31" s="6" t="e" cm="1">
        <f t="array" aca="1" ref="E31" ca="1">_xll.DBR($C$28,$B31,E$30)</f>
        <v>#NAME?</v>
      </c>
      <c r="F31" s="6" t="e" cm="1">
        <f t="array" aca="1" ref="F31" ca="1">_xll.DBR($C$28,$B31,F$30)</f>
        <v>#NAME?</v>
      </c>
      <c r="G31" s="6" t="e" cm="1">
        <f t="array" aca="1" ref="G31" ca="1">_xll.DBR($C$28,$B31,G$30)</f>
        <v>#NAME?</v>
      </c>
      <c r="H31" s="6" t="e" cm="1">
        <f t="array" aca="1" ref="H31" ca="1">_xll.DBR($C$28,$B31,H$30)</f>
        <v>#NAME?</v>
      </c>
    </row>
    <row r="32" spans="2:8" hidden="1" outlineLevel="1" x14ac:dyDescent="0.25">
      <c r="B32" s="6" t="s">
        <v>37</v>
      </c>
      <c r="C32" s="6" t="e" cm="1">
        <f t="array" aca="1" ref="C32" ca="1">_xll.DBR($C$28,$B32,C$30)</f>
        <v>#NAME?</v>
      </c>
      <c r="D32" s="6" t="e" cm="1">
        <f t="array" aca="1" ref="D32" ca="1">_xll.DBR($C$28,$B32,D$30)</f>
        <v>#NAME?</v>
      </c>
      <c r="E32" s="6" t="e" cm="1">
        <f t="array" aca="1" ref="E32" ca="1">_xll.DBR($C$28,$B32,E$30)</f>
        <v>#NAME?</v>
      </c>
      <c r="F32" s="6" t="e" cm="1">
        <f t="array" aca="1" ref="F32" ca="1">_xll.DBR($C$28,$B32,F$30)</f>
        <v>#NAME?</v>
      </c>
      <c r="G32" s="6" t="e" cm="1">
        <f t="array" aca="1" ref="G32" ca="1">_xll.DBR($C$28,$B32,G$30)</f>
        <v>#NAME?</v>
      </c>
      <c r="H32" s="6" t="e" cm="1">
        <f t="array" aca="1" ref="H32" ca="1">_xll.DBR($C$28,$B32,H$30)</f>
        <v>#NAME?</v>
      </c>
    </row>
    <row r="33" spans="2:8" hidden="1" outlineLevel="1" x14ac:dyDescent="0.25">
      <c r="B33" s="6" t="s">
        <v>38</v>
      </c>
      <c r="C33" s="6" t="e" cm="1">
        <f t="array" aca="1" ref="C33" ca="1">_xll.DBR($C$28,$B33,C$30)</f>
        <v>#NAME?</v>
      </c>
      <c r="D33" s="6" t="e" cm="1">
        <f t="array" aca="1" ref="D33" ca="1">_xll.DBR($C$28,$B33,D$30)</f>
        <v>#NAME?</v>
      </c>
      <c r="E33" s="6" t="e" cm="1">
        <f t="array" aca="1" ref="E33" ca="1">_xll.DBR($C$28,$B33,E$30)</f>
        <v>#NAME?</v>
      </c>
      <c r="F33" s="6" t="e" cm="1">
        <f t="array" aca="1" ref="F33" ca="1">_xll.DBR($C$28,$B33,F$30)</f>
        <v>#NAME?</v>
      </c>
      <c r="G33" s="6" t="e" cm="1">
        <f t="array" aca="1" ref="G33" ca="1">_xll.DBR($C$28,$B33,G$30)</f>
        <v>#NAME?</v>
      </c>
      <c r="H33" s="6" t="e" cm="1">
        <f t="array" aca="1" ref="H33" ca="1">_xll.DBR($C$28,$B33,H$30)</f>
        <v>#NAME?</v>
      </c>
    </row>
    <row r="34" spans="2:8" hidden="1" outlineLevel="1" x14ac:dyDescent="0.25">
      <c r="B34" s="6" t="s">
        <v>39</v>
      </c>
      <c r="C34" s="6" t="e" cm="1">
        <f t="array" aca="1" ref="C34" ca="1">_xll.DBR($C$28,$B34,C$30)</f>
        <v>#NAME?</v>
      </c>
      <c r="D34" s="6" t="e" cm="1">
        <f t="array" aca="1" ref="D34" ca="1">_xll.DBR($C$28,$B34,D$30)</f>
        <v>#NAME?</v>
      </c>
      <c r="E34" s="6" t="e" cm="1">
        <f t="array" aca="1" ref="E34" ca="1">_xll.DBR($C$28,$B34,E$30)</f>
        <v>#NAME?</v>
      </c>
      <c r="F34" s="6" t="e" cm="1">
        <f t="array" aca="1" ref="F34" ca="1">_xll.DBR($C$28,$B34,F$30)</f>
        <v>#NAME?</v>
      </c>
      <c r="G34" s="6" t="e" cm="1">
        <f t="array" aca="1" ref="G34" ca="1">_xll.DBR($C$28,$B34,G$30)</f>
        <v>#NAME?</v>
      </c>
      <c r="H34" s="6" t="e" cm="1">
        <f t="array" aca="1" ref="H34" ca="1">_xll.DBR($C$28,$B34,H$30)</f>
        <v>#NAME?</v>
      </c>
    </row>
    <row r="35" spans="2:8" hidden="1" outlineLevel="1" x14ac:dyDescent="0.25">
      <c r="B35" s="6" t="s">
        <v>68</v>
      </c>
      <c r="C35" s="6" t="e" cm="1">
        <f t="array" aca="1" ref="C35" ca="1">_xll.DBR($C$28,$B35,C$30)</f>
        <v>#NAME?</v>
      </c>
      <c r="D35" s="6" t="e" cm="1">
        <f t="array" aca="1" ref="D35" ca="1">_xll.DBR($C$28,$B35,D$30)</f>
        <v>#NAME?</v>
      </c>
      <c r="E35" s="6" t="e" cm="1">
        <f t="array" aca="1" ref="E35" ca="1">_xll.DBR($C$28,$B35,E$30)</f>
        <v>#NAME?</v>
      </c>
      <c r="F35" s="6" t="e" cm="1">
        <f t="array" aca="1" ref="F35" ca="1">_xll.DBR($C$28,$B35,F$30)</f>
        <v>#NAME?</v>
      </c>
      <c r="G35" s="6" t="e" cm="1">
        <f t="array" aca="1" ref="G35" ca="1">_xll.DBR($C$28,$B35,G$30)</f>
        <v>#NAME?</v>
      </c>
      <c r="H35" s="6" t="e" cm="1">
        <f t="array" aca="1" ref="H35" ca="1">_xll.DBR($C$28,$B35,H$30)</f>
        <v>#NAME?</v>
      </c>
    </row>
    <row r="36" spans="2:8" hidden="1" outlineLevel="1" x14ac:dyDescent="0.25">
      <c r="B36" s="6" t="s">
        <v>78</v>
      </c>
      <c r="C36" s="6" t="e" cm="1">
        <f t="array" aca="1" ref="C36" ca="1">_xll.DBR($C$28,$B36,C$30)</f>
        <v>#NAME?</v>
      </c>
      <c r="D36" s="6" t="e" cm="1">
        <f t="array" aca="1" ref="D36" ca="1">_xll.DBR($C$28,$B36,D$30)</f>
        <v>#NAME?</v>
      </c>
      <c r="E36" s="6" t="e" cm="1">
        <f t="array" aca="1" ref="E36" ca="1">_xll.DBR($C$28,$B36,E$30)</f>
        <v>#NAME?</v>
      </c>
      <c r="F36" s="6" t="e" cm="1">
        <f t="array" aca="1" ref="F36" ca="1">_xll.DBR($C$28,$B36,F$30)</f>
        <v>#NAME?</v>
      </c>
      <c r="G36" s="6" t="e" cm="1">
        <f t="array" aca="1" ref="G36" ca="1">_xll.DBR($C$28,$B36,G$30)</f>
        <v>#NAME?</v>
      </c>
      <c r="H36" s="6" t="e" cm="1">
        <f t="array" aca="1" ref="H36" ca="1">_xll.DBR($C$28,$B36,H$30)</f>
        <v>#NAME?</v>
      </c>
    </row>
    <row r="37" spans="2:8" hidden="1" outlineLevel="1" x14ac:dyDescent="0.25">
      <c r="B37" s="6" t="s">
        <v>69</v>
      </c>
      <c r="C37" s="6" t="e" cm="1">
        <f t="array" aca="1" ref="C37" ca="1">_xll.DBR($C$28,$B37,C$30)</f>
        <v>#NAME?</v>
      </c>
      <c r="D37" s="6" t="e" cm="1">
        <f t="array" aca="1" ref="D37" ca="1">_xll.DBR($C$28,$B37,D$30)</f>
        <v>#NAME?</v>
      </c>
      <c r="E37" s="6" t="e" cm="1">
        <f t="array" aca="1" ref="E37" ca="1">_xll.DBR($C$28,$B37,E$30)</f>
        <v>#NAME?</v>
      </c>
      <c r="F37" s="6" t="e" cm="1">
        <f t="array" aca="1" ref="F37" ca="1">_xll.DBR($C$28,$B37,F$30)</f>
        <v>#NAME?</v>
      </c>
      <c r="G37" s="6" t="e" cm="1">
        <f t="array" aca="1" ref="G37" ca="1">_xll.DBR($C$28,$B37,G$30)</f>
        <v>#NAME?</v>
      </c>
      <c r="H37" s="6" t="e" cm="1">
        <f t="array" aca="1" ref="H37" ca="1">_xll.DBR($C$28,$B37,H$30)</f>
        <v>#NAME?</v>
      </c>
    </row>
    <row r="38" spans="2:8" hidden="1" outlineLevel="1" x14ac:dyDescent="0.25">
      <c r="B38" s="6" t="s">
        <v>76</v>
      </c>
      <c r="C38" s="6" t="e" cm="1">
        <f t="array" aca="1" ref="C38" ca="1">_xll.DBR($C$28,$B38,C$30)</f>
        <v>#NAME?</v>
      </c>
      <c r="D38" s="6" t="e" cm="1">
        <f t="array" aca="1" ref="D38" ca="1">_xll.DBR($C$28,$B38,D$30)</f>
        <v>#NAME?</v>
      </c>
      <c r="E38" s="6" t="e" cm="1">
        <f t="array" aca="1" ref="E38" ca="1">_xll.DBR($C$28,$B38,E$30)</f>
        <v>#NAME?</v>
      </c>
      <c r="F38" s="6" t="e" cm="1">
        <f t="array" aca="1" ref="F38" ca="1">_xll.DBR($C$28,$B38,F$30)</f>
        <v>#NAME?</v>
      </c>
      <c r="G38" s="6" t="e" cm="1">
        <f t="array" aca="1" ref="G38" ca="1">_xll.DBR($C$28,$B38,G$30)</f>
        <v>#NAME?</v>
      </c>
      <c r="H38" s="6" t="e" cm="1">
        <f t="array" aca="1" ref="H38" ca="1">_xll.DBR($C$28,$B38,H$30)</f>
        <v>#NAME?</v>
      </c>
    </row>
    <row r="39" spans="2:8" hidden="1" outlineLevel="1" x14ac:dyDescent="0.25">
      <c r="B39" s="6" t="s">
        <v>70</v>
      </c>
      <c r="C39" s="6" t="e" cm="1">
        <f t="array" aca="1" ref="C39" ca="1">_xll.DBR($C$28,$B39,C$30)</f>
        <v>#NAME?</v>
      </c>
      <c r="D39" s="6" t="e" cm="1">
        <f t="array" aca="1" ref="D39" ca="1">_xll.DBR($C$28,$B39,D$30)</f>
        <v>#NAME?</v>
      </c>
      <c r="E39" s="6" t="e" cm="1">
        <f t="array" aca="1" ref="E39" ca="1">_xll.DBR($C$28,$B39,E$30)</f>
        <v>#NAME?</v>
      </c>
      <c r="F39" s="6" t="e" cm="1">
        <f t="array" aca="1" ref="F39" ca="1">_xll.DBR($C$28,$B39,F$30)</f>
        <v>#NAME?</v>
      </c>
      <c r="G39" s="6" t="e" cm="1">
        <f t="array" aca="1" ref="G39" ca="1">_xll.DBR($C$28,$B39,G$30)</f>
        <v>#NAME?</v>
      </c>
      <c r="H39" s="6" t="e" cm="1">
        <f t="array" aca="1" ref="H39" ca="1">_xll.DBR($C$28,$B39,H$30)</f>
        <v>#NAME?</v>
      </c>
    </row>
    <row r="40" spans="2:8" hidden="1" outlineLevel="1" x14ac:dyDescent="0.25">
      <c r="B40" s="6" t="s">
        <v>71</v>
      </c>
      <c r="C40" s="6" t="e" cm="1">
        <f t="array" aca="1" ref="C40" ca="1">_xll.DBR($C$28,$B40,C$30)</f>
        <v>#NAME?</v>
      </c>
      <c r="D40" s="6" t="e" cm="1">
        <f t="array" aca="1" ref="D40" ca="1">_xll.DBR($C$28,$B40,D$30)</f>
        <v>#NAME?</v>
      </c>
      <c r="E40" s="6" t="e" cm="1">
        <f t="array" aca="1" ref="E40" ca="1">_xll.DBR($C$28,$B40,E$30)</f>
        <v>#NAME?</v>
      </c>
      <c r="F40" s="6" t="e" cm="1">
        <f t="array" aca="1" ref="F40" ca="1">_xll.DBR($C$28,$B40,F$30)</f>
        <v>#NAME?</v>
      </c>
      <c r="G40" s="6" t="e" cm="1">
        <f t="array" aca="1" ref="G40" ca="1">_xll.DBR($C$28,$B40,G$30)</f>
        <v>#NAME?</v>
      </c>
      <c r="H40" s="6" t="e" cm="1">
        <f t="array" aca="1" ref="H40" ca="1">_xll.DBR($C$28,$B40,H$30)</f>
        <v>#NAME?</v>
      </c>
    </row>
    <row r="41" spans="2:8" hidden="1" outlineLevel="1" x14ac:dyDescent="0.25">
      <c r="B41" s="6" t="s">
        <v>87</v>
      </c>
      <c r="C41" s="6" t="e" cm="1">
        <f t="array" aca="1" ref="C41" ca="1">_xll.DBR($C$28,$B41,C$30)</f>
        <v>#NAME?</v>
      </c>
      <c r="D41" s="6" t="e" cm="1">
        <f t="array" aca="1" ref="D41" ca="1">_xll.DBR($C$28,$B41,D$30)</f>
        <v>#NAME?</v>
      </c>
      <c r="E41" s="6" t="e" cm="1">
        <f t="array" aca="1" ref="E41" ca="1">_xll.DBR($C$28,$B41,E$30)</f>
        <v>#NAME?</v>
      </c>
      <c r="F41" s="6" t="e" cm="1">
        <f t="array" aca="1" ref="F41" ca="1">_xll.DBR($C$28,$B41,F$30)</f>
        <v>#NAME?</v>
      </c>
      <c r="G41" s="6" t="e" cm="1">
        <f t="array" aca="1" ref="G41" ca="1">_xll.DBR($C$28,$B41,G$30)</f>
        <v>#NAME?</v>
      </c>
      <c r="H41" s="6" t="e" cm="1">
        <f t="array" aca="1" ref="H41" ca="1">_xll.DBR($C$28,$B41,H$30)</f>
        <v>#NAME?</v>
      </c>
    </row>
    <row r="42" spans="2:8" hidden="1" outlineLevel="1" x14ac:dyDescent="0.25">
      <c r="B42" s="6" t="s">
        <v>88</v>
      </c>
      <c r="C42" s="6" t="e" cm="1">
        <f t="array" aca="1" ref="C42" ca="1">_xll.DBR($C$28,$B42,C$30)</f>
        <v>#NAME?</v>
      </c>
      <c r="D42" s="6" t="e" cm="1">
        <f t="array" aca="1" ref="D42" ca="1">_xll.DBR($C$28,$B42,D$30)</f>
        <v>#NAME?</v>
      </c>
      <c r="E42" s="6" t="e" cm="1">
        <f t="array" aca="1" ref="E42" ca="1">_xll.DBR($C$28,$B42,E$30)</f>
        <v>#NAME?</v>
      </c>
      <c r="F42" s="6" t="e" cm="1">
        <f t="array" aca="1" ref="F42" ca="1">_xll.DBR($C$28,$B42,F$30)</f>
        <v>#NAME?</v>
      </c>
      <c r="G42" s="6" t="e" cm="1">
        <f t="array" aca="1" ref="G42" ca="1">_xll.DBR($C$28,$B42,G$30)</f>
        <v>#NAME?</v>
      </c>
      <c r="H42" s="6" t="e" cm="1">
        <f t="array" aca="1" ref="H42" ca="1">_xll.DBR($C$28,$B42,H$30)</f>
        <v>#NAME?</v>
      </c>
    </row>
    <row r="43" spans="2:8" hidden="1" outlineLevel="1" x14ac:dyDescent="0.25">
      <c r="B43" s="7" t="s">
        <v>40</v>
      </c>
      <c r="C43" s="8" t="s">
        <v>41</v>
      </c>
    </row>
    <row r="44" spans="2:8" hidden="1" outlineLevel="1" x14ac:dyDescent="0.25"/>
    <row r="45" spans="2:8" hidden="1" outlineLevel="1" x14ac:dyDescent="0.25">
      <c r="B45" s="36" t="s">
        <v>60</v>
      </c>
      <c r="C45" s="37"/>
      <c r="D45" s="38"/>
    </row>
    <row r="46" spans="2:8" hidden="1" outlineLevel="1" x14ac:dyDescent="0.25">
      <c r="B46" s="6" t="s">
        <v>42</v>
      </c>
      <c r="C46" s="6" t="e" cm="1">
        <f t="array" aca="1" ref="C46" ca="1">_xll.TM1RPTVIEW(db_name&amp;":AE adjustments:6", 1, _xll.TM1RPTTITLE(db_name&amp;":headline year",$M$75), _xll.TM1RPTTITLE(db_name&amp;":status",$M$65), _xll.TM1RPTTITLE(db_name&amp;":outcome",$M$77), _xll.TM1RPTTITLE(db_name&amp;":function",$C$61), _xll.TM1RPTTITLE(db_name&amp;":reason",$P$79), _xll.TM1RPTTITLE(db_name&amp;":spp",$C$62), _xll.TM1RPTTITLE(db_name&amp;":appropriation type",$P$76), _xll.TM1RPTTITLE(db_name&amp;":appropriation item",$P$77), _xll.TM1RPTTITLE(db_name&amp;":id",$M$82), _xll.TM1RPTTITLE(db_name&amp;":jurisdiction",$C$64), _xll.TM1RPTTITLE(db_name&amp;":Movement Account",$P$75), _xll.TM1RPTTITLE(db_name&amp;":related entity",$C$60), _xll.TM1RPTTITLE(db_name&amp;":measure code",$P$78),TM1RPTFMTRNG,TM1RPTFMTIDCOL)</f>
        <v>#NAME?</v>
      </c>
      <c r="D46" s="6"/>
    </row>
    <row r="47" spans="2:8" hidden="1" outlineLevel="1" x14ac:dyDescent="0.25">
      <c r="B47" s="6" t="s">
        <v>43</v>
      </c>
      <c r="C47" s="6"/>
      <c r="D47" s="6"/>
    </row>
    <row r="48" spans="2:8" hidden="1" outlineLevel="1" x14ac:dyDescent="0.25">
      <c r="B48" s="6"/>
      <c r="C48" s="11" t="s">
        <v>48</v>
      </c>
      <c r="D48" s="11" t="s">
        <v>49</v>
      </c>
      <c r="E48" s="11" t="s">
        <v>50</v>
      </c>
      <c r="F48" s="11" t="s">
        <v>79</v>
      </c>
      <c r="G48" s="33" t="s">
        <v>96</v>
      </c>
    </row>
    <row r="49" spans="2:17" hidden="1" outlineLevel="1" x14ac:dyDescent="0.25">
      <c r="B49" s="6" t="s">
        <v>44</v>
      </c>
      <c r="C49" s="6" t="e">
        <f ca="1">IF($M$79="Yes",$D49,$E49)</f>
        <v>#NAME?</v>
      </c>
      <c r="D49" s="6" t="e">
        <f ca="1">"{FILTER( {TM1DRILLDOWNMEMBER( {[programme].["&amp;$M$78&amp;"]}, ALL, RECURSIVE )}, [programme].[CBMS Level Program] = ""Y"")}"</f>
        <v>#NAME?</v>
      </c>
      <c r="E49" s="6" t="e">
        <f ca="1">"{TM1FILTERBYLEVEL( {TM1DRILLDOWNMEMBER( {[programme].["&amp;$M$78&amp;"]}, ALL, RECURSIVE )}, 0)}"</f>
        <v>#NAME?</v>
      </c>
    </row>
    <row r="50" spans="2:17" hidden="1" outlineLevel="1" x14ac:dyDescent="0.25">
      <c r="B50" s="6" t="s">
        <v>45</v>
      </c>
      <c r="C50" s="6" t="e">
        <f ca="1">IF($Q$64="Collapse",$D50,$E50)</f>
        <v>#NAME?</v>
      </c>
      <c r="D50" s="6" t="e">
        <f ca="1">"{[account].["&amp;$M$63&amp;"]}"</f>
        <v>#NAME?</v>
      </c>
      <c r="E50" s="6" t="e">
        <f ca="1">"{TM1FILTERBYLEVEL( {TM1DRILLDOWNMEMBER( {[account].["&amp;$M$63&amp;"]}, ALL, RECURSIVE )}, 0)}"</f>
        <v>#NAME?</v>
      </c>
    </row>
    <row r="51" spans="2:17" hidden="1" outlineLevel="1" x14ac:dyDescent="0.25">
      <c r="B51" s="6" t="s">
        <v>46</v>
      </c>
      <c r="C51" s="6" t="e">
        <f ca="1">IF($Q$64="Collapse",$D51,$E51)</f>
        <v>#NAME?</v>
      </c>
      <c r="D51" s="6" t="e">
        <f ca="1">"{[movement account].["&amp;$P$75&amp;"]}"</f>
        <v>#NAME?</v>
      </c>
      <c r="E51" s="6" t="e">
        <f ca="1">"{[movement account].["&amp;$P$75&amp;"]}"</f>
        <v>#NAME?</v>
      </c>
    </row>
    <row r="52" spans="2:17" hidden="1" outlineLevel="1" x14ac:dyDescent="0.25">
      <c r="B52" s="6" t="s">
        <v>62</v>
      </c>
      <c r="C52" s="6" t="e">
        <f ca="1">IF($Q$64="Collapse",$D52,$E52)</f>
        <v>#NAME?</v>
      </c>
      <c r="D52" s="6" t="s">
        <v>63</v>
      </c>
      <c r="E52" s="6" t="s">
        <v>63</v>
      </c>
    </row>
    <row r="53" spans="2:17" hidden="1" outlineLevel="1" x14ac:dyDescent="0.25">
      <c r="B53" s="6" t="s">
        <v>47</v>
      </c>
      <c r="C53" s="6" t="e">
        <f ca="1">IF($Q$64="Collapse",$D53,$E53)</f>
        <v>#NAME?</v>
      </c>
      <c r="D53" s="6" t="e">
        <f ca="1">"{[measure code].[" &amp; $P$78 &amp; "]}"</f>
        <v>#NAME?</v>
      </c>
      <c r="E53" s="6" t="e">
        <f ca="1">"{TM1FILTERBYLEVEL( {TM1DRILLDOWNMEMBER( {[measure code].[" &amp; $P$78 &amp; "]}, ALL, RECURSIVE )}, 0)}"</f>
        <v>#NAME?</v>
      </c>
    </row>
    <row r="54" spans="2:17" hidden="1" outlineLevel="1" x14ac:dyDescent="0.25"/>
    <row r="55" spans="2:17" hidden="1" outlineLevel="1" x14ac:dyDescent="0.25">
      <c r="B55" s="6" t="s">
        <v>11</v>
      </c>
      <c r="C55" s="6"/>
      <c r="D55" s="6" t="s">
        <v>100</v>
      </c>
      <c r="E55" s="6" t="s">
        <v>99</v>
      </c>
    </row>
    <row r="56" spans="2:17" hidden="1" outlineLevel="1" x14ac:dyDescent="0.25">
      <c r="B56" s="6" t="s">
        <v>97</v>
      </c>
      <c r="C56" s="6" t="e">
        <f ca="1">IF($M$81="Yes",$E56,sSubAcc)</f>
        <v>#NAME?</v>
      </c>
      <c r="D56" s="6" t="s">
        <v>80</v>
      </c>
      <c r="E56" s="21" t="s">
        <v>101</v>
      </c>
    </row>
    <row r="57" spans="2:17" hidden="1" outlineLevel="1" x14ac:dyDescent="0.25">
      <c r="B57" s="6" t="s">
        <v>98</v>
      </c>
      <c r="C57" s="6" t="e">
        <f ca="1">IF($M$81="Yes",$E57,$D57)</f>
        <v>#NAME?</v>
      </c>
      <c r="D57" s="21" t="s">
        <v>101</v>
      </c>
      <c r="E57" s="6" t="e">
        <f ca="1">"{DESCENDANTS([account].["&amp;$M$80&amp;"],1,SELF_AND_BEFORE)]}"</f>
        <v>#NAME?</v>
      </c>
    </row>
    <row r="58" spans="2:17" hidden="1" outlineLevel="1" x14ac:dyDescent="0.25"/>
    <row r="59" spans="2:17" hidden="1" outlineLevel="1" x14ac:dyDescent="0.25">
      <c r="B59" s="36" t="s">
        <v>61</v>
      </c>
      <c r="C59" s="37"/>
      <c r="D59" s="38"/>
      <c r="K59" s="6" t="e">
        <f ca="1">RIGHT(psHLYear,9)</f>
        <v>#NAME?</v>
      </c>
    </row>
    <row r="60" spans="2:17" hidden="1" outlineLevel="1" x14ac:dyDescent="0.25">
      <c r="B60" s="2" t="s">
        <v>1</v>
      </c>
      <c r="C60" s="6" t="e" cm="1">
        <f t="array" aca="1" ref="C60" ca="1">_xll.SUBNM(db_name&amp;":related entity","","Total related entity")</f>
        <v>#NAME?</v>
      </c>
      <c r="K60" s="6" t="s">
        <v>67</v>
      </c>
      <c r="L60" s="6">
        <v>-2</v>
      </c>
      <c r="M60" s="6">
        <v>-1</v>
      </c>
      <c r="N60" s="6">
        <v>0</v>
      </c>
      <c r="O60" s="6">
        <v>1</v>
      </c>
      <c r="P60" s="6">
        <v>2</v>
      </c>
      <c r="Q60" s="6">
        <v>3</v>
      </c>
    </row>
    <row r="61" spans="2:17" hidden="1" outlineLevel="1" x14ac:dyDescent="0.25">
      <c r="B61" s="2" t="s">
        <v>2</v>
      </c>
      <c r="C61" s="6" t="e" cm="1">
        <f t="array" aca="1" ref="C61" ca="1">_xll.SUBNM(db_name&amp;":function","","Total functions")</f>
        <v>#NAME?</v>
      </c>
      <c r="K61" t="s">
        <v>77</v>
      </c>
      <c r="L61" s="6" t="e" cm="1">
        <f t="array" aca="1" ref="L61" ca="1">_xll.DIMNM(db_name&amp;":period",_xll.DIMIX(db_name&amp;":period",$K$59)+L60)</f>
        <v>#NAME?</v>
      </c>
      <c r="M61" s="6" t="e" cm="1">
        <f t="array" aca="1" ref="M61" ca="1">_xll.DIMNM(db_name&amp;":period",_xll.DIMIX(db_name&amp;":period",$K$59)+M60)</f>
        <v>#NAME?</v>
      </c>
      <c r="N61" s="6" t="e" cm="1">
        <f t="array" aca="1" ref="N61" ca="1">_xll.DIMNM(db_name&amp;":period",_xll.DIMIX(db_name&amp;":period",$K$59)+N60)</f>
        <v>#NAME?</v>
      </c>
      <c r="O61" s="6" t="e" cm="1">
        <f t="array" aca="1" ref="O61" ca="1">_xll.DIMNM(db_name&amp;":period",_xll.DIMIX(db_name&amp;":period",$K$59)+O60)</f>
        <v>#NAME?</v>
      </c>
      <c r="P61" s="6" t="e" cm="1">
        <f t="array" aca="1" ref="P61" ca="1">_xll.DIMNM(db_name&amp;":period",_xll.DIMIX(db_name&amp;":period",$K$59)+P60)</f>
        <v>#NAME?</v>
      </c>
      <c r="Q61" s="6" t="e" cm="1">
        <f t="array" aca="1" ref="Q61" ca="1">_xll.DIMNM(db_name&amp;":period",_xll.DIMIX(db_name&amp;":period",$K$59)+Q60)</f>
        <v>#NAME?</v>
      </c>
    </row>
    <row r="62" spans="2:17" hidden="1" outlineLevel="1" x14ac:dyDescent="0.25">
      <c r="B62" s="2" t="s">
        <v>3</v>
      </c>
      <c r="C62" s="6" t="e" cm="1">
        <f t="array" aca="1" ref="C62" ca="1">_xll.SUBNM(db_name&amp;":spp","","Total SPP")</f>
        <v>#NAME?</v>
      </c>
    </row>
    <row r="63" spans="2:17" ht="15.75" hidden="1" outlineLevel="1" thickBot="1" x14ac:dyDescent="0.3">
      <c r="B63" s="2" t="s">
        <v>4</v>
      </c>
      <c r="D63" s="19" t="s">
        <v>93</v>
      </c>
      <c r="L63" s="10" t="s">
        <v>73</v>
      </c>
      <c r="M63" s="43" t="e" cm="1">
        <f t="array" aca="1" ref="M63" ca="1">_xll.SUBNM(db_name&amp;":account","","2000000","code and description")</f>
        <v>#NAME?</v>
      </c>
      <c r="N63" s="44"/>
      <c r="P63" s="39" t="s">
        <v>65</v>
      </c>
      <c r="Q63" s="40"/>
    </row>
    <row r="64" spans="2:17" ht="15.75" hidden="1" outlineLevel="1" thickBot="1" x14ac:dyDescent="0.3">
      <c r="B64" s="2" t="s">
        <v>5</v>
      </c>
      <c r="C64" s="6" t="e" cm="1">
        <f t="array" aca="1" ref="C64" ca="1">_xll.SUBNM(db_name&amp;":jurisdiction","","Total jurisdictions")</f>
        <v>#NAME?</v>
      </c>
      <c r="L64" s="10" t="s">
        <v>52</v>
      </c>
      <c r="M64" s="42" t="e" cm="1">
        <f t="array" aca="1" ref="M64" ca="1">_xll.SUBNM(db_name&amp;":scenario","sys_BudgetRound",$C$22)</f>
        <v>#NAME?</v>
      </c>
      <c r="N64" s="42"/>
      <c r="P64" s="10" t="s">
        <v>66</v>
      </c>
      <c r="Q64" s="17" t="e" cm="1">
        <f t="array" aca="1" ref="Q64" ca="1">_xll.SUBNM(db_name&amp;":sys_report display","","Collapse")</f>
        <v>#NAME?</v>
      </c>
    </row>
    <row r="65" spans="9:17" hidden="1" outlineLevel="1" x14ac:dyDescent="0.25">
      <c r="L65" s="10" t="s">
        <v>53</v>
      </c>
      <c r="M65" s="42" t="e" cm="1">
        <f t="array" aca="1" ref="M65" ca="1">_xll.SUBNM(db_name&amp;":status","","Data")</f>
        <v>#NAME?</v>
      </c>
      <c r="N65" s="42"/>
    </row>
    <row r="66" spans="9:17" hidden="1" outlineLevel="1" x14ac:dyDescent="0.25"/>
    <row r="67" spans="9:17" ht="39.75" customHeight="1" collapsed="1" x14ac:dyDescent="0.25">
      <c r="I67" s="18"/>
      <c r="J67" s="18"/>
      <c r="K67" s="18"/>
      <c r="L67" s="18"/>
      <c r="M67" s="18"/>
      <c r="N67" s="18"/>
      <c r="O67" s="18"/>
      <c r="P67" s="18"/>
      <c r="Q67" s="18" t="e">
        <f ca="1">TM1FBOCAP</f>
        <v>#NAME?</v>
      </c>
    </row>
    <row r="68" spans="9:17" ht="4.5" customHeight="1" x14ac:dyDescent="0.25"/>
    <row r="69" spans="9:17" ht="24" customHeight="1" x14ac:dyDescent="0.25"/>
    <row r="70" spans="9:17" ht="1.5" customHeight="1" x14ac:dyDescent="0.25">
      <c r="I70" s="18"/>
      <c r="J70" s="18"/>
      <c r="K70" s="18"/>
      <c r="L70" s="18"/>
      <c r="M70" s="18"/>
      <c r="N70" s="18"/>
      <c r="O70" s="18"/>
      <c r="P70" s="18"/>
      <c r="Q70" s="18"/>
    </row>
    <row r="71" spans="9:17" ht="4.5" customHeight="1" x14ac:dyDescent="0.25"/>
    <row r="72" spans="9:17" x14ac:dyDescent="0.25">
      <c r="J72" s="31" t="s">
        <v>89</v>
      </c>
    </row>
    <row r="73" spans="9:17" ht="4.5" customHeight="1" x14ac:dyDescent="0.25"/>
    <row r="74" spans="9:17" x14ac:dyDescent="0.25">
      <c r="M74" s="39" t="s">
        <v>64</v>
      </c>
      <c r="N74" s="40"/>
    </row>
    <row r="75" spans="9:17" x14ac:dyDescent="0.25">
      <c r="L75" s="10" t="s">
        <v>51</v>
      </c>
      <c r="M75" s="42" t="e" cm="1">
        <f t="array" aca="1" ref="M75" ca="1">_xll.SUBNM(db_name&amp;":headline year","",$C$21)</f>
        <v>#NAME?</v>
      </c>
      <c r="N75" s="42"/>
      <c r="O75" s="10" t="s">
        <v>74</v>
      </c>
      <c r="P75" s="43" t="e" cm="1">
        <f t="array" aca="1" ref="P75" ca="1">_xll.SUBNM(db_name&amp;":movement account","","Total movement","code and description")</f>
        <v>#NAME?</v>
      </c>
      <c r="Q75" s="44"/>
    </row>
    <row r="76" spans="9:17" x14ac:dyDescent="0.25">
      <c r="L76" s="10" t="s">
        <v>81</v>
      </c>
      <c r="M76" s="43" t="e" cm="1">
        <f t="array" aca="1" ref="M76" ca="1">_xll.SUBNM(db_name&amp;":period", "sys_all years",$L$61,"")</f>
        <v>#NAME?</v>
      </c>
      <c r="N76" s="44"/>
      <c r="O76" s="10" t="s">
        <v>56</v>
      </c>
      <c r="P76" s="42" t="e" cm="1">
        <f t="array" aca="1" ref="P76" ca="1">_xll.SUBNM(db_name&amp;":appropriation type","","Total approp types","code and description")</f>
        <v>#NAME?</v>
      </c>
      <c r="Q76" s="42"/>
    </row>
    <row r="77" spans="9:17" x14ac:dyDescent="0.25">
      <c r="L77" s="10" t="s">
        <v>54</v>
      </c>
      <c r="M77" s="43" t="e" cm="1">
        <f t="array" aca="1" ref="M77" ca="1">_xll.SUBNM(db_name&amp;":outcome","","Total outcomes","code and description")</f>
        <v>#NAME?</v>
      </c>
      <c r="N77" s="44"/>
      <c r="O77" s="10" t="s">
        <v>57</v>
      </c>
      <c r="P77" s="42" t="e" cm="1">
        <f t="array" aca="1" ref="P77" ca="1">_xll.SUBNM(db_name&amp;":appropriation item","","Total approp item","code and description")</f>
        <v>#NAME?</v>
      </c>
      <c r="Q77" s="42"/>
    </row>
    <row r="78" spans="9:17" x14ac:dyDescent="0.25">
      <c r="L78" s="10" t="s">
        <v>59</v>
      </c>
      <c r="M78" s="42" t="e">
        <f ca="1">_xll.SUBNM(db_name&amp;":programme","",1,"code and description")</f>
        <v>#NAME?</v>
      </c>
      <c r="N78" s="42"/>
      <c r="O78" s="10" t="s">
        <v>58</v>
      </c>
      <c r="P78" s="42" t="e" cm="1">
        <f t="array" aca="1" ref="P78" ca="1">_xll.SUBNM(db_name&amp;":measure code","","Total Measures","CBMS code and description")</f>
        <v>#NAME?</v>
      </c>
      <c r="Q78" s="42"/>
    </row>
    <row r="79" spans="9:17" x14ac:dyDescent="0.25">
      <c r="L79" s="10" t="s">
        <v>94</v>
      </c>
      <c r="M79" s="42" t="e" cm="1">
        <f t="array" aca="1" ref="M79" ca="1">_xll.SUBNM(db_name&amp;":sys_YesNo","","Yes","")</f>
        <v>#NAME?</v>
      </c>
      <c r="N79" s="42"/>
      <c r="O79" s="10" t="s">
        <v>55</v>
      </c>
      <c r="P79" s="42" t="e" cm="1">
        <f t="array" aca="1" ref="P79" ca="1">_xll.SUBNM(db_name&amp;":reason","","Total reason","CBMS code and description")</f>
        <v>#NAME?</v>
      </c>
      <c r="Q79" s="42"/>
    </row>
    <row r="80" spans="9:17" x14ac:dyDescent="0.25">
      <c r="L80" s="10" t="s">
        <v>73</v>
      </c>
      <c r="M80" s="43" t="e" cm="1">
        <f t="array" aca="1" ref="M80" ca="1">_xll.SUBNM(db_name&amp;":account","Financial Statements","3800001","code and description")</f>
        <v>#NAME?</v>
      </c>
      <c r="N80" s="44"/>
      <c r="O80" s="9" t="s">
        <v>72</v>
      </c>
      <c r="P80" s="41">
        <f ca="1">NOW()</f>
        <v>45874.612403356485</v>
      </c>
      <c r="Q80" s="41"/>
    </row>
    <row r="81" spans="1:19" ht="15.75" customHeight="1" x14ac:dyDescent="0.25">
      <c r="L81" s="10" t="s">
        <v>95</v>
      </c>
      <c r="M81" s="42" t="e" cm="1">
        <f t="array" aca="1" ref="M81" ca="1">_xll.SUBNM(db_name&amp;":sys_YesNo","","No","")</f>
        <v>#NAME?</v>
      </c>
      <c r="N81" s="42"/>
    </row>
    <row r="82" spans="1:19" ht="15.75" customHeight="1" x14ac:dyDescent="0.25">
      <c r="L82" s="10" t="s">
        <v>102</v>
      </c>
      <c r="M82" s="49" t="e">
        <f ca="1">_xll.SUBNM(db_name&amp;":ID","","Total IDs","")</f>
        <v>#NAME?</v>
      </c>
      <c r="N82" s="50"/>
    </row>
    <row r="83" spans="1:19" x14ac:dyDescent="0.25">
      <c r="R83" s="45" t="s">
        <v>90</v>
      </c>
      <c r="S83" s="46"/>
    </row>
    <row r="84" spans="1:19" ht="30" x14ac:dyDescent="0.25">
      <c r="M84" s="28" t="s">
        <v>82</v>
      </c>
      <c r="N84" s="28" t="s">
        <v>85</v>
      </c>
      <c r="O84" s="28" t="s">
        <v>83</v>
      </c>
      <c r="P84" s="28" t="s">
        <v>84</v>
      </c>
      <c r="Q84" s="20"/>
      <c r="R84" s="29" t="s">
        <v>91</v>
      </c>
      <c r="S84" s="30" t="s">
        <v>92</v>
      </c>
    </row>
    <row r="85" spans="1:19" x14ac:dyDescent="0.25">
      <c r="M85" s="26" t="str">
        <f>"(a) ="&amp;$O$85&amp;"-"&amp;$N$85</f>
        <v>(a) =(c)-(b)</v>
      </c>
      <c r="N85" s="26" t="s">
        <v>86</v>
      </c>
      <c r="O85" s="26" t="str">
        <f>"(c)"</f>
        <v>(c)</v>
      </c>
      <c r="P85" s="26" t="str">
        <f>"(d)"</f>
        <v>(d)</v>
      </c>
      <c r="Q85" s="20"/>
      <c r="R85" s="22"/>
      <c r="S85" s="23"/>
    </row>
    <row r="86" spans="1:19" x14ac:dyDescent="0.25">
      <c r="B86" s="1" t="s">
        <v>10</v>
      </c>
      <c r="C86" t="s">
        <v>11</v>
      </c>
      <c r="D86" t="s">
        <v>12</v>
      </c>
      <c r="E86" t="s">
        <v>62</v>
      </c>
      <c r="F86" t="s">
        <v>13</v>
      </c>
      <c r="J86" s="16" t="s">
        <v>75</v>
      </c>
      <c r="K86" s="16" t="s">
        <v>11</v>
      </c>
      <c r="L86" s="16"/>
      <c r="M86" s="27" t="e">
        <f ca="1">sFBOYear</f>
        <v>#NAME?</v>
      </c>
      <c r="N86" s="27" t="e">
        <f ca="1">sFBOYear</f>
        <v>#NAME?</v>
      </c>
      <c r="O86" s="27" t="e">
        <f ca="1">sFBOYear</f>
        <v>#NAME?</v>
      </c>
      <c r="P86" s="27" t="e">
        <f ca="1">sFBOYear</f>
        <v>#NAME?</v>
      </c>
      <c r="Q86" s="20"/>
      <c r="R86" s="24" t="e">
        <f ca="1">sFBOYear</f>
        <v>#NAME?</v>
      </c>
      <c r="S86" s="25" t="e">
        <f ca="1">sFBOYear</f>
        <v>#NAME?</v>
      </c>
    </row>
    <row r="87" spans="1:19" x14ac:dyDescent="0.25">
      <c r="A87" t="e" cm="1">
        <f t="array" aca="1" ref="A87" ca="1">IF(_xll.TM1RPTELISCONSOLIDATED($K$87,$K87),IF(_xll.TM1RPTELLEV($K$87,$K87)&lt;=3,_xll.TM1RPTELLEV($K$87,$K87),"D"),"N")</f>
        <v>#NAME?</v>
      </c>
      <c r="B87" s="14"/>
      <c r="J87" s="32" t="e">
        <f ca="1">_xll.TM1RPTROW($C$46,db_name&amp;":programme","","","code and description",0,$C$49)</f>
        <v>#NAME?</v>
      </c>
      <c r="K87" s="47" t="e">
        <f ca="1">_xll.TM1RPTROW($C$46,db_name&amp;":account",$C$56,"","code and description",0,$C$57,2,1)</f>
        <v>#NAME?</v>
      </c>
      <c r="L87" s="48"/>
      <c r="M87" s="12" t="e" cm="1">
        <f t="array" aca="1" ref="M87" ca="1">_xll.DBRW($C$46,$M$75,M$84,$M$65,$M$77,$C$60,$C$61,$P$79,$C$62,$P$78,$P$76,$P$75,$P$77,$J87,$K87,$M$82,$C$64,M$86)</f>
        <v>#NAME?</v>
      </c>
      <c r="N87" s="12" t="e" cm="1">
        <f t="array" aca="1" ref="N87" ca="1">_xll.DBRW($C$46,$M$75,N$84,$M$65,$M$77,$C$60,$C$61,$P$79,$C$62,$P$78,$P$76,$P$75,$P$77,$J87,$K87,$M$82,$C$64,N$86)</f>
        <v>#NAME?</v>
      </c>
      <c r="O87" s="12" t="e" cm="1">
        <f t="array" aca="1" ref="O87" ca="1">_xll.DBRW($C$46,$M$75,O$84,$M$65,$M$77,$C$60,$C$61,$P$79,$C$62,$P$78,$P$76,$P$75,$P$77,$J87,$K87,$M$82,$C$64,O$86)</f>
        <v>#NAME?</v>
      </c>
      <c r="P87" s="12" t="e" cm="1">
        <f t="array" aca="1" ref="P87" ca="1">_xll.DBRW($C$46,$M$75,P$84,$M$65,$M$77,$C$60,$C$61,$P$79,$C$62,$P$78,$P$76,$P$75,$P$77,$J87,$K87,$M$82,$C$64,P$86)</f>
        <v>#NAME?</v>
      </c>
      <c r="Q87" s="20"/>
      <c r="R87" s="12" t="e" cm="1">
        <f t="array" aca="1" ref="R87" ca="1">_xll.DBRW($C$46,$M$75,R$84,$M$65,$M$77,$C$60,$C$61,$P$79,$C$62,$P$78,$P$76,$P$75,$P$77,$J87,$K87,$M$82,$C$64,R$86)</f>
        <v>#NAME?</v>
      </c>
      <c r="S87" s="12" t="e" cm="1">
        <f t="array" aca="1" ref="S87" ca="1">_xll.DBRW($C$46,$M$75,S$84,$M$65,$M$77,$C$60,$C$61,$P$79,$C$62,$P$78,$P$76,$P$75,$P$77,$J87,$K87,$M$82,$C$64,S$86)</f>
        <v>#NAME?</v>
      </c>
    </row>
  </sheetData>
  <mergeCells count="32">
    <mergeCell ref="R83:S83"/>
    <mergeCell ref="K87:L87"/>
    <mergeCell ref="P77:Q77"/>
    <mergeCell ref="P78:Q78"/>
    <mergeCell ref="M74:N74"/>
    <mergeCell ref="M79:N79"/>
    <mergeCell ref="M81:N81"/>
    <mergeCell ref="M82:N82"/>
    <mergeCell ref="P63:Q63"/>
    <mergeCell ref="P80:Q80"/>
    <mergeCell ref="M64:N64"/>
    <mergeCell ref="M65:N65"/>
    <mergeCell ref="M78:N78"/>
    <mergeCell ref="M77:N77"/>
    <mergeCell ref="P79:Q79"/>
    <mergeCell ref="P76:Q76"/>
    <mergeCell ref="M75:N75"/>
    <mergeCell ref="M63:N63"/>
    <mergeCell ref="P75:Q75"/>
    <mergeCell ref="M76:N76"/>
    <mergeCell ref="M80:N80"/>
    <mergeCell ref="B11:D11"/>
    <mergeCell ref="B19:D19"/>
    <mergeCell ref="B27:D27"/>
    <mergeCell ref="B45:D45"/>
    <mergeCell ref="B59:D59"/>
    <mergeCell ref="K7:L7"/>
    <mergeCell ref="K2:L2"/>
    <mergeCell ref="K3:L3"/>
    <mergeCell ref="K4:L4"/>
    <mergeCell ref="K5:L5"/>
    <mergeCell ref="K6:L6"/>
  </mergeCells>
  <pageMargins left="0.70866141732283472" right="0.70866141732283472" top="0.74803149606299213" bottom="0.74803149606299213" header="0.31496062992125984" footer="0.31496062992125984"/>
  <pageSetup paperSize="9" scale="40" fitToHeight="0" orientation="portrait" horizontalDpi="360" verticalDpi="360" r:id="rId1"/>
  <drawing r:id="rId2"/>
  <legacyDrawing r:id="rId3"/>
  <controls>
    <mc:AlternateContent xmlns:mc="http://schemas.openxmlformats.org/markup-compatibility/2006">
      <mc:Choice Requires="x14">
        <control shapeId="1033" r:id="rId4" name="TIButton9">
          <controlPr defaultSize="0" print="0" autoLine="0" autoPict="0" r:id="rId5">
            <anchor moveWithCells="1" sizeWithCells="1">
              <from>
                <xdr:col>9</xdr:col>
                <xdr:colOff>2943225</xdr:colOff>
                <xdr:row>67</xdr:row>
                <xdr:rowOff>47625</xdr:rowOff>
              </from>
              <to>
                <xdr:col>9</xdr:col>
                <xdr:colOff>3895725</xdr:colOff>
                <xdr:row>68</xdr:row>
                <xdr:rowOff>238125</xdr:rowOff>
              </to>
            </anchor>
          </controlPr>
        </control>
      </mc:Choice>
      <mc:Fallback>
        <control shapeId="1033" r:id="rId4" name="TIButton9"/>
      </mc:Fallback>
    </mc:AlternateContent>
    <mc:AlternateContent xmlns:mc="http://schemas.openxmlformats.org/markup-compatibility/2006">
      <mc:Choice Requires="x14">
        <control shapeId="1031" r:id="rId6" name="TIButton7">
          <controlPr defaultSize="0" print="0" autoLine="0" r:id="rId7">
            <anchor moveWithCells="1" sizeWithCells="1">
              <from>
                <xdr:col>16</xdr:col>
                <xdr:colOff>533400</xdr:colOff>
                <xdr:row>67</xdr:row>
                <xdr:rowOff>19050</xdr:rowOff>
              </from>
              <to>
                <xdr:col>16</xdr:col>
                <xdr:colOff>847725</xdr:colOff>
                <xdr:row>68</xdr:row>
                <xdr:rowOff>276225</xdr:rowOff>
              </to>
            </anchor>
          </controlPr>
        </control>
      </mc:Choice>
      <mc:Fallback>
        <control shapeId="1031" r:id="rId6" name="TIButton7"/>
      </mc:Fallback>
    </mc:AlternateContent>
    <mc:AlternateContent xmlns:mc="http://schemas.openxmlformats.org/markup-compatibility/2006">
      <mc:Choice Requires="x14">
        <control shapeId="1028" r:id="rId8" name="TIButton4">
          <controlPr defaultSize="0" print="0" autoLine="0" r:id="rId9">
            <anchor moveWithCells="1" sizeWithCells="1">
              <from>
                <xdr:col>9</xdr:col>
                <xdr:colOff>3943350</xdr:colOff>
                <xdr:row>67</xdr:row>
                <xdr:rowOff>47625</xdr:rowOff>
              </from>
              <to>
                <xdr:col>10</xdr:col>
                <xdr:colOff>676275</xdr:colOff>
                <xdr:row>68</xdr:row>
                <xdr:rowOff>238125</xdr:rowOff>
              </to>
            </anchor>
          </controlPr>
        </control>
      </mc:Choice>
      <mc:Fallback>
        <control shapeId="1028" r:id="rId8" name="TIButton4"/>
      </mc:Fallback>
    </mc:AlternateContent>
    <mc:AlternateContent xmlns:mc="http://schemas.openxmlformats.org/markup-compatibility/2006">
      <mc:Choice Requires="x14">
        <control shapeId="1027" r:id="rId10" name="TIButton3">
          <controlPr defaultSize="0" print="0" autoLine="0" r:id="rId11">
            <anchor moveWithCells="1" sizeWithCells="1">
              <from>
                <xdr:col>9</xdr:col>
                <xdr:colOff>1562100</xdr:colOff>
                <xdr:row>67</xdr:row>
                <xdr:rowOff>47625</xdr:rowOff>
              </from>
              <to>
                <xdr:col>9</xdr:col>
                <xdr:colOff>2914650</xdr:colOff>
                <xdr:row>68</xdr:row>
                <xdr:rowOff>238125</xdr:rowOff>
              </to>
            </anchor>
          </controlPr>
        </control>
      </mc:Choice>
      <mc:Fallback>
        <control shapeId="1027" r:id="rId10" name="TIButton3"/>
      </mc:Fallback>
    </mc:AlternateContent>
    <mc:AlternateContent xmlns:mc="http://schemas.openxmlformats.org/markup-compatibility/2006">
      <mc:Choice Requires="x14">
        <control shapeId="1026" r:id="rId12" name="TIButton2">
          <controlPr defaultSize="0" print="0" autoLine="0" r:id="rId13">
            <anchor moveWithCells="1" sizeWithCells="1">
              <from>
                <xdr:col>9</xdr:col>
                <xdr:colOff>704850</xdr:colOff>
                <xdr:row>67</xdr:row>
                <xdr:rowOff>47625</xdr:rowOff>
              </from>
              <to>
                <xdr:col>9</xdr:col>
                <xdr:colOff>1524000</xdr:colOff>
                <xdr:row>68</xdr:row>
                <xdr:rowOff>238125</xdr:rowOff>
              </to>
            </anchor>
          </controlPr>
        </control>
      </mc:Choice>
      <mc:Fallback>
        <control shapeId="1026" r:id="rId12" name="TIButton2"/>
      </mc:Fallback>
    </mc:AlternateContent>
    <mc:AlternateContent xmlns:mc="http://schemas.openxmlformats.org/markup-compatibility/2006">
      <mc:Choice Requires="x14">
        <control shapeId="1025" r:id="rId14" name="TIButton1">
          <controlPr defaultSize="0" print="0" autoLine="0" r:id="rId15">
            <anchor moveWithCells="1" sizeWithCells="1">
              <from>
                <xdr:col>9</xdr:col>
                <xdr:colOff>28575</xdr:colOff>
                <xdr:row>67</xdr:row>
                <xdr:rowOff>47625</xdr:rowOff>
              </from>
              <to>
                <xdr:col>9</xdr:col>
                <xdr:colOff>666750</xdr:colOff>
                <xdr:row>68</xdr:row>
                <xdr:rowOff>238125</xdr:rowOff>
              </to>
            </anchor>
          </controlPr>
        </control>
      </mc:Choice>
      <mc:Fallback>
        <control shapeId="1025" r:id="rId14" name="TIButton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3B1EB9-FB73-466B-B4FB-2B8F7A242D4B}">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TBAL</vt:lpstr>
      <vt:lpstr>db_name</vt:lpstr>
      <vt:lpstr>psApp</vt:lpstr>
      <vt:lpstr>psHLYear</vt:lpstr>
      <vt:lpstr>psScenario</vt:lpstr>
      <vt:lpstr>psUser</vt:lpstr>
      <vt:lpstr>sFBOYear</vt:lpstr>
      <vt:lpstr>sSubAcc</vt:lpstr>
      <vt:lpstr>TM1FBOCAP</vt:lpstr>
      <vt:lpstr>TM1FBORptCAP</vt:lpstr>
      <vt:lpstr>TM1FBORptWB</vt:lpstr>
      <vt:lpstr>TM1FBORptWS</vt:lpstr>
      <vt:lpstr>TM1FBOWB</vt:lpstr>
      <vt:lpstr>TM1FBOWS</vt:lpstr>
      <vt:lpstr>TM1HomeAdminCAP</vt:lpstr>
      <vt:lpstr>TM1HomeAdminWB</vt:lpstr>
      <vt:lpstr>TM1HomeAdminWS</vt:lpstr>
      <vt:lpstr>TM1HomeAECAP</vt:lpstr>
      <vt:lpstr>TM1HomeAEWB</vt:lpstr>
      <vt:lpstr>TM1HomeAEWS</vt:lpstr>
      <vt:lpstr>TM1HomeCAP</vt:lpstr>
      <vt:lpstr>TM1HomeRepAnalyticalCAP</vt:lpstr>
      <vt:lpstr>TM1HomeRepAnalyticalWB</vt:lpstr>
      <vt:lpstr>TM1HomeRepAnalyticalWS</vt:lpstr>
      <vt:lpstr>TM1HomeRepCAP</vt:lpstr>
      <vt:lpstr>TM1HomeRepOtherCAP</vt:lpstr>
      <vt:lpstr>TM1HomeRepOtherWB</vt:lpstr>
      <vt:lpstr>TM1HomeRepOtherWS</vt:lpstr>
      <vt:lpstr>TM1HomeRepWB</vt:lpstr>
      <vt:lpstr>TM1HomeRepWS</vt:lpstr>
      <vt:lpstr>TM1HomeWB</vt:lpstr>
      <vt:lpstr>TM1HomeWS</vt:lpstr>
      <vt:lpstr>TM1OthRprTBalAccCAP</vt:lpstr>
      <vt:lpstr>TM1OthRprTBalAccWB</vt:lpstr>
      <vt:lpstr>TM1OthRprTBalAccWS</vt:lpstr>
      <vt:lpstr>TM1OthRprTBalCAP</vt:lpstr>
      <vt:lpstr>TM1OthRprTBalDetailCAP</vt:lpstr>
      <vt:lpstr>TM1OthRprTBalDetailWB</vt:lpstr>
      <vt:lpstr>TM1OthRprTBalDetailWS</vt:lpstr>
      <vt:lpstr>TM1OthRprTBalDrillCAP</vt:lpstr>
      <vt:lpstr>TM1OthRprTBalDrillWB</vt:lpstr>
      <vt:lpstr>TM1OthRprTBalDrillWS</vt:lpstr>
      <vt:lpstr>TM1OthRprTBalWB</vt:lpstr>
      <vt:lpstr>TM1OthRprTBalWS</vt:lpstr>
      <vt:lpstr>TBAL!TM1RPTDATARNG6</vt:lpstr>
      <vt:lpstr>TBAL!TM1RPTFMTIDCOL</vt:lpstr>
      <vt:lpstr>TBAL!TM1RPTFMTRNG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Khristian Gimena</dc:creator>
  <cp:lastModifiedBy>Xin HE</cp:lastModifiedBy>
  <cp:lastPrinted>2019-06-10T08:12:13Z</cp:lastPrinted>
  <dcterms:created xsi:type="dcterms:W3CDTF">2019-06-10T07:32:40Z</dcterms:created>
  <dcterms:modified xsi:type="dcterms:W3CDTF">2025-08-05T04:41:51Z</dcterms:modified>
</cp:coreProperties>
</file>