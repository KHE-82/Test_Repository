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194CE22F-41F9-4A20-8B24-FFB3F9B4BB95}" xr6:coauthVersionLast="47" xr6:coauthVersionMax="47" xr10:uidLastSave="{00000000-0000-0000-0000-000000000000}"/>
  <bookViews>
    <workbookView xWindow="29580" yWindow="780" windowWidth="21600" windowHeight="11385" xr2:uid="{4AAE87B4-1697-4EA2-8857-8A2554EC5328}"/>
  </bookViews>
  <sheets>
    <sheet name="report" sheetId="1" r:id="rId1"/>
  </sheets>
  <definedNames>
    <definedName name="Acc_display_list">report!$C$59:$C$60</definedName>
    <definedName name="db_name">report!$C$12</definedName>
    <definedName name="Freeze_HERE">report!$B$110</definedName>
    <definedName name="psApp">report!$C$27</definedName>
    <definedName name="psHLYear">report!$L$99</definedName>
    <definedName name="psProgDimName">report!$C$23</definedName>
    <definedName name="psUser">report!$C$14</definedName>
    <definedName name="Report_type_table">report!$B$41:$E$42</definedName>
    <definedName name="sys_disprep_list">report!$C$55:$C$56</definedName>
    <definedName name="sys_YN_list">report!$C$57:$C$58</definedName>
    <definedName name="TM1HomeAECAP">report!$D$30</definedName>
    <definedName name="TM1HomeAEWB">report!$F$30</definedName>
    <definedName name="TM1HomeAEWS">report!$H$30</definedName>
    <definedName name="TM1HomeCAP">report!$D$29</definedName>
    <definedName name="TM1HomeRepAnalyticalCAP">report!$D$33</definedName>
    <definedName name="TM1HomeRepAnalyticalWB">report!$F$33</definedName>
    <definedName name="TM1HomeRepAnalyticalWS">report!$H$33</definedName>
    <definedName name="TM1HomeRepCAP">report!$D$31</definedName>
    <definedName name="TM1HomeRepOtherCAP">report!$D$32</definedName>
    <definedName name="TM1HomeRepOtherWB">report!$F$32</definedName>
    <definedName name="TM1HomeRepOtherWS">report!$H$32</definedName>
    <definedName name="TM1HomeRepWB">report!$F$31</definedName>
    <definedName name="TM1HomeRepWS">report!$H$31</definedName>
    <definedName name="TM1HomeWB">report!$F$29</definedName>
    <definedName name="TM1HomeWS">report!$H$29</definedName>
    <definedName name="TM1REBUILDOPTION">0</definedName>
    <definedName name="TM1RPTDATARNG3" localSheetId="0">report!$111:$111</definedName>
    <definedName name="TM1RPTFMTIDCOL" localSheetId="0">report!$B$1:$B$8</definedName>
    <definedName name="TM1RPTFMTRNG" localSheetId="0">report!$K$1:$AB$8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4" i="1" l="1"/>
  <c r="O102" i="1"/>
  <c r="L103" i="1"/>
  <c r="C50" i="1"/>
  <c r="C49" i="1"/>
  <c r="C48" i="1"/>
  <c r="O101" i="1"/>
  <c r="C45" i="1"/>
  <c r="C46" i="1"/>
  <c r="C43" i="1"/>
  <c r="O100" i="1"/>
  <c r="L105" i="1"/>
  <c r="C53" i="1"/>
  <c r="C52" i="1"/>
  <c r="C51" i="1"/>
  <c r="O99" i="1"/>
  <c r="O104" i="1"/>
  <c r="C61" i="1"/>
  <c r="C36" i="1"/>
  <c r="L111" i="1"/>
  <c r="C20" i="1"/>
  <c r="C23" i="1"/>
  <c r="L102" i="1"/>
  <c r="C41" i="1"/>
  <c r="C42" i="1"/>
  <c r="C39" i="1"/>
  <c r="K111" i="1"/>
  <c r="O103" i="1"/>
  <c r="C62" i="1"/>
  <c r="M111" i="1"/>
  <c r="C21" i="1"/>
  <c r="L99" i="1"/>
  <c r="C22" i="1"/>
  <c r="L100" i="1"/>
  <c r="L101" i="1"/>
  <c r="C68" i="1"/>
  <c r="C69" i="1"/>
  <c r="J111" i="1"/>
  <c r="C71" i="1"/>
  <c r="C72" i="1"/>
  <c r="C73" i="1"/>
  <c r="C74" i="1"/>
  <c r="C75" i="1"/>
  <c r="C78" i="1"/>
  <c r="C79" i="1"/>
  <c r="N19" i="1"/>
  <c r="O20" i="1"/>
  <c r="AB20" i="1" a="1"/>
  <c r="AB20" i="1"/>
  <c r="AB107" i="1"/>
  <c r="AB111" i="1"/>
  <c r="AA20" i="1" a="1"/>
  <c r="AA20" i="1"/>
  <c r="AA107" i="1"/>
  <c r="AA111" i="1"/>
  <c r="Z20" i="1" a="1"/>
  <c r="Z20" i="1"/>
  <c r="Z107" i="1"/>
  <c r="Z111" i="1"/>
  <c r="Y20" i="1" a="1"/>
  <c r="Y20" i="1"/>
  <c r="Y107" i="1"/>
  <c r="Y111" i="1"/>
  <c r="X20" i="1" a="1"/>
  <c r="X20" i="1"/>
  <c r="X107" i="1"/>
  <c r="X111" i="1"/>
  <c r="W20" i="1" a="1"/>
  <c r="W20" i="1"/>
  <c r="W107" i="1"/>
  <c r="W111" i="1"/>
  <c r="V20" i="1" a="1"/>
  <c r="V20" i="1"/>
  <c r="V107" i="1"/>
  <c r="V111" i="1"/>
  <c r="U20" i="1" a="1"/>
  <c r="U20" i="1"/>
  <c r="U107" i="1"/>
  <c r="U111" i="1"/>
  <c r="T20" i="1" a="1"/>
  <c r="T20" i="1"/>
  <c r="T107" i="1"/>
  <c r="T111" i="1"/>
  <c r="S20" i="1"/>
  <c r="S107" i="1"/>
  <c r="S111" i="1"/>
  <c r="R20" i="1"/>
  <c r="R107" i="1"/>
  <c r="R111" i="1"/>
  <c r="Q20" i="1"/>
  <c r="Q107" i="1"/>
  <c r="Q111" i="1"/>
  <c r="P20" i="1"/>
  <c r="P107" i="1"/>
  <c r="P111" i="1"/>
  <c r="O107" i="1"/>
  <c r="O111" i="1"/>
  <c r="N20" i="1"/>
  <c r="N107" i="1"/>
  <c r="N111" i="1"/>
  <c r="R105" i="1"/>
  <c r="C70" i="1"/>
  <c r="AB108" i="1"/>
  <c r="AA108" i="1"/>
  <c r="Z108" i="1"/>
  <c r="Y108" i="1"/>
  <c r="X108" i="1"/>
  <c r="W108" i="1"/>
  <c r="V108" i="1"/>
  <c r="U108" i="1"/>
  <c r="T108" i="1"/>
  <c r="C26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C13" i="1"/>
  <c r="C14" i="1"/>
  <c r="C15" i="1"/>
  <c r="C17" i="1"/>
  <c r="C16" i="1"/>
  <c r="S108" i="1"/>
  <c r="R108" i="1"/>
  <c r="Q108" i="1"/>
  <c r="P108" i="1"/>
  <c r="O108" i="1"/>
  <c r="N108" i="1"/>
  <c r="B111" i="1"/>
  <c r="B5" i="1"/>
  <c r="B4" i="1"/>
  <c r="B3" i="1"/>
  <c r="B2" i="1"/>
</calcChain>
</file>

<file path=xl/sharedStrings.xml><?xml version="1.0" encoding="utf-8"?>
<sst xmlns="http://schemas.openxmlformats.org/spreadsheetml/2006/main" count="133" uniqueCount="111">
  <si>
    <t>headline year</t>
  </si>
  <si>
    <t>scenario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</si>
  <si>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</si>
  <si>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</si>
  <si>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</si>
  <si>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</si>
  <si>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</si>
  <si>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</si>
  <si>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</si>
  <si>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</si>
  <si>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movement account</t>
  </si>
  <si>
    <t>id</t>
  </si>
  <si>
    <t>jurisdiction</t>
  </si>
  <si>
    <t>D</t>
  </si>
  <si>
    <t>N</t>
  </si>
  <si>
    <t>[Begin Format Range]</t>
  </si>
  <si>
    <t>[End Format Range]</t>
  </si>
  <si>
    <t>Appropriation Item</t>
  </si>
  <si>
    <t>Programme</t>
  </si>
  <si>
    <t>period</t>
  </si>
  <si>
    <t>Acc MDX</t>
  </si>
  <si>
    <t>Prog MDX</t>
  </si>
  <si>
    <t>code and description</t>
  </si>
  <si>
    <t>Summary</t>
  </si>
  <si>
    <t>Yes</t>
  </si>
  <si>
    <t>sys_disprep_list</t>
  </si>
  <si>
    <t>Detail</t>
  </si>
  <si>
    <t>No</t>
  </si>
  <si>
    <t>sys_YN_list</t>
  </si>
  <si>
    <t>Acc_Display_list</t>
  </si>
  <si>
    <t>Code and description</t>
  </si>
  <si>
    <t>description</t>
  </si>
  <si>
    <t>Supress Zero Flag</t>
  </si>
  <si>
    <t>Expand Above Flag</t>
  </si>
  <si>
    <t>Approp Item MDX</t>
  </si>
  <si>
    <t>Report type table for Prog MDX:</t>
  </si>
  <si>
    <t>Report Type table for Approp Item MDX:</t>
  </si>
  <si>
    <t>RB</t>
  </si>
  <si>
    <t>NB</t>
  </si>
  <si>
    <t>FE2</t>
  </si>
  <si>
    <t>$'000</t>
  </si>
  <si>
    <t>FE1</t>
  </si>
  <si>
    <t>FE3</t>
  </si>
  <si>
    <t>Freeze Rows HERE</t>
  </si>
  <si>
    <t>{TM1DRILLDOWNMEMBER( {[account].[9000851].Children}, ALL, RECURSIVE )}</t>
  </si>
  <si>
    <t>Account Display  :</t>
  </si>
  <si>
    <t>System Parameters</t>
  </si>
  <si>
    <t>Dataabase Name</t>
  </si>
  <si>
    <t>}Clients</t>
  </si>
  <si>
    <t>TM1 User</t>
  </si>
  <si>
    <t>}TM1_DefaultDisplayValue</t>
  </si>
  <si>
    <t>GEUS User Name</t>
  </si>
  <si>
    <t>Current User</t>
  </si>
  <si>
    <t xml:space="preserve">System Variables </t>
  </si>
  <si>
    <t>VIEW</t>
  </si>
  <si>
    <t>headline scenario</t>
  </si>
  <si>
    <t>program dimension name</t>
  </si>
  <si>
    <t>Active Form AE Adjustments</t>
  </si>
  <si>
    <t>Active Form View</t>
  </si>
  <si>
    <t>Slice View</t>
  </si>
  <si>
    <t>Report Headers AE Adjustment</t>
  </si>
  <si>
    <t>Summary/Collapse</t>
  </si>
  <si>
    <t>Detail/Expand</t>
  </si>
  <si>
    <t>REPORT PARAMETERS</t>
  </si>
  <si>
    <t>DISPLAY SETTINGS</t>
  </si>
  <si>
    <t>Expand Above:</t>
  </si>
  <si>
    <t>Suppress Zero:</t>
  </si>
  <si>
    <t>Headline Year :</t>
  </si>
  <si>
    <t>Scenario :</t>
  </si>
  <si>
    <t>Program :</t>
  </si>
  <si>
    <t>Status :</t>
  </si>
  <si>
    <t>sys_application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</si>
  <si>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</si>
  <si>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</si>
  <si>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</si>
  <si>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</si>
  <si>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</si>
  <si>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</si>
  <si>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</si>
  <si>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</si>
  <si>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</si>
  <si>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</si>
  <si>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Reports - Other</t>
  </si>
  <si>
    <t>Reports - Special Accounts</t>
  </si>
  <si>
    <t>As at</t>
  </si>
  <si>
    <t>PROGRAM</t>
  </si>
  <si>
    <t>APPROPRIATION ITEM</t>
  </si>
  <si>
    <t>ACCOUNT</t>
  </si>
  <si>
    <t>Homepage - Reports - Analytical</t>
  </si>
  <si>
    <t>FE5</t>
  </si>
  <si>
    <t>FE6</t>
  </si>
  <si>
    <t>FE7</t>
  </si>
  <si>
    <t>FE8</t>
  </si>
  <si>
    <t>FE9</t>
  </si>
  <si>
    <t>FE10</t>
  </si>
  <si>
    <t>FE11</t>
  </si>
  <si>
    <t>FE12</t>
  </si>
  <si>
    <t>FE13</t>
  </si>
  <si>
    <t>FE4</t>
  </si>
  <si>
    <t>Appropriation Item :</t>
  </si>
  <si>
    <t>SubFunction Report</t>
  </si>
  <si>
    <t xml:space="preserve">SubFunction : </t>
  </si>
  <si>
    <t>SUBFUNCTION</t>
  </si>
  <si>
    <t>Function - MDX</t>
  </si>
  <si>
    <t>Collapse</t>
  </si>
  <si>
    <t xml:space="preserve">Account : </t>
  </si>
  <si>
    <t>Program  :</t>
  </si>
  <si>
    <t>SubFunction  :</t>
  </si>
  <si>
    <t>Account  :</t>
  </si>
  <si>
    <t>Appropriation  :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</si>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</sst>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[Red]_(* \(#,##0\);_(* &quot;-&quot;??_);_(@_)"/>
    <numFmt numFmtId="165" formatCode="_(* #,##0.00_);_(* \(#,##0.00\);_(* &quot;-&quot;??_);_(@_)"/>
    <numFmt numFmtId="166" formatCode="dd\ mmmm\ yyyy\ h:mm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9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9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4274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1" applyFont="1" applyAlignment="1">
      <alignment horizontal="right" indent="2"/>
    </xf>
    <xf numFmtId="0" fontId="7" fillId="0" borderId="0" xfId="1" applyFont="1" applyAlignment="1">
      <alignment horizontal="right" wrapText="1" indent="1"/>
    </xf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 applyAlignment="1">
      <alignment wrapText="1"/>
    </xf>
    <xf numFmtId="0" fontId="2" fillId="0" borderId="6" xfId="0" applyFont="1" applyBorder="1"/>
    <xf numFmtId="0" fontId="2" fillId="2" borderId="0" xfId="0" applyFont="1" applyFill="1"/>
    <xf numFmtId="0" fontId="2" fillId="0" borderId="0" xfId="0" applyFont="1" applyAlignment="1">
      <alignment vertical="top"/>
    </xf>
    <xf numFmtId="0" fontId="2" fillId="0" borderId="8" xfId="0" applyFont="1" applyBorder="1"/>
    <xf numFmtId="0" fontId="2" fillId="0" borderId="0" xfId="0" applyFont="1" applyAlignment="1">
      <alignment horizontal="center"/>
    </xf>
    <xf numFmtId="0" fontId="0" fillId="3" borderId="0" xfId="0" applyFill="1"/>
    <xf numFmtId="164" fontId="5" fillId="2" borderId="1" xfId="2" applyNumberFormat="1" applyFont="1" applyFill="1" applyBorder="1"/>
    <xf numFmtId="164" fontId="5" fillId="4" borderId="1" xfId="2" applyNumberFormat="1" applyFont="1" applyFill="1" applyBorder="1"/>
    <xf numFmtId="164" fontId="2" fillId="0" borderId="1" xfId="2" applyNumberFormat="1" applyFont="1" applyBorder="1"/>
    <xf numFmtId="0" fontId="5" fillId="2" borderId="1" xfId="0" applyFont="1" applyFill="1" applyBorder="1"/>
    <xf numFmtId="0" fontId="5" fillId="4" borderId="1" xfId="0" applyFont="1" applyFill="1" applyBorder="1"/>
    <xf numFmtId="0" fontId="2" fillId="0" borderId="1" xfId="0" applyFont="1" applyBorder="1"/>
    <xf numFmtId="0" fontId="8" fillId="0" borderId="1" xfId="0" applyFont="1" applyBorder="1"/>
    <xf numFmtId="0" fontId="2" fillId="0" borderId="1" xfId="0" applyFont="1" applyBorder="1" applyAlignment="1">
      <alignment wrapText="1"/>
    </xf>
    <xf numFmtId="0" fontId="10" fillId="0" borderId="0" xfId="0" applyFont="1"/>
    <xf numFmtId="0" fontId="10" fillId="0" borderId="1" xfId="0" applyFont="1" applyBorder="1"/>
    <xf numFmtId="0" fontId="0" fillId="0" borderId="1" xfId="0" applyBorder="1"/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vertical="top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left" indent="1"/>
    </xf>
    <xf numFmtId="0" fontId="11" fillId="0" borderId="0" xfId="0" applyFont="1" applyAlignment="1" applyProtection="1">
      <alignment horizontal="center" vertical="center" wrapText="1"/>
      <protection locked="0"/>
    </xf>
    <xf numFmtId="0" fontId="12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right" vertical="center"/>
    </xf>
    <xf numFmtId="0" fontId="9" fillId="7" borderId="2" xfId="0" applyFont="1" applyFill="1" applyBorder="1" applyAlignment="1">
      <alignment wrapText="1"/>
    </xf>
    <xf numFmtId="0" fontId="10" fillId="0" borderId="0" xfId="0" applyFont="1" applyAlignment="1">
      <alignment horizontal="right" indent="1"/>
    </xf>
    <xf numFmtId="0" fontId="11" fillId="0" borderId="1" xfId="0" applyFont="1" applyBorder="1" applyAlignment="1" applyProtection="1">
      <alignment horizontal="left" vertical="center" indent="1"/>
      <protection locked="0"/>
    </xf>
    <xf numFmtId="0" fontId="2" fillId="0" borderId="7" xfId="0" applyFont="1" applyBorder="1" applyAlignment="1">
      <alignment wrapText="1"/>
    </xf>
    <xf numFmtId="0" fontId="10" fillId="0" borderId="0" xfId="0" applyFont="1" applyAlignment="1">
      <alignment horizontal="right"/>
    </xf>
    <xf numFmtId="0" fontId="9" fillId="5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9" fillId="6" borderId="0" xfId="0" applyFont="1" applyFill="1" applyAlignment="1">
      <alignment horizontal="center"/>
    </xf>
    <xf numFmtId="0" fontId="2" fillId="0" borderId="1" xfId="0" applyFont="1" applyBorder="1" applyAlignment="1">
      <alignment horizontal="left" indent="1"/>
    </xf>
    <xf numFmtId="0" fontId="2" fillId="0" borderId="1" xfId="0" quotePrefix="1" applyFont="1" applyBorder="1"/>
    <xf numFmtId="0" fontId="2" fillId="8" borderId="1" xfId="0" applyFont="1" applyFill="1" applyBorder="1"/>
    <xf numFmtId="0" fontId="2" fillId="8" borderId="1" xfId="0" applyFont="1" applyFill="1" applyBorder="1" applyAlignment="1">
      <alignment vertical="top"/>
    </xf>
    <xf numFmtId="0" fontId="10" fillId="2" borderId="1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166" fontId="10" fillId="0" borderId="0" xfId="0" applyNumberFormat="1" applyFont="1" applyAlignment="1">
      <alignment horizontal="left" indent="1"/>
    </xf>
    <xf numFmtId="0" fontId="9" fillId="7" borderId="2" xfId="0" applyFont="1" applyFill="1" applyBorder="1" applyAlignment="1">
      <alignment horizontal="center" wrapText="1"/>
    </xf>
    <xf numFmtId="0" fontId="9" fillId="7" borderId="0" xfId="0" applyFont="1" applyFill="1" applyAlignment="1">
      <alignment horizontal="center" wrapText="1"/>
    </xf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2" fillId="0" borderId="1" xfId="0" applyFont="1" applyBorder="1"/>
  </cellXfs>
  <cellStyles count="3">
    <cellStyle name="Comma 4" xfId="2" xr:uid="{3C456B04-2302-47A1-81B2-CED617570B80}"/>
    <cellStyle name="Normal" xfId="0" builtinId="0"/>
    <cellStyle name="Normal 3" xfId="1" xr:uid="{D6D312E5-FD04-4555-A282-623E66EC5C77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74"/>
      <color rgb="FFCCE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Relationship Id="rId6" Type="http://schemas.openxmlformats.org/officeDocument/2006/relationships/image" Target="../media/image1.emf"/><Relationship Id="rId5" Type="http://schemas.openxmlformats.org/officeDocument/2006/relationships/image" Target="../media/image6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723900</xdr:colOff>
          <xdr:row>93</xdr:row>
          <xdr:rowOff>38100</xdr:rowOff>
        </xdr:from>
        <xdr:to>
          <xdr:col>18</xdr:col>
          <xdr:colOff>933450</xdr:colOff>
          <xdr:row>94</xdr:row>
          <xdr:rowOff>228600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19050</xdr:colOff>
          <xdr:row>94</xdr:row>
          <xdr:rowOff>9525</xdr:rowOff>
        </xdr:from>
        <xdr:to>
          <xdr:col>9</xdr:col>
          <xdr:colOff>619125</xdr:colOff>
          <xdr:row>94</xdr:row>
          <xdr:rowOff>257175</xdr:rowOff>
        </xdr:to>
        <xdr:sp macro="" textlink="">
          <xdr:nvSpPr>
            <xdr:cNvPr id="1030" name="TIButton2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2028825</xdr:colOff>
          <xdr:row>94</xdr:row>
          <xdr:rowOff>9525</xdr:rowOff>
        </xdr:from>
        <xdr:to>
          <xdr:col>10</xdr:col>
          <xdr:colOff>2562225</xdr:colOff>
          <xdr:row>94</xdr:row>
          <xdr:rowOff>257175</xdr:rowOff>
        </xdr:to>
        <xdr:sp macro="" textlink="">
          <xdr:nvSpPr>
            <xdr:cNvPr id="1031" name="TIButton3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638175</xdr:colOff>
          <xdr:row>94</xdr:row>
          <xdr:rowOff>9525</xdr:rowOff>
        </xdr:from>
        <xdr:to>
          <xdr:col>9</xdr:col>
          <xdr:colOff>1781175</xdr:colOff>
          <xdr:row>94</xdr:row>
          <xdr:rowOff>257175</xdr:rowOff>
        </xdr:to>
        <xdr:sp macro="" textlink="">
          <xdr:nvSpPr>
            <xdr:cNvPr id="1032" name="TIButton1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1790700</xdr:colOff>
          <xdr:row>94</xdr:row>
          <xdr:rowOff>9525</xdr:rowOff>
        </xdr:from>
        <xdr:to>
          <xdr:col>10</xdr:col>
          <xdr:colOff>428625</xdr:colOff>
          <xdr:row>94</xdr:row>
          <xdr:rowOff>257175</xdr:rowOff>
        </xdr:to>
        <xdr:sp macro="" textlink="">
          <xdr:nvSpPr>
            <xdr:cNvPr id="1033" name="TIButton5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447675</xdr:colOff>
          <xdr:row>94</xdr:row>
          <xdr:rowOff>9525</xdr:rowOff>
        </xdr:from>
        <xdr:to>
          <xdr:col>10</xdr:col>
          <xdr:colOff>2009775</xdr:colOff>
          <xdr:row>94</xdr:row>
          <xdr:rowOff>257175</xdr:rowOff>
        </xdr:to>
        <xdr:sp macro="" textlink="">
          <xdr:nvSpPr>
            <xdr:cNvPr id="1034" name="TIButton6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28575</xdr:colOff>
      <xdr:row>92</xdr:row>
      <xdr:rowOff>66675</xdr:rowOff>
    </xdr:from>
    <xdr:to>
      <xdr:col>9</xdr:col>
      <xdr:colOff>1844040</xdr:colOff>
      <xdr:row>93</xdr:row>
      <xdr:rowOff>19050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9750" cy="445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D2CA-ED33-4DB3-A7E7-169F8573C526}">
  <sheetPr codeName="Sheet1">
    <outlinePr showOutlineSymbols="0"/>
    <pageSetUpPr fitToPage="1"/>
  </sheetPr>
  <dimension ref="A1:AB111"/>
  <sheetViews>
    <sheetView showGridLines="0" showRowColHeaders="0" tabSelected="1" showOutlineSymbols="0" topLeftCell="A93" zoomScaleNormal="100" workbookViewId="0">
      <pane xSplit="13" ySplit="18" topLeftCell="N111" activePane="bottomRight" state="frozen"/>
      <selection activeCell="I93" sqref="I93"/>
      <selection pane="topRight" activeCell="N93" sqref="N93"/>
      <selection pane="bottomLeft" activeCell="I111" sqref="I111"/>
      <selection pane="bottomRight" activeCell="B110" sqref="B110"/>
    </sheetView>
  </sheetViews>
  <sheetFormatPr defaultColWidth="8.85546875" defaultRowHeight="12" outlineLevelRow="1" outlineLevelCol="1" x14ac:dyDescent="0.2"/>
  <cols>
    <col min="1" max="1" width="2.28515625" style="1" hidden="1" customWidth="1" outlineLevel="1"/>
    <col min="2" max="8" width="20.85546875" style="1" hidden="1" customWidth="1" outlineLevel="1"/>
    <col min="9" max="9" width="0.85546875" style="1" customWidth="1" collapsed="1"/>
    <col min="10" max="11" width="40.7109375" style="4" customWidth="1"/>
    <col min="12" max="12" width="40.7109375" style="1" customWidth="1"/>
    <col min="13" max="13" width="52.7109375" style="1" customWidth="1"/>
    <col min="14" max="28" width="15.7109375" style="1" customWidth="1"/>
    <col min="29" max="16384" width="8.85546875" style="1"/>
  </cols>
  <sheetData>
    <row r="1" spans="2:28" hidden="1" outlineLevel="1" x14ac:dyDescent="0.2">
      <c r="B1" s="1" t="s">
        <v>15</v>
      </c>
    </row>
    <row r="2" spans="2:28" hidden="1" outlineLevel="1" x14ac:dyDescent="0.2">
      <c r="B2" s="1">
        <f>0</f>
        <v>0</v>
      </c>
      <c r="J2" s="20"/>
      <c r="K2" s="20"/>
      <c r="L2" s="20"/>
      <c r="M2" s="20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2:28" hidden="1" outlineLevel="1" x14ac:dyDescent="0.2">
      <c r="B3" s="1">
        <f>1</f>
        <v>1</v>
      </c>
      <c r="J3" s="21"/>
      <c r="K3" s="21"/>
      <c r="L3" s="21"/>
      <c r="M3" s="21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2:28" hidden="1" outlineLevel="1" x14ac:dyDescent="0.2">
      <c r="B4" s="1">
        <f>2</f>
        <v>2</v>
      </c>
      <c r="J4" s="22"/>
      <c r="K4" s="22"/>
      <c r="L4" s="22"/>
      <c r="M4" s="22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2:28" hidden="1" outlineLevel="1" x14ac:dyDescent="0.2">
      <c r="B5" s="1">
        <f>3</f>
        <v>3</v>
      </c>
      <c r="J5" s="22"/>
      <c r="K5" s="22"/>
      <c r="L5" s="22"/>
      <c r="M5" s="22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2:28" hidden="1" outlineLevel="1" x14ac:dyDescent="0.2">
      <c r="B6" s="1" t="s">
        <v>13</v>
      </c>
      <c r="J6" s="22"/>
      <c r="K6" s="22"/>
      <c r="L6" s="22"/>
      <c r="M6" s="22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2:28" hidden="1" outlineLevel="1" x14ac:dyDescent="0.2">
      <c r="B7" s="1" t="s">
        <v>14</v>
      </c>
      <c r="J7" s="23"/>
      <c r="K7" s="23"/>
      <c r="L7" s="23"/>
      <c r="M7" s="22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2:28" hidden="1" outlineLevel="1" x14ac:dyDescent="0.2">
      <c r="B8" s="1" t="s">
        <v>16</v>
      </c>
    </row>
    <row r="9" spans="2:28" hidden="1" outlineLevel="1" x14ac:dyDescent="0.2"/>
    <row r="10" spans="2:28" hidden="1" outlineLevel="1" x14ac:dyDescent="0.2"/>
    <row r="11" spans="2:28" ht="15" hidden="1" outlineLevel="1" x14ac:dyDescent="0.25">
      <c r="B11" s="48" t="s">
        <v>46</v>
      </c>
      <c r="C11" s="48"/>
    </row>
    <row r="12" spans="2:28" hidden="1" outlineLevel="1" x14ac:dyDescent="0.2">
      <c r="B12" s="22" t="s">
        <v>47</v>
      </c>
      <c r="C12" s="22" t="s">
        <v>110</v>
      </c>
    </row>
    <row r="13" spans="2:28" hidden="1" outlineLevel="1" x14ac:dyDescent="0.2">
      <c r="B13" s="22" t="s">
        <v>48</v>
      </c>
      <c r="C13" s="22" t="str">
        <f ca="1">_xll.VIEW(db_name&amp;":}ElementAttributes_}Clients","!","!")</f>
        <v>dcceew_geus:}ElementAttributes_}Clients</v>
      </c>
    </row>
    <row r="14" spans="2:28" hidden="1" outlineLevel="1" x14ac:dyDescent="0.2">
      <c r="B14" s="22" t="s">
        <v>49</v>
      </c>
      <c r="C14" s="22" t="str">
        <f ca="1">_xll.TM1USER(db_name)</f>
        <v/>
      </c>
    </row>
    <row r="15" spans="2:28" hidden="1" outlineLevel="1" x14ac:dyDescent="0.2">
      <c r="B15" s="22" t="s">
        <v>50</v>
      </c>
      <c r="C15" s="22" t="str">
        <f ca="1">_xll.DBR($C$13,$C$14,$B15)</f>
        <v>*KEY_ERR</v>
      </c>
    </row>
    <row r="16" spans="2:28" hidden="1" outlineLevel="1" x14ac:dyDescent="0.2">
      <c r="B16" s="22" t="s">
        <v>51</v>
      </c>
      <c r="C16" s="22" t="str">
        <f ca="1">_xll.DBR($C$13,$C$14,$B16)</f>
        <v>*KEY_ERR</v>
      </c>
    </row>
    <row r="17" spans="2:28" hidden="1" outlineLevel="1" x14ac:dyDescent="0.2">
      <c r="B17" s="22" t="s">
        <v>52</v>
      </c>
      <c r="C17" s="22" t="str">
        <f ca="1">IF(LEFT($C$15,6)="CAM_AD",$C$16,$C$15)</f>
        <v>*KEY_ERR</v>
      </c>
    </row>
    <row r="18" spans="2:28" ht="12.75" hidden="1" outlineLevel="1" thickBot="1" x14ac:dyDescent="0.25"/>
    <row r="19" spans="2:28" ht="15" hidden="1" outlineLevel="1" x14ac:dyDescent="0.25">
      <c r="B19" s="49" t="s">
        <v>53</v>
      </c>
      <c r="C19" s="50"/>
      <c r="N19" s="15" t="str">
        <f ca="1">RIGHT(psHLYear,9)</f>
        <v/>
      </c>
      <c r="O19" s="15"/>
      <c r="P19" s="15"/>
      <c r="Q19" s="15"/>
      <c r="R19" s="15"/>
      <c r="S19" s="15"/>
    </row>
    <row r="20" spans="2:28" ht="15" hidden="1" outlineLevel="1" x14ac:dyDescent="0.25">
      <c r="B20" s="27" t="s">
        <v>54</v>
      </c>
      <c r="C20" s="27" t="str">
        <f ca="1">_xll.VIEW(db_name&amp;":}ElementAttributes_variables","!","!")</f>
        <v>dcceew_geus:}ElementAttributes_variables</v>
      </c>
      <c r="N20" s="15" t="str">
        <f ca="1">_xll.DIMNM(db_name&amp;":period",_xll.DIMIX(db_name&amp;":period",$N$19)+N21)</f>
        <v/>
      </c>
      <c r="O20" s="15" t="str">
        <f ca="1">_xll.DIMNM(db_name&amp;":period",_xll.DIMIX(db_name&amp;":period",$N$19)+O21)</f>
        <v/>
      </c>
      <c r="P20" s="15" t="str">
        <f ca="1">_xll.DIMNM(db_name&amp;":period",_xll.DIMIX(db_name&amp;":period",$N$19)+P21)</f>
        <v/>
      </c>
      <c r="Q20" s="15" t="str">
        <f ca="1">_xll.DIMNM(db_name&amp;":period",_xll.DIMIX(db_name&amp;":period",$N$19)+Q21)</f>
        <v/>
      </c>
      <c r="R20" s="15" t="str">
        <f ca="1">_xll.DIMNM(db_name&amp;":period",_xll.DIMIX(db_name&amp;":period",$N$19)+R21)</f>
        <v/>
      </c>
      <c r="S20" s="15" t="str">
        <f ca="1">_xll.DIMNM(db_name&amp;":period",_xll.DIMIX(db_name&amp;":period",$N$19)+S21)</f>
        <v/>
      </c>
      <c r="T20" s="42" t="str">
        <f t="array" aca="1" ref="T20" ca="1">_xll.DIMNM(db_name&amp;":period",_xll.DIMIX(db_name&amp;":period",$O$20)+T$21)</f>
        <v/>
      </c>
      <c r="U20" s="42" t="str">
        <f t="array" aca="1" ref="U20" ca="1">_xll.DIMNM(db_name&amp;":period",_xll.DIMIX(db_name&amp;":period",$O$20)+U$21)</f>
        <v/>
      </c>
      <c r="V20" s="42" t="str">
        <f t="array" aca="1" ref="V20" ca="1">_xll.DIMNM(db_name&amp;":period",_xll.DIMIX(db_name&amp;":period",$O$20)+V$21)</f>
        <v/>
      </c>
      <c r="W20" s="42" t="str">
        <f t="array" aca="1" ref="W20" ca="1">_xll.DIMNM(db_name&amp;":period",_xll.DIMIX(db_name&amp;":period",$O$20)+W$21)</f>
        <v/>
      </c>
      <c r="X20" s="42" t="str">
        <f t="array" aca="1" ref="X20" ca="1">_xll.DIMNM(db_name&amp;":period",_xll.DIMIX(db_name&amp;":period",$O$20)+X$21)</f>
        <v/>
      </c>
      <c r="Y20" s="42" t="str">
        <f t="array" aca="1" ref="Y20" ca="1">_xll.DIMNM(db_name&amp;":period",_xll.DIMIX(db_name&amp;":period",$O$20)+Y$21)</f>
        <v/>
      </c>
      <c r="Z20" s="42" t="str">
        <f t="array" aca="1" ref="Z20" ca="1">_xll.DIMNM(db_name&amp;":period",_xll.DIMIX(db_name&amp;":period",$O$20)+Z$21)</f>
        <v/>
      </c>
      <c r="AA20" s="42" t="str">
        <f t="array" aca="1" ref="AA20" ca="1">_xll.DIMNM(db_name&amp;":period",_xll.DIMIX(db_name&amp;":period",$O$20)+AA$21)</f>
        <v/>
      </c>
      <c r="AB20" s="42" t="str">
        <f t="array" aca="1" ref="AB20" ca="1">_xll.DIMNM(db_name&amp;":period",_xll.DIMIX(db_name&amp;":period",$O$20)+AB$21)</f>
        <v/>
      </c>
    </row>
    <row r="21" spans="2:28" ht="15" hidden="1" outlineLevel="1" x14ac:dyDescent="0.25">
      <c r="B21" s="27" t="s">
        <v>0</v>
      </c>
      <c r="C21" s="27" t="str">
        <f ca="1">_xll.DBR($C$20,$B21,"value")</f>
        <v>*KEY_ERR</v>
      </c>
      <c r="N21" s="15">
        <v>-1</v>
      </c>
      <c r="O21" s="15">
        <v>0</v>
      </c>
      <c r="P21" s="15">
        <v>1</v>
      </c>
      <c r="Q21" s="15">
        <v>2</v>
      </c>
      <c r="R21" s="15">
        <v>3</v>
      </c>
      <c r="S21" s="15">
        <v>4</v>
      </c>
      <c r="T21" s="42">
        <v>5</v>
      </c>
      <c r="U21" s="42">
        <v>6</v>
      </c>
      <c r="V21" s="42">
        <v>7</v>
      </c>
      <c r="W21" s="42">
        <v>8</v>
      </c>
      <c r="X21" s="42">
        <v>9</v>
      </c>
      <c r="Y21" s="42">
        <v>10</v>
      </c>
      <c r="Z21" s="42">
        <v>11</v>
      </c>
      <c r="AA21" s="42">
        <v>12</v>
      </c>
      <c r="AB21" s="42">
        <v>13</v>
      </c>
    </row>
    <row r="22" spans="2:28" ht="15" hidden="1" outlineLevel="1" x14ac:dyDescent="0.25">
      <c r="B22" s="27" t="s">
        <v>55</v>
      </c>
      <c r="C22" s="27" t="str">
        <f ca="1">_xll.DBR($C$20,$B22,"value")</f>
        <v>*KEY_ERR</v>
      </c>
      <c r="J22" s="1"/>
      <c r="K22" s="1"/>
      <c r="N22" s="43" t="s">
        <v>37</v>
      </c>
      <c r="O22" s="43" t="s">
        <v>38</v>
      </c>
      <c r="P22" s="43" t="s">
        <v>41</v>
      </c>
      <c r="Q22" s="43" t="s">
        <v>39</v>
      </c>
      <c r="R22" s="43" t="s">
        <v>42</v>
      </c>
      <c r="S22" s="43" t="s">
        <v>98</v>
      </c>
      <c r="T22" s="43" t="s">
        <v>89</v>
      </c>
      <c r="U22" s="43" t="s">
        <v>90</v>
      </c>
      <c r="V22" s="43" t="s">
        <v>91</v>
      </c>
      <c r="W22" s="43" t="s">
        <v>92</v>
      </c>
      <c r="X22" s="43" t="s">
        <v>93</v>
      </c>
      <c r="Y22" s="43" t="s">
        <v>94</v>
      </c>
      <c r="Z22" s="43" t="s">
        <v>95</v>
      </c>
      <c r="AA22" s="43" t="s">
        <v>96</v>
      </c>
      <c r="AB22" s="43" t="s">
        <v>97</v>
      </c>
    </row>
    <row r="23" spans="2:28" ht="15" hidden="1" outlineLevel="1" x14ac:dyDescent="0.25">
      <c r="B23" s="27" t="s">
        <v>56</v>
      </c>
      <c r="C23" s="27" t="str">
        <f ca="1">_xll.DBR($C$20,$B23,"value")</f>
        <v>*KEY_ERR</v>
      </c>
    </row>
    <row r="24" spans="2:28" hidden="1" outlineLevel="1" x14ac:dyDescent="0.2">
      <c r="J24" s="1"/>
      <c r="K24" s="1"/>
    </row>
    <row r="25" spans="2:28" ht="15" hidden="1" outlineLevel="1" x14ac:dyDescent="0.25">
      <c r="B25" s="54" t="s">
        <v>71</v>
      </c>
      <c r="C25" s="55"/>
      <c r="D25" s="56"/>
      <c r="E25"/>
      <c r="F25"/>
      <c r="G25"/>
      <c r="H25"/>
      <c r="J25" s="1"/>
      <c r="K25" s="1"/>
    </row>
    <row r="26" spans="2:28" ht="15" hidden="1" outlineLevel="1" x14ac:dyDescent="0.25">
      <c r="B26" s="26" t="s">
        <v>59</v>
      </c>
      <c r="C26" s="27" t="str">
        <f ca="1">_xll.VIEW(db_name&amp;":sys_application","!","!")</f>
        <v>dcceew_geus:sys_application</v>
      </c>
      <c r="D26" s="27"/>
      <c r="E26"/>
      <c r="F26"/>
      <c r="G26"/>
      <c r="H26"/>
      <c r="J26" s="1"/>
      <c r="K26" s="1"/>
    </row>
    <row r="27" spans="2:28" ht="15" hidden="1" outlineLevel="1" x14ac:dyDescent="0.25">
      <c r="B27" s="26" t="s">
        <v>72</v>
      </c>
      <c r="C27" t="s">
        <v>83</v>
      </c>
      <c r="D27" s="27"/>
      <c r="E27"/>
      <c r="F27"/>
      <c r="G27"/>
      <c r="H27"/>
      <c r="J27" s="1"/>
      <c r="K27" s="1"/>
    </row>
    <row r="28" spans="2:28" ht="15" hidden="1" outlineLevel="1" x14ac:dyDescent="0.25">
      <c r="B28" s="27"/>
      <c r="C28" s="26" t="s">
        <v>73</v>
      </c>
      <c r="D28" s="26" t="s">
        <v>74</v>
      </c>
      <c r="E28" s="26" t="s">
        <v>75</v>
      </c>
      <c r="F28" s="26" t="s">
        <v>76</v>
      </c>
      <c r="G28" s="26" t="s">
        <v>77</v>
      </c>
      <c r="H28" s="26" t="s">
        <v>78</v>
      </c>
      <c r="J28" s="1"/>
      <c r="K28" s="1"/>
    </row>
    <row r="29" spans="2:28" ht="15" hidden="1" outlineLevel="1" x14ac:dyDescent="0.25">
      <c r="B29" s="27" t="s">
        <v>79</v>
      </c>
      <c r="C29" s="27" t="str">
        <f ca="1">_xll.DBR($C$26,$B29,C$28)</f>
        <v>*KEY_ERR</v>
      </c>
      <c r="D29" s="27" t="str">
        <f ca="1">_xll.DBR($C$26,$B29,D$28)</f>
        <v>*KEY_ERR</v>
      </c>
      <c r="E29" s="27" t="str">
        <f ca="1">_xll.DBR($C$26,$B29,E$28)</f>
        <v>*KEY_ERR</v>
      </c>
      <c r="F29" s="27" t="str">
        <f ca="1">_xll.DBR($C$26,$B29,F$28)</f>
        <v>*KEY_ERR</v>
      </c>
      <c r="G29" s="27" t="str">
        <f ca="1">_xll.DBR($C$26,$B29,G$28)</f>
        <v>*KEY_ERR</v>
      </c>
      <c r="H29" s="27" t="str">
        <f ca="1">_xll.DBR($C$26,$B29,H$28)</f>
        <v>*KEY_ERR</v>
      </c>
      <c r="J29" s="1"/>
      <c r="K29" s="1"/>
    </row>
    <row r="30" spans="2:28" ht="15" hidden="1" outlineLevel="1" x14ac:dyDescent="0.25">
      <c r="B30" s="27" t="s">
        <v>80</v>
      </c>
      <c r="C30" s="27" t="str">
        <f ca="1">_xll.DBR($C$26,$B30,C$28)</f>
        <v>*KEY_ERR</v>
      </c>
      <c r="D30" s="27" t="str">
        <f ca="1">_xll.DBR($C$26,$B30,D$28)</f>
        <v>*KEY_ERR</v>
      </c>
      <c r="E30" s="27" t="str">
        <f ca="1">_xll.DBR($C$26,$B30,E$28)</f>
        <v>*KEY_ERR</v>
      </c>
      <c r="F30" s="27" t="str">
        <f ca="1">_xll.DBR($C$26,$B30,F$28)</f>
        <v>*KEY_ERR</v>
      </c>
      <c r="G30" s="27" t="str">
        <f ca="1">_xll.DBR($C$26,$B30,G$28)</f>
        <v>*KEY_ERR</v>
      </c>
      <c r="H30" s="27" t="str">
        <f ca="1">_xll.DBR($C$26,$B30,H$28)</f>
        <v>*KEY_ERR</v>
      </c>
      <c r="J30" s="1"/>
      <c r="K30" s="1"/>
    </row>
    <row r="31" spans="2:28" ht="15" hidden="1" outlineLevel="1" x14ac:dyDescent="0.25">
      <c r="B31" s="27" t="s">
        <v>81</v>
      </c>
      <c r="C31" s="27" t="str">
        <f ca="1">_xll.DBR($C$26,$B31,C$28)</f>
        <v>*KEY_ERR</v>
      </c>
      <c r="D31" s="27" t="str">
        <f ca="1">_xll.DBR($C$26,$B31,D$28)</f>
        <v>*KEY_ERR</v>
      </c>
      <c r="E31" s="27" t="str">
        <f ca="1">_xll.DBR($C$26,$B31,E$28)</f>
        <v>*KEY_ERR</v>
      </c>
      <c r="F31" s="27" t="str">
        <f ca="1">_xll.DBR($C$26,$B31,F$28)</f>
        <v>*KEY_ERR</v>
      </c>
      <c r="G31" s="27" t="str">
        <f ca="1">_xll.DBR($C$26,$B31,G$28)</f>
        <v>*KEY_ERR</v>
      </c>
      <c r="H31" s="27" t="str">
        <f ca="1">_xll.DBR($C$26,$B31,H$28)</f>
        <v>*KEY_ERR</v>
      </c>
      <c r="J31" s="1"/>
      <c r="K31" s="1"/>
    </row>
    <row r="32" spans="2:28" ht="15" hidden="1" outlineLevel="1" x14ac:dyDescent="0.25">
      <c r="B32" s="27" t="s">
        <v>82</v>
      </c>
      <c r="C32" s="27" t="str">
        <f ca="1">_xll.DBR($C$26,$B32,C$28)</f>
        <v>*KEY_ERR</v>
      </c>
      <c r="D32" s="27" t="str">
        <f ca="1">_xll.DBR($C$26,$B32,D$28)</f>
        <v>*KEY_ERR</v>
      </c>
      <c r="E32" s="27" t="str">
        <f ca="1">_xll.DBR($C$26,$B32,E$28)</f>
        <v>*KEY_ERR</v>
      </c>
      <c r="F32" s="27" t="str">
        <f ca="1">_xll.DBR($C$26,$B32,F$28)</f>
        <v>*KEY_ERR</v>
      </c>
      <c r="G32" s="27" t="str">
        <f ca="1">_xll.DBR($C$26,$B32,G$28)</f>
        <v>*KEY_ERR</v>
      </c>
      <c r="H32" s="27" t="str">
        <f ca="1">_xll.DBR($C$26,$B32,H$28)</f>
        <v>*KEY_ERR</v>
      </c>
      <c r="J32" s="1"/>
      <c r="K32" s="1"/>
    </row>
    <row r="33" spans="2:11" ht="15" hidden="1" outlineLevel="1" x14ac:dyDescent="0.25">
      <c r="B33" s="27" t="s">
        <v>88</v>
      </c>
      <c r="C33" s="27" t="str">
        <f ca="1">_xll.DBR($C$26,$B33,C$28)</f>
        <v>*KEY_ERR</v>
      </c>
      <c r="D33" s="27" t="str">
        <f ca="1">_xll.DBR($C$26,$B33,D$28)</f>
        <v>*KEY_ERR</v>
      </c>
      <c r="E33" s="27" t="str">
        <f ca="1">_xll.DBR($C$26,$B33,E$28)</f>
        <v>*KEY_ERR</v>
      </c>
      <c r="F33" s="27" t="str">
        <f ca="1">_xll.DBR($C$26,$B33,F$28)</f>
        <v>*KEY_ERR</v>
      </c>
      <c r="G33" s="27" t="str">
        <f ca="1">_xll.DBR($C$26,$B33,G$28)</f>
        <v>*KEY_ERR</v>
      </c>
      <c r="H33" s="27" t="str">
        <f ca="1">_xll.DBR($C$26,$B33,H$28)</f>
        <v>*KEY_ERR</v>
      </c>
      <c r="J33" s="1"/>
      <c r="K33" s="1"/>
    </row>
    <row r="34" spans="2:11" hidden="1" outlineLevel="1" x14ac:dyDescent="0.2">
      <c r="J34" s="1"/>
      <c r="K34" s="1"/>
    </row>
    <row r="35" spans="2:11" ht="15" hidden="1" outlineLevel="1" x14ac:dyDescent="0.25">
      <c r="B35" s="48" t="s">
        <v>57</v>
      </c>
      <c r="C35" s="48"/>
    </row>
    <row r="36" spans="2:11" hidden="1" outlineLevel="1" x14ac:dyDescent="0.2">
      <c r="B36" s="1" t="s">
        <v>58</v>
      </c>
      <c r="C36" s="1" t="str">
        <f ca="1">_xll.TM1RPTVIEW(db_name&amp;":AE adjustments:3",$C$61, _xll.TM1RPTTITLE(db_name&amp;":headline year",$L$99), _xll.TM1RPTTITLE(db_name&amp;":scenario",$L$100), _xll.TM1RPTTITLE(db_name&amp;":status",$L$101), _xll.TM1RPTTITLE(db_name&amp;":outcome",$C$68), _xll.TM1RPTTITLE(db_name&amp;":related entity",$C$69), _xll.TM1RPTTITLE(db_name&amp;":reason",$C$71), _xll.TM1RPTTITLE(db_name&amp;":spp",$C$72), _xll.TM1RPTTITLE(db_name&amp;":measure code",$C$73), _xll.TM1RPTTITLE(db_name&amp;":appropriation type",$C$74), _xll.TM1RPTTITLE(db_name&amp;":movement account",$C$75), _xll.TM1RPTTITLE(db_name&amp;":id",$C$78), _xll.TM1RPTTITLE(db_name&amp;":jurisdiction",$C$79),TM1RPTFMTRNG,TM1RPTFMTIDCOL)</f>
        <v>dcceew_geus:AE adjustments:3</v>
      </c>
    </row>
    <row r="37" spans="2:11" hidden="1" outlineLevel="1" x14ac:dyDescent="0.2">
      <c r="B37" s="1" t="s">
        <v>59</v>
      </c>
    </row>
    <row r="38" spans="2:11" hidden="1" outlineLevel="1" x14ac:dyDescent="0.2"/>
    <row r="39" spans="2:11" hidden="1" outlineLevel="1" x14ac:dyDescent="0.2">
      <c r="B39" s="28" t="s">
        <v>21</v>
      </c>
      <c r="C39" s="46" t="str">
        <f ca="1">IF(O99="Collapse",C41,C42)</f>
        <v>{TM1SORTBYINDEX( {TM1FILTERBYLEVEL( {TM1DRILLDOWNMEMBER( {[*KEY_ERR].[]}, ALL, RECURSIVE )}, 0,4)}, DESC)}</v>
      </c>
      <c r="D39" s="22"/>
      <c r="E39" s="22"/>
    </row>
    <row r="40" spans="2:11" ht="24" hidden="1" outlineLevel="1" x14ac:dyDescent="0.2">
      <c r="B40" s="28" t="s">
        <v>35</v>
      </c>
      <c r="C40" s="29"/>
      <c r="D40" s="22"/>
      <c r="E40" s="22"/>
    </row>
    <row r="41" spans="2:11" hidden="1" outlineLevel="1" x14ac:dyDescent="0.2">
      <c r="B41" s="28" t="s">
        <v>61</v>
      </c>
      <c r="C41" s="29" t="str">
        <f ca="1">"{HIERARCHIZE ({["&amp; psProgDimName &amp; "].["&amp;$L$102&amp;"]})}"</f>
        <v>{HIERARCHIZE ({[*KEY_ERR].[]})}</v>
      </c>
      <c r="D41" s="22"/>
      <c r="E41" s="22"/>
    </row>
    <row r="42" spans="2:11" hidden="1" outlineLevel="1" x14ac:dyDescent="0.2">
      <c r="B42" s="22" t="s">
        <v>62</v>
      </c>
      <c r="C42" s="29" t="str">
        <f ca="1">"{TM1SORTBYINDEX( {TM1FILTERBYLEVEL( {TM1DRILLDOWNMEMBER( {["&amp; psProgDimName &amp; "].["&amp;$L$102&amp;"]}, ALL, RECURSIVE )}, 0,4)}, DESC)}"</f>
        <v>{TM1SORTBYINDEX( {TM1FILTERBYLEVEL( {TM1DRILLDOWNMEMBER( {[*KEY_ERR].[]}, ALL, RECURSIVE )}, 0,4)}, DESC)}</v>
      </c>
      <c r="D42" s="22"/>
      <c r="E42" s="22"/>
    </row>
    <row r="43" spans="2:11" hidden="1" outlineLevel="1" x14ac:dyDescent="0.2">
      <c r="B43" s="28" t="s">
        <v>34</v>
      </c>
      <c r="C43" s="47" t="str">
        <f ca="1">IF($O$101="Collapse",$C$45,$C$46)</f>
        <v>{TM1SORT( {TM1FILTERBYLEVEL( {TM1DRILLDOWNMEMBER( {[appropriation item].[]}, ALL, RECURSIVE )}, 0)}, ASC)}</v>
      </c>
      <c r="D43" s="22"/>
      <c r="E43" s="22"/>
    </row>
    <row r="44" spans="2:11" ht="24" hidden="1" outlineLevel="1" x14ac:dyDescent="0.2">
      <c r="B44" s="28" t="s">
        <v>36</v>
      </c>
      <c r="C44" s="29"/>
      <c r="D44" s="22"/>
      <c r="E44" s="22"/>
    </row>
    <row r="45" spans="2:11" hidden="1" outlineLevel="1" x14ac:dyDescent="0.2">
      <c r="B45" s="28" t="s">
        <v>61</v>
      </c>
      <c r="C45" s="29" t="str">
        <f ca="1">"{[appropriation item].["&amp;$L$104&amp;"]}"</f>
        <v>{[appropriation item].[]}</v>
      </c>
      <c r="D45" s="22"/>
      <c r="E45" s="22"/>
    </row>
    <row r="46" spans="2:11" hidden="1" outlineLevel="1" x14ac:dyDescent="0.2">
      <c r="B46" s="22" t="s">
        <v>62</v>
      </c>
      <c r="C46" s="22" t="str">
        <f ca="1">"{TM1SORT( {TM1FILTERBYLEVEL( {TM1DRILLDOWNMEMBER( {[appropriation item].["&amp;$L$104&amp;"]}, ALL, RECURSIVE )}, 0)}, ASC)}"</f>
        <v>{TM1SORT( {TM1FILTERBYLEVEL( {TM1DRILLDOWNMEMBER( {[appropriation item].[]}, ALL, RECURSIVE )}, 0)}, ASC)}</v>
      </c>
      <c r="D46" s="22"/>
      <c r="E46" s="22"/>
    </row>
    <row r="47" spans="2:11" hidden="1" outlineLevel="1" x14ac:dyDescent="0.2">
      <c r="B47" s="28"/>
      <c r="C47" s="45"/>
      <c r="D47" s="22"/>
      <c r="E47" s="22"/>
    </row>
    <row r="48" spans="2:11" hidden="1" outlineLevel="1" x14ac:dyDescent="0.2">
      <c r="B48" s="28" t="s">
        <v>20</v>
      </c>
      <c r="C48" s="47" t="str">
        <f ca="1">IF($O$102="Collapse",C50,C49)</f>
        <v>{TM1SORT( {TM1FILTERBYLEVEL( {TM1DRILLDOWNMEMBER( {[Account].[]}, ALL, RECURSIVE )}, 0)}, ASC)}</v>
      </c>
      <c r="D48" s="22"/>
      <c r="E48" s="22"/>
    </row>
    <row r="49" spans="2:11" hidden="1" outlineLevel="1" x14ac:dyDescent="0.2">
      <c r="B49" s="24" t="s">
        <v>26</v>
      </c>
      <c r="C49" s="22" t="str">
        <f ca="1">"{TM1SORT( {TM1FILTERBYLEVEL( {TM1DRILLDOWNMEMBER( {[Account].["&amp;$L$103&amp;"]}, ALL, RECURSIVE )}, 0)}, ASC)}"</f>
        <v>{TM1SORT( {TM1FILTERBYLEVEL( {TM1DRILLDOWNMEMBER( {[Account].[]}, ALL, RECURSIVE )}, 0)}, ASC)}</v>
      </c>
      <c r="D49" s="22"/>
      <c r="E49" s="22"/>
    </row>
    <row r="50" spans="2:11" hidden="1" outlineLevel="1" x14ac:dyDescent="0.2">
      <c r="B50" s="24" t="s">
        <v>104</v>
      </c>
      <c r="C50" s="22" t="str">
        <f ca="1">" {[Account].["&amp;$L$103&amp;"]}"</f>
        <v xml:space="preserve"> {[Account].[]}</v>
      </c>
      <c r="D50" s="22"/>
    </row>
    <row r="51" spans="2:11" hidden="1" outlineLevel="1" x14ac:dyDescent="0.2">
      <c r="B51" s="28" t="s">
        <v>103</v>
      </c>
      <c r="C51" s="47" t="str">
        <f ca="1">IF($O$100="Collapse",C53,C52)</f>
        <v>{TM1SORT( {TM1FILTERBYLEVEL( {TM1DRILLDOWNMEMBER( {[function].[]}, ALL, RECURSIVE )}, 0)}, ASC)}</v>
      </c>
      <c r="D51" s="22"/>
    </row>
    <row r="52" spans="2:11" hidden="1" outlineLevel="1" x14ac:dyDescent="0.2">
      <c r="B52" s="28" t="s">
        <v>26</v>
      </c>
      <c r="C52" s="22" t="str">
        <f ca="1">"{TM1SORT( {TM1FILTERBYLEVEL( {TM1DRILLDOWNMEMBER( {[function].["&amp;$L$105&amp;"]}, ALL, RECURSIVE )}, 0)}, ASC)}"</f>
        <v>{TM1SORT( {TM1FILTERBYLEVEL( {TM1DRILLDOWNMEMBER( {[function].[]}, ALL, RECURSIVE )}, 0)}, ASC)}</v>
      </c>
    </row>
    <row r="53" spans="2:11" hidden="1" outlineLevel="1" x14ac:dyDescent="0.2">
      <c r="B53" s="28" t="s">
        <v>104</v>
      </c>
      <c r="C53" s="22" t="str">
        <f ca="1">"{[function].["&amp;$L$105&amp;"]}"</f>
        <v>{[function].[]}</v>
      </c>
      <c r="J53" s="1"/>
      <c r="K53" s="1"/>
    </row>
    <row r="54" spans="2:11" ht="12.75" hidden="1" outlineLevel="1" thickBot="1" x14ac:dyDescent="0.25">
      <c r="J54" s="1"/>
      <c r="K54" s="1"/>
    </row>
    <row r="55" spans="2:11" hidden="1" outlineLevel="1" x14ac:dyDescent="0.2">
      <c r="B55" s="8" t="s">
        <v>25</v>
      </c>
      <c r="C55" s="9" t="s">
        <v>23</v>
      </c>
      <c r="J55" s="1"/>
      <c r="K55" s="1"/>
    </row>
    <row r="56" spans="2:11" ht="12.75" hidden="1" outlineLevel="1" thickBot="1" x14ac:dyDescent="0.25">
      <c r="B56" s="10"/>
      <c r="C56" s="11" t="s">
        <v>26</v>
      </c>
      <c r="J56" s="1"/>
      <c r="K56" s="1"/>
    </row>
    <row r="57" spans="2:11" hidden="1" outlineLevel="1" x14ac:dyDescent="0.2">
      <c r="B57" s="8" t="s">
        <v>28</v>
      </c>
      <c r="C57" s="9" t="s">
        <v>24</v>
      </c>
      <c r="J57" s="1"/>
      <c r="K57" s="1"/>
    </row>
    <row r="58" spans="2:11" ht="12.75" hidden="1" outlineLevel="1" thickBot="1" x14ac:dyDescent="0.25">
      <c r="B58" s="10"/>
      <c r="C58" s="11" t="s">
        <v>27</v>
      </c>
      <c r="J58" s="1"/>
      <c r="K58" s="1"/>
    </row>
    <row r="59" spans="2:11" hidden="1" outlineLevel="1" x14ac:dyDescent="0.2">
      <c r="B59" s="8" t="s">
        <v>29</v>
      </c>
      <c r="C59" s="9" t="s">
        <v>30</v>
      </c>
      <c r="J59" s="1"/>
      <c r="K59" s="1"/>
    </row>
    <row r="60" spans="2:11" hidden="1" outlineLevel="1" x14ac:dyDescent="0.2">
      <c r="B60" s="38"/>
      <c r="C60" s="14" t="s">
        <v>31</v>
      </c>
      <c r="J60" s="1"/>
      <c r="K60" s="1"/>
    </row>
    <row r="61" spans="2:11" ht="15" hidden="1" outlineLevel="1" x14ac:dyDescent="0.25">
      <c r="B61" s="22" t="s">
        <v>32</v>
      </c>
      <c r="C61" s="27">
        <f ca="1">IF($O$104="Yes",1,0)</f>
        <v>0</v>
      </c>
      <c r="J61" s="1"/>
      <c r="K61" s="1"/>
    </row>
    <row r="62" spans="2:11" ht="15" hidden="1" outlineLevel="1" x14ac:dyDescent="0.25">
      <c r="B62" s="22" t="s">
        <v>33</v>
      </c>
      <c r="C62" s="27">
        <f ca="1">IF($O$103="Yes",1,0)</f>
        <v>0</v>
      </c>
      <c r="J62" s="1"/>
      <c r="K62" s="1"/>
    </row>
    <row r="63" spans="2:11" hidden="1" outlineLevel="1" x14ac:dyDescent="0.2">
      <c r="J63" s="1"/>
      <c r="K63" s="1"/>
    </row>
    <row r="64" spans="2:11" ht="15" hidden="1" outlineLevel="1" x14ac:dyDescent="0.25">
      <c r="B64" s="48" t="s">
        <v>60</v>
      </c>
      <c r="C64" s="48"/>
      <c r="J64" s="1"/>
      <c r="K64" s="1"/>
    </row>
    <row r="65" spans="2:12" hidden="1" outlineLevel="1" x14ac:dyDescent="0.2">
      <c r="B65" s="5" t="s">
        <v>0</v>
      </c>
      <c r="J65" s="1"/>
      <c r="K65" s="1"/>
    </row>
    <row r="66" spans="2:12" hidden="1" outlineLevel="1" x14ac:dyDescent="0.2">
      <c r="B66" s="5" t="s">
        <v>1</v>
      </c>
      <c r="J66" s="1"/>
      <c r="K66" s="1"/>
    </row>
    <row r="67" spans="2:12" hidden="1" outlineLevel="1" x14ac:dyDescent="0.2">
      <c r="B67" s="5" t="s">
        <v>2</v>
      </c>
      <c r="J67" s="1"/>
      <c r="K67" s="1"/>
    </row>
    <row r="68" spans="2:12" hidden="1" outlineLevel="1" x14ac:dyDescent="0.2">
      <c r="B68" s="5" t="s">
        <v>3</v>
      </c>
      <c r="C68" s="1" t="str">
        <f ca="1">_xll.SUBNM(db_name&amp;":outcome","","Total outcomes")</f>
        <v/>
      </c>
      <c r="J68" s="1"/>
      <c r="K68" s="1"/>
    </row>
    <row r="69" spans="2:12" hidden="1" outlineLevel="1" x14ac:dyDescent="0.2">
      <c r="B69" s="5" t="s">
        <v>4</v>
      </c>
      <c r="C69" s="1" t="str">
        <f ca="1">_xll.SUBNM(db_name&amp;":related entity","","Total related entity","code and description")</f>
        <v/>
      </c>
      <c r="J69" s="5"/>
      <c r="K69" s="5"/>
    </row>
    <row r="70" spans="2:12" hidden="1" outlineLevel="1" x14ac:dyDescent="0.2">
      <c r="B70" s="5" t="s">
        <v>5</v>
      </c>
      <c r="C70" s="1" t="str">
        <f ca="1">_xll.SUBNM(db_name&amp;":function","","Total functions")</f>
        <v/>
      </c>
      <c r="J70" s="5"/>
      <c r="K70" s="5"/>
    </row>
    <row r="71" spans="2:12" hidden="1" outlineLevel="1" x14ac:dyDescent="0.2">
      <c r="B71" s="5" t="s">
        <v>6</v>
      </c>
      <c r="C71" s="1" t="str">
        <f ca="1">_xll.SUBNM(db_name&amp;":reason","","Total reason")</f>
        <v/>
      </c>
      <c r="J71" s="1"/>
      <c r="K71" s="1"/>
    </row>
    <row r="72" spans="2:12" hidden="1" outlineLevel="1" x14ac:dyDescent="0.2">
      <c r="B72" s="5" t="s">
        <v>7</v>
      </c>
      <c r="C72" s="1" t="str">
        <f ca="1">_xll.SUBNM(db_name&amp;":spp","","Total SPP")</f>
        <v/>
      </c>
      <c r="J72" s="1"/>
      <c r="K72" s="1"/>
    </row>
    <row r="73" spans="2:12" hidden="1" outlineLevel="1" x14ac:dyDescent="0.2">
      <c r="B73" s="5" t="s">
        <v>8</v>
      </c>
      <c r="C73" s="1" t="str">
        <f ca="1">_xll.SUBNM(db_name&amp;":measure code","","Total Measures","CBMS")</f>
        <v/>
      </c>
      <c r="J73" s="1"/>
      <c r="K73" s="1"/>
    </row>
    <row r="74" spans="2:12" hidden="1" outlineLevel="1" x14ac:dyDescent="0.2">
      <c r="B74" s="5" t="s">
        <v>9</v>
      </c>
      <c r="C74" s="1" t="str">
        <f ca="1">_xll.SUBNM(db_name&amp;":appropriation type","","Total approp types")</f>
        <v/>
      </c>
      <c r="J74" s="1"/>
      <c r="K74" s="1"/>
    </row>
    <row r="75" spans="2:12" hidden="1" outlineLevel="1" x14ac:dyDescent="0.2">
      <c r="B75" s="5" t="s">
        <v>10</v>
      </c>
      <c r="C75" s="1" t="str">
        <f ca="1">_xll.SUBNM(db_name&amp;":movement account","","Total movement","code and description")</f>
        <v/>
      </c>
      <c r="J75" s="1"/>
      <c r="K75" s="1"/>
      <c r="L75" s="13"/>
    </row>
    <row r="76" spans="2:12" hidden="1" outlineLevel="1" x14ac:dyDescent="0.2">
      <c r="B76" s="5" t="s">
        <v>17</v>
      </c>
      <c r="C76" s="12"/>
      <c r="J76" s="1"/>
      <c r="K76" s="1"/>
    </row>
    <row r="77" spans="2:12" hidden="1" outlineLevel="1" x14ac:dyDescent="0.2">
      <c r="B77" s="5" t="s">
        <v>18</v>
      </c>
      <c r="C77" s="12"/>
      <c r="J77" s="1"/>
      <c r="K77" s="1"/>
    </row>
    <row r="78" spans="2:12" hidden="1" outlineLevel="1" x14ac:dyDescent="0.2">
      <c r="B78" s="5" t="s">
        <v>11</v>
      </c>
      <c r="C78" s="1" t="str">
        <f ca="1">_xll.SUBNM(db_name&amp;":id","","Total IDs")</f>
        <v/>
      </c>
      <c r="J78" s="1"/>
      <c r="K78" s="1"/>
    </row>
    <row r="79" spans="2:12" hidden="1" outlineLevel="1" x14ac:dyDescent="0.2">
      <c r="B79" s="5" t="s">
        <v>12</v>
      </c>
      <c r="C79" s="1" t="str">
        <f ca="1">_xll.SUBNM(db_name&amp;":jurisdiction","","Total jurisdictions")</f>
        <v/>
      </c>
      <c r="J79" s="1"/>
      <c r="K79" s="1"/>
    </row>
    <row r="80" spans="2:12" hidden="1" outlineLevel="1" x14ac:dyDescent="0.2">
      <c r="B80" s="5" t="s">
        <v>19</v>
      </c>
      <c r="C80" s="12"/>
      <c r="J80" s="1"/>
      <c r="K80" s="1"/>
    </row>
    <row r="81" spans="2:28" hidden="1" outlineLevel="1" x14ac:dyDescent="0.2">
      <c r="J81" s="1"/>
      <c r="K81" s="1"/>
    </row>
    <row r="82" spans="2:28" ht="12.75" hidden="1" outlineLevel="1" x14ac:dyDescent="0.2">
      <c r="B82" s="6" t="s">
        <v>45</v>
      </c>
      <c r="C82" s="57" t="s">
        <v>22</v>
      </c>
      <c r="D82" s="57"/>
      <c r="J82" s="1"/>
      <c r="K82" s="1"/>
      <c r="O82" s="1" t="s">
        <v>44</v>
      </c>
    </row>
    <row r="83" spans="2:28" hidden="1" outlineLevel="1" x14ac:dyDescent="0.2">
      <c r="J83" s="1"/>
      <c r="K83" s="1"/>
    </row>
    <row r="84" spans="2:28" hidden="1" outlineLevel="1" x14ac:dyDescent="0.2">
      <c r="J84" s="1"/>
      <c r="K84" s="1"/>
    </row>
    <row r="85" spans="2:28" hidden="1" outlineLevel="1" x14ac:dyDescent="0.2">
      <c r="J85" s="1"/>
      <c r="K85" s="1"/>
    </row>
    <row r="86" spans="2:28" hidden="1" outlineLevel="1" x14ac:dyDescent="0.2">
      <c r="J86" s="1"/>
      <c r="K86" s="1"/>
    </row>
    <row r="87" spans="2:28" hidden="1" outlineLevel="1" x14ac:dyDescent="0.2">
      <c r="J87" s="1"/>
      <c r="K87" s="1"/>
    </row>
    <row r="88" spans="2:28" hidden="1" outlineLevel="1" x14ac:dyDescent="0.2">
      <c r="J88" s="1"/>
      <c r="K88" s="1"/>
    </row>
    <row r="89" spans="2:28" ht="15" hidden="1" outlineLevel="1" x14ac:dyDescent="0.25">
      <c r="J89" s="36" t="s">
        <v>99</v>
      </c>
    </row>
    <row r="90" spans="2:28" hidden="1" outlineLevel="1" x14ac:dyDescent="0.2">
      <c r="J90" s="1"/>
      <c r="K90" s="1"/>
    </row>
    <row r="91" spans="2:28" hidden="1" outlineLevel="1" x14ac:dyDescent="0.2"/>
    <row r="92" spans="2:28" hidden="1" outlineLevel="1" x14ac:dyDescent="0.2"/>
    <row r="93" spans="2:28" ht="40.15" customHeight="1" collapsed="1" x14ac:dyDescent="0.2"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 t="s">
        <v>100</v>
      </c>
      <c r="T93" s="34"/>
      <c r="U93" s="34"/>
      <c r="V93" s="34"/>
      <c r="W93" s="34"/>
      <c r="X93" s="34"/>
      <c r="Y93" s="34"/>
      <c r="Z93" s="34"/>
      <c r="AA93" s="34"/>
      <c r="AB93" s="34"/>
    </row>
    <row r="94" spans="2:28" customFormat="1" ht="4.5" customHeight="1" x14ac:dyDescent="0.25"/>
    <row r="95" spans="2:28" customFormat="1" ht="24" customHeight="1" x14ac:dyDescent="0.25">
      <c r="J95" s="25"/>
      <c r="K95" s="25"/>
    </row>
    <row r="96" spans="2:28" ht="1.5" customHeight="1" x14ac:dyDescent="0.2"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</row>
    <row r="97" spans="2:28" ht="4.5" customHeight="1" x14ac:dyDescent="0.2">
      <c r="J97" s="1"/>
      <c r="K97" s="1"/>
    </row>
    <row r="98" spans="2:28" ht="15" x14ac:dyDescent="0.25">
      <c r="J98" s="1"/>
      <c r="K98" s="1"/>
      <c r="L98" s="35" t="s">
        <v>63</v>
      </c>
      <c r="N98" s="52" t="s">
        <v>64</v>
      </c>
      <c r="O98" s="53"/>
    </row>
    <row r="99" spans="2:28" ht="15" x14ac:dyDescent="0.25">
      <c r="J99" s="36"/>
      <c r="K99" s="36" t="s">
        <v>67</v>
      </c>
      <c r="L99" s="37" t="str">
        <f ca="1">_xll.SUBNM(db_name&amp;":headline year","",$C$21)</f>
        <v/>
      </c>
      <c r="N99" s="36" t="s">
        <v>106</v>
      </c>
      <c r="O99" s="30" t="str">
        <f ca="1">_xll.SUBNM(db_name&amp;":sys_ReportDisplay","","Collapse")</f>
        <v/>
      </c>
    </row>
    <row r="100" spans="2:28" ht="15" x14ac:dyDescent="0.25">
      <c r="J100" s="36"/>
      <c r="K100" s="36" t="s">
        <v>68</v>
      </c>
      <c r="L100" s="37" t="str">
        <f ca="1">_xll.SUBNM(db_name&amp;":scenario","",$C$22)</f>
        <v/>
      </c>
      <c r="N100" s="36" t="s">
        <v>107</v>
      </c>
      <c r="O100" s="30" t="str">
        <f ca="1">_xll.SUBNM(db_name&amp;":sys_ReportDisplay","","Collapse")</f>
        <v/>
      </c>
    </row>
    <row r="101" spans="2:28" ht="15" x14ac:dyDescent="0.25">
      <c r="J101" s="36"/>
      <c r="K101" s="36" t="s">
        <v>70</v>
      </c>
      <c r="L101" s="37" t="str">
        <f ca="1">_xll.SUBNM(db_name&amp;":status","","Total approved")</f>
        <v/>
      </c>
      <c r="N101" s="36" t="s">
        <v>109</v>
      </c>
      <c r="O101" s="30" t="str">
        <f ca="1">_xll.SUBNM(db_name&amp;":sys_ReportDisplay","","Collapse")</f>
        <v/>
      </c>
    </row>
    <row r="102" spans="2:28" ht="15" customHeight="1" x14ac:dyDescent="0.25">
      <c r="J102" s="36"/>
      <c r="K102" s="36" t="s">
        <v>69</v>
      </c>
      <c r="L102" s="37" t="str">
        <f ca="1">_xll.SUBNM(db_name&amp;":"&amp; psProgDimName,"","Administered Programmes","code and description")</f>
        <v/>
      </c>
      <c r="N102" s="36" t="s">
        <v>108</v>
      </c>
      <c r="O102" s="30" t="str">
        <f ca="1">_xll.SUBNM(db_name&amp;":sys_ReportDisplay","","Collapse")</f>
        <v/>
      </c>
      <c r="Q102" s="39"/>
      <c r="R102" s="51"/>
      <c r="S102" s="51"/>
    </row>
    <row r="103" spans="2:28" ht="15" customHeight="1" x14ac:dyDescent="0.25">
      <c r="J103" s="36"/>
      <c r="K103" s="36" t="s">
        <v>105</v>
      </c>
      <c r="L103" s="37" t="str">
        <f ca="1">_xll.SUBNM(db_name&amp;":Account","","2000000","Code and Description")</f>
        <v/>
      </c>
      <c r="N103" s="36" t="s">
        <v>65</v>
      </c>
      <c r="O103" s="30" t="str">
        <f ca="1">_xll.SUBNM(db_name&amp;":sys_YesNo","","Yes")</f>
        <v/>
      </c>
      <c r="Q103" s="39"/>
      <c r="R103" s="51"/>
      <c r="S103" s="51"/>
    </row>
    <row r="104" spans="2:28" ht="15" customHeight="1" x14ac:dyDescent="0.25">
      <c r="J104" s="36"/>
      <c r="K104" s="36" t="s">
        <v>99</v>
      </c>
      <c r="L104" s="37" t="str">
        <f ca="1">_xll.SUBNM(db_name&amp;": appropriation item","","Total approp item","Code and Description")</f>
        <v/>
      </c>
      <c r="N104" s="36" t="s">
        <v>66</v>
      </c>
      <c r="O104" s="30" t="str">
        <f ca="1">_xll.SUBNM(db_name&amp;":sys_YesNo","","Yes")</f>
        <v/>
      </c>
      <c r="Q104" s="39"/>
      <c r="R104" s="51"/>
      <c r="S104" s="51"/>
    </row>
    <row r="105" spans="2:28" ht="15" customHeight="1" x14ac:dyDescent="0.25">
      <c r="J105" s="36"/>
      <c r="K105" s="36" t="s">
        <v>101</v>
      </c>
      <c r="L105" s="37" t="str">
        <f ca="1">_xll.SUBNM(db_name&amp;":function","","Total functions","Code and Description")</f>
        <v/>
      </c>
      <c r="Q105" s="39" t="s">
        <v>84</v>
      </c>
      <c r="R105" s="51">
        <f ca="1">NOW()</f>
        <v>44972.398019791668</v>
      </c>
      <c r="S105" s="51"/>
    </row>
    <row r="106" spans="2:28" ht="4.5" customHeight="1" x14ac:dyDescent="0.2">
      <c r="J106" s="7"/>
      <c r="K106" s="7"/>
      <c r="L106" s="31"/>
      <c r="M106" s="6"/>
      <c r="N106" s="32"/>
      <c r="O106" s="2"/>
      <c r="P106" s="2"/>
    </row>
    <row r="107" spans="2:28" customFormat="1" ht="15" x14ac:dyDescent="0.25">
      <c r="J107" s="40"/>
      <c r="K107" s="40"/>
      <c r="L107" s="40"/>
      <c r="M107" s="40"/>
      <c r="N107" s="41" t="str">
        <f t="shared" ref="N107:S107" ca="1" si="0">+N20</f>
        <v/>
      </c>
      <c r="O107" s="41" t="str">
        <f t="shared" ca="1" si="0"/>
        <v/>
      </c>
      <c r="P107" s="41" t="str">
        <f t="shared" ca="1" si="0"/>
        <v/>
      </c>
      <c r="Q107" s="41" t="str">
        <f t="shared" ca="1" si="0"/>
        <v/>
      </c>
      <c r="R107" s="41" t="str">
        <f t="shared" ca="1" si="0"/>
        <v/>
      </c>
      <c r="S107" s="41" t="str">
        <f t="shared" ca="1" si="0"/>
        <v/>
      </c>
      <c r="T107" s="41" t="str">
        <f t="shared" ref="T107:AB107" ca="1" si="1">+T20</f>
        <v/>
      </c>
      <c r="U107" s="41" t="str">
        <f t="shared" ca="1" si="1"/>
        <v/>
      </c>
      <c r="V107" s="41" t="str">
        <f t="shared" ca="1" si="1"/>
        <v/>
      </c>
      <c r="W107" s="41" t="str">
        <f t="shared" ca="1" si="1"/>
        <v/>
      </c>
      <c r="X107" s="41" t="str">
        <f t="shared" ca="1" si="1"/>
        <v/>
      </c>
      <c r="Y107" s="41" t="str">
        <f t="shared" ca="1" si="1"/>
        <v/>
      </c>
      <c r="Z107" s="41" t="str">
        <f t="shared" ca="1" si="1"/>
        <v/>
      </c>
      <c r="AA107" s="41" t="str">
        <f t="shared" ca="1" si="1"/>
        <v/>
      </c>
      <c r="AB107" s="41" t="str">
        <f t="shared" ca="1" si="1"/>
        <v/>
      </c>
    </row>
    <row r="108" spans="2:28" customFormat="1" ht="15" x14ac:dyDescent="0.25">
      <c r="J108" s="40"/>
      <c r="K108" s="40"/>
      <c r="L108" s="40"/>
      <c r="M108" s="40"/>
      <c r="N108" s="41" t="str">
        <f t="shared" ref="N108:S108" ca="1" si="2">+N22</f>
        <v>RB</v>
      </c>
      <c r="O108" s="41" t="str">
        <f t="shared" ca="1" si="2"/>
        <v>NB</v>
      </c>
      <c r="P108" s="41" t="str">
        <f t="shared" ca="1" si="2"/>
        <v>FE1</v>
      </c>
      <c r="Q108" s="41" t="str">
        <f t="shared" ca="1" si="2"/>
        <v>FE2</v>
      </c>
      <c r="R108" s="41" t="str">
        <f t="shared" ca="1" si="2"/>
        <v>FE3</v>
      </c>
      <c r="S108" s="41" t="str">
        <f t="shared" ca="1" si="2"/>
        <v>FE4</v>
      </c>
      <c r="T108" s="41" t="str">
        <f t="shared" ref="T108:AB108" ca="1" si="3">+T22</f>
        <v>FE5</v>
      </c>
      <c r="U108" s="41" t="str">
        <f t="shared" ca="1" si="3"/>
        <v>FE6</v>
      </c>
      <c r="V108" s="41" t="str">
        <f t="shared" ca="1" si="3"/>
        <v>FE7</v>
      </c>
      <c r="W108" s="41" t="str">
        <f t="shared" ca="1" si="3"/>
        <v>FE8</v>
      </c>
      <c r="X108" s="41" t="str">
        <f t="shared" ca="1" si="3"/>
        <v>FE9</v>
      </c>
      <c r="Y108" s="41" t="str">
        <f t="shared" ca="1" si="3"/>
        <v>FE10</v>
      </c>
      <c r="Z108" s="41" t="str">
        <f t="shared" ca="1" si="3"/>
        <v>FE11</v>
      </c>
      <c r="AA108" s="41" t="str">
        <f t="shared" ca="1" si="3"/>
        <v>FE12</v>
      </c>
      <c r="AB108" s="41" t="str">
        <f t="shared" ca="1" si="3"/>
        <v>FE13</v>
      </c>
    </row>
    <row r="109" spans="2:28" customFormat="1" ht="15" x14ac:dyDescent="0.25">
      <c r="J109" s="40" t="s">
        <v>102</v>
      </c>
      <c r="K109" s="40" t="s">
        <v>85</v>
      </c>
      <c r="L109" s="40" t="s">
        <v>86</v>
      </c>
      <c r="M109" s="40" t="s">
        <v>87</v>
      </c>
      <c r="N109" s="41" t="s">
        <v>40</v>
      </c>
      <c r="O109" s="41" t="s">
        <v>40</v>
      </c>
      <c r="P109" s="41" t="s">
        <v>40</v>
      </c>
      <c r="Q109" s="41" t="s">
        <v>40</v>
      </c>
      <c r="R109" s="41" t="s">
        <v>40</v>
      </c>
      <c r="S109" s="41" t="s">
        <v>40</v>
      </c>
      <c r="T109" s="41" t="s">
        <v>40</v>
      </c>
      <c r="U109" s="41" t="s">
        <v>40</v>
      </c>
      <c r="V109" s="41" t="s">
        <v>40</v>
      </c>
      <c r="W109" s="41" t="s">
        <v>40</v>
      </c>
      <c r="X109" s="41" t="s">
        <v>40</v>
      </c>
      <c r="Y109" s="41" t="s">
        <v>40</v>
      </c>
      <c r="Z109" s="41" t="s">
        <v>40</v>
      </c>
      <c r="AA109" s="41" t="s">
        <v>40</v>
      </c>
      <c r="AB109" s="41" t="s">
        <v>40</v>
      </c>
    </row>
    <row r="110" spans="2:28" ht="4.5" customHeight="1" x14ac:dyDescent="0.25">
      <c r="B110" s="16" t="s">
        <v>43</v>
      </c>
      <c r="C110"/>
      <c r="D110"/>
      <c r="E110"/>
      <c r="F110"/>
      <c r="G110"/>
      <c r="H110"/>
      <c r="I110"/>
      <c r="N110" s="3"/>
      <c r="O110" s="3"/>
      <c r="P110" s="3"/>
      <c r="Q110" s="3"/>
      <c r="R110" s="3"/>
      <c r="S110" s="3"/>
    </row>
    <row r="111" spans="2:28" x14ac:dyDescent="0.2">
      <c r="B111" s="1" t="str">
        <f ca="1">IF(_xll.TM1RPTELISCONSOLIDATED($M$111,$M111),IF(_xll.TM1RPTELLEV($M$111,$M111)&lt;=3,_xll.TM1RPTELLEV($M$111,$M111),"D"),"N")</f>
        <v>N</v>
      </c>
      <c r="J111" s="23" t="str">
        <f ca="1">_xll.TM1RPTROW($C$36,db_name&amp;":function","",,"code and description",,$C$51)</f>
        <v/>
      </c>
      <c r="K111" s="23" t="str">
        <f ca="1">_xll.TM1RPTROW($C$36,db_name&amp;":"&amp; psProgDimName,"",,"code and description",0,$C$39)</f>
        <v/>
      </c>
      <c r="L111" s="23" t="str">
        <f ca="1">_xll.TM1RPTROW($C$36,db_name&amp;":appropriation item","",,"code and description",,$C$43)</f>
        <v/>
      </c>
      <c r="M111" s="44" t="str">
        <f ca="1">_xll.TM1RPTROW($C$36,db_name&amp;":account",,,"code and description",$C$62,$C$48)</f>
        <v/>
      </c>
      <c r="N111" s="19" t="str">
        <f ca="1">_xll.DBRW($C$36,$L$99,$L$100,$L$101,$C$68,$C$69,$J111,$C$71,$C$72,$C$73,$C$74,$C$75,$L111,$K111,$M111,$C$78,$C$79,N$107)</f>
        <v/>
      </c>
      <c r="O111" s="19" t="str">
        <f ca="1">_xll.DBRW($C$36,$L$99,$L$100,$L$101,$C$68,$C$69,$J111,$C$71,$C$72,$C$73,$C$74,$C$75,$L111,$K111,$M111,$C$78,$C$79,O$107)</f>
        <v/>
      </c>
      <c r="P111" s="19" t="str">
        <f ca="1">_xll.DBRW($C$36,$L$99,$L$100,$L$101,$C$68,$C$69,$J111,$C$71,$C$72,$C$73,$C$74,$C$75,$L111,$K111,$M111,$C$78,$C$79,P$107)</f>
        <v/>
      </c>
      <c r="Q111" s="19" t="str">
        <f ca="1">_xll.DBRW($C$36,$L$99,$L$100,$L$101,$C$68,$C$69,$J111,$C$71,$C$72,$C$73,$C$74,$C$75,$L111,$K111,$M111,$C$78,$C$79,Q$107)</f>
        <v/>
      </c>
      <c r="R111" s="19" t="str">
        <f ca="1">_xll.DBRW($C$36,$L$99,$L$100,$L$101,$C$68,$C$69,$J111,$C$71,$C$72,$C$73,$C$74,$C$75,$L111,$K111,$M111,$C$78,$C$79,R$107)</f>
        <v/>
      </c>
      <c r="S111" s="19" t="str">
        <f ca="1">_xll.DBRW($C$36,$L$99,$L$100,$L$101,$C$68,$C$69,$J111,$C$71,$C$72,$C$73,$C$74,$C$75,$L111,$K111,$M111,$C$78,$C$79,S$107)</f>
        <v/>
      </c>
      <c r="T111" s="19" t="str">
        <f ca="1">_xll.DBRW($C$36,$L$99,$L$100,$L$101,$C$68,$C$69,$J111,$C$71,$C$72,$C$73,$C$74,$C$75,$L111,$K111,$M111,$C$78,$C$79,T$107)</f>
        <v/>
      </c>
      <c r="U111" s="19" t="str">
        <f ca="1">_xll.DBRW($C$36,$L$99,$L$100,$L$101,$C$68,$C$69,$J111,$C$71,$C$72,$C$73,$C$74,$C$75,$L111,$K111,$M111,$C$78,$C$79,U$107)</f>
        <v/>
      </c>
      <c r="V111" s="19" t="str">
        <f ca="1">_xll.DBRW($C$36,$L$99,$L$100,$L$101,$C$68,$C$69,$J111,$C$71,$C$72,$C$73,$C$74,$C$75,$L111,$K111,$M111,$C$78,$C$79,V$107)</f>
        <v/>
      </c>
      <c r="W111" s="19" t="str">
        <f ca="1">_xll.DBRW($C$36,$L$99,$L$100,$L$101,$C$68,$C$69,$J111,$C$71,$C$72,$C$73,$C$74,$C$75,$L111,$K111,$M111,$C$78,$C$79,W$107)</f>
        <v/>
      </c>
      <c r="X111" s="19" t="str">
        <f ca="1">_xll.DBRW($C$36,$L$99,$L$100,$L$101,$C$68,$C$69,$J111,$C$71,$C$72,$C$73,$C$74,$C$75,$L111,$K111,$M111,$C$78,$C$79,X$107)</f>
        <v/>
      </c>
      <c r="Y111" s="19" t="str">
        <f ca="1">_xll.DBRW($C$36,$L$99,$L$100,$L$101,$C$68,$C$69,$J111,$C$71,$C$72,$C$73,$C$74,$C$75,$L111,$K111,$M111,$C$78,$C$79,Y$107)</f>
        <v/>
      </c>
      <c r="Z111" s="19" t="str">
        <f ca="1">_xll.DBRW($C$36,$L$99,$L$100,$L$101,$C$68,$C$69,$J111,$C$71,$C$72,$C$73,$C$74,$C$75,$L111,$K111,$M111,$C$78,$C$79,Z$107)</f>
        <v/>
      </c>
      <c r="AA111" s="19" t="str">
        <f ca="1">_xll.DBRW($C$36,$L$99,$L$100,$L$101,$C$68,$C$69,$J111,$C$71,$C$72,$C$73,$C$74,$C$75,$L111,$K111,$M111,$C$78,$C$79,AA$107)</f>
        <v/>
      </c>
      <c r="AB111" s="19" t="str">
        <f ca="1">_xll.DBRW($C$36,$L$99,$L$100,$L$101,$C$68,$C$69,$J111,$C$71,$C$72,$C$73,$C$74,$C$75,$L111,$K111,$M111,$C$78,$C$79,AB$107)</f>
        <v/>
      </c>
    </row>
  </sheetData>
  <sheetProtection sheet="1" objects="1" scenarios="1"/>
  <mergeCells count="11">
    <mergeCell ref="B11:C11"/>
    <mergeCell ref="B19:C19"/>
    <mergeCell ref="B35:C35"/>
    <mergeCell ref="B64:C64"/>
    <mergeCell ref="R105:S105"/>
    <mergeCell ref="R102:S102"/>
    <mergeCell ref="N98:O98"/>
    <mergeCell ref="B25:D25"/>
    <mergeCell ref="C82:D82"/>
    <mergeCell ref="R103:S103"/>
    <mergeCell ref="R104:S104"/>
  </mergeCells>
  <dataValidations disablePrompts="1" count="1">
    <dataValidation type="list" allowBlank="1" showInputMessage="1" showErrorMessage="1" sqref="C82:D82" xr:uid="{44DA7C18-A966-49B2-B1F3-A38DA421908D}">
      <formula1>Acc_display_list</formula1>
    </dataValidation>
  </dataValidations>
  <pageMargins left="0.70866141732283472" right="0.70866141732283472" top="0.74803149606299213" bottom="0.74803149606299213" header="0.31496062992125984" footer="0.31496062992125984"/>
  <pageSetup paperSize="9" scale="57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4" r:id="rId4" name="TIButton6">
          <controlPr defaultSize="0" print="0" autoLine="0" r:id="rId5">
            <anchor moveWithCells="1" sizeWithCells="1">
              <from>
                <xdr:col>10</xdr:col>
                <xdr:colOff>447675</xdr:colOff>
                <xdr:row>94</xdr:row>
                <xdr:rowOff>9525</xdr:rowOff>
              </from>
              <to>
                <xdr:col>10</xdr:col>
                <xdr:colOff>2009775</xdr:colOff>
                <xdr:row>94</xdr:row>
                <xdr:rowOff>257175</xdr:rowOff>
              </to>
            </anchor>
          </controlPr>
        </control>
      </mc:Choice>
      <mc:Fallback>
        <control shapeId="1034" r:id="rId4" name="TIButton6"/>
      </mc:Fallback>
    </mc:AlternateContent>
    <mc:AlternateContent xmlns:mc="http://schemas.openxmlformats.org/markup-compatibility/2006">
      <mc:Choice Requires="x14">
        <control shapeId="1029" r:id="rId6" name="TIButton4">
          <controlPr defaultSize="0" print="0" autoLine="0" autoPict="0" r:id="rId7">
            <anchor moveWithCells="1" sizeWithCells="1">
              <from>
                <xdr:col>18</xdr:col>
                <xdr:colOff>723900</xdr:colOff>
                <xdr:row>93</xdr:row>
                <xdr:rowOff>38100</xdr:rowOff>
              </from>
              <to>
                <xdr:col>18</xdr:col>
                <xdr:colOff>933450</xdr:colOff>
                <xdr:row>94</xdr:row>
                <xdr:rowOff>228600</xdr:rowOff>
              </to>
            </anchor>
          </controlPr>
        </control>
      </mc:Choice>
      <mc:Fallback>
        <control shapeId="1029" r:id="rId6" name="TIButton4"/>
      </mc:Fallback>
    </mc:AlternateContent>
    <mc:AlternateContent xmlns:mc="http://schemas.openxmlformats.org/markup-compatibility/2006">
      <mc:Choice Requires="x14">
        <control shapeId="1030" r:id="rId8" name="TIButton2">
          <controlPr defaultSize="0" print="0" autoLine="0" r:id="rId9">
            <anchor moveWithCells="1" sizeWithCells="1">
              <from>
                <xdr:col>8</xdr:col>
                <xdr:colOff>19050</xdr:colOff>
                <xdr:row>94</xdr:row>
                <xdr:rowOff>9525</xdr:rowOff>
              </from>
              <to>
                <xdr:col>9</xdr:col>
                <xdr:colOff>619125</xdr:colOff>
                <xdr:row>94</xdr:row>
                <xdr:rowOff>257175</xdr:rowOff>
              </to>
            </anchor>
          </controlPr>
        </control>
      </mc:Choice>
      <mc:Fallback>
        <control shapeId="1030" r:id="rId8" name="TIButton2"/>
      </mc:Fallback>
    </mc:AlternateContent>
    <mc:AlternateContent xmlns:mc="http://schemas.openxmlformats.org/markup-compatibility/2006">
      <mc:Choice Requires="x14">
        <control shapeId="1031" r:id="rId10" name="TIButton3">
          <controlPr defaultSize="0" print="0" autoLine="0" r:id="rId11">
            <anchor moveWithCells="1" sizeWithCells="1">
              <from>
                <xdr:col>10</xdr:col>
                <xdr:colOff>2028825</xdr:colOff>
                <xdr:row>94</xdr:row>
                <xdr:rowOff>9525</xdr:rowOff>
              </from>
              <to>
                <xdr:col>10</xdr:col>
                <xdr:colOff>2562225</xdr:colOff>
                <xdr:row>94</xdr:row>
                <xdr:rowOff>257175</xdr:rowOff>
              </to>
            </anchor>
          </controlPr>
        </control>
      </mc:Choice>
      <mc:Fallback>
        <control shapeId="1031" r:id="rId10" name="TIButton3"/>
      </mc:Fallback>
    </mc:AlternateContent>
    <mc:AlternateContent xmlns:mc="http://schemas.openxmlformats.org/markup-compatibility/2006">
      <mc:Choice Requires="x14">
        <control shapeId="1032" r:id="rId12" name="TIButton1">
          <controlPr defaultSize="0" print="0" autoLine="0" r:id="rId13">
            <anchor moveWithCells="1" sizeWithCells="1">
              <from>
                <xdr:col>9</xdr:col>
                <xdr:colOff>638175</xdr:colOff>
                <xdr:row>94</xdr:row>
                <xdr:rowOff>9525</xdr:rowOff>
              </from>
              <to>
                <xdr:col>9</xdr:col>
                <xdr:colOff>1781175</xdr:colOff>
                <xdr:row>94</xdr:row>
                <xdr:rowOff>257175</xdr:rowOff>
              </to>
            </anchor>
          </controlPr>
        </control>
      </mc:Choice>
      <mc:Fallback>
        <control shapeId="1032" r:id="rId12" name="TIButton1"/>
      </mc:Fallback>
    </mc:AlternateContent>
    <mc:AlternateContent xmlns:mc="http://schemas.openxmlformats.org/markup-compatibility/2006">
      <mc:Choice Requires="x14">
        <control shapeId="1033" r:id="rId14" name="TIButton5">
          <controlPr defaultSize="0" print="0" autoLine="0" r:id="rId15">
            <anchor moveWithCells="1" sizeWithCells="1">
              <from>
                <xdr:col>9</xdr:col>
                <xdr:colOff>1790700</xdr:colOff>
                <xdr:row>94</xdr:row>
                <xdr:rowOff>9525</xdr:rowOff>
              </from>
              <to>
                <xdr:col>10</xdr:col>
                <xdr:colOff>428625</xdr:colOff>
                <xdr:row>94</xdr:row>
                <xdr:rowOff>257175</xdr:rowOff>
              </to>
            </anchor>
          </controlPr>
        </control>
      </mc:Choice>
      <mc:Fallback>
        <control shapeId="1033" r:id="rId14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report</vt:lpstr>
      <vt:lpstr>Acc_display_list</vt:lpstr>
      <vt:lpstr>db_name</vt:lpstr>
      <vt:lpstr>Freeze_HERE</vt:lpstr>
      <vt:lpstr>psApp</vt:lpstr>
      <vt:lpstr>psHLYear</vt:lpstr>
      <vt:lpstr>psProgDimName</vt:lpstr>
      <vt:lpstr>psUser</vt:lpstr>
      <vt:lpstr>Report_type_table</vt:lpstr>
      <vt:lpstr>sys_disprep_list</vt:lpstr>
      <vt:lpstr>sys_YN_list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report!TM1RPTDATARNG3</vt:lpstr>
      <vt:lpstr>report!TM1RPTFMTIDCOL</vt:lpstr>
      <vt:lpstr>report!TM1RPTFMTRNG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Xin HE</cp:lastModifiedBy>
  <cp:lastPrinted>2019-09-11T02:46:54Z</cp:lastPrinted>
  <dcterms:created xsi:type="dcterms:W3CDTF">2019-03-07T00:10:17Z</dcterms:created>
  <dcterms:modified xsi:type="dcterms:W3CDTF">2025-08-05T04:42:46Z</dcterms:modified>
</cp:coreProperties>
</file>