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Excelerated\Client work\Generic GEUS\20230227 CDM TI Processes\"/>
    </mc:Choice>
  </mc:AlternateContent>
  <xr:revisionPtr revIDLastSave="0" documentId="13_ncr:1_{F594FF32-DAC1-47CF-A512-3BF78FE05A7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Menu!$G$28</definedName>
    <definedName name="Menu">Menu!$G$29</definedName>
    <definedName name="psHLYear">Menu!$C$11</definedName>
    <definedName name="psScenario">Menu!$C$12</definedName>
    <definedName name="psUser">Menu!$C$7</definedName>
    <definedName name="TM1BulkProcessCAP">Menu!$D$40</definedName>
    <definedName name="TM1BulkProcessWB">Menu!$F$40</definedName>
    <definedName name="TM1BulkProcessWS">Menu!$H$40</definedName>
    <definedName name="TM1FFExtractCAP">Menu!$D$39</definedName>
    <definedName name="TM1FFExtractWB">Menu!$F$39</definedName>
    <definedName name="TM1FFExtractWS">Menu!$H$39</definedName>
    <definedName name="TM1FFSetSaveLocCAP">Menu!$D$38</definedName>
    <definedName name="TM1FFSetSaveLocWB">Menu!$F$38</definedName>
    <definedName name="TM1FFSetSaveLocWS">Menu!$H$38</definedName>
    <definedName name="TM1HomeAdminCAP">Menu!$D$35</definedName>
    <definedName name="TM1HomeAdminWB">Menu!$F$35</definedName>
    <definedName name="TM1HomeAdminWS">Menu!$H$35</definedName>
    <definedName name="TM1HomeAEAccVarCAP">Menu!$D$33</definedName>
    <definedName name="TM1HomeAEAccVarWB">Menu!$F$33</definedName>
    <definedName name="TM1HomeAEAccVarWS">Menu!$H$33</definedName>
    <definedName name="TM1HomeAECAP">Menu!$D$29</definedName>
    <definedName name="TM1HomeAECDMCAP">Menu!$D$37</definedName>
    <definedName name="TM1HomeAECDMWB">Menu!$F$37</definedName>
    <definedName name="TM1HomeAECDMWS">Menu!$H$37</definedName>
    <definedName name="TM1HomeAEDataEntryCAP">Menu!$D$30</definedName>
    <definedName name="TM1HomeAEDataEntryWB">Menu!$F$30</definedName>
    <definedName name="TM1HomeAEDataEntryWS">Menu!$H$30</definedName>
    <definedName name="TM1HomeAEFFCAP">Menu!$D$32</definedName>
    <definedName name="TM1HomeAEFFWB">Menu!$F$32</definedName>
    <definedName name="TM1HomeAEFFWS">Menu!$H$32</definedName>
    <definedName name="TM1HomeAEMeasuresCAP">Menu!$D$31</definedName>
    <definedName name="TM1HomeAEMeasuresWB">Menu!$F$31</definedName>
    <definedName name="TM1HomeAEMeasuresWS">Menu!$H$31</definedName>
    <definedName name="TM1HomeAEWB">Menu!$F$29</definedName>
    <definedName name="TM1HomeAEWS">Menu!$H$29</definedName>
    <definedName name="TM1HomeCAP">Menu!$D$28</definedName>
    <definedName name="TM1HomeRepCAP">Menu!$D$34</definedName>
    <definedName name="TM1HomeRepWB">Menu!$F$34</definedName>
    <definedName name="TM1HomeRepWS">Menu!$H$34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REBUILDOPTION">1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37" i="1"/>
  <c r="G37" i="1"/>
  <c r="F37" i="1"/>
  <c r="E37" i="1"/>
  <c r="D37" i="1"/>
  <c r="C37" i="1"/>
  <c r="K80" i="1"/>
  <c r="C10" i="1"/>
  <c r="C12" i="1"/>
  <c r="C11" i="1"/>
  <c r="C13" i="1"/>
  <c r="C14" i="1"/>
  <c r="C15" i="1"/>
  <c r="K46" i="1"/>
  <c r="C4" i="1"/>
  <c r="C7" i="1"/>
  <c r="W44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8" i="1"/>
  <c r="C22" i="1"/>
  <c r="C21" i="1"/>
  <c r="C20" i="1"/>
  <c r="C19" i="1"/>
  <c r="C3" i="1"/>
  <c r="C6" i="1"/>
  <c r="C5" i="1"/>
</calcChain>
</file>

<file path=xl/sharedStrings.xml><?xml version="1.0" encoding="utf-8"?>
<sst xmlns="http://schemas.openxmlformats.org/spreadsheetml/2006/main" count="55" uniqueCount="49">
  <si>
    <t>Database Variables</t>
  </si>
  <si>
    <t>Database Name</t>
  </si>
  <si>
    <t>dcceew_geus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</si>
  <si>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</si>
  <si>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</si>
  <si>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</si>
  <si>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</si>
  <si>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</si>
  <si>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</si>
  <si>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</si>
  <si>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</si>
  <si>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</si>
  <si>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</si>
  <si>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</si>
  <si>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</si>
  <si>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</si>
  <si>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</si>
  <si>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</si>
  <si>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</si>
  <si>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</si>
  <si>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</si>
  <si>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</si>
  <si>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</si>
  <si>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</si>
  <si>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</si>
  <si>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</si>
  <si>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</si>
  <si>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</si>
  <si>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</si>
  <si>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</si>
  <si>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</si>
  <si>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</si>
  <si>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</si>
  <si>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</si>
  <si>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</si>
  <si>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</si>
  <si>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Worksheet description</t>
  </si>
  <si>
    <t>Homepage - Reports</t>
  </si>
  <si>
    <t>Homepage - Administration</t>
  </si>
  <si>
    <t>Homepage - Under Construction</t>
  </si>
  <si>
    <t>FlatFile - Set Save Location</t>
  </si>
  <si>
    <t>FlatFile - Prepare Extracts</t>
  </si>
  <si>
    <t>Adjustment - Bulk Process</t>
  </si>
  <si>
    <t>ANNUAL ESTIMATES</t>
  </si>
  <si>
    <t>FLAT FILE CREATION MENU</t>
  </si>
  <si>
    <t>Navigate to the adjustment list</t>
  </si>
  <si>
    <t>Data Entry - New Adj 01 - Header Details</t>
  </si>
  <si>
    <t>Navigate to the Primary Financial Statements</t>
  </si>
  <si>
    <t>Homepage - Annual Estimates - CDM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</si>
</sst>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54222235786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>
      <protection locked="0"/>
    </xf>
  </cellStyleXfs>
  <cellXfs count="20">
    <xf numFmtId="0" fontId="0" fillId="0" borderId="0" xfId="0"/>
    <xf numFmtId="0" fontId="5" fillId="3" borderId="0" xfId="0" applyFont="1" applyFill="1" applyAlignment="1">
      <alignment horizontal="left" vertical="center" indent="1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4" borderId="0" xfId="6" applyFont="1" applyFill="1" applyAlignment="1" applyProtection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4" fillId="2" borderId="0" xfId="0" applyFont="1" applyFill="1" applyAlignment="1">
      <alignment horizontal="right" vertical="center" indent="1"/>
    </xf>
    <xf numFmtId="0" fontId="0" fillId="0" borderId="3" xfId="0" applyBorder="1"/>
    <xf numFmtId="0" fontId="9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1">
    <dxf>
      <font>
        <color theme="0"/>
      </font>
      <fill>
        <patternFill>
          <bgColor theme="9" tint="-0.499954222235786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jpeg"/><Relationship Id="rId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12" Type="http://schemas.openxmlformats.org/officeDocument/2006/relationships/image" Target="../media/image1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11" Type="http://schemas.openxmlformats.org/officeDocument/2006/relationships/image" Target="../media/image2.emf"/><Relationship Id="rId5" Type="http://schemas.openxmlformats.org/officeDocument/2006/relationships/image" Target="../media/image8.emf"/><Relationship Id="rId10" Type="http://schemas.openxmlformats.org/officeDocument/2006/relationships/image" Target="../media/image3.emf"/><Relationship Id="rId4" Type="http://schemas.openxmlformats.org/officeDocument/2006/relationships/image" Target="../media/image9.emf"/><Relationship Id="rId9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45</xdr:row>
      <xdr:rowOff>55686</xdr:rowOff>
    </xdr:from>
    <xdr:to>
      <xdr:col>22</xdr:col>
      <xdr:colOff>206290</xdr:colOff>
      <xdr:row>45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50</xdr:row>
      <xdr:rowOff>57150</xdr:rowOff>
    </xdr:from>
    <xdr:to>
      <xdr:col>15</xdr:col>
      <xdr:colOff>307716</xdr:colOff>
      <xdr:row>50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00200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50</xdr:row>
      <xdr:rowOff>66675</xdr:rowOff>
    </xdr:from>
    <xdr:to>
      <xdr:col>22</xdr:col>
      <xdr:colOff>289046</xdr:colOff>
      <xdr:row>50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28575</xdr:rowOff>
    </xdr:from>
    <xdr:to>
      <xdr:col>12</xdr:col>
      <xdr:colOff>57150</xdr:colOff>
      <xdr:row>43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50</xdr:row>
      <xdr:rowOff>66675</xdr:rowOff>
    </xdr:from>
    <xdr:to>
      <xdr:col>22</xdr:col>
      <xdr:colOff>289046</xdr:colOff>
      <xdr:row>50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51</xdr:row>
          <xdr:rowOff>47625</xdr:rowOff>
        </xdr:from>
        <xdr:to>
          <xdr:col>14</xdr:col>
          <xdr:colOff>752475</xdr:colOff>
          <xdr:row>54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54</xdr:row>
          <xdr:rowOff>47625</xdr:rowOff>
        </xdr:from>
        <xdr:to>
          <xdr:col>14</xdr:col>
          <xdr:colOff>752475</xdr:colOff>
          <xdr:row>56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56</xdr:row>
          <xdr:rowOff>104775</xdr:rowOff>
        </xdr:from>
        <xdr:to>
          <xdr:col>14</xdr:col>
          <xdr:colOff>752475</xdr:colOff>
          <xdr:row>58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58</xdr:row>
          <xdr:rowOff>161925</xdr:rowOff>
        </xdr:from>
        <xdr:to>
          <xdr:col>14</xdr:col>
          <xdr:colOff>752475</xdr:colOff>
          <xdr:row>60</xdr:row>
          <xdr:rowOff>38100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47</xdr:row>
          <xdr:rowOff>47625</xdr:rowOff>
        </xdr:from>
        <xdr:to>
          <xdr:col>13</xdr:col>
          <xdr:colOff>38100</xdr:colOff>
          <xdr:row>49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47</xdr:row>
          <xdr:rowOff>47625</xdr:rowOff>
        </xdr:from>
        <xdr:to>
          <xdr:col>15</xdr:col>
          <xdr:colOff>352425</xdr:colOff>
          <xdr:row>49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47</xdr:row>
          <xdr:rowOff>38100</xdr:rowOff>
        </xdr:from>
        <xdr:to>
          <xdr:col>19</xdr:col>
          <xdr:colOff>1104900</xdr:colOff>
          <xdr:row>49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47</xdr:row>
          <xdr:rowOff>38100</xdr:rowOff>
        </xdr:from>
        <xdr:to>
          <xdr:col>22</xdr:col>
          <xdr:colOff>114300</xdr:colOff>
          <xdr:row>49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51</xdr:row>
          <xdr:rowOff>47625</xdr:rowOff>
        </xdr:from>
        <xdr:to>
          <xdr:col>21</xdr:col>
          <xdr:colOff>1038225</xdr:colOff>
          <xdr:row>54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54</xdr:row>
          <xdr:rowOff>47625</xdr:rowOff>
        </xdr:from>
        <xdr:to>
          <xdr:col>21</xdr:col>
          <xdr:colOff>1038225</xdr:colOff>
          <xdr:row>56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56</xdr:row>
          <xdr:rowOff>104775</xdr:rowOff>
        </xdr:from>
        <xdr:to>
          <xdr:col>21</xdr:col>
          <xdr:colOff>1038225</xdr:colOff>
          <xdr:row>58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28575</xdr:colOff>
      <xdr:row>0</xdr:row>
      <xdr:rowOff>0</xdr:rowOff>
    </xdr:from>
    <xdr:to>
      <xdr:col>26</xdr:col>
      <xdr:colOff>55245</xdr:colOff>
      <xdr:row>51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0"/>
          <a:ext cx="1857375" cy="1857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60</xdr:row>
          <xdr:rowOff>123825</xdr:rowOff>
        </xdr:from>
        <xdr:to>
          <xdr:col>14</xdr:col>
          <xdr:colOff>752475</xdr:colOff>
          <xdr:row>63</xdr:row>
          <xdr:rowOff>19050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2024605D-0B8C-09EB-5AB1-6591DC4D8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/>
  <dimension ref="A1:W80"/>
  <sheetViews>
    <sheetView showGridLines="0" tabSelected="1" topLeftCell="J44" workbookViewId="0"/>
  </sheetViews>
  <sheetFormatPr defaultRowHeight="14.45" customHeight="1" outlineLevelRow="1" outlineLevelCol="1" x14ac:dyDescent="0.25"/>
  <cols>
    <col min="1" max="1" width="5.7109375" hidden="1" customWidth="1" outlineLevel="1"/>
    <col min="2" max="2" width="34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4.45" hidden="1" customHeight="1" outlineLevel="1" x14ac:dyDescent="0.25">
      <c r="B1" s="4" t="s">
        <v>0</v>
      </c>
      <c r="C1" s="3"/>
      <c r="D1" s="2"/>
    </row>
    <row r="2" spans="2:4" ht="14.45" hidden="1" customHeight="1" outlineLevel="1" x14ac:dyDescent="0.25">
      <c r="B2" s="8" t="s">
        <v>1</v>
      </c>
      <c r="C2" s="9" t="s">
        <v>2</v>
      </c>
      <c r="D2" s="10"/>
    </row>
    <row r="3" spans="2:4" ht="14.45" hidden="1" customHeight="1" outlineLevel="1" x14ac:dyDescent="0.25">
      <c r="B3" s="8" t="s">
        <v>3</v>
      </c>
      <c r="C3" s="16" t="str">
        <f ca="1">_xll.VIEW((db_name&amp;":}ElementAttributes_}Clients"),"!","!")</f>
        <v>dcceew_geus:}ElementAttributes_}Clients</v>
      </c>
      <c r="D3" s="10"/>
    </row>
    <row r="4" spans="2:4" ht="14.45" hidden="1" customHeight="1" outlineLevel="1" x14ac:dyDescent="0.25">
      <c r="B4" s="8" t="s">
        <v>4</v>
      </c>
      <c r="C4" s="9" t="str">
        <f ca="1">_xll.TM1USER(db_name)</f>
        <v>Admin</v>
      </c>
      <c r="D4" s="10"/>
    </row>
    <row r="5" spans="2:4" ht="14.45" hidden="1" customHeight="1" outlineLevel="1" x14ac:dyDescent="0.25">
      <c r="B5" s="8" t="s">
        <v>5</v>
      </c>
      <c r="C5" s="9" t="str">
        <f ca="1">_xll.DBR($C$3,$C$4,$B5)</f>
        <v>Admin</v>
      </c>
      <c r="D5" s="10"/>
    </row>
    <row r="6" spans="2:4" ht="14.45" hidden="1" customHeight="1" outlineLevel="1" x14ac:dyDescent="0.25">
      <c r="B6" s="8" t="s">
        <v>6</v>
      </c>
      <c r="C6" s="9" t="str">
        <f ca="1">_xll.DBR($C$3,$C$4,$B6)</f>
        <v>Admin</v>
      </c>
      <c r="D6" s="10"/>
    </row>
    <row r="7" spans="2:4" ht="14.45" hidden="1" customHeight="1" outlineLevel="1" x14ac:dyDescent="0.25">
      <c r="B7" s="8" t="s">
        <v>7</v>
      </c>
      <c r="C7" s="9" t="str">
        <f ca="1">IF((LEFT($C$4,6)="CAM_AD"),$C$5,$C$4)</f>
        <v>Admin</v>
      </c>
      <c r="D7" s="7"/>
    </row>
    <row r="8" spans="2:4" ht="14.45" hidden="1" customHeight="1" outlineLevel="1" x14ac:dyDescent="0.25"/>
    <row r="9" spans="2:4" ht="14.45" hidden="1" customHeight="1" outlineLevel="1" x14ac:dyDescent="0.25">
      <c r="B9" s="4" t="s">
        <v>8</v>
      </c>
      <c r="C9" s="3"/>
      <c r="D9" s="2"/>
    </row>
    <row r="10" spans="2:4" ht="14.45" hidden="1" customHeight="1" outlineLevel="1" x14ac:dyDescent="0.25">
      <c r="B10" s="8" t="s">
        <v>9</v>
      </c>
      <c r="C10" s="7" t="str">
        <f ca="1">_xll.VIEW((db_name&amp;":}ElementAttributes_variables"),"!","!")</f>
        <v>dcceew_geus:}ElementAttributes_variables</v>
      </c>
      <c r="D10" s="7"/>
    </row>
    <row r="11" spans="2:4" ht="14.45" hidden="1" customHeight="1" outlineLevel="1" x14ac:dyDescent="0.25">
      <c r="B11" s="8" t="s">
        <v>10</v>
      </c>
      <c r="C11" s="7" t="str">
        <f ca="1">_xll.DBR($C$10,$B11,"value")</f>
        <v>HL2023-2024</v>
      </c>
      <c r="D11" s="7"/>
    </row>
    <row r="12" spans="2:4" ht="14.45" hidden="1" customHeight="1" outlineLevel="1" x14ac:dyDescent="0.25">
      <c r="B12" s="8" t="s">
        <v>11</v>
      </c>
      <c r="C12" s="7" t="str">
        <f ca="1">_xll.DBR($C$10,$B12,"value")</f>
        <v>current</v>
      </c>
      <c r="D12" s="7"/>
    </row>
    <row r="13" spans="2:4" ht="14.45" hidden="1" customHeight="1" outlineLevel="1" x14ac:dyDescent="0.25">
      <c r="B13" s="8" t="s">
        <v>12</v>
      </c>
      <c r="C13" s="7" t="str">
        <f ca="1">_xll.DBR($C$10,$B13,"value")</f>
        <v>HL2022-2023</v>
      </c>
      <c r="D13" s="7"/>
    </row>
    <row r="14" spans="2:4" ht="14.45" hidden="1" customHeight="1" outlineLevel="1" x14ac:dyDescent="0.25">
      <c r="B14" s="8" t="s">
        <v>13</v>
      </c>
      <c r="C14" s="7" t="str">
        <f ca="1">_xll.DBR($C$10,$B14,"value")</f>
        <v>PEFO</v>
      </c>
      <c r="D14" s="7"/>
    </row>
    <row r="15" spans="2:4" ht="14.45" hidden="1" customHeight="1" outlineLevel="1" x14ac:dyDescent="0.25">
      <c r="B15" s="8" t="s">
        <v>14</v>
      </c>
      <c r="C15" s="7" t="str">
        <f ca="1">("The current scenario is """&amp;($C$12&amp;(""" for the """&amp;($C$11&amp;(""" Headline Year. Archive was done for """&amp;($C$13&amp;(""" on scenario """&amp;($C$14&amp;"""."))))))))</f>
        <v>The current scenario is "current" for the "HL2023-2024" Headline Year. Archive was done for "HL2022-2023" on scenario "PEFO".</v>
      </c>
      <c r="D15" s="7"/>
    </row>
    <row r="16" spans="2:4" ht="14.45" hidden="1" customHeight="1" outlineLevel="1" x14ac:dyDescent="0.25"/>
    <row r="17" spans="2:13" ht="14.45" hidden="1" customHeight="1" outlineLevel="1" x14ac:dyDescent="0.25">
      <c r="B17" s="4" t="s">
        <v>15</v>
      </c>
      <c r="C17" s="3"/>
      <c r="D17" s="2"/>
    </row>
    <row r="18" spans="2:13" ht="14.45" hidden="1" customHeight="1" outlineLevel="1" x14ac:dyDescent="0.25">
      <c r="B18" s="8" t="s">
        <v>9</v>
      </c>
      <c r="C18" s="7" t="str">
        <f ca="1">_xll.VIEW((db_name&amp;":sys_client preference"),"!","!","!")</f>
        <v>dcceew_geus:sys_client preference</v>
      </c>
      <c r="D18" s="7"/>
    </row>
    <row r="19" spans="2:13" ht="14.45" hidden="1" customHeight="1" outlineLevel="1" x14ac:dyDescent="0.25">
      <c r="B19" s="8" t="s">
        <v>16</v>
      </c>
      <c r="C19" s="7" t="str">
        <f ca="1">_xll.DBR($C$18,psUser,$B19,"value")</f>
        <v>HL2023-2024</v>
      </c>
      <c r="D19" s="7"/>
    </row>
    <row r="20" spans="2:13" ht="14.45" hidden="1" customHeight="1" outlineLevel="1" x14ac:dyDescent="0.25">
      <c r="B20" s="8" t="s">
        <v>17</v>
      </c>
      <c r="C20" s="7" t="str">
        <f ca="1">_xll.DBR($C$18,psUser,$B20,"value")</f>
        <v>current</v>
      </c>
      <c r="D20" s="7"/>
    </row>
    <row r="21" spans="2:13" ht="14.45" hidden="1" customHeight="1" outlineLevel="1" x14ac:dyDescent="0.25">
      <c r="B21" s="8" t="s">
        <v>18</v>
      </c>
      <c r="C21" s="7" t="str">
        <f ca="1">_xll.DBR($C$18,psUser,$B21,"value")</f>
        <v>00176</v>
      </c>
      <c r="D21" s="7"/>
    </row>
    <row r="22" spans="2:13" ht="14.45" hidden="1" customHeight="1" outlineLevel="1" x14ac:dyDescent="0.25">
      <c r="B22" s="8" t="s">
        <v>19</v>
      </c>
      <c r="C22" s="7" t="str">
        <f ca="1">_xll.DBR($C$18,psUser,$B22,"value")</f>
        <v/>
      </c>
      <c r="D22" s="7"/>
    </row>
    <row r="23" spans="2:13" ht="14.45" hidden="1" customHeight="1" outlineLevel="1" x14ac:dyDescent="0.25">
      <c r="B23" s="8" t="s">
        <v>20</v>
      </c>
      <c r="C23" s="7" t="s">
        <v>21</v>
      </c>
      <c r="D23" s="7"/>
    </row>
    <row r="24" spans="2:13" ht="14.45" hidden="1" customHeight="1" outlineLevel="1" x14ac:dyDescent="0.25"/>
    <row r="25" spans="2:13" ht="14.45" hidden="1" customHeight="1" outlineLevel="1" x14ac:dyDescent="0.25">
      <c r="B25" s="4" t="s">
        <v>22</v>
      </c>
      <c r="C25" s="3"/>
      <c r="D25" s="2"/>
    </row>
    <row r="26" spans="2:13" ht="14.45" hidden="1" customHeight="1" outlineLevel="1" x14ac:dyDescent="0.25">
      <c r="B26" s="7" t="s">
        <v>23</v>
      </c>
      <c r="C26" s="18" t="str">
        <f ca="1">_xll.VIEW((db_name&amp;":sys_application"),"!","!")</f>
        <v>dcceew_geus:sys_application</v>
      </c>
      <c r="D26" s="18"/>
    </row>
    <row r="27" spans="2:13" ht="14.45" hidden="1" customHeight="1" outlineLevel="1" x14ac:dyDescent="0.25">
      <c r="C27" s="18" t="s">
        <v>24</v>
      </c>
      <c r="D27" s="18" t="s">
        <v>25</v>
      </c>
      <c r="E27" s="18" t="s">
        <v>26</v>
      </c>
      <c r="F27" s="18" t="s">
        <v>27</v>
      </c>
      <c r="G27" s="18" t="s">
        <v>28</v>
      </c>
      <c r="H27" s="18" t="s">
        <v>29</v>
      </c>
    </row>
    <row r="28" spans="2:13" ht="14.45" hidden="1" customHeight="1" outlineLevel="1" x14ac:dyDescent="0.25">
      <c r="B28" s="7" t="s">
        <v>30</v>
      </c>
      <c r="C28" s="7" t="str">
        <f ca="1">_xll.DBR($C$26,$B28,C$27)</f>
        <v>TM1HomeCAP</v>
      </c>
      <c r="D28" s="7" t="str">
        <f ca="1">_xll.DBR($C$26,$B28,D$27)</f>
        <v>Home</v>
      </c>
      <c r="E28" s="7" t="str">
        <f ca="1">_xll.DBR($C$26,$B28,E$27)</f>
        <v>TM1HomeWB</v>
      </c>
      <c r="F28" s="7" t="str">
        <f ca="1">_xll.DBR($C$26,$B28,F$27)</f>
        <v>PRIMUS\GEUS WEB\Homepage\sys_Home.xlsx</v>
      </c>
      <c r="G28" s="7" t="str">
        <f ca="1">_xll.DBR($C$26,$B28,G$27)</f>
        <v>TM1HomeWS</v>
      </c>
      <c r="H28" s="7" t="str">
        <f ca="1">_xll.DBR($C$26,$B28,H$27)</f>
        <v>home</v>
      </c>
      <c r="M28" t="s">
        <v>25</v>
      </c>
    </row>
    <row r="29" spans="2:13" ht="14.45" hidden="1" customHeight="1" outlineLevel="1" x14ac:dyDescent="0.25">
      <c r="B29" s="7" t="s">
        <v>31</v>
      </c>
      <c r="C29" s="7" t="str">
        <f ca="1">_xll.DBR($C$26,$B29,C$27)</f>
        <v>TM1HomeAECAP</v>
      </c>
      <c r="D29" s="7" t="str">
        <f ca="1">_xll.DBR($C$26,$B29,D$27)</f>
        <v>Annual Estimates</v>
      </c>
      <c r="E29" s="7" t="str">
        <f ca="1">_xll.DBR($C$26,$B29,E$27)</f>
        <v>TM1HomeAEWB</v>
      </c>
      <c r="F29" s="7" t="str">
        <f ca="1">_xll.DBR($C$26,$B29,F$27)</f>
        <v>PRIMUS\GEUS WEB\Homepage\sys_Home - Annual Estimates - Data Entry.xlsx</v>
      </c>
      <c r="G29" s="7" t="str">
        <f ca="1">_xll.DBR($C$26,$B29,G$27)</f>
        <v>TM1HomeAEWS</v>
      </c>
      <c r="H29" s="7" t="str">
        <f ca="1">_xll.DBR($C$26,$B29,H$27)</f>
        <v>Menu</v>
      </c>
      <c r="M29" t="s">
        <v>26</v>
      </c>
    </row>
    <row r="30" spans="2:13" ht="14.45" hidden="1" customHeight="1" outlineLevel="1" x14ac:dyDescent="0.25">
      <c r="B30" s="7" t="s">
        <v>32</v>
      </c>
      <c r="C30" s="7" t="str">
        <f ca="1">_xll.DBR($C$26,$B30,C$27)</f>
        <v>TM1HomeAEDataEntryCAP</v>
      </c>
      <c r="D30" s="7" t="str">
        <f ca="1">_xll.DBR($C$26,$B30,D$27)</f>
        <v>Data Entry Menu</v>
      </c>
      <c r="E30" s="7" t="str">
        <f ca="1">_xll.DBR($C$26,$B30,E$27)</f>
        <v>TM1HomeAEDataEntryWB</v>
      </c>
      <c r="F30" s="7" t="str">
        <f ca="1">_xll.DBR($C$26,$B30,F$27)</f>
        <v>PRIMUS\GEUS WEB\Homepage\sys_Home - Annual Estimates - Data Entry.xlsx</v>
      </c>
      <c r="G30" s="7" t="str">
        <f ca="1">_xll.DBR($C$26,$B30,G$27)</f>
        <v>TM1HomeAEDataEntryWS</v>
      </c>
      <c r="H30" s="7" t="str">
        <f ca="1">_xll.DBR($C$26,$B30,H$27)</f>
        <v>Menu</v>
      </c>
      <c r="M30" t="s">
        <v>27</v>
      </c>
    </row>
    <row r="31" spans="2:13" ht="14.45" hidden="1" customHeight="1" outlineLevel="1" x14ac:dyDescent="0.25">
      <c r="B31" s="7" t="s">
        <v>33</v>
      </c>
      <c r="C31" s="7" t="str">
        <f ca="1">_xll.DBR($C$26,$B31,C$27)</f>
        <v>TM1HomeAEMeasuresCAP</v>
      </c>
      <c r="D31" s="7" t="str">
        <f ca="1">_xll.DBR($C$26,$B31,D$27)</f>
        <v>Measures Menu</v>
      </c>
      <c r="E31" s="7" t="str">
        <f ca="1">_xll.DBR($C$26,$B31,E$27)</f>
        <v>TM1HomeAEMeasuresWB</v>
      </c>
      <c r="F31" s="7" t="str">
        <f ca="1">_xll.DBR($C$26,$B31,F$27)</f>
        <v>PRIMUS\GEUS WEB\Homepage\sys_Home - Annual Estimates - Measures.xlsx</v>
      </c>
      <c r="G31" s="7" t="str">
        <f ca="1">_xll.DBR($C$26,$B31,G$27)</f>
        <v>TM1HomeAEMeasuresWS</v>
      </c>
      <c r="H31" s="7" t="str">
        <f ca="1">_xll.DBR($C$26,$B31,H$27)</f>
        <v>Menu</v>
      </c>
      <c r="M31" t="s">
        <v>28</v>
      </c>
    </row>
    <row r="32" spans="2:13" ht="14.45" hidden="1" customHeight="1" outlineLevel="1" x14ac:dyDescent="0.25">
      <c r="B32" s="7" t="s">
        <v>34</v>
      </c>
      <c r="C32" s="7" t="str">
        <f ca="1">_xll.DBR($C$26,$B32,C$27)</f>
        <v>TM1HomeAEFFCAP</v>
      </c>
      <c r="D32" s="7" t="str">
        <f ca="1">_xll.DBR($C$26,$B32,D$27)</f>
        <v>Flatfile Creation Menu</v>
      </c>
      <c r="E32" s="7" t="str">
        <f ca="1">_xll.DBR($C$26,$B32,E$27)</f>
        <v>TM1HomeAEFFWB</v>
      </c>
      <c r="F32" s="7" t="str">
        <f ca="1">_xll.DBR($C$26,$B32,F$27)</f>
        <v>PRIMUS\GEUS WEB\Homepage\sys_Home - Annual Estimates - Flatfile Creation.xlsx</v>
      </c>
      <c r="G32" s="7" t="str">
        <f ca="1">_xll.DBR($C$26,$B32,G$27)</f>
        <v>TM1HomeAEFFWS</v>
      </c>
      <c r="H32" s="7" t="str">
        <f ca="1">_xll.DBR($C$26,$B32,H$27)</f>
        <v>Menu</v>
      </c>
      <c r="M32" t="s">
        <v>29</v>
      </c>
    </row>
    <row r="33" spans="2:23" ht="14.45" hidden="1" customHeight="1" outlineLevel="1" x14ac:dyDescent="0.25">
      <c r="B33" s="7" t="s">
        <v>35</v>
      </c>
      <c r="C33" s="7" t="str">
        <f ca="1">_xll.DBR($C$26,$B33,C$27)</f>
        <v>TM1HomeAEAccVarCAP</v>
      </c>
      <c r="D33" s="7" t="str">
        <f ca="1">_xll.DBR($C$26,$B33,D$27)</f>
        <v>Account Variation Data Entry Menu</v>
      </c>
      <c r="E33" s="7" t="str">
        <f ca="1">_xll.DBR($C$26,$B33,E$27)</f>
        <v>TM1HomeAEAccVarWB</v>
      </c>
      <c r="F33" s="7" t="str">
        <f ca="1">_xll.DBR($C$26,$B33,F$27)</f>
        <v>PRIMUS\GEUS WEB\Homepage\sys_Home - Annual Estimates - Account Variation.xlsx</v>
      </c>
      <c r="G33" s="7" t="str">
        <f ca="1">_xll.DBR($C$26,$B33,G$27)</f>
        <v>TM1HomeAEAccVarWS</v>
      </c>
      <c r="H33" s="7" t="str">
        <f ca="1">_xll.DBR($C$26,$B33,H$27)</f>
        <v>Menu</v>
      </c>
      <c r="M33" t="s">
        <v>36</v>
      </c>
    </row>
    <row r="34" spans="2:23" ht="14.45" hidden="1" customHeight="1" outlineLevel="1" x14ac:dyDescent="0.25">
      <c r="B34" s="7" t="s">
        <v>37</v>
      </c>
      <c r="C34" s="7" t="str">
        <f ca="1">_xll.DBR($C$26,$B34,C$27)</f>
        <v>TM1HomeRepCAP</v>
      </c>
      <c r="D34" s="7" t="str">
        <f ca="1">_xll.DBR($C$26,$B34,D$27)</f>
        <v>Reports</v>
      </c>
      <c r="E34" s="7" t="str">
        <f ca="1">_xll.DBR($C$26,$B34,E$27)</f>
        <v>TM1HomeRepWB</v>
      </c>
      <c r="F34" s="7" t="str">
        <f ca="1">_xll.DBR($C$26,$B34,F$27)</f>
        <v>PRIMUS\GEUS WEB\Homepage\sys_Home - Reports - PFS.xlsx</v>
      </c>
      <c r="G34" s="7" t="str">
        <f ca="1">_xll.DBR($C$26,$B34,G$27)</f>
        <v>TM1HomeRepWS</v>
      </c>
      <c r="H34" s="7" t="str">
        <f ca="1">_xll.DBR($C$26,$B34,H$27)</f>
        <v>Menu</v>
      </c>
    </row>
    <row r="35" spans="2:23" ht="14.45" hidden="1" customHeight="1" outlineLevel="1" x14ac:dyDescent="0.25">
      <c r="B35" s="7" t="s">
        <v>38</v>
      </c>
      <c r="C35" s="7" t="str">
        <f ca="1">_xll.DBR($C$26,$B35,C$27)</f>
        <v>TM1HomeAdminCAP</v>
      </c>
      <c r="D35" s="7" t="str">
        <f ca="1">_xll.DBR($C$26,$B35,D$27)</f>
        <v>Administration</v>
      </c>
      <c r="E35" s="7" t="str">
        <f ca="1">_xll.DBR($C$26,$B35,E$27)</f>
        <v>TM1HomeAdminWB</v>
      </c>
      <c r="F35" s="7" t="str">
        <f ca="1">_xll.DBR($C$26,$B35,F$27)</f>
        <v>PRIMUS\GEUS WEB\Homepage\sys_Home - Administration - GEUS Setup.xlsx</v>
      </c>
      <c r="G35" s="7" t="str">
        <f ca="1">_xll.DBR($C$26,$B35,G$27)</f>
        <v>TM1HomeAdminWS</v>
      </c>
      <c r="H35" s="7" t="str">
        <f ca="1">_xll.DBR($C$26,$B35,H$27)</f>
        <v>Menu</v>
      </c>
    </row>
    <row r="36" spans="2:23" ht="14.45" hidden="1" customHeight="1" outlineLevel="1" x14ac:dyDescent="0.25">
      <c r="B36" s="7" t="s">
        <v>39</v>
      </c>
      <c r="C36" s="7" t="str">
        <f ca="1">_xll.DBR($C$26,$B36,C$27)</f>
        <v>TM1HomeUnderCAP</v>
      </c>
      <c r="D36" s="7" t="str">
        <f ca="1">_xll.DBR($C$26,$B36,D$27)</f>
        <v>Under Construction</v>
      </c>
      <c r="E36" s="7" t="str">
        <f ca="1">_xll.DBR($C$26,$B36,E$27)</f>
        <v>TM1HomeUnderWB</v>
      </c>
      <c r="F36" s="7" t="str">
        <f ca="1">_xll.DBR($C$26,$B36,F$27)</f>
        <v>PRIMUS\GEUS WEB\Homepage\sys_Home - Under Construction.xlsx</v>
      </c>
      <c r="G36" s="7" t="str">
        <f ca="1">_xll.DBR($C$26,$B36,G$27)</f>
        <v>TM1HomeUnderWS</v>
      </c>
      <c r="H36" s="7" t="str">
        <f ca="1">_xll.DBR($C$26,$B36,H$27)</f>
        <v>under construction</v>
      </c>
    </row>
    <row r="37" spans="2:23" ht="14.45" hidden="1" customHeight="1" outlineLevel="1" x14ac:dyDescent="0.25">
      <c r="B37" s="7" t="s">
        <v>48</v>
      </c>
      <c r="C37" s="7" t="str">
        <f ca="1">_xll.DBR($C$26,$B37,C$27)</f>
        <v>TM1HomeAECDMCAP</v>
      </c>
      <c r="D37" s="7" t="str">
        <f ca="1">_xll.DBR($C$26,$B37,D$27)</f>
        <v>CDM Extract Menu</v>
      </c>
      <c r="E37" s="7" t="str">
        <f ca="1">_xll.DBR($C$26,$B37,E$27)</f>
        <v>TM1HomeAECDMWB</v>
      </c>
      <c r="F37" s="7" t="str">
        <f ca="1">_xll.DBR($C$26,$B37,F$27)</f>
        <v>PRIMUS\GEUS WEB\Homepage\sys_Home - Annual Estimates - CDM.xlsx</v>
      </c>
      <c r="G37" s="7" t="str">
        <f ca="1">_xll.DBR($C$26,$B37,G$27)</f>
        <v>TM1HomeAECDMWS</v>
      </c>
      <c r="H37" s="7" t="str">
        <f ca="1">_xll.DBR($C$26,$B37,H$27)</f>
        <v>Menu</v>
      </c>
    </row>
    <row r="38" spans="2:23" ht="14.45" hidden="1" customHeight="1" outlineLevel="1" x14ac:dyDescent="0.25">
      <c r="B38" s="7" t="s">
        <v>40</v>
      </c>
      <c r="C38" s="7" t="str">
        <f ca="1">_xll.DBR($C$26,$B38,C$27)</f>
        <v>TM1FFSetSaveLocCAP</v>
      </c>
      <c r="D38" s="7" t="str">
        <f ca="1">_xll.DBR($C$26,$B38,D$27)</f>
        <v>Set Save Location</v>
      </c>
      <c r="E38" s="7" t="str">
        <f ca="1">_xll.DBR($C$26,$B38,E$27)</f>
        <v>TM1FFSetSaveLocWB</v>
      </c>
      <c r="F38" s="7" t="str">
        <f ca="1">_xll.DBR($C$26,$B38,F$27)</f>
        <v>PRIMUS\GEUS WEB\Annual Estimates\Flatfile Creation\ff_set save location.xlsx</v>
      </c>
      <c r="G38" s="7" t="str">
        <f ca="1">_xll.DBR($C$26,$B38,G$27)</f>
        <v>TM1FFSetSaveLocWS</v>
      </c>
      <c r="H38" s="7" t="str">
        <f ca="1">_xll.DBR($C$26,$B38,H$27)</f>
        <v>save location</v>
      </c>
    </row>
    <row r="39" spans="2:23" ht="14.45" hidden="1" customHeight="1" outlineLevel="1" x14ac:dyDescent="0.25">
      <c r="B39" s="7" t="s">
        <v>41</v>
      </c>
      <c r="C39" s="7" t="str">
        <f ca="1">_xll.DBR($C$26,$B39,C$27)</f>
        <v>TM1FFExtractCAP</v>
      </c>
      <c r="D39" s="7" t="str">
        <f ca="1">_xll.DBR($C$26,$B39,D$27)</f>
        <v>Prepare FF Extracts</v>
      </c>
      <c r="E39" s="7" t="str">
        <f ca="1">_xll.DBR($C$26,$B39,E$27)</f>
        <v>TM1FFExtractWB</v>
      </c>
      <c r="F39" s="7" t="str">
        <f ca="1">_xll.DBR($C$26,$B39,F$27)</f>
        <v>PRIMUS\GEUS WEB\Annual Estimates\Flatfile Creation\ff_prepare cbms extract.xlsx</v>
      </c>
      <c r="G39" s="7" t="str">
        <f ca="1">_xll.DBR($C$26,$B39,G$27)</f>
        <v>TM1FFExtractWS</v>
      </c>
      <c r="H39" s="7" t="str">
        <f ca="1">_xll.DBR($C$26,$B39,H$27)</f>
        <v>extract</v>
      </c>
    </row>
    <row r="40" spans="2:23" ht="14.45" hidden="1" customHeight="1" outlineLevel="1" x14ac:dyDescent="0.25">
      <c r="B40" s="7" t="s">
        <v>42</v>
      </c>
      <c r="C40" s="7" t="str">
        <f ca="1">_xll.DBR($C$26,$B40,C$27)</f>
        <v>TM1BulkProcessCAP</v>
      </c>
      <c r="D40" s="7" t="str">
        <f ca="1">_xll.DBR($C$26,$B40,D$27)</f>
        <v>Bulk Process</v>
      </c>
      <c r="E40" s="7" t="str">
        <f ca="1">_xll.DBR($C$26,$B40,E$27)</f>
        <v>TM1BulkProcessWB</v>
      </c>
      <c r="F40" s="7" t="str">
        <f ca="1">_xll.DBR($C$26,$B40,F$27)</f>
        <v>PRIMUS\GEUS WEB\Annual Estimates\Adjustment\adj_bulk process.xlsx</v>
      </c>
      <c r="G40" s="7" t="str">
        <f ca="1">_xll.DBR($C$26,$B40,G$27)</f>
        <v>TM1BulkProcessWS</v>
      </c>
      <c r="H40" s="7" t="str">
        <f ca="1">_xll.DBR($C$26,$B40,H$27)</f>
        <v>bulk process</v>
      </c>
    </row>
    <row r="41" spans="2:23" ht="14.45" hidden="1" customHeight="1" outlineLevel="1" x14ac:dyDescent="0.25"/>
    <row r="42" spans="2:23" ht="14.45" hidden="1" customHeight="1" outlineLevel="1" x14ac:dyDescent="0.25"/>
    <row r="43" spans="2:23" ht="14.45" hidden="1" customHeight="1" outlineLevel="1" x14ac:dyDescent="0.25"/>
    <row r="44" spans="2:23" ht="39.75" customHeight="1" collapsed="1" x14ac:dyDescent="0.25"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7" t="str">
        <f ca="1">("Welcome "&amp;psUser)</f>
        <v>Welcome Admin</v>
      </c>
    </row>
    <row r="45" spans="2:23" ht="4.5" customHeight="1" x14ac:dyDescent="0.25"/>
    <row r="46" spans="2:23" ht="30" customHeight="1" x14ac:dyDescent="0.25">
      <c r="J46" s="12"/>
      <c r="K46" s="1" t="str">
        <f ca="1">$C$15</f>
        <v>The current scenario is "current" for the "HL2023-2024" Headline Year. Archive was done for "HL2022-2023" on scenario "PEFO".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2"/>
      <c r="W46" s="12"/>
    </row>
    <row r="47" spans="2:23" ht="4.5" customHeight="1" x14ac:dyDescent="0.25"/>
    <row r="51" spans="10:23" ht="24.75" customHeight="1" x14ac:dyDescent="0.25">
      <c r="J51" s="13"/>
      <c r="K51" s="13"/>
      <c r="L51" s="6" t="s">
        <v>43</v>
      </c>
      <c r="M51" s="6"/>
      <c r="N51" s="6"/>
      <c r="O51" s="6"/>
      <c r="P51" s="11"/>
      <c r="R51" s="14"/>
      <c r="S51" s="5" t="s">
        <v>44</v>
      </c>
      <c r="T51" s="5"/>
      <c r="U51" s="5"/>
      <c r="V51" s="5"/>
      <c r="W51" s="14"/>
    </row>
    <row r="52" spans="10:23" ht="4.5" customHeight="1" x14ac:dyDescent="0.25">
      <c r="J52" s="15"/>
      <c r="K52" s="15"/>
      <c r="L52" s="15"/>
      <c r="M52" s="15"/>
      <c r="N52" s="15"/>
      <c r="O52" s="15"/>
      <c r="P52" s="15"/>
      <c r="R52" s="15"/>
      <c r="S52" s="15"/>
      <c r="T52" s="15"/>
      <c r="U52" s="15"/>
      <c r="V52" s="15"/>
      <c r="W52" s="15"/>
    </row>
    <row r="53" spans="10:23" ht="19.5" customHeight="1" x14ac:dyDescent="0.25">
      <c r="J53" s="15"/>
      <c r="K53" s="15"/>
      <c r="L53" s="15"/>
      <c r="M53" s="15"/>
      <c r="N53" s="15"/>
      <c r="O53" s="15"/>
      <c r="P53" s="15"/>
      <c r="R53" s="15"/>
      <c r="S53" s="15"/>
      <c r="T53" s="15"/>
      <c r="U53" s="15"/>
      <c r="V53" s="15"/>
      <c r="W53" s="15"/>
    </row>
    <row r="54" spans="10:23" ht="4.5" customHeight="1" x14ac:dyDescent="0.25">
      <c r="J54" s="15"/>
      <c r="K54" s="15"/>
      <c r="L54" s="15"/>
      <c r="M54" s="15"/>
      <c r="N54" s="15"/>
      <c r="O54" s="15"/>
      <c r="P54" s="15"/>
      <c r="R54" s="15"/>
      <c r="S54" s="15"/>
      <c r="T54" s="15"/>
      <c r="U54" s="15"/>
      <c r="V54" s="15"/>
      <c r="W54" s="15"/>
    </row>
    <row r="55" spans="10:23" ht="19.5" customHeight="1" x14ac:dyDescent="0.25">
      <c r="J55" s="15"/>
      <c r="K55" s="15"/>
      <c r="L55" s="15"/>
      <c r="M55" s="15"/>
      <c r="N55" s="15"/>
      <c r="O55" s="15"/>
      <c r="P55" s="15"/>
      <c r="R55" s="15"/>
      <c r="S55" s="15"/>
      <c r="T55" s="15"/>
      <c r="U55" s="15"/>
      <c r="V55" s="15"/>
      <c r="W55" s="15"/>
    </row>
    <row r="56" spans="10:23" ht="4.5" customHeight="1" x14ac:dyDescent="0.25">
      <c r="J56" s="15"/>
      <c r="K56" s="15"/>
      <c r="L56" s="15"/>
      <c r="M56" s="15"/>
      <c r="N56" s="15"/>
      <c r="O56" s="15"/>
      <c r="P56" s="15"/>
      <c r="R56" s="15"/>
      <c r="S56" s="15"/>
      <c r="T56" s="15"/>
      <c r="U56" s="15"/>
      <c r="V56" s="15"/>
      <c r="W56" s="15"/>
    </row>
    <row r="57" spans="10:23" ht="19.5" customHeight="1" x14ac:dyDescent="0.25">
      <c r="J57" s="15"/>
      <c r="K57" s="15"/>
      <c r="L57" s="15"/>
      <c r="M57" s="15"/>
      <c r="N57" s="15"/>
      <c r="O57" s="15"/>
      <c r="P57" s="15"/>
      <c r="R57" s="15"/>
      <c r="S57" s="15"/>
      <c r="T57" s="15"/>
      <c r="U57" s="15"/>
      <c r="V57" s="15"/>
      <c r="W57" s="15"/>
    </row>
    <row r="58" spans="10:23" ht="4.5" customHeight="1" x14ac:dyDescent="0.25">
      <c r="J58" s="15"/>
      <c r="K58" s="15"/>
      <c r="L58" s="15"/>
      <c r="M58" s="15"/>
      <c r="N58" s="15"/>
      <c r="O58" s="15"/>
      <c r="P58" s="15"/>
      <c r="R58" s="15"/>
      <c r="S58" s="15"/>
      <c r="T58" s="15"/>
      <c r="U58" s="15"/>
      <c r="V58" s="15"/>
      <c r="W58" s="15"/>
    </row>
    <row r="59" spans="10:23" ht="19.5" customHeight="1" x14ac:dyDescent="0.25">
      <c r="J59" s="15"/>
      <c r="K59" s="15"/>
      <c r="L59" s="15"/>
      <c r="M59" s="15"/>
      <c r="N59" s="15"/>
      <c r="O59" s="15"/>
      <c r="P59" s="15"/>
      <c r="R59" s="15"/>
      <c r="S59" s="15"/>
      <c r="T59" s="15"/>
      <c r="U59" s="15"/>
      <c r="V59" s="15"/>
      <c r="W59" s="15"/>
    </row>
    <row r="60" spans="10:23" ht="14.45" customHeight="1" x14ac:dyDescent="0.25">
      <c r="J60" s="15"/>
      <c r="K60" s="15"/>
      <c r="L60" s="15"/>
      <c r="M60" s="15"/>
      <c r="N60" s="15"/>
      <c r="O60" s="15"/>
      <c r="P60" s="15"/>
      <c r="R60" s="15"/>
      <c r="S60" s="15"/>
      <c r="T60" s="15"/>
      <c r="U60" s="15"/>
      <c r="V60" s="15"/>
      <c r="W60" s="15"/>
    </row>
    <row r="61" spans="10:23" ht="14.45" customHeight="1" x14ac:dyDescent="0.25">
      <c r="J61" s="15"/>
      <c r="K61" s="15"/>
      <c r="L61" s="15"/>
      <c r="M61" s="15"/>
      <c r="N61" s="15"/>
      <c r="O61" s="15"/>
      <c r="P61" s="15"/>
      <c r="R61" s="15"/>
      <c r="S61" s="15"/>
      <c r="T61" s="15"/>
      <c r="U61" s="15"/>
      <c r="V61" s="15"/>
      <c r="W61" s="15"/>
    </row>
    <row r="62" spans="10:23" ht="4.5" customHeight="1" x14ac:dyDescent="0.25">
      <c r="J62" s="15"/>
      <c r="K62" s="15"/>
      <c r="L62" s="15"/>
      <c r="M62" s="15"/>
      <c r="N62" s="15"/>
      <c r="O62" s="15"/>
      <c r="P62" s="15"/>
      <c r="R62" s="15"/>
      <c r="S62" s="15"/>
      <c r="T62" s="15"/>
      <c r="U62" s="15"/>
      <c r="V62" s="15"/>
      <c r="W62" s="15"/>
    </row>
    <row r="63" spans="10:23" ht="14.45" customHeight="1" x14ac:dyDescent="0.25">
      <c r="J63" s="15"/>
      <c r="K63" s="15"/>
      <c r="L63" s="15"/>
      <c r="M63" s="15"/>
      <c r="N63" s="15"/>
      <c r="O63" s="15"/>
      <c r="P63" s="15"/>
      <c r="R63" s="15"/>
      <c r="S63" s="15"/>
      <c r="T63" s="15"/>
      <c r="U63" s="15"/>
      <c r="V63" s="15"/>
      <c r="W63" s="15"/>
    </row>
    <row r="64" spans="10:23" ht="4.5" customHeight="1" x14ac:dyDescent="0.25">
      <c r="J64" s="15"/>
      <c r="K64" s="15"/>
      <c r="L64" s="15"/>
      <c r="M64" s="15"/>
      <c r="N64" s="15"/>
      <c r="O64" s="15"/>
      <c r="P64" s="15"/>
      <c r="R64" s="15"/>
      <c r="S64" s="15"/>
      <c r="T64" s="15"/>
      <c r="U64" s="15"/>
      <c r="V64" s="15"/>
      <c r="W64" s="15"/>
    </row>
    <row r="65" spans="10:23" ht="14.45" customHeight="1" x14ac:dyDescent="0.25">
      <c r="J65" s="15"/>
      <c r="K65" s="15"/>
      <c r="L65" s="15"/>
      <c r="M65" s="15"/>
      <c r="N65" s="15"/>
      <c r="O65" s="15"/>
      <c r="P65" s="15"/>
      <c r="R65" s="15"/>
      <c r="S65" s="15"/>
      <c r="T65" s="15"/>
      <c r="U65" s="15"/>
      <c r="V65" s="15"/>
      <c r="W65" s="15"/>
    </row>
    <row r="66" spans="10:23" ht="4.5" customHeight="1" x14ac:dyDescent="0.25">
      <c r="J66" s="15"/>
      <c r="K66" s="15"/>
      <c r="L66" s="15"/>
      <c r="M66" s="15"/>
      <c r="N66" s="15"/>
      <c r="O66" s="15"/>
      <c r="P66" s="15"/>
      <c r="R66" s="15"/>
      <c r="S66" s="15"/>
      <c r="T66" s="15"/>
      <c r="U66" s="15"/>
      <c r="V66" s="15"/>
      <c r="W66" s="15"/>
    </row>
    <row r="67" spans="10:23" ht="14.45" customHeight="1" x14ac:dyDescent="0.25">
      <c r="J67" s="15"/>
      <c r="K67" s="15"/>
      <c r="L67" s="15"/>
      <c r="M67" s="15"/>
      <c r="N67" s="15"/>
      <c r="O67" s="15"/>
      <c r="P67" s="15"/>
      <c r="R67" s="15"/>
      <c r="S67" s="15"/>
      <c r="T67" s="15"/>
      <c r="U67" s="15"/>
      <c r="V67" s="15"/>
      <c r="W67" s="15"/>
    </row>
    <row r="68" spans="10:23" ht="4.5" customHeight="1" x14ac:dyDescent="0.25">
      <c r="J68" s="15"/>
      <c r="K68" s="15"/>
      <c r="L68" s="15"/>
      <c r="M68" s="15"/>
      <c r="N68" s="15"/>
      <c r="O68" s="15"/>
      <c r="P68" s="15"/>
      <c r="R68" s="15"/>
      <c r="S68" s="15"/>
      <c r="T68" s="15"/>
      <c r="U68" s="15"/>
      <c r="V68" s="15"/>
      <c r="W68" s="15"/>
    </row>
    <row r="69" spans="10:23" ht="14.45" customHeight="1" x14ac:dyDescent="0.25">
      <c r="J69" s="15"/>
      <c r="K69" s="15"/>
      <c r="L69" s="15"/>
      <c r="M69" s="15"/>
      <c r="N69" s="15"/>
      <c r="O69" s="15"/>
      <c r="P69" s="15"/>
      <c r="R69" s="15"/>
      <c r="S69" s="15"/>
      <c r="T69" s="15"/>
      <c r="U69" s="15"/>
      <c r="V69" s="15"/>
      <c r="W69" s="15"/>
    </row>
    <row r="70" spans="10:23" ht="4.5" customHeight="1" x14ac:dyDescent="0.25">
      <c r="J70" s="15"/>
      <c r="K70" s="15"/>
      <c r="L70" s="15"/>
      <c r="M70" s="15"/>
      <c r="N70" s="15"/>
      <c r="O70" s="15"/>
      <c r="P70" s="15"/>
      <c r="R70" s="15"/>
      <c r="S70" s="15"/>
      <c r="T70" s="15"/>
      <c r="U70" s="15"/>
      <c r="V70" s="15"/>
      <c r="W70" s="15"/>
    </row>
    <row r="71" spans="10:23" ht="14.45" customHeight="1" x14ac:dyDescent="0.25">
      <c r="J71" s="15"/>
      <c r="K71" s="15"/>
      <c r="L71" s="15"/>
      <c r="M71" s="15"/>
      <c r="N71" s="15"/>
      <c r="O71" s="15"/>
      <c r="P71" s="15"/>
      <c r="R71" s="15"/>
      <c r="S71" s="15"/>
      <c r="T71" s="15"/>
      <c r="U71" s="15"/>
      <c r="V71" s="15"/>
      <c r="W71" s="15"/>
    </row>
    <row r="72" spans="10:23" ht="4.5" customHeight="1" x14ac:dyDescent="0.25">
      <c r="J72" s="15"/>
      <c r="K72" s="15"/>
      <c r="L72" s="15"/>
      <c r="M72" s="15"/>
      <c r="N72" s="15"/>
      <c r="O72" s="15"/>
      <c r="P72" s="15"/>
      <c r="R72" s="15"/>
      <c r="S72" s="15"/>
      <c r="T72" s="15"/>
      <c r="U72" s="15"/>
      <c r="V72" s="15"/>
      <c r="W72" s="15"/>
    </row>
    <row r="73" spans="10:23" ht="14.45" customHeight="1" x14ac:dyDescent="0.25">
      <c r="J73" s="15"/>
      <c r="K73" s="15"/>
      <c r="L73" s="15"/>
      <c r="M73" s="15"/>
      <c r="N73" s="15"/>
      <c r="O73" s="15"/>
      <c r="P73" s="15"/>
      <c r="R73" s="15"/>
      <c r="S73" s="15"/>
      <c r="T73" s="15"/>
      <c r="U73" s="15"/>
      <c r="V73" s="15"/>
      <c r="W73" s="15"/>
    </row>
    <row r="74" spans="10:23" ht="4.5" customHeight="1" x14ac:dyDescent="0.25">
      <c r="J74" s="15"/>
      <c r="K74" s="15"/>
      <c r="L74" s="15"/>
      <c r="M74" s="15"/>
      <c r="N74" s="15"/>
      <c r="O74" s="15"/>
      <c r="P74" s="15"/>
      <c r="R74" s="15"/>
      <c r="S74" s="15"/>
      <c r="T74" s="15"/>
      <c r="U74" s="15"/>
      <c r="V74" s="15"/>
      <c r="W74" s="15"/>
    </row>
    <row r="75" spans="10:23" ht="14.45" customHeight="1" x14ac:dyDescent="0.25">
      <c r="J75" s="15"/>
      <c r="K75" s="15"/>
      <c r="L75" s="15"/>
      <c r="M75" s="15"/>
      <c r="N75" s="15"/>
      <c r="O75" s="15"/>
      <c r="P75" s="15"/>
      <c r="R75" s="15"/>
      <c r="S75" s="15"/>
      <c r="T75" s="15"/>
      <c r="U75" s="15"/>
      <c r="V75" s="15"/>
      <c r="W75" s="15"/>
    </row>
    <row r="76" spans="10:23" ht="4.5" customHeight="1" x14ac:dyDescent="0.25">
      <c r="J76" s="15"/>
      <c r="K76" s="15"/>
      <c r="L76" s="15"/>
      <c r="M76" s="15"/>
      <c r="N76" s="15"/>
      <c r="O76" s="15"/>
      <c r="P76" s="15"/>
      <c r="R76" s="15"/>
      <c r="S76" s="15"/>
      <c r="T76" s="15"/>
      <c r="U76" s="15"/>
      <c r="V76" s="15"/>
      <c r="W76" s="15"/>
    </row>
    <row r="77" spans="10:23" ht="14.45" customHeight="1" x14ac:dyDescent="0.25">
      <c r="J77" s="15"/>
      <c r="K77" s="15"/>
      <c r="L77" s="15"/>
      <c r="M77" s="15"/>
      <c r="N77" s="15"/>
      <c r="O77" s="15"/>
      <c r="P77" s="15"/>
      <c r="R77" s="15"/>
      <c r="S77" s="15"/>
      <c r="T77" s="15"/>
      <c r="U77" s="15"/>
      <c r="V77" s="15"/>
      <c r="W77" s="15"/>
    </row>
    <row r="78" spans="10:23" ht="4.5" customHeight="1" x14ac:dyDescent="0.25">
      <c r="J78" s="15"/>
      <c r="K78" s="15"/>
      <c r="L78" s="15"/>
      <c r="M78" s="15"/>
      <c r="N78" s="15"/>
      <c r="O78" s="15"/>
      <c r="P78" s="15"/>
      <c r="R78" s="15"/>
      <c r="S78" s="15"/>
      <c r="T78" s="15"/>
      <c r="U78" s="15"/>
      <c r="V78" s="15"/>
      <c r="W78" s="15"/>
    </row>
    <row r="79" spans="10:23" ht="14.45" customHeight="1" x14ac:dyDescent="0.25">
      <c r="J79" s="15"/>
      <c r="K79" s="15"/>
      <c r="L79" s="15"/>
      <c r="M79" s="15"/>
      <c r="N79" s="15"/>
      <c r="O79" s="15"/>
      <c r="P79" s="15"/>
      <c r="R79" s="15"/>
      <c r="S79" s="15"/>
      <c r="T79" s="15"/>
      <c r="U79" s="15"/>
      <c r="V79" s="15"/>
      <c r="W79" s="15"/>
    </row>
    <row r="80" spans="10:23" ht="14.45" customHeight="1" x14ac:dyDescent="0.25">
      <c r="K80" s="19" t="str">
        <f ca="1">("© Excelerated Consulting Pty Ltd 2001-"&amp;YEAR(NOW()))</f>
        <v>© Excelerated Consulting Pty Ltd 2001-2023</v>
      </c>
    </row>
  </sheetData>
  <sheetProtection sheet="1" objects="1" scenarios="1"/>
  <mergeCells count="7">
    <mergeCell ref="L51:O51"/>
    <mergeCell ref="S51:V51"/>
    <mergeCell ref="B1:D1"/>
    <mergeCell ref="B9:D9"/>
    <mergeCell ref="B17:D17"/>
    <mergeCell ref="B25:D25"/>
    <mergeCell ref="K46:U46"/>
  </mergeCells>
  <conditionalFormatting sqref="R51:W51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8" r:id="rId4" name="TIButton12">
          <controlPr defaultSize="0" print="0" autoLine="0" r:id="rId5">
            <anchor moveWithCells="1" sizeWithCells="1">
              <from>
                <xdr:col>11</xdr:col>
                <xdr:colOff>0</xdr:colOff>
                <xdr:row>60</xdr:row>
                <xdr:rowOff>123825</xdr:rowOff>
              </from>
              <to>
                <xdr:col>14</xdr:col>
                <xdr:colOff>752475</xdr:colOff>
                <xdr:row>63</xdr:row>
                <xdr:rowOff>19050</xdr:rowOff>
              </to>
            </anchor>
          </controlPr>
        </control>
      </mc:Choice>
      <mc:Fallback>
        <control shapeId="1038" r:id="rId4" name="TIButton12"/>
      </mc:Fallback>
    </mc:AlternateContent>
    <mc:AlternateContent xmlns:mc="http://schemas.openxmlformats.org/markup-compatibility/2006">
      <mc:Choice Requires="x14">
        <control shapeId="1037" r:id="rId6" name="TIButton11">
          <controlPr defaultSize="0" print="0" autoLine="0" r:id="rId7">
            <anchor moveWithCells="1" sizeWithCells="1">
              <from>
                <xdr:col>18</xdr:col>
                <xdr:colOff>285750</xdr:colOff>
                <xdr:row>56</xdr:row>
                <xdr:rowOff>104775</xdr:rowOff>
              </from>
              <to>
                <xdr:col>21</xdr:col>
                <xdr:colOff>1038225</xdr:colOff>
                <xdr:row>58</xdr:row>
                <xdr:rowOff>114300</xdr:rowOff>
              </to>
            </anchor>
          </controlPr>
        </control>
      </mc:Choice>
      <mc:Fallback>
        <control shapeId="1037" r:id="rId6" name="TIButton11"/>
      </mc:Fallback>
    </mc:AlternateContent>
    <mc:AlternateContent xmlns:mc="http://schemas.openxmlformats.org/markup-compatibility/2006">
      <mc:Choice Requires="x14">
        <control shapeId="1036" r:id="rId8" name="TIButton10">
          <controlPr defaultSize="0" print="0" autoLine="0" r:id="rId9">
            <anchor moveWithCells="1" sizeWithCells="1">
              <from>
                <xdr:col>18</xdr:col>
                <xdr:colOff>285750</xdr:colOff>
                <xdr:row>54</xdr:row>
                <xdr:rowOff>47625</xdr:rowOff>
              </from>
              <to>
                <xdr:col>21</xdr:col>
                <xdr:colOff>1038225</xdr:colOff>
                <xdr:row>56</xdr:row>
                <xdr:rowOff>57150</xdr:rowOff>
              </to>
            </anchor>
          </controlPr>
        </control>
      </mc:Choice>
      <mc:Fallback>
        <control shapeId="1036" r:id="rId8" name="TIButton10"/>
      </mc:Fallback>
    </mc:AlternateContent>
    <mc:AlternateContent xmlns:mc="http://schemas.openxmlformats.org/markup-compatibility/2006">
      <mc:Choice Requires="x14">
        <control shapeId="1035" r:id="rId10" name="TIButton9">
          <controlPr defaultSize="0" print="0" autoLine="0" r:id="rId11">
            <anchor moveWithCells="1" sizeWithCells="1">
              <from>
                <xdr:col>18</xdr:col>
                <xdr:colOff>285750</xdr:colOff>
                <xdr:row>51</xdr:row>
                <xdr:rowOff>47625</xdr:rowOff>
              </from>
              <to>
                <xdr:col>21</xdr:col>
                <xdr:colOff>1038225</xdr:colOff>
                <xdr:row>54</xdr:row>
                <xdr:rowOff>0</xdr:rowOff>
              </to>
            </anchor>
          </controlPr>
        </control>
      </mc:Choice>
      <mc:Fallback>
        <control shapeId="1035" r:id="rId10" name="TIButton9"/>
      </mc:Fallback>
    </mc:AlternateContent>
    <mc:AlternateContent xmlns:mc="http://schemas.openxmlformats.org/markup-compatibility/2006">
      <mc:Choice Requires="x14">
        <control shapeId="1034" r:id="rId12" name="TIButton8">
          <controlPr defaultSize="0" print="0" autoLine="0" r:id="rId13">
            <anchor moveWithCells="1" sizeWithCells="1">
              <from>
                <xdr:col>19</xdr:col>
                <xdr:colOff>1133475</xdr:colOff>
                <xdr:row>47</xdr:row>
                <xdr:rowOff>38100</xdr:rowOff>
              </from>
              <to>
                <xdr:col>22</xdr:col>
                <xdr:colOff>114300</xdr:colOff>
                <xdr:row>49</xdr:row>
                <xdr:rowOff>76200</xdr:rowOff>
              </to>
            </anchor>
          </controlPr>
        </control>
      </mc:Choice>
      <mc:Fallback>
        <control shapeId="1034" r:id="rId12" name="TIButton8"/>
      </mc:Fallback>
    </mc:AlternateContent>
    <mc:AlternateContent xmlns:mc="http://schemas.openxmlformats.org/markup-compatibility/2006">
      <mc:Choice Requires="x14">
        <control shapeId="1033" r:id="rId14" name="TIButton7">
          <controlPr defaultSize="0" print="0" autoLine="0" r:id="rId15">
            <anchor moveWithCells="1" sizeWithCells="1">
              <from>
                <xdr:col>15</xdr:col>
                <xdr:colOff>371475</xdr:colOff>
                <xdr:row>47</xdr:row>
                <xdr:rowOff>38100</xdr:rowOff>
              </from>
              <to>
                <xdr:col>19</xdr:col>
                <xdr:colOff>1104900</xdr:colOff>
                <xdr:row>49</xdr:row>
                <xdr:rowOff>76200</xdr:rowOff>
              </to>
            </anchor>
          </controlPr>
        </control>
      </mc:Choice>
      <mc:Fallback>
        <control shapeId="1033" r:id="rId14" name="TIButton7"/>
      </mc:Fallback>
    </mc:AlternateContent>
    <mc:AlternateContent xmlns:mc="http://schemas.openxmlformats.org/markup-compatibility/2006">
      <mc:Choice Requires="x14">
        <control shapeId="1032" r:id="rId16" name="TIButton6">
          <controlPr defaultSize="0" print="0" autoLine="0" r:id="rId17">
            <anchor moveWithCells="1" sizeWithCells="1">
              <from>
                <xdr:col>13</xdr:col>
                <xdr:colOff>57150</xdr:colOff>
                <xdr:row>47</xdr:row>
                <xdr:rowOff>47625</xdr:rowOff>
              </from>
              <to>
                <xdr:col>15</xdr:col>
                <xdr:colOff>352425</xdr:colOff>
                <xdr:row>49</xdr:row>
                <xdr:rowOff>85725</xdr:rowOff>
              </to>
            </anchor>
          </controlPr>
        </control>
      </mc:Choice>
      <mc:Fallback>
        <control shapeId="1032" r:id="rId16" name="TIButton6"/>
      </mc:Fallback>
    </mc:AlternateContent>
    <mc:AlternateContent xmlns:mc="http://schemas.openxmlformats.org/markup-compatibility/2006">
      <mc:Choice Requires="x14">
        <control shapeId="1031" r:id="rId18" name="TIButton5">
          <controlPr defaultSize="0" print="0" autoLine="0" r:id="rId19">
            <anchor moveWithCells="1" sizeWithCells="1">
              <from>
                <xdr:col>10</xdr:col>
                <xdr:colOff>123825</xdr:colOff>
                <xdr:row>47</xdr:row>
                <xdr:rowOff>47625</xdr:rowOff>
              </from>
              <to>
                <xdr:col>13</xdr:col>
                <xdr:colOff>38100</xdr:colOff>
                <xdr:row>49</xdr:row>
                <xdr:rowOff>85725</xdr:rowOff>
              </to>
            </anchor>
          </controlPr>
        </control>
      </mc:Choice>
      <mc:Fallback>
        <control shapeId="1031" r:id="rId18" name="TIButton5"/>
      </mc:Fallback>
    </mc:AlternateContent>
    <mc:AlternateContent xmlns:mc="http://schemas.openxmlformats.org/markup-compatibility/2006">
      <mc:Choice Requires="x14">
        <control shapeId="1028" r:id="rId20" name="TIButton4">
          <controlPr defaultSize="0" print="0" autoLine="0" r:id="rId21">
            <anchor moveWithCells="1" sizeWithCells="1">
              <from>
                <xdr:col>11</xdr:col>
                <xdr:colOff>0</xdr:colOff>
                <xdr:row>58</xdr:row>
                <xdr:rowOff>161925</xdr:rowOff>
              </from>
              <to>
                <xdr:col>14</xdr:col>
                <xdr:colOff>752475</xdr:colOff>
                <xdr:row>60</xdr:row>
                <xdr:rowOff>38100</xdr:rowOff>
              </to>
            </anchor>
          </controlPr>
        </control>
      </mc:Choice>
      <mc:Fallback>
        <control shapeId="1028" r:id="rId20" name="TIButton4"/>
      </mc:Fallback>
    </mc:AlternateContent>
    <mc:AlternateContent xmlns:mc="http://schemas.openxmlformats.org/markup-compatibility/2006">
      <mc:Choice Requires="x14">
        <control shapeId="1027" r:id="rId22" name="TIButton3">
          <controlPr defaultSize="0" print="0" autoLine="0" r:id="rId23">
            <anchor moveWithCells="1" sizeWithCells="1">
              <from>
                <xdr:col>11</xdr:col>
                <xdr:colOff>0</xdr:colOff>
                <xdr:row>56</xdr:row>
                <xdr:rowOff>104775</xdr:rowOff>
              </from>
              <to>
                <xdr:col>14</xdr:col>
                <xdr:colOff>752475</xdr:colOff>
                <xdr:row>58</xdr:row>
                <xdr:rowOff>114300</xdr:rowOff>
              </to>
            </anchor>
          </controlPr>
        </control>
      </mc:Choice>
      <mc:Fallback>
        <control shapeId="1027" r:id="rId22" name="TIButton3"/>
      </mc:Fallback>
    </mc:AlternateContent>
    <mc:AlternateContent xmlns:mc="http://schemas.openxmlformats.org/markup-compatibility/2006">
      <mc:Choice Requires="x14">
        <control shapeId="1026" r:id="rId24" name="TIButton2">
          <controlPr defaultSize="0" print="0" autoLine="0" r:id="rId25">
            <anchor moveWithCells="1" sizeWithCells="1">
              <from>
                <xdr:col>11</xdr:col>
                <xdr:colOff>0</xdr:colOff>
                <xdr:row>54</xdr:row>
                <xdr:rowOff>47625</xdr:rowOff>
              </from>
              <to>
                <xdr:col>14</xdr:col>
                <xdr:colOff>752475</xdr:colOff>
                <xdr:row>56</xdr:row>
                <xdr:rowOff>57150</xdr:rowOff>
              </to>
            </anchor>
          </controlPr>
        </control>
      </mc:Choice>
      <mc:Fallback>
        <control shapeId="1026" r:id="rId24" name="TIButton2"/>
      </mc:Fallback>
    </mc:AlternateContent>
    <mc:AlternateContent xmlns:mc="http://schemas.openxmlformats.org/markup-compatibility/2006">
      <mc:Choice Requires="x14">
        <control shapeId="1025" r:id="rId26" name="TIButton1">
          <controlPr defaultSize="0" print="0" autoLine="0" r:id="rId27">
            <anchor moveWithCells="1" sizeWithCells="1">
              <from>
                <xdr:col>11</xdr:col>
                <xdr:colOff>0</xdr:colOff>
                <xdr:row>51</xdr:row>
                <xdr:rowOff>47625</xdr:rowOff>
              </from>
              <to>
                <xdr:col>14</xdr:col>
                <xdr:colOff>752475</xdr:colOff>
                <xdr:row>54</xdr:row>
                <xdr:rowOff>0</xdr:rowOff>
              </to>
            </anchor>
          </controlPr>
        </control>
      </mc:Choice>
      <mc:Fallback>
        <control shapeId="1025" r:id="rId2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45</v>
      </c>
    </row>
    <row r="2" spans="1:1" ht="14.45" customHeight="1" x14ac:dyDescent="0.25">
      <c r="A2" t="s">
        <v>46</v>
      </c>
    </row>
    <row r="3" spans="1:1" ht="14.45" customHeight="1" x14ac:dyDescent="0.25">
      <c r="A3" t="s">
        <v>47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Menu</vt:lpstr>
      <vt:lpstr>{PL}PickLst</vt:lpstr>
      <vt:lpstr>db_name</vt:lpstr>
      <vt:lpstr>home</vt:lpstr>
      <vt:lpstr>Menu</vt:lpstr>
      <vt:lpstr>psHLYear</vt:lpstr>
      <vt:lpstr>psScenario</vt:lpstr>
      <vt:lpstr>psUser</vt:lpstr>
      <vt:lpstr>TM1BulkProcessCAP</vt:lpstr>
      <vt:lpstr>TM1BulkProcessWB</vt:lpstr>
      <vt:lpstr>TM1BulkProcessWS</vt:lpstr>
      <vt:lpstr>TM1FFExtractCAP</vt:lpstr>
      <vt:lpstr>TM1FFExtractWB</vt:lpstr>
      <vt:lpstr>TM1FFExtractWS</vt:lpstr>
      <vt:lpstr>TM1FFSetSaveLocCAP</vt:lpstr>
      <vt:lpstr>TM1FFSetSaveLocWB</vt:lpstr>
      <vt:lpstr>TM1FFSetSaveLocWS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TM1HomeAECDMCAP</vt:lpstr>
      <vt:lpstr>TM1HomeAECDMWB</vt:lpstr>
      <vt:lpstr>TM1HomeAECDMWS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khe</cp:lastModifiedBy>
  <dcterms:created xsi:type="dcterms:W3CDTF">2023-04-03T06:18:07Z</dcterms:created>
  <dcterms:modified xsi:type="dcterms:W3CDTF">2023-04-03T06:21:00Z</dcterms:modified>
  <cp:category/>
  <cp:contentStatus/>
</cp:coreProperties>
</file>