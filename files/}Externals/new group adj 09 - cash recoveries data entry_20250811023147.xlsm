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323CA40-0F1B-429D-BA09-934D8FEB811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sh recoveries" sheetId="1" r:id="rId1"/>
    <sheet name="{PL}PickLst" sheetId="2" state="hidden" r:id="rId2"/>
  </sheets>
  <definedNames>
    <definedName name="ae_grpadj_pyflag">'cash recoveries'!$R$78</definedName>
    <definedName name="db_name">'cash recoveries'!$C$12</definedName>
    <definedName name="Freeze_Here">'cash recoveries'!$J$138</definedName>
    <definedName name="grp_newadj_ctrltype">'cash recoveries'!$W$123</definedName>
    <definedName name="grp_per_display">'cash recoveries'!$U$134</definedName>
    <definedName name="psAccTemp">'cash recoveries'!$L$134</definedName>
    <definedName name="psAccType">'cash recoveries'!$C$89</definedName>
    <definedName name="psApp">'cash recoveries'!$C$31</definedName>
    <definedName name="psHLYear">'cash recoveries'!$C$56</definedName>
    <definedName name="psID">'cash recoveries'!$C$58</definedName>
    <definedName name="psJur">'cash recoveries'!$P$134</definedName>
    <definedName name="psProg">'cash recoveries'!$J$134</definedName>
    <definedName name="psProgDimName">'cash recoveries'!$C$27</definedName>
    <definedName name="psRE">'cash recoveries'!$N$134</definedName>
    <definedName name="psScenario">'cash recoveries'!$C$57</definedName>
    <definedName name="psUser">'cash recoveries'!$C$14</definedName>
    <definedName name="sys_perdisplay_list">'cash recoveries'!$G$81:$G$82</definedName>
    <definedName name="TargetCells">'cash recoveries'!$B$138</definedName>
    <definedName name="TM1AdjIDListCAP">'cash recoveries'!$D$37</definedName>
    <definedName name="TM1AdjIDListWB">'cash recoveries'!$F$37</definedName>
    <definedName name="TM1GrpEditAdj01CAP">'cash recoveries'!$D$39</definedName>
    <definedName name="TM1GrpEditAdj01WB">'cash recoveries'!$F$39</definedName>
    <definedName name="TM1GrpEditAdj01WS">'cash recoveries'!$H$39</definedName>
    <definedName name="TM1GrpNewAdj01HeaderCAP">'cash recoveries'!$D$40</definedName>
    <definedName name="TM1GrpNewAdj01HeaderWB">'cash recoveries'!$F$40</definedName>
    <definedName name="TM1GrpNewAdj01HeaderWS">'cash recoveries'!$H$40</definedName>
    <definedName name="TM1GrpNewAdj04CBMSViewCAP">'cash recoveries'!$D$41</definedName>
    <definedName name="TM1GrpNewAdj04CBMSViewWB">'cash recoveries'!$F$41</definedName>
    <definedName name="TM1GrpNewAdj04CBMSViewWS">'cash recoveries'!$H$41</definedName>
    <definedName name="TM1GrpNewAdj05AuthCAP">'cash recoveries'!$D$42</definedName>
    <definedName name="TM1GrpNewAdj05AuthWB">'cash recoveries'!$F$42</definedName>
    <definedName name="TM1GrpNewAdj05AuthWS">'cash recoveries'!$H$42</definedName>
    <definedName name="TM1GrpNewAdj06CopyCAP">'cash recoveries'!$D$43</definedName>
    <definedName name="TM1GrpNewAdj06CopyWB">'cash recoveries'!$F$43</definedName>
    <definedName name="TM1GrpNewAdj06CopyWS">'cash recoveries'!$H$43</definedName>
    <definedName name="TM1GrpNewAdj08RecogDataEntryCAP">'cash recoveries'!$D$44</definedName>
    <definedName name="TM1GrpNewAdj08RecogDataEntryWB">'cash recoveries'!$F$44</definedName>
    <definedName name="TM1GrpNewAdj08RecogDataEntryWS">'cash recoveries'!$H$44</definedName>
    <definedName name="TM1GrpNewAdj09CashRecDataEntryCAP">'cash recoveries'!$D$45</definedName>
    <definedName name="TM1GrpNewAdj09CashRecDataEntryWB">'cash recoveries'!$F$45</definedName>
    <definedName name="TM1GrpNewAdj09CashRecDataEntryWS">'cash recoveries'!$H$45</definedName>
    <definedName name="TM1GrpNewAdj10WriteOffDataEntryCAP">'cash recoveries'!$D$46</definedName>
    <definedName name="TM1GrpNewAdj10WriteOffDataEntryWB">'cash recoveries'!$F$46</definedName>
    <definedName name="TM1GrpNewAdj10WriteOffDataEntryWS">'cash recoveries'!$H$46</definedName>
    <definedName name="TM1GrpNewAdj97UploadCAP">'cash recoveries'!$D$48</definedName>
    <definedName name="TM1GrpNewAdj97UploadWB">'cash recoveries'!$F$48</definedName>
    <definedName name="TM1GrpNewAdj97UploadWS">'cash recoveries'!$H$48</definedName>
    <definedName name="TM1GrpNewAdj98AttachCAP">'cash recoveries'!$D$49</definedName>
    <definedName name="TM1GrpNewAdj98AttachWB">'cash recoveries'!$F$49</definedName>
    <definedName name="TM1GrpNewAdj98AttachWS">'cash recoveries'!$H$49</definedName>
    <definedName name="TM1GrpNewAdj99ValidCAP">'cash recoveries'!$D$50</definedName>
    <definedName name="TM1GrpNewAdj99ValidWB">'cash recoveries'!$F$50</definedName>
    <definedName name="TM1GrpNewAdj99ValidWS">'cash recoveries'!$H$50</definedName>
    <definedName name="TM1GrpViewAdj01HeaderCAP">'cash recoveries'!$D$47</definedName>
    <definedName name="TM1GrpViewAdj01HeaderWB">'cash recoveries'!$F$47</definedName>
    <definedName name="TM1GrpViewAdj01HeaderWS">'cash recoveries'!$H$47</definedName>
    <definedName name="TM1HomeAEAccVarCAP">'cash recoveries'!$D$36</definedName>
    <definedName name="TM1HomeAEAccVarWB">'cash recoveries'!$F$36</definedName>
    <definedName name="TM1HomeAEAccVarWS">'cash recoveries'!$H$36</definedName>
    <definedName name="TM1HomeAECAP">'cash recoveries'!$D$34</definedName>
    <definedName name="TM1HomeAEDataEntryCAP">'cash recoveries'!$D$35</definedName>
    <definedName name="TM1HomeAEDataEntryWB">'cash recoveries'!$F$35</definedName>
    <definedName name="TM1HomeAEDataEntryWS">'cash recoveries'!$H$35</definedName>
    <definedName name="TM1HomeAEWB">'cash recoveries'!$F$34</definedName>
    <definedName name="TM1HomeAEWS">'cash recoveries'!$H$34</definedName>
    <definedName name="TM1HomeCAP">'cash recoveries'!$D$33</definedName>
    <definedName name="TM1HomeWB">'cash recoveries'!$F$33</definedName>
    <definedName name="TM1HomeWS">'cash recoveries'!$H$33</definedName>
    <definedName name="TM1IDListWS">'cash recoveries'!$H$37</definedName>
    <definedName name="TM1NewAdj03AuthCAP">'cash recoveries'!$D$38</definedName>
    <definedName name="TM1NewAdj03AuthWB">'cash recoveries'!$F$38</definedName>
    <definedName name="TM1NewAdj03AuthWS">'cash recoveries'!$H$38</definedName>
    <definedName name="TM1REBUILDOPTION">0</definedName>
    <definedName name="TM1RPTDATARNG1" localSheetId="0">'cash recoveries'!$138:$138</definedName>
    <definedName name="TM1RPTFMTIDCOL" localSheetId="0">'cash recoveries'!$A$1:$A$8</definedName>
    <definedName name="TM1RPTFMTRNG" localSheetId="0">'cash recoveries'!$B$1:$AE$8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58" i="1" a="1"/>
  <c r="C58" i="1"/>
  <c r="E82" i="1" a="1"/>
  <c r="E82" i="1"/>
  <c r="C75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AA84" i="1"/>
  <c r="AA85" i="1"/>
  <c r="AA88" i="1" a="1"/>
  <c r="AA88" i="1"/>
  <c r="AA137" i="1"/>
  <c r="D138" i="1"/>
  <c r="B138" i="1"/>
  <c r="C138" i="1"/>
  <c r="E138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S84" i="1"/>
  <c r="S85" i="1"/>
  <c r="S88" i="1" a="1"/>
  <c r="S88" i="1"/>
  <c r="S137" i="1"/>
  <c r="S138" i="1" a="1"/>
  <c r="S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C25" i="1" a="1"/>
  <c r="C25" i="1"/>
  <c r="G97" i="1"/>
  <c r="C107" i="1" a="1"/>
  <c r="C107" i="1"/>
  <c r="C97" i="1" a="1"/>
  <c r="C97" i="1"/>
  <c r="C24" i="1" a="1"/>
  <c r="C24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<sst xmlns="http://schemas.openxmlformats.org/spreadsheetml/2006/main" count="348" uniqueCount="303">
  <si>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</si>
  <si>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</si>
  <si>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</si>
  <si>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</si>
  <si>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</si>
  <si>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</si>
  <si>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</si>
  <si>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</si>
  <si>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</si>
  <si>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</si>
  <si>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</si>
  <si>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</si>
  <si>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</si>
  <si>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</si>
  <si>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</si>
  <si>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</si>
  <si>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</si>
  <si>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</si>
  <si>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</si>
  <si>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</si>
  <si>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</si>
  <si>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</si>
  <si>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</si>
  <si>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</si>
  <si>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</si>
  <si>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</si>
  <si>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</si>
  <si>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</si>
  <si>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</si>
  <si>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</si>
  <si>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</si>
  <si>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</si>
  <si>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</si>
  <si>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</si>
  <si>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</si>
  <si>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</si>
  <si>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</si>
  <si>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</si>
  <si>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</si>
  <si>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</si>
  <si>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</si>
  <si>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</si>
  <si>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</si>
  <si>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</si>
  <si>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</si>
  <si>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</si>
  <si>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</si>
  <si>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</si>
  <si>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</si>
  <si>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</si>
  <si>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</si>
  <si>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</si>
  <si>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</si>
  <si>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</si>
  <si>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</si>
  <si>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</si>
  <si>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</si>
  <si>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</si>
  <si>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</si>
  <si>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</si>
  <si>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</si>
  <si>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</si>
  <si>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</si>
  <si>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</si>
  <si>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</si>
  <si>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</si>
  <si>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</si>
  <si>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</si>
  <si>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</si>
  <si>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</si>
  <si>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</si>
  <si>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</si>
  <si>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</si>
  <si>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</si>
  <si>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</si>
  <si>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</si>
  <si>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</si>
  <si>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</si>
  <si>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</si>
  <si>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</si>
  <si>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</si>
  <si>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</si>
  <si>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</si>
  <si>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</si>
  <si>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</si>
  <si>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</si>
  <si>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</si>
  <si>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</si>
  <si>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</si>
  <si>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</si>
  <si>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</si>
  <si>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</si>
  <si>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</si>
  <si>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</si>
  <si>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</si>
  <si>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</si>
  <si>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</si>
  <si>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</si>
  <si>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</si>
  <si>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</si>
  <si>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</si>
  <si>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</si>
  <si>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</si>
  <si>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</si>
  <si>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</si>
  <si>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</si>
  <si>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</si>
  <si>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</si>
  <si>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</si>
  <si>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</si>
  <si>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</si>
  <si>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</si>
  <si>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</si>
  <si>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</si>
  <si>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</si>
  <si>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</si>
  <si>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</si>
  <si>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</si>
  <si>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</si>
  <si>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</si>
  <si>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</si>
  <si>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</si>
  <si>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</si>
  <si>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</si>
  <si>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</si>
  <si>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</si>
  <si>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</si>
  <si>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</si>
  <si>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</si>
  <si>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</si>
  <si>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</si>
  <si>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</si>
  <si>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</si>
  <si>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</si>
  <si>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</si>
  <si>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</si>
  <si>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</si>
  <si>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</si>
  <si>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</si>
  <si>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</si>
  <si>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</si>
  <si>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</si>
  <si>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</si>
  <si>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</si>
  <si>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</si>
  <si>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</si>
  <si>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</si>
  <si>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</si>
  <si>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</si>
  <si>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</si>
  <si>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</si>
  <si>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</si>
  <si>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</si>
  <si>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</si>
  <si>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</si>
  <si>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</si>
  <si>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</si>
  <si>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</si>
  <si>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</si>
  <si>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</si>
  <si>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</si>
  <si>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</si>
  <si>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</si>
  <si>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</si>
  <si>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</si>
  <si>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</si>
  <si>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</si>
  <si>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</si>
  <si>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</si>
  <si>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</si>
  <si>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</si>
  <si>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</si>
  <si>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</si>
  <si>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</si>
  <si>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</si>
  <si>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</si>
  <si>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</si>
  <si>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</si>
  <si>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</si>
  <si>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</si>
  <si>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</si>
  <si>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</si>
  <si>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</si>
  <si>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</si>
  <si>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</si>
  <si>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</si>
  <si>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</si>
  <si>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</si>
  <si>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</si>
  <si>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</si>
  <si>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</si>
  <si>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</si>
  <si>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</si>
  <si>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</si>
  <si>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</si>
  <si>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</si>
  <si>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</si>
  <si>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</si>
  <si>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</si>
  <si>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</si>
  <si>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</si>
  <si>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</si>
  <si>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</si>
  <si>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</si>
  <si>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</si>
  <si>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</si>
  <si>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</si>
  <si>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</si>
  <si>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</si>
  <si>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</si>
  <si>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</si>
  <si>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</si>
  <si>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</si>
  <si>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</si>
  <si>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</si>
  <si>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</si>
  <si>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</si>
  <si>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</si>
  <si>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</si>
  <si>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</si>
  <si>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</si>
  <si>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</si>
  <si>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</si>
  <si>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</si>
  <si>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</si>
  <si>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</si>
  <si>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</si>
  <si>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</si>
  <si>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</si>
  <si>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</si>
  <si>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</si>
  <si>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</si>
  <si>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</si>
  <si>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</si>
  <si>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</si>
  <si>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</si>
  <si>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</si>
  <si>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</si>
  <si>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</si>
  <si>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</si>
  <si>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</si>
  <si>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</si>
  <si>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</si>
  <si>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</si>
  <si>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</si>
  <si>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</si>
  <si>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</si>
  <si>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</si>
  <si>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</si>
  <si>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</si>
  <si>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</si>
  <si>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</si>
  <si>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</si>
  <si>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</si>
  <si>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</si>
  <si>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</si>
  <si>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</si>
  <si>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</si>
  <si>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</si>
  <si>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</si>
  <si>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</si>
  <si>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</si>
  <si>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</si>
  <si>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</si>
  <si>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</si>
  <si>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</si>
  <si>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</si>
  <si>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</si>
  <si>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</si>
  <si>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</si>
  <si>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</si>
  <si>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</si>
  <si>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</si>
  <si>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</si>
  <si>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</si>
  <si>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</si>
  <si>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</si>
  <si>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</si>
  <si>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</si>
  <si>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</si>
  <si>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</si>
  <si>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</si>
  <si>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</si>
  <si>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</si>
  <si>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</si>
  <si>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</si>
  <si>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</si>
  <si>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</si>
  <si>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</si>
  <si>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</si>
  <si>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</si>
  <si>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</si>
  <si>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</si>
  <si>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</si>
  <si>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</si>
  <si>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</si>
  <si>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</si>
  <si>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Cash Recoveries</t>
  </si>
  <si>
    <t>Group Data Entry - New Adj 08 - Recognition</t>
  </si>
  <si>
    <t>Group Data Entry - New Adj 09 - Cash Recoveries</t>
  </si>
  <si>
    <t>Group Data Entry - New Adj 10 - Write Offs</t>
  </si>
  <si>
    <t>Group Adjustment - Cash Recoveries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</si>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</sst>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a0ca7783_e4d2_4c52_b590_fbdf59428a08" textlink="TM1HomeCAP">
      <xdr:nvSpPr>
        <xdr:cNvPr id="2" name="TM1Button_a0ca7783_e4d2_4c52_b590_fbdf59428a08">
          <a:extLst>
            <a:ext uri="{FF2B5EF4-FFF2-40B4-BE49-F238E27FC236}">
              <a16:creationId xmlns:a16="http://schemas.microsoft.com/office/drawing/2014/main" id="{FBEB7C15-11B7-6B4D-D5E6-D2501D1032B8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36F81C-58EA-4EB2-80B9-184ADA17B51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1085850</xdr:colOff>
      <xdr:row>119</xdr:row>
      <xdr:rowOff>0</xdr:rowOff>
    </xdr:from>
    <xdr:to>
      <xdr:col>15</xdr:col>
      <xdr:colOff>247650</xdr:colOff>
      <xdr:row>119</xdr:row>
      <xdr:rowOff>247650</xdr:rowOff>
    </xdr:to>
    <xdr:sp macro="Sheet6.ExecuteAction_36a46c8a_7d5d_4904_8a72_4ce6b1b33254" textlink="TM1GrpNewAdj99ValidCAP">
      <xdr:nvSpPr>
        <xdr:cNvPr id="3" name="TM1Button_36a46c8a_7d5d_4904_8a72_4ce6b1b33254">
          <a:extLst>
            <a:ext uri="{FF2B5EF4-FFF2-40B4-BE49-F238E27FC236}">
              <a16:creationId xmlns:a16="http://schemas.microsoft.com/office/drawing/2014/main" id="{79C60346-BC10-AFCA-800E-F0F2419FEC45}"/>
            </a:ext>
          </a:extLst>
        </xdr:cNvPr>
        <xdr:cNvSpPr txBox="1"/>
      </xdr:nvSpPr>
      <xdr:spPr>
        <a:xfrm>
          <a:off x="6086475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68C664-0E76-4A71-8CC5-BDF9BB6077D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1323975</xdr:colOff>
      <xdr:row>119</xdr:row>
      <xdr:rowOff>0</xdr:rowOff>
    </xdr:from>
    <xdr:to>
      <xdr:col>13</xdr:col>
      <xdr:colOff>123825</xdr:colOff>
      <xdr:row>119</xdr:row>
      <xdr:rowOff>247650</xdr:rowOff>
    </xdr:to>
    <xdr:sp macro="Sheet6.ExecuteAction_2916ca65_9e7b_4d33_963e_a66061fe6325" textlink="TM1GrpViewAdj01HeaderCAP">
      <xdr:nvSpPr>
        <xdr:cNvPr id="4" name="TM1Button_2916ca65_9e7b_4d33_963e_a66061fe6325">
          <a:extLst>
            <a:ext uri="{FF2B5EF4-FFF2-40B4-BE49-F238E27FC236}">
              <a16:creationId xmlns:a16="http://schemas.microsoft.com/office/drawing/2014/main" id="{9063BD28-87B9-F015-812D-1D880DA7CD6F}"/>
            </a:ext>
          </a:extLst>
        </xdr:cNvPr>
        <xdr:cNvSpPr txBox="1"/>
      </xdr:nvSpPr>
      <xdr:spPr>
        <a:xfrm>
          <a:off x="4152900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9BA447E-EB40-4BCB-A6FA-475C5F84D43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f27c3e53_80c7_4b95_8d42_fbc00ed2fffe" textlink="">
      <xdr:nvSpPr>
        <xdr:cNvPr id="5" name="TM1Button_f27c3e53_80c7_4b95_8d42_fbc00ed2fffe">
          <a:extLst>
            <a:ext uri="{FF2B5EF4-FFF2-40B4-BE49-F238E27FC236}">
              <a16:creationId xmlns:a16="http://schemas.microsoft.com/office/drawing/2014/main" id="{95505533-8CDB-7F5C-393E-3C38A57FBF01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Recoveries</a:t>
          </a:r>
        </a:p>
      </xdr:txBody>
    </xdr:sp>
    <xdr:clientData/>
  </xdr:twoCellAnchor>
  <xdr:twoCellAnchor editAs="oneCell">
    <xdr:from>
      <xdr:col>11</xdr:col>
      <xdr:colOff>1190625</xdr:colOff>
      <xdr:row>130</xdr:row>
      <xdr:rowOff>28575</xdr:rowOff>
    </xdr:from>
    <xdr:to>
      <xdr:col>13</xdr:col>
      <xdr:colOff>304800</xdr:colOff>
      <xdr:row>130</xdr:row>
      <xdr:rowOff>285750</xdr:rowOff>
    </xdr:to>
    <xdr:sp macro="Sheet6.ExecuteAction_d9ac7449_5b8a_413f_bba0_98fd2708022c" textlink="">
      <xdr:nvSpPr>
        <xdr:cNvPr id="6" name="TM1Button_d9ac7449_5b8a_413f_bba0_98fd2708022c">
          <a:extLst>
            <a:ext uri="{FF2B5EF4-FFF2-40B4-BE49-F238E27FC236}">
              <a16:creationId xmlns:a16="http://schemas.microsoft.com/office/drawing/2014/main" id="{C7001B9D-DE73-88C0-3AC8-ECE88F80BED6}"/>
            </a:ext>
          </a:extLst>
        </xdr:cNvPr>
        <xdr:cNvSpPr txBox="1"/>
      </xdr:nvSpPr>
      <xdr:spPr>
        <a:xfrm>
          <a:off x="401955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552045d1_c934_459b_8612_c677b924a7f5" textlink="">
      <xdr:nvSpPr>
        <xdr:cNvPr id="7" name="TM1Button_552045d1_c934_459b_8612_c677b924a7f5">
          <a:extLst>
            <a:ext uri="{FF2B5EF4-FFF2-40B4-BE49-F238E27FC236}">
              <a16:creationId xmlns:a16="http://schemas.microsoft.com/office/drawing/2014/main" id="{E572F55C-7A42-D682-37BA-509A48213F18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1216b845_f137_4006_87c0_d25727fd8ee0" textlink="">
      <xdr:nvSpPr>
        <xdr:cNvPr id="8" name="TM1Button_1216b845_f137_4006_87c0_d25727fd8ee0">
          <a:extLst>
            <a:ext uri="{FF2B5EF4-FFF2-40B4-BE49-F238E27FC236}">
              <a16:creationId xmlns:a16="http://schemas.microsoft.com/office/drawing/2014/main" id="{BFE37C1A-716A-9FB9-45DB-232A52A670D5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39e52b0a_f8af_40de_8cd2_c772c45a7214" textlink="">
      <xdr:nvSpPr>
        <xdr:cNvPr id="9" name="TM1Button_39e52b0a_f8af_40de_8cd2_c772c45a7214">
          <a:extLst>
            <a:ext uri="{FF2B5EF4-FFF2-40B4-BE49-F238E27FC236}">
              <a16:creationId xmlns:a16="http://schemas.microsoft.com/office/drawing/2014/main" id="{86DC0CD9-D203-E6B0-C860-F7E073B65990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576044c2_6fa8_493b_9df1_0e16830805bd" textlink="TM1AdjIDListCAP">
      <xdr:nvSpPr>
        <xdr:cNvPr id="10" name="TM1Button_576044c2_6fa8_493b_9df1_0e16830805bd">
          <a:extLst>
            <a:ext uri="{FF2B5EF4-FFF2-40B4-BE49-F238E27FC236}">
              <a16:creationId xmlns:a16="http://schemas.microsoft.com/office/drawing/2014/main" id="{8EEE902D-AD5D-D9E7-A1A1-EB669640CCBB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9FC2C16-5C65-4550-B086-4EB1EE85AEA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4706e760_cc9d_49c5_974a_e63a2cead635" textlink="TM1GrpNewAdj05AuthCAP">
      <xdr:nvSpPr>
        <xdr:cNvPr id="11" name="TM1Button_4706e760_cc9d_49c5_974a_e63a2cead635">
          <a:extLst>
            <a:ext uri="{FF2B5EF4-FFF2-40B4-BE49-F238E27FC236}">
              <a16:creationId xmlns:a16="http://schemas.microsoft.com/office/drawing/2014/main" id="{0CFE5A61-6387-D1BC-302F-F65FF04296B7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F3E548-CC80-46C1-84FF-C0B2A3BE6E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</xdr:colOff>
      <xdr:row>119</xdr:row>
      <xdr:rowOff>0</xdr:rowOff>
    </xdr:from>
    <xdr:to>
      <xdr:col>11</xdr:col>
      <xdr:colOff>1314450</xdr:colOff>
      <xdr:row>119</xdr:row>
      <xdr:rowOff>247650</xdr:rowOff>
    </xdr:to>
    <xdr:sp macro="Sheet6.ExecuteAction_c3a77dab_4fd5_40ff_9b1b_883fe6ef134d" textlink="">
      <xdr:nvSpPr>
        <xdr:cNvPr id="12" name="TM1Button_c3a77dab_4fd5_40ff_9b1b_883fe6ef134d">
          <a:extLst>
            <a:ext uri="{FF2B5EF4-FFF2-40B4-BE49-F238E27FC236}">
              <a16:creationId xmlns:a16="http://schemas.microsoft.com/office/drawing/2014/main" id="{A17BB28B-2681-C7FF-5246-5BF2D517B399}"/>
            </a:ext>
          </a:extLst>
        </xdr:cNvPr>
        <xdr:cNvSpPr txBox="1"/>
      </xdr:nvSpPr>
      <xdr:spPr>
        <a:xfrm>
          <a:off x="2857500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1ba92284_a249_45a7_8f65_7d5d47bacfed" textlink="">
      <xdr:nvSpPr>
        <xdr:cNvPr id="13" name="TM1Button_1ba92284_a249_45a7_8f65_7d5d47bacfed">
          <a:extLst>
            <a:ext uri="{FF2B5EF4-FFF2-40B4-BE49-F238E27FC236}">
              <a16:creationId xmlns:a16="http://schemas.microsoft.com/office/drawing/2014/main" id="{EE91D0DE-18F3-B8AD-5F78-71E630310BFE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Recognition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b13f9989_0672_4cd1_8284_6f531f23bd61" textlink="">
      <xdr:nvSpPr>
        <xdr:cNvPr id="14" name="TM1Button_b13f9989_0672_4cd1_8284_6f531f23bd61">
          <a:extLst>
            <a:ext uri="{FF2B5EF4-FFF2-40B4-BE49-F238E27FC236}">
              <a16:creationId xmlns:a16="http://schemas.microsoft.com/office/drawing/2014/main" id="{DBCE33A6-7BE5-8C1C-DB5A-540843612FF0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Write Offs</a:t>
          </a:r>
        </a:p>
      </xdr:txBody>
    </xdr:sp>
    <xdr:clientData/>
  </xdr:twoCellAnchor>
  <xdr:twoCellAnchor editAs="oneCell">
    <xdr:from>
      <xdr:col>13</xdr:col>
      <xdr:colOff>161925</xdr:colOff>
      <xdr:row>119</xdr:row>
      <xdr:rowOff>0</xdr:rowOff>
    </xdr:from>
    <xdr:to>
      <xdr:col>13</xdr:col>
      <xdr:colOff>1066800</xdr:colOff>
      <xdr:row>119</xdr:row>
      <xdr:rowOff>247650</xdr:rowOff>
    </xdr:to>
    <xdr:sp macro="Sheet6.ExecuteAction_cc60165c_b3d2_4e01_998a_df4901c593c0" textlink="TM1GrpNewAdj98AttachCAP">
      <xdr:nvSpPr>
        <xdr:cNvPr id="15" name="TM1Button_cc60165c_b3d2_4e01_998a_df4901c593c0">
          <a:extLst>
            <a:ext uri="{FF2B5EF4-FFF2-40B4-BE49-F238E27FC236}">
              <a16:creationId xmlns:a16="http://schemas.microsoft.com/office/drawing/2014/main" id="{81ADC2DD-F5AE-CE29-CFCF-A4FB8DF5687E}"/>
            </a:ext>
          </a:extLst>
        </xdr:cNvPr>
        <xdr:cNvSpPr txBox="1"/>
      </xdr:nvSpPr>
      <xdr:spPr>
        <a:xfrm>
          <a:off x="5162550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680695-4480-47F3-8BFB-3F3A53F26C7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9" t="s">
        <v>86</v>
      </c>
      <c r="C11" s="60"/>
      <c r="D11" s="61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302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9" t="s">
        <v>87</v>
      </c>
      <c r="C19" s="60"/>
      <c r="D19" s="61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132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9" t="s">
        <v>95</v>
      </c>
      <c r="C29" s="60"/>
      <c r="D29" s="61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135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113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290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293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298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299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114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115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116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117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9" t="s">
        <v>118</v>
      </c>
      <c r="C52" s="60"/>
      <c r="D52" s="61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119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120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121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122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123</v>
      </c>
      <c r="C58" s="7" t="e" cm="1">
        <f t="array" aca="1" ref="C58" ca="1">_xll.DBR($C$53,psUser,$B58,C$54)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124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125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265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266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9" t="s">
        <v>126</v>
      </c>
      <c r="C64" s="60"/>
      <c r="D64" s="61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9" t="s">
        <v>291</v>
      </c>
      <c r="C72" s="60"/>
      <c r="D72" s="61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292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55" t="s">
        <v>42</v>
      </c>
      <c r="C79" s="55"/>
      <c r="D79" s="56" t="s">
        <v>43</v>
      </c>
      <c r="E79" s="56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 cm="1">
        <f t="array" aca="1" ref="E82" ca="1">_xll.SUBNM(db_name&amp;":id","Default",$C$58)</f>
        <v>#NAME?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295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15" t="s">
        <v>35</v>
      </c>
      <c r="R85" s="42" t="e">
        <f ca="1">VLOOKUP(grp_per_display,$P$82:$AA$84,3,FALSE)</f>
        <v>#NAME?</v>
      </c>
      <c r="S85" s="42" t="e">
        <f ca="1">VLOOKUP(grp_per_display,$P$82:$AA$84,4,FALSE)</f>
        <v>#NAME?</v>
      </c>
      <c r="T85" s="42" t="e">
        <f ca="1">VLOOKUP(grp_per_display,$P$82:$AA$84,5,FALSE)</f>
        <v>#NAME?</v>
      </c>
      <c r="U85" s="42" t="e">
        <f ca="1">VLOOKUP(grp_per_display,$P$82:$AA$84,6,FALSE)</f>
        <v>#NAME?</v>
      </c>
      <c r="V85" s="42" t="e">
        <f ca="1">VLOOKUP(grp_per_display,$P$82:$AA$84,7,FALSE)</f>
        <v>#NAME?</v>
      </c>
      <c r="W85" s="42" t="e">
        <f ca="1">VLOOKUP(grp_per_display,$P$82:$AA$84,8,FALSE)</f>
        <v>#NAME?</v>
      </c>
      <c r="X85" s="42" t="e">
        <f ca="1">VLOOKUP(grp_per_display,$P$82:$AA$84,9,FALSE)</f>
        <v>#NAME?</v>
      </c>
      <c r="Y85" s="42" t="e">
        <f ca="1">VLOOKUP(grp_per_display,$P$82:$AA$84,10,FALSE)</f>
        <v>#NAME?</v>
      </c>
      <c r="Z85" s="42" t="e">
        <f ca="1">VLOOKUP(grp_per_display,$P$82:$AA$84,11,FALSE)</f>
        <v>#NAME?</v>
      </c>
      <c r="AA85" s="43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297</v>
      </c>
      <c r="D89" s="7"/>
      <c r="E89" s="7"/>
      <c r="P89" s="40" t="s">
        <v>127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128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55" t="s">
        <v>133</v>
      </c>
      <c r="C92" s="55"/>
    </row>
    <row r="93" spans="2:27" customFormat="1" hidden="1" outlineLevel="1" x14ac:dyDescent="0.25">
      <c r="B93" s="20" t="s">
        <v>134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59" t="s">
        <v>267</v>
      </c>
      <c r="C95" s="60"/>
      <c r="D95" s="61"/>
      <c r="F95" s="62" t="s">
        <v>269</v>
      </c>
      <c r="G95" s="63"/>
      <c r="H95" s="64"/>
    </row>
    <row r="96" spans="2:27" customFormat="1" hidden="1" outlineLevel="1" x14ac:dyDescent="0.25">
      <c r="B96" s="7" t="s">
        <v>268</v>
      </c>
      <c r="C96" s="7" t="e" cm="1">
        <f t="array" aca="1" ref="C96" ca="1">_xll.VIEW(db_name&amp;":}ElementAttributes_account template","!","!")</f>
        <v>#NAME?</v>
      </c>
      <c r="D96" s="7"/>
      <c r="F96" s="7" t="s">
        <v>67</v>
      </c>
      <c r="G96" s="7" t="e">
        <f ca="1">IF($C$97="",$C$24,"")</f>
        <v>#NAME?</v>
      </c>
      <c r="H96" s="7"/>
    </row>
    <row r="97" spans="2:8" customFormat="1" hidden="1" outlineLevel="1" x14ac:dyDescent="0.25">
      <c r="B97" s="7" t="s">
        <v>58</v>
      </c>
      <c r="C97" s="7" t="e" cm="1">
        <f t="array" aca="1" ref="C97" ca="1">_xll.DBR($C$96,psAccTemp,$B97)</f>
        <v>#NAME?</v>
      </c>
      <c r="D97" s="7"/>
      <c r="F97" s="7" t="s">
        <v>68</v>
      </c>
      <c r="G97" s="7" t="e">
        <f ca="1">IF($C$98="",$C$25,"")</f>
        <v>#NAME?</v>
      </c>
      <c r="H97" s="7"/>
    </row>
    <row r="98" spans="2:8" customFormat="1" hidden="1" outlineLevel="1" x14ac:dyDescent="0.25">
      <c r="B98" s="7" t="s">
        <v>59</v>
      </c>
      <c r="C98" s="7" t="e" cm="1">
        <f t="array" aca="1" ref="C98" ca="1">_xll.DBR($C$96,psAccTemp,$B98)</f>
        <v>#NAME?</v>
      </c>
      <c r="D98" s="7"/>
    </row>
    <row r="99" spans="2:8" customFormat="1" hidden="1" outlineLevel="1" x14ac:dyDescent="0.25"/>
    <row r="100" spans="2:8" customFormat="1" hidden="1" outlineLevel="1" x14ac:dyDescent="0.25">
      <c r="B100" s="62" t="s">
        <v>270</v>
      </c>
      <c r="C100" s="63"/>
      <c r="D100" s="64"/>
    </row>
    <row r="101" spans="2:8" customFormat="1" hidden="1" outlineLevel="1" x14ac:dyDescent="0.25">
      <c r="B101" s="7" t="s">
        <v>271</v>
      </c>
      <c r="C101" t="e" cm="1">
        <f t="array" aca="1" ref="C101" ca="1">_xll.DIMNM(db_name&amp;":"&amp; psProgDimName,_xll.DIMIX(db_name&amp;":"&amp;psProgDimName,psProg))</f>
        <v>#NAME?</v>
      </c>
    </row>
    <row r="102" spans="2:8" customFormat="1" hidden="1" outlineLevel="1" x14ac:dyDescent="0.25">
      <c r="B102" s="7" t="s">
        <v>272</v>
      </c>
      <c r="C102" t="e">
        <f ca="1">"sys_" &amp;$C$101</f>
        <v>#NAME?</v>
      </c>
    </row>
    <row r="103" spans="2:8" customFormat="1" hidden="1" outlineLevel="1" x14ac:dyDescent="0.25">
      <c r="B103" s="7" t="s">
        <v>273</v>
      </c>
      <c r="C103" t="e">
        <f ca="1">$C$113</f>
        <v>#NAME?</v>
      </c>
    </row>
    <row r="104" spans="2:8" customFormat="1" hidden="1" outlineLevel="1" x14ac:dyDescent="0.25">
      <c r="B104" s="7" t="s">
        <v>294</v>
      </c>
      <c r="C104" t="e" cm="1">
        <f t="array" aca="1" ref="C104" ca="1">_xll.DBSS($C$101,$C$53,psUser,$B$59,C$54)</f>
        <v>#NAME?</v>
      </c>
    </row>
    <row r="105" spans="2:8" customFormat="1" hidden="1" outlineLevel="1" x14ac:dyDescent="0.25">
      <c r="B105" s="7" t="s">
        <v>278</v>
      </c>
      <c r="C105" t="e" cm="1">
        <f t="array" aca="1" ref="C105" ca="1">IF(psAccTemp="",_xll.DBSS($C$103,$C$53,psUser,$B$60,C$54),"")</f>
        <v>#NAME?</v>
      </c>
    </row>
    <row r="106" spans="2:8" customFormat="1" hidden="1" outlineLevel="1" x14ac:dyDescent="0.25">
      <c r="B106" s="7" t="s">
        <v>280</v>
      </c>
      <c r="C106" t="e" cm="1">
        <f t="array" aca="1" ref="C106" ca="1">IF(psRE="",_xll.DBSS($G$96,$C$53,psUser,$B$61,C$54),"")</f>
        <v>#NAME?</v>
      </c>
    </row>
    <row r="107" spans="2:8" customFormat="1" hidden="1" outlineLevel="1" x14ac:dyDescent="0.25">
      <c r="B107" s="7" t="s">
        <v>279</v>
      </c>
      <c r="C107" t="e" cm="1">
        <f t="array" aca="1" ref="C107" ca="1">IF(psJur="",_xll.DBSS($G$97,$C$53,psUser,$B$62,C$54),"")</f>
        <v>#NAME?</v>
      </c>
    </row>
    <row r="108" spans="2:8" customFormat="1" hidden="1" outlineLevel="1" x14ac:dyDescent="0.25"/>
    <row r="109" spans="2:8" customFormat="1" hidden="1" outlineLevel="1" x14ac:dyDescent="0.25">
      <c r="B109" s="62" t="s">
        <v>274</v>
      </c>
      <c r="C109" s="63"/>
      <c r="D109" s="64"/>
    </row>
    <row r="110" spans="2:8" customFormat="1" hidden="1" outlineLevel="1" x14ac:dyDescent="0.25">
      <c r="B110" s="7" t="s">
        <v>275</v>
      </c>
      <c r="C110" s="7" t="e" cm="1">
        <f t="array" aca="1" ref="C110" ca="1">_xll.VIEW(db_name&amp;":AE account template mapping","!","!",$C$111)</f>
        <v>#NAME?</v>
      </c>
    </row>
    <row r="111" spans="2:8" customFormat="1" hidden="1" outlineLevel="1" x14ac:dyDescent="0.25">
      <c r="B111" s="7" t="s">
        <v>127</v>
      </c>
      <c r="C111" s="7" t="e" cm="1">
        <f t="array" aca="1" ref="C111" ca="1">_xll.SUBNM(db_name&amp;":account template measure","","flag")</f>
        <v>#NAME?</v>
      </c>
    </row>
    <row r="112" spans="2:8" customFormat="1" hidden="1" outlineLevel="1" x14ac:dyDescent="0.25">
      <c r="B112" s="7" t="s">
        <v>276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277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301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129</v>
      </c>
      <c r="K123" s="21"/>
      <c r="L123" s="36" t="e">
        <f ca="1">$C$56</f>
        <v>#NAME?</v>
      </c>
      <c r="N123" s="37" t="s">
        <v>75</v>
      </c>
      <c r="O123" s="21"/>
      <c r="P123" s="44" t="e">
        <f ca="1">$C$57</f>
        <v>#NAME?</v>
      </c>
      <c r="R123" s="39" t="s">
        <v>76</v>
      </c>
      <c r="S123" s="57" t="e">
        <f ca="1">$C$86</f>
        <v>#NAME?</v>
      </c>
      <c r="T123" s="58"/>
      <c r="V123" s="39" t="s">
        <v>74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45" t="e">
        <f ca="1">$C$81</f>
        <v>#NAME?</v>
      </c>
      <c r="M125" s="46"/>
      <c r="N125" s="46"/>
      <c r="O125" s="46"/>
      <c r="P125" s="47"/>
      <c r="R125" s="39" t="s">
        <v>77</v>
      </c>
      <c r="S125" s="48" t="e">
        <f ca="1">$C$58</f>
        <v>#NAME?</v>
      </c>
      <c r="T125" s="49"/>
    </row>
    <row r="126" spans="2:27" customFormat="1" ht="3" customHeight="1" x14ac:dyDescent="0.25"/>
    <row r="127" spans="2:27" customFormat="1" x14ac:dyDescent="0.25">
      <c r="J127" s="39" t="s">
        <v>130</v>
      </c>
      <c r="L127" s="50" t="e">
        <f ca="1">$D$87</f>
        <v>#NAME?</v>
      </c>
      <c r="M127" s="50"/>
      <c r="N127" s="50"/>
      <c r="R127" s="39" t="s">
        <v>78</v>
      </c>
      <c r="S127" s="50" t="e">
        <f ca="1">$D$88</f>
        <v>#NAME?</v>
      </c>
      <c r="T127" s="50"/>
      <c r="U127" s="50"/>
      <c r="V127" s="50"/>
      <c r="W127" s="50"/>
      <c r="X127" s="50"/>
      <c r="Y127" s="50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136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54" t="s">
        <v>131</v>
      </c>
      <c r="V133" s="54"/>
      <c r="W133" s="54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79</v>
      </c>
      <c r="U134" s="51" t="e" cm="1">
        <f t="array" aca="1" ref="U134" ca="1">_xll.SUBNM(db_name&amp;":sys_period display","","Current")</f>
        <v>#NAME?</v>
      </c>
      <c r="V134" s="52"/>
      <c r="W134" s="53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296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ht="14.25" customHeigh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  <mergeCell ref="L125:P125"/>
    <mergeCell ref="S125:T125"/>
    <mergeCell ref="S127:Y127"/>
    <mergeCell ref="U134:W134"/>
    <mergeCell ref="L127:N127"/>
    <mergeCell ref="U133:W133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281</v>
      </c>
    </row>
    <row r="2" spans="1:1" x14ac:dyDescent="0.25">
      <c r="A2" t="s">
        <v>282</v>
      </c>
    </row>
    <row r="3" spans="1:1" x14ac:dyDescent="0.25">
      <c r="A3" t="s">
        <v>283</v>
      </c>
    </row>
    <row r="4" spans="1:1" x14ac:dyDescent="0.25">
      <c r="A4" t="s">
        <v>284</v>
      </c>
    </row>
    <row r="5" spans="1:1" x14ac:dyDescent="0.25">
      <c r="A5" t="s">
        <v>285</v>
      </c>
    </row>
    <row r="6" spans="1:1" x14ac:dyDescent="0.25">
      <c r="A6" t="s">
        <v>286</v>
      </c>
    </row>
    <row r="7" spans="1:1" x14ac:dyDescent="0.25">
      <c r="A7" t="s">
        <v>287</v>
      </c>
    </row>
    <row r="8" spans="1:1" x14ac:dyDescent="0.25">
      <c r="A8" t="s">
        <v>288</v>
      </c>
    </row>
    <row r="9" spans="1:1" x14ac:dyDescent="0.25">
      <c r="A9" t="s">
        <v>289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  <row r="13" spans="1:1" x14ac:dyDescent="0.25">
      <c r="A13" t="s">
        <v>140</v>
      </c>
    </row>
    <row r="14" spans="1:1" x14ac:dyDescent="0.25">
      <c r="A14" t="s">
        <v>141</v>
      </c>
    </row>
    <row r="15" spans="1:1" x14ac:dyDescent="0.25">
      <c r="A15" t="s">
        <v>142</v>
      </c>
    </row>
    <row r="16" spans="1:1" x14ac:dyDescent="0.25">
      <c r="A16" t="s">
        <v>143</v>
      </c>
    </row>
    <row r="17" spans="1:1" x14ac:dyDescent="0.25">
      <c r="A17" t="s">
        <v>144</v>
      </c>
    </row>
    <row r="18" spans="1:1" x14ac:dyDescent="0.25">
      <c r="A18" t="s">
        <v>145</v>
      </c>
    </row>
    <row r="19" spans="1:1" x14ac:dyDescent="0.25">
      <c r="A19" t="s">
        <v>146</v>
      </c>
    </row>
    <row r="20" spans="1:1" x14ac:dyDescent="0.25">
      <c r="A20" t="s">
        <v>147</v>
      </c>
    </row>
    <row r="21" spans="1:1" x14ac:dyDescent="0.25">
      <c r="A21" t="s">
        <v>148</v>
      </c>
    </row>
    <row r="22" spans="1:1" x14ac:dyDescent="0.25">
      <c r="A22" t="s">
        <v>149</v>
      </c>
    </row>
    <row r="23" spans="1:1" x14ac:dyDescent="0.25">
      <c r="A23" t="s">
        <v>150</v>
      </c>
    </row>
    <row r="24" spans="1:1" x14ac:dyDescent="0.25">
      <c r="A24" t="s">
        <v>151</v>
      </c>
    </row>
    <row r="25" spans="1:1" x14ac:dyDescent="0.25">
      <c r="A25" t="s">
        <v>152</v>
      </c>
    </row>
    <row r="26" spans="1:1" x14ac:dyDescent="0.25">
      <c r="A26" t="s">
        <v>153</v>
      </c>
    </row>
    <row r="27" spans="1:1" x14ac:dyDescent="0.25">
      <c r="A27" t="s">
        <v>154</v>
      </c>
    </row>
    <row r="28" spans="1:1" x14ac:dyDescent="0.25">
      <c r="A28" t="s">
        <v>155</v>
      </c>
    </row>
    <row r="29" spans="1:1" x14ac:dyDescent="0.25">
      <c r="A29" t="s">
        <v>156</v>
      </c>
    </row>
    <row r="30" spans="1:1" x14ac:dyDescent="0.25">
      <c r="A30" t="s">
        <v>157</v>
      </c>
    </row>
    <row r="31" spans="1:1" x14ac:dyDescent="0.25">
      <c r="A31" t="s">
        <v>158</v>
      </c>
    </row>
    <row r="32" spans="1:1" x14ac:dyDescent="0.25">
      <c r="A32" t="s">
        <v>159</v>
      </c>
    </row>
    <row r="33" spans="1:1" x14ac:dyDescent="0.25">
      <c r="A33" t="s">
        <v>160</v>
      </c>
    </row>
    <row r="34" spans="1:1" x14ac:dyDescent="0.25">
      <c r="A34" t="s">
        <v>161</v>
      </c>
    </row>
    <row r="35" spans="1:1" x14ac:dyDescent="0.25">
      <c r="A35" t="s">
        <v>162</v>
      </c>
    </row>
    <row r="36" spans="1:1" x14ac:dyDescent="0.25">
      <c r="A36" t="s">
        <v>163</v>
      </c>
    </row>
    <row r="37" spans="1:1" x14ac:dyDescent="0.25">
      <c r="A37" t="s">
        <v>164</v>
      </c>
    </row>
    <row r="38" spans="1:1" x14ac:dyDescent="0.25">
      <c r="A38" t="s">
        <v>165</v>
      </c>
    </row>
    <row r="39" spans="1:1" x14ac:dyDescent="0.25">
      <c r="A39" t="s">
        <v>166</v>
      </c>
    </row>
    <row r="40" spans="1:1" x14ac:dyDescent="0.25">
      <c r="A40" t="s">
        <v>167</v>
      </c>
    </row>
    <row r="41" spans="1:1" x14ac:dyDescent="0.25">
      <c r="A41" t="s">
        <v>168</v>
      </c>
    </row>
    <row r="42" spans="1:1" x14ac:dyDescent="0.25">
      <c r="A42" t="s">
        <v>169</v>
      </c>
    </row>
    <row r="43" spans="1:1" x14ac:dyDescent="0.25">
      <c r="A43" t="s">
        <v>170</v>
      </c>
    </row>
    <row r="44" spans="1:1" x14ac:dyDescent="0.25">
      <c r="A44" t="s">
        <v>171</v>
      </c>
    </row>
    <row r="45" spans="1:1" x14ac:dyDescent="0.25">
      <c r="A45" t="s">
        <v>172</v>
      </c>
    </row>
    <row r="46" spans="1:1" x14ac:dyDescent="0.25">
      <c r="A46" t="s">
        <v>173</v>
      </c>
    </row>
    <row r="47" spans="1:1" x14ac:dyDescent="0.25">
      <c r="A47" t="s">
        <v>174</v>
      </c>
    </row>
    <row r="48" spans="1:1" x14ac:dyDescent="0.25">
      <c r="A48" t="s">
        <v>175</v>
      </c>
    </row>
    <row r="49" spans="1:1" x14ac:dyDescent="0.25">
      <c r="A49" t="s">
        <v>176</v>
      </c>
    </row>
    <row r="50" spans="1:1" x14ac:dyDescent="0.25">
      <c r="A50" t="s">
        <v>177</v>
      </c>
    </row>
    <row r="51" spans="1:1" x14ac:dyDescent="0.25">
      <c r="A51" t="s">
        <v>178</v>
      </c>
    </row>
    <row r="52" spans="1:1" x14ac:dyDescent="0.25">
      <c r="A52" t="s">
        <v>179</v>
      </c>
    </row>
    <row r="53" spans="1:1" x14ac:dyDescent="0.25">
      <c r="A53" t="s">
        <v>180</v>
      </c>
    </row>
    <row r="54" spans="1:1" x14ac:dyDescent="0.25">
      <c r="A54" t="s">
        <v>181</v>
      </c>
    </row>
    <row r="55" spans="1:1" x14ac:dyDescent="0.25">
      <c r="A55" t="s">
        <v>182</v>
      </c>
    </row>
    <row r="56" spans="1:1" x14ac:dyDescent="0.25">
      <c r="A56" t="s">
        <v>183</v>
      </c>
    </row>
    <row r="57" spans="1:1" x14ac:dyDescent="0.25">
      <c r="A57" t="s">
        <v>184</v>
      </c>
    </row>
    <row r="58" spans="1:1" x14ac:dyDescent="0.25">
      <c r="A58" t="s">
        <v>185</v>
      </c>
    </row>
    <row r="59" spans="1:1" x14ac:dyDescent="0.25">
      <c r="A59" t="s">
        <v>186</v>
      </c>
    </row>
    <row r="60" spans="1:1" x14ac:dyDescent="0.25">
      <c r="A60" t="s">
        <v>187</v>
      </c>
    </row>
    <row r="61" spans="1:1" x14ac:dyDescent="0.25">
      <c r="A61" t="s">
        <v>188</v>
      </c>
    </row>
    <row r="62" spans="1:1" x14ac:dyDescent="0.25">
      <c r="A62" t="s">
        <v>189</v>
      </c>
    </row>
    <row r="63" spans="1:1" x14ac:dyDescent="0.25">
      <c r="A63" t="s">
        <v>190</v>
      </c>
    </row>
    <row r="64" spans="1:1" x14ac:dyDescent="0.25">
      <c r="A64" t="s">
        <v>191</v>
      </c>
    </row>
    <row r="65" spans="1:1" x14ac:dyDescent="0.25">
      <c r="A65" t="s">
        <v>192</v>
      </c>
    </row>
    <row r="66" spans="1:1" x14ac:dyDescent="0.25">
      <c r="A66" t="s">
        <v>193</v>
      </c>
    </row>
    <row r="67" spans="1:1" x14ac:dyDescent="0.25">
      <c r="A67" t="s">
        <v>194</v>
      </c>
    </row>
    <row r="68" spans="1:1" x14ac:dyDescent="0.25">
      <c r="A68" t="s">
        <v>195</v>
      </c>
    </row>
    <row r="69" spans="1:1" x14ac:dyDescent="0.25">
      <c r="A69" t="s">
        <v>196</v>
      </c>
    </row>
    <row r="70" spans="1:1" x14ac:dyDescent="0.25">
      <c r="A70" t="s">
        <v>197</v>
      </c>
    </row>
    <row r="71" spans="1:1" x14ac:dyDescent="0.25">
      <c r="A71" t="s">
        <v>198</v>
      </c>
    </row>
    <row r="72" spans="1:1" x14ac:dyDescent="0.25">
      <c r="A72" t="s">
        <v>199</v>
      </c>
    </row>
    <row r="73" spans="1:1" x14ac:dyDescent="0.25">
      <c r="A73" t="s">
        <v>200</v>
      </c>
    </row>
    <row r="74" spans="1:1" x14ac:dyDescent="0.25">
      <c r="A74" t="s">
        <v>201</v>
      </c>
    </row>
    <row r="75" spans="1:1" x14ac:dyDescent="0.25">
      <c r="A75" t="s">
        <v>202</v>
      </c>
    </row>
    <row r="76" spans="1:1" x14ac:dyDescent="0.25">
      <c r="A76" t="s">
        <v>203</v>
      </c>
    </row>
    <row r="77" spans="1:1" x14ac:dyDescent="0.25">
      <c r="A77" t="s">
        <v>204</v>
      </c>
    </row>
    <row r="78" spans="1:1" x14ac:dyDescent="0.25">
      <c r="A78" t="s">
        <v>205</v>
      </c>
    </row>
    <row r="79" spans="1:1" x14ac:dyDescent="0.25">
      <c r="A79" t="s">
        <v>206</v>
      </c>
    </row>
    <row r="80" spans="1:1" x14ac:dyDescent="0.25">
      <c r="A80" t="s">
        <v>207</v>
      </c>
    </row>
    <row r="81" spans="1:1" x14ac:dyDescent="0.25">
      <c r="A81" t="s">
        <v>208</v>
      </c>
    </row>
    <row r="82" spans="1:1" x14ac:dyDescent="0.25">
      <c r="A82" t="s">
        <v>209</v>
      </c>
    </row>
    <row r="83" spans="1:1" x14ac:dyDescent="0.25">
      <c r="A83" t="s">
        <v>210</v>
      </c>
    </row>
    <row r="84" spans="1:1" x14ac:dyDescent="0.25">
      <c r="A84" t="s">
        <v>211</v>
      </c>
    </row>
    <row r="85" spans="1:1" x14ac:dyDescent="0.25">
      <c r="A85" t="s">
        <v>212</v>
      </c>
    </row>
    <row r="86" spans="1:1" x14ac:dyDescent="0.25">
      <c r="A86" t="s">
        <v>213</v>
      </c>
    </row>
    <row r="87" spans="1:1" x14ac:dyDescent="0.25">
      <c r="A87" t="s">
        <v>214</v>
      </c>
    </row>
    <row r="88" spans="1:1" x14ac:dyDescent="0.25">
      <c r="A88" t="s">
        <v>215</v>
      </c>
    </row>
    <row r="89" spans="1:1" x14ac:dyDescent="0.25">
      <c r="A89" t="s">
        <v>216</v>
      </c>
    </row>
    <row r="90" spans="1:1" x14ac:dyDescent="0.25">
      <c r="A90" t="s">
        <v>217</v>
      </c>
    </row>
    <row r="91" spans="1:1" x14ac:dyDescent="0.25">
      <c r="A91" t="s">
        <v>218</v>
      </c>
    </row>
    <row r="92" spans="1:1" x14ac:dyDescent="0.25">
      <c r="A92" t="s">
        <v>219</v>
      </c>
    </row>
    <row r="93" spans="1:1" x14ac:dyDescent="0.25">
      <c r="A93" t="s">
        <v>220</v>
      </c>
    </row>
    <row r="94" spans="1:1" x14ac:dyDescent="0.25">
      <c r="A94" t="s">
        <v>221</v>
      </c>
    </row>
    <row r="95" spans="1:1" x14ac:dyDescent="0.25">
      <c r="A95" t="s">
        <v>222</v>
      </c>
    </row>
    <row r="96" spans="1:1" x14ac:dyDescent="0.25">
      <c r="A96" t="s">
        <v>223</v>
      </c>
    </row>
    <row r="97" spans="1:1" x14ac:dyDescent="0.25">
      <c r="A97" t="s">
        <v>224</v>
      </c>
    </row>
    <row r="98" spans="1:1" x14ac:dyDescent="0.25">
      <c r="A98" t="s">
        <v>225</v>
      </c>
    </row>
    <row r="99" spans="1:1" x14ac:dyDescent="0.25">
      <c r="A99" t="s">
        <v>226</v>
      </c>
    </row>
    <row r="100" spans="1:1" x14ac:dyDescent="0.25">
      <c r="A100" t="s">
        <v>227</v>
      </c>
    </row>
    <row r="101" spans="1:1" x14ac:dyDescent="0.25">
      <c r="A101" t="s">
        <v>228</v>
      </c>
    </row>
    <row r="102" spans="1:1" x14ac:dyDescent="0.25">
      <c r="A102" t="s">
        <v>229</v>
      </c>
    </row>
    <row r="103" spans="1:1" x14ac:dyDescent="0.25">
      <c r="A103" t="s">
        <v>230</v>
      </c>
    </row>
    <row r="104" spans="1:1" x14ac:dyDescent="0.25">
      <c r="A104" t="s">
        <v>231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234</v>
      </c>
    </row>
    <row r="108" spans="1:1" x14ac:dyDescent="0.25">
      <c r="A108" t="s">
        <v>235</v>
      </c>
    </row>
    <row r="109" spans="1:1" x14ac:dyDescent="0.25">
      <c r="A109" t="s">
        <v>236</v>
      </c>
    </row>
    <row r="110" spans="1:1" x14ac:dyDescent="0.25">
      <c r="A110" t="s">
        <v>237</v>
      </c>
    </row>
    <row r="111" spans="1:1" x14ac:dyDescent="0.25">
      <c r="A111" t="s">
        <v>238</v>
      </c>
    </row>
    <row r="112" spans="1:1" x14ac:dyDescent="0.25">
      <c r="A112" t="s">
        <v>239</v>
      </c>
    </row>
    <row r="113" spans="1:1" x14ac:dyDescent="0.25">
      <c r="A113" t="s">
        <v>240</v>
      </c>
    </row>
    <row r="114" spans="1:1" x14ac:dyDescent="0.25">
      <c r="A114" t="s">
        <v>241</v>
      </c>
    </row>
    <row r="115" spans="1:1" x14ac:dyDescent="0.25">
      <c r="A115" t="s">
        <v>242</v>
      </c>
    </row>
    <row r="116" spans="1:1" x14ac:dyDescent="0.25">
      <c r="A116" t="s">
        <v>243</v>
      </c>
    </row>
    <row r="117" spans="1:1" x14ac:dyDescent="0.25">
      <c r="A117" t="s">
        <v>244</v>
      </c>
    </row>
    <row r="118" spans="1:1" x14ac:dyDescent="0.25">
      <c r="A118" t="s">
        <v>245</v>
      </c>
    </row>
    <row r="119" spans="1:1" x14ac:dyDescent="0.25">
      <c r="A119" t="s">
        <v>246</v>
      </c>
    </row>
    <row r="120" spans="1:1" x14ac:dyDescent="0.25">
      <c r="A120" t="s">
        <v>247</v>
      </c>
    </row>
    <row r="121" spans="1:1" x14ac:dyDescent="0.25">
      <c r="A121" t="s">
        <v>248</v>
      </c>
    </row>
    <row r="122" spans="1:1" x14ac:dyDescent="0.25">
      <c r="A122" t="s">
        <v>249</v>
      </c>
    </row>
    <row r="123" spans="1:1" x14ac:dyDescent="0.25">
      <c r="A123" t="s">
        <v>250</v>
      </c>
    </row>
    <row r="124" spans="1:1" x14ac:dyDescent="0.25">
      <c r="A124" t="s">
        <v>251</v>
      </c>
    </row>
    <row r="125" spans="1:1" x14ac:dyDescent="0.25">
      <c r="A125" t="s">
        <v>252</v>
      </c>
    </row>
    <row r="126" spans="1:1" x14ac:dyDescent="0.25">
      <c r="A126" t="s">
        <v>253</v>
      </c>
    </row>
    <row r="127" spans="1:1" x14ac:dyDescent="0.25">
      <c r="A127" t="s">
        <v>254</v>
      </c>
    </row>
    <row r="128" spans="1:1" x14ac:dyDescent="0.25">
      <c r="A128" t="s">
        <v>255</v>
      </c>
    </row>
    <row r="129" spans="1:1" x14ac:dyDescent="0.25">
      <c r="A129" t="s">
        <v>256</v>
      </c>
    </row>
    <row r="130" spans="1:1" x14ac:dyDescent="0.25">
      <c r="A130" t="s">
        <v>257</v>
      </c>
    </row>
    <row r="131" spans="1:1" x14ac:dyDescent="0.25">
      <c r="A131" t="s">
        <v>258</v>
      </c>
    </row>
    <row r="132" spans="1:1" x14ac:dyDescent="0.25">
      <c r="A132" t="s">
        <v>259</v>
      </c>
    </row>
    <row r="133" spans="1:1" x14ac:dyDescent="0.25">
      <c r="A133" t="s">
        <v>260</v>
      </c>
    </row>
    <row r="134" spans="1:1" x14ac:dyDescent="0.25">
      <c r="A134" t="s">
        <v>261</v>
      </c>
    </row>
    <row r="135" spans="1:1" x14ac:dyDescent="0.25">
      <c r="A135" t="s">
        <v>262</v>
      </c>
    </row>
    <row r="136" spans="1:1" x14ac:dyDescent="0.25">
      <c r="A136" t="s">
        <v>263</v>
      </c>
    </row>
    <row r="137" spans="1:1" x14ac:dyDescent="0.25">
      <c r="A137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cash recoveries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TM1GrpNewAdj08RecogDataEntryCAP</vt:lpstr>
      <vt:lpstr>TM1GrpNewAdj08RecogDataEntryWB</vt:lpstr>
      <vt:lpstr>TM1GrpNewAdj08RecogDataEntryWS</vt:lpstr>
      <vt:lpstr>TM1GrpNewAdj09CashRecDataEntryCAP</vt:lpstr>
      <vt:lpstr>TM1GrpNewAdj09CashRecDataEntryWB</vt:lpstr>
      <vt:lpstr>TM1GrpNewAdj09CashRecDataEntryWS</vt:lpstr>
      <vt:lpstr>TM1GrpNewAdj10WriteOffDataEntryCAP</vt:lpstr>
      <vt:lpstr>TM1GrpNewAdj10WriteOffDataEntryWB</vt:lpstr>
      <vt:lpstr>TM1GrpNewAdj10WriteOffDataEntryWS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'cash recoveries'!TM1RPTDATARNG1</vt:lpstr>
      <vt:lpstr>'cash recoveries'!TM1RPTFMTIDCOL</vt:lpstr>
      <vt:lpstr>'cash recoveries'!TM1RPTFMTRNG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2025-08-11T06:13:23Z</dcterms:modified>
</cp:coreProperties>
</file>