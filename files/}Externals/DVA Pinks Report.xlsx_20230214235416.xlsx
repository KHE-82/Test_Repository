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735BF7C7-CBEA-48FE-810A-282BEF3BDBAE}" xr6:coauthVersionLast="47" xr6:coauthVersionMax="47" xr10:uidLastSave="{00000000-0000-0000-0000-000000000000}"/>
  <bookViews>
    <workbookView xWindow="57480" yWindow="-1965" windowWidth="29040" windowHeight="15840" xr2:uid="{CD4A60D4-4CB3-4886-B0D8-80695B02B09A}"/>
  </bookViews>
  <sheets>
    <sheet name="transaction listing" sheetId="1" r:id="rId1"/>
    <sheet name="{PL}PickLst" sheetId="2" state="hidden" r:id="rId2"/>
  </sheets>
  <definedNames>
    <definedName name="cbRpt">'transaction listing'!$C$69</definedName>
    <definedName name="db_name">'transaction listing'!$C$18</definedName>
    <definedName name="EndStage">'transaction listing'!$V$158</definedName>
    <definedName name="Freeze_here">'transaction listing'!$A$162</definedName>
    <definedName name="home">'transaction listing'!$H$39:$H$48</definedName>
    <definedName name="periodselection">'transaction listing'!$U$141:$U$144</definedName>
    <definedName name="_xlnm.Print_Area" localSheetId="0">'transaction listing'!$U$164:$AC$212</definedName>
    <definedName name="psAcc">'transaction listing'!$Z$157</definedName>
    <definedName name="psACCDisplayDetail">'transaction listing'!$AB$157</definedName>
    <definedName name="psApp">'transaction listing'!$C$36</definedName>
    <definedName name="psIDDisplayDetail">'transaction listing'!$AB$161</definedName>
    <definedName name="psMA">'transaction listing'!$Z$158</definedName>
    <definedName name="psMADisplayDetail">'transaction listing'!$AB$158</definedName>
    <definedName name="psMsrCode">'transaction listing'!$Z$160</definedName>
    <definedName name="psMSRDisplayDetail">'transaction listing'!$AB$160</definedName>
    <definedName name="psPRog">'transaction listing'!$Z$156</definedName>
    <definedName name="psProgDisplayDetail">'transaction listing'!$AB$156</definedName>
    <definedName name="psReason">'transaction listing'!$Z$159</definedName>
    <definedName name="psReasonDisplayDetail">'transaction listing'!$AB$159</definedName>
    <definedName name="psUser">'transaction listing'!$C$20</definedName>
    <definedName name="psYr1">'transaction listing'!$Y$136</definedName>
    <definedName name="psYr10">'transaction listing'!$AH$136</definedName>
    <definedName name="psYr2">'transaction listing'!$Z$136</definedName>
    <definedName name="psYr3">'transaction listing'!$AA$136</definedName>
    <definedName name="psYr4">'transaction listing'!$AB$136</definedName>
    <definedName name="psYr5">'transaction listing'!$AC$136</definedName>
    <definedName name="psYr6">'transaction listing'!$AD$136</definedName>
    <definedName name="psYr7">'transaction listing'!$AE$136</definedName>
    <definedName name="psYr8">'transaction listing'!$AF$136</definedName>
    <definedName name="psYr9">'transaction listing'!$AG$136</definedName>
    <definedName name="Server">'transaction listing'!$B$1</definedName>
    <definedName name="sID">'transaction listing'!$C$127</definedName>
    <definedName name="sID0000A">'transaction listing'!$C$124</definedName>
    <definedName name="sID00FBO">'transaction listing'!$C$125</definedName>
    <definedName name="sIDNewadj">'transaction listing'!$C$127</definedName>
    <definedName name="sIDTotal">'transaction listing'!$C$126</definedName>
    <definedName name="StartStage">'transaction listing'!$V$156</definedName>
    <definedName name="TM1AnalRptARTRecoCAP">'transaction listing'!$D$47</definedName>
    <definedName name="TM1AnalRptARTRecoWB">'transaction listing'!$F$47</definedName>
    <definedName name="TM1AnalRptARTRecoWS">'transaction listing'!$H$47</definedName>
    <definedName name="TM1AnalRptDashboardCAP">'transaction listing'!$D$46</definedName>
    <definedName name="TM1AnalRptDashboardWB">'transaction listing'!$F$46</definedName>
    <definedName name="TM1AnalRptDashboardWS">'transaction listing'!$H$46</definedName>
    <definedName name="TM1AnalRptExportToCSVCAP">'transaction listing'!$D$48</definedName>
    <definedName name="TM1AnalRptExportToCSVWB">'transaction listing'!$F$48</definedName>
    <definedName name="TM1AnalRptExportToCSVWS">'transaction listing'!$H$48</definedName>
    <definedName name="TM1AnalRptRecoCAP">'transaction listing'!$D$45</definedName>
    <definedName name="TM1AnalRptRecoWB">'transaction listing'!$F$45</definedName>
    <definedName name="TM1AnalRptRecoWS">'transaction listing'!$H$45</definedName>
    <definedName name="TM1AnalRptRepAdjRecoCAP">'transaction listing'!$D$44</definedName>
    <definedName name="TM1AnalRptRepAdjRecoWB">'transaction listing'!$F$44</definedName>
    <definedName name="TM1AnalRptRepAdjRecoWS">'transaction listing'!$H$44</definedName>
    <definedName name="TM1AnalRptRepStageMaintCAP">'transaction listing'!$D$49</definedName>
    <definedName name="TM1AnalRptRepStageMaintWB">'transaction listing'!$F$49</definedName>
    <definedName name="TM1AnalRptRepStageMaintWS">'transaction listing'!$H$49</definedName>
    <definedName name="TM1AnalRptTransCAP">'transaction listing'!$D$43</definedName>
    <definedName name="TM1AnalRptTransWB">'transaction listing'!$F$43</definedName>
    <definedName name="TM1AnalRptTransWS">'transaction listing'!$H$43</definedName>
    <definedName name="TM1DATARNGARPT1">'transaction listing'!#REF!</definedName>
    <definedName name="TM1HomeAECAP">'transaction listing'!$D$39</definedName>
    <definedName name="TM1HomeAEWB">'transaction listing'!$F$39</definedName>
    <definedName name="TM1HomeAEWS">'transaction listing'!$H$39</definedName>
    <definedName name="TM1HomeCAP">'transaction listing'!$D$38</definedName>
    <definedName name="TM1HomeRepAnalyticalCAP">'transaction listing'!$D$42</definedName>
    <definedName name="TM1HomeRepAnalyticalWB">'transaction listing'!$F$42</definedName>
    <definedName name="TM1HomeRepAnalyticalWS">'transaction listing'!$H$42</definedName>
    <definedName name="TM1HomeRepCAP">'transaction listing'!$D$40</definedName>
    <definedName name="TM1HomeRepOtherCAP">'transaction listing'!$D$41</definedName>
    <definedName name="TM1HomeRepOtherWB">'transaction listing'!$F$41</definedName>
    <definedName name="TM1HomeRepOtherWS">'transaction listing'!$H$41</definedName>
    <definedName name="TM1HomeRepWB">'transaction listing'!$F$40</definedName>
    <definedName name="TM1HomeRepWS">'transaction listing'!$H$40</definedName>
    <definedName name="TM1HomeWB">'transaction listing'!$F$38</definedName>
    <definedName name="TM1HomeWS">'transaction listing'!$H$38</definedName>
    <definedName name="TM1RPTDATARNG4" localSheetId="0">'transaction listing'!$185:$185</definedName>
    <definedName name="TM1RPTDATARNGARPT" localSheetId="0">'transaction listing'!$189:$189</definedName>
    <definedName name="TM1RPTDATARNGARPT">'transaction listing'!$189:$189</definedName>
    <definedName name="TM1RPTDATARNGARPT1" localSheetId="0">'transaction listing'!$193:$193</definedName>
    <definedName name="TM1RPTDATARNGARPT1">'transaction listing'!$193:$193</definedName>
    <definedName name="TM1RPTDATARNGARPT2" localSheetId="0">'transaction listing'!$197:$197</definedName>
    <definedName name="TM1RPTDATARNGARPT2">'transaction listing'!$197:$197</definedName>
    <definedName name="TM1RPTDATARNGARPT3" localSheetId="0">'transaction listing'!$201:$201</definedName>
    <definedName name="TM1RPTDATARNGARPT3">'transaction listing'!$201:$201</definedName>
    <definedName name="TM1RPTDATARNGARPT4" localSheetId="0">'transaction listing'!$205:$205</definedName>
    <definedName name="TM1RPTDATARNGARPT4">'transaction listing'!$205:$205</definedName>
    <definedName name="TM1RPTDATARNGARPT5" localSheetId="0">'transaction listing'!$209:$209</definedName>
    <definedName name="TM1RPTFMTIDCOL" localSheetId="0">'transaction listing'!$A$1:$A$15</definedName>
    <definedName name="TM1RPTFMTRNG" localSheetId="0">'transaction listing'!$B$1:$AG$15</definedName>
    <definedName name="TM1ViewAdj01HeaderCAP">'transaction listing'!$D$50</definedName>
    <definedName name="TM1ViewAdj01HeaderWB">'transaction listing'!$F$50</definedName>
    <definedName name="TM1ViewAdj01HeaderWS">'transaction listing'!$H$50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1" i="1" l="1"/>
  <c r="C53" i="1"/>
  <c r="V156" i="1"/>
  <c r="E71" i="1"/>
  <c r="C109" i="1" a="1"/>
  <c r="C109" i="1"/>
  <c r="C110" i="1" a="1"/>
  <c r="C110" i="1"/>
  <c r="C111" i="1" a="1"/>
  <c r="C112" i="1" a="1"/>
  <c r="C113" i="1" a="1"/>
  <c r="C114" i="1"/>
  <c r="C115" i="1" a="1"/>
  <c r="C116" i="1"/>
  <c r="C117" i="1" a="1"/>
  <c r="Z156" i="1"/>
  <c r="Z157" i="1" a="1"/>
  <c r="Z157" i="1"/>
  <c r="C119" i="1"/>
  <c r="C120" i="1" a="1"/>
  <c r="AC138" i="1" a="1"/>
  <c r="AC138" i="1"/>
  <c r="AC136" i="1"/>
  <c r="AC178" i="1"/>
  <c r="C121" i="1" a="1"/>
  <c r="C111" i="1"/>
  <c r="C112" i="1"/>
  <c r="C113" i="1"/>
  <c r="C115" i="1"/>
  <c r="C117" i="1"/>
  <c r="C120" i="1"/>
  <c r="C121" i="1"/>
  <c r="AB138" i="1" a="1"/>
  <c r="AB138" i="1"/>
  <c r="AB136" i="1"/>
  <c r="AB178" i="1"/>
  <c r="AA138" i="1" a="1"/>
  <c r="AA138" i="1"/>
  <c r="AA136" i="1"/>
  <c r="AA178" i="1"/>
  <c r="Z138" i="1" a="1"/>
  <c r="Z138" i="1"/>
  <c r="Z136" i="1"/>
  <c r="Z178" i="1"/>
  <c r="Y138" i="1" a="1"/>
  <c r="Y138" i="1"/>
  <c r="Y136" i="1"/>
  <c r="Y178" i="1"/>
  <c r="C137" i="1" a="1"/>
  <c r="C137" i="1"/>
  <c r="F71" i="1"/>
  <c r="G71" i="1"/>
  <c r="C71" i="1"/>
  <c r="H71" i="1"/>
  <c r="V158" i="1"/>
  <c r="E133" i="1"/>
  <c r="F133" i="1"/>
  <c r="C134" i="1"/>
  <c r="C26" i="1" a="1"/>
  <c r="C26" i="1"/>
  <c r="C28" i="1" a="1"/>
  <c r="C28" i="1"/>
  <c r="C132" i="1"/>
  <c r="C29" i="1" a="1"/>
  <c r="C29" i="1"/>
  <c r="C133" i="1"/>
  <c r="U169" i="1"/>
  <c r="U168" i="1"/>
  <c r="U167" i="1"/>
  <c r="U166" i="1"/>
  <c r="U164" i="1"/>
  <c r="U165" i="1"/>
  <c r="V176" i="1"/>
  <c r="V175" i="1"/>
  <c r="V174" i="1"/>
  <c r="V173" i="1"/>
  <c r="V172" i="1"/>
  <c r="V171" i="1"/>
  <c r="V170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F64" i="1"/>
  <c r="G64" i="1"/>
  <c r="D71" i="1"/>
  <c r="I71" i="1"/>
  <c r="H64" i="1"/>
  <c r="P209" i="1"/>
  <c r="P210" i="1"/>
  <c r="U210" i="1"/>
  <c r="Z159" i="1" a="1"/>
  <c r="Z159" i="1"/>
  <c r="C91" i="1"/>
  <c r="R209" i="1"/>
  <c r="V209" i="1"/>
  <c r="H63" i="1"/>
  <c r="P205" i="1"/>
  <c r="P206" i="1"/>
  <c r="U206" i="1"/>
  <c r="R205" i="1"/>
  <c r="V205" i="1"/>
  <c r="H62" i="1"/>
  <c r="P201" i="1"/>
  <c r="P202" i="1"/>
  <c r="V202" i="1"/>
  <c r="U202" i="1"/>
  <c r="R201" i="1"/>
  <c r="V201" i="1"/>
  <c r="Z160" i="1"/>
  <c r="Z158" i="1"/>
  <c r="C124" i="1" a="1"/>
  <c r="C124" i="1"/>
  <c r="C72" i="1" a="1"/>
  <c r="C72" i="1"/>
  <c r="R206" i="1"/>
  <c r="C126" i="1" a="1"/>
  <c r="C126" i="1"/>
  <c r="Q182" i="1"/>
  <c r="Y206" i="1"/>
  <c r="Z206" i="1"/>
  <c r="AA206" i="1"/>
  <c r="AB206" i="1"/>
  <c r="AC206" i="1"/>
  <c r="Q206" i="1"/>
  <c r="H61" i="1"/>
  <c r="P197" i="1"/>
  <c r="P198" i="1"/>
  <c r="V198" i="1"/>
  <c r="U198" i="1"/>
  <c r="R197" i="1"/>
  <c r="V197" i="1"/>
  <c r="H60" i="1"/>
  <c r="P193" i="1"/>
  <c r="P194" i="1"/>
  <c r="V194" i="1"/>
  <c r="U194" i="1"/>
  <c r="R193" i="1"/>
  <c r="V193" i="1"/>
  <c r="R189" i="1"/>
  <c r="V189" i="1"/>
  <c r="H59" i="1"/>
  <c r="P189" i="1"/>
  <c r="P190" i="1"/>
  <c r="V190" i="1"/>
  <c r="U190" i="1"/>
  <c r="H58" i="1"/>
  <c r="P185" i="1"/>
  <c r="P186" i="1"/>
  <c r="U186" i="1"/>
  <c r="R210" i="1"/>
  <c r="Y210" i="1"/>
  <c r="Z210" i="1"/>
  <c r="AA210" i="1"/>
  <c r="AB210" i="1"/>
  <c r="AC210" i="1"/>
  <c r="Q210" i="1"/>
  <c r="R202" i="1"/>
  <c r="Y202" i="1"/>
  <c r="Z202" i="1"/>
  <c r="AA202" i="1"/>
  <c r="AB202" i="1"/>
  <c r="AC202" i="1"/>
  <c r="Q202" i="1"/>
  <c r="R198" i="1"/>
  <c r="Y198" i="1"/>
  <c r="Z198" i="1"/>
  <c r="AA198" i="1"/>
  <c r="AB198" i="1"/>
  <c r="AC198" i="1"/>
  <c r="Q198" i="1"/>
  <c r="R194" i="1"/>
  <c r="Y194" i="1"/>
  <c r="Z194" i="1"/>
  <c r="AA194" i="1"/>
  <c r="AB194" i="1"/>
  <c r="AC194" i="1"/>
  <c r="Q194" i="1"/>
  <c r="R190" i="1"/>
  <c r="Y190" i="1"/>
  <c r="Z190" i="1"/>
  <c r="AA190" i="1"/>
  <c r="AB190" i="1"/>
  <c r="AC190" i="1"/>
  <c r="Q190" i="1"/>
  <c r="P182" i="1"/>
  <c r="V186" i="1"/>
  <c r="Q186" i="1"/>
  <c r="R186" i="1"/>
  <c r="Y186" i="1"/>
  <c r="Z186" i="1"/>
  <c r="AA186" i="1"/>
  <c r="AB186" i="1"/>
  <c r="AC186" i="1"/>
  <c r="E64" i="1"/>
  <c r="H57" i="1"/>
  <c r="S209" i="1"/>
  <c r="AC209" i="1"/>
  <c r="AB209" i="1"/>
  <c r="AA209" i="1"/>
  <c r="Z209" i="1"/>
  <c r="Y209" i="1"/>
  <c r="C127" i="1"/>
  <c r="C101" i="1"/>
  <c r="Q209" i="1"/>
  <c r="K209" i="1"/>
  <c r="L209" i="1"/>
  <c r="M209" i="1"/>
  <c r="A209" i="1"/>
  <c r="S205" i="1"/>
  <c r="AC205" i="1"/>
  <c r="AB205" i="1"/>
  <c r="AA205" i="1"/>
  <c r="Z205" i="1"/>
  <c r="Y205" i="1"/>
  <c r="Q205" i="1"/>
  <c r="S201" i="1"/>
  <c r="AC201" i="1"/>
  <c r="AB201" i="1"/>
  <c r="AA201" i="1"/>
  <c r="Z201" i="1"/>
  <c r="Y201" i="1"/>
  <c r="Q201" i="1"/>
  <c r="K205" i="1"/>
  <c r="L205" i="1"/>
  <c r="M205" i="1"/>
  <c r="A205" i="1"/>
  <c r="K201" i="1"/>
  <c r="L201" i="1"/>
  <c r="M201" i="1"/>
  <c r="A201" i="1"/>
  <c r="C55" i="1"/>
  <c r="C54" i="1"/>
  <c r="S197" i="1"/>
  <c r="AC197" i="1"/>
  <c r="AB197" i="1"/>
  <c r="AA197" i="1"/>
  <c r="Z197" i="1"/>
  <c r="Y197" i="1"/>
  <c r="Q197" i="1"/>
  <c r="K197" i="1"/>
  <c r="L197" i="1"/>
  <c r="M197" i="1"/>
  <c r="A197" i="1"/>
  <c r="S193" i="1"/>
  <c r="Y193" i="1"/>
  <c r="Z193" i="1"/>
  <c r="AA193" i="1"/>
  <c r="AB193" i="1"/>
  <c r="AC193" i="1"/>
  <c r="Q193" i="1"/>
  <c r="K193" i="1"/>
  <c r="L193" i="1"/>
  <c r="A193" i="1"/>
  <c r="S189" i="1"/>
  <c r="Y189" i="1"/>
  <c r="Z189" i="1"/>
  <c r="AA189" i="1"/>
  <c r="AB189" i="1"/>
  <c r="AC189" i="1"/>
  <c r="Q189" i="1"/>
  <c r="K189" i="1"/>
  <c r="L189" i="1"/>
  <c r="A189" i="1"/>
  <c r="Y140" i="1" a="1"/>
  <c r="Y140" i="1"/>
  <c r="Z140" i="1" a="1"/>
  <c r="Z140" i="1"/>
  <c r="AA140" i="1" a="1"/>
  <c r="AA140" i="1"/>
  <c r="AB140" i="1" a="1"/>
  <c r="AB140" i="1"/>
  <c r="AC140" i="1" a="1"/>
  <c r="AC140" i="1"/>
  <c r="R185" i="1"/>
  <c r="S185" i="1"/>
  <c r="Z185" i="1"/>
  <c r="K185" i="1"/>
  <c r="L185" i="1"/>
  <c r="Q185" i="1"/>
  <c r="F58" i="1"/>
  <c r="G58" i="1"/>
  <c r="F59" i="1"/>
  <c r="G59" i="1"/>
  <c r="F60" i="1"/>
  <c r="G60" i="1"/>
  <c r="F61" i="1"/>
  <c r="G61" i="1"/>
  <c r="F62" i="1"/>
  <c r="G62" i="1"/>
  <c r="F63" i="1"/>
  <c r="G63" i="1"/>
  <c r="G57" i="1"/>
  <c r="F57" i="1"/>
  <c r="R182" i="1"/>
  <c r="Y182" i="1"/>
  <c r="C100" i="1"/>
  <c r="D127" i="1"/>
  <c r="E113" i="1"/>
  <c r="V185" i="1"/>
  <c r="C82" i="1"/>
  <c r="AC185" i="1"/>
  <c r="AB185" i="1"/>
  <c r="AA185" i="1"/>
  <c r="Y185" i="1"/>
  <c r="A185" i="1"/>
  <c r="AC182" i="1"/>
  <c r="AB182" i="1"/>
  <c r="AA182" i="1"/>
  <c r="Z182" i="1"/>
  <c r="AB160" i="1" a="1"/>
  <c r="AB160" i="1"/>
  <c r="C97" i="1"/>
  <c r="C95" i="1"/>
  <c r="AB159" i="1"/>
  <c r="C92" i="1"/>
  <c r="C90" i="1"/>
  <c r="AB158" i="1" a="1"/>
  <c r="AB158" i="1"/>
  <c r="C87" i="1"/>
  <c r="C85" i="1"/>
  <c r="AB161" i="1"/>
  <c r="C99" i="1"/>
  <c r="C118" i="1" a="1"/>
  <c r="C118" i="1"/>
  <c r="U182" i="1"/>
  <c r="C79" i="1"/>
  <c r="C35" i="1" a="1"/>
  <c r="C35" i="1"/>
  <c r="AB157" i="1" a="1"/>
  <c r="AB157" i="1"/>
  <c r="C77" i="1"/>
  <c r="AB156" i="1" a="1"/>
  <c r="AB156" i="1"/>
  <c r="AC144" i="1" a="1"/>
  <c r="AC144" i="1"/>
  <c r="AB144" i="1" a="1"/>
  <c r="AB144" i="1"/>
  <c r="AA144" i="1" a="1"/>
  <c r="AA144" i="1"/>
  <c r="Z144" i="1" a="1"/>
  <c r="Z144" i="1"/>
  <c r="Y144" i="1" a="1"/>
  <c r="Y144" i="1"/>
  <c r="AC142" i="1" a="1"/>
  <c r="AC142" i="1"/>
  <c r="AB142" i="1" a="1"/>
  <c r="AB142" i="1"/>
  <c r="AA142" i="1" a="1"/>
  <c r="AA142" i="1"/>
  <c r="Z142" i="1" a="1"/>
  <c r="Z142" i="1"/>
  <c r="Y142" i="1" a="1"/>
  <c r="Y142" i="1"/>
  <c r="C125" i="1" a="1"/>
  <c r="C125" i="1"/>
  <c r="C73" i="1" a="1"/>
  <c r="C73" i="1"/>
  <c r="H50" i="1" a="1"/>
  <c r="H50" i="1"/>
  <c r="G50" i="1" a="1"/>
  <c r="G50" i="1"/>
  <c r="F50" i="1" a="1"/>
  <c r="F50" i="1"/>
  <c r="E50" i="1" a="1"/>
  <c r="E50" i="1"/>
  <c r="D50" i="1" a="1"/>
  <c r="D50" i="1"/>
  <c r="C50" i="1" a="1"/>
  <c r="C50" i="1"/>
  <c r="H49" i="1" a="1"/>
  <c r="H49" i="1"/>
  <c r="G49" i="1" a="1"/>
  <c r="G49" i="1"/>
  <c r="F49" i="1" a="1"/>
  <c r="F49" i="1"/>
  <c r="E49" i="1" a="1"/>
  <c r="E49" i="1"/>
  <c r="D49" i="1" a="1"/>
  <c r="D49" i="1"/>
  <c r="C49" i="1" a="1"/>
  <c r="C49" i="1"/>
  <c r="H48" i="1" a="1"/>
  <c r="H48" i="1"/>
  <c r="G48" i="1" a="1"/>
  <c r="G48" i="1"/>
  <c r="F48" i="1" a="1"/>
  <c r="F48" i="1"/>
  <c r="E48" i="1" a="1"/>
  <c r="E48" i="1"/>
  <c r="D48" i="1" a="1"/>
  <c r="D48" i="1"/>
  <c r="C48" i="1" a="1"/>
  <c r="C48" i="1"/>
  <c r="H47" i="1" a="1"/>
  <c r="H47" i="1"/>
  <c r="G47" i="1" a="1"/>
  <c r="G47" i="1"/>
  <c r="F47" i="1" a="1"/>
  <c r="F47" i="1"/>
  <c r="E47" i="1" a="1"/>
  <c r="E47" i="1"/>
  <c r="D47" i="1" a="1"/>
  <c r="D47" i="1"/>
  <c r="C47" i="1" a="1"/>
  <c r="C47" i="1"/>
  <c r="H46" i="1" a="1"/>
  <c r="H46" i="1"/>
  <c r="G46" i="1" a="1"/>
  <c r="G46" i="1"/>
  <c r="F46" i="1" a="1"/>
  <c r="F46" i="1"/>
  <c r="E46" i="1" a="1"/>
  <c r="E46" i="1"/>
  <c r="D46" i="1" a="1"/>
  <c r="D46" i="1"/>
  <c r="C46" i="1" a="1"/>
  <c r="C46" i="1"/>
  <c r="H45" i="1" a="1"/>
  <c r="H45" i="1"/>
  <c r="G45" i="1" a="1"/>
  <c r="G45" i="1"/>
  <c r="F45" i="1" a="1"/>
  <c r="F45" i="1"/>
  <c r="E45" i="1" a="1"/>
  <c r="E45" i="1"/>
  <c r="D45" i="1" a="1"/>
  <c r="D45" i="1"/>
  <c r="C45" i="1" a="1"/>
  <c r="C45" i="1"/>
  <c r="H44" i="1" a="1"/>
  <c r="H44" i="1"/>
  <c r="G44" i="1" a="1"/>
  <c r="G44" i="1"/>
  <c r="F44" i="1" a="1"/>
  <c r="F44" i="1"/>
  <c r="E44" i="1" a="1"/>
  <c r="E44" i="1"/>
  <c r="D44" i="1" a="1"/>
  <c r="D44" i="1"/>
  <c r="C44" i="1" a="1"/>
  <c r="C44" i="1"/>
  <c r="H43" i="1" a="1"/>
  <c r="H43" i="1"/>
  <c r="G43" i="1" a="1"/>
  <c r="G43" i="1"/>
  <c r="F43" i="1" a="1"/>
  <c r="F43" i="1"/>
  <c r="E43" i="1" a="1"/>
  <c r="E43" i="1"/>
  <c r="D43" i="1" a="1"/>
  <c r="D43" i="1"/>
  <c r="C43" i="1" a="1"/>
  <c r="C43" i="1"/>
  <c r="H42" i="1" a="1"/>
  <c r="H42" i="1"/>
  <c r="G42" i="1" a="1"/>
  <c r="G42" i="1"/>
  <c r="F42" i="1" a="1"/>
  <c r="F42" i="1"/>
  <c r="E42" i="1" a="1"/>
  <c r="E42" i="1"/>
  <c r="D42" i="1" a="1"/>
  <c r="D42" i="1"/>
  <c r="C42" i="1" a="1"/>
  <c r="C42" i="1"/>
  <c r="H41" i="1" a="1"/>
  <c r="H41" i="1"/>
  <c r="G41" i="1" a="1"/>
  <c r="G41" i="1"/>
  <c r="F41" i="1" a="1"/>
  <c r="F41" i="1"/>
  <c r="E41" i="1" a="1"/>
  <c r="E41" i="1"/>
  <c r="D41" i="1" a="1"/>
  <c r="D41" i="1"/>
  <c r="C41" i="1" a="1"/>
  <c r="C41" i="1"/>
  <c r="H40" i="1" a="1"/>
  <c r="H40" i="1"/>
  <c r="G40" i="1" a="1"/>
  <c r="G40" i="1"/>
  <c r="F40" i="1" a="1"/>
  <c r="F40" i="1"/>
  <c r="E40" i="1" a="1"/>
  <c r="E40" i="1"/>
  <c r="D40" i="1" a="1"/>
  <c r="D40" i="1"/>
  <c r="C40" i="1" a="1"/>
  <c r="C40" i="1"/>
  <c r="H39" i="1" a="1"/>
  <c r="H39" i="1"/>
  <c r="G39" i="1" a="1"/>
  <c r="G39" i="1"/>
  <c r="F39" i="1" a="1"/>
  <c r="F39" i="1"/>
  <c r="E39" i="1" a="1"/>
  <c r="E39" i="1"/>
  <c r="D39" i="1" a="1"/>
  <c r="D39" i="1"/>
  <c r="C39" i="1" a="1"/>
  <c r="C39" i="1"/>
  <c r="H38" i="1" a="1"/>
  <c r="H38" i="1"/>
  <c r="G38" i="1" a="1"/>
  <c r="G38" i="1"/>
  <c r="F38" i="1" a="1"/>
  <c r="F38" i="1"/>
  <c r="E38" i="1" a="1"/>
  <c r="E38" i="1"/>
  <c r="D38" i="1" a="1"/>
  <c r="D38" i="1"/>
  <c r="C38" i="1" a="1"/>
  <c r="C38" i="1"/>
  <c r="C32" i="1" a="1"/>
  <c r="C32" i="1"/>
  <c r="C31" i="1" a="1"/>
  <c r="C31" i="1"/>
  <c r="C30" i="1" a="1"/>
  <c r="C30" i="1"/>
  <c r="C19" i="1" a="1"/>
  <c r="C19" i="1"/>
  <c r="C20" i="1" a="1"/>
  <c r="C20" i="1"/>
  <c r="C22" i="1" a="1"/>
  <c r="C22" i="1"/>
  <c r="C21" i="1" a="1"/>
  <c r="C21" i="1"/>
  <c r="AB163" i="1"/>
  <c r="C23" i="1"/>
  <c r="C106" i="1"/>
  <c r="C105" i="1"/>
  <c r="C104" i="1"/>
  <c r="C96" i="1"/>
  <c r="C78" i="1"/>
  <c r="C86" i="1"/>
  <c r="A14" i="1"/>
  <c r="A13" i="1"/>
  <c r="A12" i="1"/>
  <c r="A11" i="1"/>
  <c r="A10" i="1"/>
  <c r="A9" i="1"/>
  <c r="A5" i="1"/>
  <c r="A4" i="1"/>
  <c r="A3" i="1"/>
  <c r="A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<sst xmlns="http://schemas.openxmlformats.org/spreadsheetml/2006/main" count="238" uniqueCount="183">
  <si>
    <t>status</t>
  </si>
  <si>
    <t>outcome</t>
  </si>
  <si>
    <t>related entity</t>
  </si>
  <si>
    <t>function</t>
  </si>
  <si>
    <t>spp</t>
  </si>
  <si>
    <t>appropriation type</t>
  </si>
  <si>
    <t>appropriation item</t>
  </si>
  <si>
    <t>programme</t>
  </si>
  <si>
    <t>id</t>
  </si>
  <si>
    <t>jurisdiction</t>
  </si>
  <si>
    <t>AE reporting measure</t>
  </si>
  <si>
    <t>D</t>
  </si>
  <si>
    <t>N</t>
  </si>
  <si>
    <t>[Begin Format Range]</t>
  </si>
  <si>
    <t>[End Format Range]</t>
  </si>
  <si>
    <t>System Parameters</t>
  </si>
  <si>
    <t>Database Name</t>
  </si>
  <si>
    <t>Current User</t>
  </si>
  <si>
    <t>Name</t>
  </si>
  <si>
    <t>AE Reporting</t>
  </si>
  <si>
    <t>value</t>
  </si>
  <si>
    <t>headline year</t>
  </si>
  <si>
    <t>headline scenario</t>
  </si>
  <si>
    <t>MDX</t>
  </si>
  <si>
    <t>Account</t>
  </si>
  <si>
    <t>nlevel elements</t>
  </si>
  <si>
    <t>drilldown with single element</t>
  </si>
  <si>
    <t>Stage</t>
  </si>
  <si>
    <t>ID - total</t>
  </si>
  <si>
    <t>Title Dimension - Active Form</t>
  </si>
  <si>
    <t>Other Dimension</t>
  </si>
  <si>
    <t>TM1rptview - New Adjustments</t>
  </si>
  <si>
    <t>ID - 0000A</t>
  </si>
  <si>
    <t>Movement Account</t>
  </si>
  <si>
    <t>Reason</t>
  </si>
  <si>
    <t>Measure Code</t>
  </si>
  <si>
    <t xml:space="preserve">Reason : </t>
  </si>
  <si>
    <t xml:space="preserve">Measure code : </t>
  </si>
  <si>
    <t>ID</t>
  </si>
  <si>
    <t>ID - 00FBO</t>
  </si>
  <si>
    <t>ID - New adjustments</t>
  </si>
  <si>
    <t>Starting Period - Standard</t>
  </si>
  <si>
    <t>Closing Period - Standard</t>
  </si>
  <si>
    <t>Closing Period - Extended</t>
  </si>
  <si>
    <t>Closing Period - Historical</t>
  </si>
  <si>
    <t xml:space="preserve">Reporting Period : </t>
  </si>
  <si>
    <t>Yes</t>
  </si>
  <si>
    <t>No</t>
  </si>
  <si>
    <t>Not selectable</t>
  </si>
  <si>
    <t>Sliceview - opening bal</t>
  </si>
  <si>
    <t>Sliceview - ending bal</t>
  </si>
  <si>
    <t xml:space="preserve">ID : </t>
  </si>
  <si>
    <t xml:space="preserve">Programme : </t>
  </si>
  <si>
    <t xml:space="preserve">Account : </t>
  </si>
  <si>
    <t>REPORT PARAMETERS</t>
  </si>
  <si>
    <t>}Clients</t>
  </si>
  <si>
    <t>TM1 User</t>
  </si>
  <si>
    <t>}TM1_DefaultDisplayValue</t>
  </si>
  <si>
    <t>GEUS User Name</t>
  </si>
  <si>
    <t>System Variables</t>
  </si>
  <si>
    <t>View</t>
  </si>
  <si>
    <t>archive year</t>
  </si>
  <si>
    <t>archive scenario</t>
  </si>
  <si>
    <t>current budget round</t>
  </si>
  <si>
    <t>sys_application</t>
  </si>
  <si>
    <t>Slice View</t>
  </si>
  <si>
    <t>Current Workbook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</si>
  <si>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</si>
  <si>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</si>
  <si>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</si>
  <si>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</si>
  <si>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</si>
  <si>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</si>
  <si>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</si>
  <si>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</si>
  <si>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Reports</t>
  </si>
  <si>
    <t>Homepage - Reports - Other</t>
  </si>
  <si>
    <t>Analytical Reports - Transcation Listing</t>
  </si>
  <si>
    <t>Analytical Reports - Reporting Cube and AE Adj Reconciliation</t>
  </si>
  <si>
    <t>Analytical Reports - Validations and Reconciliation</t>
  </si>
  <si>
    <t>Analytical Reports - Agency Resourcing Table Reconciliation</t>
  </si>
  <si>
    <t>Analytical Reports - Export To CSV</t>
  </si>
  <si>
    <t>Homepage - Reports - Analytical</t>
  </si>
  <si>
    <t>Analytical Reports - Dashboard Reporting</t>
  </si>
  <si>
    <t>Analytical Reports - Transaction Listing</t>
  </si>
  <si>
    <t>Analytical Reports - Reporting Stage Maintenance</t>
  </si>
  <si>
    <t>DISPLAY SETTINGS (FILTER / EXPAND)</t>
  </si>
  <si>
    <t>Data Entry - View Adj 01 - Header Details</t>
  </si>
  <si>
    <t>AE Id Details</t>
  </si>
  <si>
    <t>SLICE VIEW</t>
  </si>
  <si>
    <t>Headline Year</t>
  </si>
  <si>
    <t>Scenario</t>
  </si>
  <si>
    <t xml:space="preserve">Movement Account : </t>
  </si>
  <si>
    <r>
      <t>Establishing Instrument:</t>
    </r>
    <r>
      <rPr>
        <sz val="10"/>
        <rFont val="Arial"/>
        <family val="2"/>
      </rPr>
      <t xml:space="preserve"> </t>
    </r>
  </si>
  <si>
    <t>Constitutional Head:</t>
  </si>
  <si>
    <r>
      <t>Purpose:</t>
    </r>
    <r>
      <rPr>
        <i/>
        <sz val="10"/>
        <rFont val="Arial"/>
        <family val="2"/>
      </rPr>
      <t xml:space="preserve"> </t>
    </r>
  </si>
  <si>
    <r>
      <t>Description:</t>
    </r>
    <r>
      <rPr>
        <sz val="10"/>
        <rFont val="Arial"/>
        <family val="2"/>
      </rPr>
      <t xml:space="preserve"> </t>
    </r>
  </si>
  <si>
    <t>Recipients:</t>
  </si>
  <si>
    <t>Conditions:</t>
  </si>
  <si>
    <t>{Descendants([Reason].[Total Reason]) }</t>
  </si>
  <si>
    <t>{[id].[Total IDs]}</t>
  </si>
  <si>
    <t>{Descendants([ID].[Total IDs]) }</t>
  </si>
  <si>
    <t>{Except( Descendants([reason].[Total Reason]), {[Reason].[CBMS 1  reason codes]} )}</t>
  </si>
  <si>
    <t>{TM1FilterByLevel( TM1SubsetAll( [Reason] ), 0),[Reason].[Total Reason]}</t>
  </si>
  <si>
    <t>measure code</t>
  </si>
  <si>
    <t>id To Use</t>
  </si>
  <si>
    <t>DVA Pinks Report</t>
  </si>
  <si>
    <t xml:space="preserve">Note : Ensure that the Stage Maintenance has been updated to ensure validity of the repot. </t>
  </si>
  <si>
    <t>Note : 'CURRENT' scenario will not be displayed unless it has been included in Stage Maintenance.</t>
  </si>
  <si>
    <t>CUBE:</t>
  </si>
  <si>
    <t>scenario</t>
  </si>
  <si>
    <t>HL2013-2014</t>
  </si>
  <si>
    <t>HL2014-2015</t>
  </si>
  <si>
    <t>HL2015-2016</t>
  </si>
  <si>
    <t>HL2016-2017</t>
  </si>
  <si>
    <t>HL2017-2018</t>
  </si>
  <si>
    <t>HL2018-2019</t>
  </si>
  <si>
    <t>HL2019-2020</t>
  </si>
  <si>
    <t>HL2020-2021</t>
  </si>
  <si>
    <t>HL2021-2022</t>
  </si>
  <si>
    <t>HL2022-2023</t>
  </si>
  <si>
    <t>HL2023-2024</t>
  </si>
  <si>
    <t>HL2024-2025</t>
  </si>
  <si>
    <t>Headline year</t>
  </si>
  <si>
    <t>AE REPORTING END STAGE DETAILS</t>
  </si>
  <si>
    <t>Program Details (as at End Stage)</t>
  </si>
  <si>
    <t>Pinks Prog Establishing Instrument</t>
  </si>
  <si>
    <t>Pinks Prog Constitutional Head</t>
  </si>
  <si>
    <t>Pinks Prog Purpose</t>
  </si>
  <si>
    <t>Pinks Prog Description</t>
  </si>
  <si>
    <t>Pinks Prog Recipients</t>
  </si>
  <si>
    <t>Pinks Prog Conditions</t>
  </si>
  <si>
    <t>Pinks Prog Related Legislation</t>
  </si>
  <si>
    <t xml:space="preserve">From Starting Period : </t>
  </si>
  <si>
    <t xml:space="preserve">To Ending Period: </t>
  </si>
  <si>
    <t>(as at Ending Period headline year and scenario)</t>
  </si>
  <si>
    <t>{TM1FILTERBYLEVEL( {TM1DRILLDOWNMEMBER( {[Reason].[sys_Total Reason]}, ALL, RECURSIVE )}, 0)}</t>
  </si>
  <si>
    <t>AE Reporting Cube</t>
  </si>
  <si>
    <t>Start Stage</t>
  </si>
  <si>
    <t>End Stage</t>
  </si>
  <si>
    <t>Index</t>
  </si>
  <si>
    <t>Stage Count</t>
  </si>
  <si>
    <t>Count Criteria</t>
  </si>
  <si>
    <t>Section</t>
  </si>
  <si>
    <t>Section 1 TM1RPTDATARNG4</t>
  </si>
  <si>
    <t>Section 2 TM1RPTDATARNGARPT</t>
  </si>
  <si>
    <t>Section 3 TM1RPTDATARNGARPT1</t>
  </si>
  <si>
    <t>Section 4 TM1RPTDATARNGARPT2</t>
  </si>
  <si>
    <t>Section 5 TM1RPTDATARNGARPT3</t>
  </si>
  <si>
    <t>AF Section</t>
  </si>
  <si>
    <t>Section 6 TM1RPTDATARNGARPT4</t>
  </si>
  <si>
    <t>Section 7 TM1RPTDATARNGARPT5</t>
  </si>
  <si>
    <t>Starting Period Closing Balances</t>
  </si>
  <si>
    <t>PEFO</t>
  </si>
  <si>
    <t>MYEFO</t>
  </si>
  <si>
    <t>Additional Estimates</t>
  </si>
  <si>
    <t>Pre-ERC</t>
  </si>
  <si>
    <t>Budget</t>
  </si>
  <si>
    <t>Appropriation Bills</t>
  </si>
  <si>
    <t>Economic Update</t>
  </si>
  <si>
    <t>current</t>
  </si>
  <si>
    <t>Estimated Actual</t>
  </si>
  <si>
    <t>FE1</t>
  </si>
  <si>
    <t>FE2</t>
  </si>
  <si>
    <t>FE3</t>
  </si>
  <si>
    <t>$'000</t>
  </si>
  <si>
    <t xml:space="preserve">Printed : </t>
  </si>
  <si>
    <t>Pinks Prog FAS</t>
  </si>
  <si>
    <t>Pinks Prog AS</t>
  </si>
  <si>
    <t>Pinks Prog Title</t>
  </si>
  <si>
    <t>Pinks Prog Outcome</t>
  </si>
  <si>
    <t>Pinks Prog Code</t>
  </si>
  <si>
    <t>Pinks Prog Approp Type</t>
  </si>
  <si>
    <t>Estimates round</t>
  </si>
  <si>
    <t xml:space="preserve"> </t>
  </si>
  <si>
    <t>PROGRAM DETAILS:</t>
  </si>
  <si>
    <t>Opening Baseline</t>
  </si>
  <si>
    <t>Closing Baseline</t>
  </si>
  <si>
    <t>Last row</t>
  </si>
  <si>
    <t>Related Legislation:</t>
  </si>
  <si>
    <t>OLD index values</t>
  </si>
  <si>
    <t>Check These????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</si>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</sst>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 &quot;@"/>
    <numFmt numFmtId="165" formatCode="_-* #,##0_-;[Red]* \(#,##0\)_-;_-* &quot;-&quot;??_-;_-@_-"/>
    <numFmt numFmtId="166" formatCode="dd\ mmmm\ yyyy\ h:mm"/>
  </numFmts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8"/>
      <color rgb="FF454545"/>
      <name val="Courier New"/>
      <family val="3"/>
    </font>
    <font>
      <b/>
      <sz val="11"/>
      <name val="Calibri"/>
      <family val="2"/>
      <scheme val="minor"/>
    </font>
    <font>
      <b/>
      <sz val="10"/>
      <color theme="3" tint="-0.249977111117893"/>
      <name val="Arial"/>
      <family val="2"/>
    </font>
    <font>
      <b/>
      <sz val="14"/>
      <color theme="3" tint="-0.249977111117893"/>
      <name val="Arial"/>
      <family val="2"/>
    </font>
    <font>
      <b/>
      <u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3" tint="-0.249977111117893"/>
      <name val="Arial"/>
      <family val="2"/>
    </font>
    <font>
      <i/>
      <sz val="10"/>
      <color theme="3" tint="-0.249977111117893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333F4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/>
  </cellStyleXfs>
  <cellXfs count="140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4" fillId="0" borderId="0" xfId="1" applyFont="1" applyAlignment="1">
      <alignment horizontal="right"/>
    </xf>
    <xf numFmtId="0" fontId="0" fillId="0" borderId="3" xfId="0" applyBorder="1"/>
    <xf numFmtId="0" fontId="2" fillId="0" borderId="0" xfId="0" applyFont="1" applyAlignment="1">
      <alignment horizontal="left" indent="1"/>
    </xf>
    <xf numFmtId="0" fontId="1" fillId="0" borderId="4" xfId="0" applyFont="1" applyBorder="1"/>
    <xf numFmtId="0" fontId="1" fillId="0" borderId="0" xfId="0" applyFont="1"/>
    <xf numFmtId="0" fontId="0" fillId="0" borderId="0" xfId="0" quotePrefix="1"/>
    <xf numFmtId="0" fontId="5" fillId="0" borderId="0" xfId="0" applyFont="1"/>
    <xf numFmtId="0" fontId="7" fillId="5" borderId="0" xfId="0" applyFont="1" applyFill="1" applyAlignment="1">
      <alignment horizontal="right"/>
    </xf>
    <xf numFmtId="0" fontId="5" fillId="0" borderId="10" xfId="0" applyFont="1" applyBorder="1"/>
    <xf numFmtId="0" fontId="5" fillId="0" borderId="11" xfId="0" applyFont="1" applyBorder="1" applyAlignment="1">
      <alignment horizontal="center"/>
    </xf>
    <xf numFmtId="0" fontId="5" fillId="0" borderId="13" xfId="0" applyFont="1" applyBorder="1"/>
    <xf numFmtId="0" fontId="5" fillId="0" borderId="9" xfId="0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top" wrapText="1"/>
    </xf>
    <xf numFmtId="49" fontId="5" fillId="0" borderId="4" xfId="0" applyNumberFormat="1" applyFont="1" applyBorder="1"/>
    <xf numFmtId="0" fontId="5" fillId="0" borderId="4" xfId="0" applyFont="1" applyBorder="1" applyAlignment="1">
      <alignment horizontal="center"/>
    </xf>
    <xf numFmtId="165" fontId="5" fillId="0" borderId="0" xfId="0" applyNumberFormat="1" applyFont="1"/>
    <xf numFmtId="49" fontId="2" fillId="0" borderId="4" xfId="0" applyNumberFormat="1" applyFont="1" applyBorder="1" applyAlignment="1">
      <alignment horizontal="left" vertical="top"/>
    </xf>
    <xf numFmtId="165" fontId="2" fillId="0" borderId="4" xfId="0" applyNumberFormat="1" applyFont="1" applyBorder="1" applyAlignment="1">
      <alignment vertical="top"/>
    </xf>
    <xf numFmtId="49" fontId="2" fillId="0" borderId="4" xfId="0" applyNumberFormat="1" applyFont="1" applyBorder="1" applyAlignment="1">
      <alignment horizontal="left" vertical="top" wrapText="1"/>
    </xf>
    <xf numFmtId="49" fontId="5" fillId="0" borderId="0" xfId="0" applyNumberFormat="1" applyFont="1"/>
    <xf numFmtId="0" fontId="5" fillId="0" borderId="0" xfId="0" applyFont="1" applyAlignment="1">
      <alignment horizontal="center"/>
    </xf>
    <xf numFmtId="0" fontId="8" fillId="6" borderId="0" xfId="0" applyFont="1" applyFill="1" applyAlignment="1">
      <alignment horizontal="right" vertical="center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horizontal="center"/>
    </xf>
    <xf numFmtId="0" fontId="13" fillId="0" borderId="0" xfId="0" applyFont="1"/>
    <xf numFmtId="0" fontId="12" fillId="2" borderId="1" xfId="0" applyFont="1" applyFill="1" applyBorder="1"/>
    <xf numFmtId="0" fontId="2" fillId="2" borderId="1" xfId="0" applyFont="1" applyFill="1" applyBorder="1"/>
    <xf numFmtId="0" fontId="2" fillId="0" borderId="4" xfId="0" applyFont="1" applyBorder="1" applyAlignment="1" applyProtection="1">
      <alignment horizontal="left" indent="1"/>
      <protection locked="0"/>
    </xf>
    <xf numFmtId="0" fontId="8" fillId="9" borderId="0" xfId="0" applyFont="1" applyFill="1" applyAlignment="1">
      <alignment horizontal="right" vertical="center"/>
    </xf>
    <xf numFmtId="0" fontId="17" fillId="0" borderId="0" xfId="0" applyFont="1"/>
    <xf numFmtId="0" fontId="1" fillId="0" borderId="1" xfId="0" applyFont="1" applyBorder="1"/>
    <xf numFmtId="0" fontId="12" fillId="10" borderId="1" xfId="0" applyFont="1" applyFill="1" applyBorder="1"/>
    <xf numFmtId="0" fontId="12" fillId="10" borderId="0" xfId="0" applyFont="1" applyFill="1"/>
    <xf numFmtId="0" fontId="1" fillId="10" borderId="0" xfId="0" applyFont="1" applyFill="1"/>
    <xf numFmtId="0" fontId="1" fillId="10" borderId="0" xfId="0" applyFont="1" applyFill="1" applyAlignment="1">
      <alignment horizontal="left" vertical="top" wrapText="1"/>
    </xf>
    <xf numFmtId="49" fontId="12" fillId="10" borderId="4" xfId="0" applyNumberFormat="1" applyFont="1" applyFill="1" applyBorder="1" applyAlignment="1">
      <alignment horizontal="left" vertical="top" wrapText="1"/>
    </xf>
    <xf numFmtId="165" fontId="12" fillId="10" borderId="4" xfId="0" applyNumberFormat="1" applyFont="1" applyFill="1" applyBorder="1" applyAlignment="1">
      <alignment vertical="top"/>
    </xf>
    <xf numFmtId="0" fontId="2" fillId="0" borderId="4" xfId="0" applyFont="1" applyBorder="1" applyAlignment="1">
      <alignment horizontal="left" vertical="top"/>
    </xf>
    <xf numFmtId="0" fontId="12" fillId="10" borderId="4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indent="1"/>
    </xf>
    <xf numFmtId="0" fontId="0" fillId="0" borderId="0" xfId="0" applyAlignment="1">
      <alignment vertical="top"/>
    </xf>
    <xf numFmtId="0" fontId="2" fillId="0" borderId="0" xfId="0" applyFont="1" applyAlignment="1">
      <alignment horizontal="left" vertical="top" wrapText="1"/>
    </xf>
    <xf numFmtId="0" fontId="5" fillId="0" borderId="4" xfId="0" applyFont="1" applyBorder="1"/>
    <xf numFmtId="49" fontId="5" fillId="0" borderId="0" xfId="0" applyNumberFormat="1" applyFont="1" applyAlignment="1">
      <alignment horizontal="center"/>
    </xf>
    <xf numFmtId="0" fontId="9" fillId="0" borderId="0" xfId="0" applyFont="1"/>
    <xf numFmtId="0" fontId="2" fillId="0" borderId="2" xfId="0" applyFont="1" applyBorder="1" applyAlignment="1">
      <alignment horizontal="left" vertical="top"/>
    </xf>
    <xf numFmtId="0" fontId="12" fillId="10" borderId="2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12" fillId="10" borderId="0" xfId="0" applyFont="1" applyFill="1" applyAlignment="1">
      <alignment horizontal="left" vertical="top" wrapText="1"/>
    </xf>
    <xf numFmtId="0" fontId="11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5" fillId="0" borderId="11" xfId="0" applyFont="1" applyBorder="1"/>
    <xf numFmtId="0" fontId="5" fillId="0" borderId="9" xfId="0" applyFont="1" applyBorder="1"/>
    <xf numFmtId="0" fontId="0" fillId="8" borderId="0" xfId="0" applyFill="1" applyAlignment="1">
      <alignment vertical="top"/>
    </xf>
    <xf numFmtId="0" fontId="1" fillId="8" borderId="0" xfId="0" applyFont="1" applyFill="1"/>
    <xf numFmtId="0" fontId="18" fillId="8" borderId="0" xfId="0" applyFont="1" applyFill="1" applyAlignment="1">
      <alignment horizontal="center" vertical="center"/>
    </xf>
    <xf numFmtId="165" fontId="2" fillId="0" borderId="3" xfId="0" applyNumberFormat="1" applyFont="1" applyBorder="1" applyAlignment="1">
      <alignment vertical="top"/>
    </xf>
    <xf numFmtId="165" fontId="12" fillId="10" borderId="3" xfId="0" applyNumberFormat="1" applyFont="1" applyFill="1" applyBorder="1" applyAlignment="1">
      <alignment vertical="top"/>
    </xf>
    <xf numFmtId="165" fontId="2" fillId="0" borderId="0" xfId="0" applyNumberFormat="1" applyFont="1" applyAlignment="1">
      <alignment vertical="top"/>
    </xf>
    <xf numFmtId="165" fontId="12" fillId="10" borderId="0" xfId="0" applyNumberFormat="1" applyFont="1" applyFill="1" applyAlignment="1">
      <alignment vertical="top"/>
    </xf>
    <xf numFmtId="0" fontId="2" fillId="0" borderId="0" xfId="0" applyFont="1" applyAlignment="1">
      <alignment vertical="top"/>
    </xf>
    <xf numFmtId="0" fontId="18" fillId="0" borderId="6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2" fillId="10" borderId="0" xfId="0" applyFont="1" applyFill="1" applyAlignment="1">
      <alignment vertical="top"/>
    </xf>
    <xf numFmtId="0" fontId="14" fillId="0" borderId="0" xfId="0" applyFont="1" applyAlignment="1">
      <alignment vertical="top" wrapText="1"/>
    </xf>
    <xf numFmtId="166" fontId="1" fillId="0" borderId="0" xfId="0" applyNumberFormat="1" applyFont="1" applyAlignment="1">
      <alignment horizontal="right"/>
    </xf>
    <xf numFmtId="0" fontId="4" fillId="8" borderId="9" xfId="1" applyFont="1" applyFill="1" applyBorder="1" applyAlignment="1">
      <alignment horizontal="left" indent="1"/>
    </xf>
    <xf numFmtId="0" fontId="1" fillId="8" borderId="9" xfId="0" applyFont="1" applyFill="1" applyBorder="1" applyAlignment="1">
      <alignment horizontal="right" indent="1"/>
    </xf>
    <xf numFmtId="0" fontId="2" fillId="4" borderId="4" xfId="0" applyFont="1" applyFill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2" fillId="4" borderId="4" xfId="0" applyFont="1" applyFill="1" applyBorder="1" applyAlignment="1">
      <alignment horizontal="left" indent="1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indent="1"/>
    </xf>
    <xf numFmtId="0" fontId="0" fillId="8" borderId="0" xfId="0" applyFill="1"/>
    <xf numFmtId="165" fontId="2" fillId="8" borderId="4" xfId="0" applyNumberFormat="1" applyFont="1" applyFill="1" applyBorder="1" applyAlignment="1">
      <alignment vertical="top"/>
    </xf>
    <xf numFmtId="165" fontId="12" fillId="8" borderId="4" xfId="0" applyNumberFormat="1" applyFont="1" applyFill="1" applyBorder="1" applyAlignment="1">
      <alignment vertical="top"/>
    </xf>
    <xf numFmtId="49" fontId="6" fillId="0" borderId="0" xfId="0" applyNumberFormat="1" applyFont="1"/>
    <xf numFmtId="0" fontId="6" fillId="0" borderId="0" xfId="0" applyFont="1"/>
    <xf numFmtId="0" fontId="22" fillId="0" borderId="0" xfId="0" applyFont="1"/>
    <xf numFmtId="49" fontId="5" fillId="0" borderId="4" xfId="0" applyNumberFormat="1" applyFont="1" applyBorder="1" applyAlignment="1">
      <alignment horizontal="left" vertical="top" wrapText="1"/>
    </xf>
    <xf numFmtId="164" fontId="5" fillId="0" borderId="4" xfId="0" applyNumberFormat="1" applyFont="1" applyBorder="1" applyAlignment="1">
      <alignment horizontal="left" vertical="top" wrapText="1"/>
    </xf>
    <xf numFmtId="0" fontId="5" fillId="0" borderId="2" xfId="0" applyFont="1" applyBorder="1" applyAlignment="1">
      <alignment horizontal="left" vertical="top" wrapText="1"/>
    </xf>
    <xf numFmtId="165" fontId="6" fillId="0" borderId="4" xfId="0" applyNumberFormat="1" applyFont="1" applyBorder="1"/>
    <xf numFmtId="165" fontId="6" fillId="0" borderId="3" xfId="0" applyNumberFormat="1" applyFont="1" applyBorder="1"/>
    <xf numFmtId="165" fontId="6" fillId="0" borderId="2" xfId="0" applyNumberFormat="1" applyFont="1" applyBorder="1"/>
    <xf numFmtId="0" fontId="18" fillId="0" borderId="12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23" fillId="0" borderId="9" xfId="0" applyFont="1" applyBorder="1"/>
    <xf numFmtId="0" fontId="14" fillId="0" borderId="0" xfId="0" applyFont="1" applyAlignment="1">
      <alignment vertical="top"/>
    </xf>
    <xf numFmtId="165" fontId="6" fillId="8" borderId="4" xfId="0" applyNumberFormat="1" applyFont="1" applyFill="1" applyBorder="1"/>
    <xf numFmtId="0" fontId="26" fillId="0" borderId="0" xfId="0" applyFont="1"/>
    <xf numFmtId="0" fontId="26" fillId="2" borderId="1" xfId="0" applyFont="1" applyFill="1" applyBorder="1"/>
    <xf numFmtId="0" fontId="26" fillId="0" borderId="0" xfId="0" applyFont="1" applyAlignment="1">
      <alignment horizontal="left" vertical="top" wrapText="1"/>
    </xf>
    <xf numFmtId="0" fontId="26" fillId="0" borderId="4" xfId="0" applyFont="1" applyBorder="1" applyAlignment="1">
      <alignment horizontal="left" vertical="top" wrapText="1"/>
    </xf>
    <xf numFmtId="49" fontId="26" fillId="0" borderId="4" xfId="0" applyNumberFormat="1" applyFont="1" applyBorder="1" applyAlignment="1">
      <alignment horizontal="left" vertical="top" wrapText="1"/>
    </xf>
    <xf numFmtId="0" fontId="26" fillId="0" borderId="2" xfId="0" applyFont="1" applyBorder="1" applyAlignment="1">
      <alignment horizontal="left" vertical="top" wrapText="1"/>
    </xf>
    <xf numFmtId="0" fontId="26" fillId="0" borderId="0" xfId="0" applyFont="1" applyAlignment="1">
      <alignment vertical="top"/>
    </xf>
    <xf numFmtId="165" fontId="26" fillId="0" borderId="0" xfId="0" applyNumberFormat="1" applyFont="1" applyAlignment="1">
      <alignment vertical="top"/>
    </xf>
    <xf numFmtId="0" fontId="18" fillId="8" borderId="5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0" fontId="18" fillId="8" borderId="7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165" fontId="5" fillId="8" borderId="0" xfId="0" applyNumberFormat="1" applyFont="1" applyFill="1"/>
    <xf numFmtId="165" fontId="26" fillId="8" borderId="0" xfId="0" applyNumberFormat="1" applyFont="1" applyFill="1" applyAlignment="1">
      <alignment vertical="top"/>
    </xf>
    <xf numFmtId="0" fontId="5" fillId="11" borderId="11" xfId="0" applyFont="1" applyFill="1" applyBorder="1" applyAlignment="1">
      <alignment horizontal="center"/>
    </xf>
    <xf numFmtId="0" fontId="1" fillId="11" borderId="0" xfId="0" applyFont="1" applyFill="1"/>
    <xf numFmtId="0" fontId="6" fillId="0" borderId="0" xfId="0" applyFont="1" applyAlignment="1">
      <alignment horizontal="right"/>
    </xf>
    <xf numFmtId="0" fontId="19" fillId="0" borderId="0" xfId="1" applyFont="1" applyAlignment="1">
      <alignment horizontal="right" vertical="top" wrapText="1" indent="1"/>
    </xf>
    <xf numFmtId="0" fontId="25" fillId="0" borderId="0" xfId="1" applyFont="1" applyAlignment="1">
      <alignment horizontal="left" vertical="top" wrapText="1" indent="1"/>
    </xf>
    <xf numFmtId="0" fontId="24" fillId="0" borderId="0" xfId="1" applyFont="1" applyAlignment="1">
      <alignment horizontal="left" vertical="top" wrapText="1" indent="1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8" borderId="2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/>
    </xf>
    <xf numFmtId="0" fontId="1" fillId="8" borderId="14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2" fillId="0" borderId="2" xfId="0" applyFont="1" applyBorder="1" applyAlignment="1" applyProtection="1">
      <alignment horizontal="left" indent="1"/>
      <protection locked="0"/>
    </xf>
    <xf numFmtId="0" fontId="2" fillId="0" borderId="3" xfId="0" applyFont="1" applyBorder="1" applyAlignment="1" applyProtection="1">
      <alignment horizontal="left" indent="1"/>
      <protection locked="0"/>
    </xf>
    <xf numFmtId="166" fontId="1" fillId="8" borderId="9" xfId="0" applyNumberFormat="1" applyFont="1" applyFill="1" applyBorder="1" applyAlignment="1">
      <alignment horizontal="center"/>
    </xf>
    <xf numFmtId="0" fontId="20" fillId="0" borderId="0" xfId="1" applyFont="1" applyAlignment="1">
      <alignment horizontal="left" vertical="top" wrapText="1" indent="1"/>
    </xf>
  </cellXfs>
  <cellStyles count="2">
    <cellStyle name="Normal" xfId="0" builtinId="0"/>
    <cellStyle name="Normal 3" xfId="1" xr:uid="{0979C325-B213-45F2-94A1-E2C46D03B5F9}"/>
  </cellStyles>
  <dxfs count="14"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  <dxf>
      <font>
        <color theme="1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6" Type="http://schemas.openxmlformats.org/officeDocument/2006/relationships/image" Target="../media/image6.emf"/><Relationship Id="rId5" Type="http://schemas.openxmlformats.org/officeDocument/2006/relationships/image" Target="../media/image1.emf"/><Relationship Id="rId4" Type="http://schemas.openxmlformats.org/officeDocument/2006/relationships/image" Target="../media/image2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26</xdr:col>
          <xdr:colOff>784860</xdr:colOff>
          <xdr:row>148</xdr:row>
          <xdr:rowOff>7620</xdr:rowOff>
        </xdr:from>
        <xdr:to>
          <xdr:col>27</xdr:col>
          <xdr:colOff>708660</xdr:colOff>
          <xdr:row>148</xdr:row>
          <xdr:rowOff>259080</xdr:rowOff>
        </xdr:to>
        <xdr:sp macro="" textlink="">
          <xdr:nvSpPr>
            <xdr:cNvPr id="1030" name="TIButton4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586740</xdr:colOff>
          <xdr:row>147</xdr:row>
          <xdr:rowOff>30480</xdr:rowOff>
        </xdr:from>
        <xdr:to>
          <xdr:col>32</xdr:col>
          <xdr:colOff>906780</xdr:colOff>
          <xdr:row>148</xdr:row>
          <xdr:rowOff>289560</xdr:rowOff>
        </xdr:to>
        <xdr:sp macro="" textlink="">
          <xdr:nvSpPr>
            <xdr:cNvPr id="1031" name="TIButton5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2956560</xdr:colOff>
          <xdr:row>148</xdr:row>
          <xdr:rowOff>7620</xdr:rowOff>
        </xdr:from>
        <xdr:to>
          <xdr:col>25</xdr:col>
          <xdr:colOff>38100</xdr:colOff>
          <xdr:row>148</xdr:row>
          <xdr:rowOff>259080</xdr:rowOff>
        </xdr:to>
        <xdr:sp macro="" textlink="">
          <xdr:nvSpPr>
            <xdr:cNvPr id="1032" name="TIButton6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68580</xdr:colOff>
          <xdr:row>148</xdr:row>
          <xdr:rowOff>7620</xdr:rowOff>
        </xdr:from>
        <xdr:to>
          <xdr:col>26</xdr:col>
          <xdr:colOff>754380</xdr:colOff>
          <xdr:row>148</xdr:row>
          <xdr:rowOff>259080</xdr:rowOff>
        </xdr:to>
        <xdr:sp macro="" textlink="">
          <xdr:nvSpPr>
            <xdr:cNvPr id="1033" name="TIButton7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45720</xdr:colOff>
          <xdr:row>147</xdr:row>
          <xdr:rowOff>38100</xdr:rowOff>
        </xdr:from>
        <xdr:to>
          <xdr:col>21</xdr:col>
          <xdr:colOff>45720</xdr:colOff>
          <xdr:row>148</xdr:row>
          <xdr:rowOff>236220</xdr:rowOff>
        </xdr:to>
        <xdr:sp macro="" textlink="">
          <xdr:nvSpPr>
            <xdr:cNvPr id="1034" name="TIButton8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45720</xdr:colOff>
      <xdr:row>146</xdr:row>
      <xdr:rowOff>30481</xdr:rowOff>
    </xdr:from>
    <xdr:to>
      <xdr:col>21</xdr:col>
      <xdr:colOff>169705</xdr:colOff>
      <xdr:row>147</xdr:row>
      <xdr:rowOff>20481</xdr:rowOff>
    </xdr:to>
    <xdr:pic>
      <xdr:nvPicPr>
        <xdr:cNvPr id="11" name="Picture 3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" y="26715721"/>
          <a:ext cx="1870870" cy="4414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83820</xdr:colOff>
          <xdr:row>148</xdr:row>
          <xdr:rowOff>15240</xdr:rowOff>
        </xdr:from>
        <xdr:to>
          <xdr:col>20</xdr:col>
          <xdr:colOff>723900</xdr:colOff>
          <xdr:row>148</xdr:row>
          <xdr:rowOff>259080</xdr:rowOff>
        </xdr:to>
        <xdr:sp macro="" textlink="">
          <xdr:nvSpPr>
            <xdr:cNvPr id="1068" name="TIButton1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777240</xdr:colOff>
          <xdr:row>148</xdr:row>
          <xdr:rowOff>15240</xdr:rowOff>
        </xdr:from>
        <xdr:to>
          <xdr:col>20</xdr:col>
          <xdr:colOff>1623060</xdr:colOff>
          <xdr:row>148</xdr:row>
          <xdr:rowOff>259080</xdr:rowOff>
        </xdr:to>
        <xdr:sp macro="" textlink="">
          <xdr:nvSpPr>
            <xdr:cNvPr id="1069" name="TIButton2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0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1432560</xdr:colOff>
          <xdr:row>148</xdr:row>
          <xdr:rowOff>15240</xdr:rowOff>
        </xdr:from>
        <xdr:to>
          <xdr:col>21</xdr:col>
          <xdr:colOff>2918460</xdr:colOff>
          <xdr:row>148</xdr:row>
          <xdr:rowOff>259080</xdr:rowOff>
        </xdr:to>
        <xdr:sp macro="" textlink="">
          <xdr:nvSpPr>
            <xdr:cNvPr id="1070" name="TIButton3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0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7620</xdr:colOff>
          <xdr:row>148</xdr:row>
          <xdr:rowOff>15240</xdr:rowOff>
        </xdr:from>
        <xdr:to>
          <xdr:col>21</xdr:col>
          <xdr:colOff>1402080</xdr:colOff>
          <xdr:row>148</xdr:row>
          <xdr:rowOff>259080</xdr:rowOff>
        </xdr:to>
        <xdr:sp macro="" textlink="">
          <xdr:nvSpPr>
            <xdr:cNvPr id="1071" name="TIButton9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21" Type="http://schemas.openxmlformats.org/officeDocument/2006/relationships/image" Target="../media/image9.emf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20" Type="http://schemas.openxmlformats.org/officeDocument/2006/relationships/control" Target="../activeX/activeX9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B9EA1-CC51-4B7D-87A9-9CC3BFA855ED}">
  <sheetPr codeName="Sheet1">
    <outlinePr summaryBelow="0" summaryRight="0" showOutlineSymbols="0"/>
    <pageSetUpPr fitToPage="1"/>
  </sheetPr>
  <dimension ref="A1:AG212"/>
  <sheetViews>
    <sheetView showGridLines="0" showRowColHeaders="0" tabSelected="1" showOutlineSymbols="0" topLeftCell="A147" zoomScaleNormal="100" workbookViewId="0">
      <pane ySplit="15" topLeftCell="A162" activePane="bottomLeft" state="frozen"/>
      <selection activeCell="T147" sqref="T147"/>
      <selection pane="bottomLeft" activeCell="A162" sqref="A162"/>
    </sheetView>
  </sheetViews>
  <sheetFormatPr defaultRowHeight="14.4" outlineLevelRow="1" outlineLevelCol="1" x14ac:dyDescent="0.3"/>
  <cols>
    <col min="1" max="1" width="19.6640625" hidden="1" customWidth="1" outlineLevel="1" collapsed="1"/>
    <col min="2" max="2" width="28.88671875" hidden="1" customWidth="1" outlineLevel="1"/>
    <col min="3" max="3" width="10.77734375" hidden="1" customWidth="1" outlineLevel="1"/>
    <col min="4" max="4" width="15.88671875" hidden="1" customWidth="1" outlineLevel="1"/>
    <col min="5" max="14" width="10.77734375" hidden="1" customWidth="1" outlineLevel="1"/>
    <col min="15" max="15" width="0.88671875" hidden="1" customWidth="1" outlineLevel="1" collapsed="1"/>
    <col min="16" max="16" width="34.44140625" hidden="1" customWidth="1" outlineLevel="1"/>
    <col min="17" max="17" width="26.109375" hidden="1" customWidth="1" outlineLevel="1"/>
    <col min="18" max="18" width="36.88671875" hidden="1" customWidth="1" outlineLevel="1"/>
    <col min="19" max="19" width="16.5546875" hidden="1" customWidth="1" outlineLevel="1"/>
    <col min="20" max="20" width="0.88671875" customWidth="1"/>
    <col min="21" max="21" width="23.77734375" customWidth="1"/>
    <col min="22" max="22" width="47.109375" customWidth="1"/>
    <col min="23" max="24" width="1.77734375" customWidth="1"/>
    <col min="25" max="29" width="16.6640625" customWidth="1"/>
    <col min="30" max="33" width="13.88671875" customWidth="1"/>
  </cols>
  <sheetData>
    <row r="1" spans="1:33" hidden="1" outlineLevel="1" collapsed="1" x14ac:dyDescent="0.3">
      <c r="A1" t="s">
        <v>13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R1" s="22"/>
      <c r="S1" s="22"/>
      <c r="T1" s="22"/>
      <c r="U1" s="22"/>
      <c r="V1" s="22"/>
      <c r="Z1" s="91"/>
    </row>
    <row r="2" spans="1:33" hidden="1" outlineLevel="1" x14ac:dyDescent="0.3">
      <c r="A2">
        <f>0</f>
        <v>0</v>
      </c>
      <c r="B2" s="36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P2" s="48"/>
      <c r="Q2" s="27"/>
      <c r="R2" s="27"/>
      <c r="S2" s="57"/>
      <c r="T2" s="61"/>
      <c r="U2" s="75"/>
      <c r="V2" s="75"/>
      <c r="W2" s="73"/>
      <c r="X2" s="73"/>
      <c r="Y2" s="28"/>
      <c r="Z2" s="92"/>
      <c r="AA2" s="28"/>
      <c r="AB2" s="71"/>
      <c r="AC2" s="71"/>
    </row>
    <row r="3" spans="1:33" hidden="1" outlineLevel="1" x14ac:dyDescent="0.3">
      <c r="A3">
        <f>1</f>
        <v>1</v>
      </c>
      <c r="B3" s="37"/>
      <c r="C3" s="2"/>
      <c r="D3" s="2"/>
      <c r="E3" s="2"/>
      <c r="F3" s="2"/>
      <c r="G3" s="2"/>
      <c r="H3" s="2"/>
      <c r="I3" s="2"/>
      <c r="J3" s="2"/>
      <c r="K3" s="3"/>
      <c r="L3" s="3"/>
      <c r="M3" s="3"/>
      <c r="P3" s="48"/>
      <c r="Q3" s="27"/>
      <c r="R3" s="27"/>
      <c r="S3" s="57"/>
      <c r="T3" s="61"/>
      <c r="U3" s="75"/>
      <c r="V3" s="75"/>
      <c r="W3" s="73"/>
      <c r="X3" s="73"/>
      <c r="Y3" s="28"/>
      <c r="Z3" s="92"/>
      <c r="AA3" s="28"/>
      <c r="AB3" s="71"/>
      <c r="AC3" s="71"/>
    </row>
    <row r="4" spans="1:33" hidden="1" outlineLevel="1" x14ac:dyDescent="0.3">
      <c r="A4">
        <f>2</f>
        <v>2</v>
      </c>
      <c r="B4" s="37"/>
      <c r="C4" s="2"/>
      <c r="D4" s="2"/>
      <c r="E4" s="2"/>
      <c r="F4" s="2"/>
      <c r="G4" s="2"/>
      <c r="H4" s="2"/>
      <c r="I4" s="2"/>
      <c r="J4" s="2"/>
      <c r="K4" s="3"/>
      <c r="L4" s="3"/>
      <c r="M4" s="3"/>
      <c r="P4" s="48"/>
      <c r="Q4" s="27"/>
      <c r="R4" s="27"/>
      <c r="S4" s="57"/>
      <c r="T4" s="61"/>
      <c r="U4" s="75"/>
      <c r="V4" s="75"/>
      <c r="W4" s="73"/>
      <c r="X4" s="73"/>
      <c r="Y4" s="28"/>
      <c r="Z4" s="92"/>
      <c r="AA4" s="28"/>
      <c r="AB4" s="71"/>
      <c r="AC4" s="71"/>
    </row>
    <row r="5" spans="1:33" hidden="1" outlineLevel="1" x14ac:dyDescent="0.3">
      <c r="A5">
        <f>3</f>
        <v>3</v>
      </c>
      <c r="B5" s="37"/>
      <c r="C5" s="2"/>
      <c r="D5" s="2"/>
      <c r="E5" s="2"/>
      <c r="F5" s="2"/>
      <c r="G5" s="2"/>
      <c r="H5" s="2"/>
      <c r="I5" s="2"/>
      <c r="J5" s="2"/>
      <c r="K5" s="3"/>
      <c r="L5" s="3"/>
      <c r="M5" s="3"/>
      <c r="P5" s="48"/>
      <c r="Q5" s="27"/>
      <c r="R5" s="27"/>
      <c r="S5" s="57"/>
      <c r="T5" s="61"/>
      <c r="U5" s="75"/>
      <c r="V5" s="75"/>
      <c r="W5" s="73"/>
      <c r="X5" s="73"/>
      <c r="Y5" s="28"/>
      <c r="Z5" s="92"/>
      <c r="AA5" s="28"/>
      <c r="AB5" s="71"/>
      <c r="AC5" s="71"/>
    </row>
    <row r="6" spans="1:33" hidden="1" outlineLevel="1" x14ac:dyDescent="0.3">
      <c r="A6" t="s">
        <v>11</v>
      </c>
      <c r="B6" s="37"/>
      <c r="C6" s="2"/>
      <c r="D6" s="2"/>
      <c r="E6" s="2"/>
      <c r="F6" s="2"/>
      <c r="G6" s="2"/>
      <c r="H6" s="2"/>
      <c r="I6" s="2"/>
      <c r="J6" s="2"/>
      <c r="K6" s="3"/>
      <c r="L6" s="3"/>
      <c r="M6" s="3"/>
      <c r="P6" s="48"/>
      <c r="Q6" s="27"/>
      <c r="R6" s="27"/>
      <c r="S6" s="57"/>
      <c r="T6" s="61"/>
      <c r="U6" s="75"/>
      <c r="V6" s="75"/>
      <c r="W6" s="73"/>
      <c r="X6" s="73"/>
      <c r="Y6" s="28"/>
      <c r="Z6" s="92"/>
      <c r="AA6" s="28"/>
      <c r="AB6" s="71"/>
      <c r="AC6" s="71"/>
    </row>
    <row r="7" spans="1:33" hidden="1" outlineLevel="1" x14ac:dyDescent="0.3">
      <c r="A7" t="s">
        <v>12</v>
      </c>
      <c r="B7" s="37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P7" s="48"/>
      <c r="Q7" s="27"/>
      <c r="R7" s="27"/>
      <c r="S7" s="57"/>
      <c r="T7" s="61"/>
      <c r="U7" s="75"/>
      <c r="V7" s="75"/>
      <c r="W7" s="73"/>
      <c r="X7" s="73"/>
      <c r="Y7" s="28"/>
      <c r="Z7" s="92"/>
      <c r="AA7" s="28"/>
      <c r="AB7" s="71"/>
      <c r="AC7" s="71"/>
    </row>
    <row r="8" spans="1:33" hidden="1" outlineLevel="1" x14ac:dyDescent="0.3">
      <c r="B8" s="37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P8" s="48"/>
      <c r="Q8" s="27"/>
      <c r="R8" s="27"/>
      <c r="S8" s="57"/>
      <c r="T8" s="61"/>
      <c r="U8" s="75"/>
      <c r="V8" s="75"/>
      <c r="W8" s="73"/>
      <c r="X8" s="73"/>
      <c r="Y8" s="28"/>
      <c r="Z8" s="92"/>
      <c r="AA8" s="28"/>
      <c r="AB8" s="71"/>
      <c r="AC8" s="71"/>
    </row>
    <row r="9" spans="1:33" s="14" customFormat="1" hidden="1" outlineLevel="1" x14ac:dyDescent="0.3">
      <c r="A9" s="14" t="str">
        <f>"X0"</f>
        <v>X0</v>
      </c>
      <c r="B9" s="42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4"/>
      <c r="O9" s="45"/>
      <c r="P9" s="49"/>
      <c r="Q9" s="46"/>
      <c r="R9" s="46"/>
      <c r="S9" s="58"/>
      <c r="T9" s="62"/>
      <c r="U9" s="80"/>
      <c r="V9" s="80"/>
      <c r="W9" s="74"/>
      <c r="X9" s="74"/>
      <c r="Y9" s="47"/>
      <c r="Z9" s="93"/>
      <c r="AA9" s="47"/>
      <c r="AB9" s="72"/>
      <c r="AC9" s="72"/>
      <c r="AD9"/>
      <c r="AE9"/>
      <c r="AF9"/>
      <c r="AG9"/>
    </row>
    <row r="10" spans="1:33" hidden="1" outlineLevel="1" x14ac:dyDescent="0.3">
      <c r="A10" t="str">
        <f>"X1"</f>
        <v>X1</v>
      </c>
      <c r="B10" s="37"/>
      <c r="C10" s="2"/>
      <c r="D10" s="2"/>
      <c r="E10" s="2"/>
      <c r="F10" s="2"/>
      <c r="G10" s="2"/>
      <c r="H10" s="2"/>
      <c r="I10" s="2"/>
      <c r="J10" s="2"/>
      <c r="K10" s="3"/>
      <c r="L10" s="3"/>
      <c r="M10" s="3"/>
      <c r="O10" s="23"/>
      <c r="P10" s="50"/>
      <c r="Q10" s="29"/>
      <c r="R10" s="29"/>
      <c r="S10" s="59"/>
      <c r="T10" s="53"/>
      <c r="U10" s="75"/>
      <c r="V10" s="75"/>
      <c r="W10" s="73"/>
      <c r="X10" s="73"/>
      <c r="Y10" s="28"/>
      <c r="Z10" s="92"/>
      <c r="AA10" s="28"/>
      <c r="AB10" s="71"/>
      <c r="AC10" s="71"/>
    </row>
    <row r="11" spans="1:33" hidden="1" outlineLevel="1" x14ac:dyDescent="0.3">
      <c r="A11" t="str">
        <f>"X2"</f>
        <v>X2</v>
      </c>
      <c r="B11" s="37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O11" s="23"/>
      <c r="P11" s="50"/>
      <c r="Q11" s="29"/>
      <c r="R11" s="29"/>
      <c r="S11" s="59"/>
      <c r="T11" s="53"/>
      <c r="U11" s="75"/>
      <c r="V11" s="75"/>
      <c r="W11" s="73"/>
      <c r="X11" s="73"/>
      <c r="Y11" s="28"/>
      <c r="Z11" s="92"/>
      <c r="AA11" s="28"/>
      <c r="AB11" s="71"/>
      <c r="AC11" s="71"/>
    </row>
    <row r="12" spans="1:33" hidden="1" outlineLevel="1" x14ac:dyDescent="0.3">
      <c r="A12" t="str">
        <f>"X3"</f>
        <v>X3</v>
      </c>
      <c r="B12" s="37"/>
      <c r="C12" s="2"/>
      <c r="D12" s="2"/>
      <c r="E12" s="2"/>
      <c r="F12" s="2"/>
      <c r="G12" s="2"/>
      <c r="H12" s="2"/>
      <c r="I12" s="2"/>
      <c r="J12" s="2"/>
      <c r="K12" s="3"/>
      <c r="L12" s="3"/>
      <c r="M12" s="3"/>
      <c r="O12" s="23"/>
      <c r="P12" s="50"/>
      <c r="Q12" s="29"/>
      <c r="R12" s="29"/>
      <c r="S12" s="59"/>
      <c r="T12" s="53"/>
      <c r="U12" s="75"/>
      <c r="V12" s="75"/>
      <c r="W12" s="73"/>
      <c r="X12" s="73"/>
      <c r="Y12" s="28"/>
      <c r="Z12" s="92"/>
      <c r="AA12" s="28"/>
      <c r="AB12" s="71"/>
      <c r="AC12" s="71"/>
    </row>
    <row r="13" spans="1:33" hidden="1" outlineLevel="1" x14ac:dyDescent="0.3">
      <c r="A13" t="str">
        <f>"XD"</f>
        <v>XD</v>
      </c>
      <c r="B13" s="37"/>
      <c r="C13" s="2"/>
      <c r="D13" s="2"/>
      <c r="E13" s="2"/>
      <c r="F13" s="2"/>
      <c r="G13" s="2"/>
      <c r="H13" s="2"/>
      <c r="I13" s="2"/>
      <c r="J13" s="2"/>
      <c r="K13" s="3"/>
      <c r="L13" s="3"/>
      <c r="M13" s="3"/>
      <c r="O13" s="23"/>
      <c r="P13" s="50"/>
      <c r="Q13" s="29"/>
      <c r="R13" s="29"/>
      <c r="S13" s="59"/>
      <c r="T13" s="53"/>
      <c r="U13" s="75"/>
      <c r="V13" s="75"/>
      <c r="W13" s="73"/>
      <c r="X13" s="73"/>
      <c r="Y13" s="28"/>
      <c r="Z13" s="92"/>
      <c r="AA13" s="28"/>
      <c r="AB13" s="71"/>
      <c r="AC13" s="71"/>
    </row>
    <row r="14" spans="1:33" s="110" customFormat="1" ht="13.2" hidden="1" outlineLevel="1" x14ac:dyDescent="0.25">
      <c r="A14" s="110" t="str">
        <f>"XN"</f>
        <v>XN</v>
      </c>
      <c r="B14" s="111"/>
      <c r="O14" s="112"/>
      <c r="P14" s="113"/>
      <c r="Q14" s="114"/>
      <c r="R14" s="114"/>
      <c r="S14" s="115"/>
      <c r="T14" s="112"/>
      <c r="U14" s="116"/>
      <c r="V14" s="116"/>
      <c r="W14" s="117"/>
      <c r="X14" s="117"/>
      <c r="Y14" s="117"/>
      <c r="Z14" s="123"/>
      <c r="AA14" s="117"/>
      <c r="AB14" s="117"/>
      <c r="AC14" s="117"/>
    </row>
    <row r="15" spans="1:33" hidden="1" outlineLevel="1" x14ac:dyDescent="0.3">
      <c r="A15" t="s">
        <v>14</v>
      </c>
    </row>
    <row r="16" spans="1:33" hidden="1" outlineLevel="1" x14ac:dyDescent="0.3"/>
    <row r="17" spans="2:21" hidden="1" outlineLevel="1" x14ac:dyDescent="0.3">
      <c r="B17" s="130" t="s">
        <v>15</v>
      </c>
      <c r="C17" s="131"/>
    </row>
    <row r="18" spans="2:21" hidden="1" outlineLevel="1" x14ac:dyDescent="0.3">
      <c r="B18" s="4" t="s">
        <v>16</v>
      </c>
      <c r="C18" s="4" t="s">
        <v>182</v>
      </c>
    </row>
    <row r="19" spans="2:21" hidden="1" outlineLevel="1" x14ac:dyDescent="0.3">
      <c r="B19" s="13" t="s">
        <v>55</v>
      </c>
      <c r="C19" s="33" t="str" cm="1">
        <f t="array" aca="1" ref="C19" ca="1">_xll.VIEW(db_name&amp;":}ElementAttributes_}Clients","!","!")</f>
        <v>dcceew_geus:}ElementAttributes_}Clients</v>
      </c>
      <c r="D19" s="11"/>
    </row>
    <row r="20" spans="2:21" hidden="1" outlineLevel="1" x14ac:dyDescent="0.3">
      <c r="B20" s="13" t="s">
        <v>56</v>
      </c>
      <c r="C20" s="34" t="str" cm="1">
        <f t="array" aca="1" ref="C20" ca="1">_xll.TM1USER(db_name)</f>
        <v/>
      </c>
      <c r="D20" s="11"/>
      <c r="U20" t="s">
        <v>174</v>
      </c>
    </row>
    <row r="21" spans="2:21" hidden="1" outlineLevel="1" x14ac:dyDescent="0.3">
      <c r="B21" s="13" t="s">
        <v>57</v>
      </c>
      <c r="C21" s="34" t="str" cm="1">
        <f t="array" aca="1" ref="C21" ca="1">_xll.DBR($C$19,psUser,$B21)</f>
        <v>*KEY_ERR</v>
      </c>
      <c r="D21" s="11"/>
    </row>
    <row r="22" spans="2:21" hidden="1" outlineLevel="1" x14ac:dyDescent="0.3">
      <c r="B22" s="13" t="s">
        <v>58</v>
      </c>
      <c r="C22" s="34" t="str" cm="1">
        <f t="array" aca="1" ref="C22" ca="1">_xll.DBR($C$19,psUser,$B22)</f>
        <v>*KEY_ERR</v>
      </c>
      <c r="D22" s="11"/>
    </row>
    <row r="23" spans="2:21" hidden="1" outlineLevel="1" x14ac:dyDescent="0.3">
      <c r="B23" s="13" t="s">
        <v>17</v>
      </c>
      <c r="C23" s="34" t="str">
        <f ca="1">IF(LEFT($C$21,6)="CAM_AD",$C$22,$C$21)</f>
        <v>*KEY_ERR</v>
      </c>
      <c r="D23" s="4"/>
    </row>
    <row r="24" spans="2:21" hidden="1" outlineLevel="1" x14ac:dyDescent="0.3"/>
    <row r="25" spans="2:21" hidden="1" outlineLevel="1" x14ac:dyDescent="0.3">
      <c r="B25" s="132" t="s">
        <v>59</v>
      </c>
      <c r="C25" s="134"/>
      <c r="D25" s="133"/>
    </row>
    <row r="26" spans="2:21" hidden="1" outlineLevel="1" x14ac:dyDescent="0.3">
      <c r="B26" s="13" t="s">
        <v>60</v>
      </c>
      <c r="C26" s="7" t="str" cm="1">
        <f t="array" aca="1" ref="C26" ca="1">_xll.VIEW(db_name&amp;":}ElementAttributes_variables","!","!")</f>
        <v>dcceew_geus:}ElementAttributes_variables</v>
      </c>
    </row>
    <row r="27" spans="2:21" hidden="1" outlineLevel="1" x14ac:dyDescent="0.3">
      <c r="B27" s="13"/>
      <c r="C27" s="4" t="s">
        <v>20</v>
      </c>
      <c r="D27" s="4"/>
    </row>
    <row r="28" spans="2:21" hidden="1" outlineLevel="1" x14ac:dyDescent="0.3">
      <c r="B28" s="13" t="s">
        <v>21</v>
      </c>
      <c r="C28" s="7" t="str" cm="1">
        <f t="array" aca="1" ref="C28" ca="1">_xll.DBR($C$26,$B28,$C$27)</f>
        <v>*KEY_ERR</v>
      </c>
    </row>
    <row r="29" spans="2:21" hidden="1" outlineLevel="1" x14ac:dyDescent="0.3">
      <c r="B29" s="13" t="s">
        <v>22</v>
      </c>
      <c r="C29" s="9" t="str" cm="1">
        <f t="array" aca="1" ref="C29" ca="1">_xll.DBR($C$26,$B29,$C$27)</f>
        <v>*KEY_ERR</v>
      </c>
    </row>
    <row r="30" spans="2:21" hidden="1" outlineLevel="1" x14ac:dyDescent="0.3">
      <c r="B30" s="13" t="s">
        <v>61</v>
      </c>
      <c r="C30" s="9" t="str" cm="1">
        <f t="array" aca="1" ref="C30" ca="1">_xll.DBR($C$26,$B30,$C$27)</f>
        <v>*KEY_ERR</v>
      </c>
    </row>
    <row r="31" spans="2:21" hidden="1" outlineLevel="1" x14ac:dyDescent="0.3">
      <c r="B31" s="13" t="s">
        <v>62</v>
      </c>
      <c r="C31" s="9" t="str" cm="1">
        <f t="array" aca="1" ref="C31" ca="1">_xll.DBR($C$26,$B31,$C$27)</f>
        <v>*KEY_ERR</v>
      </c>
    </row>
    <row r="32" spans="2:21" hidden="1" outlineLevel="1" x14ac:dyDescent="0.3">
      <c r="B32" s="13" t="s">
        <v>63</v>
      </c>
      <c r="C32" s="9" t="str" cm="1">
        <f t="array" aca="1" ref="C32" ca="1">_xll.DBR($C$26,$B32,$C$27)</f>
        <v>*KEY_ERR</v>
      </c>
    </row>
    <row r="33" spans="2:8" hidden="1" outlineLevel="1" x14ac:dyDescent="0.3"/>
    <row r="34" spans="2:8" hidden="1" outlineLevel="1" x14ac:dyDescent="0.3">
      <c r="B34" s="132" t="s">
        <v>64</v>
      </c>
      <c r="C34" s="134"/>
      <c r="D34" s="133"/>
    </row>
    <row r="35" spans="2:8" hidden="1" outlineLevel="1" x14ac:dyDescent="0.3">
      <c r="B35" s="13" t="s">
        <v>65</v>
      </c>
      <c r="C35" s="4" t="str">
        <f t="array" aca="1" ref="C35" ca="1">_xll.VIEW(db_name&amp;":sys_application","!","!")</f>
        <v>dcceew_geus:sys_application</v>
      </c>
      <c r="D35" s="4"/>
    </row>
    <row r="36" spans="2:8" hidden="1" outlineLevel="1" x14ac:dyDescent="0.3">
      <c r="B36" s="13" t="s">
        <v>66</v>
      </c>
      <c r="C36" s="4" t="s">
        <v>77</v>
      </c>
      <c r="D36" s="4"/>
    </row>
    <row r="37" spans="2:8" hidden="1" outlineLevel="1" x14ac:dyDescent="0.3">
      <c r="B37" s="4"/>
      <c r="C37" s="13" t="s">
        <v>67</v>
      </c>
      <c r="D37" s="13" t="s">
        <v>68</v>
      </c>
      <c r="E37" s="13" t="s">
        <v>69</v>
      </c>
      <c r="F37" s="13" t="s">
        <v>70</v>
      </c>
      <c r="G37" s="13" t="s">
        <v>71</v>
      </c>
      <c r="H37" s="13" t="s">
        <v>72</v>
      </c>
    </row>
    <row r="38" spans="2:8" hidden="1" outlineLevel="1" x14ac:dyDescent="0.3">
      <c r="B38" s="4" t="s">
        <v>73</v>
      </c>
      <c r="C38" s="4" t="str" cm="1">
        <f t="array" aca="1" ref="C38" ca="1">_xll.DBR($C$35,$B38,C$37)</f>
        <v>*KEY_ERR</v>
      </c>
      <c r="D38" s="4" t="str" cm="1">
        <f t="array" aca="1" ref="D38" ca="1">_xll.DBR($C$35,$B38,D$37)</f>
        <v>*KEY_ERR</v>
      </c>
      <c r="E38" s="4" t="str" cm="1">
        <f t="array" aca="1" ref="E38" ca="1">_xll.DBR($C$35,$B38,E$37)</f>
        <v>*KEY_ERR</v>
      </c>
      <c r="F38" s="4" t="str" cm="1">
        <f t="array" aca="1" ref="F38" ca="1">_xll.DBR($C$35,$B38,F$37)</f>
        <v>*KEY_ERR</v>
      </c>
      <c r="G38" s="4" t="str" cm="1">
        <f t="array" aca="1" ref="G38" ca="1">_xll.DBR($C$35,$B38,G$37)</f>
        <v>*KEY_ERR</v>
      </c>
      <c r="H38" s="4" t="str" cm="1">
        <f t="array" aca="1" ref="H38" ca="1">_xll.DBR($C$35,$B38,H$37)</f>
        <v>*KEY_ERR</v>
      </c>
    </row>
    <row r="39" spans="2:8" hidden="1" outlineLevel="1" x14ac:dyDescent="0.3">
      <c r="B39" s="4" t="s">
        <v>74</v>
      </c>
      <c r="C39" s="4" t="str" cm="1">
        <f t="array" aca="1" ref="C39" ca="1">_xll.DBR($C$35,$B39,C$37)</f>
        <v>*KEY_ERR</v>
      </c>
      <c r="D39" s="4" t="str" cm="1">
        <f t="array" aca="1" ref="D39" ca="1">_xll.DBR($C$35,$B39,D$37)</f>
        <v>*KEY_ERR</v>
      </c>
      <c r="E39" s="4" t="str" cm="1">
        <f t="array" aca="1" ref="E39" ca="1">_xll.DBR($C$35,$B39,E$37)</f>
        <v>*KEY_ERR</v>
      </c>
      <c r="F39" s="4" t="str" cm="1">
        <f t="array" aca="1" ref="F39" ca="1">_xll.DBR($C$35,$B39,F$37)</f>
        <v>*KEY_ERR</v>
      </c>
      <c r="G39" s="4" t="str" cm="1">
        <f t="array" aca="1" ref="G39" ca="1">_xll.DBR($C$35,$B39,G$37)</f>
        <v>*KEY_ERR</v>
      </c>
      <c r="H39" s="4" t="str" cm="1">
        <f t="array" aca="1" ref="H39" ca="1">_xll.DBR($C$35,$B39,H$37)</f>
        <v>*KEY_ERR</v>
      </c>
    </row>
    <row r="40" spans="2:8" hidden="1" outlineLevel="1" x14ac:dyDescent="0.3">
      <c r="B40" s="4" t="s">
        <v>75</v>
      </c>
      <c r="C40" s="4" t="str" cm="1">
        <f t="array" aca="1" ref="C40" ca="1">_xll.DBR($C$35,$B40,C$37)</f>
        <v>*KEY_ERR</v>
      </c>
      <c r="D40" s="4" t="str" cm="1">
        <f t="array" aca="1" ref="D40" ca="1">_xll.DBR($C$35,$B40,D$37)</f>
        <v>*KEY_ERR</v>
      </c>
      <c r="E40" s="4" t="str" cm="1">
        <f t="array" aca="1" ref="E40" ca="1">_xll.DBR($C$35,$B40,E$37)</f>
        <v>*KEY_ERR</v>
      </c>
      <c r="F40" s="4" t="str" cm="1">
        <f t="array" aca="1" ref="F40" ca="1">_xll.DBR($C$35,$B40,F$37)</f>
        <v>*KEY_ERR</v>
      </c>
      <c r="G40" s="4" t="str" cm="1">
        <f t="array" aca="1" ref="G40" ca="1">_xll.DBR($C$35,$B40,G$37)</f>
        <v>*KEY_ERR</v>
      </c>
      <c r="H40" s="4" t="str" cm="1">
        <f t="array" aca="1" ref="H40" ca="1">_xll.DBR($C$35,$B40,H$37)</f>
        <v>*KEY_ERR</v>
      </c>
    </row>
    <row r="41" spans="2:8" hidden="1" outlineLevel="1" x14ac:dyDescent="0.3">
      <c r="B41" s="4" t="s">
        <v>76</v>
      </c>
      <c r="C41" s="4" t="str" cm="1">
        <f t="array" aca="1" ref="C41" ca="1">_xll.DBR($C$35,$B41,C$37)</f>
        <v>*KEY_ERR</v>
      </c>
      <c r="D41" s="4" t="str" cm="1">
        <f t="array" aca="1" ref="D41" ca="1">_xll.DBR($C$35,$B41,D$37)</f>
        <v>*KEY_ERR</v>
      </c>
      <c r="E41" s="4" t="str" cm="1">
        <f t="array" aca="1" ref="E41" ca="1">_xll.DBR($C$35,$B41,E$37)</f>
        <v>*KEY_ERR</v>
      </c>
      <c r="F41" s="4" t="str" cm="1">
        <f t="array" aca="1" ref="F41" ca="1">_xll.DBR($C$35,$B41,F$37)</f>
        <v>*KEY_ERR</v>
      </c>
      <c r="G41" s="4" t="str" cm="1">
        <f t="array" aca="1" ref="G41" ca="1">_xll.DBR($C$35,$B41,G$37)</f>
        <v>*KEY_ERR</v>
      </c>
      <c r="H41" s="4" t="str" cm="1">
        <f t="array" aca="1" ref="H41" ca="1">_xll.DBR($C$35,$B41,H$37)</f>
        <v>*KEY_ERR</v>
      </c>
    </row>
    <row r="42" spans="2:8" hidden="1" outlineLevel="1" x14ac:dyDescent="0.3">
      <c r="B42" s="4" t="s">
        <v>82</v>
      </c>
      <c r="C42" s="4" t="str" cm="1">
        <f t="array" aca="1" ref="C42" ca="1">_xll.DBR($C$35,$B42,C$37)</f>
        <v>*KEY_ERR</v>
      </c>
      <c r="D42" s="4" t="str" cm="1">
        <f t="array" aca="1" ref="D42" ca="1">_xll.DBR($C$35,$B42,D$37)</f>
        <v>*KEY_ERR</v>
      </c>
      <c r="E42" s="4" t="str" cm="1">
        <f t="array" aca="1" ref="E42" ca="1">_xll.DBR($C$35,$B42,E$37)</f>
        <v>*KEY_ERR</v>
      </c>
      <c r="F42" s="4" t="str" cm="1">
        <f t="array" aca="1" ref="F42" ca="1">_xll.DBR($C$35,$B42,F$37)</f>
        <v>*KEY_ERR</v>
      </c>
      <c r="G42" s="4" t="str" cm="1">
        <f t="array" aca="1" ref="G42" ca="1">_xll.DBR($C$35,$B42,G$37)</f>
        <v>*KEY_ERR</v>
      </c>
      <c r="H42" s="4" t="str" cm="1">
        <f t="array" aca="1" ref="H42" ca="1">_xll.DBR($C$35,$B42,H$37)</f>
        <v>*KEY_ERR</v>
      </c>
    </row>
    <row r="43" spans="2:8" hidden="1" outlineLevel="1" x14ac:dyDescent="0.3">
      <c r="B43" s="4" t="s">
        <v>84</v>
      </c>
      <c r="C43" s="4" t="str" cm="1">
        <f t="array" aca="1" ref="C43" ca="1">_xll.DBR($C$35,$B43,C$37)</f>
        <v>*KEY_ERR</v>
      </c>
      <c r="D43" s="4" t="str" cm="1">
        <f t="array" aca="1" ref="D43" ca="1">_xll.DBR($C$35,$B43,D$37)</f>
        <v>*KEY_ERR</v>
      </c>
      <c r="E43" s="4" t="str" cm="1">
        <f t="array" aca="1" ref="E43" ca="1">_xll.DBR($C$35,$B43,E$37)</f>
        <v>*KEY_ERR</v>
      </c>
      <c r="F43" s="4" t="str" cm="1">
        <f t="array" aca="1" ref="F43" ca="1">_xll.DBR($C$35,$B43,F$37)</f>
        <v>*KEY_ERR</v>
      </c>
      <c r="G43" s="4" t="str" cm="1">
        <f t="array" aca="1" ref="G43" ca="1">_xll.DBR($C$35,$B43,G$37)</f>
        <v>*KEY_ERR</v>
      </c>
      <c r="H43" s="4" t="str" cm="1">
        <f t="array" aca="1" ref="H43" ca="1">_xll.DBR($C$35,$B43,H$37)</f>
        <v>*KEY_ERR</v>
      </c>
    </row>
    <row r="44" spans="2:8" hidden="1" outlineLevel="1" x14ac:dyDescent="0.3">
      <c r="B44" s="4" t="s">
        <v>78</v>
      </c>
      <c r="C44" s="4" t="str" cm="1">
        <f t="array" aca="1" ref="C44" ca="1">_xll.DBR($C$35,$B44,C$37)</f>
        <v>*KEY_ERR</v>
      </c>
      <c r="D44" s="4" t="str" cm="1">
        <f t="array" aca="1" ref="D44" ca="1">_xll.DBR($C$35,$B44,D$37)</f>
        <v>*KEY_ERR</v>
      </c>
      <c r="E44" s="4" t="str" cm="1">
        <f t="array" aca="1" ref="E44" ca="1">_xll.DBR($C$35,$B44,E$37)</f>
        <v>*KEY_ERR</v>
      </c>
      <c r="F44" s="4" t="str" cm="1">
        <f t="array" aca="1" ref="F44" ca="1">_xll.DBR($C$35,$B44,F$37)</f>
        <v>*KEY_ERR</v>
      </c>
      <c r="G44" s="4" t="str" cm="1">
        <f t="array" aca="1" ref="G44" ca="1">_xll.DBR($C$35,$B44,G$37)</f>
        <v>*KEY_ERR</v>
      </c>
      <c r="H44" s="4" t="str" cm="1">
        <f t="array" aca="1" ref="H44" ca="1">_xll.DBR($C$35,$B44,H$37)</f>
        <v>*KEY_ERR</v>
      </c>
    </row>
    <row r="45" spans="2:8" hidden="1" outlineLevel="1" x14ac:dyDescent="0.3">
      <c r="B45" s="4" t="s">
        <v>79</v>
      </c>
      <c r="C45" s="4" t="str" cm="1">
        <f t="array" aca="1" ref="C45" ca="1">_xll.DBR($C$35,$B45,C$37)</f>
        <v>*KEY_ERR</v>
      </c>
      <c r="D45" s="4" t="str" cm="1">
        <f t="array" aca="1" ref="D45" ca="1">_xll.DBR($C$35,$B45,D$37)</f>
        <v>*KEY_ERR</v>
      </c>
      <c r="E45" s="4" t="str" cm="1">
        <f t="array" aca="1" ref="E45" ca="1">_xll.DBR($C$35,$B45,E$37)</f>
        <v>*KEY_ERR</v>
      </c>
      <c r="F45" s="4" t="str" cm="1">
        <f t="array" aca="1" ref="F45" ca="1">_xll.DBR($C$35,$B45,F$37)</f>
        <v>*KEY_ERR</v>
      </c>
      <c r="G45" s="4" t="str" cm="1">
        <f t="array" aca="1" ref="G45" ca="1">_xll.DBR($C$35,$B45,G$37)</f>
        <v>*KEY_ERR</v>
      </c>
      <c r="H45" s="4" t="str" cm="1">
        <f t="array" aca="1" ref="H45" ca="1">_xll.DBR($C$35,$B45,H$37)</f>
        <v>*KEY_ERR</v>
      </c>
    </row>
    <row r="46" spans="2:8" hidden="1" outlineLevel="1" x14ac:dyDescent="0.3">
      <c r="B46" s="4" t="s">
        <v>83</v>
      </c>
      <c r="C46" s="4" t="str" cm="1">
        <f t="array" aca="1" ref="C46" ca="1">_xll.DBR($C$35,$B46,C$37)</f>
        <v>*KEY_ERR</v>
      </c>
      <c r="D46" s="4" t="str" cm="1">
        <f t="array" aca="1" ref="D46" ca="1">_xll.DBR($C$35,$B46,D$37)</f>
        <v>*KEY_ERR</v>
      </c>
      <c r="E46" s="4" t="str" cm="1">
        <f t="array" aca="1" ref="E46" ca="1">_xll.DBR($C$35,$B46,E$37)</f>
        <v>*KEY_ERR</v>
      </c>
      <c r="F46" s="4" t="str" cm="1">
        <f t="array" aca="1" ref="F46" ca="1">_xll.DBR($C$35,$B46,F$37)</f>
        <v>*KEY_ERR</v>
      </c>
      <c r="G46" s="4" t="str" cm="1">
        <f t="array" aca="1" ref="G46" ca="1">_xll.DBR($C$35,$B46,G$37)</f>
        <v>*KEY_ERR</v>
      </c>
      <c r="H46" s="4" t="str" cm="1">
        <f t="array" aca="1" ref="H46" ca="1">_xll.DBR($C$35,$B46,H$37)</f>
        <v>*KEY_ERR</v>
      </c>
    </row>
    <row r="47" spans="2:8" hidden="1" outlineLevel="1" x14ac:dyDescent="0.3">
      <c r="B47" s="4" t="s">
        <v>80</v>
      </c>
      <c r="C47" s="4" t="str" cm="1">
        <f t="array" aca="1" ref="C47" ca="1">_xll.DBR($C$35,$B47,C$37)</f>
        <v>*KEY_ERR</v>
      </c>
      <c r="D47" s="4" t="str" cm="1">
        <f t="array" aca="1" ref="D47" ca="1">_xll.DBR($C$35,$B47,D$37)</f>
        <v>*KEY_ERR</v>
      </c>
      <c r="E47" s="4" t="str" cm="1">
        <f t="array" aca="1" ref="E47" ca="1">_xll.DBR($C$35,$B47,E$37)</f>
        <v>*KEY_ERR</v>
      </c>
      <c r="F47" s="4" t="str" cm="1">
        <f t="array" aca="1" ref="F47" ca="1">_xll.DBR($C$35,$B47,F$37)</f>
        <v>*KEY_ERR</v>
      </c>
      <c r="G47" s="4" t="str" cm="1">
        <f t="array" aca="1" ref="G47" ca="1">_xll.DBR($C$35,$B47,G$37)</f>
        <v>*KEY_ERR</v>
      </c>
      <c r="H47" s="4" t="str" cm="1">
        <f t="array" aca="1" ref="H47" ca="1">_xll.DBR($C$35,$B47,H$37)</f>
        <v>*KEY_ERR</v>
      </c>
    </row>
    <row r="48" spans="2:8" hidden="1" outlineLevel="1" x14ac:dyDescent="0.3">
      <c r="B48" s="4" t="s">
        <v>81</v>
      </c>
      <c r="C48" s="4" t="str" cm="1">
        <f t="array" aca="1" ref="C48" ca="1">_xll.DBR($C$35,$B48,C$37)</f>
        <v>*KEY_ERR</v>
      </c>
      <c r="D48" s="4" t="str" cm="1">
        <f t="array" aca="1" ref="D48" ca="1">_xll.DBR($C$35,$B48,D$37)</f>
        <v>*KEY_ERR</v>
      </c>
      <c r="E48" s="4" t="str" cm="1">
        <f t="array" aca="1" ref="E48" ca="1">_xll.DBR($C$35,$B48,E$37)</f>
        <v>*KEY_ERR</v>
      </c>
      <c r="F48" s="4" t="str" cm="1">
        <f t="array" aca="1" ref="F48" ca="1">_xll.DBR($C$35,$B48,F$37)</f>
        <v>*KEY_ERR</v>
      </c>
      <c r="G48" s="4" t="str" cm="1">
        <f t="array" aca="1" ref="G48" ca="1">_xll.DBR($C$35,$B48,G$37)</f>
        <v>*KEY_ERR</v>
      </c>
      <c r="H48" s="4" t="str" cm="1">
        <f t="array" aca="1" ref="H48" ca="1">_xll.DBR($C$35,$B48,H$37)</f>
        <v>*KEY_ERR</v>
      </c>
    </row>
    <row r="49" spans="2:8" hidden="1" outlineLevel="1" x14ac:dyDescent="0.3">
      <c r="B49" s="4" t="s">
        <v>85</v>
      </c>
      <c r="C49" s="4" t="str" cm="1">
        <f t="array" aca="1" ref="C49" ca="1">_xll.DBR($C$35,$B49,C$37)</f>
        <v>*KEY_ERR</v>
      </c>
      <c r="D49" s="4" t="str" cm="1">
        <f t="array" aca="1" ref="D49" ca="1">_xll.DBR($C$35,$B49,D$37)</f>
        <v>*KEY_ERR</v>
      </c>
      <c r="E49" s="4" t="str" cm="1">
        <f t="array" aca="1" ref="E49" ca="1">_xll.DBR($C$35,$B49,E$37)</f>
        <v>*KEY_ERR</v>
      </c>
      <c r="F49" s="4" t="str" cm="1">
        <f t="array" aca="1" ref="F49" ca="1">_xll.DBR($C$35,$B49,F$37)</f>
        <v>*KEY_ERR</v>
      </c>
      <c r="G49" s="4" t="str" cm="1">
        <f t="array" aca="1" ref="G49" ca="1">_xll.DBR($C$35,$B49,G$37)</f>
        <v>*KEY_ERR</v>
      </c>
      <c r="H49" s="4" t="str" cm="1">
        <f t="array" aca="1" ref="H49" ca="1">_xll.DBR($C$35,$B49,H$37)</f>
        <v>*KEY_ERR</v>
      </c>
    </row>
    <row r="50" spans="2:8" hidden="1" outlineLevel="1" x14ac:dyDescent="0.3">
      <c r="B50" s="4" t="s">
        <v>87</v>
      </c>
      <c r="C50" s="4" t="str" cm="1">
        <f t="array" aca="1" ref="C50" ca="1">_xll.DBR($C$35,$B50,C$37)</f>
        <v>*KEY_ERR</v>
      </c>
      <c r="D50" s="4" t="str" cm="1">
        <f t="array" aca="1" ref="D50" ca="1">_xll.DBR($C$35,$B50,D$37)</f>
        <v>*KEY_ERR</v>
      </c>
      <c r="E50" s="4" t="str" cm="1">
        <f t="array" aca="1" ref="E50" ca="1">_xll.DBR($C$35,$B50,E$37)</f>
        <v>*KEY_ERR</v>
      </c>
      <c r="F50" s="4" t="str" cm="1">
        <f t="array" aca="1" ref="F50" ca="1">_xll.DBR($C$35,$B50,F$37)</f>
        <v>*KEY_ERR</v>
      </c>
      <c r="G50" s="4" t="str" cm="1">
        <f t="array" aca="1" ref="G50" ca="1">_xll.DBR($C$35,$B50,G$37)</f>
        <v>*KEY_ERR</v>
      </c>
      <c r="H50" s="4" t="str" cm="1">
        <f t="array" aca="1" ref="H50" ca="1">_xll.DBR($C$35,$B50,H$37)</f>
        <v>*KEY_ERR</v>
      </c>
    </row>
    <row r="51" spans="2:8" hidden="1" outlineLevel="1" x14ac:dyDescent="0.3"/>
    <row r="52" spans="2:8" hidden="1" outlineLevel="1" x14ac:dyDescent="0.3">
      <c r="B52" s="14" t="s">
        <v>124</v>
      </c>
      <c r="D52" s="15"/>
    </row>
    <row r="53" spans="2:8" hidden="1" outlineLevel="1" x14ac:dyDescent="0.3">
      <c r="B53" t="s">
        <v>109</v>
      </c>
      <c r="C53" t="str">
        <f ca="1">_xll.VIEW(db_name&amp;":sys_ae reporting stage","!","!")</f>
        <v>dcceew_geus:sys_ae reporting stage</v>
      </c>
      <c r="D53" s="15"/>
    </row>
    <row r="54" spans="2:8" hidden="1" outlineLevel="1" x14ac:dyDescent="0.3">
      <c r="B54" t="s">
        <v>141</v>
      </c>
      <c r="C54">
        <f ca="1">MAX(C57:C63)-COUNTIFS(D57:D63,C55)</f>
        <v>0</v>
      </c>
      <c r="E54" s="15"/>
    </row>
    <row r="55" spans="2:8" hidden="1" outlineLevel="1" x14ac:dyDescent="0.3">
      <c r="B55" t="s">
        <v>142</v>
      </c>
      <c r="C55" t="str">
        <f>""</f>
        <v/>
      </c>
      <c r="E55" s="15"/>
    </row>
    <row r="56" spans="2:8" hidden="1" outlineLevel="1" x14ac:dyDescent="0.3">
      <c r="C56" t="s">
        <v>143</v>
      </c>
      <c r="D56" s="14" t="s">
        <v>27</v>
      </c>
      <c r="E56" t="s">
        <v>140</v>
      </c>
      <c r="F56" s="14" t="s">
        <v>123</v>
      </c>
      <c r="G56" s="14" t="s">
        <v>91</v>
      </c>
      <c r="H56" s="14" t="s">
        <v>23</v>
      </c>
    </row>
    <row r="57" spans="2:8" hidden="1" outlineLevel="1" x14ac:dyDescent="0.3">
      <c r="B57" t="s">
        <v>138</v>
      </c>
      <c r="C57">
        <v>1</v>
      </c>
      <c r="D57" t="str">
        <f ca="1">StartStage</f>
        <v/>
      </c>
      <c r="E57">
        <f ca="1">_xll.DIMIX(db_name&amp;":reporting stage",D57)</f>
        <v>0</v>
      </c>
      <c r="F57" t="str">
        <f ca="1">_xll.DBRW($C$53,$D57,$F$56)</f>
        <v/>
      </c>
      <c r="G57" t="str">
        <f ca="1">_xll.DBRW($C$53,$D57,$G$56)</f>
        <v/>
      </c>
      <c r="H57" t="str">
        <f ca="1">"{[reporting stage].["&amp;D57&amp;"]}"</f>
        <v>{[reporting stage].[]}</v>
      </c>
    </row>
    <row r="58" spans="2:8" hidden="1" outlineLevel="1" x14ac:dyDescent="0.3">
      <c r="C58">
        <v>2</v>
      </c>
      <c r="D58" t="str">
        <f ca="1">_xll.SUBNM(db_name&amp;":reporting stage","",E57+1,"AE Stage Description")</f>
        <v/>
      </c>
      <c r="E58" s="15">
        <f ca="1">_xll.DIMIX(db_name&amp;":reporting stage",D58)</f>
        <v>0</v>
      </c>
      <c r="F58" t="str">
        <f ca="1">_xll.DBRW($C$53,$D58,$F$56)</f>
        <v/>
      </c>
      <c r="G58" t="str">
        <f ca="1">_xll.DBRW($C$53,$D58,$G$56)</f>
        <v/>
      </c>
      <c r="H58" t="str">
        <f t="shared" ref="H58:H63" ca="1" si="0">"{[reporting stage].["&amp;D58&amp;"]}"</f>
        <v>{[reporting stage].[]}</v>
      </c>
    </row>
    <row r="59" spans="2:8" hidden="1" outlineLevel="1" x14ac:dyDescent="0.3">
      <c r="C59">
        <v>3</v>
      </c>
      <c r="D59" t="str">
        <f ca="1">_xll.SUBNM(db_name&amp;":reporting stage","",E58+1,"AE Stage Description")</f>
        <v/>
      </c>
      <c r="E59" s="15">
        <f ca="1">_xll.DIMIX(db_name&amp;":reporting stage",D59)</f>
        <v>0</v>
      </c>
      <c r="F59" t="str">
        <f ca="1">_xll.DBRW($C$53,$D59,$F$56)</f>
        <v/>
      </c>
      <c r="G59" t="str">
        <f ca="1">_xll.DBRW($C$53,$D59,$G$56)</f>
        <v/>
      </c>
      <c r="H59" t="str">
        <f t="shared" ca="1" si="0"/>
        <v>{[reporting stage].[]}</v>
      </c>
    </row>
    <row r="60" spans="2:8" hidden="1" outlineLevel="1" x14ac:dyDescent="0.3">
      <c r="C60">
        <v>4</v>
      </c>
      <c r="D60" t="str">
        <f ca="1">_xll.SUBNM(db_name&amp;":reporting stage","",E59+1,"AE Stage Description")</f>
        <v/>
      </c>
      <c r="E60" s="15">
        <f ca="1">_xll.DIMIX(db_name&amp;":reporting stage",D60)</f>
        <v>0</v>
      </c>
      <c r="F60" t="str">
        <f ca="1">_xll.DBRW($C$53,$D60,$F$56)</f>
        <v/>
      </c>
      <c r="G60" t="str">
        <f ca="1">_xll.DBRW($C$53,$D60,$G$56)</f>
        <v/>
      </c>
      <c r="H60" t="str">
        <f t="shared" ca="1" si="0"/>
        <v>{[reporting stage].[]}</v>
      </c>
    </row>
    <row r="61" spans="2:8" hidden="1" outlineLevel="1" x14ac:dyDescent="0.3">
      <c r="C61">
        <v>5</v>
      </c>
      <c r="D61" t="str">
        <f ca="1">_xll.SUBNM(db_name&amp;":reporting stage","",E60+1,"AE Stage Description")</f>
        <v/>
      </c>
      <c r="E61" s="15">
        <f ca="1">_xll.DIMIX(db_name&amp;":reporting stage",D61)</f>
        <v>0</v>
      </c>
      <c r="F61" t="str">
        <f ca="1">_xll.DBRW($C$53,$D61,$F$56)</f>
        <v/>
      </c>
      <c r="G61" t="str">
        <f ca="1">_xll.DBRW($C$53,$D61,$G$56)</f>
        <v/>
      </c>
      <c r="H61" t="str">
        <f t="shared" ca="1" si="0"/>
        <v>{[reporting stage].[]}</v>
      </c>
    </row>
    <row r="62" spans="2:8" hidden="1" outlineLevel="1" x14ac:dyDescent="0.3">
      <c r="C62">
        <v>6</v>
      </c>
      <c r="D62" t="str">
        <f ca="1">_xll.SUBNM(db_name&amp;":reporting stage","",E61+1,"AE Stage Description")</f>
        <v/>
      </c>
      <c r="E62" s="15">
        <f ca="1">_xll.DIMIX(db_name&amp;":reporting stage",D62)</f>
        <v>0</v>
      </c>
      <c r="F62" t="str">
        <f ca="1">_xll.DBRW($C$53,$D62,$F$56)</f>
        <v/>
      </c>
      <c r="G62" t="str">
        <f ca="1">_xll.DBRW($C$53,$D62,$G$56)</f>
        <v/>
      </c>
      <c r="H62" t="str">
        <f t="shared" ca="1" si="0"/>
        <v>{[reporting stage].[]}</v>
      </c>
    </row>
    <row r="63" spans="2:8" hidden="1" outlineLevel="1" x14ac:dyDescent="0.3">
      <c r="C63">
        <v>7</v>
      </c>
      <c r="D63" t="str">
        <f ca="1">_xll.SUBNM(db_name&amp;":reporting stage","",E62+1,"AE Stage Description")</f>
        <v/>
      </c>
      <c r="E63" s="15">
        <f ca="1">_xll.DIMIX(db_name&amp;":reporting stage",D63)</f>
        <v>0</v>
      </c>
      <c r="F63" t="str">
        <f ca="1">_xll.DBRW($C$53,$D63,$F$56)</f>
        <v/>
      </c>
      <c r="G63" t="str">
        <f ca="1">_xll.DBRW($C$53,$D63,$G$56)</f>
        <v/>
      </c>
      <c r="H63" t="str">
        <f t="shared" ca="1" si="0"/>
        <v>{[reporting stage].[]}</v>
      </c>
    </row>
    <row r="64" spans="2:8" hidden="1" outlineLevel="1" x14ac:dyDescent="0.3">
      <c r="B64" t="s">
        <v>139</v>
      </c>
      <c r="C64">
        <v>8</v>
      </c>
      <c r="D64" t="str">
        <f ca="1">_xll.SUBNM(db_name&amp;":reporting stage","",E63+1,"AE Stage Description")</f>
        <v/>
      </c>
      <c r="E64" s="15">
        <f ca="1">_xll.DIMIX(db_name&amp;":reporting stage",D64)</f>
        <v>0</v>
      </c>
      <c r="F64" t="str">
        <f ca="1">_xll.DBRW($C$53,$D64,$F$56)</f>
        <v/>
      </c>
      <c r="G64" t="str">
        <f ca="1">_xll.DBRW($C$53,$D64,$G$56)</f>
        <v/>
      </c>
      <c r="H64" t="str">
        <f t="shared" ref="H64" ca="1" si="1">"{[reporting stage].["&amp;D64&amp;"]}"</f>
        <v>{[reporting stage].[]}</v>
      </c>
    </row>
    <row r="65" spans="2:9" hidden="1" outlineLevel="1" x14ac:dyDescent="0.3">
      <c r="B65" s="14"/>
      <c r="D65" s="15"/>
    </row>
    <row r="66" spans="2:9" hidden="1" outlineLevel="1" x14ac:dyDescent="0.3">
      <c r="B66" s="14"/>
      <c r="D66" s="15"/>
    </row>
    <row r="67" spans="2:9" hidden="1" outlineLevel="1" x14ac:dyDescent="0.3">
      <c r="B67" s="14"/>
      <c r="D67" s="15"/>
    </row>
    <row r="68" spans="2:9" hidden="1" outlineLevel="1" x14ac:dyDescent="0.3">
      <c r="B68" s="132" t="s">
        <v>137</v>
      </c>
      <c r="C68" s="133"/>
    </row>
    <row r="69" spans="2:9" hidden="1" outlineLevel="1" x14ac:dyDescent="0.3">
      <c r="B69" s="5" t="s">
        <v>18</v>
      </c>
      <c r="C69" s="5" t="s">
        <v>19</v>
      </c>
    </row>
    <row r="70" spans="2:9" hidden="1" outlineLevel="1" x14ac:dyDescent="0.3">
      <c r="B70" s="6" t="s">
        <v>149</v>
      </c>
      <c r="C70">
        <v>1</v>
      </c>
      <c r="D70">
        <v>2</v>
      </c>
      <c r="E70">
        <v>3</v>
      </c>
      <c r="F70">
        <v>4</v>
      </c>
      <c r="G70">
        <v>5</v>
      </c>
      <c r="H70">
        <v>6</v>
      </c>
      <c r="I70">
        <v>7</v>
      </c>
    </row>
    <row r="71" spans="2:9" hidden="1" outlineLevel="1" x14ac:dyDescent="0.3">
      <c r="B71" s="6" t="s">
        <v>31</v>
      </c>
      <c r="C71" t="str">
        <f ca="1">_xll.TM1RPTVIEW(db_name&amp;":"&amp;cbRpt&amp;":"&amp;"4",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Reporting:4</v>
      </c>
      <c r="D71" t="str">
        <f ca="1">_xll.TM1RPTVIEW(db_name&amp;":"&amp;cbRpt&amp;":"&amp;"ARPT",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</v>
      </c>
      <c r="E71" t="str">
        <f ca="1">_xll.TM1RPTVIEW(db_name&amp;":"&amp;cbRpt&amp;":"&amp;"ARPT1",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Reporting:ARPT1</v>
      </c>
      <c r="F71" t="str">
        <f ca="1">_xll.TM1RPTVIEW(db_name&amp;":"&amp;cbRpt&amp;":"&amp;"ARPT2",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Reporting:ARPT2</v>
      </c>
      <c r="G71" t="str">
        <f ca="1">_xll.TM1RPTVIEW(db_name&amp;":"&amp;cbRpt&amp;":"&amp;"ARPT3",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Reporting:ARPT3</v>
      </c>
      <c r="H71" t="str">
        <f ca="1">_xll.TM1RPTVIEW(db_name&amp;":"&amp;cbRpt&amp;":"&amp;"ARPT4",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Reporting:ARPT4</v>
      </c>
      <c r="I71" t="str">
        <f ca="1">_xll.TM1RPTVIEW(db_name&amp;":"&amp;cbRpt&amp;":"&amp;"ARPT5", 1, _xll.TM1RPTTITLE(db_name&amp;":"&amp;"status",$C$109), _xll.TM1RPTTITLE(db_name&amp;":"&amp;"outcome",$C$110), _xll.TM1RPTTITLE(db_name&amp;":"&amp;"related entity",$C$111), _xll.TM1RPTTITLE(db_name&amp;":"&amp;"function",$C$112), _xll.TM1RPTTITLE(db_name&amp;":"&amp;"spp",$C$113), _xll.TM1RPTTITLE(db_name&amp;":"&amp;"measure code",$C$114), _xll.TM1RPTTITLE(db_name&amp;":"&amp;"appropriation type",$C$115), _xll.TM1RPTTITLE(db_name&amp;":"&amp;"movement account",$C$116), _xll.TM1RPTTITLE(db_name&amp;":"&amp;"appropriation item",$C$117), _xll.TM1RPTTITLE(db_name&amp;":"&amp;"programme",psPRog),  _xll.TM1RPTTITLE(db_name&amp;":"&amp;"account",psAcc),  _xll.TM1RPTTITLE(db_name&amp;":"&amp;"jurisdiction",$C$120), _xll.TM1RPTTITLE(db_name&amp;":"&amp;"AE reporting measure",$C$121),TM1RPTFMTRNG,TM1RPTFMTIDCOL)</f>
        <v>dcceew_geus:AE Reporting:ARPT5</v>
      </c>
    </row>
    <row r="72" spans="2:9" hidden="1" outlineLevel="1" x14ac:dyDescent="0.3">
      <c r="B72" s="6" t="s">
        <v>49</v>
      </c>
      <c r="C72" t="str" cm="1">
        <f t="array" aca="1" ref="C72" ca="1">_xll.VIEW(db_name&amp;":"&amp;cbRpt,StartStage,$C$109,$C$110,$C$111,$C$112,psReason,$C$113,psMsrCode,$C$115,psMA,$C$117,psPRog,psAcc,sID0000A,$C$120,"!",$C$121)</f>
        <v>dcceew_geus:AE Reporting</v>
      </c>
      <c r="D72" s="15"/>
    </row>
    <row r="73" spans="2:9" hidden="1" outlineLevel="1" x14ac:dyDescent="0.3">
      <c r="B73" s="8" t="s">
        <v>50</v>
      </c>
      <c r="C73" s="8" t="str" cm="1">
        <f t="array" aca="1" ref="C73" ca="1">_xll.VIEW(db_name&amp;":"&amp;cbRpt,EndStage,$C$109,$C$110,$C$111,$C$112,psReason,$C$113,psMsrCode,$C$115,psMA,$C$117,psPRog,psAcc,sIDTotal,$C$120,"!",$C$121)</f>
        <v>dcceew_geus:AE Reporting</v>
      </c>
    </row>
    <row r="74" spans="2:9" hidden="1" outlineLevel="1" x14ac:dyDescent="0.3"/>
    <row r="75" spans="2:9" hidden="1" outlineLevel="1" x14ac:dyDescent="0.3">
      <c r="B75" s="132" t="s">
        <v>23</v>
      </c>
      <c r="C75" s="133"/>
    </row>
    <row r="76" spans="2:9" hidden="1" outlineLevel="1" x14ac:dyDescent="0.3">
      <c r="B76" s="13" t="s">
        <v>23</v>
      </c>
      <c r="C76" s="13" t="s">
        <v>24</v>
      </c>
    </row>
    <row r="77" spans="2:9" hidden="1" outlineLevel="1" x14ac:dyDescent="0.3">
      <c r="B77" s="4"/>
      <c r="C77" s="4" t="str">
        <f ca="1">IF(psACCDisplayDetail=D78,C78,C79)</f>
        <v>{[account].[]}</v>
      </c>
    </row>
    <row r="78" spans="2:9" hidden="1" outlineLevel="1" x14ac:dyDescent="0.3">
      <c r="B78" s="4" t="s">
        <v>25</v>
      </c>
      <c r="C78" s="4" t="str">
        <f ca="1">"{TM1FILTERBYLEVEL( {TM1DRILLDOWNMEMBER( {[account].["&amp;psAcc&amp;"]}, ALL, RECURSIVE )}, 0)}"</f>
        <v>{TM1FILTERBYLEVEL( {TM1DRILLDOWNMEMBER( {[account].[]}, ALL, RECURSIVE )}, 0)}</v>
      </c>
      <c r="D78" t="s">
        <v>46</v>
      </c>
    </row>
    <row r="79" spans="2:9" hidden="1" outlineLevel="1" x14ac:dyDescent="0.3">
      <c r="B79" s="4" t="s">
        <v>26</v>
      </c>
      <c r="C79" s="4" t="str">
        <f ca="1">"{[account].["&amp;psAcc&amp;"]}"</f>
        <v>{[account].[]}</v>
      </c>
      <c r="D79" t="s">
        <v>47</v>
      </c>
    </row>
    <row r="80" spans="2:9" hidden="1" outlineLevel="1" x14ac:dyDescent="0.3">
      <c r="B80" s="4"/>
      <c r="C80" s="4"/>
    </row>
    <row r="81" spans="2:11" hidden="1" outlineLevel="1" x14ac:dyDescent="0.3">
      <c r="B81" s="13" t="s">
        <v>23</v>
      </c>
      <c r="C81" s="13" t="s">
        <v>27</v>
      </c>
    </row>
    <row r="82" spans="2:11" hidden="1" outlineLevel="1" x14ac:dyDescent="0.3">
      <c r="B82" s="4" t="s">
        <v>25</v>
      </c>
      <c r="C82" s="4" t="str">
        <f ca="1">"{[reporting stage].["&amp;StartStage&amp;"]:[reporting stage].["&amp;EndStage&amp;"]}"</f>
        <v>{[reporting stage].[]:[reporting stage].[]}</v>
      </c>
    </row>
    <row r="83" spans="2:11" hidden="1" outlineLevel="1" x14ac:dyDescent="0.3">
      <c r="B83" s="4"/>
      <c r="C83" s="4"/>
    </row>
    <row r="84" spans="2:11" hidden="1" outlineLevel="1" x14ac:dyDescent="0.3">
      <c r="B84" s="4" t="s">
        <v>23</v>
      </c>
      <c r="C84" s="4" t="s">
        <v>33</v>
      </c>
    </row>
    <row r="85" spans="2:11" hidden="1" outlineLevel="1" x14ac:dyDescent="0.3">
      <c r="B85" s="4"/>
      <c r="C85" s="4" t="str">
        <f ca="1">IF(psMADisplayDetail=D86,C86,C87)</f>
        <v>{[movement account].[]}</v>
      </c>
    </row>
    <row r="86" spans="2:11" hidden="1" outlineLevel="1" x14ac:dyDescent="0.3">
      <c r="B86" s="4" t="s">
        <v>25</v>
      </c>
      <c r="C86" s="4" t="str">
        <f ca="1">"{TM1FILTERBYLEVEL( {TM1DRILLDOWNMEMBER( {[movement account].["&amp;psMA&amp;"]}, ALL, RECURSIVE )}, 0)}"</f>
        <v>{TM1FILTERBYLEVEL( {TM1DRILLDOWNMEMBER( {[movement account].[]}, ALL, RECURSIVE )}, 0)}</v>
      </c>
      <c r="D86" t="s">
        <v>46</v>
      </c>
    </row>
    <row r="87" spans="2:11" hidden="1" outlineLevel="1" x14ac:dyDescent="0.3">
      <c r="B87" s="4" t="s">
        <v>26</v>
      </c>
      <c r="C87" s="4" t="str">
        <f ca="1">"{[movement account].["&amp;psMA&amp;"]}"</f>
        <v>{[movement account].[]}</v>
      </c>
      <c r="D87" t="s">
        <v>47</v>
      </c>
    </row>
    <row r="88" spans="2:11" hidden="1" outlineLevel="1" x14ac:dyDescent="0.3">
      <c r="B88" s="8"/>
    </row>
    <row r="89" spans="2:11" hidden="1" outlineLevel="1" x14ac:dyDescent="0.3">
      <c r="B89" s="4" t="s">
        <v>23</v>
      </c>
      <c r="C89" s="4" t="s">
        <v>34</v>
      </c>
    </row>
    <row r="90" spans="2:11" hidden="1" outlineLevel="1" x14ac:dyDescent="0.3">
      <c r="B90" s="4"/>
      <c r="C90" s="4" t="str">
        <f ca="1">IF(psReasonDisplayDetail=D91,C91,C92)</f>
        <v>{[Reason].[]}</v>
      </c>
    </row>
    <row r="91" spans="2:11" hidden="1" outlineLevel="1" x14ac:dyDescent="0.3">
      <c r="B91" s="4" t="s">
        <v>25</v>
      </c>
      <c r="C91" s="4" t="str">
        <f ca="1">"{TM1FILTERBYLEVEL( {TM1DRILLDOWNMEMBER( {[Reason].["&amp;psReason&amp;"]}, ALL, RECURSIVE )}, 0)}"</f>
        <v>{TM1FILTERBYLEVEL( {TM1DRILLDOWNMEMBER( {[Reason].[]}, ALL, RECURSIVE )}, 0)}</v>
      </c>
      <c r="D91" t="s">
        <v>46</v>
      </c>
      <c r="F91" s="40" t="s">
        <v>99</v>
      </c>
      <c r="K91" t="s">
        <v>136</v>
      </c>
    </row>
    <row r="92" spans="2:11" hidden="1" outlineLevel="1" x14ac:dyDescent="0.3">
      <c r="B92" s="4" t="s">
        <v>26</v>
      </c>
      <c r="C92" s="4" t="str">
        <f ca="1">"{[Reason].["&amp;psReason&amp;"]}"</f>
        <v>{[Reason].[]}</v>
      </c>
      <c r="D92" t="s">
        <v>47</v>
      </c>
      <c r="F92" s="40" t="s">
        <v>102</v>
      </c>
    </row>
    <row r="93" spans="2:11" hidden="1" outlineLevel="1" x14ac:dyDescent="0.3">
      <c r="B93" s="8"/>
      <c r="F93" t="s">
        <v>103</v>
      </c>
    </row>
    <row r="94" spans="2:11" hidden="1" outlineLevel="1" x14ac:dyDescent="0.3">
      <c r="B94" s="4" t="s">
        <v>23</v>
      </c>
      <c r="C94" s="4" t="s">
        <v>35</v>
      </c>
    </row>
    <row r="95" spans="2:11" hidden="1" outlineLevel="1" x14ac:dyDescent="0.3">
      <c r="B95" s="4"/>
      <c r="C95" s="4" t="str">
        <f ca="1">IF(psMSRDisplayDetail=D96,C96,C97)</f>
        <v>{[measure code].[]}</v>
      </c>
    </row>
    <row r="96" spans="2:11" hidden="1" outlineLevel="1" x14ac:dyDescent="0.3">
      <c r="B96" s="4" t="s">
        <v>25</v>
      </c>
      <c r="C96" s="4" t="str">
        <f ca="1">"{TM1FILTERBYLEVEL( {TM1DRILLDOWNMEMBER( {[measure code].["&amp;psMsrCode&amp;"]}, ALL, RECURSIVE )}, 0)}"</f>
        <v>{TM1FILTERBYLEVEL( {TM1DRILLDOWNMEMBER( {[measure code].[]}, ALL, RECURSIVE )}, 0)}</v>
      </c>
      <c r="D96" t="s">
        <v>46</v>
      </c>
    </row>
    <row r="97" spans="2:6" hidden="1" outlineLevel="1" x14ac:dyDescent="0.3">
      <c r="B97" s="4" t="s">
        <v>26</v>
      </c>
      <c r="C97" s="4" t="str">
        <f ca="1">"{[measure code].["&amp;psMsrCode&amp;"]}"</f>
        <v>{[measure code].[]}</v>
      </c>
      <c r="D97" t="s">
        <v>47</v>
      </c>
    </row>
    <row r="98" spans="2:6" hidden="1" outlineLevel="1" x14ac:dyDescent="0.3">
      <c r="B98" s="4" t="s">
        <v>23</v>
      </c>
      <c r="C98" s="4" t="s">
        <v>8</v>
      </c>
    </row>
    <row r="99" spans="2:6" hidden="1" outlineLevel="1" x14ac:dyDescent="0.3">
      <c r="B99" s="4"/>
      <c r="C99" s="4" t="str">
        <f ca="1">IF(psIDDisplayDetail=D100,C100,C101)</f>
        <v>{[id].[]}</v>
      </c>
    </row>
    <row r="100" spans="2:6" hidden="1" outlineLevel="1" x14ac:dyDescent="0.3">
      <c r="B100" s="4" t="s">
        <v>25</v>
      </c>
      <c r="C100" s="4" t="str">
        <f ca="1">"{TM1FILTERBYLEVEL( {TM1DRILLDOWNMEMBER( {[id].["&amp;sID&amp;"]}, ALL, RECURSIVE )}, 0),[id].[Total Ids]}"</f>
        <v>{TM1FILTERBYLEVEL( {TM1DRILLDOWNMEMBER( {[id].[]}, ALL, RECURSIVE )}, 0),[id].[Total Ids]}</v>
      </c>
      <c r="D100" t="s">
        <v>46</v>
      </c>
      <c r="F100" t="s">
        <v>101</v>
      </c>
    </row>
    <row r="101" spans="2:6" hidden="1" outlineLevel="1" x14ac:dyDescent="0.3">
      <c r="B101" s="4" t="s">
        <v>26</v>
      </c>
      <c r="C101" s="4" t="str">
        <f ca="1">"{[id].["&amp;sID&amp;"]}"</f>
        <v>{[id].[]}</v>
      </c>
      <c r="D101" t="s">
        <v>47</v>
      </c>
      <c r="F101" t="s">
        <v>100</v>
      </c>
    </row>
    <row r="102" spans="2:6" hidden="1" outlineLevel="1" x14ac:dyDescent="0.3"/>
    <row r="103" spans="2:6" hidden="1" outlineLevel="1" x14ac:dyDescent="0.3">
      <c r="B103" s="4" t="s">
        <v>23</v>
      </c>
      <c r="C103" s="4" t="s">
        <v>8</v>
      </c>
    </row>
    <row r="104" spans="2:6" hidden="1" outlineLevel="1" x14ac:dyDescent="0.3">
      <c r="B104" s="4"/>
      <c r="C104" s="4" t="str">
        <f ca="1">IF(psIDDisplayDetail=D105,C105,C106)</f>
        <v>{[id].[]}</v>
      </c>
    </row>
    <row r="105" spans="2:6" hidden="1" outlineLevel="1" x14ac:dyDescent="0.3">
      <c r="B105" s="4" t="s">
        <v>25</v>
      </c>
      <c r="C105" s="4" t="str">
        <f ca="1">"{TM1FILTERBYLEVEL( {TM1DRILLDOWNMEMBER( {[id].["&amp;sID00FBO&amp;"]}, ALL, RECURSIVE )}, 0)}"</f>
        <v>{TM1FILTERBYLEVEL( {TM1DRILLDOWNMEMBER( {[id].[]}, ALL, RECURSIVE )}, 0)}</v>
      </c>
      <c r="D105" t="s">
        <v>46</v>
      </c>
    </row>
    <row r="106" spans="2:6" hidden="1" outlineLevel="1" x14ac:dyDescent="0.3">
      <c r="B106" s="4" t="s">
        <v>26</v>
      </c>
      <c r="C106" s="4" t="str">
        <f ca="1">"{[id].["&amp;sID00FBO&amp;"]}"</f>
        <v>{[id].[]}</v>
      </c>
      <c r="D106" t="s">
        <v>47</v>
      </c>
    </row>
    <row r="107" spans="2:6" hidden="1" outlineLevel="1" x14ac:dyDescent="0.3"/>
    <row r="108" spans="2:6" hidden="1" outlineLevel="1" x14ac:dyDescent="0.3">
      <c r="B108" s="132" t="s">
        <v>29</v>
      </c>
      <c r="C108" s="133"/>
    </row>
    <row r="109" spans="2:6" hidden="1" outlineLevel="1" x14ac:dyDescent="0.3">
      <c r="B109" s="13" t="s">
        <v>0</v>
      </c>
      <c r="C109" s="4" t="str" cm="1">
        <f t="array" aca="1" ref="C109" ca="1">_xll.SUBNM(db_name&amp;":"&amp;"status","","Total approved")</f>
        <v/>
      </c>
    </row>
    <row r="110" spans="2:6" hidden="1" outlineLevel="1" x14ac:dyDescent="0.3">
      <c r="B110" s="13" t="s">
        <v>1</v>
      </c>
      <c r="C110" s="4" t="str" cm="1">
        <f t="array" aca="1" ref="C110" ca="1">_xll.SUBNM(db_name&amp;":"&amp;"outcome","Default","Total outcomes")</f>
        <v/>
      </c>
    </row>
    <row r="111" spans="2:6" hidden="1" outlineLevel="1" x14ac:dyDescent="0.3">
      <c r="B111" s="13" t="s">
        <v>2</v>
      </c>
      <c r="C111" s="4" t="str" cm="1">
        <f t="array" aca="1" ref="C111" ca="1">_xll.SUBNM(db_name&amp;":"&amp;"related entity","","Total related entity")</f>
        <v/>
      </c>
    </row>
    <row r="112" spans="2:6" hidden="1" outlineLevel="1" x14ac:dyDescent="0.3">
      <c r="B112" s="13" t="s">
        <v>3</v>
      </c>
      <c r="C112" s="4" t="str" cm="1">
        <f t="array" aca="1" ref="C112" ca="1">_xll.SUBNM(db_name&amp;":"&amp;"function","","Total functions")</f>
        <v/>
      </c>
    </row>
    <row r="113" spans="2:5" hidden="1" outlineLevel="1" x14ac:dyDescent="0.3">
      <c r="B113" s="13" t="s">
        <v>4</v>
      </c>
      <c r="C113" s="4" t="str" cm="1">
        <f t="array" aca="1" ref="C113" ca="1">_xll.SUBNM(db_name&amp;":"&amp;"spp","","Total SPP")</f>
        <v/>
      </c>
      <c r="E113" s="15">
        <f ca="1">_xll.DBRW($C$71,#REF!,$C$109,$C$110,$C$111,$C$112,#REF!,$C$113,$C$114,$C$115,$C$116,$C$117,$Z$156,$C$119,#REF!,$C$120,Z$178,$C$121)</f>
        <v>0</v>
      </c>
    </row>
    <row r="114" spans="2:5" hidden="1" outlineLevel="1" x14ac:dyDescent="0.3">
      <c r="B114" s="41" t="s">
        <v>104</v>
      </c>
      <c r="C114" t="str">
        <f ca="1">_xll.SUBNM(db_name&amp;":"&amp;"measure code","","Total Measures","")</f>
        <v/>
      </c>
    </row>
    <row r="115" spans="2:5" hidden="1" outlineLevel="1" x14ac:dyDescent="0.3">
      <c r="B115" s="13" t="s">
        <v>5</v>
      </c>
      <c r="C115" s="4" t="str" cm="1">
        <f t="array" aca="1" ref="C115" ca="1">_xll.SUBNM(db_name&amp;":"&amp;"appropriation type","","Total approp types")</f>
        <v/>
      </c>
    </row>
    <row r="116" spans="2:5" hidden="1" outlineLevel="1" x14ac:dyDescent="0.3">
      <c r="B116" s="14" t="s">
        <v>33</v>
      </c>
      <c r="C116" t="str">
        <f ca="1">_xll.SUBNM(db_name&amp;":"&amp;"movement account","","Total movement")</f>
        <v/>
      </c>
    </row>
    <row r="117" spans="2:5" hidden="1" outlineLevel="1" x14ac:dyDescent="0.3">
      <c r="B117" s="13" t="s">
        <v>6</v>
      </c>
      <c r="C117" s="4" t="str" cm="1">
        <f t="array" aca="1" ref="C117" ca="1">_xll.SUBNM(db_name&amp;":"&amp;"appropriation item","","Total approp item")</f>
        <v/>
      </c>
    </row>
    <row r="118" spans="2:5" hidden="1" outlineLevel="1" x14ac:dyDescent="0.3">
      <c r="B118" s="13" t="s">
        <v>7</v>
      </c>
      <c r="C118" s="4" t="str" cm="1">
        <f t="array" aca="1" ref="C118" ca="1">_xll.SUBNM(db_name&amp;":"&amp;"programme","Default","Total Programmes","code and description")</f>
        <v/>
      </c>
    </row>
    <row r="119" spans="2:5" hidden="1" outlineLevel="1" x14ac:dyDescent="0.3">
      <c r="B119" s="14" t="s">
        <v>24</v>
      </c>
      <c r="C119" s="4" t="str">
        <f ca="1">_xll.SUBNM(db_name&amp;":"&amp;"account","Default",psAcc,"code and description")</f>
        <v/>
      </c>
    </row>
    <row r="120" spans="2:5" hidden="1" outlineLevel="1" x14ac:dyDescent="0.3">
      <c r="B120" s="13" t="s">
        <v>9</v>
      </c>
      <c r="C120" s="4" t="str" cm="1">
        <f t="array" aca="1" ref="C120" ca="1">_xll.SUBNM(db_name&amp;":"&amp;"jurisdiction","","Total jurisdictions")</f>
        <v/>
      </c>
    </row>
    <row r="121" spans="2:5" hidden="1" outlineLevel="1" x14ac:dyDescent="0.3">
      <c r="B121" s="13" t="s">
        <v>10</v>
      </c>
      <c r="C121" s="4" t="str" cm="1">
        <f t="array" aca="1" ref="C121" ca="1">_xll.SUBNM(db_name&amp;":"&amp;"AE reporting measure","","value")</f>
        <v/>
      </c>
    </row>
    <row r="122" spans="2:5" hidden="1" outlineLevel="1" x14ac:dyDescent="0.3"/>
    <row r="123" spans="2:5" hidden="1" outlineLevel="1" x14ac:dyDescent="0.3">
      <c r="B123" s="132" t="s">
        <v>30</v>
      </c>
      <c r="C123" s="133"/>
    </row>
    <row r="124" spans="2:5" hidden="1" outlineLevel="1" x14ac:dyDescent="0.3">
      <c r="B124" s="13" t="s">
        <v>32</v>
      </c>
      <c r="C124" s="4" t="str" cm="1">
        <f t="array" aca="1" ref="C124" ca="1">_xll.SUBNM(db_name&amp;":"&amp;"id","","0BASE")</f>
        <v/>
      </c>
    </row>
    <row r="125" spans="2:5" hidden="1" outlineLevel="1" x14ac:dyDescent="0.3">
      <c r="B125" s="13" t="s">
        <v>39</v>
      </c>
      <c r="C125" s="4" t="str" cm="1">
        <f t="array" aca="1" ref="C125" ca="1">_xll.SUBNM(db_name&amp;":"&amp;"id","","00FBO")</f>
        <v/>
      </c>
    </row>
    <row r="126" spans="2:5" hidden="1" outlineLevel="1" x14ac:dyDescent="0.3">
      <c r="B126" s="13" t="s">
        <v>28</v>
      </c>
      <c r="C126" s="4" t="str" cm="1">
        <f t="array" aca="1" ref="C126" ca="1">_xll.SUBNM(db_name&amp;":"&amp;"id","","Total IDs")</f>
        <v/>
      </c>
    </row>
    <row r="127" spans="2:5" hidden="1" outlineLevel="1" x14ac:dyDescent="0.3">
      <c r="B127" s="13" t="s">
        <v>40</v>
      </c>
      <c r="C127" s="4" t="str">
        <f ca="1">_xll.SUBNM(db_name&amp;":"&amp;"id","","New Adjustments")</f>
        <v/>
      </c>
      <c r="D127" s="15" t="str">
        <f ca="1">_xll.SUBNM(db_name&amp;":"&amp;"id","","New Adjustments")</f>
        <v/>
      </c>
    </row>
    <row r="128" spans="2:5" hidden="1" outlineLevel="1" x14ac:dyDescent="0.3">
      <c r="B128" s="14"/>
      <c r="D128" s="15"/>
    </row>
    <row r="129" spans="1:30" hidden="1" outlineLevel="1" x14ac:dyDescent="0.3">
      <c r="B129" s="14"/>
      <c r="D129" s="15"/>
    </row>
    <row r="130" spans="1:30" hidden="1" outlineLevel="1" x14ac:dyDescent="0.3">
      <c r="B130" s="14" t="s">
        <v>125</v>
      </c>
      <c r="D130" s="15"/>
    </row>
    <row r="131" spans="1:30" hidden="1" outlineLevel="1" x14ac:dyDescent="0.3">
      <c r="B131" t="s">
        <v>109</v>
      </c>
      <c r="C131" t="str">
        <f ca="1">_xll.VIEW(db_name&amp;":programme details",$B$2,$B$3,"!","!")</f>
        <v>dcceew_geus:programme details</v>
      </c>
      <c r="D131" s="15"/>
    </row>
    <row r="132" spans="1:30" hidden="1" outlineLevel="1" x14ac:dyDescent="0.3">
      <c r="B132" s="14" t="s">
        <v>21</v>
      </c>
      <c r="C132" t="str">
        <f ca="1">IF(C134="",$C$28,$E$133)</f>
        <v/>
      </c>
      <c r="D132" s="15"/>
      <c r="E132" s="14" t="s">
        <v>123</v>
      </c>
      <c r="F132" s="14" t="s">
        <v>91</v>
      </c>
    </row>
    <row r="133" spans="1:30" hidden="1" outlineLevel="1" x14ac:dyDescent="0.3">
      <c r="B133" s="14" t="s">
        <v>110</v>
      </c>
      <c r="C133" t="str">
        <f ca="1">IF(C134="",$C$29,$F$133)</f>
        <v/>
      </c>
      <c r="D133" s="15"/>
      <c r="E133" t="str">
        <f ca="1">_xll.DBRW($C$53,$V158,$E$132)</f>
        <v/>
      </c>
      <c r="F133" t="str">
        <f ca="1">_xll.DBRW($C$53,$V158,$F$132)</f>
        <v/>
      </c>
    </row>
    <row r="134" spans="1:30" hidden="1" outlineLevel="1" x14ac:dyDescent="0.3">
      <c r="B134" s="68" t="s">
        <v>169</v>
      </c>
      <c r="C134" t="str">
        <f ca="1">_xll.DBR($C$131,$E$133,$F$133,psPRog,$B166)</f>
        <v>*KEY_ERR</v>
      </c>
      <c r="D134" s="15"/>
      <c r="V134" t="s">
        <v>180</v>
      </c>
      <c r="Y134">
        <v>-2</v>
      </c>
      <c r="Z134">
        <v>-1</v>
      </c>
      <c r="AA134">
        <v>0</v>
      </c>
      <c r="AB134">
        <v>1</v>
      </c>
      <c r="AC134">
        <v>2</v>
      </c>
    </row>
    <row r="135" spans="1:30" hidden="1" outlineLevel="1" x14ac:dyDescent="0.3"/>
    <row r="136" spans="1:30" hidden="1" outlineLevel="1" x14ac:dyDescent="0.3">
      <c r="A136" s="16"/>
      <c r="B136" s="132" t="s">
        <v>88</v>
      </c>
      <c r="C136" s="133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7" t="str">
        <f t="shared" ref="Y136:AC136" ca="1" si="2">IF($V$157=$U$141,Y138,IF($V$157=$U$142,Y140,IF($V$157=$U$143,Y142,Y144)))</f>
        <v/>
      </c>
      <c r="Z136" s="17" t="str">
        <f t="shared" ca="1" si="2"/>
        <v/>
      </c>
      <c r="AA136" s="17" t="str">
        <f t="shared" ca="1" si="2"/>
        <v/>
      </c>
      <c r="AB136" s="17" t="str">
        <f t="shared" ca="1" si="2"/>
        <v/>
      </c>
      <c r="AC136" s="17" t="str">
        <f t="shared" ca="1" si="2"/>
        <v/>
      </c>
    </row>
    <row r="137" spans="1:30" hidden="1" outlineLevel="1" x14ac:dyDescent="0.3">
      <c r="A137" s="16"/>
      <c r="B137" s="16" t="s">
        <v>89</v>
      </c>
      <c r="C137" s="16" t="str" cm="1">
        <f t="array" aca="1" ref="C137" ca="1">_xll.VIEW(db_name&amp;":AE id details","!","!","!","!")</f>
        <v>dcceew_geus:AE id details</v>
      </c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8" t="s">
        <v>41</v>
      </c>
      <c r="W137" s="66"/>
      <c r="X137" s="66"/>
      <c r="Y137" s="19">
        <v>-1</v>
      </c>
      <c r="Z137" s="19">
        <v>0</v>
      </c>
      <c r="AA137" s="19">
        <v>1</v>
      </c>
      <c r="AB137" s="19">
        <v>2</v>
      </c>
      <c r="AC137" s="19">
        <v>3</v>
      </c>
    </row>
    <row r="138" spans="1:30" hidden="1" outlineLevel="1" x14ac:dyDescent="0.3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U138" s="16"/>
      <c r="V138" s="20"/>
      <c r="W138" s="67"/>
      <c r="X138" s="67"/>
      <c r="Y138" s="21" t="str" cm="1">
        <f t="array" aca="1" ref="Y138" ca="1">_xll.DIMNM(db_name&amp;":"&amp;"period",_xll.DIMIX(db_name&amp;":"&amp;"period",LEFT(StartStage,9))+Y137)</f>
        <v/>
      </c>
      <c r="Z138" s="21" t="str" cm="1">
        <f t="array" aca="1" ref="Z138" ca="1">_xll.DIMNM(db_name&amp;":"&amp;"period",_xll.DIMIX(db_name&amp;":"&amp;"period",LEFT(StartStage,9))+Z137)</f>
        <v/>
      </c>
      <c r="AA138" s="21" t="str" cm="1">
        <f t="array" aca="1" ref="AA138" ca="1">_xll.DIMNM(db_name&amp;":"&amp;"period",_xll.DIMIX(db_name&amp;":"&amp;"period",LEFT(StartStage,9))+AA137)</f>
        <v/>
      </c>
      <c r="AB138" s="21" t="str" cm="1">
        <f t="array" aca="1" ref="AB138" ca="1">_xll.DIMNM(db_name&amp;":"&amp;"period",_xll.DIMIX(db_name&amp;":"&amp;"period",LEFT(StartStage,9))+AB137)</f>
        <v/>
      </c>
      <c r="AC138" s="21" t="str" cm="1">
        <f t="array" aca="1" ref="AC138" ca="1">_xll.DIMNM(db_name&amp;":"&amp;"period",_xll.DIMIX(db_name&amp;":"&amp;"period",LEFT(StartStage,9))+AC137)</f>
        <v/>
      </c>
    </row>
    <row r="139" spans="1:30" hidden="1" outlineLevel="1" x14ac:dyDescent="0.3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8" t="s">
        <v>42</v>
      </c>
      <c r="W139" s="66"/>
      <c r="X139" s="66"/>
      <c r="Y139" s="124">
        <v>-4</v>
      </c>
      <c r="Z139" s="124">
        <v>-3</v>
      </c>
      <c r="AA139" s="124">
        <v>-2</v>
      </c>
      <c r="AB139" s="124">
        <v>-1</v>
      </c>
      <c r="AC139" s="124">
        <v>0</v>
      </c>
      <c r="AD139" s="125" t="s">
        <v>181</v>
      </c>
    </row>
    <row r="140" spans="1:30" hidden="1" outlineLevel="1" x14ac:dyDescent="0.3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20"/>
      <c r="W140" s="67"/>
      <c r="X140" s="67"/>
      <c r="Y140" s="21" t="str" cm="1">
        <f t="array" aca="1" ref="Y140" ca="1">_xll.DIMNM(db_name&amp;":"&amp;"period",_xll.DIMIX(db_name&amp;":"&amp;"period",LEFT(EndStage,9))+Y139)</f>
        <v/>
      </c>
      <c r="Z140" s="21" t="str" cm="1">
        <f t="array" aca="1" ref="Z140" ca="1">_xll.DIMNM(db_name&amp;":"&amp;"period",_xll.DIMIX(db_name&amp;":"&amp;"period",LEFT(EndStage,9))+Z139)</f>
        <v/>
      </c>
      <c r="AA140" s="21" t="str" cm="1">
        <f t="array" aca="1" ref="AA140" ca="1">_xll.DIMNM(db_name&amp;":"&amp;"period",_xll.DIMIX(db_name&amp;":"&amp;"period",LEFT(EndStage,9))+AA139)</f>
        <v/>
      </c>
      <c r="AB140" s="21" t="str" cm="1">
        <f t="array" aca="1" ref="AB140" ca="1">_xll.DIMNM(db_name&amp;":"&amp;"period",_xll.DIMIX(db_name&amp;":"&amp;"period",LEFT(EndStage,9))+AB139)</f>
        <v/>
      </c>
      <c r="AC140" s="21" t="str" cm="1">
        <f t="array" aca="1" ref="AC140" ca="1">_xll.DIMNM(db_name&amp;":"&amp;"period",_xll.DIMIX(db_name&amp;":"&amp;"period",LEFT(EndStage,9))+AC139)</f>
        <v/>
      </c>
    </row>
    <row r="141" spans="1:30" hidden="1" outlineLevel="1" x14ac:dyDescent="0.3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 t="s">
        <v>41</v>
      </c>
      <c r="V141" s="18" t="s">
        <v>43</v>
      </c>
      <c r="W141" s="66"/>
      <c r="X141" s="66"/>
      <c r="Y141" s="124">
        <v>-2</v>
      </c>
      <c r="Z141" s="124">
        <v>-1</v>
      </c>
      <c r="AA141" s="124">
        <v>0</v>
      </c>
      <c r="AB141" s="124">
        <v>1</v>
      </c>
      <c r="AC141" s="124">
        <v>2</v>
      </c>
      <c r="AD141" s="125" t="s">
        <v>181</v>
      </c>
    </row>
    <row r="142" spans="1:30" hidden="1" outlineLevel="1" x14ac:dyDescent="0.3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 t="s">
        <v>42</v>
      </c>
      <c r="V142" s="20"/>
      <c r="W142" s="67"/>
      <c r="X142" s="67"/>
      <c r="Y142" s="21" t="str" cm="1">
        <f t="array" aca="1" ref="Y142" ca="1">_xll.DIMNM(db_name&amp;":"&amp;"period",_xll.DIMIX(db_name&amp;":"&amp;"period",LEFT(EndStage,9))+Y141)</f>
        <v/>
      </c>
      <c r="Z142" s="21" t="str" cm="1">
        <f t="array" aca="1" ref="Z142" ca="1">_xll.DIMNM(db_name&amp;":"&amp;"period",_xll.DIMIX(db_name&amp;":"&amp;"period",LEFT(EndStage,9))+Z141)</f>
        <v/>
      </c>
      <c r="AA142" s="21" t="str" cm="1">
        <f t="array" aca="1" ref="AA142" ca="1">_xll.DIMNM(db_name&amp;":"&amp;"period",_xll.DIMIX(db_name&amp;":"&amp;"period",LEFT(EndStage,9))+AA141)</f>
        <v/>
      </c>
      <c r="AB142" s="21" t="str" cm="1">
        <f t="array" aca="1" ref="AB142" ca="1">_xll.DIMNM(db_name&amp;":"&amp;"period",_xll.DIMIX(db_name&amp;":"&amp;"period",LEFT(EndStage,9))+AB141)</f>
        <v/>
      </c>
      <c r="AC142" s="21" t="str" cm="1">
        <f t="array" aca="1" ref="AC142" ca="1">_xll.DIMNM(db_name&amp;":"&amp;"period",_xll.DIMIX(db_name&amp;":"&amp;"period",LEFT(EndStage,9))+AC141)</f>
        <v/>
      </c>
    </row>
    <row r="143" spans="1:30" hidden="1" outlineLevel="1" x14ac:dyDescent="0.3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 t="s">
        <v>43</v>
      </c>
      <c r="V143" s="18" t="s">
        <v>44</v>
      </c>
      <c r="W143" s="66"/>
      <c r="X143" s="66"/>
      <c r="Y143" s="124">
        <v>-7</v>
      </c>
      <c r="Z143" s="124">
        <v>-6</v>
      </c>
      <c r="AA143" s="124">
        <v>-5</v>
      </c>
      <c r="AB143" s="124">
        <v>-4</v>
      </c>
      <c r="AC143" s="124">
        <v>-3</v>
      </c>
      <c r="AD143" s="125" t="s">
        <v>181</v>
      </c>
    </row>
    <row r="144" spans="1:30" hidden="1" outlineLevel="1" x14ac:dyDescent="0.3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 t="s">
        <v>44</v>
      </c>
      <c r="V144" s="20"/>
      <c r="W144" s="67"/>
      <c r="X144" s="67"/>
      <c r="Y144" s="21" t="str" cm="1">
        <f t="array" aca="1" ref="Y144" ca="1">_xll.DIMNM(db_name&amp;":"&amp;"period",_xll.DIMIX(db_name&amp;":"&amp;"period",LEFT(EndStage,9))+Y143)</f>
        <v/>
      </c>
      <c r="Z144" s="21" t="str" cm="1">
        <f t="array" aca="1" ref="Z144" ca="1">_xll.DIMNM(db_name&amp;":"&amp;"period",_xll.DIMIX(db_name&amp;":"&amp;"period",LEFT(EndStage,9))+Z143)</f>
        <v/>
      </c>
      <c r="AA144" s="21" t="str" cm="1">
        <f t="array" aca="1" ref="AA144" ca="1">_xll.DIMNM(db_name&amp;":"&amp;"period",_xll.DIMIX(db_name&amp;":"&amp;"period",LEFT(EndStage,9))+AA143)</f>
        <v/>
      </c>
      <c r="AB144" s="21" t="str" cm="1">
        <f t="array" aca="1" ref="AB144" ca="1">_xll.DIMNM(db_name&amp;":"&amp;"period",_xll.DIMIX(db_name&amp;":"&amp;"period",LEFT(EndStage,9))+AB143)</f>
        <v/>
      </c>
      <c r="AC144" s="21" t="str" cm="1">
        <f t="array" aca="1" ref="AC144" ca="1">_xll.DIMNM(db_name&amp;":"&amp;"period",_xll.DIMIX(db_name&amp;":"&amp;"period",LEFT(EndStage,9))+AC143)</f>
        <v/>
      </c>
    </row>
    <row r="145" spans="2:33" hidden="1" outlineLevel="1" x14ac:dyDescent="0.3"/>
    <row r="146" spans="2:33" hidden="1" outlineLevel="1" x14ac:dyDescent="0.3">
      <c r="B146" s="14"/>
    </row>
    <row r="147" spans="2:33" ht="36.6" x14ac:dyDescent="0.3">
      <c r="B147" s="14"/>
      <c r="O147" s="39"/>
      <c r="P147" s="39"/>
      <c r="Q147" s="39"/>
      <c r="R147" s="39"/>
      <c r="S147" s="39"/>
      <c r="T147" s="39"/>
      <c r="U147" s="39"/>
      <c r="V147" s="39"/>
      <c r="W147" s="39"/>
      <c r="X147" s="39" t="s">
        <v>106</v>
      </c>
      <c r="Y147" s="39"/>
      <c r="Z147" s="39"/>
      <c r="AA147" s="39"/>
      <c r="AB147" s="39"/>
      <c r="AC147" s="39"/>
      <c r="AD147" s="39"/>
      <c r="AE147" s="39"/>
      <c r="AF147" s="39"/>
      <c r="AG147" s="39"/>
    </row>
    <row r="148" spans="2:33" ht="4.5" customHeight="1" x14ac:dyDescent="0.3">
      <c r="B148" s="14"/>
    </row>
    <row r="149" spans="2:33" ht="24" customHeight="1" x14ac:dyDescent="0.3">
      <c r="B149" s="14"/>
    </row>
    <row r="150" spans="2:33" ht="1.5" customHeight="1" x14ac:dyDescent="0.3">
      <c r="B150" s="14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</row>
    <row r="151" spans="2:33" ht="4.5" customHeight="1" x14ac:dyDescent="0.3">
      <c r="B151" s="14"/>
    </row>
    <row r="152" spans="2:33" x14ac:dyDescent="0.3">
      <c r="B152" s="14"/>
      <c r="U152" s="35" t="s">
        <v>107</v>
      </c>
    </row>
    <row r="153" spans="2:33" x14ac:dyDescent="0.3">
      <c r="B153" s="14"/>
      <c r="U153" s="35" t="s">
        <v>108</v>
      </c>
    </row>
    <row r="154" spans="2:33" ht="4.5" customHeight="1" x14ac:dyDescent="0.3">
      <c r="B154" s="14"/>
    </row>
    <row r="155" spans="2:33" x14ac:dyDescent="0.3">
      <c r="B155" s="14"/>
      <c r="U155" s="135" t="s">
        <v>54</v>
      </c>
      <c r="V155" s="135"/>
      <c r="Z155" s="135" t="s">
        <v>86</v>
      </c>
      <c r="AA155" s="135"/>
      <c r="AB155" s="135"/>
    </row>
    <row r="156" spans="2:33" x14ac:dyDescent="0.3">
      <c r="B156" s="14"/>
      <c r="U156" s="10" t="s">
        <v>133</v>
      </c>
      <c r="V156" s="38" t="str">
        <f ca="1">_xll.SUBNM(db_name&amp;":reporting stage","","010","AE Stage Description")</f>
        <v/>
      </c>
      <c r="Y156" s="10" t="s">
        <v>52</v>
      </c>
      <c r="Z156" s="136" t="str">
        <f ca="1">_xll.SUBNM(db_name&amp;":programme","","8306.01","code and description")</f>
        <v/>
      </c>
      <c r="AA156" s="137"/>
      <c r="AB156" s="85" t="str" cm="1">
        <f t="array" aca="1" ref="AB156" ca="1">_xll.SUBNM(db_name&amp;":sys_YesNo","","No")</f>
        <v/>
      </c>
    </row>
    <row r="157" spans="2:33" x14ac:dyDescent="0.3">
      <c r="B157" s="14"/>
      <c r="U157" s="10" t="s">
        <v>45</v>
      </c>
      <c r="V157" s="38" t="s">
        <v>41</v>
      </c>
      <c r="Y157" s="10" t="s">
        <v>53</v>
      </c>
      <c r="Z157" s="136" t="str" cm="1">
        <f t="array" aca="1" ref="Z157" ca="1">_xll.SUBNM(db_name&amp;":account","","2000000","code and description")</f>
        <v/>
      </c>
      <c r="AA157" s="137"/>
      <c r="AB157" s="85" t="str" cm="1">
        <f t="array" aca="1" ref="AB157" ca="1">_xll.SUBNM(db_name&amp;":sys_YesNo","","No")</f>
        <v/>
      </c>
    </row>
    <row r="158" spans="2:33" x14ac:dyDescent="0.3">
      <c r="B158" s="14"/>
      <c r="U158" s="10" t="s">
        <v>134</v>
      </c>
      <c r="V158" s="38" t="str">
        <f ca="1">_xll.SUBNM(db_name&amp;":reporting stage","","015","AE Stage Description")</f>
        <v/>
      </c>
      <c r="Y158" s="10" t="s">
        <v>92</v>
      </c>
      <c r="Z158" s="136" t="str">
        <f ca="1">_xll.SUBNM(db_name&amp;":"&amp;"movement account","","Total movement")</f>
        <v/>
      </c>
      <c r="AA158" s="137"/>
      <c r="AB158" s="85" t="str" cm="1">
        <f t="array" aca="1" ref="AB158" ca="1">_xll.SUBNM(db_name&amp;":sys_YesNo","","No")</f>
        <v/>
      </c>
    </row>
    <row r="159" spans="2:33" x14ac:dyDescent="0.3">
      <c r="B159" s="14"/>
      <c r="Y159" s="10" t="s">
        <v>36</v>
      </c>
      <c r="Z159" s="136" t="str" cm="1">
        <f t="array" aca="1" ref="Z159" ca="1">_xll.SUBNM(db_name&amp;":"&amp;"reason","$sys_reasonCBMSCBMSR","sys_Total Reason","CBMS code and description")</f>
        <v/>
      </c>
      <c r="AA159" s="137"/>
      <c r="AB159" s="85" t="str">
        <f ca="1">_xll.SUBNM(db_name&amp;":sys_YesNo","","Yes")</f>
        <v/>
      </c>
    </row>
    <row r="160" spans="2:33" collapsed="1" x14ac:dyDescent="0.3">
      <c r="B160" s="14"/>
      <c r="R160" s="10"/>
      <c r="S160" s="10"/>
      <c r="T160" s="10"/>
      <c r="U160" s="10"/>
      <c r="Y160" s="10" t="s">
        <v>37</v>
      </c>
      <c r="Z160" s="136" t="str">
        <f ca="1">_xll.SUBNM(db_name&amp;":"&amp;"measure code","","Total Measures","CBMS code and description")</f>
        <v/>
      </c>
      <c r="AA160" s="137"/>
      <c r="AB160" s="85" t="str" cm="1">
        <f t="array" aca="1" ref="AB160" ca="1">_xll.SUBNM(db_name&amp;":sys_YesNo","","No")</f>
        <v/>
      </c>
    </row>
    <row r="161" spans="2:33" hidden="1" outlineLevel="1" x14ac:dyDescent="0.3">
      <c r="B161" s="14"/>
      <c r="Y161" s="10" t="s">
        <v>51</v>
      </c>
      <c r="Z161" s="87" t="s">
        <v>48</v>
      </c>
      <c r="AA161" s="87"/>
      <c r="AB161" s="85" t="str">
        <f ca="1">_xll.SUBNM(db_name&amp;":sys_YesNo","","No")</f>
        <v/>
      </c>
    </row>
    <row r="162" spans="2:33" ht="3" customHeight="1" x14ac:dyDescent="0.3">
      <c r="B162" s="14"/>
      <c r="Y162" s="10"/>
      <c r="Z162" s="12"/>
      <c r="AA162" s="12"/>
      <c r="AB162" s="86"/>
    </row>
    <row r="163" spans="2:33" ht="15.6" x14ac:dyDescent="0.3">
      <c r="B163" s="14"/>
      <c r="U163" s="107" t="s">
        <v>175</v>
      </c>
      <c r="V163" s="83" t="s">
        <v>135</v>
      </c>
      <c r="W163" s="83"/>
      <c r="X163" s="83"/>
      <c r="Y163" s="83"/>
      <c r="Z163" s="83"/>
      <c r="AA163" s="84" t="s">
        <v>166</v>
      </c>
      <c r="AB163" s="138">
        <f ca="1">NOW()</f>
        <v>44972.397399768517</v>
      </c>
      <c r="AC163" s="138"/>
      <c r="AD163" s="82"/>
    </row>
    <row r="164" spans="2:33" s="52" customFormat="1" ht="14.4" customHeight="1" x14ac:dyDescent="0.3">
      <c r="B164" s="68" t="s">
        <v>167</v>
      </c>
      <c r="C164" s="68"/>
      <c r="U164" s="127" t="str">
        <f ca="1">_xll.DBR($C$131,$C$132,$C$133,psPRog,$B164)</f>
        <v>*KEY_ERR</v>
      </c>
      <c r="V164" s="127"/>
      <c r="W164" s="127"/>
      <c r="X164" s="127"/>
      <c r="Y164" s="127"/>
      <c r="Z164" s="127"/>
      <c r="AA164" s="127"/>
      <c r="AB164" s="127"/>
      <c r="AC164" s="127"/>
      <c r="AD164"/>
      <c r="AE164"/>
      <c r="AF164"/>
      <c r="AG164"/>
    </row>
    <row r="165" spans="2:33" s="52" customFormat="1" ht="14.4" customHeight="1" x14ac:dyDescent="0.3">
      <c r="B165" s="68" t="s">
        <v>168</v>
      </c>
      <c r="C165" s="68"/>
      <c r="U165" s="127" t="str">
        <f ca="1">_xll.DBR($C$131,$C$132,$C$133,psPRog,$B165)</f>
        <v>*KEY_ERR</v>
      </c>
      <c r="V165" s="127"/>
      <c r="W165" s="127"/>
      <c r="X165" s="127"/>
      <c r="Y165" s="127"/>
      <c r="Z165" s="127"/>
      <c r="AA165" s="127"/>
      <c r="AB165" s="127"/>
      <c r="AC165" s="127"/>
      <c r="AD165"/>
      <c r="AE165"/>
      <c r="AF165"/>
      <c r="AG165"/>
    </row>
    <row r="166" spans="2:33" s="52" customFormat="1" ht="17.399999999999999" customHeight="1" x14ac:dyDescent="0.3">
      <c r="B166" s="68" t="s">
        <v>169</v>
      </c>
      <c r="C166" s="68"/>
      <c r="U166" s="139" t="str">
        <f ca="1">_xll.DBR($C$131,$C$132,$C$133,psPRog,$B166)</f>
        <v>*KEY_ERR</v>
      </c>
      <c r="V166" s="139"/>
      <c r="W166" s="139"/>
      <c r="X166" s="139"/>
      <c r="Y166" s="139"/>
      <c r="Z166" s="139"/>
      <c r="AA166" s="139"/>
      <c r="AB166" s="139"/>
      <c r="AC166" s="139"/>
      <c r="AD166"/>
      <c r="AE166"/>
      <c r="AF166"/>
      <c r="AG166"/>
    </row>
    <row r="167" spans="2:33" s="52" customFormat="1" x14ac:dyDescent="0.3">
      <c r="B167" s="68" t="s">
        <v>170</v>
      </c>
      <c r="C167" s="68"/>
      <c r="U167" s="127" t="str">
        <f ca="1">_xll.DBR($C$131,$C$132,$C$133,psPRog,$B167)</f>
        <v>*KEY_ERR</v>
      </c>
      <c r="V167" s="127"/>
      <c r="W167" s="127"/>
      <c r="X167" s="127"/>
      <c r="Y167" s="127"/>
      <c r="Z167" s="127"/>
      <c r="AA167" s="127"/>
      <c r="AB167" s="127"/>
      <c r="AC167" s="127"/>
      <c r="AD167"/>
      <c r="AE167"/>
      <c r="AF167"/>
      <c r="AG167"/>
    </row>
    <row r="168" spans="2:33" s="52" customFormat="1" x14ac:dyDescent="0.3">
      <c r="B168" s="68" t="s">
        <v>171</v>
      </c>
      <c r="C168" s="68"/>
      <c r="U168" s="127" t="str">
        <f ca="1">_xll.DBR($C$131,$C$132,$C$133,psPRog,$B168)</f>
        <v>*KEY_ERR</v>
      </c>
      <c r="V168" s="127"/>
      <c r="W168" s="127"/>
      <c r="X168" s="127"/>
      <c r="Y168" s="127"/>
      <c r="Z168" s="127"/>
      <c r="AA168" s="127"/>
      <c r="AB168" s="127"/>
      <c r="AC168" s="127"/>
      <c r="AD168"/>
      <c r="AE168"/>
      <c r="AF168"/>
      <c r="AG168"/>
    </row>
    <row r="169" spans="2:33" s="52" customFormat="1" ht="14.4" customHeight="1" x14ac:dyDescent="0.3">
      <c r="B169" s="68" t="s">
        <v>172</v>
      </c>
      <c r="C169" s="68"/>
      <c r="U169" s="127" t="str">
        <f ca="1">_xll.DBR($C$131,$C$132,$C$133,psPRog,$B169)</f>
        <v>*KEY_ERR</v>
      </c>
      <c r="V169" s="127"/>
      <c r="W169" s="127"/>
      <c r="X169" s="127"/>
      <c r="Y169" s="127"/>
      <c r="Z169" s="127"/>
      <c r="AA169" s="127"/>
      <c r="AB169" s="127"/>
      <c r="AC169" s="127"/>
      <c r="AD169"/>
      <c r="AE169"/>
      <c r="AF169"/>
      <c r="AG169"/>
    </row>
    <row r="170" spans="2:33" s="52" customFormat="1" ht="26.4" customHeight="1" x14ac:dyDescent="0.3">
      <c r="B170" s="68" t="s">
        <v>126</v>
      </c>
      <c r="C170" s="68"/>
      <c r="U170" s="108" t="s">
        <v>93</v>
      </c>
      <c r="V170" s="128" t="str">
        <f ca="1">_xll.DBR($C$131,$C$132,$C$133,psPRog,$B170)</f>
        <v>*KEY_ERR</v>
      </c>
      <c r="W170" s="128"/>
      <c r="X170" s="128"/>
      <c r="Y170" s="128"/>
      <c r="Z170" s="128"/>
      <c r="AA170" s="128"/>
      <c r="AB170" s="128"/>
      <c r="AC170" s="128"/>
      <c r="AD170"/>
      <c r="AE170"/>
      <c r="AF170"/>
      <c r="AG170"/>
    </row>
    <row r="171" spans="2:33" s="52" customFormat="1" ht="24" customHeight="1" x14ac:dyDescent="0.3">
      <c r="B171" s="68" t="s">
        <v>127</v>
      </c>
      <c r="C171" s="68"/>
      <c r="U171" s="81" t="s">
        <v>94</v>
      </c>
      <c r="V171" s="129" t="str">
        <f ca="1">_xll.DBR($C$131,$C$132,$C$133,psPRog,$B171)</f>
        <v>*KEY_ERR</v>
      </c>
      <c r="W171" s="129"/>
      <c r="X171" s="129"/>
      <c r="Y171" s="129"/>
      <c r="Z171" s="129"/>
      <c r="AA171" s="129"/>
      <c r="AB171" s="129"/>
      <c r="AC171" s="129"/>
      <c r="AD171"/>
      <c r="AE171"/>
      <c r="AF171"/>
      <c r="AG171"/>
    </row>
    <row r="172" spans="2:33" s="52" customFormat="1" ht="79.95" customHeight="1" x14ac:dyDescent="0.3">
      <c r="B172" s="68" t="s">
        <v>128</v>
      </c>
      <c r="C172" s="68"/>
      <c r="U172" s="81" t="s">
        <v>95</v>
      </c>
      <c r="V172" s="129" t="str">
        <f ca="1">_xll.DBR($C$131,$C$132,$C$133,psPRog,$B172)</f>
        <v>*KEY_ERR</v>
      </c>
      <c r="W172" s="129"/>
      <c r="X172" s="129"/>
      <c r="Y172" s="129"/>
      <c r="Z172" s="129"/>
      <c r="AA172" s="129"/>
      <c r="AB172" s="129"/>
      <c r="AC172" s="129"/>
      <c r="AD172"/>
      <c r="AE172"/>
      <c r="AF172"/>
      <c r="AG172"/>
    </row>
    <row r="173" spans="2:33" s="52" customFormat="1" ht="100.05" customHeight="1" x14ac:dyDescent="0.3">
      <c r="B173" s="68" t="s">
        <v>129</v>
      </c>
      <c r="C173" s="68"/>
      <c r="U173" s="81" t="s">
        <v>96</v>
      </c>
      <c r="V173" s="129" t="str">
        <f ca="1">_xll.DBR($C$131,$C$132,$C$133,psPRog,$B173)</f>
        <v>*KEY_ERR</v>
      </c>
      <c r="W173" s="129"/>
      <c r="X173" s="129"/>
      <c r="Y173" s="129"/>
      <c r="Z173" s="129"/>
      <c r="AA173" s="129"/>
      <c r="AB173" s="129"/>
      <c r="AC173" s="129"/>
      <c r="AD173"/>
      <c r="AE173"/>
      <c r="AF173"/>
      <c r="AG173"/>
    </row>
    <row r="174" spans="2:33" s="52" customFormat="1" ht="28.8" customHeight="1" x14ac:dyDescent="0.3">
      <c r="B174" s="68" t="s">
        <v>130</v>
      </c>
      <c r="C174" s="68"/>
      <c r="U174" s="81" t="s">
        <v>97</v>
      </c>
      <c r="V174" s="129" t="str">
        <f ca="1">_xll.DBR($C$131,$C$132,$C$133,psPRog,$B174)</f>
        <v>*KEY_ERR</v>
      </c>
      <c r="W174" s="129"/>
      <c r="X174" s="129"/>
      <c r="Y174" s="129"/>
      <c r="Z174" s="129"/>
      <c r="AA174" s="129"/>
      <c r="AB174" s="129"/>
      <c r="AC174" s="129"/>
      <c r="AD174"/>
      <c r="AE174"/>
      <c r="AF174"/>
      <c r="AG174"/>
    </row>
    <row r="175" spans="2:33" s="52" customFormat="1" ht="14.4" customHeight="1" x14ac:dyDescent="0.3">
      <c r="B175" s="68" t="s">
        <v>131</v>
      </c>
      <c r="C175" s="68"/>
      <c r="U175" s="81" t="s">
        <v>98</v>
      </c>
      <c r="V175" s="129" t="str">
        <f ca="1">_xll.DBR($C$131,$C$132,$C$133,psPRog,$B175)</f>
        <v>*KEY_ERR</v>
      </c>
      <c r="W175" s="129"/>
      <c r="X175" s="129"/>
      <c r="Y175" s="129"/>
      <c r="Z175" s="129"/>
      <c r="AA175" s="129"/>
      <c r="AB175" s="129"/>
      <c r="AC175" s="129"/>
      <c r="AD175"/>
      <c r="AE175"/>
      <c r="AF175"/>
      <c r="AG175"/>
    </row>
    <row r="176" spans="2:33" s="52" customFormat="1" x14ac:dyDescent="0.3">
      <c r="B176" s="68" t="s">
        <v>132</v>
      </c>
      <c r="C176" s="68"/>
      <c r="U176" s="81" t="s">
        <v>179</v>
      </c>
      <c r="V176" s="129" t="str">
        <f ca="1">_xll.DBR($C$131,$C$132,$C$133,psPRog,$B176)</f>
        <v>*KEY_ERR</v>
      </c>
      <c r="W176" s="129"/>
      <c r="X176" s="129"/>
      <c r="Y176" s="129"/>
      <c r="Z176" s="129"/>
      <c r="AA176" s="129"/>
      <c r="AB176" s="129"/>
      <c r="AC176" s="129"/>
      <c r="AD176"/>
      <c r="AE176"/>
      <c r="AF176"/>
      <c r="AG176"/>
    </row>
    <row r="177" spans="1:29" ht="15.6" x14ac:dyDescent="0.3">
      <c r="B177" s="14"/>
      <c r="P177" s="56" t="s">
        <v>152</v>
      </c>
      <c r="S177" s="51"/>
      <c r="T177" s="51"/>
      <c r="W177" s="10"/>
      <c r="X177" s="10"/>
      <c r="Y177" s="10"/>
      <c r="Z177" s="10"/>
      <c r="AA177" s="12"/>
    </row>
    <row r="178" spans="1:29" x14ac:dyDescent="0.3">
      <c r="K178" s="69" t="s">
        <v>90</v>
      </c>
      <c r="L178" s="69" t="s">
        <v>91</v>
      </c>
      <c r="P178" s="70" t="s">
        <v>27</v>
      </c>
      <c r="Q178" s="70" t="s">
        <v>38</v>
      </c>
      <c r="R178" s="70" t="s">
        <v>34</v>
      </c>
      <c r="S178" s="70" t="s">
        <v>105</v>
      </c>
      <c r="T178" s="51"/>
      <c r="U178" s="88" t="s">
        <v>173</v>
      </c>
      <c r="V178" s="89" t="s">
        <v>34</v>
      </c>
      <c r="W178" s="63"/>
      <c r="X178" s="63"/>
      <c r="Y178" s="103" t="str">
        <f ca="1">psYr1</f>
        <v/>
      </c>
      <c r="Z178" s="118" t="str">
        <f ca="1">psYr2</f>
        <v/>
      </c>
      <c r="AA178" s="78" t="str">
        <f ca="1">psYr3</f>
        <v/>
      </c>
      <c r="AB178" s="78" t="str">
        <f ca="1">psYr4</f>
        <v/>
      </c>
      <c r="AC178" s="104" t="str">
        <f ca="1">psYr5</f>
        <v/>
      </c>
    </row>
    <row r="179" spans="1:29" x14ac:dyDescent="0.3">
      <c r="P179" s="63"/>
      <c r="Q179" s="63"/>
      <c r="R179" s="63"/>
      <c r="S179" s="63"/>
      <c r="T179" s="51"/>
      <c r="U179" s="63" t="s">
        <v>173</v>
      </c>
      <c r="V179" s="63"/>
      <c r="W179" s="63"/>
      <c r="X179" s="63"/>
      <c r="Y179" s="76" t="s">
        <v>161</v>
      </c>
      <c r="Z179" s="119" t="s">
        <v>157</v>
      </c>
      <c r="AA179" s="64" t="s">
        <v>162</v>
      </c>
      <c r="AB179" s="64" t="s">
        <v>163</v>
      </c>
      <c r="AC179" s="105" t="s">
        <v>164</v>
      </c>
    </row>
    <row r="180" spans="1:29" x14ac:dyDescent="0.3">
      <c r="P180" s="63"/>
      <c r="Q180" s="63"/>
      <c r="R180" s="63"/>
      <c r="S180" s="63"/>
      <c r="T180" s="51"/>
      <c r="U180" s="63"/>
      <c r="V180" s="63"/>
      <c r="Y180" s="77" t="s">
        <v>165</v>
      </c>
      <c r="Z180" s="120" t="s">
        <v>165</v>
      </c>
      <c r="AA180" s="65" t="s">
        <v>165</v>
      </c>
      <c r="AB180" s="65" t="s">
        <v>165</v>
      </c>
      <c r="AC180" s="106" t="s">
        <v>165</v>
      </c>
    </row>
    <row r="181" spans="1:29" ht="3" customHeight="1" x14ac:dyDescent="0.3">
      <c r="P181" s="63"/>
      <c r="Q181" s="63"/>
      <c r="R181" s="63"/>
      <c r="S181" s="63"/>
      <c r="T181" s="51"/>
      <c r="U181" s="63"/>
      <c r="V181" s="63"/>
      <c r="Y181" s="79"/>
      <c r="Z181" s="121"/>
      <c r="AA181" s="79"/>
      <c r="AB181" s="79"/>
      <c r="AC181" s="79"/>
    </row>
    <row r="182" spans="1:29" x14ac:dyDescent="0.3">
      <c r="B182" s="14"/>
      <c r="N182" s="15"/>
      <c r="O182" s="15"/>
      <c r="P182" s="54" t="str">
        <f ca="1">StartStage</f>
        <v/>
      </c>
      <c r="Q182" s="25" t="str">
        <f ca="1">sIDTotal</f>
        <v/>
      </c>
      <c r="R182" s="25" t="str">
        <f ca="1">psReason</f>
        <v/>
      </c>
      <c r="S182" s="60"/>
      <c r="T182" s="31"/>
      <c r="U182" s="94" t="str">
        <f ca="1">P182</f>
        <v/>
      </c>
      <c r="V182" s="94" t="s">
        <v>176</v>
      </c>
      <c r="Y182" s="101" t="str">
        <f ca="1">_xll.DBRW($C$72,$P182,$C$109,$C$110,$C$111,$C$112,$R182,$C$113,$C$114,$C$115,$C$116,$C$117,$Z$156,$C$119,$Q$182,$C$120,Y$178,$C$121)</f>
        <v/>
      </c>
      <c r="Z182" s="109" t="str">
        <f ca="1">_xll.DBRW($C$72,$P182,$C$109,$C$110,$C$111,$C$112,$R182,$C$113,$C$114,$C$115,$C$116,$C$117,$Z$156,$C$119,$Q$182,$C$120,Z$178,$C$121)</f>
        <v/>
      </c>
      <c r="AA182" s="100" t="str">
        <f ca="1">_xll.DBRW($C$72,$P182,$C$109,$C$110,$C$111,$C$112,$R182,$C$113,$C$114,$C$115,$C$116,$C$117,$Z$156,$C$119,$Q$182,$C$120,AA$178,$C$121)</f>
        <v/>
      </c>
      <c r="AB182" s="100" t="str">
        <f ca="1">_xll.DBRW($C$72,$P182,$C$109,$C$110,$C$111,$C$112,$R182,$C$113,$C$114,$C$115,$C$116,$C$117,$Z$156,$C$119,$Q$182,$C$120,AB$178,$C$121)</f>
        <v/>
      </c>
      <c r="AC182" s="102" t="str">
        <f ca="1">_xll.DBRW($C$72,$P182,$C$109,$C$110,$C$111,$C$112,$R182,$C$113,$C$114,$C$115,$C$116,$C$117,$Z$156,$C$119,$Q$182,$C$120,AC$178,$C$121)</f>
        <v/>
      </c>
    </row>
    <row r="183" spans="1:29" ht="4.5" customHeight="1" collapsed="1" x14ac:dyDescent="0.3">
      <c r="B183" s="14"/>
      <c r="N183" s="15"/>
      <c r="O183" s="15"/>
      <c r="P183" s="16"/>
      <c r="Q183" s="31"/>
      <c r="R183" s="31"/>
      <c r="S183" s="31"/>
      <c r="T183" s="31"/>
      <c r="U183" s="31"/>
      <c r="V183" s="31"/>
      <c r="Y183" s="26"/>
      <c r="Z183" s="122"/>
      <c r="AA183" s="26"/>
      <c r="AB183" s="26"/>
      <c r="AC183" s="26"/>
    </row>
    <row r="184" spans="1:29" hidden="1" outlineLevel="1" x14ac:dyDescent="0.3">
      <c r="P184" s="96" t="s">
        <v>144</v>
      </c>
      <c r="Q184" s="16"/>
      <c r="R184" s="16"/>
      <c r="S184" s="16"/>
      <c r="Z184" s="91"/>
    </row>
    <row r="185" spans="1:29" x14ac:dyDescent="0.3">
      <c r="A185" t="str">
        <f ca="1">"X"&amp;IF(_xll.TM1RPTELISCONSOLIDATED($R$185,$R185),IF(_xll.TM1RPTELLEV($R$185,$R185)&lt;=3,_xll.TM1RPTELLEV($R$185,$R185),"D"),"N")</f>
        <v>XN</v>
      </c>
      <c r="B185" s="37"/>
      <c r="C185" s="3"/>
      <c r="D185" s="3"/>
      <c r="E185" s="3"/>
      <c r="F185" s="3"/>
      <c r="G185" s="3"/>
      <c r="H185" s="3"/>
      <c r="I185" s="3"/>
      <c r="J185" s="3"/>
      <c r="K185" s="3" t="str">
        <f ca="1">"HL"&amp;LEFT($P185,9)</f>
        <v>HL</v>
      </c>
      <c r="L185" s="3" t="str">
        <f ca="1">TRIM(MID(P185,10,100))</f>
        <v/>
      </c>
      <c r="M185" s="3"/>
      <c r="O185" s="23"/>
      <c r="P185" s="97" t="str">
        <f ca="1">_xll.TM1RPTROW($C$71,db_name&amp;":"&amp;"reporting stage","",,"AE Stage Description",0,$H$58)</f>
        <v/>
      </c>
      <c r="Q185" s="98" t="str">
        <f ca="1">_xll.TM1RPTROW($C$71,db_name&amp;":"&amp;"id",,,,1,$C$101,,1)</f>
        <v/>
      </c>
      <c r="R185" s="97" t="str">
        <f ca="1">_xll.TM1RPTROW($C$71,db_name&amp;":"&amp;"reason",,," CBMS",1,$C$91)</f>
        <v/>
      </c>
      <c r="S185" s="99" t="str">
        <f ca="1">IF(R185="Total Reason","Total IDs","New Adjustments")</f>
        <v>New Adjustments</v>
      </c>
      <c r="T185" s="53"/>
      <c r="U185" s="75"/>
      <c r="V185" s="116" t="str">
        <f ca="1">IF($R185="Total Reason", "Total Adjustments",$R185)</f>
        <v/>
      </c>
      <c r="W185" s="117"/>
      <c r="X185" s="117"/>
      <c r="Y185" s="117" t="str">
        <f ca="1">_xll.DBRW($C$71,$P185,$C$109,$C$110,$C$111,$C$112,$R185,$C$113,$C$114,$C$115,$C$116,$C$117,$Z$156,$C$119,$S185,$C$120,Y$178,$C$121)</f>
        <v/>
      </c>
      <c r="Z185" s="123" t="str">
        <f ca="1">_xll.DBRW($C$71,$P185,$C$109,$C$110,$C$111,$C$112,$R185,$C$113,$C$114,$C$115,$C$116,$C$117,$Z$156,$C$119,$S185,$C$120,Z$178,$C$121)</f>
        <v/>
      </c>
      <c r="AA185" s="117" t="str">
        <f ca="1">_xll.DBRW($C$71,$P185,$C$109,$C$110,$C$111,$C$112,$R185,$C$113,$C$114,$C$115,$C$116,$C$117,$Z$156,$C$119,$S185,$C$120,AA$178,$C$121)</f>
        <v/>
      </c>
      <c r="AB185" s="117" t="str">
        <f ca="1">_xll.DBRW($C$71,$P185,$C$109,$C$110,$C$111,$C$112,$R185,$C$113,$C$114,$C$115,$C$116,$C$117,$Z$156,$C$119,$S185,$C$120,AB$178,$C$121)</f>
        <v/>
      </c>
      <c r="AC185" s="117" t="str">
        <f ca="1">_xll.DBRW($C$71,$P185,$C$109,$C$110,$C$111,$C$112,$R185,$C$113,$C$114,$C$115,$C$116,$C$117,$Z$156,$C$119,$S185,$C$120,AC$178,$C$121)</f>
        <v/>
      </c>
    </row>
    <row r="186" spans="1:29" x14ac:dyDescent="0.3">
      <c r="B186" s="14"/>
      <c r="N186" s="15"/>
      <c r="O186" s="15"/>
      <c r="P186" s="54" t="str">
        <f ca="1">+P185</f>
        <v/>
      </c>
      <c r="Q186" s="25" t="str">
        <f ca="1">sIDTotal</f>
        <v/>
      </c>
      <c r="R186" s="25" t="str">
        <f ca="1">psReason</f>
        <v/>
      </c>
      <c r="S186" s="60"/>
      <c r="T186" s="31"/>
      <c r="U186" s="126" t="str">
        <f ca="1">P186</f>
        <v/>
      </c>
      <c r="V186" s="126" t="str">
        <f ca="1">P186</f>
        <v/>
      </c>
      <c r="Y186" s="101" t="str">
        <f ca="1">_xll.DBRW($C$72,$P186,$C$109,$C$110,$C$111,$C$112,$R186,$C$113,$C$114,$C$115,$C$116,$C$117,$Z$156,$C$119,$Q$182,$C$120,Y$178,$C$121)</f>
        <v/>
      </c>
      <c r="Z186" s="109" t="str">
        <f ca="1">_xll.DBRW($C$72,$P186,$C$109,$C$110,$C$111,$C$112,$R186,$C$113,$C$114,$C$115,$C$116,$C$117,$Z$156,$C$119,$Q$182,$C$120,Z$178,$C$121)</f>
        <v/>
      </c>
      <c r="AA186" s="100" t="str">
        <f ca="1">_xll.DBRW($C$72,$P186,$C$109,$C$110,$C$111,$C$112,$R186,$C$113,$C$114,$C$115,$C$116,$C$117,$Z$156,$C$119,$Q$182,$C$120,AA$178,$C$121)</f>
        <v/>
      </c>
      <c r="AB186" s="100" t="str">
        <f ca="1">_xll.DBRW($C$72,$P186,$C$109,$C$110,$C$111,$C$112,$R186,$C$113,$C$114,$C$115,$C$116,$C$117,$Z$156,$C$119,$Q$182,$C$120,AB$178,$C$121)</f>
        <v/>
      </c>
      <c r="AC186" s="102" t="str">
        <f ca="1">_xll.DBRW($C$72,$P186,$C$109,$C$110,$C$111,$C$112,$R186,$C$113,$C$114,$C$115,$C$116,$C$117,$Z$156,$C$119,$Q$182,$C$120,AC$178,$C$121)</f>
        <v/>
      </c>
    </row>
    <row r="187" spans="1:29" collapsed="1" x14ac:dyDescent="0.3">
      <c r="B187" s="14"/>
      <c r="N187" s="15"/>
      <c r="O187" s="15"/>
      <c r="P187" s="16"/>
      <c r="Q187" s="31"/>
      <c r="R187" s="31"/>
      <c r="S187" s="31"/>
      <c r="T187" s="31"/>
      <c r="U187" s="55"/>
      <c r="V187" s="31"/>
      <c r="Y187" s="26"/>
      <c r="Z187" s="122"/>
      <c r="AA187" s="26"/>
      <c r="AB187" s="26"/>
      <c r="AC187" s="26"/>
    </row>
    <row r="188" spans="1:29" hidden="1" outlineLevel="1" x14ac:dyDescent="0.3">
      <c r="P188" s="96" t="s">
        <v>145</v>
      </c>
      <c r="Q188" s="16"/>
      <c r="R188" s="16"/>
      <c r="S188" s="16"/>
      <c r="Z188" s="91"/>
    </row>
    <row r="189" spans="1:29" ht="14.4" customHeight="1" x14ac:dyDescent="0.3">
      <c r="A189" t="str">
        <f ca="1">"X"&amp;IF(_xll.TM1RPTELISCONSOLIDATED($R$185,$R189),IF(_xll.TM1RPTELLEV($R$185,$R189)&lt;=3,_xll.TM1RPTELLEV($R$185,$R189),"D"),"N")</f>
        <v>XN</v>
      </c>
      <c r="B189" s="37"/>
      <c r="C189" s="3"/>
      <c r="D189" s="3"/>
      <c r="E189" s="3"/>
      <c r="F189" s="3"/>
      <c r="G189" s="3"/>
      <c r="H189" s="3"/>
      <c r="I189" s="3"/>
      <c r="J189" s="3"/>
      <c r="K189" s="3" t="str">
        <f ca="1">"HL"&amp;LEFT($P189,9)</f>
        <v>HL</v>
      </c>
      <c r="L189" s="3" t="str">
        <f ca="1">TRIM(MID(P189,10,100))</f>
        <v/>
      </c>
      <c r="M189" s="3"/>
      <c r="O189" s="23"/>
      <c r="P189" s="97" t="str">
        <f ca="1">_xll.TM1RPTROW($D$71,db_name&amp;":"&amp;"reporting stage","",,"AE Stage Description",0,$H$59)</f>
        <v/>
      </c>
      <c r="Q189" s="98" t="str">
        <f ca="1">_xll.TM1RPTROW($D$71,db_name&amp;":"&amp;"id",,,,1,$C$101,,1)</f>
        <v/>
      </c>
      <c r="R189" s="97" t="str">
        <f ca="1">_xll.TM1RPTROW($D$71,db_name&amp;":"&amp;"reason",,," CBMS",1,$C$91)</f>
        <v/>
      </c>
      <c r="S189" s="99" t="str">
        <f ca="1">IF(R189="Total Reason","Total IDs","New Adjustments")</f>
        <v>New Adjustments</v>
      </c>
      <c r="T189" s="53"/>
      <c r="U189" s="75"/>
      <c r="V189" s="116" t="str">
        <f ca="1">IF($R189="Total Reason", "Total Adjustments",$R189)</f>
        <v/>
      </c>
      <c r="W189" s="117"/>
      <c r="X189" s="117"/>
      <c r="Y189" s="117" t="str">
        <f ca="1">_xll.DBRW($D$71,$P189,$C$109,$C$110,$C$111,$C$112,$R189,$C$113,$C$114,$C$115,$C$116,$C$117,$Z$156,$C$119,$S189,$C$120,Y$178,$C$121)</f>
        <v/>
      </c>
      <c r="Z189" s="123" t="str">
        <f ca="1">_xll.DBRW($D$71,$P189,$C$109,$C$110,$C$111,$C$112,$R189,$C$113,$C$114,$C$115,$C$116,$C$117,$Z$156,$C$119,$S189,$C$120,Z$178,$C$121)</f>
        <v/>
      </c>
      <c r="AA189" s="117" t="str">
        <f ca="1">_xll.DBRW($D$71,$P189,$C$109,$C$110,$C$111,$C$112,$R189,$C$113,$C$114,$C$115,$C$116,$C$117,$Z$156,$C$119,$S189,$C$120,AA$178,$C$121)</f>
        <v/>
      </c>
      <c r="AB189" s="117" t="str">
        <f ca="1">_xll.DBRW($D$71,$P189,$C$109,$C$110,$C$111,$C$112,$R189,$C$113,$C$114,$C$115,$C$116,$C$117,$Z$156,$C$119,$S189,$C$120,AB$178,$C$121)</f>
        <v/>
      </c>
      <c r="AC189" s="117" t="str">
        <f ca="1">_xll.DBRW($D$71,$P189,$C$109,$C$110,$C$111,$C$112,$R189,$C$113,$C$114,$C$115,$C$116,$C$117,$Z$156,$C$119,$S189,$C$120,AC$178,$C$121)</f>
        <v/>
      </c>
    </row>
    <row r="190" spans="1:29" x14ac:dyDescent="0.3">
      <c r="B190" s="14"/>
      <c r="N190" s="15"/>
      <c r="O190" s="15"/>
      <c r="P190" s="54" t="str">
        <f ca="1">+P189</f>
        <v/>
      </c>
      <c r="Q190" s="25" t="str">
        <f ca="1">sIDTotal</f>
        <v/>
      </c>
      <c r="R190" s="25" t="str">
        <f ca="1">psReason</f>
        <v/>
      </c>
      <c r="S190" s="60"/>
      <c r="T190" s="31"/>
      <c r="U190" s="126" t="str">
        <f ca="1">P190</f>
        <v/>
      </c>
      <c r="V190" s="126" t="str">
        <f ca="1">P190</f>
        <v/>
      </c>
      <c r="Y190" s="101" t="str">
        <f ca="1">_xll.DBRW($C$72,$P190,$C$109,$C$110,$C$111,$C$112,$R190,$C$113,$C$114,$C$115,$C$116,$C$117,$Z$156,$C$119,$Q$182,$C$120,Y$178,$C$121)</f>
        <v/>
      </c>
      <c r="Z190" s="109" t="str">
        <f ca="1">_xll.DBRW($C$72,$P190,$C$109,$C$110,$C$111,$C$112,$R190,$C$113,$C$114,$C$115,$C$116,$C$117,$Z$156,$C$119,$Q$182,$C$120,Z$178,$C$121)</f>
        <v/>
      </c>
      <c r="AA190" s="100" t="str">
        <f ca="1">_xll.DBRW($C$72,$P190,$C$109,$C$110,$C$111,$C$112,$R190,$C$113,$C$114,$C$115,$C$116,$C$117,$Z$156,$C$119,$Q$182,$C$120,AA$178,$C$121)</f>
        <v/>
      </c>
      <c r="AB190" s="100" t="str">
        <f ca="1">_xll.DBRW($C$72,$P190,$C$109,$C$110,$C$111,$C$112,$R190,$C$113,$C$114,$C$115,$C$116,$C$117,$Z$156,$C$119,$Q$182,$C$120,AB$178,$C$121)</f>
        <v/>
      </c>
      <c r="AC190" s="102" t="str">
        <f ca="1">_xll.DBRW($C$72,$P190,$C$109,$C$110,$C$111,$C$112,$R190,$C$113,$C$114,$C$115,$C$116,$C$117,$Z$156,$C$119,$Q$182,$C$120,AC$178,$C$121)</f>
        <v/>
      </c>
    </row>
    <row r="191" spans="1:29" collapsed="1" x14ac:dyDescent="0.3">
      <c r="B191" s="14"/>
      <c r="N191" s="15"/>
      <c r="O191" s="15"/>
      <c r="P191" s="16"/>
      <c r="Q191" s="31"/>
      <c r="R191" s="31"/>
      <c r="S191" s="31"/>
      <c r="T191" s="31"/>
      <c r="U191" s="55"/>
      <c r="V191" s="55"/>
      <c r="Y191" s="26"/>
      <c r="Z191" s="122"/>
      <c r="AA191" s="26"/>
      <c r="AB191" s="26"/>
      <c r="AC191" s="26"/>
    </row>
    <row r="192" spans="1:29" hidden="1" outlineLevel="1" x14ac:dyDescent="0.3">
      <c r="P192" s="96" t="s">
        <v>146</v>
      </c>
      <c r="Q192" s="16"/>
      <c r="R192" s="16"/>
      <c r="S192" s="16"/>
      <c r="Z192" s="91"/>
    </row>
    <row r="193" spans="1:29" ht="14.4" customHeight="1" x14ac:dyDescent="0.3">
      <c r="A193" t="str">
        <f ca="1">"X"&amp;IF(_xll.TM1RPTELISCONSOLIDATED($R$185,$R193),IF(_xll.TM1RPTELLEV($R$185,$R193)&lt;=3,_xll.TM1RPTELLEV($R$185,$R193),"D"),"N")</f>
        <v>XN</v>
      </c>
      <c r="B193" s="37"/>
      <c r="C193" s="3"/>
      <c r="D193" s="3"/>
      <c r="E193" s="3"/>
      <c r="F193" s="3"/>
      <c r="G193" s="3"/>
      <c r="H193" s="3"/>
      <c r="I193" s="3"/>
      <c r="J193" s="3"/>
      <c r="K193" s="3" t="str">
        <f ca="1">"HL"&amp;LEFT($P193,9)</f>
        <v>HL</v>
      </c>
      <c r="L193" s="3" t="str">
        <f ca="1">TRIM(MID(P193,10,100))</f>
        <v/>
      </c>
      <c r="M193" s="3"/>
      <c r="O193" s="23"/>
      <c r="P193" s="97" t="str">
        <f ca="1">_xll.TM1RPTROW($E$71,db_name&amp;":"&amp;"reporting stage","",,"AE Stage Description",0,$H$60)</f>
        <v/>
      </c>
      <c r="Q193" s="98" t="str">
        <f ca="1">_xll.TM1RPTROW($E$71,db_name&amp;":"&amp;"id",,,,1,$C$101,,1)</f>
        <v/>
      </c>
      <c r="R193" s="97" t="str">
        <f ca="1">_xll.TM1RPTROW($E$71,db_name&amp;":"&amp;"reason",,," CBMS",1,$C$91)</f>
        <v/>
      </c>
      <c r="S193" s="99" t="str">
        <f ca="1">IF(R193="Total Reason","Total IDs","New Adjustments")</f>
        <v>New Adjustments</v>
      </c>
      <c r="T193" s="53"/>
      <c r="U193" s="75"/>
      <c r="V193" s="116" t="str">
        <f ca="1">IF($R193="Total Reason", "Total Adjustments",$R193)</f>
        <v/>
      </c>
      <c r="W193" s="117"/>
      <c r="X193" s="117"/>
      <c r="Y193" s="117" t="str">
        <f ca="1">_xll.DBRW($E$71,$P193,$C$109,$C$110,$C$111,$C$112,$R193,$C$113,$C$114,$C$115,$C$116,$C$117,$Z$156,$C$119,$S193,$C$120,Y$178,$C$121)</f>
        <v/>
      </c>
      <c r="Z193" s="123" t="str">
        <f ca="1">_xll.DBRW($E$71,$P193,$C$109,$C$110,$C$111,$C$112,$R193,$C$113,$C$114,$C$115,$C$116,$C$117,$Z$156,$C$119,$S193,$C$120,Z$178,$C$121)</f>
        <v/>
      </c>
      <c r="AA193" s="117" t="str">
        <f ca="1">_xll.DBRW($E$71,$P193,$C$109,$C$110,$C$111,$C$112,$R193,$C$113,$C$114,$C$115,$C$116,$C$117,$Z$156,$C$119,$S193,$C$120,AA$178,$C$121)</f>
        <v/>
      </c>
      <c r="AB193" s="117" t="str">
        <f ca="1">_xll.DBRW($E$71,$P193,$C$109,$C$110,$C$111,$C$112,$R193,$C$113,$C$114,$C$115,$C$116,$C$117,$Z$156,$C$119,$S193,$C$120,AB$178,$C$121)</f>
        <v/>
      </c>
      <c r="AC193" s="117" t="str">
        <f ca="1">_xll.DBRW($E$71,$P193,$C$109,$C$110,$C$111,$C$112,$R193,$C$113,$C$114,$C$115,$C$116,$C$117,$Z$156,$C$119,$S193,$C$120,AC$178,$C$121)</f>
        <v/>
      </c>
    </row>
    <row r="194" spans="1:29" x14ac:dyDescent="0.3">
      <c r="B194" s="14"/>
      <c r="N194" s="15"/>
      <c r="O194" s="15"/>
      <c r="P194" s="54" t="str">
        <f ca="1">+P193</f>
        <v/>
      </c>
      <c r="Q194" s="25" t="str">
        <f ca="1">sIDTotal</f>
        <v/>
      </c>
      <c r="R194" s="25" t="str">
        <f ca="1">psReason</f>
        <v/>
      </c>
      <c r="S194" s="60"/>
      <c r="T194" s="31"/>
      <c r="U194" s="126" t="str">
        <f ca="1">P194</f>
        <v/>
      </c>
      <c r="V194" s="126" t="str">
        <f ca="1">P194</f>
        <v/>
      </c>
      <c r="Y194" s="101" t="str">
        <f ca="1">_xll.DBRW($C$72,$P194,$C$109,$C$110,$C$111,$C$112,$R194,$C$113,$C$114,$C$115,$C$116,$C$117,$Z$156,$C$119,$Q$182,$C$120,Y$178,$C$121)</f>
        <v/>
      </c>
      <c r="Z194" s="109" t="str">
        <f ca="1">_xll.DBRW($C$72,$P194,$C$109,$C$110,$C$111,$C$112,$R194,$C$113,$C$114,$C$115,$C$116,$C$117,$Z$156,$C$119,$Q$182,$C$120,Z$178,$C$121)</f>
        <v/>
      </c>
      <c r="AA194" s="100" t="str">
        <f ca="1">_xll.DBRW($C$72,$P194,$C$109,$C$110,$C$111,$C$112,$R194,$C$113,$C$114,$C$115,$C$116,$C$117,$Z$156,$C$119,$Q$182,$C$120,AA$178,$C$121)</f>
        <v/>
      </c>
      <c r="AB194" s="100" t="str">
        <f ca="1">_xll.DBRW($C$72,$P194,$C$109,$C$110,$C$111,$C$112,$R194,$C$113,$C$114,$C$115,$C$116,$C$117,$Z$156,$C$119,$Q$182,$C$120,AB$178,$C$121)</f>
        <v/>
      </c>
      <c r="AC194" s="102" t="str">
        <f ca="1">_xll.DBRW($C$72,$P194,$C$109,$C$110,$C$111,$C$112,$R194,$C$113,$C$114,$C$115,$C$116,$C$117,$Z$156,$C$119,$Q$182,$C$120,AC$178,$C$121)</f>
        <v/>
      </c>
    </row>
    <row r="195" spans="1:29" collapsed="1" x14ac:dyDescent="0.3">
      <c r="B195" s="14"/>
      <c r="N195" s="15"/>
      <c r="O195" s="15"/>
      <c r="P195" s="16"/>
      <c r="Q195" s="31"/>
      <c r="R195" s="31"/>
      <c r="S195" s="31"/>
      <c r="T195" s="31"/>
      <c r="U195" s="55"/>
      <c r="V195" s="55"/>
      <c r="Y195" s="26"/>
      <c r="Z195" s="122"/>
      <c r="AA195" s="26"/>
      <c r="AB195" s="26"/>
      <c r="AC195" s="26"/>
    </row>
    <row r="196" spans="1:29" hidden="1" outlineLevel="1" x14ac:dyDescent="0.3">
      <c r="P196" s="96" t="s">
        <v>147</v>
      </c>
      <c r="Q196" s="16"/>
      <c r="R196" s="16"/>
      <c r="S196" s="16"/>
      <c r="Z196" s="91"/>
    </row>
    <row r="197" spans="1:29" ht="14.4" customHeight="1" x14ac:dyDescent="0.3">
      <c r="A197" t="str">
        <f ca="1">"X"&amp;IF(_xll.TM1RPTELISCONSOLIDATED($R$185,$R197),IF(_xll.TM1RPTELLEV($R$185,$R197)&lt;=3,_xll.TM1RPTELLEV($R$185,$R197),"D"),"N")</f>
        <v>XN</v>
      </c>
      <c r="B197" s="37"/>
      <c r="C197" s="3"/>
      <c r="D197" s="3"/>
      <c r="E197" s="3"/>
      <c r="F197" s="3"/>
      <c r="G197" s="3"/>
      <c r="H197" s="3"/>
      <c r="I197" s="3"/>
      <c r="J197" s="3"/>
      <c r="K197" s="3" t="str">
        <f ca="1">"HL"&amp;LEFT($P197,9)</f>
        <v>HL</v>
      </c>
      <c r="L197" s="3" t="str">
        <f ca="1">TRIM(MID(P197,10,100))</f>
        <v/>
      </c>
      <c r="M197" s="3" t="str">
        <f ca="1">_xll.DBR($C$137,$K197,$L197,$Q197,#REF!)</f>
        <v>*KEY_ERR</v>
      </c>
      <c r="O197" s="23"/>
      <c r="P197" s="97" t="str">
        <f ca="1">_xll.TM1RPTROW($F$71,db_name&amp;":"&amp;"reporting stage","",,"AE Stage Description",0,$H$61)</f>
        <v/>
      </c>
      <c r="Q197" s="98" t="str">
        <f ca="1">_xll.TM1RPTROW($F$71,db_name&amp;":"&amp;"id",,,,1,$C$101,,1)</f>
        <v/>
      </c>
      <c r="R197" s="97" t="str">
        <f ca="1">_xll.TM1RPTROW($F$71,db_name&amp;":"&amp;"reason",,," CBMS",1,$C$91)</f>
        <v/>
      </c>
      <c r="S197" s="99" t="str">
        <f ca="1">IF(R197="Total Reason","Total IDs","New Adjustments")</f>
        <v>New Adjustments</v>
      </c>
      <c r="T197" s="53"/>
      <c r="U197" s="75"/>
      <c r="V197" s="116" t="str">
        <f t="shared" ref="V197" ca="1" si="3">IF($R197="Total Reason", "Total Adjustments",$R197)</f>
        <v/>
      </c>
      <c r="W197" s="117"/>
      <c r="X197" s="117"/>
      <c r="Y197" s="117" t="str">
        <f ca="1">_xll.DBRW($F$71,$P197,$C$109,$C$110,$C$111,$C$112,$R197,$C$113,$C$114,$C$115,$C$116,$C$117,$Z$156,$C$119,$S197,$C$120,Y$178,$C$121)</f>
        <v/>
      </c>
      <c r="Z197" s="123" t="str">
        <f ca="1">_xll.DBRW($F$71,$P197,$C$109,$C$110,$C$111,$C$112,$R197,$C$113,$C$114,$C$115,$C$116,$C$117,$Z$156,$C$119,$S197,$C$120,Z$178,$C$121)</f>
        <v/>
      </c>
      <c r="AA197" s="117" t="str">
        <f ca="1">_xll.DBRW($F$71,$P197,$C$109,$C$110,$C$111,$C$112,$R197,$C$113,$C$114,$C$115,$C$116,$C$117,$Z$156,$C$119,$S197,$C$120,AA$178,$C$121)</f>
        <v/>
      </c>
      <c r="AB197" s="117" t="str">
        <f ca="1">_xll.DBRW($F$71,$P197,$C$109,$C$110,$C$111,$C$112,$R197,$C$113,$C$114,$C$115,$C$116,$C$117,$Z$156,$C$119,$S197,$C$120,AB$178,$C$121)</f>
        <v/>
      </c>
      <c r="AC197" s="117" t="str">
        <f ca="1">_xll.DBRW($F$71,$P197,$C$109,$C$110,$C$111,$C$112,$R197,$C$113,$C$114,$C$115,$C$116,$C$117,$Z$156,$C$119,$S197,$C$120,AC$178,$C$121)</f>
        <v/>
      </c>
    </row>
    <row r="198" spans="1:29" x14ac:dyDescent="0.3">
      <c r="B198" s="14"/>
      <c r="N198" s="15"/>
      <c r="O198" s="15"/>
      <c r="P198" s="24" t="str">
        <f ca="1">+P197</f>
        <v/>
      </c>
      <c r="Q198" s="25" t="str">
        <f ca="1">sIDTotal</f>
        <v/>
      </c>
      <c r="R198" s="25" t="str">
        <f ca="1">psReason</f>
        <v/>
      </c>
      <c r="S198" s="60"/>
      <c r="T198" s="31"/>
      <c r="U198" s="126" t="str">
        <f ca="1">P198</f>
        <v/>
      </c>
      <c r="V198" s="126" t="str">
        <f ca="1">P198</f>
        <v/>
      </c>
      <c r="Y198" s="101" t="str">
        <f ca="1">_xll.DBRW($C$72,$P198,$C$109,$C$110,$C$111,$C$112,$R198,$C$113,$C$114,$C$115,$C$116,$C$117,$Z$156,$C$119,$Q$182,$C$120,Y$178,$C$121)</f>
        <v/>
      </c>
      <c r="Z198" s="109" t="str">
        <f ca="1">_xll.DBRW($C$72,$P198,$C$109,$C$110,$C$111,$C$112,$R198,$C$113,$C$114,$C$115,$C$116,$C$117,$Z$156,$C$119,$Q$182,$C$120,Z$178,$C$121)</f>
        <v/>
      </c>
      <c r="AA198" s="100" t="str">
        <f ca="1">_xll.DBRW($C$72,$P198,$C$109,$C$110,$C$111,$C$112,$R198,$C$113,$C$114,$C$115,$C$116,$C$117,$Z$156,$C$119,$Q$182,$C$120,AA$178,$C$121)</f>
        <v/>
      </c>
      <c r="AB198" s="100" t="str">
        <f ca="1">_xll.DBRW($C$72,$P198,$C$109,$C$110,$C$111,$C$112,$R198,$C$113,$C$114,$C$115,$C$116,$C$117,$Z$156,$C$119,$Q$182,$C$120,AB$178,$C$121)</f>
        <v/>
      </c>
      <c r="AC198" s="102" t="str">
        <f ca="1">_xll.DBRW($C$72,$P198,$C$109,$C$110,$C$111,$C$112,$R198,$C$113,$C$114,$C$115,$C$116,$C$117,$Z$156,$C$119,$Q$182,$C$120,AC$178,$C$121)</f>
        <v/>
      </c>
    </row>
    <row r="199" spans="1:29" collapsed="1" x14ac:dyDescent="0.3">
      <c r="B199" s="14"/>
      <c r="N199" s="15"/>
      <c r="O199" s="15"/>
      <c r="P199" s="16"/>
      <c r="Q199" s="31"/>
      <c r="R199" s="31"/>
      <c r="S199" s="31"/>
      <c r="T199" s="31"/>
      <c r="U199" s="55"/>
      <c r="V199" s="90"/>
      <c r="Y199" s="26"/>
      <c r="Z199" s="122"/>
      <c r="AA199" s="26"/>
      <c r="AB199" s="26"/>
      <c r="AC199" s="26"/>
    </row>
    <row r="200" spans="1:29" hidden="1" outlineLevel="1" x14ac:dyDescent="0.3">
      <c r="P200" s="96" t="s">
        <v>148</v>
      </c>
      <c r="Q200" s="16"/>
      <c r="R200" s="16"/>
      <c r="S200" s="16"/>
      <c r="Z200" s="91"/>
    </row>
    <row r="201" spans="1:29" ht="14.4" customHeight="1" x14ac:dyDescent="0.3">
      <c r="A201" t="str">
        <f ca="1">"X"&amp;IF(_xll.TM1RPTELISCONSOLIDATED($R$185,$R201),IF(_xll.TM1RPTELLEV($R$185,$R201)&lt;=3,_xll.TM1RPTELLEV($R$185,$R201),"D"),"N")</f>
        <v>XN</v>
      </c>
      <c r="B201" s="37"/>
      <c r="C201" s="3"/>
      <c r="D201" s="3"/>
      <c r="E201" s="3"/>
      <c r="F201" s="3"/>
      <c r="G201" s="3"/>
      <c r="H201" s="3"/>
      <c r="I201" s="3"/>
      <c r="J201" s="3"/>
      <c r="K201" s="3" t="str">
        <f ca="1">"HL"&amp;LEFT($P201,9)</f>
        <v>HL</v>
      </c>
      <c r="L201" s="3" t="str">
        <f ca="1">TRIM(MID(P201,10,100))</f>
        <v/>
      </c>
      <c r="M201" s="3" t="str">
        <f ca="1">_xll.DBR($C$137,$K201,$L201,$Q201,#REF!)</f>
        <v>*KEY_ERR</v>
      </c>
      <c r="O201" s="23"/>
      <c r="P201" s="97" t="str">
        <f ca="1">_xll.TM1RPTROW($G$71,db_name&amp;":"&amp;"reporting stage","",,"AE Stage Description",0,$H$62)</f>
        <v/>
      </c>
      <c r="Q201" s="98" t="str">
        <f ca="1">_xll.TM1RPTROW($G$71,db_name&amp;":"&amp;"id",,,,1,$C$101,,1)</f>
        <v/>
      </c>
      <c r="R201" s="97" t="str">
        <f ca="1">_xll.TM1RPTROW($G$71,db_name&amp;":"&amp;"reason",,," CBMS",1,$C$91)</f>
        <v/>
      </c>
      <c r="S201" s="99" t="str">
        <f ca="1">IF(R201="Total Reason","Total IDs","New Adjustments")</f>
        <v>New Adjustments</v>
      </c>
      <c r="T201" s="53"/>
      <c r="U201" s="75"/>
      <c r="V201" s="116" t="str">
        <f t="shared" ref="V201" ca="1" si="4">IF($R201="Total Reason", "Total Adjustments",$R201)</f>
        <v/>
      </c>
      <c r="W201" s="117"/>
      <c r="X201" s="117"/>
      <c r="Y201" s="117" t="str">
        <f ca="1">_xll.DBRW($G$71,$P201,$C$109,$C$110,$C$111,$C$112,$R201,$C$113,$C$114,$C$115,$C$116,$C$117,$Z$156,$C$119,$S201,$C$120,Y$178,$C$121)</f>
        <v/>
      </c>
      <c r="Z201" s="123" t="str">
        <f ca="1">_xll.DBRW($G$71,$P201,$C$109,$C$110,$C$111,$C$112,$R201,$C$113,$C$114,$C$115,$C$116,$C$117,$Z$156,$C$119,$S201,$C$120,Z$178,$C$121)</f>
        <v/>
      </c>
      <c r="AA201" s="117" t="str">
        <f ca="1">_xll.DBRW($G$71,$P201,$C$109,$C$110,$C$111,$C$112,$R201,$C$113,$C$114,$C$115,$C$116,$C$117,$Z$156,$C$119,$S201,$C$120,AA$178,$C$121)</f>
        <v/>
      </c>
      <c r="AB201" s="117" t="str">
        <f ca="1">_xll.DBRW($G$71,$P201,$C$109,$C$110,$C$111,$C$112,$R201,$C$113,$C$114,$C$115,$C$116,$C$117,$Z$156,$C$119,$S201,$C$120,AB$178,$C$121)</f>
        <v/>
      </c>
      <c r="AC201" s="117" t="str">
        <f ca="1">_xll.DBRW($G$71,$P201,$C$109,$C$110,$C$111,$C$112,$R201,$C$113,$C$114,$C$115,$C$116,$C$117,$Z$156,$C$119,$S201,$C$120,AC$178,$C$121)</f>
        <v/>
      </c>
    </row>
    <row r="202" spans="1:29" x14ac:dyDescent="0.3">
      <c r="B202" s="14"/>
      <c r="N202" s="15"/>
      <c r="O202" s="15"/>
      <c r="P202" s="24" t="str">
        <f ca="1">+P201</f>
        <v/>
      </c>
      <c r="Q202" s="25" t="str">
        <f ca="1">sIDTotal</f>
        <v/>
      </c>
      <c r="R202" s="25" t="str">
        <f ca="1">psReason</f>
        <v/>
      </c>
      <c r="S202" s="60"/>
      <c r="T202" s="31"/>
      <c r="U202" s="126" t="str">
        <f ca="1">P202</f>
        <v/>
      </c>
      <c r="V202" s="126" t="str">
        <f ca="1">P202</f>
        <v/>
      </c>
      <c r="Y202" s="101" t="str">
        <f ca="1">_xll.DBRW($C$72,$P202,$C$109,$C$110,$C$111,$C$112,$R202,$C$113,$C$114,$C$115,$C$116,$C$117,$Z$156,$C$119,$Q$182,$C$120,Y$178,$C$121)</f>
        <v/>
      </c>
      <c r="Z202" s="109" t="str">
        <f ca="1">_xll.DBRW($C$72,$P202,$C$109,$C$110,$C$111,$C$112,$R202,$C$113,$C$114,$C$115,$C$116,$C$117,$Z$156,$C$119,$Q$182,$C$120,Z$178,$C$121)</f>
        <v/>
      </c>
      <c r="AA202" s="100" t="str">
        <f ca="1">_xll.DBRW($C$72,$P202,$C$109,$C$110,$C$111,$C$112,$R202,$C$113,$C$114,$C$115,$C$116,$C$117,$Z$156,$C$119,$Q$182,$C$120,AA$178,$C$121)</f>
        <v/>
      </c>
      <c r="AB202" s="100" t="str">
        <f ca="1">_xll.DBRW($C$72,$P202,$C$109,$C$110,$C$111,$C$112,$R202,$C$113,$C$114,$C$115,$C$116,$C$117,$Z$156,$C$119,$Q$182,$C$120,AB$178,$C$121)</f>
        <v/>
      </c>
      <c r="AC202" s="102" t="str">
        <f ca="1">_xll.DBRW($C$72,$P202,$C$109,$C$110,$C$111,$C$112,$R202,$C$113,$C$114,$C$115,$C$116,$C$117,$Z$156,$C$119,$Q$182,$C$120,AC$178,$C$121)</f>
        <v/>
      </c>
    </row>
    <row r="203" spans="1:29" collapsed="1" x14ac:dyDescent="0.3">
      <c r="B203" s="14"/>
      <c r="N203" s="15"/>
      <c r="O203" s="15"/>
      <c r="P203" s="16"/>
      <c r="Q203" s="31"/>
      <c r="R203" s="31"/>
      <c r="S203" s="31"/>
      <c r="T203" s="31"/>
      <c r="U203" s="55"/>
      <c r="V203" s="55"/>
      <c r="Y203" s="26"/>
      <c r="Z203" s="122"/>
      <c r="AA203" s="26"/>
      <c r="AB203" s="26"/>
      <c r="AC203" s="26"/>
    </row>
    <row r="204" spans="1:29" hidden="1" outlineLevel="1" x14ac:dyDescent="0.3">
      <c r="P204" s="96" t="s">
        <v>150</v>
      </c>
      <c r="Q204" s="16"/>
      <c r="R204" s="16"/>
      <c r="S204" s="16"/>
      <c r="Z204" s="91"/>
    </row>
    <row r="205" spans="1:29" ht="14.4" customHeight="1" x14ac:dyDescent="0.3">
      <c r="A205" t="str">
        <f ca="1">"X"&amp;IF(_xll.TM1RPTELISCONSOLIDATED($R$185,$R205),IF(_xll.TM1RPTELLEV($R$185,$R205)&lt;=3,_xll.TM1RPTELLEV($R$185,$R205),"D"),"N")</f>
        <v>XN</v>
      </c>
      <c r="B205" s="37"/>
      <c r="C205" s="3"/>
      <c r="D205" s="3"/>
      <c r="E205" s="3"/>
      <c r="F205" s="3"/>
      <c r="G205" s="3"/>
      <c r="H205" s="3"/>
      <c r="I205" s="3"/>
      <c r="J205" s="3"/>
      <c r="K205" s="3" t="str">
        <f ca="1">"HL"&amp;LEFT($P205,9)</f>
        <v>HL</v>
      </c>
      <c r="L205" s="3" t="str">
        <f ca="1">TRIM(MID(P205,10,100))</f>
        <v/>
      </c>
      <c r="M205" s="3" t="str">
        <f ca="1">_xll.DBR($C$137,$K205,$L205,$Q205,#REF!)</f>
        <v>*KEY_ERR</v>
      </c>
      <c r="O205" s="23"/>
      <c r="P205" s="97" t="str">
        <f ca="1">_xll.TM1RPTROW($H$71,db_name&amp;":"&amp;"reporting stage","",,"AE Stage Description",0,$H$63)</f>
        <v/>
      </c>
      <c r="Q205" s="98" t="str">
        <f ca="1">_xll.TM1RPTROW($H$71,db_name&amp;":"&amp;"id",,,,1,$C$101,,1)</f>
        <v/>
      </c>
      <c r="R205" s="97" t="str">
        <f ca="1">_xll.TM1RPTROW($H$71,db_name&amp;":"&amp;"reason",,," CBMS",1,$C$91)</f>
        <v/>
      </c>
      <c r="S205" s="99" t="str">
        <f ca="1">IF(R205="Total Reason","Total IDs","New Adjustments")</f>
        <v>New Adjustments</v>
      </c>
      <c r="T205" s="53"/>
      <c r="U205" s="75"/>
      <c r="V205" s="116" t="str">
        <f t="shared" ref="V205" ca="1" si="5">IF($R205="Total Reason", "Total Adjustments",$R205)</f>
        <v/>
      </c>
      <c r="W205" s="117"/>
      <c r="X205" s="117"/>
      <c r="Y205" s="117" t="str">
        <f ca="1">_xll.DBRW($H$71,$P205,$C$109,$C$110,$C$111,$C$112,$R205,$C$113,$C$114,$C$115,$C$116,$C$117,$Z$156,$C$119,$S205,$C$120,Y$178,$C$121)</f>
        <v/>
      </c>
      <c r="Z205" s="123" t="str">
        <f ca="1">_xll.DBRW($H$71,$P205,$C$109,$C$110,$C$111,$C$112,$R205,$C$113,$C$114,$C$115,$C$116,$C$117,$Z$156,$C$119,$S205,$C$120,Z$178,$C$121)</f>
        <v/>
      </c>
      <c r="AA205" s="117" t="str">
        <f ca="1">_xll.DBRW($H$71,$P205,$C$109,$C$110,$C$111,$C$112,$R205,$C$113,$C$114,$C$115,$C$116,$C$117,$Z$156,$C$119,$S205,$C$120,AA$178,$C$121)</f>
        <v/>
      </c>
      <c r="AB205" s="117" t="str">
        <f ca="1">_xll.DBRW($H$71,$P205,$C$109,$C$110,$C$111,$C$112,$R205,$C$113,$C$114,$C$115,$C$116,$C$117,$Z$156,$C$119,$S205,$C$120,AB$178,$C$121)</f>
        <v/>
      </c>
      <c r="AC205" s="117" t="str">
        <f ca="1">_xll.DBRW($H$71,$P205,$C$109,$C$110,$C$111,$C$112,$R205,$C$113,$C$114,$C$115,$C$116,$C$117,$Z$156,$C$119,$S205,$C$120,AC$178,$C$121)</f>
        <v/>
      </c>
    </row>
    <row r="206" spans="1:29" x14ac:dyDescent="0.3">
      <c r="B206" s="14"/>
      <c r="N206" s="15"/>
      <c r="O206" s="15"/>
      <c r="P206" s="24" t="str">
        <f ca="1">+P205</f>
        <v/>
      </c>
      <c r="Q206" s="25" t="str">
        <f ca="1">sIDTotal</f>
        <v/>
      </c>
      <c r="R206" s="25" t="str">
        <f ca="1">psReason</f>
        <v/>
      </c>
      <c r="S206" s="60"/>
      <c r="T206" s="31"/>
      <c r="U206" s="95" t="str">
        <f ca="1">P206</f>
        <v/>
      </c>
      <c r="V206" s="95"/>
      <c r="Y206" s="101" t="str">
        <f ca="1">_xll.DBRW($C$72,$P206,$C$109,$C$110,$C$111,$C$112,$R206,$C$113,$C$114,$C$115,$C$116,$C$117,$Z$156,$C$119,$Q$182,$C$120,Y$178,$C$121)</f>
        <v/>
      </c>
      <c r="Z206" s="109" t="str">
        <f ca="1">_xll.DBRW($C$72,$P206,$C$109,$C$110,$C$111,$C$112,$R206,$C$113,$C$114,$C$115,$C$116,$C$117,$Z$156,$C$119,$Q$182,$C$120,Z$178,$C$121)</f>
        <v/>
      </c>
      <c r="AA206" s="100" t="str">
        <f ca="1">_xll.DBRW($C$72,$P206,$C$109,$C$110,$C$111,$C$112,$R206,$C$113,$C$114,$C$115,$C$116,$C$117,$Z$156,$C$119,$Q$182,$C$120,AA$178,$C$121)</f>
        <v/>
      </c>
      <c r="AB206" s="100" t="str">
        <f ca="1">_xll.DBRW($C$72,$P206,$C$109,$C$110,$C$111,$C$112,$R206,$C$113,$C$114,$C$115,$C$116,$C$117,$Z$156,$C$119,$Q$182,$C$120,AB$178,$C$121)</f>
        <v/>
      </c>
      <c r="AC206" s="102" t="str">
        <f ca="1">_xll.DBRW($C$72,$P206,$C$109,$C$110,$C$111,$C$112,$R206,$C$113,$C$114,$C$115,$C$116,$C$117,$Z$156,$C$119,$Q$182,$C$120,AC$178,$C$121)</f>
        <v/>
      </c>
    </row>
    <row r="207" spans="1:29" collapsed="1" x14ac:dyDescent="0.3">
      <c r="B207" s="14"/>
      <c r="N207" s="15"/>
      <c r="O207" s="15"/>
      <c r="P207" s="30"/>
      <c r="Q207" s="31"/>
      <c r="R207" s="31"/>
      <c r="S207" s="31"/>
      <c r="T207" s="31"/>
      <c r="U207" s="55"/>
      <c r="V207" s="90"/>
      <c r="Y207" s="26"/>
      <c r="Z207" s="122"/>
      <c r="AA207" s="26"/>
      <c r="AB207" s="26"/>
      <c r="AC207" s="26"/>
    </row>
    <row r="208" spans="1:29" hidden="1" outlineLevel="1" x14ac:dyDescent="0.3">
      <c r="P208" s="96" t="s">
        <v>151</v>
      </c>
      <c r="Q208" s="16"/>
      <c r="R208" s="16"/>
      <c r="S208" s="16"/>
      <c r="Z208" s="91"/>
    </row>
    <row r="209" spans="1:29" ht="14.4" customHeight="1" x14ac:dyDescent="0.3">
      <c r="A209" t="str">
        <f ca="1">"X"&amp;IF(_xll.TM1RPTELISCONSOLIDATED($R$185,$R209),IF(_xll.TM1RPTELLEV($R$185,$R209)&lt;=3,_xll.TM1RPTELLEV($R$185,$R209),"D"),"N")</f>
        <v>XN</v>
      </c>
      <c r="B209" s="37"/>
      <c r="C209" s="3"/>
      <c r="D209" s="3"/>
      <c r="E209" s="3"/>
      <c r="F209" s="3"/>
      <c r="G209" s="3"/>
      <c r="H209" s="3"/>
      <c r="I209" s="3"/>
      <c r="J209" s="3"/>
      <c r="K209" s="3" t="str">
        <f ca="1">"HL"&amp;LEFT($P209,9)</f>
        <v>HL</v>
      </c>
      <c r="L209" s="3" t="str">
        <f ca="1">TRIM(MID(P209,10,100))</f>
        <v/>
      </c>
      <c r="M209" s="3" t="str">
        <f ca="1">_xll.DBR($C$137,$K209,$L209,$Q209,#REF!)</f>
        <v>*KEY_ERR</v>
      </c>
      <c r="O209" s="23"/>
      <c r="P209" s="97" t="str">
        <f ca="1">_xll.TM1RPTROW($I$71,db_name&amp;":"&amp;"reporting stage","",,"AE Stage Description",0,$H$64)</f>
        <v/>
      </c>
      <c r="Q209" s="98" t="str">
        <f ca="1">_xll.TM1RPTROW($I$71,db_name&amp;":"&amp;"id",,,,1,$C$101,,1)</f>
        <v/>
      </c>
      <c r="R209" s="97" t="str">
        <f ca="1">_xll.TM1RPTROW($I$71,db_name&amp;":"&amp;"reason",,," CBMS",1,$C$91)</f>
        <v/>
      </c>
      <c r="S209" s="99" t="str">
        <f ca="1">IF(R209="Total Reason","Total IDs","New Adjustments")</f>
        <v>New Adjustments</v>
      </c>
      <c r="T209" s="53"/>
      <c r="U209" s="75"/>
      <c r="V209" s="116" t="str">
        <f t="shared" ref="V209" ca="1" si="6">IF($R209="Total Reason", "Total Adjustments",$R209)</f>
        <v/>
      </c>
      <c r="W209" s="117"/>
      <c r="X209" s="117"/>
      <c r="Y209" s="117" t="str">
        <f ca="1">_xll.DBRW($I$71,$P209,$C$109,$C$110,$C$111,$C$112,$R209,$C$113,$C$114,$C$115,$C$116,$C$117,$Z$156,$C$119,$S209,$C$120,Y$178,$C$121)</f>
        <v/>
      </c>
      <c r="Z209" s="123" t="str">
        <f ca="1">_xll.DBRW($I$71,$P209,$C$109,$C$110,$C$111,$C$112,$R209,$C$113,$C$114,$C$115,$C$116,$C$117,$Z$156,$C$119,$S209,$C$120,Z$178,$C$121)</f>
        <v/>
      </c>
      <c r="AA209" s="117" t="str">
        <f ca="1">_xll.DBRW($I$71,$P209,$C$109,$C$110,$C$111,$C$112,$R209,$C$113,$C$114,$C$115,$C$116,$C$117,$Z$156,$C$119,$S209,$C$120,AA$178,$C$121)</f>
        <v/>
      </c>
      <c r="AB209" s="117" t="str">
        <f ca="1">_xll.DBRW($I$71,$P209,$C$109,$C$110,$C$111,$C$112,$R209,$C$113,$C$114,$C$115,$C$116,$C$117,$Z$156,$C$119,$S209,$C$120,AB$178,$C$121)</f>
        <v/>
      </c>
      <c r="AC209" s="117" t="str">
        <f ca="1">_xll.DBRW($I$71,$P209,$C$109,$C$110,$C$111,$C$112,$R209,$C$113,$C$114,$C$115,$C$116,$C$117,$Z$156,$C$119,$S209,$C$120,AC$178,$C$121)</f>
        <v/>
      </c>
    </row>
    <row r="210" spans="1:29" x14ac:dyDescent="0.3">
      <c r="B210" s="14"/>
      <c r="N210" s="15"/>
      <c r="O210" s="15"/>
      <c r="P210" s="54" t="str">
        <f ca="1">+P209</f>
        <v/>
      </c>
      <c r="Q210" s="25" t="str">
        <f ca="1">sIDTotal</f>
        <v/>
      </c>
      <c r="R210" s="25" t="str">
        <f ca="1">psReason</f>
        <v/>
      </c>
      <c r="S210" s="60"/>
      <c r="T210" s="31"/>
      <c r="U210" s="95" t="str">
        <f ca="1">P210</f>
        <v/>
      </c>
      <c r="V210" s="95" t="s">
        <v>177</v>
      </c>
      <c r="Y210" s="101" t="str">
        <f ca="1">_xll.DBRW($C$72,$P210,$C$109,$C$110,$C$111,$C$112,$R210,$C$113,$C$114,$C$115,$C$116,$C$117,$Z$156,$C$119,$Q$182,$C$120,Y$178,$C$121)</f>
        <v/>
      </c>
      <c r="Z210" s="109" t="str">
        <f ca="1">_xll.DBRW($C$72,$P210,$C$109,$C$110,$C$111,$C$112,$R210,$C$113,$C$114,$C$115,$C$116,$C$117,$Z$156,$C$119,$Q$182,$C$120,Z$178,$C$121)</f>
        <v/>
      </c>
      <c r="AA210" s="100" t="str">
        <f ca="1">_xll.DBRW($C$72,$P210,$C$109,$C$110,$C$111,$C$112,$R210,$C$113,$C$114,$C$115,$C$116,$C$117,$Z$156,$C$119,$Q$182,$C$120,AA$178,$C$121)</f>
        <v/>
      </c>
      <c r="AB210" s="100" t="str">
        <f ca="1">_xll.DBRW($C$72,$P210,$C$109,$C$110,$C$111,$C$112,$R210,$C$113,$C$114,$C$115,$C$116,$C$117,$Z$156,$C$119,$Q$182,$C$120,AB$178,$C$121)</f>
        <v/>
      </c>
      <c r="AC210" s="102" t="str">
        <f ca="1">_xll.DBRW($C$72,$P210,$C$109,$C$110,$C$111,$C$112,$R210,$C$113,$C$114,$C$115,$C$116,$C$117,$Z$156,$C$119,$Q$182,$C$120,AC$178,$C$121)</f>
        <v/>
      </c>
    </row>
    <row r="211" spans="1:29" x14ac:dyDescent="0.3">
      <c r="U211" s="14"/>
    </row>
    <row r="212" spans="1:29" ht="3" customHeight="1" x14ac:dyDescent="0.3">
      <c r="A212" t="s">
        <v>178</v>
      </c>
      <c r="U212" s="91"/>
      <c r="V212" s="91"/>
      <c r="W212" s="91"/>
      <c r="X212" s="91"/>
      <c r="Y212" s="91"/>
      <c r="Z212" s="91"/>
      <c r="AA212" s="91"/>
      <c r="AB212" s="91"/>
      <c r="AC212" s="91"/>
    </row>
  </sheetData>
  <sheetProtection sheet="1" objects="1" scenarios="1"/>
  <mergeCells count="34">
    <mergeCell ref="Z157:AA157"/>
    <mergeCell ref="Z158:AA158"/>
    <mergeCell ref="Z159:AA159"/>
    <mergeCell ref="Z160:AA160"/>
    <mergeCell ref="U198:V198"/>
    <mergeCell ref="V171:AC171"/>
    <mergeCell ref="V172:AC172"/>
    <mergeCell ref="V173:AC173"/>
    <mergeCell ref="V174:AC174"/>
    <mergeCell ref="V175:AC175"/>
    <mergeCell ref="AB163:AC163"/>
    <mergeCell ref="U166:AC166"/>
    <mergeCell ref="U164:AC164"/>
    <mergeCell ref="U165:AC165"/>
    <mergeCell ref="U167:AC167"/>
    <mergeCell ref="B123:C123"/>
    <mergeCell ref="B136:C136"/>
    <mergeCell ref="U155:V155"/>
    <mergeCell ref="Z155:AB155"/>
    <mergeCell ref="Z156:AA156"/>
    <mergeCell ref="B17:C17"/>
    <mergeCell ref="B68:C68"/>
    <mergeCell ref="B108:C108"/>
    <mergeCell ref="B75:C75"/>
    <mergeCell ref="B25:D25"/>
    <mergeCell ref="B34:D34"/>
    <mergeCell ref="U202:V202"/>
    <mergeCell ref="U190:V190"/>
    <mergeCell ref="U194:V194"/>
    <mergeCell ref="U186:V186"/>
    <mergeCell ref="U168:AC168"/>
    <mergeCell ref="U169:AC169"/>
    <mergeCell ref="V170:AC170"/>
    <mergeCell ref="V176:AC176"/>
  </mergeCells>
  <conditionalFormatting sqref="R3:T14 R2:U2 R193:U193">
    <cfRule type="cellIs" dxfId="13" priority="987" operator="notEqual">
      <formula>"hghg"</formula>
    </cfRule>
  </conditionalFormatting>
  <conditionalFormatting sqref="U3:U14">
    <cfRule type="cellIs" dxfId="12" priority="493" operator="notEqual">
      <formula>"hghg"</formula>
    </cfRule>
  </conditionalFormatting>
  <conditionalFormatting sqref="R205:T205">
    <cfRule type="cellIs" dxfId="11" priority="34" operator="notEqual">
      <formula>"hghg"</formula>
    </cfRule>
  </conditionalFormatting>
  <conditionalFormatting sqref="R209:T209">
    <cfRule type="cellIs" dxfId="10" priority="18" operator="notEqual">
      <formula>"hghg"</formula>
    </cfRule>
  </conditionalFormatting>
  <conditionalFormatting sqref="U205">
    <cfRule type="cellIs" dxfId="9" priority="33" operator="notEqual">
      <formula>"hghg"</formula>
    </cfRule>
  </conditionalFormatting>
  <conditionalFormatting sqref="U209">
    <cfRule type="cellIs" dxfId="8" priority="17" operator="notEqual">
      <formula>"hghg"</formula>
    </cfRule>
  </conditionalFormatting>
  <conditionalFormatting sqref="U189">
    <cfRule type="cellIs" dxfId="7" priority="3" operator="notEqual">
      <formula>"hghg"</formula>
    </cfRule>
  </conditionalFormatting>
  <conditionalFormatting sqref="R189:T189">
    <cfRule type="cellIs" dxfId="6" priority="4" operator="notEqual">
      <formula>"hghg"</formula>
    </cfRule>
  </conditionalFormatting>
  <conditionalFormatting sqref="R201:T201">
    <cfRule type="cellIs" dxfId="5" priority="14" operator="notEqual">
      <formula>"hghg"</formula>
    </cfRule>
  </conditionalFormatting>
  <conditionalFormatting sqref="U201">
    <cfRule type="cellIs" dxfId="4" priority="13" operator="notEqual">
      <formula>"hghg"</formula>
    </cfRule>
  </conditionalFormatting>
  <conditionalFormatting sqref="R197:T197">
    <cfRule type="cellIs" dxfId="3" priority="10" operator="notEqual">
      <formula>"hghg"</formula>
    </cfRule>
  </conditionalFormatting>
  <conditionalFormatting sqref="U197">
    <cfRule type="cellIs" dxfId="2" priority="9" operator="notEqual">
      <formula>"hghg"</formula>
    </cfRule>
  </conditionalFormatting>
  <conditionalFormatting sqref="R185:T185">
    <cfRule type="cellIs" dxfId="1" priority="2" operator="notEqual">
      <formula>"hghg"</formula>
    </cfRule>
  </conditionalFormatting>
  <conditionalFormatting sqref="U185">
    <cfRule type="cellIs" dxfId="0" priority="1" operator="notEqual">
      <formula>"hghg"</formula>
    </cfRule>
  </conditionalFormatting>
  <dataValidations disablePrompts="1" count="1">
    <dataValidation type="list" allowBlank="1" showInputMessage="1" showErrorMessage="1" sqref="V157" xr:uid="{1677FEE0-2791-4E6C-A368-F66F699F4220}">
      <formula1>periodselection</formula1>
    </dataValidation>
  </dataValidations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&amp;C&amp;"Arial,Regular"&amp;K000000&amp;F</oddHeader>
  </headerFooter>
  <drawing r:id="rId2"/>
  <legacyDrawing r:id="rId3"/>
  <controls>
    <mc:AlternateContent xmlns:mc="http://schemas.openxmlformats.org/markup-compatibility/2006">
      <mc:Choice Requires="x14">
        <control shapeId="1034" r:id="rId4" name="TIButton8">
          <controlPr defaultSize="0" print="0" autoLine="0" autoPict="0" r:id="rId5">
            <anchor moveWithCells="1" sizeWithCells="1">
              <from>
                <xdr:col>21</xdr:col>
                <xdr:colOff>45720</xdr:colOff>
                <xdr:row>147</xdr:row>
                <xdr:rowOff>38100</xdr:rowOff>
              </from>
              <to>
                <xdr:col>21</xdr:col>
                <xdr:colOff>45720</xdr:colOff>
                <xdr:row>148</xdr:row>
                <xdr:rowOff>236220</xdr:rowOff>
              </to>
            </anchor>
          </controlPr>
        </control>
      </mc:Choice>
      <mc:Fallback>
        <control shapeId="1034" r:id="rId4" name="TIButton8"/>
      </mc:Fallback>
    </mc:AlternateContent>
    <mc:AlternateContent xmlns:mc="http://schemas.openxmlformats.org/markup-compatibility/2006">
      <mc:Choice Requires="x14">
        <control shapeId="1033" r:id="rId6" name="TIButton7">
          <controlPr defaultSize="0" print="0" autoLine="0" r:id="rId7">
            <anchor moveWithCells="1" sizeWithCells="1">
              <from>
                <xdr:col>25</xdr:col>
                <xdr:colOff>68580</xdr:colOff>
                <xdr:row>148</xdr:row>
                <xdr:rowOff>7620</xdr:rowOff>
              </from>
              <to>
                <xdr:col>26</xdr:col>
                <xdr:colOff>754380</xdr:colOff>
                <xdr:row>148</xdr:row>
                <xdr:rowOff>259080</xdr:rowOff>
              </to>
            </anchor>
          </controlPr>
        </control>
      </mc:Choice>
      <mc:Fallback>
        <control shapeId="1033" r:id="rId6" name="TIButton7"/>
      </mc:Fallback>
    </mc:AlternateContent>
    <mc:AlternateContent xmlns:mc="http://schemas.openxmlformats.org/markup-compatibility/2006">
      <mc:Choice Requires="x14">
        <control shapeId="1032" r:id="rId8" name="TIButton6">
          <controlPr defaultSize="0" print="0" autoLine="0" r:id="rId9">
            <anchor moveWithCells="1" sizeWithCells="1">
              <from>
                <xdr:col>21</xdr:col>
                <xdr:colOff>2956560</xdr:colOff>
                <xdr:row>148</xdr:row>
                <xdr:rowOff>7620</xdr:rowOff>
              </from>
              <to>
                <xdr:col>25</xdr:col>
                <xdr:colOff>38100</xdr:colOff>
                <xdr:row>148</xdr:row>
                <xdr:rowOff>259080</xdr:rowOff>
              </to>
            </anchor>
          </controlPr>
        </control>
      </mc:Choice>
      <mc:Fallback>
        <control shapeId="1032" r:id="rId8" name="TIButton6"/>
      </mc:Fallback>
    </mc:AlternateContent>
    <mc:AlternateContent xmlns:mc="http://schemas.openxmlformats.org/markup-compatibility/2006">
      <mc:Choice Requires="x14">
        <control shapeId="1031" r:id="rId10" name="TIButton5">
          <controlPr defaultSize="0" print="0" autoLine="0" r:id="rId11">
            <anchor moveWithCells="1" sizeWithCells="1">
              <from>
                <xdr:col>32</xdr:col>
                <xdr:colOff>586740</xdr:colOff>
                <xdr:row>147</xdr:row>
                <xdr:rowOff>30480</xdr:rowOff>
              </from>
              <to>
                <xdr:col>32</xdr:col>
                <xdr:colOff>906780</xdr:colOff>
                <xdr:row>148</xdr:row>
                <xdr:rowOff>289560</xdr:rowOff>
              </to>
            </anchor>
          </controlPr>
        </control>
      </mc:Choice>
      <mc:Fallback>
        <control shapeId="1031" r:id="rId10" name="TIButton5"/>
      </mc:Fallback>
    </mc:AlternateContent>
    <mc:AlternateContent xmlns:mc="http://schemas.openxmlformats.org/markup-compatibility/2006">
      <mc:Choice Requires="x14">
        <control shapeId="1030" r:id="rId12" name="TIButton4">
          <controlPr defaultSize="0" print="0" autoLine="0" r:id="rId13">
            <anchor moveWithCells="1" sizeWithCells="1">
              <from>
                <xdr:col>26</xdr:col>
                <xdr:colOff>784860</xdr:colOff>
                <xdr:row>148</xdr:row>
                <xdr:rowOff>7620</xdr:rowOff>
              </from>
              <to>
                <xdr:col>27</xdr:col>
                <xdr:colOff>708660</xdr:colOff>
                <xdr:row>148</xdr:row>
                <xdr:rowOff>259080</xdr:rowOff>
              </to>
            </anchor>
          </controlPr>
        </control>
      </mc:Choice>
      <mc:Fallback>
        <control shapeId="1030" r:id="rId12" name="TIButton4"/>
      </mc:Fallback>
    </mc:AlternateContent>
    <mc:AlternateContent xmlns:mc="http://schemas.openxmlformats.org/markup-compatibility/2006">
      <mc:Choice Requires="x14">
        <control shapeId="1068" r:id="rId14" name="TIButton1">
          <controlPr defaultSize="0" print="0" autoLine="0" r:id="rId15">
            <anchor moveWithCells="1" sizeWithCells="1">
              <from>
                <xdr:col>20</xdr:col>
                <xdr:colOff>83820</xdr:colOff>
                <xdr:row>148</xdr:row>
                <xdr:rowOff>15240</xdr:rowOff>
              </from>
              <to>
                <xdr:col>20</xdr:col>
                <xdr:colOff>723900</xdr:colOff>
                <xdr:row>148</xdr:row>
                <xdr:rowOff>259080</xdr:rowOff>
              </to>
            </anchor>
          </controlPr>
        </control>
      </mc:Choice>
      <mc:Fallback>
        <control shapeId="1068" r:id="rId14" name="TIButton1"/>
      </mc:Fallback>
    </mc:AlternateContent>
    <mc:AlternateContent xmlns:mc="http://schemas.openxmlformats.org/markup-compatibility/2006">
      <mc:Choice Requires="x14">
        <control shapeId="1069" r:id="rId16" name="TIButton2">
          <controlPr defaultSize="0" print="0" autoLine="0" r:id="rId17">
            <anchor moveWithCells="1" sizeWithCells="1">
              <from>
                <xdr:col>20</xdr:col>
                <xdr:colOff>777240</xdr:colOff>
                <xdr:row>148</xdr:row>
                <xdr:rowOff>15240</xdr:rowOff>
              </from>
              <to>
                <xdr:col>20</xdr:col>
                <xdr:colOff>1623060</xdr:colOff>
                <xdr:row>148</xdr:row>
                <xdr:rowOff>259080</xdr:rowOff>
              </to>
            </anchor>
          </controlPr>
        </control>
      </mc:Choice>
      <mc:Fallback>
        <control shapeId="1069" r:id="rId16" name="TIButton2"/>
      </mc:Fallback>
    </mc:AlternateContent>
    <mc:AlternateContent xmlns:mc="http://schemas.openxmlformats.org/markup-compatibility/2006">
      <mc:Choice Requires="x14">
        <control shapeId="1070" r:id="rId18" name="TIButton3">
          <controlPr defaultSize="0" print="0" autoLine="0" r:id="rId19">
            <anchor moveWithCells="1" sizeWithCells="1">
              <from>
                <xdr:col>21</xdr:col>
                <xdr:colOff>1432560</xdr:colOff>
                <xdr:row>148</xdr:row>
                <xdr:rowOff>15240</xdr:rowOff>
              </from>
              <to>
                <xdr:col>21</xdr:col>
                <xdr:colOff>2918460</xdr:colOff>
                <xdr:row>148</xdr:row>
                <xdr:rowOff>259080</xdr:rowOff>
              </to>
            </anchor>
          </controlPr>
        </control>
      </mc:Choice>
      <mc:Fallback>
        <control shapeId="1070" r:id="rId18" name="TIButton3"/>
      </mc:Fallback>
    </mc:AlternateContent>
    <mc:AlternateContent xmlns:mc="http://schemas.openxmlformats.org/markup-compatibility/2006">
      <mc:Choice Requires="x14">
        <control shapeId="1071" r:id="rId20" name="TIButton9">
          <controlPr defaultSize="0" print="0" autoLine="0" r:id="rId21">
            <anchor moveWithCells="1" sizeWithCells="1">
              <from>
                <xdr:col>21</xdr:col>
                <xdr:colOff>7620</xdr:colOff>
                <xdr:row>148</xdr:row>
                <xdr:rowOff>15240</xdr:rowOff>
              </from>
              <to>
                <xdr:col>21</xdr:col>
                <xdr:colOff>1402080</xdr:colOff>
                <xdr:row>148</xdr:row>
                <xdr:rowOff>259080</xdr:rowOff>
              </to>
            </anchor>
          </controlPr>
        </control>
      </mc:Choice>
      <mc:Fallback>
        <control shapeId="1071" r:id="rId20" name="TIButton9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EF497-1000-490C-93F5-D3EBB0B4B8C5}">
  <sheetPr codeName="Sheet2"/>
  <dimension ref="A1:A20"/>
  <sheetViews>
    <sheetView workbookViewId="0"/>
  </sheetViews>
  <sheetFormatPr defaultRowHeight="14.4" x14ac:dyDescent="0.3"/>
  <sheetData>
    <row r="1" spans="1:1" x14ac:dyDescent="0.3">
      <c r="A1" t="s">
        <v>153</v>
      </c>
    </row>
    <row r="2" spans="1:1" x14ac:dyDescent="0.3">
      <c r="A2" t="s">
        <v>154</v>
      </c>
    </row>
    <row r="3" spans="1:1" x14ac:dyDescent="0.3">
      <c r="A3" t="s">
        <v>155</v>
      </c>
    </row>
    <row r="4" spans="1:1" x14ac:dyDescent="0.3">
      <c r="A4" t="s">
        <v>156</v>
      </c>
    </row>
    <row r="5" spans="1:1" x14ac:dyDescent="0.3">
      <c r="A5" t="s">
        <v>157</v>
      </c>
    </row>
    <row r="6" spans="1:1" x14ac:dyDescent="0.3">
      <c r="A6" t="s">
        <v>158</v>
      </c>
    </row>
    <row r="7" spans="1:1" x14ac:dyDescent="0.3">
      <c r="A7" t="s">
        <v>159</v>
      </c>
    </row>
    <row r="8" spans="1:1" x14ac:dyDescent="0.3">
      <c r="A8" t="s">
        <v>160</v>
      </c>
    </row>
    <row r="9" spans="1:1" x14ac:dyDescent="0.3">
      <c r="A9" t="s">
        <v>111</v>
      </c>
    </row>
    <row r="10" spans="1:1" x14ac:dyDescent="0.3">
      <c r="A10" t="s">
        <v>112</v>
      </c>
    </row>
    <row r="11" spans="1:1" x14ac:dyDescent="0.3">
      <c r="A11" t="s">
        <v>113</v>
      </c>
    </row>
    <row r="12" spans="1:1" x14ac:dyDescent="0.3">
      <c r="A12" t="s">
        <v>114</v>
      </c>
    </row>
    <row r="13" spans="1:1" x14ac:dyDescent="0.3">
      <c r="A13" t="s">
        <v>115</v>
      </c>
    </row>
    <row r="14" spans="1:1" x14ac:dyDescent="0.3">
      <c r="A14" t="s">
        <v>116</v>
      </c>
    </row>
    <row r="15" spans="1:1" x14ac:dyDescent="0.3">
      <c r="A15" t="s">
        <v>117</v>
      </c>
    </row>
    <row r="16" spans="1:1" x14ac:dyDescent="0.3">
      <c r="A16" t="s">
        <v>118</v>
      </c>
    </row>
    <row r="17" spans="1:1" x14ac:dyDescent="0.3">
      <c r="A17" t="s">
        <v>119</v>
      </c>
    </row>
    <row r="18" spans="1:1" x14ac:dyDescent="0.3">
      <c r="A18" t="s">
        <v>120</v>
      </c>
    </row>
    <row r="19" spans="1:1" x14ac:dyDescent="0.3">
      <c r="A19" t="s">
        <v>121</v>
      </c>
    </row>
    <row r="20" spans="1:1" x14ac:dyDescent="0.3">
      <c r="A2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90</vt:i4>
      </vt:variant>
    </vt:vector>
  </HeadingPairs>
  <TitlesOfParts>
    <vt:vector size="92" baseType="lpstr">
      <vt:lpstr>transaction listing</vt:lpstr>
      <vt:lpstr>{PL}PickLst</vt:lpstr>
      <vt:lpstr>cbRpt</vt:lpstr>
      <vt:lpstr>db_name</vt:lpstr>
      <vt:lpstr>EndStage</vt:lpstr>
      <vt:lpstr>Freeze_here</vt:lpstr>
      <vt:lpstr>home</vt:lpstr>
      <vt:lpstr>periodselection</vt:lpstr>
      <vt:lpstr>'transaction listing'!Print_Area</vt:lpstr>
      <vt:lpstr>psAcc</vt:lpstr>
      <vt:lpstr>psACCDisplayDetail</vt:lpstr>
      <vt:lpstr>psApp</vt:lpstr>
      <vt:lpstr>psIDDisplayDetail</vt:lpstr>
      <vt:lpstr>psMA</vt:lpstr>
      <vt:lpstr>psMADisplayDetail</vt:lpstr>
      <vt:lpstr>psMsrCode</vt:lpstr>
      <vt:lpstr>psMSRDisplayDetail</vt:lpstr>
      <vt:lpstr>psPRog</vt:lpstr>
      <vt:lpstr>psProgDisplayDetail</vt:lpstr>
      <vt:lpstr>psReason</vt:lpstr>
      <vt:lpstr>psReasonDisplayDetail</vt:lpstr>
      <vt:lpstr>psUser</vt:lpstr>
      <vt:lpstr>psYr1</vt:lpstr>
      <vt:lpstr>psYr10</vt:lpstr>
      <vt:lpstr>psYr2</vt:lpstr>
      <vt:lpstr>psYr3</vt:lpstr>
      <vt:lpstr>psYr4</vt:lpstr>
      <vt:lpstr>psYr5</vt:lpstr>
      <vt:lpstr>psYr6</vt:lpstr>
      <vt:lpstr>psYr7</vt:lpstr>
      <vt:lpstr>psYr8</vt:lpstr>
      <vt:lpstr>psYr9</vt:lpstr>
      <vt:lpstr>Server</vt:lpstr>
      <vt:lpstr>sID</vt:lpstr>
      <vt:lpstr>sID0000A</vt:lpstr>
      <vt:lpstr>sID00FBO</vt:lpstr>
      <vt:lpstr>sIDNewadj</vt:lpstr>
      <vt:lpstr>sIDTotal</vt:lpstr>
      <vt:lpstr>StartStage</vt:lpstr>
      <vt:lpstr>TM1AnalRptARTRecoCAP</vt:lpstr>
      <vt:lpstr>TM1AnalRptARTRecoWB</vt:lpstr>
      <vt:lpstr>TM1AnalRptARTRecoWS</vt:lpstr>
      <vt:lpstr>TM1AnalRptDashboardCAP</vt:lpstr>
      <vt:lpstr>TM1AnalRptDashboardWB</vt:lpstr>
      <vt:lpstr>TM1AnalRptDashboardWS</vt:lpstr>
      <vt:lpstr>TM1AnalRptExportToCSVCAP</vt:lpstr>
      <vt:lpstr>TM1AnalRptExportToCSVWB</vt:lpstr>
      <vt:lpstr>TM1AnalRptExportToCSVWS</vt:lpstr>
      <vt:lpstr>TM1AnalRptRecoCAP</vt:lpstr>
      <vt:lpstr>TM1AnalRptRecoWB</vt:lpstr>
      <vt:lpstr>TM1AnalRptRecoWS</vt:lpstr>
      <vt:lpstr>TM1AnalRptRepAdjRecoCAP</vt:lpstr>
      <vt:lpstr>TM1AnalRptRepAdjRecoWB</vt:lpstr>
      <vt:lpstr>TM1AnalRptRepAdjRecoWS</vt:lpstr>
      <vt:lpstr>TM1AnalRptRepStageMaintCAP</vt:lpstr>
      <vt:lpstr>TM1AnalRptRepStageMaintWB</vt:lpstr>
      <vt:lpstr>TM1AnalRptRepStageMaintWS</vt:lpstr>
      <vt:lpstr>TM1AnalRptTransCAP</vt:lpstr>
      <vt:lpstr>TM1AnalRptTransWB</vt:lpstr>
      <vt:lpstr>TM1AnalRptTransWS</vt:lpstr>
      <vt:lpstr>TM1HomeAECAP</vt:lpstr>
      <vt:lpstr>TM1HomeAEWB</vt:lpstr>
      <vt:lpstr>TM1HomeAEWS</vt:lpstr>
      <vt:lpstr>TM1HomeCAP</vt:lpstr>
      <vt:lpstr>TM1HomeRepAnalyticalCAP</vt:lpstr>
      <vt:lpstr>TM1HomeRepAnalyticalWB</vt:lpstr>
      <vt:lpstr>TM1HomeRepAnalyticalWS</vt:lpstr>
      <vt:lpstr>TM1HomeRepCAP</vt:lpstr>
      <vt:lpstr>TM1HomeRepOtherCAP</vt:lpstr>
      <vt:lpstr>TM1HomeRepOtherWB</vt:lpstr>
      <vt:lpstr>TM1HomeRepOtherWS</vt:lpstr>
      <vt:lpstr>TM1HomeRepWB</vt:lpstr>
      <vt:lpstr>TM1HomeRepWS</vt:lpstr>
      <vt:lpstr>TM1HomeWB</vt:lpstr>
      <vt:lpstr>TM1HomeWS</vt:lpstr>
      <vt:lpstr>'transaction listing'!TM1RPTDATARNG4</vt:lpstr>
      <vt:lpstr>'transaction listing'!TM1RPTDATARNGARPT</vt:lpstr>
      <vt:lpstr>TM1RPTDATARNGARPT</vt:lpstr>
      <vt:lpstr>'transaction listing'!TM1RPTDATARNGARPT1</vt:lpstr>
      <vt:lpstr>TM1RPTDATARNGARPT1</vt:lpstr>
      <vt:lpstr>'transaction listing'!TM1RPTDATARNGARPT2</vt:lpstr>
      <vt:lpstr>TM1RPTDATARNGARPT2</vt:lpstr>
      <vt:lpstr>'transaction listing'!TM1RPTDATARNGARPT3</vt:lpstr>
      <vt:lpstr>TM1RPTDATARNGARPT3</vt:lpstr>
      <vt:lpstr>'transaction listing'!TM1RPTDATARNGARPT4</vt:lpstr>
      <vt:lpstr>TM1RPTDATARNGARPT4</vt:lpstr>
      <vt:lpstr>'transaction listing'!TM1RPTDATARNGARPT5</vt:lpstr>
      <vt:lpstr>'transaction listing'!TM1RPTFMTIDCOL</vt:lpstr>
      <vt:lpstr>'transaction listing'!TM1RPTFMTRNG</vt:lpstr>
      <vt:lpstr>TM1ViewAdj01HeaderCAP</vt:lpstr>
      <vt:lpstr>TM1ViewAdj01HeaderWB</vt:lpstr>
      <vt:lpstr>TM1ViewAdj01HeaderWS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</dc:creator>
  <cp:lastModifiedBy>blooyen</cp:lastModifiedBy>
  <cp:lastPrinted>2021-04-07T04:50:11Z</cp:lastPrinted>
  <dcterms:created xsi:type="dcterms:W3CDTF">2019-01-10T06:26:27Z</dcterms:created>
  <dcterms:modified xsi:type="dcterms:W3CDTF">2023-02-14T22:32:15Z</dcterms:modified>
</cp:coreProperties>
</file>